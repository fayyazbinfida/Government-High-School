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5360" windowHeight="7755" activeTab="3"/>
  </bookViews>
  <sheets>
    <sheet name="Join Names" sheetId="17" r:id="rId1"/>
    <sheet name="Change Case" sheetId="29" r:id="rId2"/>
    <sheet name="Trim" sheetId="19" r:id="rId3"/>
    <sheet name="Extract Nos" sheetId="21" r:id="rId4"/>
    <sheet name="Rep &amp; Rev" sheetId="27" r:id="rId5"/>
    <sheet name="Padding" sheetId="26" r:id="rId6"/>
    <sheet name="Text To Column" sheetId="30" r:id="rId7"/>
  </sheets>
  <calcPr calcId="144525"/>
</workbook>
</file>

<file path=xl/calcChain.xml><?xml version="1.0" encoding="utf-8"?>
<calcChain xmlns="http://schemas.openxmlformats.org/spreadsheetml/2006/main">
  <c r="B8" i="29" l="1"/>
  <c r="B7" i="29"/>
  <c r="B6" i="29"/>
  <c r="C8" i="21"/>
  <c r="C7" i="21"/>
  <c r="C6" i="21"/>
  <c r="G4" i="30"/>
  <c r="F4" i="30"/>
  <c r="D8" i="21"/>
  <c r="D9" i="21"/>
  <c r="D7" i="21"/>
  <c r="D6" i="21"/>
  <c r="C5" i="21"/>
  <c r="D5" i="21"/>
  <c r="F7" i="17"/>
  <c r="F6" i="17"/>
  <c r="F5" i="17"/>
  <c r="F4" i="17"/>
  <c r="I7" i="17"/>
  <c r="I6" i="17"/>
  <c r="I5" i="17"/>
  <c r="I4" i="17"/>
  <c r="F3" i="17"/>
  <c r="I3" i="17"/>
  <c r="E4" i="17"/>
  <c r="E7" i="17"/>
  <c r="E6" i="17"/>
  <c r="E5" i="17"/>
  <c r="H7" i="17"/>
  <c r="H6" i="17"/>
  <c r="H5" i="17"/>
  <c r="H4" i="17"/>
  <c r="E3" i="17"/>
  <c r="H3" i="17"/>
  <c r="D7" i="17"/>
  <c r="D6" i="17"/>
  <c r="D5" i="17"/>
  <c r="D4" i="17"/>
  <c r="D3" i="17"/>
</calcChain>
</file>

<file path=xl/sharedStrings.xml><?xml version="1.0" encoding="utf-8"?>
<sst xmlns="http://schemas.openxmlformats.org/spreadsheetml/2006/main" count="87" uniqueCount="85">
  <si>
    <t>FirstName</t>
  </si>
  <si>
    <t>LastName</t>
  </si>
  <si>
    <t>Gilbert</t>
  </si>
  <si>
    <t>Brown</t>
  </si>
  <si>
    <t>Tamburello</t>
  </si>
  <si>
    <t>Walters</t>
  </si>
  <si>
    <t>Bradley</t>
  </si>
  <si>
    <t>Dobney</t>
  </si>
  <si>
    <t>Ellerbrock</t>
  </si>
  <si>
    <t>Hartwig</t>
  </si>
  <si>
    <t>Campbell</t>
  </si>
  <si>
    <t>Alexander</t>
  </si>
  <si>
    <t>Original Text</t>
  </si>
  <si>
    <t>Trimmed Text</t>
  </si>
  <si>
    <t xml:space="preserve">  ABCD</t>
  </si>
  <si>
    <t xml:space="preserve">  A   B   C   D</t>
  </si>
  <si>
    <t>ABCD</t>
  </si>
  <si>
    <t>Product Code</t>
  </si>
  <si>
    <t>Extract the Numbers</t>
  </si>
  <si>
    <t>PW-18-Medium</t>
  </si>
  <si>
    <t>PW-19-Large</t>
  </si>
  <si>
    <t>CWS-22-Medium</t>
  </si>
  <si>
    <t>PWR-16-Small</t>
  </si>
  <si>
    <t>CWTP-44-Large</t>
  </si>
  <si>
    <t>Pad to 10 characters</t>
  </si>
  <si>
    <t>Rep</t>
  </si>
  <si>
    <t>Revenue</t>
  </si>
  <si>
    <t>Haris</t>
  </si>
  <si>
    <t>Saleem</t>
  </si>
  <si>
    <t>Majid</t>
  </si>
  <si>
    <t>Hussain</t>
  </si>
  <si>
    <t>Rashid</t>
  </si>
  <si>
    <t>Khan</t>
  </si>
  <si>
    <t>Jawaid</t>
  </si>
  <si>
    <t>Alam</t>
  </si>
  <si>
    <t>Tanvir</t>
  </si>
  <si>
    <t>Ahmed</t>
  </si>
  <si>
    <t>Asim</t>
  </si>
  <si>
    <t>Hayat</t>
  </si>
  <si>
    <t>Mustafa</t>
  </si>
  <si>
    <t>Habib</t>
  </si>
  <si>
    <t>Ali</t>
  </si>
  <si>
    <t>Ahemd</t>
  </si>
  <si>
    <t>Iqbal</t>
  </si>
  <si>
    <t>Aslam</t>
  </si>
  <si>
    <t>Munir</t>
  </si>
  <si>
    <t>THE QUICK BROWN FOX JUMPS OVER THE LAZY DOG.</t>
  </si>
  <si>
    <t>the quick brown fox jumps over the lazy dog.</t>
  </si>
  <si>
    <t>The Quick Brown Fox Jumps Over The Lazy Dog.</t>
  </si>
  <si>
    <t xml:space="preserve">   Abid        Hussain </t>
  </si>
  <si>
    <r>
      <t xml:space="preserve">Extract Nos from </t>
    </r>
    <r>
      <rPr>
        <b/>
        <u/>
        <sz val="11"/>
        <color theme="1"/>
        <rFont val="Calibri"/>
        <family val="2"/>
        <scheme val="minor"/>
      </rPr>
      <t>SEARCH FUNCTION</t>
    </r>
  </si>
  <si>
    <t>First Name</t>
  </si>
  <si>
    <t>Last Name</t>
  </si>
  <si>
    <t>Phone Number</t>
  </si>
  <si>
    <t>Requirement: Country Name
 Area Code 
  Tel #</t>
  </si>
  <si>
    <t>Join Name</t>
  </si>
  <si>
    <t>Rep and Revenue (Join It)</t>
  </si>
  <si>
    <t>Adding Zero's in start</t>
  </si>
  <si>
    <t>Farmola for space =CONCATENATE(B6," ",C6)</t>
  </si>
  <si>
    <t>Farmola for =LEFT(D3,H3-1)</t>
  </si>
  <si>
    <t>Farmola for =SEARCH(" ",D3)</t>
  </si>
  <si>
    <t>Farmola for =RIGHT(D3,I3-H3)</t>
  </si>
  <si>
    <t>,total word=LEN</t>
  </si>
  <si>
    <t>,what search=SEARCH</t>
  </si>
  <si>
    <t>,=RIGHT(COMPLETE NAME D-3,TOTAL LENTH NAM NO- FIRST NAME</t>
  </si>
  <si>
    <t>"-" Position</t>
  </si>
  <si>
    <t>Phone</t>
  </si>
  <si>
    <t>Number</t>
  </si>
  <si>
    <t>Requirement:</t>
  </si>
  <si>
    <t>Country</t>
  </si>
  <si>
    <t>Name</t>
  </si>
  <si>
    <t>&gt;=CONCATENATE(B2,"-",C2,"-",D2,)</t>
  </si>
  <si>
    <t>&gt;=CONCATENATE(B2,C2,D2)</t>
  </si>
  <si>
    <t>92-21-3022247561</t>
  </si>
  <si>
    <t>for word &amp; after - seprations</t>
  </si>
  <si>
    <t xml:space="preserve">Go Tab DATA &gt; Select  TEXT TO COLUMS &gt; </t>
  </si>
  <si>
    <t>&gt; =MID(B3,D3+1,2)</t>
  </si>
  <si>
    <t>2 WORD KE BAD - HAI IS LEYE NO 3 AYA</t>
  </si>
  <si>
    <t>3 WORDS KE BAD - HAI IS LEYE NO 4 AYA</t>
  </si>
  <si>
    <t>4 WORD KE BAD - HAI IS LEYE NO 5 AYA</t>
  </si>
  <si>
    <t>NEED FOR SMALL LETER</t>
  </si>
  <si>
    <t>NEED FOR CAPITAL LETER</t>
  </si>
  <si>
    <t>NEED FOR PROPER LETER</t>
  </si>
  <si>
    <t>Branch code</t>
  </si>
  <si>
    <t>Adding - in numarical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</si>
</sst>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&quot;$&quot;#,##0_);\(&quot;$&quot;#,##0\)"/>
    <numFmt numFmtId="165" formatCode="_(&quot;$&quot;* #,##0.00_);_(&quot;$&quot;* \(#,##0.00\);_(&quot;$&quot;* &quot;-&quot;??_);_(@_)"/>
    <numFmt numFmtId="166" formatCode="0000"/>
    <numFmt numFmtId="168" formatCode="0000\-0000000\-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0"/>
      <name val="Arial"/>
    </font>
    <font>
      <b/>
      <sz val="14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/>
    <xf numFmtId="0" fontId="5" fillId="3" borderId="0" applyNumberFormat="0" applyFont="0" applyBorder="0" applyAlignment="0" applyProtection="0"/>
    <xf numFmtId="0" fontId="5" fillId="4" borderId="0" applyNumberFormat="0" applyFont="0" applyBorder="0" applyAlignment="0" applyProtection="0"/>
    <xf numFmtId="0" fontId="3" fillId="0" borderId="0"/>
    <xf numFmtId="0" fontId="7" fillId="0" borderId="0"/>
  </cellStyleXfs>
  <cellXfs count="17">
    <xf numFmtId="0" fontId="0" fillId="0" borderId="0" xfId="0"/>
    <xf numFmtId="0" fontId="4" fillId="0" borderId="2" xfId="3" applyFont="1" applyFill="1" applyBorder="1" applyAlignment="1">
      <alignment wrapText="1"/>
    </xf>
    <xf numFmtId="0" fontId="4" fillId="0" borderId="2" xfId="3" applyFont="1" applyFill="1" applyBorder="1" applyAlignment="1"/>
    <xf numFmtId="0" fontId="0" fillId="0" borderId="0" xfId="0" applyAlignment="1"/>
    <xf numFmtId="0" fontId="2" fillId="2" borderId="1" xfId="2" applyAlignment="1">
      <alignment horizontal="center"/>
    </xf>
    <xf numFmtId="0" fontId="2" fillId="2" borderId="1" xfId="2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right"/>
    </xf>
    <xf numFmtId="0" fontId="2" fillId="2" borderId="1" xfId="2" quotePrefix="1"/>
    <xf numFmtId="0" fontId="8" fillId="0" borderId="3" xfId="7" applyFont="1" applyBorder="1"/>
    <xf numFmtId="0" fontId="9" fillId="0" borderId="3" xfId="7" applyFont="1" applyBorder="1"/>
    <xf numFmtId="0" fontId="0" fillId="0" borderId="0" xfId="0" applyAlignment="1">
      <alignment wrapText="1"/>
    </xf>
    <xf numFmtId="166" fontId="4" fillId="0" borderId="2" xfId="6" applyNumberFormat="1" applyFont="1" applyFill="1" applyBorder="1" applyAlignment="1">
      <alignment wrapText="1"/>
    </xf>
    <xf numFmtId="1" fontId="0" fillId="0" borderId="0" xfId="0" applyNumberFormat="1"/>
    <xf numFmtId="168" fontId="0" fillId="0" borderId="0" xfId="0" applyNumberFormat="1"/>
    <xf numFmtId="41" fontId="0" fillId="0" borderId="0" xfId="0" applyNumberFormat="1"/>
  </cellXfs>
  <cellStyles count="8">
    <cellStyle name="Currency" xfId="1" builtinId="4"/>
    <cellStyle name="GreyOrWhite" xfId="4"/>
    <cellStyle name="Normal" xfId="0" builtinId="0"/>
    <cellStyle name="Normal 3" xfId="7"/>
    <cellStyle name="Normal_13" xfId="3"/>
    <cellStyle name="Normal_22" xfId="6"/>
    <cellStyle name="Output" xfId="2" builtinId="21"/>
    <cellStyle name="Yellow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65942</xdr:colOff>
      <xdr:row>5</xdr:row>
      <xdr:rowOff>117231</xdr:rowOff>
    </xdr:from>
    <xdr:to>
      <xdr:col>3</xdr:col>
      <xdr:colOff>490904</xdr:colOff>
      <xdr:row>5</xdr:row>
      <xdr:rowOff>131885</xdr:rowOff>
    </xdr:to>
    <xdr:cxnSp macro="">
      <xdr:nvCxnSpPr>
        <xdr:cNvPr id="3" name="Straight Arrow Connector 2"/>
        <xdr:cNvCxnSpPr/>
      </xdr:nvCxnSpPr>
      <xdr:spPr>
        <a:xfrm flipV="1">
          <a:off x="6740769" y="1069731"/>
          <a:ext cx="424962" cy="146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42496</xdr:colOff>
      <xdr:row>6</xdr:row>
      <xdr:rowOff>79131</xdr:rowOff>
    </xdr:from>
    <xdr:to>
      <xdr:col>3</xdr:col>
      <xdr:colOff>467458</xdr:colOff>
      <xdr:row>6</xdr:row>
      <xdr:rowOff>93785</xdr:rowOff>
    </xdr:to>
    <xdr:cxnSp macro="">
      <xdr:nvCxnSpPr>
        <xdr:cNvPr id="4" name="Straight Arrow Connector 3"/>
        <xdr:cNvCxnSpPr/>
      </xdr:nvCxnSpPr>
      <xdr:spPr>
        <a:xfrm flipV="1">
          <a:off x="6717323" y="1222131"/>
          <a:ext cx="424962" cy="146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48357</xdr:colOff>
      <xdr:row>7</xdr:row>
      <xdr:rowOff>99647</xdr:rowOff>
    </xdr:from>
    <xdr:to>
      <xdr:col>3</xdr:col>
      <xdr:colOff>473319</xdr:colOff>
      <xdr:row>7</xdr:row>
      <xdr:rowOff>114301</xdr:rowOff>
    </xdr:to>
    <xdr:cxnSp macro="">
      <xdr:nvCxnSpPr>
        <xdr:cNvPr id="5" name="Straight Arrow Connector 4"/>
        <xdr:cNvCxnSpPr/>
      </xdr:nvCxnSpPr>
      <xdr:spPr>
        <a:xfrm flipV="1">
          <a:off x="6723184" y="1433147"/>
          <a:ext cx="424962" cy="146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564173</xdr:colOff>
      <xdr:row>2</xdr:row>
      <xdr:rowOff>21981</xdr:rowOff>
    </xdr:from>
    <xdr:to>
      <xdr:col>2</xdr:col>
      <xdr:colOff>564173</xdr:colOff>
      <xdr:row>2</xdr:row>
      <xdr:rowOff>168519</xdr:rowOff>
    </xdr:to>
    <xdr:cxnSp macro="">
      <xdr:nvCxnSpPr>
        <xdr:cNvPr id="3" name="Straight Arrow Connector 2"/>
        <xdr:cNvCxnSpPr/>
      </xdr:nvCxnSpPr>
      <xdr:spPr>
        <a:xfrm>
          <a:off x="2242038" y="402981"/>
          <a:ext cx="0" cy="1465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328245</xdr:colOff>
      <xdr:row>2</xdr:row>
      <xdr:rowOff>13189</xdr:rowOff>
    </xdr:from>
    <xdr:to>
      <xdr:col>3</xdr:col>
      <xdr:colOff>328245</xdr:colOff>
      <xdr:row>2</xdr:row>
      <xdr:rowOff>159727</xdr:rowOff>
    </xdr:to>
    <xdr:cxnSp macro="">
      <xdr:nvCxnSpPr>
        <xdr:cNvPr id="4" name="Straight Arrow Connector 3"/>
        <xdr:cNvCxnSpPr/>
      </xdr:nvCxnSpPr>
      <xdr:spPr>
        <a:xfrm>
          <a:off x="4460630" y="394189"/>
          <a:ext cx="0" cy="1465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771525</xdr:colOff>
      <xdr:row>1</xdr:row>
      <xdr:rowOff>38100</xdr:rowOff>
    </xdr:from>
    <xdr:to>
      <xdr:col>5</xdr:col>
      <xdr:colOff>781050</xdr:colOff>
      <xdr:row>2</xdr:row>
      <xdr:rowOff>161925</xdr:rowOff>
    </xdr:to>
    <xdr:cxnSp macro="">
      <xdr:nvCxnSpPr>
        <xdr:cNvPr id="3" name="Straight Arrow Connector 2"/>
        <xdr:cNvCxnSpPr/>
      </xdr:nvCxnSpPr>
      <xdr:spPr>
        <a:xfrm flipH="1">
          <a:off x="4476750" y="228600"/>
          <a:ext cx="9525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619125</xdr:colOff>
      <xdr:row>1</xdr:row>
      <xdr:rowOff>57150</xdr:rowOff>
    </xdr:from>
    <xdr:to>
      <xdr:col>6</xdr:col>
      <xdr:colOff>628650</xdr:colOff>
      <xdr:row>2</xdr:row>
      <xdr:rowOff>152400</xdr:rowOff>
    </xdr:to>
    <xdr:cxnSp macro="">
      <xdr:nvCxnSpPr>
        <xdr:cNvPr id="5" name="Straight Arrow Connector 4"/>
        <xdr:cNvCxnSpPr/>
      </xdr:nvCxnSpPr>
      <xdr:spPr>
        <a:xfrm flipH="1">
          <a:off x="6496050" y="247650"/>
          <a:ext cx="9525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3</xdr:row>
      <xdr:rowOff>85725</xdr:rowOff>
    </xdr:from>
    <xdr:to>
      <xdr:col>4</xdr:col>
      <xdr:colOff>552450</xdr:colOff>
      <xdr:row>3</xdr:row>
      <xdr:rowOff>114300</xdr:rowOff>
    </xdr:to>
    <xdr:cxnSp macro="">
      <xdr:nvCxnSpPr>
        <xdr:cNvPr id="7" name="Straight Arrow Connector 6"/>
        <xdr:cNvCxnSpPr/>
      </xdr:nvCxnSpPr>
      <xdr:spPr>
        <a:xfrm>
          <a:off x="3143250" y="657225"/>
          <a:ext cx="504825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18"/>
  <sheetViews>
    <sheetView zoomScale="110" zoomScaleNormal="110" workbookViewId="0">
      <selection activeCell="A17" sqref="A17"/>
    </sheetView>
  </sheetViews>
  <sheetFormatPr defaultRowHeight="15" x14ac:dyDescent="0.25"/>
  <cols>
    <col min="2" max="3" width="14.7109375" style="3" customWidth="1"/>
    <col min="4" max="4" width="19" bestFit="1" customWidth="1"/>
    <col min="5" max="5" width="10.5703125" bestFit="1" customWidth="1"/>
    <col min="6" max="6" width="10.5703125" customWidth="1"/>
    <col min="7" max="7" width="15.140625" bestFit="1" customWidth="1"/>
    <col min="8" max="8" width="20.28515625" bestFit="1" customWidth="1"/>
    <col min="9" max="9" width="15.140625" bestFit="1" customWidth="1"/>
  </cols>
  <sheetData>
    <row r="2" spans="1:9" x14ac:dyDescent="0.25">
      <c r="B2" s="4" t="s">
        <v>0</v>
      </c>
      <c r="C2" s="4" t="s">
        <v>1</v>
      </c>
      <c r="D2" s="5" t="s">
        <v>55</v>
      </c>
      <c r="E2" t="s">
        <v>51</v>
      </c>
      <c r="F2" t="s">
        <v>52</v>
      </c>
      <c r="H2" t="s">
        <v>63</v>
      </c>
      <c r="I2" t="s">
        <v>62</v>
      </c>
    </row>
    <row r="3" spans="1:9" x14ac:dyDescent="0.25">
      <c r="B3" s="2" t="s">
        <v>27</v>
      </c>
      <c r="C3" s="2" t="s">
        <v>28</v>
      </c>
      <c r="D3" t="str">
        <f>CONCATENATE(B3," ",C3)</f>
        <v>Haris Saleem</v>
      </c>
      <c r="E3" t="str">
        <f>LEFT(D3,H3)</f>
        <v xml:space="preserve">Haris </v>
      </c>
      <c r="F3" t="str">
        <f>RIGHT(D3,I3-H3)</f>
        <v xml:space="preserve"> Saleem</v>
      </c>
      <c r="H3">
        <f>SEARCH(" ",D3)</f>
        <v>6</v>
      </c>
      <c r="I3">
        <f>LEN(D4)</f>
        <v>13</v>
      </c>
    </row>
    <row r="4" spans="1:9" x14ac:dyDescent="0.25">
      <c r="B4" s="2" t="s">
        <v>29</v>
      </c>
      <c r="C4" s="2" t="s">
        <v>30</v>
      </c>
      <c r="D4" t="str">
        <f>CONCATENATE(B4,"-",C4)</f>
        <v>Majid-Hussain</v>
      </c>
      <c r="E4" t="str">
        <f>LEFT(D4,H4+1-5)</f>
        <v>Ma</v>
      </c>
      <c r="F4" t="str">
        <f>RIGHT(D4,I4-H4)</f>
        <v>Hussain</v>
      </c>
      <c r="H4">
        <f>SEARCH("-",D4)</f>
        <v>6</v>
      </c>
      <c r="I4">
        <f>LEN(D4)</f>
        <v>13</v>
      </c>
    </row>
    <row r="5" spans="1:9" x14ac:dyDescent="0.25">
      <c r="B5" s="2" t="s">
        <v>31</v>
      </c>
      <c r="C5" s="2" t="s">
        <v>32</v>
      </c>
      <c r="D5" t="str">
        <f>CONCATENATE(B5,"@",C5)</f>
        <v>Rashid@Khan</v>
      </c>
      <c r="E5" t="str">
        <f>LEFT(D5,H5-1)</f>
        <v>Rashid</v>
      </c>
      <c r="F5" t="str">
        <f>RIGHT(D5,I5-H5)</f>
        <v>Khan</v>
      </c>
      <c r="H5">
        <f>SEARCH("@",D5)</f>
        <v>7</v>
      </c>
      <c r="I5">
        <f>LEN(D5)</f>
        <v>11</v>
      </c>
    </row>
    <row r="6" spans="1:9" x14ac:dyDescent="0.25">
      <c r="B6" s="2" t="s">
        <v>33</v>
      </c>
      <c r="C6" s="2" t="s">
        <v>34</v>
      </c>
      <c r="D6" t="str">
        <f>CONCATENATE(B6,"&gt;",C6)</f>
        <v>Jawaid&gt;Alam</v>
      </c>
      <c r="E6" t="str">
        <f>LEFT(D6,H6-1)</f>
        <v>Jawaid</v>
      </c>
      <c r="F6" t="str">
        <f>RIGHT(D6,I6-H6)</f>
        <v>Alam</v>
      </c>
      <c r="H6">
        <f>SEARCH("&gt;",D6)</f>
        <v>7</v>
      </c>
      <c r="I6">
        <f>LEN(D6)</f>
        <v>11</v>
      </c>
    </row>
    <row r="7" spans="1:9" x14ac:dyDescent="0.25">
      <c r="B7" s="2" t="s">
        <v>35</v>
      </c>
      <c r="C7" s="2" t="s">
        <v>36</v>
      </c>
      <c r="D7" t="str">
        <f>CONCATENATE(B7,"&amp;",C7)</f>
        <v>Tanvir&amp;Ahmed</v>
      </c>
      <c r="E7" t="str">
        <f>LEFT(D7,H7-1)</f>
        <v>Tanvir</v>
      </c>
      <c r="F7" t="str">
        <f>RIGHT(D7,I7-H7)</f>
        <v>Ahmed</v>
      </c>
      <c r="H7">
        <f>SEARCH("&amp;",D7)</f>
        <v>7</v>
      </c>
      <c r="I7">
        <f>LEN(D7)</f>
        <v>12</v>
      </c>
    </row>
    <row r="8" spans="1:9" x14ac:dyDescent="0.25">
      <c r="B8" s="2" t="s">
        <v>37</v>
      </c>
      <c r="C8" s="2" t="s">
        <v>38</v>
      </c>
    </row>
    <row r="9" spans="1:9" x14ac:dyDescent="0.25">
      <c r="B9" s="2" t="s">
        <v>39</v>
      </c>
      <c r="C9" s="2" t="s">
        <v>40</v>
      </c>
    </row>
    <row r="10" spans="1:9" x14ac:dyDescent="0.25">
      <c r="B10" s="2" t="s">
        <v>41</v>
      </c>
      <c r="C10" s="2" t="s">
        <v>42</v>
      </c>
    </row>
    <row r="11" spans="1:9" x14ac:dyDescent="0.25">
      <c r="B11" s="1" t="s">
        <v>43</v>
      </c>
      <c r="C11" s="1" t="s">
        <v>44</v>
      </c>
    </row>
    <row r="12" spans="1:9" x14ac:dyDescent="0.25">
      <c r="B12" s="1" t="s">
        <v>45</v>
      </c>
      <c r="C12" s="1" t="s">
        <v>30</v>
      </c>
    </row>
    <row r="15" spans="1:9" x14ac:dyDescent="0.25">
      <c r="A15" t="s">
        <v>58</v>
      </c>
    </row>
    <row r="16" spans="1:9" x14ac:dyDescent="0.25">
      <c r="A16" t="s">
        <v>59</v>
      </c>
    </row>
    <row r="17" spans="1:4" x14ac:dyDescent="0.25">
      <c r="A17" t="s">
        <v>60</v>
      </c>
    </row>
    <row r="18" spans="1:4" x14ac:dyDescent="0.25">
      <c r="A18" t="s">
        <v>61</v>
      </c>
      <c r="D1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6:E8"/>
  <sheetViews>
    <sheetView zoomScale="130" zoomScaleNormal="130" workbookViewId="0">
      <selection activeCell="B7" sqref="B7"/>
    </sheetView>
  </sheetViews>
  <sheetFormatPr defaultRowHeight="15" x14ac:dyDescent="0.25"/>
  <cols>
    <col min="1" max="1" width="16.140625" customWidth="1"/>
    <col min="2" max="2" width="47.140625" bestFit="1" customWidth="1"/>
    <col min="3" max="3" width="47.85546875" bestFit="1" customWidth="1"/>
  </cols>
  <sheetData>
    <row r="6" spans="2:5" x14ac:dyDescent="0.25">
      <c r="B6" s="9" t="str">
        <f>LOWER(C6)</f>
        <v>the quick brown fox jumps over the lazy dog.</v>
      </c>
      <c r="C6" t="s">
        <v>46</v>
      </c>
      <c r="E6" t="s">
        <v>80</v>
      </c>
    </row>
    <row r="7" spans="2:5" x14ac:dyDescent="0.25">
      <c r="B7" s="9" t="str">
        <f>UPPER(C7)</f>
        <v>THE QUICK BROWN FOX JUMPS OVER THE LAZY DOG.</v>
      </c>
      <c r="C7" t="s">
        <v>47</v>
      </c>
      <c r="E7" t="s">
        <v>81</v>
      </c>
    </row>
    <row r="8" spans="2:5" x14ac:dyDescent="0.25">
      <c r="B8" s="9" t="str">
        <f>PROPER(C8)</f>
        <v>The Quick Brown Fox Jumps Over The Lazy Dog.</v>
      </c>
      <c r="C8" t="s">
        <v>48</v>
      </c>
      <c r="E8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C7"/>
  <sheetViews>
    <sheetView zoomScale="130" zoomScaleNormal="130" workbookViewId="0">
      <selection activeCell="E12" sqref="E12"/>
    </sheetView>
  </sheetViews>
  <sheetFormatPr defaultRowHeight="15" x14ac:dyDescent="0.25"/>
  <cols>
    <col min="2" max="2" width="17.42578125" bestFit="1" customWidth="1"/>
    <col min="3" max="3" width="14.85546875" customWidth="1"/>
  </cols>
  <sheetData>
    <row r="3" spans="2:3" x14ac:dyDescent="0.25">
      <c r="B3" s="5" t="s">
        <v>12</v>
      </c>
      <c r="C3" s="5" t="s">
        <v>13</v>
      </c>
    </row>
    <row r="4" spans="2:3" x14ac:dyDescent="0.25">
      <c r="B4" t="s">
        <v>14</v>
      </c>
    </row>
    <row r="5" spans="2:3" x14ac:dyDescent="0.25">
      <c r="B5" t="s">
        <v>15</v>
      </c>
    </row>
    <row r="6" spans="2:3" x14ac:dyDescent="0.25">
      <c r="B6" t="s">
        <v>49</v>
      </c>
    </row>
    <row r="7" spans="2:3" x14ac:dyDescent="0.25">
      <c r="B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E10"/>
  <sheetViews>
    <sheetView tabSelected="1" zoomScale="130" zoomScaleNormal="130" workbookViewId="0">
      <selection activeCell="D9" sqref="D9"/>
    </sheetView>
  </sheetViews>
  <sheetFormatPr defaultRowHeight="15" x14ac:dyDescent="0.25"/>
  <cols>
    <col min="2" max="2" width="16" bestFit="1" customWidth="1"/>
    <col min="3" max="3" width="36.85546875" customWidth="1"/>
  </cols>
  <sheetData>
    <row r="1" spans="2:5" x14ac:dyDescent="0.25">
      <c r="B1" t="s">
        <v>50</v>
      </c>
    </row>
    <row r="2" spans="2:5" x14ac:dyDescent="0.25">
      <c r="C2" t="s">
        <v>76</v>
      </c>
      <c r="D2" t="s">
        <v>60</v>
      </c>
    </row>
    <row r="4" spans="2:5" x14ac:dyDescent="0.25">
      <c r="B4" s="5" t="s">
        <v>17</v>
      </c>
      <c r="C4" s="5" t="s">
        <v>18</v>
      </c>
      <c r="D4" t="s">
        <v>65</v>
      </c>
    </row>
    <row r="5" spans="2:5" x14ac:dyDescent="0.25">
      <c r="B5" t="s">
        <v>22</v>
      </c>
      <c r="C5" s="6" t="str">
        <f>MID(B5,D5+1,2)</f>
        <v>16</v>
      </c>
      <c r="D5">
        <f>SEARCH("-",B5)</f>
        <v>4</v>
      </c>
      <c r="E5" t="s">
        <v>78</v>
      </c>
    </row>
    <row r="6" spans="2:5" x14ac:dyDescent="0.25">
      <c r="B6" t="s">
        <v>19</v>
      </c>
      <c r="C6" s="6" t="str">
        <f>MID(B6,D6+1,2)</f>
        <v>18</v>
      </c>
      <c r="D6">
        <f>SEARCH("-",B6)</f>
        <v>3</v>
      </c>
      <c r="E6" t="s">
        <v>77</v>
      </c>
    </row>
    <row r="7" spans="2:5" x14ac:dyDescent="0.25">
      <c r="B7" t="s">
        <v>20</v>
      </c>
      <c r="C7" s="6" t="str">
        <f>MID(B7,D7+1,2)</f>
        <v>19</v>
      </c>
      <c r="D7">
        <f>SEARCH("-",B7)</f>
        <v>3</v>
      </c>
    </row>
    <row r="8" spans="2:5" x14ac:dyDescent="0.25">
      <c r="B8" t="s">
        <v>21</v>
      </c>
      <c r="C8" s="6" t="str">
        <f>MID(B8,D8+1,2)</f>
        <v>22</v>
      </c>
      <c r="D8">
        <f t="shared" ref="D8:D9" si="0">SEARCH("-",B8)</f>
        <v>4</v>
      </c>
    </row>
    <row r="9" spans="2:5" x14ac:dyDescent="0.25">
      <c r="B9" t="s">
        <v>23</v>
      </c>
      <c r="C9" s="6"/>
      <c r="D9">
        <f t="shared" si="0"/>
        <v>5</v>
      </c>
      <c r="E9" t="s">
        <v>79</v>
      </c>
    </row>
    <row r="10" spans="2:5" x14ac:dyDescent="0.25">
      <c r="C10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E12"/>
  <sheetViews>
    <sheetView zoomScale="120" zoomScaleNormal="120" workbookViewId="0">
      <selection activeCell="E3" sqref="E3"/>
    </sheetView>
  </sheetViews>
  <sheetFormatPr defaultRowHeight="15" x14ac:dyDescent="0.25"/>
  <cols>
    <col min="2" max="2" width="11.140625" bestFit="1" customWidth="1"/>
    <col min="3" max="3" width="10.5703125" bestFit="1" customWidth="1"/>
    <col min="4" max="4" width="3.85546875" customWidth="1"/>
    <col min="5" max="5" width="26.85546875" customWidth="1"/>
    <col min="7" max="7" width="18" bestFit="1" customWidth="1"/>
  </cols>
  <sheetData>
    <row r="2" spans="2:5" x14ac:dyDescent="0.25">
      <c r="B2" s="5" t="s">
        <v>25</v>
      </c>
      <c r="C2" s="5" t="s">
        <v>26</v>
      </c>
      <c r="E2" s="5" t="s">
        <v>56</v>
      </c>
    </row>
    <row r="3" spans="2:5" x14ac:dyDescent="0.25">
      <c r="B3" s="2" t="s">
        <v>2</v>
      </c>
      <c r="C3" s="7">
        <v>6820</v>
      </c>
      <c r="E3" s="8"/>
    </row>
    <row r="4" spans="2:5" x14ac:dyDescent="0.25">
      <c r="B4" s="2" t="s">
        <v>3</v>
      </c>
      <c r="C4" s="7">
        <v>5205</v>
      </c>
      <c r="E4" s="8"/>
    </row>
    <row r="5" spans="2:5" x14ac:dyDescent="0.25">
      <c r="B5" s="2" t="s">
        <v>4</v>
      </c>
      <c r="C5" s="7">
        <v>246</v>
      </c>
      <c r="E5" s="8"/>
    </row>
    <row r="6" spans="2:5" x14ac:dyDescent="0.25">
      <c r="B6" s="2" t="s">
        <v>5</v>
      </c>
      <c r="C6" s="7">
        <v>7136</v>
      </c>
      <c r="E6" s="8"/>
    </row>
    <row r="7" spans="2:5" x14ac:dyDescent="0.25">
      <c r="B7" s="2" t="s">
        <v>11</v>
      </c>
      <c r="C7" s="7">
        <v>2921</v>
      </c>
      <c r="E7" s="8"/>
    </row>
    <row r="8" spans="2:5" x14ac:dyDescent="0.25">
      <c r="B8" s="2" t="s">
        <v>6</v>
      </c>
      <c r="C8" s="7">
        <v>8225</v>
      </c>
      <c r="E8" s="8"/>
    </row>
    <row r="9" spans="2:5" x14ac:dyDescent="0.25">
      <c r="B9" s="2" t="s">
        <v>7</v>
      </c>
      <c r="C9" s="7">
        <v>5630</v>
      </c>
      <c r="E9" s="8"/>
    </row>
    <row r="10" spans="2:5" x14ac:dyDescent="0.25">
      <c r="B10" s="2" t="s">
        <v>8</v>
      </c>
      <c r="C10" s="7">
        <v>7994</v>
      </c>
      <c r="E10" s="8"/>
    </row>
    <row r="11" spans="2:5" x14ac:dyDescent="0.25">
      <c r="B11" s="1" t="s">
        <v>9</v>
      </c>
      <c r="C11" s="7">
        <v>6676</v>
      </c>
      <c r="E11" s="8"/>
    </row>
    <row r="12" spans="2:5" x14ac:dyDescent="0.25">
      <c r="B12" s="1" t="s">
        <v>10</v>
      </c>
      <c r="C12" s="7">
        <v>5716</v>
      </c>
      <c r="E12" s="8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D10"/>
  <sheetViews>
    <sheetView zoomScale="130" zoomScaleNormal="130" workbookViewId="0">
      <selection activeCell="C12" sqref="C12"/>
    </sheetView>
  </sheetViews>
  <sheetFormatPr defaultRowHeight="15" x14ac:dyDescent="0.25"/>
  <cols>
    <col min="2" max="3" width="19.85546875" bestFit="1" customWidth="1"/>
    <col min="4" max="4" width="16.7109375" bestFit="1" customWidth="1"/>
  </cols>
  <sheetData>
    <row r="2" spans="2:4" x14ac:dyDescent="0.25">
      <c r="B2" t="s">
        <v>57</v>
      </c>
      <c r="C2" t="s">
        <v>84</v>
      </c>
    </row>
    <row r="3" spans="2:4" x14ac:dyDescent="0.25">
      <c r="B3" s="4" t="s">
        <v>83</v>
      </c>
      <c r="C3" s="5" t="s">
        <v>24</v>
      </c>
    </row>
    <row r="4" spans="2:4" x14ac:dyDescent="0.25">
      <c r="B4" s="13">
        <v>454</v>
      </c>
      <c r="C4" s="14">
        <v>4220106191305</v>
      </c>
      <c r="D4" s="15">
        <v>4220106191303</v>
      </c>
    </row>
    <row r="5" spans="2:4" x14ac:dyDescent="0.25">
      <c r="B5" s="13">
        <v>254</v>
      </c>
      <c r="D5" s="15">
        <v>4220106191303</v>
      </c>
    </row>
    <row r="6" spans="2:4" x14ac:dyDescent="0.25">
      <c r="B6" s="13">
        <v>12</v>
      </c>
      <c r="D6" s="15">
        <v>254789654</v>
      </c>
    </row>
    <row r="7" spans="2:4" x14ac:dyDescent="0.25">
      <c r="B7" s="13">
        <v>12</v>
      </c>
      <c r="D7" s="15">
        <v>25469741214</v>
      </c>
    </row>
    <row r="8" spans="2:4" x14ac:dyDescent="0.25">
      <c r="B8" s="13">
        <v>1</v>
      </c>
      <c r="D8" s="15">
        <v>545787454545</v>
      </c>
    </row>
    <row r="9" spans="2:4" x14ac:dyDescent="0.25">
      <c r="B9" s="13"/>
    </row>
    <row r="10" spans="2:4" x14ac:dyDescent="0.25">
      <c r="C10" s="1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G17"/>
  <sheetViews>
    <sheetView workbookViewId="0">
      <selection activeCell="F13" sqref="F13"/>
    </sheetView>
  </sheetViews>
  <sheetFormatPr defaultRowHeight="15" x14ac:dyDescent="0.25"/>
  <cols>
    <col min="2" max="2" width="19" bestFit="1" customWidth="1"/>
    <col min="6" max="7" width="32.5703125" bestFit="1" customWidth="1"/>
  </cols>
  <sheetData>
    <row r="1" spans="2:7" x14ac:dyDescent="0.25">
      <c r="F1" t="s">
        <v>71</v>
      </c>
      <c r="G1" t="s">
        <v>72</v>
      </c>
    </row>
    <row r="3" spans="2:7" x14ac:dyDescent="0.25">
      <c r="B3" t="s">
        <v>66</v>
      </c>
      <c r="C3" t="s">
        <v>67</v>
      </c>
    </row>
    <row r="4" spans="2:7" x14ac:dyDescent="0.25">
      <c r="B4">
        <v>92</v>
      </c>
      <c r="C4">
        <v>21</v>
      </c>
      <c r="D4">
        <v>4251711</v>
      </c>
      <c r="F4" t="str">
        <f>CONCATENATE(B4,"-",C4,"-",D4,)</f>
        <v>92-21-4251711</v>
      </c>
      <c r="G4" t="str">
        <f>CONCATENATE(B4,C4,D4)</f>
        <v>92214251711</v>
      </c>
    </row>
    <row r="5" spans="2:7" ht="18.75" x14ac:dyDescent="0.3">
      <c r="B5" s="10">
        <v>92</v>
      </c>
      <c r="C5">
        <v>42</v>
      </c>
      <c r="D5">
        <v>6573411</v>
      </c>
    </row>
    <row r="6" spans="2:7" ht="18.75" x14ac:dyDescent="0.3">
      <c r="B6" s="11">
        <v>92</v>
      </c>
      <c r="C6">
        <v>51</v>
      </c>
      <c r="D6">
        <v>7863421</v>
      </c>
    </row>
    <row r="7" spans="2:7" ht="18.75" x14ac:dyDescent="0.3">
      <c r="B7" s="11">
        <v>92</v>
      </c>
      <c r="C7">
        <v>31</v>
      </c>
      <c r="D7">
        <v>8564901</v>
      </c>
    </row>
    <row r="8" spans="2:7" ht="18.75" x14ac:dyDescent="0.3">
      <c r="B8" s="11">
        <v>92</v>
      </c>
      <c r="C8">
        <v>21</v>
      </c>
      <c r="D8">
        <v>3911786</v>
      </c>
    </row>
    <row r="9" spans="2:7" ht="18.75" x14ac:dyDescent="0.3">
      <c r="B9" s="11">
        <v>92</v>
      </c>
      <c r="C9">
        <v>42</v>
      </c>
      <c r="D9">
        <v>6687011</v>
      </c>
    </row>
    <row r="10" spans="2:7" ht="18.75" x14ac:dyDescent="0.3">
      <c r="B10" s="11">
        <v>92</v>
      </c>
      <c r="C10">
        <v>51</v>
      </c>
      <c r="D10">
        <v>9467210</v>
      </c>
    </row>
    <row r="11" spans="2:7" ht="18.75" x14ac:dyDescent="0.3">
      <c r="B11" s="11">
        <v>92</v>
      </c>
      <c r="C11">
        <v>31</v>
      </c>
      <c r="D11">
        <v>7743941</v>
      </c>
    </row>
    <row r="12" spans="2:7" ht="18.75" x14ac:dyDescent="0.3">
      <c r="B12" s="11"/>
    </row>
    <row r="13" spans="2:7" ht="18.75" x14ac:dyDescent="0.3">
      <c r="B13" s="11" t="s">
        <v>68</v>
      </c>
      <c r="C13" t="s">
        <v>69</v>
      </c>
      <c r="D13" t="s">
        <v>70</v>
      </c>
    </row>
    <row r="15" spans="2:7" ht="60" x14ac:dyDescent="0.25">
      <c r="B15" s="12" t="s">
        <v>54</v>
      </c>
    </row>
    <row r="16" spans="2:7" x14ac:dyDescent="0.25">
      <c r="B16" t="s">
        <v>53</v>
      </c>
      <c r="C16" t="s">
        <v>74</v>
      </c>
    </row>
    <row r="17" spans="2:3" x14ac:dyDescent="0.25">
      <c r="B17" t="s">
        <v>73</v>
      </c>
      <c r="C17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Join Names</vt:lpstr>
      <vt:lpstr>Change Case</vt:lpstr>
      <vt:lpstr>Trim</vt:lpstr>
      <vt:lpstr>Extract Nos</vt:lpstr>
      <vt:lpstr>Rep &amp; Rev</vt:lpstr>
      <vt:lpstr>Padding</vt:lpstr>
      <vt:lpstr>Text To Column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MCB</cp:lastModifiedBy>
  <dcterms:created xsi:type="dcterms:W3CDTF">2013-10-28T00:19:55Z</dcterms:created>
  <dcterms:modified xsi:type="dcterms:W3CDTF">2018-02-24T02:16:35Z</dcterms:modified>
</cp:coreProperties>
</file>