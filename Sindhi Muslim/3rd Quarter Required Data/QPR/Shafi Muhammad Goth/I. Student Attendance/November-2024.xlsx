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hafi Goth\"/>
    </mc:Choice>
  </mc:AlternateContent>
  <xr:revisionPtr revIDLastSave="0" documentId="13_ncr:1_{BFDE7BDC-9DD9-4ADE-9F6D-915744D68D38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Compile Sheet-November-2024" sheetId="18" r:id="rId1"/>
    <sheet name="ECE " sheetId="19" r:id="rId2"/>
    <sheet name="Kg" sheetId="5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1" i="5" l="1"/>
  <c r="AJ41" i="5"/>
  <c r="AI42" i="5"/>
  <c r="AJ42" i="5"/>
  <c r="AI43" i="5"/>
  <c r="AJ43" i="5"/>
  <c r="AI44" i="5"/>
  <c r="AJ44" i="5"/>
  <c r="AI45" i="5"/>
  <c r="AJ45" i="5"/>
  <c r="AJ40" i="19"/>
  <c r="AI40" i="19"/>
  <c r="AJ39" i="19"/>
  <c r="AI39" i="19"/>
  <c r="AJ38" i="19"/>
  <c r="AI38" i="19"/>
  <c r="AJ37" i="19"/>
  <c r="AI37" i="19"/>
  <c r="AJ36" i="19"/>
  <c r="AI36" i="19"/>
  <c r="AJ35" i="19"/>
  <c r="AI35" i="19"/>
  <c r="AJ34" i="19"/>
  <c r="AI34" i="19"/>
  <c r="AJ33" i="19"/>
  <c r="AI33" i="19"/>
  <c r="AJ32" i="19"/>
  <c r="AI32" i="19"/>
  <c r="AJ31" i="19"/>
  <c r="AI31" i="19"/>
  <c r="AJ30" i="19"/>
  <c r="AI30" i="19"/>
  <c r="AJ29" i="19"/>
  <c r="AI29" i="19"/>
  <c r="AJ28" i="19"/>
  <c r="AI28" i="19"/>
  <c r="AJ27" i="19"/>
  <c r="AI27" i="19"/>
  <c r="AJ26" i="19"/>
  <c r="AI26" i="19"/>
  <c r="AJ25" i="19"/>
  <c r="AI25" i="19"/>
  <c r="AJ24" i="19"/>
  <c r="AI24" i="19"/>
  <c r="AJ23" i="19"/>
  <c r="AI23" i="19"/>
  <c r="AJ22" i="19"/>
  <c r="AI22" i="19"/>
  <c r="AM21" i="19"/>
  <c r="AM22" i="19" s="1"/>
  <c r="AM23" i="19" s="1"/>
  <c r="AL21" i="19"/>
  <c r="AJ21" i="19"/>
  <c r="AI21" i="19"/>
  <c r="AJ20" i="19"/>
  <c r="AI20" i="19"/>
  <c r="AJ19" i="19"/>
  <c r="AI19" i="19"/>
  <c r="AJ18" i="19"/>
  <c r="AI18" i="19"/>
  <c r="AJ17" i="19"/>
  <c r="AI17" i="19"/>
  <c r="AJ16" i="19"/>
  <c r="AI16" i="19"/>
  <c r="AJ15" i="19"/>
  <c r="AI15" i="19"/>
  <c r="AM14" i="19"/>
  <c r="AM15" i="19" s="1"/>
  <c r="AL14" i="19"/>
  <c r="AL22" i="19" s="1"/>
  <c r="AJ14" i="19"/>
  <c r="AI14" i="19"/>
  <c r="AM13" i="19"/>
  <c r="AL13" i="19"/>
  <c r="AL15" i="19" s="1"/>
  <c r="AJ13" i="19"/>
  <c r="AI13" i="19"/>
  <c r="AJ12" i="19"/>
  <c r="AI12" i="19"/>
  <c r="AJ11" i="19"/>
  <c r="AI11" i="19"/>
  <c r="AJ10" i="19"/>
  <c r="AI10" i="19"/>
  <c r="AJ9" i="19"/>
  <c r="AI9" i="19"/>
  <c r="AJ8" i="19"/>
  <c r="AI8" i="19"/>
  <c r="AJ7" i="19"/>
  <c r="AI7" i="19"/>
  <c r="AJ6" i="19"/>
  <c r="AI6" i="19"/>
  <c r="AJ5" i="19"/>
  <c r="AI5" i="19"/>
  <c r="AL4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AI46" i="9"/>
  <c r="AJ46" i="9"/>
  <c r="AI47" i="9"/>
  <c r="AJ47" i="9"/>
  <c r="AI48" i="9"/>
  <c r="AJ48" i="9"/>
  <c r="AI49" i="9"/>
  <c r="AJ49" i="9"/>
  <c r="AI50" i="9"/>
  <c r="AJ50" i="9"/>
  <c r="AI51" i="9"/>
  <c r="AJ51" i="9"/>
  <c r="AI52" i="9"/>
  <c r="AJ52" i="9"/>
  <c r="AI53" i="9"/>
  <c r="AJ53" i="9"/>
  <c r="AI54" i="9"/>
  <c r="AJ54" i="9"/>
  <c r="AL23" i="19" l="1"/>
  <c r="AN22" i="19"/>
  <c r="AN13" i="19"/>
  <c r="AN14" i="19"/>
  <c r="AN15" i="19" s="1"/>
  <c r="AN21" i="19"/>
  <c r="AN23" i="19" l="1"/>
  <c r="J16" i="18" l="1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M13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K14" i="18" l="1"/>
  <c r="N14" i="18" s="1"/>
  <c r="H15" i="18"/>
  <c r="L13" i="18"/>
  <c r="O13" i="18" s="1"/>
  <c r="H12" i="18"/>
  <c r="H10" i="18"/>
  <c r="L7" i="18"/>
  <c r="H7" i="18"/>
  <c r="M7" i="18"/>
  <c r="F17" i="18"/>
  <c r="H11" i="18"/>
  <c r="H16" i="18"/>
  <c r="N16" i="18" s="1"/>
  <c r="G17" i="18"/>
  <c r="M15" i="18"/>
  <c r="H8" i="18"/>
  <c r="L15" i="18"/>
  <c r="H6" i="18"/>
  <c r="D17" i="18"/>
  <c r="O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O15" i="18" l="1"/>
  <c r="H17" i="18"/>
  <c r="AM21" i="13" l="1"/>
  <c r="AL21" i="13"/>
  <c r="AM14" i="13"/>
  <c r="J12" i="18" s="1"/>
  <c r="L12" i="18" s="1"/>
  <c r="AM13" i="13"/>
  <c r="AL13" i="13"/>
  <c r="AM22" i="13"/>
  <c r="AM23" i="13" s="1"/>
  <c r="AN13" i="13"/>
  <c r="AL4" i="13"/>
  <c r="AJ28" i="13"/>
  <c r="AI28" i="13"/>
  <c r="AJ27" i="13"/>
  <c r="AI27" i="13"/>
  <c r="AJ26" i="13"/>
  <c r="AI26" i="13"/>
  <c r="AJ25" i="13"/>
  <c r="AI25" i="13"/>
  <c r="AJ24" i="13"/>
  <c r="AI24" i="13"/>
  <c r="AJ23" i="13"/>
  <c r="AI23" i="13"/>
  <c r="AJ22" i="13"/>
  <c r="AI22" i="13"/>
  <c r="AJ21" i="13"/>
  <c r="AI21" i="13"/>
  <c r="AJ20" i="13"/>
  <c r="AI20" i="13"/>
  <c r="AJ19" i="13"/>
  <c r="AI19" i="13"/>
  <c r="AJ18" i="13"/>
  <c r="AI18" i="13"/>
  <c r="AJ17" i="13"/>
  <c r="AI17" i="13"/>
  <c r="AJ16" i="13"/>
  <c r="AI16" i="13"/>
  <c r="AJ15" i="13"/>
  <c r="AI15" i="13"/>
  <c r="AJ14" i="13"/>
  <c r="AI14" i="13"/>
  <c r="AJ13" i="13"/>
  <c r="AI13" i="13"/>
  <c r="AJ12" i="13"/>
  <c r="AI12" i="13"/>
  <c r="AJ11" i="13"/>
  <c r="AI11" i="13"/>
  <c r="AJ10" i="13"/>
  <c r="AI10" i="13"/>
  <c r="AJ9" i="13"/>
  <c r="AI9" i="13"/>
  <c r="AJ8" i="13"/>
  <c r="AI8" i="13"/>
  <c r="AJ7" i="13"/>
  <c r="AI7" i="13"/>
  <c r="AJ6" i="13"/>
  <c r="AI6" i="13"/>
  <c r="AJ5" i="13"/>
  <c r="AI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L14" i="13" l="1"/>
  <c r="AL15" i="13" s="1"/>
  <c r="AM15" i="13"/>
  <c r="AN21" i="13"/>
  <c r="AN14" i="13" l="1"/>
  <c r="AN15" i="13" s="1"/>
  <c r="AL22" i="13"/>
  <c r="AL23" i="13" s="1"/>
  <c r="I12" i="18"/>
  <c r="K12" i="18" s="1"/>
  <c r="N12" i="18" s="1"/>
  <c r="M12" i="18" l="1"/>
  <c r="O12" i="18" s="1"/>
  <c r="AN22" i="13"/>
  <c r="AN23" i="13" s="1"/>
  <c r="AM21" i="12"/>
  <c r="AL21" i="12"/>
  <c r="AM14" i="12"/>
  <c r="AM13" i="12"/>
  <c r="AL13" i="12"/>
  <c r="AM22" i="12"/>
  <c r="AM23" i="12" s="1"/>
  <c r="AL4" i="12"/>
  <c r="AJ24" i="12"/>
  <c r="AI24" i="12"/>
  <c r="AJ23" i="12"/>
  <c r="AI23" i="12"/>
  <c r="AJ22" i="12"/>
  <c r="AI22" i="12"/>
  <c r="AJ21" i="12"/>
  <c r="AI21" i="12"/>
  <c r="AJ20" i="12"/>
  <c r="AI20" i="12"/>
  <c r="AJ19" i="12"/>
  <c r="AI19" i="12"/>
  <c r="AJ18" i="12"/>
  <c r="AI18" i="12"/>
  <c r="AJ17" i="12"/>
  <c r="AI17" i="12"/>
  <c r="AJ16" i="12"/>
  <c r="AI16" i="12"/>
  <c r="AJ15" i="12"/>
  <c r="AI15" i="12"/>
  <c r="AJ14" i="12"/>
  <c r="AI14" i="12"/>
  <c r="AJ13" i="12"/>
  <c r="AI13" i="12"/>
  <c r="AJ12" i="12"/>
  <c r="AI12" i="12"/>
  <c r="AJ11" i="12"/>
  <c r="AI11" i="12"/>
  <c r="AJ10" i="12"/>
  <c r="AI10" i="12"/>
  <c r="AJ9" i="12"/>
  <c r="AI9" i="12"/>
  <c r="AJ8" i="12"/>
  <c r="AI8" i="12"/>
  <c r="AJ7" i="12"/>
  <c r="AI7" i="12"/>
  <c r="AJ6" i="12"/>
  <c r="AI6" i="12"/>
  <c r="AJ5" i="12"/>
  <c r="AI5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L14" i="12" l="1"/>
  <c r="AL15" i="12" s="1"/>
  <c r="AM15" i="12"/>
  <c r="J11" i="18"/>
  <c r="AN13" i="12"/>
  <c r="AN21" i="12"/>
  <c r="AL22" i="12" l="1"/>
  <c r="AN22" i="12" s="1"/>
  <c r="AN14" i="12"/>
  <c r="AN15" i="12" s="1"/>
  <c r="AL23" i="12"/>
  <c r="I11" i="18"/>
  <c r="M11" i="18" s="1"/>
  <c r="L11" i="18"/>
  <c r="O11" i="18" s="1"/>
  <c r="AN23" i="12"/>
  <c r="K11" i="18" l="1"/>
  <c r="N11" i="18" s="1"/>
  <c r="AM21" i="11"/>
  <c r="AL21" i="11"/>
  <c r="AL14" i="11"/>
  <c r="AM13" i="11"/>
  <c r="AL13" i="11"/>
  <c r="AN13" i="11" s="1"/>
  <c r="AL4" i="11"/>
  <c r="AJ22" i="11"/>
  <c r="AI22" i="11"/>
  <c r="AJ21" i="11"/>
  <c r="AI21" i="11"/>
  <c r="AJ20" i="11"/>
  <c r="AI20" i="11"/>
  <c r="AJ19" i="11"/>
  <c r="AI19" i="11"/>
  <c r="AJ18" i="11"/>
  <c r="AI18" i="11"/>
  <c r="AJ17" i="11"/>
  <c r="AI17" i="11"/>
  <c r="AJ16" i="11"/>
  <c r="AI16" i="11"/>
  <c r="AJ15" i="11"/>
  <c r="AI15" i="11"/>
  <c r="AJ14" i="11"/>
  <c r="AI14" i="11"/>
  <c r="AJ13" i="11"/>
  <c r="AI13" i="11"/>
  <c r="AJ12" i="11"/>
  <c r="AI12" i="11"/>
  <c r="AJ11" i="11"/>
  <c r="AI11" i="11"/>
  <c r="AJ10" i="11"/>
  <c r="AI10" i="11"/>
  <c r="AJ9" i="11"/>
  <c r="AI9" i="11"/>
  <c r="AJ8" i="11"/>
  <c r="AI8" i="11"/>
  <c r="AJ7" i="11"/>
  <c r="AI7" i="11"/>
  <c r="AJ6" i="11"/>
  <c r="AI6" i="11"/>
  <c r="AJ5" i="11"/>
  <c r="AI5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AM14" i="11" l="1"/>
  <c r="J10" i="18" s="1"/>
  <c r="L10" i="18" s="1"/>
  <c r="AL15" i="11"/>
  <c r="I10" i="18"/>
  <c r="AL22" i="11"/>
  <c r="AN21" i="11"/>
  <c r="AM15" i="11" l="1"/>
  <c r="AN14" i="11"/>
  <c r="AN15" i="11" s="1"/>
  <c r="AM22" i="11"/>
  <c r="AN22" i="11" s="1"/>
  <c r="K10" i="18"/>
  <c r="N10" i="18" s="1"/>
  <c r="M10" i="18"/>
  <c r="O10" i="18" s="1"/>
  <c r="AM13" i="10"/>
  <c r="AL13" i="10"/>
  <c r="AM21" i="10"/>
  <c r="AL21" i="10"/>
  <c r="AL4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J36" i="10"/>
  <c r="AI36" i="10"/>
  <c r="AJ35" i="10"/>
  <c r="AI35" i="10"/>
  <c r="AJ34" i="10"/>
  <c r="AI34" i="10"/>
  <c r="AJ33" i="10"/>
  <c r="AI33" i="10"/>
  <c r="AJ32" i="10"/>
  <c r="AI32" i="10"/>
  <c r="AJ31" i="10"/>
  <c r="AI31" i="10"/>
  <c r="AJ30" i="10"/>
  <c r="AI30" i="10"/>
  <c r="AJ29" i="10"/>
  <c r="AI29" i="10"/>
  <c r="AJ28" i="10"/>
  <c r="AI28" i="10"/>
  <c r="AJ27" i="10"/>
  <c r="AI27" i="10"/>
  <c r="AJ26" i="10"/>
  <c r="AI26" i="10"/>
  <c r="AJ25" i="10"/>
  <c r="AI25" i="10"/>
  <c r="AJ24" i="10"/>
  <c r="AI24" i="10"/>
  <c r="AJ23" i="10"/>
  <c r="AI23" i="10"/>
  <c r="AJ22" i="10"/>
  <c r="AI22" i="10"/>
  <c r="AJ21" i="10"/>
  <c r="AI21" i="10"/>
  <c r="AJ20" i="10"/>
  <c r="AI20" i="10"/>
  <c r="AJ19" i="10"/>
  <c r="AI19" i="10"/>
  <c r="AJ18" i="10"/>
  <c r="AI18" i="10"/>
  <c r="AJ17" i="10"/>
  <c r="AI17" i="10"/>
  <c r="AJ16" i="10"/>
  <c r="AI16" i="10"/>
  <c r="AJ15" i="10"/>
  <c r="AI15" i="10"/>
  <c r="AJ14" i="10"/>
  <c r="AI14" i="10"/>
  <c r="AJ13" i="10"/>
  <c r="AI13" i="10"/>
  <c r="AJ12" i="10"/>
  <c r="AI12" i="10"/>
  <c r="AJ11" i="10"/>
  <c r="AI11" i="10"/>
  <c r="AJ10" i="10"/>
  <c r="AI10" i="10"/>
  <c r="AJ9" i="10"/>
  <c r="AI9" i="10"/>
  <c r="AJ8" i="10"/>
  <c r="AI8" i="10"/>
  <c r="AJ7" i="10"/>
  <c r="AI7" i="10"/>
  <c r="AJ6" i="10"/>
  <c r="AI6" i="10"/>
  <c r="AJ5" i="10"/>
  <c r="AI5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M14" i="10" l="1"/>
  <c r="J9" i="18" s="1"/>
  <c r="L9" i="18" s="1"/>
  <c r="AL14" i="10"/>
  <c r="AL15" i="10" s="1"/>
  <c r="AN13" i="10"/>
  <c r="AN21" i="10"/>
  <c r="AM15" i="10" l="1"/>
  <c r="AM22" i="10"/>
  <c r="AM23" i="10" s="1"/>
  <c r="I9" i="18"/>
  <c r="K9" i="18" s="1"/>
  <c r="N9" i="18" s="1"/>
  <c r="AN14" i="10"/>
  <c r="AN15" i="10" s="1"/>
  <c r="AL22" i="10"/>
  <c r="AL23" i="10" s="1"/>
  <c r="M9" i="18"/>
  <c r="O9" i="18" s="1"/>
  <c r="AN22" i="10" l="1"/>
  <c r="AN23" i="10" s="1"/>
  <c r="AM21" i="9"/>
  <c r="AL21" i="9"/>
  <c r="AM13" i="9"/>
  <c r="AL13" i="9"/>
  <c r="AN13" i="9" s="1"/>
  <c r="AL4" i="9"/>
  <c r="AJ45" i="9"/>
  <c r="AI45" i="9"/>
  <c r="AJ44" i="9"/>
  <c r="AI44" i="9"/>
  <c r="AJ43" i="9"/>
  <c r="AI43" i="9"/>
  <c r="AJ42" i="9"/>
  <c r="AI42" i="9"/>
  <c r="AJ41" i="9"/>
  <c r="AI41" i="9"/>
  <c r="AJ40" i="9"/>
  <c r="AI40" i="9"/>
  <c r="AJ39" i="9"/>
  <c r="AI39" i="9"/>
  <c r="AJ38" i="9"/>
  <c r="AI38" i="9"/>
  <c r="AJ37" i="9"/>
  <c r="AI37" i="9"/>
  <c r="AJ36" i="9"/>
  <c r="AI36" i="9"/>
  <c r="AJ35" i="9"/>
  <c r="AI35" i="9"/>
  <c r="AJ34" i="9"/>
  <c r="AI34" i="9"/>
  <c r="AJ33" i="9"/>
  <c r="AI33" i="9"/>
  <c r="AJ32" i="9"/>
  <c r="AI32" i="9"/>
  <c r="AJ31" i="9"/>
  <c r="AI31" i="9"/>
  <c r="AJ30" i="9"/>
  <c r="AI30" i="9"/>
  <c r="AJ29" i="9"/>
  <c r="AI29" i="9"/>
  <c r="AJ28" i="9"/>
  <c r="AI28" i="9"/>
  <c r="AJ27" i="9"/>
  <c r="AI27" i="9"/>
  <c r="AJ26" i="9"/>
  <c r="AI26" i="9"/>
  <c r="AJ25" i="9"/>
  <c r="AI25" i="9"/>
  <c r="AJ24" i="9"/>
  <c r="AI24" i="9"/>
  <c r="AJ23" i="9"/>
  <c r="AI23" i="9"/>
  <c r="AJ22" i="9"/>
  <c r="AI22" i="9"/>
  <c r="AJ21" i="9"/>
  <c r="AI21" i="9"/>
  <c r="AJ20" i="9"/>
  <c r="AI20" i="9"/>
  <c r="AJ19" i="9"/>
  <c r="AI19" i="9"/>
  <c r="AJ18" i="9"/>
  <c r="AI18" i="9"/>
  <c r="AJ17" i="9"/>
  <c r="AI17" i="9"/>
  <c r="AJ16" i="9"/>
  <c r="AI16" i="9"/>
  <c r="AJ15" i="9"/>
  <c r="AI15" i="9"/>
  <c r="AJ14" i="9"/>
  <c r="AI14" i="9"/>
  <c r="AJ13" i="9"/>
  <c r="AI13" i="9"/>
  <c r="AJ12" i="9"/>
  <c r="AI12" i="9"/>
  <c r="AJ11" i="9"/>
  <c r="AI11" i="9"/>
  <c r="AJ10" i="9"/>
  <c r="AI10" i="9"/>
  <c r="AJ9" i="9"/>
  <c r="AI9" i="9"/>
  <c r="AJ8" i="9"/>
  <c r="AI8" i="9"/>
  <c r="AJ7" i="9"/>
  <c r="AI7" i="9"/>
  <c r="AJ6" i="9"/>
  <c r="AI6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AL14" i="9" l="1"/>
  <c r="AL22" i="9" s="1"/>
  <c r="AM14" i="9"/>
  <c r="J8" i="18" s="1"/>
  <c r="L8" i="18" s="1"/>
  <c r="I8" i="18"/>
  <c r="AN21" i="9"/>
  <c r="AL15" i="9" l="1"/>
  <c r="AM15" i="9"/>
  <c r="AN14" i="9"/>
  <c r="AN15" i="9" s="1"/>
  <c r="AM22" i="9"/>
  <c r="AM23" i="9" s="1"/>
  <c r="M8" i="18"/>
  <c r="K8" i="18"/>
  <c r="N8" i="18" s="1"/>
  <c r="O8" i="18"/>
  <c r="AL23" i="9"/>
  <c r="AN22" i="9" l="1"/>
  <c r="AN23" i="9" s="1"/>
  <c r="AM21" i="5"/>
  <c r="AL21" i="5"/>
  <c r="AM13" i="5"/>
  <c r="AL13" i="5"/>
  <c r="AL14" i="5"/>
  <c r="I6" i="18" s="1"/>
  <c r="AL4" i="5"/>
  <c r="AJ40" i="5"/>
  <c r="AI40" i="5"/>
  <c r="AJ39" i="5"/>
  <c r="AI39" i="5"/>
  <c r="AJ38" i="5"/>
  <c r="AI38" i="5"/>
  <c r="AJ37" i="5"/>
  <c r="AI37" i="5"/>
  <c r="AJ36" i="5"/>
  <c r="AI36" i="5"/>
  <c r="AJ35" i="5"/>
  <c r="AI35" i="5"/>
  <c r="AJ34" i="5"/>
  <c r="AI34" i="5"/>
  <c r="AJ33" i="5"/>
  <c r="AI33" i="5"/>
  <c r="AJ32" i="5"/>
  <c r="AI32" i="5"/>
  <c r="AJ31" i="5"/>
  <c r="AI31" i="5"/>
  <c r="AJ30" i="5"/>
  <c r="AI30" i="5"/>
  <c r="AJ29" i="5"/>
  <c r="AI29" i="5"/>
  <c r="AJ28" i="5"/>
  <c r="AI28" i="5"/>
  <c r="AJ27" i="5"/>
  <c r="AI27" i="5"/>
  <c r="AJ26" i="5"/>
  <c r="AI26" i="5"/>
  <c r="AJ25" i="5"/>
  <c r="AI25" i="5"/>
  <c r="AJ24" i="5"/>
  <c r="AI24" i="5"/>
  <c r="AJ23" i="5"/>
  <c r="AI23" i="5"/>
  <c r="AJ22" i="5"/>
  <c r="AI22" i="5"/>
  <c r="AJ21" i="5"/>
  <c r="AI21" i="5"/>
  <c r="AJ20" i="5"/>
  <c r="AI20" i="5"/>
  <c r="AJ19" i="5"/>
  <c r="AI19" i="5"/>
  <c r="AJ18" i="5"/>
  <c r="AI18" i="5"/>
  <c r="AJ17" i="5"/>
  <c r="AI17" i="5"/>
  <c r="AJ16" i="5"/>
  <c r="AI16" i="5"/>
  <c r="AJ15" i="5"/>
  <c r="AI15" i="5"/>
  <c r="AJ14" i="5"/>
  <c r="AI14" i="5"/>
  <c r="AJ13" i="5"/>
  <c r="AI13" i="5"/>
  <c r="AJ12" i="5"/>
  <c r="AI12" i="5"/>
  <c r="AJ11" i="5"/>
  <c r="AI11" i="5"/>
  <c r="AJ10" i="5"/>
  <c r="AI10" i="5"/>
  <c r="AJ9" i="5"/>
  <c r="AI9" i="5"/>
  <c r="AJ8" i="5"/>
  <c r="AI8" i="5"/>
  <c r="AJ7" i="5"/>
  <c r="AI7" i="5"/>
  <c r="AJ6" i="5"/>
  <c r="AI6" i="5"/>
  <c r="AJ5" i="5"/>
  <c r="AI5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K6" i="18" l="1"/>
  <c r="M6" i="18"/>
  <c r="I17" i="18"/>
  <c r="AM14" i="5"/>
  <c r="J6" i="18" s="1"/>
  <c r="AN13" i="5"/>
  <c r="AL15" i="5"/>
  <c r="AL22" i="5"/>
  <c r="AL23" i="5" s="1"/>
  <c r="AN21" i="5"/>
  <c r="L6" i="18" l="1"/>
  <c r="O6" i="18" s="1"/>
  <c r="O17" i="18" s="1"/>
  <c r="J17" i="18"/>
  <c r="I18" i="18"/>
  <c r="M17" i="18"/>
  <c r="AN14" i="5"/>
  <c r="AN15" i="5" s="1"/>
  <c r="AM15" i="5"/>
  <c r="AM22" i="5"/>
  <c r="AM23" i="5" s="1"/>
  <c r="N6" i="18"/>
  <c r="N17" i="18" s="1"/>
  <c r="K17" i="18"/>
  <c r="K18" i="18" s="1"/>
  <c r="AN22" i="5" l="1"/>
  <c r="AN23" i="5" s="1"/>
  <c r="L17" i="18"/>
  <c r="O18" i="18" s="1"/>
  <c r="J18" i="18"/>
</calcChain>
</file>

<file path=xl/sharedStrings.xml><?xml version="1.0" encoding="utf-8"?>
<sst xmlns="http://schemas.openxmlformats.org/spreadsheetml/2006/main" count="6798" uniqueCount="409">
  <si>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</si>
  <si>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</si>
  <si>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</si>
  <si>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</si>
  <si>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</si>
  <si>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</si>
  <si>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</si>
  <si>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</si>
  <si>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</si>
  <si>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</si>
  <si>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</si>
  <si>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</si>
  <si>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</si>
  <si>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</si>
  <si>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</si>
  <si>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</si>
  <si>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</si>
  <si>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</si>
  <si>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</si>
  <si>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</si>
  <si>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</si>
  <si>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</si>
  <si>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</si>
  <si>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</si>
  <si>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</si>
  <si>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</si>
  <si>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</si>
  <si>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</si>
  <si>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Monthly Attendence Month of November-2024</t>
  </si>
  <si>
    <t>SUNDAY - SUNDAY - SUNDAY - SUNDAY - SUNDAY- SUNDAY</t>
  </si>
  <si>
    <t>IQBAL DAY - IQBAL DAY - IQBAL DAY - IQBAL DAY - IQBAL DAY</t>
  </si>
  <si>
    <t>PTM - PTM - PTM - PTM - PTM --TM - PTM - PTM - PTM - PTM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</si>
  <si>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</si>
  <si>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</si>
  <si>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</si>
  <si>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</si>
  <si>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</si>
  <si>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</si>
  <si>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</si>
  <si>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</si>
  <si>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</si>
  <si>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</si>
  <si>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</si>
  <si>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</si>
  <si>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</si>
  <si>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</si>
  <si>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</si>
  <si>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</si>
  <si>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</si>
  <si>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</si>
  <si>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SUNDAY - SUNDAY - SUNDAY - SUNDAY - SUNDAY - SUNDAY - SUNDAY - SUNDAY - SUNDAY</t>
  </si>
  <si>
    <t xml:space="preserve"> IQBAL DAY - IQBAL DAY -  IQBAL DAY - IQBAL DAY -  IQBAL DAY</t>
  </si>
  <si>
    <t>Asad Ali</t>
  </si>
  <si>
    <t>Arsalan</t>
  </si>
  <si>
    <t>Faheem</t>
  </si>
  <si>
    <t>Muzammil</t>
  </si>
  <si>
    <t>Goverment High School (SJCHS)</t>
  </si>
  <si>
    <t>Two</t>
  </si>
  <si>
    <t xml:space="preserve">SUNDAY - SUNDAY - SUNDAY - SUNDAY - SUNDAY - SUNDAY </t>
  </si>
  <si>
    <t>Abdul Hafeez</t>
  </si>
  <si>
    <t>M. Ismail</t>
  </si>
  <si>
    <t>Muhammad Ali</t>
  </si>
  <si>
    <t>Zahid Ali</t>
  </si>
  <si>
    <t>Three</t>
  </si>
  <si>
    <t>SUNDAY - SUNDAY - SUNDAY - SUNDAY - SUNDAY - SUNDAY</t>
  </si>
  <si>
    <t>IQBAL DAY- IQBAL DAY - IQBAL DAY- IQBAL DAY - IQBAL DAY</t>
  </si>
  <si>
    <t>Bushra</t>
  </si>
  <si>
    <t>Azan</t>
  </si>
  <si>
    <t>Zeeshan</t>
  </si>
  <si>
    <t>M. Hussain</t>
  </si>
  <si>
    <t>Four</t>
  </si>
  <si>
    <t>p</t>
  </si>
  <si>
    <t>Nazeer Ali</t>
  </si>
  <si>
    <t>Adnan</t>
  </si>
  <si>
    <t>Bisma</t>
  </si>
  <si>
    <t>Basheer Ahmed</t>
  </si>
  <si>
    <t>Manzoor Ahmed</t>
  </si>
  <si>
    <t>Five</t>
  </si>
  <si>
    <t>SUNDAY - SUNDAY - SUNDAY - SUNDAY - SUNDAY</t>
  </si>
  <si>
    <t>IQBAL DAY - IQBAL DAY - IQBAL DAY - IQBAL DAY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</si>
  <si>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</si>
  <si>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</si>
  <si>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</si>
  <si>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</si>
  <si>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</si>
  <si>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</si>
  <si>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</si>
  <si>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</si>
  <si>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</si>
  <si>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</si>
  <si>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</si>
  <si>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</si>
  <si>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</si>
  <si>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</si>
  <si>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</si>
  <si>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</si>
  <si>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</si>
  <si>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</si>
  <si>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</si>
  <si>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</si>
  <si>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</si>
  <si>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</si>
  <si>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</si>
  <si>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</si>
  <si>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</si>
  <si>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</si>
  <si>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</si>
  <si>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</si>
  <si>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</si>
  <si>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</si>
  <si>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</si>
  <si>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</si>
  <si>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</si>
  <si>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Abdullah Panwar</t>
  </si>
  <si>
    <t>Hammad Ullah</t>
  </si>
  <si>
    <t>Muhammad Saleh</t>
  </si>
  <si>
    <t>Aamir</t>
  </si>
  <si>
    <t>Sher Chand</t>
  </si>
  <si>
    <t>Sartaj</t>
  </si>
  <si>
    <t>Dileep Kumar</t>
  </si>
  <si>
    <t xml:space="preserve">Narayon </t>
  </si>
  <si>
    <t>Ranja Ram</t>
  </si>
  <si>
    <t>Nali Methal</t>
  </si>
  <si>
    <t>Zameer Ali</t>
  </si>
  <si>
    <t>Muhammad Ashraf</t>
  </si>
  <si>
    <t>Tahir Khan</t>
  </si>
  <si>
    <t>Shahid Khan</t>
  </si>
  <si>
    <t>Tariq</t>
  </si>
  <si>
    <t>Naqeeb Zaman</t>
  </si>
  <si>
    <t>Muhammad Hashim</t>
  </si>
  <si>
    <t>Ajmal Khan</t>
  </si>
  <si>
    <t>Abbas</t>
  </si>
  <si>
    <t>Ibrahim</t>
  </si>
  <si>
    <t>Jabbar Ali</t>
  </si>
  <si>
    <t>Muhammad Hussain</t>
  </si>
  <si>
    <t>Muhammad Gul Hassan</t>
  </si>
  <si>
    <t>Gul Sher</t>
  </si>
  <si>
    <t>Saif Ur Rehman</t>
  </si>
  <si>
    <t>Majid</t>
  </si>
  <si>
    <t>Abdul Majeed</t>
  </si>
  <si>
    <t>Mureed Ali</t>
  </si>
  <si>
    <t>Sadaf Bibi</t>
  </si>
  <si>
    <t>Aashiq Ali</t>
  </si>
  <si>
    <t>Andeesha</t>
  </si>
  <si>
    <t>Rabeela</t>
  </si>
  <si>
    <t>Rukhsar</t>
  </si>
  <si>
    <t>Missri</t>
  </si>
  <si>
    <t>Shiwani</t>
  </si>
  <si>
    <t>Ashoke</t>
  </si>
  <si>
    <t>Saneera Bibi</t>
  </si>
  <si>
    <t>Muslim</t>
  </si>
  <si>
    <t>Benazeer</t>
  </si>
  <si>
    <t>Wazeer</t>
  </si>
  <si>
    <t>Seri Devi</t>
  </si>
  <si>
    <t>Ayaz</t>
  </si>
  <si>
    <t>Shazma</t>
  </si>
  <si>
    <t>Muhammad Zahid</t>
  </si>
  <si>
    <t>Izzat Khan</t>
  </si>
  <si>
    <t>Sanjana</t>
  </si>
  <si>
    <t>Nadeem Chand</t>
  </si>
  <si>
    <t>Bindu</t>
  </si>
  <si>
    <t>Addu</t>
  </si>
  <si>
    <t>Khushi</t>
  </si>
  <si>
    <t>Manthar</t>
  </si>
  <si>
    <t>Aarti</t>
  </si>
  <si>
    <t>Zubair Ali</t>
  </si>
  <si>
    <t>Sher Alam</t>
  </si>
  <si>
    <t>Amir Shah</t>
  </si>
  <si>
    <t>Khalil Ahmed</t>
  </si>
  <si>
    <t>Fawad Khan</t>
  </si>
  <si>
    <t>Baroz Khan</t>
  </si>
  <si>
    <t>Sajid Mehmood</t>
  </si>
  <si>
    <t>Abu Bakar Sidique</t>
  </si>
  <si>
    <t>Muhammad Muslim</t>
  </si>
  <si>
    <t>Muhammad Hasnain</t>
  </si>
  <si>
    <t>Hazar Khan</t>
  </si>
  <si>
    <t>Muhammad Sultan</t>
  </si>
  <si>
    <t>Rahib</t>
  </si>
  <si>
    <t>Muhammad Muavia</t>
  </si>
  <si>
    <t>Basheer Afzal</t>
  </si>
  <si>
    <t>Asad Ullah</t>
  </si>
  <si>
    <t>Mir Muhammad</t>
  </si>
  <si>
    <t>Naqeem Ullah</t>
  </si>
  <si>
    <t>Muhammad Faizan</t>
  </si>
  <si>
    <t>Jameel Ahmed</t>
  </si>
  <si>
    <t>Muhammad Sufyan</t>
  </si>
  <si>
    <t>Nadeem Ahmed</t>
  </si>
  <si>
    <t>Muhammad Yaseen</t>
  </si>
  <si>
    <t>Ghos Bukhsh</t>
  </si>
  <si>
    <t>Rahul</t>
  </si>
  <si>
    <t>Ramesh</t>
  </si>
  <si>
    <t>Rehan</t>
  </si>
  <si>
    <t>Nawaz Ali</t>
  </si>
  <si>
    <t>Anesh Kumar</t>
  </si>
  <si>
    <t>Muhammad Arsalan Khan</t>
  </si>
  <si>
    <t>Muhammad Rehman</t>
  </si>
  <si>
    <t>Tanveer</t>
  </si>
  <si>
    <t>Adu</t>
  </si>
  <si>
    <t>Kashif</t>
  </si>
  <si>
    <t>Siraj Khan</t>
  </si>
  <si>
    <t>Muhammad Ullah</t>
  </si>
  <si>
    <t>Nemat</t>
  </si>
  <si>
    <t>Ali Abbas</t>
  </si>
  <si>
    <t>Sohra</t>
  </si>
  <si>
    <t>Sagar</t>
  </si>
  <si>
    <t>Rukesh</t>
  </si>
  <si>
    <t>Meena</t>
  </si>
  <si>
    <t>Mahashiv</t>
  </si>
  <si>
    <t>Kiran</t>
  </si>
  <si>
    <t>Sadia Bibi</t>
  </si>
  <si>
    <t>Areesha</t>
  </si>
  <si>
    <t>Misra</t>
  </si>
  <si>
    <t>Gul Hassan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</si>
  <si>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</si>
  <si>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</si>
  <si>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</si>
  <si>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</si>
  <si>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</si>
  <si>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</si>
  <si>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</si>
  <si>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</si>
  <si>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</si>
  <si>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</si>
  <si>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</si>
  <si>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Sanam Batool</t>
  </si>
  <si>
    <t>Khalid Hussain Khaskheli</t>
  </si>
  <si>
    <t>Sajjad</t>
  </si>
  <si>
    <t>Hassan Raza</t>
  </si>
  <si>
    <t>Muhammad Saleem</t>
  </si>
  <si>
    <t>Waseem</t>
  </si>
  <si>
    <t>Wassan</t>
  </si>
  <si>
    <t>Narayan</t>
  </si>
  <si>
    <t>Dana</t>
  </si>
  <si>
    <t>Magla</t>
  </si>
  <si>
    <t>Muhammad Umair</t>
  </si>
  <si>
    <t>Habib Ullah</t>
  </si>
  <si>
    <t>Muhammad Yaqoob</t>
  </si>
  <si>
    <t>Borya</t>
  </si>
  <si>
    <t>Ankit</t>
  </si>
  <si>
    <t>Sanjeet</t>
  </si>
  <si>
    <t>Muhammad Irfan</t>
  </si>
  <si>
    <t>Moosa</t>
  </si>
  <si>
    <t>Akhtar Khan</t>
  </si>
  <si>
    <t>Adil Azad</t>
  </si>
  <si>
    <t>Shiraz</t>
  </si>
  <si>
    <t>Muhammad Saeed</t>
  </si>
  <si>
    <t>Naik Badshah</t>
  </si>
  <si>
    <t>Ghulam Hussain</t>
  </si>
  <si>
    <t>Waqar Ahmed</t>
  </si>
  <si>
    <t>Sheroz Jan</t>
  </si>
  <si>
    <t>Muhammad Hayat</t>
  </si>
  <si>
    <t>Mairaj</t>
  </si>
  <si>
    <t>Mamtaz Ali</t>
  </si>
  <si>
    <t>Iman</t>
  </si>
  <si>
    <t>Anees</t>
  </si>
  <si>
    <t>Waseema</t>
  </si>
  <si>
    <t>Allah Bachayo</t>
  </si>
  <si>
    <t>Pirya Farooq Sarjo</t>
  </si>
  <si>
    <t>Muhammad Shoaib</t>
  </si>
  <si>
    <t>Saeed Ur Rehman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</si>
  <si>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</si>
  <si>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</si>
  <si>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</si>
  <si>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</si>
  <si>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</si>
  <si>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</si>
  <si>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</si>
  <si>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</si>
  <si>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Nadia</t>
  </si>
  <si>
    <t>Zunera Rani</t>
  </si>
  <si>
    <t>Muhammad Waseem</t>
  </si>
  <si>
    <t>Tehzeeba</t>
  </si>
  <si>
    <t>Inayat Ali</t>
  </si>
  <si>
    <t>Hajira</t>
  </si>
  <si>
    <t>Ejaz Ali</t>
  </si>
  <si>
    <t>Shaista Bibi</t>
  </si>
  <si>
    <t>Mihad</t>
  </si>
  <si>
    <t>Abdul Waheed</t>
  </si>
  <si>
    <t>Bindiya</t>
  </si>
  <si>
    <t>Naresha Kumari</t>
  </si>
  <si>
    <t>Dildar</t>
  </si>
  <si>
    <t>Kareena</t>
  </si>
  <si>
    <t>Bibi Gul</t>
  </si>
  <si>
    <t>Nemat Ullah</t>
  </si>
  <si>
    <t>Misri</t>
  </si>
  <si>
    <t>Gul Mubashira</t>
  </si>
  <si>
    <t>Sumaiya</t>
  </si>
  <si>
    <t>Muhammad Rafeeque</t>
  </si>
  <si>
    <t>Ghawa Ram</t>
  </si>
  <si>
    <t>Khalil ahmed</t>
  </si>
  <si>
    <t>Arman</t>
  </si>
  <si>
    <t>Zubair Ahmed</t>
  </si>
  <si>
    <t>Naveed Hussain</t>
  </si>
  <si>
    <t>Kaleem Ullah</t>
  </si>
  <si>
    <t>Amjad</t>
  </si>
  <si>
    <t>Ghulam Umar Abdul Rehman</t>
  </si>
  <si>
    <t>Ghulam Rabbani</t>
  </si>
  <si>
    <t>Mudassir Shah</t>
  </si>
  <si>
    <t>Talha</t>
  </si>
  <si>
    <t>Haneef Ullah</t>
  </si>
  <si>
    <t>Muhammad Noman</t>
  </si>
  <si>
    <t>Naresh</t>
  </si>
  <si>
    <t>Veer Wazir</t>
  </si>
  <si>
    <t>Wazir Mil</t>
  </si>
  <si>
    <t>Wishaal</t>
  </si>
  <si>
    <t>Shah Jahan</t>
  </si>
  <si>
    <t>Liaqat Ali Brohi</t>
  </si>
  <si>
    <t>Siraj</t>
  </si>
  <si>
    <t>Murtaza</t>
  </si>
  <si>
    <t>Najb Uddin</t>
  </si>
  <si>
    <t>Haseeb Ullah</t>
  </si>
  <si>
    <t>Wahid Bukhsh</t>
  </si>
  <si>
    <t>Zubair</t>
  </si>
  <si>
    <t>Gul Muhammad</t>
  </si>
  <si>
    <t>Nadir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</si>
  <si>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</si>
  <si>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</si>
  <si>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</si>
  <si>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</si>
  <si>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</si>
  <si>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</si>
  <si>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</si>
  <si>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</si>
  <si>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Ghaffar</t>
  </si>
  <si>
    <t>Shah Hussain</t>
  </si>
  <si>
    <t>Muhammad Zubair</t>
  </si>
  <si>
    <t>Iqra Bibi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</si>
  <si>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</si>
  <si>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</si>
  <si>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</si>
  <si>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</si>
  <si>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</si>
  <si>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</si>
  <si>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</si>
  <si>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Malala</t>
  </si>
  <si>
    <t>Behroz Khan</t>
  </si>
  <si>
    <t>Komal</t>
  </si>
  <si>
    <t>Paras Batool</t>
  </si>
  <si>
    <t>Sheraz Ali</t>
  </si>
  <si>
    <t>Sapna</t>
  </si>
  <si>
    <t>Zubaida</t>
  </si>
  <si>
    <t>Bushra Batool</t>
  </si>
  <si>
    <t>Jameela</t>
  </si>
  <si>
    <t>Abdul Rehman Jatoi</t>
  </si>
  <si>
    <t>Kainat</t>
  </si>
  <si>
    <t>Kulsoom Ali</t>
  </si>
  <si>
    <t>Ali Hassan</t>
  </si>
  <si>
    <t>Asadullah</t>
  </si>
  <si>
    <t>Aziz</t>
  </si>
  <si>
    <t>Ahmed Ullah</t>
  </si>
  <si>
    <t>Abdul Habib</t>
  </si>
  <si>
    <t>Khuda Bukhsh</t>
  </si>
  <si>
    <t>Afaq Hussain</t>
  </si>
  <si>
    <t>Ali Hasan</t>
  </si>
  <si>
    <t>Shayan</t>
  </si>
  <si>
    <t>Lachhan</t>
  </si>
  <si>
    <t>Moliyo</t>
  </si>
  <si>
    <t>Sher Zaman</t>
  </si>
  <si>
    <t>Sharmeela</t>
  </si>
  <si>
    <t>Nabeela</t>
  </si>
  <si>
    <t>Shabana Naaz</t>
  </si>
  <si>
    <t>Kanwal</t>
  </si>
  <si>
    <t>Nasir Ali</t>
  </si>
  <si>
    <t>Sadia</t>
  </si>
  <si>
    <t>Faisal Raza</t>
  </si>
  <si>
    <t>Muhammad Ismail</t>
  </si>
  <si>
    <t>Shakir Hussain</t>
  </si>
  <si>
    <t xml:space="preserve">Abdullah 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</si>
  <si>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</si>
  <si>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</si>
  <si>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</si>
  <si>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</si>
  <si>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</si>
  <si>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</si>
  <si>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</si>
  <si>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</si>
  <si>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</si>
  <si>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</si>
  <si>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</si>
  <si>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</si>
  <si>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Mahnoor</t>
  </si>
  <si>
    <t>Aliya</t>
  </si>
  <si>
    <t>Bashir Ahmed</t>
  </si>
  <si>
    <t>Mehek</t>
  </si>
  <si>
    <t>Afshan Naaz</t>
  </si>
  <si>
    <t>Kamran</t>
  </si>
  <si>
    <t>Bahram</t>
  </si>
  <si>
    <t>Zakir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</si>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</sst>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/>
  </cellStyleXfs>
  <cellXfs count="12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0" fillId="4" borderId="2" xfId="0" applyFill="1" applyBorder="1" applyAlignment="1">
      <alignment vertical="center" textRotation="255"/>
    </xf>
    <xf numFmtId="0" fontId="12" fillId="0" borderId="3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9" fontId="13" fillId="0" borderId="5" xfId="1" applyFont="1" applyFill="1" applyBorder="1" applyAlignment="1">
      <alignment horizontal="center" vertical="center"/>
    </xf>
    <xf numFmtId="9" fontId="13" fillId="0" borderId="3" xfId="1" applyFont="1" applyFill="1" applyBorder="1" applyAlignment="1">
      <alignment horizontal="center" vertical="center"/>
    </xf>
    <xf numFmtId="9" fontId="13" fillId="0" borderId="4" xfId="1" applyFont="1" applyFill="1" applyBorder="1" applyAlignment="1">
      <alignment horizontal="center" vertical="center"/>
    </xf>
    <xf numFmtId="9" fontId="13" fillId="4" borderId="16" xfId="1" applyFont="1" applyFill="1" applyBorder="1"/>
    <xf numFmtId="9" fontId="13" fillId="0" borderId="19" xfId="1" applyFont="1" applyFill="1" applyBorder="1" applyAlignment="1">
      <alignment horizontal="center" vertical="center"/>
    </xf>
    <xf numFmtId="9" fontId="13" fillId="4" borderId="20" xfId="1" applyFont="1" applyFill="1" applyBorder="1"/>
    <xf numFmtId="0" fontId="12" fillId="0" borderId="2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9" fontId="13" fillId="0" borderId="27" xfId="1" applyFont="1" applyFill="1" applyBorder="1" applyAlignment="1">
      <alignment horizontal="center" vertical="center"/>
    </xf>
    <xf numFmtId="9" fontId="13" fillId="0" borderId="2" xfId="1" applyFont="1" applyFill="1" applyBorder="1" applyAlignment="1">
      <alignment horizontal="center" vertical="center"/>
    </xf>
    <xf numFmtId="9" fontId="13" fillId="0" borderId="23" xfId="1" applyFont="1" applyFill="1" applyBorder="1" applyAlignment="1">
      <alignment horizontal="center" vertical="center"/>
    </xf>
    <xf numFmtId="9" fontId="13" fillId="4" borderId="26" xfId="1" applyFont="1" applyFill="1" applyBorder="1"/>
    <xf numFmtId="0" fontId="14" fillId="0" borderId="15" xfId="0" applyFont="1" applyBorder="1" applyAlignment="1">
      <alignment horizontal="center"/>
    </xf>
    <xf numFmtId="0" fontId="12" fillId="0" borderId="11" xfId="0" applyFont="1" applyBorder="1"/>
    <xf numFmtId="0" fontId="14" fillId="0" borderId="11" xfId="0" applyFont="1" applyBorder="1" applyAlignment="1">
      <alignment horizontal="center"/>
    </xf>
    <xf numFmtId="9" fontId="13" fillId="0" borderId="11" xfId="1" applyFont="1" applyFill="1" applyBorder="1" applyAlignment="1">
      <alignment horizontal="center" vertical="center"/>
    </xf>
    <xf numFmtId="9" fontId="13" fillId="4" borderId="14" xfId="1" applyFont="1" applyFill="1" applyBorder="1"/>
    <xf numFmtId="0" fontId="15" fillId="0" borderId="18" xfId="0" applyFont="1" applyBorder="1" applyAlignment="1">
      <alignment horizontal="center"/>
    </xf>
    <xf numFmtId="9" fontId="15" fillId="0" borderId="19" xfId="1" applyFont="1" applyFill="1" applyBorder="1" applyAlignment="1">
      <alignment horizontal="center"/>
    </xf>
    <xf numFmtId="9" fontId="16" fillId="0" borderId="19" xfId="1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/>
    </xf>
    <xf numFmtId="9" fontId="16" fillId="0" borderId="21" xfId="1" applyFont="1" applyFill="1" applyBorder="1" applyAlignment="1">
      <alignment horizontal="center" vertical="center" wrapText="1"/>
    </xf>
    <xf numFmtId="9" fontId="13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 wrapText="1"/>
    </xf>
    <xf numFmtId="9" fontId="16" fillId="0" borderId="20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4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2" fillId="0" borderId="6" xfId="0" applyFont="1" applyBorder="1"/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7" xfId="1" applyFont="1" applyFill="1" applyBorder="1" applyAlignment="1">
      <alignment horizontal="center" vertical="center"/>
    </xf>
    <xf numFmtId="9" fontId="13" fillId="0" borderId="6" xfId="1" applyFont="1" applyFill="1" applyBorder="1" applyAlignment="1">
      <alignment horizontal="center" vertical="center"/>
    </xf>
    <xf numFmtId="9" fontId="13" fillId="0" borderId="17" xfId="1" applyFont="1" applyFill="1" applyBorder="1" applyAlignment="1">
      <alignment horizontal="center" vertical="center"/>
    </xf>
    <xf numFmtId="9" fontId="13" fillId="4" borderId="34" xfId="1" applyFont="1" applyFill="1" applyBorder="1"/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3" fillId="6" borderId="33" xfId="0" applyFont="1" applyFill="1" applyBorder="1"/>
    <xf numFmtId="0" fontId="3" fillId="6" borderId="6" xfId="0" applyFont="1" applyFill="1" applyBorder="1"/>
    <xf numFmtId="0" fontId="3" fillId="6" borderId="34" xfId="0" applyFont="1" applyFill="1" applyBorder="1"/>
    <xf numFmtId="0" fontId="3" fillId="6" borderId="22" xfId="0" applyFont="1" applyFill="1" applyBorder="1"/>
    <xf numFmtId="0" fontId="3" fillId="6" borderId="3" xfId="0" applyFont="1" applyFill="1" applyBorder="1"/>
    <xf numFmtId="0" fontId="3" fillId="6" borderId="16" xfId="0" applyFont="1" applyFill="1" applyBorder="1"/>
    <xf numFmtId="0" fontId="3" fillId="6" borderId="25" xfId="0" applyFont="1" applyFill="1" applyBorder="1"/>
    <xf numFmtId="0" fontId="3" fillId="6" borderId="2" xfId="0" applyFont="1" applyFill="1" applyBorder="1"/>
    <xf numFmtId="0" fontId="3" fillId="6" borderId="26" xfId="0" applyFont="1" applyFill="1" applyBorder="1"/>
    <xf numFmtId="0" fontId="14" fillId="6" borderId="15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8" fillId="7" borderId="6" xfId="2" applyFont="1" applyFill="1" applyBorder="1"/>
    <xf numFmtId="0" fontId="18" fillId="0" borderId="6" xfId="2" applyFont="1" applyBorder="1"/>
    <xf numFmtId="0" fontId="18" fillId="0" borderId="3" xfId="2" applyFont="1" applyBorder="1"/>
    <xf numFmtId="0" fontId="18" fillId="0" borderId="7" xfId="2" applyFont="1" applyBorder="1"/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" fontId="11" fillId="0" borderId="29" xfId="0" applyNumberFormat="1" applyFont="1" applyBorder="1" applyAlignment="1">
      <alignment horizontal="center"/>
    </xf>
    <xf numFmtId="17" fontId="11" fillId="0" borderId="12" xfId="0" applyNumberFormat="1" applyFont="1" applyBorder="1" applyAlignment="1">
      <alignment horizontal="center"/>
    </xf>
    <xf numFmtId="17" fontId="11" fillId="0" borderId="11" xfId="0" applyNumberFormat="1" applyFont="1" applyBorder="1" applyAlignment="1">
      <alignment horizontal="center"/>
    </xf>
    <xf numFmtId="17" fontId="11" fillId="0" borderId="13" xfId="0" applyNumberFormat="1" applyFont="1" applyBorder="1" applyAlignment="1">
      <alignment horizontal="center"/>
    </xf>
    <xf numFmtId="17" fontId="11" fillId="0" borderId="14" xfId="0" applyNumberFormat="1" applyFont="1" applyBorder="1" applyAlignment="1">
      <alignment horizont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3" borderId="3" xfId="0" applyFont="1" applyFill="1" applyBorder="1" applyAlignment="1">
      <alignment horizontal="center" textRotation="255"/>
    </xf>
    <xf numFmtId="0" fontId="2" fillId="3" borderId="3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9" xfId="0" applyFont="1" applyFill="1" applyBorder="1" applyAlignment="1">
      <alignment horizontal="center" vertical="center" textRotation="255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textRotation="255"/>
    </xf>
    <xf numFmtId="0" fontId="2" fillId="0" borderId="38" xfId="0" applyFont="1" applyBorder="1" applyAlignment="1">
      <alignment horizontal="center" vertical="center" textRotation="255"/>
    </xf>
    <xf numFmtId="0" fontId="2" fillId="0" borderId="27" xfId="0" applyFont="1" applyBorder="1" applyAlignment="1">
      <alignment horizontal="center" vertical="center" textRotation="255"/>
    </xf>
    <xf numFmtId="0" fontId="2" fillId="0" borderId="39" xfId="0" applyFont="1" applyBorder="1" applyAlignment="1">
      <alignment horizontal="center" vertical="center" textRotation="255"/>
    </xf>
    <xf numFmtId="0" fontId="2" fillId="3" borderId="3" xfId="0" applyFont="1" applyFill="1" applyBorder="1" applyAlignment="1">
      <alignment vertical="center" textRotation="255"/>
    </xf>
    <xf numFmtId="0" fontId="2" fillId="3" borderId="23" xfId="0" applyFont="1" applyFill="1" applyBorder="1" applyAlignment="1">
      <alignment horizontal="center" textRotation="255"/>
    </xf>
    <xf numFmtId="0" fontId="2" fillId="3" borderId="38" xfId="0" applyFont="1" applyFill="1" applyBorder="1" applyAlignment="1">
      <alignment horizontal="center" textRotation="255"/>
    </xf>
    <xf numFmtId="0" fontId="3" fillId="0" borderId="3" xfId="0" applyFont="1" applyBorder="1"/>
  </cellXfs>
  <cellStyles count="3">
    <cellStyle name="Normal" xfId="0" builtinId="0"/>
    <cellStyle name="Normal 3" xfId="2" xr:uid="{9080A2D1-F08D-4951-BBE6-D07F86C7A54E}"/>
    <cellStyle name="Percent" xfId="1" builtinId="5"/>
  </cellStyles>
  <dxfs count="137"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86" t="s">
        <v>3</v>
      </c>
      <c r="B4" s="88" t="s">
        <v>112</v>
      </c>
      <c r="C4" s="89"/>
      <c r="D4" s="89"/>
      <c r="E4" s="90"/>
      <c r="F4" s="90"/>
      <c r="G4" s="90"/>
      <c r="H4" s="90"/>
      <c r="I4" s="89"/>
      <c r="J4" s="89"/>
      <c r="K4" s="89"/>
      <c r="L4" s="90"/>
      <c r="M4" s="90"/>
      <c r="N4" s="91"/>
      <c r="O4" s="92"/>
    </row>
    <row r="5" spans="1:15" ht="34.5" thickBot="1">
      <c r="A5" s="87"/>
      <c r="B5" s="61" t="s">
        <v>11</v>
      </c>
      <c r="C5" s="61" t="s">
        <v>12</v>
      </c>
      <c r="D5" s="61" t="s">
        <v>13</v>
      </c>
      <c r="E5" s="62" t="s">
        <v>96</v>
      </c>
      <c r="F5" s="61" t="s">
        <v>97</v>
      </c>
      <c r="G5" s="61" t="s">
        <v>98</v>
      </c>
      <c r="H5" s="63" t="s">
        <v>99</v>
      </c>
      <c r="I5" s="64" t="s">
        <v>100</v>
      </c>
      <c r="J5" s="65" t="s">
        <v>101</v>
      </c>
      <c r="K5" s="66" t="s">
        <v>102</v>
      </c>
      <c r="L5" s="79" t="s">
        <v>103</v>
      </c>
      <c r="M5" s="80" t="s">
        <v>104</v>
      </c>
      <c r="N5" s="80" t="s">
        <v>104</v>
      </c>
      <c r="O5" s="81" t="s">
        <v>105</v>
      </c>
    </row>
    <row r="6" spans="1:15" ht="18.75">
      <c r="A6" s="49" t="s">
        <v>106</v>
      </c>
      <c r="B6" s="53">
        <v>27</v>
      </c>
      <c r="C6" s="53">
        <v>27</v>
      </c>
      <c r="D6" s="53">
        <f>SUM(B6:C6)</f>
        <v>54</v>
      </c>
      <c r="E6" s="54">
        <v>24</v>
      </c>
      <c r="F6" s="55">
        <f>B6*E6</f>
        <v>648</v>
      </c>
      <c r="G6" s="55">
        <f t="shared" ref="G6:G16" si="0">C6*E6</f>
        <v>648</v>
      </c>
      <c r="H6" s="56">
        <f>SUM(F6:G6)</f>
        <v>1296</v>
      </c>
      <c r="I6" s="67" t="e">
        <f>Kg!AL14</f>
        <v>#REF!</v>
      </c>
      <c r="J6" s="68" t="e">
        <f>Kg!AM14</f>
        <v>#REF!</v>
      </c>
      <c r="K6" s="69" t="e">
        <f>SUM(I6:J6)</f>
        <v>#REF!</v>
      </c>
      <c r="L6" s="57" t="e">
        <f>J6/G6</f>
        <v>#REF!</v>
      </c>
      <c r="M6" s="58" t="e">
        <f>I6/F6</f>
        <v>#REF!</v>
      </c>
      <c r="N6" s="59" t="e">
        <f>K6/H6</f>
        <v>#REF!</v>
      </c>
      <c r="O6" s="60" t="e">
        <f>AVERAGE(L6:M6)</f>
        <v>#REF!</v>
      </c>
    </row>
    <row r="7" spans="1:15" ht="18.75">
      <c r="A7" s="49" t="s">
        <v>107</v>
      </c>
      <c r="B7" s="18">
        <v>31</v>
      </c>
      <c r="C7" s="18">
        <v>25</v>
      </c>
      <c r="D7" s="18">
        <f>SUM(B7:C7)</f>
        <v>56</v>
      </c>
      <c r="E7" s="48">
        <v>24</v>
      </c>
      <c r="F7" s="19">
        <f>B7*E7</f>
        <v>744</v>
      </c>
      <c r="G7" s="19">
        <f t="shared" si="0"/>
        <v>600</v>
      </c>
      <c r="H7" s="20">
        <f>SUM(F7:G7)</f>
        <v>1344</v>
      </c>
      <c r="I7" s="70" t="e">
        <f>#REF!</f>
        <v>#REF!</v>
      </c>
      <c r="J7" s="71" t="e">
        <f>#REF!</f>
        <v>#REF!</v>
      </c>
      <c r="K7" s="72" t="e">
        <f>SUM(I7:J7)</f>
        <v>#REF!</v>
      </c>
      <c r="L7" s="21" t="e">
        <f>J7/G7</f>
        <v>#REF!</v>
      </c>
      <c r="M7" s="22" t="e">
        <f>I7/F7</f>
        <v>#REF!</v>
      </c>
      <c r="N7" s="23" t="e">
        <f>K7/H7</f>
        <v>#REF!</v>
      </c>
      <c r="O7" s="24" t="e">
        <f>AVERAGE(L7:M7)</f>
        <v>#REF!</v>
      </c>
    </row>
    <row r="8" spans="1:15" ht="18.75">
      <c r="A8" s="50" t="s">
        <v>108</v>
      </c>
      <c r="B8" s="18">
        <v>32</v>
      </c>
      <c r="C8" s="18">
        <v>24</v>
      </c>
      <c r="D8" s="18">
        <f t="shared" ref="D8:D16" si="1">SUM(B8:C8)</f>
        <v>56</v>
      </c>
      <c r="E8" s="48">
        <v>24</v>
      </c>
      <c r="F8" s="19">
        <f t="shared" ref="F8:F16" si="2">B8*E8</f>
        <v>768</v>
      </c>
      <c r="G8" s="19">
        <f t="shared" si="0"/>
        <v>576</v>
      </c>
      <c r="H8" s="20">
        <f t="shared" ref="H8:H16" si="3">SUM(F8:G8)</f>
        <v>1344</v>
      </c>
      <c r="I8" s="70">
        <f>'Class-I'!AL14</f>
        <v>572</v>
      </c>
      <c r="J8" s="71">
        <f>'Class-I'!AM14</f>
        <v>516</v>
      </c>
      <c r="K8" s="72">
        <f t="shared" ref="K8:K16" si="4">SUM(I8:J8)</f>
        <v>1088</v>
      </c>
      <c r="L8" s="21">
        <f t="shared" ref="L8:L16" si="5">J8/G8</f>
        <v>0.89583333333333337</v>
      </c>
      <c r="M8" s="22">
        <f t="shared" ref="M8:M16" si="6">I8/F8</f>
        <v>0.74479166666666663</v>
      </c>
      <c r="N8" s="23">
        <f t="shared" ref="N8:N16" si="7">K8/H8</f>
        <v>0.80952380952380953</v>
      </c>
      <c r="O8" s="24">
        <f t="shared" ref="O8:O16" si="8">AVERAGE(L8:M8)</f>
        <v>0.8203125</v>
      </c>
    </row>
    <row r="9" spans="1:15" ht="18.75">
      <c r="A9" s="51" t="s">
        <v>57</v>
      </c>
      <c r="B9" s="18">
        <v>26</v>
      </c>
      <c r="C9" s="18">
        <v>26</v>
      </c>
      <c r="D9" s="18">
        <f t="shared" si="1"/>
        <v>52</v>
      </c>
      <c r="E9" s="48">
        <v>24</v>
      </c>
      <c r="F9" s="19">
        <f t="shared" si="2"/>
        <v>624</v>
      </c>
      <c r="G9" s="19">
        <f t="shared" si="0"/>
        <v>624</v>
      </c>
      <c r="H9" s="20">
        <f t="shared" si="3"/>
        <v>1248</v>
      </c>
      <c r="I9" s="70">
        <f>'Class-II'!AL14</f>
        <v>464</v>
      </c>
      <c r="J9" s="71">
        <f>'Class-II'!AM14</f>
        <v>555</v>
      </c>
      <c r="K9" s="72">
        <f t="shared" si="4"/>
        <v>1019</v>
      </c>
      <c r="L9" s="21">
        <f t="shared" si="5"/>
        <v>0.88942307692307687</v>
      </c>
      <c r="M9" s="22">
        <f t="shared" si="6"/>
        <v>0.74358974358974361</v>
      </c>
      <c r="N9" s="23">
        <f t="shared" si="7"/>
        <v>0.81650641025641024</v>
      </c>
      <c r="O9" s="24">
        <f t="shared" si="8"/>
        <v>0.81650641025641024</v>
      </c>
    </row>
    <row r="10" spans="1:15" ht="18.75">
      <c r="A10" s="50" t="s">
        <v>63</v>
      </c>
      <c r="B10" s="18">
        <v>28</v>
      </c>
      <c r="C10" s="18">
        <v>24</v>
      </c>
      <c r="D10" s="18">
        <f t="shared" si="1"/>
        <v>52</v>
      </c>
      <c r="E10" s="19">
        <v>24</v>
      </c>
      <c r="F10" s="19">
        <f t="shared" si="2"/>
        <v>672</v>
      </c>
      <c r="G10" s="19">
        <f t="shared" si="0"/>
        <v>576</v>
      </c>
      <c r="H10" s="20">
        <f t="shared" si="3"/>
        <v>1248</v>
      </c>
      <c r="I10" s="70" t="e">
        <f>'Class-III'!AL14</f>
        <v>#REF!</v>
      </c>
      <c r="J10" s="71">
        <f>'Class-III'!AM14</f>
        <v>400</v>
      </c>
      <c r="K10" s="72" t="e">
        <f>SUM(I10:J10)</f>
        <v>#REF!</v>
      </c>
      <c r="L10" s="21">
        <f t="shared" si="5"/>
        <v>0.69444444444444442</v>
      </c>
      <c r="M10" s="22" t="e">
        <f t="shared" si="6"/>
        <v>#REF!</v>
      </c>
      <c r="N10" s="23" t="e">
        <f>K10/H10</f>
        <v>#REF!</v>
      </c>
      <c r="O10" s="24" t="e">
        <f t="shared" si="8"/>
        <v>#REF!</v>
      </c>
    </row>
    <row r="11" spans="1:15" ht="18.75">
      <c r="A11" s="50" t="s">
        <v>70</v>
      </c>
      <c r="B11" s="18">
        <v>21</v>
      </c>
      <c r="C11" s="18">
        <v>32</v>
      </c>
      <c r="D11" s="18">
        <f t="shared" si="1"/>
        <v>53</v>
      </c>
      <c r="E11" s="19">
        <v>24</v>
      </c>
      <c r="F11" s="19">
        <f t="shared" si="2"/>
        <v>504</v>
      </c>
      <c r="G11" s="19">
        <f t="shared" si="0"/>
        <v>768</v>
      </c>
      <c r="H11" s="20">
        <f t="shared" si="3"/>
        <v>1272</v>
      </c>
      <c r="I11" s="70">
        <f>'Class-IV'!AL14</f>
        <v>375</v>
      </c>
      <c r="J11" s="71" t="e">
        <f>'Class-IV'!AM14</f>
        <v>#REF!</v>
      </c>
      <c r="K11" s="72" t="e">
        <f t="shared" si="4"/>
        <v>#REF!</v>
      </c>
      <c r="L11" s="21" t="e">
        <f t="shared" si="5"/>
        <v>#REF!</v>
      </c>
      <c r="M11" s="22">
        <f t="shared" si="6"/>
        <v>0.74404761904761907</v>
      </c>
      <c r="N11" s="23" t="e">
        <f t="shared" si="7"/>
        <v>#REF!</v>
      </c>
      <c r="O11" s="24" t="e">
        <f t="shared" si="8"/>
        <v>#REF!</v>
      </c>
    </row>
    <row r="12" spans="1:15" ht="18.75">
      <c r="A12" s="50" t="s">
        <v>77</v>
      </c>
      <c r="B12" s="18">
        <v>23</v>
      </c>
      <c r="C12" s="18">
        <v>23</v>
      </c>
      <c r="D12" s="18">
        <f t="shared" si="1"/>
        <v>46</v>
      </c>
      <c r="E12" s="19">
        <v>24</v>
      </c>
      <c r="F12" s="19">
        <f t="shared" si="2"/>
        <v>552</v>
      </c>
      <c r="G12" s="19">
        <f t="shared" si="0"/>
        <v>552</v>
      </c>
      <c r="H12" s="20">
        <f t="shared" si="3"/>
        <v>1104</v>
      </c>
      <c r="I12" s="70">
        <f>'Class-V'!AL14</f>
        <v>471</v>
      </c>
      <c r="J12" s="71">
        <f>'Class-V'!AM14</f>
        <v>22</v>
      </c>
      <c r="K12" s="72">
        <f t="shared" si="4"/>
        <v>493</v>
      </c>
      <c r="L12" s="21">
        <f t="shared" si="5"/>
        <v>3.9855072463768113E-2</v>
      </c>
      <c r="M12" s="22">
        <f t="shared" si="6"/>
        <v>0.85326086956521741</v>
      </c>
      <c r="N12" s="23">
        <f t="shared" si="7"/>
        <v>0.44655797101449274</v>
      </c>
      <c r="O12" s="24">
        <f t="shared" si="8"/>
        <v>0.44655797101449274</v>
      </c>
    </row>
    <row r="13" spans="1:15" ht="18.75">
      <c r="A13" s="51" t="s">
        <v>83</v>
      </c>
      <c r="B13" s="18">
        <v>17</v>
      </c>
      <c r="C13" s="18">
        <v>28</v>
      </c>
      <c r="D13" s="18">
        <f t="shared" si="1"/>
        <v>45</v>
      </c>
      <c r="E13" s="19">
        <v>24</v>
      </c>
      <c r="F13" s="19">
        <f t="shared" si="2"/>
        <v>408</v>
      </c>
      <c r="G13" s="19">
        <f t="shared" si="0"/>
        <v>672</v>
      </c>
      <c r="H13" s="20">
        <f t="shared" si="3"/>
        <v>1080</v>
      </c>
      <c r="I13" s="70" t="e">
        <f>#REF!</f>
        <v>#REF!</v>
      </c>
      <c r="J13" s="71" t="e">
        <f>#REF!</f>
        <v>#REF!</v>
      </c>
      <c r="K13" s="72" t="e">
        <f t="shared" si="4"/>
        <v>#REF!</v>
      </c>
      <c r="L13" s="21" t="e">
        <f t="shared" si="5"/>
        <v>#REF!</v>
      </c>
      <c r="M13" s="22" t="e">
        <f t="shared" si="6"/>
        <v>#REF!</v>
      </c>
      <c r="N13" s="23" t="e">
        <f t="shared" si="7"/>
        <v>#REF!</v>
      </c>
      <c r="O13" s="24" t="e">
        <f t="shared" si="8"/>
        <v>#REF!</v>
      </c>
    </row>
    <row r="14" spans="1:15" ht="18.75">
      <c r="A14" s="51" t="s">
        <v>109</v>
      </c>
      <c r="B14" s="18">
        <v>29</v>
      </c>
      <c r="C14" s="18">
        <v>19</v>
      </c>
      <c r="D14" s="18">
        <f t="shared" si="1"/>
        <v>48</v>
      </c>
      <c r="E14" s="19">
        <v>24</v>
      </c>
      <c r="F14" s="19">
        <f t="shared" si="2"/>
        <v>696</v>
      </c>
      <c r="G14" s="19">
        <f t="shared" si="0"/>
        <v>456</v>
      </c>
      <c r="H14" s="20">
        <f t="shared" si="3"/>
        <v>1152</v>
      </c>
      <c r="I14" s="70" t="e">
        <f>#REF!</f>
        <v>#REF!</v>
      </c>
      <c r="J14" s="71" t="e">
        <f>#REF!</f>
        <v>#REF!</v>
      </c>
      <c r="K14" s="72" t="e">
        <f t="shared" si="4"/>
        <v>#REF!</v>
      </c>
      <c r="L14" s="21" t="e">
        <f t="shared" si="5"/>
        <v>#REF!</v>
      </c>
      <c r="M14" s="22" t="e">
        <f t="shared" si="6"/>
        <v>#REF!</v>
      </c>
      <c r="N14" s="23" t="e">
        <f t="shared" si="7"/>
        <v>#REF!</v>
      </c>
      <c r="O14" s="24" t="e">
        <f t="shared" si="8"/>
        <v>#REF!</v>
      </c>
    </row>
    <row r="15" spans="1:15" ht="18.75">
      <c r="A15" s="51" t="s">
        <v>110</v>
      </c>
      <c r="B15" s="18">
        <v>19</v>
      </c>
      <c r="C15" s="18">
        <v>23</v>
      </c>
      <c r="D15" s="18">
        <f t="shared" si="1"/>
        <v>42</v>
      </c>
      <c r="E15" s="19">
        <v>24</v>
      </c>
      <c r="F15" s="19">
        <f t="shared" si="2"/>
        <v>456</v>
      </c>
      <c r="G15" s="19">
        <f t="shared" si="0"/>
        <v>552</v>
      </c>
      <c r="H15" s="20">
        <f t="shared" si="3"/>
        <v>1008</v>
      </c>
      <c r="I15" s="70" t="e">
        <f>#REF!</f>
        <v>#REF!</v>
      </c>
      <c r="J15" s="71" t="e">
        <f>#REF!</f>
        <v>#REF!</v>
      </c>
      <c r="K15" s="72" t="e">
        <f t="shared" si="4"/>
        <v>#REF!</v>
      </c>
      <c r="L15" s="21" t="e">
        <f t="shared" si="5"/>
        <v>#REF!</v>
      </c>
      <c r="M15" s="22" t="e">
        <f t="shared" si="6"/>
        <v>#REF!</v>
      </c>
      <c r="N15" s="23" t="e">
        <f t="shared" si="7"/>
        <v>#REF!</v>
      </c>
      <c r="O15" s="24" t="e">
        <f t="shared" si="8"/>
        <v>#REF!</v>
      </c>
    </row>
    <row r="16" spans="1:15" ht="19.5" thickBot="1">
      <c r="A16" s="52" t="s">
        <v>111</v>
      </c>
      <c r="B16" s="27">
        <v>16</v>
      </c>
      <c r="C16" s="27">
        <v>19</v>
      </c>
      <c r="D16" s="27">
        <f t="shared" si="1"/>
        <v>35</v>
      </c>
      <c r="E16" s="28">
        <v>24</v>
      </c>
      <c r="F16" s="28">
        <f t="shared" si="2"/>
        <v>384</v>
      </c>
      <c r="G16" s="28">
        <f t="shared" si="0"/>
        <v>456</v>
      </c>
      <c r="H16" s="29">
        <f t="shared" si="3"/>
        <v>840</v>
      </c>
      <c r="I16" s="73" t="e">
        <f>#REF!</f>
        <v>#REF!</v>
      </c>
      <c r="J16" s="74" t="e">
        <f>#REF!</f>
        <v>#REF!</v>
      </c>
      <c r="K16" s="75" t="e">
        <f t="shared" si="4"/>
        <v>#REF!</v>
      </c>
      <c r="L16" s="30" t="e">
        <f t="shared" si="5"/>
        <v>#REF!</v>
      </c>
      <c r="M16" s="31" t="e">
        <f t="shared" si="6"/>
        <v>#REF!</v>
      </c>
      <c r="N16" s="32" t="e">
        <f t="shared" si="7"/>
        <v>#REF!</v>
      </c>
      <c r="O16" s="33" t="e">
        <f t="shared" si="8"/>
        <v>#REF!</v>
      </c>
    </row>
    <row r="17" spans="1:15" ht="18.75">
      <c r="A17" s="34" t="s">
        <v>13</v>
      </c>
      <c r="B17" s="35">
        <f t="shared" ref="B17:K17" si="9">SUM(B6:B16)</f>
        <v>269</v>
      </c>
      <c r="C17" s="35">
        <f t="shared" si="9"/>
        <v>270</v>
      </c>
      <c r="D17" s="35">
        <f t="shared" si="9"/>
        <v>539</v>
      </c>
      <c r="E17" s="36">
        <f t="shared" si="9"/>
        <v>264</v>
      </c>
      <c r="F17" s="36">
        <f t="shared" si="9"/>
        <v>6456</v>
      </c>
      <c r="G17" s="36">
        <f t="shared" si="9"/>
        <v>6480</v>
      </c>
      <c r="H17" s="42">
        <f t="shared" si="9"/>
        <v>12936</v>
      </c>
      <c r="I17" s="76" t="e">
        <f t="shared" si="9"/>
        <v>#REF!</v>
      </c>
      <c r="J17" s="77" t="e">
        <f t="shared" si="9"/>
        <v>#REF!</v>
      </c>
      <c r="K17" s="78" t="e">
        <f t="shared" si="9"/>
        <v>#REF!</v>
      </c>
      <c r="L17" s="44" t="e">
        <f>J17/G17</f>
        <v>#REF!</v>
      </c>
      <c r="M17" s="37" t="e">
        <f>I17/F17</f>
        <v>#REF!</v>
      </c>
      <c r="N17" s="37" t="e">
        <f>AVERAGE(N6:N16)</f>
        <v>#REF!</v>
      </c>
      <c r="O17" s="38" t="e">
        <f>AVERAGE(O6:O16)</f>
        <v>#REF!</v>
      </c>
    </row>
    <row r="18" spans="1:15" ht="15.75" thickBot="1">
      <c r="A18" s="39" t="s">
        <v>16</v>
      </c>
      <c r="B18" s="40">
        <v>1</v>
      </c>
      <c r="C18" s="40">
        <v>1</v>
      </c>
      <c r="D18" s="41">
        <v>1</v>
      </c>
      <c r="E18" s="40">
        <v>1</v>
      </c>
      <c r="F18" s="40">
        <v>1</v>
      </c>
      <c r="G18" s="41">
        <v>1</v>
      </c>
      <c r="H18" s="43">
        <v>1</v>
      </c>
      <c r="I18" s="46" t="e">
        <f>I17/F17</f>
        <v>#REF!</v>
      </c>
      <c r="J18" s="41" t="e">
        <f>J17/G17</f>
        <v>#REF!</v>
      </c>
      <c r="K18" s="47" t="e">
        <f>K17/H17</f>
        <v>#REF!</v>
      </c>
      <c r="L18" s="45">
        <v>0.54</v>
      </c>
      <c r="M18" s="25">
        <v>0.56000000000000005</v>
      </c>
      <c r="N18" s="25">
        <v>0.55000000000000004</v>
      </c>
      <c r="O18" s="26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CA38-1624-40EB-AA8F-F8E4BCF1B429}">
  <dimension ref="A1:AN40"/>
  <sheetViews>
    <sheetView topLeftCell="A32" workbookViewId="0">
      <selection activeCell="C44" sqref="C4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7" width="3.85546875" style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7109375" style="1" bestFit="1" customWidth="1"/>
    <col min="14" max="14" width="3.85546875" style="1"/>
    <col min="15" max="16" width="3.7109375" style="1" bestFit="1" customWidth="1"/>
    <col min="17" max="17" width="3.85546875" style="1"/>
    <col min="18" max="18" width="4.5703125" style="1" bestFit="1" customWidth="1"/>
    <col min="19" max="19" width="3.85546875" style="1"/>
    <col min="20" max="20" width="4.7109375" style="1" bestFit="1" customWidth="1"/>
    <col min="21" max="21" width="3.85546875" style="1"/>
    <col min="22" max="23" width="3.7109375" style="1" bestFit="1" customWidth="1"/>
    <col min="24" max="24" width="3.85546875" style="1"/>
    <col min="25" max="25" width="4.5703125" style="1" bestFit="1" customWidth="1"/>
    <col min="26" max="26" width="3.85546875" style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/>
    <col min="34" max="34" width="4.7109375" style="1" bestFit="1" customWidth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1"/>
      <c r="AJ1" s="11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2"/>
      <c r="AJ2" s="12"/>
      <c r="AK2" s="12"/>
    </row>
    <row r="3" spans="1:40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2"/>
      <c r="B4" s="102"/>
      <c r="C4" s="102"/>
      <c r="D4" s="102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2" t="s">
        <v>62</v>
      </c>
      <c r="C5" s="82" t="s">
        <v>113</v>
      </c>
      <c r="D5" s="5" t="s">
        <v>6</v>
      </c>
      <c r="E5" s="13" t="s">
        <v>25</v>
      </c>
      <c r="F5" s="13" t="s">
        <v>25</v>
      </c>
      <c r="G5" s="97" t="s">
        <v>29</v>
      </c>
      <c r="H5" s="13" t="s">
        <v>25</v>
      </c>
      <c r="I5" s="13" t="s">
        <v>25</v>
      </c>
      <c r="J5" s="13" t="s">
        <v>25</v>
      </c>
      <c r="K5" s="13" t="s">
        <v>26</v>
      </c>
      <c r="L5" s="13" t="s">
        <v>25</v>
      </c>
      <c r="M5" s="98" t="s">
        <v>30</v>
      </c>
      <c r="N5" s="97" t="s">
        <v>29</v>
      </c>
      <c r="O5" s="6" t="s">
        <v>24</v>
      </c>
      <c r="P5" s="6" t="s">
        <v>25</v>
      </c>
      <c r="Q5" s="6" t="s">
        <v>25</v>
      </c>
      <c r="R5" s="6" t="s">
        <v>25</v>
      </c>
      <c r="S5" s="99" t="s">
        <v>31</v>
      </c>
      <c r="T5" s="6" t="s">
        <v>25</v>
      </c>
      <c r="U5" s="97" t="s">
        <v>29</v>
      </c>
      <c r="V5" s="6" t="s">
        <v>24</v>
      </c>
      <c r="W5" s="6" t="s">
        <v>25</v>
      </c>
      <c r="X5" s="6" t="s">
        <v>25</v>
      </c>
      <c r="Y5" s="6" t="s">
        <v>24</v>
      </c>
      <c r="Z5" s="6" t="s">
        <v>24</v>
      </c>
      <c r="AA5" s="6" t="s">
        <v>25</v>
      </c>
      <c r="AB5" s="97" t="s">
        <v>29</v>
      </c>
      <c r="AC5" s="6" t="s">
        <v>26</v>
      </c>
      <c r="AD5" s="6" t="s">
        <v>26</v>
      </c>
      <c r="AE5" s="6" t="s">
        <v>26</v>
      </c>
      <c r="AF5" s="6" t="s">
        <v>26</v>
      </c>
      <c r="AG5" s="6" t="s">
        <v>26</v>
      </c>
      <c r="AH5" s="6" t="s">
        <v>26</v>
      </c>
      <c r="AI5" s="4">
        <f t="shared" ref="AI5:AI40" si="1">COUNTIF(E5:AH5,"P")</f>
        <v>13</v>
      </c>
      <c r="AJ5" s="4">
        <f t="shared" ref="AJ5:AJ40" si="2">COUNTIF(E5:AH5,"A")</f>
        <v>4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3" t="s">
        <v>114</v>
      </c>
      <c r="C6" s="83" t="s">
        <v>115</v>
      </c>
      <c r="D6" s="5" t="s">
        <v>6</v>
      </c>
      <c r="E6" s="13" t="s">
        <v>25</v>
      </c>
      <c r="F6" s="13" t="s">
        <v>25</v>
      </c>
      <c r="G6" s="97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24</v>
      </c>
      <c r="M6" s="98"/>
      <c r="N6" s="97"/>
      <c r="O6" s="6" t="s">
        <v>25</v>
      </c>
      <c r="P6" s="6" t="s">
        <v>25</v>
      </c>
      <c r="Q6" s="6" t="s">
        <v>24</v>
      </c>
      <c r="R6" s="6" t="s">
        <v>26</v>
      </c>
      <c r="S6" s="99"/>
      <c r="T6" s="6" t="s">
        <v>26</v>
      </c>
      <c r="U6" s="97"/>
      <c r="V6" s="6" t="s">
        <v>26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97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19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116</v>
      </c>
      <c r="C7" s="83" t="s">
        <v>117</v>
      </c>
      <c r="D7" s="5" t="s">
        <v>6</v>
      </c>
      <c r="E7" s="13" t="s">
        <v>25</v>
      </c>
      <c r="F7" s="13" t="s">
        <v>24</v>
      </c>
      <c r="G7" s="97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98"/>
      <c r="N7" s="97"/>
      <c r="O7" s="6" t="s">
        <v>25</v>
      </c>
      <c r="P7" s="6" t="s">
        <v>25</v>
      </c>
      <c r="Q7" s="6" t="s">
        <v>25</v>
      </c>
      <c r="R7" s="6" t="s">
        <v>25</v>
      </c>
      <c r="S7" s="99"/>
      <c r="T7" s="6" t="s">
        <v>24</v>
      </c>
      <c r="U7" s="97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24</v>
      </c>
      <c r="AB7" s="97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24</v>
      </c>
      <c r="AI7" s="4">
        <f t="shared" si="1"/>
        <v>20</v>
      </c>
      <c r="AJ7" s="4">
        <f t="shared" si="2"/>
        <v>4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80</v>
      </c>
      <c r="C8" s="83" t="s">
        <v>118</v>
      </c>
      <c r="D8" s="5" t="s">
        <v>6</v>
      </c>
      <c r="E8" s="13" t="s">
        <v>25</v>
      </c>
      <c r="F8" s="13" t="s">
        <v>24</v>
      </c>
      <c r="G8" s="97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98"/>
      <c r="N8" s="97"/>
      <c r="O8" s="6" t="s">
        <v>25</v>
      </c>
      <c r="P8" s="6" t="s">
        <v>25</v>
      </c>
      <c r="Q8" s="6" t="s">
        <v>25</v>
      </c>
      <c r="R8" s="6" t="s">
        <v>25</v>
      </c>
      <c r="S8" s="99"/>
      <c r="T8" s="6" t="s">
        <v>25</v>
      </c>
      <c r="U8" s="97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24</v>
      </c>
      <c r="AB8" s="97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24</v>
      </c>
      <c r="AI8" s="4">
        <f t="shared" si="1"/>
        <v>20</v>
      </c>
      <c r="AJ8" s="4">
        <f t="shared" si="2"/>
        <v>4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3" t="s">
        <v>119</v>
      </c>
      <c r="C9" s="83" t="s">
        <v>120</v>
      </c>
      <c r="D9" s="5" t="s">
        <v>6</v>
      </c>
      <c r="E9" s="13" t="s">
        <v>25</v>
      </c>
      <c r="F9" s="13" t="s">
        <v>25</v>
      </c>
      <c r="G9" s="97"/>
      <c r="H9" s="13" t="s">
        <v>25</v>
      </c>
      <c r="I9" s="13" t="s">
        <v>24</v>
      </c>
      <c r="J9" s="13" t="s">
        <v>26</v>
      </c>
      <c r="K9" s="13" t="s">
        <v>26</v>
      </c>
      <c r="L9" s="13" t="s">
        <v>26</v>
      </c>
      <c r="M9" s="98"/>
      <c r="N9" s="97"/>
      <c r="O9" s="6" t="s">
        <v>26</v>
      </c>
      <c r="P9" s="6" t="s">
        <v>26</v>
      </c>
      <c r="Q9" s="6" t="s">
        <v>26</v>
      </c>
      <c r="R9" s="6" t="s">
        <v>26</v>
      </c>
      <c r="S9" s="99"/>
      <c r="T9" s="6" t="s">
        <v>26</v>
      </c>
      <c r="U9" s="97"/>
      <c r="V9" s="6" t="s">
        <v>24</v>
      </c>
      <c r="W9" s="6" t="s">
        <v>24</v>
      </c>
      <c r="X9" s="6" t="s">
        <v>24</v>
      </c>
      <c r="Y9" s="6" t="s">
        <v>25</v>
      </c>
      <c r="Z9" s="6" t="s">
        <v>25</v>
      </c>
      <c r="AA9" s="6" t="s">
        <v>24</v>
      </c>
      <c r="AB9" s="97"/>
      <c r="AC9" s="6" t="s">
        <v>26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9</v>
      </c>
      <c r="AJ9" s="4">
        <f t="shared" si="2"/>
        <v>6</v>
      </c>
      <c r="AK9" s="4"/>
      <c r="AL9" s="7"/>
    </row>
    <row r="10" spans="1:40" ht="16.5">
      <c r="A10" s="7">
        <v>6</v>
      </c>
      <c r="B10" s="83" t="s">
        <v>119</v>
      </c>
      <c r="C10" s="83" t="s">
        <v>121</v>
      </c>
      <c r="D10" s="5" t="s">
        <v>6</v>
      </c>
      <c r="E10" s="13" t="s">
        <v>24</v>
      </c>
      <c r="F10" s="13" t="s">
        <v>25</v>
      </c>
      <c r="G10" s="97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98"/>
      <c r="N10" s="97"/>
      <c r="O10" s="6" t="s">
        <v>24</v>
      </c>
      <c r="P10" s="6" t="s">
        <v>25</v>
      </c>
      <c r="Q10" s="6" t="s">
        <v>25</v>
      </c>
      <c r="R10" s="6" t="s">
        <v>25</v>
      </c>
      <c r="S10" s="99"/>
      <c r="T10" s="6" t="s">
        <v>25</v>
      </c>
      <c r="U10" s="97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97"/>
      <c r="AC10" s="6" t="s">
        <v>25</v>
      </c>
      <c r="AD10" s="6" t="s">
        <v>25</v>
      </c>
      <c r="AE10" s="6" t="s">
        <v>24</v>
      </c>
      <c r="AF10" s="6" t="s">
        <v>25</v>
      </c>
      <c r="AG10" s="6" t="s">
        <v>25</v>
      </c>
      <c r="AH10" s="6" t="s">
        <v>25</v>
      </c>
      <c r="AI10" s="4">
        <f t="shared" si="1"/>
        <v>21</v>
      </c>
      <c r="AJ10" s="4">
        <f t="shared" si="2"/>
        <v>3</v>
      </c>
    </row>
    <row r="11" spans="1:40" ht="16.5">
      <c r="A11" s="7">
        <v>7</v>
      </c>
      <c r="B11" s="83" t="s">
        <v>48</v>
      </c>
      <c r="C11" s="83" t="s">
        <v>122</v>
      </c>
      <c r="D11" s="5" t="s">
        <v>6</v>
      </c>
      <c r="E11" s="13" t="s">
        <v>25</v>
      </c>
      <c r="F11" s="13" t="s">
        <v>24</v>
      </c>
      <c r="G11" s="97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24</v>
      </c>
      <c r="M11" s="98"/>
      <c r="N11" s="97"/>
      <c r="O11" s="6" t="s">
        <v>25</v>
      </c>
      <c r="P11" s="6" t="s">
        <v>25</v>
      </c>
      <c r="Q11" s="6" t="s">
        <v>25</v>
      </c>
      <c r="R11" s="6" t="s">
        <v>24</v>
      </c>
      <c r="S11" s="99"/>
      <c r="T11" s="6" t="s">
        <v>24</v>
      </c>
      <c r="U11" s="97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24</v>
      </c>
      <c r="AB11" s="97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19</v>
      </c>
      <c r="AJ11" s="4">
        <f t="shared" si="2"/>
        <v>5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3" t="s">
        <v>123</v>
      </c>
      <c r="C12" s="83" t="s">
        <v>124</v>
      </c>
      <c r="D12" s="5" t="s">
        <v>6</v>
      </c>
      <c r="E12" s="13" t="s">
        <v>25</v>
      </c>
      <c r="F12" s="13" t="s">
        <v>24</v>
      </c>
      <c r="G12" s="97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98"/>
      <c r="N12" s="97"/>
      <c r="O12" s="6" t="s">
        <v>25</v>
      </c>
      <c r="P12" s="6" t="s">
        <v>24</v>
      </c>
      <c r="Q12" s="6" t="s">
        <v>25</v>
      </c>
      <c r="R12" s="6" t="s">
        <v>24</v>
      </c>
      <c r="S12" s="99"/>
      <c r="T12" s="6" t="s">
        <v>25</v>
      </c>
      <c r="U12" s="97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97"/>
      <c r="AC12" s="6" t="s">
        <v>25</v>
      </c>
      <c r="AD12" s="6" t="s">
        <v>24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20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125</v>
      </c>
      <c r="C13" s="83" t="s">
        <v>126</v>
      </c>
      <c r="D13" s="5" t="s">
        <v>6</v>
      </c>
      <c r="E13" s="13" t="s">
        <v>25</v>
      </c>
      <c r="F13" s="13" t="s">
        <v>24</v>
      </c>
      <c r="G13" s="97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98"/>
      <c r="N13" s="97"/>
      <c r="O13" s="6" t="s">
        <v>25</v>
      </c>
      <c r="P13" s="6" t="s">
        <v>25</v>
      </c>
      <c r="Q13" s="6" t="s">
        <v>25</v>
      </c>
      <c r="R13" s="6" t="s">
        <v>24</v>
      </c>
      <c r="S13" s="99"/>
      <c r="T13" s="6" t="s">
        <v>25</v>
      </c>
      <c r="U13" s="97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97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22</v>
      </c>
      <c r="AJ13" s="4">
        <f t="shared" si="2"/>
        <v>2</v>
      </c>
      <c r="AK13" s="4" t="s">
        <v>14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3" t="s">
        <v>27</v>
      </c>
      <c r="C14" s="83" t="s">
        <v>127</v>
      </c>
      <c r="D14" s="5" t="s">
        <v>6</v>
      </c>
      <c r="E14" s="13" t="s">
        <v>24</v>
      </c>
      <c r="F14" s="13" t="s">
        <v>24</v>
      </c>
      <c r="G14" s="97"/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98"/>
      <c r="N14" s="97"/>
      <c r="O14" s="6" t="s">
        <v>24</v>
      </c>
      <c r="P14" s="6" t="s">
        <v>24</v>
      </c>
      <c r="Q14" s="6" t="s">
        <v>24</v>
      </c>
      <c r="R14" s="6" t="s">
        <v>24</v>
      </c>
      <c r="S14" s="99"/>
      <c r="T14" s="6" t="s">
        <v>25</v>
      </c>
      <c r="U14" s="97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97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13</v>
      </c>
      <c r="AJ14" s="4">
        <f t="shared" si="2"/>
        <v>11</v>
      </c>
      <c r="AK14" s="4" t="s">
        <v>15</v>
      </c>
      <c r="AL14" s="7" t="e">
        <f>SUM(AI6,AI9,AI11,AI13,AI16,AI21,AI22,AI23,AI24,AI25,AI26,AI27,AI32,AI34,AI36,AI40,#REF!,#REF!,#REF!,#REF!,#REF!,#REF!,#REF!,#REF!,#REF!,#REF!,#REF!)</f>
        <v>#REF!</v>
      </c>
      <c r="AM14" s="7" t="e">
        <f>SUM(AI5,AI7,AI8,AI10,AI12,AI14,AI15,AI17,AI18,AI19,AI20,AI28,AI29,AI30,AI31,AI33,AI35,AI37,AI38,AI39,#REF!,#REF!,#REF!,#REF!,#REF!,#REF!,#REF!)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3" t="s">
        <v>61</v>
      </c>
      <c r="C15" s="83" t="s">
        <v>128</v>
      </c>
      <c r="D15" s="5" t="s">
        <v>6</v>
      </c>
      <c r="E15" s="13" t="s">
        <v>25</v>
      </c>
      <c r="F15" s="13" t="s">
        <v>25</v>
      </c>
      <c r="G15" s="97"/>
      <c r="H15" s="13" t="s">
        <v>24</v>
      </c>
      <c r="I15" s="13" t="s">
        <v>25</v>
      </c>
      <c r="J15" s="13" t="s">
        <v>25</v>
      </c>
      <c r="K15" s="13" t="s">
        <v>25</v>
      </c>
      <c r="L15" s="13" t="s">
        <v>25</v>
      </c>
      <c r="M15" s="98"/>
      <c r="N15" s="97"/>
      <c r="O15" s="6" t="s">
        <v>24</v>
      </c>
      <c r="P15" s="6" t="s">
        <v>25</v>
      </c>
      <c r="Q15" s="6" t="s">
        <v>24</v>
      </c>
      <c r="R15" s="6" t="s">
        <v>25</v>
      </c>
      <c r="S15" s="99"/>
      <c r="T15" s="6" t="s">
        <v>25</v>
      </c>
      <c r="U15" s="97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97"/>
      <c r="AC15" s="6" t="s">
        <v>25</v>
      </c>
      <c r="AD15" s="6" t="s">
        <v>25</v>
      </c>
      <c r="AE15" s="6" t="s">
        <v>25</v>
      </c>
      <c r="AF15" s="6" t="s">
        <v>24</v>
      </c>
      <c r="AG15" s="6" t="s">
        <v>25</v>
      </c>
      <c r="AH15" s="6" t="s">
        <v>24</v>
      </c>
      <c r="AI15" s="4">
        <f t="shared" si="1"/>
        <v>19</v>
      </c>
      <c r="AJ15" s="4">
        <f t="shared" si="2"/>
        <v>5</v>
      </c>
      <c r="AK15" s="4" t="s">
        <v>16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129</v>
      </c>
      <c r="C16" s="83" t="s">
        <v>130</v>
      </c>
      <c r="D16" s="5" t="s">
        <v>6</v>
      </c>
      <c r="E16" s="13" t="s">
        <v>25</v>
      </c>
      <c r="F16" s="13" t="s">
        <v>25</v>
      </c>
      <c r="G16" s="97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98"/>
      <c r="N16" s="97"/>
      <c r="O16" s="6" t="s">
        <v>25</v>
      </c>
      <c r="P16" s="6" t="s">
        <v>25</v>
      </c>
      <c r="Q16" s="6" t="s">
        <v>25</v>
      </c>
      <c r="R16" s="6" t="s">
        <v>25</v>
      </c>
      <c r="S16" s="99"/>
      <c r="T16" s="6" t="s">
        <v>25</v>
      </c>
      <c r="U16" s="97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97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24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3" t="s">
        <v>131</v>
      </c>
      <c r="C17" s="83" t="s">
        <v>132</v>
      </c>
      <c r="D17" s="5" t="s">
        <v>6</v>
      </c>
      <c r="E17" s="13" t="s">
        <v>25</v>
      </c>
      <c r="F17" s="13" t="s">
        <v>25</v>
      </c>
      <c r="G17" s="97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98"/>
      <c r="N17" s="97"/>
      <c r="O17" s="6" t="s">
        <v>25</v>
      </c>
      <c r="P17" s="6" t="s">
        <v>25</v>
      </c>
      <c r="Q17" s="6" t="s">
        <v>24</v>
      </c>
      <c r="R17" s="6" t="s">
        <v>24</v>
      </c>
      <c r="S17" s="99"/>
      <c r="T17" s="6" t="s">
        <v>25</v>
      </c>
      <c r="U17" s="97"/>
      <c r="V17" s="6" t="s">
        <v>25</v>
      </c>
      <c r="W17" s="6" t="s">
        <v>24</v>
      </c>
      <c r="X17" s="6" t="s">
        <v>24</v>
      </c>
      <c r="Y17" s="6" t="s">
        <v>25</v>
      </c>
      <c r="Z17" s="6" t="s">
        <v>25</v>
      </c>
      <c r="AA17" s="6" t="s">
        <v>24</v>
      </c>
      <c r="AB17" s="97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19</v>
      </c>
      <c r="AJ17" s="4">
        <f t="shared" si="2"/>
        <v>5</v>
      </c>
      <c r="AK17"/>
      <c r="AL17"/>
      <c r="AM17"/>
      <c r="AN17"/>
    </row>
    <row r="18" spans="1:40" ht="16.5">
      <c r="A18" s="7">
        <v>14</v>
      </c>
      <c r="B18" s="83" t="s">
        <v>133</v>
      </c>
      <c r="C18" s="83" t="s">
        <v>134</v>
      </c>
      <c r="D18" s="5" t="s">
        <v>6</v>
      </c>
      <c r="E18" s="13" t="s">
        <v>24</v>
      </c>
      <c r="F18" s="13" t="s">
        <v>24</v>
      </c>
      <c r="G18" s="97"/>
      <c r="H18" s="13" t="s">
        <v>24</v>
      </c>
      <c r="I18" s="13" t="s">
        <v>25</v>
      </c>
      <c r="J18" s="13" t="s">
        <v>25</v>
      </c>
      <c r="K18" s="13" t="s">
        <v>24</v>
      </c>
      <c r="L18" s="13" t="s">
        <v>25</v>
      </c>
      <c r="M18" s="98"/>
      <c r="N18" s="97"/>
      <c r="O18" s="6" t="s">
        <v>25</v>
      </c>
      <c r="P18" s="6" t="s">
        <v>24</v>
      </c>
      <c r="Q18" s="6" t="s">
        <v>25</v>
      </c>
      <c r="R18" s="6" t="s">
        <v>24</v>
      </c>
      <c r="S18" s="99"/>
      <c r="T18" s="6" t="s">
        <v>24</v>
      </c>
      <c r="U18" s="97"/>
      <c r="V18" s="6" t="s">
        <v>24</v>
      </c>
      <c r="W18" s="6" t="s">
        <v>24</v>
      </c>
      <c r="X18" s="6" t="s">
        <v>24</v>
      </c>
      <c r="Y18" s="6" t="s">
        <v>24</v>
      </c>
      <c r="Z18" s="6" t="s">
        <v>24</v>
      </c>
      <c r="AA18" s="6" t="s">
        <v>24</v>
      </c>
      <c r="AB18" s="97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24</v>
      </c>
      <c r="AH18" s="6" t="s">
        <v>25</v>
      </c>
      <c r="AI18" s="4">
        <f t="shared" si="1"/>
        <v>10</v>
      </c>
      <c r="AJ18" s="4">
        <f t="shared" si="2"/>
        <v>14</v>
      </c>
      <c r="AK18"/>
      <c r="AL18"/>
      <c r="AM18"/>
      <c r="AN18"/>
    </row>
    <row r="19" spans="1:40" ht="16.5">
      <c r="A19" s="7">
        <v>15</v>
      </c>
      <c r="B19" s="83" t="s">
        <v>135</v>
      </c>
      <c r="C19" s="83" t="s">
        <v>136</v>
      </c>
      <c r="D19" s="5" t="s">
        <v>6</v>
      </c>
      <c r="E19" s="13" t="s">
        <v>25</v>
      </c>
      <c r="F19" s="13" t="s">
        <v>25</v>
      </c>
      <c r="G19" s="97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24</v>
      </c>
      <c r="M19" s="98"/>
      <c r="N19" s="97"/>
      <c r="O19" s="6" t="s">
        <v>25</v>
      </c>
      <c r="P19" s="6" t="s">
        <v>25</v>
      </c>
      <c r="Q19" s="6" t="s">
        <v>25</v>
      </c>
      <c r="R19" s="6" t="s">
        <v>25</v>
      </c>
      <c r="S19" s="99"/>
      <c r="T19" s="6" t="s">
        <v>25</v>
      </c>
      <c r="U19" s="97"/>
      <c r="V19" s="6" t="s">
        <v>24</v>
      </c>
      <c r="W19" s="6" t="s">
        <v>24</v>
      </c>
      <c r="X19" s="6" t="s">
        <v>24</v>
      </c>
      <c r="Y19" s="6" t="s">
        <v>25</v>
      </c>
      <c r="Z19" s="6" t="s">
        <v>24</v>
      </c>
      <c r="AA19" s="6" t="s">
        <v>24</v>
      </c>
      <c r="AB19" s="97"/>
      <c r="AC19" s="6" t="s">
        <v>24</v>
      </c>
      <c r="AD19" s="6" t="s">
        <v>24</v>
      </c>
      <c r="AE19" s="6" t="s">
        <v>25</v>
      </c>
      <c r="AF19" s="6" t="s">
        <v>25</v>
      </c>
      <c r="AG19" s="6" t="s">
        <v>25</v>
      </c>
      <c r="AH19" s="6" t="s">
        <v>24</v>
      </c>
      <c r="AI19" s="4">
        <f t="shared" si="1"/>
        <v>15</v>
      </c>
      <c r="AJ19" s="4">
        <f t="shared" si="2"/>
        <v>9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3" t="s">
        <v>93</v>
      </c>
      <c r="C20" s="83" t="s">
        <v>137</v>
      </c>
      <c r="D20" s="5" t="s">
        <v>6</v>
      </c>
      <c r="E20" s="13" t="s">
        <v>25</v>
      </c>
      <c r="F20" s="13" t="s">
        <v>25</v>
      </c>
      <c r="G20" s="97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98"/>
      <c r="N20" s="97"/>
      <c r="O20" s="6" t="s">
        <v>24</v>
      </c>
      <c r="P20" s="6" t="s">
        <v>25</v>
      </c>
      <c r="Q20" s="6" t="s">
        <v>25</v>
      </c>
      <c r="R20" s="6" t="s">
        <v>25</v>
      </c>
      <c r="S20" s="99"/>
      <c r="T20" s="6" t="s">
        <v>25</v>
      </c>
      <c r="U20" s="97"/>
      <c r="V20" s="6" t="s">
        <v>25</v>
      </c>
      <c r="W20" s="6" t="s">
        <v>25</v>
      </c>
      <c r="X20" s="6" t="s">
        <v>24</v>
      </c>
      <c r="Y20" s="6" t="s">
        <v>25</v>
      </c>
      <c r="Z20" s="6" t="s">
        <v>25</v>
      </c>
      <c r="AA20" s="6" t="s">
        <v>25</v>
      </c>
      <c r="AB20" s="97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22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138</v>
      </c>
      <c r="C21" s="83" t="s">
        <v>139</v>
      </c>
      <c r="D21" s="5" t="s">
        <v>6</v>
      </c>
      <c r="E21" s="13" t="s">
        <v>25</v>
      </c>
      <c r="F21" s="13" t="s">
        <v>25</v>
      </c>
      <c r="G21" s="97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98"/>
      <c r="N21" s="97"/>
      <c r="O21" s="6" t="s">
        <v>25</v>
      </c>
      <c r="P21" s="6" t="s">
        <v>25</v>
      </c>
      <c r="Q21" s="6" t="s">
        <v>25</v>
      </c>
      <c r="R21" s="6" t="s">
        <v>24</v>
      </c>
      <c r="S21" s="99"/>
      <c r="T21" s="6" t="s">
        <v>25</v>
      </c>
      <c r="U21" s="97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24</v>
      </c>
      <c r="AB21" s="97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22</v>
      </c>
      <c r="AJ21" s="4">
        <f t="shared" si="2"/>
        <v>2</v>
      </c>
      <c r="AK21" s="4" t="s">
        <v>14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3" t="s">
        <v>140</v>
      </c>
      <c r="C22" s="83" t="s">
        <v>93</v>
      </c>
      <c r="D22" s="5" t="s">
        <v>6</v>
      </c>
      <c r="E22" s="13" t="s">
        <v>25</v>
      </c>
      <c r="F22" s="13" t="s">
        <v>25</v>
      </c>
      <c r="G22" s="97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98"/>
      <c r="N22" s="97"/>
      <c r="O22" s="6" t="s">
        <v>25</v>
      </c>
      <c r="P22" s="6" t="s">
        <v>25</v>
      </c>
      <c r="Q22" s="6" t="s">
        <v>25</v>
      </c>
      <c r="R22" s="6" t="s">
        <v>24</v>
      </c>
      <c r="S22" s="99"/>
      <c r="T22" s="6" t="s">
        <v>25</v>
      </c>
      <c r="U22" s="97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97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23</v>
      </c>
      <c r="AJ22" s="4">
        <f t="shared" si="2"/>
        <v>1</v>
      </c>
      <c r="AK22" s="4" t="s">
        <v>17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3" t="s">
        <v>141</v>
      </c>
      <c r="C23" s="83" t="s">
        <v>142</v>
      </c>
      <c r="D23" s="5" t="s">
        <v>6</v>
      </c>
      <c r="E23" s="13" t="s">
        <v>25</v>
      </c>
      <c r="F23" s="13" t="s">
        <v>25</v>
      </c>
      <c r="G23" s="97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98"/>
      <c r="N23" s="97"/>
      <c r="O23" s="6" t="s">
        <v>25</v>
      </c>
      <c r="P23" s="6" t="s">
        <v>25</v>
      </c>
      <c r="Q23" s="6" t="s">
        <v>25</v>
      </c>
      <c r="R23" s="6" t="s">
        <v>25</v>
      </c>
      <c r="S23" s="99"/>
      <c r="T23" s="6" t="s">
        <v>25</v>
      </c>
      <c r="U23" s="97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97"/>
      <c r="AC23" s="6" t="s">
        <v>24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23</v>
      </c>
      <c r="AJ23" s="4">
        <f t="shared" si="2"/>
        <v>1</v>
      </c>
      <c r="AK23" s="4" t="s">
        <v>16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143</v>
      </c>
      <c r="C24" s="83" t="s">
        <v>144</v>
      </c>
      <c r="D24" s="5" t="s">
        <v>6</v>
      </c>
      <c r="E24" s="13" t="s">
        <v>25</v>
      </c>
      <c r="F24" s="13" t="s">
        <v>25</v>
      </c>
      <c r="G24" s="97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98"/>
      <c r="N24" s="97"/>
      <c r="O24" s="6" t="s">
        <v>25</v>
      </c>
      <c r="P24" s="6" t="s">
        <v>25</v>
      </c>
      <c r="Q24" s="6" t="s">
        <v>25</v>
      </c>
      <c r="R24" s="6" t="s">
        <v>24</v>
      </c>
      <c r="S24" s="99"/>
      <c r="T24" s="6" t="s">
        <v>25</v>
      </c>
      <c r="U24" s="97"/>
      <c r="V24" s="6" t="s">
        <v>25</v>
      </c>
      <c r="W24" s="6" t="s">
        <v>25</v>
      </c>
      <c r="X24" s="6" t="s">
        <v>25</v>
      </c>
      <c r="Y24" s="6" t="s">
        <v>24</v>
      </c>
      <c r="Z24" s="6" t="s">
        <v>25</v>
      </c>
      <c r="AA24" s="6" t="s">
        <v>25</v>
      </c>
      <c r="AB24" s="97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22</v>
      </c>
      <c r="AJ24" s="4">
        <f t="shared" si="2"/>
        <v>2</v>
      </c>
    </row>
    <row r="25" spans="1:40" ht="16.5">
      <c r="A25" s="7">
        <v>21</v>
      </c>
      <c r="B25" s="83" t="s">
        <v>145</v>
      </c>
      <c r="C25" s="83" t="s">
        <v>146</v>
      </c>
      <c r="D25" s="5" t="s">
        <v>6</v>
      </c>
      <c r="E25" s="13" t="s">
        <v>25</v>
      </c>
      <c r="F25" s="13" t="s">
        <v>25</v>
      </c>
      <c r="G25" s="97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24</v>
      </c>
      <c r="M25" s="98"/>
      <c r="N25" s="97"/>
      <c r="O25" s="6" t="s">
        <v>25</v>
      </c>
      <c r="P25" s="6" t="s">
        <v>25</v>
      </c>
      <c r="Q25" s="6" t="s">
        <v>25</v>
      </c>
      <c r="R25" s="6" t="s">
        <v>24</v>
      </c>
      <c r="S25" s="99"/>
      <c r="T25" s="6" t="s">
        <v>25</v>
      </c>
      <c r="U25" s="97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97"/>
      <c r="AC25" s="6" t="s">
        <v>25</v>
      </c>
      <c r="AD25" s="6" t="s">
        <v>25</v>
      </c>
      <c r="AE25" s="6" t="s">
        <v>25</v>
      </c>
      <c r="AF25" s="6" t="s">
        <v>24</v>
      </c>
      <c r="AG25" s="6" t="s">
        <v>25</v>
      </c>
      <c r="AH25" s="6" t="s">
        <v>25</v>
      </c>
      <c r="AI25" s="4">
        <f t="shared" si="1"/>
        <v>21</v>
      </c>
      <c r="AJ25" s="4">
        <f t="shared" si="2"/>
        <v>3</v>
      </c>
    </row>
    <row r="26" spans="1:40" ht="16.5">
      <c r="A26" s="7">
        <v>22</v>
      </c>
      <c r="B26" s="83" t="s">
        <v>147</v>
      </c>
      <c r="C26" s="83" t="s">
        <v>148</v>
      </c>
      <c r="D26" s="5" t="s">
        <v>6</v>
      </c>
      <c r="E26" s="13" t="s">
        <v>25</v>
      </c>
      <c r="F26" s="13" t="s">
        <v>25</v>
      </c>
      <c r="G26" s="97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98"/>
      <c r="N26" s="97"/>
      <c r="O26" s="6" t="s">
        <v>25</v>
      </c>
      <c r="P26" s="6" t="s">
        <v>25</v>
      </c>
      <c r="Q26" s="6" t="s">
        <v>25</v>
      </c>
      <c r="R26" s="6" t="s">
        <v>24</v>
      </c>
      <c r="S26" s="99"/>
      <c r="T26" s="6" t="s">
        <v>25</v>
      </c>
      <c r="U26" s="97"/>
      <c r="V26" s="6" t="s">
        <v>25</v>
      </c>
      <c r="W26" s="6" t="s">
        <v>25</v>
      </c>
      <c r="X26" s="6" t="s">
        <v>25</v>
      </c>
      <c r="Y26" s="6" t="s">
        <v>24</v>
      </c>
      <c r="Z26" s="6" t="s">
        <v>25</v>
      </c>
      <c r="AA26" s="6" t="s">
        <v>25</v>
      </c>
      <c r="AB26" s="97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22</v>
      </c>
      <c r="AJ26" s="4">
        <f t="shared" si="2"/>
        <v>2</v>
      </c>
    </row>
    <row r="27" spans="1:40" ht="16.5">
      <c r="A27" s="7">
        <v>23</v>
      </c>
      <c r="B27" s="83" t="s">
        <v>149</v>
      </c>
      <c r="C27" s="83" t="s">
        <v>150</v>
      </c>
      <c r="D27" s="5" t="s">
        <v>6</v>
      </c>
      <c r="E27" s="13" t="s">
        <v>24</v>
      </c>
      <c r="F27" s="13" t="s">
        <v>25</v>
      </c>
      <c r="G27" s="97"/>
      <c r="H27" s="13" t="s">
        <v>25</v>
      </c>
      <c r="I27" s="13" t="s">
        <v>25</v>
      </c>
      <c r="J27" s="13" t="s">
        <v>26</v>
      </c>
      <c r="K27" s="13" t="s">
        <v>26</v>
      </c>
      <c r="L27" s="13" t="s">
        <v>26</v>
      </c>
      <c r="M27" s="98"/>
      <c r="N27" s="97"/>
      <c r="O27" s="6" t="s">
        <v>25</v>
      </c>
      <c r="P27" s="6" t="s">
        <v>24</v>
      </c>
      <c r="Q27" s="6" t="s">
        <v>25</v>
      </c>
      <c r="R27" s="6" t="s">
        <v>25</v>
      </c>
      <c r="S27" s="99"/>
      <c r="T27" s="6" t="s">
        <v>25</v>
      </c>
      <c r="U27" s="97"/>
      <c r="V27" s="6" t="s">
        <v>25</v>
      </c>
      <c r="W27" s="6" t="s">
        <v>25</v>
      </c>
      <c r="X27" s="6" t="s">
        <v>24</v>
      </c>
      <c r="Y27" s="6" t="s">
        <v>24</v>
      </c>
      <c r="Z27" s="6" t="s">
        <v>25</v>
      </c>
      <c r="AA27" s="6" t="s">
        <v>25</v>
      </c>
      <c r="AB27" s="97"/>
      <c r="AC27" s="6" t="s">
        <v>25</v>
      </c>
      <c r="AD27" s="6" t="s">
        <v>25</v>
      </c>
      <c r="AE27" s="6" t="s">
        <v>25</v>
      </c>
      <c r="AF27" s="6" t="s">
        <v>24</v>
      </c>
      <c r="AG27" s="6" t="s">
        <v>25</v>
      </c>
      <c r="AH27" s="6" t="s">
        <v>24</v>
      </c>
      <c r="AI27" s="4">
        <f t="shared" si="1"/>
        <v>15</v>
      </c>
      <c r="AJ27" s="4">
        <f t="shared" si="2"/>
        <v>6</v>
      </c>
    </row>
    <row r="28" spans="1:40" ht="16.5">
      <c r="A28" s="7">
        <v>24</v>
      </c>
      <c r="B28" s="83" t="s">
        <v>151</v>
      </c>
      <c r="C28" s="83" t="s">
        <v>152</v>
      </c>
      <c r="D28" s="5" t="s">
        <v>6</v>
      </c>
      <c r="E28" s="13" t="s">
        <v>25</v>
      </c>
      <c r="F28" s="13" t="s">
        <v>25</v>
      </c>
      <c r="G28" s="97"/>
      <c r="H28" s="13" t="s">
        <v>24</v>
      </c>
      <c r="I28" s="13" t="s">
        <v>25</v>
      </c>
      <c r="J28" s="13" t="s">
        <v>25</v>
      </c>
      <c r="K28" s="13" t="s">
        <v>25</v>
      </c>
      <c r="L28" s="13" t="s">
        <v>25</v>
      </c>
      <c r="M28" s="98"/>
      <c r="N28" s="97"/>
      <c r="O28" s="6" t="s">
        <v>25</v>
      </c>
      <c r="P28" s="6" t="s">
        <v>25</v>
      </c>
      <c r="Q28" s="6" t="s">
        <v>25</v>
      </c>
      <c r="R28" s="6" t="s">
        <v>25</v>
      </c>
      <c r="S28" s="99"/>
      <c r="T28" s="6" t="s">
        <v>25</v>
      </c>
      <c r="U28" s="97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97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24</v>
      </c>
      <c r="AI28" s="4">
        <f t="shared" si="1"/>
        <v>16</v>
      </c>
      <c r="AJ28" s="4">
        <f t="shared" si="2"/>
        <v>8</v>
      </c>
    </row>
    <row r="29" spans="1:40" ht="16.5">
      <c r="A29" s="7">
        <v>25</v>
      </c>
      <c r="B29" s="83" t="s">
        <v>153</v>
      </c>
      <c r="C29" s="83" t="s">
        <v>152</v>
      </c>
      <c r="D29" s="5" t="s">
        <v>6</v>
      </c>
      <c r="E29" s="13" t="s">
        <v>25</v>
      </c>
      <c r="F29" s="13" t="s">
        <v>25</v>
      </c>
      <c r="G29" s="97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98"/>
      <c r="N29" s="97"/>
      <c r="O29" s="6" t="s">
        <v>25</v>
      </c>
      <c r="P29" s="6" t="s">
        <v>25</v>
      </c>
      <c r="Q29" s="6" t="s">
        <v>25</v>
      </c>
      <c r="R29" s="6" t="s">
        <v>25</v>
      </c>
      <c r="S29" s="99"/>
      <c r="T29" s="6" t="s">
        <v>25</v>
      </c>
      <c r="U29" s="97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97"/>
      <c r="AC29" s="6" t="s">
        <v>24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23</v>
      </c>
      <c r="AJ29" s="4">
        <f t="shared" si="2"/>
        <v>1</v>
      </c>
    </row>
    <row r="30" spans="1:40" ht="16.5">
      <c r="A30" s="7">
        <v>26</v>
      </c>
      <c r="B30" s="83" t="s">
        <v>145</v>
      </c>
      <c r="C30" s="83" t="s">
        <v>47</v>
      </c>
      <c r="D30" s="5" t="s">
        <v>6</v>
      </c>
      <c r="E30" s="13" t="s">
        <v>25</v>
      </c>
      <c r="F30" s="13" t="s">
        <v>24</v>
      </c>
      <c r="G30" s="97"/>
      <c r="H30" s="13" t="s">
        <v>24</v>
      </c>
      <c r="I30" s="13" t="s">
        <v>25</v>
      </c>
      <c r="J30" s="13" t="s">
        <v>25</v>
      </c>
      <c r="K30" s="13" t="s">
        <v>25</v>
      </c>
      <c r="L30" s="13" t="s">
        <v>25</v>
      </c>
      <c r="M30" s="98"/>
      <c r="N30" s="97"/>
      <c r="O30" s="6" t="s">
        <v>25</v>
      </c>
      <c r="P30" s="6" t="s">
        <v>24</v>
      </c>
      <c r="Q30" s="6" t="s">
        <v>25</v>
      </c>
      <c r="R30" s="6" t="s">
        <v>25</v>
      </c>
      <c r="S30" s="99"/>
      <c r="T30" s="6" t="s">
        <v>25</v>
      </c>
      <c r="U30" s="97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97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21</v>
      </c>
      <c r="AJ30" s="4">
        <f t="shared" si="2"/>
        <v>3</v>
      </c>
    </row>
    <row r="31" spans="1:40" ht="16.5">
      <c r="A31" s="7">
        <v>27</v>
      </c>
      <c r="B31" s="83" t="s">
        <v>66</v>
      </c>
      <c r="C31" s="83" t="s">
        <v>154</v>
      </c>
      <c r="D31" s="5" t="s">
        <v>6</v>
      </c>
      <c r="E31" s="13" t="s">
        <v>25</v>
      </c>
      <c r="F31" s="13" t="s">
        <v>25</v>
      </c>
      <c r="G31" s="97"/>
      <c r="H31" s="13" t="s">
        <v>25</v>
      </c>
      <c r="I31" s="13" t="s">
        <v>25</v>
      </c>
      <c r="J31" s="13" t="s">
        <v>25</v>
      </c>
      <c r="K31" s="13" t="s">
        <v>26</v>
      </c>
      <c r="L31" s="13" t="s">
        <v>26</v>
      </c>
      <c r="M31" s="98"/>
      <c r="N31" s="97"/>
      <c r="O31" s="6" t="s">
        <v>24</v>
      </c>
      <c r="P31" s="6" t="s">
        <v>25</v>
      </c>
      <c r="Q31" s="6" t="s">
        <v>25</v>
      </c>
      <c r="R31" s="6" t="s">
        <v>25</v>
      </c>
      <c r="S31" s="99"/>
      <c r="T31" s="6" t="s">
        <v>24</v>
      </c>
      <c r="U31" s="97"/>
      <c r="V31" s="6" t="s">
        <v>24</v>
      </c>
      <c r="W31" s="6" t="s">
        <v>24</v>
      </c>
      <c r="X31" s="6" t="s">
        <v>25</v>
      </c>
      <c r="Y31" s="6" t="s">
        <v>25</v>
      </c>
      <c r="Z31" s="6" t="s">
        <v>25</v>
      </c>
      <c r="AA31" s="6" t="s">
        <v>25</v>
      </c>
      <c r="AB31" s="97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18</v>
      </c>
      <c r="AJ31" s="4">
        <f t="shared" si="2"/>
        <v>4</v>
      </c>
    </row>
    <row r="32" spans="1:40" ht="16.5">
      <c r="A32" s="7">
        <v>28</v>
      </c>
      <c r="B32" s="83" t="s">
        <v>155</v>
      </c>
      <c r="C32" s="83" t="s">
        <v>156</v>
      </c>
      <c r="D32" s="5" t="s">
        <v>6</v>
      </c>
      <c r="E32" s="13" t="s">
        <v>25</v>
      </c>
      <c r="F32" s="13" t="s">
        <v>25</v>
      </c>
      <c r="G32" s="97"/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25</v>
      </c>
      <c r="M32" s="98"/>
      <c r="N32" s="97"/>
      <c r="O32" s="6" t="s">
        <v>25</v>
      </c>
      <c r="P32" s="6" t="s">
        <v>25</v>
      </c>
      <c r="Q32" s="6" t="s">
        <v>25</v>
      </c>
      <c r="R32" s="6" t="s">
        <v>24</v>
      </c>
      <c r="S32" s="99"/>
      <c r="T32" s="6" t="s">
        <v>25</v>
      </c>
      <c r="U32" s="97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24</v>
      </c>
      <c r="AB32" s="97"/>
      <c r="AC32" s="6" t="s">
        <v>25</v>
      </c>
      <c r="AD32" s="6" t="s">
        <v>25</v>
      </c>
      <c r="AE32" s="6" t="s">
        <v>25</v>
      </c>
      <c r="AF32" s="6" t="s">
        <v>24</v>
      </c>
      <c r="AG32" s="6" t="s">
        <v>25</v>
      </c>
      <c r="AH32" s="6" t="s">
        <v>24</v>
      </c>
      <c r="AI32" s="4">
        <f t="shared" si="1"/>
        <v>16</v>
      </c>
      <c r="AJ32" s="4">
        <f t="shared" si="2"/>
        <v>8</v>
      </c>
    </row>
    <row r="33" spans="1:36" ht="16.5">
      <c r="A33" s="7">
        <v>29</v>
      </c>
      <c r="B33" s="83" t="s">
        <v>155</v>
      </c>
      <c r="C33" s="83" t="s">
        <v>157</v>
      </c>
      <c r="D33" s="5" t="s">
        <v>6</v>
      </c>
      <c r="E33" s="13" t="s">
        <v>25</v>
      </c>
      <c r="F33" s="13" t="s">
        <v>25</v>
      </c>
      <c r="G33" s="97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98"/>
      <c r="N33" s="97"/>
      <c r="O33" s="6" t="s">
        <v>25</v>
      </c>
      <c r="P33" s="6" t="s">
        <v>25</v>
      </c>
      <c r="Q33" s="6" t="s">
        <v>25</v>
      </c>
      <c r="R33" s="6" t="s">
        <v>25</v>
      </c>
      <c r="S33" s="99"/>
      <c r="T33" s="6" t="s">
        <v>25</v>
      </c>
      <c r="U33" s="97"/>
      <c r="V33" s="6" t="s">
        <v>25</v>
      </c>
      <c r="W33" s="6" t="s">
        <v>25</v>
      </c>
      <c r="X33" s="6" t="s">
        <v>25</v>
      </c>
      <c r="Y33" s="6" t="s">
        <v>25</v>
      </c>
      <c r="Z33" s="6" t="s">
        <v>25</v>
      </c>
      <c r="AA33" s="6" t="s">
        <v>26</v>
      </c>
      <c r="AB33" s="97"/>
      <c r="AC33" s="6" t="s">
        <v>26</v>
      </c>
      <c r="AD33" s="6" t="s">
        <v>24</v>
      </c>
      <c r="AE33" s="6" t="s">
        <v>25</v>
      </c>
      <c r="AF33" s="6" t="s">
        <v>26</v>
      </c>
      <c r="AG33" s="6" t="s">
        <v>26</v>
      </c>
      <c r="AH33" s="6" t="s">
        <v>26</v>
      </c>
      <c r="AI33" s="4">
        <f t="shared" si="1"/>
        <v>18</v>
      </c>
      <c r="AJ33" s="4">
        <f t="shared" si="2"/>
        <v>1</v>
      </c>
    </row>
    <row r="34" spans="1:36" ht="16.5">
      <c r="A34" s="7">
        <v>30</v>
      </c>
      <c r="B34" s="83" t="s">
        <v>158</v>
      </c>
      <c r="C34" s="83" t="s">
        <v>159</v>
      </c>
      <c r="D34" s="5" t="s">
        <v>6</v>
      </c>
      <c r="E34" s="13" t="s">
        <v>25</v>
      </c>
      <c r="F34" s="13" t="s">
        <v>25</v>
      </c>
      <c r="G34" s="97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98"/>
      <c r="N34" s="97"/>
      <c r="O34" s="6" t="s">
        <v>25</v>
      </c>
      <c r="P34" s="6" t="s">
        <v>25</v>
      </c>
      <c r="Q34" s="6" t="s">
        <v>25</v>
      </c>
      <c r="R34" s="6" t="s">
        <v>25</v>
      </c>
      <c r="S34" s="99"/>
      <c r="T34" s="6" t="s">
        <v>25</v>
      </c>
      <c r="U34" s="97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97"/>
      <c r="AC34" s="6" t="s">
        <v>25</v>
      </c>
      <c r="AD34" s="6" t="s">
        <v>25</v>
      </c>
      <c r="AE34" s="6" t="s">
        <v>25</v>
      </c>
      <c r="AF34" s="6" t="s">
        <v>26</v>
      </c>
      <c r="AG34" s="6" t="s">
        <v>25</v>
      </c>
      <c r="AH34" s="6" t="s">
        <v>25</v>
      </c>
      <c r="AI34" s="4">
        <f t="shared" si="1"/>
        <v>23</v>
      </c>
      <c r="AJ34" s="4">
        <f t="shared" si="2"/>
        <v>0</v>
      </c>
    </row>
    <row r="35" spans="1:36" ht="16.5">
      <c r="A35" s="7">
        <v>31</v>
      </c>
      <c r="B35" s="83" t="s">
        <v>160</v>
      </c>
      <c r="C35" s="83" t="s">
        <v>161</v>
      </c>
      <c r="D35" s="5" t="s">
        <v>6</v>
      </c>
      <c r="E35" s="13" t="s">
        <v>25</v>
      </c>
      <c r="F35" s="13" t="s">
        <v>25</v>
      </c>
      <c r="G35" s="97"/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98"/>
      <c r="N35" s="97"/>
      <c r="O35" s="6" t="s">
        <v>25</v>
      </c>
      <c r="P35" s="6" t="s">
        <v>25</v>
      </c>
      <c r="Q35" s="6" t="s">
        <v>25</v>
      </c>
      <c r="R35" s="6" t="s">
        <v>24</v>
      </c>
      <c r="S35" s="99"/>
      <c r="T35" s="6" t="s">
        <v>25</v>
      </c>
      <c r="U35" s="97"/>
      <c r="V35" s="6" t="s">
        <v>25</v>
      </c>
      <c r="W35" s="6" t="s">
        <v>24</v>
      </c>
      <c r="X35" s="6" t="s">
        <v>25</v>
      </c>
      <c r="Y35" s="6" t="s">
        <v>25</v>
      </c>
      <c r="Z35" s="6" t="s">
        <v>25</v>
      </c>
      <c r="AA35" s="6" t="s">
        <v>25</v>
      </c>
      <c r="AB35" s="97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24</v>
      </c>
      <c r="AI35" s="4">
        <f t="shared" si="1"/>
        <v>21</v>
      </c>
      <c r="AJ35" s="4">
        <f t="shared" si="2"/>
        <v>3</v>
      </c>
    </row>
    <row r="36" spans="1:36" ht="16.5">
      <c r="A36" s="7">
        <v>32</v>
      </c>
      <c r="B36" s="83" t="s">
        <v>162</v>
      </c>
      <c r="C36" s="83" t="s">
        <v>163</v>
      </c>
      <c r="D36" s="5" t="s">
        <v>6</v>
      </c>
      <c r="E36" s="13" t="s">
        <v>24</v>
      </c>
      <c r="F36" s="13" t="s">
        <v>25</v>
      </c>
      <c r="G36" s="97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98"/>
      <c r="N36" s="97"/>
      <c r="O36" s="6" t="s">
        <v>25</v>
      </c>
      <c r="P36" s="6" t="s">
        <v>25</v>
      </c>
      <c r="Q36" s="6" t="s">
        <v>25</v>
      </c>
      <c r="R36" s="6" t="s">
        <v>24</v>
      </c>
      <c r="S36" s="99"/>
      <c r="T36" s="6" t="s">
        <v>25</v>
      </c>
      <c r="U36" s="97"/>
      <c r="V36" s="6" t="s">
        <v>25</v>
      </c>
      <c r="W36" s="6" t="s">
        <v>25</v>
      </c>
      <c r="X36" s="6" t="s">
        <v>24</v>
      </c>
      <c r="Y36" s="6" t="s">
        <v>25</v>
      </c>
      <c r="Z36" s="6" t="s">
        <v>25</v>
      </c>
      <c r="AA36" s="6" t="s">
        <v>25</v>
      </c>
      <c r="AB36" s="97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21</v>
      </c>
      <c r="AJ36" s="4">
        <f t="shared" si="2"/>
        <v>3</v>
      </c>
    </row>
    <row r="37" spans="1:36" ht="16.5">
      <c r="A37" s="7">
        <v>33</v>
      </c>
      <c r="B37" s="83" t="s">
        <v>164</v>
      </c>
      <c r="C37" s="83" t="s">
        <v>117</v>
      </c>
      <c r="D37" s="5" t="s">
        <v>6</v>
      </c>
      <c r="E37" s="13" t="s">
        <v>24</v>
      </c>
      <c r="F37" s="13" t="s">
        <v>25</v>
      </c>
      <c r="G37" s="97"/>
      <c r="H37" s="13" t="s">
        <v>25</v>
      </c>
      <c r="I37" s="13" t="s">
        <v>25</v>
      </c>
      <c r="J37" s="13" t="s">
        <v>24</v>
      </c>
      <c r="K37" s="13" t="s">
        <v>25</v>
      </c>
      <c r="L37" s="13" t="s">
        <v>25</v>
      </c>
      <c r="M37" s="98"/>
      <c r="N37" s="97"/>
      <c r="O37" s="6" t="s">
        <v>25</v>
      </c>
      <c r="P37" s="6" t="s">
        <v>25</v>
      </c>
      <c r="Q37" s="6" t="s">
        <v>25</v>
      </c>
      <c r="R37" s="6" t="s">
        <v>24</v>
      </c>
      <c r="S37" s="99"/>
      <c r="T37" s="6" t="s">
        <v>24</v>
      </c>
      <c r="U37" s="97"/>
      <c r="V37" s="6" t="s">
        <v>24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97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si="1"/>
        <v>19</v>
      </c>
      <c r="AJ37" s="4">
        <f t="shared" si="2"/>
        <v>5</v>
      </c>
    </row>
    <row r="38" spans="1:36" ht="16.5">
      <c r="A38" s="7">
        <v>34</v>
      </c>
      <c r="B38" s="83" t="s">
        <v>38</v>
      </c>
      <c r="C38" s="83" t="s">
        <v>165</v>
      </c>
      <c r="D38" s="5" t="s">
        <v>6</v>
      </c>
      <c r="E38" s="13" t="s">
        <v>25</v>
      </c>
      <c r="F38" s="13" t="s">
        <v>24</v>
      </c>
      <c r="G38" s="97"/>
      <c r="H38" s="13" t="s">
        <v>25</v>
      </c>
      <c r="I38" s="13" t="s">
        <v>25</v>
      </c>
      <c r="J38" s="13" t="s">
        <v>24</v>
      </c>
      <c r="K38" s="13" t="s">
        <v>25</v>
      </c>
      <c r="L38" s="13" t="s">
        <v>24</v>
      </c>
      <c r="M38" s="98"/>
      <c r="N38" s="97"/>
      <c r="O38" s="6" t="s">
        <v>25</v>
      </c>
      <c r="P38" s="6" t="s">
        <v>25</v>
      </c>
      <c r="Q38" s="6" t="s">
        <v>25</v>
      </c>
      <c r="R38" s="6" t="s">
        <v>24</v>
      </c>
      <c r="S38" s="99"/>
      <c r="T38" s="6" t="s">
        <v>25</v>
      </c>
      <c r="U38" s="97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97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20</v>
      </c>
      <c r="AJ38" s="4">
        <f t="shared" si="2"/>
        <v>4</v>
      </c>
    </row>
    <row r="39" spans="1:36" ht="16.5">
      <c r="A39" s="7">
        <v>35</v>
      </c>
      <c r="B39" s="83" t="s">
        <v>42</v>
      </c>
      <c r="C39" s="83" t="s">
        <v>166</v>
      </c>
      <c r="D39" s="5" t="s">
        <v>6</v>
      </c>
      <c r="E39" s="13" t="s">
        <v>24</v>
      </c>
      <c r="F39" s="13" t="s">
        <v>24</v>
      </c>
      <c r="G39" s="97"/>
      <c r="H39" s="13" t="s">
        <v>24</v>
      </c>
      <c r="I39" s="13" t="s">
        <v>25</v>
      </c>
      <c r="J39" s="13" t="s">
        <v>24</v>
      </c>
      <c r="K39" s="13" t="s">
        <v>25</v>
      </c>
      <c r="L39" s="13" t="s">
        <v>25</v>
      </c>
      <c r="M39" s="98"/>
      <c r="N39" s="97"/>
      <c r="O39" s="6" t="s">
        <v>25</v>
      </c>
      <c r="P39" s="6" t="s">
        <v>25</v>
      </c>
      <c r="Q39" s="6" t="s">
        <v>24</v>
      </c>
      <c r="R39" s="6" t="s">
        <v>25</v>
      </c>
      <c r="S39" s="99"/>
      <c r="T39" s="6" t="s">
        <v>24</v>
      </c>
      <c r="U39" s="97"/>
      <c r="V39" s="6" t="s">
        <v>24</v>
      </c>
      <c r="W39" s="6" t="s">
        <v>25</v>
      </c>
      <c r="X39" s="6" t="s">
        <v>25</v>
      </c>
      <c r="Y39" s="6" t="s">
        <v>25</v>
      </c>
      <c r="Z39" s="6" t="s">
        <v>25</v>
      </c>
      <c r="AA39" s="6" t="s">
        <v>25</v>
      </c>
      <c r="AB39" s="97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24</v>
      </c>
      <c r="AI39" s="4">
        <f t="shared" si="1"/>
        <v>15</v>
      </c>
      <c r="AJ39" s="4">
        <f t="shared" si="2"/>
        <v>9</v>
      </c>
    </row>
    <row r="40" spans="1:36" ht="16.5">
      <c r="A40" s="7">
        <v>36</v>
      </c>
      <c r="B40" s="83" t="s">
        <v>84</v>
      </c>
      <c r="C40" s="83" t="s">
        <v>167</v>
      </c>
      <c r="D40" s="5" t="s">
        <v>6</v>
      </c>
      <c r="E40" s="13" t="s">
        <v>25</v>
      </c>
      <c r="F40" s="13" t="s">
        <v>25</v>
      </c>
      <c r="G40" s="97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98"/>
      <c r="N40" s="97"/>
      <c r="O40" s="6" t="s">
        <v>25</v>
      </c>
      <c r="P40" s="6" t="s">
        <v>25</v>
      </c>
      <c r="Q40" s="6" t="s">
        <v>25</v>
      </c>
      <c r="R40" s="6" t="s">
        <v>25</v>
      </c>
      <c r="S40" s="99"/>
      <c r="T40" s="6" t="s">
        <v>25</v>
      </c>
      <c r="U40" s="97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97"/>
      <c r="AC40" s="6" t="s">
        <v>25</v>
      </c>
      <c r="AD40" s="6" t="s">
        <v>25</v>
      </c>
      <c r="AE40" s="6" t="s">
        <v>25</v>
      </c>
      <c r="AF40" s="6" t="s">
        <v>24</v>
      </c>
      <c r="AG40" s="6" t="s">
        <v>25</v>
      </c>
      <c r="AH40" s="6" t="s">
        <v>24</v>
      </c>
      <c r="AI40" s="4">
        <f t="shared" si="1"/>
        <v>22</v>
      </c>
      <c r="AJ40" s="4">
        <f t="shared" si="2"/>
        <v>2</v>
      </c>
    </row>
  </sheetData>
  <mergeCells count="17">
    <mergeCell ref="A1:AH1"/>
    <mergeCell ref="A2:AH2"/>
    <mergeCell ref="A3:A4"/>
    <mergeCell ref="B3:B4"/>
    <mergeCell ref="C3:C4"/>
    <mergeCell ref="D3:D4"/>
    <mergeCell ref="AK19:AN19"/>
    <mergeCell ref="AI3:AI4"/>
    <mergeCell ref="AJ3:AJ4"/>
    <mergeCell ref="AK3:AL3"/>
    <mergeCell ref="G5:G40"/>
    <mergeCell ref="M5:M40"/>
    <mergeCell ref="N5:N40"/>
    <mergeCell ref="S5:S40"/>
    <mergeCell ref="U5:U40"/>
    <mergeCell ref="AB5:AB40"/>
    <mergeCell ref="AK11:AN11"/>
  </mergeCells>
  <conditionalFormatting sqref="E3:AH5 E6:F40 H6:L40 O6:R40 T6:T40 V6:AA40 AC6:AH40">
    <cfRule type="expression" dxfId="136" priority="8">
      <formula>E$4=TODAY()</formula>
    </cfRule>
    <cfRule type="expression" dxfId="135" priority="11">
      <formula>E$3="Sun"</formula>
    </cfRule>
  </conditionalFormatting>
  <conditionalFormatting sqref="E5:AH5 E6:F40 H6:L40 O6:R40 T6:T40 V6:AA40 AC6:AH40">
    <cfRule type="cellIs" dxfId="134" priority="7" operator="equal">
      <formula>"L"</formula>
    </cfRule>
    <cfRule type="cellIs" dxfId="133" priority="9" operator="equal">
      <formula>"A"</formula>
    </cfRule>
    <cfRule type="cellIs" dxfId="132" priority="10" operator="equal">
      <formula>"P"</formula>
    </cfRule>
  </conditionalFormatting>
  <conditionalFormatting sqref="AI3:AJ3 AI5:AJ40">
    <cfRule type="expression" dxfId="131" priority="12">
      <formula>#REF!="Sun"</formula>
    </cfRule>
  </conditionalFormatting>
  <conditionalFormatting sqref="AK5:AK9">
    <cfRule type="expression" dxfId="130" priority="4">
      <formula>AK$3="Sun"</formula>
    </cfRule>
  </conditionalFormatting>
  <conditionalFormatting sqref="AK12:AK15">
    <cfRule type="expression" dxfId="129" priority="2">
      <formula>AK$3="Sun"</formula>
    </cfRule>
  </conditionalFormatting>
  <conditionalFormatting sqref="AK20:AK23">
    <cfRule type="expression" dxfId="128" priority="1">
      <formula>AK$3="Sun"</formula>
    </cfRule>
  </conditionalFormatting>
  <conditionalFormatting sqref="AK4:AL4">
    <cfRule type="expression" dxfId="127" priority="5">
      <formula>AK$3="Sun"</formula>
    </cfRule>
  </conditionalFormatting>
  <conditionalFormatting sqref="AL12:AN12 AL20:AN20">
    <cfRule type="expression" dxfId="126" priority="6">
      <formula>AL$3="Sun"</formula>
    </cfRule>
  </conditionalFormatting>
  <conditionalFormatting sqref="AN21">
    <cfRule type="expression" dxfId="125" priority="3">
      <formula>AN$3="Sun"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N45"/>
  <sheetViews>
    <sheetView tabSelected="1" workbookViewId="0">
      <selection activeCell="Y7" sqref="Y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7" width="3.85546875" style="1" bestFit="1"/>
    <col min="8" max="9" width="3.7109375" style="1" bestFit="1" customWidth="1"/>
    <col min="10" max="10" width="3.85546875" style="1" bestFit="1"/>
    <col min="11" max="11" width="4.5703125" style="1" bestFit="1" customWidth="1"/>
    <col min="12" max="12" width="3.85546875" style="1" bestFit="1"/>
    <col min="13" max="13" width="4.7109375" style="1" bestFit="1" customWidth="1"/>
    <col min="14" max="14" width="3.85546875" style="1" bestFit="1"/>
    <col min="15" max="16" width="3.7109375" style="1" bestFit="1" customWidth="1"/>
    <col min="17" max="17" width="3.85546875" style="1" bestFit="1"/>
    <col min="18" max="18" width="4.5703125" style="1" bestFit="1" customWidth="1"/>
    <col min="19" max="19" width="3.85546875" style="1" bestFit="1"/>
    <col min="20" max="20" width="4.7109375" style="1" bestFit="1" customWidth="1"/>
    <col min="21" max="21" width="3.85546875" style="1" bestFit="1"/>
    <col min="22" max="23" width="3.7109375" style="1" bestFit="1" customWidth="1"/>
    <col min="24" max="24" width="3.85546875" style="1" bestFit="1"/>
    <col min="25" max="25" width="4.5703125" style="1" bestFit="1" customWidth="1"/>
    <col min="26" max="26" width="3.85546875" style="1" bestFit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 bestFit="1"/>
    <col min="34" max="34" width="4.7109375" style="1" bestFit="1" customWidth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1"/>
      <c r="AJ1" s="11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2"/>
      <c r="AJ2" s="12"/>
      <c r="AK2" s="12"/>
    </row>
    <row r="3" spans="1:40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2"/>
      <c r="B4" s="102"/>
      <c r="C4" s="102"/>
      <c r="D4" s="102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4" t="s">
        <v>92</v>
      </c>
      <c r="C5" s="84" t="s">
        <v>168</v>
      </c>
      <c r="D5" s="5" t="s">
        <v>408</v>
      </c>
      <c r="E5" s="13" t="s">
        <v>25</v>
      </c>
      <c r="F5" s="13" t="s">
        <v>25</v>
      </c>
      <c r="G5" s="113" t="s">
        <v>29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18" t="s">
        <v>30</v>
      </c>
      <c r="N5" s="115" t="s">
        <v>29</v>
      </c>
      <c r="O5" s="6" t="s">
        <v>24</v>
      </c>
      <c r="P5" s="6" t="s">
        <v>25</v>
      </c>
      <c r="Q5" s="6" t="s">
        <v>25</v>
      </c>
      <c r="R5" s="6" t="s">
        <v>25</v>
      </c>
      <c r="S5" s="117" t="s">
        <v>25</v>
      </c>
      <c r="T5" s="6" t="s">
        <v>25</v>
      </c>
      <c r="U5" s="115" t="s">
        <v>29</v>
      </c>
      <c r="V5" s="6" t="s">
        <v>24</v>
      </c>
      <c r="W5" s="6" t="s">
        <v>25</v>
      </c>
      <c r="X5" s="6" t="s">
        <v>25</v>
      </c>
      <c r="Y5" s="6" t="s">
        <v>24</v>
      </c>
      <c r="Z5" s="6" t="s">
        <v>24</v>
      </c>
      <c r="AA5" s="6" t="s">
        <v>25</v>
      </c>
      <c r="AB5" s="105" t="s">
        <v>29</v>
      </c>
      <c r="AC5" s="6" t="s">
        <v>26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26</v>
      </c>
      <c r="AI5" s="4">
        <f t="shared" ref="AI5:AI36" si="1">COUNTIF(E5:AH5,"P")</f>
        <v>19</v>
      </c>
      <c r="AJ5" s="4">
        <f t="shared" ref="AJ5:AJ36" si="2">COUNTIF(E5:AH5,"A")</f>
        <v>4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4" t="s">
        <v>169</v>
      </c>
      <c r="C6" s="84" t="s">
        <v>170</v>
      </c>
      <c r="D6" s="5" t="s">
        <v>408</v>
      </c>
      <c r="E6" s="13" t="s">
        <v>25</v>
      </c>
      <c r="F6" s="13" t="s">
        <v>25</v>
      </c>
      <c r="G6" s="114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24</v>
      </c>
      <c r="M6" s="119"/>
      <c r="N6" s="116"/>
      <c r="O6" s="6" t="s">
        <v>25</v>
      </c>
      <c r="P6" s="6" t="s">
        <v>25</v>
      </c>
      <c r="Q6" s="6" t="s">
        <v>24</v>
      </c>
      <c r="R6" s="6" t="s">
        <v>25</v>
      </c>
      <c r="S6" s="117" t="s">
        <v>25</v>
      </c>
      <c r="T6" s="6" t="s">
        <v>25</v>
      </c>
      <c r="U6" s="116"/>
      <c r="V6" s="6" t="s">
        <v>26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106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22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4" t="s">
        <v>54</v>
      </c>
      <c r="C7" s="84" t="s">
        <v>171</v>
      </c>
      <c r="D7" s="5" t="s">
        <v>408</v>
      </c>
      <c r="E7" s="13" t="s">
        <v>25</v>
      </c>
      <c r="F7" s="13" t="s">
        <v>24</v>
      </c>
      <c r="G7" s="114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119"/>
      <c r="N7" s="116"/>
      <c r="O7" s="6" t="s">
        <v>25</v>
      </c>
      <c r="P7" s="6" t="s">
        <v>25</v>
      </c>
      <c r="Q7" s="6" t="s">
        <v>25</v>
      </c>
      <c r="R7" s="6" t="s">
        <v>25</v>
      </c>
      <c r="S7" s="117" t="s">
        <v>25</v>
      </c>
      <c r="T7" s="6" t="s">
        <v>24</v>
      </c>
      <c r="U7" s="116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24</v>
      </c>
      <c r="AB7" s="106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24</v>
      </c>
      <c r="AI7" s="4">
        <f t="shared" si="1"/>
        <v>21</v>
      </c>
      <c r="AJ7" s="4">
        <f t="shared" si="2"/>
        <v>4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4" t="s">
        <v>172</v>
      </c>
      <c r="C8" s="84" t="s">
        <v>173</v>
      </c>
      <c r="D8" s="5" t="s">
        <v>408</v>
      </c>
      <c r="E8" s="13" t="s">
        <v>25</v>
      </c>
      <c r="F8" s="13" t="s">
        <v>24</v>
      </c>
      <c r="G8" s="114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19"/>
      <c r="N8" s="116"/>
      <c r="O8" s="6" t="s">
        <v>25</v>
      </c>
      <c r="P8" s="6" t="s">
        <v>25</v>
      </c>
      <c r="Q8" s="6" t="s">
        <v>25</v>
      </c>
      <c r="R8" s="6" t="s">
        <v>25</v>
      </c>
      <c r="S8" s="117" t="s">
        <v>25</v>
      </c>
      <c r="T8" s="6" t="s">
        <v>25</v>
      </c>
      <c r="U8" s="116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24</v>
      </c>
      <c r="AB8" s="106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24</v>
      </c>
      <c r="AI8" s="4">
        <f t="shared" si="1"/>
        <v>21</v>
      </c>
      <c r="AJ8" s="4">
        <f t="shared" si="2"/>
        <v>4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4" t="s">
        <v>174</v>
      </c>
      <c r="C9" s="84" t="s">
        <v>175</v>
      </c>
      <c r="D9" s="5" t="s">
        <v>408</v>
      </c>
      <c r="E9" s="13" t="s">
        <v>25</v>
      </c>
      <c r="F9" s="13" t="s">
        <v>25</v>
      </c>
      <c r="G9" s="114"/>
      <c r="H9" s="13" t="s">
        <v>25</v>
      </c>
      <c r="I9" s="13" t="s">
        <v>24</v>
      </c>
      <c r="J9" s="13" t="s">
        <v>26</v>
      </c>
      <c r="K9" s="13" t="s">
        <v>26</v>
      </c>
      <c r="L9" s="13" t="s">
        <v>26</v>
      </c>
      <c r="M9" s="119"/>
      <c r="N9" s="116"/>
      <c r="O9" s="6" t="s">
        <v>26</v>
      </c>
      <c r="P9" s="6" t="s">
        <v>25</v>
      </c>
      <c r="Q9" s="6" t="s">
        <v>25</v>
      </c>
      <c r="R9" s="6" t="s">
        <v>25</v>
      </c>
      <c r="S9" s="117" t="s">
        <v>25</v>
      </c>
      <c r="T9" s="6" t="s">
        <v>26</v>
      </c>
      <c r="U9" s="116"/>
      <c r="V9" s="6" t="s">
        <v>24</v>
      </c>
      <c r="W9" s="6" t="s">
        <v>24</v>
      </c>
      <c r="X9" s="6" t="s">
        <v>24</v>
      </c>
      <c r="Y9" s="6" t="s">
        <v>25</v>
      </c>
      <c r="Z9" s="6" t="s">
        <v>25</v>
      </c>
      <c r="AA9" s="6" t="s">
        <v>24</v>
      </c>
      <c r="AB9" s="106"/>
      <c r="AC9" s="6" t="s">
        <v>26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13</v>
      </c>
      <c r="AJ9" s="4">
        <f t="shared" si="2"/>
        <v>6</v>
      </c>
      <c r="AK9" s="4"/>
      <c r="AL9" s="7"/>
    </row>
    <row r="10" spans="1:40" ht="16.5">
      <c r="A10" s="7">
        <v>6</v>
      </c>
      <c r="B10" s="84" t="s">
        <v>176</v>
      </c>
      <c r="C10" s="84" t="s">
        <v>177</v>
      </c>
      <c r="D10" s="5" t="s">
        <v>408</v>
      </c>
      <c r="E10" s="13" t="s">
        <v>24</v>
      </c>
      <c r="F10" s="13" t="s">
        <v>25</v>
      </c>
      <c r="G10" s="114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119"/>
      <c r="N10" s="116"/>
      <c r="O10" s="6" t="s">
        <v>24</v>
      </c>
      <c r="P10" s="6" t="s">
        <v>25</v>
      </c>
      <c r="Q10" s="6" t="s">
        <v>25</v>
      </c>
      <c r="R10" s="6" t="s">
        <v>25</v>
      </c>
      <c r="S10" s="117" t="s">
        <v>25</v>
      </c>
      <c r="T10" s="6" t="s">
        <v>25</v>
      </c>
      <c r="U10" s="116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106"/>
      <c r="AC10" s="6" t="s">
        <v>25</v>
      </c>
      <c r="AD10" s="6" t="s">
        <v>25</v>
      </c>
      <c r="AE10" s="6" t="s">
        <v>24</v>
      </c>
      <c r="AF10" s="6" t="s">
        <v>25</v>
      </c>
      <c r="AG10" s="6" t="s">
        <v>25</v>
      </c>
      <c r="AH10" s="6" t="s">
        <v>25</v>
      </c>
      <c r="AI10" s="4">
        <f t="shared" si="1"/>
        <v>22</v>
      </c>
      <c r="AJ10" s="4">
        <f t="shared" si="2"/>
        <v>3</v>
      </c>
    </row>
    <row r="11" spans="1:40" ht="16.5">
      <c r="A11" s="7">
        <v>7</v>
      </c>
      <c r="B11" s="84" t="s">
        <v>178</v>
      </c>
      <c r="C11" s="84" t="s">
        <v>179</v>
      </c>
      <c r="D11" s="5" t="s">
        <v>408</v>
      </c>
      <c r="E11" s="13" t="s">
        <v>25</v>
      </c>
      <c r="F11" s="13" t="s">
        <v>24</v>
      </c>
      <c r="G11" s="114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24</v>
      </c>
      <c r="M11" s="119"/>
      <c r="N11" s="116"/>
      <c r="O11" s="6" t="s">
        <v>25</v>
      </c>
      <c r="P11" s="6" t="s">
        <v>25</v>
      </c>
      <c r="Q11" s="6" t="s">
        <v>25</v>
      </c>
      <c r="R11" s="6" t="s">
        <v>24</v>
      </c>
      <c r="S11" s="117" t="s">
        <v>25</v>
      </c>
      <c r="T11" s="6" t="s">
        <v>24</v>
      </c>
      <c r="U11" s="116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24</v>
      </c>
      <c r="AB11" s="106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20</v>
      </c>
      <c r="AJ11" s="4">
        <f t="shared" si="2"/>
        <v>5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4" t="s">
        <v>180</v>
      </c>
      <c r="C12" s="84" t="s">
        <v>181</v>
      </c>
      <c r="D12" s="5" t="s">
        <v>408</v>
      </c>
      <c r="E12" s="13" t="s">
        <v>25</v>
      </c>
      <c r="F12" s="13" t="s">
        <v>24</v>
      </c>
      <c r="G12" s="114"/>
      <c r="H12" s="13" t="s">
        <v>25</v>
      </c>
      <c r="I12" s="13" t="s">
        <v>25</v>
      </c>
      <c r="J12" s="13" t="s">
        <v>24</v>
      </c>
      <c r="K12" s="13" t="s">
        <v>25</v>
      </c>
      <c r="L12" s="13" t="s">
        <v>25</v>
      </c>
      <c r="M12" s="119"/>
      <c r="N12" s="116"/>
      <c r="O12" s="6" t="s">
        <v>25</v>
      </c>
      <c r="P12" s="6" t="s">
        <v>24</v>
      </c>
      <c r="Q12" s="6" t="s">
        <v>25</v>
      </c>
      <c r="R12" s="6" t="s">
        <v>25</v>
      </c>
      <c r="S12" s="117" t="s">
        <v>25</v>
      </c>
      <c r="T12" s="6" t="s">
        <v>25</v>
      </c>
      <c r="U12" s="116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06"/>
      <c r="AC12" s="6" t="s">
        <v>25</v>
      </c>
      <c r="AD12" s="6" t="s">
        <v>24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21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4" t="s">
        <v>182</v>
      </c>
      <c r="C13" s="84" t="s">
        <v>181</v>
      </c>
      <c r="D13" s="5" t="s">
        <v>408</v>
      </c>
      <c r="E13" s="13" t="s">
        <v>25</v>
      </c>
      <c r="F13" s="13" t="s">
        <v>24</v>
      </c>
      <c r="G13" s="114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19"/>
      <c r="N13" s="116"/>
      <c r="O13" s="6" t="s">
        <v>25</v>
      </c>
      <c r="P13" s="6" t="s">
        <v>25</v>
      </c>
      <c r="Q13" s="6" t="s">
        <v>25</v>
      </c>
      <c r="R13" s="6" t="s">
        <v>25</v>
      </c>
      <c r="S13" s="117" t="s">
        <v>25</v>
      </c>
      <c r="T13" s="6" t="s">
        <v>25</v>
      </c>
      <c r="U13" s="116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06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24</v>
      </c>
      <c r="AJ13" s="4">
        <f t="shared" si="2"/>
        <v>1</v>
      </c>
      <c r="AK13" s="4" t="s">
        <v>14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4" t="s">
        <v>183</v>
      </c>
      <c r="C14" s="84" t="s">
        <v>184</v>
      </c>
      <c r="D14" s="5" t="s">
        <v>408</v>
      </c>
      <c r="E14" s="13" t="s">
        <v>24</v>
      </c>
      <c r="F14" s="13" t="s">
        <v>24</v>
      </c>
      <c r="G14" s="114"/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19"/>
      <c r="N14" s="116"/>
      <c r="O14" s="6" t="s">
        <v>25</v>
      </c>
      <c r="P14" s="6" t="s">
        <v>25</v>
      </c>
      <c r="Q14" s="6" t="s">
        <v>25</v>
      </c>
      <c r="R14" s="6" t="s">
        <v>24</v>
      </c>
      <c r="S14" s="117" t="s">
        <v>25</v>
      </c>
      <c r="T14" s="6" t="s">
        <v>25</v>
      </c>
      <c r="U14" s="116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06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22</v>
      </c>
      <c r="AJ14" s="4">
        <f t="shared" si="2"/>
        <v>3</v>
      </c>
      <c r="AK14" s="4" t="s">
        <v>15</v>
      </c>
      <c r="AL14" s="7" t="e">
        <f>SUM(AI6,AI9,AI11,AI13,AI16,AI21,AI22,AI23,AI24,AI25,AI26,AI27,AI32,AI34,AI36,AI40,#REF!,#REF!,#REF!,#REF!,#REF!,#REF!,#REF!,#REF!,#REF!,#REF!,#REF!)</f>
        <v>#REF!</v>
      </c>
      <c r="AM14" s="7" t="e">
        <f>SUM(AI5,AI7,AI8,AI10,AI12,AI14,AI15,AI17,AI18,AI19,AI20,AI28,AI29,AI30,AI31,AI33,AI35,AI37,AI38,AI39,#REF!,#REF!,#REF!,#REF!,#REF!,#REF!,#REF!)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4" t="s">
        <v>185</v>
      </c>
      <c r="C15" s="84" t="s">
        <v>186</v>
      </c>
      <c r="D15" s="5" t="s">
        <v>408</v>
      </c>
      <c r="E15" s="13" t="s">
        <v>25</v>
      </c>
      <c r="F15" s="13" t="s">
        <v>25</v>
      </c>
      <c r="G15" s="114"/>
      <c r="H15" s="13" t="s">
        <v>24</v>
      </c>
      <c r="I15" s="13" t="s">
        <v>25</v>
      </c>
      <c r="J15" s="13" t="s">
        <v>25</v>
      </c>
      <c r="K15" s="13" t="s">
        <v>25</v>
      </c>
      <c r="L15" s="13" t="s">
        <v>25</v>
      </c>
      <c r="M15" s="119"/>
      <c r="N15" s="116"/>
      <c r="O15" s="6" t="s">
        <v>24</v>
      </c>
      <c r="P15" s="6" t="s">
        <v>25</v>
      </c>
      <c r="Q15" s="6" t="s">
        <v>24</v>
      </c>
      <c r="R15" s="6" t="s">
        <v>25</v>
      </c>
      <c r="S15" s="117" t="s">
        <v>25</v>
      </c>
      <c r="T15" s="6" t="s">
        <v>25</v>
      </c>
      <c r="U15" s="116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06"/>
      <c r="AC15" s="6" t="s">
        <v>25</v>
      </c>
      <c r="AD15" s="6" t="s">
        <v>25</v>
      </c>
      <c r="AE15" s="6" t="s">
        <v>25</v>
      </c>
      <c r="AF15" s="6" t="s">
        <v>24</v>
      </c>
      <c r="AG15" s="6" t="s">
        <v>25</v>
      </c>
      <c r="AH15" s="6" t="s">
        <v>24</v>
      </c>
      <c r="AI15" s="4">
        <f t="shared" si="1"/>
        <v>20</v>
      </c>
      <c r="AJ15" s="4">
        <f t="shared" si="2"/>
        <v>5</v>
      </c>
      <c r="AK15" s="4" t="s">
        <v>16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4" t="s">
        <v>187</v>
      </c>
      <c r="C16" s="84" t="s">
        <v>188</v>
      </c>
      <c r="D16" s="5" t="s">
        <v>408</v>
      </c>
      <c r="E16" s="13" t="s">
        <v>25</v>
      </c>
      <c r="F16" s="13" t="s">
        <v>25</v>
      </c>
      <c r="G16" s="114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19"/>
      <c r="N16" s="116"/>
      <c r="O16" s="6" t="s">
        <v>25</v>
      </c>
      <c r="P16" s="6" t="s">
        <v>25</v>
      </c>
      <c r="Q16" s="6" t="s">
        <v>25</v>
      </c>
      <c r="R16" s="6" t="s">
        <v>25</v>
      </c>
      <c r="S16" s="117" t="s">
        <v>25</v>
      </c>
      <c r="T16" s="6" t="s">
        <v>25</v>
      </c>
      <c r="U16" s="116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106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25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4" t="s">
        <v>189</v>
      </c>
      <c r="C17" s="84" t="s">
        <v>190</v>
      </c>
      <c r="D17" s="5" t="s">
        <v>408</v>
      </c>
      <c r="E17" s="13" t="s">
        <v>25</v>
      </c>
      <c r="F17" s="13" t="s">
        <v>25</v>
      </c>
      <c r="G17" s="114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19"/>
      <c r="N17" s="116"/>
      <c r="O17" s="6" t="s">
        <v>25</v>
      </c>
      <c r="P17" s="6" t="s">
        <v>25</v>
      </c>
      <c r="Q17" s="6" t="s">
        <v>24</v>
      </c>
      <c r="R17" s="6" t="s">
        <v>24</v>
      </c>
      <c r="S17" s="117" t="s">
        <v>25</v>
      </c>
      <c r="T17" s="6" t="s">
        <v>25</v>
      </c>
      <c r="U17" s="116"/>
      <c r="V17" s="6" t="s">
        <v>25</v>
      </c>
      <c r="W17" s="6" t="s">
        <v>24</v>
      </c>
      <c r="X17" s="6" t="s">
        <v>24</v>
      </c>
      <c r="Y17" s="6" t="s">
        <v>25</v>
      </c>
      <c r="Z17" s="6" t="s">
        <v>25</v>
      </c>
      <c r="AA17" s="6" t="s">
        <v>24</v>
      </c>
      <c r="AB17" s="106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20</v>
      </c>
      <c r="AJ17" s="4">
        <f t="shared" si="2"/>
        <v>5</v>
      </c>
      <c r="AK17"/>
      <c r="AL17"/>
      <c r="AM17"/>
      <c r="AN17"/>
    </row>
    <row r="18" spans="1:40" ht="16.5">
      <c r="A18" s="7">
        <v>14</v>
      </c>
      <c r="B18" s="84" t="s">
        <v>191</v>
      </c>
      <c r="C18" s="84" t="s">
        <v>192</v>
      </c>
      <c r="D18" s="5" t="s">
        <v>408</v>
      </c>
      <c r="E18" s="13" t="s">
        <v>25</v>
      </c>
      <c r="F18" s="13" t="s">
        <v>25</v>
      </c>
      <c r="G18" s="114"/>
      <c r="H18" s="13" t="s">
        <v>24</v>
      </c>
      <c r="I18" s="13" t="s">
        <v>25</v>
      </c>
      <c r="J18" s="13" t="s">
        <v>25</v>
      </c>
      <c r="K18" s="13" t="s">
        <v>24</v>
      </c>
      <c r="L18" s="13" t="s">
        <v>25</v>
      </c>
      <c r="M18" s="119"/>
      <c r="N18" s="116"/>
      <c r="O18" s="6" t="s">
        <v>25</v>
      </c>
      <c r="P18" s="6" t="s">
        <v>24</v>
      </c>
      <c r="Q18" s="6" t="s">
        <v>25</v>
      </c>
      <c r="R18" s="6" t="s">
        <v>24</v>
      </c>
      <c r="S18" s="117" t="s">
        <v>25</v>
      </c>
      <c r="T18" s="6" t="s">
        <v>24</v>
      </c>
      <c r="U18" s="116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06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24</v>
      </c>
      <c r="AH18" s="6" t="s">
        <v>25</v>
      </c>
      <c r="AI18" s="4">
        <f t="shared" si="1"/>
        <v>19</v>
      </c>
      <c r="AJ18" s="4">
        <f t="shared" si="2"/>
        <v>6</v>
      </c>
      <c r="AK18"/>
      <c r="AL18"/>
      <c r="AM18"/>
      <c r="AN18"/>
    </row>
    <row r="19" spans="1:40" ht="16.5">
      <c r="A19" s="7">
        <v>15</v>
      </c>
      <c r="B19" s="84" t="s">
        <v>193</v>
      </c>
      <c r="C19" s="84" t="s">
        <v>163</v>
      </c>
      <c r="D19" s="5" t="s">
        <v>408</v>
      </c>
      <c r="E19" s="13" t="s">
        <v>25</v>
      </c>
      <c r="F19" s="13" t="s">
        <v>25</v>
      </c>
      <c r="G19" s="114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24</v>
      </c>
      <c r="M19" s="119"/>
      <c r="N19" s="116"/>
      <c r="O19" s="6" t="s">
        <v>25</v>
      </c>
      <c r="P19" s="6" t="s">
        <v>25</v>
      </c>
      <c r="Q19" s="6" t="s">
        <v>25</v>
      </c>
      <c r="R19" s="6" t="s">
        <v>25</v>
      </c>
      <c r="S19" s="117" t="s">
        <v>25</v>
      </c>
      <c r="T19" s="6" t="s">
        <v>25</v>
      </c>
      <c r="U19" s="116"/>
      <c r="V19" s="6" t="s">
        <v>24</v>
      </c>
      <c r="W19" s="6" t="s">
        <v>24</v>
      </c>
      <c r="X19" s="6" t="s">
        <v>24</v>
      </c>
      <c r="Y19" s="6" t="s">
        <v>25</v>
      </c>
      <c r="Z19" s="6" t="s">
        <v>24</v>
      </c>
      <c r="AA19" s="6" t="s">
        <v>24</v>
      </c>
      <c r="AB19" s="106"/>
      <c r="AC19" s="6" t="s">
        <v>24</v>
      </c>
      <c r="AD19" s="6" t="s">
        <v>24</v>
      </c>
      <c r="AE19" s="6" t="s">
        <v>25</v>
      </c>
      <c r="AF19" s="6" t="s">
        <v>25</v>
      </c>
      <c r="AG19" s="6" t="s">
        <v>25</v>
      </c>
      <c r="AH19" s="6" t="s">
        <v>24</v>
      </c>
      <c r="AI19" s="4">
        <f t="shared" si="1"/>
        <v>16</v>
      </c>
      <c r="AJ19" s="4">
        <f t="shared" si="2"/>
        <v>9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4" t="s">
        <v>194</v>
      </c>
      <c r="C20" s="84" t="s">
        <v>130</v>
      </c>
      <c r="D20" s="5" t="s">
        <v>408</v>
      </c>
      <c r="E20" s="13" t="s">
        <v>25</v>
      </c>
      <c r="F20" s="13" t="s">
        <v>25</v>
      </c>
      <c r="G20" s="114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19"/>
      <c r="N20" s="116"/>
      <c r="O20" s="6" t="s">
        <v>24</v>
      </c>
      <c r="P20" s="6" t="s">
        <v>25</v>
      </c>
      <c r="Q20" s="6" t="s">
        <v>25</v>
      </c>
      <c r="R20" s="6" t="s">
        <v>25</v>
      </c>
      <c r="S20" s="117" t="s">
        <v>25</v>
      </c>
      <c r="T20" s="6" t="s">
        <v>25</v>
      </c>
      <c r="U20" s="116"/>
      <c r="V20" s="6" t="s">
        <v>25</v>
      </c>
      <c r="W20" s="6" t="s">
        <v>25</v>
      </c>
      <c r="X20" s="6" t="s">
        <v>24</v>
      </c>
      <c r="Y20" s="6" t="s">
        <v>25</v>
      </c>
      <c r="Z20" s="6" t="s">
        <v>25</v>
      </c>
      <c r="AA20" s="6" t="s">
        <v>25</v>
      </c>
      <c r="AB20" s="106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4" t="s">
        <v>185</v>
      </c>
      <c r="C21" s="84" t="s">
        <v>195</v>
      </c>
      <c r="D21" s="5" t="s">
        <v>408</v>
      </c>
      <c r="E21" s="13" t="s">
        <v>25</v>
      </c>
      <c r="F21" s="13" t="s">
        <v>25</v>
      </c>
      <c r="G21" s="114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19"/>
      <c r="N21" s="116"/>
      <c r="O21" s="6" t="s">
        <v>25</v>
      </c>
      <c r="P21" s="6" t="s">
        <v>25</v>
      </c>
      <c r="Q21" s="6" t="s">
        <v>25</v>
      </c>
      <c r="R21" s="6" t="s">
        <v>24</v>
      </c>
      <c r="S21" s="117" t="s">
        <v>25</v>
      </c>
      <c r="T21" s="6" t="s">
        <v>25</v>
      </c>
      <c r="U21" s="116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24</v>
      </c>
      <c r="AB21" s="106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23</v>
      </c>
      <c r="AJ21" s="4">
        <f t="shared" si="2"/>
        <v>2</v>
      </c>
      <c r="AK21" s="4" t="s">
        <v>14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4" t="s">
        <v>196</v>
      </c>
      <c r="C22" s="84" t="s">
        <v>197</v>
      </c>
      <c r="D22" s="5" t="s">
        <v>408</v>
      </c>
      <c r="E22" s="13" t="s">
        <v>25</v>
      </c>
      <c r="F22" s="13" t="s">
        <v>25</v>
      </c>
      <c r="G22" s="114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19"/>
      <c r="N22" s="116"/>
      <c r="O22" s="6" t="s">
        <v>25</v>
      </c>
      <c r="P22" s="6" t="s">
        <v>25</v>
      </c>
      <c r="Q22" s="6" t="s">
        <v>25</v>
      </c>
      <c r="R22" s="6" t="s">
        <v>24</v>
      </c>
      <c r="S22" s="117" t="s">
        <v>25</v>
      </c>
      <c r="T22" s="6" t="s">
        <v>25</v>
      </c>
      <c r="U22" s="116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06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24</v>
      </c>
      <c r="AJ22" s="4">
        <f t="shared" si="2"/>
        <v>1</v>
      </c>
      <c r="AK22" s="4" t="s">
        <v>17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4" t="s">
        <v>198</v>
      </c>
      <c r="C23" s="84" t="s">
        <v>199</v>
      </c>
      <c r="D23" s="5" t="s">
        <v>408</v>
      </c>
      <c r="E23" s="13" t="s">
        <v>25</v>
      </c>
      <c r="F23" s="13" t="s">
        <v>25</v>
      </c>
      <c r="G23" s="114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19"/>
      <c r="N23" s="116"/>
      <c r="O23" s="6" t="s">
        <v>25</v>
      </c>
      <c r="P23" s="6" t="s">
        <v>25</v>
      </c>
      <c r="Q23" s="6" t="s">
        <v>25</v>
      </c>
      <c r="R23" s="6" t="s">
        <v>25</v>
      </c>
      <c r="S23" s="117" t="s">
        <v>25</v>
      </c>
      <c r="T23" s="6" t="s">
        <v>25</v>
      </c>
      <c r="U23" s="116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06"/>
      <c r="AC23" s="6" t="s">
        <v>24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24</v>
      </c>
      <c r="AJ23" s="4">
        <f t="shared" si="2"/>
        <v>1</v>
      </c>
      <c r="AK23" s="4" t="s">
        <v>16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4" t="s">
        <v>46</v>
      </c>
      <c r="C24" s="84" t="s">
        <v>118</v>
      </c>
      <c r="D24" s="5" t="s">
        <v>408</v>
      </c>
      <c r="E24" s="13" t="s">
        <v>25</v>
      </c>
      <c r="F24" s="13" t="s">
        <v>25</v>
      </c>
      <c r="G24" s="114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19"/>
      <c r="N24" s="116"/>
      <c r="O24" s="6" t="s">
        <v>25</v>
      </c>
      <c r="P24" s="6" t="s">
        <v>25</v>
      </c>
      <c r="Q24" s="6" t="s">
        <v>25</v>
      </c>
      <c r="R24" s="6" t="s">
        <v>24</v>
      </c>
      <c r="S24" s="117" t="s">
        <v>25</v>
      </c>
      <c r="T24" s="6" t="s">
        <v>25</v>
      </c>
      <c r="U24" s="116"/>
      <c r="V24" s="6" t="s">
        <v>25</v>
      </c>
      <c r="W24" s="6" t="s">
        <v>25</v>
      </c>
      <c r="X24" s="6" t="s">
        <v>25</v>
      </c>
      <c r="Y24" s="6" t="s">
        <v>24</v>
      </c>
      <c r="Z24" s="6" t="s">
        <v>25</v>
      </c>
      <c r="AA24" s="6" t="s">
        <v>25</v>
      </c>
      <c r="AB24" s="106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23</v>
      </c>
      <c r="AJ24" s="4">
        <f t="shared" si="2"/>
        <v>2</v>
      </c>
    </row>
    <row r="25" spans="1:40" ht="16.5">
      <c r="A25" s="7">
        <v>21</v>
      </c>
      <c r="B25" s="84" t="s">
        <v>200</v>
      </c>
      <c r="C25" s="84" t="s">
        <v>201</v>
      </c>
      <c r="D25" s="5" t="s">
        <v>408</v>
      </c>
      <c r="E25" s="13" t="s">
        <v>25</v>
      </c>
      <c r="F25" s="13" t="s">
        <v>25</v>
      </c>
      <c r="G25" s="114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24</v>
      </c>
      <c r="M25" s="119"/>
      <c r="N25" s="116"/>
      <c r="O25" s="6" t="s">
        <v>25</v>
      </c>
      <c r="P25" s="6" t="s">
        <v>25</v>
      </c>
      <c r="Q25" s="6" t="s">
        <v>25</v>
      </c>
      <c r="R25" s="6" t="s">
        <v>24</v>
      </c>
      <c r="S25" s="117" t="s">
        <v>25</v>
      </c>
      <c r="T25" s="6" t="s">
        <v>25</v>
      </c>
      <c r="U25" s="116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06"/>
      <c r="AC25" s="6" t="s">
        <v>25</v>
      </c>
      <c r="AD25" s="6" t="s">
        <v>25</v>
      </c>
      <c r="AE25" s="6" t="s">
        <v>25</v>
      </c>
      <c r="AF25" s="6" t="s">
        <v>24</v>
      </c>
      <c r="AG25" s="6" t="s">
        <v>25</v>
      </c>
      <c r="AH25" s="6" t="s">
        <v>25</v>
      </c>
      <c r="AI25" s="4">
        <f t="shared" si="1"/>
        <v>22</v>
      </c>
      <c r="AJ25" s="4">
        <f t="shared" si="2"/>
        <v>3</v>
      </c>
    </row>
    <row r="26" spans="1:40" ht="16.5">
      <c r="A26" s="7">
        <v>22</v>
      </c>
      <c r="B26" s="84" t="s">
        <v>202</v>
      </c>
      <c r="C26" s="84" t="s">
        <v>39</v>
      </c>
      <c r="D26" s="5" t="s">
        <v>408</v>
      </c>
      <c r="E26" s="13" t="s">
        <v>25</v>
      </c>
      <c r="F26" s="13" t="s">
        <v>25</v>
      </c>
      <c r="G26" s="114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19"/>
      <c r="N26" s="116"/>
      <c r="O26" s="6" t="s">
        <v>25</v>
      </c>
      <c r="P26" s="6" t="s">
        <v>25</v>
      </c>
      <c r="Q26" s="6" t="s">
        <v>25</v>
      </c>
      <c r="R26" s="6" t="s">
        <v>24</v>
      </c>
      <c r="S26" s="117" t="s">
        <v>25</v>
      </c>
      <c r="T26" s="6" t="s">
        <v>25</v>
      </c>
      <c r="U26" s="116"/>
      <c r="V26" s="6" t="s">
        <v>25</v>
      </c>
      <c r="W26" s="6" t="s">
        <v>25</v>
      </c>
      <c r="X26" s="6" t="s">
        <v>25</v>
      </c>
      <c r="Y26" s="6" t="s">
        <v>24</v>
      </c>
      <c r="Z26" s="6" t="s">
        <v>25</v>
      </c>
      <c r="AA26" s="6" t="s">
        <v>25</v>
      </c>
      <c r="AB26" s="106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23</v>
      </c>
      <c r="AJ26" s="4">
        <f t="shared" si="2"/>
        <v>2</v>
      </c>
    </row>
    <row r="27" spans="1:40" ht="16.5">
      <c r="A27" s="7">
        <v>23</v>
      </c>
      <c r="B27" s="84" t="s">
        <v>19</v>
      </c>
      <c r="C27" s="84" t="s">
        <v>154</v>
      </c>
      <c r="D27" s="5" t="s">
        <v>408</v>
      </c>
      <c r="E27" s="13" t="s">
        <v>24</v>
      </c>
      <c r="F27" s="13" t="s">
        <v>25</v>
      </c>
      <c r="G27" s="114"/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19"/>
      <c r="N27" s="116"/>
      <c r="O27" s="6" t="s">
        <v>25</v>
      </c>
      <c r="P27" s="6" t="s">
        <v>24</v>
      </c>
      <c r="Q27" s="6" t="s">
        <v>25</v>
      </c>
      <c r="R27" s="6" t="s">
        <v>25</v>
      </c>
      <c r="S27" s="117" t="s">
        <v>25</v>
      </c>
      <c r="T27" s="6" t="s">
        <v>25</v>
      </c>
      <c r="U27" s="116"/>
      <c r="V27" s="6" t="s">
        <v>25</v>
      </c>
      <c r="W27" s="6" t="s">
        <v>25</v>
      </c>
      <c r="X27" s="6" t="s">
        <v>24</v>
      </c>
      <c r="Y27" s="6" t="s">
        <v>24</v>
      </c>
      <c r="Z27" s="6" t="s">
        <v>25</v>
      </c>
      <c r="AA27" s="6" t="s">
        <v>25</v>
      </c>
      <c r="AB27" s="106"/>
      <c r="AC27" s="6" t="s">
        <v>25</v>
      </c>
      <c r="AD27" s="6" t="s">
        <v>25</v>
      </c>
      <c r="AE27" s="6" t="s">
        <v>25</v>
      </c>
      <c r="AF27" s="6" t="s">
        <v>24</v>
      </c>
      <c r="AG27" s="6" t="s">
        <v>25</v>
      </c>
      <c r="AH27" s="6" t="s">
        <v>24</v>
      </c>
      <c r="AI27" s="4">
        <f t="shared" si="1"/>
        <v>19</v>
      </c>
      <c r="AJ27" s="4">
        <f t="shared" si="2"/>
        <v>6</v>
      </c>
    </row>
    <row r="28" spans="1:40" ht="16.5">
      <c r="A28" s="7">
        <v>24</v>
      </c>
      <c r="B28" s="84" t="s">
        <v>203</v>
      </c>
      <c r="C28" s="84" t="s">
        <v>117</v>
      </c>
      <c r="D28" s="5" t="s">
        <v>408</v>
      </c>
      <c r="E28" s="13" t="s">
        <v>25</v>
      </c>
      <c r="F28" s="13" t="s">
        <v>25</v>
      </c>
      <c r="G28" s="114"/>
      <c r="H28" s="13" t="s">
        <v>24</v>
      </c>
      <c r="I28" s="13" t="s">
        <v>25</v>
      </c>
      <c r="J28" s="13" t="s">
        <v>25</v>
      </c>
      <c r="K28" s="13" t="s">
        <v>25</v>
      </c>
      <c r="L28" s="13" t="s">
        <v>25</v>
      </c>
      <c r="M28" s="119"/>
      <c r="N28" s="116"/>
      <c r="O28" s="6" t="s">
        <v>25</v>
      </c>
      <c r="P28" s="6" t="s">
        <v>25</v>
      </c>
      <c r="Q28" s="6" t="s">
        <v>25</v>
      </c>
      <c r="R28" s="6" t="s">
        <v>25</v>
      </c>
      <c r="S28" s="117" t="s">
        <v>25</v>
      </c>
      <c r="T28" s="6" t="s">
        <v>25</v>
      </c>
      <c r="U28" s="116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106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24</v>
      </c>
      <c r="AI28" s="4">
        <f t="shared" si="1"/>
        <v>17</v>
      </c>
      <c r="AJ28" s="4">
        <f t="shared" si="2"/>
        <v>8</v>
      </c>
    </row>
    <row r="29" spans="1:40" ht="16.5">
      <c r="A29" s="7">
        <v>25</v>
      </c>
      <c r="B29" s="84" t="s">
        <v>204</v>
      </c>
      <c r="C29" s="84" t="s">
        <v>205</v>
      </c>
      <c r="D29" s="5" t="s">
        <v>408</v>
      </c>
      <c r="E29" s="13" t="s">
        <v>25</v>
      </c>
      <c r="F29" s="13" t="s">
        <v>25</v>
      </c>
      <c r="G29" s="114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19"/>
      <c r="N29" s="116"/>
      <c r="O29" s="6" t="s">
        <v>25</v>
      </c>
      <c r="P29" s="6" t="s">
        <v>25</v>
      </c>
      <c r="Q29" s="6" t="s">
        <v>25</v>
      </c>
      <c r="R29" s="6" t="s">
        <v>25</v>
      </c>
      <c r="S29" s="117" t="s">
        <v>25</v>
      </c>
      <c r="T29" s="6" t="s">
        <v>25</v>
      </c>
      <c r="U29" s="116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06"/>
      <c r="AC29" s="6" t="s">
        <v>24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24</v>
      </c>
      <c r="AJ29" s="4">
        <f t="shared" si="2"/>
        <v>1</v>
      </c>
    </row>
    <row r="30" spans="1:40" ht="16.5">
      <c r="A30" s="7">
        <v>26</v>
      </c>
      <c r="B30" s="84" t="s">
        <v>206</v>
      </c>
      <c r="C30" s="84" t="s">
        <v>207</v>
      </c>
      <c r="D30" s="5" t="s">
        <v>408</v>
      </c>
      <c r="E30" s="13" t="s">
        <v>25</v>
      </c>
      <c r="F30" s="13" t="s">
        <v>24</v>
      </c>
      <c r="G30" s="114"/>
      <c r="H30" s="13" t="s">
        <v>24</v>
      </c>
      <c r="I30" s="13" t="s">
        <v>25</v>
      </c>
      <c r="J30" s="13" t="s">
        <v>25</v>
      </c>
      <c r="K30" s="13" t="s">
        <v>25</v>
      </c>
      <c r="L30" s="13" t="s">
        <v>25</v>
      </c>
      <c r="M30" s="119"/>
      <c r="N30" s="116"/>
      <c r="O30" s="6" t="s">
        <v>25</v>
      </c>
      <c r="P30" s="6" t="s">
        <v>24</v>
      </c>
      <c r="Q30" s="6" t="s">
        <v>25</v>
      </c>
      <c r="R30" s="6" t="s">
        <v>25</v>
      </c>
      <c r="S30" s="117" t="s">
        <v>25</v>
      </c>
      <c r="T30" s="6" t="s">
        <v>25</v>
      </c>
      <c r="U30" s="116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106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22</v>
      </c>
      <c r="AJ30" s="4">
        <f t="shared" si="2"/>
        <v>3</v>
      </c>
    </row>
    <row r="31" spans="1:40" ht="16.5">
      <c r="A31" s="7">
        <v>27</v>
      </c>
      <c r="B31" s="84" t="s">
        <v>208</v>
      </c>
      <c r="C31" s="84" t="s">
        <v>159</v>
      </c>
      <c r="D31" s="5" t="s">
        <v>408</v>
      </c>
      <c r="E31" s="13" t="s">
        <v>25</v>
      </c>
      <c r="F31" s="13" t="s">
        <v>25</v>
      </c>
      <c r="G31" s="114"/>
      <c r="H31" s="13" t="s">
        <v>25</v>
      </c>
      <c r="I31" s="13" t="s">
        <v>25</v>
      </c>
      <c r="J31" s="13" t="s">
        <v>25</v>
      </c>
      <c r="K31" s="13" t="s">
        <v>26</v>
      </c>
      <c r="L31" s="13" t="s">
        <v>26</v>
      </c>
      <c r="M31" s="119"/>
      <c r="N31" s="116"/>
      <c r="O31" s="6" t="s">
        <v>24</v>
      </c>
      <c r="P31" s="6" t="s">
        <v>25</v>
      </c>
      <c r="Q31" s="6" t="s">
        <v>25</v>
      </c>
      <c r="R31" s="6" t="s">
        <v>25</v>
      </c>
      <c r="S31" s="117" t="s">
        <v>25</v>
      </c>
      <c r="T31" s="6" t="s">
        <v>24</v>
      </c>
      <c r="U31" s="116"/>
      <c r="V31" s="6" t="s">
        <v>24</v>
      </c>
      <c r="W31" s="6" t="s">
        <v>24</v>
      </c>
      <c r="X31" s="6" t="s">
        <v>25</v>
      </c>
      <c r="Y31" s="6" t="s">
        <v>25</v>
      </c>
      <c r="Z31" s="6" t="s">
        <v>25</v>
      </c>
      <c r="AA31" s="6" t="s">
        <v>25</v>
      </c>
      <c r="AB31" s="106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19</v>
      </c>
      <c r="AJ31" s="4">
        <f t="shared" si="2"/>
        <v>4</v>
      </c>
    </row>
    <row r="32" spans="1:40" ht="16.5">
      <c r="A32" s="7">
        <v>28</v>
      </c>
      <c r="B32" s="84" t="s">
        <v>81</v>
      </c>
      <c r="C32" s="84" t="s">
        <v>175</v>
      </c>
      <c r="D32" s="5" t="s">
        <v>408</v>
      </c>
      <c r="E32" s="13" t="s">
        <v>25</v>
      </c>
      <c r="F32" s="13" t="s">
        <v>25</v>
      </c>
      <c r="G32" s="114"/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25</v>
      </c>
      <c r="M32" s="119"/>
      <c r="N32" s="116"/>
      <c r="O32" s="6" t="s">
        <v>25</v>
      </c>
      <c r="P32" s="6" t="s">
        <v>25</v>
      </c>
      <c r="Q32" s="6" t="s">
        <v>25</v>
      </c>
      <c r="R32" s="6" t="s">
        <v>24</v>
      </c>
      <c r="S32" s="117" t="s">
        <v>25</v>
      </c>
      <c r="T32" s="6" t="s">
        <v>25</v>
      </c>
      <c r="U32" s="116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24</v>
      </c>
      <c r="AB32" s="106"/>
      <c r="AC32" s="6" t="s">
        <v>25</v>
      </c>
      <c r="AD32" s="6" t="s">
        <v>25</v>
      </c>
      <c r="AE32" s="6" t="s">
        <v>25</v>
      </c>
      <c r="AF32" s="6" t="s">
        <v>24</v>
      </c>
      <c r="AG32" s="6" t="s">
        <v>25</v>
      </c>
      <c r="AH32" s="6" t="s">
        <v>24</v>
      </c>
      <c r="AI32" s="4">
        <f t="shared" si="1"/>
        <v>17</v>
      </c>
      <c r="AJ32" s="4">
        <f t="shared" si="2"/>
        <v>8</v>
      </c>
    </row>
    <row r="33" spans="1:36" ht="16.5">
      <c r="A33" s="7">
        <v>29</v>
      </c>
      <c r="B33" s="84" t="s">
        <v>209</v>
      </c>
      <c r="C33" s="84" t="s">
        <v>150</v>
      </c>
      <c r="D33" s="5" t="s">
        <v>408</v>
      </c>
      <c r="E33" s="13" t="s">
        <v>25</v>
      </c>
      <c r="F33" s="13" t="s">
        <v>25</v>
      </c>
      <c r="G33" s="114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19"/>
      <c r="N33" s="116"/>
      <c r="O33" s="6" t="s">
        <v>25</v>
      </c>
      <c r="P33" s="6" t="s">
        <v>25</v>
      </c>
      <c r="Q33" s="6" t="s">
        <v>25</v>
      </c>
      <c r="R33" s="6" t="s">
        <v>25</v>
      </c>
      <c r="S33" s="117" t="s">
        <v>25</v>
      </c>
      <c r="T33" s="6" t="s">
        <v>25</v>
      </c>
      <c r="U33" s="116"/>
      <c r="V33" s="6" t="s">
        <v>25</v>
      </c>
      <c r="W33" s="6" t="s">
        <v>25</v>
      </c>
      <c r="X33" s="6" t="s">
        <v>25</v>
      </c>
      <c r="Y33" s="6" t="s">
        <v>25</v>
      </c>
      <c r="Z33" s="6" t="s">
        <v>25</v>
      </c>
      <c r="AA33" s="6" t="s">
        <v>26</v>
      </c>
      <c r="AB33" s="106"/>
      <c r="AC33" s="6" t="s">
        <v>26</v>
      </c>
      <c r="AD33" s="6" t="s">
        <v>24</v>
      </c>
      <c r="AE33" s="6" t="s">
        <v>25</v>
      </c>
      <c r="AF33" s="6" t="s">
        <v>26</v>
      </c>
      <c r="AG33" s="6" t="s">
        <v>26</v>
      </c>
      <c r="AH33" s="6" t="s">
        <v>26</v>
      </c>
      <c r="AI33" s="4">
        <f t="shared" si="1"/>
        <v>19</v>
      </c>
      <c r="AJ33" s="4">
        <f t="shared" si="2"/>
        <v>1</v>
      </c>
    </row>
    <row r="34" spans="1:36" ht="16.5">
      <c r="A34" s="7">
        <v>30</v>
      </c>
      <c r="B34" s="84" t="s">
        <v>210</v>
      </c>
      <c r="C34" s="84" t="s">
        <v>113</v>
      </c>
      <c r="D34" s="5" t="s">
        <v>408</v>
      </c>
      <c r="E34" s="13" t="s">
        <v>25</v>
      </c>
      <c r="F34" s="13" t="s">
        <v>25</v>
      </c>
      <c r="G34" s="114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19"/>
      <c r="N34" s="116"/>
      <c r="O34" s="6" t="s">
        <v>25</v>
      </c>
      <c r="P34" s="6" t="s">
        <v>25</v>
      </c>
      <c r="Q34" s="6" t="s">
        <v>25</v>
      </c>
      <c r="R34" s="6" t="s">
        <v>25</v>
      </c>
      <c r="S34" s="117" t="s">
        <v>25</v>
      </c>
      <c r="T34" s="6" t="s">
        <v>25</v>
      </c>
      <c r="U34" s="116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06"/>
      <c r="AC34" s="6" t="s">
        <v>25</v>
      </c>
      <c r="AD34" s="6" t="s">
        <v>25</v>
      </c>
      <c r="AE34" s="6" t="s">
        <v>25</v>
      </c>
      <c r="AF34" s="6" t="s">
        <v>26</v>
      </c>
      <c r="AG34" s="6" t="s">
        <v>25</v>
      </c>
      <c r="AH34" s="6" t="s">
        <v>25</v>
      </c>
      <c r="AI34" s="4">
        <f t="shared" si="1"/>
        <v>24</v>
      </c>
      <c r="AJ34" s="4">
        <f t="shared" si="2"/>
        <v>0</v>
      </c>
    </row>
    <row r="35" spans="1:36" ht="16.5">
      <c r="A35" s="7">
        <v>31</v>
      </c>
      <c r="B35" s="84" t="s">
        <v>211</v>
      </c>
      <c r="C35" s="84" t="s">
        <v>212</v>
      </c>
      <c r="D35" s="5" t="s">
        <v>408</v>
      </c>
      <c r="E35" s="13" t="s">
        <v>25</v>
      </c>
      <c r="F35" s="13" t="s">
        <v>25</v>
      </c>
      <c r="G35" s="114"/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19"/>
      <c r="N35" s="116"/>
      <c r="O35" s="6" t="s">
        <v>25</v>
      </c>
      <c r="P35" s="6" t="s">
        <v>25</v>
      </c>
      <c r="Q35" s="6" t="s">
        <v>25</v>
      </c>
      <c r="R35" s="6" t="s">
        <v>24</v>
      </c>
      <c r="S35" s="117" t="s">
        <v>25</v>
      </c>
      <c r="T35" s="6" t="s">
        <v>25</v>
      </c>
      <c r="U35" s="116"/>
      <c r="V35" s="6" t="s">
        <v>25</v>
      </c>
      <c r="W35" s="6" t="s">
        <v>24</v>
      </c>
      <c r="X35" s="6" t="s">
        <v>25</v>
      </c>
      <c r="Y35" s="6" t="s">
        <v>25</v>
      </c>
      <c r="Z35" s="6" t="s">
        <v>25</v>
      </c>
      <c r="AA35" s="6" t="s">
        <v>25</v>
      </c>
      <c r="AB35" s="106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24</v>
      </c>
      <c r="AI35" s="4">
        <f t="shared" si="1"/>
        <v>22</v>
      </c>
      <c r="AJ35" s="4">
        <f t="shared" si="2"/>
        <v>3</v>
      </c>
    </row>
    <row r="36" spans="1:36" ht="16.5">
      <c r="A36" s="7">
        <v>32</v>
      </c>
      <c r="B36" s="84" t="s">
        <v>86</v>
      </c>
      <c r="C36" s="84" t="s">
        <v>212</v>
      </c>
      <c r="D36" s="5" t="s">
        <v>408</v>
      </c>
      <c r="E36" s="13" t="s">
        <v>24</v>
      </c>
      <c r="F36" s="13" t="s">
        <v>25</v>
      </c>
      <c r="G36" s="114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19"/>
      <c r="N36" s="116"/>
      <c r="O36" s="6" t="s">
        <v>25</v>
      </c>
      <c r="P36" s="6" t="s">
        <v>25</v>
      </c>
      <c r="Q36" s="6" t="s">
        <v>25</v>
      </c>
      <c r="R36" s="6" t="s">
        <v>24</v>
      </c>
      <c r="S36" s="117" t="s">
        <v>25</v>
      </c>
      <c r="T36" s="6" t="s">
        <v>25</v>
      </c>
      <c r="U36" s="116"/>
      <c r="V36" s="6" t="s">
        <v>25</v>
      </c>
      <c r="W36" s="6" t="s">
        <v>25</v>
      </c>
      <c r="X36" s="6" t="s">
        <v>24</v>
      </c>
      <c r="Y36" s="6" t="s">
        <v>25</v>
      </c>
      <c r="Z36" s="6" t="s">
        <v>25</v>
      </c>
      <c r="AA36" s="6" t="s">
        <v>25</v>
      </c>
      <c r="AB36" s="106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22</v>
      </c>
      <c r="AJ36" s="4">
        <f t="shared" si="2"/>
        <v>3</v>
      </c>
    </row>
    <row r="37" spans="1:36" ht="16.5">
      <c r="A37" s="7">
        <v>33</v>
      </c>
      <c r="B37" s="84" t="s">
        <v>213</v>
      </c>
      <c r="C37" s="84" t="s">
        <v>214</v>
      </c>
      <c r="D37" s="5" t="s">
        <v>408</v>
      </c>
      <c r="E37" s="13" t="s">
        <v>24</v>
      </c>
      <c r="F37" s="13" t="s">
        <v>25</v>
      </c>
      <c r="G37" s="114"/>
      <c r="H37" s="13" t="s">
        <v>25</v>
      </c>
      <c r="I37" s="13" t="s">
        <v>25</v>
      </c>
      <c r="J37" s="13" t="s">
        <v>24</v>
      </c>
      <c r="K37" s="13" t="s">
        <v>25</v>
      </c>
      <c r="L37" s="13" t="s">
        <v>25</v>
      </c>
      <c r="M37" s="119"/>
      <c r="N37" s="116"/>
      <c r="O37" s="6" t="s">
        <v>25</v>
      </c>
      <c r="P37" s="6" t="s">
        <v>25</v>
      </c>
      <c r="Q37" s="6" t="s">
        <v>25</v>
      </c>
      <c r="R37" s="6" t="s">
        <v>24</v>
      </c>
      <c r="S37" s="117" t="s">
        <v>25</v>
      </c>
      <c r="T37" s="6" t="s">
        <v>24</v>
      </c>
      <c r="U37" s="116"/>
      <c r="V37" s="6" t="s">
        <v>24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06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ref="AI37:AI40" si="3">COUNTIF(E37:AH37,"P")</f>
        <v>20</v>
      </c>
      <c r="AJ37" s="4">
        <f t="shared" ref="AJ37:AJ40" si="4">COUNTIF(E37:AH37,"A")</f>
        <v>5</v>
      </c>
    </row>
    <row r="38" spans="1:36" ht="16.5">
      <c r="A38" s="7">
        <v>34</v>
      </c>
      <c r="B38" s="84" t="s">
        <v>215</v>
      </c>
      <c r="C38" s="84" t="s">
        <v>199</v>
      </c>
      <c r="D38" s="5" t="s">
        <v>408</v>
      </c>
      <c r="E38" s="13" t="s">
        <v>25</v>
      </c>
      <c r="F38" s="13" t="s">
        <v>24</v>
      </c>
      <c r="G38" s="114"/>
      <c r="H38" s="13" t="s">
        <v>25</v>
      </c>
      <c r="I38" s="13" t="s">
        <v>25</v>
      </c>
      <c r="J38" s="13" t="s">
        <v>24</v>
      </c>
      <c r="K38" s="13" t="s">
        <v>25</v>
      </c>
      <c r="L38" s="13" t="s">
        <v>24</v>
      </c>
      <c r="M38" s="119"/>
      <c r="N38" s="116"/>
      <c r="O38" s="6" t="s">
        <v>25</v>
      </c>
      <c r="P38" s="6" t="s">
        <v>25</v>
      </c>
      <c r="Q38" s="6" t="s">
        <v>25</v>
      </c>
      <c r="R38" s="6" t="s">
        <v>24</v>
      </c>
      <c r="S38" s="117" t="s">
        <v>25</v>
      </c>
      <c r="T38" s="6" t="s">
        <v>25</v>
      </c>
      <c r="U38" s="116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06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3"/>
        <v>21</v>
      </c>
      <c r="AJ38" s="4">
        <f t="shared" si="4"/>
        <v>4</v>
      </c>
    </row>
    <row r="39" spans="1:36" ht="16.5">
      <c r="A39" s="7">
        <v>35</v>
      </c>
      <c r="B39" s="84" t="s">
        <v>216</v>
      </c>
      <c r="C39" s="84" t="s">
        <v>134</v>
      </c>
      <c r="D39" s="5" t="s">
        <v>408</v>
      </c>
      <c r="E39" s="13" t="s">
        <v>25</v>
      </c>
      <c r="F39" s="13" t="s">
        <v>25</v>
      </c>
      <c r="G39" s="114"/>
      <c r="H39" s="13" t="s">
        <v>24</v>
      </c>
      <c r="I39" s="13" t="s">
        <v>25</v>
      </c>
      <c r="J39" s="13" t="s">
        <v>24</v>
      </c>
      <c r="K39" s="13" t="s">
        <v>25</v>
      </c>
      <c r="L39" s="13" t="s">
        <v>25</v>
      </c>
      <c r="M39" s="119"/>
      <c r="N39" s="116"/>
      <c r="O39" s="6" t="s">
        <v>25</v>
      </c>
      <c r="P39" s="6" t="s">
        <v>25</v>
      </c>
      <c r="Q39" s="6" t="s">
        <v>24</v>
      </c>
      <c r="R39" s="6" t="s">
        <v>25</v>
      </c>
      <c r="S39" s="117" t="s">
        <v>25</v>
      </c>
      <c r="T39" s="6" t="s">
        <v>24</v>
      </c>
      <c r="U39" s="116"/>
      <c r="V39" s="6" t="s">
        <v>24</v>
      </c>
      <c r="W39" s="6" t="s">
        <v>25</v>
      </c>
      <c r="X39" s="6" t="s">
        <v>25</v>
      </c>
      <c r="Y39" s="6" t="s">
        <v>25</v>
      </c>
      <c r="Z39" s="6" t="s">
        <v>25</v>
      </c>
      <c r="AA39" s="6" t="s">
        <v>25</v>
      </c>
      <c r="AB39" s="106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24</v>
      </c>
      <c r="AI39" s="4">
        <f t="shared" si="3"/>
        <v>18</v>
      </c>
      <c r="AJ39" s="4">
        <f t="shared" si="4"/>
        <v>7</v>
      </c>
    </row>
    <row r="40" spans="1:36" ht="16.5">
      <c r="A40" s="7">
        <v>36</v>
      </c>
      <c r="B40" s="84" t="s">
        <v>217</v>
      </c>
      <c r="C40" s="84" t="s">
        <v>218</v>
      </c>
      <c r="D40" s="5" t="s">
        <v>408</v>
      </c>
      <c r="E40" s="13" t="s">
        <v>25</v>
      </c>
      <c r="F40" s="13" t="s">
        <v>25</v>
      </c>
      <c r="G40" s="114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19"/>
      <c r="N40" s="116"/>
      <c r="O40" s="6" t="s">
        <v>25</v>
      </c>
      <c r="P40" s="6" t="s">
        <v>25</v>
      </c>
      <c r="Q40" s="6" t="s">
        <v>25</v>
      </c>
      <c r="R40" s="6" t="s">
        <v>25</v>
      </c>
      <c r="S40" s="117" t="s">
        <v>25</v>
      </c>
      <c r="T40" s="6" t="s">
        <v>25</v>
      </c>
      <c r="U40" s="116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06"/>
      <c r="AC40" s="6" t="s">
        <v>25</v>
      </c>
      <c r="AD40" s="6" t="s">
        <v>25</v>
      </c>
      <c r="AE40" s="6" t="s">
        <v>25</v>
      </c>
      <c r="AF40" s="6" t="s">
        <v>24</v>
      </c>
      <c r="AG40" s="6" t="s">
        <v>25</v>
      </c>
      <c r="AH40" s="6" t="s">
        <v>24</v>
      </c>
      <c r="AI40" s="4">
        <f t="shared" si="3"/>
        <v>23</v>
      </c>
      <c r="AJ40" s="4">
        <f t="shared" si="4"/>
        <v>2</v>
      </c>
    </row>
    <row r="41" spans="1:36" ht="16.5">
      <c r="A41" s="120">
        <v>37</v>
      </c>
      <c r="B41" s="84" t="s">
        <v>219</v>
      </c>
      <c r="C41" s="84" t="s">
        <v>212</v>
      </c>
      <c r="D41" s="5" t="s">
        <v>408</v>
      </c>
      <c r="E41" s="13" t="s">
        <v>25</v>
      </c>
      <c r="F41" s="13" t="s">
        <v>25</v>
      </c>
      <c r="G41" s="114"/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19"/>
      <c r="N41" s="116"/>
      <c r="O41" s="6" t="s">
        <v>25</v>
      </c>
      <c r="P41" s="6" t="s">
        <v>25</v>
      </c>
      <c r="Q41" s="6" t="s">
        <v>25</v>
      </c>
      <c r="R41" s="6" t="s">
        <v>25</v>
      </c>
      <c r="S41" s="117" t="s">
        <v>25</v>
      </c>
      <c r="T41" s="6" t="s">
        <v>25</v>
      </c>
      <c r="U41" s="116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06"/>
      <c r="AC41" s="6" t="s">
        <v>25</v>
      </c>
      <c r="AD41" s="6" t="s">
        <v>25</v>
      </c>
      <c r="AE41" s="6" t="s">
        <v>25</v>
      </c>
      <c r="AF41" s="6" t="s">
        <v>24</v>
      </c>
      <c r="AG41" s="6" t="s">
        <v>25</v>
      </c>
      <c r="AH41" s="6" t="s">
        <v>24</v>
      </c>
      <c r="AI41" s="4">
        <f t="shared" ref="AI41:AI45" si="5">COUNTIF(E41:AH41,"P")</f>
        <v>23</v>
      </c>
      <c r="AJ41" s="4">
        <f t="shared" ref="AJ41:AJ45" si="6">COUNTIF(E41:AH41,"A")</f>
        <v>2</v>
      </c>
    </row>
    <row r="42" spans="1:36" ht="16.5">
      <c r="A42" s="120">
        <v>38</v>
      </c>
      <c r="B42" s="84" t="s">
        <v>220</v>
      </c>
      <c r="C42" s="84" t="s">
        <v>221</v>
      </c>
      <c r="D42" s="5" t="s">
        <v>408</v>
      </c>
      <c r="E42" s="13" t="s">
        <v>25</v>
      </c>
      <c r="F42" s="13" t="s">
        <v>25</v>
      </c>
      <c r="G42" s="114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19"/>
      <c r="N42" s="116"/>
      <c r="O42" s="6" t="s">
        <v>25</v>
      </c>
      <c r="P42" s="6" t="s">
        <v>25</v>
      </c>
      <c r="Q42" s="6" t="s">
        <v>25</v>
      </c>
      <c r="R42" s="6" t="s">
        <v>25</v>
      </c>
      <c r="S42" s="117" t="s">
        <v>25</v>
      </c>
      <c r="T42" s="6" t="s">
        <v>25</v>
      </c>
      <c r="U42" s="116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06"/>
      <c r="AC42" s="6" t="s">
        <v>25</v>
      </c>
      <c r="AD42" s="6" t="s">
        <v>25</v>
      </c>
      <c r="AE42" s="6" t="s">
        <v>25</v>
      </c>
      <c r="AF42" s="6" t="s">
        <v>24</v>
      </c>
      <c r="AG42" s="6" t="s">
        <v>25</v>
      </c>
      <c r="AH42" s="6" t="s">
        <v>24</v>
      </c>
      <c r="AI42" s="4">
        <f t="shared" si="5"/>
        <v>23</v>
      </c>
      <c r="AJ42" s="4">
        <f t="shared" si="6"/>
        <v>2</v>
      </c>
    </row>
    <row r="43" spans="1:36" ht="16.5">
      <c r="A43" s="120">
        <v>39</v>
      </c>
      <c r="B43" s="84" t="s">
        <v>222</v>
      </c>
      <c r="C43" s="84" t="s">
        <v>134</v>
      </c>
      <c r="D43" s="5" t="s">
        <v>408</v>
      </c>
      <c r="E43" s="13" t="s">
        <v>25</v>
      </c>
      <c r="F43" s="13" t="s">
        <v>25</v>
      </c>
      <c r="G43" s="114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19"/>
      <c r="N43" s="116"/>
      <c r="O43" s="6" t="s">
        <v>25</v>
      </c>
      <c r="P43" s="6" t="s">
        <v>25</v>
      </c>
      <c r="Q43" s="6" t="s">
        <v>25</v>
      </c>
      <c r="R43" s="6" t="s">
        <v>25</v>
      </c>
      <c r="S43" s="117" t="s">
        <v>25</v>
      </c>
      <c r="T43" s="6" t="s">
        <v>25</v>
      </c>
      <c r="U43" s="116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06"/>
      <c r="AC43" s="6" t="s">
        <v>25</v>
      </c>
      <c r="AD43" s="6" t="s">
        <v>25</v>
      </c>
      <c r="AE43" s="6" t="s">
        <v>25</v>
      </c>
      <c r="AF43" s="6" t="s">
        <v>24</v>
      </c>
      <c r="AG43" s="6" t="s">
        <v>25</v>
      </c>
      <c r="AH43" s="6" t="s">
        <v>24</v>
      </c>
      <c r="AI43" s="4">
        <f t="shared" si="5"/>
        <v>23</v>
      </c>
      <c r="AJ43" s="4">
        <f t="shared" si="6"/>
        <v>2</v>
      </c>
    </row>
    <row r="44" spans="1:36" ht="16.5">
      <c r="A44" s="120">
        <v>40</v>
      </c>
      <c r="B44" s="84" t="s">
        <v>223</v>
      </c>
      <c r="C44" s="84" t="s">
        <v>137</v>
      </c>
      <c r="D44" s="5" t="s">
        <v>408</v>
      </c>
      <c r="E44" s="13" t="s">
        <v>25</v>
      </c>
      <c r="F44" s="13" t="s">
        <v>25</v>
      </c>
      <c r="G44" s="114"/>
      <c r="H44" s="13" t="s">
        <v>25</v>
      </c>
      <c r="I44" s="13" t="s">
        <v>25</v>
      </c>
      <c r="J44" s="13" t="s">
        <v>25</v>
      </c>
      <c r="K44" s="13" t="s">
        <v>25</v>
      </c>
      <c r="L44" s="13" t="s">
        <v>25</v>
      </c>
      <c r="M44" s="119"/>
      <c r="N44" s="116"/>
      <c r="O44" s="6" t="s">
        <v>25</v>
      </c>
      <c r="P44" s="6" t="s">
        <v>25</v>
      </c>
      <c r="Q44" s="6" t="s">
        <v>25</v>
      </c>
      <c r="R44" s="6" t="s">
        <v>25</v>
      </c>
      <c r="S44" s="117" t="s">
        <v>25</v>
      </c>
      <c r="T44" s="6" t="s">
        <v>25</v>
      </c>
      <c r="U44" s="116"/>
      <c r="V44" s="6" t="s">
        <v>25</v>
      </c>
      <c r="W44" s="6" t="s">
        <v>25</v>
      </c>
      <c r="X44" s="6" t="s">
        <v>25</v>
      </c>
      <c r="Y44" s="6" t="s">
        <v>25</v>
      </c>
      <c r="Z44" s="6" t="s">
        <v>25</v>
      </c>
      <c r="AA44" s="6" t="s">
        <v>25</v>
      </c>
      <c r="AB44" s="106"/>
      <c r="AC44" s="6" t="s">
        <v>25</v>
      </c>
      <c r="AD44" s="6" t="s">
        <v>25</v>
      </c>
      <c r="AE44" s="6" t="s">
        <v>25</v>
      </c>
      <c r="AF44" s="6" t="s">
        <v>24</v>
      </c>
      <c r="AG44" s="6" t="s">
        <v>25</v>
      </c>
      <c r="AH44" s="6" t="s">
        <v>24</v>
      </c>
      <c r="AI44" s="4">
        <f t="shared" si="5"/>
        <v>23</v>
      </c>
      <c r="AJ44" s="4">
        <f t="shared" si="6"/>
        <v>2</v>
      </c>
    </row>
    <row r="45" spans="1:36" ht="16.5">
      <c r="A45" s="120">
        <v>41</v>
      </c>
      <c r="B45" s="84" t="s">
        <v>224</v>
      </c>
      <c r="C45" s="84" t="s">
        <v>225</v>
      </c>
      <c r="D45" s="5" t="s">
        <v>408</v>
      </c>
      <c r="E45" s="13" t="s">
        <v>25</v>
      </c>
      <c r="F45" s="13" t="s">
        <v>25</v>
      </c>
      <c r="G45" s="114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19"/>
      <c r="N45" s="116"/>
      <c r="O45" s="6" t="s">
        <v>25</v>
      </c>
      <c r="P45" s="6" t="s">
        <v>25</v>
      </c>
      <c r="Q45" s="6" t="s">
        <v>25</v>
      </c>
      <c r="R45" s="6" t="s">
        <v>25</v>
      </c>
      <c r="S45" s="117" t="s">
        <v>25</v>
      </c>
      <c r="T45" s="6" t="s">
        <v>25</v>
      </c>
      <c r="U45" s="116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25</v>
      </c>
      <c r="AB45" s="106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24</v>
      </c>
      <c r="AI45" s="4">
        <f t="shared" si="5"/>
        <v>23</v>
      </c>
      <c r="AJ45" s="4">
        <f t="shared" si="6"/>
        <v>2</v>
      </c>
    </row>
  </sheetData>
  <mergeCells count="16">
    <mergeCell ref="G5:G45"/>
    <mergeCell ref="U5:U45"/>
    <mergeCell ref="M5:M45"/>
    <mergeCell ref="N5:N45"/>
    <mergeCell ref="A1:AH1"/>
    <mergeCell ref="A2:AH2"/>
    <mergeCell ref="A3:A4"/>
    <mergeCell ref="B3:B4"/>
    <mergeCell ref="C3:C4"/>
    <mergeCell ref="D3:D4"/>
    <mergeCell ref="AJ3:AJ4"/>
    <mergeCell ref="AK3:AL3"/>
    <mergeCell ref="AK11:AN11"/>
    <mergeCell ref="AK19:AN19"/>
    <mergeCell ref="AI3:AI4"/>
    <mergeCell ref="AB5:AB45"/>
  </mergeCells>
  <conditionalFormatting sqref="E3:AH5 E6:F45 H6:L45 V6:AA45 AC6:AH45 O6:T45">
    <cfRule type="expression" dxfId="124" priority="9">
      <formula>E$4=TODAY()</formula>
    </cfRule>
    <cfRule type="expression" dxfId="123" priority="17">
      <formula>E$3="Sun"</formula>
    </cfRule>
  </conditionalFormatting>
  <conditionalFormatting sqref="E5:AH5 E6:F45 H6:L45 V6:AA45 AC6:AH45 O6:T45">
    <cfRule type="cellIs" dxfId="122" priority="8" operator="equal">
      <formula>"L"</formula>
    </cfRule>
    <cfRule type="cellIs" dxfId="121" priority="10" operator="equal">
      <formula>"A"</formula>
    </cfRule>
    <cfRule type="cellIs" dxfId="120" priority="11" operator="equal">
      <formula>"P"</formula>
    </cfRule>
  </conditionalFormatting>
  <conditionalFormatting sqref="AI3:AJ3 AI5:AJ45">
    <cfRule type="expression" dxfId="119" priority="18">
      <formula>#REF!="Sun"</formula>
    </cfRule>
  </conditionalFormatting>
  <conditionalFormatting sqref="AK5:AK9">
    <cfRule type="expression" dxfId="118" priority="5">
      <formula>AK$3="Sun"</formula>
    </cfRule>
  </conditionalFormatting>
  <conditionalFormatting sqref="AK12:AK15">
    <cfRule type="expression" dxfId="117" priority="2">
      <formula>AK$3="Sun"</formula>
    </cfRule>
  </conditionalFormatting>
  <conditionalFormatting sqref="AK20:AK23">
    <cfRule type="expression" dxfId="116" priority="1">
      <formula>AK$3="Sun"</formula>
    </cfRule>
  </conditionalFormatting>
  <conditionalFormatting sqref="AK4:AL4">
    <cfRule type="expression" dxfId="115" priority="6">
      <formula>AK$3="Sun"</formula>
    </cfRule>
  </conditionalFormatting>
  <conditionalFormatting sqref="AL12:AN12 AL20:AN20">
    <cfRule type="expression" dxfId="114" priority="7">
      <formula>AL$3="Sun"</formula>
    </cfRule>
  </conditionalFormatting>
  <conditionalFormatting sqref="AN21">
    <cfRule type="expression" dxfId="113" priority="4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AN54"/>
  <sheetViews>
    <sheetView topLeftCell="A5" workbookViewId="0">
      <selection activeCell="V15" sqref="V1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 bestFit="1"/>
    <col min="8" max="8" width="4.5703125" style="1" bestFit="1" customWidth="1"/>
    <col min="9" max="9" width="3.85546875" style="1" bestFit="1"/>
    <col min="10" max="10" width="4.7109375" style="1" bestFit="1" customWidth="1"/>
    <col min="11" max="11" width="3.85546875" style="1" bestFit="1"/>
    <col min="12" max="13" width="3.7109375" style="1" bestFit="1" customWidth="1"/>
    <col min="14" max="14" width="3.85546875" style="1" bestFit="1"/>
    <col min="15" max="15" width="4.5703125" style="1" bestFit="1" customWidth="1"/>
    <col min="16" max="16" width="3.85546875" style="1" bestFit="1"/>
    <col min="17" max="17" width="4.7109375" style="1" bestFit="1" customWidth="1"/>
    <col min="18" max="18" width="3.85546875" style="1" bestFit="1"/>
    <col min="19" max="20" width="3.7109375" style="1" bestFit="1" customWidth="1"/>
    <col min="21" max="21" width="3.85546875" style="1" bestFit="1"/>
    <col min="22" max="22" width="4.5703125" style="1" bestFit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40" ht="17.25">
      <c r="A2" s="100" t="s">
        <v>28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40" ht="15.75">
      <c r="A3" s="103" t="s">
        <v>0</v>
      </c>
      <c r="B3" s="103" t="s">
        <v>1</v>
      </c>
      <c r="C3" s="103" t="s">
        <v>2</v>
      </c>
      <c r="D3" s="103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4"/>
      <c r="B4" s="104"/>
      <c r="C4" s="104"/>
      <c r="D4" s="104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226</v>
      </c>
      <c r="C5" s="83" t="s">
        <v>72</v>
      </c>
      <c r="D5" s="5" t="s">
        <v>49</v>
      </c>
      <c r="E5" s="13" t="s">
        <v>25</v>
      </c>
      <c r="F5" s="13" t="s">
        <v>25</v>
      </c>
      <c r="G5" s="105" t="s">
        <v>50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07" t="s">
        <v>51</v>
      </c>
      <c r="N5" s="105" t="s">
        <v>50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25</v>
      </c>
      <c r="T5" s="6" t="s">
        <v>25</v>
      </c>
      <c r="U5" s="105" t="s">
        <v>50</v>
      </c>
      <c r="V5" s="6" t="s">
        <v>25</v>
      </c>
      <c r="W5" s="6" t="s">
        <v>25</v>
      </c>
      <c r="X5" s="6" t="s">
        <v>25</v>
      </c>
      <c r="Y5" s="6" t="s">
        <v>25</v>
      </c>
      <c r="Z5" s="6" t="s">
        <v>25</v>
      </c>
      <c r="AA5" s="6" t="s">
        <v>25</v>
      </c>
      <c r="AB5" s="105" t="s">
        <v>50</v>
      </c>
      <c r="AC5" s="6" t="s">
        <v>25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25</v>
      </c>
      <c r="AI5" s="4">
        <f t="shared" ref="AI5:AI54" si="1">COUNTIF(E5:AH5,"P")</f>
        <v>25</v>
      </c>
      <c r="AJ5" s="4">
        <f t="shared" ref="AJ5:AJ54" si="2">COUNTIF(E5:AH5,"A")</f>
        <v>0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3" t="s">
        <v>227</v>
      </c>
      <c r="C6" s="83" t="s">
        <v>228</v>
      </c>
      <c r="D6" s="5" t="s">
        <v>49</v>
      </c>
      <c r="E6" s="13" t="s">
        <v>25</v>
      </c>
      <c r="F6" s="13" t="s">
        <v>24</v>
      </c>
      <c r="G6" s="106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08"/>
      <c r="N6" s="106"/>
      <c r="O6" s="6" t="s">
        <v>25</v>
      </c>
      <c r="P6" s="6" t="s">
        <v>25</v>
      </c>
      <c r="Q6" s="6" t="s">
        <v>25</v>
      </c>
      <c r="R6" s="6" t="s">
        <v>25</v>
      </c>
      <c r="S6" s="6" t="s">
        <v>24</v>
      </c>
      <c r="T6" s="6" t="s">
        <v>25</v>
      </c>
      <c r="U6" s="106"/>
      <c r="V6" s="6" t="s">
        <v>25</v>
      </c>
      <c r="W6" s="6" t="s">
        <v>24</v>
      </c>
      <c r="X6" s="6" t="s">
        <v>25</v>
      </c>
      <c r="Y6" s="6" t="s">
        <v>24</v>
      </c>
      <c r="Z6" s="6" t="s">
        <v>25</v>
      </c>
      <c r="AA6" s="6" t="s">
        <v>24</v>
      </c>
      <c r="AB6" s="106"/>
      <c r="AC6" s="6" t="s">
        <v>24</v>
      </c>
      <c r="AD6" s="6" t="s">
        <v>24</v>
      </c>
      <c r="AE6" s="6" t="s">
        <v>24</v>
      </c>
      <c r="AF6" s="6" t="s">
        <v>24</v>
      </c>
      <c r="AG6" s="6" t="s">
        <v>24</v>
      </c>
      <c r="AH6" s="6" t="s">
        <v>24</v>
      </c>
      <c r="AI6" s="4">
        <f t="shared" si="1"/>
        <v>14</v>
      </c>
      <c r="AJ6" s="4">
        <f t="shared" si="2"/>
        <v>11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229</v>
      </c>
      <c r="C7" s="83" t="s">
        <v>171</v>
      </c>
      <c r="D7" s="5" t="s">
        <v>49</v>
      </c>
      <c r="E7" s="13" t="s">
        <v>25</v>
      </c>
      <c r="F7" s="13" t="s">
        <v>25</v>
      </c>
      <c r="G7" s="106"/>
      <c r="H7" s="13" t="s">
        <v>25</v>
      </c>
      <c r="I7" s="13" t="s">
        <v>25</v>
      </c>
      <c r="J7" s="13" t="s">
        <v>24</v>
      </c>
      <c r="K7" s="13" t="s">
        <v>25</v>
      </c>
      <c r="L7" s="13" t="s">
        <v>25</v>
      </c>
      <c r="M7" s="108"/>
      <c r="N7" s="106"/>
      <c r="O7" s="6" t="s">
        <v>25</v>
      </c>
      <c r="P7" s="6" t="s">
        <v>25</v>
      </c>
      <c r="Q7" s="6" t="s">
        <v>25</v>
      </c>
      <c r="R7" s="6" t="s">
        <v>25</v>
      </c>
      <c r="S7" s="6" t="s">
        <v>25</v>
      </c>
      <c r="T7" s="6" t="s">
        <v>25</v>
      </c>
      <c r="U7" s="106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06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24</v>
      </c>
      <c r="AJ7" s="4">
        <f t="shared" si="2"/>
        <v>1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230</v>
      </c>
      <c r="C8" s="83" t="s">
        <v>231</v>
      </c>
      <c r="D8" s="5" t="s">
        <v>49</v>
      </c>
      <c r="E8" s="13" t="s">
        <v>25</v>
      </c>
      <c r="F8" s="13" t="s">
        <v>25</v>
      </c>
      <c r="G8" s="106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08"/>
      <c r="N8" s="106"/>
      <c r="O8" s="6" t="s">
        <v>25</v>
      </c>
      <c r="P8" s="6" t="s">
        <v>25</v>
      </c>
      <c r="Q8" s="6" t="s">
        <v>25</v>
      </c>
      <c r="R8" s="6" t="s">
        <v>25</v>
      </c>
      <c r="S8" s="6" t="s">
        <v>25</v>
      </c>
      <c r="T8" s="6" t="s">
        <v>25</v>
      </c>
      <c r="U8" s="106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06"/>
      <c r="AC8" s="6" t="s">
        <v>25</v>
      </c>
      <c r="AD8" s="6" t="s">
        <v>25</v>
      </c>
      <c r="AE8" s="6" t="s">
        <v>25</v>
      </c>
      <c r="AF8" s="6" t="s">
        <v>25</v>
      </c>
      <c r="AG8" s="6" t="s">
        <v>25</v>
      </c>
      <c r="AH8" s="6" t="s">
        <v>25</v>
      </c>
      <c r="AI8" s="4">
        <f t="shared" si="1"/>
        <v>25</v>
      </c>
      <c r="AJ8" s="4">
        <f t="shared" si="2"/>
        <v>0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3" t="s">
        <v>232</v>
      </c>
      <c r="C9" s="83" t="s">
        <v>233</v>
      </c>
      <c r="D9" s="5" t="s">
        <v>49</v>
      </c>
      <c r="E9" s="13" t="s">
        <v>25</v>
      </c>
      <c r="F9" s="13" t="s">
        <v>24</v>
      </c>
      <c r="G9" s="106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08"/>
      <c r="N9" s="106"/>
      <c r="O9" s="6" t="s">
        <v>25</v>
      </c>
      <c r="P9" s="6" t="s">
        <v>25</v>
      </c>
      <c r="Q9" s="6" t="s">
        <v>25</v>
      </c>
      <c r="R9" s="6" t="s">
        <v>25</v>
      </c>
      <c r="S9" s="6" t="s">
        <v>25</v>
      </c>
      <c r="T9" s="6" t="s">
        <v>25</v>
      </c>
      <c r="U9" s="106"/>
      <c r="V9" s="6" t="s">
        <v>25</v>
      </c>
      <c r="W9" s="6" t="s">
        <v>24</v>
      </c>
      <c r="X9" s="6" t="s">
        <v>25</v>
      </c>
      <c r="Y9" s="6" t="s">
        <v>25</v>
      </c>
      <c r="Z9" s="6" t="s">
        <v>25</v>
      </c>
      <c r="AA9" s="6" t="s">
        <v>24</v>
      </c>
      <c r="AB9" s="106"/>
      <c r="AC9" s="6" t="s">
        <v>25</v>
      </c>
      <c r="AD9" s="6" t="s">
        <v>25</v>
      </c>
      <c r="AE9" s="6" t="s">
        <v>25</v>
      </c>
      <c r="AF9" s="6" t="s">
        <v>25</v>
      </c>
      <c r="AG9" s="6" t="s">
        <v>25</v>
      </c>
      <c r="AH9" s="6" t="s">
        <v>25</v>
      </c>
      <c r="AI9" s="4">
        <f t="shared" si="1"/>
        <v>22</v>
      </c>
      <c r="AJ9" s="4">
        <f t="shared" si="2"/>
        <v>3</v>
      </c>
      <c r="AK9" s="4"/>
      <c r="AL9" s="7"/>
    </row>
    <row r="10" spans="1:40" ht="16.5">
      <c r="A10" s="7">
        <v>6</v>
      </c>
      <c r="B10" s="83" t="s">
        <v>148</v>
      </c>
      <c r="C10" s="83" t="s">
        <v>233</v>
      </c>
      <c r="D10" s="5" t="s">
        <v>49</v>
      </c>
      <c r="E10" s="13" t="s">
        <v>25</v>
      </c>
      <c r="F10" s="13" t="s">
        <v>25</v>
      </c>
      <c r="G10" s="106"/>
      <c r="H10" s="13" t="s">
        <v>24</v>
      </c>
      <c r="I10" s="13" t="s">
        <v>25</v>
      </c>
      <c r="J10" s="13" t="s">
        <v>25</v>
      </c>
      <c r="K10" s="13" t="s">
        <v>25</v>
      </c>
      <c r="L10" s="13" t="s">
        <v>25</v>
      </c>
      <c r="M10" s="108"/>
      <c r="N10" s="106"/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24</v>
      </c>
      <c r="T10" s="6" t="s">
        <v>25</v>
      </c>
      <c r="U10" s="106"/>
      <c r="V10" s="6" t="s">
        <v>25</v>
      </c>
      <c r="W10" s="6" t="s">
        <v>25</v>
      </c>
      <c r="X10" s="6" t="s">
        <v>25</v>
      </c>
      <c r="Y10" s="6" t="s">
        <v>24</v>
      </c>
      <c r="Z10" s="6" t="s">
        <v>25</v>
      </c>
      <c r="AA10" s="6" t="s">
        <v>24</v>
      </c>
      <c r="AB10" s="106"/>
      <c r="AC10" s="6" t="s">
        <v>25</v>
      </c>
      <c r="AD10" s="6" t="s">
        <v>25</v>
      </c>
      <c r="AE10" s="6" t="s">
        <v>25</v>
      </c>
      <c r="AF10" s="6" t="s">
        <v>25</v>
      </c>
      <c r="AG10" s="6" t="s">
        <v>24</v>
      </c>
      <c r="AH10" s="6" t="s">
        <v>25</v>
      </c>
      <c r="AI10" s="4">
        <f t="shared" si="1"/>
        <v>20</v>
      </c>
      <c r="AJ10" s="4">
        <f t="shared" si="2"/>
        <v>5</v>
      </c>
    </row>
    <row r="11" spans="1:40" ht="16.5">
      <c r="A11" s="7">
        <v>7</v>
      </c>
      <c r="B11" s="83" t="s">
        <v>89</v>
      </c>
      <c r="C11" s="83" t="s">
        <v>115</v>
      </c>
      <c r="D11" s="5" t="s">
        <v>49</v>
      </c>
      <c r="E11" s="13" t="s">
        <v>25</v>
      </c>
      <c r="F11" s="13" t="s">
        <v>24</v>
      </c>
      <c r="G11" s="106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08"/>
      <c r="N11" s="106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06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06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24</v>
      </c>
      <c r="AJ11" s="4">
        <f t="shared" si="2"/>
        <v>1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3" t="s">
        <v>92</v>
      </c>
      <c r="C12" s="83" t="s">
        <v>168</v>
      </c>
      <c r="D12" s="5" t="s">
        <v>49</v>
      </c>
      <c r="E12" s="13" t="s">
        <v>25</v>
      </c>
      <c r="F12" s="13" t="s">
        <v>25</v>
      </c>
      <c r="G12" s="106"/>
      <c r="H12" s="13" t="s">
        <v>25</v>
      </c>
      <c r="I12" s="13" t="s">
        <v>25</v>
      </c>
      <c r="J12" s="13" t="s">
        <v>24</v>
      </c>
      <c r="K12" s="13" t="s">
        <v>25</v>
      </c>
      <c r="L12" s="13" t="s">
        <v>25</v>
      </c>
      <c r="M12" s="108"/>
      <c r="N12" s="106"/>
      <c r="O12" s="6" t="s">
        <v>25</v>
      </c>
      <c r="P12" s="6" t="s">
        <v>25</v>
      </c>
      <c r="Q12" s="6" t="s">
        <v>25</v>
      </c>
      <c r="R12" s="6" t="s">
        <v>25</v>
      </c>
      <c r="S12" s="6" t="s">
        <v>25</v>
      </c>
      <c r="T12" s="6" t="s">
        <v>25</v>
      </c>
      <c r="U12" s="106"/>
      <c r="V12" s="6" t="s">
        <v>25</v>
      </c>
      <c r="W12" s="6" t="s">
        <v>24</v>
      </c>
      <c r="X12" s="6" t="s">
        <v>24</v>
      </c>
      <c r="Y12" s="6" t="s">
        <v>24</v>
      </c>
      <c r="Z12" s="6" t="s">
        <v>25</v>
      </c>
      <c r="AA12" s="6" t="s">
        <v>24</v>
      </c>
      <c r="AB12" s="106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20</v>
      </c>
      <c r="AJ12" s="4">
        <f t="shared" si="2"/>
        <v>5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234</v>
      </c>
      <c r="C13" s="83" t="s">
        <v>186</v>
      </c>
      <c r="D13" s="5" t="s">
        <v>49</v>
      </c>
      <c r="E13" s="13" t="s">
        <v>25</v>
      </c>
      <c r="F13" s="13" t="s">
        <v>25</v>
      </c>
      <c r="G13" s="106"/>
      <c r="H13" s="13" t="s">
        <v>25</v>
      </c>
      <c r="I13" s="13" t="s">
        <v>25</v>
      </c>
      <c r="J13" s="13" t="s">
        <v>25</v>
      </c>
      <c r="K13" s="13" t="s">
        <v>24</v>
      </c>
      <c r="L13" s="13" t="s">
        <v>25</v>
      </c>
      <c r="M13" s="108"/>
      <c r="N13" s="106"/>
      <c r="O13" s="6" t="s">
        <v>24</v>
      </c>
      <c r="P13" s="6" t="s">
        <v>25</v>
      </c>
      <c r="Q13" s="6" t="s">
        <v>24</v>
      </c>
      <c r="R13" s="6" t="s">
        <v>25</v>
      </c>
      <c r="S13" s="6" t="s">
        <v>25</v>
      </c>
      <c r="T13" s="6" t="s">
        <v>25</v>
      </c>
      <c r="U13" s="106"/>
      <c r="V13" s="6" t="s">
        <v>24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24</v>
      </c>
      <c r="AB13" s="106"/>
      <c r="AC13" s="6" t="s">
        <v>24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19</v>
      </c>
      <c r="AJ13" s="4">
        <f t="shared" si="2"/>
        <v>6</v>
      </c>
      <c r="AK13" s="4" t="s">
        <v>14</v>
      </c>
      <c r="AL13" s="7">
        <f>32*$AL$5</f>
        <v>768</v>
      </c>
      <c r="AM13" s="7">
        <f>24*$AL$5</f>
        <v>576</v>
      </c>
      <c r="AN13" s="7">
        <f>SUM(AL13:AM13)</f>
        <v>1344</v>
      </c>
    </row>
    <row r="14" spans="1:40" ht="16.5">
      <c r="A14" s="7">
        <v>10</v>
      </c>
      <c r="B14" s="83" t="s">
        <v>235</v>
      </c>
      <c r="C14" s="83" t="s">
        <v>236</v>
      </c>
      <c r="D14" s="5" t="s">
        <v>49</v>
      </c>
      <c r="E14" s="13" t="s">
        <v>24</v>
      </c>
      <c r="F14" s="13" t="s">
        <v>25</v>
      </c>
      <c r="G14" s="106"/>
      <c r="H14" s="13" t="s">
        <v>24</v>
      </c>
      <c r="I14" s="13" t="s">
        <v>25</v>
      </c>
      <c r="J14" s="13" t="s">
        <v>24</v>
      </c>
      <c r="K14" s="13" t="s">
        <v>25</v>
      </c>
      <c r="L14" s="13" t="s">
        <v>25</v>
      </c>
      <c r="M14" s="108"/>
      <c r="N14" s="106"/>
      <c r="O14" s="6" t="s">
        <v>25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06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06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22</v>
      </c>
      <c r="AJ14" s="4">
        <f t="shared" si="2"/>
        <v>3</v>
      </c>
      <c r="AK14" s="4" t="s">
        <v>15</v>
      </c>
      <c r="AL14" s="7">
        <f>SUM(AI29:AI54)</f>
        <v>572</v>
      </c>
      <c r="AM14" s="7">
        <f>SUM(AI5:AI28)</f>
        <v>516</v>
      </c>
      <c r="AN14" s="7">
        <f>AL14+AM14</f>
        <v>1088</v>
      </c>
    </row>
    <row r="15" spans="1:40" ht="16.5">
      <c r="A15" s="7">
        <v>11</v>
      </c>
      <c r="B15" s="83" t="s">
        <v>237</v>
      </c>
      <c r="C15" s="83" t="s">
        <v>233</v>
      </c>
      <c r="D15" s="5" t="s">
        <v>49</v>
      </c>
      <c r="E15" s="13" t="s">
        <v>25</v>
      </c>
      <c r="F15" s="13" t="s">
        <v>25</v>
      </c>
      <c r="G15" s="106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08"/>
      <c r="N15" s="106"/>
      <c r="O15" s="6" t="s">
        <v>25</v>
      </c>
      <c r="P15" s="6" t="s">
        <v>25</v>
      </c>
      <c r="Q15" s="6" t="s">
        <v>25</v>
      </c>
      <c r="R15" s="6" t="s">
        <v>25</v>
      </c>
      <c r="S15" s="6" t="s">
        <v>25</v>
      </c>
      <c r="T15" s="6" t="s">
        <v>25</v>
      </c>
      <c r="U15" s="106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24</v>
      </c>
      <c r="AA15" s="6" t="s">
        <v>25</v>
      </c>
      <c r="AB15" s="106"/>
      <c r="AC15" s="6" t="s">
        <v>25</v>
      </c>
      <c r="AD15" s="6" t="s">
        <v>25</v>
      </c>
      <c r="AE15" s="6" t="s">
        <v>25</v>
      </c>
      <c r="AF15" s="6" t="s">
        <v>25</v>
      </c>
      <c r="AG15" s="6" t="s">
        <v>25</v>
      </c>
      <c r="AH15" s="6" t="s">
        <v>25</v>
      </c>
      <c r="AI15" s="4">
        <f t="shared" si="1"/>
        <v>24</v>
      </c>
      <c r="AJ15" s="4">
        <f t="shared" si="2"/>
        <v>1</v>
      </c>
      <c r="AK15" s="4" t="s">
        <v>16</v>
      </c>
      <c r="AL15" s="9">
        <f>AL14/AL13</f>
        <v>0.74479166666666663</v>
      </c>
      <c r="AM15" s="9">
        <f>AM14/AM13</f>
        <v>0.89583333333333337</v>
      </c>
      <c r="AN15" s="9">
        <f>AN14/AN13</f>
        <v>0.80952380952380953</v>
      </c>
    </row>
    <row r="16" spans="1:40" ht="16.5">
      <c r="A16" s="7">
        <v>12</v>
      </c>
      <c r="B16" s="83" t="s">
        <v>238</v>
      </c>
      <c r="C16" s="83" t="s">
        <v>148</v>
      </c>
      <c r="D16" s="5" t="s">
        <v>49</v>
      </c>
      <c r="E16" s="13" t="s">
        <v>25</v>
      </c>
      <c r="F16" s="13" t="s">
        <v>25</v>
      </c>
      <c r="G16" s="106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24</v>
      </c>
      <c r="M16" s="108"/>
      <c r="N16" s="106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24</v>
      </c>
      <c r="T16" s="6" t="s">
        <v>25</v>
      </c>
      <c r="U16" s="106"/>
      <c r="V16" s="6" t="s">
        <v>25</v>
      </c>
      <c r="W16" s="6" t="s">
        <v>24</v>
      </c>
      <c r="X16" s="6" t="s">
        <v>25</v>
      </c>
      <c r="Y16" s="6" t="s">
        <v>25</v>
      </c>
      <c r="Z16" s="6" t="s">
        <v>25</v>
      </c>
      <c r="AA16" s="6" t="s">
        <v>25</v>
      </c>
      <c r="AB16" s="106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22</v>
      </c>
      <c r="AJ16" s="4">
        <f t="shared" si="2"/>
        <v>3</v>
      </c>
      <c r="AK16"/>
      <c r="AL16"/>
      <c r="AM16"/>
      <c r="AN16"/>
    </row>
    <row r="17" spans="1:40" ht="16.5">
      <c r="A17" s="7">
        <v>13</v>
      </c>
      <c r="B17" s="83" t="s">
        <v>239</v>
      </c>
      <c r="C17" s="83" t="s">
        <v>161</v>
      </c>
      <c r="D17" s="5" t="s">
        <v>49</v>
      </c>
      <c r="E17" s="13" t="s">
        <v>25</v>
      </c>
      <c r="F17" s="13" t="s">
        <v>24</v>
      </c>
      <c r="G17" s="106"/>
      <c r="H17" s="13" t="s">
        <v>24</v>
      </c>
      <c r="I17" s="13" t="s">
        <v>25</v>
      </c>
      <c r="J17" s="13" t="s">
        <v>25</v>
      </c>
      <c r="K17" s="13" t="s">
        <v>24</v>
      </c>
      <c r="L17" s="13" t="s">
        <v>25</v>
      </c>
      <c r="M17" s="108"/>
      <c r="N17" s="106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06"/>
      <c r="V17" s="6" t="s">
        <v>24</v>
      </c>
      <c r="W17" s="6" t="s">
        <v>25</v>
      </c>
      <c r="X17" s="6" t="s">
        <v>25</v>
      </c>
      <c r="Y17" s="6" t="s">
        <v>25</v>
      </c>
      <c r="Z17" s="6" t="s">
        <v>24</v>
      </c>
      <c r="AA17" s="6" t="s">
        <v>25</v>
      </c>
      <c r="AB17" s="106"/>
      <c r="AC17" s="6" t="s">
        <v>24</v>
      </c>
      <c r="AD17" s="6" t="s">
        <v>24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18</v>
      </c>
      <c r="AJ17" s="4">
        <f t="shared" si="2"/>
        <v>7</v>
      </c>
      <c r="AK17"/>
      <c r="AL17"/>
      <c r="AM17"/>
      <c r="AN17"/>
    </row>
    <row r="18" spans="1:40" ht="16.5">
      <c r="A18" s="7">
        <v>14</v>
      </c>
      <c r="B18" s="83" t="s">
        <v>240</v>
      </c>
      <c r="C18" s="83" t="s">
        <v>179</v>
      </c>
      <c r="D18" s="5" t="s">
        <v>49</v>
      </c>
      <c r="E18" s="13" t="s">
        <v>25</v>
      </c>
      <c r="F18" s="13" t="s">
        <v>25</v>
      </c>
      <c r="G18" s="106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08"/>
      <c r="N18" s="106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24</v>
      </c>
      <c r="T18" s="6" t="s">
        <v>25</v>
      </c>
      <c r="U18" s="106"/>
      <c r="V18" s="6" t="s">
        <v>25</v>
      </c>
      <c r="W18" s="6" t="s">
        <v>25</v>
      </c>
      <c r="X18" s="6" t="s">
        <v>24</v>
      </c>
      <c r="Y18" s="6" t="s">
        <v>25</v>
      </c>
      <c r="Z18" s="6" t="s">
        <v>25</v>
      </c>
      <c r="AA18" s="6" t="s">
        <v>24</v>
      </c>
      <c r="AB18" s="106"/>
      <c r="AC18" s="6" t="s">
        <v>24</v>
      </c>
      <c r="AD18" s="6" t="s">
        <v>25</v>
      </c>
      <c r="AE18" s="6" t="s">
        <v>24</v>
      </c>
      <c r="AF18" s="6" t="s">
        <v>25</v>
      </c>
      <c r="AG18" s="6" t="s">
        <v>24</v>
      </c>
      <c r="AH18" s="6" t="s">
        <v>25</v>
      </c>
      <c r="AI18" s="4">
        <f t="shared" si="1"/>
        <v>19</v>
      </c>
      <c r="AJ18" s="4">
        <f t="shared" si="2"/>
        <v>6</v>
      </c>
      <c r="AK18"/>
      <c r="AL18"/>
      <c r="AM18"/>
      <c r="AN18"/>
    </row>
    <row r="19" spans="1:40" ht="16.5">
      <c r="A19" s="7">
        <v>15</v>
      </c>
      <c r="B19" s="83" t="s">
        <v>241</v>
      </c>
      <c r="C19" s="83" t="s">
        <v>242</v>
      </c>
      <c r="D19" s="5" t="s">
        <v>49</v>
      </c>
      <c r="E19" s="13" t="s">
        <v>25</v>
      </c>
      <c r="F19" s="13" t="s">
        <v>25</v>
      </c>
      <c r="G19" s="106"/>
      <c r="H19" s="13" t="s">
        <v>25</v>
      </c>
      <c r="I19" s="13" t="s">
        <v>25</v>
      </c>
      <c r="J19" s="13" t="s">
        <v>25</v>
      </c>
      <c r="K19" s="13" t="s">
        <v>24</v>
      </c>
      <c r="L19" s="13" t="s">
        <v>24</v>
      </c>
      <c r="M19" s="108"/>
      <c r="N19" s="106"/>
      <c r="O19" s="6" t="s">
        <v>25</v>
      </c>
      <c r="P19" s="6" t="s">
        <v>25</v>
      </c>
      <c r="Q19" s="6" t="s">
        <v>25</v>
      </c>
      <c r="R19" s="6" t="s">
        <v>25</v>
      </c>
      <c r="S19" s="6" t="s">
        <v>24</v>
      </c>
      <c r="T19" s="6" t="s">
        <v>25</v>
      </c>
      <c r="U19" s="106"/>
      <c r="V19" s="6" t="s">
        <v>25</v>
      </c>
      <c r="W19" s="6" t="s">
        <v>25</v>
      </c>
      <c r="X19" s="6" t="s">
        <v>25</v>
      </c>
      <c r="Y19" s="6" t="s">
        <v>24</v>
      </c>
      <c r="Z19" s="6" t="s">
        <v>25</v>
      </c>
      <c r="AA19" s="6" t="s">
        <v>25</v>
      </c>
      <c r="AB19" s="106"/>
      <c r="AC19" s="6" t="s">
        <v>24</v>
      </c>
      <c r="AD19" s="6" t="s">
        <v>25</v>
      </c>
      <c r="AE19" s="6" t="s">
        <v>25</v>
      </c>
      <c r="AF19" s="6" t="s">
        <v>25</v>
      </c>
      <c r="AG19" s="6" t="s">
        <v>24</v>
      </c>
      <c r="AH19" s="6" t="s">
        <v>24</v>
      </c>
      <c r="AI19" s="4">
        <f t="shared" si="1"/>
        <v>18</v>
      </c>
      <c r="AJ19" s="4">
        <f t="shared" si="2"/>
        <v>7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3" t="s">
        <v>243</v>
      </c>
      <c r="C20" s="83" t="s">
        <v>39</v>
      </c>
      <c r="D20" s="5" t="s">
        <v>49</v>
      </c>
      <c r="E20" s="13" t="s">
        <v>25</v>
      </c>
      <c r="F20" s="13" t="s">
        <v>24</v>
      </c>
      <c r="G20" s="106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08"/>
      <c r="N20" s="106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25</v>
      </c>
      <c r="T20" s="6" t="s">
        <v>25</v>
      </c>
      <c r="U20" s="106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24</v>
      </c>
      <c r="AA20" s="6" t="s">
        <v>25</v>
      </c>
      <c r="AB20" s="106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244</v>
      </c>
      <c r="C21" s="83" t="s">
        <v>199</v>
      </c>
      <c r="D21" s="5" t="s">
        <v>49</v>
      </c>
      <c r="E21" s="13" t="s">
        <v>25</v>
      </c>
      <c r="F21" s="13" t="s">
        <v>25</v>
      </c>
      <c r="G21" s="106"/>
      <c r="H21" s="13" t="s">
        <v>25</v>
      </c>
      <c r="I21" s="13" t="s">
        <v>25</v>
      </c>
      <c r="J21" s="13" t="s">
        <v>24</v>
      </c>
      <c r="K21" s="13" t="s">
        <v>25</v>
      </c>
      <c r="L21" s="13" t="s">
        <v>25</v>
      </c>
      <c r="M21" s="108"/>
      <c r="N21" s="106"/>
      <c r="O21" s="6" t="s">
        <v>25</v>
      </c>
      <c r="P21" s="6" t="s">
        <v>25</v>
      </c>
      <c r="Q21" s="6" t="s">
        <v>25</v>
      </c>
      <c r="R21" s="6" t="s">
        <v>25</v>
      </c>
      <c r="S21" s="6" t="s">
        <v>24</v>
      </c>
      <c r="T21" s="6" t="s">
        <v>25</v>
      </c>
      <c r="U21" s="106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25</v>
      </c>
      <c r="AB21" s="106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23</v>
      </c>
      <c r="AJ21" s="4">
        <f t="shared" si="2"/>
        <v>2</v>
      </c>
      <c r="AK21" s="4" t="s">
        <v>14</v>
      </c>
      <c r="AL21" s="7">
        <f>32*$AL$5</f>
        <v>768</v>
      </c>
      <c r="AM21" s="7">
        <f>24*$AL$5</f>
        <v>576</v>
      </c>
      <c r="AN21" s="7">
        <f>AL21+AM21</f>
        <v>1344</v>
      </c>
    </row>
    <row r="22" spans="1:40" ht="16.5">
      <c r="A22" s="7">
        <v>18</v>
      </c>
      <c r="B22" s="83" t="s">
        <v>245</v>
      </c>
      <c r="C22" s="83" t="s">
        <v>246</v>
      </c>
      <c r="D22" s="5" t="s">
        <v>49</v>
      </c>
      <c r="E22" s="13" t="s">
        <v>25</v>
      </c>
      <c r="F22" s="13" t="s">
        <v>25</v>
      </c>
      <c r="G22" s="106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08"/>
      <c r="N22" s="106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24</v>
      </c>
      <c r="T22" s="6" t="s">
        <v>25</v>
      </c>
      <c r="U22" s="106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06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24</v>
      </c>
      <c r="AJ22" s="4">
        <f t="shared" si="2"/>
        <v>1</v>
      </c>
      <c r="AK22" s="4" t="s">
        <v>17</v>
      </c>
      <c r="AL22" s="7">
        <f>AL21-AL14</f>
        <v>196</v>
      </c>
      <c r="AM22" s="7">
        <f>AM21-AM14</f>
        <v>60</v>
      </c>
      <c r="AN22" s="7">
        <f>AL22+AM22</f>
        <v>256</v>
      </c>
    </row>
    <row r="23" spans="1:40" ht="16.5">
      <c r="A23" s="7">
        <v>19</v>
      </c>
      <c r="B23" s="83" t="s">
        <v>247</v>
      </c>
      <c r="C23" s="83" t="s">
        <v>248</v>
      </c>
      <c r="D23" s="5" t="s">
        <v>49</v>
      </c>
      <c r="E23" s="13" t="s">
        <v>24</v>
      </c>
      <c r="F23" s="13" t="s">
        <v>25</v>
      </c>
      <c r="G23" s="106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24</v>
      </c>
      <c r="M23" s="108"/>
      <c r="N23" s="106"/>
      <c r="O23" s="6" t="s">
        <v>25</v>
      </c>
      <c r="P23" s="6" t="s">
        <v>24</v>
      </c>
      <c r="Q23" s="6" t="s">
        <v>25</v>
      </c>
      <c r="R23" s="6" t="s">
        <v>25</v>
      </c>
      <c r="S23" s="6" t="s">
        <v>25</v>
      </c>
      <c r="T23" s="6" t="s">
        <v>25</v>
      </c>
      <c r="U23" s="106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06"/>
      <c r="AC23" s="6" t="s">
        <v>25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22</v>
      </c>
      <c r="AJ23" s="4">
        <f t="shared" si="2"/>
        <v>3</v>
      </c>
      <c r="AK23" s="4" t="s">
        <v>16</v>
      </c>
      <c r="AL23" s="9">
        <f>AL22/AL21</f>
        <v>0.25520833333333331</v>
      </c>
      <c r="AM23" s="9">
        <f>AM22/AM21</f>
        <v>0.10416666666666667</v>
      </c>
      <c r="AN23" s="9">
        <f>AN22/AN21</f>
        <v>0.19047619047619047</v>
      </c>
    </row>
    <row r="24" spans="1:40" ht="16.5">
      <c r="A24" s="7">
        <v>20</v>
      </c>
      <c r="B24" s="83" t="s">
        <v>212</v>
      </c>
      <c r="C24" s="83" t="s">
        <v>248</v>
      </c>
      <c r="D24" s="5" t="s">
        <v>49</v>
      </c>
      <c r="E24" s="13" t="s">
        <v>25</v>
      </c>
      <c r="F24" s="13" t="s">
        <v>25</v>
      </c>
      <c r="G24" s="106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08"/>
      <c r="N24" s="106"/>
      <c r="O24" s="6" t="s">
        <v>25</v>
      </c>
      <c r="P24" s="6" t="s">
        <v>25</v>
      </c>
      <c r="Q24" s="6" t="s">
        <v>25</v>
      </c>
      <c r="R24" s="6" t="s">
        <v>25</v>
      </c>
      <c r="S24" s="6" t="s">
        <v>25</v>
      </c>
      <c r="T24" s="6" t="s">
        <v>25</v>
      </c>
      <c r="U24" s="106"/>
      <c r="V24" s="6" t="s">
        <v>25</v>
      </c>
      <c r="W24" s="6" t="s">
        <v>25</v>
      </c>
      <c r="X24" s="6" t="s">
        <v>25</v>
      </c>
      <c r="Y24" s="6" t="s">
        <v>25</v>
      </c>
      <c r="Z24" s="6" t="s">
        <v>25</v>
      </c>
      <c r="AA24" s="6" t="s">
        <v>25</v>
      </c>
      <c r="AB24" s="106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25</v>
      </c>
      <c r="AJ24" s="4">
        <f t="shared" si="2"/>
        <v>0</v>
      </c>
    </row>
    <row r="25" spans="1:40" ht="16.5">
      <c r="A25" s="7">
        <v>21</v>
      </c>
      <c r="B25" s="83" t="s">
        <v>249</v>
      </c>
      <c r="C25" s="83" t="s">
        <v>45</v>
      </c>
      <c r="D25" s="5" t="s">
        <v>49</v>
      </c>
      <c r="E25" s="13" t="s">
        <v>25</v>
      </c>
      <c r="F25" s="13" t="s">
        <v>25</v>
      </c>
      <c r="G25" s="106"/>
      <c r="H25" s="13" t="s">
        <v>25</v>
      </c>
      <c r="I25" s="13" t="s">
        <v>25</v>
      </c>
      <c r="J25" s="13" t="s">
        <v>25</v>
      </c>
      <c r="K25" s="13" t="s">
        <v>24</v>
      </c>
      <c r="L25" s="13" t="s">
        <v>25</v>
      </c>
      <c r="M25" s="108"/>
      <c r="N25" s="106"/>
      <c r="O25" s="6" t="s">
        <v>25</v>
      </c>
      <c r="P25" s="6" t="s">
        <v>25</v>
      </c>
      <c r="Q25" s="6" t="s">
        <v>25</v>
      </c>
      <c r="R25" s="6" t="s">
        <v>24</v>
      </c>
      <c r="S25" s="6" t="s">
        <v>25</v>
      </c>
      <c r="T25" s="6" t="s">
        <v>25</v>
      </c>
      <c r="U25" s="106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06"/>
      <c r="AC25" s="6" t="s">
        <v>25</v>
      </c>
      <c r="AD25" s="6" t="s">
        <v>25</v>
      </c>
      <c r="AE25" s="6" t="s">
        <v>25</v>
      </c>
      <c r="AF25" s="6" t="s">
        <v>25</v>
      </c>
      <c r="AG25" s="6" t="s">
        <v>25</v>
      </c>
      <c r="AH25" s="6" t="s">
        <v>25</v>
      </c>
      <c r="AI25" s="4">
        <f t="shared" si="1"/>
        <v>23</v>
      </c>
      <c r="AJ25" s="4">
        <f t="shared" si="2"/>
        <v>2</v>
      </c>
    </row>
    <row r="26" spans="1:40" ht="16.5">
      <c r="A26" s="7">
        <v>22</v>
      </c>
      <c r="B26" s="83" t="s">
        <v>134</v>
      </c>
      <c r="C26" s="83" t="s">
        <v>250</v>
      </c>
      <c r="D26" s="5" t="s">
        <v>49</v>
      </c>
      <c r="E26" s="13" t="s">
        <v>25</v>
      </c>
      <c r="F26" s="13" t="s">
        <v>25</v>
      </c>
      <c r="G26" s="106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08"/>
      <c r="N26" s="106"/>
      <c r="O26" s="6" t="s">
        <v>25</v>
      </c>
      <c r="P26" s="6" t="s">
        <v>25</v>
      </c>
      <c r="Q26" s="6" t="s">
        <v>25</v>
      </c>
      <c r="R26" s="6" t="s">
        <v>25</v>
      </c>
      <c r="S26" s="6" t="s">
        <v>25</v>
      </c>
      <c r="T26" s="6" t="s">
        <v>25</v>
      </c>
      <c r="U26" s="106"/>
      <c r="V26" s="6" t="s">
        <v>25</v>
      </c>
      <c r="W26" s="6" t="s">
        <v>25</v>
      </c>
      <c r="X26" s="6" t="s">
        <v>25</v>
      </c>
      <c r="Y26" s="6" t="s">
        <v>25</v>
      </c>
      <c r="Z26" s="6" t="s">
        <v>25</v>
      </c>
      <c r="AA26" s="6" t="s">
        <v>25</v>
      </c>
      <c r="AB26" s="106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24</v>
      </c>
      <c r="AH26" s="6" t="s">
        <v>24</v>
      </c>
      <c r="AI26" s="4">
        <f t="shared" si="1"/>
        <v>23</v>
      </c>
      <c r="AJ26" s="4">
        <f t="shared" si="2"/>
        <v>2</v>
      </c>
    </row>
    <row r="27" spans="1:40" ht="16.5">
      <c r="A27" s="7">
        <v>23</v>
      </c>
      <c r="B27" s="83" t="s">
        <v>240</v>
      </c>
      <c r="C27" s="83" t="s">
        <v>250</v>
      </c>
      <c r="D27" s="5" t="s">
        <v>49</v>
      </c>
      <c r="E27" s="13" t="s">
        <v>25</v>
      </c>
      <c r="F27" s="13" t="s">
        <v>25</v>
      </c>
      <c r="G27" s="106"/>
      <c r="H27" s="13" t="s">
        <v>25</v>
      </c>
      <c r="I27" s="13" t="s">
        <v>25</v>
      </c>
      <c r="J27" s="13" t="s">
        <v>24</v>
      </c>
      <c r="K27" s="13" t="s">
        <v>25</v>
      </c>
      <c r="L27" s="13" t="s">
        <v>25</v>
      </c>
      <c r="M27" s="108"/>
      <c r="N27" s="106"/>
      <c r="O27" s="6" t="s">
        <v>25</v>
      </c>
      <c r="P27" s="6" t="s">
        <v>25</v>
      </c>
      <c r="Q27" s="6" t="s">
        <v>24</v>
      </c>
      <c r="R27" s="6" t="s">
        <v>24</v>
      </c>
      <c r="S27" s="6" t="s">
        <v>24</v>
      </c>
      <c r="T27" s="6" t="s">
        <v>25</v>
      </c>
      <c r="U27" s="106"/>
      <c r="V27" s="6" t="s">
        <v>25</v>
      </c>
      <c r="W27" s="6" t="s">
        <v>25</v>
      </c>
      <c r="X27" s="6" t="s">
        <v>25</v>
      </c>
      <c r="Y27" s="6" t="s">
        <v>25</v>
      </c>
      <c r="Z27" s="6" t="s">
        <v>24</v>
      </c>
      <c r="AA27" s="6" t="s">
        <v>25</v>
      </c>
      <c r="AB27" s="106"/>
      <c r="AC27" s="6" t="s">
        <v>26</v>
      </c>
      <c r="AD27" s="6" t="s">
        <v>26</v>
      </c>
      <c r="AE27" s="6" t="s">
        <v>25</v>
      </c>
      <c r="AF27" s="6" t="s">
        <v>25</v>
      </c>
      <c r="AG27" s="6" t="s">
        <v>25</v>
      </c>
      <c r="AH27" s="6" t="s">
        <v>25</v>
      </c>
      <c r="AI27" s="4">
        <f t="shared" si="1"/>
        <v>18</v>
      </c>
      <c r="AJ27" s="4">
        <f t="shared" si="2"/>
        <v>5</v>
      </c>
    </row>
    <row r="28" spans="1:40" ht="16.5">
      <c r="A28" s="7">
        <v>24</v>
      </c>
      <c r="B28" s="83" t="s">
        <v>251</v>
      </c>
      <c r="C28" s="83" t="s">
        <v>76</v>
      </c>
      <c r="D28" s="5" t="s">
        <v>49</v>
      </c>
      <c r="E28" s="13" t="s">
        <v>24</v>
      </c>
      <c r="F28" s="13" t="s">
        <v>25</v>
      </c>
      <c r="G28" s="106"/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24</v>
      </c>
      <c r="M28" s="108"/>
      <c r="N28" s="106"/>
      <c r="O28" s="6" t="s">
        <v>24</v>
      </c>
      <c r="P28" s="6" t="s">
        <v>25</v>
      </c>
      <c r="Q28" s="6" t="s">
        <v>25</v>
      </c>
      <c r="R28" s="6" t="s">
        <v>25</v>
      </c>
      <c r="S28" s="6" t="s">
        <v>24</v>
      </c>
      <c r="T28" s="6" t="s">
        <v>24</v>
      </c>
      <c r="U28" s="106"/>
      <c r="V28" s="6" t="s">
        <v>25</v>
      </c>
      <c r="W28" s="6" t="s">
        <v>25</v>
      </c>
      <c r="X28" s="6" t="s">
        <v>25</v>
      </c>
      <c r="Y28" s="6" t="s">
        <v>24</v>
      </c>
      <c r="Z28" s="6" t="s">
        <v>25</v>
      </c>
      <c r="AA28" s="6" t="s">
        <v>25</v>
      </c>
      <c r="AB28" s="106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25</v>
      </c>
      <c r="AI28" s="4">
        <f t="shared" si="1"/>
        <v>19</v>
      </c>
      <c r="AJ28" s="4">
        <f t="shared" si="2"/>
        <v>6</v>
      </c>
    </row>
    <row r="29" spans="1:40" ht="16.5" customHeight="1">
      <c r="A29" s="7">
        <v>25</v>
      </c>
      <c r="B29" s="83" t="s">
        <v>191</v>
      </c>
      <c r="C29" s="83" t="s">
        <v>252</v>
      </c>
      <c r="D29" s="5" t="s">
        <v>49</v>
      </c>
      <c r="E29" s="13" t="s">
        <v>25</v>
      </c>
      <c r="F29" s="13" t="s">
        <v>24</v>
      </c>
      <c r="G29" s="106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08"/>
      <c r="N29" s="106"/>
      <c r="O29" s="6" t="s">
        <v>25</v>
      </c>
      <c r="P29" s="6" t="s">
        <v>25</v>
      </c>
      <c r="Q29" s="6" t="s">
        <v>25</v>
      </c>
      <c r="R29" s="6" t="s">
        <v>25</v>
      </c>
      <c r="S29" s="6" t="s">
        <v>25</v>
      </c>
      <c r="T29" s="6" t="s">
        <v>24</v>
      </c>
      <c r="U29" s="106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06"/>
      <c r="AC29" s="6" t="s">
        <v>25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23</v>
      </c>
      <c r="AJ29" s="4">
        <f t="shared" si="2"/>
        <v>2</v>
      </c>
    </row>
    <row r="30" spans="1:40" ht="16.5">
      <c r="A30" s="7">
        <v>26</v>
      </c>
      <c r="B30" s="83" t="s">
        <v>253</v>
      </c>
      <c r="C30" s="83" t="s">
        <v>254</v>
      </c>
      <c r="D30" s="5" t="s">
        <v>49</v>
      </c>
      <c r="E30" s="13" t="s">
        <v>25</v>
      </c>
      <c r="F30" s="13" t="s">
        <v>24</v>
      </c>
      <c r="G30" s="106"/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08"/>
      <c r="N30" s="106"/>
      <c r="O30" s="6" t="s">
        <v>25</v>
      </c>
      <c r="P30" s="6" t="s">
        <v>25</v>
      </c>
      <c r="Q30" s="6" t="s">
        <v>25</v>
      </c>
      <c r="R30" s="6" t="s">
        <v>25</v>
      </c>
      <c r="S30" s="6" t="s">
        <v>25</v>
      </c>
      <c r="T30" s="6" t="s">
        <v>24</v>
      </c>
      <c r="U30" s="106"/>
      <c r="V30" s="6" t="s">
        <v>25</v>
      </c>
      <c r="W30" s="6" t="s">
        <v>25</v>
      </c>
      <c r="X30" s="6" t="s">
        <v>24</v>
      </c>
      <c r="Y30" s="6" t="s">
        <v>25</v>
      </c>
      <c r="Z30" s="6" t="s">
        <v>25</v>
      </c>
      <c r="AA30" s="6" t="s">
        <v>24</v>
      </c>
      <c r="AB30" s="106"/>
      <c r="AC30" s="6" t="s">
        <v>24</v>
      </c>
      <c r="AD30" s="6" t="s">
        <v>24</v>
      </c>
      <c r="AE30" s="6" t="s">
        <v>25</v>
      </c>
      <c r="AF30" s="6" t="s">
        <v>25</v>
      </c>
      <c r="AG30" s="6" t="s">
        <v>25</v>
      </c>
      <c r="AH30" s="6" t="s">
        <v>24</v>
      </c>
      <c r="AI30" s="4">
        <f t="shared" si="1"/>
        <v>18</v>
      </c>
      <c r="AJ30" s="4">
        <f t="shared" si="2"/>
        <v>7</v>
      </c>
    </row>
    <row r="31" spans="1:40" ht="16.5">
      <c r="A31" s="7">
        <v>27</v>
      </c>
      <c r="B31" s="83" t="s">
        <v>85</v>
      </c>
      <c r="C31" s="83" t="s">
        <v>212</v>
      </c>
      <c r="D31" s="5" t="s">
        <v>49</v>
      </c>
      <c r="E31" s="13" t="s">
        <v>25</v>
      </c>
      <c r="F31" s="13" t="s">
        <v>25</v>
      </c>
      <c r="G31" s="106"/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08"/>
      <c r="N31" s="106"/>
      <c r="O31" s="6" t="s">
        <v>25</v>
      </c>
      <c r="P31" s="6" t="s">
        <v>25</v>
      </c>
      <c r="Q31" s="6" t="s">
        <v>25</v>
      </c>
      <c r="R31" s="6" t="s">
        <v>25</v>
      </c>
      <c r="S31" s="6" t="s">
        <v>25</v>
      </c>
      <c r="T31" s="6" t="s">
        <v>25</v>
      </c>
      <c r="U31" s="106"/>
      <c r="V31" s="6" t="s">
        <v>25</v>
      </c>
      <c r="W31" s="6" t="s">
        <v>25</v>
      </c>
      <c r="X31" s="6" t="s">
        <v>24</v>
      </c>
      <c r="Y31" s="6" t="s">
        <v>25</v>
      </c>
      <c r="Z31" s="6" t="s">
        <v>25</v>
      </c>
      <c r="AA31" s="6" t="s">
        <v>25</v>
      </c>
      <c r="AB31" s="106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24</v>
      </c>
      <c r="AJ31" s="4">
        <f t="shared" si="2"/>
        <v>1</v>
      </c>
    </row>
    <row r="32" spans="1:40" ht="16.5">
      <c r="A32" s="7">
        <v>28</v>
      </c>
      <c r="B32" s="83" t="s">
        <v>255</v>
      </c>
      <c r="C32" s="83" t="s">
        <v>256</v>
      </c>
      <c r="D32" s="5" t="s">
        <v>49</v>
      </c>
      <c r="E32" s="13" t="s">
        <v>25</v>
      </c>
      <c r="F32" s="13" t="s">
        <v>24</v>
      </c>
      <c r="G32" s="106"/>
      <c r="H32" s="13" t="s">
        <v>24</v>
      </c>
      <c r="I32" s="13" t="s">
        <v>25</v>
      </c>
      <c r="J32" s="13" t="s">
        <v>25</v>
      </c>
      <c r="K32" s="13" t="s">
        <v>24</v>
      </c>
      <c r="L32" s="13" t="s">
        <v>25</v>
      </c>
      <c r="M32" s="108"/>
      <c r="N32" s="106"/>
      <c r="O32" s="6" t="s">
        <v>25</v>
      </c>
      <c r="P32" s="6" t="s">
        <v>25</v>
      </c>
      <c r="Q32" s="6" t="s">
        <v>24</v>
      </c>
      <c r="R32" s="6" t="s">
        <v>25</v>
      </c>
      <c r="S32" s="6" t="s">
        <v>25</v>
      </c>
      <c r="T32" s="6" t="s">
        <v>24</v>
      </c>
      <c r="U32" s="106"/>
      <c r="V32" s="6" t="s">
        <v>25</v>
      </c>
      <c r="W32" s="6" t="s">
        <v>25</v>
      </c>
      <c r="X32" s="6" t="s">
        <v>25</v>
      </c>
      <c r="Y32" s="6" t="s">
        <v>24</v>
      </c>
      <c r="Z32" s="6" t="s">
        <v>25</v>
      </c>
      <c r="AA32" s="6" t="s">
        <v>24</v>
      </c>
      <c r="AB32" s="106"/>
      <c r="AC32" s="6" t="s">
        <v>25</v>
      </c>
      <c r="AD32" s="6" t="s">
        <v>25</v>
      </c>
      <c r="AE32" s="6" t="s">
        <v>25</v>
      </c>
      <c r="AF32" s="6" t="s">
        <v>25</v>
      </c>
      <c r="AG32" s="6" t="s">
        <v>25</v>
      </c>
      <c r="AH32" s="6" t="s">
        <v>25</v>
      </c>
      <c r="AI32" s="4">
        <f t="shared" si="1"/>
        <v>18</v>
      </c>
      <c r="AJ32" s="4">
        <f t="shared" si="2"/>
        <v>7</v>
      </c>
    </row>
    <row r="33" spans="1:36" ht="16.5">
      <c r="A33" s="7">
        <v>29</v>
      </c>
      <c r="B33" s="83" t="s">
        <v>257</v>
      </c>
      <c r="C33" s="83" t="s">
        <v>258</v>
      </c>
      <c r="D33" s="5" t="s">
        <v>49</v>
      </c>
      <c r="E33" s="13" t="s">
        <v>24</v>
      </c>
      <c r="F33" s="13" t="s">
        <v>25</v>
      </c>
      <c r="G33" s="106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08"/>
      <c r="N33" s="106"/>
      <c r="O33" s="6" t="s">
        <v>25</v>
      </c>
      <c r="P33" s="6" t="s">
        <v>25</v>
      </c>
      <c r="Q33" s="6" t="s">
        <v>24</v>
      </c>
      <c r="R33" s="6" t="s">
        <v>24</v>
      </c>
      <c r="S33" s="6" t="s">
        <v>24</v>
      </c>
      <c r="T33" s="6" t="s">
        <v>24</v>
      </c>
      <c r="U33" s="106"/>
      <c r="V33" s="6" t="s">
        <v>24</v>
      </c>
      <c r="W33" s="6" t="s">
        <v>24</v>
      </c>
      <c r="X33" s="6" t="s">
        <v>26</v>
      </c>
      <c r="Y33" s="6" t="s">
        <v>25</v>
      </c>
      <c r="Z33" s="6" t="s">
        <v>24</v>
      </c>
      <c r="AA33" s="6" t="s">
        <v>24</v>
      </c>
      <c r="AB33" s="106"/>
      <c r="AC33" s="6" t="s">
        <v>25</v>
      </c>
      <c r="AD33" s="6" t="s">
        <v>25</v>
      </c>
      <c r="AE33" s="6" t="s">
        <v>25</v>
      </c>
      <c r="AF33" s="6" t="s">
        <v>25</v>
      </c>
      <c r="AG33" s="6" t="s">
        <v>25</v>
      </c>
      <c r="AH33" s="6" t="s">
        <v>25</v>
      </c>
      <c r="AI33" s="4">
        <f t="shared" si="1"/>
        <v>15</v>
      </c>
      <c r="AJ33" s="4">
        <f t="shared" si="2"/>
        <v>9</v>
      </c>
    </row>
    <row r="34" spans="1:36" ht="15" customHeight="1">
      <c r="A34" s="7">
        <v>30</v>
      </c>
      <c r="B34" s="83" t="s">
        <v>82</v>
      </c>
      <c r="C34" s="83" t="s">
        <v>170</v>
      </c>
      <c r="D34" s="5" t="s">
        <v>49</v>
      </c>
      <c r="E34" s="13" t="s">
        <v>25</v>
      </c>
      <c r="F34" s="13" t="s">
        <v>25</v>
      </c>
      <c r="G34" s="106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08"/>
      <c r="N34" s="106"/>
      <c r="O34" s="6" t="s">
        <v>25</v>
      </c>
      <c r="P34" s="6" t="s">
        <v>25</v>
      </c>
      <c r="Q34" s="6" t="s">
        <v>25</v>
      </c>
      <c r="R34" s="6" t="s">
        <v>25</v>
      </c>
      <c r="S34" s="6" t="s">
        <v>25</v>
      </c>
      <c r="T34" s="6" t="s">
        <v>25</v>
      </c>
      <c r="U34" s="106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06"/>
      <c r="AC34" s="6" t="s">
        <v>25</v>
      </c>
      <c r="AD34" s="6" t="s">
        <v>25</v>
      </c>
      <c r="AE34" s="6" t="s">
        <v>25</v>
      </c>
      <c r="AF34" s="6" t="s">
        <v>25</v>
      </c>
      <c r="AG34" s="6" t="s">
        <v>25</v>
      </c>
      <c r="AH34" s="6" t="s">
        <v>25</v>
      </c>
      <c r="AI34" s="4">
        <f t="shared" si="1"/>
        <v>25</v>
      </c>
      <c r="AJ34" s="4">
        <f t="shared" si="2"/>
        <v>0</v>
      </c>
    </row>
    <row r="35" spans="1:36" ht="16.5">
      <c r="A35" s="7">
        <v>31</v>
      </c>
      <c r="B35" s="83" t="s">
        <v>85</v>
      </c>
      <c r="C35" s="83" t="s">
        <v>259</v>
      </c>
      <c r="D35" s="5" t="s">
        <v>49</v>
      </c>
      <c r="E35" s="13" t="s">
        <v>24</v>
      </c>
      <c r="F35" s="13" t="s">
        <v>25</v>
      </c>
      <c r="G35" s="106"/>
      <c r="H35" s="13" t="s">
        <v>25</v>
      </c>
      <c r="I35" s="13" t="s">
        <v>25</v>
      </c>
      <c r="J35" s="13" t="s">
        <v>25</v>
      </c>
      <c r="K35" s="13" t="s">
        <v>24</v>
      </c>
      <c r="L35" s="13" t="s">
        <v>24</v>
      </c>
      <c r="M35" s="108"/>
      <c r="N35" s="106"/>
      <c r="O35" s="6" t="s">
        <v>25</v>
      </c>
      <c r="P35" s="6" t="s">
        <v>25</v>
      </c>
      <c r="Q35" s="6" t="s">
        <v>25</v>
      </c>
      <c r="R35" s="6" t="s">
        <v>25</v>
      </c>
      <c r="S35" s="6" t="s">
        <v>25</v>
      </c>
      <c r="T35" s="6" t="s">
        <v>25</v>
      </c>
      <c r="U35" s="106"/>
      <c r="V35" s="6" t="s">
        <v>25</v>
      </c>
      <c r="W35" s="6" t="s">
        <v>25</v>
      </c>
      <c r="X35" s="6" t="s">
        <v>25</v>
      </c>
      <c r="Y35" s="6" t="s">
        <v>25</v>
      </c>
      <c r="Z35" s="6" t="s">
        <v>24</v>
      </c>
      <c r="AA35" s="6" t="s">
        <v>25</v>
      </c>
      <c r="AB35" s="106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25</v>
      </c>
      <c r="AI35" s="4">
        <f t="shared" si="1"/>
        <v>21</v>
      </c>
      <c r="AJ35" s="4">
        <f t="shared" si="2"/>
        <v>4</v>
      </c>
    </row>
    <row r="36" spans="1:36" ht="16.5">
      <c r="A36" s="7">
        <v>32</v>
      </c>
      <c r="B36" s="83" t="s">
        <v>260</v>
      </c>
      <c r="C36" s="83" t="s">
        <v>261</v>
      </c>
      <c r="D36" s="5" t="s">
        <v>49</v>
      </c>
      <c r="E36" s="13" t="s">
        <v>25</v>
      </c>
      <c r="F36" s="13" t="s">
        <v>24</v>
      </c>
      <c r="G36" s="106"/>
      <c r="H36" s="13" t="s">
        <v>24</v>
      </c>
      <c r="I36" s="13" t="s">
        <v>25</v>
      </c>
      <c r="J36" s="13" t="s">
        <v>25</v>
      </c>
      <c r="K36" s="13" t="s">
        <v>25</v>
      </c>
      <c r="L36" s="13" t="s">
        <v>25</v>
      </c>
      <c r="M36" s="108"/>
      <c r="N36" s="106"/>
      <c r="O36" s="6" t="s">
        <v>25</v>
      </c>
      <c r="P36" s="6" t="s">
        <v>25</v>
      </c>
      <c r="Q36" s="6" t="s">
        <v>24</v>
      </c>
      <c r="R36" s="6" t="s">
        <v>24</v>
      </c>
      <c r="S36" s="6" t="s">
        <v>25</v>
      </c>
      <c r="T36" s="6" t="s">
        <v>25</v>
      </c>
      <c r="U36" s="106"/>
      <c r="V36" s="6" t="s">
        <v>25</v>
      </c>
      <c r="W36" s="6" t="s">
        <v>25</v>
      </c>
      <c r="X36" s="6" t="s">
        <v>25</v>
      </c>
      <c r="Y36" s="6" t="s">
        <v>25</v>
      </c>
      <c r="Z36" s="6" t="s">
        <v>25</v>
      </c>
      <c r="AA36" s="6" t="s">
        <v>25</v>
      </c>
      <c r="AB36" s="106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21</v>
      </c>
      <c r="AJ36" s="4">
        <f t="shared" si="2"/>
        <v>4</v>
      </c>
    </row>
    <row r="37" spans="1:36" ht="16.5">
      <c r="A37" s="7">
        <v>33</v>
      </c>
      <c r="B37" s="83" t="s">
        <v>262</v>
      </c>
      <c r="C37" s="83" t="s">
        <v>128</v>
      </c>
      <c r="D37" s="5" t="s">
        <v>49</v>
      </c>
      <c r="E37" s="13" t="s">
        <v>25</v>
      </c>
      <c r="F37" s="13" t="s">
        <v>25</v>
      </c>
      <c r="G37" s="106"/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08"/>
      <c r="N37" s="106"/>
      <c r="O37" s="6" t="s">
        <v>25</v>
      </c>
      <c r="P37" s="6" t="s">
        <v>25</v>
      </c>
      <c r="Q37" s="6" t="s">
        <v>25</v>
      </c>
      <c r="R37" s="6" t="s">
        <v>25</v>
      </c>
      <c r="S37" s="6" t="s">
        <v>25</v>
      </c>
      <c r="T37" s="6" t="s">
        <v>25</v>
      </c>
      <c r="U37" s="106"/>
      <c r="V37" s="6" t="s">
        <v>25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06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si="1"/>
        <v>25</v>
      </c>
      <c r="AJ37" s="4">
        <f t="shared" si="2"/>
        <v>0</v>
      </c>
    </row>
    <row r="38" spans="1:36" ht="16.5">
      <c r="A38" s="7">
        <v>34</v>
      </c>
      <c r="B38" s="83" t="s">
        <v>263</v>
      </c>
      <c r="C38" s="83" t="s">
        <v>128</v>
      </c>
      <c r="D38" s="5" t="s">
        <v>49</v>
      </c>
      <c r="E38" s="13" t="s">
        <v>25</v>
      </c>
      <c r="F38" s="13" t="s">
        <v>25</v>
      </c>
      <c r="G38" s="106"/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08"/>
      <c r="N38" s="106"/>
      <c r="O38" s="6" t="s">
        <v>25</v>
      </c>
      <c r="P38" s="6" t="s">
        <v>25</v>
      </c>
      <c r="Q38" s="6" t="s">
        <v>25</v>
      </c>
      <c r="R38" s="6" t="s">
        <v>25</v>
      </c>
      <c r="S38" s="6" t="s">
        <v>25</v>
      </c>
      <c r="T38" s="6" t="s">
        <v>25</v>
      </c>
      <c r="U38" s="106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06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25</v>
      </c>
      <c r="AJ38" s="4">
        <f t="shared" si="2"/>
        <v>0</v>
      </c>
    </row>
    <row r="39" spans="1:36" ht="16.5">
      <c r="A39" s="7">
        <v>35</v>
      </c>
      <c r="B39" s="83" t="s">
        <v>95</v>
      </c>
      <c r="C39" s="83" t="s">
        <v>264</v>
      </c>
      <c r="D39" s="5" t="s">
        <v>49</v>
      </c>
      <c r="E39" s="13" t="s">
        <v>25</v>
      </c>
      <c r="F39" s="13" t="s">
        <v>24</v>
      </c>
      <c r="G39" s="106"/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08"/>
      <c r="N39" s="106"/>
      <c r="O39" s="6" t="s">
        <v>25</v>
      </c>
      <c r="P39" s="6" t="s">
        <v>25</v>
      </c>
      <c r="Q39" s="6" t="s">
        <v>25</v>
      </c>
      <c r="R39" s="6" t="s">
        <v>25</v>
      </c>
      <c r="S39" s="6" t="s">
        <v>25</v>
      </c>
      <c r="T39" s="6" t="s">
        <v>24</v>
      </c>
      <c r="U39" s="106"/>
      <c r="V39" s="6" t="s">
        <v>25</v>
      </c>
      <c r="W39" s="6" t="s">
        <v>25</v>
      </c>
      <c r="X39" s="6" t="s">
        <v>25</v>
      </c>
      <c r="Y39" s="6" t="s">
        <v>25</v>
      </c>
      <c r="Z39" s="6" t="s">
        <v>24</v>
      </c>
      <c r="AA39" s="6" t="s">
        <v>25</v>
      </c>
      <c r="AB39" s="106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25</v>
      </c>
      <c r="AI39" s="4">
        <f t="shared" si="1"/>
        <v>21</v>
      </c>
      <c r="AJ39" s="4">
        <f t="shared" si="2"/>
        <v>4</v>
      </c>
    </row>
    <row r="40" spans="1:36" ht="15" customHeight="1">
      <c r="A40" s="7">
        <v>36</v>
      </c>
      <c r="B40" s="83" t="s">
        <v>265</v>
      </c>
      <c r="C40" s="83" t="s">
        <v>266</v>
      </c>
      <c r="D40" s="5" t="s">
        <v>49</v>
      </c>
      <c r="E40" s="13" t="s">
        <v>25</v>
      </c>
      <c r="F40" s="13" t="s">
        <v>25</v>
      </c>
      <c r="G40" s="106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08"/>
      <c r="N40" s="106"/>
      <c r="O40" s="6" t="s">
        <v>25</v>
      </c>
      <c r="P40" s="6" t="s">
        <v>24</v>
      </c>
      <c r="Q40" s="6" t="s">
        <v>25</v>
      </c>
      <c r="R40" s="6" t="s">
        <v>25</v>
      </c>
      <c r="S40" s="6" t="s">
        <v>25</v>
      </c>
      <c r="T40" s="6" t="s">
        <v>25</v>
      </c>
      <c r="U40" s="106"/>
      <c r="V40" s="6" t="s">
        <v>24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06"/>
      <c r="AC40" s="6" t="s">
        <v>25</v>
      </c>
      <c r="AD40" s="6" t="s">
        <v>25</v>
      </c>
      <c r="AE40" s="6" t="s">
        <v>25</v>
      </c>
      <c r="AF40" s="6" t="s">
        <v>25</v>
      </c>
      <c r="AG40" s="6" t="s">
        <v>25</v>
      </c>
      <c r="AH40" s="6" t="s">
        <v>25</v>
      </c>
      <c r="AI40" s="4">
        <f t="shared" si="1"/>
        <v>23</v>
      </c>
      <c r="AJ40" s="4">
        <f t="shared" si="2"/>
        <v>2</v>
      </c>
    </row>
    <row r="41" spans="1:36" ht="16.5">
      <c r="A41" s="7">
        <v>37</v>
      </c>
      <c r="B41" s="83" t="s">
        <v>267</v>
      </c>
      <c r="C41" s="83" t="s">
        <v>139</v>
      </c>
      <c r="D41" s="5" t="s">
        <v>49</v>
      </c>
      <c r="E41" s="13" t="s">
        <v>25</v>
      </c>
      <c r="F41" s="13" t="s">
        <v>24</v>
      </c>
      <c r="G41" s="106"/>
      <c r="H41" s="13" t="s">
        <v>25</v>
      </c>
      <c r="I41" s="13" t="s">
        <v>24</v>
      </c>
      <c r="J41" s="13" t="s">
        <v>25</v>
      </c>
      <c r="K41" s="13" t="s">
        <v>24</v>
      </c>
      <c r="L41" s="13" t="s">
        <v>25</v>
      </c>
      <c r="M41" s="108"/>
      <c r="N41" s="106"/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25</v>
      </c>
      <c r="T41" s="6" t="s">
        <v>25</v>
      </c>
      <c r="U41" s="106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06"/>
      <c r="AC41" s="6" t="s">
        <v>25</v>
      </c>
      <c r="AD41" s="6" t="s">
        <v>25</v>
      </c>
      <c r="AE41" s="6" t="s">
        <v>25</v>
      </c>
      <c r="AF41" s="6" t="s">
        <v>25</v>
      </c>
      <c r="AG41" s="6" t="s">
        <v>25</v>
      </c>
      <c r="AH41" s="6" t="s">
        <v>25</v>
      </c>
      <c r="AI41" s="4">
        <f t="shared" si="1"/>
        <v>18</v>
      </c>
      <c r="AJ41" s="4">
        <f t="shared" si="2"/>
        <v>7</v>
      </c>
    </row>
    <row r="42" spans="1:36" ht="16.5">
      <c r="A42" s="7">
        <v>38</v>
      </c>
      <c r="B42" s="83" t="s">
        <v>268</v>
      </c>
      <c r="C42" s="85" t="s">
        <v>118</v>
      </c>
      <c r="D42" s="5" t="s">
        <v>49</v>
      </c>
      <c r="E42" s="13" t="s">
        <v>25</v>
      </c>
      <c r="F42" s="13" t="s">
        <v>25</v>
      </c>
      <c r="G42" s="106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08"/>
      <c r="N42" s="106"/>
      <c r="O42" s="6" t="s">
        <v>25</v>
      </c>
      <c r="P42" s="6" t="s">
        <v>25</v>
      </c>
      <c r="Q42" s="6" t="s">
        <v>25</v>
      </c>
      <c r="R42" s="6" t="s">
        <v>25</v>
      </c>
      <c r="S42" s="6" t="s">
        <v>25</v>
      </c>
      <c r="T42" s="6" t="s">
        <v>25</v>
      </c>
      <c r="U42" s="106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06"/>
      <c r="AC42" s="6" t="s">
        <v>25</v>
      </c>
      <c r="AD42" s="6" t="s">
        <v>25</v>
      </c>
      <c r="AE42" s="6" t="s">
        <v>25</v>
      </c>
      <c r="AF42" s="6" t="s">
        <v>25</v>
      </c>
      <c r="AG42" s="6" t="s">
        <v>25</v>
      </c>
      <c r="AH42" s="6" t="s">
        <v>25</v>
      </c>
      <c r="AI42" s="4">
        <f t="shared" si="1"/>
        <v>25</v>
      </c>
      <c r="AJ42" s="4">
        <f t="shared" si="2"/>
        <v>0</v>
      </c>
    </row>
    <row r="43" spans="1:36" ht="16.5">
      <c r="A43" s="7">
        <v>39</v>
      </c>
      <c r="B43" s="83" t="s">
        <v>269</v>
      </c>
      <c r="C43" s="85" t="s">
        <v>270</v>
      </c>
      <c r="D43" s="5" t="s">
        <v>49</v>
      </c>
      <c r="E43" s="13" t="s">
        <v>25</v>
      </c>
      <c r="F43" s="13" t="s">
        <v>25</v>
      </c>
      <c r="G43" s="106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08"/>
      <c r="N43" s="106"/>
      <c r="O43" s="6" t="s">
        <v>25</v>
      </c>
      <c r="P43" s="6" t="s">
        <v>25</v>
      </c>
      <c r="Q43" s="6" t="s">
        <v>25</v>
      </c>
      <c r="R43" s="6" t="s">
        <v>25</v>
      </c>
      <c r="S43" s="6" t="s">
        <v>25</v>
      </c>
      <c r="T43" s="6" t="s">
        <v>25</v>
      </c>
      <c r="U43" s="106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06"/>
      <c r="AC43" s="6" t="s">
        <v>24</v>
      </c>
      <c r="AD43" s="6" t="s">
        <v>25</v>
      </c>
      <c r="AE43" s="6" t="s">
        <v>25</v>
      </c>
      <c r="AF43" s="6" t="s">
        <v>25</v>
      </c>
      <c r="AG43" s="6" t="s">
        <v>25</v>
      </c>
      <c r="AH43" s="6" t="s">
        <v>25</v>
      </c>
      <c r="AI43" s="4">
        <f t="shared" si="1"/>
        <v>24</v>
      </c>
      <c r="AJ43" s="4">
        <f t="shared" si="2"/>
        <v>1</v>
      </c>
    </row>
    <row r="44" spans="1:36" ht="16.5">
      <c r="A44" s="7">
        <v>40</v>
      </c>
      <c r="B44" s="83" t="s">
        <v>271</v>
      </c>
      <c r="C44" s="85" t="s">
        <v>272</v>
      </c>
      <c r="D44" s="5" t="s">
        <v>49</v>
      </c>
      <c r="E44" s="13" t="s">
        <v>25</v>
      </c>
      <c r="F44" s="13" t="s">
        <v>25</v>
      </c>
      <c r="G44" s="106"/>
      <c r="H44" s="13" t="s">
        <v>25</v>
      </c>
      <c r="I44" s="13" t="s">
        <v>25</v>
      </c>
      <c r="J44" s="13" t="s">
        <v>25</v>
      </c>
      <c r="K44" s="13" t="s">
        <v>25</v>
      </c>
      <c r="L44" s="13" t="s">
        <v>25</v>
      </c>
      <c r="M44" s="108"/>
      <c r="N44" s="106"/>
      <c r="O44" s="6" t="s">
        <v>25</v>
      </c>
      <c r="P44" s="6" t="s">
        <v>25</v>
      </c>
      <c r="Q44" s="6" t="s">
        <v>25</v>
      </c>
      <c r="R44" s="6" t="s">
        <v>25</v>
      </c>
      <c r="S44" s="6" t="s">
        <v>25</v>
      </c>
      <c r="T44" s="6" t="s">
        <v>25</v>
      </c>
      <c r="U44" s="106"/>
      <c r="V44" s="6" t="s">
        <v>25</v>
      </c>
      <c r="W44" s="6" t="s">
        <v>25</v>
      </c>
      <c r="X44" s="6" t="s">
        <v>25</v>
      </c>
      <c r="Y44" s="6" t="s">
        <v>25</v>
      </c>
      <c r="Z44" s="6" t="s">
        <v>25</v>
      </c>
      <c r="AA44" s="6" t="s">
        <v>25</v>
      </c>
      <c r="AB44" s="106"/>
      <c r="AC44" s="6" t="s">
        <v>25</v>
      </c>
      <c r="AD44" s="6" t="s">
        <v>25</v>
      </c>
      <c r="AE44" s="6" t="s">
        <v>25</v>
      </c>
      <c r="AF44" s="6" t="s">
        <v>25</v>
      </c>
      <c r="AG44" s="6" t="s">
        <v>25</v>
      </c>
      <c r="AH44" s="6" t="s">
        <v>25</v>
      </c>
      <c r="AI44" s="4">
        <f t="shared" si="1"/>
        <v>25</v>
      </c>
      <c r="AJ44" s="4">
        <f t="shared" si="2"/>
        <v>0</v>
      </c>
    </row>
    <row r="45" spans="1:36" ht="16.5">
      <c r="A45" s="7">
        <v>41</v>
      </c>
      <c r="B45" s="83" t="s">
        <v>273</v>
      </c>
      <c r="C45" s="85" t="s">
        <v>274</v>
      </c>
      <c r="D45" s="5" t="s">
        <v>49</v>
      </c>
      <c r="E45" s="13" t="s">
        <v>25</v>
      </c>
      <c r="F45" s="13" t="s">
        <v>24</v>
      </c>
      <c r="G45" s="106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08"/>
      <c r="N45" s="106"/>
      <c r="O45" s="6" t="s">
        <v>25</v>
      </c>
      <c r="P45" s="6" t="s">
        <v>25</v>
      </c>
      <c r="Q45" s="6" t="s">
        <v>25</v>
      </c>
      <c r="R45" s="6" t="s">
        <v>25</v>
      </c>
      <c r="S45" s="6" t="s">
        <v>25</v>
      </c>
      <c r="T45" s="6" t="s">
        <v>25</v>
      </c>
      <c r="U45" s="106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24</v>
      </c>
      <c r="AB45" s="106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25</v>
      </c>
      <c r="AI45" s="4">
        <f t="shared" si="1"/>
        <v>22</v>
      </c>
      <c r="AJ45" s="4">
        <f t="shared" si="2"/>
        <v>3</v>
      </c>
    </row>
    <row r="46" spans="1:36" ht="16.5">
      <c r="A46" s="7">
        <v>18</v>
      </c>
      <c r="B46" s="83" t="s">
        <v>275</v>
      </c>
      <c r="C46" s="85" t="s">
        <v>173</v>
      </c>
      <c r="D46" s="5" t="s">
        <v>49</v>
      </c>
      <c r="E46" s="13" t="s">
        <v>25</v>
      </c>
      <c r="F46" s="13" t="s">
        <v>25</v>
      </c>
      <c r="G46" s="106"/>
      <c r="H46" s="13" t="s">
        <v>25</v>
      </c>
      <c r="I46" s="13" t="s">
        <v>25</v>
      </c>
      <c r="J46" s="13" t="s">
        <v>25</v>
      </c>
      <c r="K46" s="13" t="s">
        <v>25</v>
      </c>
      <c r="L46" s="13" t="s">
        <v>25</v>
      </c>
      <c r="M46" s="108"/>
      <c r="N46" s="106"/>
      <c r="O46" s="6" t="s">
        <v>25</v>
      </c>
      <c r="P46" s="6" t="s">
        <v>25</v>
      </c>
      <c r="Q46" s="6" t="s">
        <v>25</v>
      </c>
      <c r="R46" s="6" t="s">
        <v>25</v>
      </c>
      <c r="S46" s="6" t="s">
        <v>25</v>
      </c>
      <c r="T46" s="6" t="s">
        <v>25</v>
      </c>
      <c r="U46" s="106"/>
      <c r="V46" s="6" t="s">
        <v>25</v>
      </c>
      <c r="W46" s="6" t="s">
        <v>25</v>
      </c>
      <c r="X46" s="6" t="s">
        <v>25</v>
      </c>
      <c r="Y46" s="6" t="s">
        <v>25</v>
      </c>
      <c r="Z46" s="6" t="s">
        <v>25</v>
      </c>
      <c r="AA46" s="6" t="s">
        <v>25</v>
      </c>
      <c r="AB46" s="106"/>
      <c r="AC46" s="6" t="s">
        <v>25</v>
      </c>
      <c r="AD46" s="6" t="s">
        <v>25</v>
      </c>
      <c r="AE46" s="6" t="s">
        <v>25</v>
      </c>
      <c r="AF46" s="6" t="s">
        <v>25</v>
      </c>
      <c r="AG46" s="6" t="s">
        <v>25</v>
      </c>
      <c r="AH46" s="6" t="s">
        <v>25</v>
      </c>
      <c r="AI46" s="4">
        <f t="shared" si="1"/>
        <v>25</v>
      </c>
      <c r="AJ46" s="4">
        <f t="shared" si="2"/>
        <v>0</v>
      </c>
    </row>
    <row r="47" spans="1:36" ht="16.5">
      <c r="A47" s="7">
        <v>19</v>
      </c>
      <c r="B47" s="83" t="s">
        <v>276</v>
      </c>
      <c r="C47" s="85" t="s">
        <v>277</v>
      </c>
      <c r="D47" s="5" t="s">
        <v>49</v>
      </c>
      <c r="E47" s="13" t="s">
        <v>25</v>
      </c>
      <c r="F47" s="13" t="s">
        <v>25</v>
      </c>
      <c r="G47" s="106"/>
      <c r="H47" s="13" t="s">
        <v>25</v>
      </c>
      <c r="I47" s="13" t="s">
        <v>25</v>
      </c>
      <c r="J47" s="13" t="s">
        <v>25</v>
      </c>
      <c r="K47" s="13" t="s">
        <v>25</v>
      </c>
      <c r="L47" s="13" t="s">
        <v>25</v>
      </c>
      <c r="M47" s="108"/>
      <c r="N47" s="106"/>
      <c r="O47" s="6" t="s">
        <v>25</v>
      </c>
      <c r="P47" s="6" t="s">
        <v>25</v>
      </c>
      <c r="Q47" s="6" t="s">
        <v>25</v>
      </c>
      <c r="R47" s="6" t="s">
        <v>25</v>
      </c>
      <c r="S47" s="6" t="s">
        <v>25</v>
      </c>
      <c r="T47" s="6" t="s">
        <v>25</v>
      </c>
      <c r="U47" s="106"/>
      <c r="V47" s="6" t="s">
        <v>25</v>
      </c>
      <c r="W47" s="6" t="s">
        <v>25</v>
      </c>
      <c r="X47" s="6" t="s">
        <v>25</v>
      </c>
      <c r="Y47" s="6" t="s">
        <v>25</v>
      </c>
      <c r="Z47" s="6" t="s">
        <v>25</v>
      </c>
      <c r="AA47" s="6" t="s">
        <v>25</v>
      </c>
      <c r="AB47" s="106"/>
      <c r="AC47" s="6" t="s">
        <v>25</v>
      </c>
      <c r="AD47" s="6" t="s">
        <v>25</v>
      </c>
      <c r="AE47" s="6" t="s">
        <v>25</v>
      </c>
      <c r="AF47" s="6" t="s">
        <v>25</v>
      </c>
      <c r="AG47" s="6" t="s">
        <v>25</v>
      </c>
      <c r="AH47" s="6" t="s">
        <v>25</v>
      </c>
      <c r="AI47" s="4">
        <f t="shared" si="1"/>
        <v>25</v>
      </c>
      <c r="AJ47" s="4">
        <f t="shared" si="2"/>
        <v>0</v>
      </c>
    </row>
    <row r="48" spans="1:36" ht="16.5">
      <c r="A48" s="7">
        <v>20</v>
      </c>
      <c r="B48" s="83" t="s">
        <v>278</v>
      </c>
      <c r="C48" s="85" t="s">
        <v>163</v>
      </c>
      <c r="D48" s="5" t="s">
        <v>49</v>
      </c>
      <c r="E48" s="13" t="s">
        <v>25</v>
      </c>
      <c r="F48" s="13" t="s">
        <v>24</v>
      </c>
      <c r="G48" s="106"/>
      <c r="H48" s="13" t="s">
        <v>25</v>
      </c>
      <c r="I48" s="13" t="s">
        <v>25</v>
      </c>
      <c r="J48" s="13" t="s">
        <v>25</v>
      </c>
      <c r="K48" s="13" t="s">
        <v>25</v>
      </c>
      <c r="L48" s="13" t="s">
        <v>25</v>
      </c>
      <c r="M48" s="108"/>
      <c r="N48" s="106"/>
      <c r="O48" s="6" t="s">
        <v>25</v>
      </c>
      <c r="P48" s="6" t="s">
        <v>25</v>
      </c>
      <c r="Q48" s="6" t="s">
        <v>25</v>
      </c>
      <c r="R48" s="6" t="s">
        <v>25</v>
      </c>
      <c r="S48" s="6" t="s">
        <v>25</v>
      </c>
      <c r="T48" s="6" t="s">
        <v>25</v>
      </c>
      <c r="U48" s="106"/>
      <c r="V48" s="6" t="s">
        <v>25</v>
      </c>
      <c r="W48" s="6" t="s">
        <v>25</v>
      </c>
      <c r="X48" s="6" t="s">
        <v>25</v>
      </c>
      <c r="Y48" s="6" t="s">
        <v>25</v>
      </c>
      <c r="Z48" s="6" t="s">
        <v>25</v>
      </c>
      <c r="AA48" s="6" t="s">
        <v>25</v>
      </c>
      <c r="AB48" s="106"/>
      <c r="AC48" s="6" t="s">
        <v>24</v>
      </c>
      <c r="AD48" s="6" t="s">
        <v>25</v>
      </c>
      <c r="AE48" s="6" t="s">
        <v>24</v>
      </c>
      <c r="AF48" s="6" t="s">
        <v>25</v>
      </c>
      <c r="AG48" s="6" t="s">
        <v>24</v>
      </c>
      <c r="AH48" s="6" t="s">
        <v>25</v>
      </c>
      <c r="AI48" s="4">
        <f t="shared" si="1"/>
        <v>21</v>
      </c>
      <c r="AJ48" s="4">
        <f t="shared" si="2"/>
        <v>4</v>
      </c>
    </row>
    <row r="49" spans="1:36" ht="16.5">
      <c r="A49" s="7">
        <v>21</v>
      </c>
      <c r="B49" s="83" t="s">
        <v>279</v>
      </c>
      <c r="C49" s="85" t="s">
        <v>280</v>
      </c>
      <c r="D49" s="5" t="s">
        <v>49</v>
      </c>
      <c r="E49" s="13" t="s">
        <v>25</v>
      </c>
      <c r="F49" s="13" t="s">
        <v>25</v>
      </c>
      <c r="G49" s="106"/>
      <c r="H49" s="13" t="s">
        <v>25</v>
      </c>
      <c r="I49" s="13" t="s">
        <v>25</v>
      </c>
      <c r="J49" s="13" t="s">
        <v>24</v>
      </c>
      <c r="K49" s="13" t="s">
        <v>24</v>
      </c>
      <c r="L49" s="13" t="s">
        <v>24</v>
      </c>
      <c r="M49" s="108"/>
      <c r="N49" s="106"/>
      <c r="O49" s="6" t="s">
        <v>24</v>
      </c>
      <c r="P49" s="6" t="s">
        <v>24</v>
      </c>
      <c r="Q49" s="6" t="s">
        <v>24</v>
      </c>
      <c r="R49" s="6" t="s">
        <v>24</v>
      </c>
      <c r="S49" s="6" t="s">
        <v>24</v>
      </c>
      <c r="T49" s="6" t="s">
        <v>24</v>
      </c>
      <c r="U49" s="106"/>
      <c r="V49" s="6" t="s">
        <v>24</v>
      </c>
      <c r="W49" s="6" t="s">
        <v>25</v>
      </c>
      <c r="X49" s="6" t="s">
        <v>25</v>
      </c>
      <c r="Y49" s="6" t="s">
        <v>25</v>
      </c>
      <c r="Z49" s="6" t="s">
        <v>24</v>
      </c>
      <c r="AA49" s="6" t="s">
        <v>24</v>
      </c>
      <c r="AB49" s="106"/>
      <c r="AC49" s="6" t="s">
        <v>25</v>
      </c>
      <c r="AD49" s="6" t="s">
        <v>25</v>
      </c>
      <c r="AE49" s="6" t="s">
        <v>25</v>
      </c>
      <c r="AF49" s="6" t="s">
        <v>25</v>
      </c>
      <c r="AG49" s="6" t="s">
        <v>25</v>
      </c>
      <c r="AH49" s="6" t="s">
        <v>24</v>
      </c>
      <c r="AI49" s="4">
        <f t="shared" si="1"/>
        <v>12</v>
      </c>
      <c r="AJ49" s="4">
        <f t="shared" si="2"/>
        <v>13</v>
      </c>
    </row>
    <row r="50" spans="1:36" ht="16.5">
      <c r="A50" s="7">
        <v>22</v>
      </c>
      <c r="B50" s="83" t="s">
        <v>281</v>
      </c>
      <c r="C50" s="85" t="s">
        <v>205</v>
      </c>
      <c r="D50" s="5" t="s">
        <v>49</v>
      </c>
      <c r="E50" s="13" t="s">
        <v>25</v>
      </c>
      <c r="F50" s="13" t="s">
        <v>25</v>
      </c>
      <c r="G50" s="106"/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08"/>
      <c r="N50" s="106"/>
      <c r="O50" s="6" t="s">
        <v>25</v>
      </c>
      <c r="P50" s="6" t="s">
        <v>25</v>
      </c>
      <c r="Q50" s="6" t="s">
        <v>25</v>
      </c>
      <c r="R50" s="6" t="s">
        <v>24</v>
      </c>
      <c r="S50" s="6" t="s">
        <v>25</v>
      </c>
      <c r="T50" s="6" t="s">
        <v>25</v>
      </c>
      <c r="U50" s="106"/>
      <c r="V50" s="6" t="s">
        <v>25</v>
      </c>
      <c r="W50" s="6" t="s">
        <v>25</v>
      </c>
      <c r="X50" s="6" t="s">
        <v>25</v>
      </c>
      <c r="Y50" s="6" t="s">
        <v>25</v>
      </c>
      <c r="Z50" s="6" t="s">
        <v>25</v>
      </c>
      <c r="AA50" s="6" t="s">
        <v>25</v>
      </c>
      <c r="AB50" s="106"/>
      <c r="AC50" s="6" t="s">
        <v>25</v>
      </c>
      <c r="AD50" s="6" t="s">
        <v>25</v>
      </c>
      <c r="AE50" s="6" t="s">
        <v>25</v>
      </c>
      <c r="AF50" s="6" t="s">
        <v>25</v>
      </c>
      <c r="AG50" s="6" t="s">
        <v>25</v>
      </c>
      <c r="AH50" s="6" t="s">
        <v>25</v>
      </c>
      <c r="AI50" s="4">
        <f t="shared" si="1"/>
        <v>24</v>
      </c>
      <c r="AJ50" s="4">
        <f t="shared" si="2"/>
        <v>1</v>
      </c>
    </row>
    <row r="51" spans="1:36" ht="16.5">
      <c r="A51" s="7">
        <v>23</v>
      </c>
      <c r="B51" s="83" t="s">
        <v>282</v>
      </c>
      <c r="C51" s="85" t="s">
        <v>283</v>
      </c>
      <c r="D51" s="5" t="s">
        <v>49</v>
      </c>
      <c r="E51" s="13" t="s">
        <v>25</v>
      </c>
      <c r="F51" s="13" t="s">
        <v>25</v>
      </c>
      <c r="G51" s="106"/>
      <c r="H51" s="13" t="s">
        <v>25</v>
      </c>
      <c r="I51" s="13" t="s">
        <v>24</v>
      </c>
      <c r="J51" s="13" t="s">
        <v>25</v>
      </c>
      <c r="K51" s="13" t="s">
        <v>25</v>
      </c>
      <c r="L51" s="13" t="s">
        <v>25</v>
      </c>
      <c r="M51" s="108"/>
      <c r="N51" s="106"/>
      <c r="O51" s="6" t="s">
        <v>25</v>
      </c>
      <c r="P51" s="6" t="s">
        <v>25</v>
      </c>
      <c r="Q51" s="6" t="s">
        <v>25</v>
      </c>
      <c r="R51" s="6" t="s">
        <v>25</v>
      </c>
      <c r="S51" s="6" t="s">
        <v>25</v>
      </c>
      <c r="T51" s="6" t="s">
        <v>25</v>
      </c>
      <c r="U51" s="106"/>
      <c r="V51" s="6" t="s">
        <v>25</v>
      </c>
      <c r="W51" s="6" t="s">
        <v>25</v>
      </c>
      <c r="X51" s="6" t="s">
        <v>25</v>
      </c>
      <c r="Y51" s="6" t="s">
        <v>25</v>
      </c>
      <c r="Z51" s="6" t="s">
        <v>25</v>
      </c>
      <c r="AA51" s="6" t="s">
        <v>25</v>
      </c>
      <c r="AB51" s="106"/>
      <c r="AC51" s="6" t="s">
        <v>25</v>
      </c>
      <c r="AD51" s="6" t="s">
        <v>25</v>
      </c>
      <c r="AE51" s="6" t="s">
        <v>25</v>
      </c>
      <c r="AF51" s="6" t="s">
        <v>25</v>
      </c>
      <c r="AG51" s="6" t="s">
        <v>25</v>
      </c>
      <c r="AH51" s="6" t="s">
        <v>25</v>
      </c>
      <c r="AI51" s="4">
        <f t="shared" si="1"/>
        <v>24</v>
      </c>
      <c r="AJ51" s="4">
        <f t="shared" si="2"/>
        <v>1</v>
      </c>
    </row>
    <row r="52" spans="1:36" ht="16.5">
      <c r="A52" s="7">
        <v>24</v>
      </c>
      <c r="B52" s="83" t="s">
        <v>208</v>
      </c>
      <c r="C52" s="85" t="s">
        <v>284</v>
      </c>
      <c r="D52" s="5" t="s">
        <v>49</v>
      </c>
      <c r="E52" s="13" t="s">
        <v>24</v>
      </c>
      <c r="F52" s="13" t="s">
        <v>25</v>
      </c>
      <c r="G52" s="106"/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08"/>
      <c r="N52" s="106"/>
      <c r="O52" s="6" t="s">
        <v>25</v>
      </c>
      <c r="P52" s="6" t="s">
        <v>25</v>
      </c>
      <c r="Q52" s="6" t="s">
        <v>25</v>
      </c>
      <c r="R52" s="6" t="s">
        <v>25</v>
      </c>
      <c r="S52" s="6" t="s">
        <v>25</v>
      </c>
      <c r="T52" s="6" t="s">
        <v>24</v>
      </c>
      <c r="U52" s="106"/>
      <c r="V52" s="6" t="s">
        <v>25</v>
      </c>
      <c r="W52" s="6" t="s">
        <v>25</v>
      </c>
      <c r="X52" s="6" t="s">
        <v>25</v>
      </c>
      <c r="Y52" s="6" t="s">
        <v>25</v>
      </c>
      <c r="Z52" s="6" t="s">
        <v>25</v>
      </c>
      <c r="AA52" s="6" t="s">
        <v>25</v>
      </c>
      <c r="AB52" s="106"/>
      <c r="AC52" s="6" t="s">
        <v>25</v>
      </c>
      <c r="AD52" s="6" t="s">
        <v>25</v>
      </c>
      <c r="AE52" s="6" t="s">
        <v>25</v>
      </c>
      <c r="AF52" s="6" t="s">
        <v>25</v>
      </c>
      <c r="AG52" s="6" t="s">
        <v>25</v>
      </c>
      <c r="AH52" s="6" t="s">
        <v>25</v>
      </c>
      <c r="AI52" s="4">
        <f t="shared" si="1"/>
        <v>23</v>
      </c>
      <c r="AJ52" s="4">
        <f t="shared" si="2"/>
        <v>2</v>
      </c>
    </row>
    <row r="53" spans="1:36" ht="16.5">
      <c r="A53" s="7">
        <v>25</v>
      </c>
      <c r="B53" s="83" t="s">
        <v>285</v>
      </c>
      <c r="C53" s="85" t="s">
        <v>132</v>
      </c>
      <c r="D53" s="5" t="s">
        <v>49</v>
      </c>
      <c r="E53" s="13" t="s">
        <v>25</v>
      </c>
      <c r="F53" s="13" t="s">
        <v>25</v>
      </c>
      <c r="G53" s="106"/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08"/>
      <c r="N53" s="106"/>
      <c r="O53" s="6" t="s">
        <v>25</v>
      </c>
      <c r="P53" s="6" t="s">
        <v>25</v>
      </c>
      <c r="Q53" s="6" t="s">
        <v>25</v>
      </c>
      <c r="R53" s="6" t="s">
        <v>25</v>
      </c>
      <c r="S53" s="6" t="s">
        <v>25</v>
      </c>
      <c r="T53" s="6" t="s">
        <v>25</v>
      </c>
      <c r="U53" s="106"/>
      <c r="V53" s="6" t="s">
        <v>25</v>
      </c>
      <c r="W53" s="6" t="s">
        <v>25</v>
      </c>
      <c r="X53" s="6" t="s">
        <v>25</v>
      </c>
      <c r="Y53" s="6" t="s">
        <v>25</v>
      </c>
      <c r="Z53" s="6" t="s">
        <v>25</v>
      </c>
      <c r="AA53" s="6" t="s">
        <v>25</v>
      </c>
      <c r="AB53" s="106"/>
      <c r="AC53" s="6" t="s">
        <v>25</v>
      </c>
      <c r="AD53" s="6" t="s">
        <v>25</v>
      </c>
      <c r="AE53" s="6" t="s">
        <v>25</v>
      </c>
      <c r="AF53" s="6" t="s">
        <v>25</v>
      </c>
      <c r="AG53" s="6" t="s">
        <v>25</v>
      </c>
      <c r="AH53" s="6" t="s">
        <v>25</v>
      </c>
      <c r="AI53" s="4">
        <f t="shared" si="1"/>
        <v>25</v>
      </c>
      <c r="AJ53" s="4">
        <f t="shared" si="2"/>
        <v>0</v>
      </c>
    </row>
    <row r="54" spans="1:36" ht="16.5">
      <c r="A54" s="7">
        <v>26</v>
      </c>
      <c r="B54" s="83" t="s">
        <v>286</v>
      </c>
      <c r="C54" s="85" t="s">
        <v>287</v>
      </c>
      <c r="D54" s="5" t="s">
        <v>49</v>
      </c>
      <c r="E54" s="13" t="s">
        <v>24</v>
      </c>
      <c r="F54" s="13" t="s">
        <v>25</v>
      </c>
      <c r="G54" s="106"/>
      <c r="H54" s="13" t="s">
        <v>25</v>
      </c>
      <c r="I54" s="13" t="s">
        <v>25</v>
      </c>
      <c r="J54" s="13" t="s">
        <v>24</v>
      </c>
      <c r="K54" s="13" t="s">
        <v>25</v>
      </c>
      <c r="L54" s="13" t="s">
        <v>25</v>
      </c>
      <c r="M54" s="108"/>
      <c r="N54" s="106"/>
      <c r="O54" s="6" t="s">
        <v>25</v>
      </c>
      <c r="P54" s="6" t="s">
        <v>25</v>
      </c>
      <c r="Q54" s="6" t="s">
        <v>25</v>
      </c>
      <c r="R54" s="6" t="s">
        <v>25</v>
      </c>
      <c r="S54" s="6" t="s">
        <v>25</v>
      </c>
      <c r="T54" s="6" t="s">
        <v>24</v>
      </c>
      <c r="U54" s="106"/>
      <c r="V54" s="6" t="s">
        <v>25</v>
      </c>
      <c r="W54" s="6" t="s">
        <v>25</v>
      </c>
      <c r="X54" s="6" t="s">
        <v>24</v>
      </c>
      <c r="Y54" s="6" t="s">
        <v>25</v>
      </c>
      <c r="Z54" s="6" t="s">
        <v>25</v>
      </c>
      <c r="AA54" s="6" t="s">
        <v>25</v>
      </c>
      <c r="AB54" s="106"/>
      <c r="AC54" s="6" t="s">
        <v>25</v>
      </c>
      <c r="AD54" s="6" t="s">
        <v>25</v>
      </c>
      <c r="AE54" s="6" t="s">
        <v>25</v>
      </c>
      <c r="AF54" s="6" t="s">
        <v>24</v>
      </c>
      <c r="AG54" s="6" t="s">
        <v>25</v>
      </c>
      <c r="AH54" s="6" t="s">
        <v>25</v>
      </c>
      <c r="AI54" s="4">
        <f t="shared" si="1"/>
        <v>20</v>
      </c>
      <c r="AJ54" s="4">
        <f t="shared" si="2"/>
        <v>5</v>
      </c>
    </row>
  </sheetData>
  <mergeCells count="16">
    <mergeCell ref="AK3:AL3"/>
    <mergeCell ref="G5:G54"/>
    <mergeCell ref="M5:M54"/>
    <mergeCell ref="N5:N54"/>
    <mergeCell ref="U5:U54"/>
    <mergeCell ref="AB5:AB54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29:F54 H29:L54 O29:T54 V29:AA54 AC29:AH54">
    <cfRule type="expression" dxfId="112" priority="8">
      <formula>E$4=TODAY()</formula>
    </cfRule>
    <cfRule type="expression" dxfId="111" priority="12">
      <formula>E$3="Sun"</formula>
    </cfRule>
  </conditionalFormatting>
  <conditionalFormatting sqref="E3:AH4 E5:N5 U5 AB5 O5:T28 V5:AA28 AC5:AH28 E6:F28 H6:L28">
    <cfRule type="expression" dxfId="110" priority="17">
      <formula>E$4=TODAY()</formula>
    </cfRule>
    <cfRule type="expression" dxfId="109" priority="18">
      <formula>E$3="SUN"</formula>
    </cfRule>
  </conditionalFormatting>
  <conditionalFormatting sqref="E3:AH4 E5:N5 U5 AB5">
    <cfRule type="cellIs" dxfId="108" priority="14" operator="equal">
      <formula>"L"</formula>
    </cfRule>
    <cfRule type="cellIs" dxfId="107" priority="15" operator="equal">
      <formula>"P"</formula>
    </cfRule>
    <cfRule type="cellIs" dxfId="106" priority="16" operator="equal">
      <formula>"A"</formula>
    </cfRule>
  </conditionalFormatting>
  <conditionalFormatting sqref="O5:T54 V5:AA54 AC5:AH54 E6:F54 H6:L54">
    <cfRule type="cellIs" dxfId="105" priority="9" operator="equal">
      <formula>"L"</formula>
    </cfRule>
    <cfRule type="cellIs" dxfId="104" priority="10" operator="equal">
      <formula>"A"</formula>
    </cfRule>
    <cfRule type="cellIs" dxfId="103" priority="11" operator="equal">
      <formula>"P"</formula>
    </cfRule>
  </conditionalFormatting>
  <conditionalFormatting sqref="AI3:AJ3 AI5:AJ28">
    <cfRule type="expression" dxfId="102" priority="24">
      <formula>#REF!="Sun"</formula>
    </cfRule>
  </conditionalFormatting>
  <conditionalFormatting sqref="AI29:AJ54">
    <cfRule type="expression" dxfId="101" priority="13">
      <formula>#REF!="Sun"</formula>
    </cfRule>
  </conditionalFormatting>
  <conditionalFormatting sqref="AK5:AK9">
    <cfRule type="expression" dxfId="100" priority="5">
      <formula>AK$3="Sun"</formula>
    </cfRule>
  </conditionalFormatting>
  <conditionalFormatting sqref="AK12:AK15">
    <cfRule type="expression" dxfId="99" priority="2">
      <formula>AK$3="Sun"</formula>
    </cfRule>
  </conditionalFormatting>
  <conditionalFormatting sqref="AK20:AK23">
    <cfRule type="expression" dxfId="98" priority="1">
      <formula>AK$3="Sun"</formula>
    </cfRule>
  </conditionalFormatting>
  <conditionalFormatting sqref="AK4:AL4">
    <cfRule type="expression" dxfId="97" priority="6">
      <formula>AK$3="Sun"</formula>
    </cfRule>
  </conditionalFormatting>
  <conditionalFormatting sqref="AL12:AN12 AL20:AN20">
    <cfRule type="expression" dxfId="96" priority="7">
      <formula>AL$3="Sun"</formula>
    </cfRule>
  </conditionalFormatting>
  <conditionalFormatting sqref="AN21">
    <cfRule type="expression" dxfId="95" priority="4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AN51"/>
  <sheetViews>
    <sheetView workbookViewId="0">
      <selection activeCell="AB5" sqref="AB5:AB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/>
    <col min="8" max="8" width="4.5703125" style="1" bestFit="1" customWidth="1"/>
    <col min="9" max="9" width="3.85546875" style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/>
    <col min="15" max="15" width="4.5703125" style="1" bestFit="1" customWidth="1"/>
    <col min="16" max="16" width="3.85546875" style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/>
    <col min="22" max="22" width="4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4.5703125" style="1" bestFit="1" customWidth="1"/>
    <col min="30" max="30" width="3.85546875" style="1"/>
    <col min="31" max="31" width="4.7109375" style="1" bestFit="1" customWidth="1"/>
    <col min="32" max="32" width="3.85546875" style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56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40" ht="15.75">
      <c r="A3" s="102" t="s">
        <v>0</v>
      </c>
      <c r="B3" s="102" t="s">
        <v>1</v>
      </c>
      <c r="C3" s="102" t="s">
        <v>2</v>
      </c>
      <c r="D3" s="102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2"/>
      <c r="B4" s="102"/>
      <c r="C4" s="102"/>
      <c r="D4" s="102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288</v>
      </c>
      <c r="C5" s="83" t="s">
        <v>289</v>
      </c>
      <c r="D5" s="5" t="s">
        <v>57</v>
      </c>
      <c r="E5" s="13" t="s">
        <v>25</v>
      </c>
      <c r="F5" s="13" t="s">
        <v>25</v>
      </c>
      <c r="G5" s="105" t="s">
        <v>58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07" t="s">
        <v>30</v>
      </c>
      <c r="N5" s="105" t="s">
        <v>58</v>
      </c>
      <c r="O5" s="6" t="s">
        <v>25</v>
      </c>
      <c r="P5" s="6" t="s">
        <v>25</v>
      </c>
      <c r="Q5" s="6" t="s">
        <v>25</v>
      </c>
      <c r="R5" s="6" t="s">
        <v>24</v>
      </c>
      <c r="S5" s="6" t="s">
        <v>25</v>
      </c>
      <c r="T5" s="6" t="s">
        <v>25</v>
      </c>
      <c r="U5" s="105" t="s">
        <v>58</v>
      </c>
      <c r="V5" s="6" t="s">
        <v>25</v>
      </c>
      <c r="W5" s="6" t="s">
        <v>25</v>
      </c>
      <c r="X5" s="6" t="s">
        <v>24</v>
      </c>
      <c r="Y5" s="6" t="s">
        <v>25</v>
      </c>
      <c r="Z5" s="6" t="s">
        <v>24</v>
      </c>
      <c r="AA5" s="6" t="s">
        <v>25</v>
      </c>
      <c r="AB5" s="105" t="s">
        <v>58</v>
      </c>
      <c r="AC5" s="6" t="s">
        <v>25</v>
      </c>
      <c r="AD5" s="6" t="s">
        <v>24</v>
      </c>
      <c r="AE5" s="6" t="s">
        <v>25</v>
      </c>
      <c r="AF5" s="6" t="s">
        <v>25</v>
      </c>
      <c r="AG5" s="6" t="s">
        <v>25</v>
      </c>
      <c r="AH5" s="6" t="s">
        <v>24</v>
      </c>
      <c r="AI5" s="4">
        <f t="shared" ref="AI5:AI51" si="1">COUNTIF(E5:AH5,"P")</f>
        <v>20</v>
      </c>
      <c r="AJ5" s="4">
        <f t="shared" ref="AJ5:AJ51" si="2">COUNTIF(E5:AH5,"A")</f>
        <v>5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290</v>
      </c>
      <c r="C6" s="83" t="s">
        <v>291</v>
      </c>
      <c r="D6" s="5" t="s">
        <v>57</v>
      </c>
      <c r="E6" s="13" t="s">
        <v>25</v>
      </c>
      <c r="F6" s="13" t="s">
        <v>25</v>
      </c>
      <c r="G6" s="106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08"/>
      <c r="N6" s="106"/>
      <c r="O6" s="6" t="s">
        <v>25</v>
      </c>
      <c r="P6" s="6" t="s">
        <v>25</v>
      </c>
      <c r="Q6" s="6" t="s">
        <v>25</v>
      </c>
      <c r="R6" s="6" t="s">
        <v>25</v>
      </c>
      <c r="S6" s="6" t="s">
        <v>25</v>
      </c>
      <c r="T6" s="6" t="s">
        <v>25</v>
      </c>
      <c r="U6" s="106"/>
      <c r="V6" s="6" t="s">
        <v>25</v>
      </c>
      <c r="W6" s="6" t="s">
        <v>25</v>
      </c>
      <c r="X6" s="6" t="s">
        <v>25</v>
      </c>
      <c r="Y6" s="6" t="s">
        <v>25</v>
      </c>
      <c r="Z6" s="6" t="s">
        <v>24</v>
      </c>
      <c r="AA6" s="6" t="s">
        <v>25</v>
      </c>
      <c r="AB6" s="106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24</v>
      </c>
      <c r="AJ6" s="4">
        <f t="shared" si="2"/>
        <v>1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292</v>
      </c>
      <c r="C7" s="83" t="s">
        <v>175</v>
      </c>
      <c r="D7" s="5" t="s">
        <v>57</v>
      </c>
      <c r="E7" s="13" t="s">
        <v>25</v>
      </c>
      <c r="F7" s="13" t="s">
        <v>25</v>
      </c>
      <c r="G7" s="106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108"/>
      <c r="N7" s="106"/>
      <c r="O7" s="6" t="s">
        <v>25</v>
      </c>
      <c r="P7" s="6" t="s">
        <v>25</v>
      </c>
      <c r="Q7" s="6" t="s">
        <v>25</v>
      </c>
      <c r="R7" s="6" t="s">
        <v>25</v>
      </c>
      <c r="S7" s="6" t="s">
        <v>25</v>
      </c>
      <c r="T7" s="6" t="s">
        <v>25</v>
      </c>
      <c r="U7" s="106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06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25</v>
      </c>
      <c r="AJ7" s="4">
        <f t="shared" si="2"/>
        <v>0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293</v>
      </c>
      <c r="C8" s="83" t="s">
        <v>236</v>
      </c>
      <c r="D8" s="5" t="s">
        <v>57</v>
      </c>
      <c r="E8" s="13" t="s">
        <v>25</v>
      </c>
      <c r="F8" s="13" t="s">
        <v>25</v>
      </c>
      <c r="G8" s="106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08"/>
      <c r="N8" s="106"/>
      <c r="O8" s="6" t="s">
        <v>25</v>
      </c>
      <c r="P8" s="6" t="s">
        <v>25</v>
      </c>
      <c r="Q8" s="6" t="s">
        <v>25</v>
      </c>
      <c r="R8" s="6" t="s">
        <v>25</v>
      </c>
      <c r="S8" s="6" t="s">
        <v>25</v>
      </c>
      <c r="T8" s="6" t="s">
        <v>25</v>
      </c>
      <c r="U8" s="106"/>
      <c r="V8" s="6" t="s">
        <v>26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06"/>
      <c r="AC8" s="6" t="s">
        <v>25</v>
      </c>
      <c r="AD8" s="6" t="s">
        <v>25</v>
      </c>
      <c r="AE8" s="6" t="s">
        <v>25</v>
      </c>
      <c r="AF8" s="6" t="s">
        <v>24</v>
      </c>
      <c r="AG8" s="6" t="s">
        <v>24</v>
      </c>
      <c r="AH8" s="6" t="s">
        <v>24</v>
      </c>
      <c r="AI8" s="4">
        <f t="shared" si="1"/>
        <v>21</v>
      </c>
      <c r="AJ8" s="4">
        <f t="shared" si="2"/>
        <v>3</v>
      </c>
      <c r="AK8" s="4"/>
      <c r="AL8" s="7"/>
      <c r="AM8"/>
      <c r="AN8"/>
    </row>
    <row r="9" spans="1:40" ht="16.5">
      <c r="A9" s="7">
        <v>5</v>
      </c>
      <c r="B9" s="83" t="s">
        <v>294</v>
      </c>
      <c r="C9" s="83" t="s">
        <v>166</v>
      </c>
      <c r="D9" s="5" t="s">
        <v>57</v>
      </c>
      <c r="E9" s="13" t="s">
        <v>25</v>
      </c>
      <c r="F9" s="13" t="s">
        <v>25</v>
      </c>
      <c r="G9" s="106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08"/>
      <c r="N9" s="106"/>
      <c r="O9" s="6" t="s">
        <v>25</v>
      </c>
      <c r="P9" s="6" t="s">
        <v>25</v>
      </c>
      <c r="Q9" s="6" t="s">
        <v>25</v>
      </c>
      <c r="R9" s="6" t="s">
        <v>25</v>
      </c>
      <c r="S9" s="6" t="s">
        <v>24</v>
      </c>
      <c r="T9" s="6" t="s">
        <v>25</v>
      </c>
      <c r="U9" s="106"/>
      <c r="V9" s="6" t="s">
        <v>25</v>
      </c>
      <c r="W9" s="6" t="s">
        <v>25</v>
      </c>
      <c r="X9" s="6" t="s">
        <v>25</v>
      </c>
      <c r="Y9" s="6" t="s">
        <v>25</v>
      </c>
      <c r="Z9" s="6" t="s">
        <v>25</v>
      </c>
      <c r="AA9" s="6" t="s">
        <v>24</v>
      </c>
      <c r="AB9" s="106"/>
      <c r="AC9" s="6" t="s">
        <v>25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22</v>
      </c>
      <c r="AJ9" s="4">
        <f t="shared" si="2"/>
        <v>3</v>
      </c>
      <c r="AK9" s="4"/>
      <c r="AL9" s="7"/>
    </row>
    <row r="10" spans="1:40" ht="16.5">
      <c r="A10" s="7">
        <v>6</v>
      </c>
      <c r="B10" s="83" t="s">
        <v>295</v>
      </c>
      <c r="C10" s="83" t="s">
        <v>296</v>
      </c>
      <c r="D10" s="5" t="s">
        <v>57</v>
      </c>
      <c r="E10" s="13" t="s">
        <v>25</v>
      </c>
      <c r="F10" s="13" t="s">
        <v>25</v>
      </c>
      <c r="G10" s="106"/>
      <c r="H10" s="13" t="s">
        <v>24</v>
      </c>
      <c r="I10" s="13" t="s">
        <v>25</v>
      </c>
      <c r="J10" s="13" t="s">
        <v>25</v>
      </c>
      <c r="K10" s="13" t="s">
        <v>25</v>
      </c>
      <c r="L10" s="13" t="s">
        <v>25</v>
      </c>
      <c r="M10" s="108"/>
      <c r="N10" s="106"/>
      <c r="O10" s="6" t="s">
        <v>24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106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24</v>
      </c>
      <c r="AA10" s="6" t="s">
        <v>25</v>
      </c>
      <c r="AB10" s="106"/>
      <c r="AC10" s="6" t="s">
        <v>25</v>
      </c>
      <c r="AD10" s="6" t="s">
        <v>25</v>
      </c>
      <c r="AE10" s="6" t="s">
        <v>25</v>
      </c>
      <c r="AF10" s="6" t="s">
        <v>24</v>
      </c>
      <c r="AG10" s="6" t="s">
        <v>25</v>
      </c>
      <c r="AH10" s="6" t="s">
        <v>25</v>
      </c>
      <c r="AI10" s="4">
        <f t="shared" si="1"/>
        <v>21</v>
      </c>
      <c r="AJ10" s="4">
        <f t="shared" si="2"/>
        <v>4</v>
      </c>
    </row>
    <row r="11" spans="1:40" ht="16.5">
      <c r="A11" s="7">
        <v>7</v>
      </c>
      <c r="B11" s="83" t="s">
        <v>297</v>
      </c>
      <c r="C11" s="83" t="s">
        <v>167</v>
      </c>
      <c r="D11" s="5" t="s">
        <v>57</v>
      </c>
      <c r="E11" s="13" t="s">
        <v>25</v>
      </c>
      <c r="F11" s="13" t="s">
        <v>25</v>
      </c>
      <c r="G11" s="106"/>
      <c r="H11" s="13" t="s">
        <v>24</v>
      </c>
      <c r="I11" s="13" t="s">
        <v>25</v>
      </c>
      <c r="J11" s="13" t="s">
        <v>25</v>
      </c>
      <c r="K11" s="13" t="s">
        <v>25</v>
      </c>
      <c r="L11" s="13" t="s">
        <v>24</v>
      </c>
      <c r="M11" s="108"/>
      <c r="N11" s="106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06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06"/>
      <c r="AC11" s="6" t="s">
        <v>24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24</v>
      </c>
      <c r="AI11" s="4">
        <f t="shared" si="1"/>
        <v>21</v>
      </c>
      <c r="AJ11" s="4">
        <f t="shared" si="2"/>
        <v>4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3" t="s">
        <v>298</v>
      </c>
      <c r="C12" s="83" t="s">
        <v>299</v>
      </c>
      <c r="D12" s="5" t="s">
        <v>57</v>
      </c>
      <c r="E12" s="13" t="s">
        <v>25</v>
      </c>
      <c r="F12" s="13" t="s">
        <v>24</v>
      </c>
      <c r="G12" s="106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08"/>
      <c r="N12" s="106"/>
      <c r="O12" s="6" t="s">
        <v>25</v>
      </c>
      <c r="P12" s="6" t="s">
        <v>25</v>
      </c>
      <c r="Q12" s="6" t="s">
        <v>25</v>
      </c>
      <c r="R12" s="6" t="s">
        <v>25</v>
      </c>
      <c r="S12" s="6" t="s">
        <v>25</v>
      </c>
      <c r="T12" s="6" t="s">
        <v>25</v>
      </c>
      <c r="U12" s="106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06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24</v>
      </c>
      <c r="AJ12" s="4">
        <f t="shared" si="2"/>
        <v>1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300</v>
      </c>
      <c r="C13" s="83" t="s">
        <v>184</v>
      </c>
      <c r="D13" s="5" t="s">
        <v>57</v>
      </c>
      <c r="E13" s="13" t="s">
        <v>25</v>
      </c>
      <c r="F13" s="13" t="s">
        <v>25</v>
      </c>
      <c r="G13" s="106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08"/>
      <c r="N13" s="106"/>
      <c r="O13" s="6" t="s">
        <v>25</v>
      </c>
      <c r="P13" s="6" t="s">
        <v>25</v>
      </c>
      <c r="Q13" s="6" t="s">
        <v>25</v>
      </c>
      <c r="R13" s="6" t="s">
        <v>25</v>
      </c>
      <c r="S13" s="6" t="s">
        <v>25</v>
      </c>
      <c r="T13" s="6" t="s">
        <v>25</v>
      </c>
      <c r="U13" s="106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06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25</v>
      </c>
      <c r="AJ13" s="4">
        <f t="shared" si="2"/>
        <v>0</v>
      </c>
      <c r="AK13" s="4" t="s">
        <v>14</v>
      </c>
      <c r="AL13" s="7">
        <f>26*$AL$5</f>
        <v>650</v>
      </c>
      <c r="AM13" s="7">
        <f>26*$AL$5</f>
        <v>650</v>
      </c>
      <c r="AN13" s="7">
        <f>SUM(AL13:AM13)</f>
        <v>1300</v>
      </c>
    </row>
    <row r="14" spans="1:40" ht="16.5">
      <c r="A14" s="7">
        <v>10</v>
      </c>
      <c r="B14" s="83" t="s">
        <v>301</v>
      </c>
      <c r="C14" s="83" t="s">
        <v>144</v>
      </c>
      <c r="D14" s="5" t="s">
        <v>57</v>
      </c>
      <c r="E14" s="13" t="s">
        <v>25</v>
      </c>
      <c r="F14" s="13" t="s">
        <v>25</v>
      </c>
      <c r="G14" s="106"/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08"/>
      <c r="N14" s="106"/>
      <c r="O14" s="6" t="s">
        <v>24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06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06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24</v>
      </c>
      <c r="AJ14" s="4">
        <f t="shared" si="2"/>
        <v>1</v>
      </c>
      <c r="AK14" s="4" t="s">
        <v>15</v>
      </c>
      <c r="AL14" s="7">
        <f>SUM(AI31:AI51)</f>
        <v>464</v>
      </c>
      <c r="AM14" s="7">
        <f>SUM(AI5:AI30)</f>
        <v>555</v>
      </c>
      <c r="AN14" s="7">
        <f>AL14+AM14</f>
        <v>1019</v>
      </c>
    </row>
    <row r="15" spans="1:40" ht="16.5">
      <c r="A15" s="7">
        <v>11</v>
      </c>
      <c r="B15" s="83" t="s">
        <v>302</v>
      </c>
      <c r="C15" s="83" t="s">
        <v>303</v>
      </c>
      <c r="D15" s="5" t="s">
        <v>57</v>
      </c>
      <c r="E15" s="13" t="s">
        <v>25</v>
      </c>
      <c r="F15" s="13" t="s">
        <v>24</v>
      </c>
      <c r="G15" s="106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08"/>
      <c r="N15" s="106"/>
      <c r="O15" s="6" t="s">
        <v>25</v>
      </c>
      <c r="P15" s="6" t="s">
        <v>24</v>
      </c>
      <c r="Q15" s="6" t="s">
        <v>24</v>
      </c>
      <c r="R15" s="6" t="s">
        <v>25</v>
      </c>
      <c r="S15" s="6" t="s">
        <v>25</v>
      </c>
      <c r="T15" s="6" t="s">
        <v>24</v>
      </c>
      <c r="U15" s="106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06"/>
      <c r="AC15" s="6" t="s">
        <v>25</v>
      </c>
      <c r="AD15" s="6" t="s">
        <v>25</v>
      </c>
      <c r="AE15" s="6" t="s">
        <v>24</v>
      </c>
      <c r="AF15" s="6" t="s">
        <v>25</v>
      </c>
      <c r="AG15" s="6" t="s">
        <v>25</v>
      </c>
      <c r="AH15" s="6" t="s">
        <v>24</v>
      </c>
      <c r="AI15" s="4">
        <f t="shared" si="1"/>
        <v>19</v>
      </c>
      <c r="AJ15" s="4">
        <f t="shared" si="2"/>
        <v>6</v>
      </c>
      <c r="AK15" s="4" t="s">
        <v>16</v>
      </c>
      <c r="AL15" s="9">
        <f>AL14/AL13</f>
        <v>0.7138461538461538</v>
      </c>
      <c r="AM15" s="9">
        <f>AM14/AM13</f>
        <v>0.85384615384615381</v>
      </c>
      <c r="AN15" s="9">
        <f>AN14/AN13</f>
        <v>0.78384615384615386</v>
      </c>
    </row>
    <row r="16" spans="1:40" ht="16.5">
      <c r="A16" s="7">
        <v>12</v>
      </c>
      <c r="B16" s="83" t="s">
        <v>304</v>
      </c>
      <c r="C16" s="83" t="s">
        <v>159</v>
      </c>
      <c r="D16" s="5" t="s">
        <v>57</v>
      </c>
      <c r="E16" s="13" t="s">
        <v>25</v>
      </c>
      <c r="F16" s="13" t="s">
        <v>25</v>
      </c>
      <c r="G16" s="106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08"/>
      <c r="N16" s="106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24</v>
      </c>
      <c r="T16" s="6" t="s">
        <v>25</v>
      </c>
      <c r="U16" s="106"/>
      <c r="V16" s="6" t="s">
        <v>24</v>
      </c>
      <c r="W16" s="6" t="s">
        <v>25</v>
      </c>
      <c r="X16" s="6" t="s">
        <v>25</v>
      </c>
      <c r="Y16" s="6" t="s">
        <v>24</v>
      </c>
      <c r="Z16" s="6" t="s">
        <v>25</v>
      </c>
      <c r="AA16" s="6" t="s">
        <v>25</v>
      </c>
      <c r="AB16" s="106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22</v>
      </c>
      <c r="AJ16" s="4">
        <f t="shared" si="2"/>
        <v>3</v>
      </c>
      <c r="AK16"/>
      <c r="AL16"/>
      <c r="AM16"/>
      <c r="AN16"/>
    </row>
    <row r="17" spans="1:40" ht="16.5">
      <c r="A17" s="7">
        <v>13</v>
      </c>
      <c r="B17" s="83" t="s">
        <v>305</v>
      </c>
      <c r="C17" s="83" t="s">
        <v>306</v>
      </c>
      <c r="D17" s="5" t="s">
        <v>57</v>
      </c>
      <c r="E17" s="13" t="s">
        <v>25</v>
      </c>
      <c r="F17" s="13" t="s">
        <v>25</v>
      </c>
      <c r="G17" s="106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08"/>
      <c r="N17" s="106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06"/>
      <c r="V17" s="6" t="s">
        <v>25</v>
      </c>
      <c r="W17" s="6" t="s">
        <v>25</v>
      </c>
      <c r="X17" s="6" t="s">
        <v>25</v>
      </c>
      <c r="Y17" s="6" t="s">
        <v>25</v>
      </c>
      <c r="Z17" s="6" t="s">
        <v>25</v>
      </c>
      <c r="AA17" s="6" t="s">
        <v>25</v>
      </c>
      <c r="AB17" s="106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25</v>
      </c>
      <c r="AJ17" s="4">
        <f t="shared" si="2"/>
        <v>0</v>
      </c>
      <c r="AK17"/>
      <c r="AL17"/>
      <c r="AM17"/>
      <c r="AN17"/>
    </row>
    <row r="18" spans="1:40" ht="16.5">
      <c r="A18" s="7">
        <v>14</v>
      </c>
      <c r="B18" s="83" t="s">
        <v>307</v>
      </c>
      <c r="C18" s="83" t="s">
        <v>256</v>
      </c>
      <c r="D18" s="5" t="s">
        <v>57</v>
      </c>
      <c r="E18" s="13" t="s">
        <v>25</v>
      </c>
      <c r="F18" s="13" t="s">
        <v>25</v>
      </c>
      <c r="G18" s="106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08"/>
      <c r="N18" s="106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25</v>
      </c>
      <c r="T18" s="6" t="s">
        <v>25</v>
      </c>
      <c r="U18" s="106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06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25</v>
      </c>
      <c r="AH18" s="6" t="s">
        <v>25</v>
      </c>
      <c r="AI18" s="4">
        <f t="shared" si="1"/>
        <v>25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3" t="s">
        <v>55</v>
      </c>
      <c r="C19" s="83" t="s">
        <v>124</v>
      </c>
      <c r="D19" s="5" t="s">
        <v>57</v>
      </c>
      <c r="E19" s="13" t="s">
        <v>24</v>
      </c>
      <c r="F19" s="13" t="s">
        <v>25</v>
      </c>
      <c r="G19" s="106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08"/>
      <c r="N19" s="106"/>
      <c r="O19" s="6" t="s">
        <v>25</v>
      </c>
      <c r="P19" s="6" t="s">
        <v>25</v>
      </c>
      <c r="Q19" s="6" t="s">
        <v>25</v>
      </c>
      <c r="R19" s="6" t="s">
        <v>24</v>
      </c>
      <c r="S19" s="6" t="s">
        <v>25</v>
      </c>
      <c r="T19" s="6" t="s">
        <v>25</v>
      </c>
      <c r="U19" s="106"/>
      <c r="V19" s="6" t="s">
        <v>25</v>
      </c>
      <c r="W19" s="6" t="s">
        <v>25</v>
      </c>
      <c r="X19" s="6" t="s">
        <v>25</v>
      </c>
      <c r="Y19" s="6" t="s">
        <v>25</v>
      </c>
      <c r="Z19" s="6" t="s">
        <v>25</v>
      </c>
      <c r="AA19" s="6" t="s">
        <v>25</v>
      </c>
      <c r="AB19" s="106"/>
      <c r="AC19" s="6" t="s">
        <v>25</v>
      </c>
      <c r="AD19" s="6" t="s">
        <v>25</v>
      </c>
      <c r="AE19" s="6" t="s">
        <v>25</v>
      </c>
      <c r="AF19" s="6" t="s">
        <v>25</v>
      </c>
      <c r="AG19" s="6" t="s">
        <v>25</v>
      </c>
      <c r="AH19" s="6" t="s">
        <v>25</v>
      </c>
      <c r="AI19" s="4">
        <f t="shared" si="1"/>
        <v>23</v>
      </c>
      <c r="AJ19" s="4">
        <f t="shared" si="2"/>
        <v>2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3" t="s">
        <v>308</v>
      </c>
      <c r="C20" s="83" t="s">
        <v>309</v>
      </c>
      <c r="D20" s="5" t="s">
        <v>57</v>
      </c>
      <c r="E20" s="13" t="s">
        <v>25</v>
      </c>
      <c r="F20" s="13" t="s">
        <v>25</v>
      </c>
      <c r="G20" s="106"/>
      <c r="H20" s="13" t="s">
        <v>24</v>
      </c>
      <c r="I20" s="13" t="s">
        <v>25</v>
      </c>
      <c r="J20" s="13" t="s">
        <v>24</v>
      </c>
      <c r="K20" s="13" t="s">
        <v>25</v>
      </c>
      <c r="L20" s="13" t="s">
        <v>25</v>
      </c>
      <c r="M20" s="108"/>
      <c r="N20" s="106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25</v>
      </c>
      <c r="T20" s="6" t="s">
        <v>25</v>
      </c>
      <c r="U20" s="106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25</v>
      </c>
      <c r="AA20" s="6" t="s">
        <v>25</v>
      </c>
      <c r="AB20" s="106"/>
      <c r="AC20" s="6" t="s">
        <v>25</v>
      </c>
      <c r="AD20" s="6" t="s">
        <v>24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22</v>
      </c>
      <c r="AJ20" s="4">
        <f t="shared" si="2"/>
        <v>3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310</v>
      </c>
      <c r="C21" s="83" t="s">
        <v>311</v>
      </c>
      <c r="D21" s="5" t="s">
        <v>57</v>
      </c>
      <c r="E21" s="13" t="s">
        <v>25</v>
      </c>
      <c r="F21" s="13" t="s">
        <v>25</v>
      </c>
      <c r="G21" s="106"/>
      <c r="H21" s="13" t="s">
        <v>25</v>
      </c>
      <c r="I21" s="13" t="s">
        <v>25</v>
      </c>
      <c r="J21" s="13" t="s">
        <v>24</v>
      </c>
      <c r="K21" s="13" t="s">
        <v>25</v>
      </c>
      <c r="L21" s="13" t="s">
        <v>24</v>
      </c>
      <c r="M21" s="108"/>
      <c r="N21" s="106"/>
      <c r="O21" s="6" t="s">
        <v>24</v>
      </c>
      <c r="P21" s="6" t="s">
        <v>24</v>
      </c>
      <c r="Q21" s="6" t="s">
        <v>25</v>
      </c>
      <c r="R21" s="6" t="s">
        <v>25</v>
      </c>
      <c r="S21" s="6" t="s">
        <v>25</v>
      </c>
      <c r="T21" s="6" t="s">
        <v>25</v>
      </c>
      <c r="U21" s="106"/>
      <c r="V21" s="6" t="s">
        <v>24</v>
      </c>
      <c r="W21" s="6" t="s">
        <v>24</v>
      </c>
      <c r="X21" s="6" t="s">
        <v>24</v>
      </c>
      <c r="Y21" s="6" t="s">
        <v>24</v>
      </c>
      <c r="Z21" s="6" t="s">
        <v>24</v>
      </c>
      <c r="AA21" s="6" t="s">
        <v>24</v>
      </c>
      <c r="AB21" s="106"/>
      <c r="AC21" s="6" t="s">
        <v>25</v>
      </c>
      <c r="AD21" s="6" t="s">
        <v>25</v>
      </c>
      <c r="AE21" s="6" t="s">
        <v>25</v>
      </c>
      <c r="AF21" s="6" t="s">
        <v>24</v>
      </c>
      <c r="AG21" s="6" t="s">
        <v>25</v>
      </c>
      <c r="AH21" s="6" t="s">
        <v>24</v>
      </c>
      <c r="AI21" s="4">
        <f t="shared" si="1"/>
        <v>13</v>
      </c>
      <c r="AJ21" s="4">
        <f t="shared" si="2"/>
        <v>12</v>
      </c>
      <c r="AK21" s="4" t="s">
        <v>14</v>
      </c>
      <c r="AL21" s="7">
        <f>32*$AL$5</f>
        <v>800</v>
      </c>
      <c r="AM21" s="7">
        <f>24*$AL$5</f>
        <v>600</v>
      </c>
      <c r="AN21" s="7">
        <f>AL21+AM21</f>
        <v>1400</v>
      </c>
    </row>
    <row r="22" spans="1:40" ht="16.5">
      <c r="A22" s="7">
        <v>18</v>
      </c>
      <c r="B22" s="83" t="s">
        <v>312</v>
      </c>
      <c r="C22" s="83" t="s">
        <v>313</v>
      </c>
      <c r="D22" s="5" t="s">
        <v>57</v>
      </c>
      <c r="E22" s="13" t="s">
        <v>25</v>
      </c>
      <c r="F22" s="13" t="s">
        <v>25</v>
      </c>
      <c r="G22" s="106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08"/>
      <c r="N22" s="106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25</v>
      </c>
      <c r="T22" s="6" t="s">
        <v>25</v>
      </c>
      <c r="U22" s="106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06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25</v>
      </c>
      <c r="AJ22" s="4">
        <f t="shared" si="2"/>
        <v>0</v>
      </c>
      <c r="AK22" s="4" t="s">
        <v>17</v>
      </c>
      <c r="AL22" s="7">
        <f>AL21-AL14</f>
        <v>336</v>
      </c>
      <c r="AM22" s="7">
        <f>AM21-AM14</f>
        <v>45</v>
      </c>
      <c r="AN22" s="7">
        <f>AL22+AM22</f>
        <v>381</v>
      </c>
    </row>
    <row r="23" spans="1:40" ht="16.5">
      <c r="A23" s="7">
        <v>19</v>
      </c>
      <c r="B23" s="83" t="s">
        <v>22</v>
      </c>
      <c r="C23" s="83" t="s">
        <v>272</v>
      </c>
      <c r="D23" s="5" t="s">
        <v>57</v>
      </c>
      <c r="E23" s="13" t="s">
        <v>25</v>
      </c>
      <c r="F23" s="13" t="s">
        <v>25</v>
      </c>
      <c r="G23" s="106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08"/>
      <c r="N23" s="106"/>
      <c r="O23" s="6" t="s">
        <v>25</v>
      </c>
      <c r="P23" s="6" t="s">
        <v>25</v>
      </c>
      <c r="Q23" s="6" t="s">
        <v>25</v>
      </c>
      <c r="R23" s="6" t="s">
        <v>25</v>
      </c>
      <c r="S23" s="6" t="s">
        <v>25</v>
      </c>
      <c r="T23" s="6" t="s">
        <v>25</v>
      </c>
      <c r="U23" s="106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06"/>
      <c r="AC23" s="6" t="s">
        <v>25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25</v>
      </c>
      <c r="AJ23" s="4">
        <f t="shared" si="2"/>
        <v>0</v>
      </c>
      <c r="AK23" s="4" t="s">
        <v>16</v>
      </c>
      <c r="AL23" s="9">
        <f>AL22/AL21</f>
        <v>0.42</v>
      </c>
      <c r="AM23" s="9">
        <f>AM22/AM21</f>
        <v>7.4999999999999997E-2</v>
      </c>
      <c r="AN23" s="9">
        <f>AN22/AN21</f>
        <v>0.27214285714285713</v>
      </c>
    </row>
    <row r="24" spans="1:40" ht="16.5">
      <c r="A24" s="7">
        <v>20</v>
      </c>
      <c r="B24" s="83" t="s">
        <v>314</v>
      </c>
      <c r="C24" s="83" t="s">
        <v>242</v>
      </c>
      <c r="D24" s="5" t="s">
        <v>57</v>
      </c>
      <c r="E24" s="13" t="s">
        <v>25</v>
      </c>
      <c r="F24" s="13" t="s">
        <v>25</v>
      </c>
      <c r="G24" s="106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08"/>
      <c r="N24" s="106"/>
      <c r="O24" s="6" t="s">
        <v>25</v>
      </c>
      <c r="P24" s="6" t="s">
        <v>25</v>
      </c>
      <c r="Q24" s="6" t="s">
        <v>25</v>
      </c>
      <c r="R24" s="6" t="s">
        <v>24</v>
      </c>
      <c r="S24" s="6" t="s">
        <v>26</v>
      </c>
      <c r="T24" s="6" t="s">
        <v>26</v>
      </c>
      <c r="U24" s="106"/>
      <c r="V24" s="6" t="s">
        <v>26</v>
      </c>
      <c r="W24" s="6" t="s">
        <v>25</v>
      </c>
      <c r="X24" s="6" t="s">
        <v>25</v>
      </c>
      <c r="Y24" s="6" t="s">
        <v>25</v>
      </c>
      <c r="Z24" s="6" t="s">
        <v>25</v>
      </c>
      <c r="AA24" s="6" t="s">
        <v>25</v>
      </c>
      <c r="AB24" s="106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21</v>
      </c>
      <c r="AJ24" s="4">
        <f t="shared" si="2"/>
        <v>1</v>
      </c>
    </row>
    <row r="25" spans="1:40" ht="16.5">
      <c r="A25" s="7">
        <v>21</v>
      </c>
      <c r="B25" s="83" t="s">
        <v>43</v>
      </c>
      <c r="C25" s="83" t="s">
        <v>315</v>
      </c>
      <c r="D25" s="5" t="s">
        <v>57</v>
      </c>
      <c r="E25" s="13" t="s">
        <v>25</v>
      </c>
      <c r="F25" s="13" t="s">
        <v>25</v>
      </c>
      <c r="G25" s="106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08"/>
      <c r="N25" s="106"/>
      <c r="O25" s="6" t="s">
        <v>25</v>
      </c>
      <c r="P25" s="6" t="s">
        <v>25</v>
      </c>
      <c r="Q25" s="6" t="s">
        <v>25</v>
      </c>
      <c r="R25" s="6" t="s">
        <v>25</v>
      </c>
      <c r="S25" s="6" t="s">
        <v>25</v>
      </c>
      <c r="T25" s="6" t="s">
        <v>25</v>
      </c>
      <c r="U25" s="106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06"/>
      <c r="AC25" s="6" t="s">
        <v>25</v>
      </c>
      <c r="AD25" s="6" t="s">
        <v>25</v>
      </c>
      <c r="AE25" s="6" t="s">
        <v>25</v>
      </c>
      <c r="AF25" s="6" t="s">
        <v>25</v>
      </c>
      <c r="AG25" s="6" t="s">
        <v>25</v>
      </c>
      <c r="AH25" s="6" t="s">
        <v>24</v>
      </c>
      <c r="AI25" s="4">
        <f t="shared" si="1"/>
        <v>24</v>
      </c>
      <c r="AJ25" s="4">
        <f t="shared" si="2"/>
        <v>1</v>
      </c>
    </row>
    <row r="26" spans="1:40" ht="16.5">
      <c r="A26" s="7">
        <v>22</v>
      </c>
      <c r="B26" s="83" t="s">
        <v>59</v>
      </c>
      <c r="C26" s="83" t="s">
        <v>315</v>
      </c>
      <c r="D26" s="5" t="s">
        <v>57</v>
      </c>
      <c r="E26" s="13" t="s">
        <v>25</v>
      </c>
      <c r="F26" s="13" t="s">
        <v>24</v>
      </c>
      <c r="G26" s="106"/>
      <c r="H26" s="13" t="s">
        <v>26</v>
      </c>
      <c r="I26" s="13" t="s">
        <v>26</v>
      </c>
      <c r="J26" s="13" t="s">
        <v>26</v>
      </c>
      <c r="K26" s="13" t="s">
        <v>26</v>
      </c>
      <c r="L26" s="13" t="s">
        <v>26</v>
      </c>
      <c r="M26" s="108"/>
      <c r="N26" s="106"/>
      <c r="O26" s="6" t="s">
        <v>26</v>
      </c>
      <c r="P26" s="6" t="s">
        <v>26</v>
      </c>
      <c r="Q26" s="6" t="s">
        <v>26</v>
      </c>
      <c r="R26" s="6" t="s">
        <v>26</v>
      </c>
      <c r="S26" s="6" t="s">
        <v>26</v>
      </c>
      <c r="T26" s="6" t="s">
        <v>25</v>
      </c>
      <c r="U26" s="106"/>
      <c r="V26" s="6" t="s">
        <v>25</v>
      </c>
      <c r="W26" s="6" t="s">
        <v>25</v>
      </c>
      <c r="X26" s="6" t="s">
        <v>25</v>
      </c>
      <c r="Y26" s="6" t="s">
        <v>25</v>
      </c>
      <c r="Z26" s="6" t="s">
        <v>25</v>
      </c>
      <c r="AA26" s="6" t="s">
        <v>25</v>
      </c>
      <c r="AB26" s="106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14</v>
      </c>
      <c r="AJ26" s="4">
        <f t="shared" si="2"/>
        <v>1</v>
      </c>
    </row>
    <row r="27" spans="1:40" ht="16.5">
      <c r="A27" s="7">
        <v>23</v>
      </c>
      <c r="B27" s="83" t="s">
        <v>316</v>
      </c>
      <c r="C27" s="83" t="s">
        <v>317</v>
      </c>
      <c r="D27" s="5" t="s">
        <v>57</v>
      </c>
      <c r="E27" s="13" t="s">
        <v>25</v>
      </c>
      <c r="F27" s="13" t="s">
        <v>25</v>
      </c>
      <c r="G27" s="106"/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08"/>
      <c r="N27" s="106"/>
      <c r="O27" s="6" t="s">
        <v>25</v>
      </c>
      <c r="P27" s="6" t="s">
        <v>25</v>
      </c>
      <c r="Q27" s="6" t="s">
        <v>25</v>
      </c>
      <c r="R27" s="6" t="s">
        <v>25</v>
      </c>
      <c r="S27" s="6" t="s">
        <v>25</v>
      </c>
      <c r="T27" s="6" t="s">
        <v>25</v>
      </c>
      <c r="U27" s="106"/>
      <c r="V27" s="6" t="s">
        <v>25</v>
      </c>
      <c r="W27" s="6" t="s">
        <v>25</v>
      </c>
      <c r="X27" s="6" t="s">
        <v>25</v>
      </c>
      <c r="Y27" s="6" t="s">
        <v>25</v>
      </c>
      <c r="Z27" s="6" t="s">
        <v>25</v>
      </c>
      <c r="AA27" s="6" t="s">
        <v>25</v>
      </c>
      <c r="AB27" s="106"/>
      <c r="AC27" s="6" t="s">
        <v>25</v>
      </c>
      <c r="AD27" s="6" t="s">
        <v>25</v>
      </c>
      <c r="AE27" s="6" t="s">
        <v>25</v>
      </c>
      <c r="AF27" s="6" t="s">
        <v>25</v>
      </c>
      <c r="AG27" s="6" t="s">
        <v>25</v>
      </c>
      <c r="AH27" s="6" t="s">
        <v>25</v>
      </c>
      <c r="AI27" s="4">
        <f t="shared" si="1"/>
        <v>25</v>
      </c>
      <c r="AJ27" s="4">
        <f t="shared" si="2"/>
        <v>0</v>
      </c>
    </row>
    <row r="28" spans="1:40" ht="16.5">
      <c r="A28" s="7">
        <v>24</v>
      </c>
      <c r="B28" s="83" t="s">
        <v>318</v>
      </c>
      <c r="C28" s="83" t="s">
        <v>319</v>
      </c>
      <c r="D28" s="5" t="s">
        <v>57</v>
      </c>
      <c r="E28" s="13" t="s">
        <v>25</v>
      </c>
      <c r="F28" s="13" t="s">
        <v>24</v>
      </c>
      <c r="G28" s="106"/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08"/>
      <c r="N28" s="106"/>
      <c r="O28" s="6" t="s">
        <v>24</v>
      </c>
      <c r="P28" s="6" t="s">
        <v>24</v>
      </c>
      <c r="Q28" s="6" t="s">
        <v>24</v>
      </c>
      <c r="R28" s="6" t="s">
        <v>24</v>
      </c>
      <c r="S28" s="6" t="s">
        <v>24</v>
      </c>
      <c r="T28" s="6" t="s">
        <v>24</v>
      </c>
      <c r="U28" s="106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106"/>
      <c r="AC28" s="6" t="s">
        <v>24</v>
      </c>
      <c r="AD28" s="6" t="s">
        <v>24</v>
      </c>
      <c r="AE28" s="6" t="s">
        <v>24</v>
      </c>
      <c r="AF28" s="6" t="s">
        <v>24</v>
      </c>
      <c r="AG28" s="6" t="s">
        <v>24</v>
      </c>
      <c r="AH28" s="6" t="s">
        <v>24</v>
      </c>
      <c r="AI28" s="4">
        <f t="shared" si="1"/>
        <v>1</v>
      </c>
      <c r="AJ28" s="4">
        <f t="shared" si="2"/>
        <v>24</v>
      </c>
    </row>
    <row r="29" spans="1:40" ht="16.5">
      <c r="A29" s="7">
        <v>25</v>
      </c>
      <c r="B29" s="83" t="s">
        <v>320</v>
      </c>
      <c r="C29" s="83" t="s">
        <v>321</v>
      </c>
      <c r="D29" s="5" t="s">
        <v>57</v>
      </c>
      <c r="E29" s="13" t="s">
        <v>25</v>
      </c>
      <c r="F29" s="13" t="s">
        <v>25</v>
      </c>
      <c r="G29" s="106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08"/>
      <c r="N29" s="106"/>
      <c r="O29" s="6" t="s">
        <v>24</v>
      </c>
      <c r="P29" s="6" t="s">
        <v>24</v>
      </c>
      <c r="Q29" s="6" t="s">
        <v>24</v>
      </c>
      <c r="R29" s="6" t="s">
        <v>24</v>
      </c>
      <c r="S29" s="6" t="s">
        <v>25</v>
      </c>
      <c r="T29" s="6" t="s">
        <v>25</v>
      </c>
      <c r="U29" s="106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06"/>
      <c r="AC29" s="6" t="s">
        <v>25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21</v>
      </c>
      <c r="AJ29" s="4">
        <f t="shared" si="2"/>
        <v>4</v>
      </c>
    </row>
    <row r="30" spans="1:40" ht="16.5">
      <c r="A30" s="7">
        <v>26</v>
      </c>
      <c r="B30" s="83" t="s">
        <v>322</v>
      </c>
      <c r="C30" s="83" t="s">
        <v>130</v>
      </c>
      <c r="D30" s="5" t="s">
        <v>57</v>
      </c>
      <c r="E30" s="13" t="s">
        <v>24</v>
      </c>
      <c r="F30" s="13" t="s">
        <v>24</v>
      </c>
      <c r="G30" s="106"/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08"/>
      <c r="N30" s="106"/>
      <c r="O30" s="6" t="s">
        <v>25</v>
      </c>
      <c r="P30" s="6" t="s">
        <v>25</v>
      </c>
      <c r="Q30" s="6" t="s">
        <v>25</v>
      </c>
      <c r="R30" s="6" t="s">
        <v>25</v>
      </c>
      <c r="S30" s="6" t="s">
        <v>25</v>
      </c>
      <c r="T30" s="6" t="s">
        <v>25</v>
      </c>
      <c r="U30" s="106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106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23</v>
      </c>
      <c r="AJ30" s="4">
        <f t="shared" si="2"/>
        <v>2</v>
      </c>
    </row>
    <row r="31" spans="1:40" ht="16.5" customHeight="1">
      <c r="A31" s="7">
        <v>1</v>
      </c>
      <c r="B31" s="83" t="s">
        <v>323</v>
      </c>
      <c r="C31" s="83" t="s">
        <v>113</v>
      </c>
      <c r="D31" s="14" t="s">
        <v>57</v>
      </c>
      <c r="E31" s="13" t="s">
        <v>25</v>
      </c>
      <c r="F31" s="13" t="s">
        <v>25</v>
      </c>
      <c r="G31" s="106"/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08"/>
      <c r="N31" s="106"/>
      <c r="O31" s="6" t="s">
        <v>25</v>
      </c>
      <c r="P31" s="6" t="s">
        <v>25</v>
      </c>
      <c r="Q31" s="6" t="s">
        <v>25</v>
      </c>
      <c r="R31" s="6" t="s">
        <v>25</v>
      </c>
      <c r="S31" s="6" t="s">
        <v>25</v>
      </c>
      <c r="T31" s="6" t="s">
        <v>25</v>
      </c>
      <c r="U31" s="106"/>
      <c r="V31" s="6" t="s">
        <v>25</v>
      </c>
      <c r="W31" s="6" t="s">
        <v>25</v>
      </c>
      <c r="X31" s="6" t="s">
        <v>26</v>
      </c>
      <c r="Y31" s="6" t="s">
        <v>25</v>
      </c>
      <c r="Z31" s="6" t="s">
        <v>25</v>
      </c>
      <c r="AA31" s="6" t="s">
        <v>25</v>
      </c>
      <c r="AB31" s="106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24</v>
      </c>
      <c r="AJ31" s="4">
        <f t="shared" si="2"/>
        <v>0</v>
      </c>
    </row>
    <row r="32" spans="1:40" ht="16.5">
      <c r="A32" s="15">
        <v>2</v>
      </c>
      <c r="B32" s="83" t="s">
        <v>191</v>
      </c>
      <c r="C32" s="83" t="s">
        <v>324</v>
      </c>
      <c r="D32" s="14" t="s">
        <v>57</v>
      </c>
      <c r="E32" s="13" t="s">
        <v>25</v>
      </c>
      <c r="F32" s="13" t="s">
        <v>25</v>
      </c>
      <c r="G32" s="106"/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08"/>
      <c r="N32" s="106"/>
      <c r="O32" s="6" t="s">
        <v>25</v>
      </c>
      <c r="P32" s="6" t="s">
        <v>25</v>
      </c>
      <c r="Q32" s="6" t="s">
        <v>25</v>
      </c>
      <c r="R32" s="6" t="s">
        <v>25</v>
      </c>
      <c r="S32" s="6" t="s">
        <v>25</v>
      </c>
      <c r="T32" s="6" t="s">
        <v>25</v>
      </c>
      <c r="U32" s="106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25</v>
      </c>
      <c r="AB32" s="106"/>
      <c r="AC32" s="6" t="s">
        <v>25</v>
      </c>
      <c r="AD32" s="6" t="s">
        <v>25</v>
      </c>
      <c r="AE32" s="6" t="s">
        <v>25</v>
      </c>
      <c r="AF32" s="6" t="s">
        <v>25</v>
      </c>
      <c r="AG32" s="6" t="s">
        <v>25</v>
      </c>
      <c r="AH32" s="6" t="s">
        <v>25</v>
      </c>
      <c r="AI32" s="4">
        <f t="shared" si="1"/>
        <v>25</v>
      </c>
      <c r="AJ32" s="4">
        <f t="shared" si="2"/>
        <v>0</v>
      </c>
    </row>
    <row r="33" spans="1:36" ht="16.5">
      <c r="A33" s="7">
        <v>3</v>
      </c>
      <c r="B33" s="83" t="s">
        <v>325</v>
      </c>
      <c r="C33" s="83" t="s">
        <v>136</v>
      </c>
      <c r="D33" s="14" t="s">
        <v>57</v>
      </c>
      <c r="E33" s="13" t="s">
        <v>25</v>
      </c>
      <c r="F33" s="13" t="s">
        <v>25</v>
      </c>
      <c r="G33" s="106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08"/>
      <c r="N33" s="106"/>
      <c r="O33" s="6" t="s">
        <v>25</v>
      </c>
      <c r="P33" s="6" t="s">
        <v>25</v>
      </c>
      <c r="Q33" s="6" t="s">
        <v>25</v>
      </c>
      <c r="R33" s="6" t="s">
        <v>25</v>
      </c>
      <c r="S33" s="6" t="s">
        <v>25</v>
      </c>
      <c r="T33" s="6" t="s">
        <v>24</v>
      </c>
      <c r="U33" s="106"/>
      <c r="V33" s="6" t="s">
        <v>25</v>
      </c>
      <c r="W33" s="6" t="s">
        <v>25</v>
      </c>
      <c r="X33" s="6" t="s">
        <v>25</v>
      </c>
      <c r="Y33" s="6" t="s">
        <v>24</v>
      </c>
      <c r="Z33" s="6" t="s">
        <v>25</v>
      </c>
      <c r="AA33" s="6" t="s">
        <v>25</v>
      </c>
      <c r="AB33" s="106"/>
      <c r="AC33" s="6" t="s">
        <v>25</v>
      </c>
      <c r="AD33" s="6" t="s">
        <v>25</v>
      </c>
      <c r="AE33" s="6" t="s">
        <v>25</v>
      </c>
      <c r="AF33" s="6" t="s">
        <v>25</v>
      </c>
      <c r="AG33" s="6" t="s">
        <v>25</v>
      </c>
      <c r="AH33" s="6" t="s">
        <v>24</v>
      </c>
      <c r="AI33" s="4">
        <f t="shared" si="1"/>
        <v>22</v>
      </c>
      <c r="AJ33" s="4">
        <f t="shared" si="2"/>
        <v>3</v>
      </c>
    </row>
    <row r="34" spans="1:36" ht="16.5">
      <c r="A34" s="15">
        <v>4</v>
      </c>
      <c r="B34" s="83" t="s">
        <v>326</v>
      </c>
      <c r="C34" s="83" t="s">
        <v>128</v>
      </c>
      <c r="D34" s="14" t="s">
        <v>57</v>
      </c>
      <c r="E34" s="13" t="s">
        <v>25</v>
      </c>
      <c r="F34" s="13" t="s">
        <v>25</v>
      </c>
      <c r="G34" s="106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08"/>
      <c r="N34" s="106"/>
      <c r="O34" s="6" t="s">
        <v>25</v>
      </c>
      <c r="P34" s="6" t="s">
        <v>25</v>
      </c>
      <c r="Q34" s="6" t="s">
        <v>25</v>
      </c>
      <c r="R34" s="6" t="s">
        <v>25</v>
      </c>
      <c r="S34" s="6" t="s">
        <v>25</v>
      </c>
      <c r="T34" s="6" t="s">
        <v>24</v>
      </c>
      <c r="U34" s="106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06"/>
      <c r="AC34" s="6" t="s">
        <v>25</v>
      </c>
      <c r="AD34" s="6" t="s">
        <v>25</v>
      </c>
      <c r="AE34" s="6" t="s">
        <v>25</v>
      </c>
      <c r="AF34" s="6" t="s">
        <v>25</v>
      </c>
      <c r="AG34" s="6" t="s">
        <v>25</v>
      </c>
      <c r="AH34" s="6" t="s">
        <v>25</v>
      </c>
      <c r="AI34" s="4">
        <f t="shared" si="1"/>
        <v>24</v>
      </c>
      <c r="AJ34" s="4">
        <f t="shared" si="2"/>
        <v>1</v>
      </c>
    </row>
    <row r="35" spans="1:36" ht="16.5">
      <c r="A35" s="7">
        <v>5</v>
      </c>
      <c r="B35" s="83" t="s">
        <v>327</v>
      </c>
      <c r="C35" s="83" t="s">
        <v>328</v>
      </c>
      <c r="D35" s="14" t="s">
        <v>57</v>
      </c>
      <c r="E35" s="13" t="s">
        <v>25</v>
      </c>
      <c r="F35" s="13" t="s">
        <v>25</v>
      </c>
      <c r="G35" s="106"/>
      <c r="H35" s="13" t="s">
        <v>26</v>
      </c>
      <c r="I35" s="13" t="s">
        <v>26</v>
      </c>
      <c r="J35" s="13" t="s">
        <v>26</v>
      </c>
      <c r="K35" s="13" t="s">
        <v>26</v>
      </c>
      <c r="L35" s="13" t="s">
        <v>26</v>
      </c>
      <c r="M35" s="108"/>
      <c r="N35" s="106"/>
      <c r="O35" s="6" t="s">
        <v>26</v>
      </c>
      <c r="P35" s="6" t="s">
        <v>26</v>
      </c>
      <c r="Q35" s="6" t="s">
        <v>26</v>
      </c>
      <c r="R35" s="6" t="s">
        <v>26</v>
      </c>
      <c r="S35" s="6" t="s">
        <v>26</v>
      </c>
      <c r="T35" s="6" t="s">
        <v>26</v>
      </c>
      <c r="U35" s="106"/>
      <c r="V35" s="6" t="s">
        <v>26</v>
      </c>
      <c r="W35" s="6" t="s">
        <v>26</v>
      </c>
      <c r="X35" s="6" t="s">
        <v>26</v>
      </c>
      <c r="Y35" s="6" t="s">
        <v>24</v>
      </c>
      <c r="Z35" s="6" t="s">
        <v>24</v>
      </c>
      <c r="AA35" s="6" t="s">
        <v>24</v>
      </c>
      <c r="AB35" s="106"/>
      <c r="AC35" s="6" t="s">
        <v>24</v>
      </c>
      <c r="AD35" s="6" t="s">
        <v>24</v>
      </c>
      <c r="AE35" s="6" t="s">
        <v>24</v>
      </c>
      <c r="AF35" s="6" t="s">
        <v>24</v>
      </c>
      <c r="AG35" s="6" t="s">
        <v>24</v>
      </c>
      <c r="AH35" s="6" t="s">
        <v>24</v>
      </c>
      <c r="AI35" s="4">
        <f t="shared" si="1"/>
        <v>2</v>
      </c>
      <c r="AJ35" s="4">
        <f t="shared" si="2"/>
        <v>9</v>
      </c>
    </row>
    <row r="36" spans="1:36" ht="16.5">
      <c r="A36" s="15">
        <v>6</v>
      </c>
      <c r="B36" s="83" t="s">
        <v>37</v>
      </c>
      <c r="C36" s="83" t="s">
        <v>166</v>
      </c>
      <c r="D36" s="14" t="s">
        <v>57</v>
      </c>
      <c r="E36" s="13" t="s">
        <v>25</v>
      </c>
      <c r="F36" s="13" t="s">
        <v>25</v>
      </c>
      <c r="G36" s="106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08"/>
      <c r="N36" s="106"/>
      <c r="O36" s="6" t="s">
        <v>25</v>
      </c>
      <c r="P36" s="6" t="s">
        <v>25</v>
      </c>
      <c r="Q36" s="6" t="s">
        <v>25</v>
      </c>
      <c r="R36" s="6" t="s">
        <v>25</v>
      </c>
      <c r="S36" s="6" t="s">
        <v>25</v>
      </c>
      <c r="T36" s="6" t="s">
        <v>25</v>
      </c>
      <c r="U36" s="106"/>
      <c r="V36" s="6" t="s">
        <v>25</v>
      </c>
      <c r="W36" s="6" t="s">
        <v>25</v>
      </c>
      <c r="X36" s="6" t="s">
        <v>25</v>
      </c>
      <c r="Y36" s="6" t="s">
        <v>25</v>
      </c>
      <c r="Z36" s="6" t="s">
        <v>25</v>
      </c>
      <c r="AA36" s="6" t="s">
        <v>25</v>
      </c>
      <c r="AB36" s="106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25</v>
      </c>
      <c r="AJ36" s="4">
        <f t="shared" si="2"/>
        <v>0</v>
      </c>
    </row>
    <row r="37" spans="1:36" ht="16.5">
      <c r="A37" s="7">
        <v>7</v>
      </c>
      <c r="B37" s="83" t="s">
        <v>329</v>
      </c>
      <c r="C37" s="83" t="s">
        <v>330</v>
      </c>
      <c r="D37" s="14" t="s">
        <v>57</v>
      </c>
      <c r="E37" s="13" t="s">
        <v>25</v>
      </c>
      <c r="F37" s="13" t="s">
        <v>25</v>
      </c>
      <c r="G37" s="106"/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08"/>
      <c r="N37" s="106"/>
      <c r="O37" s="6" t="s">
        <v>25</v>
      </c>
      <c r="P37" s="6" t="s">
        <v>25</v>
      </c>
      <c r="Q37" s="6" t="s">
        <v>25</v>
      </c>
      <c r="R37" s="6" t="s">
        <v>25</v>
      </c>
      <c r="S37" s="6" t="s">
        <v>25</v>
      </c>
      <c r="T37" s="6" t="s">
        <v>24</v>
      </c>
      <c r="U37" s="106"/>
      <c r="V37" s="6" t="s">
        <v>25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06"/>
      <c r="AC37" s="6" t="s">
        <v>24</v>
      </c>
      <c r="AD37" s="6" t="s">
        <v>25</v>
      </c>
      <c r="AE37" s="6" t="s">
        <v>25</v>
      </c>
      <c r="AF37" s="6" t="s">
        <v>24</v>
      </c>
      <c r="AG37" s="6" t="s">
        <v>25</v>
      </c>
      <c r="AH37" s="6" t="s">
        <v>25</v>
      </c>
      <c r="AI37" s="4">
        <f t="shared" si="1"/>
        <v>22</v>
      </c>
      <c r="AJ37" s="4">
        <f t="shared" si="2"/>
        <v>3</v>
      </c>
    </row>
    <row r="38" spans="1:36" ht="16.5">
      <c r="A38" s="15">
        <v>8</v>
      </c>
      <c r="B38" s="83" t="s">
        <v>331</v>
      </c>
      <c r="C38" s="83" t="s">
        <v>332</v>
      </c>
      <c r="D38" s="14" t="s">
        <v>57</v>
      </c>
      <c r="E38" s="13" t="s">
        <v>25</v>
      </c>
      <c r="F38" s="13" t="s">
        <v>25</v>
      </c>
      <c r="G38" s="106"/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08"/>
      <c r="N38" s="106"/>
      <c r="O38" s="6" t="s">
        <v>25</v>
      </c>
      <c r="P38" s="6" t="s">
        <v>25</v>
      </c>
      <c r="Q38" s="6" t="s">
        <v>25</v>
      </c>
      <c r="R38" s="6" t="s">
        <v>25</v>
      </c>
      <c r="S38" s="6" t="s">
        <v>25</v>
      </c>
      <c r="T38" s="6" t="s">
        <v>25</v>
      </c>
      <c r="U38" s="106"/>
      <c r="V38" s="6" t="s">
        <v>24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06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24</v>
      </c>
      <c r="AJ38" s="4">
        <f t="shared" si="2"/>
        <v>1</v>
      </c>
    </row>
    <row r="39" spans="1:36" ht="16.5">
      <c r="A39" s="7">
        <v>9</v>
      </c>
      <c r="B39" s="83" t="s">
        <v>333</v>
      </c>
      <c r="C39" s="83" t="s">
        <v>126</v>
      </c>
      <c r="D39" s="14" t="s">
        <v>57</v>
      </c>
      <c r="E39" s="13" t="s">
        <v>25</v>
      </c>
      <c r="F39" s="13" t="s">
        <v>25</v>
      </c>
      <c r="G39" s="106"/>
      <c r="H39" s="13" t="s">
        <v>25</v>
      </c>
      <c r="I39" s="13" t="s">
        <v>24</v>
      </c>
      <c r="J39" s="13" t="s">
        <v>25</v>
      </c>
      <c r="K39" s="13" t="s">
        <v>25</v>
      </c>
      <c r="L39" s="13" t="s">
        <v>25</v>
      </c>
      <c r="M39" s="108"/>
      <c r="N39" s="106"/>
      <c r="O39" s="6" t="s">
        <v>25</v>
      </c>
      <c r="P39" s="6" t="s">
        <v>25</v>
      </c>
      <c r="Q39" s="6" t="s">
        <v>25</v>
      </c>
      <c r="R39" s="6" t="s">
        <v>24</v>
      </c>
      <c r="S39" s="6" t="s">
        <v>25</v>
      </c>
      <c r="T39" s="6" t="s">
        <v>25</v>
      </c>
      <c r="U39" s="106"/>
      <c r="V39" s="6" t="s">
        <v>25</v>
      </c>
      <c r="W39" s="6" t="s">
        <v>25</v>
      </c>
      <c r="X39" s="6" t="s">
        <v>25</v>
      </c>
      <c r="Y39" s="6" t="s">
        <v>24</v>
      </c>
      <c r="Z39" s="6" t="s">
        <v>25</v>
      </c>
      <c r="AA39" s="6" t="s">
        <v>25</v>
      </c>
      <c r="AB39" s="106"/>
      <c r="AC39" s="6" t="s">
        <v>25</v>
      </c>
      <c r="AD39" s="6" t="s">
        <v>25</v>
      </c>
      <c r="AE39" s="6" t="s">
        <v>25</v>
      </c>
      <c r="AF39" s="6" t="s">
        <v>25</v>
      </c>
      <c r="AG39" s="6" t="s">
        <v>25</v>
      </c>
      <c r="AH39" s="6" t="s">
        <v>25</v>
      </c>
      <c r="AI39" s="4">
        <f t="shared" si="1"/>
        <v>22</v>
      </c>
      <c r="AJ39" s="4">
        <f t="shared" si="2"/>
        <v>3</v>
      </c>
    </row>
    <row r="40" spans="1:36" ht="16.5">
      <c r="A40" s="15">
        <v>10</v>
      </c>
      <c r="B40" s="83" t="s">
        <v>334</v>
      </c>
      <c r="C40" s="83" t="s">
        <v>335</v>
      </c>
      <c r="D40" s="14" t="s">
        <v>57</v>
      </c>
      <c r="E40" s="13" t="s">
        <v>25</v>
      </c>
      <c r="F40" s="13" t="s">
        <v>25</v>
      </c>
      <c r="G40" s="106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08"/>
      <c r="N40" s="106"/>
      <c r="O40" s="6" t="s">
        <v>25</v>
      </c>
      <c r="P40" s="6" t="s">
        <v>25</v>
      </c>
      <c r="Q40" s="6" t="s">
        <v>25</v>
      </c>
      <c r="R40" s="6" t="s">
        <v>25</v>
      </c>
      <c r="S40" s="6" t="s">
        <v>25</v>
      </c>
      <c r="T40" s="6" t="s">
        <v>25</v>
      </c>
      <c r="U40" s="106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06"/>
      <c r="AC40" s="6" t="s">
        <v>25</v>
      </c>
      <c r="AD40" s="6" t="s">
        <v>25</v>
      </c>
      <c r="AE40" s="6" t="s">
        <v>25</v>
      </c>
      <c r="AF40" s="6" t="s">
        <v>25</v>
      </c>
      <c r="AG40" s="6" t="s">
        <v>25</v>
      </c>
      <c r="AH40" s="6" t="s">
        <v>25</v>
      </c>
      <c r="AI40" s="4">
        <f t="shared" si="1"/>
        <v>25</v>
      </c>
      <c r="AJ40" s="4">
        <f t="shared" si="2"/>
        <v>0</v>
      </c>
    </row>
    <row r="41" spans="1:36" ht="16.5">
      <c r="A41" s="7">
        <v>11</v>
      </c>
      <c r="B41" s="83" t="s">
        <v>336</v>
      </c>
      <c r="C41" s="83" t="s">
        <v>256</v>
      </c>
      <c r="D41" s="14" t="s">
        <v>57</v>
      </c>
      <c r="E41" s="13" t="s">
        <v>25</v>
      </c>
      <c r="F41" s="13" t="s">
        <v>25</v>
      </c>
      <c r="G41" s="106"/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08"/>
      <c r="N41" s="106"/>
      <c r="O41" s="6" t="s">
        <v>25</v>
      </c>
      <c r="P41" s="6" t="s">
        <v>25</v>
      </c>
      <c r="Q41" s="6" t="s">
        <v>25</v>
      </c>
      <c r="R41" s="6" t="s">
        <v>24</v>
      </c>
      <c r="S41" s="6" t="s">
        <v>25</v>
      </c>
      <c r="T41" s="6" t="s">
        <v>25</v>
      </c>
      <c r="U41" s="106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06"/>
      <c r="AC41" s="6" t="s">
        <v>25</v>
      </c>
      <c r="AD41" s="6" t="s">
        <v>25</v>
      </c>
      <c r="AE41" s="6" t="s">
        <v>25</v>
      </c>
      <c r="AF41" s="6" t="s">
        <v>25</v>
      </c>
      <c r="AG41" s="6" t="s">
        <v>25</v>
      </c>
      <c r="AH41" s="6" t="s">
        <v>25</v>
      </c>
      <c r="AI41" s="4">
        <f t="shared" si="1"/>
        <v>24</v>
      </c>
      <c r="AJ41" s="4">
        <f t="shared" si="2"/>
        <v>1</v>
      </c>
    </row>
    <row r="42" spans="1:36" ht="16.5">
      <c r="A42" s="15">
        <v>12</v>
      </c>
      <c r="B42" s="84" t="s">
        <v>337</v>
      </c>
      <c r="C42" s="84" t="s">
        <v>338</v>
      </c>
      <c r="D42" s="14" t="s">
        <v>57</v>
      </c>
      <c r="E42" s="13" t="s">
        <v>25</v>
      </c>
      <c r="F42" s="13" t="s">
        <v>25</v>
      </c>
      <c r="G42" s="106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08"/>
      <c r="N42" s="106"/>
      <c r="O42" s="6" t="s">
        <v>25</v>
      </c>
      <c r="P42" s="6" t="s">
        <v>25</v>
      </c>
      <c r="Q42" s="6" t="s">
        <v>25</v>
      </c>
      <c r="R42" s="6" t="s">
        <v>25</v>
      </c>
      <c r="S42" s="6" t="s">
        <v>25</v>
      </c>
      <c r="T42" s="6" t="s">
        <v>25</v>
      </c>
      <c r="U42" s="106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06"/>
      <c r="AC42" s="6" t="s">
        <v>25</v>
      </c>
      <c r="AD42" s="6" t="s">
        <v>25</v>
      </c>
      <c r="AE42" s="6" t="s">
        <v>25</v>
      </c>
      <c r="AF42" s="6" t="s">
        <v>25</v>
      </c>
      <c r="AG42" s="6" t="s">
        <v>25</v>
      </c>
      <c r="AH42" s="6" t="s">
        <v>25</v>
      </c>
      <c r="AI42" s="4">
        <f t="shared" si="1"/>
        <v>25</v>
      </c>
      <c r="AJ42" s="4">
        <f t="shared" si="2"/>
        <v>0</v>
      </c>
    </row>
    <row r="43" spans="1:36" ht="16.5">
      <c r="A43" s="7">
        <v>13</v>
      </c>
      <c r="B43" s="84" t="s">
        <v>339</v>
      </c>
      <c r="C43" s="84" t="s">
        <v>309</v>
      </c>
      <c r="D43" s="14" t="s">
        <v>57</v>
      </c>
      <c r="E43" s="13" t="s">
        <v>25</v>
      </c>
      <c r="F43" s="13" t="s">
        <v>25</v>
      </c>
      <c r="G43" s="106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08"/>
      <c r="N43" s="106"/>
      <c r="O43" s="6" t="s">
        <v>25</v>
      </c>
      <c r="P43" s="6" t="s">
        <v>25</v>
      </c>
      <c r="Q43" s="6" t="s">
        <v>25</v>
      </c>
      <c r="R43" s="6" t="s">
        <v>25</v>
      </c>
      <c r="S43" s="6" t="s">
        <v>25</v>
      </c>
      <c r="T43" s="6" t="s">
        <v>25</v>
      </c>
      <c r="U43" s="106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06"/>
      <c r="AC43" s="6" t="s">
        <v>25</v>
      </c>
      <c r="AD43" s="6" t="s">
        <v>25</v>
      </c>
      <c r="AE43" s="6" t="s">
        <v>25</v>
      </c>
      <c r="AF43" s="6" t="s">
        <v>25</v>
      </c>
      <c r="AG43" s="6" t="s">
        <v>25</v>
      </c>
      <c r="AH43" s="6" t="s">
        <v>25</v>
      </c>
      <c r="AI43" s="4">
        <f t="shared" si="1"/>
        <v>25</v>
      </c>
      <c r="AJ43" s="4">
        <f t="shared" si="2"/>
        <v>0</v>
      </c>
    </row>
    <row r="44" spans="1:36" ht="16.5">
      <c r="A44" s="15">
        <v>14</v>
      </c>
      <c r="B44" s="84" t="s">
        <v>340</v>
      </c>
      <c r="C44" s="84" t="s">
        <v>90</v>
      </c>
      <c r="D44" s="14" t="s">
        <v>57</v>
      </c>
      <c r="E44" s="13" t="s">
        <v>24</v>
      </c>
      <c r="F44" s="13" t="s">
        <v>25</v>
      </c>
      <c r="G44" s="106"/>
      <c r="H44" s="13" t="s">
        <v>25</v>
      </c>
      <c r="I44" s="13" t="s">
        <v>24</v>
      </c>
      <c r="J44" s="13" t="s">
        <v>25</v>
      </c>
      <c r="K44" s="13" t="s">
        <v>25</v>
      </c>
      <c r="L44" s="13" t="s">
        <v>25</v>
      </c>
      <c r="M44" s="108"/>
      <c r="N44" s="106"/>
      <c r="O44" s="6" t="s">
        <v>25</v>
      </c>
      <c r="P44" s="6" t="s">
        <v>24</v>
      </c>
      <c r="Q44" s="6" t="s">
        <v>25</v>
      </c>
      <c r="R44" s="6" t="s">
        <v>25</v>
      </c>
      <c r="S44" s="6" t="s">
        <v>25</v>
      </c>
      <c r="T44" s="6" t="s">
        <v>25</v>
      </c>
      <c r="U44" s="106"/>
      <c r="V44" s="6" t="s">
        <v>24</v>
      </c>
      <c r="W44" s="6" t="s">
        <v>25</v>
      </c>
      <c r="X44" s="6" t="s">
        <v>25</v>
      </c>
      <c r="Y44" s="6" t="s">
        <v>25</v>
      </c>
      <c r="Z44" s="6" t="s">
        <v>24</v>
      </c>
      <c r="AA44" s="6" t="s">
        <v>24</v>
      </c>
      <c r="AB44" s="106"/>
      <c r="AC44" s="6" t="s">
        <v>24</v>
      </c>
      <c r="AD44" s="6" t="s">
        <v>24</v>
      </c>
      <c r="AE44" s="6" t="s">
        <v>25</v>
      </c>
      <c r="AF44" s="6" t="s">
        <v>24</v>
      </c>
      <c r="AG44" s="6" t="s">
        <v>24</v>
      </c>
      <c r="AH44" s="6" t="s">
        <v>24</v>
      </c>
      <c r="AI44" s="4">
        <f t="shared" si="1"/>
        <v>14</v>
      </c>
      <c r="AJ44" s="4">
        <f t="shared" si="2"/>
        <v>11</v>
      </c>
    </row>
    <row r="45" spans="1:36" ht="16.5">
      <c r="A45" s="7">
        <v>15</v>
      </c>
      <c r="B45" s="84" t="s">
        <v>87</v>
      </c>
      <c r="C45" s="84" t="s">
        <v>90</v>
      </c>
      <c r="D45" s="14" t="s">
        <v>57</v>
      </c>
      <c r="E45" s="13" t="s">
        <v>25</v>
      </c>
      <c r="F45" s="13" t="s">
        <v>25</v>
      </c>
      <c r="G45" s="106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08"/>
      <c r="N45" s="106"/>
      <c r="O45" s="6" t="s">
        <v>25</v>
      </c>
      <c r="P45" s="6" t="s">
        <v>25</v>
      </c>
      <c r="Q45" s="6" t="s">
        <v>24</v>
      </c>
      <c r="R45" s="6" t="s">
        <v>25</v>
      </c>
      <c r="S45" s="6" t="s">
        <v>25</v>
      </c>
      <c r="T45" s="6" t="s">
        <v>25</v>
      </c>
      <c r="U45" s="106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25</v>
      </c>
      <c r="AB45" s="106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25</v>
      </c>
      <c r="AI45" s="4">
        <f t="shared" si="1"/>
        <v>23</v>
      </c>
      <c r="AJ45" s="4">
        <f t="shared" si="2"/>
        <v>2</v>
      </c>
    </row>
    <row r="46" spans="1:36" ht="16.5">
      <c r="A46" s="15">
        <v>16</v>
      </c>
      <c r="B46" s="84" t="s">
        <v>341</v>
      </c>
      <c r="C46" s="84" t="s">
        <v>338</v>
      </c>
      <c r="D46" s="14" t="s">
        <v>57</v>
      </c>
      <c r="E46" s="13" t="s">
        <v>25</v>
      </c>
      <c r="F46" s="13" t="s">
        <v>25</v>
      </c>
      <c r="G46" s="106"/>
      <c r="H46" s="13" t="s">
        <v>25</v>
      </c>
      <c r="I46" s="13" t="s">
        <v>25</v>
      </c>
      <c r="J46" s="13" t="s">
        <v>25</v>
      </c>
      <c r="K46" s="13" t="s">
        <v>25</v>
      </c>
      <c r="L46" s="13" t="s">
        <v>25</v>
      </c>
      <c r="M46" s="108"/>
      <c r="N46" s="106"/>
      <c r="O46" s="6" t="s">
        <v>25</v>
      </c>
      <c r="P46" s="6" t="s">
        <v>25</v>
      </c>
      <c r="Q46" s="6" t="s">
        <v>25</v>
      </c>
      <c r="R46" s="6" t="s">
        <v>25</v>
      </c>
      <c r="S46" s="6" t="s">
        <v>25</v>
      </c>
      <c r="T46" s="6" t="s">
        <v>25</v>
      </c>
      <c r="U46" s="106"/>
      <c r="V46" s="6" t="s">
        <v>25</v>
      </c>
      <c r="W46" s="6" t="s">
        <v>25</v>
      </c>
      <c r="X46" s="6" t="s">
        <v>24</v>
      </c>
      <c r="Y46" s="6" t="s">
        <v>25</v>
      </c>
      <c r="Z46" s="6" t="s">
        <v>25</v>
      </c>
      <c r="AA46" s="6" t="s">
        <v>25</v>
      </c>
      <c r="AB46" s="106"/>
      <c r="AC46" s="6" t="s">
        <v>25</v>
      </c>
      <c r="AD46" s="6" t="s">
        <v>25</v>
      </c>
      <c r="AE46" s="6" t="s">
        <v>25</v>
      </c>
      <c r="AF46" s="6" t="s">
        <v>25</v>
      </c>
      <c r="AG46" s="6" t="s">
        <v>25</v>
      </c>
      <c r="AH46" s="6" t="s">
        <v>25</v>
      </c>
      <c r="AI46" s="4">
        <f t="shared" si="1"/>
        <v>24</v>
      </c>
      <c r="AJ46" s="4">
        <f t="shared" si="2"/>
        <v>1</v>
      </c>
    </row>
    <row r="47" spans="1:36" ht="16.5">
      <c r="A47" s="7">
        <v>17</v>
      </c>
      <c r="B47" s="84" t="s">
        <v>342</v>
      </c>
      <c r="C47" s="84" t="s">
        <v>343</v>
      </c>
      <c r="D47" s="14" t="s">
        <v>57</v>
      </c>
      <c r="E47" s="13" t="s">
        <v>25</v>
      </c>
      <c r="F47" s="13" t="s">
        <v>24</v>
      </c>
      <c r="G47" s="106"/>
      <c r="H47" s="13" t="s">
        <v>25</v>
      </c>
      <c r="I47" s="13" t="s">
        <v>25</v>
      </c>
      <c r="J47" s="13" t="s">
        <v>25</v>
      </c>
      <c r="K47" s="13" t="s">
        <v>25</v>
      </c>
      <c r="L47" s="13" t="s">
        <v>25</v>
      </c>
      <c r="M47" s="108"/>
      <c r="N47" s="106"/>
      <c r="O47" s="6" t="s">
        <v>25</v>
      </c>
      <c r="P47" s="6" t="s">
        <v>25</v>
      </c>
      <c r="Q47" s="6" t="s">
        <v>25</v>
      </c>
      <c r="R47" s="6" t="s">
        <v>25</v>
      </c>
      <c r="S47" s="6" t="s">
        <v>25</v>
      </c>
      <c r="T47" s="6" t="s">
        <v>24</v>
      </c>
      <c r="U47" s="106"/>
      <c r="V47" s="6" t="s">
        <v>25</v>
      </c>
      <c r="W47" s="6" t="s">
        <v>25</v>
      </c>
      <c r="X47" s="6" t="s">
        <v>25</v>
      </c>
      <c r="Y47" s="6" t="s">
        <v>25</v>
      </c>
      <c r="Z47" s="6" t="s">
        <v>25</v>
      </c>
      <c r="AA47" s="6" t="s">
        <v>25</v>
      </c>
      <c r="AB47" s="106"/>
      <c r="AC47" s="6" t="s">
        <v>25</v>
      </c>
      <c r="AD47" s="6" t="s">
        <v>25</v>
      </c>
      <c r="AE47" s="6" t="s">
        <v>25</v>
      </c>
      <c r="AF47" s="6" t="s">
        <v>25</v>
      </c>
      <c r="AG47" s="6" t="s">
        <v>25</v>
      </c>
      <c r="AH47" s="6" t="s">
        <v>25</v>
      </c>
      <c r="AI47" s="4">
        <f t="shared" si="1"/>
        <v>23</v>
      </c>
      <c r="AJ47" s="4">
        <f t="shared" si="2"/>
        <v>2</v>
      </c>
    </row>
    <row r="48" spans="1:36" ht="16.5">
      <c r="A48" s="15">
        <v>18</v>
      </c>
      <c r="B48" s="84" t="s">
        <v>94</v>
      </c>
      <c r="C48" s="84" t="s">
        <v>212</v>
      </c>
      <c r="D48" s="14" t="s">
        <v>57</v>
      </c>
      <c r="E48" s="13" t="s">
        <v>24</v>
      </c>
      <c r="F48" s="13" t="s">
        <v>25</v>
      </c>
      <c r="G48" s="106"/>
      <c r="H48" s="13" t="s">
        <v>25</v>
      </c>
      <c r="I48" s="13" t="s">
        <v>24</v>
      </c>
      <c r="J48" s="13" t="s">
        <v>25</v>
      </c>
      <c r="K48" s="13" t="s">
        <v>25</v>
      </c>
      <c r="L48" s="13" t="s">
        <v>25</v>
      </c>
      <c r="M48" s="108"/>
      <c r="N48" s="106"/>
      <c r="O48" s="6" t="s">
        <v>25</v>
      </c>
      <c r="P48" s="6" t="s">
        <v>25</v>
      </c>
      <c r="Q48" s="6" t="s">
        <v>25</v>
      </c>
      <c r="R48" s="6" t="s">
        <v>24</v>
      </c>
      <c r="S48" s="6" t="s">
        <v>25</v>
      </c>
      <c r="T48" s="6" t="s">
        <v>24</v>
      </c>
      <c r="U48" s="106"/>
      <c r="V48" s="6" t="s">
        <v>25</v>
      </c>
      <c r="W48" s="6" t="s">
        <v>25</v>
      </c>
      <c r="X48" s="6" t="s">
        <v>25</v>
      </c>
      <c r="Y48" s="6" t="s">
        <v>25</v>
      </c>
      <c r="Z48" s="6" t="s">
        <v>24</v>
      </c>
      <c r="AA48" s="6" t="s">
        <v>25</v>
      </c>
      <c r="AB48" s="106"/>
      <c r="AC48" s="6" t="s">
        <v>25</v>
      </c>
      <c r="AD48" s="6" t="s">
        <v>25</v>
      </c>
      <c r="AE48" s="6" t="s">
        <v>24</v>
      </c>
      <c r="AF48" s="6" t="s">
        <v>25</v>
      </c>
      <c r="AG48" s="6" t="s">
        <v>25</v>
      </c>
      <c r="AH48" s="6" t="s">
        <v>25</v>
      </c>
      <c r="AI48" s="4">
        <f t="shared" si="1"/>
        <v>19</v>
      </c>
      <c r="AJ48" s="4">
        <f t="shared" si="2"/>
        <v>6</v>
      </c>
    </row>
    <row r="49" spans="1:36" ht="16.5">
      <c r="A49" s="7">
        <v>19</v>
      </c>
      <c r="B49" s="84" t="s">
        <v>84</v>
      </c>
      <c r="C49" s="84" t="s">
        <v>136</v>
      </c>
      <c r="D49" s="14" t="s">
        <v>57</v>
      </c>
      <c r="E49" s="13" t="s">
        <v>25</v>
      </c>
      <c r="F49" s="13" t="s">
        <v>25</v>
      </c>
      <c r="G49" s="106"/>
      <c r="H49" s="13" t="s">
        <v>25</v>
      </c>
      <c r="I49" s="13" t="s">
        <v>25</v>
      </c>
      <c r="J49" s="13" t="s">
        <v>25</v>
      </c>
      <c r="K49" s="13" t="s">
        <v>25</v>
      </c>
      <c r="L49" s="13" t="s">
        <v>25</v>
      </c>
      <c r="M49" s="108"/>
      <c r="N49" s="106"/>
      <c r="O49" s="6" t="s">
        <v>25</v>
      </c>
      <c r="P49" s="6" t="s">
        <v>25</v>
      </c>
      <c r="Q49" s="6" t="s">
        <v>25</v>
      </c>
      <c r="R49" s="6" t="s">
        <v>25</v>
      </c>
      <c r="S49" s="6" t="s">
        <v>24</v>
      </c>
      <c r="T49" s="6" t="s">
        <v>25</v>
      </c>
      <c r="U49" s="106"/>
      <c r="V49" s="6" t="s">
        <v>25</v>
      </c>
      <c r="W49" s="6" t="s">
        <v>25</v>
      </c>
      <c r="X49" s="6" t="s">
        <v>25</v>
      </c>
      <c r="Y49" s="6" t="s">
        <v>25</v>
      </c>
      <c r="Z49" s="6" t="s">
        <v>25</v>
      </c>
      <c r="AA49" s="6" t="s">
        <v>25</v>
      </c>
      <c r="AB49" s="106"/>
      <c r="AC49" s="6" t="s">
        <v>25</v>
      </c>
      <c r="AD49" s="6" t="s">
        <v>25</v>
      </c>
      <c r="AE49" s="6" t="s">
        <v>25</v>
      </c>
      <c r="AF49" s="6" t="s">
        <v>25</v>
      </c>
      <c r="AG49" s="6" t="s">
        <v>25</v>
      </c>
      <c r="AH49" s="6" t="s">
        <v>24</v>
      </c>
      <c r="AI49" s="4">
        <f t="shared" si="1"/>
        <v>23</v>
      </c>
      <c r="AJ49" s="4">
        <f t="shared" si="2"/>
        <v>2</v>
      </c>
    </row>
    <row r="50" spans="1:36" ht="16.5">
      <c r="A50" s="15">
        <v>20</v>
      </c>
      <c r="B50" s="84" t="s">
        <v>344</v>
      </c>
      <c r="C50" s="84" t="s">
        <v>225</v>
      </c>
      <c r="D50" s="14" t="s">
        <v>57</v>
      </c>
      <c r="E50" s="13" t="s">
        <v>25</v>
      </c>
      <c r="F50" s="13" t="s">
        <v>25</v>
      </c>
      <c r="G50" s="106"/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08"/>
      <c r="N50" s="106"/>
      <c r="O50" s="6" t="s">
        <v>25</v>
      </c>
      <c r="P50" s="6" t="s">
        <v>25</v>
      </c>
      <c r="Q50" s="6" t="s">
        <v>25</v>
      </c>
      <c r="R50" s="6" t="s">
        <v>25</v>
      </c>
      <c r="S50" s="6" t="s">
        <v>25</v>
      </c>
      <c r="T50" s="6" t="s">
        <v>25</v>
      </c>
      <c r="U50" s="106"/>
      <c r="V50" s="6" t="s">
        <v>25</v>
      </c>
      <c r="W50" s="6" t="s">
        <v>25</v>
      </c>
      <c r="X50" s="6" t="s">
        <v>25</v>
      </c>
      <c r="Y50" s="6" t="s">
        <v>25</v>
      </c>
      <c r="Z50" s="6" t="s">
        <v>25</v>
      </c>
      <c r="AA50" s="6" t="s">
        <v>25</v>
      </c>
      <c r="AB50" s="106"/>
      <c r="AC50" s="6" t="s">
        <v>25</v>
      </c>
      <c r="AD50" s="6" t="s">
        <v>25</v>
      </c>
      <c r="AE50" s="6" t="s">
        <v>25</v>
      </c>
      <c r="AF50" s="6" t="s">
        <v>25</v>
      </c>
      <c r="AG50" s="6" t="s">
        <v>25</v>
      </c>
      <c r="AH50" s="6" t="s">
        <v>25</v>
      </c>
      <c r="AI50" s="4">
        <f t="shared" si="1"/>
        <v>25</v>
      </c>
      <c r="AJ50" s="4">
        <f t="shared" si="2"/>
        <v>0</v>
      </c>
    </row>
    <row r="51" spans="1:36" ht="16.5">
      <c r="A51" s="7">
        <v>21</v>
      </c>
      <c r="B51" s="84" t="s">
        <v>345</v>
      </c>
      <c r="C51" s="84" t="s">
        <v>346</v>
      </c>
      <c r="D51" s="14" t="s">
        <v>57</v>
      </c>
      <c r="E51" s="13" t="s">
        <v>25</v>
      </c>
      <c r="F51" s="13" t="s">
        <v>25</v>
      </c>
      <c r="G51" s="106"/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08"/>
      <c r="N51" s="106"/>
      <c r="O51" s="6" t="s">
        <v>25</v>
      </c>
      <c r="P51" s="6" t="s">
        <v>25</v>
      </c>
      <c r="Q51" s="6" t="s">
        <v>25</v>
      </c>
      <c r="R51" s="6" t="s">
        <v>25</v>
      </c>
      <c r="S51" s="6" t="s">
        <v>24</v>
      </c>
      <c r="T51" s="6" t="s">
        <v>25</v>
      </c>
      <c r="U51" s="106"/>
      <c r="V51" s="6" t="s">
        <v>25</v>
      </c>
      <c r="W51" s="6" t="s">
        <v>25</v>
      </c>
      <c r="X51" s="6" t="s">
        <v>25</v>
      </c>
      <c r="Y51" s="6" t="s">
        <v>25</v>
      </c>
      <c r="Z51" s="6" t="s">
        <v>25</v>
      </c>
      <c r="AA51" s="6" t="s">
        <v>25</v>
      </c>
      <c r="AB51" s="106"/>
      <c r="AC51" s="6" t="s">
        <v>25</v>
      </c>
      <c r="AD51" s="6" t="s">
        <v>25</v>
      </c>
      <c r="AE51" s="6" t="s">
        <v>25</v>
      </c>
      <c r="AF51" s="6" t="s">
        <v>25</v>
      </c>
      <c r="AG51" s="6" t="s">
        <v>25</v>
      </c>
      <c r="AH51" s="6" t="s">
        <v>25</v>
      </c>
      <c r="AI51" s="4">
        <f t="shared" si="1"/>
        <v>24</v>
      </c>
      <c r="AJ51" s="4">
        <f t="shared" si="2"/>
        <v>1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51"/>
    <mergeCell ref="M5:M51"/>
    <mergeCell ref="N5:N51"/>
    <mergeCell ref="U5:U51"/>
    <mergeCell ref="AB5:AB51"/>
    <mergeCell ref="AK11:AN11"/>
    <mergeCell ref="AK19:AN19"/>
  </mergeCells>
  <conditionalFormatting sqref="E31:F51 H31:L51">
    <cfRule type="cellIs" dxfId="94" priority="22" operator="equal">
      <formula>"L"</formula>
    </cfRule>
    <cfRule type="cellIs" dxfId="93" priority="23" operator="equal">
      <formula>"A"</formula>
    </cfRule>
    <cfRule type="cellIs" dxfId="92" priority="24" operator="equal">
      <formula>"P"</formula>
    </cfRule>
    <cfRule type="expression" dxfId="91" priority="25">
      <formula>IF(E$4=TODAY(),TRUE,FALSE)</formula>
    </cfRule>
    <cfRule type="expression" dxfId="90" priority="26">
      <formula>E$3="Sun"</formula>
    </cfRule>
  </conditionalFormatting>
  <conditionalFormatting sqref="E5:T5 AC5:AH30 E6:F30 H6:L30 O6:T30 E3:AH4 V5:AA30">
    <cfRule type="expression" dxfId="89" priority="42">
      <formula>E$3="Sun"</formula>
    </cfRule>
  </conditionalFormatting>
  <conditionalFormatting sqref="E5:T5 AC5:AH30 E6:F30 H6:L30 O6:T30 V5:AA30">
    <cfRule type="cellIs" dxfId="88" priority="34" operator="equal">
      <formula>"L"</formula>
    </cfRule>
    <cfRule type="cellIs" dxfId="87" priority="35" operator="equal">
      <formula>"A"</formula>
    </cfRule>
    <cfRule type="cellIs" dxfId="86" priority="36" operator="equal">
      <formula>"P"</formula>
    </cfRule>
  </conditionalFormatting>
  <conditionalFormatting sqref="E3:AH4 E5:N5 O5:T30 V5:AA30 AC5:AH30 E6:F30 H6:L30">
    <cfRule type="expression" dxfId="85" priority="33">
      <formula>E$4=TODAY()</formula>
    </cfRule>
  </conditionalFormatting>
  <conditionalFormatting sqref="O31:T51">
    <cfRule type="cellIs" dxfId="84" priority="27" operator="equal">
      <formula>"L"</formula>
    </cfRule>
    <cfRule type="cellIs" dxfId="83" priority="28" operator="equal">
      <formula>"A"</formula>
    </cfRule>
    <cfRule type="cellIs" dxfId="82" priority="29" operator="equal">
      <formula>"P"</formula>
    </cfRule>
    <cfRule type="expression" dxfId="81" priority="30">
      <formula>IF(O$4=TODAY(),TRUE,FALSE)</formula>
    </cfRule>
    <cfRule type="expression" dxfId="80" priority="31">
      <formula>O$3="Sun"</formula>
    </cfRule>
  </conditionalFormatting>
  <conditionalFormatting sqref="V31:AA51 AC31:AH51">
    <cfRule type="cellIs" dxfId="79" priority="17" operator="equal">
      <formula>"L"</formula>
    </cfRule>
    <cfRule type="cellIs" dxfId="78" priority="18" operator="equal">
      <formula>"A"</formula>
    </cfRule>
    <cfRule type="cellIs" dxfId="77" priority="19" operator="equal">
      <formula>"P"</formula>
    </cfRule>
    <cfRule type="expression" dxfId="76" priority="20">
      <formula>IF(V$4=TODAY(),TRUE,FALSE)</formula>
    </cfRule>
    <cfRule type="expression" dxfId="75" priority="21">
      <formula>V$3="Sun"</formula>
    </cfRule>
  </conditionalFormatting>
  <conditionalFormatting sqref="AI3:AJ3 AI5:AJ30">
    <cfRule type="expression" dxfId="74" priority="43">
      <formula>#REF!="Sun"</formula>
    </cfRule>
  </conditionalFormatting>
  <conditionalFormatting sqref="AI31:AJ51">
    <cfRule type="expression" dxfId="73" priority="32">
      <formula>#REF!="Sun"</formula>
    </cfRule>
  </conditionalFormatting>
  <conditionalFormatting sqref="AK5:AK9">
    <cfRule type="expression" dxfId="72" priority="14">
      <formula>AK$3="Sun"</formula>
    </cfRule>
  </conditionalFormatting>
  <conditionalFormatting sqref="AK12:AK15">
    <cfRule type="expression" dxfId="71" priority="12">
      <formula>AK$3="Sun"</formula>
    </cfRule>
  </conditionalFormatting>
  <conditionalFormatting sqref="AK20:AK23">
    <cfRule type="expression" dxfId="70" priority="11">
      <formula>AK$3="Sun"</formula>
    </cfRule>
  </conditionalFormatting>
  <conditionalFormatting sqref="AK4:AL4">
    <cfRule type="expression" dxfId="69" priority="15">
      <formula>AK$3="Sun"</formula>
    </cfRule>
  </conditionalFormatting>
  <conditionalFormatting sqref="AL12:AN12 AL20:AN20">
    <cfRule type="expression" dxfId="68" priority="16">
      <formula>AL$3="Sun"</formula>
    </cfRule>
  </conditionalFormatting>
  <conditionalFormatting sqref="AN21">
    <cfRule type="expression" dxfId="67" priority="13">
      <formula>AN$3="Sun"</formula>
    </cfRule>
  </conditionalFormatting>
  <conditionalFormatting sqref="U5">
    <cfRule type="expression" dxfId="9" priority="10">
      <formula>U$3="Sun"</formula>
    </cfRule>
  </conditionalFormatting>
  <conditionalFormatting sqref="U5">
    <cfRule type="cellIs" dxfId="8" priority="7" operator="equal">
      <formula>"L"</formula>
    </cfRule>
    <cfRule type="cellIs" dxfId="7" priority="8" operator="equal">
      <formula>"A"</formula>
    </cfRule>
    <cfRule type="cellIs" dxfId="6" priority="9" operator="equal">
      <formula>"P"</formula>
    </cfRule>
  </conditionalFormatting>
  <conditionalFormatting sqref="U5">
    <cfRule type="expression" dxfId="5" priority="6">
      <formula>U$4=TODAY()</formula>
    </cfRule>
  </conditionalFormatting>
  <conditionalFormatting sqref="AB5">
    <cfRule type="expression" dxfId="4" priority="5">
      <formula>AB$3="Sun"</formula>
    </cfRule>
  </conditionalFormatting>
  <conditionalFormatting sqref="AB5">
    <cfRule type="cellIs" dxfId="3" priority="2" operator="equal">
      <formula>"L"</formula>
    </cfRule>
    <cfRule type="cellIs" dxfId="2" priority="3" operator="equal">
      <formula>"A"</formula>
    </cfRule>
    <cfRule type="cellIs" dxfId="1" priority="4" operator="equal">
      <formula>"P"</formula>
    </cfRule>
  </conditionalFormatting>
  <conditionalFormatting sqref="AB5">
    <cfRule type="expression" dxfId="0" priority="1">
      <formula>AB$4=TODAY()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AN22"/>
  <sheetViews>
    <sheetView topLeftCell="A7" workbookViewId="0">
      <selection activeCell="AC27" sqref="AC2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3.710937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4.7109375" style="1" customWidth="1"/>
    <col min="31" max="31" width="3.85546875" style="1"/>
    <col min="32" max="33" width="3.7109375" style="1" bestFit="1" customWidth="1"/>
    <col min="34" max="34" width="3.85546875" style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</row>
    <row r="3" spans="1:40" ht="15.75">
      <c r="A3" s="103" t="s">
        <v>0</v>
      </c>
      <c r="B3" s="103" t="s">
        <v>1</v>
      </c>
      <c r="C3" s="103" t="s">
        <v>2</v>
      </c>
      <c r="D3" s="103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4"/>
      <c r="B4" s="104"/>
      <c r="C4" s="104"/>
      <c r="D4" s="104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347</v>
      </c>
      <c r="C5" s="83" t="s">
        <v>246</v>
      </c>
      <c r="D5" s="14" t="s">
        <v>63</v>
      </c>
      <c r="E5" s="13" t="s">
        <v>25</v>
      </c>
      <c r="F5" s="13" t="s">
        <v>25</v>
      </c>
      <c r="G5" s="105" t="s">
        <v>64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07" t="s">
        <v>65</v>
      </c>
      <c r="N5" s="105" t="s">
        <v>64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25</v>
      </c>
      <c r="T5" s="6" t="s">
        <v>25</v>
      </c>
      <c r="U5" s="105" t="s">
        <v>64</v>
      </c>
      <c r="V5" s="6" t="s">
        <v>25</v>
      </c>
      <c r="W5" s="6" t="s">
        <v>25</v>
      </c>
      <c r="X5" s="6" t="s">
        <v>25</v>
      </c>
      <c r="Y5" s="6" t="s">
        <v>25</v>
      </c>
      <c r="Z5" s="6" t="s">
        <v>25</v>
      </c>
      <c r="AA5" s="6" t="s">
        <v>25</v>
      </c>
      <c r="AB5" s="105" t="s">
        <v>64</v>
      </c>
      <c r="AC5" s="6" t="s">
        <v>25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25</v>
      </c>
      <c r="AI5" s="4">
        <f t="shared" ref="AI5:AI22" si="1">COUNTIF(E5:AH5,"P")</f>
        <v>25</v>
      </c>
      <c r="AJ5" s="4">
        <f t="shared" ref="AJ5:AJ22" si="2">COUNTIF(E5:AH5,"A")</f>
        <v>0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348</v>
      </c>
      <c r="C6" s="83" t="s">
        <v>259</v>
      </c>
      <c r="D6" s="14" t="s">
        <v>63</v>
      </c>
      <c r="E6" s="13" t="s">
        <v>25</v>
      </c>
      <c r="F6" s="13" t="s">
        <v>25</v>
      </c>
      <c r="G6" s="106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08"/>
      <c r="N6" s="106"/>
      <c r="O6" s="6" t="s">
        <v>25</v>
      </c>
      <c r="P6" s="6" t="s">
        <v>25</v>
      </c>
      <c r="Q6" s="6" t="s">
        <v>24</v>
      </c>
      <c r="R6" s="6" t="s">
        <v>24</v>
      </c>
      <c r="S6" s="6" t="s">
        <v>26</v>
      </c>
      <c r="T6" s="6" t="s">
        <v>26</v>
      </c>
      <c r="U6" s="106"/>
      <c r="V6" s="6" t="s">
        <v>26</v>
      </c>
      <c r="W6" s="6" t="s">
        <v>26</v>
      </c>
      <c r="X6" s="6" t="s">
        <v>26</v>
      </c>
      <c r="Y6" s="6" t="s">
        <v>26</v>
      </c>
      <c r="Z6" s="6" t="s">
        <v>26</v>
      </c>
      <c r="AA6" s="6" t="s">
        <v>26</v>
      </c>
      <c r="AB6" s="106"/>
      <c r="AC6" s="6" t="s">
        <v>26</v>
      </c>
      <c r="AD6" s="6" t="s">
        <v>26</v>
      </c>
      <c r="AE6" s="6" t="s">
        <v>26</v>
      </c>
      <c r="AF6" s="6" t="s">
        <v>26</v>
      </c>
      <c r="AG6" s="6" t="s">
        <v>26</v>
      </c>
      <c r="AH6" s="6" t="s">
        <v>26</v>
      </c>
      <c r="AI6" s="4">
        <f t="shared" si="1"/>
        <v>9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15">
        <v>3</v>
      </c>
      <c r="B7" s="83" t="s">
        <v>349</v>
      </c>
      <c r="C7" s="83" t="s">
        <v>39</v>
      </c>
      <c r="D7" s="14" t="s">
        <v>63</v>
      </c>
      <c r="E7" s="13" t="s">
        <v>25</v>
      </c>
      <c r="F7" s="13" t="s">
        <v>25</v>
      </c>
      <c r="G7" s="106"/>
      <c r="H7" s="13" t="s">
        <v>26</v>
      </c>
      <c r="I7" s="13" t="s">
        <v>25</v>
      </c>
      <c r="J7" s="13" t="s">
        <v>25</v>
      </c>
      <c r="K7" s="13" t="s">
        <v>25</v>
      </c>
      <c r="L7" s="13" t="s">
        <v>25</v>
      </c>
      <c r="M7" s="108"/>
      <c r="N7" s="106"/>
      <c r="O7" s="6" t="s">
        <v>25</v>
      </c>
      <c r="P7" s="6" t="s">
        <v>25</v>
      </c>
      <c r="Q7" s="6" t="s">
        <v>25</v>
      </c>
      <c r="R7" s="6" t="s">
        <v>24</v>
      </c>
      <c r="S7" s="6" t="s">
        <v>26</v>
      </c>
      <c r="T7" s="6" t="s">
        <v>24</v>
      </c>
      <c r="U7" s="106"/>
      <c r="V7" s="6" t="s">
        <v>26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06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20</v>
      </c>
      <c r="AJ7" s="4">
        <f t="shared" si="2"/>
        <v>2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55</v>
      </c>
      <c r="C8" s="83" t="s">
        <v>167</v>
      </c>
      <c r="D8" s="14" t="s">
        <v>63</v>
      </c>
      <c r="E8" s="13" t="s">
        <v>25</v>
      </c>
      <c r="F8" s="13" t="s">
        <v>25</v>
      </c>
      <c r="G8" s="106"/>
      <c r="H8" s="13" t="s">
        <v>25</v>
      </c>
      <c r="I8" s="13" t="s">
        <v>24</v>
      </c>
      <c r="J8" s="13" t="s">
        <v>25</v>
      </c>
      <c r="K8" s="13" t="s">
        <v>25</v>
      </c>
      <c r="L8" s="13" t="s">
        <v>25</v>
      </c>
      <c r="M8" s="108"/>
      <c r="N8" s="106"/>
      <c r="O8" s="6" t="s">
        <v>25</v>
      </c>
      <c r="P8" s="6" t="s">
        <v>24</v>
      </c>
      <c r="Q8" s="6" t="s">
        <v>25</v>
      </c>
      <c r="R8" s="6" t="s">
        <v>25</v>
      </c>
      <c r="S8" s="6" t="s">
        <v>25</v>
      </c>
      <c r="T8" s="6" t="s">
        <v>24</v>
      </c>
      <c r="U8" s="106"/>
      <c r="V8" s="6" t="s">
        <v>24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06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25</v>
      </c>
      <c r="AI8" s="4">
        <f t="shared" si="1"/>
        <v>20</v>
      </c>
      <c r="AJ8" s="4">
        <f t="shared" si="2"/>
        <v>5</v>
      </c>
      <c r="AK8" s="4"/>
      <c r="AL8" s="7"/>
      <c r="AM8"/>
      <c r="AN8"/>
    </row>
    <row r="9" spans="1:40" ht="16.5">
      <c r="A9" s="15">
        <v>5</v>
      </c>
      <c r="B9" s="83" t="s">
        <v>52</v>
      </c>
      <c r="C9" s="83" t="s">
        <v>41</v>
      </c>
      <c r="D9" s="14" t="s">
        <v>63</v>
      </c>
      <c r="E9" s="13" t="s">
        <v>25</v>
      </c>
      <c r="F9" s="13" t="s">
        <v>25</v>
      </c>
      <c r="G9" s="106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08"/>
      <c r="N9" s="106"/>
      <c r="O9" s="6" t="s">
        <v>25</v>
      </c>
      <c r="P9" s="6" t="s">
        <v>25</v>
      </c>
      <c r="Q9" s="6" t="s">
        <v>25</v>
      </c>
      <c r="R9" s="6" t="s">
        <v>25</v>
      </c>
      <c r="S9" s="6" t="s">
        <v>25</v>
      </c>
      <c r="T9" s="6" t="s">
        <v>25</v>
      </c>
      <c r="U9" s="106"/>
      <c r="V9" s="6" t="s">
        <v>25</v>
      </c>
      <c r="W9" s="6" t="s">
        <v>25</v>
      </c>
      <c r="X9" s="6" t="s">
        <v>25</v>
      </c>
      <c r="Y9" s="6" t="s">
        <v>25</v>
      </c>
      <c r="Z9" s="6" t="s">
        <v>25</v>
      </c>
      <c r="AA9" s="6" t="s">
        <v>25</v>
      </c>
      <c r="AB9" s="106"/>
      <c r="AC9" s="6" t="s">
        <v>25</v>
      </c>
      <c r="AD9" s="6" t="s">
        <v>25</v>
      </c>
      <c r="AE9" s="6" t="s">
        <v>25</v>
      </c>
      <c r="AF9" s="6" t="s">
        <v>25</v>
      </c>
      <c r="AG9" s="6" t="s">
        <v>25</v>
      </c>
      <c r="AH9" s="6" t="s">
        <v>25</v>
      </c>
      <c r="AI9" s="4">
        <f t="shared" si="1"/>
        <v>25</v>
      </c>
      <c r="AJ9" s="4">
        <f t="shared" si="2"/>
        <v>0</v>
      </c>
      <c r="AK9" s="4"/>
      <c r="AL9" s="7"/>
    </row>
    <row r="10" spans="1:40" ht="16.5">
      <c r="A10" s="7">
        <v>6</v>
      </c>
      <c r="B10" s="83" t="s">
        <v>350</v>
      </c>
      <c r="C10" s="83" t="s">
        <v>351</v>
      </c>
      <c r="D10" s="14" t="s">
        <v>63</v>
      </c>
      <c r="E10" s="13" t="s">
        <v>25</v>
      </c>
      <c r="F10" s="13" t="s">
        <v>25</v>
      </c>
      <c r="G10" s="106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108"/>
      <c r="N10" s="106"/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106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106"/>
      <c r="AC10" s="6" t="s">
        <v>25</v>
      </c>
      <c r="AD10" s="6" t="s">
        <v>25</v>
      </c>
      <c r="AE10" s="6" t="s">
        <v>26</v>
      </c>
      <c r="AF10" s="6" t="s">
        <v>26</v>
      </c>
      <c r="AG10" s="6" t="s">
        <v>25</v>
      </c>
      <c r="AH10" s="6" t="s">
        <v>25</v>
      </c>
      <c r="AI10" s="4">
        <f t="shared" si="1"/>
        <v>23</v>
      </c>
      <c r="AJ10" s="4">
        <f t="shared" si="2"/>
        <v>0</v>
      </c>
    </row>
    <row r="11" spans="1:40" ht="16.5">
      <c r="A11" s="15">
        <v>7</v>
      </c>
      <c r="B11" s="83" t="s">
        <v>352</v>
      </c>
      <c r="C11" s="83" t="s">
        <v>39</v>
      </c>
      <c r="D11" s="14" t="s">
        <v>63</v>
      </c>
      <c r="E11" s="13" t="s">
        <v>25</v>
      </c>
      <c r="F11" s="13" t="s">
        <v>25</v>
      </c>
      <c r="G11" s="106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08"/>
      <c r="N11" s="106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06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06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25</v>
      </c>
      <c r="AJ11" s="4">
        <f t="shared" si="2"/>
        <v>0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3" t="s">
        <v>353</v>
      </c>
      <c r="C12" s="83" t="s">
        <v>39</v>
      </c>
      <c r="D12" s="14" t="s">
        <v>63</v>
      </c>
      <c r="E12" s="13" t="s">
        <v>25</v>
      </c>
      <c r="F12" s="13" t="s">
        <v>25</v>
      </c>
      <c r="G12" s="106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08"/>
      <c r="N12" s="106"/>
      <c r="O12" s="6" t="s">
        <v>25</v>
      </c>
      <c r="P12" s="6" t="s">
        <v>25</v>
      </c>
      <c r="Q12" s="6" t="s">
        <v>25</v>
      </c>
      <c r="R12" s="6" t="s">
        <v>24</v>
      </c>
      <c r="S12" s="6" t="s">
        <v>25</v>
      </c>
      <c r="T12" s="6" t="s">
        <v>25</v>
      </c>
      <c r="U12" s="106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06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24</v>
      </c>
      <c r="AJ12" s="4">
        <f t="shared" si="2"/>
        <v>1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15">
        <v>9</v>
      </c>
      <c r="B13" s="83" t="s">
        <v>68</v>
      </c>
      <c r="C13" s="83" t="s">
        <v>324</v>
      </c>
      <c r="D13" s="14" t="s">
        <v>63</v>
      </c>
      <c r="E13" s="13" t="s">
        <v>25</v>
      </c>
      <c r="F13" s="13" t="s">
        <v>25</v>
      </c>
      <c r="G13" s="106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08"/>
      <c r="N13" s="106"/>
      <c r="O13" s="6" t="s">
        <v>25</v>
      </c>
      <c r="P13" s="6" t="s">
        <v>25</v>
      </c>
      <c r="Q13" s="6" t="s">
        <v>25</v>
      </c>
      <c r="R13" s="6" t="s">
        <v>25</v>
      </c>
      <c r="S13" s="6" t="s">
        <v>25</v>
      </c>
      <c r="T13" s="6" t="s">
        <v>25</v>
      </c>
      <c r="U13" s="106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06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25</v>
      </c>
      <c r="AJ13" s="4">
        <f t="shared" si="2"/>
        <v>0</v>
      </c>
      <c r="AK13" s="4" t="s">
        <v>14</v>
      </c>
      <c r="AL13" s="7">
        <f>28*$AL$5</f>
        <v>700</v>
      </c>
      <c r="AM13" s="7">
        <f>24*$AL$5</f>
        <v>600</v>
      </c>
      <c r="AN13" s="7">
        <f>SUM(AL13:AM13)</f>
        <v>1300</v>
      </c>
    </row>
    <row r="14" spans="1:40" ht="16.5">
      <c r="A14" s="7">
        <v>10</v>
      </c>
      <c r="B14" s="83" t="s">
        <v>354</v>
      </c>
      <c r="C14" s="83" t="s">
        <v>324</v>
      </c>
      <c r="D14" s="14" t="s">
        <v>63</v>
      </c>
      <c r="E14" s="13" t="s">
        <v>25</v>
      </c>
      <c r="F14" s="13" t="s">
        <v>25</v>
      </c>
      <c r="G14" s="106"/>
      <c r="H14" s="13" t="s">
        <v>24</v>
      </c>
      <c r="I14" s="13" t="s">
        <v>25</v>
      </c>
      <c r="J14" s="13" t="s">
        <v>25</v>
      </c>
      <c r="K14" s="13" t="s">
        <v>25</v>
      </c>
      <c r="L14" s="13" t="s">
        <v>25</v>
      </c>
      <c r="M14" s="108"/>
      <c r="N14" s="106"/>
      <c r="O14" s="6" t="s">
        <v>24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06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06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24</v>
      </c>
      <c r="AH14" s="6" t="s">
        <v>24</v>
      </c>
      <c r="AI14" s="4">
        <f t="shared" si="1"/>
        <v>21</v>
      </c>
      <c r="AJ14" s="4">
        <f t="shared" si="2"/>
        <v>4</v>
      </c>
      <c r="AK14" s="4" t="s">
        <v>15</v>
      </c>
      <c r="AL14" s="7" t="e">
        <f>SUM(#REF!)</f>
        <v>#REF!</v>
      </c>
      <c r="AM14" s="7">
        <f>SUM(AI5:AI22)</f>
        <v>400</v>
      </c>
      <c r="AN14" s="7" t="e">
        <f>AL14+AM14</f>
        <v>#REF!</v>
      </c>
    </row>
    <row r="15" spans="1:40" ht="16.5">
      <c r="A15" s="15">
        <v>11</v>
      </c>
      <c r="B15" s="83" t="s">
        <v>355</v>
      </c>
      <c r="C15" s="83" t="s">
        <v>356</v>
      </c>
      <c r="D15" s="14" t="s">
        <v>63</v>
      </c>
      <c r="E15" s="13" t="s">
        <v>24</v>
      </c>
      <c r="F15" s="13" t="s">
        <v>25</v>
      </c>
      <c r="G15" s="106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08"/>
      <c r="N15" s="106"/>
      <c r="O15" s="6" t="s">
        <v>25</v>
      </c>
      <c r="P15" s="6" t="s">
        <v>25</v>
      </c>
      <c r="Q15" s="6" t="s">
        <v>25</v>
      </c>
      <c r="R15" s="6" t="s">
        <v>25</v>
      </c>
      <c r="S15" s="6" t="s">
        <v>25</v>
      </c>
      <c r="T15" s="6" t="s">
        <v>24</v>
      </c>
      <c r="U15" s="106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06"/>
      <c r="AC15" s="6" t="s">
        <v>25</v>
      </c>
      <c r="AD15" s="6" t="s">
        <v>25</v>
      </c>
      <c r="AE15" s="6" t="s">
        <v>25</v>
      </c>
      <c r="AF15" s="6" t="s">
        <v>25</v>
      </c>
      <c r="AG15" s="6" t="s">
        <v>25</v>
      </c>
      <c r="AH15" s="6" t="s">
        <v>25</v>
      </c>
      <c r="AI15" s="4">
        <f t="shared" si="1"/>
        <v>23</v>
      </c>
      <c r="AJ15" s="4">
        <f t="shared" si="2"/>
        <v>2</v>
      </c>
      <c r="AK15" s="4" t="s">
        <v>16</v>
      </c>
      <c r="AL15" s="9" t="e">
        <f>AL14/AL13</f>
        <v>#REF!</v>
      </c>
      <c r="AM15" s="9">
        <f>AM14/AM13</f>
        <v>0.66666666666666663</v>
      </c>
      <c r="AN15" s="9" t="e">
        <f>AN14/AN13</f>
        <v>#REF!</v>
      </c>
    </row>
    <row r="16" spans="1:40" ht="16.5">
      <c r="A16" s="7">
        <v>12</v>
      </c>
      <c r="B16" s="83" t="s">
        <v>244</v>
      </c>
      <c r="C16" s="83" t="s">
        <v>357</v>
      </c>
      <c r="D16" s="14" t="s">
        <v>63</v>
      </c>
      <c r="E16" s="13" t="s">
        <v>25</v>
      </c>
      <c r="F16" s="13" t="s">
        <v>25</v>
      </c>
      <c r="G16" s="106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24</v>
      </c>
      <c r="M16" s="108"/>
      <c r="N16" s="106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25</v>
      </c>
      <c r="T16" s="6" t="s">
        <v>25</v>
      </c>
      <c r="U16" s="106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106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24</v>
      </c>
      <c r="AI16" s="4">
        <f t="shared" si="1"/>
        <v>23</v>
      </c>
      <c r="AJ16" s="4">
        <f t="shared" si="2"/>
        <v>2</v>
      </c>
      <c r="AK16"/>
      <c r="AL16"/>
      <c r="AM16"/>
      <c r="AN16"/>
    </row>
    <row r="17" spans="1:40" ht="16.5">
      <c r="A17" s="15">
        <v>13</v>
      </c>
      <c r="B17" s="83" t="s">
        <v>358</v>
      </c>
      <c r="C17" s="83" t="s">
        <v>190</v>
      </c>
      <c r="D17" s="14" t="s">
        <v>63</v>
      </c>
      <c r="E17" s="13" t="s">
        <v>25</v>
      </c>
      <c r="F17" s="13" t="s">
        <v>25</v>
      </c>
      <c r="G17" s="106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24</v>
      </c>
      <c r="M17" s="108"/>
      <c r="N17" s="106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06"/>
      <c r="V17" s="6" t="s">
        <v>25</v>
      </c>
      <c r="W17" s="6" t="s">
        <v>25</v>
      </c>
      <c r="X17" s="6" t="s">
        <v>25</v>
      </c>
      <c r="Y17" s="6" t="s">
        <v>25</v>
      </c>
      <c r="Z17" s="6" t="s">
        <v>25</v>
      </c>
      <c r="AA17" s="6" t="s">
        <v>25</v>
      </c>
      <c r="AB17" s="106"/>
      <c r="AC17" s="6" t="s">
        <v>24</v>
      </c>
      <c r="AD17" s="6" t="s">
        <v>25</v>
      </c>
      <c r="AE17" s="6" t="s">
        <v>25</v>
      </c>
      <c r="AF17" s="6" t="s">
        <v>25</v>
      </c>
      <c r="AG17" s="6" t="s">
        <v>24</v>
      </c>
      <c r="AH17" s="6" t="s">
        <v>24</v>
      </c>
      <c r="AI17" s="4">
        <f t="shared" si="1"/>
        <v>21</v>
      </c>
      <c r="AJ17" s="4">
        <f t="shared" si="2"/>
        <v>4</v>
      </c>
      <c r="AK17"/>
      <c r="AL17"/>
      <c r="AM17"/>
      <c r="AN17"/>
    </row>
    <row r="18" spans="1:40" ht="16.5">
      <c r="A18" s="7">
        <v>14</v>
      </c>
      <c r="B18" s="83" t="s">
        <v>339</v>
      </c>
      <c r="C18" s="83" t="s">
        <v>190</v>
      </c>
      <c r="D18" s="14" t="s">
        <v>63</v>
      </c>
      <c r="E18" s="13" t="s">
        <v>25</v>
      </c>
      <c r="F18" s="13" t="s">
        <v>25</v>
      </c>
      <c r="G18" s="106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08"/>
      <c r="N18" s="106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24</v>
      </c>
      <c r="T18" s="6" t="s">
        <v>25</v>
      </c>
      <c r="U18" s="106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06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25</v>
      </c>
      <c r="AH18" s="6" t="s">
        <v>25</v>
      </c>
      <c r="AI18" s="4">
        <f t="shared" si="1"/>
        <v>24</v>
      </c>
      <c r="AJ18" s="4">
        <f t="shared" si="2"/>
        <v>1</v>
      </c>
      <c r="AK18"/>
      <c r="AL18"/>
      <c r="AM18"/>
      <c r="AN18"/>
    </row>
    <row r="19" spans="1:40" ht="16.5">
      <c r="A19" s="15">
        <v>15</v>
      </c>
      <c r="B19" s="83" t="s">
        <v>359</v>
      </c>
      <c r="C19" s="83" t="s">
        <v>167</v>
      </c>
      <c r="D19" s="14" t="s">
        <v>63</v>
      </c>
      <c r="E19" s="13" t="s">
        <v>25</v>
      </c>
      <c r="F19" s="13" t="s">
        <v>25</v>
      </c>
      <c r="G19" s="106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08"/>
      <c r="N19" s="106"/>
      <c r="O19" s="6" t="s">
        <v>25</v>
      </c>
      <c r="P19" s="6" t="s">
        <v>25</v>
      </c>
      <c r="Q19" s="6" t="s">
        <v>25</v>
      </c>
      <c r="R19" s="6" t="s">
        <v>25</v>
      </c>
      <c r="S19" s="6" t="s">
        <v>25</v>
      </c>
      <c r="T19" s="6" t="s">
        <v>25</v>
      </c>
      <c r="U19" s="106"/>
      <c r="V19" s="6" t="s">
        <v>25</v>
      </c>
      <c r="W19" s="6" t="s">
        <v>25</v>
      </c>
      <c r="X19" s="6" t="s">
        <v>25</v>
      </c>
      <c r="Y19" s="6" t="s">
        <v>25</v>
      </c>
      <c r="Z19" s="6" t="s">
        <v>25</v>
      </c>
      <c r="AA19" s="6" t="s">
        <v>25</v>
      </c>
      <c r="AB19" s="106"/>
      <c r="AC19" s="6" t="s">
        <v>25</v>
      </c>
      <c r="AD19" s="6" t="s">
        <v>25</v>
      </c>
      <c r="AE19" s="6" t="s">
        <v>25</v>
      </c>
      <c r="AF19" s="6" t="s">
        <v>25</v>
      </c>
      <c r="AG19" s="6" t="s">
        <v>25</v>
      </c>
      <c r="AH19" s="6" t="s">
        <v>25</v>
      </c>
      <c r="AI19" s="4">
        <f t="shared" si="1"/>
        <v>25</v>
      </c>
      <c r="AJ19" s="4">
        <f t="shared" si="2"/>
        <v>0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3" t="s">
        <v>360</v>
      </c>
      <c r="C20" s="83" t="s">
        <v>175</v>
      </c>
      <c r="D20" s="14" t="s">
        <v>63</v>
      </c>
      <c r="E20" s="13" t="s">
        <v>25</v>
      </c>
      <c r="F20" s="13" t="s">
        <v>25</v>
      </c>
      <c r="G20" s="106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08"/>
      <c r="N20" s="106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24</v>
      </c>
      <c r="T20" s="6" t="s">
        <v>25</v>
      </c>
      <c r="U20" s="106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25</v>
      </c>
      <c r="AA20" s="6" t="s">
        <v>25</v>
      </c>
      <c r="AB20" s="106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24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15">
        <v>17</v>
      </c>
      <c r="B21" s="83" t="s">
        <v>361</v>
      </c>
      <c r="C21" s="83" t="s">
        <v>362</v>
      </c>
      <c r="D21" s="14" t="s">
        <v>63</v>
      </c>
      <c r="E21" s="13" t="s">
        <v>25</v>
      </c>
      <c r="F21" s="13" t="s">
        <v>25</v>
      </c>
      <c r="G21" s="106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08"/>
      <c r="N21" s="106"/>
      <c r="O21" s="6" t="s">
        <v>25</v>
      </c>
      <c r="P21" s="6" t="s">
        <v>25</v>
      </c>
      <c r="Q21" s="6" t="s">
        <v>24</v>
      </c>
      <c r="R21" s="6" t="s">
        <v>25</v>
      </c>
      <c r="S21" s="6" t="s">
        <v>25</v>
      </c>
      <c r="T21" s="6" t="s">
        <v>25</v>
      </c>
      <c r="U21" s="106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25</v>
      </c>
      <c r="AB21" s="106"/>
      <c r="AC21" s="6" t="s">
        <v>24</v>
      </c>
      <c r="AD21" s="6" t="s">
        <v>25</v>
      </c>
      <c r="AE21" s="6" t="s">
        <v>25</v>
      </c>
      <c r="AF21" s="6" t="s">
        <v>24</v>
      </c>
      <c r="AG21" s="6" t="s">
        <v>25</v>
      </c>
      <c r="AH21" s="6" t="s">
        <v>25</v>
      </c>
      <c r="AI21" s="4">
        <f t="shared" si="1"/>
        <v>22</v>
      </c>
      <c r="AJ21" s="4">
        <f t="shared" si="2"/>
        <v>3</v>
      </c>
      <c r="AK21" s="4" t="s">
        <v>14</v>
      </c>
      <c r="AL21" s="7">
        <f>28*$AL$5</f>
        <v>700</v>
      </c>
      <c r="AM21" s="7">
        <f>24*$AL$5</f>
        <v>600</v>
      </c>
      <c r="AN21" s="7">
        <f>AL21+AM21</f>
        <v>1300</v>
      </c>
    </row>
    <row r="22" spans="1:40" ht="16.5">
      <c r="A22" s="7">
        <v>18</v>
      </c>
      <c r="B22" s="83" t="s">
        <v>363</v>
      </c>
      <c r="C22" s="83" t="s">
        <v>45</v>
      </c>
      <c r="D22" s="14" t="s">
        <v>63</v>
      </c>
      <c r="E22" s="13" t="s">
        <v>25</v>
      </c>
      <c r="F22" s="13" t="s">
        <v>24</v>
      </c>
      <c r="G22" s="106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08"/>
      <c r="N22" s="106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25</v>
      </c>
      <c r="T22" s="6" t="s">
        <v>25</v>
      </c>
      <c r="U22" s="106"/>
      <c r="V22" s="6" t="s">
        <v>24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06"/>
      <c r="AC22" s="6" t="s">
        <v>24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22</v>
      </c>
      <c r="AJ22" s="4">
        <f t="shared" si="2"/>
        <v>3</v>
      </c>
      <c r="AK22" s="4" t="s">
        <v>17</v>
      </c>
      <c r="AL22" s="7" t="e">
        <f>AL21-AL14</f>
        <v>#REF!</v>
      </c>
      <c r="AM22" s="7">
        <f>AM21-AM14</f>
        <v>200</v>
      </c>
      <c r="AN22" s="7" t="e">
        <f>AL22+AM22</f>
        <v>#REF!</v>
      </c>
    </row>
  </sheetData>
  <mergeCells count="16">
    <mergeCell ref="A1:AH1"/>
    <mergeCell ref="A2:AH2"/>
    <mergeCell ref="A3:A4"/>
    <mergeCell ref="B3:B4"/>
    <mergeCell ref="C3:C4"/>
    <mergeCell ref="D3:D4"/>
    <mergeCell ref="G5:G22"/>
    <mergeCell ref="M5:M22"/>
    <mergeCell ref="N5:N22"/>
    <mergeCell ref="U5:U22"/>
    <mergeCell ref="AB5:AB22"/>
    <mergeCell ref="AK11:AN11"/>
    <mergeCell ref="AK19:AN19"/>
    <mergeCell ref="AI3:AI4"/>
    <mergeCell ref="AJ3:AJ4"/>
    <mergeCell ref="AK3:AL3"/>
  </mergeCells>
  <conditionalFormatting sqref="E5:AB5 E4:AH4">
    <cfRule type="expression" dxfId="66" priority="23">
      <formula>IF(E$4=TODAY(),TRUE,FALSE)</formula>
    </cfRule>
  </conditionalFormatting>
  <conditionalFormatting sqref="E5:AB5">
    <cfRule type="cellIs" dxfId="65" priority="20" operator="equal">
      <formula>"L"</formula>
    </cfRule>
    <cfRule type="cellIs" dxfId="64" priority="21" operator="equal">
      <formula>"A"</formula>
    </cfRule>
    <cfRule type="cellIs" dxfId="63" priority="22" operator="equal">
      <formula>"P"</formula>
    </cfRule>
  </conditionalFormatting>
  <conditionalFormatting sqref="E3:AH4 E5:AB5">
    <cfRule type="expression" dxfId="62" priority="24">
      <formula>E$3="Sun"</formula>
    </cfRule>
  </conditionalFormatting>
  <conditionalFormatting sqref="AC5:AH22 E6:F22 H6:L22 O6:T22 V6:AA22">
    <cfRule type="cellIs" dxfId="61" priority="7" operator="equal">
      <formula>"L"</formula>
    </cfRule>
    <cfRule type="cellIs" dxfId="60" priority="8" operator="equal">
      <formula>"A"</formula>
    </cfRule>
    <cfRule type="cellIs" dxfId="59" priority="9" operator="equal">
      <formula>"P"</formula>
    </cfRule>
    <cfRule type="expression" dxfId="58" priority="10">
      <formula>IF(E$4=TODAY(),TRUE,FALSE)</formula>
    </cfRule>
    <cfRule type="expression" dxfId="57" priority="11">
      <formula>E$3="Sun"</formula>
    </cfRule>
  </conditionalFormatting>
  <conditionalFormatting sqref="AI3:AJ3">
    <cfRule type="expression" dxfId="56" priority="25">
      <formula>#REF!="Sun"</formula>
    </cfRule>
  </conditionalFormatting>
  <conditionalFormatting sqref="AI5:AJ22">
    <cfRule type="expression" dxfId="55" priority="12">
      <formula>#REF!="Sun"</formula>
    </cfRule>
  </conditionalFormatting>
  <conditionalFormatting sqref="AK5:AK9">
    <cfRule type="expression" dxfId="54" priority="4">
      <formula>AK$3="Sun"</formula>
    </cfRule>
  </conditionalFormatting>
  <conditionalFormatting sqref="AK12:AK15">
    <cfRule type="expression" dxfId="53" priority="2">
      <formula>AK$3="Sun"</formula>
    </cfRule>
  </conditionalFormatting>
  <conditionalFormatting sqref="AK20:AK22">
    <cfRule type="expression" dxfId="52" priority="1">
      <formula>AK$3="Sun"</formula>
    </cfRule>
  </conditionalFormatting>
  <conditionalFormatting sqref="AK4:AL4">
    <cfRule type="expression" dxfId="51" priority="5">
      <formula>AK$3="Sun"</formula>
    </cfRule>
  </conditionalFormatting>
  <conditionalFormatting sqref="AL12:AN12 AL20:AN20">
    <cfRule type="expression" dxfId="50" priority="6">
      <formula>AL$3="Sun"</formula>
    </cfRule>
  </conditionalFormatting>
  <conditionalFormatting sqref="AN21">
    <cfRule type="expression" dxfId="49" priority="3">
      <formula>AN$3="Sun"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N24"/>
  <sheetViews>
    <sheetView topLeftCell="A5" workbookViewId="0">
      <selection activeCell="Q23" sqref="Q23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42578125" style="1" bestFit="1" customWidth="1"/>
    <col min="34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40" ht="15.75">
      <c r="A3" s="103" t="s">
        <v>0</v>
      </c>
      <c r="B3" s="103" t="s">
        <v>1</v>
      </c>
      <c r="C3" s="103" t="s">
        <v>2</v>
      </c>
      <c r="D3" s="103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16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4"/>
      <c r="B4" s="104"/>
      <c r="C4" s="104"/>
      <c r="D4" s="104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364</v>
      </c>
      <c r="C5" s="83" t="s">
        <v>365</v>
      </c>
      <c r="D5" s="14" t="s">
        <v>70</v>
      </c>
      <c r="E5" s="5" t="s">
        <v>25</v>
      </c>
      <c r="F5" s="5" t="s">
        <v>25</v>
      </c>
      <c r="G5" s="105" t="s">
        <v>64</v>
      </c>
      <c r="H5" s="5" t="s">
        <v>25</v>
      </c>
      <c r="I5" s="5" t="s">
        <v>25</v>
      </c>
      <c r="J5" s="5" t="s">
        <v>24</v>
      </c>
      <c r="K5" s="5" t="s">
        <v>25</v>
      </c>
      <c r="L5" s="5" t="s">
        <v>25</v>
      </c>
      <c r="M5" s="109" t="s">
        <v>30</v>
      </c>
      <c r="N5" s="105" t="s">
        <v>64</v>
      </c>
      <c r="O5" s="5" t="s">
        <v>25</v>
      </c>
      <c r="P5" s="5" t="s">
        <v>25</v>
      </c>
      <c r="Q5" s="5" t="s">
        <v>24</v>
      </c>
      <c r="R5" s="5" t="s">
        <v>25</v>
      </c>
      <c r="S5" s="5" t="s">
        <v>25</v>
      </c>
      <c r="T5" s="5" t="s">
        <v>25</v>
      </c>
      <c r="U5" s="105" t="s">
        <v>64</v>
      </c>
      <c r="V5" s="5" t="s">
        <v>25</v>
      </c>
      <c r="W5" s="5" t="s">
        <v>25</v>
      </c>
      <c r="X5" s="5" t="s">
        <v>25</v>
      </c>
      <c r="Y5" s="5" t="s">
        <v>25</v>
      </c>
      <c r="Z5" s="5" t="s">
        <v>25</v>
      </c>
      <c r="AA5" s="5" t="s">
        <v>25</v>
      </c>
      <c r="AB5" s="105" t="s">
        <v>64</v>
      </c>
      <c r="AC5" s="5" t="s">
        <v>25</v>
      </c>
      <c r="AD5" s="5" t="s">
        <v>25</v>
      </c>
      <c r="AE5" s="17" t="s">
        <v>24</v>
      </c>
      <c r="AF5" s="5" t="s">
        <v>25</v>
      </c>
      <c r="AG5" s="17" t="s">
        <v>24</v>
      </c>
      <c r="AH5" s="5"/>
      <c r="AI5" s="4">
        <f t="shared" ref="AI5:AI24" si="1">COUNTIF(E5:AH5,"P")</f>
        <v>20</v>
      </c>
      <c r="AJ5" s="4">
        <f t="shared" ref="AJ5:AJ24" si="2">COUNTIF(E5:AH5,"A")</f>
        <v>4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366</v>
      </c>
      <c r="C6" s="83" t="s">
        <v>175</v>
      </c>
      <c r="D6" s="14" t="s">
        <v>70</v>
      </c>
      <c r="E6" s="5" t="s">
        <v>24</v>
      </c>
      <c r="F6" s="5" t="s">
        <v>71</v>
      </c>
      <c r="G6" s="106"/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110"/>
      <c r="N6" s="106"/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106"/>
      <c r="V6" s="5" t="s">
        <v>25</v>
      </c>
      <c r="W6" s="5" t="s">
        <v>25</v>
      </c>
      <c r="X6" s="5" t="s">
        <v>25</v>
      </c>
      <c r="Y6" s="5" t="s">
        <v>25</v>
      </c>
      <c r="Z6" s="5" t="s">
        <v>25</v>
      </c>
      <c r="AA6" s="5" t="s">
        <v>25</v>
      </c>
      <c r="AB6" s="106"/>
      <c r="AC6" s="5" t="s">
        <v>25</v>
      </c>
      <c r="AD6" s="5" t="s">
        <v>25</v>
      </c>
      <c r="AE6" s="17" t="s">
        <v>25</v>
      </c>
      <c r="AF6" s="5" t="s">
        <v>25</v>
      </c>
      <c r="AG6" s="17" t="s">
        <v>25</v>
      </c>
      <c r="AH6" s="5"/>
      <c r="AI6" s="4">
        <f t="shared" si="1"/>
        <v>23</v>
      </c>
      <c r="AJ6" s="4">
        <f t="shared" si="2"/>
        <v>1</v>
      </c>
      <c r="AK6" s="4" t="s">
        <v>8</v>
      </c>
      <c r="AL6" s="7">
        <v>4</v>
      </c>
      <c r="AM6" s="3"/>
      <c r="AN6" s="3"/>
    </row>
    <row r="7" spans="1:40" ht="16.5">
      <c r="A7" s="15">
        <v>3</v>
      </c>
      <c r="B7" s="83" t="s">
        <v>367</v>
      </c>
      <c r="C7" s="83" t="s">
        <v>181</v>
      </c>
      <c r="D7" s="14" t="s">
        <v>70</v>
      </c>
      <c r="E7" s="5" t="s">
        <v>71</v>
      </c>
      <c r="F7" s="5" t="s">
        <v>71</v>
      </c>
      <c r="G7" s="106"/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110"/>
      <c r="N7" s="106"/>
      <c r="O7" s="5" t="s">
        <v>25</v>
      </c>
      <c r="P7" s="5" t="s">
        <v>25</v>
      </c>
      <c r="Q7" s="5" t="s">
        <v>25</v>
      </c>
      <c r="R7" s="5" t="s">
        <v>25</v>
      </c>
      <c r="S7" s="5" t="s">
        <v>26</v>
      </c>
      <c r="T7" s="5" t="s">
        <v>24</v>
      </c>
      <c r="U7" s="106"/>
      <c r="V7" s="5" t="s">
        <v>25</v>
      </c>
      <c r="W7" s="5" t="s">
        <v>25</v>
      </c>
      <c r="X7" s="5" t="s">
        <v>25</v>
      </c>
      <c r="Y7" s="5" t="s">
        <v>25</v>
      </c>
      <c r="Z7" s="5" t="s">
        <v>25</v>
      </c>
      <c r="AA7" s="5" t="s">
        <v>25</v>
      </c>
      <c r="AB7" s="106"/>
      <c r="AC7" s="5" t="s">
        <v>25</v>
      </c>
      <c r="AD7" s="5" t="s">
        <v>24</v>
      </c>
      <c r="AE7" s="17" t="s">
        <v>25</v>
      </c>
      <c r="AF7" s="5" t="s">
        <v>25</v>
      </c>
      <c r="AG7" s="17" t="s">
        <v>25</v>
      </c>
      <c r="AH7" s="5"/>
      <c r="AI7" s="4">
        <f t="shared" si="1"/>
        <v>21</v>
      </c>
      <c r="AJ7" s="4">
        <f t="shared" si="2"/>
        <v>2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91</v>
      </c>
      <c r="C8" s="83" t="s">
        <v>368</v>
      </c>
      <c r="D8" s="14" t="s">
        <v>70</v>
      </c>
      <c r="E8" s="5" t="s">
        <v>24</v>
      </c>
      <c r="F8" s="5" t="s">
        <v>24</v>
      </c>
      <c r="G8" s="106"/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110"/>
      <c r="N8" s="106"/>
      <c r="O8" s="5" t="s">
        <v>24</v>
      </c>
      <c r="P8" s="5" t="s">
        <v>24</v>
      </c>
      <c r="Q8" s="5" t="s">
        <v>24</v>
      </c>
      <c r="R8" s="5" t="s">
        <v>24</v>
      </c>
      <c r="S8" s="5" t="s">
        <v>24</v>
      </c>
      <c r="T8" s="5" t="s">
        <v>26</v>
      </c>
      <c r="U8" s="106"/>
      <c r="V8" s="5" t="s">
        <v>24</v>
      </c>
      <c r="W8" s="5" t="s">
        <v>24</v>
      </c>
      <c r="X8" s="5" t="s">
        <v>24</v>
      </c>
      <c r="Y8" s="5" t="s">
        <v>24</v>
      </c>
      <c r="Z8" s="5" t="s">
        <v>24</v>
      </c>
      <c r="AA8" s="5" t="s">
        <v>24</v>
      </c>
      <c r="AB8" s="106"/>
      <c r="AC8" s="5" t="s">
        <v>24</v>
      </c>
      <c r="AD8" s="5" t="s">
        <v>24</v>
      </c>
      <c r="AE8" s="17" t="s">
        <v>24</v>
      </c>
      <c r="AF8" s="5" t="s">
        <v>24</v>
      </c>
      <c r="AG8" s="17" t="s">
        <v>24</v>
      </c>
      <c r="AH8" s="5"/>
      <c r="AI8" s="4">
        <f t="shared" si="1"/>
        <v>0</v>
      </c>
      <c r="AJ8" s="4">
        <f t="shared" si="2"/>
        <v>23</v>
      </c>
      <c r="AK8" s="4"/>
      <c r="AL8" s="7"/>
      <c r="AM8"/>
      <c r="AN8"/>
    </row>
    <row r="9" spans="1:40" ht="16.5">
      <c r="A9" s="15">
        <v>5</v>
      </c>
      <c r="B9" s="83" t="s">
        <v>369</v>
      </c>
      <c r="C9" s="83" t="s">
        <v>370</v>
      </c>
      <c r="D9" s="14" t="s">
        <v>70</v>
      </c>
      <c r="E9" s="5" t="s">
        <v>24</v>
      </c>
      <c r="F9" s="5" t="s">
        <v>71</v>
      </c>
      <c r="G9" s="106"/>
      <c r="H9" s="5" t="s">
        <v>25</v>
      </c>
      <c r="I9" s="5" t="s">
        <v>25</v>
      </c>
      <c r="J9" s="5" t="s">
        <v>25</v>
      </c>
      <c r="K9" s="5" t="s">
        <v>24</v>
      </c>
      <c r="L9" s="5" t="s">
        <v>25</v>
      </c>
      <c r="M9" s="110"/>
      <c r="N9" s="106"/>
      <c r="O9" s="5" t="s">
        <v>25</v>
      </c>
      <c r="P9" s="5" t="s">
        <v>24</v>
      </c>
      <c r="Q9" s="5" t="s">
        <v>25</v>
      </c>
      <c r="R9" s="5" t="s">
        <v>25</v>
      </c>
      <c r="S9" s="5" t="s">
        <v>25</v>
      </c>
      <c r="T9" s="5" t="s">
        <v>24</v>
      </c>
      <c r="U9" s="106"/>
      <c r="V9" s="5" t="s">
        <v>24</v>
      </c>
      <c r="W9" s="5" t="s">
        <v>25</v>
      </c>
      <c r="X9" s="5" t="s">
        <v>25</v>
      </c>
      <c r="Y9" s="5" t="s">
        <v>24</v>
      </c>
      <c r="Z9" s="5" t="s">
        <v>25</v>
      </c>
      <c r="AA9" s="5" t="s">
        <v>25</v>
      </c>
      <c r="AB9" s="106"/>
      <c r="AC9" s="5" t="s">
        <v>25</v>
      </c>
      <c r="AD9" s="5" t="s">
        <v>25</v>
      </c>
      <c r="AE9" s="17" t="s">
        <v>25</v>
      </c>
      <c r="AF9" s="5" t="s">
        <v>25</v>
      </c>
      <c r="AG9" s="17" t="s">
        <v>25</v>
      </c>
      <c r="AH9" s="5"/>
      <c r="AI9" s="4">
        <f t="shared" si="1"/>
        <v>18</v>
      </c>
      <c r="AJ9" s="4">
        <f t="shared" si="2"/>
        <v>6</v>
      </c>
      <c r="AK9" s="4"/>
      <c r="AL9" s="7"/>
    </row>
    <row r="10" spans="1:40" ht="16.5">
      <c r="A10" s="7">
        <v>6</v>
      </c>
      <c r="B10" s="83" t="s">
        <v>371</v>
      </c>
      <c r="C10" s="83" t="s">
        <v>39</v>
      </c>
      <c r="D10" s="14" t="s">
        <v>70</v>
      </c>
      <c r="E10" s="5" t="s">
        <v>71</v>
      </c>
      <c r="F10" s="5" t="s">
        <v>71</v>
      </c>
      <c r="G10" s="106"/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110"/>
      <c r="N10" s="106"/>
      <c r="O10" s="5" t="s">
        <v>25</v>
      </c>
      <c r="P10" s="5" t="s">
        <v>25</v>
      </c>
      <c r="Q10" s="5" t="s">
        <v>25</v>
      </c>
      <c r="R10" s="5" t="s">
        <v>25</v>
      </c>
      <c r="S10" s="5" t="s">
        <v>26</v>
      </c>
      <c r="T10" s="5" t="s">
        <v>26</v>
      </c>
      <c r="U10" s="106"/>
      <c r="V10" s="5" t="s">
        <v>25</v>
      </c>
      <c r="W10" s="5" t="s">
        <v>24</v>
      </c>
      <c r="X10" s="5" t="s">
        <v>25</v>
      </c>
      <c r="Y10" s="5" t="s">
        <v>25</v>
      </c>
      <c r="Z10" s="5" t="s">
        <v>25</v>
      </c>
      <c r="AA10" s="5" t="s">
        <v>25</v>
      </c>
      <c r="AB10" s="106"/>
      <c r="AC10" s="5" t="s">
        <v>25</v>
      </c>
      <c r="AD10" s="5" t="s">
        <v>24</v>
      </c>
      <c r="AE10" s="17" t="s">
        <v>25</v>
      </c>
      <c r="AF10" s="5" t="s">
        <v>25</v>
      </c>
      <c r="AG10" s="17" t="s">
        <v>25</v>
      </c>
      <c r="AH10" s="5"/>
      <c r="AI10" s="4">
        <f t="shared" si="1"/>
        <v>20</v>
      </c>
      <c r="AJ10" s="4">
        <f t="shared" si="2"/>
        <v>2</v>
      </c>
    </row>
    <row r="11" spans="1:40" ht="16.5">
      <c r="A11" s="15">
        <v>7</v>
      </c>
      <c r="B11" s="83" t="s">
        <v>372</v>
      </c>
      <c r="C11" s="83" t="s">
        <v>373</v>
      </c>
      <c r="D11" s="14" t="s">
        <v>70</v>
      </c>
      <c r="E11" s="5" t="s">
        <v>25</v>
      </c>
      <c r="F11" s="5" t="s">
        <v>71</v>
      </c>
      <c r="G11" s="106"/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110"/>
      <c r="N11" s="106"/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25</v>
      </c>
      <c r="U11" s="106"/>
      <c r="V11" s="5" t="s">
        <v>24</v>
      </c>
      <c r="W11" s="5" t="s">
        <v>25</v>
      </c>
      <c r="X11" s="5" t="s">
        <v>25</v>
      </c>
      <c r="Y11" s="5" t="s">
        <v>25</v>
      </c>
      <c r="Z11" s="5" t="s">
        <v>25</v>
      </c>
      <c r="AA11" s="5" t="s">
        <v>25</v>
      </c>
      <c r="AB11" s="106"/>
      <c r="AC11" s="5" t="s">
        <v>25</v>
      </c>
      <c r="AD11" s="5" t="s">
        <v>25</v>
      </c>
      <c r="AE11" s="17" t="s">
        <v>25</v>
      </c>
      <c r="AF11" s="5" t="s">
        <v>25</v>
      </c>
      <c r="AG11" s="17" t="s">
        <v>25</v>
      </c>
      <c r="AH11" s="5"/>
      <c r="AI11" s="4">
        <f t="shared" si="1"/>
        <v>23</v>
      </c>
      <c r="AJ11" s="4">
        <f t="shared" si="2"/>
        <v>1</v>
      </c>
      <c r="AK11" s="93" t="s">
        <v>9</v>
      </c>
      <c r="AL11" s="94"/>
      <c r="AM11" s="94"/>
      <c r="AN11" s="95"/>
    </row>
    <row r="12" spans="1:40" ht="16.5">
      <c r="A12" s="7">
        <v>8</v>
      </c>
      <c r="B12" s="83" t="s">
        <v>374</v>
      </c>
      <c r="C12" s="83" t="s">
        <v>23</v>
      </c>
      <c r="D12" s="14" t="s">
        <v>70</v>
      </c>
      <c r="E12" s="5" t="s">
        <v>71</v>
      </c>
      <c r="F12" s="5" t="s">
        <v>71</v>
      </c>
      <c r="G12" s="106"/>
      <c r="H12" s="5" t="s">
        <v>25</v>
      </c>
      <c r="I12" s="5" t="s">
        <v>25</v>
      </c>
      <c r="J12" s="5" t="s">
        <v>24</v>
      </c>
      <c r="K12" s="5" t="s">
        <v>25</v>
      </c>
      <c r="L12" s="5" t="s">
        <v>25</v>
      </c>
      <c r="M12" s="110"/>
      <c r="N12" s="106"/>
      <c r="O12" s="5" t="s">
        <v>24</v>
      </c>
      <c r="P12" s="5" t="s">
        <v>24</v>
      </c>
      <c r="Q12" s="5" t="s">
        <v>25</v>
      </c>
      <c r="R12" s="5" t="s">
        <v>25</v>
      </c>
      <c r="S12" s="5" t="s">
        <v>25</v>
      </c>
      <c r="T12" s="5" t="s">
        <v>25</v>
      </c>
      <c r="U12" s="106"/>
      <c r="V12" s="5" t="s">
        <v>25</v>
      </c>
      <c r="W12" s="5" t="s">
        <v>25</v>
      </c>
      <c r="X12" s="5" t="s">
        <v>25</v>
      </c>
      <c r="Y12" s="5" t="s">
        <v>25</v>
      </c>
      <c r="Z12" s="5" t="s">
        <v>25</v>
      </c>
      <c r="AA12" s="5" t="s">
        <v>25</v>
      </c>
      <c r="AB12" s="106"/>
      <c r="AC12" s="5" t="s">
        <v>24</v>
      </c>
      <c r="AD12" s="5" t="s">
        <v>25</v>
      </c>
      <c r="AE12" s="17" t="s">
        <v>25</v>
      </c>
      <c r="AF12" s="5" t="s">
        <v>25</v>
      </c>
      <c r="AG12" s="17" t="s">
        <v>25</v>
      </c>
      <c r="AH12" s="5"/>
      <c r="AI12" s="4">
        <f t="shared" si="1"/>
        <v>20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15">
        <v>9</v>
      </c>
      <c r="B13" s="83" t="s">
        <v>375</v>
      </c>
      <c r="C13" s="83" t="s">
        <v>376</v>
      </c>
      <c r="D13" s="14" t="s">
        <v>70</v>
      </c>
      <c r="E13" s="5" t="s">
        <v>71</v>
      </c>
      <c r="F13" s="5" t="s">
        <v>71</v>
      </c>
      <c r="G13" s="106"/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110"/>
      <c r="N13" s="106"/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106"/>
      <c r="V13" s="5" t="s">
        <v>25</v>
      </c>
      <c r="W13" s="5" t="s">
        <v>25</v>
      </c>
      <c r="X13" s="5" t="s">
        <v>25</v>
      </c>
      <c r="Y13" s="5" t="s">
        <v>25</v>
      </c>
      <c r="Z13" s="5" t="s">
        <v>25</v>
      </c>
      <c r="AA13" s="5" t="s">
        <v>25</v>
      </c>
      <c r="AB13" s="106"/>
      <c r="AC13" s="5" t="s">
        <v>24</v>
      </c>
      <c r="AD13" s="5" t="s">
        <v>25</v>
      </c>
      <c r="AE13" s="17" t="s">
        <v>25</v>
      </c>
      <c r="AF13" s="5" t="s">
        <v>25</v>
      </c>
      <c r="AG13" s="17" t="s">
        <v>25</v>
      </c>
      <c r="AH13" s="5"/>
      <c r="AI13" s="4">
        <f t="shared" si="1"/>
        <v>23</v>
      </c>
      <c r="AJ13" s="4">
        <f t="shared" si="2"/>
        <v>1</v>
      </c>
      <c r="AK13" s="4" t="s">
        <v>14</v>
      </c>
      <c r="AL13" s="7">
        <f>21*$AL$5</f>
        <v>525</v>
      </c>
      <c r="AM13" s="7">
        <f>32*$AL$5</f>
        <v>800</v>
      </c>
      <c r="AN13" s="7">
        <f>SUM(AL13:AM13)</f>
        <v>1325</v>
      </c>
    </row>
    <row r="14" spans="1:40" ht="16.5">
      <c r="A14" s="7">
        <v>10</v>
      </c>
      <c r="B14" s="83" t="s">
        <v>377</v>
      </c>
      <c r="C14" s="83" t="s">
        <v>378</v>
      </c>
      <c r="D14" s="14" t="s">
        <v>70</v>
      </c>
      <c r="E14" s="5" t="s">
        <v>71</v>
      </c>
      <c r="F14" s="5" t="s">
        <v>71</v>
      </c>
      <c r="G14" s="106"/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110"/>
      <c r="N14" s="106"/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106"/>
      <c r="V14" s="5" t="s">
        <v>25</v>
      </c>
      <c r="W14" s="5" t="s">
        <v>25</v>
      </c>
      <c r="X14" s="5" t="s">
        <v>25</v>
      </c>
      <c r="Y14" s="5" t="s">
        <v>25</v>
      </c>
      <c r="Z14" s="5" t="s">
        <v>25</v>
      </c>
      <c r="AA14" s="5" t="s">
        <v>25</v>
      </c>
      <c r="AB14" s="106"/>
      <c r="AC14" s="5" t="s">
        <v>25</v>
      </c>
      <c r="AD14" s="5" t="s">
        <v>25</v>
      </c>
      <c r="AE14" s="17" t="s">
        <v>25</v>
      </c>
      <c r="AF14" s="5" t="s">
        <v>25</v>
      </c>
      <c r="AG14" s="17" t="s">
        <v>25</v>
      </c>
      <c r="AH14" s="5"/>
      <c r="AI14" s="4">
        <f t="shared" si="1"/>
        <v>24</v>
      </c>
      <c r="AJ14" s="4">
        <f t="shared" si="2"/>
        <v>0</v>
      </c>
      <c r="AK14" s="4" t="s">
        <v>15</v>
      </c>
      <c r="AL14" s="7">
        <f>SUM(AI5:AI24)</f>
        <v>375</v>
      </c>
      <c r="AM14" s="7" t="e">
        <f>SUM(#REF!)</f>
        <v>#REF!</v>
      </c>
      <c r="AN14" s="7" t="e">
        <f>AL14+AM14</f>
        <v>#REF!</v>
      </c>
    </row>
    <row r="15" spans="1:40" ht="16.5">
      <c r="A15" s="15">
        <v>11</v>
      </c>
      <c r="B15" s="83" t="s">
        <v>379</v>
      </c>
      <c r="C15" s="83" t="s">
        <v>73</v>
      </c>
      <c r="D15" s="14" t="s">
        <v>70</v>
      </c>
      <c r="E15" s="5" t="s">
        <v>71</v>
      </c>
      <c r="F15" s="5" t="s">
        <v>24</v>
      </c>
      <c r="G15" s="106"/>
      <c r="H15" s="5" t="s">
        <v>25</v>
      </c>
      <c r="I15" s="5" t="s">
        <v>25</v>
      </c>
      <c r="J15" s="5" t="s">
        <v>24</v>
      </c>
      <c r="K15" s="5" t="s">
        <v>24</v>
      </c>
      <c r="L15" s="5" t="s">
        <v>25</v>
      </c>
      <c r="M15" s="110"/>
      <c r="N15" s="106"/>
      <c r="O15" s="5" t="s">
        <v>24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106"/>
      <c r="V15" s="5" t="s">
        <v>25</v>
      </c>
      <c r="W15" s="5" t="s">
        <v>25</v>
      </c>
      <c r="X15" s="5" t="s">
        <v>24</v>
      </c>
      <c r="Y15" s="5" t="s">
        <v>25</v>
      </c>
      <c r="Z15" s="5" t="s">
        <v>25</v>
      </c>
      <c r="AA15" s="5" t="s">
        <v>25</v>
      </c>
      <c r="AB15" s="106"/>
      <c r="AC15" s="5" t="s">
        <v>25</v>
      </c>
      <c r="AD15" s="5" t="s">
        <v>25</v>
      </c>
      <c r="AE15" s="17" t="s">
        <v>25</v>
      </c>
      <c r="AF15" s="5" t="s">
        <v>25</v>
      </c>
      <c r="AG15" s="17" t="s">
        <v>25</v>
      </c>
      <c r="AH15" s="5"/>
      <c r="AI15" s="4">
        <f t="shared" si="1"/>
        <v>19</v>
      </c>
      <c r="AJ15" s="4">
        <f t="shared" si="2"/>
        <v>5</v>
      </c>
      <c r="AK15" s="4" t="s">
        <v>16</v>
      </c>
      <c r="AL15" s="9">
        <f>AL14/AL13</f>
        <v>0.7142857142857143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40</v>
      </c>
      <c r="C16" s="83" t="s">
        <v>165</v>
      </c>
      <c r="D16" s="14" t="s">
        <v>70</v>
      </c>
      <c r="E16" s="5" t="s">
        <v>71</v>
      </c>
      <c r="F16" s="5" t="s">
        <v>24</v>
      </c>
      <c r="G16" s="106"/>
      <c r="H16" s="5" t="s">
        <v>25</v>
      </c>
      <c r="I16" s="5" t="s">
        <v>25</v>
      </c>
      <c r="J16" s="5" t="s">
        <v>25</v>
      </c>
      <c r="K16" s="5" t="s">
        <v>24</v>
      </c>
      <c r="L16" s="5" t="s">
        <v>25</v>
      </c>
      <c r="M16" s="110"/>
      <c r="N16" s="106"/>
      <c r="O16" s="5" t="s">
        <v>25</v>
      </c>
      <c r="P16" s="5" t="s">
        <v>24</v>
      </c>
      <c r="Q16" s="5" t="s">
        <v>25</v>
      </c>
      <c r="R16" s="5" t="s">
        <v>25</v>
      </c>
      <c r="S16" s="5" t="s">
        <v>25</v>
      </c>
      <c r="T16" s="5" t="s">
        <v>25</v>
      </c>
      <c r="U16" s="106"/>
      <c r="V16" s="5" t="s">
        <v>25</v>
      </c>
      <c r="W16" s="5" t="s">
        <v>25</v>
      </c>
      <c r="X16" s="5" t="s">
        <v>25</v>
      </c>
      <c r="Y16" s="5" t="s">
        <v>25</v>
      </c>
      <c r="Z16" s="5" t="s">
        <v>25</v>
      </c>
      <c r="AA16" s="5" t="s">
        <v>25</v>
      </c>
      <c r="AB16" s="106"/>
      <c r="AC16" s="5" t="s">
        <v>25</v>
      </c>
      <c r="AD16" s="5" t="s">
        <v>25</v>
      </c>
      <c r="AE16" s="17" t="s">
        <v>25</v>
      </c>
      <c r="AF16" s="5" t="s">
        <v>25</v>
      </c>
      <c r="AG16" s="17" t="s">
        <v>25</v>
      </c>
      <c r="AH16" s="5"/>
      <c r="AI16" s="4">
        <f t="shared" si="1"/>
        <v>21</v>
      </c>
      <c r="AJ16" s="4">
        <f t="shared" si="2"/>
        <v>3</v>
      </c>
      <c r="AK16"/>
      <c r="AL16"/>
      <c r="AM16"/>
      <c r="AN16"/>
    </row>
    <row r="17" spans="1:40" ht="16.5">
      <c r="A17" s="15">
        <v>13</v>
      </c>
      <c r="B17" s="83" t="s">
        <v>380</v>
      </c>
      <c r="C17" s="83" t="s">
        <v>195</v>
      </c>
      <c r="D17" s="14" t="s">
        <v>70</v>
      </c>
      <c r="E17" s="5" t="s">
        <v>24</v>
      </c>
      <c r="F17" s="5" t="s">
        <v>71</v>
      </c>
      <c r="G17" s="106"/>
      <c r="H17" s="5" t="s">
        <v>24</v>
      </c>
      <c r="I17" s="5" t="s">
        <v>25</v>
      </c>
      <c r="J17" s="5" t="s">
        <v>25</v>
      </c>
      <c r="K17" s="5" t="s">
        <v>24</v>
      </c>
      <c r="L17" s="5" t="s">
        <v>25</v>
      </c>
      <c r="M17" s="110"/>
      <c r="N17" s="106"/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106"/>
      <c r="V17" s="5" t="s">
        <v>24</v>
      </c>
      <c r="W17" s="5" t="s">
        <v>24</v>
      </c>
      <c r="X17" s="5" t="s">
        <v>24</v>
      </c>
      <c r="Y17" s="5" t="s">
        <v>24</v>
      </c>
      <c r="Z17" s="5" t="s">
        <v>24</v>
      </c>
      <c r="AA17" s="5" t="s">
        <v>24</v>
      </c>
      <c r="AB17" s="106"/>
      <c r="AC17" s="5" t="s">
        <v>25</v>
      </c>
      <c r="AD17" s="5" t="s">
        <v>25</v>
      </c>
      <c r="AE17" s="17" t="s">
        <v>25</v>
      </c>
      <c r="AF17" s="5" t="s">
        <v>25</v>
      </c>
      <c r="AG17" s="17" t="s">
        <v>25</v>
      </c>
      <c r="AH17" s="5"/>
      <c r="AI17" s="4">
        <f t="shared" si="1"/>
        <v>15</v>
      </c>
      <c r="AJ17" s="4">
        <f t="shared" si="2"/>
        <v>9</v>
      </c>
      <c r="AK17"/>
      <c r="AL17"/>
      <c r="AM17"/>
      <c r="AN17"/>
    </row>
    <row r="18" spans="1:40" ht="16.5">
      <c r="A18" s="7">
        <v>14</v>
      </c>
      <c r="B18" s="83" t="s">
        <v>94</v>
      </c>
      <c r="C18" s="83" t="s">
        <v>190</v>
      </c>
      <c r="D18" s="14" t="s">
        <v>70</v>
      </c>
      <c r="E18" s="5" t="s">
        <v>25</v>
      </c>
      <c r="F18" s="5" t="s">
        <v>71</v>
      </c>
      <c r="G18" s="106"/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24</v>
      </c>
      <c r="M18" s="110"/>
      <c r="N18" s="106"/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25</v>
      </c>
      <c r="T18" s="5" t="s">
        <v>25</v>
      </c>
      <c r="U18" s="106"/>
      <c r="V18" s="5" t="s">
        <v>25</v>
      </c>
      <c r="W18" s="5" t="s">
        <v>25</v>
      </c>
      <c r="X18" s="5" t="s">
        <v>25</v>
      </c>
      <c r="Y18" s="5" t="s">
        <v>25</v>
      </c>
      <c r="Z18" s="5" t="s">
        <v>25</v>
      </c>
      <c r="AA18" s="5" t="s">
        <v>25</v>
      </c>
      <c r="AB18" s="106"/>
      <c r="AC18" s="5" t="s">
        <v>25</v>
      </c>
      <c r="AD18" s="5" t="s">
        <v>24</v>
      </c>
      <c r="AE18" s="17" t="s">
        <v>25</v>
      </c>
      <c r="AF18" s="5" t="s">
        <v>25</v>
      </c>
      <c r="AG18" s="17" t="s">
        <v>25</v>
      </c>
      <c r="AH18" s="5"/>
      <c r="AI18" s="4">
        <f t="shared" si="1"/>
        <v>22</v>
      </c>
      <c r="AJ18" s="4">
        <f t="shared" si="2"/>
        <v>2</v>
      </c>
      <c r="AK18"/>
      <c r="AL18"/>
      <c r="AM18"/>
      <c r="AN18"/>
    </row>
    <row r="19" spans="1:40" ht="16.5">
      <c r="A19" s="15">
        <v>15</v>
      </c>
      <c r="B19" s="83" t="s">
        <v>381</v>
      </c>
      <c r="C19" s="83" t="s">
        <v>382</v>
      </c>
      <c r="D19" s="14" t="s">
        <v>70</v>
      </c>
      <c r="E19" s="5" t="s">
        <v>71</v>
      </c>
      <c r="F19" s="5" t="s">
        <v>24</v>
      </c>
      <c r="G19" s="106"/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110"/>
      <c r="N19" s="106"/>
      <c r="O19" s="5" t="s">
        <v>25</v>
      </c>
      <c r="P19" s="5" t="s">
        <v>25</v>
      </c>
      <c r="Q19" s="5" t="s">
        <v>25</v>
      </c>
      <c r="R19" s="5" t="s">
        <v>25</v>
      </c>
      <c r="S19" s="5" t="s">
        <v>25</v>
      </c>
      <c r="T19" s="5" t="s">
        <v>25</v>
      </c>
      <c r="U19" s="106"/>
      <c r="V19" s="5" t="s">
        <v>24</v>
      </c>
      <c r="W19" s="5" t="s">
        <v>24</v>
      </c>
      <c r="X19" s="5" t="s">
        <v>25</v>
      </c>
      <c r="Y19" s="5" t="s">
        <v>25</v>
      </c>
      <c r="Z19" s="5" t="s">
        <v>25</v>
      </c>
      <c r="AA19" s="5" t="s">
        <v>25</v>
      </c>
      <c r="AB19" s="106"/>
      <c r="AC19" s="5" t="s">
        <v>25</v>
      </c>
      <c r="AD19" s="5" t="s">
        <v>25</v>
      </c>
      <c r="AE19" s="17" t="s">
        <v>25</v>
      </c>
      <c r="AF19" s="5" t="s">
        <v>25</v>
      </c>
      <c r="AG19" s="17" t="s">
        <v>25</v>
      </c>
      <c r="AH19" s="5"/>
      <c r="AI19" s="4">
        <f t="shared" si="1"/>
        <v>21</v>
      </c>
      <c r="AJ19" s="4">
        <f t="shared" si="2"/>
        <v>3</v>
      </c>
      <c r="AK19" s="93" t="s">
        <v>35</v>
      </c>
      <c r="AL19" s="94"/>
      <c r="AM19" s="94"/>
      <c r="AN19" s="95"/>
    </row>
    <row r="20" spans="1:40" ht="16.5">
      <c r="A20" s="7">
        <v>16</v>
      </c>
      <c r="B20" s="83" t="s">
        <v>74</v>
      </c>
      <c r="C20" s="83" t="s">
        <v>20</v>
      </c>
      <c r="D20" s="14" t="s">
        <v>70</v>
      </c>
      <c r="E20" s="5" t="s">
        <v>71</v>
      </c>
      <c r="F20" s="5" t="s">
        <v>71</v>
      </c>
      <c r="G20" s="106"/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110"/>
      <c r="N20" s="106"/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106"/>
      <c r="V20" s="5" t="s">
        <v>25</v>
      </c>
      <c r="W20" s="5" t="s">
        <v>25</v>
      </c>
      <c r="X20" s="5" t="s">
        <v>25</v>
      </c>
      <c r="Y20" s="5" t="s">
        <v>25</v>
      </c>
      <c r="Z20" s="5" t="s">
        <v>25</v>
      </c>
      <c r="AA20" s="5" t="s">
        <v>25</v>
      </c>
      <c r="AB20" s="106"/>
      <c r="AC20" s="5" t="s">
        <v>25</v>
      </c>
      <c r="AD20" s="5" t="s">
        <v>25</v>
      </c>
      <c r="AE20" s="17" t="s">
        <v>25</v>
      </c>
      <c r="AF20" s="5" t="s">
        <v>25</v>
      </c>
      <c r="AG20" s="17" t="s">
        <v>25</v>
      </c>
      <c r="AH20" s="5"/>
      <c r="AI20" s="4">
        <f t="shared" si="1"/>
        <v>24</v>
      </c>
      <c r="AJ20" s="4">
        <f t="shared" si="2"/>
        <v>0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15">
        <v>17</v>
      </c>
      <c r="B21" s="83" t="s">
        <v>383</v>
      </c>
      <c r="C21" s="83" t="s">
        <v>319</v>
      </c>
      <c r="D21" s="14" t="s">
        <v>70</v>
      </c>
      <c r="E21" s="5" t="s">
        <v>24</v>
      </c>
      <c r="F21" s="5" t="s">
        <v>71</v>
      </c>
      <c r="G21" s="106"/>
      <c r="H21" s="5" t="s">
        <v>25</v>
      </c>
      <c r="I21" s="5" t="s">
        <v>25</v>
      </c>
      <c r="J21" s="5" t="s">
        <v>25</v>
      </c>
      <c r="K21" s="5" t="s">
        <v>24</v>
      </c>
      <c r="L21" s="5" t="s">
        <v>25</v>
      </c>
      <c r="M21" s="110"/>
      <c r="N21" s="106"/>
      <c r="O21" s="5" t="s">
        <v>25</v>
      </c>
      <c r="P21" s="5" t="s">
        <v>24</v>
      </c>
      <c r="Q21" s="5" t="s">
        <v>25</v>
      </c>
      <c r="R21" s="5" t="s">
        <v>25</v>
      </c>
      <c r="S21" s="5" t="s">
        <v>25</v>
      </c>
      <c r="T21" s="5" t="s">
        <v>24</v>
      </c>
      <c r="U21" s="106"/>
      <c r="V21" s="5" t="s">
        <v>25</v>
      </c>
      <c r="W21" s="5" t="s">
        <v>25</v>
      </c>
      <c r="X21" s="5" t="s">
        <v>25</v>
      </c>
      <c r="Y21" s="5" t="s">
        <v>25</v>
      </c>
      <c r="Z21" s="5" t="s">
        <v>25</v>
      </c>
      <c r="AA21" s="5" t="s">
        <v>25</v>
      </c>
      <c r="AB21" s="106"/>
      <c r="AC21" s="5" t="s">
        <v>24</v>
      </c>
      <c r="AD21" s="5" t="s">
        <v>25</v>
      </c>
      <c r="AE21" s="17" t="s">
        <v>25</v>
      </c>
      <c r="AF21" s="5" t="s">
        <v>25</v>
      </c>
      <c r="AG21" s="17" t="s">
        <v>25</v>
      </c>
      <c r="AH21" s="5"/>
      <c r="AI21" s="4">
        <f t="shared" si="1"/>
        <v>19</v>
      </c>
      <c r="AJ21" s="4">
        <f t="shared" si="2"/>
        <v>5</v>
      </c>
      <c r="AK21" s="4" t="s">
        <v>14</v>
      </c>
      <c r="AL21" s="7">
        <f>21*$AL$5</f>
        <v>525</v>
      </c>
      <c r="AM21" s="7">
        <f>32*$AL$5</f>
        <v>800</v>
      </c>
      <c r="AN21" s="7">
        <f>AL21+AM21</f>
        <v>1325</v>
      </c>
    </row>
    <row r="22" spans="1:40" ht="16.5">
      <c r="A22" s="7">
        <v>18</v>
      </c>
      <c r="B22" s="83" t="s">
        <v>44</v>
      </c>
      <c r="C22" s="83" t="s">
        <v>20</v>
      </c>
      <c r="D22" s="14" t="s">
        <v>70</v>
      </c>
      <c r="E22" s="5" t="s">
        <v>71</v>
      </c>
      <c r="F22" s="5" t="s">
        <v>71</v>
      </c>
      <c r="G22" s="106"/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110"/>
      <c r="N22" s="106"/>
      <c r="O22" s="5" t="s">
        <v>25</v>
      </c>
      <c r="P22" s="5" t="s">
        <v>25</v>
      </c>
      <c r="Q22" s="5" t="s">
        <v>25</v>
      </c>
      <c r="R22" s="5" t="s">
        <v>25</v>
      </c>
      <c r="S22" s="5" t="s">
        <v>25</v>
      </c>
      <c r="T22" s="5" t="s">
        <v>25</v>
      </c>
      <c r="U22" s="106"/>
      <c r="V22" s="5" t="s">
        <v>25</v>
      </c>
      <c r="W22" s="5" t="s">
        <v>25</v>
      </c>
      <c r="X22" s="5" t="s">
        <v>24</v>
      </c>
      <c r="Y22" s="5" t="s">
        <v>25</v>
      </c>
      <c r="Z22" s="5" t="s">
        <v>25</v>
      </c>
      <c r="AA22" s="5" t="s">
        <v>25</v>
      </c>
      <c r="AB22" s="106"/>
      <c r="AC22" s="5" t="s">
        <v>25</v>
      </c>
      <c r="AD22" s="5" t="s">
        <v>25</v>
      </c>
      <c r="AE22" s="17" t="s">
        <v>25</v>
      </c>
      <c r="AF22" s="5" t="s">
        <v>25</v>
      </c>
      <c r="AG22" s="17" t="s">
        <v>25</v>
      </c>
      <c r="AH22" s="5"/>
      <c r="AI22" s="4">
        <f t="shared" si="1"/>
        <v>23</v>
      </c>
      <c r="AJ22" s="4">
        <f t="shared" si="2"/>
        <v>1</v>
      </c>
      <c r="AK22" s="4" t="s">
        <v>17</v>
      </c>
      <c r="AL22" s="7">
        <f>AL21-AL14</f>
        <v>150</v>
      </c>
      <c r="AM22" s="7" t="e">
        <f>AM21-AM14</f>
        <v>#REF!</v>
      </c>
      <c r="AN22" s="7" t="e">
        <f>AL22+AM22</f>
        <v>#REF!</v>
      </c>
    </row>
    <row r="23" spans="1:40" ht="16.5">
      <c r="A23" s="15">
        <v>19</v>
      </c>
      <c r="B23" s="83" t="s">
        <v>384</v>
      </c>
      <c r="C23" s="83" t="s">
        <v>376</v>
      </c>
      <c r="D23" s="14" t="s">
        <v>70</v>
      </c>
      <c r="E23" s="5" t="s">
        <v>25</v>
      </c>
      <c r="F23" s="5" t="s">
        <v>25</v>
      </c>
      <c r="G23" s="106"/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110"/>
      <c r="N23" s="106"/>
      <c r="O23" s="5" t="s">
        <v>24</v>
      </c>
      <c r="P23" s="5" t="s">
        <v>25</v>
      </c>
      <c r="Q23" s="5" t="s">
        <v>24</v>
      </c>
      <c r="R23" s="5" t="s">
        <v>24</v>
      </c>
      <c r="S23" s="5" t="s">
        <v>24</v>
      </c>
      <c r="T23" s="5" t="s">
        <v>24</v>
      </c>
      <c r="U23" s="106"/>
      <c r="V23" s="5" t="s">
        <v>24</v>
      </c>
      <c r="W23" s="5" t="s">
        <v>24</v>
      </c>
      <c r="X23" s="5" t="s">
        <v>24</v>
      </c>
      <c r="Y23" s="5" t="s">
        <v>24</v>
      </c>
      <c r="Z23" s="5" t="s">
        <v>24</v>
      </c>
      <c r="AA23" s="5" t="s">
        <v>24</v>
      </c>
      <c r="AB23" s="106"/>
      <c r="AC23" s="5" t="s">
        <v>24</v>
      </c>
      <c r="AD23" s="5" t="s">
        <v>24</v>
      </c>
      <c r="AE23" s="17" t="s">
        <v>24</v>
      </c>
      <c r="AF23" s="5" t="s">
        <v>24</v>
      </c>
      <c r="AG23" s="17" t="s">
        <v>24</v>
      </c>
      <c r="AH23" s="5"/>
      <c r="AI23" s="4">
        <f t="shared" si="1"/>
        <v>8</v>
      </c>
      <c r="AJ23" s="4">
        <f t="shared" si="2"/>
        <v>16</v>
      </c>
      <c r="AK23" s="4" t="s">
        <v>16</v>
      </c>
      <c r="AL23" s="9">
        <f>AL22/AL21</f>
        <v>0.2857142857142857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329</v>
      </c>
      <c r="C24" s="83" t="s">
        <v>154</v>
      </c>
      <c r="D24" s="14" t="s">
        <v>70</v>
      </c>
      <c r="E24" s="5" t="s">
        <v>71</v>
      </c>
      <c r="F24" s="5" t="s">
        <v>24</v>
      </c>
      <c r="G24" s="106"/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110"/>
      <c r="N24" s="106"/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24</v>
      </c>
      <c r="T24" s="5" t="s">
        <v>24</v>
      </c>
      <c r="U24" s="106"/>
      <c r="V24" s="5" t="s">
        <v>24</v>
      </c>
      <c r="W24" s="5" t="s">
        <v>24</v>
      </c>
      <c r="X24" s="5" t="s">
        <v>24</v>
      </c>
      <c r="Y24" s="5" t="s">
        <v>24</v>
      </c>
      <c r="Z24" s="5" t="s">
        <v>24</v>
      </c>
      <c r="AA24" s="5" t="s">
        <v>24</v>
      </c>
      <c r="AB24" s="106"/>
      <c r="AC24" s="5" t="s">
        <v>24</v>
      </c>
      <c r="AD24" s="5" t="s">
        <v>24</v>
      </c>
      <c r="AE24" s="17" t="s">
        <v>24</v>
      </c>
      <c r="AF24" s="5" t="s">
        <v>24</v>
      </c>
      <c r="AG24" s="17" t="s">
        <v>25</v>
      </c>
      <c r="AH24" s="5"/>
      <c r="AI24" s="4">
        <f t="shared" si="1"/>
        <v>11</v>
      </c>
      <c r="AJ24" s="4">
        <f t="shared" si="2"/>
        <v>13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24"/>
    <mergeCell ref="M5:M24"/>
    <mergeCell ref="N5:N24"/>
    <mergeCell ref="U5:U24"/>
    <mergeCell ref="AB5:AB24"/>
    <mergeCell ref="AK11:AN11"/>
    <mergeCell ref="AK19:AN19"/>
  </mergeCells>
  <conditionalFormatting sqref="E5:N5 E6:F24 H6:L24 E4:AH4">
    <cfRule type="expression" dxfId="48" priority="31">
      <formula>IF(E$4=TODAY(),TRUE,FALSE)</formula>
    </cfRule>
  </conditionalFormatting>
  <conditionalFormatting sqref="E5:N5 E6:F24 H6:L24">
    <cfRule type="cellIs" dxfId="47" priority="28" operator="equal">
      <formula>"L"</formula>
    </cfRule>
    <cfRule type="cellIs" dxfId="46" priority="29" operator="equal">
      <formula>"A"</formula>
    </cfRule>
    <cfRule type="cellIs" dxfId="45" priority="30" operator="equal">
      <formula>"P"</formula>
    </cfRule>
  </conditionalFormatting>
  <conditionalFormatting sqref="E3:AH4 E5:N5 E6:F24 H6:L24">
    <cfRule type="expression" dxfId="44" priority="32">
      <formula>E$3="Sun"</formula>
    </cfRule>
  </conditionalFormatting>
  <conditionalFormatting sqref="O5:T24 V5:AA24 AC5:AH24">
    <cfRule type="cellIs" dxfId="43" priority="17" operator="equal">
      <formula>"L"</formula>
    </cfRule>
    <cfRule type="cellIs" dxfId="42" priority="18" operator="equal">
      <formula>"A"</formula>
    </cfRule>
    <cfRule type="cellIs" dxfId="41" priority="19" operator="equal">
      <formula>"P"</formula>
    </cfRule>
    <cfRule type="expression" dxfId="40" priority="20">
      <formula>IF(O$4=TODAY(),TRUE,FALSE)</formula>
    </cfRule>
    <cfRule type="expression" dxfId="39" priority="21">
      <formula>O$3="Sun"</formula>
    </cfRule>
  </conditionalFormatting>
  <conditionalFormatting sqref="U5">
    <cfRule type="cellIs" dxfId="38" priority="12" operator="equal">
      <formula>"L"</formula>
    </cfRule>
    <cfRule type="cellIs" dxfId="37" priority="13" operator="equal">
      <formula>"A"</formula>
    </cfRule>
    <cfRule type="cellIs" dxfId="36" priority="14" operator="equal">
      <formula>"P"</formula>
    </cfRule>
    <cfRule type="expression" dxfId="35" priority="15">
      <formula>IF(U$4=TODAY(),TRUE,FALSE)</formula>
    </cfRule>
    <cfRule type="expression" dxfId="34" priority="16">
      <formula>U$3="Sun"</formula>
    </cfRule>
  </conditionalFormatting>
  <conditionalFormatting sqref="AB5">
    <cfRule type="cellIs" dxfId="33" priority="7" operator="equal">
      <formula>"L"</formula>
    </cfRule>
    <cfRule type="cellIs" dxfId="32" priority="8" operator="equal">
      <formula>"A"</formula>
    </cfRule>
    <cfRule type="cellIs" dxfId="31" priority="9" operator="equal">
      <formula>"P"</formula>
    </cfRule>
    <cfRule type="expression" dxfId="30" priority="10">
      <formula>IF(AB$4=TODAY(),TRUE,FALSE)</formula>
    </cfRule>
    <cfRule type="expression" dxfId="29" priority="11">
      <formula>AB$3="Sun"</formula>
    </cfRule>
  </conditionalFormatting>
  <conditionalFormatting sqref="AI3:AJ3 AI5:AJ24">
    <cfRule type="expression" dxfId="28" priority="33">
      <formula>#REF!="Sun"</formula>
    </cfRule>
  </conditionalFormatting>
  <conditionalFormatting sqref="AK5:AK9">
    <cfRule type="expression" dxfId="27" priority="4">
      <formula>AK$3="Sun"</formula>
    </cfRule>
  </conditionalFormatting>
  <conditionalFormatting sqref="AK12:AK15">
    <cfRule type="expression" dxfId="26" priority="2">
      <formula>AK$3="Sun"</formula>
    </cfRule>
  </conditionalFormatting>
  <conditionalFormatting sqref="AK20:AK23">
    <cfRule type="expression" dxfId="25" priority="1">
      <formula>AK$3="Sun"</formula>
    </cfRule>
  </conditionalFormatting>
  <conditionalFormatting sqref="AK4:AL4">
    <cfRule type="expression" dxfId="24" priority="5">
      <formula>AK$3="Sun"</formula>
    </cfRule>
  </conditionalFormatting>
  <conditionalFormatting sqref="AL12:AN12 AL20:AN20">
    <cfRule type="expression" dxfId="23" priority="6">
      <formula>AL$3="Sun"</formula>
    </cfRule>
  </conditionalFormatting>
  <conditionalFormatting sqref="AN21">
    <cfRule type="expression" dxfId="22" priority="3">
      <formula>AN$3="Sun"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N28"/>
  <sheetViews>
    <sheetView topLeftCell="A7" workbookViewId="0">
      <selection activeCell="AC27" sqref="AC2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100" t="s">
        <v>18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40" ht="17.25">
      <c r="A2" s="101" t="s">
        <v>28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40" ht="15.75">
      <c r="A3" s="103" t="s">
        <v>0</v>
      </c>
      <c r="B3" s="103" t="s">
        <v>1</v>
      </c>
      <c r="C3" s="103" t="s">
        <v>2</v>
      </c>
      <c r="D3" s="103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96" t="s">
        <v>4</v>
      </c>
      <c r="AJ3" s="96" t="s">
        <v>5</v>
      </c>
      <c r="AK3" s="93" t="s">
        <v>32</v>
      </c>
      <c r="AL3" s="94"/>
      <c r="AM3" s="3"/>
      <c r="AN3" s="3"/>
    </row>
    <row r="4" spans="1:40" ht="37.5">
      <c r="A4" s="104"/>
      <c r="B4" s="104"/>
      <c r="C4" s="104"/>
      <c r="D4" s="104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96"/>
      <c r="AJ4" s="96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385</v>
      </c>
      <c r="C5" s="83" t="s">
        <v>291</v>
      </c>
      <c r="D5" s="14" t="s">
        <v>77</v>
      </c>
      <c r="E5" s="5" t="s">
        <v>25</v>
      </c>
      <c r="F5" s="5" t="s">
        <v>25</v>
      </c>
      <c r="G5" s="105" t="s">
        <v>78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109" t="s">
        <v>79</v>
      </c>
      <c r="N5" s="105" t="s">
        <v>78</v>
      </c>
      <c r="O5" s="5" t="s">
        <v>25</v>
      </c>
      <c r="P5" s="5" t="s">
        <v>25</v>
      </c>
      <c r="Q5" s="5" t="s">
        <v>24</v>
      </c>
      <c r="R5" s="5" t="s">
        <v>25</v>
      </c>
      <c r="S5" s="5" t="s">
        <v>25</v>
      </c>
      <c r="T5" s="5" t="s">
        <v>24</v>
      </c>
      <c r="U5" s="105" t="s">
        <v>78</v>
      </c>
      <c r="V5" s="5" t="s">
        <v>25</v>
      </c>
      <c r="W5" s="5" t="s">
        <v>25</v>
      </c>
      <c r="X5" s="5" t="s">
        <v>25</v>
      </c>
      <c r="Y5" s="5" t="s">
        <v>25</v>
      </c>
      <c r="Z5" s="5" t="s">
        <v>25</v>
      </c>
      <c r="AA5" s="5" t="s">
        <v>25</v>
      </c>
      <c r="AB5" s="105" t="s">
        <v>78</v>
      </c>
      <c r="AC5" s="5" t="s">
        <v>25</v>
      </c>
      <c r="AD5" s="5" t="s">
        <v>25</v>
      </c>
      <c r="AE5" s="111"/>
      <c r="AF5" s="5" t="s">
        <v>25</v>
      </c>
      <c r="AG5" s="5" t="s">
        <v>25</v>
      </c>
      <c r="AH5" s="5" t="s">
        <v>25</v>
      </c>
      <c r="AI5" s="4">
        <f t="shared" ref="AI5:AI28" si="1">COUNTIF(E5:AH5,"P")</f>
        <v>22</v>
      </c>
      <c r="AJ5" s="4">
        <f t="shared" ref="AJ5:AJ28" si="2">COUNTIF(E5:AH5,"A")</f>
        <v>2</v>
      </c>
      <c r="AK5" s="4" t="s">
        <v>7</v>
      </c>
      <c r="AL5" s="7">
        <v>25</v>
      </c>
      <c r="AM5" s="8"/>
      <c r="AN5" s="3"/>
    </row>
    <row r="6" spans="1:40" ht="15.75">
      <c r="A6" s="7">
        <v>2</v>
      </c>
      <c r="B6" s="83" t="s">
        <v>386</v>
      </c>
      <c r="C6" s="83" t="s">
        <v>45</v>
      </c>
      <c r="D6" s="14" t="s">
        <v>77</v>
      </c>
      <c r="E6" s="5" t="s">
        <v>25</v>
      </c>
      <c r="F6" s="5" t="s">
        <v>25</v>
      </c>
      <c r="G6" s="106"/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110"/>
      <c r="N6" s="106"/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106"/>
      <c r="V6" s="5" t="s">
        <v>25</v>
      </c>
      <c r="W6" s="5" t="s">
        <v>25</v>
      </c>
      <c r="X6" s="5" t="s">
        <v>25</v>
      </c>
      <c r="Y6" s="5" t="s">
        <v>25</v>
      </c>
      <c r="Z6" s="5" t="s">
        <v>25</v>
      </c>
      <c r="AA6" s="5" t="s">
        <v>25</v>
      </c>
      <c r="AB6" s="106"/>
      <c r="AC6" s="5" t="s">
        <v>25</v>
      </c>
      <c r="AD6" s="5" t="s">
        <v>25</v>
      </c>
      <c r="AE6" s="112"/>
      <c r="AF6" s="5" t="s">
        <v>25</v>
      </c>
      <c r="AG6" s="5" t="s">
        <v>25</v>
      </c>
      <c r="AH6" s="5" t="s">
        <v>25</v>
      </c>
      <c r="AI6" s="4">
        <f t="shared" si="1"/>
        <v>24</v>
      </c>
      <c r="AJ6" s="4">
        <f t="shared" si="2"/>
        <v>0</v>
      </c>
      <c r="AK6" s="4" t="s">
        <v>8</v>
      </c>
      <c r="AL6" s="7">
        <v>4</v>
      </c>
      <c r="AM6" s="3"/>
      <c r="AN6" s="3"/>
    </row>
    <row r="7" spans="1:40" ht="15.75">
      <c r="A7" s="15">
        <v>3</v>
      </c>
      <c r="B7" s="83" t="s">
        <v>387</v>
      </c>
      <c r="C7" s="83" t="s">
        <v>175</v>
      </c>
      <c r="D7" s="14" t="s">
        <v>77</v>
      </c>
      <c r="E7" s="5" t="s">
        <v>25</v>
      </c>
      <c r="F7" s="5" t="s">
        <v>25</v>
      </c>
      <c r="G7" s="106"/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110"/>
      <c r="N7" s="106"/>
      <c r="O7" s="5" t="s">
        <v>25</v>
      </c>
      <c r="P7" s="5" t="s">
        <v>25</v>
      </c>
      <c r="Q7" s="5" t="s">
        <v>24</v>
      </c>
      <c r="R7" s="5" t="s">
        <v>25</v>
      </c>
      <c r="S7" s="5" t="s">
        <v>25</v>
      </c>
      <c r="T7" s="5" t="s">
        <v>24</v>
      </c>
      <c r="U7" s="106"/>
      <c r="V7" s="5" t="s">
        <v>24</v>
      </c>
      <c r="W7" s="5" t="s">
        <v>24</v>
      </c>
      <c r="X7" s="5" t="s">
        <v>25</v>
      </c>
      <c r="Y7" s="5" t="s">
        <v>25</v>
      </c>
      <c r="Z7" s="5" t="s">
        <v>25</v>
      </c>
      <c r="AA7" s="5" t="s">
        <v>25</v>
      </c>
      <c r="AB7" s="106"/>
      <c r="AC7" s="5" t="s">
        <v>25</v>
      </c>
      <c r="AD7" s="5" t="s">
        <v>24</v>
      </c>
      <c r="AE7" s="112"/>
      <c r="AF7" s="5" t="s">
        <v>25</v>
      </c>
      <c r="AG7" s="5" t="s">
        <v>25</v>
      </c>
      <c r="AH7" s="5" t="s">
        <v>25</v>
      </c>
      <c r="AI7" s="4">
        <f t="shared" si="1"/>
        <v>19</v>
      </c>
      <c r="AJ7" s="4">
        <f t="shared" si="2"/>
        <v>5</v>
      </c>
      <c r="AK7" s="4" t="s">
        <v>36</v>
      </c>
      <c r="AL7" s="7">
        <v>1</v>
      </c>
      <c r="AM7" s="3"/>
      <c r="AN7" s="3"/>
    </row>
    <row r="8" spans="1:40" ht="15.75">
      <c r="A8" s="7">
        <v>4</v>
      </c>
      <c r="B8" s="83" t="s">
        <v>247</v>
      </c>
      <c r="C8" s="83" t="s">
        <v>388</v>
      </c>
      <c r="D8" s="14" t="s">
        <v>77</v>
      </c>
      <c r="E8" s="5" t="s">
        <v>25</v>
      </c>
      <c r="F8" s="5" t="s">
        <v>24</v>
      </c>
      <c r="G8" s="106"/>
      <c r="H8" s="5" t="s">
        <v>25</v>
      </c>
      <c r="I8" s="5" t="s">
        <v>25</v>
      </c>
      <c r="J8" s="5" t="s">
        <v>25</v>
      </c>
      <c r="K8" s="5" t="s">
        <v>25</v>
      </c>
      <c r="L8" s="5" t="s">
        <v>24</v>
      </c>
      <c r="M8" s="110"/>
      <c r="N8" s="106"/>
      <c r="O8" s="5" t="s">
        <v>25</v>
      </c>
      <c r="P8" s="5" t="s">
        <v>25</v>
      </c>
      <c r="Q8" s="5" t="s">
        <v>24</v>
      </c>
      <c r="R8" s="5" t="s">
        <v>24</v>
      </c>
      <c r="S8" s="5" t="s">
        <v>24</v>
      </c>
      <c r="T8" s="5" t="s">
        <v>24</v>
      </c>
      <c r="U8" s="106"/>
      <c r="V8" s="5" t="s">
        <v>24</v>
      </c>
      <c r="W8" s="5" t="s">
        <v>25</v>
      </c>
      <c r="X8" s="5" t="s">
        <v>25</v>
      </c>
      <c r="Y8" s="5" t="s">
        <v>25</v>
      </c>
      <c r="Z8" s="5" t="s">
        <v>25</v>
      </c>
      <c r="AA8" s="5" t="s">
        <v>25</v>
      </c>
      <c r="AB8" s="106"/>
      <c r="AC8" s="5" t="s">
        <v>25</v>
      </c>
      <c r="AD8" s="5" t="s">
        <v>25</v>
      </c>
      <c r="AE8" s="112"/>
      <c r="AF8" s="5" t="s">
        <v>25</v>
      </c>
      <c r="AG8" s="5" t="s">
        <v>25</v>
      </c>
      <c r="AH8" s="5" t="s">
        <v>25</v>
      </c>
      <c r="AI8" s="4">
        <f t="shared" si="1"/>
        <v>17</v>
      </c>
      <c r="AJ8" s="4">
        <f t="shared" si="2"/>
        <v>7</v>
      </c>
      <c r="AK8" s="4"/>
      <c r="AL8" s="7"/>
      <c r="AM8"/>
      <c r="AN8"/>
    </row>
    <row r="9" spans="1:40" ht="15.75">
      <c r="A9" s="15">
        <v>5</v>
      </c>
      <c r="B9" s="83" t="s">
        <v>389</v>
      </c>
      <c r="C9" s="83" t="s">
        <v>20</v>
      </c>
      <c r="D9" s="14" t="s">
        <v>77</v>
      </c>
      <c r="E9" s="5" t="s">
        <v>25</v>
      </c>
      <c r="F9" s="5" t="s">
        <v>24</v>
      </c>
      <c r="G9" s="106"/>
      <c r="H9" s="5" t="s">
        <v>25</v>
      </c>
      <c r="I9" s="5" t="s">
        <v>25</v>
      </c>
      <c r="J9" s="5" t="s">
        <v>25</v>
      </c>
      <c r="K9" s="5" t="s">
        <v>24</v>
      </c>
      <c r="L9" s="5" t="s">
        <v>25</v>
      </c>
      <c r="M9" s="110"/>
      <c r="N9" s="106"/>
      <c r="O9" s="5" t="s">
        <v>25</v>
      </c>
      <c r="P9" s="5" t="s">
        <v>24</v>
      </c>
      <c r="Q9" s="5" t="s">
        <v>25</v>
      </c>
      <c r="R9" s="5" t="s">
        <v>25</v>
      </c>
      <c r="S9" s="5" t="s">
        <v>25</v>
      </c>
      <c r="T9" s="5" t="s">
        <v>24</v>
      </c>
      <c r="U9" s="106"/>
      <c r="V9" s="5" t="s">
        <v>25</v>
      </c>
      <c r="W9" s="5" t="s">
        <v>25</v>
      </c>
      <c r="X9" s="5" t="s">
        <v>24</v>
      </c>
      <c r="Y9" s="5" t="s">
        <v>25</v>
      </c>
      <c r="Z9" s="5" t="s">
        <v>24</v>
      </c>
      <c r="AA9" s="5" t="s">
        <v>24</v>
      </c>
      <c r="AB9" s="106"/>
      <c r="AC9" s="5" t="s">
        <v>25</v>
      </c>
      <c r="AD9" s="5" t="s">
        <v>25</v>
      </c>
      <c r="AE9" s="112"/>
      <c r="AF9" s="5" t="s">
        <v>25</v>
      </c>
      <c r="AG9" s="5" t="s">
        <v>24</v>
      </c>
      <c r="AH9" s="5" t="s">
        <v>25</v>
      </c>
      <c r="AI9" s="4">
        <f t="shared" si="1"/>
        <v>16</v>
      </c>
      <c r="AJ9" s="4">
        <f t="shared" si="2"/>
        <v>8</v>
      </c>
      <c r="AK9" s="4"/>
      <c r="AL9" s="7"/>
    </row>
    <row r="10" spans="1:40" ht="15.75">
      <c r="A10" s="7">
        <v>6</v>
      </c>
      <c r="B10" s="83" t="s">
        <v>390</v>
      </c>
      <c r="C10" s="83" t="s">
        <v>391</v>
      </c>
      <c r="D10" s="14" t="s">
        <v>77</v>
      </c>
      <c r="E10" s="5" t="s">
        <v>25</v>
      </c>
      <c r="F10" s="5" t="s">
        <v>24</v>
      </c>
      <c r="G10" s="106"/>
      <c r="H10" s="5" t="s">
        <v>25</v>
      </c>
      <c r="I10" s="5" t="s">
        <v>24</v>
      </c>
      <c r="J10" s="5" t="s">
        <v>25</v>
      </c>
      <c r="K10" s="5" t="s">
        <v>25</v>
      </c>
      <c r="L10" s="5" t="s">
        <v>25</v>
      </c>
      <c r="M10" s="110"/>
      <c r="N10" s="106"/>
      <c r="O10" s="5" t="s">
        <v>25</v>
      </c>
      <c r="P10" s="5" t="s">
        <v>24</v>
      </c>
      <c r="Q10" s="5" t="s">
        <v>25</v>
      </c>
      <c r="R10" s="5" t="s">
        <v>25</v>
      </c>
      <c r="S10" s="5" t="s">
        <v>25</v>
      </c>
      <c r="T10" s="5" t="s">
        <v>25</v>
      </c>
      <c r="U10" s="106"/>
      <c r="V10" s="5" t="s">
        <v>25</v>
      </c>
      <c r="W10" s="5" t="s">
        <v>25</v>
      </c>
      <c r="X10" s="5" t="s">
        <v>24</v>
      </c>
      <c r="Y10" s="5" t="s">
        <v>25</v>
      </c>
      <c r="Z10" s="5" t="s">
        <v>25</v>
      </c>
      <c r="AA10" s="5" t="s">
        <v>25</v>
      </c>
      <c r="AB10" s="106"/>
      <c r="AC10" s="5" t="s">
        <v>25</v>
      </c>
      <c r="AD10" s="5" t="s">
        <v>25</v>
      </c>
      <c r="AE10" s="112"/>
      <c r="AF10" s="5" t="s">
        <v>25</v>
      </c>
      <c r="AG10" s="5" t="s">
        <v>24</v>
      </c>
      <c r="AH10" s="5" t="s">
        <v>25</v>
      </c>
      <c r="AI10" s="4">
        <f t="shared" si="1"/>
        <v>19</v>
      </c>
      <c r="AJ10" s="4">
        <f t="shared" si="2"/>
        <v>5</v>
      </c>
    </row>
    <row r="11" spans="1:40" ht="15.75">
      <c r="A11" s="15">
        <v>7</v>
      </c>
      <c r="B11" s="83" t="s">
        <v>60</v>
      </c>
      <c r="C11" s="83" t="s">
        <v>392</v>
      </c>
      <c r="D11" s="14" t="s">
        <v>77</v>
      </c>
      <c r="E11" s="5" t="s">
        <v>24</v>
      </c>
      <c r="F11" s="5" t="s">
        <v>24</v>
      </c>
      <c r="G11" s="106"/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110"/>
      <c r="N11" s="106"/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24</v>
      </c>
      <c r="U11" s="106"/>
      <c r="V11" s="5" t="s">
        <v>25</v>
      </c>
      <c r="W11" s="5" t="s">
        <v>25</v>
      </c>
      <c r="X11" s="5" t="s">
        <v>25</v>
      </c>
      <c r="Y11" s="5" t="s">
        <v>25</v>
      </c>
      <c r="Z11" s="5" t="s">
        <v>24</v>
      </c>
      <c r="AA11" s="5" t="s">
        <v>25</v>
      </c>
      <c r="AB11" s="106"/>
      <c r="AC11" s="5" t="s">
        <v>25</v>
      </c>
      <c r="AD11" s="5" t="s">
        <v>25</v>
      </c>
      <c r="AE11" s="112"/>
      <c r="AF11" s="5" t="s">
        <v>25</v>
      </c>
      <c r="AG11" s="5" t="s">
        <v>24</v>
      </c>
      <c r="AH11" s="5" t="s">
        <v>25</v>
      </c>
      <c r="AI11" s="4">
        <f t="shared" si="1"/>
        <v>19</v>
      </c>
      <c r="AJ11" s="4">
        <f t="shared" si="2"/>
        <v>5</v>
      </c>
      <c r="AK11" s="93" t="s">
        <v>9</v>
      </c>
      <c r="AL11" s="94"/>
      <c r="AM11" s="94"/>
      <c r="AN11" s="95"/>
    </row>
    <row r="12" spans="1:40" ht="15.75">
      <c r="A12" s="7">
        <v>8</v>
      </c>
      <c r="B12" s="83" t="s">
        <v>393</v>
      </c>
      <c r="C12" s="83" t="s">
        <v>394</v>
      </c>
      <c r="D12" s="14" t="s">
        <v>77</v>
      </c>
      <c r="E12" s="5" t="s">
        <v>25</v>
      </c>
      <c r="F12" s="5" t="s">
        <v>25</v>
      </c>
      <c r="G12" s="106"/>
      <c r="H12" s="5" t="s">
        <v>25</v>
      </c>
      <c r="I12" s="5" t="s">
        <v>25</v>
      </c>
      <c r="J12" s="5" t="s">
        <v>25</v>
      </c>
      <c r="K12" s="5" t="s">
        <v>24</v>
      </c>
      <c r="L12" s="5" t="s">
        <v>25</v>
      </c>
      <c r="M12" s="110"/>
      <c r="N12" s="106"/>
      <c r="O12" s="5" t="s">
        <v>25</v>
      </c>
      <c r="P12" s="5" t="s">
        <v>24</v>
      </c>
      <c r="Q12" s="5" t="s">
        <v>24</v>
      </c>
      <c r="R12" s="5" t="s">
        <v>25</v>
      </c>
      <c r="S12" s="5" t="s">
        <v>25</v>
      </c>
      <c r="T12" s="5" t="s">
        <v>24</v>
      </c>
      <c r="U12" s="106"/>
      <c r="V12" s="5" t="s">
        <v>25</v>
      </c>
      <c r="W12" s="5" t="s">
        <v>24</v>
      </c>
      <c r="X12" s="5" t="s">
        <v>25</v>
      </c>
      <c r="Y12" s="5" t="s">
        <v>25</v>
      </c>
      <c r="Z12" s="5" t="s">
        <v>25</v>
      </c>
      <c r="AA12" s="5" t="s">
        <v>25</v>
      </c>
      <c r="AB12" s="106"/>
      <c r="AC12" s="5" t="s">
        <v>25</v>
      </c>
      <c r="AD12" s="5" t="s">
        <v>25</v>
      </c>
      <c r="AE12" s="112"/>
      <c r="AF12" s="5" t="s">
        <v>25</v>
      </c>
      <c r="AG12" s="5" t="s">
        <v>24</v>
      </c>
      <c r="AH12" s="5" t="s">
        <v>25</v>
      </c>
      <c r="AI12" s="4">
        <f t="shared" si="1"/>
        <v>18</v>
      </c>
      <c r="AJ12" s="4">
        <f t="shared" si="2"/>
        <v>6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5.75">
      <c r="A13" s="15">
        <v>9</v>
      </c>
      <c r="B13" s="83" t="s">
        <v>395</v>
      </c>
      <c r="C13" s="83" t="s">
        <v>186</v>
      </c>
      <c r="D13" s="14" t="s">
        <v>77</v>
      </c>
      <c r="E13" s="5" t="s">
        <v>25</v>
      </c>
      <c r="F13" s="5" t="s">
        <v>25</v>
      </c>
      <c r="G13" s="106"/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110"/>
      <c r="N13" s="106"/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106"/>
      <c r="V13" s="5" t="s">
        <v>25</v>
      </c>
      <c r="W13" s="5" t="s">
        <v>25</v>
      </c>
      <c r="X13" s="5" t="s">
        <v>25</v>
      </c>
      <c r="Y13" s="5" t="s">
        <v>25</v>
      </c>
      <c r="Z13" s="5" t="s">
        <v>25</v>
      </c>
      <c r="AA13" s="5" t="s">
        <v>25</v>
      </c>
      <c r="AB13" s="106"/>
      <c r="AC13" s="5" t="s">
        <v>25</v>
      </c>
      <c r="AD13" s="5" t="s">
        <v>25</v>
      </c>
      <c r="AE13" s="112"/>
      <c r="AF13" s="5" t="s">
        <v>25</v>
      </c>
      <c r="AG13" s="5" t="s">
        <v>24</v>
      </c>
      <c r="AH13" s="5" t="s">
        <v>25</v>
      </c>
      <c r="AI13" s="4">
        <f t="shared" si="1"/>
        <v>23</v>
      </c>
      <c r="AJ13" s="4">
        <f t="shared" si="2"/>
        <v>1</v>
      </c>
      <c r="AK13" s="4" t="s">
        <v>14</v>
      </c>
      <c r="AL13" s="7">
        <f>23*$AL$5</f>
        <v>575</v>
      </c>
      <c r="AM13" s="7">
        <f>23*$AL$5</f>
        <v>575</v>
      </c>
      <c r="AN13" s="7">
        <f>SUM(AL13:AM13)</f>
        <v>1150</v>
      </c>
    </row>
    <row r="14" spans="1:40" ht="15.75">
      <c r="A14" s="7">
        <v>10</v>
      </c>
      <c r="B14" s="83" t="s">
        <v>19</v>
      </c>
      <c r="C14" s="83" t="s">
        <v>247</v>
      </c>
      <c r="D14" s="14" t="s">
        <v>77</v>
      </c>
      <c r="E14" s="5" t="s">
        <v>25</v>
      </c>
      <c r="F14" s="5" t="s">
        <v>25</v>
      </c>
      <c r="G14" s="106"/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110"/>
      <c r="N14" s="106"/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106"/>
      <c r="V14" s="5" t="s">
        <v>25</v>
      </c>
      <c r="W14" s="5" t="s">
        <v>25</v>
      </c>
      <c r="X14" s="5" t="s">
        <v>25</v>
      </c>
      <c r="Y14" s="5" t="s">
        <v>25</v>
      </c>
      <c r="Z14" s="5" t="s">
        <v>25</v>
      </c>
      <c r="AA14" s="5" t="s">
        <v>25</v>
      </c>
      <c r="AB14" s="106"/>
      <c r="AC14" s="5" t="s">
        <v>24</v>
      </c>
      <c r="AD14" s="5" t="s">
        <v>25</v>
      </c>
      <c r="AE14" s="112"/>
      <c r="AF14" s="5" t="s">
        <v>25</v>
      </c>
      <c r="AG14" s="5" t="s">
        <v>24</v>
      </c>
      <c r="AH14" s="5" t="s">
        <v>25</v>
      </c>
      <c r="AI14" s="4">
        <f t="shared" si="1"/>
        <v>22</v>
      </c>
      <c r="AJ14" s="4">
        <f t="shared" si="2"/>
        <v>2</v>
      </c>
      <c r="AK14" s="4" t="s">
        <v>15</v>
      </c>
      <c r="AL14" s="7">
        <f>SUM(AI5:AI27)</f>
        <v>471</v>
      </c>
      <c r="AM14" s="7">
        <f>SUM(AI28:AI28)</f>
        <v>22</v>
      </c>
      <c r="AN14" s="7">
        <f>AL14+AM14</f>
        <v>493</v>
      </c>
    </row>
    <row r="15" spans="1:40" ht="15.75">
      <c r="A15" s="15">
        <v>11</v>
      </c>
      <c r="B15" s="83" t="s">
        <v>396</v>
      </c>
      <c r="C15" s="83" t="s">
        <v>212</v>
      </c>
      <c r="D15" s="14" t="s">
        <v>77</v>
      </c>
      <c r="E15" s="5" t="s">
        <v>25</v>
      </c>
      <c r="F15" s="5" t="s">
        <v>25</v>
      </c>
      <c r="G15" s="106"/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110"/>
      <c r="N15" s="106"/>
      <c r="O15" s="5" t="s">
        <v>25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106"/>
      <c r="V15" s="5" t="s">
        <v>25</v>
      </c>
      <c r="W15" s="5" t="s">
        <v>24</v>
      </c>
      <c r="X15" s="5" t="s">
        <v>25</v>
      </c>
      <c r="Y15" s="5" t="s">
        <v>25</v>
      </c>
      <c r="Z15" s="5" t="s">
        <v>24</v>
      </c>
      <c r="AA15" s="5" t="s">
        <v>25</v>
      </c>
      <c r="AB15" s="106"/>
      <c r="AC15" s="5" t="s">
        <v>25</v>
      </c>
      <c r="AD15" s="5" t="s">
        <v>25</v>
      </c>
      <c r="AE15" s="112"/>
      <c r="AF15" s="5" t="s">
        <v>25</v>
      </c>
      <c r="AG15" s="5" t="s">
        <v>24</v>
      </c>
      <c r="AH15" s="5" t="s">
        <v>25</v>
      </c>
      <c r="AI15" s="4">
        <f t="shared" si="1"/>
        <v>21</v>
      </c>
      <c r="AJ15" s="4">
        <f t="shared" si="2"/>
        <v>3</v>
      </c>
      <c r="AK15" s="4" t="s">
        <v>16</v>
      </c>
      <c r="AL15" s="9">
        <f>AL14/AL13</f>
        <v>0.81913043478260872</v>
      </c>
      <c r="AM15" s="9">
        <f>AM14/AM13</f>
        <v>3.826086956521739E-2</v>
      </c>
      <c r="AN15" s="9">
        <f>AN14/AN13</f>
        <v>0.42869565217391303</v>
      </c>
    </row>
    <row r="16" spans="1:40" ht="15.75">
      <c r="A16" s="7">
        <v>12</v>
      </c>
      <c r="B16" s="83" t="s">
        <v>67</v>
      </c>
      <c r="C16" s="83" t="s">
        <v>391</v>
      </c>
      <c r="D16" s="14" t="s">
        <v>77</v>
      </c>
      <c r="E16" s="5" t="s">
        <v>25</v>
      </c>
      <c r="F16" s="5" t="s">
        <v>24</v>
      </c>
      <c r="G16" s="106"/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110"/>
      <c r="N16" s="106"/>
      <c r="O16" s="5" t="s">
        <v>24</v>
      </c>
      <c r="P16" s="5" t="s">
        <v>25</v>
      </c>
      <c r="Q16" s="5" t="s">
        <v>24</v>
      </c>
      <c r="R16" s="5" t="s">
        <v>25</v>
      </c>
      <c r="S16" s="5" t="s">
        <v>25</v>
      </c>
      <c r="T16" s="5" t="s">
        <v>25</v>
      </c>
      <c r="U16" s="106"/>
      <c r="V16" s="5" t="s">
        <v>25</v>
      </c>
      <c r="W16" s="5" t="s">
        <v>25</v>
      </c>
      <c r="X16" s="5" t="s">
        <v>25</v>
      </c>
      <c r="Y16" s="5" t="s">
        <v>25</v>
      </c>
      <c r="Z16" s="5" t="s">
        <v>25</v>
      </c>
      <c r="AA16" s="5" t="s">
        <v>25</v>
      </c>
      <c r="AB16" s="106"/>
      <c r="AC16" s="5" t="s">
        <v>25</v>
      </c>
      <c r="AD16" s="5" t="s">
        <v>25</v>
      </c>
      <c r="AE16" s="112"/>
      <c r="AF16" s="5" t="s">
        <v>25</v>
      </c>
      <c r="AG16" s="5" t="s">
        <v>24</v>
      </c>
      <c r="AH16" s="5" t="s">
        <v>25</v>
      </c>
      <c r="AI16" s="4">
        <f t="shared" si="1"/>
        <v>20</v>
      </c>
      <c r="AJ16" s="4">
        <f t="shared" si="2"/>
        <v>4</v>
      </c>
      <c r="AK16"/>
      <c r="AL16"/>
      <c r="AM16"/>
      <c r="AN16"/>
    </row>
    <row r="17" spans="1:40" ht="15.75">
      <c r="A17" s="15">
        <v>13</v>
      </c>
      <c r="B17" s="83" t="s">
        <v>53</v>
      </c>
      <c r="C17" s="83" t="s">
        <v>397</v>
      </c>
      <c r="D17" s="14" t="s">
        <v>77</v>
      </c>
      <c r="E17" s="5" t="s">
        <v>25</v>
      </c>
      <c r="F17" s="5" t="s">
        <v>25</v>
      </c>
      <c r="G17" s="106"/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110"/>
      <c r="N17" s="106"/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106"/>
      <c r="V17" s="5" t="s">
        <v>25</v>
      </c>
      <c r="W17" s="5" t="s">
        <v>25</v>
      </c>
      <c r="X17" s="5" t="s">
        <v>25</v>
      </c>
      <c r="Y17" s="5" t="s">
        <v>25</v>
      </c>
      <c r="Z17" s="5" t="s">
        <v>25</v>
      </c>
      <c r="AA17" s="5" t="s">
        <v>25</v>
      </c>
      <c r="AB17" s="106"/>
      <c r="AC17" s="5" t="s">
        <v>25</v>
      </c>
      <c r="AD17" s="5" t="s">
        <v>25</v>
      </c>
      <c r="AE17" s="112"/>
      <c r="AF17" s="5" t="s">
        <v>25</v>
      </c>
      <c r="AG17" s="5" t="s">
        <v>24</v>
      </c>
      <c r="AH17" s="5" t="s">
        <v>25</v>
      </c>
      <c r="AI17" s="4">
        <f t="shared" si="1"/>
        <v>23</v>
      </c>
      <c r="AJ17" s="4">
        <f t="shared" si="2"/>
        <v>1</v>
      </c>
      <c r="AK17"/>
      <c r="AL17"/>
      <c r="AM17"/>
      <c r="AN17"/>
    </row>
    <row r="18" spans="1:40" ht="15.75">
      <c r="A18" s="7">
        <v>14</v>
      </c>
      <c r="B18" s="83" t="s">
        <v>398</v>
      </c>
      <c r="C18" s="83" t="s">
        <v>69</v>
      </c>
      <c r="D18" s="14" t="s">
        <v>77</v>
      </c>
      <c r="E18" s="5" t="s">
        <v>25</v>
      </c>
      <c r="F18" s="5" t="s">
        <v>25</v>
      </c>
      <c r="G18" s="106"/>
      <c r="H18" s="5" t="s">
        <v>25</v>
      </c>
      <c r="I18" s="5" t="s">
        <v>25</v>
      </c>
      <c r="J18" s="5" t="s">
        <v>24</v>
      </c>
      <c r="K18" s="5" t="s">
        <v>25</v>
      </c>
      <c r="L18" s="5" t="s">
        <v>25</v>
      </c>
      <c r="M18" s="110"/>
      <c r="N18" s="106"/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24</v>
      </c>
      <c r="T18" s="5" t="s">
        <v>24</v>
      </c>
      <c r="U18" s="106"/>
      <c r="V18" s="5" t="s">
        <v>24</v>
      </c>
      <c r="W18" s="5" t="s">
        <v>25</v>
      </c>
      <c r="X18" s="5" t="s">
        <v>25</v>
      </c>
      <c r="Y18" s="5" t="s">
        <v>25</v>
      </c>
      <c r="Z18" s="5" t="s">
        <v>25</v>
      </c>
      <c r="AA18" s="5" t="s">
        <v>25</v>
      </c>
      <c r="AB18" s="106"/>
      <c r="AC18" s="5" t="s">
        <v>25</v>
      </c>
      <c r="AD18" s="5" t="s">
        <v>24</v>
      </c>
      <c r="AE18" s="112"/>
      <c r="AF18" s="5" t="s">
        <v>25</v>
      </c>
      <c r="AG18" s="5" t="s">
        <v>24</v>
      </c>
      <c r="AH18" s="5" t="s">
        <v>25</v>
      </c>
      <c r="AI18" s="4">
        <f t="shared" si="1"/>
        <v>18</v>
      </c>
      <c r="AJ18" s="4">
        <f t="shared" si="2"/>
        <v>6</v>
      </c>
      <c r="AK18"/>
      <c r="AL18"/>
      <c r="AM18"/>
      <c r="AN18"/>
    </row>
    <row r="19" spans="1:40" ht="15.75">
      <c r="A19" s="15">
        <v>15</v>
      </c>
      <c r="B19" s="83" t="s">
        <v>40</v>
      </c>
      <c r="C19" s="83" t="s">
        <v>75</v>
      </c>
      <c r="D19" s="14" t="s">
        <v>77</v>
      </c>
      <c r="E19" s="5" t="s">
        <v>25</v>
      </c>
      <c r="F19" s="5" t="s">
        <v>24</v>
      </c>
      <c r="G19" s="106"/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110"/>
      <c r="N19" s="106"/>
      <c r="O19" s="5" t="s">
        <v>25</v>
      </c>
      <c r="P19" s="5" t="s">
        <v>25</v>
      </c>
      <c r="Q19" s="5" t="s">
        <v>25</v>
      </c>
      <c r="R19" s="5" t="s">
        <v>24</v>
      </c>
      <c r="S19" s="5" t="s">
        <v>25</v>
      </c>
      <c r="T19" s="5" t="s">
        <v>25</v>
      </c>
      <c r="U19" s="106"/>
      <c r="V19" s="5" t="s">
        <v>25</v>
      </c>
      <c r="W19" s="5" t="s">
        <v>25</v>
      </c>
      <c r="X19" s="5" t="s">
        <v>25</v>
      </c>
      <c r="Y19" s="5" t="s">
        <v>25</v>
      </c>
      <c r="Z19" s="5" t="s">
        <v>25</v>
      </c>
      <c r="AA19" s="5" t="s">
        <v>25</v>
      </c>
      <c r="AB19" s="106"/>
      <c r="AC19" s="5" t="s">
        <v>25</v>
      </c>
      <c r="AD19" s="5" t="s">
        <v>25</v>
      </c>
      <c r="AE19" s="112"/>
      <c r="AF19" s="5" t="s">
        <v>25</v>
      </c>
      <c r="AG19" s="5" t="s">
        <v>24</v>
      </c>
      <c r="AH19" s="5" t="s">
        <v>25</v>
      </c>
      <c r="AI19" s="4">
        <f t="shared" si="1"/>
        <v>21</v>
      </c>
      <c r="AJ19" s="4">
        <f t="shared" si="2"/>
        <v>3</v>
      </c>
      <c r="AK19" s="93" t="s">
        <v>35</v>
      </c>
      <c r="AL19" s="94"/>
      <c r="AM19" s="94"/>
      <c r="AN19" s="95"/>
    </row>
    <row r="20" spans="1:40" ht="15.75">
      <c r="A20" s="7">
        <v>16</v>
      </c>
      <c r="B20" s="83" t="s">
        <v>399</v>
      </c>
      <c r="C20" s="83" t="s">
        <v>60</v>
      </c>
      <c r="D20" s="14" t="s">
        <v>77</v>
      </c>
      <c r="E20" s="5" t="s">
        <v>25</v>
      </c>
      <c r="F20" s="5" t="s">
        <v>25</v>
      </c>
      <c r="G20" s="106"/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110"/>
      <c r="N20" s="106"/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106"/>
      <c r="V20" s="5" t="s">
        <v>25</v>
      </c>
      <c r="W20" s="5" t="s">
        <v>25</v>
      </c>
      <c r="X20" s="5" t="s">
        <v>25</v>
      </c>
      <c r="Y20" s="5" t="s">
        <v>25</v>
      </c>
      <c r="Z20" s="5" t="s">
        <v>25</v>
      </c>
      <c r="AA20" s="5" t="s">
        <v>25</v>
      </c>
      <c r="AB20" s="106"/>
      <c r="AC20" s="5" t="s">
        <v>24</v>
      </c>
      <c r="AD20" s="5" t="s">
        <v>25</v>
      </c>
      <c r="AE20" s="112"/>
      <c r="AF20" s="5" t="s">
        <v>25</v>
      </c>
      <c r="AG20" s="5" t="s">
        <v>24</v>
      </c>
      <c r="AH20" s="5" t="s">
        <v>25</v>
      </c>
      <c r="AI20" s="4">
        <f t="shared" si="1"/>
        <v>22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5.75">
      <c r="A21" s="15">
        <v>17</v>
      </c>
      <c r="B21" s="83" t="s">
        <v>400</v>
      </c>
      <c r="C21" s="83" t="s">
        <v>246</v>
      </c>
      <c r="D21" s="14" t="s">
        <v>77</v>
      </c>
      <c r="E21" s="5" t="s">
        <v>25</v>
      </c>
      <c r="F21" s="5" t="s">
        <v>25</v>
      </c>
      <c r="G21" s="106"/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110"/>
      <c r="N21" s="106"/>
      <c r="O21" s="5" t="s">
        <v>25</v>
      </c>
      <c r="P21" s="5" t="s">
        <v>25</v>
      </c>
      <c r="Q21" s="5" t="s">
        <v>25</v>
      </c>
      <c r="R21" s="5" t="s">
        <v>25</v>
      </c>
      <c r="S21" s="5" t="s">
        <v>25</v>
      </c>
      <c r="T21" s="5" t="s">
        <v>25</v>
      </c>
      <c r="U21" s="106"/>
      <c r="V21" s="5" t="s">
        <v>25</v>
      </c>
      <c r="W21" s="5" t="s">
        <v>25</v>
      </c>
      <c r="X21" s="5" t="s">
        <v>25</v>
      </c>
      <c r="Y21" s="5" t="s">
        <v>25</v>
      </c>
      <c r="Z21" s="5" t="s">
        <v>25</v>
      </c>
      <c r="AA21" s="5" t="s">
        <v>25</v>
      </c>
      <c r="AB21" s="106"/>
      <c r="AC21" s="5" t="s">
        <v>25</v>
      </c>
      <c r="AD21" s="5" t="s">
        <v>25</v>
      </c>
      <c r="AE21" s="112"/>
      <c r="AF21" s="5" t="s">
        <v>25</v>
      </c>
      <c r="AG21" s="5" t="s">
        <v>24</v>
      </c>
      <c r="AH21" s="5" t="s">
        <v>25</v>
      </c>
      <c r="AI21" s="4">
        <f t="shared" si="1"/>
        <v>23</v>
      </c>
      <c r="AJ21" s="4">
        <f t="shared" si="2"/>
        <v>1</v>
      </c>
      <c r="AK21" s="4" t="s">
        <v>14</v>
      </c>
      <c r="AL21" s="7">
        <f>23*$AL$5</f>
        <v>575</v>
      </c>
      <c r="AM21" s="7">
        <f>23*$AL$5</f>
        <v>575</v>
      </c>
      <c r="AN21" s="7">
        <f>AL21+AM21</f>
        <v>1150</v>
      </c>
    </row>
    <row r="22" spans="1:40" ht="15.75">
      <c r="A22" s="7">
        <v>18</v>
      </c>
      <c r="B22" s="83" t="s">
        <v>42</v>
      </c>
      <c r="C22" s="83" t="s">
        <v>401</v>
      </c>
      <c r="D22" s="14" t="s">
        <v>77</v>
      </c>
      <c r="E22" s="5" t="s">
        <v>25</v>
      </c>
      <c r="F22" s="5" t="s">
        <v>24</v>
      </c>
      <c r="G22" s="106"/>
      <c r="H22" s="5" t="s">
        <v>25</v>
      </c>
      <c r="I22" s="5" t="s">
        <v>24</v>
      </c>
      <c r="J22" s="5" t="s">
        <v>25</v>
      </c>
      <c r="K22" s="5" t="s">
        <v>24</v>
      </c>
      <c r="L22" s="5" t="s">
        <v>25</v>
      </c>
      <c r="M22" s="110"/>
      <c r="N22" s="106"/>
      <c r="O22" s="5" t="s">
        <v>24</v>
      </c>
      <c r="P22" s="5" t="s">
        <v>25</v>
      </c>
      <c r="Q22" s="5" t="s">
        <v>25</v>
      </c>
      <c r="R22" s="5" t="s">
        <v>24</v>
      </c>
      <c r="S22" s="5" t="s">
        <v>25</v>
      </c>
      <c r="T22" s="5" t="s">
        <v>25</v>
      </c>
      <c r="U22" s="106"/>
      <c r="V22" s="5" t="s">
        <v>24</v>
      </c>
      <c r="W22" s="5" t="s">
        <v>25</v>
      </c>
      <c r="X22" s="5" t="s">
        <v>25</v>
      </c>
      <c r="Y22" s="5" t="s">
        <v>25</v>
      </c>
      <c r="Z22" s="5" t="s">
        <v>24</v>
      </c>
      <c r="AA22" s="5" t="s">
        <v>25</v>
      </c>
      <c r="AB22" s="106"/>
      <c r="AC22" s="5" t="s">
        <v>25</v>
      </c>
      <c r="AD22" s="5" t="s">
        <v>24</v>
      </c>
      <c r="AE22" s="112"/>
      <c r="AF22" s="5" t="s">
        <v>25</v>
      </c>
      <c r="AG22" s="5" t="s">
        <v>24</v>
      </c>
      <c r="AH22" s="5" t="s">
        <v>25</v>
      </c>
      <c r="AI22" s="4">
        <f t="shared" si="1"/>
        <v>15</v>
      </c>
      <c r="AJ22" s="4">
        <f t="shared" si="2"/>
        <v>9</v>
      </c>
      <c r="AK22" s="4" t="s">
        <v>17</v>
      </c>
      <c r="AL22" s="7">
        <f>AL21-AL14</f>
        <v>104</v>
      </c>
      <c r="AM22" s="7">
        <f>AM21-AM14</f>
        <v>553</v>
      </c>
      <c r="AN22" s="7">
        <f>AL22+AM22</f>
        <v>657</v>
      </c>
    </row>
    <row r="23" spans="1:40" ht="15.75">
      <c r="A23" s="15">
        <v>19</v>
      </c>
      <c r="B23" s="83" t="s">
        <v>402</v>
      </c>
      <c r="C23" s="83" t="s">
        <v>403</v>
      </c>
      <c r="D23" s="14" t="s">
        <v>77</v>
      </c>
      <c r="E23" s="5" t="s">
        <v>25</v>
      </c>
      <c r="F23" s="5" t="s">
        <v>25</v>
      </c>
      <c r="G23" s="106"/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110"/>
      <c r="N23" s="106"/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5" t="s">
        <v>25</v>
      </c>
      <c r="U23" s="106"/>
      <c r="V23" s="5" t="s">
        <v>25</v>
      </c>
      <c r="W23" s="5" t="s">
        <v>25</v>
      </c>
      <c r="X23" s="5" t="s">
        <v>25</v>
      </c>
      <c r="Y23" s="5" t="s">
        <v>25</v>
      </c>
      <c r="Z23" s="5" t="s">
        <v>25</v>
      </c>
      <c r="AA23" s="5" t="s">
        <v>25</v>
      </c>
      <c r="AB23" s="106"/>
      <c r="AC23" s="5" t="s">
        <v>25</v>
      </c>
      <c r="AD23" s="5" t="s">
        <v>25</v>
      </c>
      <c r="AE23" s="112"/>
      <c r="AF23" s="5" t="s">
        <v>25</v>
      </c>
      <c r="AG23" s="5" t="s">
        <v>24</v>
      </c>
      <c r="AH23" s="5" t="s">
        <v>25</v>
      </c>
      <c r="AI23" s="4">
        <f t="shared" si="1"/>
        <v>23</v>
      </c>
      <c r="AJ23" s="4">
        <f t="shared" si="2"/>
        <v>1</v>
      </c>
      <c r="AK23" s="4" t="s">
        <v>16</v>
      </c>
      <c r="AL23" s="9">
        <f>AL22/AL21</f>
        <v>0.18086956521739131</v>
      </c>
      <c r="AM23" s="9">
        <f>AM22/AM21</f>
        <v>0.96173913043478265</v>
      </c>
      <c r="AN23" s="9">
        <f>AN22/AN21</f>
        <v>0.57130434782608697</v>
      </c>
    </row>
    <row r="24" spans="1:40" ht="15.75">
      <c r="A24" s="7">
        <v>20</v>
      </c>
      <c r="B24" s="83" t="s">
        <v>88</v>
      </c>
      <c r="C24" s="83" t="s">
        <v>21</v>
      </c>
      <c r="D24" s="14" t="s">
        <v>77</v>
      </c>
      <c r="E24" s="5" t="s">
        <v>25</v>
      </c>
      <c r="F24" s="5" t="s">
        <v>25</v>
      </c>
      <c r="G24" s="106"/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110"/>
      <c r="N24" s="106"/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25</v>
      </c>
      <c r="T24" s="5" t="s">
        <v>25</v>
      </c>
      <c r="U24" s="106"/>
      <c r="V24" s="5" t="s">
        <v>25</v>
      </c>
      <c r="W24" s="5" t="s">
        <v>25</v>
      </c>
      <c r="X24" s="5" t="s">
        <v>25</v>
      </c>
      <c r="Y24" s="5" t="s">
        <v>25</v>
      </c>
      <c r="Z24" s="5" t="s">
        <v>25</v>
      </c>
      <c r="AA24" s="5" t="s">
        <v>25</v>
      </c>
      <c r="AB24" s="106"/>
      <c r="AC24" s="5" t="s">
        <v>25</v>
      </c>
      <c r="AD24" s="5" t="s">
        <v>25</v>
      </c>
      <c r="AE24" s="112"/>
      <c r="AF24" s="5" t="s">
        <v>25</v>
      </c>
      <c r="AG24" s="5" t="s">
        <v>24</v>
      </c>
      <c r="AH24" s="5" t="s">
        <v>25</v>
      </c>
      <c r="AI24" s="4">
        <f t="shared" si="1"/>
        <v>23</v>
      </c>
      <c r="AJ24" s="4">
        <f t="shared" si="2"/>
        <v>1</v>
      </c>
    </row>
    <row r="25" spans="1:40" ht="15.75">
      <c r="A25" s="15">
        <v>21</v>
      </c>
      <c r="B25" s="83" t="s">
        <v>404</v>
      </c>
      <c r="C25" s="83" t="s">
        <v>76</v>
      </c>
      <c r="D25" s="14" t="s">
        <v>77</v>
      </c>
      <c r="E25" s="5" t="s">
        <v>25</v>
      </c>
      <c r="F25" s="5" t="s">
        <v>25</v>
      </c>
      <c r="G25" s="106"/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110"/>
      <c r="N25" s="106"/>
      <c r="O25" s="5" t="s">
        <v>25</v>
      </c>
      <c r="P25" s="5" t="s">
        <v>25</v>
      </c>
      <c r="Q25" s="5" t="s">
        <v>25</v>
      </c>
      <c r="R25" s="5" t="s">
        <v>24</v>
      </c>
      <c r="S25" s="5" t="s">
        <v>25</v>
      </c>
      <c r="T25" s="5" t="s">
        <v>24</v>
      </c>
      <c r="U25" s="106"/>
      <c r="V25" s="5" t="s">
        <v>24</v>
      </c>
      <c r="W25" s="5" t="s">
        <v>24</v>
      </c>
      <c r="X25" s="5" t="s">
        <v>25</v>
      </c>
      <c r="Y25" s="5" t="s">
        <v>25</v>
      </c>
      <c r="Z25" s="5" t="s">
        <v>25</v>
      </c>
      <c r="AA25" s="5" t="s">
        <v>25</v>
      </c>
      <c r="AB25" s="106"/>
      <c r="AC25" s="5" t="s">
        <v>25</v>
      </c>
      <c r="AD25" s="5" t="s">
        <v>25</v>
      </c>
      <c r="AE25" s="112"/>
      <c r="AF25" s="5" t="s">
        <v>25</v>
      </c>
      <c r="AG25" s="5" t="s">
        <v>24</v>
      </c>
      <c r="AH25" s="5" t="s">
        <v>25</v>
      </c>
      <c r="AI25" s="4">
        <f t="shared" si="1"/>
        <v>19</v>
      </c>
      <c r="AJ25" s="4">
        <f t="shared" si="2"/>
        <v>5</v>
      </c>
    </row>
    <row r="26" spans="1:40" ht="15.75">
      <c r="A26" s="7">
        <v>22</v>
      </c>
      <c r="B26" s="83" t="s">
        <v>85</v>
      </c>
      <c r="C26" s="83" t="s">
        <v>130</v>
      </c>
      <c r="D26" s="14" t="s">
        <v>77</v>
      </c>
      <c r="E26" s="5" t="s">
        <v>25</v>
      </c>
      <c r="F26" s="5" t="s">
        <v>25</v>
      </c>
      <c r="G26" s="106"/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110"/>
      <c r="N26" s="106"/>
      <c r="O26" s="5" t="s">
        <v>25</v>
      </c>
      <c r="P26" s="5" t="s">
        <v>25</v>
      </c>
      <c r="Q26" s="5" t="s">
        <v>25</v>
      </c>
      <c r="R26" s="5" t="s">
        <v>25</v>
      </c>
      <c r="S26" s="5" t="s">
        <v>25</v>
      </c>
      <c r="T26" s="5" t="s">
        <v>25</v>
      </c>
      <c r="U26" s="106"/>
      <c r="V26" s="5" t="s">
        <v>25</v>
      </c>
      <c r="W26" s="5" t="s">
        <v>25</v>
      </c>
      <c r="X26" s="5" t="s">
        <v>25</v>
      </c>
      <c r="Y26" s="5" t="s">
        <v>25</v>
      </c>
      <c r="Z26" s="5" t="s">
        <v>25</v>
      </c>
      <c r="AA26" s="5" t="s">
        <v>25</v>
      </c>
      <c r="AB26" s="106"/>
      <c r="AC26" s="5" t="s">
        <v>24</v>
      </c>
      <c r="AD26" s="5" t="s">
        <v>24</v>
      </c>
      <c r="AE26" s="112"/>
      <c r="AF26" s="5" t="s">
        <v>25</v>
      </c>
      <c r="AG26" s="5" t="s">
        <v>24</v>
      </c>
      <c r="AH26" s="5" t="s">
        <v>25</v>
      </c>
      <c r="AI26" s="4">
        <f t="shared" si="1"/>
        <v>21</v>
      </c>
      <c r="AJ26" s="4">
        <f t="shared" si="2"/>
        <v>3</v>
      </c>
    </row>
    <row r="27" spans="1:40" ht="15.75">
      <c r="A27" s="15">
        <v>23</v>
      </c>
      <c r="B27" s="83" t="s">
        <v>405</v>
      </c>
      <c r="C27" s="83" t="s">
        <v>225</v>
      </c>
      <c r="D27" s="14" t="s">
        <v>77</v>
      </c>
      <c r="E27" s="5" t="s">
        <v>25</v>
      </c>
      <c r="F27" s="5" t="s">
        <v>25</v>
      </c>
      <c r="G27" s="106"/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110"/>
      <c r="N27" s="106"/>
      <c r="O27" s="5" t="s">
        <v>25</v>
      </c>
      <c r="P27" s="5" t="s">
        <v>25</v>
      </c>
      <c r="Q27" s="5" t="s">
        <v>25</v>
      </c>
      <c r="R27" s="5" t="s">
        <v>25</v>
      </c>
      <c r="S27" s="5" t="s">
        <v>25</v>
      </c>
      <c r="T27" s="5" t="s">
        <v>25</v>
      </c>
      <c r="U27" s="106"/>
      <c r="V27" s="5" t="s">
        <v>25</v>
      </c>
      <c r="W27" s="5" t="s">
        <v>25</v>
      </c>
      <c r="X27" s="5" t="s">
        <v>25</v>
      </c>
      <c r="Y27" s="5" t="s">
        <v>25</v>
      </c>
      <c r="Z27" s="5" t="s">
        <v>25</v>
      </c>
      <c r="AA27" s="5" t="s">
        <v>25</v>
      </c>
      <c r="AB27" s="106"/>
      <c r="AC27" s="5" t="s">
        <v>25</v>
      </c>
      <c r="AD27" s="5" t="s">
        <v>25</v>
      </c>
      <c r="AE27" s="112"/>
      <c r="AF27" s="5" t="s">
        <v>25</v>
      </c>
      <c r="AG27" s="5" t="s">
        <v>24</v>
      </c>
      <c r="AH27" s="5" t="s">
        <v>25</v>
      </c>
      <c r="AI27" s="4">
        <f t="shared" si="1"/>
        <v>23</v>
      </c>
      <c r="AJ27" s="4">
        <f t="shared" si="2"/>
        <v>1</v>
      </c>
    </row>
    <row r="28" spans="1:40" ht="15.75">
      <c r="A28" s="7">
        <v>24</v>
      </c>
      <c r="B28" s="83" t="s">
        <v>406</v>
      </c>
      <c r="C28" s="83" t="s">
        <v>407</v>
      </c>
      <c r="D28" s="14" t="s">
        <v>77</v>
      </c>
      <c r="E28" s="5" t="s">
        <v>25</v>
      </c>
      <c r="F28" s="5" t="s">
        <v>25</v>
      </c>
      <c r="G28" s="106"/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110"/>
      <c r="N28" s="106"/>
      <c r="O28" s="5" t="s">
        <v>25</v>
      </c>
      <c r="P28" s="5" t="s">
        <v>25</v>
      </c>
      <c r="Q28" s="5" t="s">
        <v>25</v>
      </c>
      <c r="R28" s="5" t="s">
        <v>25</v>
      </c>
      <c r="S28" s="5" t="s">
        <v>25</v>
      </c>
      <c r="T28" s="5" t="s">
        <v>25</v>
      </c>
      <c r="U28" s="106"/>
      <c r="V28" s="5" t="s">
        <v>25</v>
      </c>
      <c r="W28" s="5" t="s">
        <v>25</v>
      </c>
      <c r="X28" s="5" t="s">
        <v>25</v>
      </c>
      <c r="Y28" s="5" t="s">
        <v>24</v>
      </c>
      <c r="Z28" s="5" t="s">
        <v>25</v>
      </c>
      <c r="AA28" s="5" t="s">
        <v>25</v>
      </c>
      <c r="AB28" s="106"/>
      <c r="AC28" s="5" t="s">
        <v>25</v>
      </c>
      <c r="AD28" s="5" t="s">
        <v>25</v>
      </c>
      <c r="AE28" s="112"/>
      <c r="AF28" s="5" t="s">
        <v>25</v>
      </c>
      <c r="AG28" s="5" t="s">
        <v>24</v>
      </c>
      <c r="AH28" s="5" t="s">
        <v>25</v>
      </c>
      <c r="AI28" s="4">
        <f t="shared" si="1"/>
        <v>22</v>
      </c>
      <c r="AJ28" s="4">
        <f t="shared" si="2"/>
        <v>2</v>
      </c>
    </row>
  </sheetData>
  <mergeCells count="17">
    <mergeCell ref="A1:AJ1"/>
    <mergeCell ref="A2:AJ2"/>
    <mergeCell ref="A3:A4"/>
    <mergeCell ref="B3:B4"/>
    <mergeCell ref="C3:C4"/>
    <mergeCell ref="D3:D4"/>
    <mergeCell ref="AI3:AI4"/>
    <mergeCell ref="AJ3:AJ4"/>
    <mergeCell ref="AK19:AN19"/>
    <mergeCell ref="AK3:AL3"/>
    <mergeCell ref="G5:G28"/>
    <mergeCell ref="M5:M28"/>
    <mergeCell ref="N5:N28"/>
    <mergeCell ref="U5:U28"/>
    <mergeCell ref="AB5:AB28"/>
    <mergeCell ref="AE5:AE28"/>
    <mergeCell ref="AK11:AN11"/>
  </mergeCells>
  <conditionalFormatting sqref="E5:N5 U5 AB5:AH5 O5:T28 V5:AA28 E6:F28 H6:L28 AC6:AD28 AF6:AH28 E4:AH4">
    <cfRule type="expression" dxfId="21" priority="16">
      <formula>IF(E$4=TODAY(),TRUE,FALSE)</formula>
    </cfRule>
  </conditionalFormatting>
  <conditionalFormatting sqref="E5:N5 U5 AB5:AH5 O5:T28 V5:AA28 E6:F28 H6:L28 AC6:AD28 AF6:AH28">
    <cfRule type="cellIs" dxfId="20" priority="13" operator="equal">
      <formula>"L"</formula>
    </cfRule>
    <cfRule type="cellIs" dxfId="19" priority="14" operator="equal">
      <formula>"A"</formula>
    </cfRule>
    <cfRule type="cellIs" dxfId="18" priority="15" operator="equal">
      <formula>"P"</formula>
    </cfRule>
  </conditionalFormatting>
  <conditionalFormatting sqref="E3:AH4 E5:N5 U5 AB5:AH5 O5:T28 V5:AA28 E6:F28 H6:L28 AC6:AD28 AF6:AH28">
    <cfRule type="expression" dxfId="17" priority="17">
      <formula>E$3="Sun"</formula>
    </cfRule>
  </conditionalFormatting>
  <conditionalFormatting sqref="AI3:AJ3 AI5:AJ28">
    <cfRule type="expression" dxfId="16" priority="18">
      <formula>#REF!="Sun"</formula>
    </cfRule>
  </conditionalFormatting>
  <conditionalFormatting sqref="AK5:AK9">
    <cfRule type="expression" dxfId="15" priority="4">
      <formula>AK$3="Sun"</formula>
    </cfRule>
  </conditionalFormatting>
  <conditionalFormatting sqref="AK12:AK15">
    <cfRule type="expression" dxfId="14" priority="2">
      <formula>AK$3="Sun"</formula>
    </cfRule>
  </conditionalFormatting>
  <conditionalFormatting sqref="AK20:AK23">
    <cfRule type="expression" dxfId="13" priority="1">
      <formula>AK$3="Sun"</formula>
    </cfRule>
  </conditionalFormatting>
  <conditionalFormatting sqref="AK4:AL4">
    <cfRule type="expression" dxfId="12" priority="5">
      <formula>AK$3="Sun"</formula>
    </cfRule>
  </conditionalFormatting>
  <conditionalFormatting sqref="AL12:AN12 AL20:AN20">
    <cfRule type="expression" dxfId="11" priority="6">
      <formula>AL$3="Sun"</formula>
    </cfRule>
  </conditionalFormatting>
  <conditionalFormatting sqref="AN21">
    <cfRule type="expression" dxfId="10" priority="3">
      <formula>AN$3="Sun"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 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pak</cp:lastModifiedBy>
  <dcterms:created xsi:type="dcterms:W3CDTF">2015-06-05T18:17:20Z</dcterms:created>
  <dcterms:modified xsi:type="dcterms:W3CDTF">2025-03-07T04:52:27Z</dcterms:modified>
</cp:coreProperties>
</file>