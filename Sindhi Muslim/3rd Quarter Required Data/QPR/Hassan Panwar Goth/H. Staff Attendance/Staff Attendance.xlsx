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3rd Quarter Required Data\QPR\Hassan Panwar Goth\H. Staff Attendance\"/>
    </mc:Choice>
  </mc:AlternateContent>
  <xr:revisionPtr revIDLastSave="0" documentId="13_ncr:1_{3C29C1A1-D112-4090-B7F0-EA28642525D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FEBRUARY-2025" sheetId="12" r:id="rId1"/>
    <sheet name="MARCH-2025" sheetId="13" r:id="rId2"/>
    <sheet name="APRIL-2025" sheetId="14" r:id="rId3"/>
    <sheet name="MAY-2025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5" l="1"/>
  <c r="X17" i="15"/>
  <c r="W17" i="15"/>
  <c r="V17" i="15"/>
  <c r="U17" i="15"/>
  <c r="X16" i="15"/>
  <c r="W16" i="15"/>
  <c r="V16" i="15"/>
  <c r="U16" i="15"/>
  <c r="X15" i="15"/>
  <c r="W15" i="15"/>
  <c r="V15" i="15"/>
  <c r="U15" i="15"/>
  <c r="X14" i="15"/>
  <c r="W14" i="15"/>
  <c r="V14" i="15"/>
  <c r="U14" i="15"/>
  <c r="X13" i="15"/>
  <c r="W13" i="15"/>
  <c r="V13" i="15"/>
  <c r="U13" i="15"/>
  <c r="X12" i="15"/>
  <c r="W12" i="15"/>
  <c r="V12" i="15"/>
  <c r="U12" i="15"/>
  <c r="X11" i="15"/>
  <c r="W11" i="15"/>
  <c r="V11" i="15"/>
  <c r="U11" i="15"/>
  <c r="X10" i="15"/>
  <c r="W10" i="15"/>
  <c r="V10" i="15"/>
  <c r="U10" i="15"/>
  <c r="X9" i="15"/>
  <c r="W9" i="15"/>
  <c r="V9" i="15"/>
  <c r="U9" i="15"/>
  <c r="X8" i="15"/>
  <c r="W8" i="15"/>
  <c r="V8" i="15"/>
  <c r="U8" i="15"/>
  <c r="X7" i="15"/>
  <c r="W7" i="15"/>
  <c r="V7" i="15"/>
  <c r="U7" i="15"/>
  <c r="X6" i="15"/>
  <c r="W6" i="15"/>
  <c r="V6" i="15"/>
  <c r="U6" i="15"/>
  <c r="W5" i="15"/>
  <c r="V5" i="15"/>
  <c r="U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I18" i="14"/>
  <c r="AJ18" i="14"/>
  <c r="AK18" i="14"/>
  <c r="AL18" i="14"/>
  <c r="AL17" i="14"/>
  <c r="AK17" i="14"/>
  <c r="AJ17" i="14"/>
  <c r="AI17" i="14"/>
  <c r="AM17" i="14" s="1"/>
  <c r="AJ17" i="13"/>
  <c r="AK17" i="13"/>
  <c r="AL17" i="13"/>
  <c r="AM17" i="13"/>
  <c r="AN17" i="13" s="1"/>
  <c r="AJ18" i="13"/>
  <c r="AK18" i="13"/>
  <c r="AL18" i="13"/>
  <c r="AM18" i="13"/>
  <c r="AL16" i="14"/>
  <c r="AK16" i="14"/>
  <c r="AJ16" i="14"/>
  <c r="AI16" i="14"/>
  <c r="AL15" i="14"/>
  <c r="AK15" i="14"/>
  <c r="AJ15" i="14"/>
  <c r="AI15" i="14"/>
  <c r="AM15" i="14" s="1"/>
  <c r="AL14" i="14"/>
  <c r="AK14" i="14"/>
  <c r="AJ14" i="14"/>
  <c r="AI14" i="14"/>
  <c r="AM14" i="14" s="1"/>
  <c r="AL13" i="14"/>
  <c r="AK13" i="14"/>
  <c r="AJ13" i="14"/>
  <c r="AI13" i="14"/>
  <c r="AM13" i="14" s="1"/>
  <c r="AL12" i="14"/>
  <c r="AK12" i="14"/>
  <c r="AJ12" i="14"/>
  <c r="AI12" i="14"/>
  <c r="AM12" i="14" s="1"/>
  <c r="AL11" i="14"/>
  <c r="AK11" i="14"/>
  <c r="AJ11" i="14"/>
  <c r="AI11" i="14"/>
  <c r="AM11" i="14" s="1"/>
  <c r="AL10" i="14"/>
  <c r="AK10" i="14"/>
  <c r="AJ10" i="14"/>
  <c r="AI10" i="14"/>
  <c r="AM10" i="14" s="1"/>
  <c r="AL9" i="14"/>
  <c r="AK9" i="14"/>
  <c r="AJ9" i="14"/>
  <c r="AI9" i="14"/>
  <c r="AM9" i="14" s="1"/>
  <c r="AL8" i="14"/>
  <c r="AK8" i="14"/>
  <c r="AJ8" i="14"/>
  <c r="AI8" i="14"/>
  <c r="AM8" i="14" s="1"/>
  <c r="AL7" i="14"/>
  <c r="AK7" i="14"/>
  <c r="AJ7" i="14"/>
  <c r="AI7" i="14"/>
  <c r="AM7" i="14" s="1"/>
  <c r="AL6" i="14"/>
  <c r="AK6" i="14"/>
  <c r="AJ6" i="14"/>
  <c r="AI6" i="14"/>
  <c r="AM6" i="14" s="1"/>
  <c r="AK5" i="14"/>
  <c r="AJ5" i="14"/>
  <c r="AI5" i="14"/>
  <c r="AM5" i="14" s="1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A3" i="13"/>
  <c r="AB3" i="13"/>
  <c r="AC3" i="13"/>
  <c r="AD3" i="13"/>
  <c r="AE3" i="13"/>
  <c r="AF3" i="13"/>
  <c r="AG3" i="13"/>
  <c r="AH3" i="13"/>
  <c r="AI3" i="13"/>
  <c r="AM16" i="13"/>
  <c r="AL16" i="13"/>
  <c r="AK16" i="13"/>
  <c r="AJ16" i="13"/>
  <c r="AM15" i="13"/>
  <c r="AL15" i="13"/>
  <c r="AK15" i="13"/>
  <c r="AJ15" i="13"/>
  <c r="AM14" i="13"/>
  <c r="AL14" i="13"/>
  <c r="AK14" i="13"/>
  <c r="AJ14" i="13"/>
  <c r="AM13" i="13"/>
  <c r="AL13" i="13"/>
  <c r="AK13" i="13"/>
  <c r="AJ13" i="13"/>
  <c r="AM12" i="13"/>
  <c r="AL12" i="13"/>
  <c r="AK12" i="13"/>
  <c r="AJ12" i="13"/>
  <c r="AM11" i="13"/>
  <c r="AL11" i="13"/>
  <c r="AK11" i="13"/>
  <c r="AJ11" i="13"/>
  <c r="AM10" i="13"/>
  <c r="AL10" i="13"/>
  <c r="AK10" i="13"/>
  <c r="AJ10" i="13"/>
  <c r="AM9" i="13"/>
  <c r="AL9" i="13"/>
  <c r="AK9" i="13"/>
  <c r="AJ9" i="13"/>
  <c r="AM8" i="13"/>
  <c r="AL8" i="13"/>
  <c r="AK8" i="13"/>
  <c r="AJ8" i="13"/>
  <c r="AM7" i="13"/>
  <c r="AL7" i="13"/>
  <c r="AK7" i="13"/>
  <c r="AJ7" i="13"/>
  <c r="AM6" i="13"/>
  <c r="AL6" i="13"/>
  <c r="AK6" i="13"/>
  <c r="AJ6" i="13"/>
  <c r="AL5" i="13"/>
  <c r="AK5" i="13"/>
  <c r="AJ5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Q10" i="12"/>
  <c r="R10" i="12"/>
  <c r="S10" i="12"/>
  <c r="Q11" i="12"/>
  <c r="R11" i="12"/>
  <c r="S11" i="12"/>
  <c r="Q16" i="12"/>
  <c r="U16" i="12" s="1"/>
  <c r="R16" i="12"/>
  <c r="S16" i="12"/>
  <c r="S15" i="12"/>
  <c r="R15" i="12"/>
  <c r="Q15" i="12"/>
  <c r="S14" i="12"/>
  <c r="R14" i="12"/>
  <c r="Q14" i="12"/>
  <c r="S13" i="12"/>
  <c r="R13" i="12"/>
  <c r="Q13" i="12"/>
  <c r="S12" i="12"/>
  <c r="R12" i="12"/>
  <c r="Q12" i="12"/>
  <c r="S9" i="12"/>
  <c r="R9" i="12"/>
  <c r="Q9" i="12"/>
  <c r="S8" i="12"/>
  <c r="R8" i="12"/>
  <c r="Q8" i="12"/>
  <c r="S7" i="12"/>
  <c r="R7" i="12"/>
  <c r="Q7" i="12"/>
  <c r="S6" i="12"/>
  <c r="R6" i="12"/>
  <c r="Q6" i="12"/>
  <c r="S5" i="12"/>
  <c r="R5" i="12"/>
  <c r="Q5" i="12"/>
  <c r="P3" i="12"/>
  <c r="O3" i="12"/>
  <c r="N3" i="12"/>
  <c r="M3" i="12"/>
  <c r="L3" i="12"/>
  <c r="K3" i="12"/>
  <c r="J3" i="12"/>
  <c r="I3" i="12"/>
  <c r="H3" i="12"/>
  <c r="G3" i="12"/>
  <c r="F3" i="12"/>
  <c r="E3" i="12"/>
  <c r="Y6" i="15" l="1"/>
  <c r="Y8" i="15"/>
  <c r="Y10" i="15"/>
  <c r="Y12" i="15"/>
  <c r="Y14" i="15"/>
  <c r="Y17" i="15"/>
  <c r="Y5" i="15"/>
  <c r="Y7" i="15"/>
  <c r="Y9" i="15"/>
  <c r="Y11" i="15"/>
  <c r="Y13" i="15"/>
  <c r="Y15" i="15"/>
  <c r="Y16" i="15"/>
  <c r="AM16" i="14"/>
  <c r="AM18" i="14"/>
  <c r="AN18" i="13"/>
  <c r="AN5" i="13"/>
  <c r="AN6" i="13"/>
  <c r="AN7" i="13"/>
  <c r="AN8" i="13"/>
  <c r="AN9" i="13"/>
  <c r="AN10" i="13"/>
  <c r="AN11" i="13"/>
  <c r="AN12" i="13"/>
  <c r="AN13" i="13"/>
  <c r="AN14" i="13"/>
  <c r="AN15" i="13"/>
  <c r="AN16" i="13"/>
  <c r="U10" i="12"/>
  <c r="U11" i="12"/>
  <c r="U6" i="12"/>
  <c r="U7" i="12"/>
  <c r="U8" i="12"/>
  <c r="U12" i="12"/>
  <c r="U13" i="12"/>
  <c r="U14" i="12"/>
  <c r="U5" i="12"/>
  <c r="U15" i="12"/>
  <c r="U9" i="12"/>
</calcChain>
</file>

<file path=xl/sharedStrings.xml><?xml version="1.0" encoding="utf-8"?>
<sst xmlns="http://schemas.openxmlformats.org/spreadsheetml/2006/main" count="1173" uniqueCount="48">
  <si>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</si>
  <si>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</si>
  <si>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</si>
  <si>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</si>
  <si>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</si>
  <si>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</si>
  <si>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</si>
  <si>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</si>
  <si>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L</t>
  </si>
  <si>
    <t>SUN</t>
  </si>
  <si>
    <t>SUNDAY</t>
  </si>
  <si>
    <t>TEACHING STAFF</t>
  </si>
  <si>
    <t>Khalid Ahmed</t>
  </si>
  <si>
    <t>Father Name</t>
  </si>
  <si>
    <t>Muhammad Ismail</t>
  </si>
  <si>
    <t>Ansar Ali</t>
  </si>
  <si>
    <t>Ali Akbar</t>
  </si>
  <si>
    <t>Muhammad Aslam</t>
  </si>
  <si>
    <t>Muhammad Mahyar</t>
  </si>
  <si>
    <t>Zameer Shah</t>
  </si>
  <si>
    <t>Wazeer Shah</t>
  </si>
  <si>
    <t>Sumera</t>
  </si>
  <si>
    <t>Muhammad Bux</t>
  </si>
  <si>
    <t>Irum Shahzadi</t>
  </si>
  <si>
    <t>Nazeer Ahmed</t>
  </si>
  <si>
    <t>Nida Azam</t>
  </si>
  <si>
    <t>Muhammad Azam</t>
  </si>
  <si>
    <t>PST</t>
  </si>
  <si>
    <t>Saleem Ahmed</t>
  </si>
  <si>
    <t>Saeed Ahmed</t>
  </si>
  <si>
    <t>Muhammad Yahya</t>
  </si>
  <si>
    <t>Khuda Bakhsh</t>
  </si>
  <si>
    <t>N/Q</t>
  </si>
  <si>
    <t>Abdul Rehman</t>
  </si>
  <si>
    <t>Muhammad Akram</t>
  </si>
  <si>
    <t>Mirza</t>
  </si>
  <si>
    <t>Amna Solangi</t>
  </si>
  <si>
    <t>Raham Ali</t>
  </si>
  <si>
    <t>Urs of Lal Shehbaz Qalandar</t>
  </si>
  <si>
    <t>-</t>
  </si>
  <si>
    <t>Youm-E-Ali</t>
  </si>
  <si>
    <t>Laylat al-Qadr</t>
  </si>
  <si>
    <t>Eid Ul Fitar</t>
  </si>
  <si>
    <t>Naveed Sarwar Shaikh</t>
  </si>
  <si>
    <t>Ghulam Sarwar Shaikh</t>
  </si>
  <si>
    <t>Syed Muhammad Habib</t>
  </si>
  <si>
    <t>Majida Habib</t>
  </si>
  <si>
    <t>Labour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</si>
</sst>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textRotation="90"/>
    </xf>
    <xf numFmtId="0" fontId="0" fillId="3" borderId="14" xfId="0" applyFill="1" applyBorder="1" applyAlignment="1">
      <alignment horizontal="center" vertical="center" textRotation="90"/>
    </xf>
    <xf numFmtId="164" fontId="0" fillId="3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textRotation="90"/>
    </xf>
    <xf numFmtId="164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5" borderId="1" xfId="0" applyFont="1" applyFill="1" applyBorder="1" applyAlignment="1">
      <alignment horizontal="center" vertical="center" textRotation="90"/>
    </xf>
    <xf numFmtId="0" fontId="2" fillId="5" borderId="8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textRotation="255" wrapText="1"/>
    </xf>
    <xf numFmtId="0" fontId="2" fillId="5" borderId="8" xfId="0" applyFont="1" applyFill="1" applyBorder="1" applyAlignment="1">
      <alignment horizontal="center" vertical="center" textRotation="255" wrapText="1"/>
    </xf>
    <xf numFmtId="0" fontId="2" fillId="5" borderId="1" xfId="0" applyFont="1" applyFill="1" applyBorder="1" applyAlignment="1">
      <alignment horizontal="center" vertical="center" textRotation="180"/>
    </xf>
    <xf numFmtId="0" fontId="2" fillId="5" borderId="8" xfId="0" applyFont="1" applyFill="1" applyBorder="1" applyAlignment="1">
      <alignment horizontal="center" vertical="center" textRotation="180"/>
    </xf>
    <xf numFmtId="0" fontId="2" fillId="6" borderId="18" xfId="0" applyFont="1" applyFill="1" applyBorder="1" applyAlignment="1">
      <alignment horizontal="center" vertical="center" textRotation="180" wrapText="1"/>
    </xf>
    <xf numFmtId="0" fontId="2" fillId="6" borderId="19" xfId="0" applyFont="1" applyFill="1" applyBorder="1" applyAlignment="1">
      <alignment horizontal="center" vertical="center" textRotation="180" wrapText="1"/>
    </xf>
    <xf numFmtId="0" fontId="2" fillId="5" borderId="1" xfId="0" applyFont="1" applyFill="1" applyBorder="1" applyAlignment="1">
      <alignment horizontal="center" vertical="center" textRotation="255"/>
    </xf>
    <xf numFmtId="0" fontId="2" fillId="5" borderId="8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15"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97E1-5BB9-4729-A9A0-015D260C6B3D}">
  <dimension ref="A1:U16"/>
  <sheetViews>
    <sheetView workbookViewId="0">
      <selection activeCell="F6" sqref="F6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8.85546875" bestFit="1" customWidth="1"/>
    <col min="4" max="4" width="12.5703125" bestFit="1" customWidth="1"/>
    <col min="5" max="16" width="3.7109375" bestFit="1" customWidth="1"/>
    <col min="17" max="20" width="5.7109375" customWidth="1"/>
    <col min="21" max="21" width="7.42578125" bestFit="1" customWidth="1"/>
  </cols>
  <sheetData>
    <row r="1" spans="1:21" ht="15.75" thickBot="1" x14ac:dyDescent="0.3"/>
    <row r="2" spans="1:21" ht="32.25" thickBot="1" x14ac:dyDescent="0.55000000000000004">
      <c r="A2" s="27" t="s">
        <v>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9"/>
    </row>
    <row r="3" spans="1:21" ht="27" x14ac:dyDescent="0.25">
      <c r="A3" s="30" t="s">
        <v>0</v>
      </c>
      <c r="B3" s="31"/>
      <c r="C3" s="31"/>
      <c r="D3" s="32"/>
      <c r="E3" s="12" t="str">
        <f t="shared" ref="E3:P3" si="0">TEXT(E4,"ddd")</f>
        <v>Mon</v>
      </c>
      <c r="F3" s="12" t="str">
        <f t="shared" si="0"/>
        <v>Tue</v>
      </c>
      <c r="G3" s="12" t="str">
        <f t="shared" si="0"/>
        <v>Wed</v>
      </c>
      <c r="H3" s="12" t="str">
        <f t="shared" si="0"/>
        <v>Thu</v>
      </c>
      <c r="I3" s="12" t="str">
        <f t="shared" si="0"/>
        <v>Fri</v>
      </c>
      <c r="J3" s="12" t="str">
        <f t="shared" si="0"/>
        <v>Sat</v>
      </c>
      <c r="K3" s="12" t="str">
        <f t="shared" si="0"/>
        <v>Sun</v>
      </c>
      <c r="L3" s="12" t="str">
        <f t="shared" si="0"/>
        <v>Mon</v>
      </c>
      <c r="M3" s="12" t="str">
        <f t="shared" si="0"/>
        <v>Tue</v>
      </c>
      <c r="N3" s="12" t="str">
        <f t="shared" si="0"/>
        <v>Wed</v>
      </c>
      <c r="O3" s="12" t="str">
        <f t="shared" si="0"/>
        <v>Thu</v>
      </c>
      <c r="P3" s="18" t="str">
        <f t="shared" si="0"/>
        <v>Fri</v>
      </c>
      <c r="Q3" s="33" t="s">
        <v>1</v>
      </c>
      <c r="R3" s="34"/>
      <c r="S3" s="34"/>
      <c r="T3" s="34"/>
      <c r="U3" s="35"/>
    </row>
    <row r="4" spans="1:21" x14ac:dyDescent="0.25">
      <c r="A4" s="1" t="s">
        <v>2</v>
      </c>
      <c r="B4" s="2" t="s">
        <v>3</v>
      </c>
      <c r="C4" s="2" t="s">
        <v>13</v>
      </c>
      <c r="D4" s="17" t="s">
        <v>4</v>
      </c>
      <c r="E4" s="7">
        <v>45705</v>
      </c>
      <c r="F4" s="7">
        <v>45706</v>
      </c>
      <c r="G4" s="7">
        <v>45707</v>
      </c>
      <c r="H4" s="7">
        <v>45708</v>
      </c>
      <c r="I4" s="7">
        <v>45709</v>
      </c>
      <c r="J4" s="7">
        <v>45710</v>
      </c>
      <c r="K4" s="7">
        <v>45711</v>
      </c>
      <c r="L4" s="7">
        <v>45712</v>
      </c>
      <c r="M4" s="7">
        <v>45713</v>
      </c>
      <c r="N4" s="7">
        <v>45714</v>
      </c>
      <c r="O4" s="7">
        <v>45715</v>
      </c>
      <c r="P4" s="19">
        <v>45716</v>
      </c>
      <c r="Q4" s="22" t="s">
        <v>6</v>
      </c>
      <c r="R4" s="8" t="s">
        <v>7</v>
      </c>
      <c r="S4" s="8" t="s">
        <v>8</v>
      </c>
      <c r="T4" s="8" t="s">
        <v>9</v>
      </c>
      <c r="U4" s="9" t="s">
        <v>5</v>
      </c>
    </row>
    <row r="5" spans="1:21" ht="15" customHeight="1" x14ac:dyDescent="0.25">
      <c r="A5" s="3">
        <v>1</v>
      </c>
      <c r="B5" s="4" t="s">
        <v>12</v>
      </c>
      <c r="C5" s="4" t="s">
        <v>14</v>
      </c>
      <c r="D5" s="10" t="s">
        <v>27</v>
      </c>
      <c r="E5" s="4" t="s">
        <v>8</v>
      </c>
      <c r="F5" s="4" t="s">
        <v>8</v>
      </c>
      <c r="G5" s="25" t="s">
        <v>38</v>
      </c>
      <c r="H5" s="4" t="s">
        <v>8</v>
      </c>
      <c r="I5" s="4" t="s">
        <v>8</v>
      </c>
      <c r="J5" s="4" t="s">
        <v>8</v>
      </c>
      <c r="K5" s="23" t="s">
        <v>10</v>
      </c>
      <c r="L5" s="4" t="s">
        <v>6</v>
      </c>
      <c r="M5" s="4" t="s">
        <v>6</v>
      </c>
      <c r="N5" s="4" t="s">
        <v>6</v>
      </c>
      <c r="O5" s="4" t="s">
        <v>6</v>
      </c>
      <c r="P5" s="20" t="s">
        <v>6</v>
      </c>
      <c r="Q5" s="3">
        <f t="shared" ref="Q5:Q16" si="1">COUNTIF(E5:P5,"P")</f>
        <v>5</v>
      </c>
      <c r="R5" s="4">
        <f t="shared" ref="R5:R16" si="2">COUNTIF(E5:P5,"A")</f>
        <v>0</v>
      </c>
      <c r="S5" s="4">
        <f t="shared" ref="S5:S16" si="3">COUNTIF(E5:P5,"L")</f>
        <v>5</v>
      </c>
      <c r="T5" s="4">
        <v>1</v>
      </c>
      <c r="U5" s="10">
        <f>Q5+S5+T5</f>
        <v>11</v>
      </c>
    </row>
    <row r="6" spans="1:21" ht="15" customHeight="1" x14ac:dyDescent="0.25">
      <c r="A6" s="3">
        <v>2</v>
      </c>
      <c r="B6" s="4" t="s">
        <v>15</v>
      </c>
      <c r="C6" s="4" t="s">
        <v>16</v>
      </c>
      <c r="D6" s="10" t="s">
        <v>27</v>
      </c>
      <c r="E6" s="4" t="s">
        <v>6</v>
      </c>
      <c r="F6" s="4" t="s">
        <v>6</v>
      </c>
      <c r="G6" s="25"/>
      <c r="H6" s="4" t="s">
        <v>6</v>
      </c>
      <c r="I6" s="4" t="s">
        <v>6</v>
      </c>
      <c r="J6" s="4" t="s">
        <v>6</v>
      </c>
      <c r="K6" s="23"/>
      <c r="L6" s="4" t="s">
        <v>6</v>
      </c>
      <c r="M6" s="4" t="s">
        <v>6</v>
      </c>
      <c r="N6" s="4" t="s">
        <v>6</v>
      </c>
      <c r="O6" s="4" t="s">
        <v>6</v>
      </c>
      <c r="P6" s="20" t="s">
        <v>6</v>
      </c>
      <c r="Q6" s="3">
        <f t="shared" si="1"/>
        <v>10</v>
      </c>
      <c r="R6" s="4">
        <f t="shared" si="2"/>
        <v>0</v>
      </c>
      <c r="S6" s="4">
        <f t="shared" si="3"/>
        <v>0</v>
      </c>
      <c r="T6" s="4">
        <v>1</v>
      </c>
      <c r="U6" s="10">
        <f t="shared" ref="U6:U15" si="4">Q6+S6+T6</f>
        <v>11</v>
      </c>
    </row>
    <row r="7" spans="1:21" x14ac:dyDescent="0.25">
      <c r="A7" s="3">
        <v>3</v>
      </c>
      <c r="B7" s="4" t="s">
        <v>17</v>
      </c>
      <c r="C7" s="4" t="s">
        <v>18</v>
      </c>
      <c r="D7" s="10" t="s">
        <v>27</v>
      </c>
      <c r="E7" s="4" t="s">
        <v>6</v>
      </c>
      <c r="F7" s="4" t="s">
        <v>6</v>
      </c>
      <c r="G7" s="25"/>
      <c r="H7" s="4" t="s">
        <v>6</v>
      </c>
      <c r="I7" s="4" t="s">
        <v>6</v>
      </c>
      <c r="J7" s="4" t="s">
        <v>6</v>
      </c>
      <c r="K7" s="23"/>
      <c r="L7" s="4" t="s">
        <v>6</v>
      </c>
      <c r="M7" s="4" t="s">
        <v>6</v>
      </c>
      <c r="N7" s="4" t="s">
        <v>6</v>
      </c>
      <c r="O7" s="4" t="s">
        <v>6</v>
      </c>
      <c r="P7" s="20" t="s">
        <v>6</v>
      </c>
      <c r="Q7" s="3">
        <f t="shared" si="1"/>
        <v>10</v>
      </c>
      <c r="R7" s="4">
        <f t="shared" si="2"/>
        <v>0</v>
      </c>
      <c r="S7" s="4">
        <f t="shared" si="3"/>
        <v>0</v>
      </c>
      <c r="T7" s="4">
        <v>1</v>
      </c>
      <c r="U7" s="10">
        <f t="shared" si="4"/>
        <v>11</v>
      </c>
    </row>
    <row r="8" spans="1:21" x14ac:dyDescent="0.25">
      <c r="A8" s="3">
        <v>4</v>
      </c>
      <c r="B8" s="4" t="s">
        <v>30</v>
      </c>
      <c r="C8" s="4" t="s">
        <v>31</v>
      </c>
      <c r="D8" s="10" t="s">
        <v>27</v>
      </c>
      <c r="E8" s="4" t="s">
        <v>6</v>
      </c>
      <c r="F8" s="4" t="s">
        <v>6</v>
      </c>
      <c r="G8" s="25"/>
      <c r="H8" s="4" t="s">
        <v>6</v>
      </c>
      <c r="I8" s="4" t="s">
        <v>6</v>
      </c>
      <c r="J8" s="4" t="s">
        <v>8</v>
      </c>
      <c r="K8" s="23"/>
      <c r="L8" s="4" t="s">
        <v>6</v>
      </c>
      <c r="M8" s="4" t="s">
        <v>6</v>
      </c>
      <c r="N8" s="4" t="s">
        <v>6</v>
      </c>
      <c r="O8" s="4" t="s">
        <v>6</v>
      </c>
      <c r="P8" s="20" t="s">
        <v>6</v>
      </c>
      <c r="Q8" s="3">
        <f t="shared" si="1"/>
        <v>9</v>
      </c>
      <c r="R8" s="4">
        <f t="shared" si="2"/>
        <v>0</v>
      </c>
      <c r="S8" s="4">
        <f t="shared" si="3"/>
        <v>1</v>
      </c>
      <c r="T8" s="4">
        <v>1</v>
      </c>
      <c r="U8" s="10">
        <f t="shared" si="4"/>
        <v>11</v>
      </c>
    </row>
    <row r="9" spans="1:21" x14ac:dyDescent="0.25">
      <c r="A9" s="3">
        <v>5</v>
      </c>
      <c r="B9" s="4" t="s">
        <v>19</v>
      </c>
      <c r="C9" s="4" t="s">
        <v>20</v>
      </c>
      <c r="D9" s="10" t="s">
        <v>27</v>
      </c>
      <c r="E9" s="4" t="s">
        <v>6</v>
      </c>
      <c r="F9" s="4" t="s">
        <v>6</v>
      </c>
      <c r="G9" s="25"/>
      <c r="H9" s="4" t="s">
        <v>6</v>
      </c>
      <c r="I9" s="4" t="s">
        <v>6</v>
      </c>
      <c r="J9" s="4" t="s">
        <v>6</v>
      </c>
      <c r="K9" s="23"/>
      <c r="L9" s="4" t="s">
        <v>6</v>
      </c>
      <c r="M9" s="4" t="s">
        <v>8</v>
      </c>
      <c r="N9" s="4" t="s">
        <v>6</v>
      </c>
      <c r="O9" s="4" t="s">
        <v>6</v>
      </c>
      <c r="P9" s="20" t="s">
        <v>6</v>
      </c>
      <c r="Q9" s="3">
        <f t="shared" si="1"/>
        <v>9</v>
      </c>
      <c r="R9" s="4">
        <f t="shared" si="2"/>
        <v>0</v>
      </c>
      <c r="S9" s="4">
        <f t="shared" si="3"/>
        <v>1</v>
      </c>
      <c r="T9" s="4">
        <v>1</v>
      </c>
      <c r="U9" s="10">
        <f t="shared" si="4"/>
        <v>11</v>
      </c>
    </row>
    <row r="10" spans="1:21" x14ac:dyDescent="0.25">
      <c r="A10" s="3">
        <v>6</v>
      </c>
      <c r="B10" s="4" t="s">
        <v>17</v>
      </c>
      <c r="C10" s="4" t="s">
        <v>33</v>
      </c>
      <c r="D10" s="10" t="s">
        <v>27</v>
      </c>
      <c r="E10" s="4" t="s">
        <v>6</v>
      </c>
      <c r="F10" s="4" t="s">
        <v>6</v>
      </c>
      <c r="G10" s="25"/>
      <c r="H10" s="4" t="s">
        <v>6</v>
      </c>
      <c r="I10" s="4" t="s">
        <v>6</v>
      </c>
      <c r="J10" s="4" t="s">
        <v>6</v>
      </c>
      <c r="K10" s="23"/>
      <c r="L10" s="4" t="s">
        <v>6</v>
      </c>
      <c r="M10" s="4" t="s">
        <v>6</v>
      </c>
      <c r="N10" s="4" t="s">
        <v>6</v>
      </c>
      <c r="O10" s="4" t="s">
        <v>6</v>
      </c>
      <c r="P10" s="20" t="s">
        <v>6</v>
      </c>
      <c r="Q10" s="3">
        <f t="shared" si="1"/>
        <v>10</v>
      </c>
      <c r="R10" s="4">
        <f t="shared" si="2"/>
        <v>0</v>
      </c>
      <c r="S10" s="4">
        <f t="shared" si="3"/>
        <v>0</v>
      </c>
      <c r="T10" s="4">
        <v>1</v>
      </c>
      <c r="U10" s="10">
        <f t="shared" ref="U10:U11" si="5">Q10+S10+T10</f>
        <v>11</v>
      </c>
    </row>
    <row r="11" spans="1:21" x14ac:dyDescent="0.25">
      <c r="A11" s="3">
        <v>7</v>
      </c>
      <c r="B11" s="4" t="s">
        <v>34</v>
      </c>
      <c r="C11" s="4" t="s">
        <v>35</v>
      </c>
      <c r="D11" s="10" t="s">
        <v>27</v>
      </c>
      <c r="E11" s="4" t="s">
        <v>6</v>
      </c>
      <c r="F11" s="4" t="s">
        <v>6</v>
      </c>
      <c r="G11" s="25"/>
      <c r="H11" s="4" t="s">
        <v>6</v>
      </c>
      <c r="I11" s="4" t="s">
        <v>6</v>
      </c>
      <c r="J11" s="4" t="s">
        <v>6</v>
      </c>
      <c r="K11" s="23"/>
      <c r="L11" s="4" t="s">
        <v>6</v>
      </c>
      <c r="M11" s="4" t="s">
        <v>6</v>
      </c>
      <c r="N11" s="4" t="s">
        <v>6</v>
      </c>
      <c r="O11" s="4" t="s">
        <v>6</v>
      </c>
      <c r="P11" s="20" t="s">
        <v>6</v>
      </c>
      <c r="Q11" s="3">
        <f t="shared" si="1"/>
        <v>10</v>
      </c>
      <c r="R11" s="4">
        <f t="shared" si="2"/>
        <v>0</v>
      </c>
      <c r="S11" s="4">
        <f t="shared" si="3"/>
        <v>0</v>
      </c>
      <c r="T11" s="4">
        <v>1</v>
      </c>
      <c r="U11" s="10">
        <f t="shared" si="5"/>
        <v>11</v>
      </c>
    </row>
    <row r="12" spans="1:21" x14ac:dyDescent="0.25">
      <c r="A12" s="3">
        <v>8</v>
      </c>
      <c r="B12" s="4" t="s">
        <v>21</v>
      </c>
      <c r="C12" s="4" t="s">
        <v>22</v>
      </c>
      <c r="D12" s="10" t="s">
        <v>27</v>
      </c>
      <c r="E12" s="4" t="s">
        <v>6</v>
      </c>
      <c r="F12" s="4" t="s">
        <v>6</v>
      </c>
      <c r="G12" s="25"/>
      <c r="H12" s="4" t="s">
        <v>6</v>
      </c>
      <c r="I12" s="4" t="s">
        <v>6</v>
      </c>
      <c r="J12" s="4" t="s">
        <v>6</v>
      </c>
      <c r="K12" s="23"/>
      <c r="L12" s="4" t="s">
        <v>8</v>
      </c>
      <c r="M12" s="4" t="s">
        <v>6</v>
      </c>
      <c r="N12" s="4" t="s">
        <v>6</v>
      </c>
      <c r="O12" s="4" t="s">
        <v>6</v>
      </c>
      <c r="P12" s="20" t="s">
        <v>6</v>
      </c>
      <c r="Q12" s="3">
        <f t="shared" si="1"/>
        <v>9</v>
      </c>
      <c r="R12" s="4">
        <f t="shared" si="2"/>
        <v>0</v>
      </c>
      <c r="S12" s="4">
        <f t="shared" si="3"/>
        <v>1</v>
      </c>
      <c r="T12" s="4">
        <v>1</v>
      </c>
      <c r="U12" s="10">
        <f t="shared" si="4"/>
        <v>11</v>
      </c>
    </row>
    <row r="13" spans="1:21" x14ac:dyDescent="0.25">
      <c r="A13" s="3">
        <v>9</v>
      </c>
      <c r="B13" s="4" t="s">
        <v>23</v>
      </c>
      <c r="C13" s="4" t="s">
        <v>24</v>
      </c>
      <c r="D13" s="10" t="s">
        <v>27</v>
      </c>
      <c r="E13" s="4" t="s">
        <v>6</v>
      </c>
      <c r="F13" s="4" t="s">
        <v>6</v>
      </c>
      <c r="G13" s="25"/>
      <c r="H13" s="4" t="s">
        <v>6</v>
      </c>
      <c r="I13" s="4" t="s">
        <v>6</v>
      </c>
      <c r="J13" s="4" t="s">
        <v>6</v>
      </c>
      <c r="K13" s="23"/>
      <c r="L13" s="4" t="s">
        <v>6</v>
      </c>
      <c r="M13" s="4" t="s">
        <v>6</v>
      </c>
      <c r="N13" s="4" t="s">
        <v>6</v>
      </c>
      <c r="O13" s="4" t="s">
        <v>6</v>
      </c>
      <c r="P13" s="20" t="s">
        <v>6</v>
      </c>
      <c r="Q13" s="3">
        <f t="shared" si="1"/>
        <v>10</v>
      </c>
      <c r="R13" s="4">
        <f t="shared" si="2"/>
        <v>0</v>
      </c>
      <c r="S13" s="4">
        <f t="shared" si="3"/>
        <v>0</v>
      </c>
      <c r="T13" s="4">
        <v>1</v>
      </c>
      <c r="U13" s="10">
        <f t="shared" si="4"/>
        <v>11</v>
      </c>
    </row>
    <row r="14" spans="1:21" x14ac:dyDescent="0.25">
      <c r="A14" s="3">
        <v>10</v>
      </c>
      <c r="B14" s="4" t="s">
        <v>25</v>
      </c>
      <c r="C14" s="4" t="s">
        <v>26</v>
      </c>
      <c r="D14" s="10" t="s">
        <v>27</v>
      </c>
      <c r="E14" s="4" t="s">
        <v>6</v>
      </c>
      <c r="F14" s="4" t="s">
        <v>6</v>
      </c>
      <c r="G14" s="25"/>
      <c r="H14" s="4" t="s">
        <v>6</v>
      </c>
      <c r="I14" s="4" t="s">
        <v>6</v>
      </c>
      <c r="J14" s="4" t="s">
        <v>6</v>
      </c>
      <c r="K14" s="23"/>
      <c r="L14" s="4" t="s">
        <v>8</v>
      </c>
      <c r="M14" s="4" t="s">
        <v>6</v>
      </c>
      <c r="N14" s="4" t="s">
        <v>6</v>
      </c>
      <c r="O14" s="4" t="s">
        <v>6</v>
      </c>
      <c r="P14" s="20" t="s">
        <v>6</v>
      </c>
      <c r="Q14" s="3">
        <f t="shared" si="1"/>
        <v>9</v>
      </c>
      <c r="R14" s="4">
        <f t="shared" si="2"/>
        <v>0</v>
      </c>
      <c r="S14" s="4">
        <f t="shared" si="3"/>
        <v>1</v>
      </c>
      <c r="T14" s="4">
        <v>1</v>
      </c>
      <c r="U14" s="10">
        <f t="shared" si="4"/>
        <v>11</v>
      </c>
    </row>
    <row r="15" spans="1:21" x14ac:dyDescent="0.25">
      <c r="A15" s="3">
        <v>11</v>
      </c>
      <c r="B15" s="4" t="s">
        <v>28</v>
      </c>
      <c r="C15" s="4" t="s">
        <v>29</v>
      </c>
      <c r="D15" s="10" t="s">
        <v>32</v>
      </c>
      <c r="E15" s="4" t="s">
        <v>6</v>
      </c>
      <c r="F15" s="4" t="s">
        <v>6</v>
      </c>
      <c r="G15" s="25"/>
      <c r="H15" s="4" t="s">
        <v>8</v>
      </c>
      <c r="I15" s="4" t="s">
        <v>6</v>
      </c>
      <c r="J15" s="4" t="s">
        <v>6</v>
      </c>
      <c r="K15" s="23"/>
      <c r="L15" s="4" t="s">
        <v>6</v>
      </c>
      <c r="M15" s="4" t="s">
        <v>6</v>
      </c>
      <c r="N15" s="4" t="s">
        <v>8</v>
      </c>
      <c r="O15" s="4" t="s">
        <v>6</v>
      </c>
      <c r="P15" s="20" t="s">
        <v>6</v>
      </c>
      <c r="Q15" s="3">
        <f t="shared" si="1"/>
        <v>8</v>
      </c>
      <c r="R15" s="4">
        <f t="shared" si="2"/>
        <v>0</v>
      </c>
      <c r="S15" s="4">
        <f t="shared" si="3"/>
        <v>2</v>
      </c>
      <c r="T15" s="4">
        <v>1</v>
      </c>
      <c r="U15" s="10">
        <f t="shared" si="4"/>
        <v>11</v>
      </c>
    </row>
    <row r="16" spans="1:21" ht="15.75" thickBot="1" x14ac:dyDescent="0.3">
      <c r="A16" s="5">
        <v>12</v>
      </c>
      <c r="B16" s="6" t="s">
        <v>36</v>
      </c>
      <c r="C16" s="6" t="s">
        <v>37</v>
      </c>
      <c r="D16" s="11" t="s">
        <v>27</v>
      </c>
      <c r="E16" s="6" t="s">
        <v>39</v>
      </c>
      <c r="F16" s="6" t="s">
        <v>6</v>
      </c>
      <c r="G16" s="26"/>
      <c r="H16" s="6" t="s">
        <v>6</v>
      </c>
      <c r="I16" s="6" t="s">
        <v>6</v>
      </c>
      <c r="J16" s="6" t="s">
        <v>6</v>
      </c>
      <c r="K16" s="24"/>
      <c r="L16" s="6" t="s">
        <v>6</v>
      </c>
      <c r="M16" s="6" t="s">
        <v>6</v>
      </c>
      <c r="N16" s="6" t="s">
        <v>6</v>
      </c>
      <c r="O16" s="6" t="s">
        <v>6</v>
      </c>
      <c r="P16" s="21" t="s">
        <v>6</v>
      </c>
      <c r="Q16" s="5">
        <f t="shared" si="1"/>
        <v>9</v>
      </c>
      <c r="R16" s="6">
        <f t="shared" si="2"/>
        <v>0</v>
      </c>
      <c r="S16" s="6">
        <f t="shared" si="3"/>
        <v>0</v>
      </c>
      <c r="T16" s="6">
        <v>1</v>
      </c>
      <c r="U16" s="11">
        <f t="shared" ref="U16" si="6">Q16+S16+T16</f>
        <v>10</v>
      </c>
    </row>
  </sheetData>
  <mergeCells count="5">
    <mergeCell ref="K5:K16"/>
    <mergeCell ref="G5:G16"/>
    <mergeCell ref="A2:U2"/>
    <mergeCell ref="A3:D3"/>
    <mergeCell ref="Q3:U3"/>
  </mergeCells>
  <conditionalFormatting sqref="E3:P4 G5 K5 E5:F16 H5:J16 L5:P16">
    <cfRule type="expression" dxfId="14" priority="1">
      <formula>E$3="SUN"</formula>
    </cfRule>
  </conditionalFormatting>
  <conditionalFormatting sqref="G5 K5 E5:F16 H5:J16 L5:P16">
    <cfRule type="cellIs" dxfId="13" priority="2" operator="equal">
      <formula>"A"</formula>
    </cfRule>
    <cfRule type="cellIs" dxfId="12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FF36-94AE-4C0B-902B-E6A188EC11C2}">
  <dimension ref="A1:AN18"/>
  <sheetViews>
    <sheetView workbookViewId="0">
      <selection activeCell="D6" sqref="D6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22.28515625" bestFit="1" customWidth="1"/>
    <col min="4" max="4" width="12.5703125" bestFit="1" customWidth="1"/>
    <col min="5" max="5" width="3" bestFit="1" customWidth="1"/>
    <col min="6" max="27" width="3.7109375" bestFit="1" customWidth="1"/>
    <col min="28" max="30" width="3.7109375" customWidth="1"/>
    <col min="31" max="35" width="3.7109375" bestFit="1" customWidth="1"/>
    <col min="36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27" t="s">
        <v>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9"/>
    </row>
    <row r="3" spans="1:40" ht="27" x14ac:dyDescent="0.25">
      <c r="A3" s="30" t="s">
        <v>0</v>
      </c>
      <c r="B3" s="31"/>
      <c r="C3" s="31"/>
      <c r="D3" s="32"/>
      <c r="E3" s="13" t="str">
        <f>TEXT(E4,"ddd")</f>
        <v>Sat</v>
      </c>
      <c r="F3" s="12" t="str">
        <f t="shared" ref="F3:AI3" si="0">TEXT(F4,"ddd")</f>
        <v>Sun</v>
      </c>
      <c r="G3" s="12" t="str">
        <f t="shared" si="0"/>
        <v>Mon</v>
      </c>
      <c r="H3" s="12" t="str">
        <f t="shared" si="0"/>
        <v>Tue</v>
      </c>
      <c r="I3" s="12" t="str">
        <f t="shared" si="0"/>
        <v>Wed</v>
      </c>
      <c r="J3" s="12" t="str">
        <f t="shared" si="0"/>
        <v>Thu</v>
      </c>
      <c r="K3" s="12" t="str">
        <f t="shared" si="0"/>
        <v>Fri</v>
      </c>
      <c r="L3" s="12" t="str">
        <f t="shared" si="0"/>
        <v>Sat</v>
      </c>
      <c r="M3" s="12" t="str">
        <f t="shared" si="0"/>
        <v>Sun</v>
      </c>
      <c r="N3" s="12" t="str">
        <f t="shared" si="0"/>
        <v>Mon</v>
      </c>
      <c r="O3" s="12" t="str">
        <f t="shared" si="0"/>
        <v>Tue</v>
      </c>
      <c r="P3" s="12" t="str">
        <f t="shared" si="0"/>
        <v>Wed</v>
      </c>
      <c r="Q3" s="12" t="str">
        <f t="shared" si="0"/>
        <v>Thu</v>
      </c>
      <c r="R3" s="12" t="str">
        <f t="shared" si="0"/>
        <v>Fri</v>
      </c>
      <c r="S3" s="12" t="str">
        <f t="shared" si="0"/>
        <v>Sat</v>
      </c>
      <c r="T3" s="12" t="str">
        <f t="shared" si="0"/>
        <v>Sun</v>
      </c>
      <c r="U3" s="12" t="str">
        <f t="shared" si="0"/>
        <v>Mon</v>
      </c>
      <c r="V3" s="12" t="str">
        <f t="shared" si="0"/>
        <v>Tue</v>
      </c>
      <c r="W3" s="12" t="str">
        <f t="shared" si="0"/>
        <v>Wed</v>
      </c>
      <c r="X3" s="12" t="str">
        <f t="shared" si="0"/>
        <v>Thu</v>
      </c>
      <c r="Y3" s="12" t="str">
        <f t="shared" si="0"/>
        <v>Fri</v>
      </c>
      <c r="Z3" s="12" t="str">
        <f t="shared" si="0"/>
        <v>Sat</v>
      </c>
      <c r="AA3" s="12" t="str">
        <f t="shared" si="0"/>
        <v>Sun</v>
      </c>
      <c r="AB3" s="12" t="str">
        <f t="shared" si="0"/>
        <v>Mon</v>
      </c>
      <c r="AC3" s="12" t="str">
        <f t="shared" si="0"/>
        <v>Tue</v>
      </c>
      <c r="AD3" s="12" t="str">
        <f t="shared" si="0"/>
        <v>Wed</v>
      </c>
      <c r="AE3" s="12" t="str">
        <f t="shared" si="0"/>
        <v>Thu</v>
      </c>
      <c r="AF3" s="12" t="str">
        <f t="shared" si="0"/>
        <v>Fri</v>
      </c>
      <c r="AG3" s="12" t="str">
        <f t="shared" si="0"/>
        <v>Sat</v>
      </c>
      <c r="AH3" s="12" t="str">
        <f t="shared" si="0"/>
        <v>Sun</v>
      </c>
      <c r="AI3" s="18" t="str">
        <f t="shared" si="0"/>
        <v>Mon</v>
      </c>
      <c r="AJ3" s="33" t="s">
        <v>1</v>
      </c>
      <c r="AK3" s="34"/>
      <c r="AL3" s="34"/>
      <c r="AM3" s="34"/>
      <c r="AN3" s="35"/>
    </row>
    <row r="4" spans="1:40" x14ac:dyDescent="0.25">
      <c r="A4" s="1" t="s">
        <v>2</v>
      </c>
      <c r="B4" s="2" t="s">
        <v>3</v>
      </c>
      <c r="C4" s="2" t="s">
        <v>13</v>
      </c>
      <c r="D4" s="17" t="s">
        <v>4</v>
      </c>
      <c r="E4" s="14">
        <v>45717</v>
      </c>
      <c r="F4" s="7">
        <v>45718</v>
      </c>
      <c r="G4" s="7">
        <v>45719</v>
      </c>
      <c r="H4" s="7">
        <v>45720</v>
      </c>
      <c r="I4" s="7">
        <v>45721</v>
      </c>
      <c r="J4" s="7">
        <v>45722</v>
      </c>
      <c r="K4" s="7">
        <v>45723</v>
      </c>
      <c r="L4" s="7">
        <v>45724</v>
      </c>
      <c r="M4" s="7">
        <v>45725</v>
      </c>
      <c r="N4" s="7">
        <v>45726</v>
      </c>
      <c r="O4" s="7">
        <v>45727</v>
      </c>
      <c r="P4" s="7">
        <v>45728</v>
      </c>
      <c r="Q4" s="7">
        <v>45729</v>
      </c>
      <c r="R4" s="7">
        <v>45730</v>
      </c>
      <c r="S4" s="7">
        <v>45731</v>
      </c>
      <c r="T4" s="7">
        <v>45732</v>
      </c>
      <c r="U4" s="7">
        <v>45733</v>
      </c>
      <c r="V4" s="7">
        <v>45734</v>
      </c>
      <c r="W4" s="7">
        <v>45735</v>
      </c>
      <c r="X4" s="7">
        <v>45736</v>
      </c>
      <c r="Y4" s="7">
        <v>45737</v>
      </c>
      <c r="Z4" s="7">
        <v>45738</v>
      </c>
      <c r="AA4" s="7">
        <v>45739</v>
      </c>
      <c r="AB4" s="7">
        <v>45740</v>
      </c>
      <c r="AC4" s="7">
        <v>45741</v>
      </c>
      <c r="AD4" s="7">
        <v>45742</v>
      </c>
      <c r="AE4" s="7">
        <v>45743</v>
      </c>
      <c r="AF4" s="7">
        <v>45744</v>
      </c>
      <c r="AG4" s="7">
        <v>45745</v>
      </c>
      <c r="AH4" s="7">
        <v>45746</v>
      </c>
      <c r="AI4" s="19">
        <v>45747</v>
      </c>
      <c r="AJ4" s="22" t="s">
        <v>6</v>
      </c>
      <c r="AK4" s="8" t="s">
        <v>7</v>
      </c>
      <c r="AL4" s="8" t="s">
        <v>8</v>
      </c>
      <c r="AM4" s="8" t="s">
        <v>9</v>
      </c>
      <c r="AN4" s="9" t="s">
        <v>5</v>
      </c>
    </row>
    <row r="5" spans="1:40" ht="15" customHeight="1" x14ac:dyDescent="0.25">
      <c r="A5" s="3">
        <v>1</v>
      </c>
      <c r="B5" s="4" t="s">
        <v>12</v>
      </c>
      <c r="C5" s="4" t="s">
        <v>14</v>
      </c>
      <c r="D5" s="10" t="s">
        <v>27</v>
      </c>
      <c r="E5" s="15" t="s">
        <v>6</v>
      </c>
      <c r="F5" s="23" t="s">
        <v>10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23" t="s">
        <v>10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23" t="s">
        <v>10</v>
      </c>
      <c r="U5" s="4" t="s">
        <v>8</v>
      </c>
      <c r="V5" s="4" t="s">
        <v>8</v>
      </c>
      <c r="W5" s="4" t="s">
        <v>6</v>
      </c>
      <c r="X5" s="4" t="s">
        <v>6</v>
      </c>
      <c r="Y5" s="4" t="s">
        <v>6</v>
      </c>
      <c r="Z5" s="36" t="s">
        <v>40</v>
      </c>
      <c r="AA5" s="23" t="s">
        <v>10</v>
      </c>
      <c r="AB5" s="4" t="s">
        <v>6</v>
      </c>
      <c r="AC5" s="4" t="s">
        <v>6</v>
      </c>
      <c r="AD5" s="4" t="s">
        <v>6</v>
      </c>
      <c r="AE5" s="4" t="s">
        <v>6</v>
      </c>
      <c r="AF5" s="4" t="s">
        <v>6</v>
      </c>
      <c r="AG5" s="38" t="s">
        <v>41</v>
      </c>
      <c r="AH5" s="23" t="s">
        <v>10</v>
      </c>
      <c r="AI5" s="40" t="s">
        <v>42</v>
      </c>
      <c r="AJ5" s="3">
        <f>COUNTIF(E5:AI5,"P")</f>
        <v>21</v>
      </c>
      <c r="AK5" s="4">
        <f>COUNTIF(E5:AI5,"A")</f>
        <v>0</v>
      </c>
      <c r="AL5" s="4">
        <f>COUNTIF(E5:AI5,"L")</f>
        <v>2</v>
      </c>
      <c r="AM5" s="4">
        <v>5</v>
      </c>
      <c r="AN5" s="10">
        <f>AJ5+AL5+AM5</f>
        <v>28</v>
      </c>
    </row>
    <row r="6" spans="1:40" ht="15" customHeight="1" x14ac:dyDescent="0.25">
      <c r="A6" s="3">
        <v>2</v>
      </c>
      <c r="B6" s="4" t="s">
        <v>15</v>
      </c>
      <c r="C6" s="4" t="s">
        <v>16</v>
      </c>
      <c r="D6" s="10" t="s">
        <v>27</v>
      </c>
      <c r="E6" s="15" t="s">
        <v>6</v>
      </c>
      <c r="F6" s="23"/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23"/>
      <c r="N6" s="4" t="s">
        <v>6</v>
      </c>
      <c r="O6" s="4" t="s">
        <v>6</v>
      </c>
      <c r="P6" s="4" t="s">
        <v>8</v>
      </c>
      <c r="Q6" s="4" t="s">
        <v>6</v>
      </c>
      <c r="R6" s="4" t="s">
        <v>6</v>
      </c>
      <c r="S6" s="4" t="s">
        <v>6</v>
      </c>
      <c r="T6" s="23"/>
      <c r="U6" s="4" t="s">
        <v>6</v>
      </c>
      <c r="V6" s="4" t="s">
        <v>6</v>
      </c>
      <c r="W6" s="4" t="s">
        <v>6</v>
      </c>
      <c r="X6" s="4" t="s">
        <v>6</v>
      </c>
      <c r="Y6" s="4" t="s">
        <v>6</v>
      </c>
      <c r="Z6" s="36"/>
      <c r="AA6" s="23"/>
      <c r="AB6" s="4" t="s">
        <v>6</v>
      </c>
      <c r="AC6" s="4" t="s">
        <v>6</v>
      </c>
      <c r="AD6" s="4" t="s">
        <v>6</v>
      </c>
      <c r="AE6" s="4" t="s">
        <v>6</v>
      </c>
      <c r="AF6" s="4" t="s">
        <v>6</v>
      </c>
      <c r="AG6" s="38"/>
      <c r="AH6" s="23"/>
      <c r="AI6" s="40"/>
      <c r="AJ6" s="3">
        <f>COUNTIF(E6:AI6,"P")</f>
        <v>22</v>
      </c>
      <c r="AK6" s="4">
        <f>COUNTIF(E6:AI6,"A")</f>
        <v>0</v>
      </c>
      <c r="AL6" s="4">
        <f>COUNTIF(E6:AI6,"L")</f>
        <v>1</v>
      </c>
      <c r="AM6" s="4">
        <f>COUNTBLANK(E6:AI6)</f>
        <v>8</v>
      </c>
      <c r="AN6" s="10">
        <f t="shared" ref="AN6:AN16" si="1">AJ6+AL6+AM6</f>
        <v>31</v>
      </c>
    </row>
    <row r="7" spans="1:40" x14ac:dyDescent="0.25">
      <c r="A7" s="3">
        <v>3</v>
      </c>
      <c r="B7" s="4" t="s">
        <v>17</v>
      </c>
      <c r="C7" s="4" t="s">
        <v>18</v>
      </c>
      <c r="D7" s="10" t="s">
        <v>27</v>
      </c>
      <c r="E7" s="15" t="s">
        <v>6</v>
      </c>
      <c r="F7" s="23"/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6</v>
      </c>
      <c r="M7" s="23"/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23"/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36"/>
      <c r="AA7" s="23"/>
      <c r="AB7" s="4" t="s">
        <v>8</v>
      </c>
      <c r="AC7" s="4" t="s">
        <v>6</v>
      </c>
      <c r="AD7" s="4" t="s">
        <v>6</v>
      </c>
      <c r="AE7" s="4" t="s">
        <v>6</v>
      </c>
      <c r="AF7" s="4" t="s">
        <v>6</v>
      </c>
      <c r="AG7" s="38"/>
      <c r="AH7" s="23"/>
      <c r="AI7" s="40"/>
      <c r="AJ7" s="3">
        <f>COUNTIF(E7:AI7,"P")</f>
        <v>22</v>
      </c>
      <c r="AK7" s="4">
        <f>COUNTIF(E7:AI7,"A")</f>
        <v>0</v>
      </c>
      <c r="AL7" s="4">
        <f>COUNTIF(E7:AI7,"L")</f>
        <v>1</v>
      </c>
      <c r="AM7" s="4">
        <f>COUNTBLANK(E7:AI7)</f>
        <v>8</v>
      </c>
      <c r="AN7" s="10">
        <f t="shared" si="1"/>
        <v>31</v>
      </c>
    </row>
    <row r="8" spans="1:40" x14ac:dyDescent="0.25">
      <c r="A8" s="3">
        <v>4</v>
      </c>
      <c r="B8" s="4" t="s">
        <v>30</v>
      </c>
      <c r="C8" s="4" t="s">
        <v>31</v>
      </c>
      <c r="D8" s="10" t="s">
        <v>27</v>
      </c>
      <c r="E8" s="15" t="s">
        <v>6</v>
      </c>
      <c r="F8" s="23"/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23"/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23"/>
      <c r="U8" s="4" t="s">
        <v>6</v>
      </c>
      <c r="V8" s="4" t="s">
        <v>6</v>
      </c>
      <c r="W8" s="4" t="s">
        <v>6</v>
      </c>
      <c r="X8" s="4" t="s">
        <v>6</v>
      </c>
      <c r="Y8" s="4" t="s">
        <v>8</v>
      </c>
      <c r="Z8" s="36"/>
      <c r="AA8" s="23"/>
      <c r="AB8" s="4" t="s">
        <v>6</v>
      </c>
      <c r="AC8" s="4" t="s">
        <v>6</v>
      </c>
      <c r="AD8" s="4" t="s">
        <v>6</v>
      </c>
      <c r="AE8" s="4" t="s">
        <v>6</v>
      </c>
      <c r="AF8" s="4" t="s">
        <v>6</v>
      </c>
      <c r="AG8" s="38"/>
      <c r="AH8" s="23"/>
      <c r="AI8" s="40"/>
      <c r="AJ8" s="3">
        <f>COUNTIF(E8:AI8,"P")</f>
        <v>22</v>
      </c>
      <c r="AK8" s="4">
        <f>COUNTIF(E8:AI8,"A")</f>
        <v>0</v>
      </c>
      <c r="AL8" s="4">
        <f>COUNTIF(E8:AI8,"L")</f>
        <v>1</v>
      </c>
      <c r="AM8" s="4">
        <f>COUNTBLANK(E8:AI8)</f>
        <v>8</v>
      </c>
      <c r="AN8" s="10">
        <f t="shared" si="1"/>
        <v>31</v>
      </c>
    </row>
    <row r="9" spans="1:40" x14ac:dyDescent="0.25">
      <c r="A9" s="3">
        <v>5</v>
      </c>
      <c r="B9" s="4" t="s">
        <v>19</v>
      </c>
      <c r="C9" s="4" t="s">
        <v>20</v>
      </c>
      <c r="D9" s="10" t="s">
        <v>27</v>
      </c>
      <c r="E9" s="15" t="s">
        <v>6</v>
      </c>
      <c r="F9" s="23"/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23"/>
      <c r="N9" s="4" t="s">
        <v>6</v>
      </c>
      <c r="O9" s="4" t="s">
        <v>6</v>
      </c>
      <c r="P9" s="4" t="s">
        <v>6</v>
      </c>
      <c r="Q9" s="4" t="s">
        <v>6</v>
      </c>
      <c r="R9" s="4" t="s">
        <v>6</v>
      </c>
      <c r="S9" s="4" t="s">
        <v>6</v>
      </c>
      <c r="T9" s="23"/>
      <c r="U9" s="4" t="s">
        <v>6</v>
      </c>
      <c r="V9" s="4" t="s">
        <v>6</v>
      </c>
      <c r="W9" s="4" t="s">
        <v>8</v>
      </c>
      <c r="X9" s="4" t="s">
        <v>6</v>
      </c>
      <c r="Y9" s="4" t="s">
        <v>6</v>
      </c>
      <c r="Z9" s="36"/>
      <c r="AA9" s="23"/>
      <c r="AB9" s="4" t="s">
        <v>6</v>
      </c>
      <c r="AC9" s="4" t="s">
        <v>6</v>
      </c>
      <c r="AD9" s="4" t="s">
        <v>8</v>
      </c>
      <c r="AE9" s="4" t="s">
        <v>6</v>
      </c>
      <c r="AF9" s="4" t="s">
        <v>6</v>
      </c>
      <c r="AG9" s="38"/>
      <c r="AH9" s="23"/>
      <c r="AI9" s="40"/>
      <c r="AJ9" s="3">
        <f>COUNTIF(E9:AI9,"P")</f>
        <v>21</v>
      </c>
      <c r="AK9" s="4">
        <f>COUNTIF(E9:AI9,"A")</f>
        <v>0</v>
      </c>
      <c r="AL9" s="4">
        <f>COUNTIF(E9:AI9,"L")</f>
        <v>2</v>
      </c>
      <c r="AM9" s="4">
        <f>COUNTBLANK(E9:AI9)</f>
        <v>8</v>
      </c>
      <c r="AN9" s="10">
        <f t="shared" si="1"/>
        <v>31</v>
      </c>
    </row>
    <row r="10" spans="1:40" x14ac:dyDescent="0.25">
      <c r="A10" s="3">
        <v>6</v>
      </c>
      <c r="B10" s="4" t="s">
        <v>17</v>
      </c>
      <c r="C10" s="4" t="s">
        <v>33</v>
      </c>
      <c r="D10" s="10" t="s">
        <v>27</v>
      </c>
      <c r="E10" s="15" t="s">
        <v>6</v>
      </c>
      <c r="F10" s="23"/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  <c r="M10" s="23"/>
      <c r="N10" s="4" t="s">
        <v>6</v>
      </c>
      <c r="O10" s="4" t="s">
        <v>6</v>
      </c>
      <c r="P10" s="4" t="s">
        <v>6</v>
      </c>
      <c r="Q10" s="4" t="s">
        <v>6</v>
      </c>
      <c r="R10" s="4" t="s">
        <v>6</v>
      </c>
      <c r="S10" s="4" t="s">
        <v>6</v>
      </c>
      <c r="T10" s="23"/>
      <c r="U10" s="4" t="s">
        <v>6</v>
      </c>
      <c r="V10" s="4" t="s">
        <v>6</v>
      </c>
      <c r="W10" s="4" t="s">
        <v>6</v>
      </c>
      <c r="X10" s="4" t="s">
        <v>6</v>
      </c>
      <c r="Y10" s="4" t="s">
        <v>6</v>
      </c>
      <c r="Z10" s="36"/>
      <c r="AA10" s="23"/>
      <c r="AB10" s="4" t="s">
        <v>6</v>
      </c>
      <c r="AC10" s="4" t="s">
        <v>6</v>
      </c>
      <c r="AD10" s="4" t="s">
        <v>6</v>
      </c>
      <c r="AE10" s="4" t="s">
        <v>6</v>
      </c>
      <c r="AF10" s="4" t="s">
        <v>6</v>
      </c>
      <c r="AG10" s="38"/>
      <c r="AH10" s="23"/>
      <c r="AI10" s="40"/>
      <c r="AJ10" s="3">
        <f t="shared" ref="AJ10:AJ11" si="2">COUNTIF(E10:AI10,"P")</f>
        <v>23</v>
      </c>
      <c r="AK10" s="4">
        <f t="shared" ref="AK10:AK11" si="3">COUNTIF(E10:AI10,"A")</f>
        <v>0</v>
      </c>
      <c r="AL10" s="4">
        <f t="shared" ref="AL10:AL11" si="4">COUNTIF(E10:AI10,"L")</f>
        <v>0</v>
      </c>
      <c r="AM10" s="4">
        <f t="shared" ref="AM10:AM11" si="5">COUNTBLANK(E10:AI10)</f>
        <v>8</v>
      </c>
      <c r="AN10" s="10">
        <f t="shared" si="1"/>
        <v>31</v>
      </c>
    </row>
    <row r="11" spans="1:40" x14ac:dyDescent="0.25">
      <c r="A11" s="3">
        <v>7</v>
      </c>
      <c r="B11" s="4" t="s">
        <v>34</v>
      </c>
      <c r="C11" s="4" t="s">
        <v>35</v>
      </c>
      <c r="D11" s="10" t="s">
        <v>27</v>
      </c>
      <c r="E11" s="15" t="s">
        <v>6</v>
      </c>
      <c r="F11" s="23"/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23"/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23"/>
      <c r="U11" s="4" t="s">
        <v>6</v>
      </c>
      <c r="V11" s="4" t="s">
        <v>6</v>
      </c>
      <c r="W11" s="4" t="s">
        <v>6</v>
      </c>
      <c r="X11" s="4" t="s">
        <v>6</v>
      </c>
      <c r="Y11" s="4" t="s">
        <v>6</v>
      </c>
      <c r="Z11" s="36"/>
      <c r="AA11" s="23"/>
      <c r="AB11" s="4" t="s">
        <v>6</v>
      </c>
      <c r="AC11" s="4" t="s">
        <v>6</v>
      </c>
      <c r="AD11" s="4" t="s">
        <v>6</v>
      </c>
      <c r="AE11" s="4" t="s">
        <v>6</v>
      </c>
      <c r="AF11" s="4" t="s">
        <v>6</v>
      </c>
      <c r="AG11" s="38"/>
      <c r="AH11" s="23"/>
      <c r="AI11" s="40"/>
      <c r="AJ11" s="3">
        <f t="shared" si="2"/>
        <v>23</v>
      </c>
      <c r="AK11" s="4">
        <f t="shared" si="3"/>
        <v>0</v>
      </c>
      <c r="AL11" s="4">
        <f t="shared" si="4"/>
        <v>0</v>
      </c>
      <c r="AM11" s="4">
        <f t="shared" si="5"/>
        <v>8</v>
      </c>
      <c r="AN11" s="10">
        <f t="shared" si="1"/>
        <v>31</v>
      </c>
    </row>
    <row r="12" spans="1:40" x14ac:dyDescent="0.25">
      <c r="A12" s="3">
        <v>8</v>
      </c>
      <c r="B12" s="4" t="s">
        <v>21</v>
      </c>
      <c r="C12" s="4" t="s">
        <v>22</v>
      </c>
      <c r="D12" s="10" t="s">
        <v>27</v>
      </c>
      <c r="E12" s="15" t="s">
        <v>6</v>
      </c>
      <c r="F12" s="23"/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23"/>
      <c r="N12" s="4" t="s">
        <v>6</v>
      </c>
      <c r="O12" s="4" t="s">
        <v>6</v>
      </c>
      <c r="P12" s="4" t="s">
        <v>6</v>
      </c>
      <c r="Q12" s="4" t="s">
        <v>6</v>
      </c>
      <c r="R12" s="4" t="s">
        <v>6</v>
      </c>
      <c r="S12" s="4" t="s">
        <v>6</v>
      </c>
      <c r="T12" s="23"/>
      <c r="U12" s="4" t="s">
        <v>6</v>
      </c>
      <c r="V12" s="4" t="s">
        <v>6</v>
      </c>
      <c r="W12" s="4" t="s">
        <v>6</v>
      </c>
      <c r="X12" s="4" t="s">
        <v>8</v>
      </c>
      <c r="Y12" s="4" t="s">
        <v>6</v>
      </c>
      <c r="Z12" s="36"/>
      <c r="AA12" s="23"/>
      <c r="AB12" s="4" t="s">
        <v>6</v>
      </c>
      <c r="AC12" s="4" t="s">
        <v>6</v>
      </c>
      <c r="AD12" s="4" t="s">
        <v>6</v>
      </c>
      <c r="AE12" s="4" t="s">
        <v>6</v>
      </c>
      <c r="AF12" s="4" t="s">
        <v>6</v>
      </c>
      <c r="AG12" s="38"/>
      <c r="AH12" s="23"/>
      <c r="AI12" s="40"/>
      <c r="AJ12" s="3">
        <f>COUNTIF(E12:AI12,"P")</f>
        <v>22</v>
      </c>
      <c r="AK12" s="4">
        <f>COUNTIF(E12:AI12,"A")</f>
        <v>0</v>
      </c>
      <c r="AL12" s="4">
        <f>COUNTIF(E12:AI12,"L")</f>
        <v>1</v>
      </c>
      <c r="AM12" s="4">
        <f>COUNTBLANK(E12:AI12)</f>
        <v>8</v>
      </c>
      <c r="AN12" s="10">
        <f t="shared" si="1"/>
        <v>31</v>
      </c>
    </row>
    <row r="13" spans="1:40" x14ac:dyDescent="0.25">
      <c r="A13" s="3">
        <v>9</v>
      </c>
      <c r="B13" s="4" t="s">
        <v>23</v>
      </c>
      <c r="C13" s="4" t="s">
        <v>24</v>
      </c>
      <c r="D13" s="10" t="s">
        <v>27</v>
      </c>
      <c r="E13" s="15" t="s">
        <v>6</v>
      </c>
      <c r="F13" s="23"/>
      <c r="G13" s="4" t="s">
        <v>6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23"/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23"/>
      <c r="U13" s="4" t="s">
        <v>6</v>
      </c>
      <c r="V13" s="4" t="s">
        <v>6</v>
      </c>
      <c r="W13" s="4" t="s">
        <v>8</v>
      </c>
      <c r="X13" s="4" t="s">
        <v>6</v>
      </c>
      <c r="Y13" s="4" t="s">
        <v>6</v>
      </c>
      <c r="Z13" s="36"/>
      <c r="AA13" s="23"/>
      <c r="AB13" s="4" t="s">
        <v>6</v>
      </c>
      <c r="AC13" s="4" t="s">
        <v>6</v>
      </c>
      <c r="AD13" s="4" t="s">
        <v>8</v>
      </c>
      <c r="AE13" s="4" t="s">
        <v>6</v>
      </c>
      <c r="AF13" s="4" t="s">
        <v>6</v>
      </c>
      <c r="AG13" s="38"/>
      <c r="AH13" s="23"/>
      <c r="AI13" s="40"/>
      <c r="AJ13" s="3">
        <f>COUNTIF(E13:AI13,"P")</f>
        <v>21</v>
      </c>
      <c r="AK13" s="4">
        <f>COUNTIF(E13:AI13,"A")</f>
        <v>0</v>
      </c>
      <c r="AL13" s="4">
        <f>COUNTIF(E13:AI13,"L")</f>
        <v>2</v>
      </c>
      <c r="AM13" s="4">
        <f>COUNTBLANK(E13:AI13)</f>
        <v>8</v>
      </c>
      <c r="AN13" s="10">
        <f t="shared" si="1"/>
        <v>31</v>
      </c>
    </row>
    <row r="14" spans="1:40" x14ac:dyDescent="0.25">
      <c r="A14" s="3">
        <v>10</v>
      </c>
      <c r="B14" s="4" t="s">
        <v>25</v>
      </c>
      <c r="C14" s="4" t="s">
        <v>26</v>
      </c>
      <c r="D14" s="10" t="s">
        <v>27</v>
      </c>
      <c r="E14" s="15" t="s">
        <v>6</v>
      </c>
      <c r="F14" s="23"/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23"/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8</v>
      </c>
      <c r="T14" s="23"/>
      <c r="U14" s="4" t="s">
        <v>6</v>
      </c>
      <c r="V14" s="4" t="s">
        <v>8</v>
      </c>
      <c r="W14" s="4" t="s">
        <v>6</v>
      </c>
      <c r="X14" s="4" t="s">
        <v>6</v>
      </c>
      <c r="Y14" s="4" t="s">
        <v>6</v>
      </c>
      <c r="Z14" s="36"/>
      <c r="AA14" s="23"/>
      <c r="AB14" s="4" t="s">
        <v>6</v>
      </c>
      <c r="AC14" s="4" t="s">
        <v>6</v>
      </c>
      <c r="AD14" s="4" t="s">
        <v>6</v>
      </c>
      <c r="AE14" s="4" t="s">
        <v>6</v>
      </c>
      <c r="AF14" s="4" t="s">
        <v>6</v>
      </c>
      <c r="AG14" s="38"/>
      <c r="AH14" s="23"/>
      <c r="AI14" s="40"/>
      <c r="AJ14" s="3">
        <f>COUNTIF(E14:AI14,"P")</f>
        <v>21</v>
      </c>
      <c r="AK14" s="4">
        <f>COUNTIF(E14:AI14,"A")</f>
        <v>0</v>
      </c>
      <c r="AL14" s="4">
        <f>COUNTIF(E14:AI14,"L")</f>
        <v>2</v>
      </c>
      <c r="AM14" s="4">
        <f>COUNTBLANK(E14:AI14)</f>
        <v>8</v>
      </c>
      <c r="AN14" s="10">
        <f t="shared" si="1"/>
        <v>31</v>
      </c>
    </row>
    <row r="15" spans="1:40" x14ac:dyDescent="0.25">
      <c r="A15" s="3">
        <v>11</v>
      </c>
      <c r="B15" s="4" t="s">
        <v>36</v>
      </c>
      <c r="C15" s="4" t="s">
        <v>37</v>
      </c>
      <c r="D15" s="10" t="s">
        <v>27</v>
      </c>
      <c r="E15" s="15" t="s">
        <v>6</v>
      </c>
      <c r="F15" s="23"/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23"/>
      <c r="N15" s="4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23"/>
      <c r="U15" s="4" t="s">
        <v>6</v>
      </c>
      <c r="V15" s="4" t="s">
        <v>6</v>
      </c>
      <c r="W15" s="4" t="s">
        <v>6</v>
      </c>
      <c r="X15" s="4" t="s">
        <v>6</v>
      </c>
      <c r="Y15" s="4" t="s">
        <v>6</v>
      </c>
      <c r="Z15" s="36"/>
      <c r="AA15" s="23"/>
      <c r="AB15" s="4" t="s">
        <v>6</v>
      </c>
      <c r="AC15" s="4" t="s">
        <v>6</v>
      </c>
      <c r="AD15" s="4" t="s">
        <v>6</v>
      </c>
      <c r="AE15" s="4" t="s">
        <v>6</v>
      </c>
      <c r="AF15" s="4" t="s">
        <v>6</v>
      </c>
      <c r="AG15" s="38"/>
      <c r="AH15" s="23"/>
      <c r="AI15" s="40"/>
      <c r="AJ15" s="3">
        <f>COUNTIF(E15:AI15,"P")</f>
        <v>23</v>
      </c>
      <c r="AK15" s="4">
        <f>COUNTIF(E15:AI15,"A")</f>
        <v>0</v>
      </c>
      <c r="AL15" s="4">
        <f>COUNTIF(E15:AI15,"L")</f>
        <v>0</v>
      </c>
      <c r="AM15" s="4">
        <f>COUNTBLANK(E15:AI15)</f>
        <v>8</v>
      </c>
      <c r="AN15" s="10">
        <f t="shared" si="1"/>
        <v>31</v>
      </c>
    </row>
    <row r="16" spans="1:40" x14ac:dyDescent="0.25">
      <c r="A16" s="3">
        <v>12</v>
      </c>
      <c r="B16" s="4" t="s">
        <v>28</v>
      </c>
      <c r="C16" s="4" t="s">
        <v>29</v>
      </c>
      <c r="D16" s="10" t="s">
        <v>32</v>
      </c>
      <c r="E16" s="15" t="s">
        <v>6</v>
      </c>
      <c r="F16" s="23"/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  <c r="M16" s="23"/>
      <c r="N16" s="4" t="s">
        <v>6</v>
      </c>
      <c r="O16" s="4" t="s">
        <v>6</v>
      </c>
      <c r="P16" s="4" t="s">
        <v>6</v>
      </c>
      <c r="Q16" s="4" t="s">
        <v>8</v>
      </c>
      <c r="R16" s="4" t="s">
        <v>6</v>
      </c>
      <c r="S16" s="4" t="s">
        <v>6</v>
      </c>
      <c r="T16" s="23"/>
      <c r="U16" s="4" t="s">
        <v>6</v>
      </c>
      <c r="V16" s="4" t="s">
        <v>6</v>
      </c>
      <c r="W16" s="4" t="s">
        <v>6</v>
      </c>
      <c r="X16" s="4" t="s">
        <v>6</v>
      </c>
      <c r="Y16" s="4" t="s">
        <v>6</v>
      </c>
      <c r="Z16" s="36"/>
      <c r="AA16" s="23"/>
      <c r="AB16" s="4" t="s">
        <v>6</v>
      </c>
      <c r="AC16" s="4" t="s">
        <v>6</v>
      </c>
      <c r="AD16" s="4" t="s">
        <v>8</v>
      </c>
      <c r="AE16" s="4" t="s">
        <v>6</v>
      </c>
      <c r="AF16" s="4" t="s">
        <v>6</v>
      </c>
      <c r="AG16" s="38"/>
      <c r="AH16" s="23"/>
      <c r="AI16" s="40"/>
      <c r="AJ16" s="3">
        <f>COUNTIF(E16:AI16,"P")</f>
        <v>21</v>
      </c>
      <c r="AK16" s="4">
        <f>COUNTIF(E16:AI16,"A")</f>
        <v>0</v>
      </c>
      <c r="AL16" s="4">
        <f>COUNTIF(E16:AI16,"L")</f>
        <v>2</v>
      </c>
      <c r="AM16" s="4">
        <f>COUNTBLANK(E16:AI16)</f>
        <v>8</v>
      </c>
      <c r="AN16" s="10">
        <f t="shared" si="1"/>
        <v>31</v>
      </c>
    </row>
    <row r="17" spans="1:40" x14ac:dyDescent="0.25">
      <c r="A17" s="3">
        <v>13</v>
      </c>
      <c r="B17" s="4" t="s">
        <v>43</v>
      </c>
      <c r="C17" s="4" t="s">
        <v>44</v>
      </c>
      <c r="D17" s="10" t="s">
        <v>27</v>
      </c>
      <c r="E17" s="15" t="s">
        <v>6</v>
      </c>
      <c r="F17" s="23"/>
      <c r="G17" s="4" t="s">
        <v>6</v>
      </c>
      <c r="H17" s="4" t="s">
        <v>6</v>
      </c>
      <c r="I17" s="4" t="s">
        <v>6</v>
      </c>
      <c r="J17" s="4" t="s">
        <v>6</v>
      </c>
      <c r="K17" s="4" t="s">
        <v>6</v>
      </c>
      <c r="L17" s="4" t="s">
        <v>6</v>
      </c>
      <c r="M17" s="23"/>
      <c r="N17" s="4" t="s">
        <v>6</v>
      </c>
      <c r="O17" s="4" t="s">
        <v>6</v>
      </c>
      <c r="P17" s="4" t="s">
        <v>6</v>
      </c>
      <c r="Q17" s="4" t="s">
        <v>6</v>
      </c>
      <c r="R17" s="4" t="s">
        <v>6</v>
      </c>
      <c r="S17" s="4" t="s">
        <v>6</v>
      </c>
      <c r="T17" s="23"/>
      <c r="U17" s="4" t="s">
        <v>6</v>
      </c>
      <c r="V17" s="4" t="s">
        <v>6</v>
      </c>
      <c r="W17" s="4" t="s">
        <v>6</v>
      </c>
      <c r="X17" s="4" t="s">
        <v>6</v>
      </c>
      <c r="Y17" s="4" t="s">
        <v>6</v>
      </c>
      <c r="Z17" s="36"/>
      <c r="AA17" s="23"/>
      <c r="AB17" s="4" t="s">
        <v>6</v>
      </c>
      <c r="AC17" s="4" t="s">
        <v>6</v>
      </c>
      <c r="AD17" s="4" t="s">
        <v>6</v>
      </c>
      <c r="AE17" s="4" t="s">
        <v>6</v>
      </c>
      <c r="AF17" s="4" t="s">
        <v>6</v>
      </c>
      <c r="AG17" s="38"/>
      <c r="AH17" s="23"/>
      <c r="AI17" s="40"/>
      <c r="AJ17" s="3">
        <f t="shared" ref="AJ17:AJ18" si="6">COUNTIF(E17:AI17,"P")</f>
        <v>23</v>
      </c>
      <c r="AK17" s="4">
        <f t="shared" ref="AK17:AK18" si="7">COUNTIF(E17:AI17,"A")</f>
        <v>0</v>
      </c>
      <c r="AL17" s="4">
        <f t="shared" ref="AL17:AL18" si="8">COUNTIF(E17:AI17,"L")</f>
        <v>0</v>
      </c>
      <c r="AM17" s="4">
        <f t="shared" ref="AM17:AM18" si="9">COUNTBLANK(E17:AI17)</f>
        <v>8</v>
      </c>
      <c r="AN17" s="10">
        <f t="shared" ref="AN17:AN18" si="10">AJ17+AL17+AM17</f>
        <v>31</v>
      </c>
    </row>
    <row r="18" spans="1:40" ht="15.75" thickBot="1" x14ac:dyDescent="0.3">
      <c r="A18" s="5">
        <v>14</v>
      </c>
      <c r="B18" s="6" t="s">
        <v>46</v>
      </c>
      <c r="C18" s="6" t="s">
        <v>45</v>
      </c>
      <c r="D18" s="11" t="s">
        <v>27</v>
      </c>
      <c r="E18" s="16" t="s">
        <v>39</v>
      </c>
      <c r="F18" s="24"/>
      <c r="G18" s="6" t="s">
        <v>39</v>
      </c>
      <c r="H18" s="6" t="s">
        <v>39</v>
      </c>
      <c r="I18" s="6" t="s">
        <v>39</v>
      </c>
      <c r="J18" s="6" t="s">
        <v>6</v>
      </c>
      <c r="K18" s="6" t="s">
        <v>6</v>
      </c>
      <c r="L18" s="6" t="s">
        <v>6</v>
      </c>
      <c r="M18" s="24"/>
      <c r="N18" s="6" t="s">
        <v>6</v>
      </c>
      <c r="O18" s="6" t="s">
        <v>6</v>
      </c>
      <c r="P18" s="6" t="s">
        <v>6</v>
      </c>
      <c r="Q18" s="6" t="s">
        <v>6</v>
      </c>
      <c r="R18" s="6" t="s">
        <v>6</v>
      </c>
      <c r="S18" s="6" t="s">
        <v>6</v>
      </c>
      <c r="T18" s="24"/>
      <c r="U18" s="6" t="s">
        <v>6</v>
      </c>
      <c r="V18" s="6" t="s">
        <v>6</v>
      </c>
      <c r="W18" s="6" t="s">
        <v>6</v>
      </c>
      <c r="X18" s="6" t="s">
        <v>6</v>
      </c>
      <c r="Y18" s="6" t="s">
        <v>6</v>
      </c>
      <c r="Z18" s="37"/>
      <c r="AA18" s="24"/>
      <c r="AB18" s="6" t="s">
        <v>6</v>
      </c>
      <c r="AC18" s="6" t="s">
        <v>6</v>
      </c>
      <c r="AD18" s="6" t="s">
        <v>6</v>
      </c>
      <c r="AE18" s="6" t="s">
        <v>6</v>
      </c>
      <c r="AF18" s="6" t="s">
        <v>6</v>
      </c>
      <c r="AG18" s="39"/>
      <c r="AH18" s="24"/>
      <c r="AI18" s="41"/>
      <c r="AJ18" s="5">
        <f t="shared" si="6"/>
        <v>19</v>
      </c>
      <c r="AK18" s="6">
        <f t="shared" si="7"/>
        <v>0</v>
      </c>
      <c r="AL18" s="6">
        <f t="shared" si="8"/>
        <v>0</v>
      </c>
      <c r="AM18" s="6">
        <f t="shared" si="9"/>
        <v>8</v>
      </c>
      <c r="AN18" s="11">
        <f t="shared" si="10"/>
        <v>27</v>
      </c>
    </row>
  </sheetData>
  <mergeCells count="11">
    <mergeCell ref="AG5:AG18"/>
    <mergeCell ref="AH5:AH18"/>
    <mergeCell ref="AI5:AI18"/>
    <mergeCell ref="A2:AN2"/>
    <mergeCell ref="A3:D3"/>
    <mergeCell ref="AJ3:AN3"/>
    <mergeCell ref="F5:F18"/>
    <mergeCell ref="M5:M18"/>
    <mergeCell ref="T5:T18"/>
    <mergeCell ref="Z5:Z18"/>
    <mergeCell ref="AA5:AA18"/>
  </mergeCells>
  <conditionalFormatting sqref="E3:AI4 F5 M5 T5 Z5:AA5 AG5:AI5 E5:E18 G5:L18 N5:S18 U5:Y18 AB5:AF18">
    <cfRule type="expression" dxfId="11" priority="1">
      <formula>E$3="SUN"</formula>
    </cfRule>
  </conditionalFormatting>
  <conditionalFormatting sqref="F5 M5 T5 Z5:AA5 AG5:AI5 E5:E18 G5:L18 N5:S18 U5:Y18 AB5:AF18">
    <cfRule type="cellIs" dxfId="10" priority="2" operator="equal">
      <formula>"A"</formula>
    </cfRule>
    <cfRule type="cellIs" dxfId="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61A0-5726-4F55-ACE8-5CE03D914CE7}">
  <dimension ref="A1:AM18"/>
  <sheetViews>
    <sheetView workbookViewId="0">
      <selection activeCell="D6" sqref="D6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22.28515625" bestFit="1" customWidth="1"/>
    <col min="4" max="4" width="12.5703125" bestFit="1" customWidth="1"/>
    <col min="5" max="5" width="3" bestFit="1" customWidth="1"/>
    <col min="6" max="27" width="3.7109375" bestFit="1" customWidth="1"/>
    <col min="28" max="30" width="3.7109375" customWidth="1"/>
    <col min="31" max="34" width="3.7109375" bestFit="1" customWidth="1"/>
    <col min="35" max="38" width="5.7109375" customWidth="1"/>
    <col min="39" max="39" width="7.42578125" bestFit="1" customWidth="1"/>
  </cols>
  <sheetData>
    <row r="1" spans="1:39" ht="15.75" thickBot="1" x14ac:dyDescent="0.3"/>
    <row r="2" spans="1:39" ht="32.25" thickBot="1" x14ac:dyDescent="0.55000000000000004">
      <c r="A2" s="27" t="s">
        <v>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9"/>
    </row>
    <row r="3" spans="1:39" ht="27" x14ac:dyDescent="0.25">
      <c r="A3" s="30" t="s">
        <v>0</v>
      </c>
      <c r="B3" s="31"/>
      <c r="C3" s="31"/>
      <c r="D3" s="32"/>
      <c r="E3" s="13" t="str">
        <f>TEXT(E4,"ddd")</f>
        <v>Tue</v>
      </c>
      <c r="F3" s="12" t="str">
        <f t="shared" ref="F3:AH3" si="0">TEXT(F4,"ddd")</f>
        <v>Wed</v>
      </c>
      <c r="G3" s="12" t="str">
        <f t="shared" si="0"/>
        <v>Thu</v>
      </c>
      <c r="H3" s="12" t="str">
        <f t="shared" si="0"/>
        <v>Fri</v>
      </c>
      <c r="I3" s="12" t="str">
        <f t="shared" si="0"/>
        <v>Sat</v>
      </c>
      <c r="J3" s="12" t="str">
        <f t="shared" si="0"/>
        <v>Sun</v>
      </c>
      <c r="K3" s="12" t="str">
        <f t="shared" si="0"/>
        <v>Mon</v>
      </c>
      <c r="L3" s="12" t="str">
        <f t="shared" si="0"/>
        <v>Tue</v>
      </c>
      <c r="M3" s="12" t="str">
        <f t="shared" si="0"/>
        <v>Wed</v>
      </c>
      <c r="N3" s="12" t="str">
        <f t="shared" si="0"/>
        <v>Thu</v>
      </c>
      <c r="O3" s="12" t="str">
        <f t="shared" si="0"/>
        <v>Fri</v>
      </c>
      <c r="P3" s="12" t="str">
        <f t="shared" si="0"/>
        <v>Sat</v>
      </c>
      <c r="Q3" s="12" t="str">
        <f t="shared" si="0"/>
        <v>Sun</v>
      </c>
      <c r="R3" s="12" t="str">
        <f t="shared" si="0"/>
        <v>Mon</v>
      </c>
      <c r="S3" s="12" t="str">
        <f t="shared" si="0"/>
        <v>Tue</v>
      </c>
      <c r="T3" s="12" t="str">
        <f t="shared" si="0"/>
        <v>Wed</v>
      </c>
      <c r="U3" s="12" t="str">
        <f t="shared" si="0"/>
        <v>Thu</v>
      </c>
      <c r="V3" s="12" t="str">
        <f t="shared" si="0"/>
        <v>Fri</v>
      </c>
      <c r="W3" s="12" t="str">
        <f t="shared" si="0"/>
        <v>Sat</v>
      </c>
      <c r="X3" s="12" t="str">
        <f t="shared" si="0"/>
        <v>Sun</v>
      </c>
      <c r="Y3" s="12" t="str">
        <f t="shared" si="0"/>
        <v>Mon</v>
      </c>
      <c r="Z3" s="12" t="str">
        <f t="shared" si="0"/>
        <v>Tue</v>
      </c>
      <c r="AA3" s="12" t="str">
        <f t="shared" si="0"/>
        <v>Wed</v>
      </c>
      <c r="AB3" s="12" t="str">
        <f t="shared" si="0"/>
        <v>Thu</v>
      </c>
      <c r="AC3" s="12" t="str">
        <f t="shared" si="0"/>
        <v>Fri</v>
      </c>
      <c r="AD3" s="12" t="str">
        <f t="shared" si="0"/>
        <v>Sat</v>
      </c>
      <c r="AE3" s="12" t="str">
        <f t="shared" si="0"/>
        <v>Sun</v>
      </c>
      <c r="AF3" s="12" t="str">
        <f t="shared" si="0"/>
        <v>Mon</v>
      </c>
      <c r="AG3" s="12" t="str">
        <f t="shared" si="0"/>
        <v>Tue</v>
      </c>
      <c r="AH3" s="18" t="str">
        <f t="shared" si="0"/>
        <v>Wed</v>
      </c>
      <c r="AI3" s="33" t="s">
        <v>1</v>
      </c>
      <c r="AJ3" s="34"/>
      <c r="AK3" s="34"/>
      <c r="AL3" s="34"/>
      <c r="AM3" s="35"/>
    </row>
    <row r="4" spans="1:39" x14ac:dyDescent="0.25">
      <c r="A4" s="1" t="s">
        <v>2</v>
      </c>
      <c r="B4" s="2" t="s">
        <v>3</v>
      </c>
      <c r="C4" s="2" t="s">
        <v>13</v>
      </c>
      <c r="D4" s="17" t="s">
        <v>4</v>
      </c>
      <c r="E4" s="14">
        <v>45748</v>
      </c>
      <c r="F4" s="7">
        <v>45749</v>
      </c>
      <c r="G4" s="7">
        <v>45750</v>
      </c>
      <c r="H4" s="7">
        <v>45751</v>
      </c>
      <c r="I4" s="7">
        <v>45752</v>
      </c>
      <c r="J4" s="7">
        <v>45753</v>
      </c>
      <c r="K4" s="7">
        <v>45754</v>
      </c>
      <c r="L4" s="7">
        <v>45755</v>
      </c>
      <c r="M4" s="7">
        <v>45756</v>
      </c>
      <c r="N4" s="7">
        <v>45757</v>
      </c>
      <c r="O4" s="7">
        <v>45758</v>
      </c>
      <c r="P4" s="7">
        <v>45759</v>
      </c>
      <c r="Q4" s="7">
        <v>45760</v>
      </c>
      <c r="R4" s="7">
        <v>45761</v>
      </c>
      <c r="S4" s="7">
        <v>45762</v>
      </c>
      <c r="T4" s="7">
        <v>45763</v>
      </c>
      <c r="U4" s="7">
        <v>45764</v>
      </c>
      <c r="V4" s="7">
        <v>45765</v>
      </c>
      <c r="W4" s="7">
        <v>45766</v>
      </c>
      <c r="X4" s="7">
        <v>45767</v>
      </c>
      <c r="Y4" s="7">
        <v>45768</v>
      </c>
      <c r="Z4" s="7">
        <v>45769</v>
      </c>
      <c r="AA4" s="7">
        <v>45770</v>
      </c>
      <c r="AB4" s="7">
        <v>45771</v>
      </c>
      <c r="AC4" s="7">
        <v>45772</v>
      </c>
      <c r="AD4" s="7">
        <v>45773</v>
      </c>
      <c r="AE4" s="7">
        <v>45774</v>
      </c>
      <c r="AF4" s="7">
        <v>45775</v>
      </c>
      <c r="AG4" s="7">
        <v>45776</v>
      </c>
      <c r="AH4" s="19">
        <v>45777</v>
      </c>
      <c r="AI4" s="22" t="s">
        <v>6</v>
      </c>
      <c r="AJ4" s="8" t="s">
        <v>7</v>
      </c>
      <c r="AK4" s="8" t="s">
        <v>8</v>
      </c>
      <c r="AL4" s="8" t="s">
        <v>9</v>
      </c>
      <c r="AM4" s="9" t="s">
        <v>5</v>
      </c>
    </row>
    <row r="5" spans="1:39" ht="15" customHeight="1" x14ac:dyDescent="0.25">
      <c r="A5" s="3">
        <v>1</v>
      </c>
      <c r="B5" s="4" t="s">
        <v>12</v>
      </c>
      <c r="C5" s="4" t="s">
        <v>14</v>
      </c>
      <c r="D5" s="10" t="s">
        <v>27</v>
      </c>
      <c r="E5" s="40" t="s">
        <v>42</v>
      </c>
      <c r="F5" s="40" t="s">
        <v>42</v>
      </c>
      <c r="G5" s="4" t="s">
        <v>6</v>
      </c>
      <c r="H5" s="4" t="s">
        <v>6</v>
      </c>
      <c r="I5" s="4" t="s">
        <v>6</v>
      </c>
      <c r="J5" s="23" t="s">
        <v>10</v>
      </c>
      <c r="K5" s="4" t="s">
        <v>8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23" t="s">
        <v>10</v>
      </c>
      <c r="R5" s="4" t="s">
        <v>6</v>
      </c>
      <c r="S5" s="4" t="s">
        <v>6</v>
      </c>
      <c r="T5" s="4" t="s">
        <v>8</v>
      </c>
      <c r="U5" s="4" t="s">
        <v>6</v>
      </c>
      <c r="V5" s="4" t="s">
        <v>6</v>
      </c>
      <c r="W5" s="4" t="s">
        <v>6</v>
      </c>
      <c r="X5" s="23" t="s">
        <v>10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23" t="s">
        <v>10</v>
      </c>
      <c r="AF5" s="4" t="s">
        <v>6</v>
      </c>
      <c r="AG5" s="4" t="s">
        <v>6</v>
      </c>
      <c r="AH5" s="20" t="s">
        <v>6</v>
      </c>
      <c r="AI5" s="3">
        <f t="shared" ref="AI5:AI18" si="1">COUNTIF(E5:AH5,"P")</f>
        <v>22</v>
      </c>
      <c r="AJ5" s="4">
        <f t="shared" ref="AJ5:AJ18" si="2">COUNTIF(E5:AH5,"A")</f>
        <v>0</v>
      </c>
      <c r="AK5" s="4">
        <f t="shared" ref="AK5:AK18" si="3">COUNTIF(E5:AH5,"L")</f>
        <v>2</v>
      </c>
      <c r="AL5" s="4">
        <v>5</v>
      </c>
      <c r="AM5" s="10">
        <f>AI5+AK5+AL5</f>
        <v>29</v>
      </c>
    </row>
    <row r="6" spans="1:39" ht="15" customHeight="1" x14ac:dyDescent="0.25">
      <c r="A6" s="3">
        <v>2</v>
      </c>
      <c r="B6" s="4" t="s">
        <v>17</v>
      </c>
      <c r="C6" s="4" t="s">
        <v>18</v>
      </c>
      <c r="D6" s="10" t="s">
        <v>27</v>
      </c>
      <c r="E6" s="40"/>
      <c r="F6" s="40"/>
      <c r="G6" s="4" t="s">
        <v>6</v>
      </c>
      <c r="H6" s="4" t="s">
        <v>6</v>
      </c>
      <c r="I6" s="4" t="s">
        <v>6</v>
      </c>
      <c r="J6" s="23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23"/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23"/>
      <c r="Y6" s="4" t="s">
        <v>8</v>
      </c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23"/>
      <c r="AF6" s="4" t="s">
        <v>8</v>
      </c>
      <c r="AG6" s="4" t="s">
        <v>6</v>
      </c>
      <c r="AH6" s="20" t="s">
        <v>6</v>
      </c>
      <c r="AI6" s="3">
        <f t="shared" si="1"/>
        <v>22</v>
      </c>
      <c r="AJ6" s="4">
        <f t="shared" si="2"/>
        <v>0</v>
      </c>
      <c r="AK6" s="4">
        <f t="shared" si="3"/>
        <v>2</v>
      </c>
      <c r="AL6" s="4">
        <f t="shared" ref="AL6:AL18" si="4">COUNTBLANK(E6:AH6)</f>
        <v>6</v>
      </c>
      <c r="AM6" s="10">
        <f t="shared" ref="AM6:AM17" si="5">AI6+AK6+AL6</f>
        <v>30</v>
      </c>
    </row>
    <row r="7" spans="1:39" x14ac:dyDescent="0.25">
      <c r="A7" s="3">
        <v>3</v>
      </c>
      <c r="B7" s="4" t="s">
        <v>30</v>
      </c>
      <c r="C7" s="4" t="s">
        <v>31</v>
      </c>
      <c r="D7" s="10" t="s">
        <v>27</v>
      </c>
      <c r="E7" s="40"/>
      <c r="F7" s="40"/>
      <c r="G7" s="4" t="s">
        <v>6</v>
      </c>
      <c r="H7" s="4" t="s">
        <v>6</v>
      </c>
      <c r="I7" s="4" t="s">
        <v>8</v>
      </c>
      <c r="J7" s="23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23"/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  <c r="X7" s="23"/>
      <c r="Y7" s="4" t="s">
        <v>6</v>
      </c>
      <c r="Z7" s="4" t="s">
        <v>6</v>
      </c>
      <c r="AA7" s="4" t="s">
        <v>6</v>
      </c>
      <c r="AB7" s="4" t="s">
        <v>6</v>
      </c>
      <c r="AC7" s="4" t="s">
        <v>6</v>
      </c>
      <c r="AD7" s="4" t="s">
        <v>8</v>
      </c>
      <c r="AE7" s="23"/>
      <c r="AF7" s="4" t="s">
        <v>6</v>
      </c>
      <c r="AG7" s="4" t="s">
        <v>6</v>
      </c>
      <c r="AH7" s="20" t="s">
        <v>6</v>
      </c>
      <c r="AI7" s="3">
        <f t="shared" si="1"/>
        <v>22</v>
      </c>
      <c r="AJ7" s="4">
        <f t="shared" si="2"/>
        <v>0</v>
      </c>
      <c r="AK7" s="4">
        <f t="shared" si="3"/>
        <v>2</v>
      </c>
      <c r="AL7" s="4">
        <f t="shared" si="4"/>
        <v>6</v>
      </c>
      <c r="AM7" s="10">
        <f t="shared" si="5"/>
        <v>30</v>
      </c>
    </row>
    <row r="8" spans="1:39" x14ac:dyDescent="0.25">
      <c r="A8" s="3">
        <v>4</v>
      </c>
      <c r="B8" s="4" t="s">
        <v>19</v>
      </c>
      <c r="C8" s="4" t="s">
        <v>20</v>
      </c>
      <c r="D8" s="10" t="s">
        <v>27</v>
      </c>
      <c r="E8" s="40"/>
      <c r="F8" s="40"/>
      <c r="G8" s="4" t="s">
        <v>6</v>
      </c>
      <c r="H8" s="4" t="s">
        <v>6</v>
      </c>
      <c r="I8" s="4" t="s">
        <v>8</v>
      </c>
      <c r="J8" s="23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23"/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23"/>
      <c r="Y8" s="4" t="s">
        <v>8</v>
      </c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23"/>
      <c r="AF8" s="4" t="s">
        <v>6</v>
      </c>
      <c r="AG8" s="4" t="s">
        <v>6</v>
      </c>
      <c r="AH8" s="20" t="s">
        <v>6</v>
      </c>
      <c r="AI8" s="3">
        <f t="shared" si="1"/>
        <v>22</v>
      </c>
      <c r="AJ8" s="4">
        <f t="shared" si="2"/>
        <v>0</v>
      </c>
      <c r="AK8" s="4">
        <f t="shared" si="3"/>
        <v>2</v>
      </c>
      <c r="AL8" s="4">
        <f t="shared" si="4"/>
        <v>6</v>
      </c>
      <c r="AM8" s="10">
        <f t="shared" si="5"/>
        <v>30</v>
      </c>
    </row>
    <row r="9" spans="1:39" x14ac:dyDescent="0.25">
      <c r="A9" s="3">
        <v>5</v>
      </c>
      <c r="B9" s="4" t="s">
        <v>17</v>
      </c>
      <c r="C9" s="4" t="s">
        <v>33</v>
      </c>
      <c r="D9" s="10" t="s">
        <v>27</v>
      </c>
      <c r="E9" s="40"/>
      <c r="F9" s="40"/>
      <c r="G9" s="4" t="s">
        <v>8</v>
      </c>
      <c r="H9" s="4" t="s">
        <v>6</v>
      </c>
      <c r="I9" s="4" t="s">
        <v>6</v>
      </c>
      <c r="J9" s="23"/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23"/>
      <c r="R9" s="4" t="s">
        <v>6</v>
      </c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23"/>
      <c r="Y9" s="4" t="s">
        <v>6</v>
      </c>
      <c r="Z9" s="4" t="s">
        <v>6</v>
      </c>
      <c r="AA9" s="4" t="s">
        <v>8</v>
      </c>
      <c r="AB9" s="4" t="s">
        <v>6</v>
      </c>
      <c r="AC9" s="4" t="s">
        <v>6</v>
      </c>
      <c r="AD9" s="4" t="s">
        <v>6</v>
      </c>
      <c r="AE9" s="23"/>
      <c r="AF9" s="4" t="s">
        <v>6</v>
      </c>
      <c r="AG9" s="4" t="s">
        <v>6</v>
      </c>
      <c r="AH9" s="20" t="s">
        <v>6</v>
      </c>
      <c r="AI9" s="3">
        <f t="shared" si="1"/>
        <v>22</v>
      </c>
      <c r="AJ9" s="4">
        <f t="shared" si="2"/>
        <v>0</v>
      </c>
      <c r="AK9" s="4">
        <f t="shared" si="3"/>
        <v>2</v>
      </c>
      <c r="AL9" s="4">
        <f t="shared" si="4"/>
        <v>6</v>
      </c>
      <c r="AM9" s="10">
        <f t="shared" si="5"/>
        <v>30</v>
      </c>
    </row>
    <row r="10" spans="1:39" x14ac:dyDescent="0.25">
      <c r="A10" s="3">
        <v>6</v>
      </c>
      <c r="B10" s="4" t="s">
        <v>34</v>
      </c>
      <c r="C10" s="4" t="s">
        <v>35</v>
      </c>
      <c r="D10" s="10" t="s">
        <v>27</v>
      </c>
      <c r="E10" s="40"/>
      <c r="F10" s="40"/>
      <c r="G10" s="4" t="s">
        <v>6</v>
      </c>
      <c r="H10" s="4" t="s">
        <v>6</v>
      </c>
      <c r="I10" s="4" t="s">
        <v>6</v>
      </c>
      <c r="J10" s="23"/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23"/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 t="s">
        <v>6</v>
      </c>
      <c r="X10" s="23"/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4" t="s">
        <v>6</v>
      </c>
      <c r="AE10" s="23"/>
      <c r="AF10" s="4" t="s">
        <v>6</v>
      </c>
      <c r="AG10" s="4" t="s">
        <v>6</v>
      </c>
      <c r="AH10" s="20" t="s">
        <v>6</v>
      </c>
      <c r="AI10" s="3">
        <f t="shared" si="1"/>
        <v>24</v>
      </c>
      <c r="AJ10" s="4">
        <f t="shared" si="2"/>
        <v>0</v>
      </c>
      <c r="AK10" s="4">
        <f t="shared" si="3"/>
        <v>0</v>
      </c>
      <c r="AL10" s="4">
        <f t="shared" si="4"/>
        <v>6</v>
      </c>
      <c r="AM10" s="10">
        <f t="shared" si="5"/>
        <v>30</v>
      </c>
    </row>
    <row r="11" spans="1:39" x14ac:dyDescent="0.25">
      <c r="A11" s="3">
        <v>7</v>
      </c>
      <c r="B11" s="4" t="s">
        <v>43</v>
      </c>
      <c r="C11" s="4" t="s">
        <v>44</v>
      </c>
      <c r="D11" s="10" t="s">
        <v>27</v>
      </c>
      <c r="E11" s="40"/>
      <c r="F11" s="40"/>
      <c r="G11" s="4" t="s">
        <v>6</v>
      </c>
      <c r="H11" s="4" t="s">
        <v>6</v>
      </c>
      <c r="I11" s="4" t="s">
        <v>8</v>
      </c>
      <c r="J11" s="23"/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23"/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 t="s">
        <v>6</v>
      </c>
      <c r="X11" s="23"/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4" t="s">
        <v>6</v>
      </c>
      <c r="AE11" s="23"/>
      <c r="AF11" s="4" t="s">
        <v>6</v>
      </c>
      <c r="AG11" s="4" t="s">
        <v>6</v>
      </c>
      <c r="AH11" s="20" t="s">
        <v>8</v>
      </c>
      <c r="AI11" s="3">
        <f t="shared" si="1"/>
        <v>22</v>
      </c>
      <c r="AJ11" s="4">
        <f t="shared" si="2"/>
        <v>0</v>
      </c>
      <c r="AK11" s="4">
        <f t="shared" si="3"/>
        <v>2</v>
      </c>
      <c r="AL11" s="4">
        <f t="shared" si="4"/>
        <v>6</v>
      </c>
      <c r="AM11" s="10">
        <f t="shared" si="5"/>
        <v>30</v>
      </c>
    </row>
    <row r="12" spans="1:39" x14ac:dyDescent="0.25">
      <c r="A12" s="3">
        <v>8</v>
      </c>
      <c r="B12" s="4" t="s">
        <v>21</v>
      </c>
      <c r="C12" s="4" t="s">
        <v>22</v>
      </c>
      <c r="D12" s="10" t="s">
        <v>27</v>
      </c>
      <c r="E12" s="40"/>
      <c r="F12" s="40"/>
      <c r="G12" s="4" t="s">
        <v>6</v>
      </c>
      <c r="H12" s="4" t="s">
        <v>6</v>
      </c>
      <c r="I12" s="4" t="s">
        <v>6</v>
      </c>
      <c r="J12" s="23"/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23"/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23"/>
      <c r="Y12" s="4" t="s">
        <v>6</v>
      </c>
      <c r="Z12" s="4" t="s">
        <v>8</v>
      </c>
      <c r="AA12" s="4" t="s">
        <v>6</v>
      </c>
      <c r="AB12" s="4" t="s">
        <v>6</v>
      </c>
      <c r="AC12" s="4" t="s">
        <v>6</v>
      </c>
      <c r="AD12" s="4" t="s">
        <v>6</v>
      </c>
      <c r="AE12" s="23"/>
      <c r="AF12" s="4" t="s">
        <v>6</v>
      </c>
      <c r="AG12" s="4" t="s">
        <v>6</v>
      </c>
      <c r="AH12" s="20" t="s">
        <v>6</v>
      </c>
      <c r="AI12" s="3">
        <f t="shared" si="1"/>
        <v>23</v>
      </c>
      <c r="AJ12" s="4">
        <f t="shared" si="2"/>
        <v>0</v>
      </c>
      <c r="AK12" s="4">
        <f t="shared" si="3"/>
        <v>1</v>
      </c>
      <c r="AL12" s="4">
        <f t="shared" si="4"/>
        <v>6</v>
      </c>
      <c r="AM12" s="10">
        <f t="shared" si="5"/>
        <v>30</v>
      </c>
    </row>
    <row r="13" spans="1:39" x14ac:dyDescent="0.25">
      <c r="A13" s="3">
        <v>9</v>
      </c>
      <c r="B13" s="4" t="s">
        <v>23</v>
      </c>
      <c r="C13" s="4" t="s">
        <v>24</v>
      </c>
      <c r="D13" s="10" t="s">
        <v>27</v>
      </c>
      <c r="E13" s="40"/>
      <c r="F13" s="40"/>
      <c r="G13" s="4" t="s">
        <v>6</v>
      </c>
      <c r="H13" s="4" t="s">
        <v>6</v>
      </c>
      <c r="I13" s="4" t="s">
        <v>6</v>
      </c>
      <c r="J13" s="23"/>
      <c r="K13" s="4" t="s">
        <v>6</v>
      </c>
      <c r="L13" s="4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23"/>
      <c r="R13" s="4" t="s">
        <v>6</v>
      </c>
      <c r="S13" s="4" t="s">
        <v>8</v>
      </c>
      <c r="T13" s="4" t="s">
        <v>6</v>
      </c>
      <c r="U13" s="4" t="s">
        <v>6</v>
      </c>
      <c r="V13" s="4" t="s">
        <v>6</v>
      </c>
      <c r="W13" s="4" t="s">
        <v>8</v>
      </c>
      <c r="X13" s="23"/>
      <c r="Y13" s="4" t="s">
        <v>6</v>
      </c>
      <c r="Z13" s="4" t="s">
        <v>6</v>
      </c>
      <c r="AA13" s="4" t="s">
        <v>6</v>
      </c>
      <c r="AB13" s="4" t="s">
        <v>6</v>
      </c>
      <c r="AC13" s="4" t="s">
        <v>6</v>
      </c>
      <c r="AD13" s="4" t="s">
        <v>6</v>
      </c>
      <c r="AE13" s="23"/>
      <c r="AF13" s="4" t="s">
        <v>6</v>
      </c>
      <c r="AG13" s="4" t="s">
        <v>6</v>
      </c>
      <c r="AH13" s="20" t="s">
        <v>6</v>
      </c>
      <c r="AI13" s="3">
        <f t="shared" si="1"/>
        <v>22</v>
      </c>
      <c r="AJ13" s="4">
        <f t="shared" si="2"/>
        <v>0</v>
      </c>
      <c r="AK13" s="4">
        <f t="shared" si="3"/>
        <v>2</v>
      </c>
      <c r="AL13" s="4">
        <f t="shared" si="4"/>
        <v>6</v>
      </c>
      <c r="AM13" s="10">
        <f t="shared" si="5"/>
        <v>30</v>
      </c>
    </row>
    <row r="14" spans="1:39" x14ac:dyDescent="0.25">
      <c r="A14" s="3">
        <v>10</v>
      </c>
      <c r="B14" s="4" t="s">
        <v>25</v>
      </c>
      <c r="C14" s="4" t="s">
        <v>26</v>
      </c>
      <c r="D14" s="10" t="s">
        <v>27</v>
      </c>
      <c r="E14" s="40"/>
      <c r="F14" s="40"/>
      <c r="G14" s="4" t="s">
        <v>8</v>
      </c>
      <c r="H14" s="4" t="s">
        <v>6</v>
      </c>
      <c r="I14" s="4" t="s">
        <v>6</v>
      </c>
      <c r="J14" s="23"/>
      <c r="K14" s="4" t="s">
        <v>8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23"/>
      <c r="R14" s="4" t="s">
        <v>6</v>
      </c>
      <c r="S14" s="4" t="s">
        <v>6</v>
      </c>
      <c r="T14" s="4" t="s">
        <v>6</v>
      </c>
      <c r="U14" s="4" t="s">
        <v>6</v>
      </c>
      <c r="V14" s="4" t="s">
        <v>6</v>
      </c>
      <c r="W14" s="4" t="s">
        <v>6</v>
      </c>
      <c r="X14" s="23"/>
      <c r="Y14" s="4" t="s">
        <v>6</v>
      </c>
      <c r="Z14" s="4" t="s">
        <v>8</v>
      </c>
      <c r="AA14" s="4" t="s">
        <v>6</v>
      </c>
      <c r="AB14" s="4" t="s">
        <v>6</v>
      </c>
      <c r="AC14" s="4" t="s">
        <v>6</v>
      </c>
      <c r="AD14" s="4" t="s">
        <v>6</v>
      </c>
      <c r="AE14" s="23"/>
      <c r="AF14" s="4" t="s">
        <v>6</v>
      </c>
      <c r="AG14" s="4" t="s">
        <v>6</v>
      </c>
      <c r="AH14" s="20" t="s">
        <v>6</v>
      </c>
      <c r="AI14" s="3">
        <f t="shared" si="1"/>
        <v>21</v>
      </c>
      <c r="AJ14" s="4">
        <f t="shared" si="2"/>
        <v>0</v>
      </c>
      <c r="AK14" s="4">
        <f t="shared" si="3"/>
        <v>3</v>
      </c>
      <c r="AL14" s="4">
        <f t="shared" si="4"/>
        <v>6</v>
      </c>
      <c r="AM14" s="10">
        <f t="shared" si="5"/>
        <v>30</v>
      </c>
    </row>
    <row r="15" spans="1:39" x14ac:dyDescent="0.25">
      <c r="A15" s="3">
        <v>11</v>
      </c>
      <c r="B15" s="4" t="s">
        <v>36</v>
      </c>
      <c r="C15" s="4" t="s">
        <v>37</v>
      </c>
      <c r="D15" s="10" t="s">
        <v>27</v>
      </c>
      <c r="E15" s="40"/>
      <c r="F15" s="40"/>
      <c r="G15" s="4" t="s">
        <v>6</v>
      </c>
      <c r="H15" s="4" t="s">
        <v>6</v>
      </c>
      <c r="I15" s="4" t="s">
        <v>6</v>
      </c>
      <c r="J15" s="23"/>
      <c r="K15" s="4" t="s">
        <v>6</v>
      </c>
      <c r="L15" s="4" t="s">
        <v>6</v>
      </c>
      <c r="M15" s="4" t="s">
        <v>6</v>
      </c>
      <c r="N15" s="4" t="s">
        <v>6</v>
      </c>
      <c r="O15" s="4" t="s">
        <v>6</v>
      </c>
      <c r="P15" s="4" t="s">
        <v>6</v>
      </c>
      <c r="Q15" s="23"/>
      <c r="R15" s="4" t="s">
        <v>6</v>
      </c>
      <c r="S15" s="4" t="s">
        <v>6</v>
      </c>
      <c r="T15" s="4" t="s">
        <v>6</v>
      </c>
      <c r="U15" s="4" t="s">
        <v>6</v>
      </c>
      <c r="V15" s="4" t="s">
        <v>6</v>
      </c>
      <c r="W15" s="4" t="s">
        <v>6</v>
      </c>
      <c r="X15" s="23"/>
      <c r="Y15" s="4" t="s">
        <v>6</v>
      </c>
      <c r="Z15" s="4" t="s">
        <v>6</v>
      </c>
      <c r="AA15" s="4" t="s">
        <v>6</v>
      </c>
      <c r="AB15" s="4" t="s">
        <v>6</v>
      </c>
      <c r="AC15" s="4" t="s">
        <v>6</v>
      </c>
      <c r="AD15" s="4" t="s">
        <v>6</v>
      </c>
      <c r="AE15" s="23"/>
      <c r="AF15" s="4" t="s">
        <v>8</v>
      </c>
      <c r="AG15" s="4" t="s">
        <v>8</v>
      </c>
      <c r="AH15" s="20" t="s">
        <v>6</v>
      </c>
      <c r="AI15" s="3">
        <f t="shared" si="1"/>
        <v>22</v>
      </c>
      <c r="AJ15" s="4">
        <f t="shared" si="2"/>
        <v>0</v>
      </c>
      <c r="AK15" s="4">
        <f t="shared" si="3"/>
        <v>2</v>
      </c>
      <c r="AL15" s="4">
        <f t="shared" si="4"/>
        <v>6</v>
      </c>
      <c r="AM15" s="10">
        <f t="shared" si="5"/>
        <v>30</v>
      </c>
    </row>
    <row r="16" spans="1:39" x14ac:dyDescent="0.25">
      <c r="A16" s="3">
        <v>12</v>
      </c>
      <c r="B16" s="4" t="s">
        <v>46</v>
      </c>
      <c r="C16" s="4" t="s">
        <v>45</v>
      </c>
      <c r="D16" s="10" t="s">
        <v>27</v>
      </c>
      <c r="E16" s="40"/>
      <c r="F16" s="40"/>
      <c r="G16" s="4" t="s">
        <v>8</v>
      </c>
      <c r="H16" s="4" t="s">
        <v>6</v>
      </c>
      <c r="I16" s="4" t="s">
        <v>6</v>
      </c>
      <c r="J16" s="23"/>
      <c r="K16" s="4" t="s">
        <v>8</v>
      </c>
      <c r="L16" s="4" t="s">
        <v>8</v>
      </c>
      <c r="M16" s="4" t="s">
        <v>8</v>
      </c>
      <c r="N16" s="4" t="s">
        <v>8</v>
      </c>
      <c r="O16" s="4" t="s">
        <v>8</v>
      </c>
      <c r="P16" s="4" t="s">
        <v>8</v>
      </c>
      <c r="Q16" s="23"/>
      <c r="R16" s="4" t="s">
        <v>8</v>
      </c>
      <c r="S16" s="4" t="s">
        <v>8</v>
      </c>
      <c r="T16" s="4" t="s">
        <v>6</v>
      </c>
      <c r="U16" s="4" t="s">
        <v>6</v>
      </c>
      <c r="V16" s="4" t="s">
        <v>6</v>
      </c>
      <c r="W16" s="4" t="s">
        <v>6</v>
      </c>
      <c r="X16" s="23"/>
      <c r="Y16" s="4" t="s">
        <v>6</v>
      </c>
      <c r="Z16" s="4" t="s">
        <v>6</v>
      </c>
      <c r="AA16" s="4" t="s">
        <v>6</v>
      </c>
      <c r="AB16" s="4" t="s">
        <v>6</v>
      </c>
      <c r="AC16" s="4" t="s">
        <v>6</v>
      </c>
      <c r="AD16" s="4" t="s">
        <v>8</v>
      </c>
      <c r="AE16" s="23"/>
      <c r="AF16" s="4" t="s">
        <v>6</v>
      </c>
      <c r="AG16" s="4" t="s">
        <v>6</v>
      </c>
      <c r="AH16" s="20" t="s">
        <v>6</v>
      </c>
      <c r="AI16" s="3">
        <f t="shared" si="1"/>
        <v>14</v>
      </c>
      <c r="AJ16" s="4">
        <f t="shared" si="2"/>
        <v>0</v>
      </c>
      <c r="AK16" s="4">
        <f t="shared" si="3"/>
        <v>10</v>
      </c>
      <c r="AL16" s="4">
        <f t="shared" si="4"/>
        <v>6</v>
      </c>
      <c r="AM16" s="10">
        <f t="shared" si="5"/>
        <v>30</v>
      </c>
    </row>
    <row r="17" spans="1:39" x14ac:dyDescent="0.25">
      <c r="A17" s="3">
        <v>13</v>
      </c>
      <c r="B17" s="4" t="s">
        <v>28</v>
      </c>
      <c r="C17" s="4" t="s">
        <v>29</v>
      </c>
      <c r="D17" s="10" t="s">
        <v>32</v>
      </c>
      <c r="E17" s="40"/>
      <c r="F17" s="40"/>
      <c r="G17" s="4" t="s">
        <v>6</v>
      </c>
      <c r="H17" s="4" t="s">
        <v>6</v>
      </c>
      <c r="I17" s="4" t="s">
        <v>6</v>
      </c>
      <c r="J17" s="23"/>
      <c r="K17" s="4" t="s">
        <v>6</v>
      </c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23"/>
      <c r="R17" s="4" t="s">
        <v>6</v>
      </c>
      <c r="S17" s="4" t="s">
        <v>6</v>
      </c>
      <c r="T17" s="4" t="s">
        <v>6</v>
      </c>
      <c r="U17" s="4" t="s">
        <v>8</v>
      </c>
      <c r="V17" s="4" t="s">
        <v>6</v>
      </c>
      <c r="W17" s="4" t="s">
        <v>6</v>
      </c>
      <c r="X17" s="23"/>
      <c r="Y17" s="4" t="s">
        <v>6</v>
      </c>
      <c r="Z17" s="4" t="s">
        <v>6</v>
      </c>
      <c r="AA17" s="4" t="s">
        <v>6</v>
      </c>
      <c r="AB17" s="4" t="s">
        <v>6</v>
      </c>
      <c r="AC17" s="4" t="s">
        <v>8</v>
      </c>
      <c r="AD17" s="4" t="s">
        <v>6</v>
      </c>
      <c r="AE17" s="23"/>
      <c r="AF17" s="4" t="s">
        <v>6</v>
      </c>
      <c r="AG17" s="4" t="s">
        <v>6</v>
      </c>
      <c r="AH17" s="20" t="s">
        <v>6</v>
      </c>
      <c r="AI17" s="3">
        <f t="shared" si="1"/>
        <v>22</v>
      </c>
      <c r="AJ17" s="4">
        <f t="shared" si="2"/>
        <v>0</v>
      </c>
      <c r="AK17" s="4">
        <f t="shared" si="3"/>
        <v>2</v>
      </c>
      <c r="AL17" s="4">
        <f t="shared" si="4"/>
        <v>6</v>
      </c>
      <c r="AM17" s="10">
        <f t="shared" si="5"/>
        <v>30</v>
      </c>
    </row>
    <row r="18" spans="1:39" ht="15.75" thickBot="1" x14ac:dyDescent="0.3">
      <c r="A18" s="5">
        <v>14</v>
      </c>
      <c r="B18" s="6" t="s">
        <v>15</v>
      </c>
      <c r="C18" s="6" t="s">
        <v>16</v>
      </c>
      <c r="D18" s="11" t="s">
        <v>27</v>
      </c>
      <c r="E18" s="41"/>
      <c r="F18" s="41"/>
      <c r="G18" s="6" t="s">
        <v>39</v>
      </c>
      <c r="H18" s="6" t="s">
        <v>39</v>
      </c>
      <c r="I18" s="6" t="s">
        <v>39</v>
      </c>
      <c r="J18" s="24"/>
      <c r="K18" s="6" t="s">
        <v>39</v>
      </c>
      <c r="L18" s="6" t="s">
        <v>39</v>
      </c>
      <c r="M18" s="6" t="s">
        <v>39</v>
      </c>
      <c r="N18" s="6" t="s">
        <v>39</v>
      </c>
      <c r="O18" s="6" t="s">
        <v>39</v>
      </c>
      <c r="P18" s="6" t="s">
        <v>39</v>
      </c>
      <c r="Q18" s="24"/>
      <c r="R18" s="6" t="s">
        <v>39</v>
      </c>
      <c r="S18" s="6" t="s">
        <v>39</v>
      </c>
      <c r="T18" s="6" t="s">
        <v>39</v>
      </c>
      <c r="U18" s="6" t="s">
        <v>39</v>
      </c>
      <c r="V18" s="6" t="s">
        <v>39</v>
      </c>
      <c r="W18" s="6" t="s">
        <v>39</v>
      </c>
      <c r="X18" s="24"/>
      <c r="Y18" s="6" t="s">
        <v>39</v>
      </c>
      <c r="Z18" s="6" t="s">
        <v>39</v>
      </c>
      <c r="AA18" s="6" t="s">
        <v>39</v>
      </c>
      <c r="AB18" s="6" t="s">
        <v>39</v>
      </c>
      <c r="AC18" s="6" t="s">
        <v>39</v>
      </c>
      <c r="AD18" s="6" t="s">
        <v>39</v>
      </c>
      <c r="AE18" s="24"/>
      <c r="AF18" s="6" t="s">
        <v>39</v>
      </c>
      <c r="AG18" s="6" t="s">
        <v>39</v>
      </c>
      <c r="AH18" s="21" t="s">
        <v>39</v>
      </c>
      <c r="AI18" s="5">
        <f t="shared" si="1"/>
        <v>0</v>
      </c>
      <c r="AJ18" s="6">
        <f t="shared" si="2"/>
        <v>0</v>
      </c>
      <c r="AK18" s="6">
        <f t="shared" si="3"/>
        <v>0</v>
      </c>
      <c r="AL18" s="6">
        <f t="shared" si="4"/>
        <v>6</v>
      </c>
      <c r="AM18" s="11">
        <f t="shared" ref="AM18" si="6">AI18+AK18+AL18</f>
        <v>6</v>
      </c>
    </row>
  </sheetData>
  <mergeCells count="9">
    <mergeCell ref="AE5:AE18"/>
    <mergeCell ref="A2:AM2"/>
    <mergeCell ref="A3:D3"/>
    <mergeCell ref="AI3:AM3"/>
    <mergeCell ref="E5:E18"/>
    <mergeCell ref="F5:F18"/>
    <mergeCell ref="J5:J18"/>
    <mergeCell ref="Q5:Q18"/>
    <mergeCell ref="X5:X18"/>
  </mergeCells>
  <conditionalFormatting sqref="E5:F5">
    <cfRule type="expression" dxfId="8" priority="1">
      <formula>E$3="SUN"</formula>
    </cfRule>
    <cfRule type="cellIs" dxfId="7" priority="2" operator="equal">
      <formula>"A"</formula>
    </cfRule>
    <cfRule type="cellIs" dxfId="6" priority="3" operator="equal">
      <formula>"P"</formula>
    </cfRule>
  </conditionalFormatting>
  <conditionalFormatting sqref="E3:AH4 J5 Q5 X5 AE5 G5:I18 K5:P18 R5:W18 Y5:AD18 AF5:AH18">
    <cfRule type="expression" dxfId="5" priority="7">
      <formula>E$3="SUN"</formula>
    </cfRule>
  </conditionalFormatting>
  <conditionalFormatting sqref="J5 Q5 X5 AE5 G5:I18 K5:P18 R5:W18 Y5:AD18 AF5:AH18">
    <cfRule type="cellIs" dxfId="4" priority="8" operator="equal">
      <formula>"A"</formula>
    </cfRule>
    <cfRule type="cellIs" dxfId="3" priority="9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6C8B-8830-4A2E-A5D7-159687610D1A}">
  <dimension ref="A1:Y17"/>
  <sheetViews>
    <sheetView tabSelected="1" workbookViewId="0">
      <selection activeCell="D7" sqref="D7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22.28515625" bestFit="1" customWidth="1"/>
    <col min="4" max="4" width="12.5703125" bestFit="1" customWidth="1"/>
    <col min="5" max="5" width="3" bestFit="1" customWidth="1"/>
    <col min="6" max="20" width="3.7109375" bestFit="1" customWidth="1"/>
    <col min="21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27" t="s">
        <v>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ht="27" x14ac:dyDescent="0.25">
      <c r="A3" s="30" t="s">
        <v>0</v>
      </c>
      <c r="B3" s="31"/>
      <c r="C3" s="31"/>
      <c r="D3" s="32"/>
      <c r="E3" s="13" t="str">
        <f>TEXT(E4,"ddd")</f>
        <v>Thu</v>
      </c>
      <c r="F3" s="12" t="str">
        <f t="shared" ref="F3:T3" si="0">TEXT(F4,"ddd")</f>
        <v>Fri</v>
      </c>
      <c r="G3" s="12" t="str">
        <f t="shared" si="0"/>
        <v>Sat</v>
      </c>
      <c r="H3" s="12" t="str">
        <f t="shared" si="0"/>
        <v>Sun</v>
      </c>
      <c r="I3" s="12" t="str">
        <f t="shared" si="0"/>
        <v>Mon</v>
      </c>
      <c r="J3" s="12" t="str">
        <f t="shared" si="0"/>
        <v>Tue</v>
      </c>
      <c r="K3" s="12" t="str">
        <f t="shared" si="0"/>
        <v>Wed</v>
      </c>
      <c r="L3" s="12" t="str">
        <f t="shared" si="0"/>
        <v>Thu</v>
      </c>
      <c r="M3" s="12" t="str">
        <f t="shared" si="0"/>
        <v>Fri</v>
      </c>
      <c r="N3" s="12" t="str">
        <f t="shared" si="0"/>
        <v>Sat</v>
      </c>
      <c r="O3" s="12" t="str">
        <f t="shared" si="0"/>
        <v>Sun</v>
      </c>
      <c r="P3" s="12" t="str">
        <f t="shared" si="0"/>
        <v>Mon</v>
      </c>
      <c r="Q3" s="12" t="str">
        <f t="shared" si="0"/>
        <v>Tue</v>
      </c>
      <c r="R3" s="12" t="str">
        <f t="shared" si="0"/>
        <v>Wed</v>
      </c>
      <c r="S3" s="12" t="str">
        <f t="shared" si="0"/>
        <v>Thu</v>
      </c>
      <c r="T3" s="12" t="str">
        <f t="shared" si="0"/>
        <v>Fri</v>
      </c>
      <c r="U3" s="33" t="s">
        <v>1</v>
      </c>
      <c r="V3" s="34"/>
      <c r="W3" s="34"/>
      <c r="X3" s="34"/>
      <c r="Y3" s="35"/>
    </row>
    <row r="4" spans="1:25" x14ac:dyDescent="0.25">
      <c r="A4" s="1" t="s">
        <v>2</v>
      </c>
      <c r="B4" s="2" t="s">
        <v>3</v>
      </c>
      <c r="C4" s="2" t="s">
        <v>13</v>
      </c>
      <c r="D4" s="17" t="s">
        <v>4</v>
      </c>
      <c r="E4" s="14">
        <v>45778</v>
      </c>
      <c r="F4" s="14">
        <v>45779</v>
      </c>
      <c r="G4" s="14">
        <v>45780</v>
      </c>
      <c r="H4" s="14">
        <v>45781</v>
      </c>
      <c r="I4" s="14">
        <v>45782</v>
      </c>
      <c r="J4" s="14">
        <v>45783</v>
      </c>
      <c r="K4" s="14">
        <v>45784</v>
      </c>
      <c r="L4" s="14">
        <v>45785</v>
      </c>
      <c r="M4" s="14">
        <v>45786</v>
      </c>
      <c r="N4" s="14">
        <v>45787</v>
      </c>
      <c r="O4" s="14">
        <v>45788</v>
      </c>
      <c r="P4" s="14">
        <v>45789</v>
      </c>
      <c r="Q4" s="14">
        <v>45790</v>
      </c>
      <c r="R4" s="14">
        <v>45791</v>
      </c>
      <c r="S4" s="14">
        <v>45792</v>
      </c>
      <c r="T4" s="14">
        <v>45793</v>
      </c>
      <c r="U4" s="22" t="s">
        <v>6</v>
      </c>
      <c r="V4" s="8" t="s">
        <v>7</v>
      </c>
      <c r="W4" s="8" t="s">
        <v>8</v>
      </c>
      <c r="X4" s="8" t="s">
        <v>9</v>
      </c>
      <c r="Y4" s="9" t="s">
        <v>5</v>
      </c>
    </row>
    <row r="5" spans="1:25" ht="15" customHeight="1" x14ac:dyDescent="0.25">
      <c r="A5" s="3">
        <v>1</v>
      </c>
      <c r="B5" s="4" t="s">
        <v>12</v>
      </c>
      <c r="C5" s="4" t="s">
        <v>14</v>
      </c>
      <c r="D5" s="10" t="s">
        <v>27</v>
      </c>
      <c r="E5" s="42" t="s">
        <v>47</v>
      </c>
      <c r="F5" s="4" t="s">
        <v>6</v>
      </c>
      <c r="G5" s="4" t="s">
        <v>6</v>
      </c>
      <c r="H5" s="23" t="s">
        <v>10</v>
      </c>
      <c r="I5" s="4" t="s">
        <v>6</v>
      </c>
      <c r="J5" s="4" t="s">
        <v>6</v>
      </c>
      <c r="K5" s="4" t="s">
        <v>8</v>
      </c>
      <c r="L5" s="4" t="s">
        <v>6</v>
      </c>
      <c r="M5" s="4" t="s">
        <v>6</v>
      </c>
      <c r="N5" s="4" t="s">
        <v>6</v>
      </c>
      <c r="O5" s="23" t="s">
        <v>10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3">
        <f t="shared" ref="U5:U17" si="1">COUNTIF(E5:T5,"P")</f>
        <v>12</v>
      </c>
      <c r="V5" s="4">
        <f t="shared" ref="V5:V17" si="2">COUNTIF(E5:T5,"A")</f>
        <v>0</v>
      </c>
      <c r="W5" s="4">
        <f t="shared" ref="W5:W17" si="3">COUNTIF(E5:T5,"L")</f>
        <v>1</v>
      </c>
      <c r="X5" s="4">
        <v>5</v>
      </c>
      <c r="Y5" s="10">
        <f>U5+W5+X5</f>
        <v>18</v>
      </c>
    </row>
    <row r="6" spans="1:25" ht="15" customHeight="1" x14ac:dyDescent="0.25">
      <c r="A6" s="3">
        <v>2</v>
      </c>
      <c r="B6" s="4" t="s">
        <v>17</v>
      </c>
      <c r="C6" s="4" t="s">
        <v>18</v>
      </c>
      <c r="D6" s="10" t="s">
        <v>27</v>
      </c>
      <c r="E6" s="42"/>
      <c r="F6" s="4" t="s">
        <v>6</v>
      </c>
      <c r="G6" s="4" t="s">
        <v>6</v>
      </c>
      <c r="H6" s="23"/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23"/>
      <c r="P6" s="4" t="s">
        <v>6</v>
      </c>
      <c r="Q6" s="4" t="s">
        <v>8</v>
      </c>
      <c r="R6" s="4" t="s">
        <v>6</v>
      </c>
      <c r="S6" s="4" t="s">
        <v>6</v>
      </c>
      <c r="T6" s="4" t="s">
        <v>6</v>
      </c>
      <c r="U6" s="3">
        <f t="shared" si="1"/>
        <v>12</v>
      </c>
      <c r="V6" s="4">
        <f t="shared" si="2"/>
        <v>0</v>
      </c>
      <c r="W6" s="4">
        <f t="shared" si="3"/>
        <v>1</v>
      </c>
      <c r="X6" s="4">
        <f t="shared" ref="X6:X17" si="4">COUNTBLANK(E6:T6)</f>
        <v>3</v>
      </c>
      <c r="Y6" s="10">
        <f t="shared" ref="Y6:Y17" si="5">U6+W6+X6</f>
        <v>16</v>
      </c>
    </row>
    <row r="7" spans="1:25" x14ac:dyDescent="0.25">
      <c r="A7" s="3">
        <v>3</v>
      </c>
      <c r="B7" s="4" t="s">
        <v>30</v>
      </c>
      <c r="C7" s="4" t="s">
        <v>31</v>
      </c>
      <c r="D7" s="10" t="s">
        <v>27</v>
      </c>
      <c r="E7" s="42"/>
      <c r="F7" s="4" t="s">
        <v>6</v>
      </c>
      <c r="G7" s="4" t="s">
        <v>8</v>
      </c>
      <c r="H7" s="23"/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23"/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3">
        <f t="shared" si="1"/>
        <v>12</v>
      </c>
      <c r="V7" s="4">
        <f t="shared" si="2"/>
        <v>0</v>
      </c>
      <c r="W7" s="4">
        <f t="shared" si="3"/>
        <v>1</v>
      </c>
      <c r="X7" s="4">
        <f t="shared" si="4"/>
        <v>3</v>
      </c>
      <c r="Y7" s="10">
        <f t="shared" si="5"/>
        <v>16</v>
      </c>
    </row>
    <row r="8" spans="1:25" x14ac:dyDescent="0.25">
      <c r="A8" s="3">
        <v>4</v>
      </c>
      <c r="B8" s="4" t="s">
        <v>19</v>
      </c>
      <c r="C8" s="4" t="s">
        <v>20</v>
      </c>
      <c r="D8" s="10" t="s">
        <v>27</v>
      </c>
      <c r="E8" s="42"/>
      <c r="F8" s="4" t="s">
        <v>6</v>
      </c>
      <c r="G8" s="4" t="s">
        <v>6</v>
      </c>
      <c r="H8" s="23"/>
      <c r="I8" s="4" t="s">
        <v>8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23"/>
      <c r="P8" s="4" t="s">
        <v>8</v>
      </c>
      <c r="Q8" s="4" t="s">
        <v>6</v>
      </c>
      <c r="R8" s="4" t="s">
        <v>6</v>
      </c>
      <c r="S8" s="4" t="s">
        <v>6</v>
      </c>
      <c r="T8" s="4" t="s">
        <v>6</v>
      </c>
      <c r="U8" s="3">
        <f t="shared" si="1"/>
        <v>11</v>
      </c>
      <c r="V8" s="4">
        <f t="shared" si="2"/>
        <v>0</v>
      </c>
      <c r="W8" s="4">
        <f t="shared" si="3"/>
        <v>2</v>
      </c>
      <c r="X8" s="4">
        <f t="shared" si="4"/>
        <v>3</v>
      </c>
      <c r="Y8" s="10">
        <f t="shared" si="5"/>
        <v>16</v>
      </c>
    </row>
    <row r="9" spans="1:25" x14ac:dyDescent="0.25">
      <c r="A9" s="3">
        <v>5</v>
      </c>
      <c r="B9" s="4" t="s">
        <v>17</v>
      </c>
      <c r="C9" s="4" t="s">
        <v>33</v>
      </c>
      <c r="D9" s="10" t="s">
        <v>27</v>
      </c>
      <c r="E9" s="42"/>
      <c r="F9" s="4" t="s">
        <v>6</v>
      </c>
      <c r="G9" s="4" t="s">
        <v>6</v>
      </c>
      <c r="H9" s="23"/>
      <c r="I9" s="4" t="s">
        <v>6</v>
      </c>
      <c r="J9" s="4" t="s">
        <v>6</v>
      </c>
      <c r="K9" s="4" t="s">
        <v>8</v>
      </c>
      <c r="L9" s="4" t="s">
        <v>6</v>
      </c>
      <c r="M9" s="4" t="s">
        <v>6</v>
      </c>
      <c r="N9" s="4" t="s">
        <v>8</v>
      </c>
      <c r="O9" s="23"/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3">
        <f t="shared" si="1"/>
        <v>11</v>
      </c>
      <c r="V9" s="4">
        <f t="shared" si="2"/>
        <v>0</v>
      </c>
      <c r="W9" s="4">
        <f t="shared" si="3"/>
        <v>2</v>
      </c>
      <c r="X9" s="4">
        <f t="shared" si="4"/>
        <v>3</v>
      </c>
      <c r="Y9" s="10">
        <f t="shared" si="5"/>
        <v>16</v>
      </c>
    </row>
    <row r="10" spans="1:25" x14ac:dyDescent="0.25">
      <c r="A10" s="3">
        <v>6</v>
      </c>
      <c r="B10" s="4" t="s">
        <v>34</v>
      </c>
      <c r="C10" s="4" t="s">
        <v>35</v>
      </c>
      <c r="D10" s="10" t="s">
        <v>27</v>
      </c>
      <c r="E10" s="42"/>
      <c r="F10" s="4" t="s">
        <v>6</v>
      </c>
      <c r="G10" s="4" t="s">
        <v>6</v>
      </c>
      <c r="H10" s="23"/>
      <c r="I10" s="4" t="s">
        <v>6</v>
      </c>
      <c r="J10" s="4" t="s">
        <v>6</v>
      </c>
      <c r="K10" s="4" t="s">
        <v>6</v>
      </c>
      <c r="L10" s="4" t="s">
        <v>6</v>
      </c>
      <c r="M10" s="4" t="s">
        <v>8</v>
      </c>
      <c r="N10" s="4" t="s">
        <v>6</v>
      </c>
      <c r="O10" s="23"/>
      <c r="P10" s="4" t="s">
        <v>8</v>
      </c>
      <c r="Q10" s="4" t="s">
        <v>6</v>
      </c>
      <c r="R10" s="4" t="s">
        <v>6</v>
      </c>
      <c r="S10" s="4" t="s">
        <v>6</v>
      </c>
      <c r="T10" s="4" t="s">
        <v>6</v>
      </c>
      <c r="U10" s="3">
        <f t="shared" si="1"/>
        <v>11</v>
      </c>
      <c r="V10" s="4">
        <f t="shared" si="2"/>
        <v>0</v>
      </c>
      <c r="W10" s="4">
        <f t="shared" si="3"/>
        <v>2</v>
      </c>
      <c r="X10" s="4">
        <f t="shared" si="4"/>
        <v>3</v>
      </c>
      <c r="Y10" s="10">
        <f t="shared" si="5"/>
        <v>16</v>
      </c>
    </row>
    <row r="11" spans="1:25" x14ac:dyDescent="0.25">
      <c r="A11" s="3">
        <v>7</v>
      </c>
      <c r="B11" s="4" t="s">
        <v>43</v>
      </c>
      <c r="C11" s="4" t="s">
        <v>44</v>
      </c>
      <c r="D11" s="10" t="s">
        <v>27</v>
      </c>
      <c r="E11" s="42"/>
      <c r="F11" s="4" t="s">
        <v>6</v>
      </c>
      <c r="G11" s="4" t="s">
        <v>8</v>
      </c>
      <c r="H11" s="23"/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23"/>
      <c r="P11" s="4" t="s">
        <v>6</v>
      </c>
      <c r="Q11" s="4" t="s">
        <v>6</v>
      </c>
      <c r="R11" s="4" t="s">
        <v>8</v>
      </c>
      <c r="S11" s="4" t="s">
        <v>6</v>
      </c>
      <c r="T11" s="4" t="s">
        <v>6</v>
      </c>
      <c r="U11" s="3">
        <f t="shared" si="1"/>
        <v>11</v>
      </c>
      <c r="V11" s="4">
        <f t="shared" si="2"/>
        <v>0</v>
      </c>
      <c r="W11" s="4">
        <f t="shared" si="3"/>
        <v>2</v>
      </c>
      <c r="X11" s="4">
        <f t="shared" si="4"/>
        <v>3</v>
      </c>
      <c r="Y11" s="10">
        <f t="shared" si="5"/>
        <v>16</v>
      </c>
    </row>
    <row r="12" spans="1:25" x14ac:dyDescent="0.25">
      <c r="A12" s="3">
        <v>8</v>
      </c>
      <c r="B12" s="4" t="s">
        <v>21</v>
      </c>
      <c r="C12" s="4" t="s">
        <v>22</v>
      </c>
      <c r="D12" s="10" t="s">
        <v>27</v>
      </c>
      <c r="E12" s="42"/>
      <c r="F12" s="4" t="s">
        <v>6</v>
      </c>
      <c r="G12" s="4" t="s">
        <v>6</v>
      </c>
      <c r="H12" s="23"/>
      <c r="I12" s="4" t="s">
        <v>6</v>
      </c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23"/>
      <c r="P12" s="4" t="s">
        <v>6</v>
      </c>
      <c r="Q12" s="4" t="s">
        <v>6</v>
      </c>
      <c r="R12" s="4" t="s">
        <v>6</v>
      </c>
      <c r="S12" s="4" t="s">
        <v>6</v>
      </c>
      <c r="T12" s="4" t="s">
        <v>6</v>
      </c>
      <c r="U12" s="3">
        <f t="shared" si="1"/>
        <v>13</v>
      </c>
      <c r="V12" s="4">
        <f t="shared" si="2"/>
        <v>0</v>
      </c>
      <c r="W12" s="4">
        <f t="shared" si="3"/>
        <v>0</v>
      </c>
      <c r="X12" s="4">
        <f t="shared" si="4"/>
        <v>3</v>
      </c>
      <c r="Y12" s="10">
        <f t="shared" si="5"/>
        <v>16</v>
      </c>
    </row>
    <row r="13" spans="1:25" x14ac:dyDescent="0.25">
      <c r="A13" s="3">
        <v>9</v>
      </c>
      <c r="B13" s="4" t="s">
        <v>23</v>
      </c>
      <c r="C13" s="4" t="s">
        <v>24</v>
      </c>
      <c r="D13" s="10" t="s">
        <v>27</v>
      </c>
      <c r="E13" s="42"/>
      <c r="F13" s="4" t="s">
        <v>6</v>
      </c>
      <c r="G13" s="4" t="s">
        <v>6</v>
      </c>
      <c r="H13" s="23"/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" t="s">
        <v>6</v>
      </c>
      <c r="O13" s="23"/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3">
        <f t="shared" si="1"/>
        <v>13</v>
      </c>
      <c r="V13" s="4">
        <f t="shared" si="2"/>
        <v>0</v>
      </c>
      <c r="W13" s="4">
        <f t="shared" si="3"/>
        <v>0</v>
      </c>
      <c r="X13" s="4">
        <f t="shared" si="4"/>
        <v>3</v>
      </c>
      <c r="Y13" s="10">
        <f t="shared" si="5"/>
        <v>16</v>
      </c>
    </row>
    <row r="14" spans="1:25" x14ac:dyDescent="0.25">
      <c r="A14" s="3">
        <v>10</v>
      </c>
      <c r="B14" s="4" t="s">
        <v>25</v>
      </c>
      <c r="C14" s="4" t="s">
        <v>26</v>
      </c>
      <c r="D14" s="10" t="s">
        <v>27</v>
      </c>
      <c r="E14" s="42"/>
      <c r="F14" s="4" t="s">
        <v>6</v>
      </c>
      <c r="G14" s="4" t="s">
        <v>6</v>
      </c>
      <c r="H14" s="23"/>
      <c r="I14" s="4" t="s">
        <v>6</v>
      </c>
      <c r="J14" s="4" t="s">
        <v>6</v>
      </c>
      <c r="K14" s="4" t="s">
        <v>8</v>
      </c>
      <c r="L14" s="4" t="s">
        <v>6</v>
      </c>
      <c r="M14" s="4" t="s">
        <v>6</v>
      </c>
      <c r="N14" s="4" t="s">
        <v>6</v>
      </c>
      <c r="O14" s="23"/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3">
        <f t="shared" si="1"/>
        <v>12</v>
      </c>
      <c r="V14" s="4">
        <f t="shared" si="2"/>
        <v>0</v>
      </c>
      <c r="W14" s="4">
        <f t="shared" si="3"/>
        <v>1</v>
      </c>
      <c r="X14" s="4">
        <f t="shared" si="4"/>
        <v>3</v>
      </c>
      <c r="Y14" s="10">
        <f t="shared" si="5"/>
        <v>16</v>
      </c>
    </row>
    <row r="15" spans="1:25" x14ac:dyDescent="0.25">
      <c r="A15" s="3">
        <v>11</v>
      </c>
      <c r="B15" s="4" t="s">
        <v>36</v>
      </c>
      <c r="C15" s="4" t="s">
        <v>37</v>
      </c>
      <c r="D15" s="10" t="s">
        <v>27</v>
      </c>
      <c r="E15" s="42"/>
      <c r="F15" s="4" t="s">
        <v>8</v>
      </c>
      <c r="G15" s="4" t="s">
        <v>8</v>
      </c>
      <c r="H15" s="23"/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  <c r="O15" s="23"/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3">
        <f t="shared" si="1"/>
        <v>11</v>
      </c>
      <c r="V15" s="4">
        <f t="shared" si="2"/>
        <v>0</v>
      </c>
      <c r="W15" s="4">
        <f t="shared" si="3"/>
        <v>2</v>
      </c>
      <c r="X15" s="4">
        <f t="shared" si="4"/>
        <v>3</v>
      </c>
      <c r="Y15" s="10">
        <f t="shared" si="5"/>
        <v>16</v>
      </c>
    </row>
    <row r="16" spans="1:25" x14ac:dyDescent="0.25">
      <c r="A16" s="3">
        <v>12</v>
      </c>
      <c r="B16" s="4" t="s">
        <v>46</v>
      </c>
      <c r="C16" s="4" t="s">
        <v>45</v>
      </c>
      <c r="D16" s="10" t="s">
        <v>27</v>
      </c>
      <c r="E16" s="42"/>
      <c r="F16" s="4" t="s">
        <v>6</v>
      </c>
      <c r="G16" s="4" t="s">
        <v>6</v>
      </c>
      <c r="H16" s="23"/>
      <c r="I16" s="4" t="s">
        <v>6</v>
      </c>
      <c r="J16" s="4" t="s">
        <v>6</v>
      </c>
      <c r="K16" s="4" t="s">
        <v>6</v>
      </c>
      <c r="L16" s="4" t="s">
        <v>8</v>
      </c>
      <c r="M16" s="4" t="s">
        <v>6</v>
      </c>
      <c r="N16" s="4" t="s">
        <v>6</v>
      </c>
      <c r="O16" s="23"/>
      <c r="P16" s="4" t="s">
        <v>6</v>
      </c>
      <c r="Q16" s="4" t="s">
        <v>6</v>
      </c>
      <c r="R16" s="4" t="s">
        <v>6</v>
      </c>
      <c r="S16" s="4" t="s">
        <v>6</v>
      </c>
      <c r="T16" s="4" t="s">
        <v>6</v>
      </c>
      <c r="U16" s="3">
        <f t="shared" si="1"/>
        <v>12</v>
      </c>
      <c r="V16" s="4">
        <f t="shared" si="2"/>
        <v>0</v>
      </c>
      <c r="W16" s="4">
        <f t="shared" si="3"/>
        <v>1</v>
      </c>
      <c r="X16" s="4">
        <f t="shared" si="4"/>
        <v>3</v>
      </c>
      <c r="Y16" s="10">
        <f t="shared" si="5"/>
        <v>16</v>
      </c>
    </row>
    <row r="17" spans="1:25" ht="15.75" thickBot="1" x14ac:dyDescent="0.3">
      <c r="A17" s="5">
        <v>13</v>
      </c>
      <c r="B17" s="6" t="s">
        <v>28</v>
      </c>
      <c r="C17" s="6" t="s">
        <v>29</v>
      </c>
      <c r="D17" s="11" t="s">
        <v>32</v>
      </c>
      <c r="E17" s="43"/>
      <c r="F17" s="6" t="s">
        <v>6</v>
      </c>
      <c r="G17" s="6" t="s">
        <v>6</v>
      </c>
      <c r="H17" s="24"/>
      <c r="I17" s="6" t="s">
        <v>6</v>
      </c>
      <c r="J17" s="6" t="s">
        <v>6</v>
      </c>
      <c r="K17" s="6" t="s">
        <v>6</v>
      </c>
      <c r="L17" s="6" t="s">
        <v>8</v>
      </c>
      <c r="M17" s="6" t="s">
        <v>6</v>
      </c>
      <c r="N17" s="6" t="s">
        <v>6</v>
      </c>
      <c r="O17" s="24"/>
      <c r="P17" s="6" t="s">
        <v>6</v>
      </c>
      <c r="Q17" s="6" t="s">
        <v>6</v>
      </c>
      <c r="R17" s="6" t="s">
        <v>6</v>
      </c>
      <c r="S17" s="6" t="s">
        <v>6</v>
      </c>
      <c r="T17" s="6" t="s">
        <v>6</v>
      </c>
      <c r="U17" s="5">
        <f t="shared" si="1"/>
        <v>12</v>
      </c>
      <c r="V17" s="6">
        <f t="shared" si="2"/>
        <v>0</v>
      </c>
      <c r="W17" s="6">
        <f t="shared" si="3"/>
        <v>1</v>
      </c>
      <c r="X17" s="6">
        <f t="shared" si="4"/>
        <v>3</v>
      </c>
      <c r="Y17" s="11">
        <f t="shared" si="5"/>
        <v>16</v>
      </c>
    </row>
  </sheetData>
  <mergeCells count="6">
    <mergeCell ref="H5:H17"/>
    <mergeCell ref="O5:O17"/>
    <mergeCell ref="E5:E17"/>
    <mergeCell ref="A2:Y2"/>
    <mergeCell ref="A3:D3"/>
    <mergeCell ref="U3:Y3"/>
  </mergeCells>
  <conditionalFormatting sqref="E5 H5 O5 F5:G17 I5:N17 P5:T17">
    <cfRule type="cellIs" dxfId="2" priority="14" operator="equal">
      <formula>"A"</formula>
    </cfRule>
    <cfRule type="cellIs" dxfId="1" priority="15" operator="equal">
      <formula>"P"</formula>
    </cfRule>
  </conditionalFormatting>
  <conditionalFormatting sqref="E3:T4 E5 H5 O5 F5:G17 I5:N17 P5:T17">
    <cfRule type="expression" dxfId="0" priority="13">
      <formula>E$3="SUN"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FEBRUARY-2025</vt:lpstr>
      <vt:lpstr>MARCH-2025</vt:lpstr>
      <vt:lpstr>APRIL-2025</vt:lpstr>
      <vt:lpstr>MAY-2025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2025-05-22T04:24:18Z</dcterms:modified>
</cp:coreProperties>
</file>