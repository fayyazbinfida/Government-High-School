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2nd Quarter Required Data\QPR\Juvinile Jail\H. Staff Attendance\"/>
    </mc:Choice>
  </mc:AlternateContent>
  <xr:revisionPtr revIDLastSave="0" documentId="13_ncr:1_{2EDAAF8D-947C-41E1-8FFA-282202D26858}" xr6:coauthVersionLast="47" xr6:coauthVersionMax="47" xr10:uidLastSave="{00000000-0000-0000-0000-000000000000}"/>
  <bookViews>
    <workbookView xWindow="30" yWindow="30" windowWidth="20460" windowHeight="10890" firstSheet="3" activeTab="6" xr2:uid="{00000000-000D-0000-FFFF-FFFF00000000}"/>
  </bookViews>
  <sheets>
    <sheet name="AUGUST-2024" sheetId="7" r:id="rId1"/>
    <sheet name="SEPTEMBER-2024" sheetId="16" r:id="rId2"/>
    <sheet name="OCTOBER-2024" sheetId="13" r:id="rId3"/>
    <sheet name="NOVEMBER-2024" sheetId="14" r:id="rId4"/>
    <sheet name="DECEMBER-2024" sheetId="15" r:id="rId5"/>
    <sheet name="JANUARY-2025" sheetId="17" r:id="rId6"/>
    <sheet name="FEBRUARY-2025" sheetId="1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8" i="18" l="1"/>
  <c r="AL8" i="18"/>
  <c r="AK8" i="18"/>
  <c r="AJ8" i="18"/>
  <c r="AN8" i="18" s="1"/>
  <c r="AM7" i="18"/>
  <c r="AL7" i="18"/>
  <c r="AK7" i="18"/>
  <c r="AJ7" i="18"/>
  <c r="AN7" i="18" s="1"/>
  <c r="AM6" i="18"/>
  <c r="AL6" i="18"/>
  <c r="AK6" i="18"/>
  <c r="AJ6" i="18"/>
  <c r="AN6" i="18" s="1"/>
  <c r="AL5" i="18"/>
  <c r="AK5" i="18"/>
  <c r="AJ5" i="18"/>
  <c r="AN5" i="18" s="1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AJ8" i="17"/>
  <c r="AM9" i="17"/>
  <c r="AL9" i="17"/>
  <c r="AK9" i="17"/>
  <c r="AJ9" i="17"/>
  <c r="AM8" i="17"/>
  <c r="AL8" i="17"/>
  <c r="AK8" i="17"/>
  <c r="AM7" i="17"/>
  <c r="AL7" i="17"/>
  <c r="AK7" i="17"/>
  <c r="AJ7" i="17"/>
  <c r="AN7" i="17" s="1"/>
  <c r="AM6" i="17"/>
  <c r="AL6" i="17"/>
  <c r="AK6" i="17"/>
  <c r="AJ6" i="17"/>
  <c r="AN6" i="17" s="1"/>
  <c r="AL5" i="17"/>
  <c r="AK5" i="17"/>
  <c r="AJ5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AM9" i="15"/>
  <c r="AL9" i="15"/>
  <c r="AK9" i="15"/>
  <c r="AJ9" i="15"/>
  <c r="AN9" i="15" s="1"/>
  <c r="AM8" i="15"/>
  <c r="AL8" i="15"/>
  <c r="AK8" i="15"/>
  <c r="AJ8" i="15"/>
  <c r="AN8" i="15" s="1"/>
  <c r="AM7" i="15"/>
  <c r="AL7" i="15"/>
  <c r="AK7" i="15"/>
  <c r="AJ7" i="15"/>
  <c r="AN7" i="15" s="1"/>
  <c r="AM6" i="15"/>
  <c r="AL6" i="15"/>
  <c r="AK6" i="15"/>
  <c r="AJ6" i="15"/>
  <c r="AN6" i="15" s="1"/>
  <c r="AL5" i="15"/>
  <c r="AK5" i="15"/>
  <c r="AJ5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AL9" i="14"/>
  <c r="AK9" i="14"/>
  <c r="AJ9" i="14"/>
  <c r="AI9" i="14"/>
  <c r="AL8" i="14"/>
  <c r="AK8" i="14"/>
  <c r="AJ8" i="14"/>
  <c r="AI8" i="14"/>
  <c r="AL7" i="14"/>
  <c r="AK7" i="14"/>
  <c r="AJ7" i="14"/>
  <c r="AI7" i="14"/>
  <c r="AL6" i="14"/>
  <c r="AK6" i="14"/>
  <c r="AJ6" i="14"/>
  <c r="AI6" i="14"/>
  <c r="AK5" i="14"/>
  <c r="AJ5" i="14"/>
  <c r="AI5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AM9" i="13"/>
  <c r="AL9" i="13"/>
  <c r="AK9" i="13"/>
  <c r="AJ9" i="13"/>
  <c r="AN9" i="13" s="1"/>
  <c r="AM8" i="13"/>
  <c r="AL8" i="13"/>
  <c r="AK8" i="13"/>
  <c r="AJ8" i="13"/>
  <c r="AN8" i="13" s="1"/>
  <c r="AM7" i="13"/>
  <c r="AL7" i="13"/>
  <c r="AK7" i="13"/>
  <c r="AJ7" i="13"/>
  <c r="AN7" i="13" s="1"/>
  <c r="AM6" i="13"/>
  <c r="AL6" i="13"/>
  <c r="AK6" i="13"/>
  <c r="AJ6" i="13"/>
  <c r="AN6" i="13" s="1"/>
  <c r="AL5" i="13"/>
  <c r="AK5" i="13"/>
  <c r="AJ5" i="13"/>
  <c r="AI3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AL9" i="16"/>
  <c r="AK9" i="16"/>
  <c r="AJ9" i="16"/>
  <c r="AI9" i="16"/>
  <c r="AL8" i="16"/>
  <c r="AK8" i="16"/>
  <c r="AJ8" i="16"/>
  <c r="AI8" i="16"/>
  <c r="AL7" i="16"/>
  <c r="AK7" i="16"/>
  <c r="AJ7" i="16"/>
  <c r="AI7" i="16"/>
  <c r="AL6" i="16"/>
  <c r="AK6" i="16"/>
  <c r="AJ6" i="16"/>
  <c r="AI6" i="16"/>
  <c r="AK5" i="16"/>
  <c r="AJ5" i="16"/>
  <c r="AI5" i="16"/>
  <c r="AM5" i="16" s="1"/>
  <c r="AH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AM8" i="7"/>
  <c r="AL8" i="7"/>
  <c r="AK8" i="7"/>
  <c r="AJ8" i="7"/>
  <c r="AM9" i="7"/>
  <c r="AL9" i="7"/>
  <c r="AK9" i="7"/>
  <c r="AJ9" i="7"/>
  <c r="AG3" i="7"/>
  <c r="AH3" i="7"/>
  <c r="AI3" i="7"/>
  <c r="AM7" i="7"/>
  <c r="AL7" i="7"/>
  <c r="AK7" i="7"/>
  <c r="AJ7" i="7"/>
  <c r="AM6" i="7"/>
  <c r="AL6" i="7"/>
  <c r="AK6" i="7"/>
  <c r="AJ6" i="7"/>
  <c r="AL5" i="7"/>
  <c r="AK5" i="7"/>
  <c r="AJ5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AN9" i="17" l="1"/>
  <c r="AN8" i="17"/>
  <c r="AN5" i="17"/>
  <c r="AN5" i="15"/>
  <c r="AM6" i="14"/>
  <c r="AM7" i="14"/>
  <c r="AM8" i="14"/>
  <c r="AM9" i="14"/>
  <c r="AM5" i="14"/>
  <c r="AN5" i="13"/>
  <c r="AM6" i="16"/>
  <c r="AM7" i="16"/>
  <c r="AM8" i="16"/>
  <c r="AM9" i="16"/>
  <c r="AN8" i="7"/>
  <c r="AN9" i="7"/>
  <c r="AN6" i="7"/>
  <c r="AN7" i="7"/>
  <c r="AN5" i="7"/>
</calcChain>
</file>

<file path=xl/sharedStrings.xml><?xml version="1.0" encoding="utf-8"?>
<sst xmlns="http://schemas.openxmlformats.org/spreadsheetml/2006/main" count="1022" uniqueCount="39">
  <si>
    <t>Employee Attendance Sheet</t>
  </si>
  <si>
    <t>Result</t>
  </si>
  <si>
    <t>S No</t>
  </si>
  <si>
    <t>Name of Employee</t>
  </si>
  <si>
    <t>Designation</t>
  </si>
  <si>
    <t>P.DAYS</t>
  </si>
  <si>
    <t>P</t>
  </si>
  <si>
    <t>A</t>
  </si>
  <si>
    <t>L</t>
  </si>
  <si>
    <t>SUN</t>
  </si>
  <si>
    <t>SUNDAY</t>
  </si>
  <si>
    <t>CHEHLUM</t>
  </si>
  <si>
    <t>TEACHING STAFF</t>
  </si>
  <si>
    <t>PST</t>
  </si>
  <si>
    <t>HM</t>
  </si>
  <si>
    <t>URS</t>
  </si>
  <si>
    <t>RAINY DAY OFF</t>
  </si>
  <si>
    <t>SLT</t>
  </si>
  <si>
    <t>Father Name</t>
  </si>
  <si>
    <t>Zafar Ali Khan</t>
  </si>
  <si>
    <t>Muhammad Zameer Khan</t>
  </si>
  <si>
    <t>Fouzia Sarwat</t>
  </si>
  <si>
    <t>Ghulam Muhammad Arain</t>
  </si>
  <si>
    <t>Nusrat Jahan</t>
  </si>
  <si>
    <t>Syed Mehmood-Ul-Hassan</t>
  </si>
  <si>
    <t>Malik Muhammad Tauseef</t>
  </si>
  <si>
    <t>Malik Muhammad Amin</t>
  </si>
  <si>
    <t>Muhammad Shakeel</t>
  </si>
  <si>
    <t>Muhammad Yamin</t>
  </si>
  <si>
    <t>RCS</t>
  </si>
  <si>
    <t>C/L</t>
  </si>
  <si>
    <t>12 RABI UL AWWAL</t>
  </si>
  <si>
    <t>W.V</t>
  </si>
  <si>
    <t>TRANSFER</t>
  </si>
  <si>
    <t>SHAB-E-MAIRAJ</t>
  </si>
  <si>
    <t>-</t>
  </si>
  <si>
    <t>KASHMIR DAY</t>
  </si>
  <si>
    <t>SHAB-E-BARAAT</t>
  </si>
  <si>
    <t>URS LAL SHAHBAZ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</si>
</sst>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textRotation="90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90"/>
    </xf>
    <xf numFmtId="0" fontId="2" fillId="3" borderId="8" xfId="0" applyFont="1" applyFill="1" applyBorder="1" applyAlignment="1">
      <alignment horizontal="center" vertical="center" textRotation="90"/>
    </xf>
    <xf numFmtId="0" fontId="2" fillId="3" borderId="1" xfId="0" applyFont="1" applyFill="1" applyBorder="1" applyAlignment="1">
      <alignment horizontal="center" vertical="center" textRotation="255"/>
    </xf>
    <xf numFmtId="0" fontId="2" fillId="3" borderId="8" xfId="0" applyFont="1" applyFill="1" applyBorder="1" applyAlignment="1">
      <alignment horizontal="center" vertical="center" textRotation="255"/>
    </xf>
    <xf numFmtId="0" fontId="2" fillId="3" borderId="1" xfId="0" applyFont="1" applyFill="1" applyBorder="1" applyAlignment="1">
      <alignment horizontal="center" vertical="center" textRotation="180"/>
    </xf>
    <xf numFmtId="0" fontId="2" fillId="3" borderId="8" xfId="0" applyFont="1" applyFill="1" applyBorder="1" applyAlignment="1">
      <alignment horizontal="center" vertical="center" textRotation="180"/>
    </xf>
    <xf numFmtId="0" fontId="2" fillId="5" borderId="13" xfId="0" applyFont="1" applyFill="1" applyBorder="1" applyAlignment="1">
      <alignment horizontal="center" vertical="center" textRotation="255"/>
    </xf>
    <xf numFmtId="0" fontId="2" fillId="5" borderId="14" xfId="0" applyFont="1" applyFill="1" applyBorder="1" applyAlignment="1">
      <alignment horizontal="center" vertical="center" textRotation="255"/>
    </xf>
    <xf numFmtId="0" fontId="2" fillId="5" borderId="15" xfId="0" applyFont="1" applyFill="1" applyBorder="1" applyAlignment="1">
      <alignment horizontal="center" vertical="center" textRotation="255"/>
    </xf>
    <xf numFmtId="0" fontId="2" fillId="5" borderId="16" xfId="0" applyFont="1" applyFill="1" applyBorder="1" applyAlignment="1">
      <alignment horizontal="center" vertical="center" textRotation="255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 textRotation="180"/>
    </xf>
    <xf numFmtId="0" fontId="2" fillId="3" borderId="0" xfId="0" applyFont="1" applyFill="1" applyBorder="1" applyAlignment="1">
      <alignment horizontal="center" vertical="center" textRotation="180"/>
    </xf>
    <xf numFmtId="0" fontId="2" fillId="3" borderId="21" xfId="0" applyFont="1" applyFill="1" applyBorder="1" applyAlignment="1">
      <alignment horizontal="center" vertical="center" textRotation="180"/>
    </xf>
    <xf numFmtId="0" fontId="5" fillId="3" borderId="1" xfId="0" applyFont="1" applyFill="1" applyBorder="1" applyAlignment="1">
      <alignment horizontal="center" vertical="center" textRotation="180"/>
    </xf>
    <xf numFmtId="0" fontId="5" fillId="3" borderId="8" xfId="0" applyFont="1" applyFill="1" applyBorder="1" applyAlignment="1">
      <alignment horizontal="center" vertical="center" textRotation="180"/>
    </xf>
  </cellXfs>
  <cellStyles count="1">
    <cellStyle name="Normal" xfId="0" builtinId="0"/>
  </cellStyles>
  <dxfs count="2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B517-2E03-4FCC-BF68-13C50D42FB6C}">
  <dimension ref="A1:AN9"/>
  <sheetViews>
    <sheetView workbookViewId="0">
      <selection activeCell="Z10" sqref="Z10"/>
    </sheetView>
  </sheetViews>
  <sheetFormatPr defaultRowHeight="15" x14ac:dyDescent="0.25"/>
  <cols>
    <col min="1" max="1" width="5" bestFit="1" customWidth="1"/>
    <col min="2" max="3" width="24.7109375" bestFit="1" customWidth="1"/>
    <col min="4" max="4" width="12.5703125" bestFit="1" customWidth="1"/>
    <col min="5" max="5" width="3" bestFit="1" customWidth="1"/>
    <col min="6" max="33" width="3.7109375" bestFit="1" customWidth="1"/>
    <col min="34" max="34" width="3.7109375" customWidth="1"/>
    <col min="35" max="35" width="3.85546875" bestFit="1" customWidth="1"/>
    <col min="36" max="39" width="5.7109375" customWidth="1"/>
    <col min="40" max="40" width="7.42578125" bestFit="1" customWidth="1"/>
  </cols>
  <sheetData>
    <row r="1" spans="1:40" ht="15.75" thickBot="1" x14ac:dyDescent="0.3"/>
    <row r="2" spans="1:40" ht="32.25" thickBot="1" x14ac:dyDescent="0.55000000000000004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5"/>
    </row>
    <row r="3" spans="1:40" ht="27" x14ac:dyDescent="0.25">
      <c r="A3" s="16" t="s">
        <v>0</v>
      </c>
      <c r="B3" s="17"/>
      <c r="C3" s="17"/>
      <c r="D3" s="17"/>
      <c r="E3" s="10" t="str">
        <f>TEXT(E4,"ddd")</f>
        <v>Thu</v>
      </c>
      <c r="F3" s="10" t="str">
        <f t="shared" ref="F3:AI3" si="0">TEXT(F4,"ddd")</f>
        <v>Fri</v>
      </c>
      <c r="G3" s="10" t="str">
        <f t="shared" si="0"/>
        <v>Sat</v>
      </c>
      <c r="H3" s="10" t="str">
        <f t="shared" si="0"/>
        <v>Sun</v>
      </c>
      <c r="I3" s="10" t="str">
        <f t="shared" si="0"/>
        <v>Mon</v>
      </c>
      <c r="J3" s="10" t="str">
        <f t="shared" si="0"/>
        <v>Tue</v>
      </c>
      <c r="K3" s="10" t="str">
        <f t="shared" si="0"/>
        <v>Wed</v>
      </c>
      <c r="L3" s="10" t="str">
        <f t="shared" si="0"/>
        <v>Thu</v>
      </c>
      <c r="M3" s="10" t="str">
        <f t="shared" si="0"/>
        <v>Fri</v>
      </c>
      <c r="N3" s="10" t="str">
        <f t="shared" si="0"/>
        <v>Sat</v>
      </c>
      <c r="O3" s="10" t="str">
        <f t="shared" si="0"/>
        <v>Sun</v>
      </c>
      <c r="P3" s="10" t="str">
        <f t="shared" si="0"/>
        <v>Mon</v>
      </c>
      <c r="Q3" s="10" t="str">
        <f t="shared" si="0"/>
        <v>Tue</v>
      </c>
      <c r="R3" s="10" t="str">
        <f t="shared" si="0"/>
        <v>Wed</v>
      </c>
      <c r="S3" s="10" t="str">
        <f t="shared" si="0"/>
        <v>Thu</v>
      </c>
      <c r="T3" s="10" t="str">
        <f t="shared" si="0"/>
        <v>Fri</v>
      </c>
      <c r="U3" s="10" t="str">
        <f t="shared" si="0"/>
        <v>Sat</v>
      </c>
      <c r="V3" s="10" t="str">
        <f t="shared" si="0"/>
        <v>Sun</v>
      </c>
      <c r="W3" s="10" t="str">
        <f t="shared" si="0"/>
        <v>Mon</v>
      </c>
      <c r="X3" s="10" t="str">
        <f t="shared" si="0"/>
        <v>Tue</v>
      </c>
      <c r="Y3" s="10" t="str">
        <f t="shared" si="0"/>
        <v>Wed</v>
      </c>
      <c r="Z3" s="10" t="str">
        <f t="shared" si="0"/>
        <v>Thu</v>
      </c>
      <c r="AA3" s="10" t="str">
        <f t="shared" si="0"/>
        <v>Fri</v>
      </c>
      <c r="AB3" s="10" t="str">
        <f t="shared" si="0"/>
        <v>Sat</v>
      </c>
      <c r="AC3" s="10" t="str">
        <f t="shared" si="0"/>
        <v>Sun</v>
      </c>
      <c r="AD3" s="10" t="str">
        <f t="shared" si="0"/>
        <v>Mon</v>
      </c>
      <c r="AE3" s="10" t="str">
        <f t="shared" si="0"/>
        <v>Tue</v>
      </c>
      <c r="AF3" s="10" t="str">
        <f t="shared" si="0"/>
        <v>Wed</v>
      </c>
      <c r="AG3" s="10" t="str">
        <f t="shared" si="0"/>
        <v>Thu</v>
      </c>
      <c r="AH3" s="10" t="str">
        <f t="shared" si="0"/>
        <v>Fri</v>
      </c>
      <c r="AI3" s="10" t="str">
        <f t="shared" si="0"/>
        <v>Sat</v>
      </c>
      <c r="AJ3" s="18" t="s">
        <v>1</v>
      </c>
      <c r="AK3" s="18"/>
      <c r="AL3" s="18"/>
      <c r="AM3" s="18"/>
      <c r="AN3" s="19"/>
    </row>
    <row r="4" spans="1:40" x14ac:dyDescent="0.25">
      <c r="A4" s="1" t="s">
        <v>2</v>
      </c>
      <c r="B4" s="2" t="s">
        <v>3</v>
      </c>
      <c r="C4" s="2" t="s">
        <v>18</v>
      </c>
      <c r="D4" s="2" t="s">
        <v>4</v>
      </c>
      <c r="E4" s="7">
        <v>45505</v>
      </c>
      <c r="F4" s="7">
        <v>45506</v>
      </c>
      <c r="G4" s="7">
        <v>45507</v>
      </c>
      <c r="H4" s="7">
        <v>45508</v>
      </c>
      <c r="I4" s="7">
        <v>45509</v>
      </c>
      <c r="J4" s="7">
        <v>45510</v>
      </c>
      <c r="K4" s="7">
        <v>45511</v>
      </c>
      <c r="L4" s="7">
        <v>45512</v>
      </c>
      <c r="M4" s="7">
        <v>45513</v>
      </c>
      <c r="N4" s="7">
        <v>45514</v>
      </c>
      <c r="O4" s="7">
        <v>45515</v>
      </c>
      <c r="P4" s="7">
        <v>45516</v>
      </c>
      <c r="Q4" s="7">
        <v>45517</v>
      </c>
      <c r="R4" s="7">
        <v>45518</v>
      </c>
      <c r="S4" s="7">
        <v>45519</v>
      </c>
      <c r="T4" s="7">
        <v>45520</v>
      </c>
      <c r="U4" s="7">
        <v>45521</v>
      </c>
      <c r="V4" s="7">
        <v>45522</v>
      </c>
      <c r="W4" s="7">
        <v>45523</v>
      </c>
      <c r="X4" s="7">
        <v>45524</v>
      </c>
      <c r="Y4" s="7">
        <v>45525</v>
      </c>
      <c r="Z4" s="7">
        <v>45526</v>
      </c>
      <c r="AA4" s="7">
        <v>45527</v>
      </c>
      <c r="AB4" s="7">
        <v>45528</v>
      </c>
      <c r="AC4" s="7">
        <v>45529</v>
      </c>
      <c r="AD4" s="7">
        <v>45530</v>
      </c>
      <c r="AE4" s="7">
        <v>45531</v>
      </c>
      <c r="AF4" s="7">
        <v>45532</v>
      </c>
      <c r="AG4" s="7">
        <v>45533</v>
      </c>
      <c r="AH4" s="7">
        <v>45534</v>
      </c>
      <c r="AI4" s="7">
        <v>45535</v>
      </c>
      <c r="AJ4" s="8" t="s">
        <v>6</v>
      </c>
      <c r="AK4" s="8" t="s">
        <v>7</v>
      </c>
      <c r="AL4" s="8" t="s">
        <v>8</v>
      </c>
      <c r="AM4" s="8" t="s">
        <v>9</v>
      </c>
      <c r="AN4" s="9" t="s">
        <v>5</v>
      </c>
    </row>
    <row r="5" spans="1:40" ht="15" customHeight="1" x14ac:dyDescent="0.25">
      <c r="A5" s="3">
        <v>1</v>
      </c>
      <c r="B5" s="4" t="s">
        <v>19</v>
      </c>
      <c r="C5" s="4" t="s">
        <v>20</v>
      </c>
      <c r="D5" s="4" t="s">
        <v>14</v>
      </c>
      <c r="E5" s="4" t="s">
        <v>6</v>
      </c>
      <c r="F5" s="4" t="s">
        <v>6</v>
      </c>
      <c r="G5" s="4" t="s">
        <v>6</v>
      </c>
      <c r="H5" s="20" t="s">
        <v>10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20" t="s">
        <v>10</v>
      </c>
      <c r="P5" s="4" t="s">
        <v>6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20" t="s">
        <v>10</v>
      </c>
      <c r="W5" s="4" t="s">
        <v>6</v>
      </c>
      <c r="X5" s="22" t="s">
        <v>15</v>
      </c>
      <c r="Y5" s="4" t="s">
        <v>6</v>
      </c>
      <c r="Z5" s="4" t="s">
        <v>6</v>
      </c>
      <c r="AA5" s="4" t="s">
        <v>6</v>
      </c>
      <c r="AB5" s="4" t="s">
        <v>6</v>
      </c>
      <c r="AC5" s="20" t="s">
        <v>10</v>
      </c>
      <c r="AD5" s="24" t="s">
        <v>11</v>
      </c>
      <c r="AE5" s="4" t="s">
        <v>6</v>
      </c>
      <c r="AF5" s="4" t="s">
        <v>6</v>
      </c>
      <c r="AG5" s="4" t="s">
        <v>6</v>
      </c>
      <c r="AH5" s="24" t="s">
        <v>16</v>
      </c>
      <c r="AI5" s="4" t="s">
        <v>30</v>
      </c>
      <c r="AJ5" s="4">
        <f t="shared" ref="AJ5:AJ9" si="1">COUNTIF(E5:AI5,"P")</f>
        <v>23</v>
      </c>
      <c r="AK5" s="4">
        <f t="shared" ref="AK5:AK9" si="2">COUNTIF(E5:AI5,"A")</f>
        <v>0</v>
      </c>
      <c r="AL5" s="4">
        <f t="shared" ref="AL5:AL9" si="3">COUNTIF(E5:AI5,"L")</f>
        <v>0</v>
      </c>
      <c r="AM5" s="4">
        <v>5</v>
      </c>
      <c r="AN5" s="11">
        <f>AJ5+AL5+AM5</f>
        <v>28</v>
      </c>
    </row>
    <row r="6" spans="1:40" x14ac:dyDescent="0.25">
      <c r="A6" s="3">
        <v>2</v>
      </c>
      <c r="B6" s="4" t="s">
        <v>21</v>
      </c>
      <c r="C6" s="4" t="s">
        <v>22</v>
      </c>
      <c r="D6" s="4" t="s">
        <v>13</v>
      </c>
      <c r="E6" s="4"/>
      <c r="F6" s="4"/>
      <c r="G6" s="4"/>
      <c r="H6" s="20"/>
      <c r="I6" s="4"/>
      <c r="J6" s="4"/>
      <c r="K6" s="4"/>
      <c r="L6" s="4"/>
      <c r="M6" s="4"/>
      <c r="N6" s="4"/>
      <c r="O6" s="20"/>
      <c r="P6" s="4"/>
      <c r="Q6" s="4"/>
      <c r="R6" s="4" t="s">
        <v>6</v>
      </c>
      <c r="S6" s="4" t="s">
        <v>6</v>
      </c>
      <c r="T6" s="4" t="s">
        <v>6</v>
      </c>
      <c r="U6" s="4" t="s">
        <v>6</v>
      </c>
      <c r="V6" s="20"/>
      <c r="W6" s="4" t="s">
        <v>6</v>
      </c>
      <c r="X6" s="22"/>
      <c r="Y6" s="4" t="s">
        <v>6</v>
      </c>
      <c r="Z6" s="4" t="s">
        <v>6</v>
      </c>
      <c r="AA6" s="4" t="s">
        <v>6</v>
      </c>
      <c r="AB6" s="4" t="s">
        <v>6</v>
      </c>
      <c r="AC6" s="20"/>
      <c r="AD6" s="24"/>
      <c r="AE6" s="4" t="s">
        <v>6</v>
      </c>
      <c r="AF6" s="4" t="s">
        <v>6</v>
      </c>
      <c r="AG6" s="4" t="s">
        <v>6</v>
      </c>
      <c r="AH6" s="24"/>
      <c r="AI6" s="4" t="s">
        <v>6</v>
      </c>
      <c r="AJ6" s="4">
        <f t="shared" si="1"/>
        <v>13</v>
      </c>
      <c r="AK6" s="4">
        <f t="shared" si="2"/>
        <v>0</v>
      </c>
      <c r="AL6" s="4">
        <f t="shared" si="3"/>
        <v>0</v>
      </c>
      <c r="AM6" s="4">
        <f t="shared" ref="AM6:AM9" si="4">COUNTBLANK(E6:AI6)</f>
        <v>18</v>
      </c>
      <c r="AN6" s="11">
        <f t="shared" ref="AN6:AN9" si="5">AJ6+AL6+AM6</f>
        <v>31</v>
      </c>
    </row>
    <row r="7" spans="1:40" x14ac:dyDescent="0.25">
      <c r="A7" s="3">
        <v>3</v>
      </c>
      <c r="B7" s="4" t="s">
        <v>23</v>
      </c>
      <c r="C7" s="4" t="s">
        <v>24</v>
      </c>
      <c r="D7" s="4" t="s">
        <v>13</v>
      </c>
      <c r="E7" s="4"/>
      <c r="F7" s="4"/>
      <c r="G7" s="4"/>
      <c r="H7" s="20"/>
      <c r="I7" s="4"/>
      <c r="J7" s="4"/>
      <c r="K7" s="4"/>
      <c r="L7" s="4"/>
      <c r="M7" s="4"/>
      <c r="N7" s="4"/>
      <c r="O7" s="20"/>
      <c r="P7" s="4"/>
      <c r="Q7" s="4"/>
      <c r="R7" s="4" t="s">
        <v>6</v>
      </c>
      <c r="S7" s="4" t="s">
        <v>6</v>
      </c>
      <c r="T7" s="4" t="s">
        <v>6</v>
      </c>
      <c r="U7" s="4" t="s">
        <v>6</v>
      </c>
      <c r="V7" s="20"/>
      <c r="W7" s="4" t="s">
        <v>6</v>
      </c>
      <c r="X7" s="22"/>
      <c r="Y7" s="4" t="s">
        <v>6</v>
      </c>
      <c r="Z7" s="4" t="s">
        <v>6</v>
      </c>
      <c r="AA7" s="4" t="s">
        <v>6</v>
      </c>
      <c r="AB7" s="4" t="s">
        <v>6</v>
      </c>
      <c r="AC7" s="20"/>
      <c r="AD7" s="24"/>
      <c r="AE7" s="4" t="s">
        <v>6</v>
      </c>
      <c r="AF7" s="4" t="s">
        <v>6</v>
      </c>
      <c r="AG7" s="4" t="s">
        <v>6</v>
      </c>
      <c r="AH7" s="24"/>
      <c r="AI7" s="4" t="s">
        <v>30</v>
      </c>
      <c r="AJ7" s="4">
        <f t="shared" si="1"/>
        <v>12</v>
      </c>
      <c r="AK7" s="4">
        <f t="shared" si="2"/>
        <v>0</v>
      </c>
      <c r="AL7" s="4">
        <f t="shared" si="3"/>
        <v>0</v>
      </c>
      <c r="AM7" s="4">
        <f t="shared" si="4"/>
        <v>18</v>
      </c>
      <c r="AN7" s="11">
        <f t="shared" si="5"/>
        <v>30</v>
      </c>
    </row>
    <row r="8" spans="1:40" x14ac:dyDescent="0.25">
      <c r="A8" s="3">
        <v>4</v>
      </c>
      <c r="B8" s="4" t="s">
        <v>25</v>
      </c>
      <c r="C8" s="4" t="s">
        <v>26</v>
      </c>
      <c r="D8" s="4" t="s">
        <v>17</v>
      </c>
      <c r="E8" s="4"/>
      <c r="F8" s="4"/>
      <c r="G8" s="4"/>
      <c r="H8" s="20"/>
      <c r="I8" s="4"/>
      <c r="J8" s="4"/>
      <c r="K8" s="4"/>
      <c r="L8" s="4"/>
      <c r="M8" s="4"/>
      <c r="N8" s="4"/>
      <c r="O8" s="20"/>
      <c r="P8" s="4"/>
      <c r="Q8" s="4"/>
      <c r="R8" s="4" t="s">
        <v>6</v>
      </c>
      <c r="S8" s="4" t="s">
        <v>6</v>
      </c>
      <c r="T8" s="4" t="s">
        <v>6</v>
      </c>
      <c r="U8" s="4" t="s">
        <v>6</v>
      </c>
      <c r="V8" s="20"/>
      <c r="W8" s="4" t="s">
        <v>6</v>
      </c>
      <c r="X8" s="22"/>
      <c r="Y8" s="4" t="s">
        <v>6</v>
      </c>
      <c r="Z8" s="4" t="s">
        <v>6</v>
      </c>
      <c r="AA8" s="4" t="s">
        <v>6</v>
      </c>
      <c r="AB8" s="4" t="s">
        <v>6</v>
      </c>
      <c r="AC8" s="20"/>
      <c r="AD8" s="24"/>
      <c r="AE8" s="4" t="s">
        <v>6</v>
      </c>
      <c r="AF8" s="4" t="s">
        <v>6</v>
      </c>
      <c r="AG8" s="4" t="s">
        <v>6</v>
      </c>
      <c r="AH8" s="24"/>
      <c r="AI8" s="4" t="s">
        <v>6</v>
      </c>
      <c r="AJ8" s="4">
        <f t="shared" si="1"/>
        <v>13</v>
      </c>
      <c r="AK8" s="4">
        <f t="shared" si="2"/>
        <v>0</v>
      </c>
      <c r="AL8" s="4">
        <f t="shared" si="3"/>
        <v>0</v>
      </c>
      <c r="AM8" s="4">
        <f t="shared" si="4"/>
        <v>18</v>
      </c>
      <c r="AN8" s="11">
        <f t="shared" si="5"/>
        <v>31</v>
      </c>
    </row>
    <row r="9" spans="1:40" ht="15.75" thickBot="1" x14ac:dyDescent="0.3">
      <c r="A9" s="5">
        <v>6</v>
      </c>
      <c r="B9" s="6" t="s">
        <v>27</v>
      </c>
      <c r="C9" s="6" t="s">
        <v>28</v>
      </c>
      <c r="D9" s="6" t="s">
        <v>29</v>
      </c>
      <c r="E9" s="6" t="s">
        <v>6</v>
      </c>
      <c r="F9" s="6" t="s">
        <v>6</v>
      </c>
      <c r="G9" s="6" t="s">
        <v>6</v>
      </c>
      <c r="H9" s="21"/>
      <c r="I9" s="6" t="s">
        <v>6</v>
      </c>
      <c r="J9" s="6" t="s">
        <v>6</v>
      </c>
      <c r="K9" s="6" t="s">
        <v>6</v>
      </c>
      <c r="L9" s="6" t="s">
        <v>6</v>
      </c>
      <c r="M9" s="6" t="s">
        <v>6</v>
      </c>
      <c r="N9" s="6" t="s">
        <v>6</v>
      </c>
      <c r="O9" s="21"/>
      <c r="P9" s="6" t="s">
        <v>6</v>
      </c>
      <c r="Q9" s="6" t="s">
        <v>6</v>
      </c>
      <c r="R9" s="6" t="s">
        <v>6</v>
      </c>
      <c r="S9" s="6" t="s">
        <v>6</v>
      </c>
      <c r="T9" s="6" t="s">
        <v>6</v>
      </c>
      <c r="U9" s="6" t="s">
        <v>6</v>
      </c>
      <c r="V9" s="21"/>
      <c r="W9" s="6" t="s">
        <v>6</v>
      </c>
      <c r="X9" s="23"/>
      <c r="Y9" s="6" t="s">
        <v>6</v>
      </c>
      <c r="Z9" s="6" t="s">
        <v>30</v>
      </c>
      <c r="AA9" s="6" t="s">
        <v>6</v>
      </c>
      <c r="AB9" s="6" t="s">
        <v>6</v>
      </c>
      <c r="AC9" s="21"/>
      <c r="AD9" s="25"/>
      <c r="AE9" s="6" t="s">
        <v>6</v>
      </c>
      <c r="AF9" s="6" t="s">
        <v>6</v>
      </c>
      <c r="AG9" s="6" t="s">
        <v>6</v>
      </c>
      <c r="AH9" s="25"/>
      <c r="AI9" s="6" t="s">
        <v>6</v>
      </c>
      <c r="AJ9" s="6">
        <f t="shared" si="1"/>
        <v>23</v>
      </c>
      <c r="AK9" s="6">
        <f t="shared" si="2"/>
        <v>0</v>
      </c>
      <c r="AL9" s="6">
        <f t="shared" si="3"/>
        <v>0</v>
      </c>
      <c r="AM9" s="6">
        <f t="shared" si="4"/>
        <v>7</v>
      </c>
      <c r="AN9" s="12">
        <f t="shared" si="5"/>
        <v>30</v>
      </c>
    </row>
  </sheetData>
  <mergeCells count="10">
    <mergeCell ref="A2:AN2"/>
    <mergeCell ref="A3:D3"/>
    <mergeCell ref="AJ3:AN3"/>
    <mergeCell ref="H5:H9"/>
    <mergeCell ref="O5:O9"/>
    <mergeCell ref="V5:V9"/>
    <mergeCell ref="AC5:AC9"/>
    <mergeCell ref="X5:X9"/>
    <mergeCell ref="AD5:AD9"/>
    <mergeCell ref="AH5:AH9"/>
  </mergeCells>
  <conditionalFormatting sqref="E5:AI9">
    <cfRule type="cellIs" dxfId="27" priority="1" operator="equal">
      <formula>"C/L"</formula>
    </cfRule>
  </conditionalFormatting>
  <conditionalFormatting sqref="H5 O5 V5 X5 AC5:AD5 AH5 E5:G9 I5:N9 P5:U9 W5:W9 Y5:AB9 AE5:AG9 AI5:AI9 E3:AI4">
    <cfRule type="expression" dxfId="26" priority="98">
      <formula>E$3="SUN"</formula>
    </cfRule>
  </conditionalFormatting>
  <conditionalFormatting sqref="H5 O5 V5 X5 AC5:AD5 AH5 E5:G9 I5:N9 P5:U9 W5:W9 Y5:AB9 AE5:AG9 AI5:AI9">
    <cfRule type="cellIs" dxfId="25" priority="99" operator="equal">
      <formula>"A"</formula>
    </cfRule>
    <cfRule type="cellIs" dxfId="24" priority="100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6343-1A45-470A-A209-ED0AB65BD0C9}">
  <dimension ref="A1:AM9"/>
  <sheetViews>
    <sheetView workbookViewId="0">
      <selection activeCell="AI1" sqref="AI1:AI1048576"/>
    </sheetView>
  </sheetViews>
  <sheetFormatPr defaultRowHeight="15" x14ac:dyDescent="0.25"/>
  <cols>
    <col min="1" max="1" width="5" bestFit="1" customWidth="1"/>
    <col min="2" max="3" width="24.7109375" bestFit="1" customWidth="1"/>
    <col min="4" max="4" width="12.5703125" bestFit="1" customWidth="1"/>
    <col min="5" max="5" width="3" bestFit="1" customWidth="1"/>
    <col min="6" max="33" width="3.7109375" bestFit="1" customWidth="1"/>
    <col min="34" max="34" width="3.7109375" customWidth="1"/>
    <col min="35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5"/>
    </row>
    <row r="3" spans="1:39" ht="27" x14ac:dyDescent="0.25">
      <c r="A3" s="16" t="s">
        <v>0</v>
      </c>
      <c r="B3" s="17"/>
      <c r="C3" s="17"/>
      <c r="D3" s="17"/>
      <c r="E3" s="10" t="str">
        <f>TEXT(E4,"ddd")</f>
        <v>Sun</v>
      </c>
      <c r="F3" s="10" t="str">
        <f t="shared" ref="F3:AH3" si="0">TEXT(F4,"ddd")</f>
        <v>Mon</v>
      </c>
      <c r="G3" s="10" t="str">
        <f t="shared" si="0"/>
        <v>Tue</v>
      </c>
      <c r="H3" s="10" t="str">
        <f t="shared" si="0"/>
        <v>Wed</v>
      </c>
      <c r="I3" s="10" t="str">
        <f t="shared" si="0"/>
        <v>Thu</v>
      </c>
      <c r="J3" s="10" t="str">
        <f t="shared" si="0"/>
        <v>Fri</v>
      </c>
      <c r="K3" s="10" t="str">
        <f t="shared" si="0"/>
        <v>Sat</v>
      </c>
      <c r="L3" s="10" t="str">
        <f t="shared" si="0"/>
        <v>Sun</v>
      </c>
      <c r="M3" s="10" t="str">
        <f t="shared" si="0"/>
        <v>Mon</v>
      </c>
      <c r="N3" s="10" t="str">
        <f t="shared" si="0"/>
        <v>Tue</v>
      </c>
      <c r="O3" s="10" t="str">
        <f t="shared" si="0"/>
        <v>Wed</v>
      </c>
      <c r="P3" s="10" t="str">
        <f t="shared" si="0"/>
        <v>Thu</v>
      </c>
      <c r="Q3" s="10" t="str">
        <f t="shared" si="0"/>
        <v>Fri</v>
      </c>
      <c r="R3" s="10" t="str">
        <f t="shared" si="0"/>
        <v>Sat</v>
      </c>
      <c r="S3" s="10" t="str">
        <f t="shared" si="0"/>
        <v>Sun</v>
      </c>
      <c r="T3" s="10" t="str">
        <f t="shared" si="0"/>
        <v>Mon</v>
      </c>
      <c r="U3" s="10" t="str">
        <f t="shared" si="0"/>
        <v>Tue</v>
      </c>
      <c r="V3" s="10" t="str">
        <f t="shared" si="0"/>
        <v>Wed</v>
      </c>
      <c r="W3" s="10" t="str">
        <f t="shared" si="0"/>
        <v>Thu</v>
      </c>
      <c r="X3" s="10" t="str">
        <f t="shared" si="0"/>
        <v>Fri</v>
      </c>
      <c r="Y3" s="10" t="str">
        <f t="shared" si="0"/>
        <v>Sat</v>
      </c>
      <c r="Z3" s="10" t="str">
        <f t="shared" si="0"/>
        <v>Sun</v>
      </c>
      <c r="AA3" s="10" t="str">
        <f t="shared" si="0"/>
        <v>Mon</v>
      </c>
      <c r="AB3" s="10" t="str">
        <f t="shared" si="0"/>
        <v>Tue</v>
      </c>
      <c r="AC3" s="10" t="str">
        <f t="shared" si="0"/>
        <v>Wed</v>
      </c>
      <c r="AD3" s="10" t="str">
        <f t="shared" si="0"/>
        <v>Thu</v>
      </c>
      <c r="AE3" s="10" t="str">
        <f t="shared" si="0"/>
        <v>Fri</v>
      </c>
      <c r="AF3" s="10" t="str">
        <f t="shared" si="0"/>
        <v>Sat</v>
      </c>
      <c r="AG3" s="10" t="str">
        <f t="shared" si="0"/>
        <v>Sun</v>
      </c>
      <c r="AH3" s="10" t="str">
        <f t="shared" si="0"/>
        <v>Mon</v>
      </c>
      <c r="AI3" s="18" t="s">
        <v>1</v>
      </c>
      <c r="AJ3" s="18"/>
      <c r="AK3" s="18"/>
      <c r="AL3" s="18"/>
      <c r="AM3" s="19"/>
    </row>
    <row r="4" spans="1:39" x14ac:dyDescent="0.25">
      <c r="A4" s="1" t="s">
        <v>2</v>
      </c>
      <c r="B4" s="2" t="s">
        <v>3</v>
      </c>
      <c r="C4" s="2" t="s">
        <v>18</v>
      </c>
      <c r="D4" s="2" t="s">
        <v>4</v>
      </c>
      <c r="E4" s="7">
        <v>45536</v>
      </c>
      <c r="F4" s="7">
        <v>45537</v>
      </c>
      <c r="G4" s="7">
        <v>45538</v>
      </c>
      <c r="H4" s="7">
        <v>45539</v>
      </c>
      <c r="I4" s="7">
        <v>45540</v>
      </c>
      <c r="J4" s="7">
        <v>45541</v>
      </c>
      <c r="K4" s="7">
        <v>45542</v>
      </c>
      <c r="L4" s="7">
        <v>45543</v>
      </c>
      <c r="M4" s="7">
        <v>45544</v>
      </c>
      <c r="N4" s="7">
        <v>45545</v>
      </c>
      <c r="O4" s="7">
        <v>45546</v>
      </c>
      <c r="P4" s="7">
        <v>45547</v>
      </c>
      <c r="Q4" s="7">
        <v>45548</v>
      </c>
      <c r="R4" s="7">
        <v>45549</v>
      </c>
      <c r="S4" s="7">
        <v>45550</v>
      </c>
      <c r="T4" s="7">
        <v>45551</v>
      </c>
      <c r="U4" s="7">
        <v>45552</v>
      </c>
      <c r="V4" s="7">
        <v>45553</v>
      </c>
      <c r="W4" s="7">
        <v>45554</v>
      </c>
      <c r="X4" s="7">
        <v>45555</v>
      </c>
      <c r="Y4" s="7">
        <v>45556</v>
      </c>
      <c r="Z4" s="7">
        <v>45557</v>
      </c>
      <c r="AA4" s="7">
        <v>45558</v>
      </c>
      <c r="AB4" s="7">
        <v>45559</v>
      </c>
      <c r="AC4" s="7">
        <v>45560</v>
      </c>
      <c r="AD4" s="7">
        <v>45561</v>
      </c>
      <c r="AE4" s="7">
        <v>45562</v>
      </c>
      <c r="AF4" s="7">
        <v>45563</v>
      </c>
      <c r="AG4" s="7">
        <v>45564</v>
      </c>
      <c r="AH4" s="7">
        <v>45565</v>
      </c>
      <c r="AI4" s="8" t="s">
        <v>6</v>
      </c>
      <c r="AJ4" s="8" t="s">
        <v>7</v>
      </c>
      <c r="AK4" s="8" t="s">
        <v>8</v>
      </c>
      <c r="AL4" s="8" t="s">
        <v>9</v>
      </c>
      <c r="AM4" s="9" t="s">
        <v>5</v>
      </c>
    </row>
    <row r="5" spans="1:39" ht="15" customHeight="1" x14ac:dyDescent="0.25">
      <c r="A5" s="3">
        <v>1</v>
      </c>
      <c r="B5" s="4" t="s">
        <v>19</v>
      </c>
      <c r="C5" s="4" t="s">
        <v>20</v>
      </c>
      <c r="D5" s="4" t="s">
        <v>14</v>
      </c>
      <c r="E5" s="20" t="s">
        <v>10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20" t="s">
        <v>10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30</v>
      </c>
      <c r="S5" s="20" t="s">
        <v>10</v>
      </c>
      <c r="T5" s="4" t="s">
        <v>6</v>
      </c>
      <c r="U5" s="20" t="s">
        <v>31</v>
      </c>
      <c r="V5" s="4" t="s">
        <v>6</v>
      </c>
      <c r="W5" s="4" t="s">
        <v>6</v>
      </c>
      <c r="X5" s="4" t="s">
        <v>6</v>
      </c>
      <c r="Y5" s="4" t="s">
        <v>6</v>
      </c>
      <c r="Z5" s="20" t="s">
        <v>10</v>
      </c>
      <c r="AA5" s="4" t="s">
        <v>6</v>
      </c>
      <c r="AB5" s="4" t="s">
        <v>6</v>
      </c>
      <c r="AC5" s="4" t="s">
        <v>6</v>
      </c>
      <c r="AD5" s="4" t="s">
        <v>6</v>
      </c>
      <c r="AE5" s="4" t="s">
        <v>6</v>
      </c>
      <c r="AF5" s="4" t="s">
        <v>30</v>
      </c>
      <c r="AG5" s="20" t="s">
        <v>10</v>
      </c>
      <c r="AH5" s="4" t="s">
        <v>6</v>
      </c>
      <c r="AI5" s="4">
        <f>COUNTIF(E5:AH5,"P")</f>
        <v>22</v>
      </c>
      <c r="AJ5" s="4">
        <f>COUNTIF(E5:AH5,"A")</f>
        <v>0</v>
      </c>
      <c r="AK5" s="4">
        <f>COUNTIF(E5:AH5,"L")</f>
        <v>0</v>
      </c>
      <c r="AL5" s="4">
        <v>5</v>
      </c>
      <c r="AM5" s="11">
        <f>AI5+AK5+AL5</f>
        <v>27</v>
      </c>
    </row>
    <row r="6" spans="1:39" x14ac:dyDescent="0.25">
      <c r="A6" s="3">
        <v>2</v>
      </c>
      <c r="B6" s="4" t="s">
        <v>21</v>
      </c>
      <c r="C6" s="4" t="s">
        <v>22</v>
      </c>
      <c r="D6" s="4" t="s">
        <v>13</v>
      </c>
      <c r="E6" s="20"/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20"/>
      <c r="M6" s="4" t="s">
        <v>30</v>
      </c>
      <c r="N6" s="4" t="s">
        <v>30</v>
      </c>
      <c r="O6" s="4" t="s">
        <v>6</v>
      </c>
      <c r="P6" s="4" t="s">
        <v>6</v>
      </c>
      <c r="Q6" s="4" t="s">
        <v>6</v>
      </c>
      <c r="R6" s="4" t="s">
        <v>6</v>
      </c>
      <c r="S6" s="20"/>
      <c r="T6" s="4" t="s">
        <v>6</v>
      </c>
      <c r="U6" s="20"/>
      <c r="V6" s="4" t="s">
        <v>6</v>
      </c>
      <c r="W6" s="4" t="s">
        <v>6</v>
      </c>
      <c r="X6" s="4" t="s">
        <v>6</v>
      </c>
      <c r="Y6" s="4" t="s">
        <v>6</v>
      </c>
      <c r="Z6" s="20"/>
      <c r="AA6" s="4" t="s">
        <v>6</v>
      </c>
      <c r="AB6" s="4" t="s">
        <v>6</v>
      </c>
      <c r="AC6" s="4" t="s">
        <v>6</v>
      </c>
      <c r="AD6" s="4" t="s">
        <v>6</v>
      </c>
      <c r="AE6" s="4" t="s">
        <v>6</v>
      </c>
      <c r="AF6" s="4" t="s">
        <v>6</v>
      </c>
      <c r="AG6" s="20"/>
      <c r="AH6" s="4" t="s">
        <v>6</v>
      </c>
      <c r="AI6" s="4">
        <f>COUNTIF(E6:AH6,"P")</f>
        <v>22</v>
      </c>
      <c r="AJ6" s="4">
        <f>COUNTIF(E6:AH6,"A")</f>
        <v>0</v>
      </c>
      <c r="AK6" s="4">
        <f>COUNTIF(E6:AH6,"L")</f>
        <v>0</v>
      </c>
      <c r="AL6" s="4">
        <f>COUNTBLANK(E6:AH6)</f>
        <v>6</v>
      </c>
      <c r="AM6" s="11">
        <f t="shared" ref="AM6:AM9" si="1">AI6+AK6+AL6</f>
        <v>28</v>
      </c>
    </row>
    <row r="7" spans="1:39" x14ac:dyDescent="0.25">
      <c r="A7" s="3">
        <v>3</v>
      </c>
      <c r="B7" s="4" t="s">
        <v>23</v>
      </c>
      <c r="C7" s="4" t="s">
        <v>24</v>
      </c>
      <c r="D7" s="4" t="s">
        <v>13</v>
      </c>
      <c r="E7" s="20"/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20"/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20"/>
      <c r="T7" s="4" t="s">
        <v>30</v>
      </c>
      <c r="U7" s="20"/>
      <c r="V7" s="4" t="s">
        <v>6</v>
      </c>
      <c r="W7" s="4" t="s">
        <v>6</v>
      </c>
      <c r="X7" s="4" t="s">
        <v>6</v>
      </c>
      <c r="Y7" s="4" t="s">
        <v>6</v>
      </c>
      <c r="Z7" s="20"/>
      <c r="AA7" s="4" t="s">
        <v>6</v>
      </c>
      <c r="AB7" s="4" t="s">
        <v>6</v>
      </c>
      <c r="AC7" s="4" t="s">
        <v>6</v>
      </c>
      <c r="AD7" s="4" t="s">
        <v>6</v>
      </c>
      <c r="AE7" s="4" t="s">
        <v>6</v>
      </c>
      <c r="AF7" s="4" t="s">
        <v>30</v>
      </c>
      <c r="AG7" s="20"/>
      <c r="AH7" s="4" t="s">
        <v>6</v>
      </c>
      <c r="AI7" s="4">
        <f>COUNTIF(E7:AH7,"P")</f>
        <v>22</v>
      </c>
      <c r="AJ7" s="4">
        <f>COUNTIF(E7:AH7,"A")</f>
        <v>0</v>
      </c>
      <c r="AK7" s="4">
        <f>COUNTIF(E7:AH7,"L")</f>
        <v>0</v>
      </c>
      <c r="AL7" s="4">
        <f>COUNTBLANK(E7:AH7)</f>
        <v>6</v>
      </c>
      <c r="AM7" s="11">
        <f t="shared" si="1"/>
        <v>28</v>
      </c>
    </row>
    <row r="8" spans="1:39" x14ac:dyDescent="0.25">
      <c r="A8" s="3">
        <v>4</v>
      </c>
      <c r="B8" s="4" t="s">
        <v>25</v>
      </c>
      <c r="C8" s="4" t="s">
        <v>26</v>
      </c>
      <c r="D8" s="4" t="s">
        <v>17</v>
      </c>
      <c r="E8" s="20"/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20"/>
      <c r="M8" s="4" t="s">
        <v>6</v>
      </c>
      <c r="N8" s="4" t="s">
        <v>6</v>
      </c>
      <c r="O8" s="4" t="s">
        <v>6</v>
      </c>
      <c r="P8" s="4" t="s">
        <v>30</v>
      </c>
      <c r="Q8" s="4" t="s">
        <v>6</v>
      </c>
      <c r="R8" s="4" t="s">
        <v>6</v>
      </c>
      <c r="S8" s="20"/>
      <c r="T8" s="4" t="s">
        <v>6</v>
      </c>
      <c r="U8" s="20"/>
      <c r="V8" s="4" t="s">
        <v>6</v>
      </c>
      <c r="W8" s="4" t="s">
        <v>6</v>
      </c>
      <c r="X8" s="4" t="s">
        <v>6</v>
      </c>
      <c r="Y8" s="4" t="s">
        <v>6</v>
      </c>
      <c r="Z8" s="20"/>
      <c r="AA8" s="4" t="s">
        <v>6</v>
      </c>
      <c r="AB8" s="4" t="s">
        <v>6</v>
      </c>
      <c r="AC8" s="4" t="s">
        <v>6</v>
      </c>
      <c r="AD8" s="4" t="s">
        <v>6</v>
      </c>
      <c r="AE8" s="4" t="s">
        <v>6</v>
      </c>
      <c r="AF8" s="4" t="s">
        <v>6</v>
      </c>
      <c r="AG8" s="20"/>
      <c r="AH8" s="4" t="s">
        <v>6</v>
      </c>
      <c r="AI8" s="4">
        <f>COUNTIF(E8:AH8,"P")</f>
        <v>23</v>
      </c>
      <c r="AJ8" s="4">
        <f>COUNTIF(E8:AH8,"A")</f>
        <v>0</v>
      </c>
      <c r="AK8" s="4">
        <f>COUNTIF(E8:AH8,"L")</f>
        <v>0</v>
      </c>
      <c r="AL8" s="4">
        <f>COUNTBLANK(E8:AH8)</f>
        <v>6</v>
      </c>
      <c r="AM8" s="11">
        <f t="shared" si="1"/>
        <v>29</v>
      </c>
    </row>
    <row r="9" spans="1:39" ht="15.75" thickBot="1" x14ac:dyDescent="0.3">
      <c r="A9" s="5">
        <v>6</v>
      </c>
      <c r="B9" s="6" t="s">
        <v>27</v>
      </c>
      <c r="C9" s="6" t="s">
        <v>28</v>
      </c>
      <c r="D9" s="6" t="s">
        <v>29</v>
      </c>
      <c r="E9" s="21"/>
      <c r="F9" s="6" t="s">
        <v>6</v>
      </c>
      <c r="G9" s="6" t="s">
        <v>6</v>
      </c>
      <c r="H9" s="6" t="s">
        <v>6</v>
      </c>
      <c r="I9" s="6" t="s">
        <v>6</v>
      </c>
      <c r="J9" s="6" t="s">
        <v>6</v>
      </c>
      <c r="K9" s="6" t="s">
        <v>6</v>
      </c>
      <c r="L9" s="21"/>
      <c r="M9" s="6" t="s">
        <v>6</v>
      </c>
      <c r="N9" s="6" t="s">
        <v>6</v>
      </c>
      <c r="O9" s="6" t="s">
        <v>6</v>
      </c>
      <c r="P9" s="6" t="s">
        <v>6</v>
      </c>
      <c r="Q9" s="6" t="s">
        <v>6</v>
      </c>
      <c r="R9" s="6" t="s">
        <v>6</v>
      </c>
      <c r="S9" s="21"/>
      <c r="T9" s="6" t="s">
        <v>6</v>
      </c>
      <c r="U9" s="21"/>
      <c r="V9" s="6" t="s">
        <v>30</v>
      </c>
      <c r="W9" s="6" t="s">
        <v>6</v>
      </c>
      <c r="X9" s="6" t="s">
        <v>6</v>
      </c>
      <c r="Y9" s="6" t="s">
        <v>6</v>
      </c>
      <c r="Z9" s="21"/>
      <c r="AA9" s="6" t="s">
        <v>6</v>
      </c>
      <c r="AB9" s="6" t="s">
        <v>6</v>
      </c>
      <c r="AC9" s="6" t="s">
        <v>6</v>
      </c>
      <c r="AD9" s="6" t="s">
        <v>6</v>
      </c>
      <c r="AE9" s="6" t="s">
        <v>6</v>
      </c>
      <c r="AF9" s="6" t="s">
        <v>6</v>
      </c>
      <c r="AG9" s="21"/>
      <c r="AH9" s="6" t="s">
        <v>30</v>
      </c>
      <c r="AI9" s="6">
        <f>COUNTIF(E9:AH9,"P")</f>
        <v>22</v>
      </c>
      <c r="AJ9" s="6">
        <f>COUNTIF(E9:AH9,"A")</f>
        <v>0</v>
      </c>
      <c r="AK9" s="6">
        <f>COUNTIF(E9:AH9,"L")</f>
        <v>0</v>
      </c>
      <c r="AL9" s="6">
        <f>COUNTBLANK(E9:AH9)</f>
        <v>6</v>
      </c>
      <c r="AM9" s="12">
        <f t="shared" si="1"/>
        <v>28</v>
      </c>
    </row>
  </sheetData>
  <mergeCells count="9">
    <mergeCell ref="A2:AM2"/>
    <mergeCell ref="A3:D3"/>
    <mergeCell ref="AI3:AM3"/>
    <mergeCell ref="E5:E9"/>
    <mergeCell ref="L5:L9"/>
    <mergeCell ref="S5:S9"/>
    <mergeCell ref="Z5:Z9"/>
    <mergeCell ref="AG5:AG9"/>
    <mergeCell ref="U5:U9"/>
  </mergeCells>
  <conditionalFormatting sqref="E3:AH9">
    <cfRule type="expression" dxfId="23" priority="2">
      <formula>E$3="SUN"</formula>
    </cfRule>
  </conditionalFormatting>
  <conditionalFormatting sqref="E5:AH9">
    <cfRule type="cellIs" dxfId="22" priority="1" operator="equal">
      <formula>"C/L"</formula>
    </cfRule>
    <cfRule type="cellIs" dxfId="21" priority="3" operator="equal">
      <formula>"A"</formula>
    </cfRule>
    <cfRule type="cellIs" dxfId="20" priority="4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5957-1748-4B80-BDC2-B8242BDDC4CC}">
  <dimension ref="A1:AN17"/>
  <sheetViews>
    <sheetView workbookViewId="0">
      <selection activeCell="A2" sqref="A2:AN9"/>
    </sheetView>
  </sheetViews>
  <sheetFormatPr defaultRowHeight="15" x14ac:dyDescent="0.25"/>
  <cols>
    <col min="1" max="1" width="5" bestFit="1" customWidth="1"/>
    <col min="2" max="3" width="24.7109375" bestFit="1" customWidth="1"/>
    <col min="4" max="4" width="11.5703125" bestFit="1" customWidth="1"/>
    <col min="5" max="12" width="3.7109375" bestFit="1" customWidth="1"/>
    <col min="13" max="14" width="3.85546875" bestFit="1" customWidth="1"/>
    <col min="15" max="15" width="3.7109375" bestFit="1" customWidth="1"/>
    <col min="16" max="16" width="3.85546875" bestFit="1" customWidth="1"/>
    <col min="17" max="17" width="3.7109375" bestFit="1" customWidth="1"/>
    <col min="18" max="18" width="3.85546875" bestFit="1" customWidth="1"/>
    <col min="19" max="19" width="3.7109375" bestFit="1" customWidth="1"/>
    <col min="20" max="20" width="3.85546875" bestFit="1" customWidth="1"/>
    <col min="21" max="21" width="3.7109375" bestFit="1" customWidth="1"/>
    <col min="22" max="22" width="3.85546875" bestFit="1" customWidth="1"/>
    <col min="23" max="31" width="3.7109375" bestFit="1" customWidth="1"/>
    <col min="32" max="32" width="3.85546875" bestFit="1" customWidth="1"/>
    <col min="33" max="33" width="3.7109375" bestFit="1" customWidth="1"/>
    <col min="34" max="35" width="3.85546875" bestFit="1" customWidth="1"/>
    <col min="36" max="38" width="5.7109375" customWidth="1"/>
    <col min="39" max="39" width="7.42578125" bestFit="1" customWidth="1"/>
  </cols>
  <sheetData>
    <row r="1" spans="1:40" ht="15.75" thickBot="1" x14ac:dyDescent="0.3"/>
    <row r="2" spans="1:40" ht="32.25" thickBot="1" x14ac:dyDescent="0.55000000000000004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5"/>
    </row>
    <row r="3" spans="1:40" ht="27" x14ac:dyDescent="0.25">
      <c r="A3" s="16" t="s">
        <v>0</v>
      </c>
      <c r="B3" s="17"/>
      <c r="C3" s="17"/>
      <c r="D3" s="17"/>
      <c r="E3" s="10" t="str">
        <f>TEXT(E4,"ddd")</f>
        <v>Tue</v>
      </c>
      <c r="F3" s="10" t="str">
        <f t="shared" ref="F3:AI3" si="0">TEXT(F4,"ddd")</f>
        <v>Wed</v>
      </c>
      <c r="G3" s="10" t="str">
        <f t="shared" si="0"/>
        <v>Thu</v>
      </c>
      <c r="H3" s="10" t="str">
        <f t="shared" si="0"/>
        <v>Fri</v>
      </c>
      <c r="I3" s="10" t="str">
        <f t="shared" si="0"/>
        <v>Sat</v>
      </c>
      <c r="J3" s="10" t="str">
        <f t="shared" si="0"/>
        <v>Sun</v>
      </c>
      <c r="K3" s="10" t="str">
        <f t="shared" si="0"/>
        <v>Mon</v>
      </c>
      <c r="L3" s="10" t="str">
        <f t="shared" si="0"/>
        <v>Tue</v>
      </c>
      <c r="M3" s="10" t="str">
        <f t="shared" si="0"/>
        <v>Wed</v>
      </c>
      <c r="N3" s="10" t="str">
        <f t="shared" si="0"/>
        <v>Thu</v>
      </c>
      <c r="O3" s="10" t="str">
        <f t="shared" si="0"/>
        <v>Fri</v>
      </c>
      <c r="P3" s="10" t="str">
        <f t="shared" si="0"/>
        <v>Sat</v>
      </c>
      <c r="Q3" s="10" t="str">
        <f t="shared" si="0"/>
        <v>Sun</v>
      </c>
      <c r="R3" s="10" t="str">
        <f t="shared" si="0"/>
        <v>Mon</v>
      </c>
      <c r="S3" s="10" t="str">
        <f t="shared" si="0"/>
        <v>Tue</v>
      </c>
      <c r="T3" s="10" t="str">
        <f t="shared" si="0"/>
        <v>Wed</v>
      </c>
      <c r="U3" s="10" t="str">
        <f t="shared" si="0"/>
        <v>Thu</v>
      </c>
      <c r="V3" s="10" t="str">
        <f t="shared" si="0"/>
        <v>Fri</v>
      </c>
      <c r="W3" s="10" t="str">
        <f t="shared" si="0"/>
        <v>Sat</v>
      </c>
      <c r="X3" s="10" t="str">
        <f t="shared" si="0"/>
        <v>Sun</v>
      </c>
      <c r="Y3" s="10" t="str">
        <f t="shared" si="0"/>
        <v>Mon</v>
      </c>
      <c r="Z3" s="10" t="str">
        <f t="shared" si="0"/>
        <v>Tue</v>
      </c>
      <c r="AA3" s="10" t="str">
        <f t="shared" si="0"/>
        <v>Wed</v>
      </c>
      <c r="AB3" s="10" t="str">
        <f t="shared" si="0"/>
        <v>Thu</v>
      </c>
      <c r="AC3" s="10" t="str">
        <f t="shared" si="0"/>
        <v>Fri</v>
      </c>
      <c r="AD3" s="10" t="str">
        <f t="shared" si="0"/>
        <v>Sat</v>
      </c>
      <c r="AE3" s="10" t="str">
        <f t="shared" si="0"/>
        <v>Sun</v>
      </c>
      <c r="AF3" s="10" t="str">
        <f t="shared" si="0"/>
        <v>Mon</v>
      </c>
      <c r="AG3" s="10" t="str">
        <f t="shared" si="0"/>
        <v>Tue</v>
      </c>
      <c r="AH3" s="10" t="str">
        <f t="shared" si="0"/>
        <v>Wed</v>
      </c>
      <c r="AI3" s="10" t="str">
        <f t="shared" si="0"/>
        <v>Thu</v>
      </c>
      <c r="AJ3" s="18" t="s">
        <v>1</v>
      </c>
      <c r="AK3" s="18"/>
      <c r="AL3" s="18"/>
      <c r="AM3" s="18"/>
      <c r="AN3" s="19"/>
    </row>
    <row r="4" spans="1:40" x14ac:dyDescent="0.25">
      <c r="A4" s="1" t="s">
        <v>2</v>
      </c>
      <c r="B4" s="2" t="s">
        <v>3</v>
      </c>
      <c r="C4" s="2" t="s">
        <v>18</v>
      </c>
      <c r="D4" s="2" t="s">
        <v>4</v>
      </c>
      <c r="E4" s="7">
        <v>45566</v>
      </c>
      <c r="F4" s="7">
        <v>45567</v>
      </c>
      <c r="G4" s="7">
        <v>45568</v>
      </c>
      <c r="H4" s="7">
        <v>45569</v>
      </c>
      <c r="I4" s="7">
        <v>45570</v>
      </c>
      <c r="J4" s="7">
        <v>45571</v>
      </c>
      <c r="K4" s="7">
        <v>45572</v>
      </c>
      <c r="L4" s="7">
        <v>45573</v>
      </c>
      <c r="M4" s="7">
        <v>45574</v>
      </c>
      <c r="N4" s="7">
        <v>45575</v>
      </c>
      <c r="O4" s="7">
        <v>45576</v>
      </c>
      <c r="P4" s="7">
        <v>45577</v>
      </c>
      <c r="Q4" s="7">
        <v>45578</v>
      </c>
      <c r="R4" s="7">
        <v>45579</v>
      </c>
      <c r="S4" s="7">
        <v>45580</v>
      </c>
      <c r="T4" s="7">
        <v>45581</v>
      </c>
      <c r="U4" s="7">
        <v>45582</v>
      </c>
      <c r="V4" s="7">
        <v>45583</v>
      </c>
      <c r="W4" s="7">
        <v>45584</v>
      </c>
      <c r="X4" s="7">
        <v>45585</v>
      </c>
      <c r="Y4" s="7">
        <v>45586</v>
      </c>
      <c r="Z4" s="7">
        <v>45587</v>
      </c>
      <c r="AA4" s="7">
        <v>45588</v>
      </c>
      <c r="AB4" s="7">
        <v>45589</v>
      </c>
      <c r="AC4" s="7">
        <v>45590</v>
      </c>
      <c r="AD4" s="7">
        <v>45591</v>
      </c>
      <c r="AE4" s="7">
        <v>45592</v>
      </c>
      <c r="AF4" s="7">
        <v>45593</v>
      </c>
      <c r="AG4" s="7">
        <v>45594</v>
      </c>
      <c r="AH4" s="7">
        <v>45595</v>
      </c>
      <c r="AI4" s="7">
        <v>45596</v>
      </c>
      <c r="AJ4" s="8" t="s">
        <v>6</v>
      </c>
      <c r="AK4" s="8" t="s">
        <v>7</v>
      </c>
      <c r="AL4" s="8" t="s">
        <v>8</v>
      </c>
      <c r="AM4" s="8" t="s">
        <v>9</v>
      </c>
      <c r="AN4" s="9" t="s">
        <v>5</v>
      </c>
    </row>
    <row r="5" spans="1:40" ht="15" customHeight="1" x14ac:dyDescent="0.25">
      <c r="A5" s="3">
        <v>1</v>
      </c>
      <c r="B5" s="4" t="s">
        <v>19</v>
      </c>
      <c r="C5" s="4" t="s">
        <v>20</v>
      </c>
      <c r="D5" s="4" t="s">
        <v>14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30</v>
      </c>
      <c r="J5" s="20" t="s">
        <v>10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20" t="s">
        <v>10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6</v>
      </c>
      <c r="W5" s="4" t="s">
        <v>6</v>
      </c>
      <c r="X5" s="20" t="s">
        <v>10</v>
      </c>
      <c r="Y5" s="4" t="s">
        <v>6</v>
      </c>
      <c r="Z5" s="4" t="s">
        <v>6</v>
      </c>
      <c r="AA5" s="4" t="s">
        <v>6</v>
      </c>
      <c r="AB5" s="4" t="s">
        <v>6</v>
      </c>
      <c r="AC5" s="4" t="s">
        <v>6</v>
      </c>
      <c r="AD5" s="4" t="s">
        <v>6</v>
      </c>
      <c r="AE5" s="20" t="s">
        <v>10</v>
      </c>
      <c r="AF5" s="4" t="s">
        <v>6</v>
      </c>
      <c r="AG5" s="4" t="s">
        <v>30</v>
      </c>
      <c r="AH5" s="4" t="s">
        <v>6</v>
      </c>
      <c r="AI5" s="4" t="s">
        <v>6</v>
      </c>
      <c r="AJ5" s="4">
        <f t="shared" ref="AJ5:AJ9" si="1">COUNTIF(E5:AI5,"P")</f>
        <v>25</v>
      </c>
      <c r="AK5" s="4">
        <f t="shared" ref="AK5:AK9" si="2">COUNTIF(E5:AI5,"A")</f>
        <v>0</v>
      </c>
      <c r="AL5" s="4">
        <f t="shared" ref="AL5:AL9" si="3">COUNTIF(E5:AI5,"L")</f>
        <v>0</v>
      </c>
      <c r="AM5" s="4">
        <v>5</v>
      </c>
      <c r="AN5" s="11">
        <f>AJ5+AL5+AM5</f>
        <v>30</v>
      </c>
    </row>
    <row r="6" spans="1:40" x14ac:dyDescent="0.25">
      <c r="A6" s="3">
        <v>2</v>
      </c>
      <c r="B6" s="4" t="s">
        <v>21</v>
      </c>
      <c r="C6" s="4" t="s">
        <v>22</v>
      </c>
      <c r="D6" s="4" t="s">
        <v>13</v>
      </c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20"/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20"/>
      <c r="R6" s="4" t="s">
        <v>6</v>
      </c>
      <c r="S6" s="4" t="s">
        <v>6</v>
      </c>
      <c r="T6" s="4" t="s">
        <v>6</v>
      </c>
      <c r="U6" s="4" t="s">
        <v>6</v>
      </c>
      <c r="V6" s="4" t="s">
        <v>6</v>
      </c>
      <c r="W6" s="4" t="s">
        <v>6</v>
      </c>
      <c r="X6" s="20"/>
      <c r="Y6" s="4" t="s">
        <v>30</v>
      </c>
      <c r="Z6" s="4" t="s">
        <v>6</v>
      </c>
      <c r="AA6" s="4" t="s">
        <v>6</v>
      </c>
      <c r="AB6" s="4" t="s">
        <v>6</v>
      </c>
      <c r="AC6" s="4" t="s">
        <v>6</v>
      </c>
      <c r="AD6" s="4" t="s">
        <v>6</v>
      </c>
      <c r="AE6" s="20"/>
      <c r="AF6" s="4" t="s">
        <v>30</v>
      </c>
      <c r="AG6" s="4" t="s">
        <v>6</v>
      </c>
      <c r="AH6" s="4" t="s">
        <v>6</v>
      </c>
      <c r="AI6" s="4" t="s">
        <v>6</v>
      </c>
      <c r="AJ6" s="4">
        <f t="shared" si="1"/>
        <v>25</v>
      </c>
      <c r="AK6" s="4">
        <f t="shared" si="2"/>
        <v>0</v>
      </c>
      <c r="AL6" s="4">
        <f t="shared" si="3"/>
        <v>0</v>
      </c>
      <c r="AM6" s="4">
        <f t="shared" ref="AM6:AM9" si="4">COUNTBLANK(E6:AI6)</f>
        <v>4</v>
      </c>
      <c r="AN6" s="11">
        <f t="shared" ref="AN6:AN9" si="5">AJ6+AL6+AM6</f>
        <v>29</v>
      </c>
    </row>
    <row r="7" spans="1:40" x14ac:dyDescent="0.25">
      <c r="A7" s="3">
        <v>3</v>
      </c>
      <c r="B7" s="4" t="s">
        <v>23</v>
      </c>
      <c r="C7" s="4" t="s">
        <v>24</v>
      </c>
      <c r="D7" s="4" t="s">
        <v>13</v>
      </c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  <c r="J7" s="20"/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20"/>
      <c r="R7" s="4" t="s">
        <v>6</v>
      </c>
      <c r="S7" s="4" t="s">
        <v>6</v>
      </c>
      <c r="T7" s="4" t="s">
        <v>6</v>
      </c>
      <c r="U7" s="4" t="s">
        <v>6</v>
      </c>
      <c r="V7" s="4" t="s">
        <v>6</v>
      </c>
      <c r="W7" s="4" t="s">
        <v>30</v>
      </c>
      <c r="X7" s="20"/>
      <c r="Y7" s="4" t="s">
        <v>6</v>
      </c>
      <c r="Z7" s="4" t="s">
        <v>6</v>
      </c>
      <c r="AA7" s="4" t="s">
        <v>6</v>
      </c>
      <c r="AB7" s="4" t="s">
        <v>6</v>
      </c>
      <c r="AC7" s="4" t="s">
        <v>6</v>
      </c>
      <c r="AD7" s="4" t="s">
        <v>30</v>
      </c>
      <c r="AE7" s="20"/>
      <c r="AF7" s="4" t="s">
        <v>6</v>
      </c>
      <c r="AG7" s="4" t="s">
        <v>6</v>
      </c>
      <c r="AH7" s="4" t="s">
        <v>30</v>
      </c>
      <c r="AI7" s="4" t="s">
        <v>30</v>
      </c>
      <c r="AJ7" s="4">
        <f t="shared" si="1"/>
        <v>23</v>
      </c>
      <c r="AK7" s="4">
        <f t="shared" si="2"/>
        <v>0</v>
      </c>
      <c r="AL7" s="4">
        <f t="shared" si="3"/>
        <v>0</v>
      </c>
      <c r="AM7" s="4">
        <f t="shared" si="4"/>
        <v>4</v>
      </c>
      <c r="AN7" s="11">
        <f t="shared" si="5"/>
        <v>27</v>
      </c>
    </row>
    <row r="8" spans="1:40" x14ac:dyDescent="0.25">
      <c r="A8" s="3">
        <v>4</v>
      </c>
      <c r="B8" s="4" t="s">
        <v>25</v>
      </c>
      <c r="C8" s="4" t="s">
        <v>26</v>
      </c>
      <c r="D8" s="4" t="s">
        <v>17</v>
      </c>
      <c r="E8" s="4" t="s">
        <v>30</v>
      </c>
      <c r="F8" s="4" t="s">
        <v>30</v>
      </c>
      <c r="G8" s="4" t="s">
        <v>6</v>
      </c>
      <c r="H8" s="4" t="s">
        <v>6</v>
      </c>
      <c r="I8" s="4" t="s">
        <v>6</v>
      </c>
      <c r="J8" s="20"/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20"/>
      <c r="R8" s="4" t="s">
        <v>6</v>
      </c>
      <c r="S8" s="4" t="s">
        <v>6</v>
      </c>
      <c r="T8" s="4" t="s">
        <v>6</v>
      </c>
      <c r="U8" s="4" t="s">
        <v>6</v>
      </c>
      <c r="V8" s="4" t="s">
        <v>6</v>
      </c>
      <c r="W8" s="4" t="s">
        <v>6</v>
      </c>
      <c r="X8" s="20"/>
      <c r="Y8" s="4" t="s">
        <v>6</v>
      </c>
      <c r="Z8" s="4" t="s">
        <v>6</v>
      </c>
      <c r="AA8" s="4" t="s">
        <v>6</v>
      </c>
      <c r="AB8" s="4" t="s">
        <v>6</v>
      </c>
      <c r="AC8" s="4" t="s">
        <v>6</v>
      </c>
      <c r="AD8" s="4" t="s">
        <v>6</v>
      </c>
      <c r="AE8" s="20"/>
      <c r="AF8" s="4" t="s">
        <v>6</v>
      </c>
      <c r="AG8" s="4" t="s">
        <v>6</v>
      </c>
      <c r="AH8" s="4" t="s">
        <v>6</v>
      </c>
      <c r="AI8" s="4" t="s">
        <v>6</v>
      </c>
      <c r="AJ8" s="4">
        <f t="shared" si="1"/>
        <v>25</v>
      </c>
      <c r="AK8" s="4">
        <f t="shared" si="2"/>
        <v>0</v>
      </c>
      <c r="AL8" s="4">
        <f t="shared" si="3"/>
        <v>0</v>
      </c>
      <c r="AM8" s="4">
        <f t="shared" si="4"/>
        <v>4</v>
      </c>
      <c r="AN8" s="11">
        <f t="shared" si="5"/>
        <v>29</v>
      </c>
    </row>
    <row r="9" spans="1:40" ht="15.75" thickBot="1" x14ac:dyDescent="0.3">
      <c r="A9" s="5">
        <v>6</v>
      </c>
      <c r="B9" s="6" t="s">
        <v>27</v>
      </c>
      <c r="C9" s="6" t="s">
        <v>28</v>
      </c>
      <c r="D9" s="6" t="s">
        <v>29</v>
      </c>
      <c r="E9" s="6" t="s">
        <v>6</v>
      </c>
      <c r="F9" s="6" t="s">
        <v>6</v>
      </c>
      <c r="G9" s="6" t="s">
        <v>6</v>
      </c>
      <c r="H9" s="6" t="s">
        <v>6</v>
      </c>
      <c r="I9" s="6" t="s">
        <v>6</v>
      </c>
      <c r="J9" s="21"/>
      <c r="K9" s="6" t="s">
        <v>6</v>
      </c>
      <c r="L9" s="6" t="s">
        <v>6</v>
      </c>
      <c r="M9" s="6" t="s">
        <v>6</v>
      </c>
      <c r="N9" s="6" t="s">
        <v>6</v>
      </c>
      <c r="O9" s="6" t="s">
        <v>6</v>
      </c>
      <c r="P9" s="6" t="s">
        <v>6</v>
      </c>
      <c r="Q9" s="21"/>
      <c r="R9" s="6" t="s">
        <v>6</v>
      </c>
      <c r="S9" s="6" t="s">
        <v>6</v>
      </c>
      <c r="T9" s="6" t="s">
        <v>6</v>
      </c>
      <c r="U9" s="6" t="s">
        <v>30</v>
      </c>
      <c r="V9" s="6" t="s">
        <v>6</v>
      </c>
      <c r="W9" s="6" t="s">
        <v>6</v>
      </c>
      <c r="X9" s="21"/>
      <c r="Y9" s="6" t="s">
        <v>6</v>
      </c>
      <c r="Z9" s="6" t="s">
        <v>6</v>
      </c>
      <c r="AA9" s="6" t="s">
        <v>6</v>
      </c>
      <c r="AB9" s="6" t="s">
        <v>6</v>
      </c>
      <c r="AC9" s="6" t="s">
        <v>6</v>
      </c>
      <c r="AD9" s="6" t="s">
        <v>30</v>
      </c>
      <c r="AE9" s="21"/>
      <c r="AF9" s="6" t="s">
        <v>6</v>
      </c>
      <c r="AG9" s="6" t="s">
        <v>6</v>
      </c>
      <c r="AH9" s="6" t="s">
        <v>6</v>
      </c>
      <c r="AI9" s="6" t="s">
        <v>6</v>
      </c>
      <c r="AJ9" s="6">
        <f t="shared" si="1"/>
        <v>25</v>
      </c>
      <c r="AK9" s="6">
        <f t="shared" si="2"/>
        <v>0</v>
      </c>
      <c r="AL9" s="6">
        <f t="shared" si="3"/>
        <v>0</v>
      </c>
      <c r="AM9" s="6">
        <f t="shared" si="4"/>
        <v>4</v>
      </c>
      <c r="AN9" s="12">
        <f t="shared" si="5"/>
        <v>29</v>
      </c>
    </row>
    <row r="17" ht="15" customHeight="1" x14ac:dyDescent="0.25"/>
  </sheetData>
  <mergeCells count="7">
    <mergeCell ref="J5:J9"/>
    <mergeCell ref="Q5:Q9"/>
    <mergeCell ref="X5:X9"/>
    <mergeCell ref="AE5:AE9"/>
    <mergeCell ref="A2:AN2"/>
    <mergeCell ref="A3:D3"/>
    <mergeCell ref="AJ3:AN3"/>
  </mergeCells>
  <conditionalFormatting sqref="E3:AI9">
    <cfRule type="expression" dxfId="19" priority="2">
      <formula>E$3="SUN"</formula>
    </cfRule>
  </conditionalFormatting>
  <conditionalFormatting sqref="E5:AI9">
    <cfRule type="cellIs" dxfId="18" priority="1" operator="equal">
      <formula>"C/L"</formula>
    </cfRule>
    <cfRule type="cellIs" dxfId="17" priority="3" operator="equal">
      <formula>"A"</formula>
    </cfRule>
    <cfRule type="cellIs" dxfId="16" priority="4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28B70-6464-4967-95CF-051B9E911DF4}">
  <dimension ref="A1:AM17"/>
  <sheetViews>
    <sheetView topLeftCell="B1" workbookViewId="0">
      <selection activeCell="AI1" sqref="AI1:AI1048576"/>
    </sheetView>
  </sheetViews>
  <sheetFormatPr defaultRowHeight="15" x14ac:dyDescent="0.25"/>
  <cols>
    <col min="1" max="1" width="5" bestFit="1" customWidth="1"/>
    <col min="2" max="3" width="24.7109375" bestFit="1" customWidth="1"/>
    <col min="4" max="4" width="11.5703125" bestFit="1" customWidth="1"/>
    <col min="5" max="34" width="3.7109375" bestFit="1" customWidth="1"/>
    <col min="35" max="37" width="5.7109375" customWidth="1"/>
    <col min="38" max="38" width="7.42578125" bestFit="1" customWidth="1"/>
  </cols>
  <sheetData>
    <row r="1" spans="1:39" ht="15.75" thickBot="1" x14ac:dyDescent="0.3"/>
    <row r="2" spans="1:39" ht="32.25" thickBot="1" x14ac:dyDescent="0.55000000000000004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5"/>
    </row>
    <row r="3" spans="1:39" ht="27" x14ac:dyDescent="0.25">
      <c r="A3" s="16" t="s">
        <v>0</v>
      </c>
      <c r="B3" s="17"/>
      <c r="C3" s="17"/>
      <c r="D3" s="17"/>
      <c r="E3" s="10" t="str">
        <f>TEXT(E4,"ddd")</f>
        <v>Fri</v>
      </c>
      <c r="F3" s="10" t="str">
        <f t="shared" ref="F3:AH3" si="0">TEXT(F4,"ddd")</f>
        <v>Sat</v>
      </c>
      <c r="G3" s="10" t="str">
        <f t="shared" si="0"/>
        <v>Sun</v>
      </c>
      <c r="H3" s="10" t="str">
        <f t="shared" si="0"/>
        <v>Mon</v>
      </c>
      <c r="I3" s="10" t="str">
        <f t="shared" si="0"/>
        <v>Tue</v>
      </c>
      <c r="J3" s="10" t="str">
        <f t="shared" si="0"/>
        <v>Wed</v>
      </c>
      <c r="K3" s="10" t="str">
        <f t="shared" si="0"/>
        <v>Thu</v>
      </c>
      <c r="L3" s="10" t="str">
        <f t="shared" si="0"/>
        <v>Fri</v>
      </c>
      <c r="M3" s="10" t="str">
        <f t="shared" si="0"/>
        <v>Sat</v>
      </c>
      <c r="N3" s="10" t="str">
        <f t="shared" si="0"/>
        <v>Sun</v>
      </c>
      <c r="O3" s="10" t="str">
        <f t="shared" si="0"/>
        <v>Mon</v>
      </c>
      <c r="P3" s="10" t="str">
        <f t="shared" si="0"/>
        <v>Tue</v>
      </c>
      <c r="Q3" s="10" t="str">
        <f t="shared" si="0"/>
        <v>Wed</v>
      </c>
      <c r="R3" s="10" t="str">
        <f t="shared" si="0"/>
        <v>Thu</v>
      </c>
      <c r="S3" s="10" t="str">
        <f t="shared" si="0"/>
        <v>Fri</v>
      </c>
      <c r="T3" s="10" t="str">
        <f t="shared" si="0"/>
        <v>Sat</v>
      </c>
      <c r="U3" s="10" t="str">
        <f t="shared" si="0"/>
        <v>Sun</v>
      </c>
      <c r="V3" s="10" t="str">
        <f t="shared" si="0"/>
        <v>Mon</v>
      </c>
      <c r="W3" s="10" t="str">
        <f t="shared" si="0"/>
        <v>Tue</v>
      </c>
      <c r="X3" s="10" t="str">
        <f t="shared" si="0"/>
        <v>Wed</v>
      </c>
      <c r="Y3" s="10" t="str">
        <f t="shared" si="0"/>
        <v>Thu</v>
      </c>
      <c r="Z3" s="10" t="str">
        <f t="shared" si="0"/>
        <v>Fri</v>
      </c>
      <c r="AA3" s="10" t="str">
        <f t="shared" si="0"/>
        <v>Sat</v>
      </c>
      <c r="AB3" s="10" t="str">
        <f t="shared" si="0"/>
        <v>Sun</v>
      </c>
      <c r="AC3" s="10" t="str">
        <f t="shared" si="0"/>
        <v>Mon</v>
      </c>
      <c r="AD3" s="10" t="str">
        <f t="shared" si="0"/>
        <v>Tue</v>
      </c>
      <c r="AE3" s="10" t="str">
        <f t="shared" si="0"/>
        <v>Wed</v>
      </c>
      <c r="AF3" s="10" t="str">
        <f t="shared" si="0"/>
        <v>Thu</v>
      </c>
      <c r="AG3" s="10" t="str">
        <f t="shared" si="0"/>
        <v>Fri</v>
      </c>
      <c r="AH3" s="10" t="str">
        <f t="shared" si="0"/>
        <v>Sat</v>
      </c>
      <c r="AI3" s="18" t="s">
        <v>1</v>
      </c>
      <c r="AJ3" s="18"/>
      <c r="AK3" s="18"/>
      <c r="AL3" s="18"/>
      <c r="AM3" s="19"/>
    </row>
    <row r="4" spans="1:39" x14ac:dyDescent="0.25">
      <c r="A4" s="1" t="s">
        <v>2</v>
      </c>
      <c r="B4" s="2" t="s">
        <v>3</v>
      </c>
      <c r="C4" s="2" t="s">
        <v>18</v>
      </c>
      <c r="D4" s="2" t="s">
        <v>4</v>
      </c>
      <c r="E4" s="7">
        <v>45597</v>
      </c>
      <c r="F4" s="7">
        <v>45598</v>
      </c>
      <c r="G4" s="7">
        <v>45599</v>
      </c>
      <c r="H4" s="7">
        <v>45600</v>
      </c>
      <c r="I4" s="7">
        <v>45601</v>
      </c>
      <c r="J4" s="7">
        <v>45602</v>
      </c>
      <c r="K4" s="7">
        <v>45603</v>
      </c>
      <c r="L4" s="7">
        <v>45604</v>
      </c>
      <c r="M4" s="7">
        <v>45605</v>
      </c>
      <c r="N4" s="7">
        <v>45606</v>
      </c>
      <c r="O4" s="7">
        <v>45607</v>
      </c>
      <c r="P4" s="7">
        <v>45608</v>
      </c>
      <c r="Q4" s="7">
        <v>45609</v>
      </c>
      <c r="R4" s="7">
        <v>45610</v>
      </c>
      <c r="S4" s="7">
        <v>45611</v>
      </c>
      <c r="T4" s="7">
        <v>45612</v>
      </c>
      <c r="U4" s="7">
        <v>45613</v>
      </c>
      <c r="V4" s="7">
        <v>45614</v>
      </c>
      <c r="W4" s="7">
        <v>45615</v>
      </c>
      <c r="X4" s="7">
        <v>45616</v>
      </c>
      <c r="Y4" s="7">
        <v>45617</v>
      </c>
      <c r="Z4" s="7">
        <v>45618</v>
      </c>
      <c r="AA4" s="7">
        <v>45619</v>
      </c>
      <c r="AB4" s="7">
        <v>45620</v>
      </c>
      <c r="AC4" s="7">
        <v>45621</v>
      </c>
      <c r="AD4" s="7">
        <v>45622</v>
      </c>
      <c r="AE4" s="7">
        <v>45623</v>
      </c>
      <c r="AF4" s="7">
        <v>45624</v>
      </c>
      <c r="AG4" s="7">
        <v>45625</v>
      </c>
      <c r="AH4" s="7">
        <v>45626</v>
      </c>
      <c r="AI4" s="8" t="s">
        <v>6</v>
      </c>
      <c r="AJ4" s="8" t="s">
        <v>7</v>
      </c>
      <c r="AK4" s="8" t="s">
        <v>8</v>
      </c>
      <c r="AL4" s="8" t="s">
        <v>9</v>
      </c>
      <c r="AM4" s="9" t="s">
        <v>5</v>
      </c>
    </row>
    <row r="5" spans="1:39" ht="15" customHeight="1" x14ac:dyDescent="0.25">
      <c r="A5" s="3">
        <v>1</v>
      </c>
      <c r="B5" s="4" t="s">
        <v>19</v>
      </c>
      <c r="C5" s="4" t="s">
        <v>20</v>
      </c>
      <c r="D5" s="4" t="s">
        <v>14</v>
      </c>
      <c r="E5" s="4" t="s">
        <v>6</v>
      </c>
      <c r="F5" s="4" t="s">
        <v>6</v>
      </c>
      <c r="G5" s="20" t="s">
        <v>10</v>
      </c>
      <c r="H5" s="4" t="s">
        <v>6</v>
      </c>
      <c r="I5" s="4" t="s">
        <v>6</v>
      </c>
      <c r="J5" s="4" t="s">
        <v>30</v>
      </c>
      <c r="K5" s="4" t="s">
        <v>30</v>
      </c>
      <c r="L5" s="4" t="s">
        <v>30</v>
      </c>
      <c r="M5" s="4" t="s">
        <v>6</v>
      </c>
      <c r="N5" s="20" t="s">
        <v>10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6</v>
      </c>
      <c r="T5" s="4" t="s">
        <v>6</v>
      </c>
      <c r="U5" s="20" t="s">
        <v>10</v>
      </c>
      <c r="V5" s="4" t="s">
        <v>6</v>
      </c>
      <c r="W5" s="4" t="s">
        <v>6</v>
      </c>
      <c r="X5" s="4" t="s">
        <v>6</v>
      </c>
      <c r="Y5" s="4" t="s">
        <v>6</v>
      </c>
      <c r="Z5" s="4" t="s">
        <v>6</v>
      </c>
      <c r="AA5" s="4" t="s">
        <v>6</v>
      </c>
      <c r="AB5" s="20" t="s">
        <v>10</v>
      </c>
      <c r="AC5" s="4" t="s">
        <v>6</v>
      </c>
      <c r="AD5" s="4" t="s">
        <v>6</v>
      </c>
      <c r="AE5" s="4" t="s">
        <v>6</v>
      </c>
      <c r="AF5" s="4" t="s">
        <v>6</v>
      </c>
      <c r="AG5" s="4" t="s">
        <v>6</v>
      </c>
      <c r="AH5" s="4" t="s">
        <v>30</v>
      </c>
      <c r="AI5" s="4">
        <f>COUNTIF(E5:AH5,"P")</f>
        <v>22</v>
      </c>
      <c r="AJ5" s="4">
        <f>COUNTIF(E5:AH5,"A")</f>
        <v>0</v>
      </c>
      <c r="AK5" s="4">
        <f>COUNTIF(E5:AH5,"L")</f>
        <v>0</v>
      </c>
      <c r="AL5" s="4">
        <v>5</v>
      </c>
      <c r="AM5" s="11">
        <f>AI5+AK5+AL5</f>
        <v>27</v>
      </c>
    </row>
    <row r="6" spans="1:39" x14ac:dyDescent="0.25">
      <c r="A6" s="3">
        <v>2</v>
      </c>
      <c r="B6" s="4" t="s">
        <v>21</v>
      </c>
      <c r="C6" s="4" t="s">
        <v>22</v>
      </c>
      <c r="D6" s="4" t="s">
        <v>13</v>
      </c>
      <c r="E6" s="4" t="s">
        <v>6</v>
      </c>
      <c r="F6" s="4" t="s">
        <v>6</v>
      </c>
      <c r="G6" s="20"/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20"/>
      <c r="O6" s="4" t="s">
        <v>6</v>
      </c>
      <c r="P6" s="4" t="s">
        <v>6</v>
      </c>
      <c r="Q6" s="4" t="s">
        <v>6</v>
      </c>
      <c r="R6" s="4" t="s">
        <v>6</v>
      </c>
      <c r="S6" s="4" t="s">
        <v>6</v>
      </c>
      <c r="T6" s="4" t="s">
        <v>6</v>
      </c>
      <c r="U6" s="20"/>
      <c r="V6" s="4" t="s">
        <v>30</v>
      </c>
      <c r="W6" s="4" t="s">
        <v>6</v>
      </c>
      <c r="X6" s="4" t="s">
        <v>6</v>
      </c>
      <c r="Y6" s="4" t="s">
        <v>6</v>
      </c>
      <c r="Z6" s="4" t="s">
        <v>6</v>
      </c>
      <c r="AA6" s="4" t="s">
        <v>6</v>
      </c>
      <c r="AB6" s="20"/>
      <c r="AC6" s="4" t="s">
        <v>6</v>
      </c>
      <c r="AD6" s="4" t="s">
        <v>6</v>
      </c>
      <c r="AE6" s="4" t="s">
        <v>6</v>
      </c>
      <c r="AF6" s="4" t="s">
        <v>6</v>
      </c>
      <c r="AG6" s="4" t="s">
        <v>6</v>
      </c>
      <c r="AH6" s="4" t="s">
        <v>6</v>
      </c>
      <c r="AI6" s="4">
        <f>COUNTIF(E6:AH6,"P")</f>
        <v>25</v>
      </c>
      <c r="AJ6" s="4">
        <f>COUNTIF(E6:AH6,"A")</f>
        <v>0</v>
      </c>
      <c r="AK6" s="4">
        <f>COUNTIF(E6:AH6,"L")</f>
        <v>0</v>
      </c>
      <c r="AL6" s="4">
        <f>COUNTBLANK(E6:AH6)</f>
        <v>4</v>
      </c>
      <c r="AM6" s="11">
        <f t="shared" ref="AM6:AM9" si="1">AI6+AK6+AL6</f>
        <v>29</v>
      </c>
    </row>
    <row r="7" spans="1:39" x14ac:dyDescent="0.25">
      <c r="A7" s="3">
        <v>3</v>
      </c>
      <c r="B7" s="4" t="s">
        <v>23</v>
      </c>
      <c r="C7" s="4" t="s">
        <v>24</v>
      </c>
      <c r="D7" s="4" t="s">
        <v>13</v>
      </c>
      <c r="E7" s="4" t="s">
        <v>30</v>
      </c>
      <c r="F7" s="4" t="s">
        <v>30</v>
      </c>
      <c r="G7" s="20"/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20"/>
      <c r="O7" s="4" t="s">
        <v>6</v>
      </c>
      <c r="P7" s="4" t="s">
        <v>6</v>
      </c>
      <c r="Q7" s="4" t="s">
        <v>6</v>
      </c>
      <c r="R7" s="4" t="s">
        <v>6</v>
      </c>
      <c r="S7" s="4" t="s">
        <v>6</v>
      </c>
      <c r="T7" s="4" t="s">
        <v>6</v>
      </c>
      <c r="U7" s="20"/>
      <c r="V7" s="4" t="s">
        <v>6</v>
      </c>
      <c r="W7" s="4" t="s">
        <v>6</v>
      </c>
      <c r="X7" s="4" t="s">
        <v>30</v>
      </c>
      <c r="Y7" s="4" t="s">
        <v>6</v>
      </c>
      <c r="Z7" s="4" t="s">
        <v>6</v>
      </c>
      <c r="AA7" s="4" t="s">
        <v>6</v>
      </c>
      <c r="AB7" s="20"/>
      <c r="AC7" s="4" t="s">
        <v>6</v>
      </c>
      <c r="AD7" s="4" t="s">
        <v>6</v>
      </c>
      <c r="AE7" s="4" t="s">
        <v>6</v>
      </c>
      <c r="AF7" s="4" t="s">
        <v>6</v>
      </c>
      <c r="AG7" s="4" t="s">
        <v>30</v>
      </c>
      <c r="AH7" s="4" t="s">
        <v>6</v>
      </c>
      <c r="AI7" s="4">
        <f>COUNTIF(E7:AH7,"P")</f>
        <v>22</v>
      </c>
      <c r="AJ7" s="4">
        <f>COUNTIF(E7:AH7,"A")</f>
        <v>0</v>
      </c>
      <c r="AK7" s="4">
        <f>COUNTIF(E7:AH7,"L")</f>
        <v>0</v>
      </c>
      <c r="AL7" s="4">
        <f>COUNTBLANK(E7:AH7)</f>
        <v>4</v>
      </c>
      <c r="AM7" s="11">
        <f t="shared" si="1"/>
        <v>26</v>
      </c>
    </row>
    <row r="8" spans="1:39" x14ac:dyDescent="0.25">
      <c r="A8" s="3">
        <v>4</v>
      </c>
      <c r="B8" s="4" t="s">
        <v>25</v>
      </c>
      <c r="C8" s="4" t="s">
        <v>26</v>
      </c>
      <c r="D8" s="4" t="s">
        <v>17</v>
      </c>
      <c r="E8" s="4" t="s">
        <v>6</v>
      </c>
      <c r="F8" s="4" t="s">
        <v>6</v>
      </c>
      <c r="G8" s="20"/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20"/>
      <c r="O8" s="4" t="s">
        <v>6</v>
      </c>
      <c r="P8" s="4" t="s">
        <v>6</v>
      </c>
      <c r="Q8" s="4" t="s">
        <v>30</v>
      </c>
      <c r="R8" s="4" t="s">
        <v>6</v>
      </c>
      <c r="S8" s="4" t="s">
        <v>6</v>
      </c>
      <c r="T8" s="4" t="s">
        <v>6</v>
      </c>
      <c r="U8" s="20"/>
      <c r="V8" s="4" t="s">
        <v>6</v>
      </c>
      <c r="W8" s="4" t="s">
        <v>6</v>
      </c>
      <c r="X8" s="4" t="s">
        <v>6</v>
      </c>
      <c r="Y8" s="4" t="s">
        <v>6</v>
      </c>
      <c r="Z8" s="4" t="s">
        <v>6</v>
      </c>
      <c r="AA8" s="4" t="s">
        <v>30</v>
      </c>
      <c r="AB8" s="20"/>
      <c r="AC8" s="4" t="s">
        <v>6</v>
      </c>
      <c r="AD8" s="4" t="s">
        <v>6</v>
      </c>
      <c r="AE8" s="4" t="s">
        <v>6</v>
      </c>
      <c r="AF8" s="4" t="s">
        <v>6</v>
      </c>
      <c r="AG8" s="4" t="s">
        <v>6</v>
      </c>
      <c r="AH8" s="4" t="s">
        <v>6</v>
      </c>
      <c r="AI8" s="4">
        <f>COUNTIF(E8:AH8,"P")</f>
        <v>24</v>
      </c>
      <c r="AJ8" s="4">
        <f>COUNTIF(E8:AH8,"A")</f>
        <v>0</v>
      </c>
      <c r="AK8" s="4">
        <f>COUNTIF(E8:AH8,"L")</f>
        <v>0</v>
      </c>
      <c r="AL8" s="4">
        <f>COUNTBLANK(E8:AH8)</f>
        <v>4</v>
      </c>
      <c r="AM8" s="11">
        <f t="shared" si="1"/>
        <v>28</v>
      </c>
    </row>
    <row r="9" spans="1:39" ht="15.75" thickBot="1" x14ac:dyDescent="0.3">
      <c r="A9" s="5">
        <v>6</v>
      </c>
      <c r="B9" s="6" t="s">
        <v>27</v>
      </c>
      <c r="C9" s="6" t="s">
        <v>28</v>
      </c>
      <c r="D9" s="6" t="s">
        <v>29</v>
      </c>
      <c r="E9" s="6" t="s">
        <v>6</v>
      </c>
      <c r="F9" s="6" t="s">
        <v>6</v>
      </c>
      <c r="G9" s="21"/>
      <c r="H9" s="6" t="s">
        <v>6</v>
      </c>
      <c r="I9" s="6" t="s">
        <v>6</v>
      </c>
      <c r="J9" s="6" t="s">
        <v>6</v>
      </c>
      <c r="K9" s="6" t="s">
        <v>6</v>
      </c>
      <c r="L9" s="6" t="s">
        <v>6</v>
      </c>
      <c r="M9" s="6" t="s">
        <v>6</v>
      </c>
      <c r="N9" s="21"/>
      <c r="O9" s="6" t="s">
        <v>6</v>
      </c>
      <c r="P9" s="6" t="s">
        <v>6</v>
      </c>
      <c r="Q9" s="6" t="s">
        <v>6</v>
      </c>
      <c r="R9" s="6" t="s">
        <v>30</v>
      </c>
      <c r="S9" s="6" t="s">
        <v>6</v>
      </c>
      <c r="T9" s="6" t="s">
        <v>6</v>
      </c>
      <c r="U9" s="21"/>
      <c r="V9" s="6" t="s">
        <v>6</v>
      </c>
      <c r="W9" s="6" t="s">
        <v>6</v>
      </c>
      <c r="X9" s="6" t="s">
        <v>6</v>
      </c>
      <c r="Y9" s="6" t="s">
        <v>6</v>
      </c>
      <c r="Z9" s="6" t="s">
        <v>6</v>
      </c>
      <c r="AA9" s="6" t="s">
        <v>6</v>
      </c>
      <c r="AB9" s="21"/>
      <c r="AC9" s="6" t="s">
        <v>30</v>
      </c>
      <c r="AD9" s="6" t="s">
        <v>6</v>
      </c>
      <c r="AE9" s="6" t="s">
        <v>6</v>
      </c>
      <c r="AF9" s="6" t="s">
        <v>6</v>
      </c>
      <c r="AG9" s="6" t="s">
        <v>6</v>
      </c>
      <c r="AH9" s="6" t="s">
        <v>6</v>
      </c>
      <c r="AI9" s="6">
        <f>COUNTIF(E9:AH9,"P")</f>
        <v>24</v>
      </c>
      <c r="AJ9" s="6">
        <f>COUNTIF(E9:AH9,"A")</f>
        <v>0</v>
      </c>
      <c r="AK9" s="6">
        <f>COUNTIF(E9:AH9,"L")</f>
        <v>0</v>
      </c>
      <c r="AL9" s="6">
        <f>COUNTBLANK(E9:AH9)</f>
        <v>4</v>
      </c>
      <c r="AM9" s="12">
        <f t="shared" si="1"/>
        <v>28</v>
      </c>
    </row>
    <row r="17" ht="15" customHeight="1" x14ac:dyDescent="0.25"/>
  </sheetData>
  <mergeCells count="7">
    <mergeCell ref="AB5:AB9"/>
    <mergeCell ref="A3:D3"/>
    <mergeCell ref="A2:AM2"/>
    <mergeCell ref="AI3:AM3"/>
    <mergeCell ref="G5:G9"/>
    <mergeCell ref="N5:N9"/>
    <mergeCell ref="U5:U9"/>
  </mergeCells>
  <conditionalFormatting sqref="E3:AH9">
    <cfRule type="expression" dxfId="15" priority="2">
      <formula>E$3="SUN"</formula>
    </cfRule>
  </conditionalFormatting>
  <conditionalFormatting sqref="E5:AH9">
    <cfRule type="cellIs" dxfId="14" priority="1" operator="equal">
      <formula>"C/L"</formula>
    </cfRule>
    <cfRule type="cellIs" dxfId="13" priority="3" operator="equal">
      <formula>"A"</formula>
    </cfRule>
    <cfRule type="cellIs" dxfId="12" priority="4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C06A-106B-4EDE-AE41-338AE00CD047}">
  <dimension ref="A1:AN17"/>
  <sheetViews>
    <sheetView workbookViewId="0">
      <selection activeCell="AE5" sqref="AE5:AE9"/>
    </sheetView>
  </sheetViews>
  <sheetFormatPr defaultRowHeight="15" x14ac:dyDescent="0.25"/>
  <cols>
    <col min="1" max="1" width="5" bestFit="1" customWidth="1"/>
    <col min="2" max="3" width="24.7109375" bestFit="1" customWidth="1"/>
    <col min="4" max="4" width="11.5703125" bestFit="1" customWidth="1"/>
    <col min="5" max="34" width="3.7109375" bestFit="1" customWidth="1"/>
    <col min="35" max="35" width="3.7109375" customWidth="1"/>
    <col min="36" max="39" width="5.7109375" customWidth="1"/>
    <col min="40" max="40" width="7.42578125" bestFit="1" customWidth="1"/>
  </cols>
  <sheetData>
    <row r="1" spans="1:40" ht="15.75" thickBot="1" x14ac:dyDescent="0.3"/>
    <row r="2" spans="1:40" ht="32.25" thickBot="1" x14ac:dyDescent="0.55000000000000004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5"/>
    </row>
    <row r="3" spans="1:40" ht="27" x14ac:dyDescent="0.25">
      <c r="A3" s="16" t="s">
        <v>0</v>
      </c>
      <c r="B3" s="17"/>
      <c r="C3" s="17"/>
      <c r="D3" s="17"/>
      <c r="E3" s="10" t="str">
        <f>TEXT(E4,"ddd")</f>
        <v>Sun</v>
      </c>
      <c r="F3" s="10" t="str">
        <f t="shared" ref="F3:AI3" si="0">TEXT(F4,"ddd")</f>
        <v>Mon</v>
      </c>
      <c r="G3" s="10" t="str">
        <f t="shared" si="0"/>
        <v>Tue</v>
      </c>
      <c r="H3" s="10" t="str">
        <f t="shared" si="0"/>
        <v>Wed</v>
      </c>
      <c r="I3" s="10" t="str">
        <f t="shared" si="0"/>
        <v>Thu</v>
      </c>
      <c r="J3" s="10" t="str">
        <f t="shared" si="0"/>
        <v>Fri</v>
      </c>
      <c r="K3" s="10" t="str">
        <f t="shared" si="0"/>
        <v>Sat</v>
      </c>
      <c r="L3" s="10" t="str">
        <f t="shared" si="0"/>
        <v>Sun</v>
      </c>
      <c r="M3" s="10" t="str">
        <f t="shared" si="0"/>
        <v>Mon</v>
      </c>
      <c r="N3" s="10" t="str">
        <f t="shared" si="0"/>
        <v>Tue</v>
      </c>
      <c r="O3" s="10" t="str">
        <f t="shared" si="0"/>
        <v>Wed</v>
      </c>
      <c r="P3" s="10" t="str">
        <f t="shared" si="0"/>
        <v>Thu</v>
      </c>
      <c r="Q3" s="10" t="str">
        <f t="shared" si="0"/>
        <v>Fri</v>
      </c>
      <c r="R3" s="10" t="str">
        <f t="shared" si="0"/>
        <v>Sat</v>
      </c>
      <c r="S3" s="10" t="str">
        <f t="shared" si="0"/>
        <v>Sun</v>
      </c>
      <c r="T3" s="10" t="str">
        <f t="shared" si="0"/>
        <v>Mon</v>
      </c>
      <c r="U3" s="10" t="str">
        <f t="shared" si="0"/>
        <v>Tue</v>
      </c>
      <c r="V3" s="10" t="str">
        <f t="shared" si="0"/>
        <v>Wed</v>
      </c>
      <c r="W3" s="10" t="str">
        <f t="shared" si="0"/>
        <v>Thu</v>
      </c>
      <c r="X3" s="10" t="str">
        <f t="shared" si="0"/>
        <v>Fri</v>
      </c>
      <c r="Y3" s="10" t="str">
        <f t="shared" si="0"/>
        <v>Sat</v>
      </c>
      <c r="Z3" s="10" t="str">
        <f t="shared" si="0"/>
        <v>Sun</v>
      </c>
      <c r="AA3" s="10" t="str">
        <f t="shared" si="0"/>
        <v>Mon</v>
      </c>
      <c r="AB3" s="10" t="str">
        <f t="shared" si="0"/>
        <v>Tue</v>
      </c>
      <c r="AC3" s="10" t="str">
        <f t="shared" si="0"/>
        <v>Wed</v>
      </c>
      <c r="AD3" s="10" t="str">
        <f t="shared" si="0"/>
        <v>Thu</v>
      </c>
      <c r="AE3" s="10" t="str">
        <f t="shared" si="0"/>
        <v>Fri</v>
      </c>
      <c r="AF3" s="10" t="str">
        <f t="shared" si="0"/>
        <v>Sat</v>
      </c>
      <c r="AG3" s="10" t="str">
        <f t="shared" si="0"/>
        <v>Sun</v>
      </c>
      <c r="AH3" s="10" t="str">
        <f t="shared" si="0"/>
        <v>Mon</v>
      </c>
      <c r="AI3" s="10" t="str">
        <f t="shared" si="0"/>
        <v>Tue</v>
      </c>
      <c r="AJ3" s="18" t="s">
        <v>1</v>
      </c>
      <c r="AK3" s="18"/>
      <c r="AL3" s="18"/>
      <c r="AM3" s="18"/>
      <c r="AN3" s="19"/>
    </row>
    <row r="4" spans="1:40" x14ac:dyDescent="0.25">
      <c r="A4" s="1" t="s">
        <v>2</v>
      </c>
      <c r="B4" s="2" t="s">
        <v>3</v>
      </c>
      <c r="C4" s="2" t="s">
        <v>18</v>
      </c>
      <c r="D4" s="2" t="s">
        <v>4</v>
      </c>
      <c r="E4" s="7">
        <v>45627</v>
      </c>
      <c r="F4" s="7">
        <v>45628</v>
      </c>
      <c r="G4" s="7">
        <v>45629</v>
      </c>
      <c r="H4" s="7">
        <v>45630</v>
      </c>
      <c r="I4" s="7">
        <v>45631</v>
      </c>
      <c r="J4" s="7">
        <v>45632</v>
      </c>
      <c r="K4" s="7">
        <v>45633</v>
      </c>
      <c r="L4" s="7">
        <v>45634</v>
      </c>
      <c r="M4" s="7">
        <v>45635</v>
      </c>
      <c r="N4" s="7">
        <v>45636</v>
      </c>
      <c r="O4" s="7">
        <v>45637</v>
      </c>
      <c r="P4" s="7">
        <v>45638</v>
      </c>
      <c r="Q4" s="7">
        <v>45639</v>
      </c>
      <c r="R4" s="7">
        <v>45640</v>
      </c>
      <c r="S4" s="7">
        <v>45641</v>
      </c>
      <c r="T4" s="7">
        <v>45642</v>
      </c>
      <c r="U4" s="7">
        <v>45643</v>
      </c>
      <c r="V4" s="7">
        <v>45644</v>
      </c>
      <c r="W4" s="7">
        <v>45645</v>
      </c>
      <c r="X4" s="7">
        <v>45646</v>
      </c>
      <c r="Y4" s="7">
        <v>45647</v>
      </c>
      <c r="Z4" s="7">
        <v>45648</v>
      </c>
      <c r="AA4" s="7">
        <v>45649</v>
      </c>
      <c r="AB4" s="7">
        <v>45650</v>
      </c>
      <c r="AC4" s="7">
        <v>45651</v>
      </c>
      <c r="AD4" s="7">
        <v>45652</v>
      </c>
      <c r="AE4" s="7">
        <v>45653</v>
      </c>
      <c r="AF4" s="7">
        <v>45654</v>
      </c>
      <c r="AG4" s="7">
        <v>45655</v>
      </c>
      <c r="AH4" s="7">
        <v>45656</v>
      </c>
      <c r="AI4" s="7">
        <v>45657</v>
      </c>
      <c r="AJ4" s="8" t="s">
        <v>6</v>
      </c>
      <c r="AK4" s="8" t="s">
        <v>7</v>
      </c>
      <c r="AL4" s="8" t="s">
        <v>8</v>
      </c>
      <c r="AM4" s="8" t="s">
        <v>9</v>
      </c>
      <c r="AN4" s="9" t="s">
        <v>5</v>
      </c>
    </row>
    <row r="5" spans="1:40" ht="15" customHeight="1" x14ac:dyDescent="0.25">
      <c r="A5" s="3">
        <v>1</v>
      </c>
      <c r="B5" s="4" t="s">
        <v>19</v>
      </c>
      <c r="C5" s="4" t="s">
        <v>20</v>
      </c>
      <c r="D5" s="4" t="s">
        <v>14</v>
      </c>
      <c r="E5" s="20" t="s">
        <v>10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20" t="s">
        <v>10</v>
      </c>
      <c r="M5" s="4" t="s">
        <v>6</v>
      </c>
      <c r="N5" s="4" t="s">
        <v>6</v>
      </c>
      <c r="O5" s="4" t="s">
        <v>30</v>
      </c>
      <c r="P5" s="4" t="s">
        <v>6</v>
      </c>
      <c r="Q5" s="4" t="s">
        <v>6</v>
      </c>
      <c r="R5" s="4" t="s">
        <v>6</v>
      </c>
      <c r="S5" s="20" t="s">
        <v>10</v>
      </c>
      <c r="T5" s="4" t="s">
        <v>6</v>
      </c>
      <c r="U5" s="4" t="s">
        <v>6</v>
      </c>
      <c r="V5" s="4" t="s">
        <v>6</v>
      </c>
      <c r="W5" s="4" t="s">
        <v>6</v>
      </c>
      <c r="X5" s="4" t="s">
        <v>6</v>
      </c>
      <c r="Y5" s="4" t="s">
        <v>6</v>
      </c>
      <c r="Z5" s="20" t="s">
        <v>10</v>
      </c>
      <c r="AA5" s="4" t="s">
        <v>6</v>
      </c>
      <c r="AB5" s="4" t="s">
        <v>6</v>
      </c>
      <c r="AC5" s="26" t="s">
        <v>32</v>
      </c>
      <c r="AD5" s="4" t="s">
        <v>6</v>
      </c>
      <c r="AE5" s="26" t="s">
        <v>32</v>
      </c>
      <c r="AF5" s="4" t="s">
        <v>6</v>
      </c>
      <c r="AG5" s="20" t="s">
        <v>10</v>
      </c>
      <c r="AH5" s="4" t="s">
        <v>6</v>
      </c>
      <c r="AI5" s="4" t="s">
        <v>6</v>
      </c>
      <c r="AJ5" s="4">
        <f t="shared" ref="AJ5:AJ9" si="1">COUNTIF(E5:AI5,"P")</f>
        <v>23</v>
      </c>
      <c r="AK5" s="4">
        <f t="shared" ref="AK5:AK9" si="2">COUNTIF(E5:AI5,"A")</f>
        <v>0</v>
      </c>
      <c r="AL5" s="4">
        <f t="shared" ref="AL5:AL9" si="3">COUNTIF(E5:AI5,"L")</f>
        <v>0</v>
      </c>
      <c r="AM5" s="4">
        <v>5</v>
      </c>
      <c r="AN5" s="11">
        <f>AJ5+AL5+AM5</f>
        <v>28</v>
      </c>
    </row>
    <row r="6" spans="1:40" ht="15" customHeight="1" x14ac:dyDescent="0.25">
      <c r="A6" s="3">
        <v>2</v>
      </c>
      <c r="B6" s="4" t="s">
        <v>21</v>
      </c>
      <c r="C6" s="4" t="s">
        <v>22</v>
      </c>
      <c r="D6" s="4" t="s">
        <v>13</v>
      </c>
      <c r="E6" s="20"/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20"/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4" t="s">
        <v>30</v>
      </c>
      <c r="S6" s="20"/>
      <c r="T6" s="4" t="s">
        <v>6</v>
      </c>
      <c r="U6" s="4" t="s">
        <v>6</v>
      </c>
      <c r="V6" s="4" t="s">
        <v>6</v>
      </c>
      <c r="W6" s="4" t="s">
        <v>30</v>
      </c>
      <c r="X6" s="4" t="s">
        <v>6</v>
      </c>
      <c r="Y6" s="26" t="s">
        <v>32</v>
      </c>
      <c r="Z6" s="20"/>
      <c r="AA6" s="26" t="s">
        <v>32</v>
      </c>
      <c r="AB6" s="26" t="s">
        <v>32</v>
      </c>
      <c r="AC6" s="27"/>
      <c r="AD6" s="26" t="s">
        <v>32</v>
      </c>
      <c r="AE6" s="27"/>
      <c r="AF6" s="26" t="s">
        <v>32</v>
      </c>
      <c r="AG6" s="20"/>
      <c r="AH6" s="26" t="s">
        <v>32</v>
      </c>
      <c r="AI6" s="26" t="s">
        <v>32</v>
      </c>
      <c r="AJ6" s="4">
        <f t="shared" si="1"/>
        <v>15</v>
      </c>
      <c r="AK6" s="4">
        <f t="shared" si="2"/>
        <v>0</v>
      </c>
      <c r="AL6" s="4">
        <f t="shared" si="3"/>
        <v>0</v>
      </c>
      <c r="AM6" s="4">
        <f t="shared" ref="AM6:AM9" si="4">COUNTBLANK(E6:AI6)</f>
        <v>7</v>
      </c>
      <c r="AN6" s="11">
        <f t="shared" ref="AN6:AN9" si="5">AJ6+AL6+AM6</f>
        <v>22</v>
      </c>
    </row>
    <row r="7" spans="1:40" x14ac:dyDescent="0.25">
      <c r="A7" s="3">
        <v>3</v>
      </c>
      <c r="B7" s="4" t="s">
        <v>23</v>
      </c>
      <c r="C7" s="4" t="s">
        <v>24</v>
      </c>
      <c r="D7" s="4" t="s">
        <v>13</v>
      </c>
      <c r="E7" s="20"/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20"/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20"/>
      <c r="T7" s="4" t="s">
        <v>30</v>
      </c>
      <c r="U7" s="4" t="s">
        <v>6</v>
      </c>
      <c r="V7" s="4" t="s">
        <v>6</v>
      </c>
      <c r="W7" s="4" t="s">
        <v>6</v>
      </c>
      <c r="X7" s="4" t="s">
        <v>6</v>
      </c>
      <c r="Y7" s="27"/>
      <c r="Z7" s="20"/>
      <c r="AA7" s="27"/>
      <c r="AB7" s="27"/>
      <c r="AC7" s="27"/>
      <c r="AD7" s="27"/>
      <c r="AE7" s="27"/>
      <c r="AF7" s="27"/>
      <c r="AG7" s="20"/>
      <c r="AH7" s="27"/>
      <c r="AI7" s="27"/>
      <c r="AJ7" s="4">
        <f t="shared" si="1"/>
        <v>16</v>
      </c>
      <c r="AK7" s="4">
        <f t="shared" si="2"/>
        <v>0</v>
      </c>
      <c r="AL7" s="4">
        <f t="shared" si="3"/>
        <v>0</v>
      </c>
      <c r="AM7" s="4">
        <f t="shared" si="4"/>
        <v>14</v>
      </c>
      <c r="AN7" s="11">
        <f t="shared" si="5"/>
        <v>30</v>
      </c>
    </row>
    <row r="8" spans="1:40" x14ac:dyDescent="0.25">
      <c r="A8" s="3">
        <v>4</v>
      </c>
      <c r="B8" s="4" t="s">
        <v>25</v>
      </c>
      <c r="C8" s="4" t="s">
        <v>26</v>
      </c>
      <c r="D8" s="4" t="s">
        <v>17</v>
      </c>
      <c r="E8" s="20"/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20"/>
      <c r="M8" s="4" t="s">
        <v>6</v>
      </c>
      <c r="N8" s="4" t="s">
        <v>30</v>
      </c>
      <c r="O8" s="4" t="s">
        <v>6</v>
      </c>
      <c r="P8" s="4" t="s">
        <v>6</v>
      </c>
      <c r="Q8" s="4" t="s">
        <v>6</v>
      </c>
      <c r="R8" s="4" t="s">
        <v>6</v>
      </c>
      <c r="S8" s="20"/>
      <c r="T8" s="4" t="s">
        <v>6</v>
      </c>
      <c r="U8" s="4" t="s">
        <v>6</v>
      </c>
      <c r="V8" s="4" t="s">
        <v>6</v>
      </c>
      <c r="W8" s="4" t="s">
        <v>6</v>
      </c>
      <c r="X8" s="4" t="s">
        <v>30</v>
      </c>
      <c r="Y8" s="28"/>
      <c r="Z8" s="20"/>
      <c r="AA8" s="28"/>
      <c r="AB8" s="28"/>
      <c r="AC8" s="27"/>
      <c r="AD8" s="28"/>
      <c r="AE8" s="27"/>
      <c r="AF8" s="28"/>
      <c r="AG8" s="20"/>
      <c r="AH8" s="28"/>
      <c r="AI8" s="28"/>
      <c r="AJ8" s="4">
        <f t="shared" si="1"/>
        <v>15</v>
      </c>
      <c r="AK8" s="4">
        <f t="shared" si="2"/>
        <v>0</v>
      </c>
      <c r="AL8" s="4">
        <f t="shared" si="3"/>
        <v>0</v>
      </c>
      <c r="AM8" s="4">
        <f t="shared" si="4"/>
        <v>14</v>
      </c>
      <c r="AN8" s="11">
        <f t="shared" si="5"/>
        <v>29</v>
      </c>
    </row>
    <row r="9" spans="1:40" ht="15.75" thickBot="1" x14ac:dyDescent="0.3">
      <c r="A9" s="5">
        <v>5</v>
      </c>
      <c r="B9" s="6" t="s">
        <v>27</v>
      </c>
      <c r="C9" s="6" t="s">
        <v>28</v>
      </c>
      <c r="D9" s="6" t="s">
        <v>29</v>
      </c>
      <c r="E9" s="21"/>
      <c r="F9" s="6" t="s">
        <v>30</v>
      </c>
      <c r="G9" s="6" t="s">
        <v>6</v>
      </c>
      <c r="H9" s="6" t="s">
        <v>6</v>
      </c>
      <c r="I9" s="6" t="s">
        <v>6</v>
      </c>
      <c r="J9" s="6" t="s">
        <v>6</v>
      </c>
      <c r="K9" s="6" t="s">
        <v>6</v>
      </c>
      <c r="L9" s="21"/>
      <c r="M9" s="6" t="s">
        <v>6</v>
      </c>
      <c r="N9" s="6" t="s">
        <v>6</v>
      </c>
      <c r="O9" s="6" t="s">
        <v>6</v>
      </c>
      <c r="P9" s="6" t="s">
        <v>6</v>
      </c>
      <c r="Q9" s="6" t="s">
        <v>6</v>
      </c>
      <c r="R9" s="6" t="s">
        <v>6</v>
      </c>
      <c r="S9" s="21"/>
      <c r="T9" s="6" t="s">
        <v>30</v>
      </c>
      <c r="U9" s="6" t="s">
        <v>6</v>
      </c>
      <c r="V9" s="6" t="s">
        <v>6</v>
      </c>
      <c r="W9" s="6" t="s">
        <v>6</v>
      </c>
      <c r="X9" s="6" t="s">
        <v>6</v>
      </c>
      <c r="Y9" s="6" t="s">
        <v>6</v>
      </c>
      <c r="Z9" s="21"/>
      <c r="AA9" s="6" t="s">
        <v>6</v>
      </c>
      <c r="AB9" s="6" t="s">
        <v>6</v>
      </c>
      <c r="AC9" s="29"/>
      <c r="AD9" s="6" t="s">
        <v>6</v>
      </c>
      <c r="AE9" s="29"/>
      <c r="AF9" s="6" t="s">
        <v>6</v>
      </c>
      <c r="AG9" s="21"/>
      <c r="AH9" s="6" t="s">
        <v>6</v>
      </c>
      <c r="AI9" s="6" t="s">
        <v>6</v>
      </c>
      <c r="AJ9" s="6">
        <f t="shared" si="1"/>
        <v>22</v>
      </c>
      <c r="AK9" s="6">
        <f t="shared" si="2"/>
        <v>0</v>
      </c>
      <c r="AL9" s="6">
        <f t="shared" si="3"/>
        <v>0</v>
      </c>
      <c r="AM9" s="6">
        <f t="shared" si="4"/>
        <v>7</v>
      </c>
      <c r="AN9" s="12">
        <f t="shared" si="5"/>
        <v>29</v>
      </c>
    </row>
    <row r="17" ht="15" customHeight="1" x14ac:dyDescent="0.25"/>
  </sheetData>
  <mergeCells count="17">
    <mergeCell ref="AI6:AI8"/>
    <mergeCell ref="AC5:AC9"/>
    <mergeCell ref="AE5:AE9"/>
    <mergeCell ref="A2:AN2"/>
    <mergeCell ref="A3:D3"/>
    <mergeCell ref="AJ3:AN3"/>
    <mergeCell ref="E5:E9"/>
    <mergeCell ref="L5:L9"/>
    <mergeCell ref="S5:S9"/>
    <mergeCell ref="Z5:Z9"/>
    <mergeCell ref="AG5:AG9"/>
    <mergeCell ref="Y6:Y8"/>
    <mergeCell ref="AA6:AA8"/>
    <mergeCell ref="AB6:AB8"/>
    <mergeCell ref="AD6:AD8"/>
    <mergeCell ref="AF6:AF8"/>
    <mergeCell ref="AH6:AH8"/>
  </mergeCells>
  <conditionalFormatting sqref="E9:AB9 E7:X8 Z7:Z8 AG6:AG8 AH6:AI6 E6:AB6 AD9 AD6 AF6 E3:AI5 AF9:AI9">
    <cfRule type="expression" dxfId="11" priority="2">
      <formula>E$3="SUN"</formula>
    </cfRule>
  </conditionalFormatting>
  <conditionalFormatting sqref="E9:AB9 E7:X8 Z7:Z8 AG6:AG8 AH6:AI6 E6:AB6 AD9 AD6 AF6 E5:AI5 AF9:AI9">
    <cfRule type="cellIs" dxfId="10" priority="1" operator="equal">
      <formula>"C/L"</formula>
    </cfRule>
    <cfRule type="cellIs" dxfId="9" priority="3" operator="equal">
      <formula>"A"</formula>
    </cfRule>
    <cfRule type="cellIs" dxfId="8" priority="4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B46A-C281-4BBD-88F6-63ACF8EAD1B5}">
  <dimension ref="A1:AN17"/>
  <sheetViews>
    <sheetView topLeftCell="C1" workbookViewId="0">
      <selection activeCell="AJ8" sqref="AJ8"/>
    </sheetView>
  </sheetViews>
  <sheetFormatPr defaultRowHeight="15" x14ac:dyDescent="0.25"/>
  <cols>
    <col min="1" max="1" width="5" bestFit="1" customWidth="1"/>
    <col min="2" max="3" width="24.7109375" bestFit="1" customWidth="1"/>
    <col min="4" max="4" width="11.5703125" bestFit="1" customWidth="1"/>
    <col min="5" max="34" width="3.7109375" bestFit="1" customWidth="1"/>
    <col min="35" max="35" width="3.7109375" customWidth="1"/>
    <col min="36" max="39" width="5.7109375" customWidth="1"/>
    <col min="40" max="40" width="7.42578125" bestFit="1" customWidth="1"/>
  </cols>
  <sheetData>
    <row r="1" spans="1:40" ht="15.75" thickBot="1" x14ac:dyDescent="0.3"/>
    <row r="2" spans="1:40" ht="32.25" thickBot="1" x14ac:dyDescent="0.55000000000000004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5"/>
    </row>
    <row r="3" spans="1:40" ht="27" x14ac:dyDescent="0.25">
      <c r="A3" s="16" t="s">
        <v>0</v>
      </c>
      <c r="B3" s="17"/>
      <c r="C3" s="17"/>
      <c r="D3" s="17"/>
      <c r="E3" s="10" t="str">
        <f>TEXT(E4,"ddd")</f>
        <v>Wed</v>
      </c>
      <c r="F3" s="10" t="str">
        <f t="shared" ref="F3:AI3" si="0">TEXT(F4,"ddd")</f>
        <v>Thu</v>
      </c>
      <c r="G3" s="10" t="str">
        <f t="shared" si="0"/>
        <v>Fri</v>
      </c>
      <c r="H3" s="10" t="str">
        <f t="shared" si="0"/>
        <v>Sat</v>
      </c>
      <c r="I3" s="10" t="str">
        <f t="shared" si="0"/>
        <v>Sun</v>
      </c>
      <c r="J3" s="10" t="str">
        <f t="shared" si="0"/>
        <v>Mon</v>
      </c>
      <c r="K3" s="10" t="str">
        <f t="shared" si="0"/>
        <v>Tue</v>
      </c>
      <c r="L3" s="10" t="str">
        <f t="shared" si="0"/>
        <v>Wed</v>
      </c>
      <c r="M3" s="10" t="str">
        <f t="shared" si="0"/>
        <v>Thu</v>
      </c>
      <c r="N3" s="10" t="str">
        <f t="shared" si="0"/>
        <v>Fri</v>
      </c>
      <c r="O3" s="10" t="str">
        <f t="shared" si="0"/>
        <v>Sat</v>
      </c>
      <c r="P3" s="10" t="str">
        <f t="shared" si="0"/>
        <v>Sun</v>
      </c>
      <c r="Q3" s="10" t="str">
        <f t="shared" si="0"/>
        <v>Mon</v>
      </c>
      <c r="R3" s="10" t="str">
        <f t="shared" si="0"/>
        <v>Tue</v>
      </c>
      <c r="S3" s="10" t="str">
        <f t="shared" si="0"/>
        <v>Wed</v>
      </c>
      <c r="T3" s="10" t="str">
        <f t="shared" si="0"/>
        <v>Thu</v>
      </c>
      <c r="U3" s="10" t="str">
        <f t="shared" si="0"/>
        <v>Fri</v>
      </c>
      <c r="V3" s="10" t="str">
        <f t="shared" si="0"/>
        <v>Sat</v>
      </c>
      <c r="W3" s="10" t="str">
        <f t="shared" si="0"/>
        <v>Sun</v>
      </c>
      <c r="X3" s="10" t="str">
        <f t="shared" si="0"/>
        <v>Mon</v>
      </c>
      <c r="Y3" s="10" t="str">
        <f t="shared" si="0"/>
        <v>Tue</v>
      </c>
      <c r="Z3" s="10" t="str">
        <f t="shared" si="0"/>
        <v>Wed</v>
      </c>
      <c r="AA3" s="10" t="str">
        <f t="shared" si="0"/>
        <v>Thu</v>
      </c>
      <c r="AB3" s="10" t="str">
        <f t="shared" si="0"/>
        <v>Fri</v>
      </c>
      <c r="AC3" s="10" t="str">
        <f t="shared" si="0"/>
        <v>Sat</v>
      </c>
      <c r="AD3" s="10" t="str">
        <f t="shared" si="0"/>
        <v>Sun</v>
      </c>
      <c r="AE3" s="10" t="str">
        <f t="shared" si="0"/>
        <v>Mon</v>
      </c>
      <c r="AF3" s="10" t="str">
        <f t="shared" si="0"/>
        <v>Tue</v>
      </c>
      <c r="AG3" s="10" t="str">
        <f t="shared" si="0"/>
        <v>Wed</v>
      </c>
      <c r="AH3" s="10" t="str">
        <f t="shared" si="0"/>
        <v>Thu</v>
      </c>
      <c r="AI3" s="10" t="str">
        <f t="shared" si="0"/>
        <v>Fri</v>
      </c>
      <c r="AJ3" s="18" t="s">
        <v>1</v>
      </c>
      <c r="AK3" s="18"/>
      <c r="AL3" s="18"/>
      <c r="AM3" s="18"/>
      <c r="AN3" s="19"/>
    </row>
    <row r="4" spans="1:40" x14ac:dyDescent="0.25">
      <c r="A4" s="1" t="s">
        <v>2</v>
      </c>
      <c r="B4" s="2" t="s">
        <v>3</v>
      </c>
      <c r="C4" s="2" t="s">
        <v>18</v>
      </c>
      <c r="D4" s="2" t="s">
        <v>4</v>
      </c>
      <c r="E4" s="7">
        <v>45658</v>
      </c>
      <c r="F4" s="7">
        <v>45659</v>
      </c>
      <c r="G4" s="7">
        <v>45660</v>
      </c>
      <c r="H4" s="7">
        <v>45661</v>
      </c>
      <c r="I4" s="7">
        <v>45662</v>
      </c>
      <c r="J4" s="7">
        <v>45663</v>
      </c>
      <c r="K4" s="7">
        <v>45664</v>
      </c>
      <c r="L4" s="7">
        <v>45665</v>
      </c>
      <c r="M4" s="7">
        <v>45666</v>
      </c>
      <c r="N4" s="7">
        <v>45667</v>
      </c>
      <c r="O4" s="7">
        <v>45668</v>
      </c>
      <c r="P4" s="7">
        <v>45669</v>
      </c>
      <c r="Q4" s="7">
        <v>45670</v>
      </c>
      <c r="R4" s="7">
        <v>45671</v>
      </c>
      <c r="S4" s="7">
        <v>45672</v>
      </c>
      <c r="T4" s="7">
        <v>45673</v>
      </c>
      <c r="U4" s="7">
        <v>45674</v>
      </c>
      <c r="V4" s="7">
        <v>45675</v>
      </c>
      <c r="W4" s="7">
        <v>45676</v>
      </c>
      <c r="X4" s="7">
        <v>45677</v>
      </c>
      <c r="Y4" s="7">
        <v>45678</v>
      </c>
      <c r="Z4" s="7">
        <v>45679</v>
      </c>
      <c r="AA4" s="7">
        <v>45680</v>
      </c>
      <c r="AB4" s="7">
        <v>45681</v>
      </c>
      <c r="AC4" s="7">
        <v>45682</v>
      </c>
      <c r="AD4" s="7">
        <v>45683</v>
      </c>
      <c r="AE4" s="7">
        <v>45684</v>
      </c>
      <c r="AF4" s="7">
        <v>45685</v>
      </c>
      <c r="AG4" s="7">
        <v>45686</v>
      </c>
      <c r="AH4" s="7">
        <v>45687</v>
      </c>
      <c r="AI4" s="7">
        <v>45688</v>
      </c>
      <c r="AJ4" s="8" t="s">
        <v>6</v>
      </c>
      <c r="AK4" s="8" t="s">
        <v>7</v>
      </c>
      <c r="AL4" s="8" t="s">
        <v>8</v>
      </c>
      <c r="AM4" s="8" t="s">
        <v>9</v>
      </c>
      <c r="AN4" s="9" t="s">
        <v>5</v>
      </c>
    </row>
    <row r="5" spans="1:40" ht="15" customHeight="1" x14ac:dyDescent="0.25">
      <c r="A5" s="3">
        <v>1</v>
      </c>
      <c r="B5" s="4" t="s">
        <v>19</v>
      </c>
      <c r="C5" s="4" t="s">
        <v>20</v>
      </c>
      <c r="D5" s="4" t="s">
        <v>14</v>
      </c>
      <c r="E5" s="4" t="s">
        <v>6</v>
      </c>
      <c r="F5" s="4" t="s">
        <v>6</v>
      </c>
      <c r="G5" s="4" t="s">
        <v>6</v>
      </c>
      <c r="H5" s="4" t="s">
        <v>6</v>
      </c>
      <c r="I5" s="20" t="s">
        <v>10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20" t="s">
        <v>10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6</v>
      </c>
      <c r="W5" s="20" t="s">
        <v>10</v>
      </c>
      <c r="X5" s="4" t="s">
        <v>30</v>
      </c>
      <c r="Y5" s="4" t="s">
        <v>6</v>
      </c>
      <c r="Z5" s="4" t="s">
        <v>6</v>
      </c>
      <c r="AA5" s="4" t="s">
        <v>6</v>
      </c>
      <c r="AB5" s="4" t="s">
        <v>6</v>
      </c>
      <c r="AC5" s="4" t="s">
        <v>6</v>
      </c>
      <c r="AD5" s="20" t="s">
        <v>10</v>
      </c>
      <c r="AE5" s="4" t="s">
        <v>6</v>
      </c>
      <c r="AF5" s="33" t="s">
        <v>34</v>
      </c>
      <c r="AG5" s="4" t="s">
        <v>6</v>
      </c>
      <c r="AH5" s="4" t="s">
        <v>6</v>
      </c>
      <c r="AI5" s="4" t="s">
        <v>6</v>
      </c>
      <c r="AJ5" s="4">
        <f t="shared" ref="AJ5:AJ9" si="1">COUNTIF(E5:AI5,"P")</f>
        <v>25</v>
      </c>
      <c r="AK5" s="4">
        <f t="shared" ref="AK5:AK9" si="2">COUNTIF(E5:AI5,"A")</f>
        <v>0</v>
      </c>
      <c r="AL5" s="4">
        <f t="shared" ref="AL5:AL9" si="3">COUNTIF(E5:AI5,"L")</f>
        <v>0</v>
      </c>
      <c r="AM5" s="4">
        <v>5</v>
      </c>
      <c r="AN5" s="11">
        <f>AJ5+AL5+AM5</f>
        <v>30</v>
      </c>
    </row>
    <row r="6" spans="1:40" ht="15" customHeight="1" x14ac:dyDescent="0.25">
      <c r="A6" s="3">
        <v>2</v>
      </c>
      <c r="B6" s="4" t="s">
        <v>21</v>
      </c>
      <c r="C6" s="4" t="s">
        <v>22</v>
      </c>
      <c r="D6" s="4" t="s">
        <v>13</v>
      </c>
      <c r="E6" s="4" t="s">
        <v>6</v>
      </c>
      <c r="F6" s="4" t="s">
        <v>6</v>
      </c>
      <c r="G6" s="4" t="s">
        <v>6</v>
      </c>
      <c r="H6" s="4" t="s">
        <v>6</v>
      </c>
      <c r="I6" s="20"/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20"/>
      <c r="Q6" s="4" t="s">
        <v>6</v>
      </c>
      <c r="R6" s="4" t="s">
        <v>30</v>
      </c>
      <c r="S6" s="4" t="s">
        <v>6</v>
      </c>
      <c r="T6" s="4" t="s">
        <v>6</v>
      </c>
      <c r="U6" s="4" t="s">
        <v>6</v>
      </c>
      <c r="V6" s="4" t="s">
        <v>6</v>
      </c>
      <c r="W6" s="20"/>
      <c r="X6" s="4" t="s">
        <v>6</v>
      </c>
      <c r="Y6" s="4" t="s">
        <v>6</v>
      </c>
      <c r="Z6" s="4" t="s">
        <v>6</v>
      </c>
      <c r="AA6" s="4" t="s">
        <v>6</v>
      </c>
      <c r="AB6" s="4" t="s">
        <v>6</v>
      </c>
      <c r="AC6" s="4" t="s">
        <v>6</v>
      </c>
      <c r="AD6" s="20"/>
      <c r="AE6" s="4" t="s">
        <v>30</v>
      </c>
      <c r="AF6" s="34"/>
      <c r="AG6" s="4" t="s">
        <v>6</v>
      </c>
      <c r="AH6" s="4" t="s">
        <v>6</v>
      </c>
      <c r="AI6" s="4" t="s">
        <v>6</v>
      </c>
      <c r="AJ6" s="4">
        <f t="shared" si="1"/>
        <v>24</v>
      </c>
      <c r="AK6" s="4">
        <f t="shared" si="2"/>
        <v>0</v>
      </c>
      <c r="AL6" s="4">
        <f t="shared" si="3"/>
        <v>0</v>
      </c>
      <c r="AM6" s="4">
        <f t="shared" ref="AM6:AM9" si="4">COUNTBLANK(E6:AI6)</f>
        <v>5</v>
      </c>
      <c r="AN6" s="11">
        <f t="shared" ref="AN6:AN9" si="5">AJ6+AL6+AM6</f>
        <v>29</v>
      </c>
    </row>
    <row r="7" spans="1:40" x14ac:dyDescent="0.25">
      <c r="A7" s="3">
        <v>3</v>
      </c>
      <c r="B7" s="4" t="s">
        <v>23</v>
      </c>
      <c r="C7" s="4" t="s">
        <v>24</v>
      </c>
      <c r="D7" s="4" t="s">
        <v>13</v>
      </c>
      <c r="E7" s="4" t="s">
        <v>6</v>
      </c>
      <c r="F7" s="4" t="s">
        <v>6</v>
      </c>
      <c r="G7" s="4" t="s">
        <v>6</v>
      </c>
      <c r="H7" s="4" t="s">
        <v>6</v>
      </c>
      <c r="I7" s="20"/>
      <c r="J7" s="4" t="s">
        <v>6</v>
      </c>
      <c r="K7" s="4" t="s">
        <v>6</v>
      </c>
      <c r="L7" s="4" t="s">
        <v>6</v>
      </c>
      <c r="M7" s="4" t="s">
        <v>30</v>
      </c>
      <c r="N7" s="4" t="s">
        <v>30</v>
      </c>
      <c r="O7" s="4" t="s">
        <v>30</v>
      </c>
      <c r="P7" s="20"/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  <c r="V7" s="4" t="s">
        <v>6</v>
      </c>
      <c r="W7" s="20"/>
      <c r="X7" s="4" t="s">
        <v>6</v>
      </c>
      <c r="Y7" s="4" t="s">
        <v>6</v>
      </c>
      <c r="Z7" s="4" t="s">
        <v>6</v>
      </c>
      <c r="AA7" s="4" t="s">
        <v>6</v>
      </c>
      <c r="AB7" s="4" t="s">
        <v>30</v>
      </c>
      <c r="AC7" s="4" t="s">
        <v>6</v>
      </c>
      <c r="AD7" s="20"/>
      <c r="AE7" s="4" t="s">
        <v>6</v>
      </c>
      <c r="AF7" s="34"/>
      <c r="AG7" s="4" t="s">
        <v>6</v>
      </c>
      <c r="AH7" s="4" t="s">
        <v>6</v>
      </c>
      <c r="AI7" s="4" t="s">
        <v>6</v>
      </c>
      <c r="AJ7" s="4">
        <f t="shared" si="1"/>
        <v>22</v>
      </c>
      <c r="AK7" s="4">
        <f t="shared" si="2"/>
        <v>0</v>
      </c>
      <c r="AL7" s="4">
        <f t="shared" si="3"/>
        <v>0</v>
      </c>
      <c r="AM7" s="4">
        <f t="shared" si="4"/>
        <v>5</v>
      </c>
      <c r="AN7" s="11">
        <f t="shared" si="5"/>
        <v>27</v>
      </c>
    </row>
    <row r="8" spans="1:40" x14ac:dyDescent="0.25">
      <c r="A8" s="3">
        <v>4</v>
      </c>
      <c r="B8" s="4" t="s">
        <v>25</v>
      </c>
      <c r="C8" s="4" t="s">
        <v>26</v>
      </c>
      <c r="D8" s="4" t="s">
        <v>17</v>
      </c>
      <c r="E8" s="4" t="s">
        <v>6</v>
      </c>
      <c r="F8" s="4" t="s">
        <v>6</v>
      </c>
      <c r="G8" s="4" t="s">
        <v>6</v>
      </c>
      <c r="H8" s="4" t="s">
        <v>6</v>
      </c>
      <c r="I8" s="20"/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20"/>
      <c r="Q8" s="4" t="s">
        <v>6</v>
      </c>
      <c r="R8" s="4" t="s">
        <v>6</v>
      </c>
      <c r="S8" s="4" t="s">
        <v>6</v>
      </c>
      <c r="T8" s="4" t="s">
        <v>6</v>
      </c>
      <c r="U8" s="4" t="s">
        <v>6</v>
      </c>
      <c r="V8" s="4" t="s">
        <v>30</v>
      </c>
      <c r="W8" s="20"/>
      <c r="X8" s="30" t="s">
        <v>33</v>
      </c>
      <c r="Y8" s="31"/>
      <c r="Z8" s="31"/>
      <c r="AA8" s="31"/>
      <c r="AB8" s="31"/>
      <c r="AC8" s="32"/>
      <c r="AD8" s="20"/>
      <c r="AE8" s="4" t="s">
        <v>35</v>
      </c>
      <c r="AF8" s="34"/>
      <c r="AG8" s="4" t="s">
        <v>35</v>
      </c>
      <c r="AH8" s="4" t="s">
        <v>35</v>
      </c>
      <c r="AI8" s="4" t="s">
        <v>35</v>
      </c>
      <c r="AJ8" s="4">
        <f t="shared" si="1"/>
        <v>15</v>
      </c>
      <c r="AK8" s="4">
        <f t="shared" si="2"/>
        <v>0</v>
      </c>
      <c r="AL8" s="4">
        <f t="shared" si="3"/>
        <v>0</v>
      </c>
      <c r="AM8" s="4">
        <f t="shared" si="4"/>
        <v>10</v>
      </c>
      <c r="AN8" s="11">
        <f t="shared" si="5"/>
        <v>25</v>
      </c>
    </row>
    <row r="9" spans="1:40" ht="15.75" thickBot="1" x14ac:dyDescent="0.3">
      <c r="A9" s="5">
        <v>5</v>
      </c>
      <c r="B9" s="6" t="s">
        <v>27</v>
      </c>
      <c r="C9" s="6" t="s">
        <v>28</v>
      </c>
      <c r="D9" s="6" t="s">
        <v>29</v>
      </c>
      <c r="E9" s="6" t="s">
        <v>6</v>
      </c>
      <c r="F9" s="6" t="s">
        <v>6</v>
      </c>
      <c r="G9" s="6" t="s">
        <v>6</v>
      </c>
      <c r="H9" s="6" t="s">
        <v>6</v>
      </c>
      <c r="I9" s="21"/>
      <c r="J9" s="6" t="s">
        <v>6</v>
      </c>
      <c r="K9" s="6" t="s">
        <v>6</v>
      </c>
      <c r="L9" s="6" t="s">
        <v>6</v>
      </c>
      <c r="M9" s="6" t="s">
        <v>6</v>
      </c>
      <c r="N9" s="6" t="s">
        <v>6</v>
      </c>
      <c r="O9" s="6" t="s">
        <v>6</v>
      </c>
      <c r="P9" s="21"/>
      <c r="Q9" s="6" t="s">
        <v>6</v>
      </c>
      <c r="R9" s="6" t="s">
        <v>6</v>
      </c>
      <c r="S9" s="6" t="s">
        <v>6</v>
      </c>
      <c r="T9" s="6" t="s">
        <v>6</v>
      </c>
      <c r="U9" s="6" t="s">
        <v>6</v>
      </c>
      <c r="V9" s="6" t="s">
        <v>6</v>
      </c>
      <c r="W9" s="21"/>
      <c r="X9" s="6" t="s">
        <v>6</v>
      </c>
      <c r="Y9" s="6" t="s">
        <v>6</v>
      </c>
      <c r="Z9" s="6" t="s">
        <v>6</v>
      </c>
      <c r="AA9" s="6" t="s">
        <v>6</v>
      </c>
      <c r="AB9" s="6" t="s">
        <v>6</v>
      </c>
      <c r="AC9" s="6" t="s">
        <v>30</v>
      </c>
      <c r="AD9" s="21"/>
      <c r="AE9" s="6" t="s">
        <v>6</v>
      </c>
      <c r="AF9" s="35"/>
      <c r="AG9" s="6" t="s">
        <v>30</v>
      </c>
      <c r="AH9" s="6" t="s">
        <v>6</v>
      </c>
      <c r="AI9" s="6" t="s">
        <v>6</v>
      </c>
      <c r="AJ9" s="6">
        <f t="shared" si="1"/>
        <v>24</v>
      </c>
      <c r="AK9" s="6">
        <f t="shared" si="2"/>
        <v>0</v>
      </c>
      <c r="AL9" s="6">
        <f t="shared" si="3"/>
        <v>0</v>
      </c>
      <c r="AM9" s="6">
        <f t="shared" si="4"/>
        <v>5</v>
      </c>
      <c r="AN9" s="12">
        <f t="shared" si="5"/>
        <v>29</v>
      </c>
    </row>
    <row r="17" ht="15" customHeight="1" x14ac:dyDescent="0.25"/>
  </sheetData>
  <mergeCells count="9">
    <mergeCell ref="I5:I9"/>
    <mergeCell ref="P5:P9"/>
    <mergeCell ref="W5:W9"/>
    <mergeCell ref="AD5:AD9"/>
    <mergeCell ref="X8:AC8"/>
    <mergeCell ref="AF5:AF9"/>
    <mergeCell ref="A2:AN2"/>
    <mergeCell ref="A3:D3"/>
    <mergeCell ref="AJ3:AN3"/>
  </mergeCells>
  <conditionalFormatting sqref="E3:AI5 E9:AE9 E8:X8 E6:AE7 AD8:AE8 AG6:AI9">
    <cfRule type="expression" dxfId="7" priority="2">
      <formula>E$3="SUN"</formula>
    </cfRule>
  </conditionalFormatting>
  <conditionalFormatting sqref="E5:AI5 E9:AE9 E8:X8 E6:AE7 AD8:AE8 AG6:AI9">
    <cfRule type="cellIs" dxfId="6" priority="1" operator="equal">
      <formula>"C/L"</formula>
    </cfRule>
    <cfRule type="cellIs" dxfId="5" priority="3" operator="equal">
      <formula>"A"</formula>
    </cfRule>
    <cfRule type="cellIs" dxfId="4" priority="4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D37B-89C1-408C-8E1F-7DBDF399B5E1}">
  <dimension ref="A1:AN16"/>
  <sheetViews>
    <sheetView tabSelected="1" workbookViewId="0">
      <selection activeCell="V9" sqref="V9"/>
    </sheetView>
  </sheetViews>
  <sheetFormatPr defaultRowHeight="15" x14ac:dyDescent="0.25"/>
  <cols>
    <col min="1" max="1" width="5" bestFit="1" customWidth="1"/>
    <col min="2" max="3" width="24.7109375" bestFit="1" customWidth="1"/>
    <col min="4" max="4" width="11.5703125" bestFit="1" customWidth="1"/>
    <col min="5" max="34" width="3.7109375" bestFit="1" customWidth="1"/>
    <col min="35" max="35" width="3.7109375" customWidth="1"/>
    <col min="36" max="39" width="5.7109375" customWidth="1"/>
    <col min="40" max="40" width="7.42578125" bestFit="1" customWidth="1"/>
  </cols>
  <sheetData>
    <row r="1" spans="1:40" ht="15.75" thickBot="1" x14ac:dyDescent="0.3"/>
    <row r="2" spans="1:40" ht="32.25" thickBot="1" x14ac:dyDescent="0.55000000000000004">
      <c r="A2" s="13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5"/>
    </row>
    <row r="3" spans="1:40" ht="27" x14ac:dyDescent="0.25">
      <c r="A3" s="16" t="s">
        <v>0</v>
      </c>
      <c r="B3" s="17"/>
      <c r="C3" s="17"/>
      <c r="D3" s="17"/>
      <c r="E3" s="10" t="str">
        <f>TEXT(E4,"ddd")</f>
        <v>Sat</v>
      </c>
      <c r="F3" s="10" t="str">
        <f t="shared" ref="F3:AI3" si="0">TEXT(F4,"ddd")</f>
        <v>Sun</v>
      </c>
      <c r="G3" s="10" t="str">
        <f t="shared" si="0"/>
        <v>Mon</v>
      </c>
      <c r="H3" s="10" t="str">
        <f t="shared" si="0"/>
        <v>Tue</v>
      </c>
      <c r="I3" s="10" t="str">
        <f t="shared" si="0"/>
        <v>Wed</v>
      </c>
      <c r="J3" s="10" t="str">
        <f t="shared" si="0"/>
        <v>Thu</v>
      </c>
      <c r="K3" s="10" t="str">
        <f t="shared" si="0"/>
        <v>Fri</v>
      </c>
      <c r="L3" s="10" t="str">
        <f t="shared" si="0"/>
        <v>Sat</v>
      </c>
      <c r="M3" s="10" t="str">
        <f t="shared" si="0"/>
        <v>Sun</v>
      </c>
      <c r="N3" s="10" t="str">
        <f t="shared" si="0"/>
        <v>Mon</v>
      </c>
      <c r="O3" s="10" t="str">
        <f t="shared" si="0"/>
        <v>Tue</v>
      </c>
      <c r="P3" s="10" t="str">
        <f t="shared" si="0"/>
        <v>Wed</v>
      </c>
      <c r="Q3" s="10" t="str">
        <f t="shared" si="0"/>
        <v>Thu</v>
      </c>
      <c r="R3" s="10" t="str">
        <f t="shared" si="0"/>
        <v>Fri</v>
      </c>
      <c r="S3" s="10" t="str">
        <f t="shared" si="0"/>
        <v>Sat</v>
      </c>
      <c r="T3" s="10" t="str">
        <f t="shared" si="0"/>
        <v>Sun</v>
      </c>
      <c r="U3" s="10" t="str">
        <f t="shared" si="0"/>
        <v>Mon</v>
      </c>
      <c r="V3" s="10" t="str">
        <f t="shared" si="0"/>
        <v>Tue</v>
      </c>
      <c r="W3" s="10" t="str">
        <f t="shared" si="0"/>
        <v>Wed</v>
      </c>
      <c r="X3" s="10" t="str">
        <f t="shared" si="0"/>
        <v>Thu</v>
      </c>
      <c r="Y3" s="10" t="str">
        <f t="shared" si="0"/>
        <v>Fri</v>
      </c>
      <c r="Z3" s="10" t="str">
        <f t="shared" si="0"/>
        <v>Sat</v>
      </c>
      <c r="AA3" s="10" t="str">
        <f t="shared" si="0"/>
        <v>Sun</v>
      </c>
      <c r="AB3" s="10" t="str">
        <f t="shared" si="0"/>
        <v>Mon</v>
      </c>
      <c r="AC3" s="10" t="str">
        <f t="shared" si="0"/>
        <v>Tue</v>
      </c>
      <c r="AD3" s="10" t="str">
        <f t="shared" si="0"/>
        <v>Wed</v>
      </c>
      <c r="AE3" s="10" t="str">
        <f t="shared" si="0"/>
        <v>Thu</v>
      </c>
      <c r="AF3" s="10" t="str">
        <f t="shared" si="0"/>
        <v>Fri</v>
      </c>
      <c r="AG3" s="10" t="str">
        <f t="shared" si="0"/>
        <v>Sat</v>
      </c>
      <c r="AH3" s="10" t="str">
        <f t="shared" si="0"/>
        <v>Sun</v>
      </c>
      <c r="AI3" s="10" t="str">
        <f t="shared" si="0"/>
        <v>Mon</v>
      </c>
      <c r="AJ3" s="18" t="s">
        <v>1</v>
      </c>
      <c r="AK3" s="18"/>
      <c r="AL3" s="18"/>
      <c r="AM3" s="18"/>
      <c r="AN3" s="19"/>
    </row>
    <row r="4" spans="1:40" x14ac:dyDescent="0.25">
      <c r="A4" s="1" t="s">
        <v>2</v>
      </c>
      <c r="B4" s="2" t="s">
        <v>3</v>
      </c>
      <c r="C4" s="2" t="s">
        <v>18</v>
      </c>
      <c r="D4" s="2" t="s">
        <v>4</v>
      </c>
      <c r="E4" s="7">
        <v>45689</v>
      </c>
      <c r="F4" s="7">
        <v>45690</v>
      </c>
      <c r="G4" s="7">
        <v>45691</v>
      </c>
      <c r="H4" s="7">
        <v>45692</v>
      </c>
      <c r="I4" s="7">
        <v>45693</v>
      </c>
      <c r="J4" s="7">
        <v>45694</v>
      </c>
      <c r="K4" s="7">
        <v>45695</v>
      </c>
      <c r="L4" s="7">
        <v>45696</v>
      </c>
      <c r="M4" s="7">
        <v>45697</v>
      </c>
      <c r="N4" s="7">
        <v>45698</v>
      </c>
      <c r="O4" s="7">
        <v>45699</v>
      </c>
      <c r="P4" s="7">
        <v>45700</v>
      </c>
      <c r="Q4" s="7">
        <v>45701</v>
      </c>
      <c r="R4" s="7">
        <v>45702</v>
      </c>
      <c r="S4" s="7">
        <v>45703</v>
      </c>
      <c r="T4" s="7">
        <v>45704</v>
      </c>
      <c r="U4" s="7">
        <v>45705</v>
      </c>
      <c r="V4" s="7">
        <v>45706</v>
      </c>
      <c r="W4" s="7">
        <v>45707</v>
      </c>
      <c r="X4" s="7">
        <v>45708</v>
      </c>
      <c r="Y4" s="7">
        <v>45709</v>
      </c>
      <c r="Z4" s="7">
        <v>45710</v>
      </c>
      <c r="AA4" s="7">
        <v>45711</v>
      </c>
      <c r="AB4" s="7">
        <v>45712</v>
      </c>
      <c r="AC4" s="7">
        <v>45713</v>
      </c>
      <c r="AD4" s="7">
        <v>45714</v>
      </c>
      <c r="AE4" s="7">
        <v>45715</v>
      </c>
      <c r="AF4" s="7">
        <v>45716</v>
      </c>
      <c r="AG4" s="7">
        <v>45717</v>
      </c>
      <c r="AH4" s="7">
        <v>45718</v>
      </c>
      <c r="AI4" s="7">
        <v>45719</v>
      </c>
      <c r="AJ4" s="8" t="s">
        <v>6</v>
      </c>
      <c r="AK4" s="8" t="s">
        <v>7</v>
      </c>
      <c r="AL4" s="8" t="s">
        <v>8</v>
      </c>
      <c r="AM4" s="8" t="s">
        <v>9</v>
      </c>
      <c r="AN4" s="9" t="s">
        <v>5</v>
      </c>
    </row>
    <row r="5" spans="1:40" ht="15" customHeight="1" x14ac:dyDescent="0.25">
      <c r="A5" s="3">
        <v>1</v>
      </c>
      <c r="B5" s="4" t="s">
        <v>19</v>
      </c>
      <c r="C5" s="4" t="s">
        <v>20</v>
      </c>
      <c r="D5" s="4" t="s">
        <v>14</v>
      </c>
      <c r="E5" s="4" t="s">
        <v>6</v>
      </c>
      <c r="F5" s="20" t="s">
        <v>10</v>
      </c>
      <c r="G5" s="4" t="s">
        <v>6</v>
      </c>
      <c r="H5" s="4" t="s">
        <v>6</v>
      </c>
      <c r="I5" s="36" t="s">
        <v>36</v>
      </c>
      <c r="J5" s="4" t="s">
        <v>6</v>
      </c>
      <c r="K5" s="4" t="s">
        <v>6</v>
      </c>
      <c r="L5" s="4" t="s">
        <v>6</v>
      </c>
      <c r="M5" s="20" t="s">
        <v>10</v>
      </c>
      <c r="N5" s="4" t="s">
        <v>6</v>
      </c>
      <c r="O5" s="4" t="s">
        <v>30</v>
      </c>
      <c r="P5" s="4" t="s">
        <v>6</v>
      </c>
      <c r="Q5" s="4" t="s">
        <v>6</v>
      </c>
      <c r="R5" s="36" t="s">
        <v>37</v>
      </c>
      <c r="S5" s="4" t="s">
        <v>6</v>
      </c>
      <c r="T5" s="20" t="s">
        <v>10</v>
      </c>
      <c r="U5" s="4" t="s">
        <v>6</v>
      </c>
      <c r="V5" s="4" t="s">
        <v>6</v>
      </c>
      <c r="W5" s="36" t="s">
        <v>38</v>
      </c>
      <c r="X5" s="4" t="s">
        <v>6</v>
      </c>
      <c r="Y5" s="4" t="s">
        <v>6</v>
      </c>
      <c r="Z5" s="4" t="s">
        <v>6</v>
      </c>
      <c r="AA5" s="20" t="s">
        <v>10</v>
      </c>
      <c r="AB5" s="4" t="s">
        <v>6</v>
      </c>
      <c r="AC5" s="4" t="s">
        <v>6</v>
      </c>
      <c r="AD5" s="4" t="s">
        <v>6</v>
      </c>
      <c r="AE5" s="4" t="s">
        <v>6</v>
      </c>
      <c r="AF5" s="4" t="s">
        <v>6</v>
      </c>
      <c r="AG5" s="4" t="s">
        <v>6</v>
      </c>
      <c r="AH5" s="20" t="s">
        <v>10</v>
      </c>
      <c r="AI5" s="4" t="s">
        <v>6</v>
      </c>
      <c r="AJ5" s="4">
        <f t="shared" ref="AJ5:AJ8" si="1">COUNTIF(E5:AI5,"P")</f>
        <v>22</v>
      </c>
      <c r="AK5" s="4">
        <f t="shared" ref="AK5:AK8" si="2">COUNTIF(E5:AI5,"A")</f>
        <v>0</v>
      </c>
      <c r="AL5" s="4">
        <f t="shared" ref="AL5:AL8" si="3">COUNTIF(E5:AI5,"L")</f>
        <v>0</v>
      </c>
      <c r="AM5" s="4">
        <v>5</v>
      </c>
      <c r="AN5" s="11">
        <f>AJ5+AL5+AM5</f>
        <v>27</v>
      </c>
    </row>
    <row r="6" spans="1:40" ht="15" customHeight="1" x14ac:dyDescent="0.25">
      <c r="A6" s="3">
        <v>2</v>
      </c>
      <c r="B6" s="4" t="s">
        <v>21</v>
      </c>
      <c r="C6" s="4" t="s">
        <v>22</v>
      </c>
      <c r="D6" s="4" t="s">
        <v>13</v>
      </c>
      <c r="E6" s="4" t="s">
        <v>6</v>
      </c>
      <c r="F6" s="20"/>
      <c r="G6" s="4" t="s">
        <v>6</v>
      </c>
      <c r="H6" s="4" t="s">
        <v>6</v>
      </c>
      <c r="I6" s="36"/>
      <c r="J6" s="4" t="s">
        <v>6</v>
      </c>
      <c r="K6" s="4" t="s">
        <v>30</v>
      </c>
      <c r="L6" s="4" t="s">
        <v>6</v>
      </c>
      <c r="M6" s="20"/>
      <c r="N6" s="4" t="s">
        <v>6</v>
      </c>
      <c r="O6" s="4" t="s">
        <v>6</v>
      </c>
      <c r="P6" s="4" t="s">
        <v>6</v>
      </c>
      <c r="Q6" s="4" t="s">
        <v>6</v>
      </c>
      <c r="R6" s="36"/>
      <c r="S6" s="4" t="s">
        <v>6</v>
      </c>
      <c r="T6" s="20"/>
      <c r="U6" s="4" t="s">
        <v>6</v>
      </c>
      <c r="V6" s="4" t="s">
        <v>6</v>
      </c>
      <c r="W6" s="36"/>
      <c r="X6" s="4" t="s">
        <v>6</v>
      </c>
      <c r="Y6" s="4" t="s">
        <v>6</v>
      </c>
      <c r="Z6" s="4" t="s">
        <v>6</v>
      </c>
      <c r="AA6" s="20"/>
      <c r="AB6" s="4" t="s">
        <v>6</v>
      </c>
      <c r="AC6" s="4" t="s">
        <v>6</v>
      </c>
      <c r="AD6" s="4" t="s">
        <v>6</v>
      </c>
      <c r="AE6" s="4" t="s">
        <v>30</v>
      </c>
      <c r="AF6" s="4" t="s">
        <v>6</v>
      </c>
      <c r="AG6" s="4" t="s">
        <v>6</v>
      </c>
      <c r="AH6" s="20"/>
      <c r="AI6" s="4" t="s">
        <v>6</v>
      </c>
      <c r="AJ6" s="4">
        <f t="shared" si="1"/>
        <v>21</v>
      </c>
      <c r="AK6" s="4">
        <f t="shared" si="2"/>
        <v>0</v>
      </c>
      <c r="AL6" s="4">
        <f t="shared" si="3"/>
        <v>0</v>
      </c>
      <c r="AM6" s="4">
        <f t="shared" ref="AM6:AM8" si="4">COUNTBLANK(E6:AI6)</f>
        <v>8</v>
      </c>
      <c r="AN6" s="11">
        <f t="shared" ref="AN6:AN8" si="5">AJ6+AL6+AM6</f>
        <v>29</v>
      </c>
    </row>
    <row r="7" spans="1:40" x14ac:dyDescent="0.25">
      <c r="A7" s="3">
        <v>3</v>
      </c>
      <c r="B7" s="4" t="s">
        <v>23</v>
      </c>
      <c r="C7" s="4" t="s">
        <v>24</v>
      </c>
      <c r="D7" s="4" t="s">
        <v>13</v>
      </c>
      <c r="E7" s="4" t="s">
        <v>6</v>
      </c>
      <c r="F7" s="20"/>
      <c r="G7" s="4" t="s">
        <v>6</v>
      </c>
      <c r="H7" s="4" t="s">
        <v>30</v>
      </c>
      <c r="I7" s="36"/>
      <c r="J7" s="4" t="s">
        <v>6</v>
      </c>
      <c r="K7" s="4" t="s">
        <v>6</v>
      </c>
      <c r="L7" s="4" t="s">
        <v>6</v>
      </c>
      <c r="M7" s="20"/>
      <c r="N7" s="4" t="s">
        <v>6</v>
      </c>
      <c r="O7" s="4" t="s">
        <v>6</v>
      </c>
      <c r="P7" s="4" t="s">
        <v>6</v>
      </c>
      <c r="Q7" s="4" t="s">
        <v>6</v>
      </c>
      <c r="R7" s="36"/>
      <c r="S7" s="4" t="s">
        <v>6</v>
      </c>
      <c r="T7" s="20"/>
      <c r="U7" s="4" t="s">
        <v>6</v>
      </c>
      <c r="V7" s="4" t="s">
        <v>6</v>
      </c>
      <c r="W7" s="36"/>
      <c r="X7" s="4" t="s">
        <v>6</v>
      </c>
      <c r="Y7" s="4" t="s">
        <v>6</v>
      </c>
      <c r="Z7" s="4" t="s">
        <v>6</v>
      </c>
      <c r="AA7" s="20"/>
      <c r="AB7" s="4" t="s">
        <v>6</v>
      </c>
      <c r="AC7" s="4" t="s">
        <v>6</v>
      </c>
      <c r="AD7" s="4" t="s">
        <v>30</v>
      </c>
      <c r="AE7" s="4" t="s">
        <v>6</v>
      </c>
      <c r="AF7" s="4" t="s">
        <v>6</v>
      </c>
      <c r="AG7" s="4" t="s">
        <v>6</v>
      </c>
      <c r="AH7" s="20"/>
      <c r="AI7" s="4" t="s">
        <v>6</v>
      </c>
      <c r="AJ7" s="4">
        <f t="shared" si="1"/>
        <v>21</v>
      </c>
      <c r="AK7" s="4">
        <f t="shared" si="2"/>
        <v>0</v>
      </c>
      <c r="AL7" s="4">
        <f t="shared" si="3"/>
        <v>0</v>
      </c>
      <c r="AM7" s="4">
        <f t="shared" si="4"/>
        <v>8</v>
      </c>
      <c r="AN7" s="11">
        <f t="shared" si="5"/>
        <v>29</v>
      </c>
    </row>
    <row r="8" spans="1:40" ht="15.75" thickBot="1" x14ac:dyDescent="0.3">
      <c r="A8" s="5">
        <v>4</v>
      </c>
      <c r="B8" s="6" t="s">
        <v>27</v>
      </c>
      <c r="C8" s="6" t="s">
        <v>28</v>
      </c>
      <c r="D8" s="6" t="s">
        <v>29</v>
      </c>
      <c r="E8" s="6" t="s">
        <v>6</v>
      </c>
      <c r="F8" s="21"/>
      <c r="G8" s="6" t="s">
        <v>6</v>
      </c>
      <c r="H8" s="6" t="s">
        <v>6</v>
      </c>
      <c r="I8" s="37"/>
      <c r="J8" s="6" t="s">
        <v>6</v>
      </c>
      <c r="K8" s="6" t="s">
        <v>6</v>
      </c>
      <c r="L8" s="6" t="s">
        <v>6</v>
      </c>
      <c r="M8" s="21"/>
      <c r="N8" s="6" t="s">
        <v>6</v>
      </c>
      <c r="O8" s="6" t="s">
        <v>6</v>
      </c>
      <c r="P8" s="6" t="s">
        <v>6</v>
      </c>
      <c r="Q8" s="6" t="s">
        <v>6</v>
      </c>
      <c r="R8" s="37"/>
      <c r="S8" s="6" t="s">
        <v>30</v>
      </c>
      <c r="T8" s="21"/>
      <c r="U8" s="6" t="s">
        <v>6</v>
      </c>
      <c r="V8" s="6" t="s">
        <v>30</v>
      </c>
      <c r="W8" s="37"/>
      <c r="X8" s="6" t="s">
        <v>6</v>
      </c>
      <c r="Y8" s="6" t="s">
        <v>6</v>
      </c>
      <c r="Z8" s="6" t="s">
        <v>6</v>
      </c>
      <c r="AA8" s="21"/>
      <c r="AB8" s="6" t="s">
        <v>6</v>
      </c>
      <c r="AC8" s="6" t="s">
        <v>6</v>
      </c>
      <c r="AD8" s="6" t="s">
        <v>6</v>
      </c>
      <c r="AE8" s="6" t="s">
        <v>6</v>
      </c>
      <c r="AF8" s="6" t="s">
        <v>6</v>
      </c>
      <c r="AG8" s="6" t="s">
        <v>6</v>
      </c>
      <c r="AH8" s="21"/>
      <c r="AI8" s="6" t="s">
        <v>6</v>
      </c>
      <c r="AJ8" s="6">
        <f t="shared" si="1"/>
        <v>21</v>
      </c>
      <c r="AK8" s="6">
        <f t="shared" si="2"/>
        <v>0</v>
      </c>
      <c r="AL8" s="6">
        <f t="shared" si="3"/>
        <v>0</v>
      </c>
      <c r="AM8" s="6">
        <f t="shared" si="4"/>
        <v>8</v>
      </c>
      <c r="AN8" s="12">
        <f t="shared" si="5"/>
        <v>29</v>
      </c>
    </row>
    <row r="16" spans="1:40" ht="15" customHeight="1" x14ac:dyDescent="0.25"/>
  </sheetData>
  <mergeCells count="11">
    <mergeCell ref="M5:M8"/>
    <mergeCell ref="T5:T8"/>
    <mergeCell ref="AA5:AA8"/>
    <mergeCell ref="AH5:AH8"/>
    <mergeCell ref="R5:R8"/>
    <mergeCell ref="A2:AN2"/>
    <mergeCell ref="A3:D3"/>
    <mergeCell ref="AJ3:AN3"/>
    <mergeCell ref="I5:I8"/>
    <mergeCell ref="W5:W8"/>
    <mergeCell ref="F5:F8"/>
  </mergeCells>
  <conditionalFormatting sqref="E3:AI8">
    <cfRule type="expression" dxfId="3" priority="2">
      <formula>E$3="SUN"</formula>
    </cfRule>
  </conditionalFormatting>
  <conditionalFormatting sqref="E5:AI8">
    <cfRule type="cellIs" dxfId="2" priority="1" operator="equal">
      <formula>"C/L"</formula>
    </cfRule>
    <cfRule type="cellIs" dxfId="1" priority="3" operator="equal">
      <formula>"A"</formula>
    </cfRule>
    <cfRule type="cellIs" dxfId="0" priority="4" operator="equal">
      <formula>"P"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AUGUST-2024</vt:lpstr>
      <vt:lpstr>SEPTEMBER-2024</vt:lpstr>
      <vt:lpstr>OCTOBER-2024</vt:lpstr>
      <vt:lpstr>NOVEMBER-2024</vt:lpstr>
      <vt:lpstr>DECEMBER-2024</vt:lpstr>
      <vt:lpstr>JANUARY-2025</vt:lpstr>
      <vt:lpstr>FEBRUARY-2025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cp:lastPrinted>2024-10-26T05:35:38Z</cp:lastPrinted>
  <dcterms:created xsi:type="dcterms:W3CDTF">2022-08-25T22:49:00Z</dcterms:created>
  <dcterms:modified xsi:type="dcterms:W3CDTF">2025-03-05T07:04:20Z</dcterms:modified>
</cp:coreProperties>
</file>