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2nd Quarter Required Data\QPR\L. Subbmitive Assessment\"/>
    </mc:Choice>
  </mc:AlternateContent>
  <xr:revisionPtr revIDLastSave="0" documentId="8_{5F08844E-579D-4C72-A378-CED0215ED34D}" xr6:coauthVersionLast="47" xr6:coauthVersionMax="47" xr10:uidLastSave="{00000000-0000-0000-0000-000000000000}"/>
  <bookViews>
    <workbookView xWindow="-120" yWindow="-120" windowWidth="20730" windowHeight="11160" firstSheet="4" activeTab="10" xr2:uid="{A3810461-FCAA-4427-95C3-213E25AAD5DA}"/>
  </bookViews>
  <sheets>
    <sheet name="ECE (ROSE)" sheetId="1" r:id="rId1"/>
    <sheet name="ECE (Daffodils)" sheetId="2" r:id="rId2"/>
    <sheet name="Level-I" sheetId="4" r:id="rId3"/>
    <sheet name="Level-II" sheetId="3" r:id="rId4"/>
    <sheet name="Level-III" sheetId="5" r:id="rId5"/>
    <sheet name="Level-IV" sheetId="7" r:id="rId6"/>
    <sheet name="Level-V" sheetId="6" r:id="rId7"/>
    <sheet name="Level-VI" sheetId="8" r:id="rId8"/>
    <sheet name="Level-VII" sheetId="9" r:id="rId9"/>
    <sheet name="Level-VIII" sheetId="10" r:id="rId10"/>
    <sheet name="Level-IX" sheetId="11" r:id="rId11"/>
  </sheets>
  <definedNames>
    <definedName name="_xlnm.Print_Titles" localSheetId="0">'ECE (ROSE)'!$1:$6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11" l="1"/>
  <c r="O12" i="11" s="1"/>
  <c r="N13" i="11"/>
  <c r="O13" i="11" s="1"/>
  <c r="N14" i="11"/>
  <c r="O14" i="11" s="1"/>
  <c r="N15" i="11"/>
  <c r="O15" i="11" s="1"/>
  <c r="N16" i="11"/>
  <c r="O16" i="11" s="1"/>
  <c r="N17" i="11"/>
  <c r="O17" i="11" s="1"/>
  <c r="N18" i="11"/>
  <c r="O18" i="11" s="1"/>
  <c r="N19" i="11"/>
  <c r="O19" i="11" s="1"/>
  <c r="N20" i="11"/>
  <c r="O20" i="11" s="1"/>
  <c r="N21" i="11"/>
  <c r="O21" i="11" s="1"/>
  <c r="N22" i="11"/>
  <c r="O22" i="11" s="1"/>
  <c r="N23" i="11"/>
  <c r="O23" i="11" s="1"/>
  <c r="N24" i="11"/>
  <c r="O24" i="11" s="1"/>
  <c r="N25" i="11"/>
  <c r="O25" i="11" s="1"/>
  <c r="N32" i="10"/>
  <c r="O32" i="10" s="1"/>
  <c r="N33" i="10"/>
  <c r="O33" i="10" s="1"/>
  <c r="N34" i="10"/>
  <c r="O34" i="10" s="1"/>
  <c r="N35" i="10"/>
  <c r="O35" i="10" s="1"/>
  <c r="N36" i="10"/>
  <c r="O36" i="10" s="1"/>
  <c r="N37" i="10"/>
  <c r="O37" i="10" s="1"/>
  <c r="N38" i="10"/>
  <c r="O38" i="10" s="1"/>
  <c r="N39" i="10"/>
  <c r="O39" i="10" s="1"/>
  <c r="N40" i="10"/>
  <c r="O40" i="10" s="1"/>
  <c r="N41" i="10"/>
  <c r="O41" i="10" s="1"/>
  <c r="N42" i="10"/>
  <c r="O42" i="10" s="1"/>
  <c r="N43" i="10"/>
  <c r="O43" i="10" s="1"/>
  <c r="N44" i="10"/>
  <c r="O44" i="10" s="1"/>
  <c r="N45" i="10"/>
  <c r="O45" i="10" s="1"/>
  <c r="N46" i="10"/>
  <c r="O46" i="10" s="1"/>
  <c r="N47" i="10"/>
  <c r="O47" i="10" s="1"/>
  <c r="N48" i="10"/>
  <c r="O48" i="10" s="1"/>
  <c r="N49" i="10"/>
  <c r="O49" i="10" s="1"/>
  <c r="N9" i="10"/>
  <c r="O9" i="10" s="1"/>
  <c r="N10" i="10"/>
  <c r="O10" i="10" s="1"/>
  <c r="N11" i="10"/>
  <c r="O11" i="10" s="1"/>
  <c r="N12" i="10"/>
  <c r="O12" i="10" s="1"/>
  <c r="N13" i="10"/>
  <c r="O13" i="10" s="1"/>
  <c r="N14" i="10"/>
  <c r="O14" i="10" s="1"/>
  <c r="N15" i="10"/>
  <c r="O15" i="10" s="1"/>
  <c r="N16" i="10"/>
  <c r="O16" i="10" s="1"/>
  <c r="N17" i="10"/>
  <c r="O17" i="10" s="1"/>
  <c r="N18" i="10"/>
  <c r="O18" i="10" s="1"/>
  <c r="N19" i="10"/>
  <c r="O19" i="10" s="1"/>
  <c r="N20" i="10"/>
  <c r="O20" i="10" s="1"/>
  <c r="N21" i="10"/>
  <c r="O21" i="10" s="1"/>
  <c r="N22" i="10"/>
  <c r="O22" i="10" s="1"/>
  <c r="N23" i="10"/>
  <c r="O23" i="10" s="1"/>
  <c r="N24" i="10"/>
  <c r="O24" i="10" s="1"/>
  <c r="N25" i="10"/>
  <c r="O25" i="10" s="1"/>
  <c r="N26" i="10"/>
  <c r="O26" i="10" s="1"/>
  <c r="N27" i="10"/>
  <c r="O27" i="10" s="1"/>
  <c r="N28" i="10"/>
  <c r="O28" i="10" s="1"/>
  <c r="N29" i="10"/>
  <c r="O29" i="10" s="1"/>
  <c r="N12" i="9"/>
  <c r="O12" i="9" s="1"/>
  <c r="N13" i="9"/>
  <c r="O13" i="9" s="1"/>
  <c r="N14" i="9"/>
  <c r="O14" i="9" s="1"/>
  <c r="N15" i="9"/>
  <c r="O15" i="9" s="1"/>
  <c r="N16" i="9"/>
  <c r="O16" i="9" s="1"/>
  <c r="N17" i="9"/>
  <c r="O17" i="9" s="1"/>
  <c r="N18" i="9"/>
  <c r="O18" i="9" s="1"/>
  <c r="N19" i="9"/>
  <c r="O19" i="9" s="1"/>
  <c r="N20" i="9"/>
  <c r="O20" i="9" s="1"/>
  <c r="N21" i="9"/>
  <c r="O21" i="9" s="1"/>
  <c r="N22" i="9"/>
  <c r="O22" i="9" s="1"/>
  <c r="N23" i="9"/>
  <c r="O23" i="9" s="1"/>
  <c r="N24" i="9"/>
  <c r="O24" i="9" s="1"/>
  <c r="N42" i="11"/>
  <c r="O42" i="11" s="1"/>
  <c r="N41" i="11"/>
  <c r="O41" i="11" s="1"/>
  <c r="N40" i="11"/>
  <c r="O40" i="11" s="1"/>
  <c r="N39" i="11"/>
  <c r="O39" i="11" s="1"/>
  <c r="N38" i="11"/>
  <c r="O38" i="11" s="1"/>
  <c r="N37" i="11"/>
  <c r="O37" i="11" s="1"/>
  <c r="N36" i="11"/>
  <c r="O36" i="11" s="1"/>
  <c r="N35" i="11"/>
  <c r="O35" i="11" s="1"/>
  <c r="N34" i="11"/>
  <c r="O34" i="11" s="1"/>
  <c r="N33" i="11"/>
  <c r="O33" i="11" s="1"/>
  <c r="N32" i="11"/>
  <c r="O32" i="11" s="1"/>
  <c r="N31" i="11"/>
  <c r="O31" i="11" s="1"/>
  <c r="N30" i="11"/>
  <c r="O30" i="11" s="1"/>
  <c r="N29" i="11"/>
  <c r="O29" i="11" s="1"/>
  <c r="N28" i="11"/>
  <c r="O28" i="11" s="1"/>
  <c r="N27" i="11"/>
  <c r="O27" i="11" s="1"/>
  <c r="N11" i="11"/>
  <c r="O11" i="11" s="1"/>
  <c r="N10" i="11"/>
  <c r="O10" i="11" s="1"/>
  <c r="N9" i="11"/>
  <c r="O9" i="11" s="1"/>
  <c r="N8" i="11"/>
  <c r="O8" i="11" s="1"/>
  <c r="M6" i="11"/>
  <c r="N31" i="10"/>
  <c r="O31" i="10" s="1"/>
  <c r="N8" i="10"/>
  <c r="O8" i="10" s="1"/>
  <c r="M6" i="10"/>
  <c r="N53" i="9"/>
  <c r="O53" i="9" s="1"/>
  <c r="N52" i="9"/>
  <c r="O52" i="9" s="1"/>
  <c r="N51" i="9"/>
  <c r="O51" i="9" s="1"/>
  <c r="N50" i="9"/>
  <c r="O50" i="9" s="1"/>
  <c r="N49" i="9"/>
  <c r="O49" i="9" s="1"/>
  <c r="N48" i="9"/>
  <c r="O48" i="9" s="1"/>
  <c r="N47" i="9"/>
  <c r="O47" i="9" s="1"/>
  <c r="N46" i="9"/>
  <c r="O46" i="9" s="1"/>
  <c r="N45" i="9"/>
  <c r="O45" i="9" s="1"/>
  <c r="N44" i="9"/>
  <c r="O44" i="9" s="1"/>
  <c r="N43" i="9"/>
  <c r="O43" i="9" s="1"/>
  <c r="N42" i="9"/>
  <c r="O42" i="9" s="1"/>
  <c r="N41" i="9"/>
  <c r="O41" i="9" s="1"/>
  <c r="N40" i="9"/>
  <c r="O40" i="9" s="1"/>
  <c r="N39" i="9"/>
  <c r="O39" i="9" s="1"/>
  <c r="N38" i="9"/>
  <c r="O38" i="9" s="1"/>
  <c r="N37" i="9"/>
  <c r="O37" i="9" s="1"/>
  <c r="N36" i="9"/>
  <c r="O36" i="9" s="1"/>
  <c r="N34" i="9"/>
  <c r="O34" i="9" s="1"/>
  <c r="N33" i="9"/>
  <c r="O33" i="9" s="1"/>
  <c r="N32" i="9"/>
  <c r="O32" i="9" s="1"/>
  <c r="N31" i="9"/>
  <c r="O31" i="9" s="1"/>
  <c r="N30" i="9"/>
  <c r="O30" i="9" s="1"/>
  <c r="N29" i="9"/>
  <c r="O29" i="9" s="1"/>
  <c r="N28" i="9"/>
  <c r="O28" i="9" s="1"/>
  <c r="N27" i="9"/>
  <c r="O27" i="9" s="1"/>
  <c r="N26" i="9"/>
  <c r="O26" i="9" s="1"/>
  <c r="N25" i="9"/>
  <c r="O25" i="9" s="1"/>
  <c r="N11" i="9"/>
  <c r="O11" i="9" s="1"/>
  <c r="N10" i="9"/>
  <c r="O10" i="9" s="1"/>
  <c r="N9" i="9"/>
  <c r="O9" i="9" s="1"/>
  <c r="N8" i="9"/>
  <c r="O8" i="9" s="1"/>
  <c r="M6" i="9"/>
  <c r="N47" i="8"/>
  <c r="O47" i="8" s="1"/>
  <c r="N46" i="8"/>
  <c r="O46" i="8" s="1"/>
  <c r="N45" i="8"/>
  <c r="O45" i="8" s="1"/>
  <c r="N44" i="8"/>
  <c r="O44" i="8" s="1"/>
  <c r="N43" i="8"/>
  <c r="O43" i="8" s="1"/>
  <c r="N42" i="8"/>
  <c r="O42" i="8" s="1"/>
  <c r="N41" i="8"/>
  <c r="O41" i="8" s="1"/>
  <c r="N40" i="8"/>
  <c r="O40" i="8" s="1"/>
  <c r="N39" i="8"/>
  <c r="O39" i="8" s="1"/>
  <c r="N38" i="8"/>
  <c r="O38" i="8" s="1"/>
  <c r="N37" i="8"/>
  <c r="O37" i="8" s="1"/>
  <c r="N36" i="8"/>
  <c r="O36" i="8" s="1"/>
  <c r="N35" i="8"/>
  <c r="O35" i="8" s="1"/>
  <c r="N34" i="8"/>
  <c r="O34" i="8" s="1"/>
  <c r="N33" i="8"/>
  <c r="O33" i="8" s="1"/>
  <c r="N32" i="8"/>
  <c r="O32" i="8" s="1"/>
  <c r="N31" i="8"/>
  <c r="O31" i="8" s="1"/>
  <c r="N30" i="8"/>
  <c r="O30" i="8" s="1"/>
  <c r="N29" i="8"/>
  <c r="O29" i="8" s="1"/>
  <c r="N28" i="8"/>
  <c r="O28" i="8" s="1"/>
  <c r="N27" i="8"/>
  <c r="O27" i="8" s="1"/>
  <c r="N26" i="8"/>
  <c r="O26" i="8" s="1"/>
  <c r="N25" i="8"/>
  <c r="O25" i="8" s="1"/>
  <c r="N24" i="8"/>
  <c r="O24" i="8" s="1"/>
  <c r="N22" i="8"/>
  <c r="O22" i="8" s="1"/>
  <c r="N21" i="8"/>
  <c r="O21" i="8" s="1"/>
  <c r="N20" i="8"/>
  <c r="O20" i="8" s="1"/>
  <c r="N19" i="8"/>
  <c r="O19" i="8" s="1"/>
  <c r="N18" i="8"/>
  <c r="O18" i="8" s="1"/>
  <c r="N17" i="8"/>
  <c r="O17" i="8" s="1"/>
  <c r="N16" i="8"/>
  <c r="O16" i="8" s="1"/>
  <c r="N15" i="8"/>
  <c r="O15" i="8" s="1"/>
  <c r="N14" i="8"/>
  <c r="O14" i="8" s="1"/>
  <c r="N13" i="8"/>
  <c r="O13" i="8" s="1"/>
  <c r="N12" i="8"/>
  <c r="O12" i="8" s="1"/>
  <c r="N11" i="8"/>
  <c r="O11" i="8" s="1"/>
  <c r="N10" i="8"/>
  <c r="O10" i="8" s="1"/>
  <c r="N9" i="8"/>
  <c r="O9" i="8" s="1"/>
  <c r="N8" i="8"/>
  <c r="O8" i="8" s="1"/>
  <c r="M6" i="8"/>
  <c r="N20" i="6"/>
  <c r="O20" i="6" s="1"/>
  <c r="N21" i="6"/>
  <c r="O21" i="6" s="1"/>
  <c r="N22" i="6"/>
  <c r="O22" i="6" s="1"/>
  <c r="N23" i="6"/>
  <c r="O23" i="6" s="1"/>
  <c r="N24" i="6"/>
  <c r="O24" i="6" s="1"/>
  <c r="N25" i="6"/>
  <c r="O25" i="6" s="1"/>
  <c r="N26" i="6"/>
  <c r="O26" i="6" s="1"/>
  <c r="N27" i="6"/>
  <c r="O27" i="6" s="1"/>
  <c r="O59" i="7"/>
  <c r="N59" i="7"/>
  <c r="N58" i="7"/>
  <c r="O58" i="7" s="1"/>
  <c r="O57" i="7"/>
  <c r="N57" i="7"/>
  <c r="N56" i="7"/>
  <c r="O56" i="7" s="1"/>
  <c r="O55" i="7"/>
  <c r="N55" i="7"/>
  <c r="N54" i="7"/>
  <c r="O54" i="7" s="1"/>
  <c r="O53" i="7"/>
  <c r="N53" i="7"/>
  <c r="N52" i="7"/>
  <c r="O52" i="7" s="1"/>
  <c r="O51" i="7"/>
  <c r="N51" i="7"/>
  <c r="N50" i="7"/>
  <c r="O50" i="7" s="1"/>
  <c r="O49" i="7"/>
  <c r="N49" i="7"/>
  <c r="N48" i="7"/>
  <c r="O48" i="7" s="1"/>
  <c r="O47" i="7"/>
  <c r="N47" i="7"/>
  <c r="N46" i="7"/>
  <c r="O46" i="7" s="1"/>
  <c r="O45" i="7"/>
  <c r="N45" i="7"/>
  <c r="N44" i="7"/>
  <c r="O44" i="7" s="1"/>
  <c r="O43" i="7"/>
  <c r="N43" i="7"/>
  <c r="N42" i="7"/>
  <c r="O42" i="7" s="1"/>
  <c r="O41" i="7"/>
  <c r="N41" i="7"/>
  <c r="N40" i="7"/>
  <c r="O40" i="7" s="1"/>
  <c r="O39" i="7"/>
  <c r="N39" i="7"/>
  <c r="N38" i="7"/>
  <c r="O38" i="7" s="1"/>
  <c r="O37" i="7"/>
  <c r="N37" i="7"/>
  <c r="N36" i="7"/>
  <c r="O36" i="7" s="1"/>
  <c r="O35" i="7"/>
  <c r="N35" i="7"/>
  <c r="N34" i="7"/>
  <c r="O34" i="7" s="1"/>
  <c r="O33" i="7"/>
  <c r="N33" i="7"/>
  <c r="N32" i="7"/>
  <c r="O32" i="7" s="1"/>
  <c r="O31" i="7"/>
  <c r="N31" i="7"/>
  <c r="N30" i="7"/>
  <c r="O30" i="7" s="1"/>
  <c r="O29" i="7"/>
  <c r="N29" i="7"/>
  <c r="N27" i="7"/>
  <c r="O27" i="7" s="1"/>
  <c r="O26" i="7"/>
  <c r="N26" i="7"/>
  <c r="N25" i="7"/>
  <c r="O25" i="7" s="1"/>
  <c r="O24" i="7"/>
  <c r="N24" i="7"/>
  <c r="N23" i="7"/>
  <c r="O23" i="7" s="1"/>
  <c r="O22" i="7"/>
  <c r="N22" i="7"/>
  <c r="N21" i="7"/>
  <c r="O21" i="7" s="1"/>
  <c r="O20" i="7"/>
  <c r="N20" i="7"/>
  <c r="N19" i="7"/>
  <c r="O19" i="7" s="1"/>
  <c r="O18" i="7"/>
  <c r="N18" i="7"/>
  <c r="N17" i="7"/>
  <c r="O17" i="7" s="1"/>
  <c r="O16" i="7"/>
  <c r="N16" i="7"/>
  <c r="N15" i="7"/>
  <c r="O15" i="7" s="1"/>
  <c r="O14" i="7"/>
  <c r="N14" i="7"/>
  <c r="N13" i="7"/>
  <c r="O13" i="7" s="1"/>
  <c r="O12" i="7"/>
  <c r="N12" i="7"/>
  <c r="N11" i="7"/>
  <c r="O11" i="7" s="1"/>
  <c r="O10" i="7"/>
  <c r="N10" i="7"/>
  <c r="N9" i="7"/>
  <c r="O9" i="7" s="1"/>
  <c r="O8" i="7"/>
  <c r="N8" i="7"/>
  <c r="M6" i="7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30" i="6"/>
  <c r="N9" i="6"/>
  <c r="N10" i="6"/>
  <c r="N11" i="6"/>
  <c r="N12" i="6"/>
  <c r="N13" i="6"/>
  <c r="N14" i="6"/>
  <c r="N15" i="6"/>
  <c r="N16" i="6"/>
  <c r="N17" i="6"/>
  <c r="N18" i="6"/>
  <c r="N19" i="6"/>
  <c r="N28" i="6"/>
  <c r="N8" i="6"/>
  <c r="M6" i="6"/>
  <c r="O53" i="6" l="1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8" i="6"/>
  <c r="O19" i="6"/>
  <c r="O18" i="6"/>
  <c r="O17" i="6"/>
  <c r="O16" i="6"/>
  <c r="O15" i="6"/>
  <c r="O14" i="6"/>
  <c r="O13" i="6"/>
  <c r="O12" i="6"/>
  <c r="O11" i="6"/>
  <c r="O10" i="6"/>
  <c r="O9" i="6"/>
  <c r="O8" i="6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8" i="5"/>
  <c r="M6" i="5"/>
  <c r="N62" i="5"/>
  <c r="O62" i="5" s="1"/>
  <c r="N61" i="5"/>
  <c r="O61" i="5" s="1"/>
  <c r="N60" i="5"/>
  <c r="O60" i="5" s="1"/>
  <c r="N59" i="5"/>
  <c r="O59" i="5" s="1"/>
  <c r="N58" i="5"/>
  <c r="O58" i="5" s="1"/>
  <c r="N57" i="5"/>
  <c r="O57" i="5" s="1"/>
  <c r="N56" i="5"/>
  <c r="O56" i="5" s="1"/>
  <c r="N55" i="5"/>
  <c r="O55" i="5" s="1"/>
  <c r="N54" i="5"/>
  <c r="O54" i="5" s="1"/>
  <c r="N53" i="5"/>
  <c r="O53" i="5" s="1"/>
  <c r="N52" i="5"/>
  <c r="O52" i="5" s="1"/>
  <c r="N51" i="5"/>
  <c r="O51" i="5" s="1"/>
  <c r="N50" i="5"/>
  <c r="O50" i="5" s="1"/>
  <c r="N49" i="5"/>
  <c r="O49" i="5" s="1"/>
  <c r="N48" i="5"/>
  <c r="O48" i="5" s="1"/>
  <c r="N47" i="5"/>
  <c r="O47" i="5" s="1"/>
  <c r="N46" i="5"/>
  <c r="O46" i="5" s="1"/>
  <c r="N45" i="5"/>
  <c r="O45" i="5" s="1"/>
  <c r="N44" i="5"/>
  <c r="O44" i="5" s="1"/>
  <c r="N43" i="5"/>
  <c r="O43" i="5" s="1"/>
  <c r="N42" i="5"/>
  <c r="O42" i="5" s="1"/>
  <c r="N41" i="5"/>
  <c r="O41" i="5" s="1"/>
  <c r="N40" i="5"/>
  <c r="O40" i="5" s="1"/>
  <c r="N39" i="5"/>
  <c r="O39" i="5" s="1"/>
  <c r="N38" i="5"/>
  <c r="O38" i="5" s="1"/>
  <c r="N36" i="5"/>
  <c r="O36" i="5" s="1"/>
  <c r="N35" i="5"/>
  <c r="O35" i="5" s="1"/>
  <c r="N34" i="5"/>
  <c r="O34" i="5" s="1"/>
  <c r="N33" i="5"/>
  <c r="O33" i="5" s="1"/>
  <c r="N32" i="5"/>
  <c r="O32" i="5" s="1"/>
  <c r="N31" i="5"/>
  <c r="O31" i="5" s="1"/>
  <c r="N30" i="5"/>
  <c r="O30" i="5" s="1"/>
  <c r="N29" i="5"/>
  <c r="O29" i="5" s="1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M64" i="4"/>
  <c r="N64" i="4" s="1"/>
  <c r="M63" i="4"/>
  <c r="N63" i="4" s="1"/>
  <c r="M62" i="4"/>
  <c r="N62" i="4" s="1"/>
  <c r="M61" i="4"/>
  <c r="N61" i="4" s="1"/>
  <c r="M60" i="4"/>
  <c r="N60" i="4" s="1"/>
  <c r="M59" i="4"/>
  <c r="N59" i="4" s="1"/>
  <c r="M58" i="4"/>
  <c r="N58" i="4" s="1"/>
  <c r="M57" i="4"/>
  <c r="N57" i="4" s="1"/>
  <c r="M56" i="4"/>
  <c r="N56" i="4" s="1"/>
  <c r="M55" i="4"/>
  <c r="N55" i="4" s="1"/>
  <c r="M54" i="4"/>
  <c r="N54" i="4" s="1"/>
  <c r="M53" i="4"/>
  <c r="N53" i="4" s="1"/>
  <c r="M52" i="4"/>
  <c r="N52" i="4" s="1"/>
  <c r="M51" i="4"/>
  <c r="N51" i="4" s="1"/>
  <c r="M50" i="4"/>
  <c r="N50" i="4" s="1"/>
  <c r="M49" i="4"/>
  <c r="N49" i="4" s="1"/>
  <c r="M48" i="4"/>
  <c r="N48" i="4" s="1"/>
  <c r="M47" i="4"/>
  <c r="N47" i="4" s="1"/>
  <c r="M46" i="4"/>
  <c r="N46" i="4" s="1"/>
  <c r="M45" i="4"/>
  <c r="N45" i="4" s="1"/>
  <c r="M44" i="4"/>
  <c r="N44" i="4" s="1"/>
  <c r="M43" i="4"/>
  <c r="N43" i="4" s="1"/>
  <c r="M42" i="4"/>
  <c r="N42" i="4" s="1"/>
  <c r="M41" i="4"/>
  <c r="N41" i="4" s="1"/>
  <c r="M39" i="4"/>
  <c r="N39" i="4" s="1"/>
  <c r="M38" i="4"/>
  <c r="N38" i="4" s="1"/>
  <c r="M37" i="4"/>
  <c r="N37" i="4" s="1"/>
  <c r="M36" i="4"/>
  <c r="N36" i="4" s="1"/>
  <c r="M35" i="4"/>
  <c r="N35" i="4" s="1"/>
  <c r="M34" i="4"/>
  <c r="N34" i="4" s="1"/>
  <c r="M33" i="4"/>
  <c r="N33" i="4" s="1"/>
  <c r="M32" i="4"/>
  <c r="N32" i="4" s="1"/>
  <c r="M31" i="4"/>
  <c r="N31" i="4" s="1"/>
  <c r="M30" i="4"/>
  <c r="N30" i="4" s="1"/>
  <c r="M29" i="4"/>
  <c r="N29" i="4" s="1"/>
  <c r="M28" i="4"/>
  <c r="N28" i="4" s="1"/>
  <c r="M27" i="4"/>
  <c r="N27" i="4" s="1"/>
  <c r="M26" i="4"/>
  <c r="N26" i="4" s="1"/>
  <c r="M25" i="4"/>
  <c r="N25" i="4" s="1"/>
  <c r="M24" i="4"/>
  <c r="N24" i="4" s="1"/>
  <c r="M23" i="4"/>
  <c r="N23" i="4" s="1"/>
  <c r="M22" i="4"/>
  <c r="N22" i="4" s="1"/>
  <c r="M21" i="4"/>
  <c r="N21" i="4" s="1"/>
  <c r="M20" i="4"/>
  <c r="N20" i="4" s="1"/>
  <c r="M19" i="4"/>
  <c r="N19" i="4" s="1"/>
  <c r="M18" i="4"/>
  <c r="N18" i="4" s="1"/>
  <c r="M17" i="4"/>
  <c r="N17" i="4" s="1"/>
  <c r="M16" i="4"/>
  <c r="N16" i="4" s="1"/>
  <c r="M15" i="4"/>
  <c r="N15" i="4" s="1"/>
  <c r="M14" i="4"/>
  <c r="N14" i="4" s="1"/>
  <c r="M13" i="4"/>
  <c r="N13" i="4" s="1"/>
  <c r="M12" i="4"/>
  <c r="N12" i="4" s="1"/>
  <c r="M11" i="4"/>
  <c r="N11" i="4" s="1"/>
  <c r="M10" i="4"/>
  <c r="N10" i="4" s="1"/>
  <c r="M9" i="4"/>
  <c r="N9" i="4" s="1"/>
  <c r="M8" i="4"/>
  <c r="N8" i="4" s="1"/>
  <c r="L6" i="4"/>
  <c r="N9" i="3"/>
  <c r="M36" i="3"/>
  <c r="N36" i="3" s="1"/>
  <c r="M37" i="3"/>
  <c r="N37" i="3" s="1"/>
  <c r="M38" i="3"/>
  <c r="N38" i="3" s="1"/>
  <c r="M39" i="3"/>
  <c r="N39" i="3" s="1"/>
  <c r="M40" i="3"/>
  <c r="N40" i="3" s="1"/>
  <c r="M41" i="3"/>
  <c r="N41" i="3" s="1"/>
  <c r="M42" i="3"/>
  <c r="N42" i="3" s="1"/>
  <c r="M43" i="3"/>
  <c r="N43" i="3" s="1"/>
  <c r="M44" i="3"/>
  <c r="N44" i="3" s="1"/>
  <c r="M45" i="3"/>
  <c r="N45" i="3" s="1"/>
  <c r="M46" i="3"/>
  <c r="N46" i="3" s="1"/>
  <c r="M47" i="3"/>
  <c r="N47" i="3" s="1"/>
  <c r="M48" i="3"/>
  <c r="N48" i="3" s="1"/>
  <c r="M49" i="3"/>
  <c r="N49" i="3" s="1"/>
  <c r="M50" i="3"/>
  <c r="N50" i="3" s="1"/>
  <c r="M51" i="3"/>
  <c r="N51" i="3" s="1"/>
  <c r="M52" i="3"/>
  <c r="N52" i="3" s="1"/>
  <c r="M53" i="3"/>
  <c r="N53" i="3" s="1"/>
  <c r="M54" i="3"/>
  <c r="N54" i="3" s="1"/>
  <c r="M55" i="3"/>
  <c r="N55" i="3" s="1"/>
  <c r="M56" i="3"/>
  <c r="N56" i="3" s="1"/>
  <c r="M57" i="3"/>
  <c r="N57" i="3" s="1"/>
  <c r="M58" i="3"/>
  <c r="N58" i="3" s="1"/>
  <c r="M59" i="3"/>
  <c r="N59" i="3" s="1"/>
  <c r="M60" i="3"/>
  <c r="N60" i="3" s="1"/>
  <c r="M35" i="3"/>
  <c r="N35" i="3" s="1"/>
  <c r="M9" i="3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N16" i="3" s="1"/>
  <c r="M17" i="3"/>
  <c r="N17" i="3" s="1"/>
  <c r="M18" i="3"/>
  <c r="N18" i="3" s="1"/>
  <c r="M19" i="3"/>
  <c r="N19" i="3" s="1"/>
  <c r="M20" i="3"/>
  <c r="N20" i="3" s="1"/>
  <c r="M21" i="3"/>
  <c r="N21" i="3" s="1"/>
  <c r="M22" i="3"/>
  <c r="N22" i="3" s="1"/>
  <c r="M23" i="3"/>
  <c r="N23" i="3" s="1"/>
  <c r="M24" i="3"/>
  <c r="N24" i="3" s="1"/>
  <c r="M25" i="3"/>
  <c r="N25" i="3" s="1"/>
  <c r="M26" i="3"/>
  <c r="N26" i="3" s="1"/>
  <c r="M27" i="3"/>
  <c r="N27" i="3" s="1"/>
  <c r="M28" i="3"/>
  <c r="N28" i="3" s="1"/>
  <c r="M29" i="3"/>
  <c r="N29" i="3" s="1"/>
  <c r="M30" i="3"/>
  <c r="N30" i="3" s="1"/>
  <c r="M31" i="3"/>
  <c r="N31" i="3" s="1"/>
  <c r="M32" i="3"/>
  <c r="N32" i="3" s="1"/>
  <c r="M33" i="3"/>
  <c r="N33" i="3" s="1"/>
  <c r="M8" i="3"/>
  <c r="N8" i="3" s="1"/>
</calcChain>
</file>

<file path=xl/sharedStrings.xml><?xml version="1.0" encoding="utf-8"?>
<sst xmlns="http://schemas.openxmlformats.org/spreadsheetml/2006/main" count="3171" uniqueCount="839">
  <si>
    <t>GOVERNMENT HIGH SCHOOL SINDHI JAMAAT CO-OPERATIVE HOUSING SOCIETY</t>
  </si>
  <si>
    <t>MALIR KARACHI SEMIS CODE# 408170153</t>
  </si>
  <si>
    <t>S No</t>
  </si>
  <si>
    <t>G.R No</t>
  </si>
  <si>
    <t>Class</t>
  </si>
  <si>
    <t>Student Name</t>
  </si>
  <si>
    <t>Father Name</t>
  </si>
  <si>
    <t>Subjects</t>
  </si>
  <si>
    <t>Nazra</t>
  </si>
  <si>
    <t>G.K</t>
  </si>
  <si>
    <t>English</t>
  </si>
  <si>
    <t>Urdu</t>
  </si>
  <si>
    <t>EPL</t>
  </si>
  <si>
    <t>Attendance</t>
  </si>
  <si>
    <t>Hygiene</t>
  </si>
  <si>
    <t>Total Marks</t>
  </si>
  <si>
    <t>Obtained Marks</t>
  </si>
  <si>
    <t>Percentage %</t>
  </si>
  <si>
    <t>Remarks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</si>
  <si>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</si>
  <si>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</si>
  <si>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</si>
  <si>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</si>
  <si>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</si>
  <si>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</si>
  <si>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</si>
  <si>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</si>
  <si>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</si>
  <si>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</si>
  <si>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</si>
  <si>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</si>
  <si>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</si>
  <si>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</si>
  <si>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</si>
  <si>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</si>
  <si>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</si>
  <si>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</si>
  <si>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</si>
  <si>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</si>
  <si>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</si>
  <si>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</si>
  <si>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</si>
  <si>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</si>
  <si>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</si>
  <si>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</si>
  <si>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</si>
  <si>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</si>
  <si>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</si>
  <si>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</si>
  <si>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</si>
  <si>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</si>
  <si>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</si>
  <si>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</si>
  <si>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</si>
  <si>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</si>
  <si>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</si>
  <si>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</si>
  <si>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</si>
  <si>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</si>
  <si>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</si>
  <si>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</si>
  <si>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</si>
  <si>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</si>
  <si>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</si>
  <si>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</si>
  <si>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</si>
  <si>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</si>
  <si>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</si>
  <si>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</si>
  <si>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</si>
  <si>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</si>
  <si>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</si>
  <si>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</si>
  <si>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</si>
  <si>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</si>
  <si>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</si>
  <si>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</si>
  <si>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Muhammad Hamza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</si>
  <si>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</si>
  <si>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</si>
  <si>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</si>
  <si>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</si>
  <si>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</si>
  <si>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</si>
  <si>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</si>
  <si>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</si>
  <si>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</si>
  <si>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</si>
  <si>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</si>
  <si>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</si>
  <si>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</si>
  <si>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</si>
  <si>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</si>
  <si>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</si>
  <si>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</si>
  <si>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</si>
  <si>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</si>
  <si>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</si>
  <si>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</si>
  <si>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Shahbaz Ali</t>
  </si>
  <si>
    <t>Muhammad Ibrahim</t>
  </si>
  <si>
    <t>Eshaal</t>
  </si>
  <si>
    <t>M. Fahad</t>
  </si>
  <si>
    <t>Rija Batool</t>
  </si>
  <si>
    <t>Ghulam Mehdi</t>
  </si>
  <si>
    <t>Musfiral</t>
  </si>
  <si>
    <t>Faisal</t>
  </si>
  <si>
    <t>Saifullah</t>
  </si>
  <si>
    <t>Farooq Ali</t>
  </si>
  <si>
    <t>Ali Usman</t>
  </si>
  <si>
    <t>Ali Sher</t>
  </si>
  <si>
    <t>Rajab Ali</t>
  </si>
  <si>
    <t>Abdullah</t>
  </si>
  <si>
    <t>Jameel Hussain</t>
  </si>
  <si>
    <t>Israr</t>
  </si>
  <si>
    <t>Zulfiqar Ali</t>
  </si>
  <si>
    <t>Zakria</t>
  </si>
  <si>
    <t>Anabia</t>
  </si>
  <si>
    <t>ECE (Rose)</t>
  </si>
  <si>
    <t>Poem</t>
  </si>
  <si>
    <t>Maths</t>
  </si>
  <si>
    <t>Masroor Ali</t>
  </si>
  <si>
    <t>-</t>
  </si>
  <si>
    <t>D</t>
  </si>
  <si>
    <t>A</t>
  </si>
  <si>
    <t>C</t>
  </si>
  <si>
    <t>B</t>
  </si>
  <si>
    <t>A+</t>
  </si>
  <si>
    <t>Fair</t>
  </si>
  <si>
    <t>Excellent</t>
  </si>
  <si>
    <t>Very Good</t>
  </si>
  <si>
    <t>Good</t>
  </si>
  <si>
    <t>Need Improvement</t>
  </si>
  <si>
    <t>Hoorain</t>
  </si>
  <si>
    <t>Abdul Hadi</t>
  </si>
  <si>
    <t>Math</t>
  </si>
  <si>
    <t>Sindhi</t>
  </si>
  <si>
    <t>Activity</t>
  </si>
  <si>
    <t>Girls</t>
  </si>
  <si>
    <t>Alishba Batool</t>
  </si>
  <si>
    <t>Irfan Ali</t>
  </si>
  <si>
    <t>ECE (Daffodil)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</si>
  <si>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</si>
  <si>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</si>
  <si>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</si>
  <si>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</si>
  <si>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</si>
  <si>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</si>
  <si>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</si>
  <si>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</si>
  <si>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</si>
  <si>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</si>
  <si>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</si>
  <si>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</si>
  <si>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</si>
  <si>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</si>
  <si>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</si>
  <si>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</si>
  <si>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</si>
  <si>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</si>
  <si>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</si>
  <si>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</si>
  <si>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</si>
  <si>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</si>
  <si>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</si>
  <si>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</si>
  <si>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</si>
  <si>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</si>
  <si>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</t>
  </si>
  <si>
    <t>Sidra Batool</t>
  </si>
  <si>
    <t>M. Khan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</si>
  <si>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</si>
  <si>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</si>
  <si>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</si>
  <si>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</si>
  <si>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</si>
  <si>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</si>
  <si>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</si>
  <si>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</si>
  <si>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</si>
  <si>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</si>
  <si>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</si>
  <si>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</si>
  <si>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</si>
  <si>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</si>
  <si>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Boys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</si>
  <si>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</si>
  <si>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</si>
  <si>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</si>
  <si>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</si>
  <si>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</si>
  <si>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</si>
  <si>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</si>
  <si>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</si>
  <si>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</si>
  <si>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</si>
  <si>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</si>
  <si>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</si>
  <si>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Ahmed Zia</t>
  </si>
  <si>
    <t>Zia Buksh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</si>
  <si>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</si>
  <si>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</si>
  <si>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</si>
  <si>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</si>
  <si>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</si>
  <si>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</si>
  <si>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</si>
  <si>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</si>
  <si>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</si>
  <si>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</si>
  <si>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</si>
  <si>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</si>
  <si>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</si>
  <si>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</si>
  <si>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</si>
  <si>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</si>
  <si>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</si>
  <si>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</si>
  <si>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</si>
  <si>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</si>
  <si>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</si>
  <si>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</si>
  <si>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</si>
  <si>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</si>
  <si>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</si>
  <si>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</si>
  <si>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</si>
  <si>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</si>
  <si>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</si>
  <si>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</si>
  <si>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M Fahad</t>
  </si>
  <si>
    <t>Bilal Faheem</t>
  </si>
  <si>
    <t>M. Faheem</t>
  </si>
  <si>
    <t>Ab. Barri</t>
  </si>
  <si>
    <t>Hasnain Naeem</t>
  </si>
  <si>
    <t>Naeem Ahmed</t>
  </si>
  <si>
    <t>M. Ahad</t>
  </si>
  <si>
    <t>Aman Badshah</t>
  </si>
  <si>
    <t>Ab. Hadi</t>
  </si>
  <si>
    <t>Mid Term Examination - 2024-25</t>
  </si>
  <si>
    <t>Nazra + GK</t>
  </si>
  <si>
    <t>Drawing</t>
  </si>
  <si>
    <t>Abiha Zehra</t>
  </si>
  <si>
    <t>Abdul Mateen Sahito</t>
  </si>
  <si>
    <t>Two</t>
  </si>
  <si>
    <t>Aleena Zia</t>
  </si>
  <si>
    <t>Khuda Bux Zia</t>
  </si>
  <si>
    <t>Anamta Jamali</t>
  </si>
  <si>
    <t>Zaheer Abbas</t>
  </si>
  <si>
    <t>Anosha</t>
  </si>
  <si>
    <t>Mukhtiyar Ali Soomro</t>
  </si>
  <si>
    <t>Ayat</t>
  </si>
  <si>
    <t>Ayesha</t>
  </si>
  <si>
    <t>Ali Muhammad</t>
  </si>
  <si>
    <t>Akbar Ali</t>
  </si>
  <si>
    <t>Jannat Fatima</t>
  </si>
  <si>
    <t>Zulfiqar Ali Mangi</t>
  </si>
  <si>
    <t>Kashaf</t>
  </si>
  <si>
    <t>M. Raheem</t>
  </si>
  <si>
    <t>Muneeza</t>
  </si>
  <si>
    <t>Mir Amir Udin Mirzada</t>
  </si>
  <si>
    <t>Nayyara</t>
  </si>
  <si>
    <t>Rashida</t>
  </si>
  <si>
    <t>Sajjad Ahmed</t>
  </si>
  <si>
    <t>Rubab Zahra</t>
  </si>
  <si>
    <t>Abdul Aziz</t>
  </si>
  <si>
    <t>Sooha Jamali</t>
  </si>
  <si>
    <t>Sajid Ali</t>
  </si>
  <si>
    <t>Tahreem Fatima</t>
  </si>
  <si>
    <t>Sehar Fatima</t>
  </si>
  <si>
    <t>Taskeen</t>
  </si>
  <si>
    <t>Zainab</t>
  </si>
  <si>
    <t>Kashish</t>
  </si>
  <si>
    <t>M. Noman</t>
  </si>
  <si>
    <t>Saba</t>
  </si>
  <si>
    <t>Asif Ali</t>
  </si>
  <si>
    <t>Afsana</t>
  </si>
  <si>
    <t>Sehrish</t>
  </si>
  <si>
    <t>Fida Hussain</t>
  </si>
  <si>
    <t>Zulfiqar Ali Soomro</t>
  </si>
  <si>
    <t>Abdul Musawir</t>
  </si>
  <si>
    <t>M. Ismail</t>
  </si>
  <si>
    <t>Abdul Wahab</t>
  </si>
  <si>
    <t>Abdul Hafeez</t>
  </si>
  <si>
    <t>Riaz uddin Qureshi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</si>
  <si>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</si>
  <si>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</si>
  <si>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</si>
  <si>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</si>
  <si>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</si>
  <si>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</si>
  <si>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</si>
  <si>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</si>
  <si>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</si>
  <si>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</si>
  <si>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</si>
  <si>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</si>
  <si>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</si>
  <si>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</si>
  <si>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</si>
  <si>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</si>
  <si>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Ahmed Nawaz</t>
  </si>
  <si>
    <t>Ali Nawaz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</si>
  <si>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</si>
  <si>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</si>
  <si>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</si>
  <si>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</si>
  <si>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</si>
  <si>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</si>
  <si>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</si>
  <si>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Muzammil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</si>
  <si>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</si>
  <si>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</si>
  <si>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</si>
  <si>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</si>
  <si>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</si>
  <si>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</si>
  <si>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</si>
  <si>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</si>
  <si>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Grade</t>
  </si>
  <si>
    <t>Arsalan</t>
  </si>
  <si>
    <t>Zulfiqar</t>
  </si>
  <si>
    <t>One</t>
  </si>
  <si>
    <t>Faheem</t>
  </si>
  <si>
    <t>A. Nawaz</t>
  </si>
  <si>
    <t>M.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</si>
  <si>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</si>
  <si>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</si>
  <si>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</si>
  <si>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</si>
  <si>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</si>
  <si>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</si>
  <si>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</si>
  <si>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</si>
  <si>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</si>
  <si>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</si>
  <si>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</si>
  <si>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</si>
  <si>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</si>
  <si>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</si>
  <si>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</si>
  <si>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</si>
  <si>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</si>
  <si>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</si>
  <si>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</si>
  <si>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Salar</t>
  </si>
  <si>
    <t>Saeed Ahmed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</si>
  <si>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</si>
  <si>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</si>
  <si>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</si>
  <si>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</si>
  <si>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</si>
  <si>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</si>
  <si>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</si>
  <si>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</si>
  <si>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</si>
  <si>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</si>
  <si>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</si>
  <si>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</si>
  <si>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</si>
  <si>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</si>
  <si>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</si>
  <si>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</si>
  <si>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</si>
  <si>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</si>
  <si>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</si>
  <si>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</si>
  <si>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</si>
  <si>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</si>
  <si>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</si>
  <si>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</si>
  <si>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</si>
  <si>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</si>
  <si>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Anum</t>
  </si>
  <si>
    <t>M. Arif</t>
  </si>
  <si>
    <t>Meer Mohammad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</si>
  <si>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</si>
  <si>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</si>
  <si>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</si>
  <si>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</si>
  <si>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</si>
  <si>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</si>
  <si>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</si>
  <si>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</si>
  <si>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</si>
  <si>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</si>
  <si>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</si>
  <si>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</si>
  <si>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</si>
  <si>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</si>
  <si>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</si>
  <si>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</si>
  <si>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</si>
  <si>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</si>
  <si>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</si>
  <si>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</si>
  <si>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</si>
  <si>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</si>
  <si>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</si>
  <si>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</si>
  <si>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</si>
  <si>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</si>
  <si>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</si>
  <si>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A. Aziz</t>
  </si>
  <si>
    <t>Waniya</t>
  </si>
  <si>
    <t>Asad Ali</t>
  </si>
  <si>
    <t>Haram</t>
  </si>
  <si>
    <t>Moien Khan</t>
  </si>
  <si>
    <t>A. Latif</t>
  </si>
  <si>
    <t>Islamiat</t>
  </si>
  <si>
    <t>Abdul Qudoos</t>
  </si>
  <si>
    <t>Waheed Ahmed</t>
  </si>
  <si>
    <t>Three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</si>
  <si>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</si>
  <si>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</si>
  <si>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</si>
  <si>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</si>
  <si>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</si>
  <si>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</si>
  <si>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</si>
  <si>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</si>
  <si>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</si>
  <si>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Arbab Ali Panhwar</t>
  </si>
  <si>
    <t>Azan</t>
  </si>
  <si>
    <t>Nisar Ahmed</t>
  </si>
  <si>
    <t>Faizan Ahmed</t>
  </si>
  <si>
    <t>Riaz Ahmed</t>
  </si>
  <si>
    <t>Haider Ali</t>
  </si>
  <si>
    <t>Imran Ali</t>
  </si>
  <si>
    <t>M. Shayan</t>
  </si>
  <si>
    <t>Meer Alam</t>
  </si>
  <si>
    <t>M. Ahsan</t>
  </si>
  <si>
    <t>M. Arif Memon</t>
  </si>
  <si>
    <t>M. Yasin</t>
  </si>
  <si>
    <t>Shah Nawaz Khan</t>
  </si>
  <si>
    <t>M. Zawiyar</t>
  </si>
  <si>
    <t>Muneer Ahmed</t>
  </si>
  <si>
    <t>Ghous Bux</t>
  </si>
  <si>
    <t>Shah Fahad</t>
  </si>
  <si>
    <t>Saif Ali</t>
  </si>
  <si>
    <t>Shehbaz Ali</t>
  </si>
  <si>
    <t>Zain Zulfiqar</t>
  </si>
  <si>
    <t>Zulfiqar Qureshi</t>
  </si>
  <si>
    <t>Zeeshan</t>
  </si>
  <si>
    <t>Zeeshan Hussain</t>
  </si>
  <si>
    <t>M. Hussain</t>
  </si>
  <si>
    <t>Roohan</t>
  </si>
  <si>
    <t>Ishfaque</t>
  </si>
  <si>
    <t>Subhan</t>
  </si>
  <si>
    <t>Atteeque ur Rehman</t>
  </si>
  <si>
    <t>Raffique Ahmed</t>
  </si>
  <si>
    <t>Anjuman</t>
  </si>
  <si>
    <t>Ab. Ghaffar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</si>
  <si>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</si>
  <si>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</si>
  <si>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</si>
  <si>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</si>
  <si>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</si>
  <si>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</si>
  <si>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</si>
  <si>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</si>
  <si>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</si>
  <si>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</si>
  <si>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</si>
  <si>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</si>
  <si>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</si>
  <si>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</si>
  <si>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Sehrish Ali</t>
  </si>
  <si>
    <t>Shafia</t>
  </si>
  <si>
    <t>Mir Mohammad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</si>
  <si>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</si>
  <si>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</si>
  <si>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</si>
  <si>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</si>
  <si>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</si>
  <si>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</si>
  <si>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</si>
  <si>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</si>
  <si>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</si>
  <si>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</si>
  <si>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</si>
  <si>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</si>
  <si>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</si>
  <si>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</si>
  <si>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</si>
  <si>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Alisha</t>
  </si>
  <si>
    <t>Ghulam Asghar</t>
  </si>
  <si>
    <t>Mubashira</t>
  </si>
  <si>
    <t>Ubaidullah</t>
  </si>
  <si>
    <t>Four</t>
  </si>
  <si>
    <t>Aqeel Ahmed</t>
  </si>
  <si>
    <t>Najeebullah</t>
  </si>
  <si>
    <t>Ali Jan</t>
  </si>
  <si>
    <t>Muhammad Shafique Soomro</t>
  </si>
  <si>
    <t>Dost Muhammad</t>
  </si>
  <si>
    <t>Muhammad Usman</t>
  </si>
  <si>
    <t>Imdad Ali</t>
  </si>
  <si>
    <t>Muhammad Suleman</t>
  </si>
  <si>
    <t>Muhammad Faisal</t>
  </si>
  <si>
    <t>Abdul Sattar</t>
  </si>
  <si>
    <t>Muzammil Ali</t>
  </si>
  <si>
    <t>Tanveer Ali</t>
  </si>
  <si>
    <t>Wazeer Ali</t>
  </si>
  <si>
    <t>Zaheer Ahmed</t>
  </si>
  <si>
    <t xml:space="preserve">Nazeer Ahmed </t>
  </si>
  <si>
    <t>Tasawar Ali</t>
  </si>
  <si>
    <t>Sameer Ali</t>
  </si>
  <si>
    <t>Gulbahar Ali</t>
  </si>
  <si>
    <t>Zain Ul Abdin</t>
  </si>
  <si>
    <t>Muhammad Anees</t>
  </si>
  <si>
    <t>Muhammad Ramzan</t>
  </si>
  <si>
    <t>Hammad ullah Memon</t>
  </si>
  <si>
    <t>Abrar Hussain Memon</t>
  </si>
  <si>
    <t>Muhammad Hussan ali</t>
  </si>
  <si>
    <t>Khawar Ali</t>
  </si>
  <si>
    <t>Saadullah</t>
  </si>
  <si>
    <t>Hafeezullah Soomro</t>
  </si>
  <si>
    <t>Muhammad Qasim</t>
  </si>
  <si>
    <t>Gulab</t>
  </si>
  <si>
    <t>M.Aliyan Baqai</t>
  </si>
  <si>
    <t>Ghulam Nabi Baqai</t>
  </si>
  <si>
    <t>Muhammad Arif Memon</t>
  </si>
  <si>
    <t>Ambreen</t>
  </si>
  <si>
    <t>Bakhtawar Ali</t>
  </si>
  <si>
    <t>Taj Muhammad</t>
  </si>
  <si>
    <t>Bibi Zehra Jamali</t>
  </si>
  <si>
    <t>Rana</t>
  </si>
  <si>
    <t xml:space="preserve">Dua </t>
  </si>
  <si>
    <t>M. Shafeeque soomro</t>
  </si>
  <si>
    <t>Fatima Gul</t>
  </si>
  <si>
    <t>Ghulam Sakina</t>
  </si>
  <si>
    <t>Rafeeq Ahmed</t>
  </si>
  <si>
    <t>Gul Sanober</t>
  </si>
  <si>
    <t>Sabir Hussain</t>
  </si>
  <si>
    <t>Hiba Bhutto</t>
  </si>
  <si>
    <t>Muhammad Azeem</t>
  </si>
  <si>
    <t>Fazal Muhammad</t>
  </si>
  <si>
    <t>Khadija tul Qubra chana</t>
  </si>
  <si>
    <t>Adnan Jameel chana</t>
  </si>
  <si>
    <t>Khushboo Fatima</t>
  </si>
  <si>
    <t>Laraib</t>
  </si>
  <si>
    <t>Maheen</t>
  </si>
  <si>
    <t>Sohail Ahmed</t>
  </si>
  <si>
    <t>Maryam Mehboob</t>
  </si>
  <si>
    <t>Mehboob Ali Lashari</t>
  </si>
  <si>
    <t>Minal Ali</t>
  </si>
  <si>
    <t>Misbah</t>
  </si>
  <si>
    <t>Muntasha Murtaza</t>
  </si>
  <si>
    <t>Ghulam Murtaza Mangi</t>
  </si>
  <si>
    <t xml:space="preserve">Nimra </t>
  </si>
  <si>
    <t>Muhammad Ghafoor Jokhio</t>
  </si>
  <si>
    <t>Nisha</t>
  </si>
  <si>
    <t>Meraal</t>
  </si>
  <si>
    <t>Nisa Fatima</t>
  </si>
  <si>
    <t>Nuzahat</t>
  </si>
  <si>
    <t>Rooba</t>
  </si>
  <si>
    <t>Lakhmir Khan</t>
  </si>
  <si>
    <t>Tahmeena</t>
  </si>
  <si>
    <t>Zara</t>
  </si>
  <si>
    <t>Zoya</t>
  </si>
  <si>
    <t>Zoya Ahsan</t>
  </si>
  <si>
    <t>Bisma Basheer</t>
  </si>
  <si>
    <t>Basheer Ahmed</t>
  </si>
  <si>
    <t>Sabeen Bhutto</t>
  </si>
  <si>
    <t>Shahid Bhutto</t>
  </si>
  <si>
    <t>Javeria Jameel</t>
  </si>
  <si>
    <t>SST</t>
  </si>
  <si>
    <t>G. Science</t>
  </si>
  <si>
    <t>Abdul Fattah</t>
  </si>
  <si>
    <t>Nasrullah Khoso</t>
  </si>
  <si>
    <t>Ahsam Raza</t>
  </si>
  <si>
    <t>Ayan Ali</t>
  </si>
  <si>
    <t>Ghulam Muhammad</t>
  </si>
  <si>
    <t>Pervez Hussain</t>
  </si>
  <si>
    <t>Masab Ali</t>
  </si>
  <si>
    <t>Meesam Abbas</t>
  </si>
  <si>
    <t>Muhammad Hasan</t>
  </si>
  <si>
    <t>Javed Ahmed janwari</t>
  </si>
  <si>
    <t>Muhammad Zaid Khalid</t>
  </si>
  <si>
    <t>Muhammad Usman jamali</t>
  </si>
  <si>
    <t>Liaquat Ali</t>
  </si>
  <si>
    <t>Muhammad Ali</t>
  </si>
  <si>
    <t>Moula Bux abro</t>
  </si>
  <si>
    <t>Muhammad Israr</t>
  </si>
  <si>
    <t>Abdullah Bhand</t>
  </si>
  <si>
    <t>Muhammad Raheem</t>
  </si>
  <si>
    <t>Sajid Ali junejo</t>
  </si>
  <si>
    <t>Muhammad Amaad Uddin</t>
  </si>
  <si>
    <t>Noman</t>
  </si>
  <si>
    <t>Rahib Hussain</t>
  </si>
  <si>
    <t>Zahid Hussain</t>
  </si>
  <si>
    <t>Shamas ud Din</t>
  </si>
  <si>
    <t>Safdar Ali</t>
  </si>
  <si>
    <t>Muhammad Hasnain</t>
  </si>
  <si>
    <t>Ubaidullah bhand</t>
  </si>
  <si>
    <t>Aitania sohail</t>
  </si>
  <si>
    <t>Sohail Sarwar jatoi</t>
  </si>
  <si>
    <t>Ajwa Gul</t>
  </si>
  <si>
    <t>Alishba</t>
  </si>
  <si>
    <t>Maqsood Ahmed jumani</t>
  </si>
  <si>
    <t>Gulnaz</t>
  </si>
  <si>
    <t>Hina</t>
  </si>
  <si>
    <t>Lutufullah</t>
  </si>
  <si>
    <t>Iqra</t>
  </si>
  <si>
    <t>Jawairia Batool</t>
  </si>
  <si>
    <t>Khadija Bibi Qureshi</t>
  </si>
  <si>
    <t>Zulfiqar Ali Qureshi</t>
  </si>
  <si>
    <t>Laiba</t>
  </si>
  <si>
    <t>Maheen Nisa</t>
  </si>
  <si>
    <t>Muhammad Maroof</t>
  </si>
  <si>
    <t>Murk Fatima</t>
  </si>
  <si>
    <t>Altaf Hussain Tanwar</t>
  </si>
  <si>
    <t>Nayab</t>
  </si>
  <si>
    <t>Sidra Bibi Qureshi</t>
  </si>
  <si>
    <t>Sidra Tul Muntaha Murtaza</t>
  </si>
  <si>
    <t>Sundas Qamar</t>
  </si>
  <si>
    <t>Imran Qamar Rahojo</t>
  </si>
  <si>
    <t>Tayyaba Fatima</t>
  </si>
  <si>
    <t>Urooj</t>
  </si>
  <si>
    <t xml:space="preserve">Muzaffar Ali </t>
  </si>
  <si>
    <t>Zahra Batool</t>
  </si>
  <si>
    <t>Zainab Bibi</t>
  </si>
  <si>
    <t>Bakhshal Ali</t>
  </si>
  <si>
    <t>Inshra Albar</t>
  </si>
  <si>
    <t>Abdul Albar</t>
  </si>
  <si>
    <t>Rukhsana</t>
  </si>
  <si>
    <t>Muhammad Sultan</t>
  </si>
  <si>
    <t>Nazakat Ali Shah</t>
  </si>
  <si>
    <t>Syed Qutub Ali Shah</t>
  </si>
  <si>
    <t>Abdul Samad</t>
  </si>
  <si>
    <t>Muhammad Sameer</t>
  </si>
  <si>
    <t>Abdul Wasay</t>
  </si>
  <si>
    <t>Sohail Sarwar Jatoi</t>
  </si>
  <si>
    <t>Faisal Ahmed</t>
  </si>
  <si>
    <t>Muhammad Muzammil</t>
  </si>
  <si>
    <t>Ahmed Ali  Abro</t>
  </si>
  <si>
    <t>Muhammad Yaseen</t>
  </si>
  <si>
    <t>Muhammad Younis</t>
  </si>
  <si>
    <t>Uzair Ahmed</t>
  </si>
  <si>
    <t>Muhammad Tayyab</t>
  </si>
  <si>
    <t>Javed Ali janwari</t>
  </si>
  <si>
    <t>Abdul Rehman jamali</t>
  </si>
  <si>
    <t>Abid Ali</t>
  </si>
  <si>
    <t>Joun Ali</t>
  </si>
  <si>
    <t>Mudassir</t>
  </si>
  <si>
    <t>Mukhtiar Ahmed chana</t>
  </si>
  <si>
    <t>Wajid Ali</t>
  </si>
  <si>
    <t>Sana jamali</t>
  </si>
  <si>
    <t>Maryam</t>
  </si>
  <si>
    <t>Rehmatullah jamali</t>
  </si>
  <si>
    <t>Kaneez Fatima</t>
  </si>
  <si>
    <t>Rizwan ali</t>
  </si>
  <si>
    <t>Noor-E-Muqaddas</t>
  </si>
  <si>
    <t>Muhammad Idrees abbasi</t>
  </si>
  <si>
    <t>Zainab Khatoon</t>
  </si>
  <si>
    <t>Sohrab Khan</t>
  </si>
  <si>
    <t>Mahnoor Fatima</t>
  </si>
  <si>
    <t>Ghulam Yaseen</t>
  </si>
  <si>
    <t>Shaista</t>
  </si>
  <si>
    <t>Naseer Ahmed</t>
  </si>
  <si>
    <t>Maryam zulfiqar</t>
  </si>
  <si>
    <t>Zulfiqar Ali soomro</t>
  </si>
  <si>
    <t>Naina Naz</t>
  </si>
  <si>
    <t>Shabnam</t>
  </si>
  <si>
    <t>Fatima Batool</t>
  </si>
  <si>
    <t>Tanveer Ahmed</t>
  </si>
  <si>
    <t>Muhammad Ghafoor jokhio</t>
  </si>
  <si>
    <t>Rubina zulfiqar</t>
  </si>
  <si>
    <t>Rafia Aman</t>
  </si>
  <si>
    <t>Sajid Ali jonejo</t>
  </si>
  <si>
    <t>Sawera</t>
  </si>
  <si>
    <t>Abdul Raheem</t>
  </si>
  <si>
    <t>Zara Bano</t>
  </si>
  <si>
    <t>Nabi Bakhsh</t>
  </si>
  <si>
    <t>Maham irfan</t>
  </si>
  <si>
    <t>Irfan Zahoor</t>
  </si>
  <si>
    <t>Zehra zaheer</t>
  </si>
  <si>
    <t>Muskan fatima</t>
  </si>
  <si>
    <t xml:space="preserve">Nida </t>
  </si>
  <si>
    <t>Ghulam Nabi baqai</t>
  </si>
  <si>
    <t>Imtiaz Ali Memon</t>
  </si>
  <si>
    <t>Adil ali</t>
  </si>
  <si>
    <t>Ejaz Ali</t>
  </si>
  <si>
    <t>Ali Khan soomro</t>
  </si>
  <si>
    <t>Ameer Hamza</t>
  </si>
  <si>
    <t>Bismillah Khan</t>
  </si>
  <si>
    <t>Ejaz Ahmed</t>
  </si>
  <si>
    <t>Daniyal</t>
  </si>
  <si>
    <t>Hamza Nisar</t>
  </si>
  <si>
    <t>Nisar Ahmed Abro</t>
  </si>
  <si>
    <t>Haseeb Hyder</t>
  </si>
  <si>
    <t>Manzoor Ahmed memon</t>
  </si>
  <si>
    <t xml:space="preserve">Hasnain </t>
  </si>
  <si>
    <t>Ghulam Nabi</t>
  </si>
  <si>
    <t>Hasnain Ali Soomro</t>
  </si>
  <si>
    <t>Khadim Hussain Soomro</t>
  </si>
  <si>
    <t xml:space="preserve">Hasnain Raza </t>
  </si>
  <si>
    <t>Ahmed Ali abro</t>
  </si>
  <si>
    <t>Ali Murad</t>
  </si>
  <si>
    <t xml:space="preserve">Mubashir </t>
  </si>
  <si>
    <t>Gulzar Ahmed</t>
  </si>
  <si>
    <t>Ghulam Hussain</t>
  </si>
  <si>
    <t>M. Anwaar</t>
  </si>
  <si>
    <t>Abdul Jabbar</t>
  </si>
  <si>
    <t>M. Hassan</t>
  </si>
  <si>
    <t>M. Raza</t>
  </si>
  <si>
    <t>Muhammad Asif Memon</t>
  </si>
  <si>
    <t>M. Usman</t>
  </si>
  <si>
    <t>Nisar Ali</t>
  </si>
  <si>
    <t>Hakim Ali</t>
  </si>
  <si>
    <t xml:space="preserve">Rizwan </t>
  </si>
  <si>
    <t xml:space="preserve">Safiullah </t>
  </si>
  <si>
    <t>Five</t>
  </si>
  <si>
    <t>Six</t>
  </si>
  <si>
    <t>Seven</t>
  </si>
  <si>
    <t>Asma</t>
  </si>
  <si>
    <t xml:space="preserve">Aiman </t>
  </si>
  <si>
    <t>Abid khan</t>
  </si>
  <si>
    <t>Ayesha Agha</t>
  </si>
  <si>
    <t>Riaz gul</t>
  </si>
  <si>
    <t xml:space="preserve">Bushra </t>
  </si>
  <si>
    <t>Erum</t>
  </si>
  <si>
    <t>Fatima zahra</t>
  </si>
  <si>
    <t>Ghulam Shabir Bhatti</t>
  </si>
  <si>
    <t>Faiz Muhammad Bhutto</t>
  </si>
  <si>
    <t>Hira Abro</t>
  </si>
  <si>
    <t>Muhammad Ibrahim abro</t>
  </si>
  <si>
    <t>Muskan</t>
  </si>
  <si>
    <t xml:space="preserve">Muniza </t>
  </si>
  <si>
    <t>Ali Sher pejaro</t>
  </si>
  <si>
    <t>Rimsha Khatoon</t>
  </si>
  <si>
    <t>Rabnawaz</t>
  </si>
  <si>
    <t>Sadaf</t>
  </si>
  <si>
    <t>Sania</t>
  </si>
  <si>
    <t>Seema zulfiqar</t>
  </si>
  <si>
    <t>Tamana farooq</t>
  </si>
  <si>
    <t>M. Farooq</t>
  </si>
  <si>
    <t>Eight</t>
  </si>
  <si>
    <t>Azra usman</t>
  </si>
  <si>
    <t>Bisma</t>
  </si>
  <si>
    <t xml:space="preserve">Hina </t>
  </si>
  <si>
    <t xml:space="preserve">Iqra </t>
  </si>
  <si>
    <t>Kanwal Naz</t>
  </si>
  <si>
    <t>Maria rehman</t>
  </si>
  <si>
    <t>M. Rehman Abbasi</t>
  </si>
  <si>
    <t>Murk</t>
  </si>
  <si>
    <t xml:space="preserve">Rana </t>
  </si>
  <si>
    <t>Noshina</t>
  </si>
  <si>
    <t>M. Qasim chana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</si>
  <si>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</si>
  <si>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</si>
  <si>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</si>
  <si>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</si>
  <si>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</si>
  <si>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</si>
  <si>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 ali</t>
  </si>
  <si>
    <t>M.Younus</t>
  </si>
  <si>
    <t>Naghma Naz</t>
  </si>
  <si>
    <t>Bahar Ahmed khan</t>
  </si>
  <si>
    <t xml:space="preserve">Muskan </t>
  </si>
  <si>
    <t>Didar Hussain jonejo</t>
  </si>
  <si>
    <t>Saira</t>
  </si>
  <si>
    <t>M. Salah</t>
  </si>
  <si>
    <t>Iqra Usman</t>
  </si>
  <si>
    <t>M.Usman</t>
  </si>
  <si>
    <t>Abdul Salam</t>
  </si>
  <si>
    <t xml:space="preserve">Ameer </t>
  </si>
  <si>
    <t>Faizan Ali</t>
  </si>
  <si>
    <t>Ghaibi Khan hakro</t>
  </si>
  <si>
    <t>Hasnain</t>
  </si>
  <si>
    <t>Kabeer Ahmed</t>
  </si>
  <si>
    <t>Shah Muhammad</t>
  </si>
  <si>
    <t>M. Ahmed Khalid</t>
  </si>
  <si>
    <t>M. Rafi Daood pota</t>
  </si>
  <si>
    <t>Irshad Ali khan abro</t>
  </si>
  <si>
    <t>M. Saim</t>
  </si>
  <si>
    <t>Muzakir</t>
  </si>
  <si>
    <t>Shezad Ali</t>
  </si>
  <si>
    <t>Abdul Qadir</t>
  </si>
  <si>
    <t>Syed Rashid ali shah</t>
  </si>
  <si>
    <t>Syed Mehboob ali shah</t>
  </si>
  <si>
    <t>Shayan Ali</t>
  </si>
  <si>
    <t>Alyan Ali</t>
  </si>
  <si>
    <t>Jawad Ahmed</t>
  </si>
  <si>
    <t>Agha Ali Raza</t>
  </si>
  <si>
    <t>Riaz Gul</t>
  </si>
  <si>
    <t>M.Salman</t>
  </si>
  <si>
    <t>Sultan</t>
  </si>
  <si>
    <t>Farooq Ali Sethar</t>
  </si>
  <si>
    <t>Salar Hussain</t>
  </si>
  <si>
    <t>Ghulam Asghar talpur</t>
  </si>
  <si>
    <t>Nine</t>
  </si>
  <si>
    <t>Afsheen Panwar</t>
  </si>
  <si>
    <t>Ubaidullah Panwar</t>
  </si>
  <si>
    <t>Asia</t>
  </si>
  <si>
    <t>Muhammad Khan Brohi</t>
  </si>
  <si>
    <t>Bibi Khair un Nisa</t>
  </si>
  <si>
    <t>Farasha</t>
  </si>
  <si>
    <t>Javed Ali Janwari</t>
  </si>
  <si>
    <t>Haleema</t>
  </si>
  <si>
    <t>Qalandar Bux</t>
  </si>
  <si>
    <t>Ali Asghar</t>
  </si>
  <si>
    <t>Mukhtiar Ali</t>
  </si>
  <si>
    <t>Maheen Zulfiqar</t>
  </si>
  <si>
    <t>Nosheen Panwar</t>
  </si>
  <si>
    <t>Qandeel Zehra</t>
  </si>
  <si>
    <t>Waheed Ali Bhatti</t>
  </si>
  <si>
    <t>Sanam</t>
  </si>
  <si>
    <t>Fida Hussain Solangi</t>
  </si>
  <si>
    <t>Saima</t>
  </si>
  <si>
    <t>Salwa</t>
  </si>
  <si>
    <t>Tuba</t>
  </si>
  <si>
    <t>Sultan Ahmed</t>
  </si>
  <si>
    <t>Asim</t>
  </si>
  <si>
    <t>Muhammad Hanif</t>
  </si>
  <si>
    <t>Haseeb Ullah</t>
  </si>
  <si>
    <t>Hafeezullah Abro</t>
  </si>
  <si>
    <t>Moiz</t>
  </si>
  <si>
    <t>Munawar Ali Bhatti</t>
  </si>
  <si>
    <t>Meesum Abbas Bhatti</t>
  </si>
  <si>
    <t>Muhammad Mustaqeem</t>
  </si>
  <si>
    <t>Shamshad Ali</t>
  </si>
  <si>
    <t>Mian M. Shayan Narejo</t>
  </si>
  <si>
    <t>Jawad Ahmed narejo</t>
  </si>
  <si>
    <t>Manzar Hussain</t>
  </si>
  <si>
    <t>Ghulam Murtaza Hakro</t>
  </si>
  <si>
    <t>Noorullah Soomro</t>
  </si>
  <si>
    <t>Nawab Khan</t>
  </si>
  <si>
    <t>Shaban</t>
  </si>
  <si>
    <t>Allah Dino udho</t>
  </si>
  <si>
    <t>Shafique Ahmed</t>
  </si>
  <si>
    <t>Rafique Ahmed</t>
  </si>
  <si>
    <t>Saif Ur Rehman</t>
  </si>
  <si>
    <t>Aijaz Ali channa</t>
  </si>
  <si>
    <t>Muhammad Sufyan</t>
  </si>
  <si>
    <t>Imran Khan cheema</t>
  </si>
  <si>
    <t>Physics</t>
  </si>
  <si>
    <t>Biology</t>
  </si>
  <si>
    <t>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</si>
</sst>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ltona Sans"/>
    </font>
    <font>
      <b/>
      <sz val="16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/>
    </xf>
    <xf numFmtId="0" fontId="5" fillId="0" borderId="7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wrapText="1"/>
    </xf>
    <xf numFmtId="9" fontId="4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0" fillId="0" borderId="1" xfId="0" applyFont="1" applyBorder="1"/>
    <xf numFmtId="0" fontId="10" fillId="0" borderId="8" xfId="0" applyFont="1" applyBorder="1"/>
    <xf numFmtId="0" fontId="6" fillId="0" borderId="1" xfId="0" applyFont="1" applyBorder="1" applyAlignment="1">
      <alignment horizontal="center"/>
    </xf>
    <xf numFmtId="0" fontId="10" fillId="0" borderId="4" xfId="0" applyFont="1" applyBorder="1"/>
    <xf numFmtId="0" fontId="6" fillId="0" borderId="2" xfId="0" applyFont="1" applyBorder="1" applyAlignment="1">
      <alignment horizontal="center"/>
    </xf>
    <xf numFmtId="0" fontId="10" fillId="0" borderId="3" xfId="0" applyFont="1" applyBorder="1"/>
    <xf numFmtId="0" fontId="10" fillId="0" borderId="10" xfId="0" applyFont="1" applyBorder="1"/>
    <xf numFmtId="0" fontId="6" fillId="0" borderId="1" xfId="0" applyFont="1" applyBorder="1"/>
    <xf numFmtId="0" fontId="6" fillId="0" borderId="4" xfId="0" applyFont="1" applyBorder="1"/>
    <xf numFmtId="0" fontId="6" fillId="0" borderId="7" xfId="0" applyFont="1" applyBorder="1"/>
    <xf numFmtId="0" fontId="10" fillId="0" borderId="7" xfId="0" applyFont="1" applyBorder="1"/>
    <xf numFmtId="0" fontId="5" fillId="0" borderId="1" xfId="0" applyFont="1" applyBorder="1"/>
    <xf numFmtId="164" fontId="4" fillId="0" borderId="1" xfId="1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2" xfId="0" applyFont="1" applyBorder="1"/>
    <xf numFmtId="0" fontId="9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textRotation="90"/>
    </xf>
    <xf numFmtId="0" fontId="2" fillId="2" borderId="4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A395-62C8-4729-ACFE-11909EA87482}">
  <dimension ref="A1:R60"/>
  <sheetViews>
    <sheetView workbookViewId="0">
      <pane ySplit="6" topLeftCell="A7" activePane="bottomLeft" state="frozen"/>
      <selection pane="bottomLeft" activeCell="A3" sqref="A3:R3"/>
    </sheetView>
  </sheetViews>
  <sheetFormatPr defaultRowHeight="12" x14ac:dyDescent="0.2"/>
  <cols>
    <col min="1" max="1" width="3.7109375" style="1" bestFit="1" customWidth="1"/>
    <col min="2" max="2" width="4" style="1" bestFit="1" customWidth="1"/>
    <col min="3" max="3" width="12" style="1" bestFit="1" customWidth="1"/>
    <col min="4" max="4" width="14.7109375" style="1" customWidth="1"/>
    <col min="5" max="5" width="6" style="1" bestFit="1" customWidth="1"/>
    <col min="6" max="15" width="5.7109375" style="1" customWidth="1"/>
    <col min="16" max="17" width="6.7109375" style="1" customWidth="1"/>
    <col min="18" max="18" width="15.7109375" style="1" bestFit="1" customWidth="1"/>
    <col min="19" max="16384" width="9.140625" style="1"/>
  </cols>
  <sheetData>
    <row r="1" spans="1:18" ht="15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ht="15" x14ac:dyDescent="0.25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1:18" ht="15" x14ac:dyDescent="0.25">
      <c r="A3" s="57" t="s">
        <v>239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</row>
    <row r="4" spans="1:18" ht="17.25" customHeight="1" x14ac:dyDescent="0.2">
      <c r="A4" s="52" t="s">
        <v>2</v>
      </c>
      <c r="B4" s="52" t="s">
        <v>3</v>
      </c>
      <c r="C4" s="52" t="s">
        <v>5</v>
      </c>
      <c r="D4" s="52" t="s">
        <v>6</v>
      </c>
      <c r="E4" s="53" t="s">
        <v>4</v>
      </c>
      <c r="F4" s="56" t="s">
        <v>7</v>
      </c>
      <c r="G4" s="56"/>
      <c r="H4" s="56"/>
      <c r="I4" s="56"/>
      <c r="J4" s="56"/>
      <c r="K4" s="56"/>
      <c r="L4" s="56"/>
      <c r="M4" s="56"/>
      <c r="N4" s="56"/>
      <c r="O4" s="52" t="s">
        <v>15</v>
      </c>
      <c r="P4" s="52" t="s">
        <v>16</v>
      </c>
      <c r="Q4" s="52" t="s">
        <v>17</v>
      </c>
      <c r="R4" s="52" t="s">
        <v>18</v>
      </c>
    </row>
    <row r="5" spans="1:18" ht="47.25" x14ac:dyDescent="0.2">
      <c r="A5" s="52"/>
      <c r="B5" s="52"/>
      <c r="C5" s="52"/>
      <c r="D5" s="52"/>
      <c r="E5" s="54"/>
      <c r="F5" s="2" t="s">
        <v>8</v>
      </c>
      <c r="G5" s="2" t="s">
        <v>9</v>
      </c>
      <c r="H5" s="2" t="s">
        <v>12</v>
      </c>
      <c r="I5" s="2" t="s">
        <v>119</v>
      </c>
      <c r="J5" s="2" t="s">
        <v>10</v>
      </c>
      <c r="K5" s="2" t="s">
        <v>120</v>
      </c>
      <c r="L5" s="2" t="s">
        <v>11</v>
      </c>
      <c r="M5" s="2" t="s">
        <v>13</v>
      </c>
      <c r="N5" s="2" t="s">
        <v>14</v>
      </c>
      <c r="O5" s="52"/>
      <c r="P5" s="52"/>
      <c r="Q5" s="52"/>
      <c r="R5" s="52"/>
    </row>
    <row r="6" spans="1:18" ht="15.75" customHeight="1" x14ac:dyDescent="0.2">
      <c r="A6" s="52"/>
      <c r="B6" s="52"/>
      <c r="C6" s="52"/>
      <c r="D6" s="52"/>
      <c r="E6" s="55"/>
      <c r="F6" s="3"/>
      <c r="G6" s="3"/>
      <c r="H6" s="3"/>
      <c r="I6" s="3"/>
      <c r="J6" s="3"/>
      <c r="K6" s="3"/>
      <c r="L6" s="3"/>
      <c r="M6" s="3"/>
      <c r="N6" s="3"/>
      <c r="O6" s="3"/>
      <c r="P6" s="52"/>
      <c r="Q6" s="52"/>
      <c r="R6" s="52"/>
    </row>
    <row r="7" spans="1:18" ht="24" customHeight="1" x14ac:dyDescent="0.2">
      <c r="A7" s="4">
        <v>1</v>
      </c>
      <c r="B7" s="4"/>
      <c r="C7" s="5" t="s">
        <v>19</v>
      </c>
      <c r="D7" s="5" t="s">
        <v>20</v>
      </c>
      <c r="E7" s="5" t="s">
        <v>118</v>
      </c>
      <c r="F7" s="4" t="s">
        <v>122</v>
      </c>
      <c r="G7" s="4" t="s">
        <v>122</v>
      </c>
      <c r="H7" s="4" t="s">
        <v>122</v>
      </c>
      <c r="I7" s="4" t="s">
        <v>122</v>
      </c>
      <c r="J7" s="4" t="s">
        <v>122</v>
      </c>
      <c r="K7" s="4" t="s">
        <v>122</v>
      </c>
      <c r="L7" s="4" t="s">
        <v>122</v>
      </c>
      <c r="M7" s="4" t="s">
        <v>122</v>
      </c>
      <c r="N7" s="4" t="s">
        <v>122</v>
      </c>
      <c r="O7" s="4"/>
      <c r="P7" s="4"/>
      <c r="Q7" s="8"/>
      <c r="R7" s="4"/>
    </row>
    <row r="8" spans="1:18" ht="24" customHeight="1" x14ac:dyDescent="0.2">
      <c r="A8" s="4">
        <v>2</v>
      </c>
      <c r="B8" s="4"/>
      <c r="C8" s="5" t="s">
        <v>21</v>
      </c>
      <c r="D8" s="5" t="s">
        <v>22</v>
      </c>
      <c r="E8" s="5" t="s">
        <v>118</v>
      </c>
      <c r="F8" s="4" t="s">
        <v>123</v>
      </c>
      <c r="G8" s="4" t="s">
        <v>125</v>
      </c>
      <c r="H8" s="4" t="s">
        <v>126</v>
      </c>
      <c r="I8" s="4" t="s">
        <v>126</v>
      </c>
      <c r="J8" s="4" t="s">
        <v>126</v>
      </c>
      <c r="K8" s="4" t="s">
        <v>126</v>
      </c>
      <c r="L8" s="4" t="s">
        <v>125</v>
      </c>
      <c r="M8" s="4">
        <v>13</v>
      </c>
      <c r="N8" s="4" t="s">
        <v>124</v>
      </c>
      <c r="O8" s="4"/>
      <c r="P8" s="4"/>
      <c r="Q8" s="8"/>
      <c r="R8" s="4" t="s">
        <v>128</v>
      </c>
    </row>
    <row r="9" spans="1:18" ht="24" customHeight="1" x14ac:dyDescent="0.2">
      <c r="A9" s="4">
        <v>3</v>
      </c>
      <c r="B9" s="4"/>
      <c r="C9" s="5" t="s">
        <v>23</v>
      </c>
      <c r="D9" s="5" t="s">
        <v>24</v>
      </c>
      <c r="E9" s="5" t="s">
        <v>118</v>
      </c>
      <c r="F9" s="4" t="s">
        <v>126</v>
      </c>
      <c r="G9" s="4" t="s">
        <v>126</v>
      </c>
      <c r="H9" s="4" t="s">
        <v>124</v>
      </c>
      <c r="I9" s="4" t="s">
        <v>124</v>
      </c>
      <c r="J9" s="4" t="s">
        <v>126</v>
      </c>
      <c r="K9" s="4" t="s">
        <v>126</v>
      </c>
      <c r="L9" s="4" t="s">
        <v>126</v>
      </c>
      <c r="M9" s="4">
        <v>5</v>
      </c>
      <c r="N9" s="4" t="s">
        <v>124</v>
      </c>
      <c r="O9" s="4"/>
      <c r="P9" s="4"/>
      <c r="Q9" s="8"/>
      <c r="R9" s="4" t="s">
        <v>128</v>
      </c>
    </row>
    <row r="10" spans="1:18" ht="24" customHeight="1" x14ac:dyDescent="0.2">
      <c r="A10" s="4">
        <v>4</v>
      </c>
      <c r="B10" s="4">
        <v>135</v>
      </c>
      <c r="C10" s="5" t="s">
        <v>25</v>
      </c>
      <c r="D10" s="5" t="s">
        <v>26</v>
      </c>
      <c r="E10" s="5" t="s">
        <v>118</v>
      </c>
      <c r="F10" s="4" t="s">
        <v>124</v>
      </c>
      <c r="G10" s="4" t="s">
        <v>124</v>
      </c>
      <c r="H10" s="4" t="s">
        <v>124</v>
      </c>
      <c r="I10" s="4" t="s">
        <v>127</v>
      </c>
      <c r="J10" s="4" t="s">
        <v>127</v>
      </c>
      <c r="K10" s="4" t="s">
        <v>127</v>
      </c>
      <c r="L10" s="4" t="s">
        <v>124</v>
      </c>
      <c r="M10" s="4">
        <v>14</v>
      </c>
      <c r="N10" s="4" t="s">
        <v>124</v>
      </c>
      <c r="O10" s="4"/>
      <c r="P10" s="4"/>
      <c r="Q10" s="8"/>
      <c r="R10" s="4" t="s">
        <v>129</v>
      </c>
    </row>
    <row r="11" spans="1:18" ht="24" customHeight="1" x14ac:dyDescent="0.2">
      <c r="A11" s="4">
        <v>5</v>
      </c>
      <c r="B11" s="4">
        <v>136</v>
      </c>
      <c r="C11" s="5" t="s">
        <v>27</v>
      </c>
      <c r="D11" s="5" t="s">
        <v>28</v>
      </c>
      <c r="E11" s="5" t="s">
        <v>118</v>
      </c>
      <c r="F11" s="4" t="s">
        <v>126</v>
      </c>
      <c r="G11" s="4" t="s">
        <v>126</v>
      </c>
      <c r="H11" s="4" t="s">
        <v>124</v>
      </c>
      <c r="I11" s="4" t="s">
        <v>124</v>
      </c>
      <c r="J11" s="4" t="s">
        <v>127</v>
      </c>
      <c r="K11" s="4" t="s">
        <v>124</v>
      </c>
      <c r="L11" s="4" t="s">
        <v>126</v>
      </c>
      <c r="M11" s="4">
        <v>16</v>
      </c>
      <c r="N11" s="4" t="s">
        <v>127</v>
      </c>
      <c r="O11" s="4"/>
      <c r="P11" s="4"/>
      <c r="Q11" s="8"/>
      <c r="R11" s="4" t="s">
        <v>130</v>
      </c>
    </row>
    <row r="12" spans="1:18" ht="24" customHeight="1" x14ac:dyDescent="0.2">
      <c r="A12" s="4">
        <v>6</v>
      </c>
      <c r="B12" s="4">
        <v>137</v>
      </c>
      <c r="C12" s="5" t="s">
        <v>29</v>
      </c>
      <c r="D12" s="5" t="s">
        <v>30</v>
      </c>
      <c r="E12" s="5" t="s">
        <v>118</v>
      </c>
      <c r="F12" s="4" t="s">
        <v>127</v>
      </c>
      <c r="G12" s="4" t="s">
        <v>124</v>
      </c>
      <c r="H12" s="4" t="s">
        <v>124</v>
      </c>
      <c r="I12" s="4" t="s">
        <v>127</v>
      </c>
      <c r="J12" s="4" t="s">
        <v>127</v>
      </c>
      <c r="K12" s="4" t="s">
        <v>127</v>
      </c>
      <c r="L12" s="4" t="s">
        <v>124</v>
      </c>
      <c r="M12" s="4">
        <v>16</v>
      </c>
      <c r="N12" s="4" t="s">
        <v>127</v>
      </c>
      <c r="O12" s="4"/>
      <c r="P12" s="4"/>
      <c r="Q12" s="8"/>
      <c r="R12" s="4" t="s">
        <v>129</v>
      </c>
    </row>
    <row r="13" spans="1:18" ht="24" customHeight="1" x14ac:dyDescent="0.2">
      <c r="A13" s="4">
        <v>7</v>
      </c>
      <c r="B13" s="4">
        <v>139</v>
      </c>
      <c r="C13" s="5" t="s">
        <v>31</v>
      </c>
      <c r="D13" s="5" t="s">
        <v>32</v>
      </c>
      <c r="E13" s="5" t="s">
        <v>118</v>
      </c>
      <c r="F13" s="4" t="s">
        <v>126</v>
      </c>
      <c r="G13" s="4" t="s">
        <v>126</v>
      </c>
      <c r="H13" s="4" t="s">
        <v>124</v>
      </c>
      <c r="I13" s="4" t="s">
        <v>126</v>
      </c>
      <c r="J13" s="4" t="s">
        <v>125</v>
      </c>
      <c r="K13" s="4" t="s">
        <v>126</v>
      </c>
      <c r="L13" s="4" t="s">
        <v>125</v>
      </c>
      <c r="M13" s="4">
        <v>13</v>
      </c>
      <c r="N13" s="4" t="s">
        <v>127</v>
      </c>
      <c r="O13" s="4"/>
      <c r="P13" s="4"/>
      <c r="Q13" s="8"/>
      <c r="R13" s="4" t="s">
        <v>128</v>
      </c>
    </row>
    <row r="14" spans="1:18" ht="24" customHeight="1" x14ac:dyDescent="0.2">
      <c r="A14" s="4">
        <v>8</v>
      </c>
      <c r="B14" s="4"/>
      <c r="C14" s="5" t="s">
        <v>33</v>
      </c>
      <c r="D14" s="5" t="s">
        <v>34</v>
      </c>
      <c r="E14" s="5" t="s">
        <v>118</v>
      </c>
      <c r="F14" s="4" t="s">
        <v>124</v>
      </c>
      <c r="G14" s="4" t="s">
        <v>124</v>
      </c>
      <c r="H14" s="4" t="s">
        <v>124</v>
      </c>
      <c r="I14" s="4" t="s">
        <v>127</v>
      </c>
      <c r="J14" s="4" t="s">
        <v>127</v>
      </c>
      <c r="K14" s="4" t="s">
        <v>127</v>
      </c>
      <c r="L14" s="4" t="s">
        <v>127</v>
      </c>
      <c r="M14" s="4">
        <v>14</v>
      </c>
      <c r="N14" s="4" t="s">
        <v>127</v>
      </c>
      <c r="O14" s="4"/>
      <c r="P14" s="4"/>
      <c r="Q14" s="8"/>
      <c r="R14" s="4" t="s">
        <v>129</v>
      </c>
    </row>
    <row r="15" spans="1:18" ht="24" customHeight="1" x14ac:dyDescent="0.2">
      <c r="A15" s="4">
        <v>9</v>
      </c>
      <c r="B15" s="4">
        <v>142</v>
      </c>
      <c r="C15" s="5" t="s">
        <v>35</v>
      </c>
      <c r="D15" s="5" t="s">
        <v>36</v>
      </c>
      <c r="E15" s="5" t="s">
        <v>118</v>
      </c>
      <c r="F15" s="4" t="s">
        <v>124</v>
      </c>
      <c r="G15" s="4" t="s">
        <v>126</v>
      </c>
      <c r="H15" s="4" t="s">
        <v>124</v>
      </c>
      <c r="I15" s="4" t="s">
        <v>127</v>
      </c>
      <c r="J15" s="4" t="s">
        <v>124</v>
      </c>
      <c r="K15" s="4" t="s">
        <v>127</v>
      </c>
      <c r="L15" s="4" t="s">
        <v>124</v>
      </c>
      <c r="M15" s="4">
        <v>15</v>
      </c>
      <c r="N15" s="4" t="s">
        <v>126</v>
      </c>
      <c r="O15" s="4"/>
      <c r="P15" s="4"/>
      <c r="Q15" s="8"/>
      <c r="R15" s="4" t="s">
        <v>129</v>
      </c>
    </row>
    <row r="16" spans="1:18" ht="24" customHeight="1" x14ac:dyDescent="0.2">
      <c r="A16" s="4">
        <v>10</v>
      </c>
      <c r="B16" s="6">
        <v>143</v>
      </c>
      <c r="C16" s="5" t="s">
        <v>37</v>
      </c>
      <c r="D16" s="5" t="s">
        <v>38</v>
      </c>
      <c r="E16" s="5" t="s">
        <v>118</v>
      </c>
      <c r="F16" s="4" t="s">
        <v>126</v>
      </c>
      <c r="G16" s="4" t="s">
        <v>126</v>
      </c>
      <c r="H16" s="4" t="s">
        <v>126</v>
      </c>
      <c r="I16" s="4" t="s">
        <v>125</v>
      </c>
      <c r="J16" s="4" t="s">
        <v>126</v>
      </c>
      <c r="K16" s="4" t="s">
        <v>126</v>
      </c>
      <c r="L16" s="4" t="s">
        <v>126</v>
      </c>
      <c r="M16" s="4">
        <v>15</v>
      </c>
      <c r="N16" s="4" t="s">
        <v>125</v>
      </c>
      <c r="O16" s="4"/>
      <c r="P16" s="4"/>
      <c r="Q16" s="8"/>
      <c r="R16" s="4" t="s">
        <v>128</v>
      </c>
    </row>
    <row r="17" spans="1:18" ht="24" customHeight="1" x14ac:dyDescent="0.2">
      <c r="A17" s="4">
        <v>11</v>
      </c>
      <c r="B17" s="6">
        <v>144</v>
      </c>
      <c r="C17" s="5" t="s">
        <v>39</v>
      </c>
      <c r="D17" s="5" t="s">
        <v>40</v>
      </c>
      <c r="E17" s="5" t="s">
        <v>118</v>
      </c>
      <c r="F17" s="4" t="s">
        <v>124</v>
      </c>
      <c r="G17" s="4" t="s">
        <v>126</v>
      </c>
      <c r="H17" s="4" t="s">
        <v>124</v>
      </c>
      <c r="I17" s="4" t="s">
        <v>127</v>
      </c>
      <c r="J17" s="4" t="s">
        <v>126</v>
      </c>
      <c r="K17" s="4" t="s">
        <v>126</v>
      </c>
      <c r="L17" s="4" t="s">
        <v>125</v>
      </c>
      <c r="M17" s="4">
        <v>15</v>
      </c>
      <c r="N17" s="4" t="s">
        <v>124</v>
      </c>
      <c r="O17" s="4"/>
      <c r="P17" s="4"/>
      <c r="Q17" s="8"/>
      <c r="R17" s="4" t="s">
        <v>131</v>
      </c>
    </row>
    <row r="18" spans="1:18" ht="24" customHeight="1" x14ac:dyDescent="0.2">
      <c r="A18" s="4">
        <v>12</v>
      </c>
      <c r="B18" s="6">
        <v>145</v>
      </c>
      <c r="C18" s="5" t="s">
        <v>41</v>
      </c>
      <c r="D18" s="5" t="s">
        <v>42</v>
      </c>
      <c r="E18" s="5" t="s">
        <v>118</v>
      </c>
      <c r="F18" s="4" t="s">
        <v>125</v>
      </c>
      <c r="G18" s="4" t="s">
        <v>126</v>
      </c>
      <c r="H18" s="4" t="s">
        <v>124</v>
      </c>
      <c r="I18" s="4" t="s">
        <v>124</v>
      </c>
      <c r="J18" s="4" t="s">
        <v>124</v>
      </c>
      <c r="K18" s="4" t="s">
        <v>124</v>
      </c>
      <c r="L18" s="4" t="s">
        <v>127</v>
      </c>
      <c r="M18" s="4">
        <v>14</v>
      </c>
      <c r="N18" s="4" t="s">
        <v>124</v>
      </c>
      <c r="O18" s="4"/>
      <c r="P18" s="4"/>
      <c r="Q18" s="8"/>
      <c r="R18" s="4" t="s">
        <v>130</v>
      </c>
    </row>
    <row r="19" spans="1:18" ht="24" customHeight="1" x14ac:dyDescent="0.2">
      <c r="A19" s="4">
        <v>13</v>
      </c>
      <c r="B19" s="6">
        <v>146</v>
      </c>
      <c r="C19" s="5" t="s">
        <v>43</v>
      </c>
      <c r="D19" s="5" t="s">
        <v>44</v>
      </c>
      <c r="E19" s="5" t="s">
        <v>118</v>
      </c>
      <c r="F19" s="4" t="s">
        <v>124</v>
      </c>
      <c r="G19" s="4" t="s">
        <v>124</v>
      </c>
      <c r="H19" s="4" t="s">
        <v>127</v>
      </c>
      <c r="I19" s="4" t="s">
        <v>127</v>
      </c>
      <c r="J19" s="4" t="s">
        <v>124</v>
      </c>
      <c r="K19" s="4" t="s">
        <v>124</v>
      </c>
      <c r="L19" s="4" t="s">
        <v>124</v>
      </c>
      <c r="M19" s="4">
        <v>13</v>
      </c>
      <c r="N19" s="4" t="s">
        <v>127</v>
      </c>
      <c r="O19" s="4"/>
      <c r="P19" s="4"/>
      <c r="Q19" s="8"/>
      <c r="R19" s="4" t="s">
        <v>129</v>
      </c>
    </row>
    <row r="20" spans="1:18" ht="24" customHeight="1" x14ac:dyDescent="0.2">
      <c r="A20" s="4">
        <v>14</v>
      </c>
      <c r="B20" s="6">
        <v>148</v>
      </c>
      <c r="C20" s="5" t="s">
        <v>45</v>
      </c>
      <c r="D20" s="5" t="s">
        <v>46</v>
      </c>
      <c r="E20" s="5" t="s">
        <v>118</v>
      </c>
      <c r="F20" s="4" t="s">
        <v>126</v>
      </c>
      <c r="G20" s="4" t="s">
        <v>126</v>
      </c>
      <c r="H20" s="4" t="s">
        <v>124</v>
      </c>
      <c r="I20" s="4" t="s">
        <v>127</v>
      </c>
      <c r="J20" s="4" t="s">
        <v>127</v>
      </c>
      <c r="K20" s="4" t="s">
        <v>127</v>
      </c>
      <c r="L20" s="4" t="s">
        <v>127</v>
      </c>
      <c r="M20" s="4">
        <v>12</v>
      </c>
      <c r="N20" s="4" t="s">
        <v>124</v>
      </c>
      <c r="O20" s="4"/>
      <c r="P20" s="4"/>
      <c r="Q20" s="8"/>
      <c r="R20" s="4" t="s">
        <v>130</v>
      </c>
    </row>
    <row r="21" spans="1:18" ht="24" customHeight="1" x14ac:dyDescent="0.2">
      <c r="A21" s="4">
        <v>15</v>
      </c>
      <c r="B21" s="6">
        <v>150</v>
      </c>
      <c r="C21" s="5" t="s">
        <v>47</v>
      </c>
      <c r="D21" s="5" t="s">
        <v>48</v>
      </c>
      <c r="E21" s="5" t="s">
        <v>118</v>
      </c>
      <c r="F21" s="4" t="s">
        <v>126</v>
      </c>
      <c r="G21" s="4" t="s">
        <v>126</v>
      </c>
      <c r="H21" s="4" t="s">
        <v>124</v>
      </c>
      <c r="I21" s="4" t="s">
        <v>124</v>
      </c>
      <c r="J21" s="4" t="s">
        <v>123</v>
      </c>
      <c r="K21" s="4" t="s">
        <v>123</v>
      </c>
      <c r="L21" s="4" t="s">
        <v>123</v>
      </c>
      <c r="M21" s="4">
        <v>14</v>
      </c>
      <c r="N21" s="4" t="s">
        <v>124</v>
      </c>
      <c r="O21" s="4"/>
      <c r="P21" s="4"/>
      <c r="Q21" s="8"/>
      <c r="R21" s="4" t="s">
        <v>128</v>
      </c>
    </row>
    <row r="22" spans="1:18" ht="24" customHeight="1" x14ac:dyDescent="0.2">
      <c r="A22" s="4">
        <v>16</v>
      </c>
      <c r="B22" s="6">
        <v>151</v>
      </c>
      <c r="C22" s="5" t="s">
        <v>49</v>
      </c>
      <c r="D22" s="5" t="s">
        <v>50</v>
      </c>
      <c r="E22" s="5" t="s">
        <v>118</v>
      </c>
      <c r="F22" s="4" t="s">
        <v>124</v>
      </c>
      <c r="G22" s="4" t="s">
        <v>124</v>
      </c>
      <c r="H22" s="4" t="s">
        <v>127</v>
      </c>
      <c r="I22" s="4" t="s">
        <v>127</v>
      </c>
      <c r="J22" s="4" t="s">
        <v>124</v>
      </c>
      <c r="K22" s="4" t="s">
        <v>126</v>
      </c>
      <c r="L22" s="4" t="s">
        <v>124</v>
      </c>
      <c r="M22" s="4">
        <v>17</v>
      </c>
      <c r="N22" s="4" t="s">
        <v>127</v>
      </c>
      <c r="O22" s="4"/>
      <c r="P22" s="4"/>
      <c r="Q22" s="8"/>
      <c r="R22" s="4" t="s">
        <v>129</v>
      </c>
    </row>
    <row r="23" spans="1:18" ht="24" customHeight="1" x14ac:dyDescent="0.2">
      <c r="A23" s="4">
        <v>17</v>
      </c>
      <c r="B23" s="6">
        <v>152</v>
      </c>
      <c r="C23" s="5" t="s">
        <v>51</v>
      </c>
      <c r="D23" s="5" t="s">
        <v>52</v>
      </c>
      <c r="E23" s="5" t="s">
        <v>118</v>
      </c>
      <c r="F23" s="4" t="s">
        <v>124</v>
      </c>
      <c r="G23" s="4" t="s">
        <v>124</v>
      </c>
      <c r="H23" s="4" t="s">
        <v>127</v>
      </c>
      <c r="I23" s="4" t="s">
        <v>127</v>
      </c>
      <c r="J23" s="4" t="s">
        <v>127</v>
      </c>
      <c r="K23" s="4" t="s">
        <v>127</v>
      </c>
      <c r="L23" s="4" t="s">
        <v>127</v>
      </c>
      <c r="M23" s="4">
        <v>14</v>
      </c>
      <c r="N23" s="4" t="s">
        <v>126</v>
      </c>
      <c r="O23" s="4"/>
      <c r="P23" s="4"/>
      <c r="Q23" s="8"/>
      <c r="R23" s="4" t="s">
        <v>129</v>
      </c>
    </row>
    <row r="24" spans="1:18" ht="24" customHeight="1" x14ac:dyDescent="0.2">
      <c r="A24" s="4">
        <v>18</v>
      </c>
      <c r="B24" s="6">
        <v>153</v>
      </c>
      <c r="C24" s="5" t="s">
        <v>53</v>
      </c>
      <c r="D24" s="5" t="s">
        <v>54</v>
      </c>
      <c r="E24" s="5" t="s">
        <v>118</v>
      </c>
      <c r="F24" s="4" t="s">
        <v>126</v>
      </c>
      <c r="G24" s="4" t="s">
        <v>125</v>
      </c>
      <c r="H24" s="4" t="s">
        <v>126</v>
      </c>
      <c r="I24" s="4" t="s">
        <v>126</v>
      </c>
      <c r="J24" s="4" t="s">
        <v>123</v>
      </c>
      <c r="K24" s="4" t="s">
        <v>123</v>
      </c>
      <c r="L24" s="4" t="s">
        <v>123</v>
      </c>
      <c r="M24" s="4">
        <v>14</v>
      </c>
      <c r="N24" s="4" t="s">
        <v>126</v>
      </c>
      <c r="O24" s="4"/>
      <c r="P24" s="4"/>
      <c r="Q24" s="8"/>
      <c r="R24" s="4" t="s">
        <v>132</v>
      </c>
    </row>
    <row r="25" spans="1:18" ht="24" customHeight="1" x14ac:dyDescent="0.2">
      <c r="A25" s="4">
        <v>19</v>
      </c>
      <c r="B25" s="6">
        <v>154</v>
      </c>
      <c r="C25" s="5" t="s">
        <v>55</v>
      </c>
      <c r="D25" s="5" t="s">
        <v>56</v>
      </c>
      <c r="E25" s="5" t="s">
        <v>118</v>
      </c>
      <c r="F25" s="4" t="s">
        <v>126</v>
      </c>
      <c r="G25" s="4" t="s">
        <v>125</v>
      </c>
      <c r="H25" s="4" t="s">
        <v>124</v>
      </c>
      <c r="I25" s="4" t="s">
        <v>124</v>
      </c>
      <c r="J25" s="4" t="s">
        <v>123</v>
      </c>
      <c r="K25" s="4" t="s">
        <v>127</v>
      </c>
      <c r="L25" s="4" t="s">
        <v>124</v>
      </c>
      <c r="M25" s="4">
        <v>14</v>
      </c>
      <c r="N25" s="4" t="s">
        <v>124</v>
      </c>
      <c r="O25" s="4"/>
      <c r="P25" s="4"/>
      <c r="Q25" s="8"/>
      <c r="R25" s="4" t="s">
        <v>131</v>
      </c>
    </row>
    <row r="26" spans="1:18" ht="24" customHeight="1" x14ac:dyDescent="0.2">
      <c r="A26" s="4">
        <v>20</v>
      </c>
      <c r="B26" s="6">
        <v>155</v>
      </c>
      <c r="C26" s="5" t="s">
        <v>57</v>
      </c>
      <c r="D26" s="5" t="s">
        <v>58</v>
      </c>
      <c r="E26" s="5" t="s">
        <v>118</v>
      </c>
      <c r="F26" s="4" t="s">
        <v>124</v>
      </c>
      <c r="G26" s="4" t="s">
        <v>124</v>
      </c>
      <c r="H26" s="4" t="s">
        <v>127</v>
      </c>
      <c r="I26" s="4" t="s">
        <v>124</v>
      </c>
      <c r="J26" s="4" t="s">
        <v>126</v>
      </c>
      <c r="K26" s="4" t="s">
        <v>124</v>
      </c>
      <c r="L26" s="4" t="s">
        <v>126</v>
      </c>
      <c r="M26" s="4">
        <v>17</v>
      </c>
      <c r="N26" s="4" t="s">
        <v>127</v>
      </c>
      <c r="O26" s="4"/>
      <c r="P26" s="4"/>
      <c r="Q26" s="8"/>
      <c r="R26" s="4" t="s">
        <v>130</v>
      </c>
    </row>
    <row r="27" spans="1:18" ht="24" customHeight="1" x14ac:dyDescent="0.2">
      <c r="A27" s="4">
        <v>21</v>
      </c>
      <c r="B27" s="6">
        <v>156</v>
      </c>
      <c r="C27" s="5" t="s">
        <v>59</v>
      </c>
      <c r="D27" s="5" t="s">
        <v>60</v>
      </c>
      <c r="E27" s="5" t="s">
        <v>118</v>
      </c>
      <c r="F27" s="4" t="s">
        <v>126</v>
      </c>
      <c r="G27" s="4" t="s">
        <v>126</v>
      </c>
      <c r="H27" s="4" t="s">
        <v>124</v>
      </c>
      <c r="I27" s="4" t="s">
        <v>124</v>
      </c>
      <c r="J27" s="4" t="s">
        <v>126</v>
      </c>
      <c r="K27" s="4" t="s">
        <v>125</v>
      </c>
      <c r="L27" s="4" t="s">
        <v>126</v>
      </c>
      <c r="M27" s="4">
        <v>8</v>
      </c>
      <c r="N27" s="4" t="s">
        <v>124</v>
      </c>
      <c r="O27" s="4"/>
      <c r="P27" s="4"/>
      <c r="Q27" s="8"/>
      <c r="R27" s="4" t="s">
        <v>131</v>
      </c>
    </row>
    <row r="28" spans="1:18" ht="24" customHeight="1" x14ac:dyDescent="0.2">
      <c r="A28" s="4">
        <v>22</v>
      </c>
      <c r="B28" s="6">
        <v>158</v>
      </c>
      <c r="C28" s="5" t="s">
        <v>61</v>
      </c>
      <c r="D28" s="5" t="s">
        <v>62</v>
      </c>
      <c r="E28" s="5" t="s">
        <v>118</v>
      </c>
      <c r="F28" s="4" t="s">
        <v>124</v>
      </c>
      <c r="G28" s="4" t="s">
        <v>124</v>
      </c>
      <c r="H28" s="4" t="s">
        <v>124</v>
      </c>
      <c r="I28" s="4" t="s">
        <v>127</v>
      </c>
      <c r="J28" s="4" t="s">
        <v>127</v>
      </c>
      <c r="K28" s="4" t="s">
        <v>127</v>
      </c>
      <c r="L28" s="4" t="s">
        <v>127</v>
      </c>
      <c r="M28" s="4">
        <v>13</v>
      </c>
      <c r="N28" s="4" t="s">
        <v>124</v>
      </c>
      <c r="O28" s="4"/>
      <c r="P28" s="4"/>
      <c r="Q28" s="8"/>
      <c r="R28" s="4" t="s">
        <v>132</v>
      </c>
    </row>
    <row r="29" spans="1:18" ht="24" customHeight="1" x14ac:dyDescent="0.2">
      <c r="A29" s="4">
        <v>23</v>
      </c>
      <c r="B29" s="4">
        <v>159</v>
      </c>
      <c r="C29" s="5" t="s">
        <v>63</v>
      </c>
      <c r="D29" s="5" t="s">
        <v>64</v>
      </c>
      <c r="E29" s="5" t="s">
        <v>118</v>
      </c>
      <c r="F29" s="4" t="s">
        <v>124</v>
      </c>
      <c r="G29" s="4" t="s">
        <v>124</v>
      </c>
      <c r="H29" s="4" t="s">
        <v>124</v>
      </c>
      <c r="I29" s="4" t="s">
        <v>127</v>
      </c>
      <c r="J29" s="4" t="s">
        <v>127</v>
      </c>
      <c r="K29" s="4" t="s">
        <v>127</v>
      </c>
      <c r="L29" s="4" t="s">
        <v>127</v>
      </c>
      <c r="M29" s="4">
        <v>2</v>
      </c>
      <c r="N29" s="4" t="s">
        <v>124</v>
      </c>
      <c r="O29" s="4"/>
      <c r="P29" s="4"/>
      <c r="Q29" s="8"/>
      <c r="R29" s="4" t="s">
        <v>129</v>
      </c>
    </row>
    <row r="30" spans="1:18" ht="24" customHeight="1" x14ac:dyDescent="0.2">
      <c r="A30" s="4">
        <v>24</v>
      </c>
      <c r="B30" s="4">
        <v>160</v>
      </c>
      <c r="C30" s="5" t="s">
        <v>65</v>
      </c>
      <c r="D30" s="5" t="s">
        <v>66</v>
      </c>
      <c r="E30" s="5" t="s">
        <v>118</v>
      </c>
      <c r="F30" s="4" t="s">
        <v>124</v>
      </c>
      <c r="G30" s="4" t="s">
        <v>124</v>
      </c>
      <c r="H30" s="4" t="s">
        <v>127</v>
      </c>
      <c r="I30" s="4" t="s">
        <v>127</v>
      </c>
      <c r="J30" s="4" t="s">
        <v>127</v>
      </c>
      <c r="K30" s="4" t="s">
        <v>127</v>
      </c>
      <c r="L30" s="4" t="s">
        <v>127</v>
      </c>
      <c r="M30" s="4">
        <v>17</v>
      </c>
      <c r="N30" s="4" t="s">
        <v>126</v>
      </c>
      <c r="O30" s="4"/>
      <c r="P30" s="4"/>
      <c r="Q30" s="8"/>
      <c r="R30" s="4" t="s">
        <v>129</v>
      </c>
    </row>
    <row r="31" spans="1:18" ht="24" customHeight="1" x14ac:dyDescent="0.2">
      <c r="A31" s="4">
        <v>25</v>
      </c>
      <c r="B31" s="4">
        <v>161</v>
      </c>
      <c r="C31" s="5" t="s">
        <v>67</v>
      </c>
      <c r="D31" s="5" t="s">
        <v>68</v>
      </c>
      <c r="E31" s="5" t="s">
        <v>118</v>
      </c>
      <c r="F31" s="4" t="s">
        <v>125</v>
      </c>
      <c r="G31" s="4" t="s">
        <v>125</v>
      </c>
      <c r="H31" s="4" t="s">
        <v>125</v>
      </c>
      <c r="I31" s="4" t="s">
        <v>126</v>
      </c>
      <c r="J31" s="4" t="s">
        <v>123</v>
      </c>
      <c r="K31" s="4" t="s">
        <v>123</v>
      </c>
      <c r="L31" s="4" t="s">
        <v>123</v>
      </c>
      <c r="M31" s="4">
        <v>4</v>
      </c>
      <c r="N31" s="4" t="s">
        <v>124</v>
      </c>
      <c r="O31" s="4"/>
      <c r="P31" s="4"/>
      <c r="Q31" s="8"/>
      <c r="R31" s="4" t="s">
        <v>132</v>
      </c>
    </row>
    <row r="32" spans="1:18" ht="24" customHeight="1" x14ac:dyDescent="0.2">
      <c r="A32" s="4">
        <v>26</v>
      </c>
      <c r="B32" s="4">
        <v>162</v>
      </c>
      <c r="C32" s="5" t="s">
        <v>69</v>
      </c>
      <c r="D32" s="5" t="s">
        <v>70</v>
      </c>
      <c r="E32" s="5" t="s">
        <v>118</v>
      </c>
      <c r="F32" s="4" t="s">
        <v>126</v>
      </c>
      <c r="G32" s="4" t="s">
        <v>126</v>
      </c>
      <c r="H32" s="4" t="s">
        <v>124</v>
      </c>
      <c r="I32" s="4" t="s">
        <v>127</v>
      </c>
      <c r="J32" s="4" t="s">
        <v>124</v>
      </c>
      <c r="K32" s="4" t="s">
        <v>126</v>
      </c>
      <c r="L32" s="4" t="s">
        <v>126</v>
      </c>
      <c r="M32" s="4">
        <v>14</v>
      </c>
      <c r="N32" s="4" t="s">
        <v>124</v>
      </c>
      <c r="O32" s="4"/>
      <c r="P32" s="4"/>
      <c r="Q32" s="8"/>
      <c r="R32" s="4" t="s">
        <v>130</v>
      </c>
    </row>
    <row r="33" spans="1:18" ht="24" customHeight="1" x14ac:dyDescent="0.2">
      <c r="A33" s="4">
        <v>27</v>
      </c>
      <c r="B33" s="4">
        <v>163</v>
      </c>
      <c r="C33" s="5" t="s">
        <v>71</v>
      </c>
      <c r="D33" s="5" t="s">
        <v>72</v>
      </c>
      <c r="E33" s="5" t="s">
        <v>118</v>
      </c>
      <c r="F33" s="4" t="s">
        <v>125</v>
      </c>
      <c r="G33" s="4" t="s">
        <v>125</v>
      </c>
      <c r="H33" s="4" t="s">
        <v>124</v>
      </c>
      <c r="I33" s="4" t="s">
        <v>124</v>
      </c>
      <c r="J33" s="4" t="s">
        <v>126</v>
      </c>
      <c r="K33" s="4" t="s">
        <v>125</v>
      </c>
      <c r="L33" s="4" t="s">
        <v>125</v>
      </c>
      <c r="M33" s="4">
        <v>18</v>
      </c>
      <c r="N33" s="4" t="s">
        <v>124</v>
      </c>
      <c r="O33" s="4"/>
      <c r="P33" s="4"/>
      <c r="Q33" s="8"/>
      <c r="R33" s="4" t="s">
        <v>128</v>
      </c>
    </row>
    <row r="34" spans="1:18" ht="24" customHeight="1" x14ac:dyDescent="0.2">
      <c r="A34" s="4">
        <v>28</v>
      </c>
      <c r="B34" s="4">
        <v>165</v>
      </c>
      <c r="C34" s="5" t="s">
        <v>73</v>
      </c>
      <c r="D34" s="5" t="s">
        <v>74</v>
      </c>
      <c r="E34" s="5" t="s">
        <v>118</v>
      </c>
      <c r="F34" s="4" t="s">
        <v>126</v>
      </c>
      <c r="G34" s="4" t="s">
        <v>126</v>
      </c>
      <c r="H34" s="4" t="s">
        <v>124</v>
      </c>
      <c r="I34" s="4" t="s">
        <v>126</v>
      </c>
      <c r="J34" s="4" t="s">
        <v>126</v>
      </c>
      <c r="K34" s="4" t="s">
        <v>126</v>
      </c>
      <c r="L34" s="4" t="s">
        <v>124</v>
      </c>
      <c r="M34" s="4">
        <v>11</v>
      </c>
      <c r="N34" s="4" t="s">
        <v>124</v>
      </c>
      <c r="O34" s="4"/>
      <c r="P34" s="4"/>
      <c r="Q34" s="8"/>
      <c r="R34" s="4" t="s">
        <v>128</v>
      </c>
    </row>
    <row r="35" spans="1:18" ht="24" customHeight="1" x14ac:dyDescent="0.2">
      <c r="A35" s="4">
        <v>29</v>
      </c>
      <c r="B35" s="4">
        <v>166</v>
      </c>
      <c r="C35" s="5" t="s">
        <v>75</v>
      </c>
      <c r="D35" s="5" t="s">
        <v>76</v>
      </c>
      <c r="E35" s="5" t="s">
        <v>118</v>
      </c>
      <c r="F35" s="4" t="s">
        <v>127</v>
      </c>
      <c r="G35" s="4" t="s">
        <v>124</v>
      </c>
      <c r="H35" s="4" t="s">
        <v>127</v>
      </c>
      <c r="I35" s="4" t="s">
        <v>127</v>
      </c>
      <c r="J35" s="4" t="s">
        <v>127</v>
      </c>
      <c r="K35" s="4" t="s">
        <v>127</v>
      </c>
      <c r="L35" s="4" t="s">
        <v>127</v>
      </c>
      <c r="M35" s="4">
        <v>16</v>
      </c>
      <c r="N35" s="4" t="s">
        <v>127</v>
      </c>
      <c r="O35" s="4"/>
      <c r="P35" s="4"/>
      <c r="Q35" s="8"/>
      <c r="R35" s="4" t="s">
        <v>129</v>
      </c>
    </row>
    <row r="36" spans="1:18" ht="24" customHeight="1" x14ac:dyDescent="0.2">
      <c r="A36" s="4">
        <v>30</v>
      </c>
      <c r="B36" s="4">
        <v>167</v>
      </c>
      <c r="C36" s="5" t="s">
        <v>77</v>
      </c>
      <c r="D36" s="5" t="s">
        <v>76</v>
      </c>
      <c r="E36" s="5" t="s">
        <v>118</v>
      </c>
      <c r="F36" s="4" t="s">
        <v>127</v>
      </c>
      <c r="G36" s="4" t="s">
        <v>124</v>
      </c>
      <c r="H36" s="4" t="s">
        <v>124</v>
      </c>
      <c r="I36" s="4" t="s">
        <v>127</v>
      </c>
      <c r="J36" s="4" t="s">
        <v>127</v>
      </c>
      <c r="K36" s="4" t="s">
        <v>127</v>
      </c>
      <c r="L36" s="4" t="s">
        <v>127</v>
      </c>
      <c r="M36" s="4">
        <v>12</v>
      </c>
      <c r="N36" s="4" t="s">
        <v>127</v>
      </c>
      <c r="O36" s="4"/>
      <c r="P36" s="4"/>
      <c r="Q36" s="8"/>
      <c r="R36" s="4" t="s">
        <v>129</v>
      </c>
    </row>
    <row r="37" spans="1:18" ht="24" customHeight="1" x14ac:dyDescent="0.2">
      <c r="A37" s="4">
        <v>31</v>
      </c>
      <c r="B37" s="4">
        <v>168</v>
      </c>
      <c r="C37" s="5" t="s">
        <v>78</v>
      </c>
      <c r="D37" s="5" t="s">
        <v>79</v>
      </c>
      <c r="E37" s="5" t="s">
        <v>118</v>
      </c>
      <c r="F37" s="4" t="s">
        <v>124</v>
      </c>
      <c r="G37" s="4" t="s">
        <v>124</v>
      </c>
      <c r="H37" s="4" t="s">
        <v>127</v>
      </c>
      <c r="I37" s="4" t="s">
        <v>127</v>
      </c>
      <c r="J37" s="4" t="s">
        <v>127</v>
      </c>
      <c r="K37" s="4" t="s">
        <v>127</v>
      </c>
      <c r="L37" s="4" t="s">
        <v>127</v>
      </c>
      <c r="M37" s="4">
        <v>18</v>
      </c>
      <c r="N37" s="4" t="s">
        <v>126</v>
      </c>
      <c r="O37" s="4"/>
      <c r="P37" s="4"/>
      <c r="Q37" s="8"/>
      <c r="R37" s="4" t="s">
        <v>129</v>
      </c>
    </row>
    <row r="38" spans="1:18" ht="24" customHeight="1" x14ac:dyDescent="0.2">
      <c r="A38" s="4">
        <v>32</v>
      </c>
      <c r="B38" s="4">
        <v>169</v>
      </c>
      <c r="C38" s="5" t="s">
        <v>80</v>
      </c>
      <c r="D38" s="5" t="s">
        <v>81</v>
      </c>
      <c r="E38" s="5" t="s">
        <v>118</v>
      </c>
      <c r="F38" s="4" t="s">
        <v>124</v>
      </c>
      <c r="G38" s="4" t="s">
        <v>124</v>
      </c>
      <c r="H38" s="4" t="s">
        <v>124</v>
      </c>
      <c r="I38" s="4" t="s">
        <v>127</v>
      </c>
      <c r="J38" s="4" t="s">
        <v>127</v>
      </c>
      <c r="K38" s="4" t="s">
        <v>127</v>
      </c>
      <c r="L38" s="4" t="s">
        <v>127</v>
      </c>
      <c r="M38" s="4">
        <v>10</v>
      </c>
      <c r="N38" s="4" t="s">
        <v>126</v>
      </c>
      <c r="O38" s="4"/>
      <c r="P38" s="4"/>
      <c r="Q38" s="8"/>
      <c r="R38" s="4" t="s">
        <v>129</v>
      </c>
    </row>
    <row r="39" spans="1:18" ht="24" customHeight="1" x14ac:dyDescent="0.2">
      <c r="A39" s="4">
        <v>33</v>
      </c>
      <c r="B39" s="4">
        <v>170</v>
      </c>
      <c r="C39" s="5" t="s">
        <v>82</v>
      </c>
      <c r="D39" s="5" t="s">
        <v>83</v>
      </c>
      <c r="E39" s="5" t="s">
        <v>118</v>
      </c>
      <c r="F39" s="4" t="s">
        <v>124</v>
      </c>
      <c r="G39" s="4" t="s">
        <v>124</v>
      </c>
      <c r="H39" s="4" t="s">
        <v>124</v>
      </c>
      <c r="I39" s="4" t="s">
        <v>127</v>
      </c>
      <c r="J39" s="4" t="s">
        <v>125</v>
      </c>
      <c r="K39" s="4" t="s">
        <v>125</v>
      </c>
      <c r="L39" s="4" t="s">
        <v>125</v>
      </c>
      <c r="M39" s="4">
        <v>12</v>
      </c>
      <c r="N39" s="4" t="s">
        <v>124</v>
      </c>
      <c r="O39" s="4"/>
      <c r="P39" s="4"/>
      <c r="Q39" s="8"/>
      <c r="R39" s="4" t="s">
        <v>131</v>
      </c>
    </row>
    <row r="40" spans="1:18" ht="24" customHeight="1" x14ac:dyDescent="0.2">
      <c r="A40" s="4">
        <v>34</v>
      </c>
      <c r="B40" s="4">
        <v>171</v>
      </c>
      <c r="C40" s="5" t="s">
        <v>84</v>
      </c>
      <c r="D40" s="5" t="s">
        <v>85</v>
      </c>
      <c r="E40" s="5" t="s">
        <v>118</v>
      </c>
      <c r="F40" s="4" t="s">
        <v>122</v>
      </c>
      <c r="G40" s="4" t="s">
        <v>122</v>
      </c>
      <c r="H40" s="4" t="s">
        <v>122</v>
      </c>
      <c r="I40" s="4" t="s">
        <v>122</v>
      </c>
      <c r="J40" s="4" t="s">
        <v>122</v>
      </c>
      <c r="K40" s="4" t="s">
        <v>122</v>
      </c>
      <c r="L40" s="4" t="s">
        <v>122</v>
      </c>
      <c r="M40" s="4">
        <v>1</v>
      </c>
      <c r="N40" s="4" t="s">
        <v>122</v>
      </c>
      <c r="O40" s="4"/>
      <c r="P40" s="4"/>
      <c r="Q40" s="8"/>
      <c r="R40" s="4" t="s">
        <v>122</v>
      </c>
    </row>
    <row r="41" spans="1:18" ht="24" customHeight="1" x14ac:dyDescent="0.2">
      <c r="A41" s="4">
        <v>35</v>
      </c>
      <c r="B41" s="4">
        <v>172</v>
      </c>
      <c r="C41" s="5" t="s">
        <v>86</v>
      </c>
      <c r="D41" s="5" t="s">
        <v>87</v>
      </c>
      <c r="E41" s="5" t="s">
        <v>118</v>
      </c>
      <c r="F41" s="4" t="s">
        <v>124</v>
      </c>
      <c r="G41" s="4" t="s">
        <v>126</v>
      </c>
      <c r="H41" s="4" t="s">
        <v>124</v>
      </c>
      <c r="I41" s="4" t="s">
        <v>127</v>
      </c>
      <c r="J41" s="4" t="s">
        <v>125</v>
      </c>
      <c r="K41" s="4" t="s">
        <v>127</v>
      </c>
      <c r="L41" s="4" t="s">
        <v>124</v>
      </c>
      <c r="M41" s="4">
        <v>15</v>
      </c>
      <c r="N41" s="4" t="s">
        <v>127</v>
      </c>
      <c r="O41" s="4"/>
      <c r="P41" s="4"/>
      <c r="Q41" s="8"/>
      <c r="R41" s="4" t="s">
        <v>129</v>
      </c>
    </row>
    <row r="42" spans="1:18" ht="24" customHeight="1" x14ac:dyDescent="0.2">
      <c r="A42" s="4">
        <v>36</v>
      </c>
      <c r="B42" s="4">
        <v>196</v>
      </c>
      <c r="C42" s="5" t="s">
        <v>88</v>
      </c>
      <c r="D42" s="5" t="s">
        <v>89</v>
      </c>
      <c r="E42" s="5" t="s">
        <v>118</v>
      </c>
      <c r="F42" s="4" t="s">
        <v>124</v>
      </c>
      <c r="G42" s="4" t="s">
        <v>126</v>
      </c>
      <c r="H42" s="4" t="s">
        <v>126</v>
      </c>
      <c r="I42" s="4" t="s">
        <v>124</v>
      </c>
      <c r="J42" s="4" t="s">
        <v>123</v>
      </c>
      <c r="K42" s="4" t="s">
        <v>127</v>
      </c>
      <c r="L42" s="4" t="s">
        <v>124</v>
      </c>
      <c r="M42" s="4">
        <v>13</v>
      </c>
      <c r="N42" s="4" t="s">
        <v>124</v>
      </c>
      <c r="O42" s="4"/>
      <c r="P42" s="4"/>
      <c r="Q42" s="8"/>
      <c r="R42" s="4" t="s">
        <v>131</v>
      </c>
    </row>
    <row r="43" spans="1:18" ht="24" customHeight="1" x14ac:dyDescent="0.2">
      <c r="A43" s="4">
        <v>37</v>
      </c>
      <c r="B43" s="4">
        <v>197</v>
      </c>
      <c r="C43" s="5" t="s">
        <v>90</v>
      </c>
      <c r="D43" s="5" t="s">
        <v>121</v>
      </c>
      <c r="E43" s="5" t="s">
        <v>118</v>
      </c>
      <c r="F43" s="4" t="s">
        <v>126</v>
      </c>
      <c r="G43" s="4" t="s">
        <v>126</v>
      </c>
      <c r="H43" s="4" t="s">
        <v>124</v>
      </c>
      <c r="I43" s="4" t="s">
        <v>126</v>
      </c>
      <c r="J43" s="4" t="s">
        <v>123</v>
      </c>
      <c r="K43" s="4" t="s">
        <v>126</v>
      </c>
      <c r="L43" s="4" t="s">
        <v>126</v>
      </c>
      <c r="M43" s="4">
        <v>7</v>
      </c>
      <c r="N43" s="4" t="s">
        <v>124</v>
      </c>
      <c r="O43" s="4"/>
      <c r="P43" s="4"/>
      <c r="Q43" s="8"/>
      <c r="R43" s="4" t="s">
        <v>128</v>
      </c>
    </row>
    <row r="44" spans="1:18" ht="24" customHeight="1" x14ac:dyDescent="0.2">
      <c r="A44" s="4">
        <v>38</v>
      </c>
      <c r="B44" s="4">
        <v>180</v>
      </c>
      <c r="C44" s="5" t="s">
        <v>91</v>
      </c>
      <c r="D44" s="5" t="s">
        <v>92</v>
      </c>
      <c r="E44" s="5" t="s">
        <v>118</v>
      </c>
      <c r="F44" s="4" t="s">
        <v>124</v>
      </c>
      <c r="G44" s="4" t="s">
        <v>126</v>
      </c>
      <c r="H44" s="4" t="s">
        <v>124</v>
      </c>
      <c r="I44" s="4" t="s">
        <v>124</v>
      </c>
      <c r="J44" s="4" t="s">
        <v>127</v>
      </c>
      <c r="K44" s="4" t="s">
        <v>127</v>
      </c>
      <c r="L44" s="4" t="s">
        <v>124</v>
      </c>
      <c r="M44" s="4">
        <v>13</v>
      </c>
      <c r="N44" s="4" t="s">
        <v>124</v>
      </c>
      <c r="O44" s="4"/>
      <c r="P44" s="4"/>
      <c r="Q44" s="8"/>
      <c r="R44" s="4" t="s">
        <v>130</v>
      </c>
    </row>
    <row r="45" spans="1:18" ht="24" customHeight="1" x14ac:dyDescent="0.2">
      <c r="A45" s="4">
        <v>39</v>
      </c>
      <c r="B45" s="4">
        <v>182</v>
      </c>
      <c r="C45" s="5" t="s">
        <v>93</v>
      </c>
      <c r="D45" s="5" t="s">
        <v>94</v>
      </c>
      <c r="E45" s="5" t="s">
        <v>118</v>
      </c>
      <c r="F45" s="4" t="s">
        <v>124</v>
      </c>
      <c r="G45" s="4" t="s">
        <v>126</v>
      </c>
      <c r="H45" s="4" t="s">
        <v>124</v>
      </c>
      <c r="I45" s="4" t="s">
        <v>124</v>
      </c>
      <c r="J45" s="4" t="s">
        <v>126</v>
      </c>
      <c r="K45" s="4" t="s">
        <v>124</v>
      </c>
      <c r="L45" s="4" t="s">
        <v>126</v>
      </c>
      <c r="M45" s="4">
        <v>16</v>
      </c>
      <c r="N45" s="4" t="s">
        <v>126</v>
      </c>
      <c r="O45" s="4"/>
      <c r="P45" s="4"/>
      <c r="Q45" s="8"/>
      <c r="R45" s="4" t="s">
        <v>130</v>
      </c>
    </row>
    <row r="46" spans="1:18" ht="24" customHeight="1" x14ac:dyDescent="0.2">
      <c r="A46" s="4">
        <v>40</v>
      </c>
      <c r="B46" s="4">
        <v>186</v>
      </c>
      <c r="C46" s="5" t="s">
        <v>95</v>
      </c>
      <c r="D46" s="5" t="s">
        <v>96</v>
      </c>
      <c r="E46" s="5" t="s">
        <v>118</v>
      </c>
      <c r="F46" s="4" t="s">
        <v>126</v>
      </c>
      <c r="G46" s="4" t="s">
        <v>126</v>
      </c>
      <c r="H46" s="4" t="s">
        <v>124</v>
      </c>
      <c r="I46" s="4" t="s">
        <v>124</v>
      </c>
      <c r="J46" s="4" t="s">
        <v>126</v>
      </c>
      <c r="K46" s="4" t="s">
        <v>126</v>
      </c>
      <c r="L46" s="4" t="s">
        <v>124</v>
      </c>
      <c r="M46" s="4">
        <v>16</v>
      </c>
      <c r="N46" s="4" t="s">
        <v>126</v>
      </c>
      <c r="O46" s="4"/>
      <c r="P46" s="4"/>
      <c r="Q46" s="8"/>
      <c r="R46" s="4" t="s">
        <v>130</v>
      </c>
    </row>
    <row r="47" spans="1:18" ht="24" customHeight="1" x14ac:dyDescent="0.2">
      <c r="A47" s="4">
        <v>41</v>
      </c>
      <c r="B47" s="4">
        <v>188</v>
      </c>
      <c r="C47" s="5" t="s">
        <v>97</v>
      </c>
      <c r="D47" s="5" t="s">
        <v>98</v>
      </c>
      <c r="E47" s="5" t="s">
        <v>118</v>
      </c>
      <c r="F47" s="4" t="s">
        <v>124</v>
      </c>
      <c r="G47" s="4" t="s">
        <v>124</v>
      </c>
      <c r="H47" s="4" t="s">
        <v>124</v>
      </c>
      <c r="I47" s="4" t="s">
        <v>124</v>
      </c>
      <c r="J47" s="4" t="s">
        <v>127</v>
      </c>
      <c r="K47" s="4" t="s">
        <v>127</v>
      </c>
      <c r="L47" s="4" t="s">
        <v>124</v>
      </c>
      <c r="M47" s="4">
        <v>15</v>
      </c>
      <c r="N47" s="4" t="s">
        <v>124</v>
      </c>
      <c r="O47" s="4"/>
      <c r="P47" s="4"/>
      <c r="Q47" s="8"/>
      <c r="R47" s="4" t="s">
        <v>129</v>
      </c>
    </row>
    <row r="48" spans="1:18" ht="24" customHeight="1" x14ac:dyDescent="0.2">
      <c r="A48" s="4">
        <v>42</v>
      </c>
      <c r="B48" s="4">
        <v>191</v>
      </c>
      <c r="C48" s="5" t="s">
        <v>99</v>
      </c>
      <c r="D48" s="5" t="s">
        <v>100</v>
      </c>
      <c r="E48" s="5" t="s">
        <v>118</v>
      </c>
      <c r="F48" s="4" t="s">
        <v>124</v>
      </c>
      <c r="G48" s="4" t="s">
        <v>124</v>
      </c>
      <c r="H48" s="4" t="s">
        <v>127</v>
      </c>
      <c r="I48" s="4" t="s">
        <v>127</v>
      </c>
      <c r="J48" s="4" t="s">
        <v>124</v>
      </c>
      <c r="K48" s="4" t="s">
        <v>127</v>
      </c>
      <c r="L48" s="4" t="s">
        <v>124</v>
      </c>
      <c r="M48" s="4">
        <v>13</v>
      </c>
      <c r="N48" s="4" t="s">
        <v>126</v>
      </c>
      <c r="O48" s="4"/>
      <c r="P48" s="4"/>
      <c r="Q48" s="8"/>
      <c r="R48" s="4" t="s">
        <v>129</v>
      </c>
    </row>
    <row r="49" spans="1:18" ht="24" customHeight="1" x14ac:dyDescent="0.2">
      <c r="A49" s="4">
        <v>43</v>
      </c>
      <c r="B49" s="4"/>
      <c r="C49" s="5" t="s">
        <v>101</v>
      </c>
      <c r="D49" s="5" t="s">
        <v>102</v>
      </c>
      <c r="E49" s="5" t="s">
        <v>118</v>
      </c>
      <c r="F49" s="4" t="s">
        <v>124</v>
      </c>
      <c r="G49" s="4" t="s">
        <v>124</v>
      </c>
      <c r="H49" s="4" t="s">
        <v>127</v>
      </c>
      <c r="I49" s="4" t="s">
        <v>127</v>
      </c>
      <c r="J49" s="4" t="s">
        <v>127</v>
      </c>
      <c r="K49" s="4" t="s">
        <v>127</v>
      </c>
      <c r="L49" s="4" t="s">
        <v>127</v>
      </c>
      <c r="M49" s="4">
        <v>15</v>
      </c>
      <c r="N49" s="4" t="s">
        <v>127</v>
      </c>
      <c r="O49" s="4"/>
      <c r="P49" s="4"/>
      <c r="Q49" s="8"/>
      <c r="R49" s="4" t="s">
        <v>129</v>
      </c>
    </row>
    <row r="50" spans="1:18" ht="24" customHeight="1" x14ac:dyDescent="0.2">
      <c r="A50" s="4">
        <v>44</v>
      </c>
      <c r="B50" s="4">
        <v>195</v>
      </c>
      <c r="C50" s="5" t="s">
        <v>103</v>
      </c>
      <c r="D50" s="5" t="s">
        <v>104</v>
      </c>
      <c r="E50" s="5" t="s">
        <v>118</v>
      </c>
      <c r="F50" s="4" t="s">
        <v>123</v>
      </c>
      <c r="G50" s="4" t="s">
        <v>123</v>
      </c>
      <c r="H50" s="4" t="s">
        <v>123</v>
      </c>
      <c r="I50" s="4" t="s">
        <v>123</v>
      </c>
      <c r="J50" s="4" t="s">
        <v>125</v>
      </c>
      <c r="K50" s="4" t="s">
        <v>123</v>
      </c>
      <c r="L50" s="4" t="s">
        <v>123</v>
      </c>
      <c r="M50" s="4">
        <v>14</v>
      </c>
      <c r="N50" s="4" t="s">
        <v>122</v>
      </c>
      <c r="O50" s="4"/>
      <c r="P50" s="4"/>
      <c r="Q50" s="8"/>
      <c r="R50" s="4" t="s">
        <v>122</v>
      </c>
    </row>
    <row r="51" spans="1:18" ht="24" customHeight="1" x14ac:dyDescent="0.2">
      <c r="A51" s="4">
        <v>45</v>
      </c>
      <c r="B51" s="4"/>
      <c r="C51" s="5" t="s">
        <v>105</v>
      </c>
      <c r="D51" s="5" t="s">
        <v>106</v>
      </c>
      <c r="E51" s="5" t="s">
        <v>118</v>
      </c>
      <c r="F51" s="4" t="s">
        <v>124</v>
      </c>
      <c r="G51" s="4" t="s">
        <v>124</v>
      </c>
      <c r="H51" s="4" t="s">
        <v>127</v>
      </c>
      <c r="I51" s="4" t="s">
        <v>127</v>
      </c>
      <c r="J51" s="4" t="s">
        <v>127</v>
      </c>
      <c r="K51" s="4" t="s">
        <v>127</v>
      </c>
      <c r="L51" s="4" t="s">
        <v>124</v>
      </c>
      <c r="M51" s="4">
        <v>12</v>
      </c>
      <c r="N51" s="4" t="s">
        <v>124</v>
      </c>
      <c r="O51" s="4"/>
      <c r="P51" s="4"/>
      <c r="Q51" s="8"/>
      <c r="R51" s="4" t="s">
        <v>129</v>
      </c>
    </row>
    <row r="52" spans="1:18" ht="24" customHeight="1" x14ac:dyDescent="0.2">
      <c r="A52" s="4">
        <v>46</v>
      </c>
      <c r="B52" s="4"/>
      <c r="C52" s="5" t="s">
        <v>107</v>
      </c>
      <c r="D52" s="5" t="s">
        <v>108</v>
      </c>
      <c r="E52" s="5" t="s">
        <v>118</v>
      </c>
      <c r="F52" s="4" t="s">
        <v>125</v>
      </c>
      <c r="G52" s="4" t="s">
        <v>125</v>
      </c>
      <c r="H52" s="4" t="s">
        <v>126</v>
      </c>
      <c r="I52" s="4" t="s">
        <v>126</v>
      </c>
      <c r="J52" s="4" t="s">
        <v>123</v>
      </c>
      <c r="K52" s="4" t="s">
        <v>126</v>
      </c>
      <c r="L52" s="4" t="s">
        <v>126</v>
      </c>
      <c r="M52" s="4">
        <v>12</v>
      </c>
      <c r="N52" s="4" t="s">
        <v>126</v>
      </c>
      <c r="O52" s="4"/>
      <c r="P52" s="4"/>
      <c r="Q52" s="8"/>
      <c r="R52" s="4" t="s">
        <v>132</v>
      </c>
    </row>
    <row r="53" spans="1:18" ht="24" customHeight="1" x14ac:dyDescent="0.2">
      <c r="A53" s="4">
        <v>47</v>
      </c>
      <c r="B53" s="4"/>
      <c r="C53" s="7" t="s">
        <v>109</v>
      </c>
      <c r="D53" s="7" t="s">
        <v>27</v>
      </c>
      <c r="E53" s="5" t="s">
        <v>118</v>
      </c>
      <c r="F53" s="4" t="s">
        <v>127</v>
      </c>
      <c r="G53" s="4" t="s">
        <v>126</v>
      </c>
      <c r="H53" s="4" t="s">
        <v>124</v>
      </c>
      <c r="I53" s="4" t="s">
        <v>127</v>
      </c>
      <c r="J53" s="4" t="s">
        <v>125</v>
      </c>
      <c r="K53" s="4" t="s">
        <v>126</v>
      </c>
      <c r="L53" s="4" t="s">
        <v>124</v>
      </c>
      <c r="M53" s="4">
        <v>16</v>
      </c>
      <c r="N53" s="4" t="s">
        <v>124</v>
      </c>
      <c r="O53" s="4"/>
      <c r="P53" s="4"/>
      <c r="Q53" s="8"/>
      <c r="R53" s="4" t="s">
        <v>130</v>
      </c>
    </row>
    <row r="54" spans="1:18" ht="24" customHeight="1" x14ac:dyDescent="0.2">
      <c r="A54" s="4">
        <v>48</v>
      </c>
      <c r="B54" s="4"/>
      <c r="C54" s="7" t="s">
        <v>110</v>
      </c>
      <c r="D54" s="7" t="s">
        <v>111</v>
      </c>
      <c r="E54" s="5" t="s">
        <v>118</v>
      </c>
      <c r="F54" s="4" t="s">
        <v>124</v>
      </c>
      <c r="G54" s="4" t="s">
        <v>124</v>
      </c>
      <c r="H54" s="4" t="s">
        <v>127</v>
      </c>
      <c r="I54" s="4" t="s">
        <v>127</v>
      </c>
      <c r="J54" s="4" t="s">
        <v>127</v>
      </c>
      <c r="K54" s="4" t="s">
        <v>127</v>
      </c>
      <c r="L54" s="4" t="s">
        <v>127</v>
      </c>
      <c r="M54" s="4">
        <v>16</v>
      </c>
      <c r="N54" s="4" t="s">
        <v>126</v>
      </c>
      <c r="O54" s="4"/>
      <c r="P54" s="4"/>
      <c r="Q54" s="8"/>
      <c r="R54" s="4" t="s">
        <v>129</v>
      </c>
    </row>
    <row r="55" spans="1:18" ht="24" customHeight="1" x14ac:dyDescent="0.2">
      <c r="A55" s="4">
        <v>49</v>
      </c>
      <c r="B55" s="4"/>
      <c r="C55" s="7" t="s">
        <v>112</v>
      </c>
      <c r="D55" s="7" t="s">
        <v>113</v>
      </c>
      <c r="E55" s="5" t="s">
        <v>118</v>
      </c>
      <c r="F55" s="4" t="s">
        <v>124</v>
      </c>
      <c r="G55" s="4" t="s">
        <v>124</v>
      </c>
      <c r="H55" s="4" t="s">
        <v>127</v>
      </c>
      <c r="I55" s="4" t="s">
        <v>127</v>
      </c>
      <c r="J55" s="4" t="s">
        <v>124</v>
      </c>
      <c r="K55" s="4" t="s">
        <v>127</v>
      </c>
      <c r="L55" s="4" t="s">
        <v>127</v>
      </c>
      <c r="M55" s="4">
        <v>15</v>
      </c>
      <c r="N55" s="4" t="s">
        <v>124</v>
      </c>
      <c r="O55" s="4"/>
      <c r="P55" s="4"/>
      <c r="Q55" s="8"/>
      <c r="R55" s="4" t="s">
        <v>129</v>
      </c>
    </row>
    <row r="56" spans="1:18" ht="24" customHeight="1" x14ac:dyDescent="0.2">
      <c r="A56" s="4">
        <v>50</v>
      </c>
      <c r="B56" s="4"/>
      <c r="C56" s="7" t="s">
        <v>114</v>
      </c>
      <c r="D56" s="7" t="s">
        <v>115</v>
      </c>
      <c r="E56" s="5" t="s">
        <v>118</v>
      </c>
      <c r="F56" s="4" t="s">
        <v>124</v>
      </c>
      <c r="G56" s="4" t="s">
        <v>126</v>
      </c>
      <c r="H56" s="4" t="s">
        <v>124</v>
      </c>
      <c r="I56" s="4" t="s">
        <v>124</v>
      </c>
      <c r="J56" s="4" t="s">
        <v>126</v>
      </c>
      <c r="K56" s="4" t="s">
        <v>124</v>
      </c>
      <c r="L56" s="4" t="s">
        <v>124</v>
      </c>
      <c r="M56" s="4">
        <v>13</v>
      </c>
      <c r="N56" s="4" t="s">
        <v>124</v>
      </c>
      <c r="O56" s="4"/>
      <c r="P56" s="4"/>
      <c r="Q56" s="8"/>
      <c r="R56" s="4" t="s">
        <v>130</v>
      </c>
    </row>
    <row r="57" spans="1:18" ht="24" customHeight="1" x14ac:dyDescent="0.2">
      <c r="A57" s="4">
        <v>51</v>
      </c>
      <c r="B57" s="4"/>
      <c r="C57" s="7" t="s">
        <v>116</v>
      </c>
      <c r="D57" s="7"/>
      <c r="E57" s="5" t="s">
        <v>118</v>
      </c>
      <c r="F57" s="4" t="s">
        <v>124</v>
      </c>
      <c r="G57" s="4" t="s">
        <v>126</v>
      </c>
      <c r="H57" s="4" t="s">
        <v>126</v>
      </c>
      <c r="I57" s="4" t="s">
        <v>126</v>
      </c>
      <c r="J57" s="4" t="s">
        <v>123</v>
      </c>
      <c r="K57" s="4" t="s">
        <v>125</v>
      </c>
      <c r="L57" s="4" t="s">
        <v>123</v>
      </c>
      <c r="M57" s="4">
        <v>12</v>
      </c>
      <c r="N57" s="4" t="s">
        <v>124</v>
      </c>
      <c r="O57" s="4"/>
      <c r="P57" s="4"/>
      <c r="Q57" s="8"/>
      <c r="R57" s="4" t="s">
        <v>128</v>
      </c>
    </row>
    <row r="58" spans="1:18" ht="24" customHeight="1" x14ac:dyDescent="0.2">
      <c r="A58" s="4">
        <v>52</v>
      </c>
      <c r="B58" s="4"/>
      <c r="C58" s="7" t="s">
        <v>117</v>
      </c>
      <c r="D58" s="7"/>
      <c r="E58" s="5" t="s">
        <v>118</v>
      </c>
      <c r="F58" s="4" t="s">
        <v>122</v>
      </c>
      <c r="G58" s="4" t="s">
        <v>122</v>
      </c>
      <c r="H58" s="4" t="s">
        <v>122</v>
      </c>
      <c r="I58" s="4" t="s">
        <v>122</v>
      </c>
      <c r="J58" s="4" t="s">
        <v>122</v>
      </c>
      <c r="K58" s="4" t="s">
        <v>122</v>
      </c>
      <c r="L58" s="4" t="s">
        <v>122</v>
      </c>
      <c r="M58" s="4">
        <v>3</v>
      </c>
      <c r="N58" s="4" t="s">
        <v>122</v>
      </c>
      <c r="O58" s="4"/>
      <c r="P58" s="4"/>
      <c r="Q58" s="8"/>
      <c r="R58" s="4" t="s">
        <v>122</v>
      </c>
    </row>
    <row r="59" spans="1:18" ht="24" customHeight="1" x14ac:dyDescent="0.2">
      <c r="A59" s="4">
        <v>52</v>
      </c>
      <c r="B59" s="4"/>
      <c r="C59" s="7" t="s">
        <v>133</v>
      </c>
      <c r="D59" s="7"/>
      <c r="E59" s="5" t="s">
        <v>118</v>
      </c>
      <c r="F59" s="4" t="s">
        <v>126</v>
      </c>
      <c r="G59" s="4" t="s">
        <v>126</v>
      </c>
      <c r="H59" s="4" t="s">
        <v>126</v>
      </c>
      <c r="I59" s="4" t="s">
        <v>126</v>
      </c>
      <c r="J59" s="4" t="s">
        <v>125</v>
      </c>
      <c r="K59" s="4" t="s">
        <v>125</v>
      </c>
      <c r="L59" s="4" t="s">
        <v>125</v>
      </c>
      <c r="M59" s="4">
        <v>16</v>
      </c>
      <c r="N59" s="4" t="s">
        <v>124</v>
      </c>
      <c r="O59" s="4"/>
      <c r="P59" s="4"/>
      <c r="Q59" s="8"/>
      <c r="R59" s="4" t="s">
        <v>132</v>
      </c>
    </row>
    <row r="60" spans="1:18" ht="24" customHeight="1" x14ac:dyDescent="0.2">
      <c r="A60" s="4">
        <v>52</v>
      </c>
      <c r="B60" s="4"/>
      <c r="C60" s="7" t="s">
        <v>134</v>
      </c>
      <c r="D60" s="7"/>
      <c r="E60" s="5" t="s">
        <v>118</v>
      </c>
      <c r="F60" s="4" t="s">
        <v>126</v>
      </c>
      <c r="G60" s="4" t="s">
        <v>126</v>
      </c>
      <c r="H60" s="4" t="s">
        <v>126</v>
      </c>
      <c r="I60" s="4" t="s">
        <v>126</v>
      </c>
      <c r="J60" s="4" t="s">
        <v>125</v>
      </c>
      <c r="K60" s="4" t="s">
        <v>125</v>
      </c>
      <c r="L60" s="4" t="s">
        <v>126</v>
      </c>
      <c r="M60" s="4">
        <v>15</v>
      </c>
      <c r="N60" s="4" t="s">
        <v>124</v>
      </c>
      <c r="O60" s="4"/>
      <c r="P60" s="4"/>
      <c r="Q60" s="8"/>
      <c r="R60" s="4" t="s">
        <v>132</v>
      </c>
    </row>
  </sheetData>
  <mergeCells count="13">
    <mergeCell ref="A1:R1"/>
    <mergeCell ref="A2:R2"/>
    <mergeCell ref="A4:A6"/>
    <mergeCell ref="B4:B6"/>
    <mergeCell ref="C4:C6"/>
    <mergeCell ref="D4:D6"/>
    <mergeCell ref="E4:E6"/>
    <mergeCell ref="F4:N4"/>
    <mergeCell ref="O4:O5"/>
    <mergeCell ref="P4:P6"/>
    <mergeCell ref="Q4:Q6"/>
    <mergeCell ref="R4:R6"/>
    <mergeCell ref="A3:R3"/>
  </mergeCells>
  <printOptions horizontalCentered="1"/>
  <pageMargins left="0.25" right="0.25" top="0.5" bottom="0.5" header="0.05" footer="0.05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8B68-ABCB-432A-950F-2FA40DD3E0D6}">
  <dimension ref="A1:T64"/>
  <sheetViews>
    <sheetView workbookViewId="0">
      <pane ySplit="6" topLeftCell="A7" activePane="bottomLeft" state="frozen"/>
      <selection pane="bottomLeft" activeCell="A3" sqref="A3:T3"/>
    </sheetView>
  </sheetViews>
  <sheetFormatPr defaultRowHeight="12" x14ac:dyDescent="0.2"/>
  <cols>
    <col min="1" max="1" width="3.7109375" style="1" bestFit="1" customWidth="1"/>
    <col min="2" max="2" width="4" style="18" bestFit="1" customWidth="1"/>
    <col min="3" max="3" width="12" style="1" bestFit="1" customWidth="1"/>
    <col min="4" max="4" width="14.7109375" style="1" customWidth="1"/>
    <col min="5" max="5" width="8.28515625" style="1" customWidth="1"/>
    <col min="6" max="16" width="5.7109375" style="1" customWidth="1"/>
    <col min="17" max="19" width="6.7109375" style="1" customWidth="1"/>
    <col min="20" max="20" width="15.7109375" style="1" bestFit="1" customWidth="1"/>
    <col min="21" max="16384" width="9.140625" style="1"/>
  </cols>
  <sheetData>
    <row r="1" spans="1:20" ht="15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</row>
    <row r="2" spans="1:20" ht="15" x14ac:dyDescent="0.25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</row>
    <row r="3" spans="1:20" ht="15" x14ac:dyDescent="0.25">
      <c r="A3" s="57" t="s">
        <v>239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</row>
    <row r="4" spans="1:20" x14ac:dyDescent="0.2">
      <c r="A4" s="52" t="s">
        <v>2</v>
      </c>
      <c r="B4" s="52" t="s">
        <v>3</v>
      </c>
      <c r="C4" s="52" t="s">
        <v>5</v>
      </c>
      <c r="D4" s="52" t="s">
        <v>6</v>
      </c>
      <c r="E4" s="53" t="s">
        <v>4</v>
      </c>
      <c r="F4" s="56" t="s">
        <v>7</v>
      </c>
      <c r="G4" s="56"/>
      <c r="H4" s="56"/>
      <c r="I4" s="56"/>
      <c r="J4" s="56"/>
      <c r="K4" s="56"/>
      <c r="L4" s="56"/>
      <c r="M4" s="56"/>
      <c r="N4" s="56"/>
      <c r="O4" s="56"/>
      <c r="P4" s="52" t="s">
        <v>15</v>
      </c>
      <c r="Q4" s="52" t="s">
        <v>16</v>
      </c>
      <c r="R4" s="52" t="s">
        <v>17</v>
      </c>
      <c r="S4" s="52" t="s">
        <v>13</v>
      </c>
      <c r="T4" s="52" t="s">
        <v>18</v>
      </c>
    </row>
    <row r="5" spans="1:20" ht="47.25" x14ac:dyDescent="0.2">
      <c r="A5" s="52"/>
      <c r="B5" s="52"/>
      <c r="C5" s="52"/>
      <c r="D5" s="52"/>
      <c r="E5" s="54"/>
      <c r="F5" s="2" t="s">
        <v>8</v>
      </c>
      <c r="G5" s="2" t="s">
        <v>9</v>
      </c>
      <c r="H5" s="2" t="s">
        <v>10</v>
      </c>
      <c r="I5" s="2" t="s">
        <v>135</v>
      </c>
      <c r="J5" s="2" t="s">
        <v>11</v>
      </c>
      <c r="K5" s="2" t="s">
        <v>136</v>
      </c>
      <c r="L5" s="2" t="s">
        <v>12</v>
      </c>
      <c r="M5" s="2" t="s">
        <v>137</v>
      </c>
      <c r="N5" s="2" t="s">
        <v>13</v>
      </c>
      <c r="O5" s="2" t="s">
        <v>14</v>
      </c>
      <c r="P5" s="52"/>
      <c r="Q5" s="52"/>
      <c r="R5" s="52"/>
      <c r="S5" s="52"/>
      <c r="T5" s="52"/>
    </row>
    <row r="6" spans="1:20" x14ac:dyDescent="0.2">
      <c r="A6" s="52"/>
      <c r="B6" s="52"/>
      <c r="C6" s="52"/>
      <c r="D6" s="52"/>
      <c r="E6" s="5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2"/>
      <c r="R6" s="52"/>
      <c r="S6" s="52"/>
      <c r="T6" s="52"/>
    </row>
    <row r="7" spans="1:20" s="9" customFormat="1" ht="21" x14ac:dyDescent="0.35">
      <c r="A7" s="58" t="s">
        <v>138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60"/>
    </row>
    <row r="8" spans="1:20" s="9" customFormat="1" ht="24" customHeight="1" x14ac:dyDescent="0.2">
      <c r="A8" s="4">
        <v>1</v>
      </c>
      <c r="B8" s="4">
        <v>106</v>
      </c>
      <c r="C8" s="11" t="s">
        <v>139</v>
      </c>
      <c r="D8" s="11" t="s">
        <v>140</v>
      </c>
      <c r="E8" s="7" t="s">
        <v>141</v>
      </c>
      <c r="F8" s="4" t="s">
        <v>124</v>
      </c>
      <c r="G8" s="4" t="s">
        <v>126</v>
      </c>
      <c r="H8" s="4" t="s">
        <v>127</v>
      </c>
      <c r="I8" s="4" t="s">
        <v>126</v>
      </c>
      <c r="J8" s="4" t="s">
        <v>126</v>
      </c>
      <c r="K8" s="4" t="s">
        <v>125</v>
      </c>
      <c r="L8" s="4" t="s">
        <v>124</v>
      </c>
      <c r="M8" s="4" t="s">
        <v>124</v>
      </c>
      <c r="N8" s="4"/>
      <c r="O8" s="4" t="s">
        <v>124</v>
      </c>
      <c r="P8" s="4"/>
      <c r="Q8" s="4"/>
      <c r="R8" s="4"/>
      <c r="S8" s="4"/>
      <c r="T8" s="4" t="s">
        <v>131</v>
      </c>
    </row>
    <row r="9" spans="1:20" s="9" customFormat="1" ht="24" customHeight="1" x14ac:dyDescent="0.2">
      <c r="A9" s="4">
        <v>2</v>
      </c>
      <c r="B9" s="4">
        <v>75</v>
      </c>
      <c r="C9" s="11" t="s">
        <v>142</v>
      </c>
      <c r="D9" s="11" t="s">
        <v>143</v>
      </c>
      <c r="E9" s="7" t="s">
        <v>141</v>
      </c>
      <c r="F9" s="4" t="s">
        <v>124</v>
      </c>
      <c r="G9" s="4" t="s">
        <v>126</v>
      </c>
      <c r="H9" s="4" t="s">
        <v>127</v>
      </c>
      <c r="I9" s="4" t="s">
        <v>126</v>
      </c>
      <c r="J9" s="4" t="s">
        <v>127</v>
      </c>
      <c r="K9" s="4" t="s">
        <v>126</v>
      </c>
      <c r="L9" s="4" t="s">
        <v>124</v>
      </c>
      <c r="M9" s="4" t="s">
        <v>124</v>
      </c>
      <c r="N9" s="4"/>
      <c r="O9" s="4" t="s">
        <v>124</v>
      </c>
      <c r="P9" s="4"/>
      <c r="Q9" s="4"/>
      <c r="R9" s="4"/>
      <c r="S9" s="4"/>
      <c r="T9" s="4" t="s">
        <v>131</v>
      </c>
    </row>
    <row r="10" spans="1:20" s="9" customFormat="1" ht="24" customHeight="1" x14ac:dyDescent="0.2">
      <c r="A10" s="4">
        <v>3</v>
      </c>
      <c r="B10" s="4">
        <v>109</v>
      </c>
      <c r="C10" s="11" t="s">
        <v>144</v>
      </c>
      <c r="D10" s="11" t="s">
        <v>97</v>
      </c>
      <c r="E10" s="7" t="s">
        <v>141</v>
      </c>
      <c r="F10" s="4" t="s">
        <v>124</v>
      </c>
      <c r="G10" s="4" t="s">
        <v>124</v>
      </c>
      <c r="H10" s="4" t="s">
        <v>127</v>
      </c>
      <c r="I10" s="4" t="s">
        <v>126</v>
      </c>
      <c r="J10" s="4" t="s">
        <v>126</v>
      </c>
      <c r="K10" s="4" t="s">
        <v>126</v>
      </c>
      <c r="L10" s="4" t="s">
        <v>124</v>
      </c>
      <c r="M10" s="4" t="s">
        <v>124</v>
      </c>
      <c r="N10" s="4"/>
      <c r="O10" s="4" t="s">
        <v>124</v>
      </c>
      <c r="P10" s="4"/>
      <c r="Q10" s="4"/>
      <c r="R10" s="4"/>
      <c r="S10" s="4"/>
      <c r="T10" s="4" t="s">
        <v>130</v>
      </c>
    </row>
    <row r="11" spans="1:20" s="9" customFormat="1" ht="24" customHeight="1" x14ac:dyDescent="0.2">
      <c r="A11" s="4">
        <v>4</v>
      </c>
      <c r="B11" s="4">
        <v>49</v>
      </c>
      <c r="C11" s="11" t="s">
        <v>145</v>
      </c>
      <c r="D11" s="11" t="s">
        <v>146</v>
      </c>
      <c r="E11" s="7" t="s">
        <v>141</v>
      </c>
      <c r="F11" s="4" t="s">
        <v>126</v>
      </c>
      <c r="G11" s="4" t="s">
        <v>123</v>
      </c>
      <c r="H11" s="4" t="s">
        <v>125</v>
      </c>
      <c r="I11" s="4" t="s">
        <v>125</v>
      </c>
      <c r="J11" s="4" t="s">
        <v>125</v>
      </c>
      <c r="K11" s="4" t="s">
        <v>123</v>
      </c>
      <c r="L11" s="4" t="s">
        <v>124</v>
      </c>
      <c r="M11" s="4" t="s">
        <v>124</v>
      </c>
      <c r="N11" s="4"/>
      <c r="O11" s="4" t="s">
        <v>126</v>
      </c>
      <c r="P11" s="4"/>
      <c r="Q11" s="4"/>
      <c r="R11" s="4"/>
      <c r="S11" s="4"/>
      <c r="T11" s="4" t="s">
        <v>132</v>
      </c>
    </row>
    <row r="12" spans="1:20" s="9" customFormat="1" ht="24" customHeight="1" x14ac:dyDescent="0.2">
      <c r="A12" s="4">
        <v>5</v>
      </c>
      <c r="B12" s="4">
        <v>104</v>
      </c>
      <c r="C12" s="11" t="s">
        <v>147</v>
      </c>
      <c r="D12" s="11" t="s">
        <v>148</v>
      </c>
      <c r="E12" s="7" t="s">
        <v>141</v>
      </c>
      <c r="F12" s="4" t="s">
        <v>123</v>
      </c>
      <c r="G12" s="4" t="s">
        <v>123</v>
      </c>
      <c r="H12" s="4" t="s">
        <v>125</v>
      </c>
      <c r="I12" s="4" t="s">
        <v>125</v>
      </c>
      <c r="J12" s="4" t="s">
        <v>124</v>
      </c>
      <c r="K12" s="4" t="s">
        <v>126</v>
      </c>
      <c r="L12" s="4" t="s">
        <v>124</v>
      </c>
      <c r="M12" s="4" t="s">
        <v>124</v>
      </c>
      <c r="N12" s="4"/>
      <c r="O12" s="4" t="s">
        <v>124</v>
      </c>
      <c r="P12" s="4"/>
      <c r="Q12" s="4"/>
      <c r="R12" s="4"/>
      <c r="S12" s="4"/>
      <c r="T12" s="4" t="s">
        <v>132</v>
      </c>
    </row>
    <row r="13" spans="1:20" s="9" customFormat="1" ht="24" customHeight="1" x14ac:dyDescent="0.2">
      <c r="A13" s="4">
        <v>6</v>
      </c>
      <c r="B13" s="4">
        <v>88</v>
      </c>
      <c r="C13" s="11" t="s">
        <v>149</v>
      </c>
      <c r="D13" s="11" t="s">
        <v>150</v>
      </c>
      <c r="E13" s="7" t="s">
        <v>141</v>
      </c>
      <c r="F13" s="4" t="s">
        <v>124</v>
      </c>
      <c r="G13" s="4" t="s">
        <v>126</v>
      </c>
      <c r="H13" s="4" t="s">
        <v>127</v>
      </c>
      <c r="I13" s="4" t="s">
        <v>127</v>
      </c>
      <c r="J13" s="4" t="s">
        <v>127</v>
      </c>
      <c r="K13" s="4" t="s">
        <v>127</v>
      </c>
      <c r="L13" s="4" t="s">
        <v>127</v>
      </c>
      <c r="M13" s="4" t="s">
        <v>127</v>
      </c>
      <c r="N13" s="4"/>
      <c r="O13" s="4" t="s">
        <v>127</v>
      </c>
      <c r="P13" s="4"/>
      <c r="Q13" s="4"/>
      <c r="R13" s="4"/>
      <c r="S13" s="4"/>
      <c r="T13" s="4" t="s">
        <v>129</v>
      </c>
    </row>
    <row r="14" spans="1:20" s="9" customFormat="1" ht="24" customHeight="1" x14ac:dyDescent="0.2">
      <c r="A14" s="4">
        <v>7</v>
      </c>
      <c r="B14" s="4">
        <v>59</v>
      </c>
      <c r="C14" s="11" t="s">
        <v>151</v>
      </c>
      <c r="D14" s="11" t="s">
        <v>152</v>
      </c>
      <c r="E14" s="7" t="s">
        <v>141</v>
      </c>
      <c r="F14" s="4" t="s">
        <v>127</v>
      </c>
      <c r="G14" s="4" t="s">
        <v>126</v>
      </c>
      <c r="H14" s="4" t="s">
        <v>127</v>
      </c>
      <c r="I14" s="4" t="s">
        <v>126</v>
      </c>
      <c r="J14" s="4" t="s">
        <v>127</v>
      </c>
      <c r="K14" s="4" t="s">
        <v>126</v>
      </c>
      <c r="L14" s="4" t="s">
        <v>124</v>
      </c>
      <c r="M14" s="4" t="s">
        <v>127</v>
      </c>
      <c r="N14" s="4"/>
      <c r="O14" s="4" t="s">
        <v>124</v>
      </c>
      <c r="P14" s="4"/>
      <c r="Q14" s="4"/>
      <c r="R14" s="4"/>
      <c r="S14" s="4"/>
      <c r="T14" s="4" t="s">
        <v>130</v>
      </c>
    </row>
    <row r="15" spans="1:20" s="9" customFormat="1" ht="24" customHeight="1" x14ac:dyDescent="0.2">
      <c r="A15" s="4">
        <v>8</v>
      </c>
      <c r="B15" s="4">
        <v>83</v>
      </c>
      <c r="C15" s="11" t="s">
        <v>153</v>
      </c>
      <c r="D15" s="11" t="s">
        <v>154</v>
      </c>
      <c r="E15" s="7" t="s">
        <v>141</v>
      </c>
      <c r="F15" s="4" t="s">
        <v>124</v>
      </c>
      <c r="G15" s="4" t="s">
        <v>126</v>
      </c>
      <c r="H15" s="4" t="s">
        <v>125</v>
      </c>
      <c r="I15" s="4" t="s">
        <v>125</v>
      </c>
      <c r="J15" s="4" t="s">
        <v>125</v>
      </c>
      <c r="K15" s="4" t="s">
        <v>123</v>
      </c>
      <c r="L15" s="4" t="s">
        <v>124</v>
      </c>
      <c r="M15" s="4" t="s">
        <v>124</v>
      </c>
      <c r="N15" s="4"/>
      <c r="O15" s="4" t="s">
        <v>124</v>
      </c>
      <c r="P15" s="4"/>
      <c r="Q15" s="4"/>
      <c r="R15" s="4"/>
      <c r="S15" s="4"/>
      <c r="T15" s="4" t="s">
        <v>128</v>
      </c>
    </row>
    <row r="16" spans="1:20" s="9" customFormat="1" ht="24" customHeight="1" x14ac:dyDescent="0.2">
      <c r="A16" s="4">
        <v>9</v>
      </c>
      <c r="B16" s="4">
        <v>89</v>
      </c>
      <c r="C16" s="11" t="s">
        <v>155</v>
      </c>
      <c r="D16" s="11" t="s">
        <v>156</v>
      </c>
      <c r="E16" s="7" t="s">
        <v>141</v>
      </c>
      <c r="F16" s="4" t="s">
        <v>127</v>
      </c>
      <c r="G16" s="4" t="s">
        <v>127</v>
      </c>
      <c r="H16" s="4" t="s">
        <v>127</v>
      </c>
      <c r="I16" s="4" t="s">
        <v>127</v>
      </c>
      <c r="J16" s="4" t="s">
        <v>127</v>
      </c>
      <c r="K16" s="4" t="s">
        <v>124</v>
      </c>
      <c r="L16" s="4" t="s">
        <v>127</v>
      </c>
      <c r="M16" s="4" t="s">
        <v>127</v>
      </c>
      <c r="N16" s="4"/>
      <c r="O16" s="4" t="s">
        <v>124</v>
      </c>
      <c r="P16" s="4"/>
      <c r="Q16" s="4"/>
      <c r="R16" s="4"/>
      <c r="S16" s="4"/>
      <c r="T16" s="4" t="s">
        <v>129</v>
      </c>
    </row>
    <row r="17" spans="1:20" s="9" customFormat="1" ht="24" customHeight="1" x14ac:dyDescent="0.2">
      <c r="A17" s="4">
        <v>10</v>
      </c>
      <c r="B17" s="6">
        <v>86</v>
      </c>
      <c r="C17" s="11" t="s">
        <v>157</v>
      </c>
      <c r="D17" s="11" t="s">
        <v>158</v>
      </c>
      <c r="E17" s="7" t="s">
        <v>141</v>
      </c>
      <c r="F17" s="4" t="s">
        <v>123</v>
      </c>
      <c r="G17" s="4" t="s">
        <v>126</v>
      </c>
      <c r="H17" s="4" t="s">
        <v>125</v>
      </c>
      <c r="I17" s="4" t="s">
        <v>125</v>
      </c>
      <c r="J17" s="4" t="s">
        <v>125</v>
      </c>
      <c r="K17" s="4" t="s">
        <v>123</v>
      </c>
      <c r="L17" s="4" t="s">
        <v>124</v>
      </c>
      <c r="M17" s="4" t="s">
        <v>123</v>
      </c>
      <c r="N17" s="4"/>
      <c r="O17" s="4" t="s">
        <v>124</v>
      </c>
      <c r="P17" s="4"/>
      <c r="Q17" s="4"/>
      <c r="R17" s="4"/>
      <c r="S17" s="4"/>
      <c r="T17" s="4" t="s">
        <v>132</v>
      </c>
    </row>
    <row r="18" spans="1:20" s="9" customFormat="1" ht="24" customHeight="1" x14ac:dyDescent="0.2">
      <c r="A18" s="4">
        <v>11</v>
      </c>
      <c r="B18" s="6">
        <v>105</v>
      </c>
      <c r="C18" s="11" t="s">
        <v>159</v>
      </c>
      <c r="D18" s="11" t="s">
        <v>160</v>
      </c>
      <c r="E18" s="7" t="s">
        <v>141</v>
      </c>
      <c r="F18" s="4" t="s">
        <v>127</v>
      </c>
      <c r="G18" s="4" t="s">
        <v>124</v>
      </c>
      <c r="H18" s="4" t="s">
        <v>127</v>
      </c>
      <c r="I18" s="4" t="s">
        <v>127</v>
      </c>
      <c r="J18" s="4" t="s">
        <v>127</v>
      </c>
      <c r="K18" s="4" t="s">
        <v>124</v>
      </c>
      <c r="L18" s="4" t="s">
        <v>124</v>
      </c>
      <c r="M18" s="4" t="s">
        <v>124</v>
      </c>
      <c r="N18" s="4"/>
      <c r="O18" s="4" t="s">
        <v>124</v>
      </c>
      <c r="P18" s="4"/>
      <c r="Q18" s="4"/>
      <c r="R18" s="4"/>
      <c r="S18" s="4"/>
      <c r="T18" s="4" t="s">
        <v>129</v>
      </c>
    </row>
    <row r="19" spans="1:20" s="9" customFormat="1" ht="24" customHeight="1" x14ac:dyDescent="0.2">
      <c r="A19" s="4">
        <v>12</v>
      </c>
      <c r="B19" s="6">
        <v>107</v>
      </c>
      <c r="C19" s="11" t="s">
        <v>161</v>
      </c>
      <c r="D19" s="11" t="s">
        <v>38</v>
      </c>
      <c r="E19" s="7" t="s">
        <v>141</v>
      </c>
      <c r="F19" s="4" t="s">
        <v>127</v>
      </c>
      <c r="G19" s="4" t="s">
        <v>126</v>
      </c>
      <c r="H19" s="4" t="s">
        <v>127</v>
      </c>
      <c r="I19" s="4" t="s">
        <v>126</v>
      </c>
      <c r="J19" s="4" t="s">
        <v>127</v>
      </c>
      <c r="K19" s="4" t="s">
        <v>126</v>
      </c>
      <c r="L19" s="4" t="s">
        <v>127</v>
      </c>
      <c r="M19" s="4" t="s">
        <v>124</v>
      </c>
      <c r="N19" s="4"/>
      <c r="O19" s="4" t="s">
        <v>124</v>
      </c>
      <c r="P19" s="4"/>
      <c r="Q19" s="4"/>
      <c r="R19" s="4"/>
      <c r="S19" s="4"/>
      <c r="T19" s="4" t="s">
        <v>130</v>
      </c>
    </row>
    <row r="20" spans="1:20" s="9" customFormat="1" ht="24" customHeight="1" x14ac:dyDescent="0.2">
      <c r="A20" s="4">
        <v>13</v>
      </c>
      <c r="B20" s="6">
        <v>84</v>
      </c>
      <c r="C20" s="11" t="s">
        <v>162</v>
      </c>
      <c r="D20" s="11" t="s">
        <v>163</v>
      </c>
      <c r="E20" s="7" t="s">
        <v>141</v>
      </c>
      <c r="F20" s="4" t="s">
        <v>127</v>
      </c>
      <c r="G20" s="4" t="s">
        <v>127</v>
      </c>
      <c r="H20" s="4" t="s">
        <v>127</v>
      </c>
      <c r="I20" s="4" t="s">
        <v>127</v>
      </c>
      <c r="J20" s="4" t="s">
        <v>127</v>
      </c>
      <c r="K20" s="4" t="s">
        <v>124</v>
      </c>
      <c r="L20" s="4" t="s">
        <v>127</v>
      </c>
      <c r="M20" s="4" t="s">
        <v>124</v>
      </c>
      <c r="N20" s="4"/>
      <c r="O20" s="4" t="s">
        <v>124</v>
      </c>
      <c r="P20" s="4"/>
      <c r="Q20" s="4"/>
      <c r="R20" s="4"/>
      <c r="S20" s="4"/>
      <c r="T20" s="4" t="s">
        <v>129</v>
      </c>
    </row>
    <row r="21" spans="1:20" s="9" customFormat="1" ht="24" customHeight="1" x14ac:dyDescent="0.2">
      <c r="A21" s="4">
        <v>14</v>
      </c>
      <c r="B21" s="6">
        <v>85</v>
      </c>
      <c r="C21" s="11" t="s">
        <v>164</v>
      </c>
      <c r="D21" s="11" t="s">
        <v>165</v>
      </c>
      <c r="E21" s="7" t="s">
        <v>141</v>
      </c>
      <c r="F21" s="4" t="s">
        <v>127</v>
      </c>
      <c r="G21" s="4" t="s">
        <v>127</v>
      </c>
      <c r="H21" s="4" t="s">
        <v>127</v>
      </c>
      <c r="I21" s="4" t="s">
        <v>127</v>
      </c>
      <c r="J21" s="4" t="s">
        <v>127</v>
      </c>
      <c r="K21" s="4" t="s">
        <v>127</v>
      </c>
      <c r="L21" s="4" t="s">
        <v>127</v>
      </c>
      <c r="M21" s="4" t="s">
        <v>124</v>
      </c>
      <c r="N21" s="4"/>
      <c r="O21" s="4" t="s">
        <v>124</v>
      </c>
      <c r="P21" s="4"/>
      <c r="Q21" s="4"/>
      <c r="R21" s="4"/>
      <c r="S21" s="4"/>
      <c r="T21" s="4" t="s">
        <v>129</v>
      </c>
    </row>
    <row r="22" spans="1:20" s="9" customFormat="1" ht="24" customHeight="1" x14ac:dyDescent="0.2">
      <c r="A22" s="4">
        <v>15</v>
      </c>
      <c r="B22" s="6">
        <v>102</v>
      </c>
      <c r="C22" s="11" t="s">
        <v>166</v>
      </c>
      <c r="D22" s="11" t="s">
        <v>167</v>
      </c>
      <c r="E22" s="7" t="s">
        <v>141</v>
      </c>
      <c r="F22" s="4" t="s">
        <v>127</v>
      </c>
      <c r="G22" s="4" t="s">
        <v>127</v>
      </c>
      <c r="H22" s="4" t="s">
        <v>127</v>
      </c>
      <c r="I22" s="4" t="s">
        <v>124</v>
      </c>
      <c r="J22" s="4" t="s">
        <v>127</v>
      </c>
      <c r="K22" s="4" t="s">
        <v>124</v>
      </c>
      <c r="L22" s="4" t="s">
        <v>127</v>
      </c>
      <c r="M22" s="4" t="s">
        <v>127</v>
      </c>
      <c r="N22" s="4"/>
      <c r="O22" s="4" t="s">
        <v>127</v>
      </c>
      <c r="P22" s="4"/>
      <c r="Q22" s="4"/>
      <c r="R22" s="4"/>
      <c r="S22" s="4"/>
      <c r="T22" s="4" t="s">
        <v>129</v>
      </c>
    </row>
    <row r="23" spans="1:20" s="9" customFormat="1" ht="24" customHeight="1" x14ac:dyDescent="0.2">
      <c r="A23" s="4">
        <v>16</v>
      </c>
      <c r="B23" s="6">
        <v>87</v>
      </c>
      <c r="C23" s="11" t="s">
        <v>168</v>
      </c>
      <c r="D23" s="11" t="s">
        <v>150</v>
      </c>
      <c r="E23" s="7" t="s">
        <v>141</v>
      </c>
      <c r="F23" s="4" t="s">
        <v>124</v>
      </c>
      <c r="G23" s="4" t="s">
        <v>124</v>
      </c>
      <c r="H23" s="4" t="s">
        <v>127</v>
      </c>
      <c r="I23" s="4" t="s">
        <v>127</v>
      </c>
      <c r="J23" s="4" t="s">
        <v>127</v>
      </c>
      <c r="K23" s="4" t="s">
        <v>124</v>
      </c>
      <c r="L23" s="4" t="s">
        <v>127</v>
      </c>
      <c r="M23" s="4" t="s">
        <v>127</v>
      </c>
      <c r="N23" s="4"/>
      <c r="O23" s="4" t="s">
        <v>127</v>
      </c>
      <c r="P23" s="4"/>
      <c r="Q23" s="4"/>
      <c r="R23" s="4"/>
      <c r="S23" s="4"/>
      <c r="T23" s="4" t="s">
        <v>129</v>
      </c>
    </row>
    <row r="24" spans="1:20" s="9" customFormat="1" ht="24" customHeight="1" x14ac:dyDescent="0.2">
      <c r="A24" s="4">
        <v>17</v>
      </c>
      <c r="B24" s="6">
        <v>71</v>
      </c>
      <c r="C24" s="11" t="s">
        <v>169</v>
      </c>
      <c r="D24" s="11" t="s">
        <v>170</v>
      </c>
      <c r="E24" s="7" t="s">
        <v>141</v>
      </c>
      <c r="F24" s="4" t="s">
        <v>127</v>
      </c>
      <c r="G24" s="4" t="s">
        <v>124</v>
      </c>
      <c r="H24" s="4" t="s">
        <v>127</v>
      </c>
      <c r="I24" s="4" t="s">
        <v>124</v>
      </c>
      <c r="J24" s="4" t="s">
        <v>124</v>
      </c>
      <c r="K24" s="4" t="s">
        <v>126</v>
      </c>
      <c r="L24" s="4" t="s">
        <v>124</v>
      </c>
      <c r="M24" s="4" t="s">
        <v>124</v>
      </c>
      <c r="N24" s="4"/>
      <c r="O24" s="4" t="s">
        <v>127</v>
      </c>
      <c r="P24" s="4"/>
      <c r="Q24" s="4"/>
      <c r="R24" s="4"/>
      <c r="S24" s="4"/>
      <c r="T24" s="4" t="s">
        <v>130</v>
      </c>
    </row>
    <row r="25" spans="1:20" s="9" customFormat="1" ht="24" customHeight="1" x14ac:dyDescent="0.2">
      <c r="A25" s="4">
        <v>18</v>
      </c>
      <c r="B25" s="6">
        <v>81</v>
      </c>
      <c r="C25" s="11" t="s">
        <v>171</v>
      </c>
      <c r="D25" s="11" t="s">
        <v>172</v>
      </c>
      <c r="E25" s="7" t="s">
        <v>141</v>
      </c>
      <c r="F25" s="4" t="s">
        <v>124</v>
      </c>
      <c r="G25" s="4" t="s">
        <v>124</v>
      </c>
      <c r="H25" s="4" t="s">
        <v>127</v>
      </c>
      <c r="I25" s="4" t="s">
        <v>127</v>
      </c>
      <c r="J25" s="4" t="s">
        <v>126</v>
      </c>
      <c r="K25" s="4" t="s">
        <v>126</v>
      </c>
      <c r="L25" s="4" t="s">
        <v>127</v>
      </c>
      <c r="M25" s="4" t="s">
        <v>127</v>
      </c>
      <c r="N25" s="4"/>
      <c r="O25" s="4" t="s">
        <v>127</v>
      </c>
      <c r="P25" s="4"/>
      <c r="Q25" s="4"/>
      <c r="R25" s="4"/>
      <c r="S25" s="4"/>
      <c r="T25" s="4" t="s">
        <v>130</v>
      </c>
    </row>
    <row r="26" spans="1:20" s="9" customFormat="1" ht="24" customHeight="1" x14ac:dyDescent="0.2">
      <c r="A26" s="4">
        <v>19</v>
      </c>
      <c r="B26" s="6">
        <v>82</v>
      </c>
      <c r="C26" s="11" t="s">
        <v>173</v>
      </c>
      <c r="D26" s="11" t="s">
        <v>174</v>
      </c>
      <c r="E26" s="7" t="s">
        <v>141</v>
      </c>
      <c r="F26" s="4" t="s">
        <v>124</v>
      </c>
      <c r="G26" s="4" t="s">
        <v>126</v>
      </c>
      <c r="H26" s="4" t="s">
        <v>125</v>
      </c>
      <c r="I26" s="4" t="s">
        <v>126</v>
      </c>
      <c r="J26" s="4" t="s">
        <v>126</v>
      </c>
      <c r="K26" s="4" t="s">
        <v>125</v>
      </c>
      <c r="L26" s="4" t="s">
        <v>124</v>
      </c>
      <c r="M26" s="4" t="s">
        <v>127</v>
      </c>
      <c r="N26" s="4"/>
      <c r="O26" s="4" t="s">
        <v>124</v>
      </c>
      <c r="P26" s="4"/>
      <c r="Q26" s="4"/>
      <c r="R26" s="4"/>
      <c r="S26" s="4"/>
      <c r="T26" s="4" t="s">
        <v>131</v>
      </c>
    </row>
    <row r="27" spans="1:20" s="9" customFormat="1" ht="24" customHeight="1" x14ac:dyDescent="0.2">
      <c r="A27" s="4">
        <v>20</v>
      </c>
      <c r="B27" s="6">
        <v>68</v>
      </c>
      <c r="C27" s="11" t="s">
        <v>175</v>
      </c>
      <c r="D27" s="11" t="s">
        <v>176</v>
      </c>
      <c r="E27" s="7" t="s">
        <v>141</v>
      </c>
      <c r="F27" s="4" t="s">
        <v>127</v>
      </c>
      <c r="G27" s="4" t="s">
        <v>124</v>
      </c>
      <c r="H27" s="4" t="s">
        <v>124</v>
      </c>
      <c r="I27" s="4" t="s">
        <v>127</v>
      </c>
      <c r="J27" s="4" t="s">
        <v>127</v>
      </c>
      <c r="K27" s="4" t="s">
        <v>124</v>
      </c>
      <c r="L27" s="4" t="s">
        <v>127</v>
      </c>
      <c r="M27" s="4" t="s">
        <v>127</v>
      </c>
      <c r="N27" s="4"/>
      <c r="O27" s="4" t="s">
        <v>127</v>
      </c>
      <c r="P27" s="4"/>
      <c r="Q27" s="4"/>
      <c r="R27" s="4"/>
      <c r="S27" s="4"/>
      <c r="T27" s="4" t="s">
        <v>129</v>
      </c>
    </row>
    <row r="28" spans="1:20" s="9" customFormat="1" ht="24" customHeight="1" x14ac:dyDescent="0.2">
      <c r="A28" s="4">
        <v>21</v>
      </c>
      <c r="B28" s="6">
        <v>69</v>
      </c>
      <c r="C28" s="11" t="s">
        <v>177</v>
      </c>
      <c r="D28" s="11" t="s">
        <v>178</v>
      </c>
      <c r="E28" s="7" t="s">
        <v>141</v>
      </c>
      <c r="F28" s="4" t="s">
        <v>126</v>
      </c>
      <c r="G28" s="4" t="s">
        <v>123</v>
      </c>
      <c r="H28" s="4" t="s">
        <v>125</v>
      </c>
      <c r="I28" s="4" t="s">
        <v>125</v>
      </c>
      <c r="J28" s="4" t="s">
        <v>126</v>
      </c>
      <c r="K28" s="4" t="s">
        <v>123</v>
      </c>
      <c r="L28" s="4" t="s">
        <v>124</v>
      </c>
      <c r="M28" s="4" t="s">
        <v>124</v>
      </c>
      <c r="N28" s="4"/>
      <c r="O28" s="4" t="s">
        <v>126</v>
      </c>
      <c r="P28" s="4"/>
      <c r="Q28" s="4"/>
      <c r="R28" s="4"/>
      <c r="S28" s="4"/>
      <c r="T28" s="4" t="s">
        <v>128</v>
      </c>
    </row>
    <row r="29" spans="1:20" s="9" customFormat="1" ht="24" customHeight="1" x14ac:dyDescent="0.2">
      <c r="A29" s="4">
        <v>22</v>
      </c>
      <c r="B29" s="6">
        <v>70</v>
      </c>
      <c r="C29" s="11" t="s">
        <v>179</v>
      </c>
      <c r="D29" s="11" t="s">
        <v>180</v>
      </c>
      <c r="E29" s="7" t="s">
        <v>141</v>
      </c>
      <c r="F29" s="4" t="s">
        <v>124</v>
      </c>
      <c r="G29" s="4" t="s">
        <v>126</v>
      </c>
      <c r="H29" s="4" t="s">
        <v>127</v>
      </c>
      <c r="I29" s="4" t="s">
        <v>124</v>
      </c>
      <c r="J29" s="4" t="s">
        <v>124</v>
      </c>
      <c r="K29" s="4" t="s">
        <v>124</v>
      </c>
      <c r="L29" s="4" t="s">
        <v>127</v>
      </c>
      <c r="M29" s="4" t="s">
        <v>127</v>
      </c>
      <c r="N29" s="4"/>
      <c r="O29" s="4" t="s">
        <v>124</v>
      </c>
      <c r="P29" s="4"/>
      <c r="Q29" s="4"/>
      <c r="R29" s="4"/>
      <c r="S29" s="4"/>
      <c r="T29" s="4" t="s">
        <v>129</v>
      </c>
    </row>
    <row r="30" spans="1:20" s="9" customFormat="1" ht="24" customHeight="1" x14ac:dyDescent="0.2">
      <c r="A30" s="4">
        <v>23</v>
      </c>
      <c r="B30" s="6">
        <v>103</v>
      </c>
      <c r="C30" s="11" t="s">
        <v>181</v>
      </c>
      <c r="D30" s="11" t="s">
        <v>148</v>
      </c>
      <c r="E30" s="7" t="s">
        <v>141</v>
      </c>
      <c r="F30" s="4" t="s">
        <v>124</v>
      </c>
      <c r="G30" s="4" t="s">
        <v>126</v>
      </c>
      <c r="H30" s="4" t="s">
        <v>127</v>
      </c>
      <c r="I30" s="4" t="s">
        <v>127</v>
      </c>
      <c r="J30" s="4" t="s">
        <v>127</v>
      </c>
      <c r="K30" s="4" t="s">
        <v>124</v>
      </c>
      <c r="L30" s="4" t="s">
        <v>124</v>
      </c>
      <c r="M30" s="4" t="s">
        <v>127</v>
      </c>
      <c r="N30" s="4"/>
      <c r="O30" s="4" t="s">
        <v>124</v>
      </c>
      <c r="P30" s="4"/>
      <c r="Q30" s="4"/>
      <c r="R30" s="4"/>
      <c r="S30" s="4"/>
      <c r="T30" s="4" t="s">
        <v>129</v>
      </c>
    </row>
    <row r="31" spans="1:20" s="9" customFormat="1" ht="24" customHeight="1" x14ac:dyDescent="0.2">
      <c r="A31" s="4">
        <v>24</v>
      </c>
      <c r="B31" s="4">
        <v>149</v>
      </c>
      <c r="C31" s="11" t="s">
        <v>182</v>
      </c>
      <c r="D31" s="11" t="s">
        <v>183</v>
      </c>
      <c r="E31" s="7" t="s">
        <v>141</v>
      </c>
      <c r="F31" s="4" t="s">
        <v>124</v>
      </c>
      <c r="G31" s="4" t="s">
        <v>126</v>
      </c>
      <c r="H31" s="4" t="s">
        <v>127</v>
      </c>
      <c r="I31" s="4" t="s">
        <v>127</v>
      </c>
      <c r="J31" s="4" t="s">
        <v>127</v>
      </c>
      <c r="K31" s="4" t="s">
        <v>126</v>
      </c>
      <c r="L31" s="4" t="s">
        <v>124</v>
      </c>
      <c r="M31" s="4" t="s">
        <v>127</v>
      </c>
      <c r="N31" s="4"/>
      <c r="O31" s="4" t="s">
        <v>127</v>
      </c>
      <c r="P31" s="4"/>
      <c r="Q31" s="4"/>
      <c r="R31" s="4"/>
      <c r="S31" s="4"/>
      <c r="T31" s="4" t="s">
        <v>130</v>
      </c>
    </row>
    <row r="32" spans="1:20" s="9" customFormat="1" ht="24" customHeight="1" x14ac:dyDescent="0.2">
      <c r="A32" s="4">
        <v>25</v>
      </c>
      <c r="B32" s="4"/>
      <c r="C32" s="11" t="s">
        <v>184</v>
      </c>
      <c r="D32" s="11"/>
      <c r="E32" s="7" t="s">
        <v>141</v>
      </c>
      <c r="F32" s="4" t="s">
        <v>126</v>
      </c>
      <c r="G32" s="4" t="s">
        <v>126</v>
      </c>
      <c r="H32" s="4" t="s">
        <v>123</v>
      </c>
      <c r="I32" s="4" t="s">
        <v>125</v>
      </c>
      <c r="J32" s="4" t="s">
        <v>125</v>
      </c>
      <c r="K32" s="4" t="s">
        <v>123</v>
      </c>
      <c r="L32" s="4" t="s">
        <v>126</v>
      </c>
      <c r="M32" s="4" t="s">
        <v>126</v>
      </c>
      <c r="N32" s="4"/>
      <c r="O32" s="4" t="s">
        <v>124</v>
      </c>
      <c r="P32" s="4"/>
      <c r="Q32" s="4"/>
      <c r="R32" s="4"/>
      <c r="S32" s="4"/>
      <c r="T32" s="4" t="s">
        <v>132</v>
      </c>
    </row>
    <row r="33" spans="1:20" s="9" customFormat="1" ht="24" customHeight="1" x14ac:dyDescent="0.2">
      <c r="A33" s="61" t="s">
        <v>185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3"/>
    </row>
    <row r="34" spans="1:20" s="9" customFormat="1" ht="24" customHeight="1" x14ac:dyDescent="0.2">
      <c r="A34" s="12">
        <v>26</v>
      </c>
      <c r="B34" s="17">
        <v>61</v>
      </c>
      <c r="C34" s="11" t="s">
        <v>186</v>
      </c>
      <c r="D34" s="13" t="s">
        <v>187</v>
      </c>
      <c r="E34" s="7" t="s">
        <v>141</v>
      </c>
      <c r="F34" s="4" t="s">
        <v>127</v>
      </c>
      <c r="G34" s="4" t="s">
        <v>124</v>
      </c>
      <c r="H34" s="4" t="s">
        <v>127</v>
      </c>
      <c r="I34" s="4" t="s">
        <v>127</v>
      </c>
      <c r="J34" s="4" t="s">
        <v>127</v>
      </c>
      <c r="K34" s="4" t="s">
        <v>124</v>
      </c>
      <c r="L34" s="4" t="s">
        <v>127</v>
      </c>
      <c r="M34" s="4" t="s">
        <v>127</v>
      </c>
      <c r="N34" s="4"/>
      <c r="O34" s="4" t="s">
        <v>127</v>
      </c>
      <c r="P34" s="4"/>
      <c r="Q34" s="4"/>
      <c r="R34" s="4"/>
      <c r="S34" s="4"/>
      <c r="T34" s="4" t="s">
        <v>129</v>
      </c>
    </row>
    <row r="35" spans="1:20" s="9" customFormat="1" ht="24" customHeight="1" x14ac:dyDescent="0.2">
      <c r="A35" s="10">
        <v>27</v>
      </c>
      <c r="B35" s="4">
        <v>79</v>
      </c>
      <c r="C35" s="14" t="s">
        <v>188</v>
      </c>
      <c r="D35" s="15" t="s">
        <v>189</v>
      </c>
      <c r="E35" s="7" t="s">
        <v>141</v>
      </c>
      <c r="F35" s="4" t="s">
        <v>127</v>
      </c>
      <c r="G35" s="4" t="s">
        <v>126</v>
      </c>
      <c r="H35" s="4" t="s">
        <v>126</v>
      </c>
      <c r="I35" s="4" t="s">
        <v>127</v>
      </c>
      <c r="J35" s="4" t="s">
        <v>127</v>
      </c>
      <c r="K35" s="4" t="s">
        <v>124</v>
      </c>
      <c r="L35" s="4" t="s">
        <v>127</v>
      </c>
      <c r="M35" s="4" t="s">
        <v>127</v>
      </c>
      <c r="N35" s="4"/>
      <c r="O35" s="4" t="s">
        <v>124</v>
      </c>
      <c r="P35" s="4"/>
      <c r="Q35" s="4"/>
      <c r="R35" s="4"/>
      <c r="S35" s="4"/>
      <c r="T35" s="4" t="s">
        <v>131</v>
      </c>
    </row>
    <row r="36" spans="1:20" s="9" customFormat="1" ht="24" customHeight="1" x14ac:dyDescent="0.2">
      <c r="A36" s="12">
        <v>28</v>
      </c>
      <c r="B36" s="4">
        <v>16</v>
      </c>
      <c r="C36" s="14" t="s">
        <v>190</v>
      </c>
      <c r="D36" s="15" t="s">
        <v>191</v>
      </c>
      <c r="E36" s="7" t="s">
        <v>141</v>
      </c>
      <c r="F36" s="4" t="s">
        <v>124</v>
      </c>
      <c r="G36" s="4" t="s">
        <v>126</v>
      </c>
      <c r="H36" s="4" t="s">
        <v>124</v>
      </c>
      <c r="I36" s="4" t="s">
        <v>127</v>
      </c>
      <c r="J36" s="4" t="s">
        <v>124</v>
      </c>
      <c r="K36" s="4" t="s">
        <v>127</v>
      </c>
      <c r="L36" s="4" t="s">
        <v>127</v>
      </c>
      <c r="M36" s="4" t="s">
        <v>127</v>
      </c>
      <c r="N36" s="4"/>
      <c r="O36" s="4" t="s">
        <v>124</v>
      </c>
      <c r="P36" s="4"/>
      <c r="Q36" s="4"/>
      <c r="R36" s="4"/>
      <c r="S36" s="4"/>
      <c r="T36" s="4" t="s">
        <v>130</v>
      </c>
    </row>
    <row r="37" spans="1:20" s="9" customFormat="1" ht="24" customHeight="1" x14ac:dyDescent="0.2">
      <c r="A37" s="10">
        <v>29</v>
      </c>
      <c r="B37" s="4">
        <v>78</v>
      </c>
      <c r="C37" s="14" t="s">
        <v>192</v>
      </c>
      <c r="D37" s="15" t="s">
        <v>193</v>
      </c>
      <c r="E37" s="7" t="s">
        <v>141</v>
      </c>
      <c r="F37" s="4" t="s">
        <v>126</v>
      </c>
      <c r="G37" s="4" t="s">
        <v>126</v>
      </c>
      <c r="H37" s="4" t="s">
        <v>123</v>
      </c>
      <c r="I37" s="4" t="s">
        <v>126</v>
      </c>
      <c r="J37" s="4" t="s">
        <v>127</v>
      </c>
      <c r="K37" s="4" t="s">
        <v>123</v>
      </c>
      <c r="L37" s="4" t="s">
        <v>124</v>
      </c>
      <c r="M37" s="4" t="s">
        <v>124</v>
      </c>
      <c r="N37" s="4"/>
      <c r="O37" s="4" t="s">
        <v>126</v>
      </c>
      <c r="P37" s="4"/>
      <c r="Q37" s="4"/>
      <c r="R37" s="4"/>
      <c r="S37" s="4"/>
      <c r="T37" s="4" t="s">
        <v>128</v>
      </c>
    </row>
    <row r="38" spans="1:20" s="9" customFormat="1" ht="24" customHeight="1" x14ac:dyDescent="0.2">
      <c r="A38" s="12">
        <v>30</v>
      </c>
      <c r="B38" s="4">
        <v>76</v>
      </c>
      <c r="C38" s="14" t="s">
        <v>194</v>
      </c>
      <c r="D38" s="15" t="s">
        <v>195</v>
      </c>
      <c r="E38" s="7" t="s">
        <v>141</v>
      </c>
      <c r="F38" s="4" t="s">
        <v>124</v>
      </c>
      <c r="G38" s="4" t="s">
        <v>126</v>
      </c>
      <c r="H38" s="4" t="s">
        <v>124</v>
      </c>
      <c r="I38" s="4" t="s">
        <v>126</v>
      </c>
      <c r="J38" s="4" t="s">
        <v>124</v>
      </c>
      <c r="K38" s="4" t="s">
        <v>123</v>
      </c>
      <c r="L38" s="4" t="s">
        <v>124</v>
      </c>
      <c r="M38" s="4" t="s">
        <v>127</v>
      </c>
      <c r="N38" s="4"/>
      <c r="O38" s="4" t="s">
        <v>124</v>
      </c>
      <c r="P38" s="4"/>
      <c r="Q38" s="4"/>
      <c r="R38" s="4"/>
      <c r="S38" s="4"/>
      <c r="T38" s="4" t="s">
        <v>131</v>
      </c>
    </row>
    <row r="39" spans="1:20" s="9" customFormat="1" ht="24" customHeight="1" x14ac:dyDescent="0.2">
      <c r="A39" s="10">
        <v>31</v>
      </c>
      <c r="B39" s="4">
        <v>95</v>
      </c>
      <c r="C39" s="14" t="s">
        <v>196</v>
      </c>
      <c r="D39" s="15" t="s">
        <v>197</v>
      </c>
      <c r="E39" s="7" t="s">
        <v>141</v>
      </c>
      <c r="F39" s="4" t="s">
        <v>124</v>
      </c>
      <c r="G39" s="4" t="s">
        <v>126</v>
      </c>
      <c r="H39" s="4" t="s">
        <v>126</v>
      </c>
      <c r="I39" s="4" t="s">
        <v>124</v>
      </c>
      <c r="J39" s="4" t="s">
        <v>125</v>
      </c>
      <c r="K39" s="4" t="s">
        <v>123</v>
      </c>
      <c r="L39" s="4" t="s">
        <v>123</v>
      </c>
      <c r="M39" s="4" t="s">
        <v>124</v>
      </c>
      <c r="N39" s="4"/>
      <c r="O39" s="4" t="s">
        <v>124</v>
      </c>
      <c r="P39" s="4"/>
      <c r="Q39" s="4"/>
      <c r="R39" s="4"/>
      <c r="S39" s="4"/>
      <c r="T39" s="4" t="s">
        <v>128</v>
      </c>
    </row>
    <row r="40" spans="1:20" s="9" customFormat="1" ht="24" customHeight="1" x14ac:dyDescent="0.2">
      <c r="A40" s="12">
        <v>32</v>
      </c>
      <c r="B40" s="4">
        <v>96</v>
      </c>
      <c r="C40" s="14" t="s">
        <v>198</v>
      </c>
      <c r="D40" s="15" t="s">
        <v>199</v>
      </c>
      <c r="E40" s="7" t="s">
        <v>141</v>
      </c>
      <c r="F40" s="4" t="s">
        <v>124</v>
      </c>
      <c r="G40" s="4" t="s">
        <v>126</v>
      </c>
      <c r="H40" s="4" t="s">
        <v>126</v>
      </c>
      <c r="I40" s="4" t="s">
        <v>124</v>
      </c>
      <c r="J40" s="4" t="s">
        <v>127</v>
      </c>
      <c r="K40" s="4" t="s">
        <v>123</v>
      </c>
      <c r="L40" s="4" t="s">
        <v>126</v>
      </c>
      <c r="M40" s="4" t="s">
        <v>124</v>
      </c>
      <c r="N40" s="4"/>
      <c r="O40" s="4" t="s">
        <v>126</v>
      </c>
      <c r="P40" s="4"/>
      <c r="Q40" s="4"/>
      <c r="R40" s="4"/>
      <c r="S40" s="4"/>
      <c r="T40" s="4" t="s">
        <v>131</v>
      </c>
    </row>
    <row r="41" spans="1:20" s="9" customFormat="1" ht="24" customHeight="1" x14ac:dyDescent="0.2">
      <c r="A41" s="10">
        <v>33</v>
      </c>
      <c r="B41" s="4">
        <v>108</v>
      </c>
      <c r="C41" s="14" t="s">
        <v>200</v>
      </c>
      <c r="D41" s="15" t="s">
        <v>201</v>
      </c>
      <c r="E41" s="7" t="s">
        <v>141</v>
      </c>
      <c r="F41" s="4" t="s">
        <v>124</v>
      </c>
      <c r="G41" s="4" t="s">
        <v>127</v>
      </c>
      <c r="H41" s="4" t="s">
        <v>127</v>
      </c>
      <c r="I41" s="4" t="s">
        <v>124</v>
      </c>
      <c r="J41" s="4" t="s">
        <v>126</v>
      </c>
      <c r="K41" s="4" t="s">
        <v>123</v>
      </c>
      <c r="L41" s="4" t="s">
        <v>126</v>
      </c>
      <c r="M41" s="4" t="s">
        <v>127</v>
      </c>
      <c r="N41" s="4"/>
      <c r="O41" s="4" t="s">
        <v>124</v>
      </c>
      <c r="P41" s="4"/>
      <c r="Q41" s="4"/>
      <c r="R41" s="4"/>
      <c r="S41" s="4"/>
      <c r="T41" s="4" t="s">
        <v>131</v>
      </c>
    </row>
    <row r="42" spans="1:20" s="9" customFormat="1" ht="24" customHeight="1" x14ac:dyDescent="0.2">
      <c r="A42" s="12">
        <v>34</v>
      </c>
      <c r="B42" s="4">
        <v>131</v>
      </c>
      <c r="C42" s="14" t="s">
        <v>202</v>
      </c>
      <c r="D42" s="15" t="s">
        <v>203</v>
      </c>
      <c r="E42" s="7" t="s">
        <v>141</v>
      </c>
      <c r="F42" s="4" t="s">
        <v>127</v>
      </c>
      <c r="G42" s="4" t="s">
        <v>126</v>
      </c>
      <c r="H42" s="4" t="s">
        <v>127</v>
      </c>
      <c r="I42" s="4" t="s">
        <v>127</v>
      </c>
      <c r="J42" s="4" t="s">
        <v>127</v>
      </c>
      <c r="K42" s="4" t="s">
        <v>126</v>
      </c>
      <c r="L42" s="4" t="s">
        <v>124</v>
      </c>
      <c r="M42" s="4" t="s">
        <v>127</v>
      </c>
      <c r="N42" s="4"/>
      <c r="O42" s="4" t="s">
        <v>124</v>
      </c>
      <c r="P42" s="4"/>
      <c r="Q42" s="4"/>
      <c r="R42" s="4"/>
      <c r="S42" s="4"/>
      <c r="T42" s="4" t="s">
        <v>130</v>
      </c>
    </row>
    <row r="43" spans="1:20" s="9" customFormat="1" ht="24" customHeight="1" x14ac:dyDescent="0.2">
      <c r="A43" s="10">
        <v>35</v>
      </c>
      <c r="B43" s="4">
        <v>101</v>
      </c>
      <c r="C43" s="14" t="s">
        <v>204</v>
      </c>
      <c r="D43" s="15" t="s">
        <v>205</v>
      </c>
      <c r="E43" s="7" t="s">
        <v>141</v>
      </c>
      <c r="F43" s="4" t="s">
        <v>124</v>
      </c>
      <c r="G43" s="4" t="s">
        <v>126</v>
      </c>
      <c r="H43" s="4" t="s">
        <v>127</v>
      </c>
      <c r="I43" s="4" t="s">
        <v>127</v>
      </c>
      <c r="J43" s="4" t="s">
        <v>125</v>
      </c>
      <c r="K43" s="4" t="s">
        <v>123</v>
      </c>
      <c r="L43" s="4" t="s">
        <v>127</v>
      </c>
      <c r="M43" s="4" t="s">
        <v>124</v>
      </c>
      <c r="N43" s="4"/>
      <c r="O43" s="4" t="s">
        <v>127</v>
      </c>
      <c r="P43" s="4"/>
      <c r="Q43" s="4"/>
      <c r="R43" s="4"/>
      <c r="S43" s="4"/>
      <c r="T43" s="4" t="s">
        <v>130</v>
      </c>
    </row>
    <row r="44" spans="1:20" s="9" customFormat="1" ht="24" customHeight="1" x14ac:dyDescent="0.2">
      <c r="A44" s="12">
        <v>36</v>
      </c>
      <c r="B44" s="4">
        <v>100</v>
      </c>
      <c r="C44" s="14" t="s">
        <v>206</v>
      </c>
      <c r="D44" s="15" t="s">
        <v>207</v>
      </c>
      <c r="E44" s="7" t="s">
        <v>141</v>
      </c>
      <c r="F44" s="4" t="s">
        <v>124</v>
      </c>
      <c r="G44" s="4" t="s">
        <v>126</v>
      </c>
      <c r="H44" s="4" t="s">
        <v>127</v>
      </c>
      <c r="I44" s="4" t="s">
        <v>126</v>
      </c>
      <c r="J44" s="4" t="s">
        <v>125</v>
      </c>
      <c r="K44" s="4" t="s">
        <v>123</v>
      </c>
      <c r="L44" s="4" t="s">
        <v>124</v>
      </c>
      <c r="M44" s="4" t="s">
        <v>127</v>
      </c>
      <c r="N44" s="4"/>
      <c r="O44" s="4" t="s">
        <v>127</v>
      </c>
      <c r="P44" s="4"/>
      <c r="Q44" s="4"/>
      <c r="R44" s="4"/>
      <c r="S44" s="4"/>
      <c r="T44" s="4" t="s">
        <v>130</v>
      </c>
    </row>
    <row r="45" spans="1:20" s="9" customFormat="1" ht="24" customHeight="1" x14ac:dyDescent="0.2">
      <c r="A45" s="10">
        <v>37</v>
      </c>
      <c r="B45" s="4">
        <v>90</v>
      </c>
      <c r="C45" s="14" t="s">
        <v>208</v>
      </c>
      <c r="D45" s="15" t="s">
        <v>156</v>
      </c>
      <c r="E45" s="7" t="s">
        <v>141</v>
      </c>
      <c r="F45" s="4" t="s">
        <v>124</v>
      </c>
      <c r="G45" s="4" t="s">
        <v>124</v>
      </c>
      <c r="H45" s="4" t="s">
        <v>127</v>
      </c>
      <c r="I45" s="4" t="s">
        <v>127</v>
      </c>
      <c r="J45" s="4" t="s">
        <v>127</v>
      </c>
      <c r="K45" s="4" t="s">
        <v>124</v>
      </c>
      <c r="L45" s="4" t="s">
        <v>127</v>
      </c>
      <c r="M45" s="4" t="s">
        <v>127</v>
      </c>
      <c r="N45" s="4"/>
      <c r="O45" s="4" t="s">
        <v>124</v>
      </c>
      <c r="P45" s="4"/>
      <c r="Q45" s="4"/>
      <c r="R45" s="4"/>
      <c r="S45" s="4"/>
      <c r="T45" s="4" t="s">
        <v>129</v>
      </c>
    </row>
    <row r="46" spans="1:20" s="9" customFormat="1" ht="24" customHeight="1" x14ac:dyDescent="0.2">
      <c r="A46" s="12">
        <v>38</v>
      </c>
      <c r="B46" s="4">
        <v>73</v>
      </c>
      <c r="C46" s="14" t="s">
        <v>209</v>
      </c>
      <c r="D46" s="15" t="s">
        <v>210</v>
      </c>
      <c r="E46" s="7" t="s">
        <v>141</v>
      </c>
      <c r="F46" s="4" t="s">
        <v>124</v>
      </c>
      <c r="G46" s="4" t="s">
        <v>126</v>
      </c>
      <c r="H46" s="4" t="s">
        <v>124</v>
      </c>
      <c r="I46" s="4" t="s">
        <v>126</v>
      </c>
      <c r="J46" s="4" t="s">
        <v>126</v>
      </c>
      <c r="K46" s="4" t="s">
        <v>123</v>
      </c>
      <c r="L46" s="4" t="s">
        <v>127</v>
      </c>
      <c r="M46" s="4" t="s">
        <v>126</v>
      </c>
      <c r="N46" s="4"/>
      <c r="O46" s="4" t="s">
        <v>126</v>
      </c>
      <c r="P46" s="4"/>
      <c r="Q46" s="4"/>
      <c r="R46" s="4"/>
      <c r="S46" s="4"/>
      <c r="T46" s="4" t="s">
        <v>130</v>
      </c>
    </row>
    <row r="47" spans="1:20" s="9" customFormat="1" ht="24" customHeight="1" x14ac:dyDescent="0.2">
      <c r="A47" s="10">
        <v>39</v>
      </c>
      <c r="B47" s="4">
        <v>74</v>
      </c>
      <c r="C47" s="14" t="s">
        <v>211</v>
      </c>
      <c r="D47" s="15" t="s">
        <v>212</v>
      </c>
      <c r="E47" s="7" t="s">
        <v>141</v>
      </c>
      <c r="F47" s="4" t="s">
        <v>127</v>
      </c>
      <c r="G47" s="4" t="s">
        <v>126</v>
      </c>
      <c r="H47" s="4" t="s">
        <v>127</v>
      </c>
      <c r="I47" s="4" t="s">
        <v>126</v>
      </c>
      <c r="J47" s="4" t="s">
        <v>126</v>
      </c>
      <c r="K47" s="4" t="s">
        <v>125</v>
      </c>
      <c r="L47" s="4" t="s">
        <v>127</v>
      </c>
      <c r="M47" s="4" t="s">
        <v>127</v>
      </c>
      <c r="N47" s="4"/>
      <c r="O47" s="4" t="s">
        <v>127</v>
      </c>
      <c r="P47" s="4"/>
      <c r="Q47" s="4"/>
      <c r="R47" s="4"/>
      <c r="S47" s="4"/>
      <c r="T47" s="4" t="s">
        <v>130</v>
      </c>
    </row>
    <row r="48" spans="1:20" s="9" customFormat="1" ht="24" customHeight="1" x14ac:dyDescent="0.2">
      <c r="A48" s="12">
        <v>40</v>
      </c>
      <c r="B48" s="4">
        <v>77</v>
      </c>
      <c r="C48" s="14" t="s">
        <v>213</v>
      </c>
      <c r="D48" s="15" t="s">
        <v>214</v>
      </c>
      <c r="E48" s="7" t="s">
        <v>141</v>
      </c>
      <c r="F48" s="4" t="s">
        <v>123</v>
      </c>
      <c r="G48" s="4" t="s">
        <v>123</v>
      </c>
      <c r="H48" s="4" t="s">
        <v>125</v>
      </c>
      <c r="I48" s="4" t="s">
        <v>125</v>
      </c>
      <c r="J48" s="4" t="s">
        <v>125</v>
      </c>
      <c r="K48" s="4" t="s">
        <v>123</v>
      </c>
      <c r="L48" s="4" t="s">
        <v>124</v>
      </c>
      <c r="M48" s="4" t="s">
        <v>127</v>
      </c>
      <c r="N48" s="4"/>
      <c r="O48" s="4" t="s">
        <v>124</v>
      </c>
      <c r="P48" s="4"/>
      <c r="Q48" s="4"/>
      <c r="R48" s="4"/>
      <c r="S48" s="4"/>
      <c r="T48" s="4" t="s">
        <v>132</v>
      </c>
    </row>
    <row r="49" spans="1:20" s="9" customFormat="1" ht="24" customHeight="1" x14ac:dyDescent="0.2">
      <c r="A49" s="10">
        <v>41</v>
      </c>
      <c r="B49" s="4">
        <v>80</v>
      </c>
      <c r="C49" s="14" t="s">
        <v>215</v>
      </c>
      <c r="D49" s="15" t="s">
        <v>216</v>
      </c>
      <c r="E49" s="7" t="s">
        <v>141</v>
      </c>
      <c r="F49" s="4" t="s">
        <v>123</v>
      </c>
      <c r="G49" s="4" t="s">
        <v>123</v>
      </c>
      <c r="H49" s="4" t="s">
        <v>125</v>
      </c>
      <c r="I49" s="4" t="s">
        <v>126</v>
      </c>
      <c r="J49" s="4" t="s">
        <v>126</v>
      </c>
      <c r="K49" s="4" t="s">
        <v>123</v>
      </c>
      <c r="L49" s="4" t="s">
        <v>123</v>
      </c>
      <c r="M49" s="4" t="s">
        <v>125</v>
      </c>
      <c r="N49" s="4"/>
      <c r="O49" s="4" t="s">
        <v>124</v>
      </c>
      <c r="P49" s="4"/>
      <c r="Q49" s="4"/>
      <c r="R49" s="4"/>
      <c r="S49" s="4"/>
      <c r="T49" s="4" t="s">
        <v>132</v>
      </c>
    </row>
    <row r="50" spans="1:20" s="9" customFormat="1" ht="24" customHeight="1" x14ac:dyDescent="0.2">
      <c r="A50" s="12">
        <v>42</v>
      </c>
      <c r="B50" s="4">
        <v>93</v>
      </c>
      <c r="C50" s="14" t="s">
        <v>217</v>
      </c>
      <c r="D50" s="15" t="s">
        <v>58</v>
      </c>
      <c r="E50" s="7" t="s">
        <v>141</v>
      </c>
      <c r="F50" s="4" t="s">
        <v>127</v>
      </c>
      <c r="G50" s="4" t="s">
        <v>124</v>
      </c>
      <c r="H50" s="4" t="s">
        <v>127</v>
      </c>
      <c r="I50" s="4" t="s">
        <v>127</v>
      </c>
      <c r="J50" s="4" t="s">
        <v>127</v>
      </c>
      <c r="K50" s="4" t="s">
        <v>124</v>
      </c>
      <c r="L50" s="4" t="s">
        <v>127</v>
      </c>
      <c r="M50" s="4" t="s">
        <v>127</v>
      </c>
      <c r="N50" s="4"/>
      <c r="O50" s="4" t="s">
        <v>127</v>
      </c>
      <c r="P50" s="4"/>
      <c r="Q50" s="4"/>
      <c r="R50" s="4"/>
      <c r="S50" s="4"/>
      <c r="T50" s="4" t="s">
        <v>129</v>
      </c>
    </row>
    <row r="51" spans="1:20" s="9" customFormat="1" ht="24" customHeight="1" x14ac:dyDescent="0.2">
      <c r="A51" s="10">
        <v>43</v>
      </c>
      <c r="B51" s="4">
        <v>14</v>
      </c>
      <c r="C51" s="14" t="s">
        <v>218</v>
      </c>
      <c r="D51" s="15" t="s">
        <v>219</v>
      </c>
      <c r="E51" s="7" t="s">
        <v>141</v>
      </c>
      <c r="F51" s="4" t="s">
        <v>123</v>
      </c>
      <c r="G51" s="4" t="s">
        <v>123</v>
      </c>
      <c r="H51" s="4" t="s">
        <v>125</v>
      </c>
      <c r="I51" s="4" t="s">
        <v>125</v>
      </c>
      <c r="J51" s="4" t="s">
        <v>125</v>
      </c>
      <c r="K51" s="4" t="s">
        <v>123</v>
      </c>
      <c r="L51" s="4" t="s">
        <v>124</v>
      </c>
      <c r="M51" s="4" t="s">
        <v>126</v>
      </c>
      <c r="N51" s="4"/>
      <c r="O51" s="4" t="s">
        <v>124</v>
      </c>
      <c r="P51" s="4"/>
      <c r="Q51" s="4"/>
      <c r="R51" s="4"/>
      <c r="S51" s="4"/>
      <c r="T51" s="4" t="s">
        <v>132</v>
      </c>
    </row>
    <row r="52" spans="1:20" s="9" customFormat="1" ht="24" customHeight="1" x14ac:dyDescent="0.2">
      <c r="A52" s="12">
        <v>44</v>
      </c>
      <c r="B52" s="4">
        <v>94</v>
      </c>
      <c r="C52" s="14" t="s">
        <v>220</v>
      </c>
      <c r="D52" s="15" t="s">
        <v>219</v>
      </c>
      <c r="E52" s="7" t="s">
        <v>141</v>
      </c>
      <c r="F52" s="4" t="s">
        <v>126</v>
      </c>
      <c r="G52" s="4" t="s">
        <v>123</v>
      </c>
      <c r="H52" s="4" t="s">
        <v>125</v>
      </c>
      <c r="I52" s="4" t="s">
        <v>124</v>
      </c>
      <c r="J52" s="4" t="s">
        <v>127</v>
      </c>
      <c r="K52" s="4" t="s">
        <v>126</v>
      </c>
      <c r="L52" s="4" t="s">
        <v>124</v>
      </c>
      <c r="M52" s="4" t="s">
        <v>127</v>
      </c>
      <c r="N52" s="4"/>
      <c r="O52" s="4" t="s">
        <v>127</v>
      </c>
      <c r="P52" s="4"/>
      <c r="Q52" s="4"/>
      <c r="R52" s="4"/>
      <c r="S52" s="4"/>
      <c r="T52" s="4" t="s">
        <v>130</v>
      </c>
    </row>
    <row r="53" spans="1:20" s="9" customFormat="1" ht="24" customHeight="1" x14ac:dyDescent="0.2">
      <c r="A53" s="10">
        <v>45</v>
      </c>
      <c r="B53" s="4">
        <v>111</v>
      </c>
      <c r="C53" s="14" t="s">
        <v>221</v>
      </c>
      <c r="D53" s="15" t="s">
        <v>222</v>
      </c>
      <c r="E53" s="7" t="s">
        <v>141</v>
      </c>
      <c r="F53" s="4" t="s">
        <v>127</v>
      </c>
      <c r="G53" s="4" t="s">
        <v>124</v>
      </c>
      <c r="H53" s="4" t="s">
        <v>127</v>
      </c>
      <c r="I53" s="4" t="s">
        <v>127</v>
      </c>
      <c r="J53" s="4" t="s">
        <v>127</v>
      </c>
      <c r="K53" s="4" t="s">
        <v>124</v>
      </c>
      <c r="L53" s="4" t="s">
        <v>127</v>
      </c>
      <c r="M53" s="4" t="s">
        <v>127</v>
      </c>
      <c r="N53" s="4"/>
      <c r="O53" s="4" t="s">
        <v>127</v>
      </c>
      <c r="P53" s="4"/>
      <c r="Q53" s="4"/>
      <c r="R53" s="4"/>
      <c r="S53" s="4"/>
      <c r="T53" s="4" t="s">
        <v>129</v>
      </c>
    </row>
    <row r="54" spans="1:20" s="9" customFormat="1" ht="24" customHeight="1" x14ac:dyDescent="0.2">
      <c r="A54" s="12">
        <v>46</v>
      </c>
      <c r="B54" s="4">
        <v>113</v>
      </c>
      <c r="C54" s="14" t="s">
        <v>223</v>
      </c>
      <c r="D54" s="15" t="s">
        <v>79</v>
      </c>
      <c r="E54" s="7" t="s">
        <v>141</v>
      </c>
      <c r="F54" s="4" t="s">
        <v>127</v>
      </c>
      <c r="G54" s="4" t="s">
        <v>127</v>
      </c>
      <c r="H54" s="4" t="s">
        <v>127</v>
      </c>
      <c r="I54" s="4" t="s">
        <v>124</v>
      </c>
      <c r="J54" s="4" t="s">
        <v>127</v>
      </c>
      <c r="K54" s="4" t="s">
        <v>124</v>
      </c>
      <c r="L54" s="4" t="s">
        <v>127</v>
      </c>
      <c r="M54" s="4" t="s">
        <v>127</v>
      </c>
      <c r="N54" s="4"/>
      <c r="O54" s="4" t="s">
        <v>124</v>
      </c>
      <c r="P54" s="4"/>
      <c r="Q54" s="4"/>
      <c r="R54" s="4"/>
      <c r="S54" s="4"/>
      <c r="T54" s="4" t="s">
        <v>129</v>
      </c>
    </row>
    <row r="55" spans="1:20" s="9" customFormat="1" ht="24" customHeight="1" x14ac:dyDescent="0.2">
      <c r="A55" s="10">
        <v>47</v>
      </c>
      <c r="B55" s="4">
        <v>115</v>
      </c>
      <c r="C55" s="14" t="s">
        <v>224</v>
      </c>
      <c r="D55" s="15" t="s">
        <v>225</v>
      </c>
      <c r="E55" s="7" t="s">
        <v>141</v>
      </c>
      <c r="F55" s="4" t="s">
        <v>127</v>
      </c>
      <c r="G55" s="4" t="s">
        <v>126</v>
      </c>
      <c r="H55" s="4" t="s">
        <v>127</v>
      </c>
      <c r="I55" s="4" t="s">
        <v>125</v>
      </c>
      <c r="J55" s="4" t="s">
        <v>125</v>
      </c>
      <c r="K55" s="4" t="s">
        <v>123</v>
      </c>
      <c r="L55" s="4" t="s">
        <v>124</v>
      </c>
      <c r="M55" s="4" t="s">
        <v>127</v>
      </c>
      <c r="N55" s="4"/>
      <c r="O55" s="4" t="s">
        <v>124</v>
      </c>
      <c r="P55" s="4"/>
      <c r="Q55" s="4"/>
      <c r="R55" s="4"/>
      <c r="S55" s="4"/>
      <c r="T55" s="4" t="s">
        <v>130</v>
      </c>
    </row>
    <row r="56" spans="1:20" s="9" customFormat="1" ht="24" customHeight="1" x14ac:dyDescent="0.2">
      <c r="A56" s="12">
        <v>48</v>
      </c>
      <c r="B56" s="4">
        <v>114</v>
      </c>
      <c r="C56" s="14" t="s">
        <v>226</v>
      </c>
      <c r="D56" s="15" t="s">
        <v>225</v>
      </c>
      <c r="E56" s="7" t="s">
        <v>141</v>
      </c>
      <c r="F56" s="4" t="s">
        <v>127</v>
      </c>
      <c r="G56" s="4" t="s">
        <v>123</v>
      </c>
      <c r="H56" s="4" t="s">
        <v>125</v>
      </c>
      <c r="I56" s="4" t="s">
        <v>125</v>
      </c>
      <c r="J56" s="4" t="s">
        <v>126</v>
      </c>
      <c r="K56" s="4" t="s">
        <v>123</v>
      </c>
      <c r="L56" s="4" t="s">
        <v>127</v>
      </c>
      <c r="M56" s="4" t="s">
        <v>127</v>
      </c>
      <c r="N56" s="4"/>
      <c r="O56" s="4" t="s">
        <v>124</v>
      </c>
      <c r="P56" s="4"/>
      <c r="Q56" s="4"/>
      <c r="R56" s="4"/>
      <c r="S56" s="4"/>
      <c r="T56" s="4" t="s">
        <v>131</v>
      </c>
    </row>
    <row r="57" spans="1:20" s="9" customFormat="1" ht="24" customHeight="1" x14ac:dyDescent="0.2">
      <c r="A57" s="10">
        <v>49</v>
      </c>
      <c r="B57" s="4">
        <v>141</v>
      </c>
      <c r="C57" s="14" t="s">
        <v>227</v>
      </c>
      <c r="D57" s="15" t="s">
        <v>228</v>
      </c>
      <c r="E57" s="7" t="s">
        <v>141</v>
      </c>
      <c r="F57" s="4" t="s">
        <v>127</v>
      </c>
      <c r="G57" s="4" t="s">
        <v>127</v>
      </c>
      <c r="H57" s="4" t="s">
        <v>127</v>
      </c>
      <c r="I57" s="4" t="s">
        <v>127</v>
      </c>
      <c r="J57" s="4" t="s">
        <v>127</v>
      </c>
      <c r="K57" s="4" t="s">
        <v>124</v>
      </c>
      <c r="L57" s="4" t="s">
        <v>127</v>
      </c>
      <c r="M57" s="4" t="s">
        <v>124</v>
      </c>
      <c r="N57" s="4"/>
      <c r="O57" s="4" t="s">
        <v>127</v>
      </c>
      <c r="P57" s="4"/>
      <c r="Q57" s="4"/>
      <c r="R57" s="4"/>
      <c r="S57" s="4"/>
      <c r="T57" s="4" t="s">
        <v>129</v>
      </c>
    </row>
    <row r="58" spans="1:20" s="9" customFormat="1" ht="24" customHeight="1" x14ac:dyDescent="0.2">
      <c r="A58" s="12">
        <v>50</v>
      </c>
      <c r="B58" s="4">
        <v>140</v>
      </c>
      <c r="C58" s="14" t="s">
        <v>229</v>
      </c>
      <c r="D58" s="15" t="s">
        <v>228</v>
      </c>
      <c r="E58" s="7" t="s">
        <v>141</v>
      </c>
      <c r="F58" s="4" t="s">
        <v>127</v>
      </c>
      <c r="G58" s="4" t="s">
        <v>127</v>
      </c>
      <c r="H58" s="4" t="s">
        <v>127</v>
      </c>
      <c r="I58" s="4" t="s">
        <v>127</v>
      </c>
      <c r="J58" s="4" t="s">
        <v>127</v>
      </c>
      <c r="K58" s="4" t="s">
        <v>126</v>
      </c>
      <c r="L58" s="4" t="s">
        <v>127</v>
      </c>
      <c r="M58" s="4" t="s">
        <v>127</v>
      </c>
      <c r="N58" s="4"/>
      <c r="O58" s="4" t="s">
        <v>127</v>
      </c>
      <c r="P58" s="4"/>
      <c r="Q58" s="4"/>
      <c r="R58" s="4"/>
      <c r="S58" s="4"/>
      <c r="T58" s="4" t="s">
        <v>129</v>
      </c>
    </row>
    <row r="59" spans="1:20" s="9" customFormat="1" ht="24" customHeight="1" x14ac:dyDescent="0.2">
      <c r="A59" s="10">
        <v>51</v>
      </c>
      <c r="B59" s="4"/>
      <c r="C59" s="14" t="s">
        <v>230</v>
      </c>
      <c r="D59" s="15"/>
      <c r="E59" s="7" t="s">
        <v>141</v>
      </c>
      <c r="F59" s="4" t="s">
        <v>127</v>
      </c>
      <c r="G59" s="4" t="s">
        <v>126</v>
      </c>
      <c r="H59" s="4" t="s">
        <v>127</v>
      </c>
      <c r="I59" s="4" t="s">
        <v>127</v>
      </c>
      <c r="J59" s="4" t="s">
        <v>124</v>
      </c>
      <c r="K59" s="4" t="s">
        <v>126</v>
      </c>
      <c r="L59" s="4" t="s">
        <v>127</v>
      </c>
      <c r="M59" s="4" t="s">
        <v>124</v>
      </c>
      <c r="N59" s="4"/>
      <c r="O59" s="4" t="s">
        <v>127</v>
      </c>
      <c r="P59" s="4"/>
      <c r="Q59" s="4"/>
      <c r="R59" s="4"/>
      <c r="S59" s="4"/>
      <c r="T59" s="4" t="s">
        <v>130</v>
      </c>
    </row>
    <row r="60" spans="1:20" s="9" customFormat="1" ht="24" customHeight="1" x14ac:dyDescent="0.2">
      <c r="A60" s="12">
        <v>52</v>
      </c>
      <c r="B60" s="4"/>
      <c r="C60" s="14" t="s">
        <v>231</v>
      </c>
      <c r="D60" s="15" t="s">
        <v>232</v>
      </c>
      <c r="E60" s="7" t="s">
        <v>141</v>
      </c>
      <c r="F60" s="4" t="s">
        <v>126</v>
      </c>
      <c r="G60" s="4" t="s">
        <v>127</v>
      </c>
      <c r="H60" s="4" t="s">
        <v>127</v>
      </c>
      <c r="I60" s="4" t="s">
        <v>127</v>
      </c>
      <c r="J60" s="4" t="s">
        <v>124</v>
      </c>
      <c r="K60" s="4" t="s">
        <v>124</v>
      </c>
      <c r="L60" s="4" t="s">
        <v>127</v>
      </c>
      <c r="M60" s="4" t="s">
        <v>127</v>
      </c>
      <c r="N60" s="4"/>
      <c r="O60" s="4" t="s">
        <v>124</v>
      </c>
      <c r="P60" s="4"/>
      <c r="Q60" s="4"/>
      <c r="R60" s="4"/>
      <c r="S60" s="4"/>
      <c r="T60" s="4" t="s">
        <v>129</v>
      </c>
    </row>
    <row r="61" spans="1:20" s="9" customFormat="1" ht="24" customHeight="1" x14ac:dyDescent="0.2">
      <c r="A61" s="10">
        <v>53</v>
      </c>
      <c r="B61" s="4"/>
      <c r="C61" s="14" t="s">
        <v>233</v>
      </c>
      <c r="D61" s="15"/>
      <c r="E61" s="7" t="s">
        <v>141</v>
      </c>
      <c r="F61" s="4" t="s">
        <v>127</v>
      </c>
      <c r="G61" s="4" t="s">
        <v>124</v>
      </c>
      <c r="H61" s="4" t="s">
        <v>127</v>
      </c>
      <c r="I61" s="4" t="s">
        <v>127</v>
      </c>
      <c r="J61" s="4" t="s">
        <v>127</v>
      </c>
      <c r="K61" s="4" t="s">
        <v>124</v>
      </c>
      <c r="L61" s="4" t="s">
        <v>124</v>
      </c>
      <c r="M61" s="4" t="s">
        <v>124</v>
      </c>
      <c r="N61" s="4"/>
      <c r="O61" s="4" t="s">
        <v>127</v>
      </c>
      <c r="P61" s="4"/>
      <c r="Q61" s="4"/>
      <c r="R61" s="4"/>
      <c r="S61" s="4"/>
      <c r="T61" s="4" t="s">
        <v>129</v>
      </c>
    </row>
    <row r="62" spans="1:20" s="9" customFormat="1" ht="24" customHeight="1" x14ac:dyDescent="0.2">
      <c r="A62" s="12">
        <v>54</v>
      </c>
      <c r="B62" s="4">
        <v>72</v>
      </c>
      <c r="C62" s="14" t="s">
        <v>234</v>
      </c>
      <c r="D62" s="15" t="s">
        <v>235</v>
      </c>
      <c r="E62" s="7" t="s">
        <v>141</v>
      </c>
      <c r="F62" s="4" t="s">
        <v>126</v>
      </c>
      <c r="G62" s="4" t="s">
        <v>125</v>
      </c>
      <c r="H62" s="4" t="s">
        <v>125</v>
      </c>
      <c r="I62" s="4" t="s">
        <v>125</v>
      </c>
      <c r="J62" s="4" t="s">
        <v>125</v>
      </c>
      <c r="K62" s="4" t="s">
        <v>123</v>
      </c>
      <c r="L62" s="4" t="s">
        <v>124</v>
      </c>
      <c r="M62" s="4" t="s">
        <v>127</v>
      </c>
      <c r="N62" s="4"/>
      <c r="O62" s="4" t="s">
        <v>127</v>
      </c>
      <c r="P62" s="4"/>
      <c r="Q62" s="4"/>
      <c r="R62" s="4"/>
      <c r="S62" s="4"/>
      <c r="T62" s="4" t="s">
        <v>132</v>
      </c>
    </row>
    <row r="63" spans="1:20" s="9" customFormat="1" ht="24" customHeight="1" x14ac:dyDescent="0.2">
      <c r="A63" s="10">
        <v>55</v>
      </c>
      <c r="B63" s="4">
        <v>92</v>
      </c>
      <c r="C63" s="16" t="s">
        <v>236</v>
      </c>
      <c r="D63" s="16" t="s">
        <v>237</v>
      </c>
      <c r="E63" s="7" t="s">
        <v>141</v>
      </c>
      <c r="F63" s="4" t="s">
        <v>122</v>
      </c>
      <c r="G63" s="4" t="s">
        <v>122</v>
      </c>
      <c r="H63" s="4" t="s">
        <v>122</v>
      </c>
      <c r="I63" s="4" t="s">
        <v>122</v>
      </c>
      <c r="J63" s="4" t="s">
        <v>122</v>
      </c>
      <c r="K63" s="4" t="s">
        <v>122</v>
      </c>
      <c r="L63" s="4" t="s">
        <v>122</v>
      </c>
      <c r="M63" s="4" t="s">
        <v>122</v>
      </c>
      <c r="N63" s="4"/>
      <c r="O63" s="4" t="s">
        <v>122</v>
      </c>
      <c r="P63" s="4"/>
      <c r="Q63" s="4"/>
      <c r="R63" s="4"/>
      <c r="S63" s="4"/>
      <c r="T63" s="4" t="s">
        <v>122</v>
      </c>
    </row>
    <row r="64" spans="1:20" s="9" customFormat="1" ht="24" customHeight="1" x14ac:dyDescent="0.2">
      <c r="A64" s="12">
        <v>56</v>
      </c>
      <c r="B64" s="4"/>
      <c r="C64" s="16" t="s">
        <v>238</v>
      </c>
      <c r="D64" s="16"/>
      <c r="E64" s="7" t="s">
        <v>141</v>
      </c>
      <c r="F64" s="4" t="s">
        <v>127</v>
      </c>
      <c r="G64" s="4" t="s">
        <v>127</v>
      </c>
      <c r="H64" s="4" t="s">
        <v>127</v>
      </c>
      <c r="I64" s="4" t="s">
        <v>127</v>
      </c>
      <c r="J64" s="4" t="s">
        <v>127</v>
      </c>
      <c r="K64" s="4" t="s">
        <v>127</v>
      </c>
      <c r="L64" s="4" t="s">
        <v>124</v>
      </c>
      <c r="M64" s="4" t="s">
        <v>124</v>
      </c>
      <c r="N64" s="4"/>
      <c r="O64" s="4" t="s">
        <v>127</v>
      </c>
      <c r="P64" s="4"/>
      <c r="Q64" s="4"/>
      <c r="R64" s="4"/>
      <c r="S64" s="4"/>
      <c r="T64" s="4" t="s">
        <v>129</v>
      </c>
    </row>
  </sheetData>
  <mergeCells count="16">
    <mergeCell ref="A7:T7"/>
    <mergeCell ref="A33:T33"/>
    <mergeCell ref="A3:T3"/>
    <mergeCell ref="A1:T1"/>
    <mergeCell ref="A2:T2"/>
    <mergeCell ref="A4:A6"/>
    <mergeCell ref="B4:B6"/>
    <mergeCell ref="C4:C6"/>
    <mergeCell ref="D4:D6"/>
    <mergeCell ref="E4:E6"/>
    <mergeCell ref="F4:O4"/>
    <mergeCell ref="P4:P5"/>
    <mergeCell ref="Q4:Q6"/>
    <mergeCell ref="R4:R6"/>
    <mergeCell ref="S4:S6"/>
    <mergeCell ref="T4:T6"/>
  </mergeCells>
  <conditionalFormatting sqref="B8:B32">
    <cfRule type="duplicateValues" dxfId="33" priority="2"/>
  </conditionalFormatting>
  <conditionalFormatting sqref="B34:B62">
    <cfRule type="duplicateValues" dxfId="3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CB2D-A8F5-4916-AA16-0702A0B570FF}">
  <dimension ref="A1:P64"/>
  <sheetViews>
    <sheetView workbookViewId="0">
      <selection activeCell="A3" sqref="A3:P3"/>
    </sheetView>
  </sheetViews>
  <sheetFormatPr defaultRowHeight="15" x14ac:dyDescent="0.25"/>
  <cols>
    <col min="1" max="2" width="3.140625" bestFit="1" customWidth="1"/>
    <col min="3" max="3" width="14.42578125" bestFit="1" customWidth="1"/>
    <col min="4" max="4" width="15" bestFit="1" customWidth="1"/>
    <col min="6" max="15" width="7.7109375" customWidth="1"/>
  </cols>
  <sheetData>
    <row r="1" spans="1:16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 x14ac:dyDescent="0.25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</row>
    <row r="3" spans="1:16" x14ac:dyDescent="0.25">
      <c r="A3" s="57" t="s">
        <v>239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 spans="1:16" x14ac:dyDescent="0.25">
      <c r="A4" s="52" t="s">
        <v>2</v>
      </c>
      <c r="B4" s="52" t="s">
        <v>3</v>
      </c>
      <c r="C4" s="52" t="s">
        <v>5</v>
      </c>
      <c r="D4" s="52" t="s">
        <v>6</v>
      </c>
      <c r="E4" s="53" t="s">
        <v>4</v>
      </c>
      <c r="F4" s="56" t="s">
        <v>7</v>
      </c>
      <c r="G4" s="56"/>
      <c r="H4" s="56"/>
      <c r="I4" s="56"/>
      <c r="J4" s="56"/>
      <c r="K4" s="56"/>
      <c r="L4" s="52" t="s">
        <v>15</v>
      </c>
      <c r="M4" s="52" t="s">
        <v>16</v>
      </c>
      <c r="N4" s="52" t="s">
        <v>17</v>
      </c>
      <c r="O4" s="52" t="s">
        <v>13</v>
      </c>
      <c r="P4" s="52" t="s">
        <v>18</v>
      </c>
    </row>
    <row r="5" spans="1:16" ht="47.25" x14ac:dyDescent="0.25">
      <c r="A5" s="52"/>
      <c r="B5" s="52"/>
      <c r="C5" s="52"/>
      <c r="D5" s="52"/>
      <c r="E5" s="54"/>
      <c r="F5" s="2" t="s">
        <v>240</v>
      </c>
      <c r="G5" s="2" t="s">
        <v>10</v>
      </c>
      <c r="H5" s="2" t="s">
        <v>135</v>
      </c>
      <c r="I5" s="2" t="s">
        <v>11</v>
      </c>
      <c r="J5" s="2" t="s">
        <v>136</v>
      </c>
      <c r="K5" s="2" t="s">
        <v>241</v>
      </c>
      <c r="L5" s="52"/>
      <c r="M5" s="52"/>
      <c r="N5" s="52"/>
      <c r="O5" s="52"/>
      <c r="P5" s="52"/>
    </row>
    <row r="6" spans="1:16" x14ac:dyDescent="0.25">
      <c r="A6" s="52"/>
      <c r="B6" s="52"/>
      <c r="C6" s="52"/>
      <c r="D6" s="52"/>
      <c r="E6" s="55"/>
      <c r="F6" s="3">
        <v>50</v>
      </c>
      <c r="G6" s="3">
        <v>50</v>
      </c>
      <c r="H6" s="3">
        <v>50</v>
      </c>
      <c r="I6" s="3">
        <v>30</v>
      </c>
      <c r="J6" s="3">
        <v>30</v>
      </c>
      <c r="K6" s="3" t="s">
        <v>319</v>
      </c>
      <c r="L6" s="3">
        <f>SUM(F6:J6)</f>
        <v>210</v>
      </c>
      <c r="M6" s="52"/>
      <c r="N6" s="52"/>
      <c r="O6" s="52"/>
      <c r="P6" s="52"/>
    </row>
    <row r="7" spans="1:16" ht="20.100000000000001" customHeight="1" x14ac:dyDescent="0.35">
      <c r="A7" s="58" t="s">
        <v>185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60"/>
    </row>
    <row r="8" spans="1:16" ht="20.100000000000001" customHeight="1" x14ac:dyDescent="0.25">
      <c r="A8" s="24">
        <v>1</v>
      </c>
      <c r="B8" s="25"/>
      <c r="C8" s="26" t="s">
        <v>320</v>
      </c>
      <c r="D8" s="27" t="s">
        <v>321</v>
      </c>
      <c r="E8" s="24" t="s">
        <v>322</v>
      </c>
      <c r="F8" s="4">
        <v>30</v>
      </c>
      <c r="G8" s="4">
        <v>33</v>
      </c>
      <c r="H8" s="4">
        <v>49</v>
      </c>
      <c r="I8" s="4">
        <v>28</v>
      </c>
      <c r="J8" s="4">
        <v>24</v>
      </c>
      <c r="K8" s="4" t="s">
        <v>126</v>
      </c>
      <c r="L8" s="4">
        <v>210</v>
      </c>
      <c r="M8" s="4">
        <f>SUM(F8:J8)</f>
        <v>164</v>
      </c>
      <c r="N8" s="22">
        <f>M8/L8</f>
        <v>0.78095238095238095</v>
      </c>
      <c r="O8" s="4">
        <v>24</v>
      </c>
      <c r="P8" s="4"/>
    </row>
    <row r="9" spans="1:16" ht="20.100000000000001" customHeight="1" x14ac:dyDescent="0.25">
      <c r="A9" s="7">
        <v>2</v>
      </c>
      <c r="B9" s="19"/>
      <c r="C9" s="26" t="s">
        <v>320</v>
      </c>
      <c r="D9" s="27" t="s">
        <v>323</v>
      </c>
      <c r="E9" s="24" t="s">
        <v>322</v>
      </c>
      <c r="F9" s="4">
        <v>40</v>
      </c>
      <c r="G9" s="4">
        <v>31</v>
      </c>
      <c r="H9" s="4">
        <v>50</v>
      </c>
      <c r="I9" s="4">
        <v>28</v>
      </c>
      <c r="J9" s="4">
        <v>17</v>
      </c>
      <c r="K9" s="4" t="s">
        <v>124</v>
      </c>
      <c r="L9" s="4">
        <v>210</v>
      </c>
      <c r="M9" s="4">
        <f t="shared" ref="M9:M39" si="0">SUM(F9:J9)</f>
        <v>166</v>
      </c>
      <c r="N9" s="22">
        <f t="shared" ref="N9:N39" si="1">M9/L9</f>
        <v>0.79047619047619044</v>
      </c>
      <c r="O9" s="4">
        <v>22</v>
      </c>
      <c r="P9" s="4"/>
    </row>
    <row r="10" spans="1:16" ht="20.100000000000001" customHeight="1" x14ac:dyDescent="0.25">
      <c r="A10" s="24">
        <v>3</v>
      </c>
      <c r="B10" s="19"/>
      <c r="C10" s="26" t="s">
        <v>324</v>
      </c>
      <c r="D10" s="27" t="s">
        <v>325</v>
      </c>
      <c r="E10" s="24" t="s">
        <v>322</v>
      </c>
      <c r="F10" s="4">
        <v>34</v>
      </c>
      <c r="G10" s="4">
        <v>30</v>
      </c>
      <c r="H10" s="4">
        <v>46</v>
      </c>
      <c r="I10" s="4">
        <v>20</v>
      </c>
      <c r="J10" s="4">
        <v>20</v>
      </c>
      <c r="K10" s="4" t="s">
        <v>126</v>
      </c>
      <c r="L10" s="4">
        <v>210</v>
      </c>
      <c r="M10" s="4">
        <f t="shared" si="0"/>
        <v>150</v>
      </c>
      <c r="N10" s="22">
        <f t="shared" si="1"/>
        <v>0.7142857142857143</v>
      </c>
      <c r="O10" s="4">
        <v>22</v>
      </c>
      <c r="P10" s="4"/>
    </row>
    <row r="11" spans="1:16" ht="20.100000000000001" customHeight="1" x14ac:dyDescent="0.25">
      <c r="A11" s="7">
        <v>4</v>
      </c>
      <c r="B11" s="19"/>
      <c r="C11" s="26" t="s">
        <v>326</v>
      </c>
      <c r="D11" s="27" t="s">
        <v>327</v>
      </c>
      <c r="E11" s="24" t="s">
        <v>322</v>
      </c>
      <c r="F11" s="4">
        <v>43</v>
      </c>
      <c r="G11" s="4">
        <v>33</v>
      </c>
      <c r="H11" s="4">
        <v>42</v>
      </c>
      <c r="I11" s="4">
        <v>24</v>
      </c>
      <c r="J11" s="4">
        <v>18</v>
      </c>
      <c r="K11" s="4" t="s">
        <v>126</v>
      </c>
      <c r="L11" s="4">
        <v>210</v>
      </c>
      <c r="M11" s="4">
        <f t="shared" si="0"/>
        <v>160</v>
      </c>
      <c r="N11" s="22">
        <f t="shared" si="1"/>
        <v>0.76190476190476186</v>
      </c>
      <c r="O11" s="4">
        <v>18</v>
      </c>
      <c r="P11" s="4"/>
    </row>
    <row r="12" spans="1:16" ht="20.100000000000001" customHeight="1" x14ac:dyDescent="0.25">
      <c r="A12" s="24">
        <v>5</v>
      </c>
      <c r="B12" s="19"/>
      <c r="C12" s="26" t="s">
        <v>112</v>
      </c>
      <c r="D12" s="27" t="s">
        <v>328</v>
      </c>
      <c r="E12" s="24" t="s">
        <v>322</v>
      </c>
      <c r="F12" s="4">
        <v>40</v>
      </c>
      <c r="G12" s="4">
        <v>30</v>
      </c>
      <c r="H12" s="4">
        <v>47</v>
      </c>
      <c r="I12" s="4">
        <v>28</v>
      </c>
      <c r="J12" s="4">
        <v>27</v>
      </c>
      <c r="K12" s="4" t="s">
        <v>126</v>
      </c>
      <c r="L12" s="4">
        <v>210</v>
      </c>
      <c r="M12" s="4">
        <f t="shared" si="0"/>
        <v>172</v>
      </c>
      <c r="N12" s="22">
        <f t="shared" si="1"/>
        <v>0.81904761904761902</v>
      </c>
      <c r="O12" s="4">
        <v>26</v>
      </c>
      <c r="P12" s="4"/>
    </row>
    <row r="13" spans="1:16" ht="20.100000000000001" customHeight="1" x14ac:dyDescent="0.25">
      <c r="A13" s="7">
        <v>6</v>
      </c>
      <c r="B13" s="19"/>
      <c r="C13" s="26" t="s">
        <v>329</v>
      </c>
      <c r="D13" s="27" t="s">
        <v>330</v>
      </c>
      <c r="E13" s="24" t="s">
        <v>322</v>
      </c>
      <c r="F13" s="4">
        <v>31</v>
      </c>
      <c r="G13" s="4">
        <v>35</v>
      </c>
      <c r="H13" s="4">
        <v>41</v>
      </c>
      <c r="I13" s="4">
        <v>25</v>
      </c>
      <c r="J13" s="4">
        <v>17</v>
      </c>
      <c r="K13" s="4" t="s">
        <v>124</v>
      </c>
      <c r="L13" s="4">
        <v>210</v>
      </c>
      <c r="M13" s="4">
        <f t="shared" si="0"/>
        <v>149</v>
      </c>
      <c r="N13" s="22">
        <f t="shared" si="1"/>
        <v>0.70952380952380956</v>
      </c>
      <c r="O13" s="4">
        <v>24</v>
      </c>
      <c r="P13" s="4"/>
    </row>
    <row r="14" spans="1:16" ht="20.100000000000001" customHeight="1" x14ac:dyDescent="0.25">
      <c r="A14" s="24">
        <v>7</v>
      </c>
      <c r="B14" s="19"/>
      <c r="C14" s="26" t="s">
        <v>331</v>
      </c>
      <c r="D14" s="27" t="s">
        <v>332</v>
      </c>
      <c r="E14" s="24" t="s">
        <v>322</v>
      </c>
      <c r="F14" s="4">
        <v>34</v>
      </c>
      <c r="G14" s="4">
        <v>37</v>
      </c>
      <c r="H14" s="4">
        <v>45</v>
      </c>
      <c r="I14" s="4">
        <v>20</v>
      </c>
      <c r="J14" s="4">
        <v>17</v>
      </c>
      <c r="K14" s="4" t="s">
        <v>126</v>
      </c>
      <c r="L14" s="4">
        <v>210</v>
      </c>
      <c r="M14" s="4">
        <f t="shared" si="0"/>
        <v>153</v>
      </c>
      <c r="N14" s="22">
        <f t="shared" si="1"/>
        <v>0.72857142857142854</v>
      </c>
      <c r="O14" s="4">
        <v>24</v>
      </c>
      <c r="P14" s="4"/>
    </row>
    <row r="15" spans="1:16" ht="20.100000000000001" customHeight="1" x14ac:dyDescent="0.25">
      <c r="A15" s="7">
        <v>8</v>
      </c>
      <c r="B15" s="19"/>
      <c r="C15" s="26" t="s">
        <v>333</v>
      </c>
      <c r="D15" s="27" t="s">
        <v>334</v>
      </c>
      <c r="E15" s="24" t="s">
        <v>322</v>
      </c>
      <c r="F15" s="23" t="s">
        <v>124</v>
      </c>
      <c r="G15" s="23" t="s">
        <v>124</v>
      </c>
      <c r="H15" s="23" t="s">
        <v>124</v>
      </c>
      <c r="I15" s="23" t="s">
        <v>124</v>
      </c>
      <c r="J15" s="23">
        <v>17</v>
      </c>
      <c r="K15" s="23" t="s">
        <v>126</v>
      </c>
      <c r="L15" s="4">
        <v>210</v>
      </c>
      <c r="M15" s="4">
        <f t="shared" si="0"/>
        <v>17</v>
      </c>
      <c r="N15" s="22">
        <f t="shared" si="1"/>
        <v>8.0952380952380956E-2</v>
      </c>
      <c r="O15" s="4">
        <v>23</v>
      </c>
      <c r="P15" s="4"/>
    </row>
    <row r="16" spans="1:16" ht="20.100000000000001" customHeight="1" x14ac:dyDescent="0.25">
      <c r="A16" s="24">
        <v>9</v>
      </c>
      <c r="B16" s="19"/>
      <c r="C16" s="26" t="s">
        <v>96</v>
      </c>
      <c r="D16" s="27" t="s">
        <v>254</v>
      </c>
      <c r="E16" s="24" t="s">
        <v>322</v>
      </c>
      <c r="F16" s="4">
        <v>40</v>
      </c>
      <c r="G16" s="4">
        <v>38</v>
      </c>
      <c r="H16" s="4">
        <v>46</v>
      </c>
      <c r="I16" s="4">
        <v>24</v>
      </c>
      <c r="J16" s="4">
        <v>24</v>
      </c>
      <c r="K16" s="4" t="s">
        <v>126</v>
      </c>
      <c r="L16" s="4">
        <v>210</v>
      </c>
      <c r="M16" s="4">
        <f t="shared" si="0"/>
        <v>172</v>
      </c>
      <c r="N16" s="22">
        <f t="shared" si="1"/>
        <v>0.81904761904761902</v>
      </c>
      <c r="O16" s="4">
        <v>26</v>
      </c>
      <c r="P16" s="4"/>
    </row>
    <row r="17" spans="1:16" ht="20.100000000000001" customHeight="1" x14ac:dyDescent="0.25">
      <c r="A17" s="7">
        <v>10</v>
      </c>
      <c r="B17" s="19"/>
      <c r="C17" s="26" t="s">
        <v>335</v>
      </c>
      <c r="D17" s="27" t="s">
        <v>336</v>
      </c>
      <c r="E17" s="24" t="s">
        <v>322</v>
      </c>
      <c r="F17" s="4">
        <v>42</v>
      </c>
      <c r="G17" s="4">
        <v>46</v>
      </c>
      <c r="H17" s="4">
        <v>50</v>
      </c>
      <c r="I17" s="4">
        <v>29</v>
      </c>
      <c r="J17" s="4">
        <v>39</v>
      </c>
      <c r="K17" s="4" t="s">
        <v>124</v>
      </c>
      <c r="L17" s="4">
        <v>210</v>
      </c>
      <c r="M17" s="4">
        <f t="shared" si="0"/>
        <v>206</v>
      </c>
      <c r="N17" s="22">
        <f t="shared" si="1"/>
        <v>0.98095238095238091</v>
      </c>
      <c r="O17" s="4">
        <v>26</v>
      </c>
      <c r="P17" s="4"/>
    </row>
    <row r="18" spans="1:16" ht="20.100000000000001" customHeight="1" x14ac:dyDescent="0.25">
      <c r="A18" s="24">
        <v>11</v>
      </c>
      <c r="B18" s="19"/>
      <c r="C18" s="26" t="s">
        <v>337</v>
      </c>
      <c r="D18" s="27" t="s">
        <v>338</v>
      </c>
      <c r="E18" s="24" t="s">
        <v>322</v>
      </c>
      <c r="F18" s="4">
        <v>34</v>
      </c>
      <c r="G18" s="4">
        <v>37</v>
      </c>
      <c r="H18" s="4">
        <v>36</v>
      </c>
      <c r="I18" s="4">
        <v>17</v>
      </c>
      <c r="J18" s="4">
        <v>17</v>
      </c>
      <c r="K18" s="4" t="s">
        <v>124</v>
      </c>
      <c r="L18" s="4">
        <v>210</v>
      </c>
      <c r="M18" s="4">
        <f t="shared" si="0"/>
        <v>141</v>
      </c>
      <c r="N18" s="22">
        <f t="shared" si="1"/>
        <v>0.67142857142857137</v>
      </c>
      <c r="O18" s="4">
        <v>20</v>
      </c>
      <c r="P18" s="4"/>
    </row>
    <row r="19" spans="1:16" ht="20.100000000000001" customHeight="1" x14ac:dyDescent="0.25">
      <c r="A19" s="7">
        <v>12</v>
      </c>
      <c r="B19" s="19"/>
      <c r="C19" s="26" t="s">
        <v>339</v>
      </c>
      <c r="D19" s="27" t="s">
        <v>340</v>
      </c>
      <c r="E19" s="24" t="s">
        <v>322</v>
      </c>
      <c r="F19" s="4">
        <v>33</v>
      </c>
      <c r="G19" s="4">
        <v>35</v>
      </c>
      <c r="H19" s="4">
        <v>45</v>
      </c>
      <c r="I19" s="4">
        <v>21</v>
      </c>
      <c r="J19" s="4">
        <v>17</v>
      </c>
      <c r="K19" s="4" t="s">
        <v>124</v>
      </c>
      <c r="L19" s="4">
        <v>210</v>
      </c>
      <c r="M19" s="4">
        <f t="shared" si="0"/>
        <v>151</v>
      </c>
      <c r="N19" s="22">
        <f t="shared" si="1"/>
        <v>0.71904761904761905</v>
      </c>
      <c r="O19" s="4">
        <v>24</v>
      </c>
      <c r="P19" s="4"/>
    </row>
    <row r="20" spans="1:16" ht="20.100000000000001" customHeight="1" x14ac:dyDescent="0.25">
      <c r="A20" s="24">
        <v>13</v>
      </c>
      <c r="B20" s="19"/>
      <c r="C20" s="26" t="s">
        <v>339</v>
      </c>
      <c r="D20" s="27" t="s">
        <v>220</v>
      </c>
      <c r="E20" s="24" t="s">
        <v>322</v>
      </c>
      <c r="F20" s="4">
        <v>38</v>
      </c>
      <c r="G20" s="4" t="s">
        <v>122</v>
      </c>
      <c r="H20" s="4">
        <v>50</v>
      </c>
      <c r="I20" s="4">
        <v>28</v>
      </c>
      <c r="J20" s="4">
        <v>17</v>
      </c>
      <c r="K20" s="4" t="s">
        <v>126</v>
      </c>
      <c r="L20" s="4">
        <v>210</v>
      </c>
      <c r="M20" s="4">
        <f t="shared" si="0"/>
        <v>133</v>
      </c>
      <c r="N20" s="22">
        <f t="shared" si="1"/>
        <v>0.6333333333333333</v>
      </c>
      <c r="O20" s="4">
        <v>25</v>
      </c>
      <c r="P20" s="4"/>
    </row>
    <row r="21" spans="1:16" ht="20.100000000000001" customHeight="1" x14ac:dyDescent="0.25">
      <c r="A21" s="7">
        <v>14</v>
      </c>
      <c r="B21" s="19"/>
      <c r="C21" s="26" t="s">
        <v>208</v>
      </c>
      <c r="D21" s="27" t="s">
        <v>341</v>
      </c>
      <c r="E21" s="24" t="s">
        <v>322</v>
      </c>
      <c r="F21" s="4">
        <v>34</v>
      </c>
      <c r="G21" s="4">
        <v>21</v>
      </c>
      <c r="H21" s="4">
        <v>31</v>
      </c>
      <c r="I21" s="4">
        <v>10</v>
      </c>
      <c r="J21" s="4">
        <v>17</v>
      </c>
      <c r="K21" s="4" t="s">
        <v>124</v>
      </c>
      <c r="L21" s="4">
        <v>210</v>
      </c>
      <c r="M21" s="4">
        <f t="shared" si="0"/>
        <v>113</v>
      </c>
      <c r="N21" s="22">
        <f t="shared" si="1"/>
        <v>0.53809523809523807</v>
      </c>
      <c r="O21" s="4">
        <v>26</v>
      </c>
      <c r="P21" s="4"/>
    </row>
    <row r="22" spans="1:16" ht="20.100000000000001" customHeight="1" x14ac:dyDescent="0.25">
      <c r="A22" s="24">
        <v>15</v>
      </c>
      <c r="B22" s="19"/>
      <c r="C22" s="26" t="s">
        <v>342</v>
      </c>
      <c r="D22" s="27" t="s">
        <v>343</v>
      </c>
      <c r="E22" s="24" t="s">
        <v>322</v>
      </c>
      <c r="F22" s="4">
        <v>44</v>
      </c>
      <c r="G22" s="4" t="s">
        <v>122</v>
      </c>
      <c r="H22" s="4">
        <v>48</v>
      </c>
      <c r="I22" s="4">
        <v>28</v>
      </c>
      <c r="J22" s="4">
        <v>17</v>
      </c>
      <c r="K22" s="4" t="s">
        <v>126</v>
      </c>
      <c r="L22" s="4">
        <v>210</v>
      </c>
      <c r="M22" s="4">
        <f t="shared" si="0"/>
        <v>137</v>
      </c>
      <c r="N22" s="22">
        <f t="shared" si="1"/>
        <v>0.65238095238095239</v>
      </c>
      <c r="O22" s="4">
        <v>27</v>
      </c>
      <c r="P22" s="4"/>
    </row>
    <row r="23" spans="1:16" ht="20.100000000000001" customHeight="1" x14ac:dyDescent="0.25">
      <c r="A23" s="7">
        <v>16</v>
      </c>
      <c r="B23" s="19"/>
      <c r="C23" s="26" t="s">
        <v>344</v>
      </c>
      <c r="D23" s="27" t="s">
        <v>258</v>
      </c>
      <c r="E23" s="24" t="s">
        <v>322</v>
      </c>
      <c r="F23" s="4">
        <v>27</v>
      </c>
      <c r="G23" s="4">
        <v>31</v>
      </c>
      <c r="H23" s="4">
        <v>29</v>
      </c>
      <c r="I23" s="4">
        <v>23</v>
      </c>
      <c r="J23" s="4">
        <v>24</v>
      </c>
      <c r="K23" s="4" t="s">
        <v>124</v>
      </c>
      <c r="L23" s="4">
        <v>210</v>
      </c>
      <c r="M23" s="4">
        <f t="shared" si="0"/>
        <v>134</v>
      </c>
      <c r="N23" s="22">
        <f t="shared" si="1"/>
        <v>0.63809523809523805</v>
      </c>
      <c r="O23" s="4">
        <v>22</v>
      </c>
      <c r="P23" s="4"/>
    </row>
    <row r="24" spans="1:16" ht="20.100000000000001" customHeight="1" x14ac:dyDescent="0.25">
      <c r="A24" s="24">
        <v>17</v>
      </c>
      <c r="B24" s="19"/>
      <c r="C24" s="26" t="s">
        <v>345</v>
      </c>
      <c r="D24" s="27" t="s">
        <v>346</v>
      </c>
      <c r="E24" s="24" t="s">
        <v>322</v>
      </c>
      <c r="F24" s="4">
        <v>29</v>
      </c>
      <c r="G24" s="4">
        <v>32</v>
      </c>
      <c r="H24" s="4">
        <v>32</v>
      </c>
      <c r="I24" s="4">
        <v>18</v>
      </c>
      <c r="J24" s="4">
        <v>17</v>
      </c>
      <c r="K24" s="4" t="s">
        <v>124</v>
      </c>
      <c r="L24" s="4">
        <v>210</v>
      </c>
      <c r="M24" s="4">
        <f t="shared" si="0"/>
        <v>128</v>
      </c>
      <c r="N24" s="22">
        <f t="shared" si="1"/>
        <v>0.60952380952380958</v>
      </c>
      <c r="O24" s="4">
        <v>21</v>
      </c>
      <c r="P24" s="4"/>
    </row>
    <row r="25" spans="1:16" ht="20.100000000000001" customHeight="1" x14ac:dyDescent="0.25">
      <c r="A25" s="7">
        <v>18</v>
      </c>
      <c r="B25" s="19"/>
      <c r="C25" s="26" t="s">
        <v>347</v>
      </c>
      <c r="D25" s="27" t="s">
        <v>341</v>
      </c>
      <c r="E25" s="24" t="s">
        <v>322</v>
      </c>
      <c r="F25" s="4">
        <v>43</v>
      </c>
      <c r="G25" s="4">
        <v>23</v>
      </c>
      <c r="H25" s="4" t="s">
        <v>122</v>
      </c>
      <c r="I25" s="4">
        <v>11</v>
      </c>
      <c r="J25" s="4">
        <v>17</v>
      </c>
      <c r="K25" s="4" t="s">
        <v>124</v>
      </c>
      <c r="L25" s="4">
        <v>210</v>
      </c>
      <c r="M25" s="4">
        <f t="shared" si="0"/>
        <v>94</v>
      </c>
      <c r="N25" s="22">
        <f t="shared" si="1"/>
        <v>0.44761904761904764</v>
      </c>
      <c r="O25" s="4">
        <v>26</v>
      </c>
      <c r="P25" s="4"/>
    </row>
    <row r="26" spans="1:16" ht="20.100000000000001" customHeight="1" x14ac:dyDescent="0.25">
      <c r="A26" s="24">
        <v>19</v>
      </c>
      <c r="B26" s="19"/>
      <c r="C26" s="26" t="s">
        <v>348</v>
      </c>
      <c r="D26" s="27" t="s">
        <v>349</v>
      </c>
      <c r="E26" s="24" t="s">
        <v>322</v>
      </c>
      <c r="F26" s="4">
        <v>44</v>
      </c>
      <c r="G26" s="4">
        <v>44</v>
      </c>
      <c r="H26" s="4">
        <v>49</v>
      </c>
      <c r="I26" s="4">
        <v>29</v>
      </c>
      <c r="J26" s="4">
        <v>36</v>
      </c>
      <c r="K26" s="4" t="s">
        <v>126</v>
      </c>
      <c r="L26" s="4">
        <v>210</v>
      </c>
      <c r="M26" s="4">
        <f t="shared" si="0"/>
        <v>202</v>
      </c>
      <c r="N26" s="22">
        <f t="shared" si="1"/>
        <v>0.96190476190476193</v>
      </c>
      <c r="O26" s="4">
        <v>26</v>
      </c>
      <c r="P26" s="4"/>
    </row>
    <row r="27" spans="1:16" ht="20.100000000000001" customHeight="1" x14ac:dyDescent="0.25">
      <c r="A27" s="7">
        <v>20</v>
      </c>
      <c r="B27" s="19"/>
      <c r="C27" s="26" t="s">
        <v>350</v>
      </c>
      <c r="D27" s="27" t="s">
        <v>351</v>
      </c>
      <c r="E27" s="24" t="s">
        <v>322</v>
      </c>
      <c r="F27" s="4">
        <v>41</v>
      </c>
      <c r="G27" s="4">
        <v>30</v>
      </c>
      <c r="H27" s="4">
        <v>38</v>
      </c>
      <c r="I27" s="4">
        <v>24</v>
      </c>
      <c r="J27" s="4">
        <v>17</v>
      </c>
      <c r="K27" s="4" t="s">
        <v>126</v>
      </c>
      <c r="L27" s="4">
        <v>210</v>
      </c>
      <c r="M27" s="4">
        <f t="shared" si="0"/>
        <v>150</v>
      </c>
      <c r="N27" s="22">
        <f t="shared" si="1"/>
        <v>0.7142857142857143</v>
      </c>
      <c r="O27" s="4">
        <v>26</v>
      </c>
      <c r="P27" s="4"/>
    </row>
    <row r="28" spans="1:16" ht="20.100000000000001" customHeight="1" x14ac:dyDescent="0.25">
      <c r="A28" s="24">
        <v>21</v>
      </c>
      <c r="B28" s="19"/>
      <c r="C28" s="26" t="s">
        <v>352</v>
      </c>
      <c r="D28" s="27" t="s">
        <v>353</v>
      </c>
      <c r="E28" s="24" t="s">
        <v>322</v>
      </c>
      <c r="F28" s="4">
        <v>36</v>
      </c>
      <c r="G28" s="4">
        <v>30</v>
      </c>
      <c r="H28" s="4" t="s">
        <v>122</v>
      </c>
      <c r="I28" s="4">
        <v>25</v>
      </c>
      <c r="J28" s="4">
        <v>17</v>
      </c>
      <c r="K28" s="4" t="s">
        <v>124</v>
      </c>
      <c r="L28" s="4">
        <v>210</v>
      </c>
      <c r="M28" s="4">
        <f t="shared" si="0"/>
        <v>108</v>
      </c>
      <c r="N28" s="22">
        <f t="shared" si="1"/>
        <v>0.51428571428571423</v>
      </c>
      <c r="O28" s="4">
        <v>24</v>
      </c>
      <c r="P28" s="4"/>
    </row>
    <row r="29" spans="1:16" ht="20.100000000000001" customHeight="1" x14ac:dyDescent="0.25">
      <c r="A29" s="7">
        <v>22</v>
      </c>
      <c r="B29" s="19"/>
      <c r="C29" s="26" t="s">
        <v>354</v>
      </c>
      <c r="D29" s="27" t="s">
        <v>355</v>
      </c>
      <c r="E29" s="24" t="s">
        <v>322</v>
      </c>
      <c r="F29" s="4">
        <v>38</v>
      </c>
      <c r="G29" s="4">
        <v>36</v>
      </c>
      <c r="H29" s="4">
        <v>46</v>
      </c>
      <c r="I29" s="4">
        <v>27</v>
      </c>
      <c r="J29" s="4">
        <v>17</v>
      </c>
      <c r="K29" s="4" t="s">
        <v>126</v>
      </c>
      <c r="L29" s="4">
        <v>210</v>
      </c>
      <c r="M29" s="4">
        <f t="shared" si="0"/>
        <v>164</v>
      </c>
      <c r="N29" s="22">
        <f t="shared" si="1"/>
        <v>0.78095238095238095</v>
      </c>
      <c r="O29" s="4">
        <v>26</v>
      </c>
      <c r="P29" s="4"/>
    </row>
    <row r="30" spans="1:16" ht="20.100000000000001" customHeight="1" x14ac:dyDescent="0.25">
      <c r="A30" s="24">
        <v>23</v>
      </c>
      <c r="B30" s="19"/>
      <c r="C30" s="26" t="s">
        <v>356</v>
      </c>
      <c r="D30" s="27" t="s">
        <v>357</v>
      </c>
      <c r="E30" s="24" t="s">
        <v>322</v>
      </c>
      <c r="F30" s="4">
        <v>29</v>
      </c>
      <c r="G30" s="4">
        <v>43</v>
      </c>
      <c r="H30" s="4">
        <v>46</v>
      </c>
      <c r="I30" s="4">
        <v>21</v>
      </c>
      <c r="J30" s="4">
        <v>17</v>
      </c>
      <c r="K30" s="4" t="s">
        <v>126</v>
      </c>
      <c r="L30" s="4">
        <v>210</v>
      </c>
      <c r="M30" s="4">
        <f t="shared" si="0"/>
        <v>156</v>
      </c>
      <c r="N30" s="22">
        <f t="shared" si="1"/>
        <v>0.74285714285714288</v>
      </c>
      <c r="O30" s="4">
        <v>18</v>
      </c>
      <c r="P30" s="4"/>
    </row>
    <row r="31" spans="1:16" ht="20.100000000000001" customHeight="1" x14ac:dyDescent="0.25">
      <c r="A31" s="7">
        <v>24</v>
      </c>
      <c r="B31" s="19"/>
      <c r="C31" s="26" t="s">
        <v>358</v>
      </c>
      <c r="D31" s="27" t="s">
        <v>359</v>
      </c>
      <c r="E31" s="24" t="s">
        <v>322</v>
      </c>
      <c r="F31" s="4">
        <v>41</v>
      </c>
      <c r="G31" s="4">
        <v>42</v>
      </c>
      <c r="H31" s="4">
        <v>48</v>
      </c>
      <c r="I31" s="4">
        <v>27</v>
      </c>
      <c r="J31" s="4">
        <v>37</v>
      </c>
      <c r="K31" s="4" t="s">
        <v>124</v>
      </c>
      <c r="L31" s="4">
        <v>210</v>
      </c>
      <c r="M31" s="4">
        <f t="shared" si="0"/>
        <v>195</v>
      </c>
      <c r="N31" s="22">
        <f t="shared" si="1"/>
        <v>0.9285714285714286</v>
      </c>
      <c r="O31" s="4">
        <v>20</v>
      </c>
      <c r="P31" s="4"/>
    </row>
    <row r="32" spans="1:16" ht="20.100000000000001" customHeight="1" x14ac:dyDescent="0.25">
      <c r="A32" s="24">
        <v>25</v>
      </c>
      <c r="B32" s="19"/>
      <c r="C32" s="26" t="s">
        <v>360</v>
      </c>
      <c r="D32" s="27" t="s">
        <v>361</v>
      </c>
      <c r="E32" s="24" t="s">
        <v>322</v>
      </c>
      <c r="F32" s="4">
        <v>41</v>
      </c>
      <c r="G32" s="4">
        <v>38</v>
      </c>
      <c r="H32" s="4">
        <v>49</v>
      </c>
      <c r="I32" s="4">
        <v>24</v>
      </c>
      <c r="J32" s="4">
        <v>30</v>
      </c>
      <c r="K32" s="4" t="s">
        <v>126</v>
      </c>
      <c r="L32" s="4">
        <v>210</v>
      </c>
      <c r="M32" s="4">
        <f t="shared" si="0"/>
        <v>182</v>
      </c>
      <c r="N32" s="22">
        <f t="shared" si="1"/>
        <v>0.8666666666666667</v>
      </c>
      <c r="O32" s="4">
        <v>22</v>
      </c>
      <c r="P32" s="4"/>
    </row>
    <row r="33" spans="1:16" ht="20.100000000000001" customHeight="1" x14ac:dyDescent="0.25">
      <c r="A33" s="7">
        <v>26</v>
      </c>
      <c r="B33" s="19"/>
      <c r="C33" s="26" t="s">
        <v>310</v>
      </c>
      <c r="D33" s="27" t="s">
        <v>362</v>
      </c>
      <c r="E33" s="24" t="s">
        <v>322</v>
      </c>
      <c r="F33" s="4">
        <v>28</v>
      </c>
      <c r="G33" s="4">
        <v>12</v>
      </c>
      <c r="H33" s="4">
        <v>17</v>
      </c>
      <c r="I33" s="4">
        <v>6</v>
      </c>
      <c r="J33" s="4">
        <v>17</v>
      </c>
      <c r="K33" s="4" t="s">
        <v>124</v>
      </c>
      <c r="L33" s="4">
        <v>210</v>
      </c>
      <c r="M33" s="4">
        <f t="shared" si="0"/>
        <v>80</v>
      </c>
      <c r="N33" s="22">
        <f t="shared" si="1"/>
        <v>0.38095238095238093</v>
      </c>
      <c r="O33" s="4">
        <v>16</v>
      </c>
      <c r="P33" s="4"/>
    </row>
    <row r="34" spans="1:16" ht="20.100000000000001" customHeight="1" x14ac:dyDescent="0.25">
      <c r="A34" s="24">
        <v>27</v>
      </c>
      <c r="B34" s="19"/>
      <c r="C34" s="26" t="s">
        <v>363</v>
      </c>
      <c r="D34" s="27" t="s">
        <v>364</v>
      </c>
      <c r="E34" s="24" t="s">
        <v>322</v>
      </c>
      <c r="F34" s="4">
        <v>36</v>
      </c>
      <c r="G34" s="4">
        <v>42</v>
      </c>
      <c r="H34" s="4">
        <v>49</v>
      </c>
      <c r="I34" s="4">
        <v>21</v>
      </c>
      <c r="J34" s="4">
        <v>25</v>
      </c>
      <c r="K34" s="4" t="s">
        <v>124</v>
      </c>
      <c r="L34" s="4">
        <v>210</v>
      </c>
      <c r="M34" s="4">
        <f t="shared" si="0"/>
        <v>173</v>
      </c>
      <c r="N34" s="22">
        <f t="shared" si="1"/>
        <v>0.82380952380952377</v>
      </c>
      <c r="O34" s="4">
        <v>26</v>
      </c>
      <c r="P34" s="4"/>
    </row>
    <row r="35" spans="1:16" ht="20.100000000000001" customHeight="1" x14ac:dyDescent="0.25">
      <c r="A35" s="7">
        <v>28</v>
      </c>
      <c r="B35" s="19"/>
      <c r="C35" s="26" t="s">
        <v>365</v>
      </c>
      <c r="D35" s="27" t="s">
        <v>366</v>
      </c>
      <c r="E35" s="24" t="s">
        <v>322</v>
      </c>
      <c r="F35" s="4">
        <v>29</v>
      </c>
      <c r="G35" s="4">
        <v>31</v>
      </c>
      <c r="H35" s="4">
        <v>48</v>
      </c>
      <c r="I35" s="4">
        <v>14</v>
      </c>
      <c r="J35" s="4">
        <v>17</v>
      </c>
      <c r="K35" s="4" t="s">
        <v>124</v>
      </c>
      <c r="L35" s="4">
        <v>210</v>
      </c>
      <c r="M35" s="4">
        <f t="shared" si="0"/>
        <v>139</v>
      </c>
      <c r="N35" s="22">
        <f t="shared" si="1"/>
        <v>0.66190476190476188</v>
      </c>
      <c r="O35" s="4">
        <v>20</v>
      </c>
      <c r="P35" s="4"/>
    </row>
    <row r="36" spans="1:16" ht="20.100000000000001" customHeight="1" x14ac:dyDescent="0.25">
      <c r="A36" s="24">
        <v>29</v>
      </c>
      <c r="B36" s="19"/>
      <c r="C36" s="26" t="s">
        <v>367</v>
      </c>
      <c r="D36" s="27" t="s">
        <v>34</v>
      </c>
      <c r="E36" s="24" t="s">
        <v>322</v>
      </c>
      <c r="F36" s="4">
        <v>40</v>
      </c>
      <c r="G36" s="4">
        <v>43</v>
      </c>
      <c r="H36" s="4">
        <v>50</v>
      </c>
      <c r="I36" s="4">
        <v>29</v>
      </c>
      <c r="J36" s="4">
        <v>29</v>
      </c>
      <c r="K36" s="4" t="s">
        <v>126</v>
      </c>
      <c r="L36" s="4">
        <v>210</v>
      </c>
      <c r="M36" s="4">
        <f t="shared" si="0"/>
        <v>191</v>
      </c>
      <c r="N36" s="22">
        <f t="shared" si="1"/>
        <v>0.90952380952380951</v>
      </c>
      <c r="O36" s="4">
        <v>25</v>
      </c>
      <c r="P36" s="4"/>
    </row>
    <row r="37" spans="1:16" ht="20.100000000000001" customHeight="1" x14ac:dyDescent="0.25">
      <c r="A37" s="7">
        <v>30</v>
      </c>
      <c r="B37" s="19"/>
      <c r="C37" s="26" t="s">
        <v>368</v>
      </c>
      <c r="D37" s="27" t="s">
        <v>369</v>
      </c>
      <c r="E37" s="24" t="s">
        <v>322</v>
      </c>
      <c r="F37" s="4" t="s">
        <v>122</v>
      </c>
      <c r="G37" s="4">
        <v>26</v>
      </c>
      <c r="H37" s="4">
        <v>44</v>
      </c>
      <c r="I37" s="4" t="s">
        <v>122</v>
      </c>
      <c r="J37" s="4" t="s">
        <v>122</v>
      </c>
      <c r="K37" s="4" t="s">
        <v>126</v>
      </c>
      <c r="L37" s="4">
        <v>210</v>
      </c>
      <c r="M37" s="4">
        <f t="shared" si="0"/>
        <v>70</v>
      </c>
      <c r="N37" s="22">
        <f t="shared" si="1"/>
        <v>0.33333333333333331</v>
      </c>
      <c r="O37" s="4">
        <v>25</v>
      </c>
      <c r="P37" s="4"/>
    </row>
    <row r="38" spans="1:16" ht="20.100000000000001" customHeight="1" x14ac:dyDescent="0.25">
      <c r="A38" s="24">
        <v>31</v>
      </c>
      <c r="B38" s="19"/>
      <c r="C38" s="26" t="s">
        <v>368</v>
      </c>
      <c r="D38" s="27" t="s">
        <v>370</v>
      </c>
      <c r="E38" s="24" t="s">
        <v>322</v>
      </c>
      <c r="F38" s="4">
        <v>39</v>
      </c>
      <c r="G38" s="4">
        <v>35</v>
      </c>
      <c r="H38" s="4">
        <v>45</v>
      </c>
      <c r="I38" s="4">
        <v>23</v>
      </c>
      <c r="J38" s="4">
        <v>20</v>
      </c>
      <c r="K38" s="4" t="s">
        <v>124</v>
      </c>
      <c r="L38" s="4">
        <v>210</v>
      </c>
      <c r="M38" s="4">
        <f t="shared" si="0"/>
        <v>162</v>
      </c>
      <c r="N38" s="22">
        <f t="shared" si="1"/>
        <v>0.77142857142857146</v>
      </c>
      <c r="O38" s="4">
        <v>19</v>
      </c>
      <c r="P38" s="4"/>
    </row>
    <row r="39" spans="1:16" x14ac:dyDescent="0.25">
      <c r="A39" s="7">
        <v>32</v>
      </c>
      <c r="B39" s="19"/>
      <c r="C39" s="26" t="s">
        <v>371</v>
      </c>
      <c r="D39" s="27" t="s">
        <v>372</v>
      </c>
      <c r="E39" s="24" t="s">
        <v>322</v>
      </c>
      <c r="F39" s="4">
        <v>40</v>
      </c>
      <c r="G39" s="4">
        <v>33</v>
      </c>
      <c r="H39" s="4">
        <v>45</v>
      </c>
      <c r="I39" s="4">
        <v>28</v>
      </c>
      <c r="J39" s="4">
        <v>17</v>
      </c>
      <c r="K39" s="4" t="s">
        <v>126</v>
      </c>
      <c r="L39" s="4">
        <v>210</v>
      </c>
      <c r="M39" s="4">
        <f t="shared" si="0"/>
        <v>163</v>
      </c>
      <c r="N39" s="22">
        <f t="shared" si="1"/>
        <v>0.77619047619047621</v>
      </c>
      <c r="O39" s="4">
        <v>23</v>
      </c>
      <c r="P39" s="4"/>
    </row>
    <row r="40" spans="1:16" ht="20.100000000000001" customHeight="1" x14ac:dyDescent="0.35">
      <c r="A40" s="58" t="s">
        <v>138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60"/>
    </row>
    <row r="41" spans="1:16" ht="20.100000000000001" customHeight="1" x14ac:dyDescent="0.25">
      <c r="A41" s="24">
        <v>1</v>
      </c>
      <c r="B41" s="25"/>
      <c r="C41" s="28" t="s">
        <v>373</v>
      </c>
      <c r="D41" s="29" t="s">
        <v>374</v>
      </c>
      <c r="E41" s="24" t="s">
        <v>322</v>
      </c>
      <c r="F41" s="4">
        <v>35</v>
      </c>
      <c r="G41" s="4">
        <v>39</v>
      </c>
      <c r="H41" s="4">
        <v>47</v>
      </c>
      <c r="I41" s="4">
        <v>25</v>
      </c>
      <c r="J41" s="4">
        <v>18</v>
      </c>
      <c r="K41" s="4" t="s">
        <v>126</v>
      </c>
      <c r="L41" s="4">
        <v>210</v>
      </c>
      <c r="M41" s="4">
        <f>SUM(F41:J41)</f>
        <v>164</v>
      </c>
      <c r="N41" s="22">
        <f>M41/L41</f>
        <v>0.78095238095238095</v>
      </c>
      <c r="O41" s="4">
        <v>26</v>
      </c>
      <c r="P41" s="4"/>
    </row>
    <row r="42" spans="1:16" ht="20.100000000000001" customHeight="1" x14ac:dyDescent="0.25">
      <c r="A42" s="7">
        <v>2</v>
      </c>
      <c r="B42" s="19"/>
      <c r="C42" s="26" t="s">
        <v>251</v>
      </c>
      <c r="D42" s="27" t="s">
        <v>375</v>
      </c>
      <c r="E42" s="24" t="s">
        <v>322</v>
      </c>
      <c r="F42" s="23" t="s">
        <v>124</v>
      </c>
      <c r="G42" s="23" t="s">
        <v>124</v>
      </c>
      <c r="H42" s="23" t="s">
        <v>124</v>
      </c>
      <c r="I42" s="23" t="s">
        <v>124</v>
      </c>
      <c r="J42" s="4">
        <v>20</v>
      </c>
      <c r="K42" s="4" t="s">
        <v>124</v>
      </c>
      <c r="L42" s="4">
        <v>210</v>
      </c>
      <c r="M42" s="4">
        <f t="shared" ref="M42:M64" si="2">SUM(F42:J42)</f>
        <v>20</v>
      </c>
      <c r="N42" s="22">
        <f t="shared" ref="N42:N64" si="3">M42/L42</f>
        <v>9.5238095238095233E-2</v>
      </c>
      <c r="O42" s="4">
        <v>16</v>
      </c>
      <c r="P42" s="4"/>
    </row>
    <row r="43" spans="1:16" ht="20.100000000000001" customHeight="1" x14ac:dyDescent="0.25">
      <c r="A43" s="24">
        <v>3</v>
      </c>
      <c r="B43" s="19"/>
      <c r="C43" s="26" t="s">
        <v>142</v>
      </c>
      <c r="D43" s="27" t="s">
        <v>346</v>
      </c>
      <c r="E43" s="24" t="s">
        <v>322</v>
      </c>
      <c r="F43" s="4">
        <v>38</v>
      </c>
      <c r="G43" s="4">
        <v>34</v>
      </c>
      <c r="H43" s="4">
        <v>34</v>
      </c>
      <c r="I43" s="4">
        <v>10</v>
      </c>
      <c r="J43" s="4">
        <v>20</v>
      </c>
      <c r="K43" s="4" t="s">
        <v>124</v>
      </c>
      <c r="L43" s="4">
        <v>210</v>
      </c>
      <c r="M43" s="4">
        <f t="shared" si="2"/>
        <v>136</v>
      </c>
      <c r="N43" s="22">
        <f t="shared" si="3"/>
        <v>0.64761904761904765</v>
      </c>
      <c r="O43" s="4">
        <v>26</v>
      </c>
      <c r="P43" s="4"/>
    </row>
    <row r="44" spans="1:16" ht="20.100000000000001" customHeight="1" x14ac:dyDescent="0.25">
      <c r="A44" s="7">
        <v>4</v>
      </c>
      <c r="B44" s="19"/>
      <c r="C44" s="26" t="s">
        <v>376</v>
      </c>
      <c r="D44" s="27" t="s">
        <v>377</v>
      </c>
      <c r="E44" s="24" t="s">
        <v>322</v>
      </c>
      <c r="F44" s="4">
        <v>34</v>
      </c>
      <c r="G44" s="4">
        <v>25</v>
      </c>
      <c r="H44" s="4">
        <v>16</v>
      </c>
      <c r="I44" s="4">
        <v>13</v>
      </c>
      <c r="J44" s="4">
        <v>17</v>
      </c>
      <c r="K44" s="4" t="s">
        <v>126</v>
      </c>
      <c r="L44" s="4">
        <v>210</v>
      </c>
      <c r="M44" s="4">
        <f t="shared" si="2"/>
        <v>105</v>
      </c>
      <c r="N44" s="22">
        <f t="shared" si="3"/>
        <v>0.5</v>
      </c>
      <c r="O44" s="4">
        <v>21</v>
      </c>
      <c r="P44" s="4"/>
    </row>
    <row r="45" spans="1:16" ht="20.100000000000001" customHeight="1" x14ac:dyDescent="0.25">
      <c r="A45" s="24">
        <v>5</v>
      </c>
      <c r="B45" s="19"/>
      <c r="C45" s="26" t="s">
        <v>378</v>
      </c>
      <c r="D45" s="27" t="s">
        <v>379</v>
      </c>
      <c r="E45" s="24" t="s">
        <v>322</v>
      </c>
      <c r="F45" s="4">
        <v>42</v>
      </c>
      <c r="G45" s="4">
        <v>48</v>
      </c>
      <c r="H45" s="4">
        <v>46</v>
      </c>
      <c r="I45" s="4">
        <v>27</v>
      </c>
      <c r="J45" s="4">
        <v>34</v>
      </c>
      <c r="K45" s="4" t="s">
        <v>124</v>
      </c>
      <c r="L45" s="4">
        <v>210</v>
      </c>
      <c r="M45" s="4">
        <f t="shared" si="2"/>
        <v>197</v>
      </c>
      <c r="N45" s="22">
        <f t="shared" si="3"/>
        <v>0.93809523809523809</v>
      </c>
      <c r="O45" s="4">
        <v>26</v>
      </c>
      <c r="P45" s="4"/>
    </row>
    <row r="46" spans="1:16" ht="20.100000000000001" customHeight="1" x14ac:dyDescent="0.25">
      <c r="A46" s="7">
        <v>6</v>
      </c>
      <c r="B46" s="19"/>
      <c r="C46" s="26" t="s">
        <v>380</v>
      </c>
      <c r="D46" s="27" t="s">
        <v>346</v>
      </c>
      <c r="E46" s="24" t="s">
        <v>322</v>
      </c>
      <c r="F46" s="4">
        <v>29</v>
      </c>
      <c r="G46" s="4">
        <v>21</v>
      </c>
      <c r="H46" s="4">
        <v>13</v>
      </c>
      <c r="I46" s="4">
        <v>19</v>
      </c>
      <c r="J46" s="4">
        <v>22</v>
      </c>
      <c r="K46" s="4" t="s">
        <v>124</v>
      </c>
      <c r="L46" s="4">
        <v>210</v>
      </c>
      <c r="M46" s="4">
        <f t="shared" si="2"/>
        <v>104</v>
      </c>
      <c r="N46" s="22">
        <f t="shared" si="3"/>
        <v>0.49523809523809526</v>
      </c>
      <c r="O46" s="4">
        <v>21</v>
      </c>
      <c r="P46" s="4"/>
    </row>
    <row r="47" spans="1:16" ht="20.100000000000001" customHeight="1" x14ac:dyDescent="0.25">
      <c r="A47" s="24">
        <v>7</v>
      </c>
      <c r="B47" s="19"/>
      <c r="C47" s="26" t="s">
        <v>381</v>
      </c>
      <c r="D47" s="27" t="s">
        <v>382</v>
      </c>
      <c r="E47" s="24" t="s">
        <v>322</v>
      </c>
      <c r="F47" s="4">
        <v>42</v>
      </c>
      <c r="G47" s="4">
        <v>45</v>
      </c>
      <c r="H47" s="4">
        <v>48</v>
      </c>
      <c r="I47" s="4">
        <v>27</v>
      </c>
      <c r="J47" s="4">
        <v>22</v>
      </c>
      <c r="K47" s="4" t="s">
        <v>124</v>
      </c>
      <c r="L47" s="4">
        <v>210</v>
      </c>
      <c r="M47" s="4">
        <f t="shared" si="2"/>
        <v>184</v>
      </c>
      <c r="N47" s="22">
        <f t="shared" si="3"/>
        <v>0.87619047619047619</v>
      </c>
      <c r="O47" s="4">
        <v>25</v>
      </c>
      <c r="P47" s="4"/>
    </row>
    <row r="48" spans="1:16" ht="20.100000000000001" customHeight="1" x14ac:dyDescent="0.25">
      <c r="A48" s="7">
        <v>8</v>
      </c>
      <c r="B48" s="19"/>
      <c r="C48" s="26" t="s">
        <v>383</v>
      </c>
      <c r="D48" s="27" t="s">
        <v>384</v>
      </c>
      <c r="E48" s="24" t="s">
        <v>322</v>
      </c>
      <c r="F48" s="4">
        <v>38</v>
      </c>
      <c r="G48" s="4">
        <v>31</v>
      </c>
      <c r="H48" s="4">
        <v>48</v>
      </c>
      <c r="I48" s="4">
        <v>25</v>
      </c>
      <c r="J48" s="4">
        <v>17</v>
      </c>
      <c r="K48" s="4" t="s">
        <v>124</v>
      </c>
      <c r="L48" s="4">
        <v>210</v>
      </c>
      <c r="M48" s="4">
        <f t="shared" si="2"/>
        <v>159</v>
      </c>
      <c r="N48" s="22">
        <f t="shared" si="3"/>
        <v>0.75714285714285712</v>
      </c>
      <c r="O48" s="4">
        <v>25</v>
      </c>
      <c r="P48" s="4"/>
    </row>
    <row r="49" spans="1:16" ht="20.100000000000001" customHeight="1" x14ac:dyDescent="0.25">
      <c r="A49" s="24">
        <v>9</v>
      </c>
      <c r="B49" s="19"/>
      <c r="C49" s="26" t="s">
        <v>385</v>
      </c>
      <c r="D49" s="27" t="s">
        <v>386</v>
      </c>
      <c r="E49" s="24" t="s">
        <v>322</v>
      </c>
      <c r="F49" s="4">
        <v>37</v>
      </c>
      <c r="G49" s="4">
        <v>45</v>
      </c>
      <c r="H49" s="4">
        <v>40</v>
      </c>
      <c r="I49" s="4">
        <v>26</v>
      </c>
      <c r="J49" s="4">
        <v>33</v>
      </c>
      <c r="K49" s="4" t="s">
        <v>124</v>
      </c>
      <c r="L49" s="4">
        <v>210</v>
      </c>
      <c r="M49" s="4">
        <f t="shared" si="2"/>
        <v>181</v>
      </c>
      <c r="N49" s="22">
        <f t="shared" si="3"/>
        <v>0.86190476190476195</v>
      </c>
      <c r="O49" s="4">
        <v>25</v>
      </c>
      <c r="P49" s="4"/>
    </row>
    <row r="50" spans="1:16" ht="20.100000000000001" customHeight="1" x14ac:dyDescent="0.25">
      <c r="A50" s="7">
        <v>10</v>
      </c>
      <c r="B50" s="21"/>
      <c r="C50" s="26" t="s">
        <v>387</v>
      </c>
      <c r="D50" s="27" t="s">
        <v>248</v>
      </c>
      <c r="E50" s="24" t="s">
        <v>322</v>
      </c>
      <c r="F50" s="4">
        <v>42</v>
      </c>
      <c r="G50" s="4">
        <v>44</v>
      </c>
      <c r="H50" s="4">
        <v>47</v>
      </c>
      <c r="I50" s="4">
        <v>27</v>
      </c>
      <c r="J50" s="4">
        <v>37</v>
      </c>
      <c r="K50" s="4" t="s">
        <v>126</v>
      </c>
      <c r="L50" s="4">
        <v>210</v>
      </c>
      <c r="M50" s="4">
        <f t="shared" si="2"/>
        <v>197</v>
      </c>
      <c r="N50" s="22">
        <f t="shared" si="3"/>
        <v>0.93809523809523809</v>
      </c>
      <c r="O50" s="4">
        <v>26</v>
      </c>
      <c r="P50" s="4"/>
    </row>
    <row r="51" spans="1:16" ht="20.100000000000001" customHeight="1" x14ac:dyDescent="0.25">
      <c r="A51" s="24">
        <v>11</v>
      </c>
      <c r="B51" s="19"/>
      <c r="C51" s="26" t="s">
        <v>388</v>
      </c>
      <c r="D51" s="27" t="s">
        <v>89</v>
      </c>
      <c r="E51" s="24" t="s">
        <v>322</v>
      </c>
      <c r="F51" s="4">
        <v>26</v>
      </c>
      <c r="G51" s="4">
        <v>21</v>
      </c>
      <c r="H51" s="4">
        <v>15</v>
      </c>
      <c r="I51" s="4">
        <v>16</v>
      </c>
      <c r="J51" s="4">
        <v>17</v>
      </c>
      <c r="K51" s="4" t="s">
        <v>126</v>
      </c>
      <c r="L51" s="4">
        <v>210</v>
      </c>
      <c r="M51" s="4">
        <f t="shared" si="2"/>
        <v>95</v>
      </c>
      <c r="N51" s="22">
        <f t="shared" si="3"/>
        <v>0.45238095238095238</v>
      </c>
      <c r="O51" s="4">
        <v>11</v>
      </c>
      <c r="P51" s="4"/>
    </row>
    <row r="52" spans="1:16" ht="20.100000000000001" customHeight="1" x14ac:dyDescent="0.25">
      <c r="A52" s="7">
        <v>12</v>
      </c>
      <c r="B52" s="19"/>
      <c r="C52" s="26" t="s">
        <v>389</v>
      </c>
      <c r="D52" s="27" t="s">
        <v>207</v>
      </c>
      <c r="E52" s="24" t="s">
        <v>322</v>
      </c>
      <c r="F52" s="4">
        <v>43</v>
      </c>
      <c r="G52" s="4">
        <v>39</v>
      </c>
      <c r="H52" s="4">
        <v>48</v>
      </c>
      <c r="I52" s="4">
        <v>25</v>
      </c>
      <c r="J52" s="4">
        <v>44</v>
      </c>
      <c r="K52" s="4" t="s">
        <v>126</v>
      </c>
      <c r="L52" s="4">
        <v>210</v>
      </c>
      <c r="M52" s="4">
        <f t="shared" si="2"/>
        <v>199</v>
      </c>
      <c r="N52" s="22">
        <f t="shared" si="3"/>
        <v>0.94761904761904758</v>
      </c>
      <c r="O52" s="4">
        <v>21</v>
      </c>
      <c r="P52" s="4"/>
    </row>
    <row r="53" spans="1:16" ht="20.100000000000001" customHeight="1" x14ac:dyDescent="0.25">
      <c r="A53" s="24">
        <v>13</v>
      </c>
      <c r="B53" s="19"/>
      <c r="C53" s="26" t="s">
        <v>390</v>
      </c>
      <c r="D53" s="27" t="s">
        <v>391</v>
      </c>
      <c r="E53" s="24" t="s">
        <v>322</v>
      </c>
      <c r="F53" s="4">
        <v>33</v>
      </c>
      <c r="G53" s="4">
        <v>43</v>
      </c>
      <c r="H53" s="4">
        <v>33</v>
      </c>
      <c r="I53" s="4" t="s">
        <v>122</v>
      </c>
      <c r="J53" s="4">
        <v>17</v>
      </c>
      <c r="K53" s="4" t="s">
        <v>126</v>
      </c>
      <c r="L53" s="4">
        <v>210</v>
      </c>
      <c r="M53" s="4">
        <f t="shared" si="2"/>
        <v>126</v>
      </c>
      <c r="N53" s="22">
        <f t="shared" si="3"/>
        <v>0.6</v>
      </c>
      <c r="O53" s="4">
        <v>14</v>
      </c>
      <c r="P53" s="4"/>
    </row>
    <row r="54" spans="1:16" ht="20.100000000000001" customHeight="1" x14ac:dyDescent="0.25">
      <c r="A54" s="7">
        <v>14</v>
      </c>
      <c r="B54" s="19"/>
      <c r="C54" s="26" t="s">
        <v>392</v>
      </c>
      <c r="D54" s="27" t="s">
        <v>393</v>
      </c>
      <c r="E54" s="24" t="s">
        <v>322</v>
      </c>
      <c r="F54" s="23" t="s">
        <v>124</v>
      </c>
      <c r="G54" s="23" t="s">
        <v>124</v>
      </c>
      <c r="H54" s="23" t="s">
        <v>124</v>
      </c>
      <c r="I54" s="23" t="s">
        <v>124</v>
      </c>
      <c r="J54" s="23" t="s">
        <v>122</v>
      </c>
      <c r="K54" s="4" t="s">
        <v>126</v>
      </c>
      <c r="L54" s="4">
        <v>210</v>
      </c>
      <c r="M54" s="4">
        <f t="shared" si="2"/>
        <v>0</v>
      </c>
      <c r="N54" s="22">
        <f t="shared" si="3"/>
        <v>0</v>
      </c>
      <c r="O54" s="4">
        <v>16</v>
      </c>
      <c r="P54" s="4"/>
    </row>
    <row r="55" spans="1:16" ht="20.100000000000001" customHeight="1" x14ac:dyDescent="0.25">
      <c r="A55" s="24">
        <v>15</v>
      </c>
      <c r="B55" s="19"/>
      <c r="C55" s="26" t="s">
        <v>394</v>
      </c>
      <c r="D55" s="27" t="s">
        <v>395</v>
      </c>
      <c r="E55" s="24" t="s">
        <v>322</v>
      </c>
      <c r="F55" s="4">
        <v>27</v>
      </c>
      <c r="G55" s="4">
        <v>32</v>
      </c>
      <c r="H55" s="4">
        <v>50</v>
      </c>
      <c r="I55" s="4">
        <v>21</v>
      </c>
      <c r="J55" s="4">
        <v>22</v>
      </c>
      <c r="K55" s="4" t="s">
        <v>124</v>
      </c>
      <c r="L55" s="4">
        <v>210</v>
      </c>
      <c r="M55" s="4">
        <f t="shared" si="2"/>
        <v>152</v>
      </c>
      <c r="N55" s="22">
        <f t="shared" si="3"/>
        <v>0.72380952380952379</v>
      </c>
      <c r="O55" s="4">
        <v>24</v>
      </c>
      <c r="P55" s="4"/>
    </row>
    <row r="56" spans="1:16" ht="20.100000000000001" customHeight="1" x14ac:dyDescent="0.25">
      <c r="A56" s="7">
        <v>16</v>
      </c>
      <c r="B56" s="19"/>
      <c r="C56" s="26" t="s">
        <v>396</v>
      </c>
      <c r="D56" s="27" t="s">
        <v>397</v>
      </c>
      <c r="E56" s="24" t="s">
        <v>322</v>
      </c>
      <c r="F56" s="4">
        <v>24</v>
      </c>
      <c r="G56" s="4">
        <v>19</v>
      </c>
      <c r="H56" s="4">
        <v>11</v>
      </c>
      <c r="I56" s="4">
        <v>5</v>
      </c>
      <c r="J56" s="4">
        <v>17</v>
      </c>
      <c r="K56" s="4" t="s">
        <v>126</v>
      </c>
      <c r="L56" s="4">
        <v>210</v>
      </c>
      <c r="M56" s="4">
        <f t="shared" si="2"/>
        <v>76</v>
      </c>
      <c r="N56" s="22">
        <f t="shared" si="3"/>
        <v>0.3619047619047619</v>
      </c>
      <c r="O56" s="4">
        <v>22</v>
      </c>
      <c r="P56" s="4"/>
    </row>
    <row r="57" spans="1:16" ht="20.100000000000001" customHeight="1" x14ac:dyDescent="0.25">
      <c r="A57" s="24">
        <v>17</v>
      </c>
      <c r="B57" s="19"/>
      <c r="C57" s="26" t="s">
        <v>398</v>
      </c>
      <c r="D57" s="27" t="s">
        <v>399</v>
      </c>
      <c r="E57" s="24" t="s">
        <v>322</v>
      </c>
      <c r="F57" s="4">
        <v>28</v>
      </c>
      <c r="G57" s="4">
        <v>27</v>
      </c>
      <c r="H57" s="4">
        <v>12</v>
      </c>
      <c r="I57" s="4">
        <v>20</v>
      </c>
      <c r="J57" s="4">
        <v>17</v>
      </c>
      <c r="K57" s="4" t="s">
        <v>124</v>
      </c>
      <c r="L57" s="4">
        <v>210</v>
      </c>
      <c r="M57" s="4">
        <f t="shared" si="2"/>
        <v>104</v>
      </c>
      <c r="N57" s="22">
        <f t="shared" si="3"/>
        <v>0.49523809523809526</v>
      </c>
      <c r="O57" s="4">
        <v>22</v>
      </c>
      <c r="P57" s="4"/>
    </row>
    <row r="58" spans="1:16" ht="20.100000000000001" customHeight="1" x14ac:dyDescent="0.25">
      <c r="A58" s="7">
        <v>18</v>
      </c>
      <c r="B58" s="19"/>
      <c r="C58" s="26" t="s">
        <v>400</v>
      </c>
      <c r="D58" s="27" t="s">
        <v>399</v>
      </c>
      <c r="E58" s="24" t="s">
        <v>322</v>
      </c>
      <c r="F58" s="4">
        <v>25</v>
      </c>
      <c r="G58" s="4">
        <v>19</v>
      </c>
      <c r="H58" s="4">
        <v>45</v>
      </c>
      <c r="I58" s="4">
        <v>7</v>
      </c>
      <c r="J58" s="4">
        <v>17</v>
      </c>
      <c r="K58" s="4" t="s">
        <v>124</v>
      </c>
      <c r="L58" s="4">
        <v>210</v>
      </c>
      <c r="M58" s="4">
        <f t="shared" si="2"/>
        <v>113</v>
      </c>
      <c r="N58" s="22">
        <f t="shared" si="3"/>
        <v>0.53809523809523807</v>
      </c>
      <c r="O58" s="4">
        <v>22</v>
      </c>
      <c r="P58" s="4"/>
    </row>
    <row r="59" spans="1:16" ht="20.100000000000001" customHeight="1" x14ac:dyDescent="0.25">
      <c r="A59" s="24">
        <v>19</v>
      </c>
      <c r="B59" s="19"/>
      <c r="C59" s="26" t="s">
        <v>401</v>
      </c>
      <c r="D59" s="27" t="s">
        <v>402</v>
      </c>
      <c r="E59" s="24" t="s">
        <v>322</v>
      </c>
      <c r="F59" s="4">
        <v>40</v>
      </c>
      <c r="G59" s="4">
        <v>36</v>
      </c>
      <c r="H59" s="4">
        <v>45</v>
      </c>
      <c r="I59" s="4">
        <v>27</v>
      </c>
      <c r="J59" s="4">
        <v>28</v>
      </c>
      <c r="K59" s="4" t="s">
        <v>126</v>
      </c>
      <c r="L59" s="4">
        <v>210</v>
      </c>
      <c r="M59" s="4">
        <f t="shared" si="2"/>
        <v>176</v>
      </c>
      <c r="N59" s="22">
        <f t="shared" si="3"/>
        <v>0.83809523809523812</v>
      </c>
      <c r="O59" s="4">
        <v>24</v>
      </c>
      <c r="P59" s="4"/>
    </row>
    <row r="60" spans="1:16" ht="20.100000000000001" customHeight="1" x14ac:dyDescent="0.25">
      <c r="A60" s="7">
        <v>20</v>
      </c>
      <c r="B60" s="19"/>
      <c r="C60" s="26" t="s">
        <v>271</v>
      </c>
      <c r="D60" s="27" t="s">
        <v>403</v>
      </c>
      <c r="E60" s="24" t="s">
        <v>322</v>
      </c>
      <c r="F60" s="4">
        <v>38</v>
      </c>
      <c r="G60" s="4">
        <v>9</v>
      </c>
      <c r="H60" s="4">
        <v>50</v>
      </c>
      <c r="I60" s="4">
        <v>24</v>
      </c>
      <c r="J60" s="4">
        <v>17</v>
      </c>
      <c r="K60" s="4" t="s">
        <v>124</v>
      </c>
      <c r="L60" s="4">
        <v>210</v>
      </c>
      <c r="M60" s="4">
        <f t="shared" si="2"/>
        <v>138</v>
      </c>
      <c r="N60" s="22">
        <f t="shared" si="3"/>
        <v>0.65714285714285714</v>
      </c>
      <c r="O60" s="4">
        <v>25</v>
      </c>
      <c r="P60" s="4"/>
    </row>
    <row r="61" spans="1:16" ht="20.100000000000001" customHeight="1" x14ac:dyDescent="0.25">
      <c r="A61" s="24">
        <v>21</v>
      </c>
      <c r="B61" s="19"/>
      <c r="C61" s="26" t="s">
        <v>271</v>
      </c>
      <c r="D61" s="27" t="s">
        <v>321</v>
      </c>
      <c r="E61" s="24" t="s">
        <v>322</v>
      </c>
      <c r="F61" s="4">
        <v>46</v>
      </c>
      <c r="G61" s="4">
        <v>49</v>
      </c>
      <c r="H61" s="4">
        <v>47</v>
      </c>
      <c r="I61" s="4">
        <v>29</v>
      </c>
      <c r="J61" s="4">
        <v>49</v>
      </c>
      <c r="K61" s="4" t="s">
        <v>126</v>
      </c>
      <c r="L61" s="4">
        <v>210</v>
      </c>
      <c r="M61" s="4">
        <f t="shared" si="2"/>
        <v>220</v>
      </c>
      <c r="N61" s="22">
        <f t="shared" si="3"/>
        <v>1.0476190476190477</v>
      </c>
      <c r="O61" s="4">
        <v>25</v>
      </c>
      <c r="P61" s="4"/>
    </row>
    <row r="62" spans="1:16" ht="20.100000000000001" customHeight="1" x14ac:dyDescent="0.25">
      <c r="A62" s="7">
        <v>22</v>
      </c>
      <c r="B62" s="19"/>
      <c r="C62" s="26" t="s">
        <v>404</v>
      </c>
      <c r="D62" s="27" t="s">
        <v>405</v>
      </c>
      <c r="E62" s="24" t="s">
        <v>322</v>
      </c>
      <c r="F62" s="4">
        <v>28</v>
      </c>
      <c r="G62" s="4">
        <v>34</v>
      </c>
      <c r="H62" s="4">
        <v>15</v>
      </c>
      <c r="I62" s="4">
        <v>18</v>
      </c>
      <c r="J62" s="4">
        <v>17</v>
      </c>
      <c r="K62" s="4" t="s">
        <v>124</v>
      </c>
      <c r="L62" s="4">
        <v>210</v>
      </c>
      <c r="M62" s="4">
        <f t="shared" si="2"/>
        <v>112</v>
      </c>
      <c r="N62" s="22">
        <f t="shared" si="3"/>
        <v>0.53333333333333333</v>
      </c>
      <c r="O62" s="4">
        <v>22</v>
      </c>
      <c r="P62" s="4"/>
    </row>
    <row r="63" spans="1:16" ht="20.100000000000001" customHeight="1" x14ac:dyDescent="0.25">
      <c r="A63" s="24">
        <v>23</v>
      </c>
      <c r="B63" s="19"/>
      <c r="C63" s="26" t="s">
        <v>406</v>
      </c>
      <c r="D63" s="27" t="s">
        <v>407</v>
      </c>
      <c r="E63" s="24" t="s">
        <v>322</v>
      </c>
      <c r="F63" s="4">
        <v>47</v>
      </c>
      <c r="G63" s="4">
        <v>38</v>
      </c>
      <c r="H63" s="4">
        <v>45</v>
      </c>
      <c r="I63" s="4">
        <v>24</v>
      </c>
      <c r="J63" s="4">
        <v>44</v>
      </c>
      <c r="K63" s="4" t="s">
        <v>124</v>
      </c>
      <c r="L63" s="4">
        <v>210</v>
      </c>
      <c r="M63" s="4">
        <f t="shared" si="2"/>
        <v>198</v>
      </c>
      <c r="N63" s="22">
        <f t="shared" si="3"/>
        <v>0.94285714285714284</v>
      </c>
      <c r="O63" s="4">
        <v>23</v>
      </c>
      <c r="P63" s="4"/>
    </row>
    <row r="64" spans="1:16" x14ac:dyDescent="0.25">
      <c r="A64" s="7">
        <v>24</v>
      </c>
      <c r="B64" s="19"/>
      <c r="C64" s="26" t="s">
        <v>252</v>
      </c>
      <c r="D64" s="27" t="s">
        <v>408</v>
      </c>
      <c r="E64" s="24" t="s">
        <v>322</v>
      </c>
      <c r="F64" s="4">
        <v>27</v>
      </c>
      <c r="G64" s="4" t="s">
        <v>122</v>
      </c>
      <c r="H64" s="4">
        <v>21</v>
      </c>
      <c r="I64" s="4" t="s">
        <v>122</v>
      </c>
      <c r="J64" s="4" t="s">
        <v>122</v>
      </c>
      <c r="K64" s="4" t="s">
        <v>126</v>
      </c>
      <c r="L64" s="4">
        <v>210</v>
      </c>
      <c r="M64" s="4">
        <f t="shared" si="2"/>
        <v>48</v>
      </c>
      <c r="N64" s="22">
        <f t="shared" si="3"/>
        <v>0.22857142857142856</v>
      </c>
      <c r="O64" s="4">
        <v>18</v>
      </c>
      <c r="P64" s="4"/>
    </row>
  </sheetData>
  <mergeCells count="16">
    <mergeCell ref="A7:P7"/>
    <mergeCell ref="A40:P40"/>
    <mergeCell ref="A3:P3"/>
    <mergeCell ref="A1:P1"/>
    <mergeCell ref="A2:P2"/>
    <mergeCell ref="A4:A6"/>
    <mergeCell ref="B4:B6"/>
    <mergeCell ref="C4:C6"/>
    <mergeCell ref="D4:D6"/>
    <mergeCell ref="E4:E6"/>
    <mergeCell ref="F4:K4"/>
    <mergeCell ref="L4:L5"/>
    <mergeCell ref="M4:M6"/>
    <mergeCell ref="N4:N6"/>
    <mergeCell ref="O4:O6"/>
    <mergeCell ref="P4:P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B43A7-D4D0-4EC9-8562-B055815ABF11}">
  <dimension ref="A1:P60"/>
  <sheetViews>
    <sheetView topLeftCell="G1" workbookViewId="0">
      <pane ySplit="6" topLeftCell="A7" activePane="bottomLeft" state="frozen"/>
      <selection pane="bottomLeft" activeCell="Q1" sqref="Q1:XFD1048576"/>
    </sheetView>
  </sheetViews>
  <sheetFormatPr defaultRowHeight="12" x14ac:dyDescent="0.2"/>
  <cols>
    <col min="1" max="1" width="3.7109375" style="1" bestFit="1" customWidth="1"/>
    <col min="2" max="2" width="4" style="1" bestFit="1" customWidth="1"/>
    <col min="3" max="3" width="14.42578125" style="1" bestFit="1" customWidth="1"/>
    <col min="4" max="4" width="15" style="1" bestFit="1" customWidth="1"/>
    <col min="5" max="5" width="4.7109375" style="1" customWidth="1"/>
    <col min="6" max="15" width="7.7109375" style="1" customWidth="1"/>
    <col min="16" max="16" width="21.42578125" style="1" customWidth="1"/>
    <col min="17" max="16384" width="9.140625" style="1"/>
  </cols>
  <sheetData>
    <row r="1" spans="1:16" ht="15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 ht="15" x14ac:dyDescent="0.25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</row>
    <row r="3" spans="1:16" ht="15" x14ac:dyDescent="0.25">
      <c r="A3" s="57" t="s">
        <v>239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 spans="1:16" x14ac:dyDescent="0.2">
      <c r="A4" s="52" t="s">
        <v>2</v>
      </c>
      <c r="B4" s="52" t="s">
        <v>3</v>
      </c>
      <c r="C4" s="52" t="s">
        <v>5</v>
      </c>
      <c r="D4" s="52" t="s">
        <v>6</v>
      </c>
      <c r="E4" s="52" t="s">
        <v>4</v>
      </c>
      <c r="F4" s="56" t="s">
        <v>7</v>
      </c>
      <c r="G4" s="56"/>
      <c r="H4" s="56"/>
      <c r="I4" s="56"/>
      <c r="J4" s="56"/>
      <c r="K4" s="56"/>
      <c r="L4" s="52" t="s">
        <v>15</v>
      </c>
      <c r="M4" s="52" t="s">
        <v>16</v>
      </c>
      <c r="N4" s="52" t="s">
        <v>17</v>
      </c>
      <c r="O4" s="52" t="s">
        <v>13</v>
      </c>
      <c r="P4" s="52" t="s">
        <v>18</v>
      </c>
    </row>
    <row r="5" spans="1:16" ht="47.25" x14ac:dyDescent="0.2">
      <c r="A5" s="52"/>
      <c r="B5" s="52"/>
      <c r="C5" s="52"/>
      <c r="D5" s="52"/>
      <c r="E5" s="52"/>
      <c r="F5" s="2" t="s">
        <v>240</v>
      </c>
      <c r="G5" s="2" t="s">
        <v>10</v>
      </c>
      <c r="H5" s="2" t="s">
        <v>135</v>
      </c>
      <c r="I5" s="2" t="s">
        <v>11</v>
      </c>
      <c r="J5" s="2" t="s">
        <v>136</v>
      </c>
      <c r="K5" s="2" t="s">
        <v>241</v>
      </c>
      <c r="L5" s="52"/>
      <c r="M5" s="52"/>
      <c r="N5" s="52"/>
      <c r="O5" s="52"/>
      <c r="P5" s="52"/>
    </row>
    <row r="6" spans="1:16" x14ac:dyDescent="0.2">
      <c r="A6" s="52"/>
      <c r="B6" s="52"/>
      <c r="C6" s="52"/>
      <c r="D6" s="52"/>
      <c r="E6" s="52"/>
      <c r="F6" s="3">
        <v>50</v>
      </c>
      <c r="G6" s="3">
        <v>50</v>
      </c>
      <c r="H6" s="3">
        <v>50</v>
      </c>
      <c r="I6" s="3">
        <v>50</v>
      </c>
      <c r="J6" s="3">
        <v>50</v>
      </c>
      <c r="K6" s="3"/>
      <c r="L6" s="3">
        <v>250</v>
      </c>
      <c r="M6" s="52"/>
      <c r="N6" s="52"/>
      <c r="O6" s="52"/>
      <c r="P6" s="52"/>
    </row>
    <row r="7" spans="1:16" s="9" customFormat="1" ht="21" x14ac:dyDescent="0.35">
      <c r="A7" s="64" t="s">
        <v>138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 s="9" customFormat="1" ht="24" customHeight="1" x14ac:dyDescent="0.2">
      <c r="A8" s="7">
        <v>1</v>
      </c>
      <c r="B8" s="19"/>
      <c r="C8" s="20" t="s">
        <v>242</v>
      </c>
      <c r="D8" s="20" t="s">
        <v>243</v>
      </c>
      <c r="E8" s="7" t="s">
        <v>244</v>
      </c>
      <c r="F8" s="4">
        <v>47</v>
      </c>
      <c r="G8" s="4">
        <v>44</v>
      </c>
      <c r="H8" s="4">
        <v>45</v>
      </c>
      <c r="I8" s="4">
        <v>39</v>
      </c>
      <c r="J8" s="4">
        <v>33</v>
      </c>
      <c r="K8" s="4" t="s">
        <v>124</v>
      </c>
      <c r="L8" s="4">
        <v>250</v>
      </c>
      <c r="M8" s="4">
        <f>SUM(F8:K8)</f>
        <v>208</v>
      </c>
      <c r="N8" s="22">
        <f>M8/L8</f>
        <v>0.83199999999999996</v>
      </c>
      <c r="O8" s="4">
        <v>73</v>
      </c>
      <c r="P8" s="4"/>
    </row>
    <row r="9" spans="1:16" s="9" customFormat="1" ht="24" customHeight="1" x14ac:dyDescent="0.2">
      <c r="A9" s="7">
        <v>2</v>
      </c>
      <c r="B9" s="19"/>
      <c r="C9" s="20" t="s">
        <v>245</v>
      </c>
      <c r="D9" s="20" t="s">
        <v>246</v>
      </c>
      <c r="E9" s="7" t="s">
        <v>244</v>
      </c>
      <c r="F9" s="4">
        <v>21</v>
      </c>
      <c r="G9" s="4">
        <v>18</v>
      </c>
      <c r="H9" s="4">
        <v>27</v>
      </c>
      <c r="I9" s="4">
        <v>18</v>
      </c>
      <c r="J9" s="4">
        <v>18</v>
      </c>
      <c r="K9" s="4" t="s">
        <v>124</v>
      </c>
      <c r="L9" s="4">
        <v>250</v>
      </c>
      <c r="M9" s="4">
        <f t="shared" ref="M9:M60" si="0">SUM(F9:K9)</f>
        <v>102</v>
      </c>
      <c r="N9" s="22">
        <f t="shared" ref="N9:N60" si="1">M9/L9</f>
        <v>0.40799999999999997</v>
      </c>
      <c r="O9" s="4">
        <v>82</v>
      </c>
      <c r="P9" s="4"/>
    </row>
    <row r="10" spans="1:16" s="9" customFormat="1" ht="24" customHeight="1" x14ac:dyDescent="0.2">
      <c r="A10" s="7">
        <v>3</v>
      </c>
      <c r="B10" s="19"/>
      <c r="C10" s="20" t="s">
        <v>247</v>
      </c>
      <c r="D10" s="20" t="s">
        <v>248</v>
      </c>
      <c r="E10" s="7" t="s">
        <v>244</v>
      </c>
      <c r="F10" s="4">
        <v>33</v>
      </c>
      <c r="G10" s="4" t="s">
        <v>122</v>
      </c>
      <c r="H10" s="4">
        <v>22</v>
      </c>
      <c r="I10" s="4">
        <v>18</v>
      </c>
      <c r="J10" s="4">
        <v>18</v>
      </c>
      <c r="K10" s="4" t="s">
        <v>124</v>
      </c>
      <c r="L10" s="4">
        <v>250</v>
      </c>
      <c r="M10" s="4">
        <f t="shared" si="0"/>
        <v>91</v>
      </c>
      <c r="N10" s="22">
        <f t="shared" si="1"/>
        <v>0.36399999999999999</v>
      </c>
      <c r="O10" s="4">
        <v>85</v>
      </c>
      <c r="P10" s="4"/>
    </row>
    <row r="11" spans="1:16" s="9" customFormat="1" ht="24" customHeight="1" x14ac:dyDescent="0.2">
      <c r="A11" s="7">
        <v>4</v>
      </c>
      <c r="B11" s="19"/>
      <c r="C11" s="20" t="s">
        <v>249</v>
      </c>
      <c r="D11" s="20" t="s">
        <v>250</v>
      </c>
      <c r="E11" s="7" t="s">
        <v>244</v>
      </c>
      <c r="F11" s="23" t="s">
        <v>124</v>
      </c>
      <c r="G11" s="23" t="s">
        <v>124</v>
      </c>
      <c r="H11" s="23" t="s">
        <v>124</v>
      </c>
      <c r="I11" s="23" t="s">
        <v>124</v>
      </c>
      <c r="J11" s="23" t="s">
        <v>124</v>
      </c>
      <c r="K11" s="23" t="s">
        <v>124</v>
      </c>
      <c r="L11" s="4">
        <v>250</v>
      </c>
      <c r="M11" s="4">
        <f t="shared" si="0"/>
        <v>0</v>
      </c>
      <c r="N11" s="22">
        <f t="shared" si="1"/>
        <v>0</v>
      </c>
      <c r="O11" s="4">
        <v>47</v>
      </c>
      <c r="P11" s="4"/>
    </row>
    <row r="12" spans="1:16" s="9" customFormat="1" ht="24" customHeight="1" x14ac:dyDescent="0.2">
      <c r="A12" s="7">
        <v>5</v>
      </c>
      <c r="B12" s="19"/>
      <c r="C12" s="20" t="s">
        <v>251</v>
      </c>
      <c r="D12" s="20" t="s">
        <v>26</v>
      </c>
      <c r="E12" s="7" t="s">
        <v>244</v>
      </c>
      <c r="F12" s="4">
        <v>48</v>
      </c>
      <c r="G12" s="4">
        <v>49</v>
      </c>
      <c r="H12" s="4">
        <v>48</v>
      </c>
      <c r="I12" s="4">
        <v>44</v>
      </c>
      <c r="J12" s="4">
        <v>43</v>
      </c>
      <c r="K12" s="4" t="s">
        <v>127</v>
      </c>
      <c r="L12" s="4">
        <v>250</v>
      </c>
      <c r="M12" s="4">
        <f t="shared" si="0"/>
        <v>232</v>
      </c>
      <c r="N12" s="22">
        <f t="shared" si="1"/>
        <v>0.92800000000000005</v>
      </c>
      <c r="O12" s="4">
        <v>91</v>
      </c>
      <c r="P12" s="4"/>
    </row>
    <row r="13" spans="1:16" s="9" customFormat="1" ht="24" customHeight="1" x14ac:dyDescent="0.2">
      <c r="A13" s="7">
        <v>6</v>
      </c>
      <c r="B13" s="19"/>
      <c r="C13" s="20" t="s">
        <v>252</v>
      </c>
      <c r="D13" s="20" t="s">
        <v>253</v>
      </c>
      <c r="E13" s="7" t="s">
        <v>244</v>
      </c>
      <c r="F13" s="4">
        <v>40</v>
      </c>
      <c r="G13" s="4">
        <v>39</v>
      </c>
      <c r="H13" s="4">
        <v>43</v>
      </c>
      <c r="I13" s="4">
        <v>25</v>
      </c>
      <c r="J13" s="4">
        <v>25</v>
      </c>
      <c r="K13" s="4" t="s">
        <v>124</v>
      </c>
      <c r="L13" s="4">
        <v>250</v>
      </c>
      <c r="M13" s="4">
        <f t="shared" si="0"/>
        <v>172</v>
      </c>
      <c r="N13" s="22">
        <f t="shared" si="1"/>
        <v>0.68799999999999994</v>
      </c>
      <c r="O13" s="4">
        <v>84</v>
      </c>
      <c r="P13" s="4"/>
    </row>
    <row r="14" spans="1:16" s="9" customFormat="1" ht="24" customHeight="1" x14ac:dyDescent="0.2">
      <c r="A14" s="7">
        <v>7</v>
      </c>
      <c r="B14" s="19"/>
      <c r="C14" s="20" t="s">
        <v>149</v>
      </c>
      <c r="D14" s="20" t="s">
        <v>254</v>
      </c>
      <c r="E14" s="7" t="s">
        <v>244</v>
      </c>
      <c r="F14" s="4">
        <v>38</v>
      </c>
      <c r="G14" s="4">
        <v>18</v>
      </c>
      <c r="H14" s="4">
        <v>38</v>
      </c>
      <c r="I14" s="4">
        <v>20</v>
      </c>
      <c r="J14" s="4">
        <v>32</v>
      </c>
      <c r="K14" s="4" t="s">
        <v>124</v>
      </c>
      <c r="L14" s="4">
        <v>250</v>
      </c>
      <c r="M14" s="4">
        <f t="shared" si="0"/>
        <v>146</v>
      </c>
      <c r="N14" s="22">
        <f t="shared" si="1"/>
        <v>0.58399999999999996</v>
      </c>
      <c r="O14" s="4">
        <v>99</v>
      </c>
      <c r="P14" s="4"/>
    </row>
    <row r="15" spans="1:16" s="9" customFormat="1" ht="24" customHeight="1" x14ac:dyDescent="0.2">
      <c r="A15" s="7">
        <v>8</v>
      </c>
      <c r="B15" s="19"/>
      <c r="C15" s="20" t="s">
        <v>91</v>
      </c>
      <c r="D15" s="20" t="s">
        <v>50</v>
      </c>
      <c r="E15" s="7" t="s">
        <v>244</v>
      </c>
      <c r="F15" s="4">
        <v>48</v>
      </c>
      <c r="G15" s="4">
        <v>49</v>
      </c>
      <c r="H15" s="4">
        <v>49</v>
      </c>
      <c r="I15" s="4">
        <v>49</v>
      </c>
      <c r="J15" s="4">
        <v>47</v>
      </c>
      <c r="K15" s="4" t="s">
        <v>127</v>
      </c>
      <c r="L15" s="4">
        <v>250</v>
      </c>
      <c r="M15" s="4">
        <f t="shared" si="0"/>
        <v>242</v>
      </c>
      <c r="N15" s="22">
        <f t="shared" si="1"/>
        <v>0.96799999999999997</v>
      </c>
      <c r="O15" s="4">
        <v>94</v>
      </c>
      <c r="P15" s="4"/>
    </row>
    <row r="16" spans="1:16" s="9" customFormat="1" ht="24" customHeight="1" x14ac:dyDescent="0.2">
      <c r="A16" s="7">
        <v>9</v>
      </c>
      <c r="B16" s="19"/>
      <c r="C16" s="20" t="s">
        <v>255</v>
      </c>
      <c r="D16" s="20" t="s">
        <v>256</v>
      </c>
      <c r="E16" s="7" t="s">
        <v>244</v>
      </c>
      <c r="F16" s="4">
        <v>21</v>
      </c>
      <c r="G16" s="4">
        <v>5</v>
      </c>
      <c r="H16" s="4">
        <v>24</v>
      </c>
      <c r="I16" s="4">
        <v>18</v>
      </c>
      <c r="J16" s="4">
        <v>18</v>
      </c>
      <c r="K16" s="4" t="s">
        <v>126</v>
      </c>
      <c r="L16" s="4">
        <v>250</v>
      </c>
      <c r="M16" s="4">
        <f t="shared" si="0"/>
        <v>86</v>
      </c>
      <c r="N16" s="22">
        <f t="shared" si="1"/>
        <v>0.34399999999999997</v>
      </c>
      <c r="O16" s="4">
        <v>82</v>
      </c>
      <c r="P16" s="4"/>
    </row>
    <row r="17" spans="1:16" s="9" customFormat="1" ht="24" customHeight="1" x14ac:dyDescent="0.2">
      <c r="A17" s="7">
        <v>10</v>
      </c>
      <c r="B17" s="19"/>
      <c r="C17" s="20" t="s">
        <v>257</v>
      </c>
      <c r="D17" s="20" t="s">
        <v>22</v>
      </c>
      <c r="E17" s="7" t="s">
        <v>244</v>
      </c>
      <c r="F17" s="4">
        <v>36</v>
      </c>
      <c r="G17" s="4">
        <v>47</v>
      </c>
      <c r="H17" s="4">
        <v>49</v>
      </c>
      <c r="I17" s="4">
        <v>20</v>
      </c>
      <c r="J17" s="4">
        <v>18</v>
      </c>
      <c r="K17" s="4" t="s">
        <v>124</v>
      </c>
      <c r="L17" s="4">
        <v>250</v>
      </c>
      <c r="M17" s="4">
        <f t="shared" si="0"/>
        <v>170</v>
      </c>
      <c r="N17" s="22">
        <f t="shared" si="1"/>
        <v>0.68</v>
      </c>
      <c r="O17" s="4">
        <v>81</v>
      </c>
      <c r="P17" s="4"/>
    </row>
    <row r="18" spans="1:16" s="9" customFormat="1" ht="24" customHeight="1" x14ac:dyDescent="0.2">
      <c r="A18" s="7">
        <v>11</v>
      </c>
      <c r="B18" s="19"/>
      <c r="C18" s="20" t="s">
        <v>25</v>
      </c>
      <c r="D18" s="20" t="s">
        <v>258</v>
      </c>
      <c r="E18" s="7" t="s">
        <v>244</v>
      </c>
      <c r="F18" s="4">
        <v>19</v>
      </c>
      <c r="G18" s="4">
        <v>18</v>
      </c>
      <c r="H18" s="4">
        <v>32</v>
      </c>
      <c r="I18" s="4">
        <v>18</v>
      </c>
      <c r="J18" s="4">
        <v>18</v>
      </c>
      <c r="K18" s="4" t="s">
        <v>126</v>
      </c>
      <c r="L18" s="4">
        <v>250</v>
      </c>
      <c r="M18" s="4">
        <f t="shared" si="0"/>
        <v>105</v>
      </c>
      <c r="N18" s="22">
        <f t="shared" si="1"/>
        <v>0.42</v>
      </c>
      <c r="O18" s="4">
        <v>91</v>
      </c>
      <c r="P18" s="4"/>
    </row>
    <row r="19" spans="1:16" s="9" customFormat="1" ht="24" customHeight="1" x14ac:dyDescent="0.2">
      <c r="A19" s="7">
        <v>12</v>
      </c>
      <c r="B19" s="19"/>
      <c r="C19" s="20" t="s">
        <v>259</v>
      </c>
      <c r="D19" s="20" t="s">
        <v>260</v>
      </c>
      <c r="E19" s="7" t="s">
        <v>244</v>
      </c>
      <c r="F19" s="4">
        <v>33</v>
      </c>
      <c r="G19" s="4">
        <v>29</v>
      </c>
      <c r="H19" s="4">
        <v>48</v>
      </c>
      <c r="I19" s="4">
        <v>36</v>
      </c>
      <c r="J19" s="4">
        <v>30</v>
      </c>
      <c r="K19" s="4" t="s">
        <v>127</v>
      </c>
      <c r="L19" s="4">
        <v>250</v>
      </c>
      <c r="M19" s="4">
        <f t="shared" si="0"/>
        <v>176</v>
      </c>
      <c r="N19" s="22">
        <f t="shared" si="1"/>
        <v>0.70399999999999996</v>
      </c>
      <c r="O19" s="4">
        <v>95</v>
      </c>
      <c r="P19" s="4"/>
    </row>
    <row r="20" spans="1:16" s="9" customFormat="1" ht="24" customHeight="1" x14ac:dyDescent="0.2">
      <c r="A20" s="7">
        <v>13</v>
      </c>
      <c r="B20" s="19"/>
      <c r="C20" s="20" t="s">
        <v>261</v>
      </c>
      <c r="D20" s="20" t="s">
        <v>74</v>
      </c>
      <c r="E20" s="7" t="s">
        <v>244</v>
      </c>
      <c r="F20" s="4">
        <v>37</v>
      </c>
      <c r="G20" s="4">
        <v>30</v>
      </c>
      <c r="H20" s="4">
        <v>43</v>
      </c>
      <c r="I20" s="4">
        <v>28</v>
      </c>
      <c r="J20" s="4">
        <v>24</v>
      </c>
      <c r="K20" s="4" t="s">
        <v>124</v>
      </c>
      <c r="L20" s="4">
        <v>250</v>
      </c>
      <c r="M20" s="4">
        <f t="shared" si="0"/>
        <v>162</v>
      </c>
      <c r="N20" s="22">
        <f t="shared" si="1"/>
        <v>0.64800000000000002</v>
      </c>
      <c r="O20" s="4">
        <v>73</v>
      </c>
      <c r="P20" s="4"/>
    </row>
    <row r="21" spans="1:16" s="9" customFormat="1" ht="24" customHeight="1" x14ac:dyDescent="0.2">
      <c r="A21" s="7">
        <v>14</v>
      </c>
      <c r="B21" s="19"/>
      <c r="C21" s="20" t="s">
        <v>262</v>
      </c>
      <c r="D21" s="20" t="s">
        <v>263</v>
      </c>
      <c r="E21" s="7" t="s">
        <v>244</v>
      </c>
      <c r="F21" s="4">
        <v>37</v>
      </c>
      <c r="G21" s="4">
        <v>32</v>
      </c>
      <c r="H21" s="4">
        <v>41</v>
      </c>
      <c r="I21" s="4">
        <v>21</v>
      </c>
      <c r="J21" s="4">
        <v>28</v>
      </c>
      <c r="K21" s="4" t="s">
        <v>124</v>
      </c>
      <c r="L21" s="4">
        <v>250</v>
      </c>
      <c r="M21" s="4">
        <f t="shared" si="0"/>
        <v>159</v>
      </c>
      <c r="N21" s="22">
        <f t="shared" si="1"/>
        <v>0.63600000000000001</v>
      </c>
      <c r="O21" s="4">
        <v>77</v>
      </c>
      <c r="P21" s="4"/>
    </row>
    <row r="22" spans="1:16" s="9" customFormat="1" ht="24" customHeight="1" x14ac:dyDescent="0.2">
      <c r="A22" s="7">
        <v>15</v>
      </c>
      <c r="B22" s="19"/>
      <c r="C22" s="20" t="s">
        <v>264</v>
      </c>
      <c r="D22" s="20" t="s">
        <v>265</v>
      </c>
      <c r="E22" s="7" t="s">
        <v>244</v>
      </c>
      <c r="F22" s="4">
        <v>48</v>
      </c>
      <c r="G22" s="4">
        <v>46</v>
      </c>
      <c r="H22" s="4">
        <v>47</v>
      </c>
      <c r="I22" s="4">
        <v>47</v>
      </c>
      <c r="J22" s="4">
        <v>47</v>
      </c>
      <c r="K22" s="4" t="s">
        <v>127</v>
      </c>
      <c r="L22" s="4">
        <v>250</v>
      </c>
      <c r="M22" s="4">
        <f t="shared" si="0"/>
        <v>235</v>
      </c>
      <c r="N22" s="22">
        <f t="shared" si="1"/>
        <v>0.94</v>
      </c>
      <c r="O22" s="4">
        <v>88</v>
      </c>
      <c r="P22" s="4"/>
    </row>
    <row r="23" spans="1:16" s="9" customFormat="1" ht="24" customHeight="1" x14ac:dyDescent="0.2">
      <c r="A23" s="7">
        <v>16</v>
      </c>
      <c r="B23" s="19"/>
      <c r="C23" s="20" t="s">
        <v>266</v>
      </c>
      <c r="D23" s="20" t="s">
        <v>267</v>
      </c>
      <c r="E23" s="7" t="s">
        <v>244</v>
      </c>
      <c r="F23" s="4">
        <v>39</v>
      </c>
      <c r="G23" s="4">
        <v>19</v>
      </c>
      <c r="H23" s="4">
        <v>21</v>
      </c>
      <c r="I23" s="4">
        <v>21</v>
      </c>
      <c r="J23" s="4">
        <v>18</v>
      </c>
      <c r="K23" s="4" t="s">
        <v>124</v>
      </c>
      <c r="L23" s="4">
        <v>250</v>
      </c>
      <c r="M23" s="4">
        <f t="shared" si="0"/>
        <v>118</v>
      </c>
      <c r="N23" s="22">
        <f t="shared" si="1"/>
        <v>0.47199999999999998</v>
      </c>
      <c r="O23" s="4">
        <v>96</v>
      </c>
      <c r="P23" s="4"/>
    </row>
    <row r="24" spans="1:16" s="9" customFormat="1" ht="24" customHeight="1" x14ac:dyDescent="0.2">
      <c r="A24" s="7">
        <v>17</v>
      </c>
      <c r="B24" s="19"/>
      <c r="C24" s="20" t="s">
        <v>268</v>
      </c>
      <c r="D24" s="20" t="s">
        <v>150</v>
      </c>
      <c r="E24" s="7" t="s">
        <v>244</v>
      </c>
      <c r="F24" s="4">
        <v>37</v>
      </c>
      <c r="G24" s="4">
        <v>32</v>
      </c>
      <c r="H24" s="4">
        <v>48</v>
      </c>
      <c r="I24" s="4">
        <v>28</v>
      </c>
      <c r="J24" s="4">
        <v>26</v>
      </c>
      <c r="K24" s="4" t="s">
        <v>124</v>
      </c>
      <c r="L24" s="4">
        <v>250</v>
      </c>
      <c r="M24" s="4">
        <f t="shared" si="0"/>
        <v>171</v>
      </c>
      <c r="N24" s="22">
        <f t="shared" si="1"/>
        <v>0.68400000000000005</v>
      </c>
      <c r="O24" s="4">
        <v>97</v>
      </c>
      <c r="P24" s="4"/>
    </row>
    <row r="25" spans="1:16" s="9" customFormat="1" ht="24" customHeight="1" x14ac:dyDescent="0.2">
      <c r="A25" s="7">
        <v>18</v>
      </c>
      <c r="B25" s="19"/>
      <c r="C25" s="20" t="s">
        <v>269</v>
      </c>
      <c r="D25" s="20" t="s">
        <v>146</v>
      </c>
      <c r="E25" s="7" t="s">
        <v>244</v>
      </c>
      <c r="F25" s="4">
        <v>49</v>
      </c>
      <c r="G25" s="4">
        <v>49</v>
      </c>
      <c r="H25" s="4">
        <v>49</v>
      </c>
      <c r="I25" s="4">
        <v>49</v>
      </c>
      <c r="J25" s="4">
        <v>49</v>
      </c>
      <c r="K25" s="4" t="s">
        <v>127</v>
      </c>
      <c r="L25" s="4">
        <v>250</v>
      </c>
      <c r="M25" s="4">
        <f t="shared" si="0"/>
        <v>245</v>
      </c>
      <c r="N25" s="22">
        <f t="shared" si="1"/>
        <v>0.98</v>
      </c>
      <c r="O25" s="4">
        <v>94</v>
      </c>
      <c r="P25" s="4"/>
    </row>
    <row r="26" spans="1:16" s="9" customFormat="1" ht="24" customHeight="1" x14ac:dyDescent="0.2">
      <c r="A26" s="7">
        <v>19</v>
      </c>
      <c r="B26" s="19"/>
      <c r="C26" s="20" t="s">
        <v>270</v>
      </c>
      <c r="D26" s="20" t="s">
        <v>148</v>
      </c>
      <c r="E26" s="7" t="s">
        <v>244</v>
      </c>
      <c r="F26" s="4">
        <v>29</v>
      </c>
      <c r="G26" s="4">
        <v>27</v>
      </c>
      <c r="H26" s="4">
        <v>36</v>
      </c>
      <c r="I26" s="4">
        <v>19</v>
      </c>
      <c r="J26" s="4">
        <v>18</v>
      </c>
      <c r="K26" s="4" t="s">
        <v>124</v>
      </c>
      <c r="L26" s="4">
        <v>250</v>
      </c>
      <c r="M26" s="4">
        <f t="shared" si="0"/>
        <v>129</v>
      </c>
      <c r="N26" s="22">
        <f t="shared" si="1"/>
        <v>0.51600000000000001</v>
      </c>
      <c r="O26" s="4">
        <v>71</v>
      </c>
      <c r="P26" s="4"/>
    </row>
    <row r="27" spans="1:16" s="9" customFormat="1" ht="24" customHeight="1" x14ac:dyDescent="0.2">
      <c r="A27" s="7">
        <v>20</v>
      </c>
      <c r="B27" s="19"/>
      <c r="C27" s="20" t="s">
        <v>271</v>
      </c>
      <c r="D27" s="20" t="s">
        <v>195</v>
      </c>
      <c r="E27" s="7" t="s">
        <v>244</v>
      </c>
      <c r="F27" s="4">
        <v>23</v>
      </c>
      <c r="G27" s="4">
        <v>25</v>
      </c>
      <c r="H27" s="4">
        <v>39</v>
      </c>
      <c r="I27" s="4">
        <v>19</v>
      </c>
      <c r="J27" s="4">
        <v>24</v>
      </c>
      <c r="K27" s="4" t="s">
        <v>124</v>
      </c>
      <c r="L27" s="4">
        <v>250</v>
      </c>
      <c r="M27" s="4">
        <f t="shared" si="0"/>
        <v>130</v>
      </c>
      <c r="N27" s="22">
        <f t="shared" si="1"/>
        <v>0.52</v>
      </c>
      <c r="O27" s="4">
        <v>95</v>
      </c>
      <c r="P27" s="4"/>
    </row>
    <row r="28" spans="1:16" s="9" customFormat="1" ht="24" customHeight="1" x14ac:dyDescent="0.2">
      <c r="A28" s="7">
        <v>21</v>
      </c>
      <c r="B28" s="19"/>
      <c r="C28" s="20" t="s">
        <v>272</v>
      </c>
      <c r="D28" s="20" t="s">
        <v>273</v>
      </c>
      <c r="E28" s="7" t="s">
        <v>244</v>
      </c>
      <c r="F28" s="4">
        <v>33</v>
      </c>
      <c r="G28" s="4">
        <v>32</v>
      </c>
      <c r="H28" s="4">
        <v>47</v>
      </c>
      <c r="I28" s="4">
        <v>24</v>
      </c>
      <c r="J28" s="4">
        <v>18</v>
      </c>
      <c r="K28" s="4" t="s">
        <v>126</v>
      </c>
      <c r="L28" s="4">
        <v>250</v>
      </c>
      <c r="M28" s="4">
        <f t="shared" si="0"/>
        <v>154</v>
      </c>
      <c r="N28" s="22">
        <f t="shared" si="1"/>
        <v>0.61599999999999999</v>
      </c>
      <c r="O28" s="4">
        <v>98</v>
      </c>
      <c r="P28" s="4"/>
    </row>
    <row r="29" spans="1:16" s="9" customFormat="1" ht="24" customHeight="1" x14ac:dyDescent="0.2">
      <c r="A29" s="7">
        <v>22</v>
      </c>
      <c r="B29" s="19"/>
      <c r="C29" s="20" t="s">
        <v>274</v>
      </c>
      <c r="D29" s="20" t="s">
        <v>275</v>
      </c>
      <c r="E29" s="7" t="s">
        <v>244</v>
      </c>
      <c r="F29" s="4">
        <v>29</v>
      </c>
      <c r="G29" s="4">
        <v>19</v>
      </c>
      <c r="H29" s="4">
        <v>22</v>
      </c>
      <c r="I29" s="4">
        <v>22</v>
      </c>
      <c r="J29" s="4">
        <v>18</v>
      </c>
      <c r="K29" s="4" t="s">
        <v>126</v>
      </c>
      <c r="L29" s="4">
        <v>250</v>
      </c>
      <c r="M29" s="4">
        <f t="shared" si="0"/>
        <v>110</v>
      </c>
      <c r="N29" s="22">
        <f t="shared" si="1"/>
        <v>0.44</v>
      </c>
      <c r="O29" s="4">
        <v>96</v>
      </c>
      <c r="P29" s="4"/>
    </row>
    <row r="30" spans="1:16" s="9" customFormat="1" ht="24" customHeight="1" x14ac:dyDescent="0.2">
      <c r="A30" s="7">
        <v>23</v>
      </c>
      <c r="B30" s="19"/>
      <c r="C30" s="20" t="s">
        <v>276</v>
      </c>
      <c r="D30" s="20" t="s">
        <v>216</v>
      </c>
      <c r="E30" s="7" t="s">
        <v>244</v>
      </c>
      <c r="F30" s="23" t="s">
        <v>124</v>
      </c>
      <c r="G30" s="23" t="s">
        <v>124</v>
      </c>
      <c r="H30" s="23" t="s">
        <v>124</v>
      </c>
      <c r="I30" s="23" t="s">
        <v>124</v>
      </c>
      <c r="J30" s="23" t="s">
        <v>124</v>
      </c>
      <c r="K30" s="23" t="s">
        <v>124</v>
      </c>
      <c r="L30" s="4">
        <v>250</v>
      </c>
      <c r="M30" s="4">
        <f t="shared" si="0"/>
        <v>0</v>
      </c>
      <c r="N30" s="22">
        <f t="shared" si="1"/>
        <v>0</v>
      </c>
      <c r="O30" s="4">
        <v>39</v>
      </c>
      <c r="P30" s="4"/>
    </row>
    <row r="31" spans="1:16" s="9" customFormat="1" ht="24" customHeight="1" x14ac:dyDescent="0.2">
      <c r="A31" s="7">
        <v>24</v>
      </c>
      <c r="B31" s="19"/>
      <c r="C31" s="20" t="s">
        <v>252</v>
      </c>
      <c r="D31" s="20" t="s">
        <v>216</v>
      </c>
      <c r="E31" s="7" t="s">
        <v>244</v>
      </c>
      <c r="F31" s="23" t="s">
        <v>124</v>
      </c>
      <c r="G31" s="23" t="s">
        <v>124</v>
      </c>
      <c r="H31" s="23" t="s">
        <v>124</v>
      </c>
      <c r="I31" s="23" t="s">
        <v>124</v>
      </c>
      <c r="J31" s="23" t="s">
        <v>124</v>
      </c>
      <c r="K31" s="23" t="s">
        <v>124</v>
      </c>
      <c r="L31" s="4">
        <v>250</v>
      </c>
      <c r="M31" s="4">
        <f t="shared" si="0"/>
        <v>0</v>
      </c>
      <c r="N31" s="22">
        <f t="shared" si="1"/>
        <v>0</v>
      </c>
      <c r="O31" s="4">
        <v>48</v>
      </c>
      <c r="P31" s="4"/>
    </row>
    <row r="32" spans="1:16" s="9" customFormat="1" ht="24" customHeight="1" x14ac:dyDescent="0.2">
      <c r="A32" s="7">
        <v>25</v>
      </c>
      <c r="B32" s="19"/>
      <c r="C32" s="20" t="s">
        <v>277</v>
      </c>
      <c r="D32" s="20" t="s">
        <v>278</v>
      </c>
      <c r="E32" s="7" t="s">
        <v>244</v>
      </c>
      <c r="F32" s="4">
        <v>21</v>
      </c>
      <c r="G32" s="4">
        <v>3</v>
      </c>
      <c r="H32" s="4">
        <v>8</v>
      </c>
      <c r="I32" s="4">
        <v>18</v>
      </c>
      <c r="J32" s="4">
        <v>18</v>
      </c>
      <c r="K32" s="4" t="s">
        <v>125</v>
      </c>
      <c r="L32" s="4">
        <v>250</v>
      </c>
      <c r="M32" s="4">
        <f t="shared" si="0"/>
        <v>68</v>
      </c>
      <c r="N32" s="22">
        <f t="shared" si="1"/>
        <v>0.27200000000000002</v>
      </c>
      <c r="O32" s="4">
        <v>60</v>
      </c>
      <c r="P32" s="4"/>
    </row>
    <row r="33" spans="1:16" s="9" customFormat="1" ht="24" customHeight="1" x14ac:dyDescent="0.2">
      <c r="A33" s="7">
        <v>26</v>
      </c>
      <c r="B33" s="19"/>
      <c r="C33" s="20" t="s">
        <v>252</v>
      </c>
      <c r="D33" s="20" t="s">
        <v>279</v>
      </c>
      <c r="E33" s="7" t="s">
        <v>244</v>
      </c>
      <c r="F33" s="4">
        <v>42</v>
      </c>
      <c r="G33" s="4">
        <v>40</v>
      </c>
      <c r="H33" s="4">
        <v>38</v>
      </c>
      <c r="I33" s="4">
        <v>32</v>
      </c>
      <c r="J33" s="4">
        <v>37</v>
      </c>
      <c r="K33" s="4" t="s">
        <v>124</v>
      </c>
      <c r="L33" s="4">
        <v>250</v>
      </c>
      <c r="M33" s="4">
        <f t="shared" si="0"/>
        <v>189</v>
      </c>
      <c r="N33" s="22">
        <f t="shared" si="1"/>
        <v>0.75600000000000001</v>
      </c>
      <c r="O33" s="4">
        <v>65</v>
      </c>
      <c r="P33" s="4"/>
    </row>
    <row r="34" spans="1:16" s="9" customFormat="1" ht="24" customHeight="1" x14ac:dyDescent="0.35">
      <c r="A34" s="64" t="s">
        <v>185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</row>
    <row r="35" spans="1:16" s="9" customFormat="1" ht="24" customHeight="1" x14ac:dyDescent="0.2">
      <c r="A35" s="7">
        <v>27</v>
      </c>
      <c r="B35" s="19"/>
      <c r="C35" s="20" t="s">
        <v>280</v>
      </c>
      <c r="D35" s="20" t="s">
        <v>281</v>
      </c>
      <c r="E35" s="7" t="s">
        <v>244</v>
      </c>
      <c r="F35" s="4">
        <v>43</v>
      </c>
      <c r="G35" s="4">
        <v>40</v>
      </c>
      <c r="H35" s="4">
        <v>50</v>
      </c>
      <c r="I35" s="4">
        <v>48</v>
      </c>
      <c r="J35" s="4">
        <v>48</v>
      </c>
      <c r="K35" s="4" t="s">
        <v>127</v>
      </c>
      <c r="L35" s="4">
        <v>250</v>
      </c>
      <c r="M35" s="4">
        <f t="shared" si="0"/>
        <v>229</v>
      </c>
      <c r="N35" s="22">
        <f t="shared" si="1"/>
        <v>0.91600000000000004</v>
      </c>
      <c r="O35" s="4">
        <v>107</v>
      </c>
      <c r="P35" s="4"/>
    </row>
    <row r="36" spans="1:16" s="9" customFormat="1" ht="24" customHeight="1" x14ac:dyDescent="0.2">
      <c r="A36" s="7">
        <v>28</v>
      </c>
      <c r="B36" s="19"/>
      <c r="C36" s="20" t="s">
        <v>22</v>
      </c>
      <c r="D36" s="20" t="s">
        <v>267</v>
      </c>
      <c r="E36" s="7" t="s">
        <v>244</v>
      </c>
      <c r="F36" s="4">
        <v>41</v>
      </c>
      <c r="G36" s="4">
        <v>47</v>
      </c>
      <c r="H36" s="4">
        <v>46</v>
      </c>
      <c r="I36" s="4">
        <v>37</v>
      </c>
      <c r="J36" s="4">
        <v>22</v>
      </c>
      <c r="K36" s="4" t="s">
        <v>126</v>
      </c>
      <c r="L36" s="4">
        <v>250</v>
      </c>
      <c r="M36" s="4">
        <f t="shared" si="0"/>
        <v>193</v>
      </c>
      <c r="N36" s="22">
        <f t="shared" si="1"/>
        <v>0.77200000000000002</v>
      </c>
      <c r="O36" s="4">
        <v>80</v>
      </c>
      <c r="P36" s="4"/>
    </row>
    <row r="37" spans="1:16" s="9" customFormat="1" ht="24" customHeight="1" x14ac:dyDescent="0.2">
      <c r="A37" s="7">
        <v>29</v>
      </c>
      <c r="B37" s="19"/>
      <c r="C37" s="20" t="s">
        <v>282</v>
      </c>
      <c r="D37" s="20" t="s">
        <v>283</v>
      </c>
      <c r="E37" s="7" t="s">
        <v>244</v>
      </c>
      <c r="F37" s="4">
        <v>23</v>
      </c>
      <c r="G37" s="4">
        <v>18</v>
      </c>
      <c r="H37" s="4">
        <v>33</v>
      </c>
      <c r="I37" s="4">
        <v>18</v>
      </c>
      <c r="J37" s="4">
        <v>18</v>
      </c>
      <c r="K37" s="4" t="s">
        <v>126</v>
      </c>
      <c r="L37" s="4">
        <v>250</v>
      </c>
      <c r="M37" s="4">
        <f t="shared" si="0"/>
        <v>110</v>
      </c>
      <c r="N37" s="22">
        <f t="shared" si="1"/>
        <v>0.44</v>
      </c>
      <c r="O37" s="4">
        <v>97</v>
      </c>
      <c r="P37" s="4"/>
    </row>
    <row r="38" spans="1:16" s="9" customFormat="1" ht="24" customHeight="1" x14ac:dyDescent="0.2">
      <c r="A38" s="7">
        <v>30</v>
      </c>
      <c r="B38" s="19"/>
      <c r="C38" s="20" t="s">
        <v>112</v>
      </c>
      <c r="D38" s="20" t="s">
        <v>284</v>
      </c>
      <c r="E38" s="7" t="s">
        <v>244</v>
      </c>
      <c r="F38" s="4">
        <v>29</v>
      </c>
      <c r="G38" s="4">
        <v>30</v>
      </c>
      <c r="H38" s="4">
        <v>48</v>
      </c>
      <c r="I38" s="4">
        <v>19</v>
      </c>
      <c r="J38" s="4">
        <v>19</v>
      </c>
      <c r="K38" s="4" t="s">
        <v>124</v>
      </c>
      <c r="L38" s="4">
        <v>250</v>
      </c>
      <c r="M38" s="4">
        <f t="shared" si="0"/>
        <v>145</v>
      </c>
      <c r="N38" s="22">
        <f t="shared" si="1"/>
        <v>0.57999999999999996</v>
      </c>
      <c r="O38" s="4">
        <v>82</v>
      </c>
      <c r="P38" s="4"/>
    </row>
    <row r="39" spans="1:16" s="9" customFormat="1" ht="24" customHeight="1" x14ac:dyDescent="0.2">
      <c r="A39" s="7">
        <v>31</v>
      </c>
      <c r="B39" s="19"/>
      <c r="C39" s="20" t="s">
        <v>285</v>
      </c>
      <c r="D39" s="20" t="s">
        <v>286</v>
      </c>
      <c r="E39" s="7" t="s">
        <v>244</v>
      </c>
      <c r="F39" s="23" t="s">
        <v>124</v>
      </c>
      <c r="G39" s="23" t="s">
        <v>124</v>
      </c>
      <c r="H39" s="23" t="s">
        <v>124</v>
      </c>
      <c r="I39" s="23" t="s">
        <v>124</v>
      </c>
      <c r="J39" s="23" t="s">
        <v>124</v>
      </c>
      <c r="K39" s="23" t="s">
        <v>124</v>
      </c>
      <c r="L39" s="4">
        <v>250</v>
      </c>
      <c r="M39" s="4">
        <f t="shared" si="0"/>
        <v>0</v>
      </c>
      <c r="N39" s="22">
        <f t="shared" si="1"/>
        <v>0</v>
      </c>
      <c r="O39" s="4">
        <v>83</v>
      </c>
      <c r="P39" s="4"/>
    </row>
    <row r="40" spans="1:16" s="9" customFormat="1" ht="24" customHeight="1" x14ac:dyDescent="0.2">
      <c r="A40" s="7">
        <v>32</v>
      </c>
      <c r="B40" s="19"/>
      <c r="C40" s="20" t="s">
        <v>287</v>
      </c>
      <c r="D40" s="20" t="s">
        <v>288</v>
      </c>
      <c r="E40" s="7" t="s">
        <v>244</v>
      </c>
      <c r="F40" s="4">
        <v>17</v>
      </c>
      <c r="G40" s="4">
        <v>19</v>
      </c>
      <c r="H40" s="4">
        <v>34</v>
      </c>
      <c r="I40" s="4">
        <v>18</v>
      </c>
      <c r="J40" s="4">
        <v>18</v>
      </c>
      <c r="K40" s="4" t="s">
        <v>126</v>
      </c>
      <c r="L40" s="4">
        <v>250</v>
      </c>
      <c r="M40" s="4">
        <f t="shared" si="0"/>
        <v>106</v>
      </c>
      <c r="N40" s="22">
        <f t="shared" si="1"/>
        <v>0.42399999999999999</v>
      </c>
      <c r="O40" s="4">
        <v>97</v>
      </c>
      <c r="P40" s="4"/>
    </row>
    <row r="41" spans="1:16" s="9" customFormat="1" ht="24" customHeight="1" x14ac:dyDescent="0.2">
      <c r="A41" s="7">
        <v>1</v>
      </c>
      <c r="B41" s="19"/>
      <c r="C41" s="20" t="s">
        <v>289</v>
      </c>
      <c r="D41" s="20" t="s">
        <v>290</v>
      </c>
      <c r="E41" s="7" t="s">
        <v>244</v>
      </c>
      <c r="F41" s="4">
        <v>24</v>
      </c>
      <c r="G41" s="4">
        <v>18</v>
      </c>
      <c r="H41" s="4">
        <v>49</v>
      </c>
      <c r="I41" s="4">
        <v>18</v>
      </c>
      <c r="J41" s="4">
        <v>18</v>
      </c>
      <c r="K41" s="4" t="s">
        <v>126</v>
      </c>
      <c r="L41" s="4">
        <v>250</v>
      </c>
      <c r="M41" s="4">
        <f t="shared" si="0"/>
        <v>127</v>
      </c>
      <c r="N41" s="22">
        <f t="shared" si="1"/>
        <v>0.50800000000000001</v>
      </c>
      <c r="O41" s="4">
        <v>73</v>
      </c>
      <c r="P41" s="4"/>
    </row>
    <row r="42" spans="1:16" s="9" customFormat="1" ht="24" customHeight="1" x14ac:dyDescent="0.2">
      <c r="A42" s="7">
        <v>2</v>
      </c>
      <c r="B42" s="19"/>
      <c r="C42" s="20" t="s">
        <v>291</v>
      </c>
      <c r="D42" s="20" t="s">
        <v>62</v>
      </c>
      <c r="E42" s="7" t="s">
        <v>244</v>
      </c>
      <c r="F42" s="4">
        <v>27</v>
      </c>
      <c r="G42" s="4">
        <v>22</v>
      </c>
      <c r="H42" s="4">
        <v>42</v>
      </c>
      <c r="I42" s="4">
        <v>18</v>
      </c>
      <c r="J42" s="4">
        <v>18</v>
      </c>
      <c r="K42" s="4" t="s">
        <v>126</v>
      </c>
      <c r="L42" s="4">
        <v>250</v>
      </c>
      <c r="M42" s="4">
        <f t="shared" si="0"/>
        <v>127</v>
      </c>
      <c r="N42" s="22">
        <f t="shared" si="1"/>
        <v>0.50800000000000001</v>
      </c>
      <c r="O42" s="4">
        <v>101</v>
      </c>
      <c r="P42" s="4"/>
    </row>
    <row r="43" spans="1:16" s="9" customFormat="1" ht="24" customHeight="1" x14ac:dyDescent="0.2">
      <c r="A43" s="7">
        <v>3</v>
      </c>
      <c r="B43" s="19"/>
      <c r="C43" s="20" t="s">
        <v>104</v>
      </c>
      <c r="D43" s="20" t="s">
        <v>292</v>
      </c>
      <c r="E43" s="7" t="s">
        <v>244</v>
      </c>
      <c r="F43" s="4">
        <v>39</v>
      </c>
      <c r="G43" s="4">
        <v>43</v>
      </c>
      <c r="H43" s="4">
        <v>48</v>
      </c>
      <c r="I43" s="4">
        <v>46</v>
      </c>
      <c r="J43" s="4">
        <v>29</v>
      </c>
      <c r="K43" s="4" t="s">
        <v>124</v>
      </c>
      <c r="L43" s="4">
        <v>250</v>
      </c>
      <c r="M43" s="4">
        <f t="shared" si="0"/>
        <v>205</v>
      </c>
      <c r="N43" s="22">
        <f t="shared" si="1"/>
        <v>0.82</v>
      </c>
      <c r="O43" s="4"/>
      <c r="P43" s="4"/>
    </row>
    <row r="44" spans="1:16" s="9" customFormat="1" ht="24" customHeight="1" x14ac:dyDescent="0.2">
      <c r="A44" s="7">
        <v>4</v>
      </c>
      <c r="B44" s="19"/>
      <c r="C44" s="20" t="s">
        <v>293</v>
      </c>
      <c r="D44" s="20" t="s">
        <v>60</v>
      </c>
      <c r="E44" s="7" t="s">
        <v>244</v>
      </c>
      <c r="F44" s="4">
        <v>31</v>
      </c>
      <c r="G44" s="4">
        <v>11</v>
      </c>
      <c r="H44" s="23" t="s">
        <v>124</v>
      </c>
      <c r="I44" s="23" t="s">
        <v>124</v>
      </c>
      <c r="J44" s="4">
        <v>18</v>
      </c>
      <c r="K44" s="23" t="s">
        <v>124</v>
      </c>
      <c r="L44" s="4">
        <v>250</v>
      </c>
      <c r="M44" s="4">
        <f t="shared" si="0"/>
        <v>60</v>
      </c>
      <c r="N44" s="22">
        <f t="shared" si="1"/>
        <v>0.24</v>
      </c>
      <c r="O44" s="4"/>
      <c r="P44" s="4"/>
    </row>
    <row r="45" spans="1:16" s="9" customFormat="1" ht="24" customHeight="1" x14ac:dyDescent="0.2">
      <c r="A45" s="7">
        <v>5</v>
      </c>
      <c r="B45" s="19"/>
      <c r="C45" s="20" t="s">
        <v>294</v>
      </c>
      <c r="D45" s="20" t="s">
        <v>254</v>
      </c>
      <c r="E45" s="7" t="s">
        <v>244</v>
      </c>
      <c r="F45" s="4">
        <v>32</v>
      </c>
      <c r="G45" s="4">
        <v>36</v>
      </c>
      <c r="H45" s="4">
        <v>49</v>
      </c>
      <c r="I45" s="4">
        <v>18</v>
      </c>
      <c r="J45" s="4">
        <v>19</v>
      </c>
      <c r="K45" s="4" t="s">
        <v>126</v>
      </c>
      <c r="L45" s="4">
        <v>250</v>
      </c>
      <c r="M45" s="4">
        <f t="shared" si="0"/>
        <v>154</v>
      </c>
      <c r="N45" s="22">
        <f t="shared" si="1"/>
        <v>0.61599999999999999</v>
      </c>
      <c r="O45" s="4"/>
      <c r="P45" s="4"/>
    </row>
    <row r="46" spans="1:16" s="9" customFormat="1" ht="24" customHeight="1" x14ac:dyDescent="0.2">
      <c r="A46" s="7">
        <v>6</v>
      </c>
      <c r="B46" s="19"/>
      <c r="C46" s="20" t="s">
        <v>208</v>
      </c>
      <c r="D46" s="20" t="s">
        <v>248</v>
      </c>
      <c r="E46" s="7" t="s">
        <v>244</v>
      </c>
      <c r="F46" s="4">
        <v>32</v>
      </c>
      <c r="G46" s="4">
        <v>31</v>
      </c>
      <c r="H46" s="4">
        <v>44</v>
      </c>
      <c r="I46" s="4">
        <v>39</v>
      </c>
      <c r="J46" s="4">
        <v>19</v>
      </c>
      <c r="K46" s="4" t="s">
        <v>126</v>
      </c>
      <c r="L46" s="4">
        <v>250</v>
      </c>
      <c r="M46" s="4">
        <f t="shared" si="0"/>
        <v>165</v>
      </c>
      <c r="N46" s="22">
        <f t="shared" si="1"/>
        <v>0.66</v>
      </c>
      <c r="O46" s="4"/>
      <c r="P46" s="4"/>
    </row>
    <row r="47" spans="1:16" s="9" customFormat="1" ht="24" customHeight="1" x14ac:dyDescent="0.2">
      <c r="A47" s="7">
        <v>7</v>
      </c>
      <c r="B47" s="19"/>
      <c r="C47" s="20" t="s">
        <v>295</v>
      </c>
      <c r="D47" s="20" t="s">
        <v>296</v>
      </c>
      <c r="E47" s="7" t="s">
        <v>244</v>
      </c>
      <c r="F47" s="4">
        <v>27</v>
      </c>
      <c r="G47" s="4">
        <v>26</v>
      </c>
      <c r="H47" s="4">
        <v>45</v>
      </c>
      <c r="I47" s="4">
        <v>19</v>
      </c>
      <c r="J47" s="4">
        <v>18</v>
      </c>
      <c r="K47" s="4" t="s">
        <v>126</v>
      </c>
      <c r="L47" s="4">
        <v>250</v>
      </c>
      <c r="M47" s="4">
        <f t="shared" si="0"/>
        <v>135</v>
      </c>
      <c r="N47" s="22">
        <f t="shared" si="1"/>
        <v>0.54</v>
      </c>
      <c r="O47" s="4"/>
      <c r="P47" s="4"/>
    </row>
    <row r="48" spans="1:16" s="9" customFormat="1" ht="24" customHeight="1" x14ac:dyDescent="0.2">
      <c r="A48" s="7">
        <v>8</v>
      </c>
      <c r="B48" s="19"/>
      <c r="C48" s="20" t="s">
        <v>297</v>
      </c>
      <c r="D48" s="20" t="s">
        <v>96</v>
      </c>
      <c r="E48" s="7" t="s">
        <v>244</v>
      </c>
      <c r="F48" s="4">
        <v>37</v>
      </c>
      <c r="G48" s="4">
        <v>37</v>
      </c>
      <c r="H48" s="4">
        <v>44</v>
      </c>
      <c r="I48" s="4">
        <v>19</v>
      </c>
      <c r="J48" s="4">
        <v>18</v>
      </c>
      <c r="K48" s="4" t="s">
        <v>126</v>
      </c>
      <c r="L48" s="4">
        <v>250</v>
      </c>
      <c r="M48" s="4">
        <f t="shared" si="0"/>
        <v>155</v>
      </c>
      <c r="N48" s="22">
        <f t="shared" si="1"/>
        <v>0.62</v>
      </c>
      <c r="O48" s="4"/>
      <c r="P48" s="4"/>
    </row>
    <row r="49" spans="1:16" s="9" customFormat="1" ht="24" customHeight="1" x14ac:dyDescent="0.2">
      <c r="A49" s="7">
        <v>9</v>
      </c>
      <c r="B49" s="19"/>
      <c r="C49" s="20" t="s">
        <v>298</v>
      </c>
      <c r="D49" s="20" t="s">
        <v>299</v>
      </c>
      <c r="E49" s="7" t="s">
        <v>244</v>
      </c>
      <c r="F49" s="4">
        <v>30</v>
      </c>
      <c r="G49" s="4">
        <v>24</v>
      </c>
      <c r="H49" s="4">
        <v>24</v>
      </c>
      <c r="I49" s="4">
        <v>19</v>
      </c>
      <c r="J49" s="4">
        <v>18</v>
      </c>
      <c r="K49" s="4" t="s">
        <v>126</v>
      </c>
      <c r="L49" s="4">
        <v>250</v>
      </c>
      <c r="M49" s="4">
        <f t="shared" si="0"/>
        <v>115</v>
      </c>
      <c r="N49" s="22">
        <f t="shared" si="1"/>
        <v>0.46</v>
      </c>
      <c r="O49" s="4"/>
      <c r="P49" s="4"/>
    </row>
    <row r="50" spans="1:16" s="9" customFormat="1" ht="24" customHeight="1" x14ac:dyDescent="0.2">
      <c r="A50" s="7">
        <v>10</v>
      </c>
      <c r="B50" s="21"/>
      <c r="C50" s="20" t="s">
        <v>300</v>
      </c>
      <c r="D50" s="20" t="s">
        <v>191</v>
      </c>
      <c r="E50" s="7" t="s">
        <v>244</v>
      </c>
      <c r="F50" s="4">
        <v>37</v>
      </c>
      <c r="G50" s="4">
        <v>42</v>
      </c>
      <c r="H50" s="4">
        <v>48</v>
      </c>
      <c r="I50" s="4">
        <v>35</v>
      </c>
      <c r="J50" s="4">
        <v>35</v>
      </c>
      <c r="K50" s="4" t="s">
        <v>126</v>
      </c>
      <c r="L50" s="4">
        <v>250</v>
      </c>
      <c r="M50" s="4">
        <f t="shared" si="0"/>
        <v>197</v>
      </c>
      <c r="N50" s="22">
        <f t="shared" si="1"/>
        <v>0.78800000000000003</v>
      </c>
      <c r="O50" s="4"/>
      <c r="P50" s="4"/>
    </row>
    <row r="51" spans="1:16" s="9" customFormat="1" ht="24" customHeight="1" x14ac:dyDescent="0.2">
      <c r="A51" s="7">
        <v>11</v>
      </c>
      <c r="B51" s="19"/>
      <c r="C51" s="20" t="s">
        <v>301</v>
      </c>
      <c r="D51" s="20" t="s">
        <v>302</v>
      </c>
      <c r="E51" s="7" t="s">
        <v>244</v>
      </c>
      <c r="F51" s="4">
        <v>45</v>
      </c>
      <c r="G51" s="4">
        <v>43</v>
      </c>
      <c r="H51" s="4">
        <v>46</v>
      </c>
      <c r="I51" s="4">
        <v>47</v>
      </c>
      <c r="J51" s="4">
        <v>40</v>
      </c>
      <c r="K51" s="4" t="s">
        <v>124</v>
      </c>
      <c r="L51" s="4">
        <v>250</v>
      </c>
      <c r="M51" s="4">
        <f t="shared" si="0"/>
        <v>221</v>
      </c>
      <c r="N51" s="22">
        <f t="shared" si="1"/>
        <v>0.88400000000000001</v>
      </c>
      <c r="O51" s="4"/>
      <c r="P51" s="4"/>
    </row>
    <row r="52" spans="1:16" s="9" customFormat="1" ht="24" customHeight="1" x14ac:dyDescent="0.2">
      <c r="A52" s="7">
        <v>12</v>
      </c>
      <c r="B52" s="19"/>
      <c r="C52" s="20" t="s">
        <v>303</v>
      </c>
      <c r="D52" s="20" t="s">
        <v>58</v>
      </c>
      <c r="E52" s="7" t="s">
        <v>244</v>
      </c>
      <c r="F52" s="4">
        <v>32</v>
      </c>
      <c r="G52" s="4" t="s">
        <v>122</v>
      </c>
      <c r="H52" s="4">
        <v>44</v>
      </c>
      <c r="I52" s="4">
        <v>24</v>
      </c>
      <c r="J52" s="4">
        <v>19</v>
      </c>
      <c r="K52" s="4" t="s">
        <v>122</v>
      </c>
      <c r="L52" s="4">
        <v>250</v>
      </c>
      <c r="M52" s="4">
        <f t="shared" si="0"/>
        <v>119</v>
      </c>
      <c r="N52" s="22">
        <f t="shared" si="1"/>
        <v>0.47599999999999998</v>
      </c>
      <c r="O52" s="4"/>
      <c r="P52" s="4"/>
    </row>
    <row r="53" spans="1:16" s="9" customFormat="1" ht="24" customHeight="1" x14ac:dyDescent="0.2">
      <c r="A53" s="7">
        <v>13</v>
      </c>
      <c r="B53" s="19"/>
      <c r="C53" s="20" t="s">
        <v>304</v>
      </c>
      <c r="D53" s="20" t="s">
        <v>305</v>
      </c>
      <c r="E53" s="7" t="s">
        <v>244</v>
      </c>
      <c r="F53" s="4">
        <v>39</v>
      </c>
      <c r="G53" s="4">
        <v>43</v>
      </c>
      <c r="H53" s="4">
        <v>48</v>
      </c>
      <c r="I53" s="4">
        <v>45</v>
      </c>
      <c r="J53" s="4">
        <v>18</v>
      </c>
      <c r="K53" s="4" t="s">
        <v>126</v>
      </c>
      <c r="L53" s="4">
        <v>250</v>
      </c>
      <c r="M53" s="4">
        <f t="shared" si="0"/>
        <v>193</v>
      </c>
      <c r="N53" s="22">
        <f t="shared" si="1"/>
        <v>0.77200000000000002</v>
      </c>
      <c r="O53" s="4"/>
      <c r="P53" s="4"/>
    </row>
    <row r="54" spans="1:16" s="9" customFormat="1" ht="24" customHeight="1" x14ac:dyDescent="0.2">
      <c r="A54" s="7">
        <v>14</v>
      </c>
      <c r="B54" s="19"/>
      <c r="C54" s="20" t="s">
        <v>306</v>
      </c>
      <c r="D54" s="20" t="s">
        <v>307</v>
      </c>
      <c r="E54" s="7" t="s">
        <v>244</v>
      </c>
      <c r="F54" s="4">
        <v>39</v>
      </c>
      <c r="G54" s="4">
        <v>42</v>
      </c>
      <c r="H54" s="4">
        <v>49</v>
      </c>
      <c r="I54" s="4">
        <v>45</v>
      </c>
      <c r="J54" s="4">
        <v>32</v>
      </c>
      <c r="K54" s="4" t="s">
        <v>124</v>
      </c>
      <c r="L54" s="4">
        <v>250</v>
      </c>
      <c r="M54" s="4">
        <f t="shared" si="0"/>
        <v>207</v>
      </c>
      <c r="N54" s="22">
        <f t="shared" si="1"/>
        <v>0.82799999999999996</v>
      </c>
      <c r="O54" s="4"/>
      <c r="P54" s="4"/>
    </row>
    <row r="55" spans="1:16" s="9" customFormat="1" ht="24" customHeight="1" x14ac:dyDescent="0.2">
      <c r="A55" s="7">
        <v>15</v>
      </c>
      <c r="B55" s="19"/>
      <c r="C55" s="20" t="s">
        <v>308</v>
      </c>
      <c r="D55" s="20" t="s">
        <v>309</v>
      </c>
      <c r="E55" s="7" t="s">
        <v>244</v>
      </c>
      <c r="F55" s="23" t="s">
        <v>124</v>
      </c>
      <c r="G55" s="23" t="s">
        <v>124</v>
      </c>
      <c r="H55" s="23" t="s">
        <v>124</v>
      </c>
      <c r="I55" s="23" t="s">
        <v>124</v>
      </c>
      <c r="J55" s="23" t="s">
        <v>124</v>
      </c>
      <c r="K55" s="23" t="s">
        <v>124</v>
      </c>
      <c r="L55" s="4">
        <v>250</v>
      </c>
      <c r="M55" s="4">
        <f t="shared" si="0"/>
        <v>0</v>
      </c>
      <c r="N55" s="22">
        <f t="shared" si="1"/>
        <v>0</v>
      </c>
      <c r="O55" s="4"/>
      <c r="P55" s="4"/>
    </row>
    <row r="56" spans="1:16" s="9" customFormat="1" ht="24" customHeight="1" x14ac:dyDescent="0.2">
      <c r="A56" s="7">
        <v>16</v>
      </c>
      <c r="B56" s="19"/>
      <c r="C56" s="20" t="s">
        <v>310</v>
      </c>
      <c r="D56" s="20" t="s">
        <v>311</v>
      </c>
      <c r="E56" s="7" t="s">
        <v>244</v>
      </c>
      <c r="F56" s="4">
        <v>34</v>
      </c>
      <c r="G56" s="4">
        <v>19</v>
      </c>
      <c r="H56" s="4">
        <v>32</v>
      </c>
      <c r="I56" s="4">
        <v>18</v>
      </c>
      <c r="J56" s="4">
        <v>18</v>
      </c>
      <c r="K56" s="4" t="s">
        <v>126</v>
      </c>
      <c r="L56" s="4">
        <v>250</v>
      </c>
      <c r="M56" s="4">
        <f t="shared" si="0"/>
        <v>121</v>
      </c>
      <c r="N56" s="22">
        <f t="shared" si="1"/>
        <v>0.48399999999999999</v>
      </c>
      <c r="O56" s="4"/>
      <c r="P56" s="4"/>
    </row>
    <row r="57" spans="1:16" s="9" customFormat="1" ht="24" customHeight="1" x14ac:dyDescent="0.2">
      <c r="A57" s="7">
        <v>17</v>
      </c>
      <c r="B57" s="19"/>
      <c r="C57" s="20" t="s">
        <v>312</v>
      </c>
      <c r="D57" s="20" t="s">
        <v>313</v>
      </c>
      <c r="E57" s="7" t="s">
        <v>244</v>
      </c>
      <c r="F57" s="4">
        <v>33</v>
      </c>
      <c r="G57" s="4">
        <v>24</v>
      </c>
      <c r="H57" s="4">
        <v>34</v>
      </c>
      <c r="I57" s="4">
        <v>18</v>
      </c>
      <c r="J57" s="4">
        <v>18</v>
      </c>
      <c r="K57" s="4" t="s">
        <v>124</v>
      </c>
      <c r="L57" s="4">
        <v>250</v>
      </c>
      <c r="M57" s="4">
        <f t="shared" si="0"/>
        <v>127</v>
      </c>
      <c r="N57" s="22">
        <f t="shared" si="1"/>
        <v>0.50800000000000001</v>
      </c>
      <c r="O57" s="4"/>
      <c r="P57" s="4"/>
    </row>
    <row r="58" spans="1:16" s="9" customFormat="1" ht="24" customHeight="1" x14ac:dyDescent="0.2">
      <c r="A58" s="7">
        <v>18</v>
      </c>
      <c r="B58" s="19"/>
      <c r="C58" s="20" t="s">
        <v>314</v>
      </c>
      <c r="D58" s="20" t="s">
        <v>307</v>
      </c>
      <c r="E58" s="7" t="s">
        <v>244</v>
      </c>
      <c r="F58" s="4">
        <v>39</v>
      </c>
      <c r="G58" s="4">
        <v>49</v>
      </c>
      <c r="H58" s="4">
        <v>48</v>
      </c>
      <c r="I58" s="4">
        <v>45</v>
      </c>
      <c r="J58" s="4">
        <v>41</v>
      </c>
      <c r="K58" s="4" t="s">
        <v>124</v>
      </c>
      <c r="L58" s="4">
        <v>250</v>
      </c>
      <c r="M58" s="4">
        <f t="shared" si="0"/>
        <v>222</v>
      </c>
      <c r="N58" s="22">
        <f t="shared" si="1"/>
        <v>0.88800000000000001</v>
      </c>
      <c r="O58" s="4"/>
      <c r="P58" s="4"/>
    </row>
    <row r="59" spans="1:16" s="9" customFormat="1" ht="24" customHeight="1" x14ac:dyDescent="0.2">
      <c r="A59" s="7">
        <v>19</v>
      </c>
      <c r="B59" s="19"/>
      <c r="C59" s="20" t="s">
        <v>315</v>
      </c>
      <c r="D59" s="20" t="s">
        <v>316</v>
      </c>
      <c r="E59" s="7" t="s">
        <v>244</v>
      </c>
      <c r="F59" s="4">
        <v>22</v>
      </c>
      <c r="G59" s="4">
        <v>35</v>
      </c>
      <c r="H59" s="4">
        <v>32</v>
      </c>
      <c r="I59" s="4">
        <v>18</v>
      </c>
      <c r="J59" s="4">
        <v>18</v>
      </c>
      <c r="K59" s="4" t="s">
        <v>125</v>
      </c>
      <c r="L59" s="4">
        <v>250</v>
      </c>
      <c r="M59" s="4">
        <f t="shared" si="0"/>
        <v>125</v>
      </c>
      <c r="N59" s="22">
        <f t="shared" si="1"/>
        <v>0.5</v>
      </c>
      <c r="O59" s="4"/>
      <c r="P59" s="4"/>
    </row>
    <row r="60" spans="1:16" s="9" customFormat="1" ht="24" customHeight="1" x14ac:dyDescent="0.2">
      <c r="A60" s="7">
        <v>20</v>
      </c>
      <c r="B60" s="19"/>
      <c r="C60" s="20" t="s">
        <v>317</v>
      </c>
      <c r="D60" s="20" t="s">
        <v>318</v>
      </c>
      <c r="E60" s="7" t="s">
        <v>244</v>
      </c>
      <c r="F60" s="4">
        <v>31</v>
      </c>
      <c r="G60" s="4">
        <v>40</v>
      </c>
      <c r="H60" s="4">
        <v>48</v>
      </c>
      <c r="I60" s="4">
        <v>18</v>
      </c>
      <c r="J60" s="4">
        <v>18</v>
      </c>
      <c r="K60" s="4" t="s">
        <v>124</v>
      </c>
      <c r="L60" s="4">
        <v>250</v>
      </c>
      <c r="M60" s="4">
        <f t="shared" si="0"/>
        <v>155</v>
      </c>
      <c r="N60" s="22">
        <f t="shared" si="1"/>
        <v>0.62</v>
      </c>
      <c r="O60" s="4"/>
      <c r="P60" s="4"/>
    </row>
  </sheetData>
  <mergeCells count="16">
    <mergeCell ref="A7:P7"/>
    <mergeCell ref="A34:P34"/>
    <mergeCell ref="A1:P1"/>
    <mergeCell ref="A2:P2"/>
    <mergeCell ref="A4:A6"/>
    <mergeCell ref="B4:B6"/>
    <mergeCell ref="C4:C6"/>
    <mergeCell ref="D4:D6"/>
    <mergeCell ref="E4:E6"/>
    <mergeCell ref="F4:K4"/>
    <mergeCell ref="L4:L5"/>
    <mergeCell ref="M4:M6"/>
    <mergeCell ref="A3:P3"/>
    <mergeCell ref="N4:N6"/>
    <mergeCell ref="O4:O6"/>
    <mergeCell ref="P4:P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A8AE-DD69-4A2F-8468-8B19BBE824D7}">
  <dimension ref="A1:Q62"/>
  <sheetViews>
    <sheetView workbookViewId="0">
      <selection activeCell="Q4" sqref="Q1:Q1048576"/>
    </sheetView>
  </sheetViews>
  <sheetFormatPr defaultRowHeight="15" x14ac:dyDescent="0.25"/>
  <cols>
    <col min="1" max="2" width="3.140625" bestFit="1" customWidth="1"/>
    <col min="3" max="3" width="16.7109375" bestFit="1" customWidth="1"/>
    <col min="4" max="4" width="20.28515625" bestFit="1" customWidth="1"/>
    <col min="6" max="16" width="5.7109375" customWidth="1"/>
    <col min="17" max="17" width="20.7109375" customWidth="1"/>
  </cols>
  <sheetData>
    <row r="1" spans="1:17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x14ac:dyDescent="0.25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spans="1:17" x14ac:dyDescent="0.25">
      <c r="A3" s="57" t="s">
        <v>239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</row>
    <row r="4" spans="1:17" x14ac:dyDescent="0.25">
      <c r="A4" s="52" t="s">
        <v>2</v>
      </c>
      <c r="B4" s="52" t="s">
        <v>3</v>
      </c>
      <c r="C4" s="52" t="s">
        <v>5</v>
      </c>
      <c r="D4" s="52" t="s">
        <v>6</v>
      </c>
      <c r="E4" s="52" t="s">
        <v>4</v>
      </c>
      <c r="F4" s="56" t="s">
        <v>7</v>
      </c>
      <c r="G4" s="56"/>
      <c r="H4" s="56"/>
      <c r="I4" s="56"/>
      <c r="J4" s="56"/>
      <c r="K4" s="56"/>
      <c r="L4" s="56"/>
      <c r="M4" s="52" t="s">
        <v>15</v>
      </c>
      <c r="N4" s="52" t="s">
        <v>16</v>
      </c>
      <c r="O4" s="52" t="s">
        <v>17</v>
      </c>
      <c r="P4" s="52" t="s">
        <v>13</v>
      </c>
      <c r="Q4" s="56" t="s">
        <v>18</v>
      </c>
    </row>
    <row r="5" spans="1:17" ht="36.75" x14ac:dyDescent="0.25">
      <c r="A5" s="52"/>
      <c r="B5" s="52"/>
      <c r="C5" s="52"/>
      <c r="D5" s="52"/>
      <c r="E5" s="52"/>
      <c r="F5" s="2" t="s">
        <v>409</v>
      </c>
      <c r="G5" s="2" t="s">
        <v>10</v>
      </c>
      <c r="H5" s="2" t="s">
        <v>135</v>
      </c>
      <c r="I5" s="2" t="s">
        <v>11</v>
      </c>
      <c r="J5" s="2" t="s">
        <v>9</v>
      </c>
      <c r="K5" s="2" t="s">
        <v>136</v>
      </c>
      <c r="L5" s="2" t="s">
        <v>241</v>
      </c>
      <c r="M5" s="52"/>
      <c r="N5" s="52"/>
      <c r="O5" s="52"/>
      <c r="P5" s="52"/>
      <c r="Q5" s="56"/>
    </row>
    <row r="6" spans="1:17" x14ac:dyDescent="0.25">
      <c r="A6" s="52"/>
      <c r="B6" s="52"/>
      <c r="C6" s="52"/>
      <c r="D6" s="52"/>
      <c r="E6" s="52"/>
      <c r="F6" s="3">
        <v>50</v>
      </c>
      <c r="G6" s="3">
        <v>50</v>
      </c>
      <c r="H6" s="3">
        <v>50</v>
      </c>
      <c r="I6" s="3">
        <v>50</v>
      </c>
      <c r="J6" s="3">
        <v>50</v>
      </c>
      <c r="K6" s="3">
        <v>50</v>
      </c>
      <c r="L6" s="3" t="s">
        <v>319</v>
      </c>
      <c r="M6" s="3">
        <f>SUM(F6:K6)</f>
        <v>300</v>
      </c>
      <c r="N6" s="52"/>
      <c r="O6" s="52"/>
      <c r="P6" s="52"/>
      <c r="Q6" s="56"/>
    </row>
    <row r="7" spans="1:17" ht="21" x14ac:dyDescent="0.35">
      <c r="A7" s="64" t="s">
        <v>185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</row>
    <row r="8" spans="1:17" x14ac:dyDescent="0.25">
      <c r="A8" s="7">
        <v>1</v>
      </c>
      <c r="B8" s="19"/>
      <c r="C8" s="44" t="s">
        <v>410</v>
      </c>
      <c r="D8" s="44" t="s">
        <v>411</v>
      </c>
      <c r="E8" s="7" t="s">
        <v>412</v>
      </c>
      <c r="F8" s="4">
        <v>44</v>
      </c>
      <c r="G8" s="4">
        <v>34</v>
      </c>
      <c r="H8" s="4">
        <v>49</v>
      </c>
      <c r="I8" s="4">
        <v>46</v>
      </c>
      <c r="J8" s="4">
        <v>30</v>
      </c>
      <c r="K8" s="4">
        <v>18</v>
      </c>
      <c r="L8" s="4" t="s">
        <v>126</v>
      </c>
      <c r="M8" s="4">
        <v>300</v>
      </c>
      <c r="N8" s="4">
        <f>SUM(F8:K8)</f>
        <v>221</v>
      </c>
      <c r="O8" s="22">
        <f>N8/M8</f>
        <v>0.73666666666666669</v>
      </c>
      <c r="P8" s="4">
        <v>39</v>
      </c>
      <c r="Q8" s="4"/>
    </row>
    <row r="9" spans="1:17" x14ac:dyDescent="0.25">
      <c r="A9" s="7">
        <v>2</v>
      </c>
      <c r="B9" s="19"/>
      <c r="C9" s="44" t="s">
        <v>413</v>
      </c>
      <c r="D9" s="44" t="s">
        <v>386</v>
      </c>
      <c r="E9" s="7" t="s">
        <v>412</v>
      </c>
      <c r="F9" s="4">
        <v>24</v>
      </c>
      <c r="G9" s="4">
        <v>35</v>
      </c>
      <c r="H9" s="4">
        <v>41</v>
      </c>
      <c r="I9" s="4">
        <v>37</v>
      </c>
      <c r="J9" s="4">
        <v>35</v>
      </c>
      <c r="K9" s="4">
        <v>18</v>
      </c>
      <c r="L9" s="4" t="s">
        <v>124</v>
      </c>
      <c r="M9" s="4">
        <v>300</v>
      </c>
      <c r="N9" s="4">
        <f t="shared" ref="N9:N62" si="0">SUM(F9:K9)</f>
        <v>190</v>
      </c>
      <c r="O9" s="22">
        <f t="shared" ref="O9:O36" si="1">N9/M9</f>
        <v>0.6333333333333333</v>
      </c>
      <c r="P9" s="4">
        <v>39</v>
      </c>
      <c r="Q9" s="4"/>
    </row>
    <row r="10" spans="1:17" x14ac:dyDescent="0.25">
      <c r="A10" s="7">
        <v>3</v>
      </c>
      <c r="B10" s="19"/>
      <c r="C10" s="44" t="s">
        <v>414</v>
      </c>
      <c r="D10" s="44" t="s">
        <v>415</v>
      </c>
      <c r="E10" s="7" t="s">
        <v>412</v>
      </c>
      <c r="F10" s="4">
        <v>49</v>
      </c>
      <c r="G10" s="4">
        <v>49</v>
      </c>
      <c r="H10" s="4">
        <v>49</v>
      </c>
      <c r="I10" s="4">
        <v>49</v>
      </c>
      <c r="J10" s="4">
        <v>49</v>
      </c>
      <c r="K10" s="4">
        <v>48</v>
      </c>
      <c r="L10" s="4" t="s">
        <v>124</v>
      </c>
      <c r="M10" s="4">
        <v>300</v>
      </c>
      <c r="N10" s="4">
        <f t="shared" si="0"/>
        <v>293</v>
      </c>
      <c r="O10" s="22">
        <f t="shared" si="1"/>
        <v>0.97666666666666668</v>
      </c>
      <c r="P10" s="4">
        <v>43</v>
      </c>
      <c r="Q10" s="4"/>
    </row>
    <row r="11" spans="1:17" x14ac:dyDescent="0.25">
      <c r="A11" s="7">
        <v>4</v>
      </c>
      <c r="B11" s="19"/>
      <c r="C11" s="44" t="s">
        <v>416</v>
      </c>
      <c r="D11" s="44" t="s">
        <v>283</v>
      </c>
      <c r="E11" s="7" t="s">
        <v>412</v>
      </c>
      <c r="F11" s="4">
        <v>23</v>
      </c>
      <c r="G11" s="4">
        <v>33</v>
      </c>
      <c r="H11" s="4">
        <v>40</v>
      </c>
      <c r="I11" s="4">
        <v>33</v>
      </c>
      <c r="J11" s="4">
        <v>28</v>
      </c>
      <c r="K11" s="4">
        <v>18</v>
      </c>
      <c r="L11" s="4" t="s">
        <v>126</v>
      </c>
      <c r="M11" s="4">
        <v>300</v>
      </c>
      <c r="N11" s="4">
        <f t="shared" si="0"/>
        <v>175</v>
      </c>
      <c r="O11" s="22">
        <f t="shared" si="1"/>
        <v>0.58333333333333337</v>
      </c>
      <c r="P11" s="4">
        <v>34</v>
      </c>
      <c r="Q11" s="4"/>
    </row>
    <row r="12" spans="1:17" x14ac:dyDescent="0.25">
      <c r="A12" s="7">
        <v>5</v>
      </c>
      <c r="B12" s="19"/>
      <c r="C12" s="44" t="s">
        <v>112</v>
      </c>
      <c r="D12" s="44" t="s">
        <v>417</v>
      </c>
      <c r="E12" s="7" t="s">
        <v>412</v>
      </c>
      <c r="F12" s="4">
        <v>29</v>
      </c>
      <c r="G12" s="4">
        <v>34</v>
      </c>
      <c r="H12" s="4">
        <v>46</v>
      </c>
      <c r="I12" s="4">
        <v>39</v>
      </c>
      <c r="J12" s="4">
        <v>33</v>
      </c>
      <c r="K12" s="4">
        <v>19</v>
      </c>
      <c r="L12" s="4" t="s">
        <v>126</v>
      </c>
      <c r="M12" s="4">
        <v>300</v>
      </c>
      <c r="N12" s="4">
        <f t="shared" si="0"/>
        <v>200</v>
      </c>
      <c r="O12" s="22">
        <f t="shared" si="1"/>
        <v>0.66666666666666663</v>
      </c>
      <c r="P12" s="4">
        <v>38</v>
      </c>
      <c r="Q12" s="4"/>
    </row>
    <row r="13" spans="1:17" x14ac:dyDescent="0.25">
      <c r="A13" s="7">
        <v>6</v>
      </c>
      <c r="B13" s="19"/>
      <c r="C13" s="44" t="s">
        <v>418</v>
      </c>
      <c r="D13" s="44" t="s">
        <v>419</v>
      </c>
      <c r="E13" s="7" t="s">
        <v>412</v>
      </c>
      <c r="F13" s="4">
        <v>47</v>
      </c>
      <c r="G13" s="4">
        <v>45</v>
      </c>
      <c r="H13" s="4">
        <v>45</v>
      </c>
      <c r="I13" s="4">
        <v>45</v>
      </c>
      <c r="J13" s="4">
        <v>38</v>
      </c>
      <c r="K13" s="4">
        <v>20</v>
      </c>
      <c r="L13" s="4" t="s">
        <v>126</v>
      </c>
      <c r="M13" s="4">
        <v>300</v>
      </c>
      <c r="N13" s="4">
        <f t="shared" si="0"/>
        <v>240</v>
      </c>
      <c r="O13" s="22">
        <f t="shared" si="1"/>
        <v>0.8</v>
      </c>
      <c r="P13" s="4">
        <v>42</v>
      </c>
      <c r="Q13" s="4"/>
    </row>
    <row r="14" spans="1:17" x14ac:dyDescent="0.25">
      <c r="A14" s="7">
        <v>7</v>
      </c>
      <c r="B14" s="19"/>
      <c r="C14" s="44" t="s">
        <v>420</v>
      </c>
      <c r="D14" s="44" t="s">
        <v>56</v>
      </c>
      <c r="E14" s="7" t="s">
        <v>412</v>
      </c>
      <c r="F14" s="4">
        <v>35</v>
      </c>
      <c r="G14" s="4">
        <v>38</v>
      </c>
      <c r="H14" s="4">
        <v>41</v>
      </c>
      <c r="I14" s="4">
        <v>32</v>
      </c>
      <c r="J14" s="4">
        <v>20</v>
      </c>
      <c r="K14" s="4">
        <v>17</v>
      </c>
      <c r="L14" s="4" t="s">
        <v>126</v>
      </c>
      <c r="M14" s="4">
        <v>300</v>
      </c>
      <c r="N14" s="4">
        <f t="shared" si="0"/>
        <v>183</v>
      </c>
      <c r="O14" s="22">
        <f t="shared" si="1"/>
        <v>0.61</v>
      </c>
      <c r="P14" s="4">
        <v>37</v>
      </c>
      <c r="Q14" s="4"/>
    </row>
    <row r="15" spans="1:17" x14ac:dyDescent="0.25">
      <c r="A15" s="7">
        <v>8</v>
      </c>
      <c r="B15" s="19"/>
      <c r="C15" s="44" t="s">
        <v>405</v>
      </c>
      <c r="D15" s="44" t="s">
        <v>421</v>
      </c>
      <c r="E15" s="7" t="s">
        <v>412</v>
      </c>
      <c r="F15" s="4">
        <v>30</v>
      </c>
      <c r="G15" s="4">
        <v>32</v>
      </c>
      <c r="H15" s="4">
        <v>46</v>
      </c>
      <c r="I15" s="4">
        <v>47</v>
      </c>
      <c r="J15" s="4">
        <v>34</v>
      </c>
      <c r="K15" s="4">
        <v>17</v>
      </c>
      <c r="L15" s="4" t="s">
        <v>126</v>
      </c>
      <c r="M15" s="4">
        <v>300</v>
      </c>
      <c r="N15" s="4">
        <f t="shared" si="0"/>
        <v>206</v>
      </c>
      <c r="O15" s="22">
        <f t="shared" si="1"/>
        <v>0.68666666666666665</v>
      </c>
      <c r="P15" s="4" t="s">
        <v>122</v>
      </c>
      <c r="Q15" s="4"/>
    </row>
    <row r="16" spans="1:17" x14ac:dyDescent="0.25">
      <c r="A16" s="7">
        <v>9</v>
      </c>
      <c r="B16" s="19"/>
      <c r="C16" s="44" t="s">
        <v>58</v>
      </c>
      <c r="D16" s="44" t="s">
        <v>422</v>
      </c>
      <c r="E16" s="7" t="s">
        <v>412</v>
      </c>
      <c r="F16" s="4">
        <v>38</v>
      </c>
      <c r="G16" s="4">
        <v>46</v>
      </c>
      <c r="H16" s="4">
        <v>50</v>
      </c>
      <c r="I16" s="4">
        <v>40</v>
      </c>
      <c r="J16" s="23" t="s">
        <v>124</v>
      </c>
      <c r="K16" s="23" t="s">
        <v>124</v>
      </c>
      <c r="L16" s="4" t="s">
        <v>126</v>
      </c>
      <c r="M16" s="4">
        <v>300</v>
      </c>
      <c r="N16" s="4">
        <f t="shared" si="0"/>
        <v>174</v>
      </c>
      <c r="O16" s="22">
        <f t="shared" si="1"/>
        <v>0.57999999999999996</v>
      </c>
      <c r="P16" s="4">
        <v>13</v>
      </c>
      <c r="Q16" s="4"/>
    </row>
    <row r="17" spans="1:17" x14ac:dyDescent="0.25">
      <c r="A17" s="7">
        <v>10</v>
      </c>
      <c r="B17" s="19"/>
      <c r="C17" s="44" t="s">
        <v>423</v>
      </c>
      <c r="D17" s="44" t="s">
        <v>424</v>
      </c>
      <c r="E17" s="7" t="s">
        <v>412</v>
      </c>
      <c r="F17" s="4">
        <v>42</v>
      </c>
      <c r="G17" s="4">
        <v>38</v>
      </c>
      <c r="H17" s="4">
        <v>48</v>
      </c>
      <c r="I17" s="4">
        <v>42</v>
      </c>
      <c r="J17" s="4">
        <v>32</v>
      </c>
      <c r="K17" s="4">
        <v>20</v>
      </c>
      <c r="L17" s="4" t="s">
        <v>126</v>
      </c>
      <c r="M17" s="4">
        <v>300</v>
      </c>
      <c r="N17" s="4">
        <f t="shared" si="0"/>
        <v>222</v>
      </c>
      <c r="O17" s="22">
        <f t="shared" si="1"/>
        <v>0.74</v>
      </c>
      <c r="P17" s="4">
        <v>28</v>
      </c>
      <c r="Q17" s="4"/>
    </row>
    <row r="18" spans="1:17" x14ac:dyDescent="0.25">
      <c r="A18" s="7">
        <v>11</v>
      </c>
      <c r="B18" s="19"/>
      <c r="C18" s="44" t="s">
        <v>425</v>
      </c>
      <c r="D18" s="44" t="s">
        <v>426</v>
      </c>
      <c r="E18" s="7" t="s">
        <v>412</v>
      </c>
      <c r="F18" s="4">
        <v>18</v>
      </c>
      <c r="G18" s="4">
        <v>34</v>
      </c>
      <c r="H18" s="4">
        <v>40</v>
      </c>
      <c r="I18" s="4">
        <v>35</v>
      </c>
      <c r="J18" s="4">
        <v>25</v>
      </c>
      <c r="K18" s="23" t="s">
        <v>124</v>
      </c>
      <c r="L18" s="4" t="s">
        <v>126</v>
      </c>
      <c r="M18" s="4">
        <v>300</v>
      </c>
      <c r="N18" s="4">
        <f t="shared" si="0"/>
        <v>152</v>
      </c>
      <c r="O18" s="22">
        <f t="shared" si="1"/>
        <v>0.50666666666666671</v>
      </c>
      <c r="P18" s="4">
        <v>23</v>
      </c>
      <c r="Q18" s="4"/>
    </row>
    <row r="19" spans="1:17" x14ac:dyDescent="0.25">
      <c r="A19" s="7">
        <v>12</v>
      </c>
      <c r="B19" s="19"/>
      <c r="C19" s="44" t="s">
        <v>427</v>
      </c>
      <c r="D19" s="44" t="s">
        <v>428</v>
      </c>
      <c r="E19" s="7" t="s">
        <v>412</v>
      </c>
      <c r="F19" s="4">
        <v>27</v>
      </c>
      <c r="G19" s="4">
        <v>37</v>
      </c>
      <c r="H19" s="4">
        <v>45</v>
      </c>
      <c r="I19" s="4">
        <v>37</v>
      </c>
      <c r="J19" s="4">
        <v>35</v>
      </c>
      <c r="K19" s="4">
        <v>19</v>
      </c>
      <c r="L19" s="4" t="s">
        <v>126</v>
      </c>
      <c r="M19" s="4">
        <v>300</v>
      </c>
      <c r="N19" s="4">
        <f t="shared" si="0"/>
        <v>200</v>
      </c>
      <c r="O19" s="22">
        <f t="shared" si="1"/>
        <v>0.66666666666666663</v>
      </c>
      <c r="P19" s="4">
        <v>31</v>
      </c>
      <c r="Q19" s="4"/>
    </row>
    <row r="20" spans="1:17" x14ac:dyDescent="0.25">
      <c r="A20" s="7">
        <v>13</v>
      </c>
      <c r="B20" s="19"/>
      <c r="C20" s="44" t="s">
        <v>429</v>
      </c>
      <c r="D20" s="44" t="s">
        <v>115</v>
      </c>
      <c r="E20" s="7" t="s">
        <v>412</v>
      </c>
      <c r="F20" s="4">
        <v>29</v>
      </c>
      <c r="G20" s="4">
        <v>27</v>
      </c>
      <c r="H20" s="4">
        <v>42</v>
      </c>
      <c r="I20" s="4">
        <v>35</v>
      </c>
      <c r="J20" s="4">
        <v>29</v>
      </c>
      <c r="K20" s="4">
        <v>17</v>
      </c>
      <c r="L20" s="4" t="s">
        <v>126</v>
      </c>
      <c r="M20" s="4">
        <v>300</v>
      </c>
      <c r="N20" s="4">
        <f t="shared" si="0"/>
        <v>179</v>
      </c>
      <c r="O20" s="22">
        <f t="shared" si="1"/>
        <v>0.59666666666666668</v>
      </c>
      <c r="P20" s="4">
        <v>35</v>
      </c>
      <c r="Q20" s="4"/>
    </row>
    <row r="21" spans="1:17" x14ac:dyDescent="0.25">
      <c r="A21" s="7">
        <v>14</v>
      </c>
      <c r="B21" s="19"/>
      <c r="C21" s="44" t="s">
        <v>430</v>
      </c>
      <c r="D21" s="44" t="s">
        <v>66</v>
      </c>
      <c r="E21" s="7" t="s">
        <v>412</v>
      </c>
      <c r="F21" s="4">
        <v>25</v>
      </c>
      <c r="G21" s="4">
        <v>35</v>
      </c>
      <c r="H21" s="4">
        <v>42</v>
      </c>
      <c r="I21" s="4">
        <v>36</v>
      </c>
      <c r="J21" s="4">
        <v>24</v>
      </c>
      <c r="K21" s="4">
        <v>17</v>
      </c>
      <c r="L21" s="4" t="s">
        <v>126</v>
      </c>
      <c r="M21" s="4">
        <v>300</v>
      </c>
      <c r="N21" s="4">
        <f t="shared" si="0"/>
        <v>179</v>
      </c>
      <c r="O21" s="22">
        <f t="shared" si="1"/>
        <v>0.59666666666666668</v>
      </c>
      <c r="P21" s="4">
        <v>40</v>
      </c>
      <c r="Q21" s="4"/>
    </row>
    <row r="22" spans="1:17" x14ac:dyDescent="0.25">
      <c r="A22" s="7">
        <v>15</v>
      </c>
      <c r="B22" s="19"/>
      <c r="C22" s="44" t="s">
        <v>431</v>
      </c>
      <c r="D22" s="44" t="s">
        <v>432</v>
      </c>
      <c r="E22" s="7" t="s">
        <v>412</v>
      </c>
      <c r="F22" s="4">
        <v>49</v>
      </c>
      <c r="G22" s="4">
        <v>49</v>
      </c>
      <c r="H22" s="4">
        <v>50</v>
      </c>
      <c r="I22" s="4">
        <v>49</v>
      </c>
      <c r="J22" s="4">
        <v>47</v>
      </c>
      <c r="K22" s="4">
        <v>49</v>
      </c>
      <c r="L22" s="4" t="s">
        <v>127</v>
      </c>
      <c r="M22" s="4">
        <v>300</v>
      </c>
      <c r="N22" s="4">
        <f t="shared" si="0"/>
        <v>293</v>
      </c>
      <c r="O22" s="22">
        <f t="shared" si="1"/>
        <v>0.97666666666666668</v>
      </c>
      <c r="P22" s="4">
        <v>39</v>
      </c>
      <c r="Q22" s="4"/>
    </row>
    <row r="23" spans="1:17" x14ac:dyDescent="0.25">
      <c r="A23" s="7">
        <v>16</v>
      </c>
      <c r="B23" s="19"/>
      <c r="C23" s="44" t="s">
        <v>97</v>
      </c>
      <c r="D23" s="44" t="s">
        <v>85</v>
      </c>
      <c r="E23" s="7" t="s">
        <v>412</v>
      </c>
      <c r="F23" s="4">
        <v>23</v>
      </c>
      <c r="G23" s="4">
        <v>29</v>
      </c>
      <c r="H23" s="4">
        <v>43</v>
      </c>
      <c r="I23" s="4">
        <v>28</v>
      </c>
      <c r="J23" s="4">
        <v>24</v>
      </c>
      <c r="K23" s="4">
        <v>20</v>
      </c>
      <c r="L23" s="4" t="s">
        <v>124</v>
      </c>
      <c r="M23" s="4">
        <v>300</v>
      </c>
      <c r="N23" s="4">
        <f t="shared" si="0"/>
        <v>167</v>
      </c>
      <c r="O23" s="22">
        <f t="shared" si="1"/>
        <v>0.55666666666666664</v>
      </c>
      <c r="P23" s="4">
        <v>20</v>
      </c>
      <c r="Q23" s="4"/>
    </row>
    <row r="24" spans="1:17" x14ac:dyDescent="0.25">
      <c r="A24" s="7">
        <v>17</v>
      </c>
      <c r="B24" s="19"/>
      <c r="C24" s="44" t="s">
        <v>433</v>
      </c>
      <c r="D24" s="44" t="s">
        <v>434</v>
      </c>
      <c r="E24" s="7" t="s">
        <v>412</v>
      </c>
      <c r="F24" s="4" t="s">
        <v>122</v>
      </c>
      <c r="G24" s="4" t="s">
        <v>122</v>
      </c>
      <c r="H24" s="4" t="s">
        <v>122</v>
      </c>
      <c r="I24" s="4" t="s">
        <v>122</v>
      </c>
      <c r="J24" s="4" t="s">
        <v>122</v>
      </c>
      <c r="K24" s="4" t="s">
        <v>122</v>
      </c>
      <c r="L24" s="4" t="s">
        <v>122</v>
      </c>
      <c r="M24" s="4">
        <v>300</v>
      </c>
      <c r="N24" s="4">
        <f t="shared" si="0"/>
        <v>0</v>
      </c>
      <c r="O24" s="22">
        <f t="shared" si="1"/>
        <v>0</v>
      </c>
      <c r="P24" s="4" t="s">
        <v>122</v>
      </c>
      <c r="Q24" s="4"/>
    </row>
    <row r="25" spans="1:17" x14ac:dyDescent="0.25">
      <c r="A25" s="7">
        <v>18</v>
      </c>
      <c r="B25" s="19"/>
      <c r="C25" s="44" t="s">
        <v>435</v>
      </c>
      <c r="D25" s="44" t="s">
        <v>256</v>
      </c>
      <c r="E25" s="7" t="s">
        <v>412</v>
      </c>
      <c r="F25" s="4">
        <v>29</v>
      </c>
      <c r="G25" s="4">
        <v>37</v>
      </c>
      <c r="H25" s="4">
        <v>46</v>
      </c>
      <c r="I25" s="4">
        <v>32</v>
      </c>
      <c r="J25" s="4">
        <v>25</v>
      </c>
      <c r="K25" s="4">
        <v>23</v>
      </c>
      <c r="L25" s="4" t="s">
        <v>126</v>
      </c>
      <c r="M25" s="4">
        <v>300</v>
      </c>
      <c r="N25" s="4">
        <f t="shared" si="0"/>
        <v>192</v>
      </c>
      <c r="O25" s="22">
        <f t="shared" si="1"/>
        <v>0.64</v>
      </c>
      <c r="P25" s="4">
        <v>37</v>
      </c>
      <c r="Q25" s="4"/>
    </row>
    <row r="26" spans="1:17" x14ac:dyDescent="0.25">
      <c r="A26" s="7">
        <v>19</v>
      </c>
      <c r="B26" s="19"/>
      <c r="C26" s="44" t="s">
        <v>436</v>
      </c>
      <c r="D26" s="44" t="s">
        <v>437</v>
      </c>
      <c r="E26" s="7" t="s">
        <v>412</v>
      </c>
      <c r="F26" s="4">
        <v>39</v>
      </c>
      <c r="G26" s="4">
        <v>36</v>
      </c>
      <c r="H26" s="4">
        <v>47</v>
      </c>
      <c r="I26" s="4">
        <v>49</v>
      </c>
      <c r="J26" s="4">
        <v>32</v>
      </c>
      <c r="K26" s="4">
        <v>25</v>
      </c>
      <c r="L26" s="4" t="s">
        <v>124</v>
      </c>
      <c r="M26" s="4">
        <v>300</v>
      </c>
      <c r="N26" s="4">
        <f t="shared" si="0"/>
        <v>228</v>
      </c>
      <c r="O26" s="22">
        <f t="shared" si="1"/>
        <v>0.76</v>
      </c>
      <c r="P26" s="4">
        <v>29</v>
      </c>
      <c r="Q26" s="4"/>
    </row>
    <row r="27" spans="1:17" x14ac:dyDescent="0.25">
      <c r="A27" s="7">
        <v>20</v>
      </c>
      <c r="B27" s="19"/>
      <c r="C27" s="44" t="s">
        <v>438</v>
      </c>
      <c r="D27" s="44" t="s">
        <v>41</v>
      </c>
      <c r="E27" s="7" t="s">
        <v>412</v>
      </c>
      <c r="F27" s="4">
        <v>31</v>
      </c>
      <c r="G27" s="4">
        <v>29</v>
      </c>
      <c r="H27" s="4">
        <v>49</v>
      </c>
      <c r="I27" s="4">
        <v>32</v>
      </c>
      <c r="J27" s="4">
        <v>28</v>
      </c>
      <c r="K27" s="4">
        <v>19</v>
      </c>
      <c r="L27" s="4" t="s">
        <v>126</v>
      </c>
      <c r="M27" s="4">
        <v>300</v>
      </c>
      <c r="N27" s="4">
        <f t="shared" si="0"/>
        <v>188</v>
      </c>
      <c r="O27" s="22">
        <f t="shared" si="1"/>
        <v>0.62666666666666671</v>
      </c>
      <c r="P27" s="4">
        <v>39</v>
      </c>
      <c r="Q27" s="4"/>
    </row>
    <row r="28" spans="1:17" x14ac:dyDescent="0.25">
      <c r="A28" s="7">
        <v>21</v>
      </c>
      <c r="B28" s="19"/>
      <c r="C28" s="44" t="s">
        <v>439</v>
      </c>
      <c r="D28" s="44" t="s">
        <v>284</v>
      </c>
      <c r="E28" s="7" t="s">
        <v>412</v>
      </c>
      <c r="F28" s="4">
        <v>49</v>
      </c>
      <c r="G28" s="4">
        <v>49</v>
      </c>
      <c r="H28" s="4">
        <v>49</v>
      </c>
      <c r="I28" s="4">
        <v>49</v>
      </c>
      <c r="J28" s="4">
        <v>43</v>
      </c>
      <c r="K28" s="4">
        <v>31</v>
      </c>
      <c r="L28" s="4" t="s">
        <v>124</v>
      </c>
      <c r="M28" s="4">
        <v>300</v>
      </c>
      <c r="N28" s="4">
        <f t="shared" si="0"/>
        <v>270</v>
      </c>
      <c r="O28" s="22">
        <f t="shared" si="1"/>
        <v>0.9</v>
      </c>
      <c r="P28" s="4">
        <v>41</v>
      </c>
      <c r="Q28" s="4"/>
    </row>
    <row r="29" spans="1:17" x14ac:dyDescent="0.25">
      <c r="A29" s="7">
        <v>22</v>
      </c>
      <c r="B29" s="19"/>
      <c r="C29" s="44" t="s">
        <v>440</v>
      </c>
      <c r="D29" s="44" t="s">
        <v>248</v>
      </c>
      <c r="E29" s="7" t="s">
        <v>412</v>
      </c>
      <c r="F29" s="4">
        <v>27</v>
      </c>
      <c r="G29" s="4">
        <v>36</v>
      </c>
      <c r="H29" s="4">
        <v>47</v>
      </c>
      <c r="I29" s="4">
        <v>40</v>
      </c>
      <c r="J29" s="4">
        <v>28</v>
      </c>
      <c r="K29" s="4">
        <v>17</v>
      </c>
      <c r="L29" s="4" t="s">
        <v>126</v>
      </c>
      <c r="M29" s="4">
        <v>300</v>
      </c>
      <c r="N29" s="4">
        <f t="shared" si="0"/>
        <v>195</v>
      </c>
      <c r="O29" s="22">
        <f t="shared" si="1"/>
        <v>0.65</v>
      </c>
      <c r="P29" s="4">
        <v>35</v>
      </c>
      <c r="Q29" s="4"/>
    </row>
    <row r="30" spans="1:17" x14ac:dyDescent="0.25">
      <c r="A30" s="7">
        <v>23</v>
      </c>
      <c r="B30" s="19"/>
      <c r="C30" s="44" t="s">
        <v>371</v>
      </c>
      <c r="D30" s="44" t="s">
        <v>248</v>
      </c>
      <c r="E30" s="7" t="s">
        <v>412</v>
      </c>
      <c r="F30" s="4">
        <v>46</v>
      </c>
      <c r="G30" s="4">
        <v>42</v>
      </c>
      <c r="H30" s="4">
        <v>48</v>
      </c>
      <c r="I30" s="4">
        <v>39</v>
      </c>
      <c r="J30" s="4">
        <v>41</v>
      </c>
      <c r="K30" s="4">
        <v>18</v>
      </c>
      <c r="L30" s="4" t="s">
        <v>126</v>
      </c>
      <c r="M30" s="4">
        <v>300</v>
      </c>
      <c r="N30" s="4">
        <f t="shared" si="0"/>
        <v>234</v>
      </c>
      <c r="O30" s="22">
        <f t="shared" si="1"/>
        <v>0.78</v>
      </c>
      <c r="P30" s="4">
        <v>43</v>
      </c>
      <c r="Q30" s="4"/>
    </row>
    <row r="31" spans="1:17" x14ac:dyDescent="0.25">
      <c r="A31" s="7">
        <v>24</v>
      </c>
      <c r="B31" s="19"/>
      <c r="C31" s="44" t="s">
        <v>441</v>
      </c>
      <c r="D31" s="44" t="s">
        <v>442</v>
      </c>
      <c r="E31" s="7" t="s">
        <v>412</v>
      </c>
      <c r="F31" s="4">
        <v>31</v>
      </c>
      <c r="G31" s="4">
        <v>38</v>
      </c>
      <c r="H31" s="4">
        <v>45</v>
      </c>
      <c r="I31" s="4">
        <v>39</v>
      </c>
      <c r="J31" s="4">
        <v>36</v>
      </c>
      <c r="K31" s="4">
        <v>17</v>
      </c>
      <c r="L31" s="4" t="s">
        <v>126</v>
      </c>
      <c r="M31" s="4">
        <v>300</v>
      </c>
      <c r="N31" s="4">
        <f t="shared" si="0"/>
        <v>206</v>
      </c>
      <c r="O31" s="22">
        <f t="shared" si="1"/>
        <v>0.68666666666666665</v>
      </c>
      <c r="P31" s="4">
        <v>30</v>
      </c>
      <c r="Q31" s="4"/>
    </row>
    <row r="32" spans="1:17" x14ac:dyDescent="0.25">
      <c r="A32" s="7">
        <v>25</v>
      </c>
      <c r="B32" s="19"/>
      <c r="C32" s="44" t="s">
        <v>443</v>
      </c>
      <c r="D32" s="44" t="s">
        <v>311</v>
      </c>
      <c r="E32" s="7" t="s">
        <v>412</v>
      </c>
      <c r="F32" s="4">
        <v>30</v>
      </c>
      <c r="G32" s="4">
        <v>34</v>
      </c>
      <c r="H32" s="4">
        <v>45</v>
      </c>
      <c r="I32" s="4">
        <v>37</v>
      </c>
      <c r="J32" s="4">
        <v>38</v>
      </c>
      <c r="K32" s="4">
        <v>17</v>
      </c>
      <c r="L32" s="4" t="s">
        <v>124</v>
      </c>
      <c r="M32" s="4">
        <v>300</v>
      </c>
      <c r="N32" s="4">
        <f t="shared" si="0"/>
        <v>201</v>
      </c>
      <c r="O32" s="22">
        <f t="shared" si="1"/>
        <v>0.67</v>
      </c>
      <c r="P32" s="4">
        <v>29</v>
      </c>
      <c r="Q32" s="4"/>
    </row>
    <row r="33" spans="1:17" x14ac:dyDescent="0.25">
      <c r="A33" s="7">
        <v>26</v>
      </c>
      <c r="B33" s="19"/>
      <c r="C33" s="44" t="s">
        <v>444</v>
      </c>
      <c r="D33" s="44" t="s">
        <v>445</v>
      </c>
      <c r="E33" s="7" t="s">
        <v>412</v>
      </c>
      <c r="F33" s="4">
        <v>10</v>
      </c>
      <c r="G33" s="4">
        <v>28</v>
      </c>
      <c r="H33" s="4">
        <v>45</v>
      </c>
      <c r="I33" s="4">
        <v>27</v>
      </c>
      <c r="J33" s="4">
        <v>28</v>
      </c>
      <c r="K33" s="4">
        <v>17</v>
      </c>
      <c r="L33" s="4" t="s">
        <v>126</v>
      </c>
      <c r="M33" s="4">
        <v>300</v>
      </c>
      <c r="N33" s="4">
        <f t="shared" si="0"/>
        <v>155</v>
      </c>
      <c r="O33" s="22">
        <f t="shared" si="1"/>
        <v>0.51666666666666672</v>
      </c>
      <c r="P33" s="4">
        <v>12</v>
      </c>
      <c r="Q33" s="4"/>
    </row>
    <row r="34" spans="1:17" x14ac:dyDescent="0.25">
      <c r="A34" s="7">
        <v>27</v>
      </c>
      <c r="B34" s="19"/>
      <c r="C34" s="44" t="s">
        <v>446</v>
      </c>
      <c r="D34" s="44" t="s">
        <v>447</v>
      </c>
      <c r="E34" s="7" t="s">
        <v>412</v>
      </c>
      <c r="F34" s="23" t="s">
        <v>124</v>
      </c>
      <c r="G34" s="23" t="s">
        <v>124</v>
      </c>
      <c r="H34" s="23" t="s">
        <v>124</v>
      </c>
      <c r="I34" s="23" t="s">
        <v>124</v>
      </c>
      <c r="J34" s="23" t="s">
        <v>124</v>
      </c>
      <c r="K34" s="23" t="s">
        <v>124</v>
      </c>
      <c r="L34" s="23" t="s">
        <v>124</v>
      </c>
      <c r="M34" s="4">
        <v>300</v>
      </c>
      <c r="N34" s="4">
        <f t="shared" si="0"/>
        <v>0</v>
      </c>
      <c r="O34" s="22">
        <f t="shared" si="1"/>
        <v>0</v>
      </c>
      <c r="P34" s="4">
        <v>32</v>
      </c>
      <c r="Q34" s="4"/>
    </row>
    <row r="35" spans="1:17" x14ac:dyDescent="0.25">
      <c r="A35" s="7">
        <v>28</v>
      </c>
      <c r="B35" s="19"/>
      <c r="C35" s="44" t="s">
        <v>448</v>
      </c>
      <c r="D35" s="44" t="s">
        <v>447</v>
      </c>
      <c r="E35" s="7" t="s">
        <v>412</v>
      </c>
      <c r="F35" s="23" t="s">
        <v>124</v>
      </c>
      <c r="G35" s="23" t="s">
        <v>124</v>
      </c>
      <c r="H35" s="23" t="s">
        <v>124</v>
      </c>
      <c r="I35" s="23" t="s">
        <v>124</v>
      </c>
      <c r="J35" s="23" t="s">
        <v>124</v>
      </c>
      <c r="K35" s="23" t="s">
        <v>124</v>
      </c>
      <c r="L35" s="23" t="s">
        <v>124</v>
      </c>
      <c r="M35" s="4">
        <v>300</v>
      </c>
      <c r="N35" s="4">
        <f t="shared" si="0"/>
        <v>0</v>
      </c>
      <c r="O35" s="22">
        <f t="shared" si="1"/>
        <v>0</v>
      </c>
      <c r="P35" s="4">
        <v>34</v>
      </c>
      <c r="Q35" s="4"/>
    </row>
    <row r="36" spans="1:17" x14ac:dyDescent="0.25">
      <c r="A36" s="7">
        <v>29</v>
      </c>
      <c r="B36" s="19"/>
      <c r="C36" s="44" t="s">
        <v>449</v>
      </c>
      <c r="D36" s="44" t="s">
        <v>450</v>
      </c>
      <c r="E36" s="7" t="s">
        <v>412</v>
      </c>
      <c r="F36" s="4">
        <v>24</v>
      </c>
      <c r="G36" s="4">
        <v>39</v>
      </c>
      <c r="H36" s="4">
        <v>49</v>
      </c>
      <c r="I36" s="4">
        <v>38</v>
      </c>
      <c r="J36" s="4">
        <v>32</v>
      </c>
      <c r="K36" s="4">
        <v>19</v>
      </c>
      <c r="L36" s="4" t="s">
        <v>126</v>
      </c>
      <c r="M36" s="4">
        <v>300</v>
      </c>
      <c r="N36" s="4">
        <f t="shared" si="0"/>
        <v>201</v>
      </c>
      <c r="O36" s="22">
        <f t="shared" si="1"/>
        <v>0.67</v>
      </c>
      <c r="P36" s="4">
        <v>14</v>
      </c>
      <c r="Q36" s="4"/>
    </row>
    <row r="37" spans="1:17" ht="21" x14ac:dyDescent="0.35">
      <c r="A37" s="64" t="s">
        <v>138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</row>
    <row r="38" spans="1:17" x14ac:dyDescent="0.25">
      <c r="A38" s="7">
        <v>30</v>
      </c>
      <c r="B38" s="19"/>
      <c r="C38" s="44" t="s">
        <v>451</v>
      </c>
      <c r="D38" s="44" t="s">
        <v>452</v>
      </c>
      <c r="E38" s="7" t="s">
        <v>412</v>
      </c>
      <c r="F38" s="4">
        <v>45</v>
      </c>
      <c r="G38" s="4">
        <v>23</v>
      </c>
      <c r="H38" s="4">
        <v>45</v>
      </c>
      <c r="I38" s="4">
        <v>33</v>
      </c>
      <c r="J38" s="4">
        <v>32</v>
      </c>
      <c r="K38" s="4">
        <v>17</v>
      </c>
      <c r="L38" s="4" t="s">
        <v>124</v>
      </c>
      <c r="M38" s="4">
        <v>300</v>
      </c>
      <c r="N38" s="4">
        <f t="shared" si="0"/>
        <v>195</v>
      </c>
      <c r="O38" s="22">
        <f>N38/M38</f>
        <v>0.65</v>
      </c>
      <c r="P38" s="4">
        <v>37</v>
      </c>
      <c r="Q38" s="4"/>
    </row>
    <row r="39" spans="1:17" x14ac:dyDescent="0.25">
      <c r="A39" s="7">
        <v>31</v>
      </c>
      <c r="B39" s="19"/>
      <c r="C39" s="44" t="s">
        <v>453</v>
      </c>
      <c r="D39" s="44" t="s">
        <v>454</v>
      </c>
      <c r="E39" s="7" t="s">
        <v>412</v>
      </c>
      <c r="F39" s="4">
        <v>49</v>
      </c>
      <c r="G39" s="4">
        <v>49</v>
      </c>
      <c r="H39" s="4">
        <v>45</v>
      </c>
      <c r="I39" s="4">
        <v>49</v>
      </c>
      <c r="J39" s="4">
        <v>35</v>
      </c>
      <c r="K39" s="4">
        <v>44</v>
      </c>
      <c r="L39" s="4" t="s">
        <v>124</v>
      </c>
      <c r="M39" s="4">
        <v>300</v>
      </c>
      <c r="N39" s="4">
        <f t="shared" si="0"/>
        <v>271</v>
      </c>
      <c r="O39" s="22">
        <f t="shared" ref="O39:O62" si="2">N39/M39</f>
        <v>0.90333333333333332</v>
      </c>
      <c r="P39" s="4">
        <v>40</v>
      </c>
      <c r="Q39" s="4"/>
    </row>
    <row r="40" spans="1:17" x14ac:dyDescent="0.25">
      <c r="A40" s="7">
        <v>32</v>
      </c>
      <c r="B40" s="19"/>
      <c r="C40" s="44" t="s">
        <v>455</v>
      </c>
      <c r="D40" s="44" t="s">
        <v>456</v>
      </c>
      <c r="E40" s="7" t="s">
        <v>412</v>
      </c>
      <c r="F40" s="4">
        <v>47</v>
      </c>
      <c r="G40" s="4">
        <v>44</v>
      </c>
      <c r="H40" s="4">
        <v>41</v>
      </c>
      <c r="I40" s="4">
        <v>29</v>
      </c>
      <c r="J40" s="4">
        <v>30</v>
      </c>
      <c r="K40" s="4">
        <v>21</v>
      </c>
      <c r="L40" s="4" t="s">
        <v>124</v>
      </c>
      <c r="M40" s="4">
        <v>300</v>
      </c>
      <c r="N40" s="4">
        <f t="shared" si="0"/>
        <v>212</v>
      </c>
      <c r="O40" s="22">
        <f t="shared" si="2"/>
        <v>0.70666666666666667</v>
      </c>
      <c r="P40" s="4">
        <v>39</v>
      </c>
      <c r="Q40" s="4"/>
    </row>
    <row r="41" spans="1:17" x14ac:dyDescent="0.25">
      <c r="A41" s="7">
        <v>33</v>
      </c>
      <c r="B41" s="19"/>
      <c r="C41" s="44" t="s">
        <v>91</v>
      </c>
      <c r="D41" s="44" t="s">
        <v>457</v>
      </c>
      <c r="E41" s="7" t="s">
        <v>412</v>
      </c>
      <c r="F41" s="4">
        <v>48</v>
      </c>
      <c r="G41" s="4">
        <v>48</v>
      </c>
      <c r="H41" s="4">
        <v>49</v>
      </c>
      <c r="I41" s="4">
        <v>49</v>
      </c>
      <c r="J41" s="4">
        <v>39</v>
      </c>
      <c r="K41" s="4">
        <v>44</v>
      </c>
      <c r="L41" s="4" t="s">
        <v>124</v>
      </c>
      <c r="M41" s="4">
        <v>300</v>
      </c>
      <c r="N41" s="4">
        <f t="shared" si="0"/>
        <v>277</v>
      </c>
      <c r="O41" s="22">
        <f t="shared" si="2"/>
        <v>0.92333333333333334</v>
      </c>
      <c r="P41" s="4">
        <v>37</v>
      </c>
      <c r="Q41" s="4"/>
    </row>
    <row r="42" spans="1:17" x14ac:dyDescent="0.25">
      <c r="A42" s="7">
        <v>34</v>
      </c>
      <c r="B42" s="19"/>
      <c r="C42" s="44" t="s">
        <v>458</v>
      </c>
      <c r="D42" s="44" t="s">
        <v>459</v>
      </c>
      <c r="E42" s="7" t="s">
        <v>412</v>
      </c>
      <c r="F42" s="4">
        <v>48</v>
      </c>
      <c r="G42" s="4">
        <v>42</v>
      </c>
      <c r="H42" s="4">
        <v>43</v>
      </c>
      <c r="I42" s="4">
        <v>49</v>
      </c>
      <c r="J42" s="4">
        <v>27</v>
      </c>
      <c r="K42" s="4">
        <v>19</v>
      </c>
      <c r="L42" s="4" t="s">
        <v>126</v>
      </c>
      <c r="M42" s="4">
        <v>300</v>
      </c>
      <c r="N42" s="4">
        <f t="shared" si="0"/>
        <v>228</v>
      </c>
      <c r="O42" s="22">
        <f t="shared" si="2"/>
        <v>0.76</v>
      </c>
      <c r="P42" s="4">
        <v>37</v>
      </c>
      <c r="Q42" s="4"/>
    </row>
    <row r="43" spans="1:17" x14ac:dyDescent="0.25">
      <c r="A43" s="7">
        <v>35</v>
      </c>
      <c r="B43" s="19"/>
      <c r="C43" s="44" t="s">
        <v>460</v>
      </c>
      <c r="D43" s="44" t="s">
        <v>461</v>
      </c>
      <c r="E43" s="7" t="s">
        <v>412</v>
      </c>
      <c r="F43" s="4">
        <v>49</v>
      </c>
      <c r="G43" s="4">
        <v>43</v>
      </c>
      <c r="H43" s="4">
        <v>41</v>
      </c>
      <c r="I43" s="4">
        <v>38</v>
      </c>
      <c r="J43" s="4">
        <v>34</v>
      </c>
      <c r="K43" s="4">
        <v>21</v>
      </c>
      <c r="L43" s="4" t="s">
        <v>126</v>
      </c>
      <c r="M43" s="4">
        <v>300</v>
      </c>
      <c r="N43" s="4">
        <f t="shared" si="0"/>
        <v>226</v>
      </c>
      <c r="O43" s="22">
        <f t="shared" si="2"/>
        <v>0.7533333333333333</v>
      </c>
      <c r="P43" s="4">
        <v>37</v>
      </c>
      <c r="Q43" s="4"/>
    </row>
    <row r="44" spans="1:17" x14ac:dyDescent="0.25">
      <c r="A44" s="7">
        <v>36</v>
      </c>
      <c r="B44" s="19"/>
      <c r="C44" s="44" t="s">
        <v>462</v>
      </c>
      <c r="D44" s="44" t="s">
        <v>340</v>
      </c>
      <c r="E44" s="7" t="s">
        <v>412</v>
      </c>
      <c r="F44" s="4">
        <v>22</v>
      </c>
      <c r="G44" s="4">
        <v>29</v>
      </c>
      <c r="H44" s="4">
        <v>33</v>
      </c>
      <c r="I44" s="4">
        <v>23</v>
      </c>
      <c r="J44" s="4">
        <v>26</v>
      </c>
      <c r="K44" s="4">
        <v>20</v>
      </c>
      <c r="L44" s="4" t="s">
        <v>126</v>
      </c>
      <c r="M44" s="4">
        <v>300</v>
      </c>
      <c r="N44" s="4">
        <f t="shared" si="0"/>
        <v>153</v>
      </c>
      <c r="O44" s="22">
        <f t="shared" si="2"/>
        <v>0.51</v>
      </c>
      <c r="P44" s="4">
        <v>41</v>
      </c>
      <c r="Q44" s="4"/>
    </row>
    <row r="45" spans="1:17" x14ac:dyDescent="0.25">
      <c r="A45" s="7">
        <v>37</v>
      </c>
      <c r="B45" s="19"/>
      <c r="C45" s="44" t="s">
        <v>463</v>
      </c>
      <c r="D45" s="44" t="s">
        <v>464</v>
      </c>
      <c r="E45" s="7" t="s">
        <v>412</v>
      </c>
      <c r="F45" s="4">
        <v>26</v>
      </c>
      <c r="G45" s="4">
        <v>35</v>
      </c>
      <c r="H45" s="4">
        <v>33</v>
      </c>
      <c r="I45" s="4">
        <v>23</v>
      </c>
      <c r="J45" s="4">
        <v>28</v>
      </c>
      <c r="K45" s="4">
        <v>17</v>
      </c>
      <c r="L45" s="4" t="s">
        <v>126</v>
      </c>
      <c r="M45" s="4">
        <v>300</v>
      </c>
      <c r="N45" s="4">
        <f t="shared" si="0"/>
        <v>162</v>
      </c>
      <c r="O45" s="22">
        <f t="shared" si="2"/>
        <v>0.54</v>
      </c>
      <c r="P45" s="4">
        <v>39</v>
      </c>
      <c r="Q45" s="4"/>
    </row>
    <row r="46" spans="1:17" x14ac:dyDescent="0.25">
      <c r="A46" s="7">
        <v>38</v>
      </c>
      <c r="B46" s="19"/>
      <c r="C46" s="44" t="s">
        <v>257</v>
      </c>
      <c r="D46" s="44" t="s">
        <v>273</v>
      </c>
      <c r="E46" s="7" t="s">
        <v>412</v>
      </c>
      <c r="F46" s="4">
        <v>44</v>
      </c>
      <c r="G46" s="4">
        <v>41</v>
      </c>
      <c r="H46" s="4">
        <v>46</v>
      </c>
      <c r="I46" s="4">
        <v>38</v>
      </c>
      <c r="J46" s="4">
        <v>37</v>
      </c>
      <c r="K46" s="4">
        <v>17</v>
      </c>
      <c r="L46" s="4" t="s">
        <v>126</v>
      </c>
      <c r="M46" s="4">
        <v>300</v>
      </c>
      <c r="N46" s="4">
        <f t="shared" si="0"/>
        <v>223</v>
      </c>
      <c r="O46" s="22">
        <f t="shared" si="2"/>
        <v>0.74333333333333329</v>
      </c>
      <c r="P46" s="4">
        <v>39</v>
      </c>
      <c r="Q46" s="4"/>
    </row>
    <row r="47" spans="1:17" x14ac:dyDescent="0.25">
      <c r="A47" s="7">
        <v>39</v>
      </c>
      <c r="B47" s="19"/>
      <c r="C47" s="44" t="s">
        <v>257</v>
      </c>
      <c r="D47" s="44" t="s">
        <v>465</v>
      </c>
      <c r="E47" s="7" t="s">
        <v>412</v>
      </c>
      <c r="F47" s="4">
        <v>21</v>
      </c>
      <c r="G47" s="4">
        <v>22</v>
      </c>
      <c r="H47" s="4">
        <v>23</v>
      </c>
      <c r="I47" s="4">
        <v>23</v>
      </c>
      <c r="J47" s="4">
        <v>0</v>
      </c>
      <c r="K47" s="4">
        <v>18</v>
      </c>
      <c r="L47" s="4" t="s">
        <v>126</v>
      </c>
      <c r="M47" s="4">
        <v>300</v>
      </c>
      <c r="N47" s="4">
        <f t="shared" si="0"/>
        <v>107</v>
      </c>
      <c r="O47" s="22">
        <f t="shared" si="2"/>
        <v>0.35666666666666669</v>
      </c>
      <c r="P47" s="4">
        <v>30</v>
      </c>
      <c r="Q47" s="4"/>
    </row>
    <row r="48" spans="1:17" x14ac:dyDescent="0.25">
      <c r="A48" s="7">
        <v>40</v>
      </c>
      <c r="B48" s="19"/>
      <c r="C48" s="44" t="s">
        <v>466</v>
      </c>
      <c r="D48" s="44" t="s">
        <v>260</v>
      </c>
      <c r="E48" s="7" t="s">
        <v>412</v>
      </c>
      <c r="F48" s="4">
        <v>49</v>
      </c>
      <c r="G48" s="4">
        <v>45</v>
      </c>
      <c r="H48" s="4">
        <v>41</v>
      </c>
      <c r="I48" s="4">
        <v>49</v>
      </c>
      <c r="J48" s="4">
        <v>34</v>
      </c>
      <c r="K48" s="4">
        <v>20</v>
      </c>
      <c r="L48" s="4" t="s">
        <v>127</v>
      </c>
      <c r="M48" s="4">
        <v>300</v>
      </c>
      <c r="N48" s="4">
        <f t="shared" si="0"/>
        <v>238</v>
      </c>
      <c r="O48" s="22">
        <f t="shared" si="2"/>
        <v>0.79333333333333333</v>
      </c>
      <c r="P48" s="4">
        <v>37</v>
      </c>
      <c r="Q48" s="4"/>
    </row>
    <row r="49" spans="1:17" x14ac:dyDescent="0.25">
      <c r="A49" s="7">
        <v>41</v>
      </c>
      <c r="B49" s="19"/>
      <c r="C49" s="44" t="s">
        <v>467</v>
      </c>
      <c r="D49" s="44" t="s">
        <v>180</v>
      </c>
      <c r="E49" s="7" t="s">
        <v>412</v>
      </c>
      <c r="F49" s="4">
        <v>49</v>
      </c>
      <c r="G49" s="4">
        <v>45</v>
      </c>
      <c r="H49" s="4">
        <v>48</v>
      </c>
      <c r="I49" s="4">
        <v>44</v>
      </c>
      <c r="J49" s="4">
        <v>37</v>
      </c>
      <c r="K49" s="4">
        <v>35</v>
      </c>
      <c r="L49" s="4" t="s">
        <v>127</v>
      </c>
      <c r="M49" s="4">
        <v>300</v>
      </c>
      <c r="N49" s="4">
        <f t="shared" si="0"/>
        <v>258</v>
      </c>
      <c r="O49" s="22">
        <f t="shared" si="2"/>
        <v>0.86</v>
      </c>
      <c r="P49" s="4">
        <v>37</v>
      </c>
      <c r="Q49" s="4"/>
    </row>
    <row r="50" spans="1:17" x14ac:dyDescent="0.25">
      <c r="A50" s="7">
        <v>42</v>
      </c>
      <c r="B50" s="21"/>
      <c r="C50" s="44" t="s">
        <v>468</v>
      </c>
      <c r="D50" s="44" t="s">
        <v>469</v>
      </c>
      <c r="E50" s="7" t="s">
        <v>412</v>
      </c>
      <c r="F50" s="23" t="s">
        <v>124</v>
      </c>
      <c r="G50" s="23" t="s">
        <v>124</v>
      </c>
      <c r="H50" s="23" t="s">
        <v>124</v>
      </c>
      <c r="I50" s="23" t="s">
        <v>124</v>
      </c>
      <c r="J50" s="23" t="s">
        <v>124</v>
      </c>
      <c r="K50" s="23" t="s">
        <v>124</v>
      </c>
      <c r="L50" s="23" t="s">
        <v>124</v>
      </c>
      <c r="M50" s="4">
        <v>300</v>
      </c>
      <c r="N50" s="4">
        <f t="shared" si="0"/>
        <v>0</v>
      </c>
      <c r="O50" s="22">
        <f t="shared" si="2"/>
        <v>0</v>
      </c>
      <c r="P50" s="4">
        <v>22</v>
      </c>
      <c r="Q50" s="4"/>
    </row>
    <row r="51" spans="1:17" x14ac:dyDescent="0.25">
      <c r="A51" s="7">
        <v>43</v>
      </c>
      <c r="B51" s="19"/>
      <c r="C51" s="44" t="s">
        <v>470</v>
      </c>
      <c r="D51" s="44" t="s">
        <v>156</v>
      </c>
      <c r="E51" s="7" t="s">
        <v>412</v>
      </c>
      <c r="F51" s="10">
        <v>49</v>
      </c>
      <c r="G51" s="10">
        <v>39</v>
      </c>
      <c r="H51" s="10">
        <v>47</v>
      </c>
      <c r="I51" s="10">
        <v>49</v>
      </c>
      <c r="J51" s="10">
        <v>29</v>
      </c>
      <c r="K51" s="10">
        <v>35</v>
      </c>
      <c r="L51" s="10" t="s">
        <v>126</v>
      </c>
      <c r="M51" s="4">
        <v>300</v>
      </c>
      <c r="N51" s="4">
        <f t="shared" si="0"/>
        <v>248</v>
      </c>
      <c r="O51" s="22">
        <f t="shared" si="2"/>
        <v>0.82666666666666666</v>
      </c>
      <c r="P51" s="4">
        <v>38</v>
      </c>
      <c r="Q51" s="4"/>
    </row>
    <row r="52" spans="1:17" x14ac:dyDescent="0.25">
      <c r="A52" s="7">
        <v>44</v>
      </c>
      <c r="B52" s="19"/>
      <c r="C52" s="44" t="s">
        <v>471</v>
      </c>
      <c r="D52" s="44" t="s">
        <v>472</v>
      </c>
      <c r="E52" s="7" t="s">
        <v>412</v>
      </c>
      <c r="F52" s="10">
        <v>45</v>
      </c>
      <c r="G52" s="10">
        <v>46</v>
      </c>
      <c r="H52" s="10">
        <v>46</v>
      </c>
      <c r="I52" s="10">
        <v>47</v>
      </c>
      <c r="J52" s="10">
        <v>37</v>
      </c>
      <c r="K52" s="10">
        <v>20</v>
      </c>
      <c r="L52" s="10" t="s">
        <v>127</v>
      </c>
      <c r="M52" s="4">
        <v>300</v>
      </c>
      <c r="N52" s="4">
        <f t="shared" si="0"/>
        <v>241</v>
      </c>
      <c r="O52" s="22">
        <f t="shared" si="2"/>
        <v>0.80333333333333334</v>
      </c>
      <c r="P52" s="4">
        <v>39</v>
      </c>
      <c r="Q52" s="4"/>
    </row>
    <row r="53" spans="1:17" x14ac:dyDescent="0.25">
      <c r="A53" s="7">
        <v>45</v>
      </c>
      <c r="B53" s="19"/>
      <c r="C53" s="44" t="s">
        <v>473</v>
      </c>
      <c r="D53" s="44" t="s">
        <v>474</v>
      </c>
      <c r="E53" s="7" t="s">
        <v>412</v>
      </c>
      <c r="F53" s="10">
        <v>40</v>
      </c>
      <c r="G53" s="10">
        <v>34</v>
      </c>
      <c r="H53" s="10">
        <v>44</v>
      </c>
      <c r="I53" s="10">
        <v>33</v>
      </c>
      <c r="J53" s="10">
        <v>35</v>
      </c>
      <c r="K53" s="10">
        <v>18</v>
      </c>
      <c r="L53" s="10" t="s">
        <v>126</v>
      </c>
      <c r="M53" s="4">
        <v>300</v>
      </c>
      <c r="N53" s="4">
        <f t="shared" si="0"/>
        <v>204</v>
      </c>
      <c r="O53" s="22">
        <f t="shared" si="2"/>
        <v>0.68</v>
      </c>
      <c r="P53" s="4">
        <v>36</v>
      </c>
      <c r="Q53" s="4"/>
    </row>
    <row r="54" spans="1:17" x14ac:dyDescent="0.25">
      <c r="A54" s="7">
        <v>46</v>
      </c>
      <c r="B54" s="19"/>
      <c r="C54" s="44" t="s">
        <v>475</v>
      </c>
      <c r="D54" s="44" t="s">
        <v>476</v>
      </c>
      <c r="E54" s="7" t="s">
        <v>412</v>
      </c>
      <c r="F54" s="10">
        <v>49</v>
      </c>
      <c r="G54" s="10">
        <v>43</v>
      </c>
      <c r="H54" s="10">
        <v>36</v>
      </c>
      <c r="I54" s="10">
        <v>36</v>
      </c>
      <c r="J54" s="10">
        <v>26</v>
      </c>
      <c r="K54" s="10">
        <v>22</v>
      </c>
      <c r="L54" s="10" t="s">
        <v>126</v>
      </c>
      <c r="M54" s="4">
        <v>300</v>
      </c>
      <c r="N54" s="4">
        <f t="shared" si="0"/>
        <v>212</v>
      </c>
      <c r="O54" s="22">
        <f t="shared" si="2"/>
        <v>0.70666666666666667</v>
      </c>
      <c r="P54" s="4">
        <v>33</v>
      </c>
      <c r="Q54" s="4"/>
    </row>
    <row r="55" spans="1:17" x14ac:dyDescent="0.25">
      <c r="A55" s="7">
        <v>47</v>
      </c>
      <c r="B55" s="19"/>
      <c r="C55" s="44" t="s">
        <v>477</v>
      </c>
      <c r="D55" s="44" t="s">
        <v>478</v>
      </c>
      <c r="E55" s="7" t="s">
        <v>412</v>
      </c>
      <c r="F55" s="10">
        <v>49</v>
      </c>
      <c r="G55" s="10">
        <v>47</v>
      </c>
      <c r="H55" s="10">
        <v>50</v>
      </c>
      <c r="I55" s="10">
        <v>42</v>
      </c>
      <c r="J55" s="10">
        <v>42</v>
      </c>
      <c r="K55" s="10">
        <v>40</v>
      </c>
      <c r="L55" s="10" t="s">
        <v>127</v>
      </c>
      <c r="M55" s="4">
        <v>300</v>
      </c>
      <c r="N55" s="4">
        <f t="shared" si="0"/>
        <v>270</v>
      </c>
      <c r="O55" s="22">
        <f t="shared" si="2"/>
        <v>0.9</v>
      </c>
      <c r="P55" s="4">
        <v>34</v>
      </c>
      <c r="Q55" s="4"/>
    </row>
    <row r="56" spans="1:17" x14ac:dyDescent="0.25">
      <c r="A56" s="7">
        <v>48</v>
      </c>
      <c r="B56" s="19"/>
      <c r="C56" s="44" t="s">
        <v>155</v>
      </c>
      <c r="D56" s="44" t="s">
        <v>102</v>
      </c>
      <c r="E56" s="7" t="s">
        <v>412</v>
      </c>
      <c r="F56" s="10">
        <v>44</v>
      </c>
      <c r="G56" s="10">
        <v>42</v>
      </c>
      <c r="H56" s="10">
        <v>44</v>
      </c>
      <c r="I56" s="10">
        <v>30</v>
      </c>
      <c r="J56" s="10">
        <v>36</v>
      </c>
      <c r="K56" s="10">
        <v>18</v>
      </c>
      <c r="L56" s="10" t="s">
        <v>124</v>
      </c>
      <c r="M56" s="4">
        <v>300</v>
      </c>
      <c r="N56" s="4">
        <f t="shared" si="0"/>
        <v>214</v>
      </c>
      <c r="O56" s="22">
        <f t="shared" si="2"/>
        <v>0.71333333333333337</v>
      </c>
      <c r="P56" s="4">
        <v>34</v>
      </c>
      <c r="Q56" s="4"/>
    </row>
    <row r="57" spans="1:17" x14ac:dyDescent="0.25">
      <c r="A57" s="7">
        <v>49</v>
      </c>
      <c r="B57" s="19"/>
      <c r="C57" s="44" t="s">
        <v>479</v>
      </c>
      <c r="D57" s="44" t="s">
        <v>102</v>
      </c>
      <c r="E57" s="7" t="s">
        <v>412</v>
      </c>
      <c r="F57" s="10">
        <v>49</v>
      </c>
      <c r="G57" s="10">
        <v>47</v>
      </c>
      <c r="H57" s="10">
        <v>36</v>
      </c>
      <c r="I57" s="10">
        <v>46</v>
      </c>
      <c r="J57" s="10">
        <v>44</v>
      </c>
      <c r="K57" s="10">
        <v>25</v>
      </c>
      <c r="L57" s="10" t="s">
        <v>124</v>
      </c>
      <c r="M57" s="4">
        <v>300</v>
      </c>
      <c r="N57" s="4">
        <f t="shared" si="0"/>
        <v>247</v>
      </c>
      <c r="O57" s="22">
        <f t="shared" si="2"/>
        <v>0.82333333333333336</v>
      </c>
      <c r="P57" s="4">
        <v>33</v>
      </c>
      <c r="Q57" s="4"/>
    </row>
    <row r="58" spans="1:17" x14ac:dyDescent="0.25">
      <c r="A58" s="7">
        <v>50</v>
      </c>
      <c r="B58" s="19"/>
      <c r="C58" s="44" t="s">
        <v>480</v>
      </c>
      <c r="D58" s="44" t="s">
        <v>85</v>
      </c>
      <c r="E58" s="7" t="s">
        <v>412</v>
      </c>
      <c r="F58" s="10">
        <v>33</v>
      </c>
      <c r="G58" s="10">
        <v>25</v>
      </c>
      <c r="H58" s="10">
        <v>43</v>
      </c>
      <c r="I58" s="10">
        <v>26</v>
      </c>
      <c r="J58" s="10">
        <v>27</v>
      </c>
      <c r="K58" s="10">
        <v>20</v>
      </c>
      <c r="L58" s="10" t="s">
        <v>124</v>
      </c>
      <c r="M58" s="4">
        <v>300</v>
      </c>
      <c r="N58" s="4">
        <f t="shared" si="0"/>
        <v>174</v>
      </c>
      <c r="O58" s="22">
        <f t="shared" si="2"/>
        <v>0.57999999999999996</v>
      </c>
      <c r="P58" s="4">
        <v>32</v>
      </c>
      <c r="Q58" s="4"/>
    </row>
    <row r="59" spans="1:17" x14ac:dyDescent="0.25">
      <c r="A59" s="7">
        <v>51</v>
      </c>
      <c r="B59" s="19"/>
      <c r="C59" s="44" t="s">
        <v>481</v>
      </c>
      <c r="D59" s="44" t="s">
        <v>482</v>
      </c>
      <c r="E59" s="7" t="s">
        <v>412</v>
      </c>
      <c r="F59" s="10">
        <v>41</v>
      </c>
      <c r="G59" s="10">
        <v>49</v>
      </c>
      <c r="H59" s="10">
        <v>34</v>
      </c>
      <c r="I59" s="10">
        <v>39</v>
      </c>
      <c r="J59" s="10">
        <v>48</v>
      </c>
      <c r="K59" s="10">
        <v>25</v>
      </c>
      <c r="L59" s="10" t="s">
        <v>127</v>
      </c>
      <c r="M59" s="4">
        <v>300</v>
      </c>
      <c r="N59" s="4">
        <f t="shared" si="0"/>
        <v>236</v>
      </c>
      <c r="O59" s="22">
        <f t="shared" si="2"/>
        <v>0.78666666666666663</v>
      </c>
      <c r="P59" s="4">
        <v>28</v>
      </c>
      <c r="Q59" s="4"/>
    </row>
    <row r="60" spans="1:17" x14ac:dyDescent="0.25">
      <c r="A60" s="7">
        <v>52</v>
      </c>
      <c r="B60" s="19"/>
      <c r="C60" s="44" t="s">
        <v>483</v>
      </c>
      <c r="D60" s="44" t="s">
        <v>484</v>
      </c>
      <c r="E60" s="7" t="s">
        <v>412</v>
      </c>
      <c r="F60" s="10">
        <v>44</v>
      </c>
      <c r="G60" s="10">
        <v>44</v>
      </c>
      <c r="H60" s="10">
        <v>42</v>
      </c>
      <c r="I60" s="10">
        <v>44</v>
      </c>
      <c r="J60" s="10">
        <v>33</v>
      </c>
      <c r="K60" s="10">
        <v>21</v>
      </c>
      <c r="L60" s="10" t="s">
        <v>126</v>
      </c>
      <c r="M60" s="4">
        <v>300</v>
      </c>
      <c r="N60" s="4">
        <f t="shared" si="0"/>
        <v>228</v>
      </c>
      <c r="O60" s="22">
        <f t="shared" si="2"/>
        <v>0.76</v>
      </c>
      <c r="P60" s="4">
        <v>15</v>
      </c>
      <c r="Q60" s="4"/>
    </row>
    <row r="61" spans="1:17" x14ac:dyDescent="0.25">
      <c r="A61" s="30">
        <v>53</v>
      </c>
      <c r="B61" s="30"/>
      <c r="C61" s="44" t="s">
        <v>485</v>
      </c>
      <c r="D61" s="44" t="s">
        <v>486</v>
      </c>
      <c r="E61" s="7" t="s">
        <v>412</v>
      </c>
      <c r="F61" s="31" t="s">
        <v>122</v>
      </c>
      <c r="G61" s="31" t="s">
        <v>122</v>
      </c>
      <c r="H61" s="31" t="s">
        <v>122</v>
      </c>
      <c r="I61" s="31" t="s">
        <v>122</v>
      </c>
      <c r="J61" s="31" t="s">
        <v>122</v>
      </c>
      <c r="K61" s="31" t="s">
        <v>122</v>
      </c>
      <c r="L61" s="31" t="s">
        <v>122</v>
      </c>
      <c r="M61" s="4">
        <v>300</v>
      </c>
      <c r="N61" s="4">
        <f t="shared" si="0"/>
        <v>0</v>
      </c>
      <c r="O61" s="22">
        <f t="shared" si="2"/>
        <v>0</v>
      </c>
      <c r="P61" s="30">
        <v>11</v>
      </c>
      <c r="Q61" s="30"/>
    </row>
    <row r="62" spans="1:17" x14ac:dyDescent="0.25">
      <c r="A62" s="30">
        <v>54</v>
      </c>
      <c r="B62" s="30"/>
      <c r="C62" s="44" t="s">
        <v>487</v>
      </c>
      <c r="D62" s="44" t="s">
        <v>488</v>
      </c>
      <c r="E62" s="7" t="s">
        <v>412</v>
      </c>
      <c r="F62" s="31" t="s">
        <v>124</v>
      </c>
      <c r="G62" s="31">
        <v>41</v>
      </c>
      <c r="H62" s="31" t="s">
        <v>124</v>
      </c>
      <c r="I62" s="31" t="s">
        <v>124</v>
      </c>
      <c r="J62" s="31">
        <v>37</v>
      </c>
      <c r="K62" s="31">
        <v>42</v>
      </c>
      <c r="L62" s="31" t="s">
        <v>124</v>
      </c>
      <c r="M62" s="4">
        <v>300</v>
      </c>
      <c r="N62" s="4">
        <f t="shared" si="0"/>
        <v>120</v>
      </c>
      <c r="O62" s="22">
        <f t="shared" si="2"/>
        <v>0.4</v>
      </c>
      <c r="P62" s="30">
        <v>9</v>
      </c>
      <c r="Q62" s="30"/>
    </row>
  </sheetData>
  <mergeCells count="16">
    <mergeCell ref="A37:Q37"/>
    <mergeCell ref="A1:Q1"/>
    <mergeCell ref="A2:Q2"/>
    <mergeCell ref="A4:A6"/>
    <mergeCell ref="B4:B6"/>
    <mergeCell ref="C4:C6"/>
    <mergeCell ref="D4:D6"/>
    <mergeCell ref="E4:E6"/>
    <mergeCell ref="F4:L4"/>
    <mergeCell ref="M4:M5"/>
    <mergeCell ref="N4:N6"/>
    <mergeCell ref="A3:Q3"/>
    <mergeCell ref="O4:O6"/>
    <mergeCell ref="P4:P6"/>
    <mergeCell ref="Q4:Q6"/>
    <mergeCell ref="A7:Q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17BA-B65D-4CCB-9B9C-7C5264BBB208}">
  <dimension ref="A1:P59"/>
  <sheetViews>
    <sheetView workbookViewId="0">
      <selection activeCell="O29" sqref="O29:O59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2.28515625" bestFit="1" customWidth="1"/>
    <col min="4" max="4" width="27.7109375" bestFit="1" customWidth="1"/>
    <col min="6" max="15" width="5.7109375" customWidth="1"/>
    <col min="16" max="16" width="20.7109375" customWidth="1"/>
  </cols>
  <sheetData>
    <row r="1" spans="1:16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 x14ac:dyDescent="0.25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</row>
    <row r="3" spans="1:16" x14ac:dyDescent="0.25">
      <c r="A3" s="57" t="s">
        <v>239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 spans="1:16" x14ac:dyDescent="0.25">
      <c r="A4" s="52" t="s">
        <v>2</v>
      </c>
      <c r="B4" s="52" t="s">
        <v>3</v>
      </c>
      <c r="C4" s="52" t="s">
        <v>5</v>
      </c>
      <c r="D4" s="52" t="s">
        <v>6</v>
      </c>
      <c r="E4" s="52" t="s">
        <v>4</v>
      </c>
      <c r="F4" s="56" t="s">
        <v>7</v>
      </c>
      <c r="G4" s="56"/>
      <c r="H4" s="56"/>
      <c r="I4" s="56"/>
      <c r="J4" s="56"/>
      <c r="K4" s="56"/>
      <c r="L4" s="56"/>
      <c r="M4" s="52" t="s">
        <v>15</v>
      </c>
      <c r="N4" s="52" t="s">
        <v>16</v>
      </c>
      <c r="O4" s="52" t="s">
        <v>17</v>
      </c>
      <c r="P4" s="56" t="s">
        <v>18</v>
      </c>
    </row>
    <row r="5" spans="1:16" ht="43.5" x14ac:dyDescent="0.25">
      <c r="A5" s="52"/>
      <c r="B5" s="52"/>
      <c r="C5" s="52"/>
      <c r="D5" s="52"/>
      <c r="E5" s="52"/>
      <c r="F5" s="2" t="s">
        <v>10</v>
      </c>
      <c r="G5" s="2" t="s">
        <v>135</v>
      </c>
      <c r="H5" s="2" t="s">
        <v>11</v>
      </c>
      <c r="I5" s="2" t="s">
        <v>136</v>
      </c>
      <c r="J5" s="2" t="s">
        <v>567</v>
      </c>
      <c r="K5" s="2" t="s">
        <v>566</v>
      </c>
      <c r="L5" s="2" t="s">
        <v>409</v>
      </c>
      <c r="M5" s="52"/>
      <c r="N5" s="52"/>
      <c r="O5" s="52"/>
      <c r="P5" s="56"/>
    </row>
    <row r="6" spans="1:16" x14ac:dyDescent="0.25">
      <c r="A6" s="52"/>
      <c r="B6" s="52"/>
      <c r="C6" s="52"/>
      <c r="D6" s="52"/>
      <c r="E6" s="52"/>
      <c r="F6" s="3">
        <v>25</v>
      </c>
      <c r="G6" s="3">
        <v>25</v>
      </c>
      <c r="H6" s="3">
        <v>25</v>
      </c>
      <c r="I6" s="3">
        <v>25</v>
      </c>
      <c r="J6" s="3">
        <v>25</v>
      </c>
      <c r="K6" s="3">
        <v>25</v>
      </c>
      <c r="L6" s="3">
        <v>25</v>
      </c>
      <c r="M6" s="3">
        <f>SUM(F6:L6)</f>
        <v>175</v>
      </c>
      <c r="N6" s="52"/>
      <c r="O6" s="52"/>
      <c r="P6" s="56"/>
    </row>
    <row r="7" spans="1:16" ht="21" x14ac:dyDescent="0.35">
      <c r="A7" s="64" t="s">
        <v>185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 x14ac:dyDescent="0.25">
      <c r="A8" s="7">
        <v>1</v>
      </c>
      <c r="B8" s="32">
        <v>527</v>
      </c>
      <c r="C8" s="33" t="s">
        <v>490</v>
      </c>
      <c r="D8" s="34" t="s">
        <v>491</v>
      </c>
      <c r="E8" s="7" t="s">
        <v>489</v>
      </c>
      <c r="F8" s="4">
        <v>18</v>
      </c>
      <c r="G8" s="4">
        <v>16</v>
      </c>
      <c r="H8" s="4">
        <v>24</v>
      </c>
      <c r="I8" s="4">
        <v>20</v>
      </c>
      <c r="J8" s="4">
        <v>18</v>
      </c>
      <c r="K8" s="4">
        <v>20</v>
      </c>
      <c r="L8" s="4">
        <v>20</v>
      </c>
      <c r="M8" s="4">
        <v>175</v>
      </c>
      <c r="N8" s="4">
        <f>SUM(F8:L8)</f>
        <v>136</v>
      </c>
      <c r="O8" s="45">
        <f>N8/M8</f>
        <v>0.77714285714285714</v>
      </c>
      <c r="P8" s="4"/>
    </row>
    <row r="9" spans="1:16" x14ac:dyDescent="0.25">
      <c r="A9" s="7">
        <v>2</v>
      </c>
      <c r="B9" s="35">
        <v>472</v>
      </c>
      <c r="C9" s="36" t="s">
        <v>492</v>
      </c>
      <c r="D9" s="34" t="s">
        <v>493</v>
      </c>
      <c r="E9" s="7" t="s">
        <v>489</v>
      </c>
      <c r="F9" s="4">
        <v>17</v>
      </c>
      <c r="G9" s="4">
        <v>15</v>
      </c>
      <c r="H9" s="4">
        <v>20</v>
      </c>
      <c r="I9" s="4">
        <v>18</v>
      </c>
      <c r="J9" s="4">
        <v>19</v>
      </c>
      <c r="K9" s="4">
        <v>17</v>
      </c>
      <c r="L9" s="4">
        <v>21</v>
      </c>
      <c r="M9" s="4">
        <v>175</v>
      </c>
      <c r="N9" s="4">
        <f t="shared" ref="N9:N27" si="0">SUM(F9:L9)</f>
        <v>127</v>
      </c>
      <c r="O9" s="45">
        <f t="shared" ref="O9:O27" si="1">N9/M9</f>
        <v>0.72571428571428576</v>
      </c>
      <c r="P9" s="4"/>
    </row>
    <row r="10" spans="1:16" x14ac:dyDescent="0.25">
      <c r="A10" s="7">
        <v>3</v>
      </c>
      <c r="B10" s="35">
        <v>549</v>
      </c>
      <c r="C10" s="36" t="s">
        <v>494</v>
      </c>
      <c r="D10" s="34" t="s">
        <v>495</v>
      </c>
      <c r="E10" s="7" t="s">
        <v>489</v>
      </c>
      <c r="F10" s="4">
        <v>18</v>
      </c>
      <c r="G10" s="4">
        <v>17</v>
      </c>
      <c r="H10" s="4">
        <v>15</v>
      </c>
      <c r="I10" s="4">
        <v>18</v>
      </c>
      <c r="J10" s="4">
        <v>21</v>
      </c>
      <c r="K10" s="4">
        <v>22</v>
      </c>
      <c r="L10" s="4">
        <v>19</v>
      </c>
      <c r="M10" s="4">
        <v>175</v>
      </c>
      <c r="N10" s="4">
        <f t="shared" si="0"/>
        <v>130</v>
      </c>
      <c r="O10" s="45">
        <f t="shared" si="1"/>
        <v>0.74285714285714288</v>
      </c>
      <c r="P10" s="4"/>
    </row>
    <row r="11" spans="1:16" x14ac:dyDescent="0.25">
      <c r="A11" s="7">
        <v>4</v>
      </c>
      <c r="B11" s="35">
        <v>593</v>
      </c>
      <c r="C11" s="36" t="s">
        <v>496</v>
      </c>
      <c r="D11" s="34" t="s">
        <v>457</v>
      </c>
      <c r="E11" s="7" t="s">
        <v>489</v>
      </c>
      <c r="F11" s="4">
        <v>19</v>
      </c>
      <c r="G11" s="4">
        <v>20</v>
      </c>
      <c r="H11" s="4">
        <v>18</v>
      </c>
      <c r="I11" s="4">
        <v>20</v>
      </c>
      <c r="J11" s="4">
        <v>22</v>
      </c>
      <c r="K11" s="4">
        <v>20</v>
      </c>
      <c r="L11" s="4">
        <v>18</v>
      </c>
      <c r="M11" s="4">
        <v>175</v>
      </c>
      <c r="N11" s="4">
        <f t="shared" si="0"/>
        <v>137</v>
      </c>
      <c r="O11" s="45">
        <f t="shared" si="1"/>
        <v>0.78285714285714281</v>
      </c>
      <c r="P11" s="4"/>
    </row>
    <row r="12" spans="1:16" x14ac:dyDescent="0.25">
      <c r="A12" s="7">
        <v>5</v>
      </c>
      <c r="B12" s="35">
        <v>548</v>
      </c>
      <c r="C12" s="36" t="s">
        <v>497</v>
      </c>
      <c r="D12" s="34" t="s">
        <v>495</v>
      </c>
      <c r="E12" s="7" t="s">
        <v>489</v>
      </c>
      <c r="F12" s="4">
        <v>19</v>
      </c>
      <c r="G12" s="4">
        <v>20</v>
      </c>
      <c r="H12" s="4">
        <v>17</v>
      </c>
      <c r="I12" s="4">
        <v>18</v>
      </c>
      <c r="J12" s="4">
        <v>21</v>
      </c>
      <c r="K12" s="4">
        <v>20</v>
      </c>
      <c r="L12" s="4">
        <v>19</v>
      </c>
      <c r="M12" s="4">
        <v>175</v>
      </c>
      <c r="N12" s="4">
        <f t="shared" si="0"/>
        <v>134</v>
      </c>
      <c r="O12" s="45">
        <f t="shared" si="1"/>
        <v>0.76571428571428568</v>
      </c>
      <c r="P12" s="4"/>
    </row>
    <row r="13" spans="1:16" x14ac:dyDescent="0.25">
      <c r="A13" s="7">
        <v>6</v>
      </c>
      <c r="B13" s="35">
        <v>447</v>
      </c>
      <c r="C13" s="36" t="s">
        <v>498</v>
      </c>
      <c r="D13" s="34" t="s">
        <v>499</v>
      </c>
      <c r="E13" s="7" t="s">
        <v>489</v>
      </c>
      <c r="F13" s="4">
        <v>18</v>
      </c>
      <c r="G13" s="4">
        <v>21</v>
      </c>
      <c r="H13" s="4">
        <v>20</v>
      </c>
      <c r="I13" s="4">
        <v>22</v>
      </c>
      <c r="J13" s="4">
        <v>20</v>
      </c>
      <c r="K13" s="4">
        <v>18</v>
      </c>
      <c r="L13" s="4">
        <v>21</v>
      </c>
      <c r="M13" s="4">
        <v>175</v>
      </c>
      <c r="N13" s="4">
        <f t="shared" si="0"/>
        <v>140</v>
      </c>
      <c r="O13" s="45">
        <f t="shared" si="1"/>
        <v>0.8</v>
      </c>
      <c r="P13" s="4"/>
    </row>
    <row r="14" spans="1:16" x14ac:dyDescent="0.25">
      <c r="A14" s="7">
        <v>7</v>
      </c>
      <c r="B14" s="35">
        <v>501</v>
      </c>
      <c r="C14" s="36" t="s">
        <v>500</v>
      </c>
      <c r="D14" s="34" t="s">
        <v>386</v>
      </c>
      <c r="E14" s="7" t="s">
        <v>489</v>
      </c>
      <c r="F14" s="4">
        <v>16</v>
      </c>
      <c r="G14" s="4">
        <v>20</v>
      </c>
      <c r="H14" s="4">
        <v>18</v>
      </c>
      <c r="I14" s="4">
        <v>21</v>
      </c>
      <c r="J14" s="4">
        <v>19</v>
      </c>
      <c r="K14" s="4">
        <v>20</v>
      </c>
      <c r="L14" s="4">
        <v>19</v>
      </c>
      <c r="M14" s="4">
        <v>175</v>
      </c>
      <c r="N14" s="4">
        <f t="shared" si="0"/>
        <v>133</v>
      </c>
      <c r="O14" s="45">
        <f t="shared" si="1"/>
        <v>0.76</v>
      </c>
      <c r="P14" s="4"/>
    </row>
    <row r="15" spans="1:16" x14ac:dyDescent="0.25">
      <c r="A15" s="7">
        <v>8</v>
      </c>
      <c r="B15" s="35">
        <v>497</v>
      </c>
      <c r="C15" s="36" t="s">
        <v>501</v>
      </c>
      <c r="D15" s="34" t="s">
        <v>502</v>
      </c>
      <c r="E15" s="7" t="s">
        <v>489</v>
      </c>
      <c r="F15" s="4">
        <v>17</v>
      </c>
      <c r="G15" s="4">
        <v>18</v>
      </c>
      <c r="H15" s="4">
        <v>21</v>
      </c>
      <c r="I15" s="4">
        <v>19</v>
      </c>
      <c r="J15" s="4">
        <v>21</v>
      </c>
      <c r="K15" s="4">
        <v>20</v>
      </c>
      <c r="L15" s="4">
        <v>18</v>
      </c>
      <c r="M15" s="4">
        <v>175</v>
      </c>
      <c r="N15" s="4">
        <f t="shared" si="0"/>
        <v>134</v>
      </c>
      <c r="O15" s="45">
        <f t="shared" si="1"/>
        <v>0.76571428571428568</v>
      </c>
      <c r="P15" s="4"/>
    </row>
    <row r="16" spans="1:16" x14ac:dyDescent="0.25">
      <c r="A16" s="7">
        <v>9</v>
      </c>
      <c r="B16" s="35">
        <v>550</v>
      </c>
      <c r="C16" s="36" t="s">
        <v>315</v>
      </c>
      <c r="D16" s="34" t="s">
        <v>503</v>
      </c>
      <c r="E16" s="7" t="s">
        <v>489</v>
      </c>
      <c r="F16" s="4">
        <v>16</v>
      </c>
      <c r="G16" s="4">
        <v>23</v>
      </c>
      <c r="H16" s="4">
        <v>21</v>
      </c>
      <c r="I16" s="4">
        <v>19</v>
      </c>
      <c r="J16" s="23">
        <v>18</v>
      </c>
      <c r="K16" s="23">
        <v>16</v>
      </c>
      <c r="L16" s="4">
        <v>19</v>
      </c>
      <c r="M16" s="4">
        <v>175</v>
      </c>
      <c r="N16" s="4">
        <f t="shared" si="0"/>
        <v>132</v>
      </c>
      <c r="O16" s="45">
        <f t="shared" si="1"/>
        <v>0.75428571428571434</v>
      </c>
      <c r="P16" s="4"/>
    </row>
    <row r="17" spans="1:16" x14ac:dyDescent="0.25">
      <c r="A17" s="7">
        <v>10</v>
      </c>
      <c r="B17" s="35">
        <v>433</v>
      </c>
      <c r="C17" s="36" t="s">
        <v>115</v>
      </c>
      <c r="D17" s="34" t="s">
        <v>504</v>
      </c>
      <c r="E17" s="7" t="s">
        <v>489</v>
      </c>
      <c r="F17" s="4">
        <v>16</v>
      </c>
      <c r="G17" s="4">
        <v>17</v>
      </c>
      <c r="H17" s="4">
        <v>19</v>
      </c>
      <c r="I17" s="4">
        <v>20</v>
      </c>
      <c r="J17" s="4">
        <v>19</v>
      </c>
      <c r="K17" s="4">
        <v>18</v>
      </c>
      <c r="L17" s="4">
        <v>17</v>
      </c>
      <c r="M17" s="4">
        <v>175</v>
      </c>
      <c r="N17" s="4">
        <f t="shared" si="0"/>
        <v>126</v>
      </c>
      <c r="O17" s="45">
        <f t="shared" si="1"/>
        <v>0.72</v>
      </c>
      <c r="P17" s="4"/>
    </row>
    <row r="18" spans="1:16" x14ac:dyDescent="0.25">
      <c r="A18" s="7">
        <v>11</v>
      </c>
      <c r="B18" s="35">
        <v>495</v>
      </c>
      <c r="C18" s="36" t="s">
        <v>505</v>
      </c>
      <c r="D18" s="34" t="s">
        <v>50</v>
      </c>
      <c r="E18" s="7" t="s">
        <v>489</v>
      </c>
      <c r="F18" s="4">
        <v>18</v>
      </c>
      <c r="G18" s="4">
        <v>21</v>
      </c>
      <c r="H18" s="4">
        <v>20</v>
      </c>
      <c r="I18" s="4">
        <v>18</v>
      </c>
      <c r="J18" s="4">
        <v>16</v>
      </c>
      <c r="K18" s="23">
        <v>17</v>
      </c>
      <c r="L18" s="4">
        <v>18</v>
      </c>
      <c r="M18" s="4">
        <v>175</v>
      </c>
      <c r="N18" s="4">
        <f t="shared" si="0"/>
        <v>128</v>
      </c>
      <c r="O18" s="45">
        <f t="shared" si="1"/>
        <v>0.73142857142857143</v>
      </c>
      <c r="P18" s="4"/>
    </row>
    <row r="19" spans="1:16" x14ac:dyDescent="0.25">
      <c r="A19" s="7">
        <v>12</v>
      </c>
      <c r="B19" s="35">
        <v>758</v>
      </c>
      <c r="C19" s="36" t="s">
        <v>506</v>
      </c>
      <c r="D19" s="34" t="s">
        <v>507</v>
      </c>
      <c r="E19" s="7" t="s">
        <v>489</v>
      </c>
      <c r="F19" s="4">
        <v>19</v>
      </c>
      <c r="G19" s="4">
        <v>20</v>
      </c>
      <c r="H19" s="4">
        <v>18</v>
      </c>
      <c r="I19" s="4">
        <v>20</v>
      </c>
      <c r="J19" s="4">
        <v>18</v>
      </c>
      <c r="K19" s="4">
        <v>19</v>
      </c>
      <c r="L19" s="4">
        <v>21</v>
      </c>
      <c r="M19" s="4">
        <v>175</v>
      </c>
      <c r="N19" s="4">
        <f t="shared" si="0"/>
        <v>135</v>
      </c>
      <c r="O19" s="45">
        <f t="shared" si="1"/>
        <v>0.77142857142857146</v>
      </c>
      <c r="P19" s="4"/>
    </row>
    <row r="20" spans="1:16" x14ac:dyDescent="0.25">
      <c r="A20" s="7">
        <v>13</v>
      </c>
      <c r="B20" s="35">
        <v>595</v>
      </c>
      <c r="C20" s="36" t="s">
        <v>508</v>
      </c>
      <c r="D20" s="34" t="s">
        <v>66</v>
      </c>
      <c r="E20" s="7" t="s">
        <v>489</v>
      </c>
      <c r="F20" s="4">
        <v>20</v>
      </c>
      <c r="G20" s="4">
        <v>20</v>
      </c>
      <c r="H20" s="4">
        <v>19</v>
      </c>
      <c r="I20" s="4">
        <v>18</v>
      </c>
      <c r="J20" s="4">
        <v>17</v>
      </c>
      <c r="K20" s="4">
        <v>18</v>
      </c>
      <c r="L20" s="4">
        <v>19</v>
      </c>
      <c r="M20" s="4">
        <v>175</v>
      </c>
      <c r="N20" s="4">
        <f t="shared" si="0"/>
        <v>131</v>
      </c>
      <c r="O20" s="45">
        <f t="shared" si="1"/>
        <v>0.74857142857142855</v>
      </c>
      <c r="P20" s="4"/>
    </row>
    <row r="21" spans="1:16" x14ac:dyDescent="0.25">
      <c r="A21" s="7">
        <v>14</v>
      </c>
      <c r="B21" s="35">
        <v>883</v>
      </c>
      <c r="C21" s="36" t="s">
        <v>509</v>
      </c>
      <c r="D21" s="34" t="s">
        <v>510</v>
      </c>
      <c r="E21" s="7" t="s">
        <v>489</v>
      </c>
      <c r="F21" s="4">
        <v>19</v>
      </c>
      <c r="G21" s="4">
        <v>20</v>
      </c>
      <c r="H21" s="4">
        <v>20</v>
      </c>
      <c r="I21" s="4">
        <v>19</v>
      </c>
      <c r="J21" s="4">
        <v>18</v>
      </c>
      <c r="K21" s="4">
        <v>19</v>
      </c>
      <c r="L21" s="4">
        <v>20</v>
      </c>
      <c r="M21" s="4">
        <v>175</v>
      </c>
      <c r="N21" s="4">
        <f t="shared" si="0"/>
        <v>135</v>
      </c>
      <c r="O21" s="45">
        <f t="shared" si="1"/>
        <v>0.77142857142857146</v>
      </c>
      <c r="P21" s="4"/>
    </row>
    <row r="22" spans="1:16" x14ac:dyDescent="0.25">
      <c r="A22" s="7">
        <v>15</v>
      </c>
      <c r="B22" s="35">
        <v>865</v>
      </c>
      <c r="C22" s="36" t="s">
        <v>511</v>
      </c>
      <c r="D22" s="34" t="s">
        <v>512</v>
      </c>
      <c r="E22" s="7" t="s">
        <v>489</v>
      </c>
      <c r="F22" s="4">
        <v>16</v>
      </c>
      <c r="G22" s="4">
        <v>17</v>
      </c>
      <c r="H22" s="4">
        <v>18</v>
      </c>
      <c r="I22" s="4">
        <v>19</v>
      </c>
      <c r="J22" s="4">
        <v>20</v>
      </c>
      <c r="K22" s="4">
        <v>19</v>
      </c>
      <c r="L22" s="4">
        <v>21</v>
      </c>
      <c r="M22" s="4">
        <v>175</v>
      </c>
      <c r="N22" s="4">
        <f t="shared" si="0"/>
        <v>130</v>
      </c>
      <c r="O22" s="45">
        <f t="shared" si="1"/>
        <v>0.74285714285714288</v>
      </c>
      <c r="P22" s="4"/>
    </row>
    <row r="23" spans="1:16" x14ac:dyDescent="0.25">
      <c r="A23" s="7">
        <v>16</v>
      </c>
      <c r="B23" s="35">
        <v>779</v>
      </c>
      <c r="C23" s="36" t="s">
        <v>513</v>
      </c>
      <c r="D23" s="34" t="s">
        <v>514</v>
      </c>
      <c r="E23" s="7" t="s">
        <v>489</v>
      </c>
      <c r="F23" s="4">
        <v>17</v>
      </c>
      <c r="G23" s="4">
        <v>18</v>
      </c>
      <c r="H23" s="4">
        <v>19</v>
      </c>
      <c r="I23" s="4">
        <v>20</v>
      </c>
      <c r="J23" s="4">
        <v>21</v>
      </c>
      <c r="K23" s="4">
        <v>22</v>
      </c>
      <c r="L23" s="4">
        <v>20</v>
      </c>
      <c r="M23" s="4">
        <v>175</v>
      </c>
      <c r="N23" s="4">
        <f t="shared" si="0"/>
        <v>137</v>
      </c>
      <c r="O23" s="45">
        <f t="shared" si="1"/>
        <v>0.78285714285714281</v>
      </c>
      <c r="P23" s="4"/>
    </row>
    <row r="24" spans="1:16" x14ac:dyDescent="0.25">
      <c r="A24" s="7">
        <v>17</v>
      </c>
      <c r="B24" s="35">
        <v>848</v>
      </c>
      <c r="C24" s="36" t="s">
        <v>515</v>
      </c>
      <c r="D24" s="34" t="s">
        <v>516</v>
      </c>
      <c r="E24" s="7" t="s">
        <v>489</v>
      </c>
      <c r="F24" s="4">
        <v>19</v>
      </c>
      <c r="G24" s="4">
        <v>19</v>
      </c>
      <c r="H24" s="4">
        <v>16</v>
      </c>
      <c r="I24" s="4">
        <v>19</v>
      </c>
      <c r="J24" s="4">
        <v>18</v>
      </c>
      <c r="K24" s="4">
        <v>15</v>
      </c>
      <c r="L24" s="4">
        <v>20</v>
      </c>
      <c r="M24" s="4">
        <v>175</v>
      </c>
      <c r="N24" s="4">
        <f t="shared" si="0"/>
        <v>126</v>
      </c>
      <c r="O24" s="45">
        <f t="shared" si="1"/>
        <v>0.72</v>
      </c>
      <c r="P24" s="4"/>
    </row>
    <row r="25" spans="1:16" x14ac:dyDescent="0.25">
      <c r="A25" s="7">
        <v>18</v>
      </c>
      <c r="B25" s="35"/>
      <c r="C25" s="36" t="s">
        <v>517</v>
      </c>
      <c r="D25" s="34" t="s">
        <v>48</v>
      </c>
      <c r="E25" s="7" t="s">
        <v>489</v>
      </c>
      <c r="F25" s="4">
        <v>19</v>
      </c>
      <c r="G25" s="4">
        <v>16</v>
      </c>
      <c r="H25" s="4">
        <v>17</v>
      </c>
      <c r="I25" s="4">
        <v>19</v>
      </c>
      <c r="J25" s="4">
        <v>20</v>
      </c>
      <c r="K25" s="4">
        <v>22</v>
      </c>
      <c r="L25" s="4">
        <v>20</v>
      </c>
      <c r="M25" s="4">
        <v>175</v>
      </c>
      <c r="N25" s="4">
        <f t="shared" si="0"/>
        <v>133</v>
      </c>
      <c r="O25" s="45">
        <f t="shared" si="1"/>
        <v>0.76</v>
      </c>
      <c r="P25" s="4"/>
    </row>
    <row r="26" spans="1:16" x14ac:dyDescent="0.25">
      <c r="A26" s="7">
        <v>19</v>
      </c>
      <c r="B26" s="35"/>
      <c r="C26" s="36" t="s">
        <v>506</v>
      </c>
      <c r="D26" s="34" t="s">
        <v>518</v>
      </c>
      <c r="E26" s="7" t="s">
        <v>489</v>
      </c>
      <c r="F26" s="4">
        <v>19</v>
      </c>
      <c r="G26" s="4">
        <v>16</v>
      </c>
      <c r="H26" s="4">
        <v>18</v>
      </c>
      <c r="I26" s="4">
        <v>19</v>
      </c>
      <c r="J26" s="4">
        <v>19</v>
      </c>
      <c r="K26" s="4">
        <v>17</v>
      </c>
      <c r="L26" s="4">
        <v>21</v>
      </c>
      <c r="M26" s="4">
        <v>175</v>
      </c>
      <c r="N26" s="4">
        <f t="shared" si="0"/>
        <v>129</v>
      </c>
      <c r="O26" s="45">
        <f t="shared" si="1"/>
        <v>0.7371428571428571</v>
      </c>
      <c r="P26" s="4"/>
    </row>
    <row r="27" spans="1:16" x14ac:dyDescent="0.25">
      <c r="A27" s="7">
        <v>20</v>
      </c>
      <c r="B27" s="35">
        <v>904</v>
      </c>
      <c r="C27" s="36" t="s">
        <v>519</v>
      </c>
      <c r="D27" s="34" t="s">
        <v>520</v>
      </c>
      <c r="E27" s="7" t="s">
        <v>489</v>
      </c>
      <c r="F27" s="4">
        <v>21</v>
      </c>
      <c r="G27" s="4">
        <v>16</v>
      </c>
      <c r="H27" s="4">
        <v>19</v>
      </c>
      <c r="I27" s="4">
        <v>16</v>
      </c>
      <c r="J27" s="4">
        <v>16</v>
      </c>
      <c r="K27" s="4">
        <v>18</v>
      </c>
      <c r="L27" s="4">
        <v>19</v>
      </c>
      <c r="M27" s="4">
        <v>175</v>
      </c>
      <c r="N27" s="4">
        <f t="shared" si="0"/>
        <v>125</v>
      </c>
      <c r="O27" s="45">
        <f t="shared" si="1"/>
        <v>0.7142857142857143</v>
      </c>
      <c r="P27" s="4"/>
    </row>
    <row r="28" spans="1:16" ht="21" x14ac:dyDescent="0.35">
      <c r="A28" s="64" t="s">
        <v>138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</row>
    <row r="29" spans="1:16" x14ac:dyDescent="0.25">
      <c r="A29" s="7">
        <v>30</v>
      </c>
      <c r="B29" s="35">
        <v>596</v>
      </c>
      <c r="C29" s="36" t="s">
        <v>145</v>
      </c>
      <c r="D29" s="34" t="s">
        <v>521</v>
      </c>
      <c r="E29" s="7" t="s">
        <v>489</v>
      </c>
      <c r="F29" s="4">
        <v>20</v>
      </c>
      <c r="G29" s="4">
        <v>18</v>
      </c>
      <c r="H29" s="4">
        <v>20</v>
      </c>
      <c r="I29" s="4">
        <v>19</v>
      </c>
      <c r="J29" s="4">
        <v>17</v>
      </c>
      <c r="K29" s="4">
        <v>20</v>
      </c>
      <c r="L29" s="4">
        <v>18</v>
      </c>
      <c r="M29" s="4">
        <v>175</v>
      </c>
      <c r="N29" s="4">
        <f>SUM(F29:L29)</f>
        <v>132</v>
      </c>
      <c r="O29" s="45">
        <f>N29/M29</f>
        <v>0.75428571428571434</v>
      </c>
      <c r="P29" s="4"/>
    </row>
    <row r="30" spans="1:16" x14ac:dyDescent="0.25">
      <c r="A30" s="7">
        <v>31</v>
      </c>
      <c r="B30" s="35">
        <v>543</v>
      </c>
      <c r="C30" s="36" t="s">
        <v>522</v>
      </c>
      <c r="D30" s="34" t="s">
        <v>56</v>
      </c>
      <c r="E30" s="7" t="s">
        <v>489</v>
      </c>
      <c r="F30" s="4">
        <v>19</v>
      </c>
      <c r="G30" s="4">
        <v>20</v>
      </c>
      <c r="H30" s="4">
        <v>21</v>
      </c>
      <c r="I30" s="4">
        <v>15</v>
      </c>
      <c r="J30" s="4">
        <v>18</v>
      </c>
      <c r="K30" s="4">
        <v>16</v>
      </c>
      <c r="L30" s="4">
        <v>20</v>
      </c>
      <c r="M30" s="4">
        <v>175</v>
      </c>
      <c r="N30" s="4">
        <f t="shared" ref="N30:N59" si="2">SUM(F30:L30)</f>
        <v>129</v>
      </c>
      <c r="O30" s="45">
        <f t="shared" ref="O30:O59" si="3">N30/M30</f>
        <v>0.7371428571428571</v>
      </c>
      <c r="P30" s="4"/>
    </row>
    <row r="31" spans="1:16" x14ac:dyDescent="0.25">
      <c r="A31" s="7">
        <v>32</v>
      </c>
      <c r="B31" s="35">
        <v>590</v>
      </c>
      <c r="C31" s="36" t="s">
        <v>523</v>
      </c>
      <c r="D31" s="34" t="s">
        <v>524</v>
      </c>
      <c r="E31" s="7" t="s">
        <v>489</v>
      </c>
      <c r="F31" s="4">
        <v>18</v>
      </c>
      <c r="G31" s="4">
        <v>15</v>
      </c>
      <c r="H31" s="4">
        <v>20</v>
      </c>
      <c r="I31" s="4">
        <v>11</v>
      </c>
      <c r="J31" s="4">
        <v>20</v>
      </c>
      <c r="K31" s="4">
        <v>15</v>
      </c>
      <c r="L31" s="4">
        <v>21</v>
      </c>
      <c r="M31" s="4">
        <v>175</v>
      </c>
      <c r="N31" s="4">
        <f t="shared" si="2"/>
        <v>120</v>
      </c>
      <c r="O31" s="45">
        <f t="shared" si="3"/>
        <v>0.68571428571428572</v>
      </c>
      <c r="P31" s="4"/>
    </row>
    <row r="32" spans="1:16" x14ac:dyDescent="0.25">
      <c r="A32" s="7">
        <v>33</v>
      </c>
      <c r="B32" s="35">
        <v>594</v>
      </c>
      <c r="C32" s="36" t="s">
        <v>525</v>
      </c>
      <c r="D32" s="34" t="s">
        <v>152</v>
      </c>
      <c r="E32" s="7" t="s">
        <v>489</v>
      </c>
      <c r="F32" s="4">
        <v>22</v>
      </c>
      <c r="G32" s="4">
        <v>17</v>
      </c>
      <c r="H32" s="4">
        <v>19</v>
      </c>
      <c r="I32" s="4">
        <v>21</v>
      </c>
      <c r="J32" s="4">
        <v>19</v>
      </c>
      <c r="K32" s="4">
        <v>16</v>
      </c>
      <c r="L32" s="4">
        <v>20</v>
      </c>
      <c r="M32" s="4">
        <v>175</v>
      </c>
      <c r="N32" s="4">
        <f t="shared" si="2"/>
        <v>134</v>
      </c>
      <c r="O32" s="45">
        <f t="shared" si="3"/>
        <v>0.76571428571428568</v>
      </c>
      <c r="P32" s="4"/>
    </row>
    <row r="33" spans="1:16" x14ac:dyDescent="0.25">
      <c r="A33" s="7">
        <v>34</v>
      </c>
      <c r="B33" s="35">
        <v>554</v>
      </c>
      <c r="C33" s="36" t="s">
        <v>483</v>
      </c>
      <c r="D33" s="34" t="s">
        <v>526</v>
      </c>
      <c r="E33" s="7" t="s">
        <v>489</v>
      </c>
      <c r="F33" s="4">
        <v>23</v>
      </c>
      <c r="G33" s="4">
        <v>18</v>
      </c>
      <c r="H33" s="4">
        <v>18</v>
      </c>
      <c r="I33" s="4">
        <v>15</v>
      </c>
      <c r="J33" s="4">
        <v>18</v>
      </c>
      <c r="K33" s="4">
        <v>19</v>
      </c>
      <c r="L33" s="4">
        <v>19</v>
      </c>
      <c r="M33" s="4">
        <v>175</v>
      </c>
      <c r="N33" s="4">
        <f t="shared" si="2"/>
        <v>130</v>
      </c>
      <c r="O33" s="45">
        <f t="shared" si="3"/>
        <v>0.74285714285714288</v>
      </c>
      <c r="P33" s="4"/>
    </row>
    <row r="34" spans="1:16" x14ac:dyDescent="0.25">
      <c r="A34" s="7">
        <v>35</v>
      </c>
      <c r="B34" s="35">
        <v>496</v>
      </c>
      <c r="C34" s="36" t="s">
        <v>527</v>
      </c>
      <c r="D34" s="34" t="s">
        <v>528</v>
      </c>
      <c r="E34" s="7" t="s">
        <v>489</v>
      </c>
      <c r="F34" s="4">
        <v>20</v>
      </c>
      <c r="G34" s="4">
        <v>19</v>
      </c>
      <c r="H34" s="4">
        <v>15</v>
      </c>
      <c r="I34" s="4">
        <v>19</v>
      </c>
      <c r="J34" s="4">
        <v>19</v>
      </c>
      <c r="K34" s="4">
        <v>20</v>
      </c>
      <c r="L34" s="4">
        <v>18</v>
      </c>
      <c r="M34" s="4">
        <v>175</v>
      </c>
      <c r="N34" s="4">
        <f t="shared" si="2"/>
        <v>130</v>
      </c>
      <c r="O34" s="45">
        <f t="shared" si="3"/>
        <v>0.74285714285714288</v>
      </c>
      <c r="P34" s="4"/>
    </row>
    <row r="35" spans="1:16" x14ac:dyDescent="0.25">
      <c r="A35" s="7">
        <v>36</v>
      </c>
      <c r="B35" s="35">
        <v>599</v>
      </c>
      <c r="C35" s="36" t="s">
        <v>529</v>
      </c>
      <c r="D35" s="34" t="s">
        <v>20</v>
      </c>
      <c r="E35" s="7" t="s">
        <v>489</v>
      </c>
      <c r="F35" s="4">
        <v>19</v>
      </c>
      <c r="G35" s="4">
        <v>18</v>
      </c>
      <c r="H35" s="4">
        <v>19</v>
      </c>
      <c r="I35" s="4">
        <v>21</v>
      </c>
      <c r="J35" s="4">
        <v>16</v>
      </c>
      <c r="K35" s="4">
        <v>16</v>
      </c>
      <c r="L35" s="4">
        <v>15</v>
      </c>
      <c r="M35" s="4">
        <v>175</v>
      </c>
      <c r="N35" s="4">
        <f t="shared" si="2"/>
        <v>124</v>
      </c>
      <c r="O35" s="45">
        <f t="shared" si="3"/>
        <v>0.70857142857142852</v>
      </c>
      <c r="P35" s="4"/>
    </row>
    <row r="36" spans="1:16" x14ac:dyDescent="0.25">
      <c r="A36" s="7">
        <v>37</v>
      </c>
      <c r="B36" s="35">
        <v>694</v>
      </c>
      <c r="C36" s="36" t="s">
        <v>530</v>
      </c>
      <c r="D36" s="34" t="s">
        <v>531</v>
      </c>
      <c r="E36" s="7" t="s">
        <v>489</v>
      </c>
      <c r="F36" s="4">
        <v>20</v>
      </c>
      <c r="G36" s="4">
        <v>17</v>
      </c>
      <c r="H36" s="4">
        <v>20</v>
      </c>
      <c r="I36" s="4">
        <v>19</v>
      </c>
      <c r="J36" s="4">
        <v>15</v>
      </c>
      <c r="K36" s="4">
        <v>17</v>
      </c>
      <c r="L36" s="4">
        <v>13</v>
      </c>
      <c r="M36" s="4">
        <v>175</v>
      </c>
      <c r="N36" s="4">
        <f t="shared" si="2"/>
        <v>121</v>
      </c>
      <c r="O36" s="45">
        <f t="shared" si="3"/>
        <v>0.69142857142857139</v>
      </c>
      <c r="P36" s="4"/>
    </row>
    <row r="37" spans="1:16" x14ac:dyDescent="0.25">
      <c r="A37" s="7">
        <v>38</v>
      </c>
      <c r="B37" s="35">
        <v>506</v>
      </c>
      <c r="C37" s="36" t="s">
        <v>532</v>
      </c>
      <c r="D37" s="34" t="s">
        <v>533</v>
      </c>
      <c r="E37" s="7" t="s">
        <v>489</v>
      </c>
      <c r="F37" s="4">
        <v>18</v>
      </c>
      <c r="G37" s="4">
        <v>16</v>
      </c>
      <c r="H37" s="4">
        <v>12</v>
      </c>
      <c r="I37" s="4">
        <v>18</v>
      </c>
      <c r="J37" s="4">
        <v>16</v>
      </c>
      <c r="K37" s="4">
        <v>18</v>
      </c>
      <c r="L37" s="4">
        <v>12</v>
      </c>
      <c r="M37" s="4">
        <v>175</v>
      </c>
      <c r="N37" s="4">
        <f t="shared" si="2"/>
        <v>110</v>
      </c>
      <c r="O37" s="45">
        <f t="shared" si="3"/>
        <v>0.62857142857142856</v>
      </c>
      <c r="P37" s="4"/>
    </row>
    <row r="38" spans="1:16" x14ac:dyDescent="0.25">
      <c r="A38" s="7">
        <v>39</v>
      </c>
      <c r="B38" s="35">
        <v>471</v>
      </c>
      <c r="C38" s="36" t="s">
        <v>534</v>
      </c>
      <c r="D38" s="34" t="s">
        <v>535</v>
      </c>
      <c r="E38" s="7" t="s">
        <v>489</v>
      </c>
      <c r="F38" s="4">
        <v>16</v>
      </c>
      <c r="G38" s="4">
        <v>15</v>
      </c>
      <c r="H38" s="4">
        <v>13</v>
      </c>
      <c r="I38" s="4">
        <v>13</v>
      </c>
      <c r="J38" s="4">
        <v>17</v>
      </c>
      <c r="K38" s="4">
        <v>20</v>
      </c>
      <c r="L38" s="4">
        <v>19</v>
      </c>
      <c r="M38" s="4">
        <v>175</v>
      </c>
      <c r="N38" s="4">
        <f t="shared" si="2"/>
        <v>113</v>
      </c>
      <c r="O38" s="45">
        <f t="shared" si="3"/>
        <v>0.64571428571428569</v>
      </c>
      <c r="P38" s="4"/>
    </row>
    <row r="39" spans="1:16" x14ac:dyDescent="0.25">
      <c r="A39" s="7">
        <v>40</v>
      </c>
      <c r="B39" s="35">
        <v>537</v>
      </c>
      <c r="C39" s="36" t="s">
        <v>463</v>
      </c>
      <c r="D39" s="34" t="s">
        <v>536</v>
      </c>
      <c r="E39" s="7" t="s">
        <v>489</v>
      </c>
      <c r="F39" s="4">
        <v>17</v>
      </c>
      <c r="G39" s="4">
        <v>20</v>
      </c>
      <c r="H39" s="4">
        <v>15</v>
      </c>
      <c r="I39" s="4">
        <v>15</v>
      </c>
      <c r="J39" s="4">
        <v>19</v>
      </c>
      <c r="K39" s="4">
        <v>19</v>
      </c>
      <c r="L39" s="4">
        <v>11</v>
      </c>
      <c r="M39" s="4">
        <v>175</v>
      </c>
      <c r="N39" s="4">
        <f t="shared" si="2"/>
        <v>116</v>
      </c>
      <c r="O39" s="45">
        <f t="shared" si="3"/>
        <v>0.66285714285714281</v>
      </c>
      <c r="P39" s="4"/>
    </row>
    <row r="40" spans="1:16" x14ac:dyDescent="0.25">
      <c r="A40" s="7">
        <v>41</v>
      </c>
      <c r="B40" s="35">
        <v>698</v>
      </c>
      <c r="C40" s="36" t="s">
        <v>537</v>
      </c>
      <c r="D40" s="34" t="s">
        <v>538</v>
      </c>
      <c r="E40" s="7" t="s">
        <v>489</v>
      </c>
      <c r="F40" s="4">
        <v>15</v>
      </c>
      <c r="G40" s="4">
        <v>16</v>
      </c>
      <c r="H40" s="4">
        <v>18</v>
      </c>
      <c r="I40" s="4">
        <v>16</v>
      </c>
      <c r="J40" s="4">
        <v>20</v>
      </c>
      <c r="K40" s="4">
        <v>16</v>
      </c>
      <c r="L40" s="4">
        <v>12</v>
      </c>
      <c r="M40" s="4">
        <v>175</v>
      </c>
      <c r="N40" s="4">
        <f t="shared" si="2"/>
        <v>113</v>
      </c>
      <c r="O40" s="45">
        <f t="shared" si="3"/>
        <v>0.64571428571428569</v>
      </c>
      <c r="P40" s="4"/>
    </row>
    <row r="41" spans="1:16" x14ac:dyDescent="0.25">
      <c r="A41" s="7">
        <v>42</v>
      </c>
      <c r="B41" s="35">
        <v>524</v>
      </c>
      <c r="C41" s="36" t="s">
        <v>539</v>
      </c>
      <c r="D41" s="34" t="s">
        <v>22</v>
      </c>
      <c r="E41" s="7" t="s">
        <v>489</v>
      </c>
      <c r="F41" s="23">
        <v>21</v>
      </c>
      <c r="G41" s="23">
        <v>15</v>
      </c>
      <c r="H41" s="23">
        <v>20</v>
      </c>
      <c r="I41" s="23">
        <v>17</v>
      </c>
      <c r="J41" s="23">
        <v>21</v>
      </c>
      <c r="K41" s="23">
        <v>16</v>
      </c>
      <c r="L41" s="23">
        <v>13</v>
      </c>
      <c r="M41" s="4">
        <v>175</v>
      </c>
      <c r="N41" s="4">
        <f t="shared" si="2"/>
        <v>123</v>
      </c>
      <c r="O41" s="45">
        <f t="shared" si="3"/>
        <v>0.70285714285714285</v>
      </c>
      <c r="P41" s="4"/>
    </row>
    <row r="42" spans="1:16" x14ac:dyDescent="0.25">
      <c r="A42" s="7">
        <v>43</v>
      </c>
      <c r="B42" s="35">
        <v>438</v>
      </c>
      <c r="C42" s="36" t="s">
        <v>540</v>
      </c>
      <c r="D42" s="34" t="s">
        <v>115</v>
      </c>
      <c r="E42" s="7" t="s">
        <v>489</v>
      </c>
      <c r="F42" s="10">
        <v>20</v>
      </c>
      <c r="G42" s="10">
        <v>13</v>
      </c>
      <c r="H42" s="10">
        <v>19</v>
      </c>
      <c r="I42" s="10">
        <v>16</v>
      </c>
      <c r="J42" s="10">
        <v>19</v>
      </c>
      <c r="K42" s="10">
        <v>15</v>
      </c>
      <c r="L42" s="10">
        <v>15</v>
      </c>
      <c r="M42" s="4">
        <v>175</v>
      </c>
      <c r="N42" s="4">
        <f t="shared" si="2"/>
        <v>117</v>
      </c>
      <c r="O42" s="45">
        <f t="shared" si="3"/>
        <v>0.66857142857142859</v>
      </c>
      <c r="P42" s="4"/>
    </row>
    <row r="43" spans="1:16" x14ac:dyDescent="0.25">
      <c r="A43" s="7">
        <v>44</v>
      </c>
      <c r="B43" s="35">
        <v>445</v>
      </c>
      <c r="C43" s="36" t="s">
        <v>541</v>
      </c>
      <c r="D43" s="34" t="s">
        <v>542</v>
      </c>
      <c r="E43" s="7" t="s">
        <v>489</v>
      </c>
      <c r="F43" s="10">
        <v>19</v>
      </c>
      <c r="G43" s="10">
        <v>17</v>
      </c>
      <c r="H43" s="10">
        <v>16</v>
      </c>
      <c r="I43" s="10">
        <v>19</v>
      </c>
      <c r="J43" s="10">
        <v>16</v>
      </c>
      <c r="K43" s="10">
        <v>14</v>
      </c>
      <c r="L43" s="10">
        <v>16</v>
      </c>
      <c r="M43" s="4">
        <v>175</v>
      </c>
      <c r="N43" s="4">
        <f t="shared" si="2"/>
        <v>117</v>
      </c>
      <c r="O43" s="45">
        <f t="shared" si="3"/>
        <v>0.66857142857142859</v>
      </c>
      <c r="P43" s="4"/>
    </row>
    <row r="44" spans="1:16" x14ac:dyDescent="0.25">
      <c r="A44" s="7">
        <v>45</v>
      </c>
      <c r="B44" s="35">
        <v>532</v>
      </c>
      <c r="C44" s="36" t="s">
        <v>543</v>
      </c>
      <c r="D44" s="34" t="s">
        <v>544</v>
      </c>
      <c r="E44" s="7" t="s">
        <v>489</v>
      </c>
      <c r="F44" s="10">
        <v>18</v>
      </c>
      <c r="G44" s="10">
        <v>16</v>
      </c>
      <c r="H44" s="10">
        <v>13</v>
      </c>
      <c r="I44" s="10">
        <v>20</v>
      </c>
      <c r="J44" s="10">
        <v>17</v>
      </c>
      <c r="K44" s="10">
        <v>13</v>
      </c>
      <c r="L44" s="10">
        <v>17</v>
      </c>
      <c r="M44" s="4">
        <v>175</v>
      </c>
      <c r="N44" s="4">
        <f t="shared" si="2"/>
        <v>114</v>
      </c>
      <c r="O44" s="45">
        <f t="shared" si="3"/>
        <v>0.65142857142857147</v>
      </c>
      <c r="P44" s="4"/>
    </row>
    <row r="45" spans="1:16" x14ac:dyDescent="0.25">
      <c r="A45" s="7">
        <v>46</v>
      </c>
      <c r="B45" s="35">
        <v>643</v>
      </c>
      <c r="C45" s="36" t="s">
        <v>545</v>
      </c>
      <c r="D45" s="34" t="s">
        <v>482</v>
      </c>
      <c r="E45" s="7" t="s">
        <v>489</v>
      </c>
      <c r="F45" s="10">
        <v>16</v>
      </c>
      <c r="G45" s="10">
        <v>17</v>
      </c>
      <c r="H45" s="10">
        <v>14</v>
      </c>
      <c r="I45" s="10">
        <v>19</v>
      </c>
      <c r="J45" s="10">
        <v>16</v>
      </c>
      <c r="K45" s="10">
        <v>15</v>
      </c>
      <c r="L45" s="10">
        <v>19</v>
      </c>
      <c r="M45" s="4">
        <v>175</v>
      </c>
      <c r="N45" s="4">
        <f t="shared" si="2"/>
        <v>116</v>
      </c>
      <c r="O45" s="45">
        <f t="shared" si="3"/>
        <v>0.66285714285714281</v>
      </c>
      <c r="P45" s="4"/>
    </row>
    <row r="46" spans="1:16" x14ac:dyDescent="0.25">
      <c r="A46" s="7">
        <v>47</v>
      </c>
      <c r="B46" s="35">
        <v>519</v>
      </c>
      <c r="C46" s="36" t="s">
        <v>546</v>
      </c>
      <c r="D46" s="34" t="s">
        <v>193</v>
      </c>
      <c r="E46" s="7" t="s">
        <v>489</v>
      </c>
      <c r="F46" s="10">
        <v>17</v>
      </c>
      <c r="G46" s="10">
        <v>17</v>
      </c>
      <c r="H46" s="10">
        <v>18</v>
      </c>
      <c r="I46" s="10">
        <v>19</v>
      </c>
      <c r="J46" s="10">
        <v>15</v>
      </c>
      <c r="K46" s="10">
        <v>16</v>
      </c>
      <c r="L46" s="10">
        <v>20</v>
      </c>
      <c r="M46" s="4">
        <v>175</v>
      </c>
      <c r="N46" s="4">
        <f t="shared" si="2"/>
        <v>122</v>
      </c>
      <c r="O46" s="45">
        <f t="shared" si="3"/>
        <v>0.69714285714285718</v>
      </c>
      <c r="P46" s="4"/>
    </row>
    <row r="47" spans="1:16" x14ac:dyDescent="0.25">
      <c r="A47" s="7">
        <v>48</v>
      </c>
      <c r="B47" s="35">
        <v>611</v>
      </c>
      <c r="C47" s="36" t="s">
        <v>547</v>
      </c>
      <c r="D47" s="34" t="s">
        <v>548</v>
      </c>
      <c r="E47" s="7" t="s">
        <v>489</v>
      </c>
      <c r="F47" s="10">
        <v>16</v>
      </c>
      <c r="G47" s="10">
        <v>17</v>
      </c>
      <c r="H47" s="10">
        <v>19</v>
      </c>
      <c r="I47" s="10">
        <v>16</v>
      </c>
      <c r="J47" s="10">
        <v>14</v>
      </c>
      <c r="K47" s="10">
        <v>17</v>
      </c>
      <c r="L47" s="10">
        <v>19</v>
      </c>
      <c r="M47" s="4">
        <v>175</v>
      </c>
      <c r="N47" s="4">
        <f t="shared" si="2"/>
        <v>118</v>
      </c>
      <c r="O47" s="45">
        <f t="shared" si="3"/>
        <v>0.67428571428571427</v>
      </c>
      <c r="P47" s="4"/>
    </row>
    <row r="48" spans="1:16" x14ac:dyDescent="0.25">
      <c r="A48" s="7">
        <v>49</v>
      </c>
      <c r="B48" s="35">
        <v>695</v>
      </c>
      <c r="C48" s="36" t="s">
        <v>549</v>
      </c>
      <c r="D48" s="34" t="s">
        <v>550</v>
      </c>
      <c r="E48" s="7" t="s">
        <v>489</v>
      </c>
      <c r="F48" s="10">
        <v>18</v>
      </c>
      <c r="G48" s="10">
        <v>15</v>
      </c>
      <c r="H48" s="10">
        <v>20</v>
      </c>
      <c r="I48" s="10">
        <v>15</v>
      </c>
      <c r="J48" s="10">
        <v>19</v>
      </c>
      <c r="K48" s="10">
        <v>18</v>
      </c>
      <c r="L48" s="10">
        <v>16</v>
      </c>
      <c r="M48" s="4">
        <v>175</v>
      </c>
      <c r="N48" s="4">
        <f t="shared" si="2"/>
        <v>121</v>
      </c>
      <c r="O48" s="45">
        <f t="shared" si="3"/>
        <v>0.69142857142857139</v>
      </c>
      <c r="P48" s="4"/>
    </row>
    <row r="49" spans="1:16" x14ac:dyDescent="0.25">
      <c r="A49" s="7">
        <v>50</v>
      </c>
      <c r="B49" s="35">
        <v>598</v>
      </c>
      <c r="C49" s="36" t="s">
        <v>551</v>
      </c>
      <c r="D49" s="34" t="s">
        <v>552</v>
      </c>
      <c r="E49" s="7" t="s">
        <v>489</v>
      </c>
      <c r="F49" s="10">
        <v>19</v>
      </c>
      <c r="G49" s="10">
        <v>16</v>
      </c>
      <c r="H49" s="10">
        <v>19</v>
      </c>
      <c r="I49" s="10">
        <v>19</v>
      </c>
      <c r="J49" s="10">
        <v>20</v>
      </c>
      <c r="K49" s="10">
        <v>20</v>
      </c>
      <c r="L49" s="10">
        <v>21</v>
      </c>
      <c r="M49" s="4">
        <v>175</v>
      </c>
      <c r="N49" s="4">
        <f t="shared" si="2"/>
        <v>134</v>
      </c>
      <c r="O49" s="45">
        <f t="shared" si="3"/>
        <v>0.76571428571428568</v>
      </c>
      <c r="P49" s="4"/>
    </row>
    <row r="50" spans="1:16" x14ac:dyDescent="0.25">
      <c r="A50" s="7">
        <v>51</v>
      </c>
      <c r="B50" s="35">
        <v>874</v>
      </c>
      <c r="C50" s="36" t="s">
        <v>553</v>
      </c>
      <c r="D50" s="36" t="s">
        <v>152</v>
      </c>
      <c r="E50" s="7" t="s">
        <v>489</v>
      </c>
      <c r="F50" s="10">
        <v>19</v>
      </c>
      <c r="G50" s="10">
        <v>17</v>
      </c>
      <c r="H50" s="10">
        <v>21</v>
      </c>
      <c r="I50" s="10">
        <v>16</v>
      </c>
      <c r="J50" s="10">
        <v>19</v>
      </c>
      <c r="K50" s="10">
        <v>21</v>
      </c>
      <c r="L50" s="10">
        <v>19</v>
      </c>
      <c r="M50" s="4">
        <v>175</v>
      </c>
      <c r="N50" s="4">
        <f t="shared" si="2"/>
        <v>132</v>
      </c>
      <c r="O50" s="45">
        <f t="shared" si="3"/>
        <v>0.75428571428571434</v>
      </c>
      <c r="P50" s="4"/>
    </row>
    <row r="51" spans="1:16" x14ac:dyDescent="0.25">
      <c r="A51" s="7">
        <v>52</v>
      </c>
      <c r="B51" s="35">
        <v>699</v>
      </c>
      <c r="C51" s="36" t="s">
        <v>554</v>
      </c>
      <c r="D51" s="34" t="s">
        <v>74</v>
      </c>
      <c r="E51" s="7" t="s">
        <v>489</v>
      </c>
      <c r="F51" s="10">
        <v>20</v>
      </c>
      <c r="G51" s="10">
        <v>18</v>
      </c>
      <c r="H51" s="10">
        <v>13</v>
      </c>
      <c r="I51" s="10">
        <v>15</v>
      </c>
      <c r="J51" s="10">
        <v>16</v>
      </c>
      <c r="K51" s="10">
        <v>22</v>
      </c>
      <c r="L51" s="10">
        <v>20</v>
      </c>
      <c r="M51" s="4">
        <v>175</v>
      </c>
      <c r="N51" s="4">
        <f t="shared" si="2"/>
        <v>124</v>
      </c>
      <c r="O51" s="45">
        <f t="shared" si="3"/>
        <v>0.70857142857142852</v>
      </c>
      <c r="P51" s="4"/>
    </row>
    <row r="52" spans="1:16" x14ac:dyDescent="0.25">
      <c r="A52" s="30">
        <v>53</v>
      </c>
      <c r="B52" s="37">
        <v>638</v>
      </c>
      <c r="C52" s="38" t="s">
        <v>555</v>
      </c>
      <c r="D52" s="39" t="s">
        <v>556</v>
      </c>
      <c r="E52" s="7" t="s">
        <v>489</v>
      </c>
      <c r="F52" s="31">
        <v>21</v>
      </c>
      <c r="G52" s="31">
        <v>19</v>
      </c>
      <c r="H52" s="31">
        <v>15</v>
      </c>
      <c r="I52" s="31">
        <v>16</v>
      </c>
      <c r="J52" s="31">
        <v>17</v>
      </c>
      <c r="K52" s="31">
        <v>20</v>
      </c>
      <c r="L52" s="31">
        <v>12</v>
      </c>
      <c r="M52" s="4">
        <v>175</v>
      </c>
      <c r="N52" s="4">
        <f t="shared" si="2"/>
        <v>120</v>
      </c>
      <c r="O52" s="45">
        <f t="shared" si="3"/>
        <v>0.68571428571428572</v>
      </c>
      <c r="P52" s="30"/>
    </row>
    <row r="53" spans="1:16" x14ac:dyDescent="0.25">
      <c r="A53" s="30">
        <v>54</v>
      </c>
      <c r="B53" s="40">
        <v>696</v>
      </c>
      <c r="C53" s="40" t="s">
        <v>557</v>
      </c>
      <c r="D53" s="40" t="s">
        <v>507</v>
      </c>
      <c r="E53" s="7" t="s">
        <v>489</v>
      </c>
      <c r="F53" s="31">
        <v>22</v>
      </c>
      <c r="G53" s="31">
        <v>20</v>
      </c>
      <c r="H53" s="31">
        <v>17</v>
      </c>
      <c r="I53" s="31">
        <v>19</v>
      </c>
      <c r="J53" s="31">
        <v>18</v>
      </c>
      <c r="K53" s="31">
        <v>19</v>
      </c>
      <c r="L53" s="31">
        <v>13</v>
      </c>
      <c r="M53" s="4">
        <v>175</v>
      </c>
      <c r="N53" s="4">
        <f t="shared" si="2"/>
        <v>128</v>
      </c>
      <c r="O53" s="45">
        <f t="shared" si="3"/>
        <v>0.73142857142857143</v>
      </c>
      <c r="P53" s="30"/>
    </row>
    <row r="54" spans="1:16" x14ac:dyDescent="0.25">
      <c r="A54" s="30">
        <v>55</v>
      </c>
      <c r="B54" s="40">
        <v>697</v>
      </c>
      <c r="C54" s="40" t="s">
        <v>558</v>
      </c>
      <c r="D54" s="40" t="s">
        <v>316</v>
      </c>
      <c r="E54" s="7" t="s">
        <v>489</v>
      </c>
      <c r="F54" s="31">
        <v>20</v>
      </c>
      <c r="G54" s="31">
        <v>21</v>
      </c>
      <c r="H54" s="31">
        <v>18</v>
      </c>
      <c r="I54" s="31">
        <v>20</v>
      </c>
      <c r="J54" s="31">
        <v>19</v>
      </c>
      <c r="K54" s="31">
        <v>19</v>
      </c>
      <c r="L54" s="31">
        <v>12</v>
      </c>
      <c r="M54" s="4">
        <v>175</v>
      </c>
      <c r="N54" s="4">
        <f t="shared" si="2"/>
        <v>129</v>
      </c>
      <c r="O54" s="45">
        <f t="shared" si="3"/>
        <v>0.7371428571428571</v>
      </c>
      <c r="P54" s="30"/>
    </row>
    <row r="55" spans="1:16" x14ac:dyDescent="0.25">
      <c r="A55" s="30">
        <v>56</v>
      </c>
      <c r="B55" s="40">
        <v>558</v>
      </c>
      <c r="C55" s="40" t="s">
        <v>559</v>
      </c>
      <c r="D55" s="40" t="s">
        <v>424</v>
      </c>
      <c r="E55" s="7" t="s">
        <v>489</v>
      </c>
      <c r="F55" s="31">
        <v>19</v>
      </c>
      <c r="G55" s="31">
        <v>16</v>
      </c>
      <c r="H55" s="31">
        <v>20</v>
      </c>
      <c r="I55" s="31">
        <v>21</v>
      </c>
      <c r="J55" s="31">
        <v>19</v>
      </c>
      <c r="K55" s="31">
        <v>18</v>
      </c>
      <c r="L55" s="31">
        <v>21</v>
      </c>
      <c r="M55" s="4">
        <v>175</v>
      </c>
      <c r="N55" s="4">
        <f t="shared" si="2"/>
        <v>134</v>
      </c>
      <c r="O55" s="45">
        <f t="shared" si="3"/>
        <v>0.76571428571428568</v>
      </c>
      <c r="P55" s="30"/>
    </row>
    <row r="56" spans="1:16" x14ac:dyDescent="0.25">
      <c r="A56" s="30">
        <v>57</v>
      </c>
      <c r="B56" s="41">
        <v>612</v>
      </c>
      <c r="C56" s="40" t="s">
        <v>560</v>
      </c>
      <c r="D56" s="42" t="s">
        <v>50</v>
      </c>
      <c r="E56" s="7" t="s">
        <v>489</v>
      </c>
      <c r="F56" s="31">
        <v>20</v>
      </c>
      <c r="G56" s="31">
        <v>17</v>
      </c>
      <c r="H56" s="31">
        <v>19</v>
      </c>
      <c r="I56" s="31">
        <v>19</v>
      </c>
      <c r="J56" s="31">
        <v>20</v>
      </c>
      <c r="K56" s="31">
        <v>16</v>
      </c>
      <c r="L56" s="31">
        <v>22</v>
      </c>
      <c r="M56" s="4">
        <v>175</v>
      </c>
      <c r="N56" s="4">
        <f t="shared" si="2"/>
        <v>133</v>
      </c>
      <c r="O56" s="45">
        <f t="shared" si="3"/>
        <v>0.76</v>
      </c>
      <c r="P56" s="30"/>
    </row>
    <row r="57" spans="1:16" x14ac:dyDescent="0.25">
      <c r="A57" s="30">
        <v>58</v>
      </c>
      <c r="B57" s="32">
        <v>432</v>
      </c>
      <c r="C57" s="33" t="s">
        <v>561</v>
      </c>
      <c r="D57" s="43" t="s">
        <v>562</v>
      </c>
      <c r="E57" s="7" t="s">
        <v>489</v>
      </c>
      <c r="F57" s="31">
        <v>20</v>
      </c>
      <c r="G57" s="31">
        <v>18</v>
      </c>
      <c r="H57" s="31">
        <v>21</v>
      </c>
      <c r="I57" s="31">
        <v>15</v>
      </c>
      <c r="J57" s="31">
        <v>16</v>
      </c>
      <c r="K57" s="31">
        <v>19</v>
      </c>
      <c r="L57" s="31">
        <v>23</v>
      </c>
      <c r="M57" s="4">
        <v>175</v>
      </c>
      <c r="N57" s="4">
        <f t="shared" si="2"/>
        <v>132</v>
      </c>
      <c r="O57" s="45">
        <f t="shared" si="3"/>
        <v>0.75428571428571434</v>
      </c>
      <c r="P57" s="30"/>
    </row>
    <row r="58" spans="1:16" x14ac:dyDescent="0.25">
      <c r="A58" s="30">
        <v>59</v>
      </c>
      <c r="B58" s="35">
        <v>592</v>
      </c>
      <c r="C58" s="36" t="s">
        <v>563</v>
      </c>
      <c r="D58" s="34" t="s">
        <v>564</v>
      </c>
      <c r="E58" s="7" t="s">
        <v>489</v>
      </c>
      <c r="F58" s="31">
        <v>20</v>
      </c>
      <c r="G58" s="31">
        <v>19</v>
      </c>
      <c r="H58" s="31">
        <v>22</v>
      </c>
      <c r="I58" s="31">
        <v>16</v>
      </c>
      <c r="J58" s="31">
        <v>17</v>
      </c>
      <c r="K58" s="31">
        <v>20</v>
      </c>
      <c r="L58" s="31">
        <v>22</v>
      </c>
      <c r="M58" s="4">
        <v>175</v>
      </c>
      <c r="N58" s="4">
        <f t="shared" si="2"/>
        <v>136</v>
      </c>
      <c r="O58" s="45">
        <f t="shared" si="3"/>
        <v>0.77714285714285714</v>
      </c>
      <c r="P58" s="30"/>
    </row>
    <row r="59" spans="1:16" x14ac:dyDescent="0.25">
      <c r="A59" s="30">
        <v>60</v>
      </c>
      <c r="B59" s="35">
        <v>864</v>
      </c>
      <c r="C59" s="36" t="s">
        <v>565</v>
      </c>
      <c r="D59" s="34" t="s">
        <v>113</v>
      </c>
      <c r="E59" s="7" t="s">
        <v>489</v>
      </c>
      <c r="F59" s="31">
        <v>19</v>
      </c>
      <c r="G59" s="31">
        <v>20</v>
      </c>
      <c r="H59" s="31">
        <v>21</v>
      </c>
      <c r="I59" s="31">
        <v>23</v>
      </c>
      <c r="J59" s="31">
        <v>16</v>
      </c>
      <c r="K59" s="31">
        <v>17</v>
      </c>
      <c r="L59" s="31">
        <v>20</v>
      </c>
      <c r="M59" s="4">
        <v>175</v>
      </c>
      <c r="N59" s="4">
        <f t="shared" si="2"/>
        <v>136</v>
      </c>
      <c r="O59" s="45">
        <f t="shared" si="3"/>
        <v>0.77714285714285714</v>
      </c>
      <c r="P59" s="30"/>
    </row>
  </sheetData>
  <mergeCells count="15">
    <mergeCell ref="A1:P1"/>
    <mergeCell ref="A2:P2"/>
    <mergeCell ref="A3:P3"/>
    <mergeCell ref="A4:A6"/>
    <mergeCell ref="B4:B6"/>
    <mergeCell ref="C4:C6"/>
    <mergeCell ref="D4:D6"/>
    <mergeCell ref="E4:E6"/>
    <mergeCell ref="F4:L4"/>
    <mergeCell ref="M4:M5"/>
    <mergeCell ref="N4:N6"/>
    <mergeCell ref="O4:O6"/>
    <mergeCell ref="P4:P6"/>
    <mergeCell ref="A7:P7"/>
    <mergeCell ref="A28:P28"/>
  </mergeCells>
  <conditionalFormatting sqref="B8:B27">
    <cfRule type="duplicateValues" dxfId="31" priority="3"/>
  </conditionalFormatting>
  <conditionalFormatting sqref="B29:B59">
    <cfRule type="duplicateValues" dxfId="30" priority="2"/>
  </conditionalFormatting>
  <conditionalFormatting sqref="B57:B59">
    <cfRule type="duplicateValues" dxfId="29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B11CA-550E-407F-8E0A-2C509F73BF80}">
  <dimension ref="A1:P53"/>
  <sheetViews>
    <sheetView workbookViewId="0">
      <selection activeCell="L53" sqref="F35:L53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2.28515625" bestFit="1" customWidth="1"/>
    <col min="4" max="4" width="27.7109375" bestFit="1" customWidth="1"/>
    <col min="6" max="15" width="5.7109375" customWidth="1"/>
    <col min="16" max="16" width="20.7109375" customWidth="1"/>
  </cols>
  <sheetData>
    <row r="1" spans="1:16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 x14ac:dyDescent="0.25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</row>
    <row r="3" spans="1:16" x14ac:dyDescent="0.25">
      <c r="A3" s="57" t="s">
        <v>239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 spans="1:16" x14ac:dyDescent="0.25">
      <c r="A4" s="52" t="s">
        <v>2</v>
      </c>
      <c r="B4" s="52" t="s">
        <v>3</v>
      </c>
      <c r="C4" s="52" t="s">
        <v>5</v>
      </c>
      <c r="D4" s="52" t="s">
        <v>6</v>
      </c>
      <c r="E4" s="52" t="s">
        <v>4</v>
      </c>
      <c r="F4" s="56" t="s">
        <v>7</v>
      </c>
      <c r="G4" s="56"/>
      <c r="H4" s="56"/>
      <c r="I4" s="56"/>
      <c r="J4" s="56"/>
      <c r="K4" s="56"/>
      <c r="L4" s="56"/>
      <c r="M4" s="52" t="s">
        <v>15</v>
      </c>
      <c r="N4" s="52" t="s">
        <v>16</v>
      </c>
      <c r="O4" s="52" t="s">
        <v>17</v>
      </c>
      <c r="P4" s="56" t="s">
        <v>18</v>
      </c>
    </row>
    <row r="5" spans="1:16" ht="43.5" x14ac:dyDescent="0.25">
      <c r="A5" s="52"/>
      <c r="B5" s="52"/>
      <c r="C5" s="52"/>
      <c r="D5" s="52"/>
      <c r="E5" s="52"/>
      <c r="F5" s="2" t="s">
        <v>10</v>
      </c>
      <c r="G5" s="2" t="s">
        <v>135</v>
      </c>
      <c r="H5" s="2" t="s">
        <v>11</v>
      </c>
      <c r="I5" s="2" t="s">
        <v>136</v>
      </c>
      <c r="J5" s="2" t="s">
        <v>567</v>
      </c>
      <c r="K5" s="2" t="s">
        <v>566</v>
      </c>
      <c r="L5" s="2" t="s">
        <v>409</v>
      </c>
      <c r="M5" s="52"/>
      <c r="N5" s="52"/>
      <c r="O5" s="52"/>
      <c r="P5" s="56"/>
    </row>
    <row r="6" spans="1:16" x14ac:dyDescent="0.25">
      <c r="A6" s="52"/>
      <c r="B6" s="52"/>
      <c r="C6" s="52"/>
      <c r="D6" s="52"/>
      <c r="E6" s="52"/>
      <c r="F6" s="3">
        <v>25</v>
      </c>
      <c r="G6" s="3">
        <v>25</v>
      </c>
      <c r="H6" s="3">
        <v>25</v>
      </c>
      <c r="I6" s="3">
        <v>25</v>
      </c>
      <c r="J6" s="3">
        <v>25</v>
      </c>
      <c r="K6" s="3">
        <v>25</v>
      </c>
      <c r="L6" s="3">
        <v>25</v>
      </c>
      <c r="M6" s="3">
        <f>SUM(F6:L6)</f>
        <v>175</v>
      </c>
      <c r="N6" s="52"/>
      <c r="O6" s="52"/>
      <c r="P6" s="56"/>
    </row>
    <row r="7" spans="1:16" ht="21" x14ac:dyDescent="0.35">
      <c r="A7" s="64" t="s">
        <v>185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 x14ac:dyDescent="0.25">
      <c r="A8" s="7">
        <v>1</v>
      </c>
      <c r="B8" s="35">
        <v>605</v>
      </c>
      <c r="C8" s="36" t="s">
        <v>568</v>
      </c>
      <c r="D8" s="34" t="s">
        <v>461</v>
      </c>
      <c r="E8" s="7" t="s">
        <v>712</v>
      </c>
      <c r="F8" s="4">
        <v>15</v>
      </c>
      <c r="G8" s="4">
        <v>12</v>
      </c>
      <c r="H8" s="4">
        <v>15</v>
      </c>
      <c r="I8" s="4">
        <v>12</v>
      </c>
      <c r="J8" s="4">
        <v>15</v>
      </c>
      <c r="K8" s="4">
        <v>15</v>
      </c>
      <c r="L8" s="4">
        <v>16</v>
      </c>
      <c r="M8" s="4">
        <v>175</v>
      </c>
      <c r="N8" s="4">
        <f>SUM(F8:L8)</f>
        <v>100</v>
      </c>
      <c r="O8" s="45">
        <f>N8/M8</f>
        <v>0.5714285714285714</v>
      </c>
      <c r="P8" s="4"/>
    </row>
    <row r="9" spans="1:16" x14ac:dyDescent="0.25">
      <c r="A9" s="7">
        <v>2</v>
      </c>
      <c r="B9" s="35">
        <v>609</v>
      </c>
      <c r="C9" s="36" t="s">
        <v>46</v>
      </c>
      <c r="D9" s="34" t="s">
        <v>411</v>
      </c>
      <c r="E9" s="7" t="s">
        <v>712</v>
      </c>
      <c r="F9" s="4">
        <v>16</v>
      </c>
      <c r="G9" s="4">
        <v>12</v>
      </c>
      <c r="H9" s="4">
        <v>16</v>
      </c>
      <c r="I9" s="4">
        <v>13</v>
      </c>
      <c r="J9" s="4">
        <v>16</v>
      </c>
      <c r="K9" s="4">
        <v>18</v>
      </c>
      <c r="L9" s="4">
        <v>17</v>
      </c>
      <c r="M9" s="4">
        <v>175</v>
      </c>
      <c r="N9" s="4">
        <f t="shared" ref="N9:N28" si="0">SUM(F9:L9)</f>
        <v>108</v>
      </c>
      <c r="O9" s="45">
        <f t="shared" ref="O9:O28" si="1">N9/M9</f>
        <v>0.6171428571428571</v>
      </c>
      <c r="P9" s="4"/>
    </row>
    <row r="10" spans="1:16" x14ac:dyDescent="0.25">
      <c r="A10" s="7">
        <v>3</v>
      </c>
      <c r="B10" s="35">
        <v>757</v>
      </c>
      <c r="C10" s="36" t="s">
        <v>95</v>
      </c>
      <c r="D10" s="34" t="s">
        <v>569</v>
      </c>
      <c r="E10" s="7" t="s">
        <v>712</v>
      </c>
      <c r="F10" s="4">
        <v>18</v>
      </c>
      <c r="G10" s="4">
        <v>10</v>
      </c>
      <c r="H10" s="4">
        <v>17</v>
      </c>
      <c r="I10" s="4">
        <v>14</v>
      </c>
      <c r="J10" s="4">
        <v>18</v>
      </c>
      <c r="K10" s="4">
        <v>20</v>
      </c>
      <c r="L10" s="4">
        <v>18</v>
      </c>
      <c r="M10" s="4">
        <v>175</v>
      </c>
      <c r="N10" s="4">
        <f t="shared" si="0"/>
        <v>115</v>
      </c>
      <c r="O10" s="45">
        <f t="shared" si="1"/>
        <v>0.65714285714285714</v>
      </c>
      <c r="P10" s="4"/>
    </row>
    <row r="11" spans="1:16" x14ac:dyDescent="0.25">
      <c r="A11" s="7">
        <v>4</v>
      </c>
      <c r="B11" s="35">
        <v>604</v>
      </c>
      <c r="C11" s="36" t="s">
        <v>570</v>
      </c>
      <c r="D11" s="34" t="s">
        <v>158</v>
      </c>
      <c r="E11" s="7" t="s">
        <v>712</v>
      </c>
      <c r="F11" s="4">
        <v>20</v>
      </c>
      <c r="G11" s="4">
        <v>12</v>
      </c>
      <c r="H11" s="4">
        <v>18</v>
      </c>
      <c r="I11" s="4">
        <v>15</v>
      </c>
      <c r="J11" s="4">
        <v>19</v>
      </c>
      <c r="K11" s="4">
        <v>21</v>
      </c>
      <c r="L11" s="4">
        <v>20</v>
      </c>
      <c r="M11" s="4">
        <v>175</v>
      </c>
      <c r="N11" s="4">
        <f t="shared" si="0"/>
        <v>125</v>
      </c>
      <c r="O11" s="45">
        <f t="shared" si="1"/>
        <v>0.7142857142857143</v>
      </c>
      <c r="P11" s="4"/>
    </row>
    <row r="12" spans="1:16" x14ac:dyDescent="0.25">
      <c r="A12" s="7">
        <v>5</v>
      </c>
      <c r="B12" s="35">
        <v>464</v>
      </c>
      <c r="C12" s="36" t="s">
        <v>571</v>
      </c>
      <c r="D12" s="34" t="s">
        <v>89</v>
      </c>
      <c r="E12" s="7" t="s">
        <v>712</v>
      </c>
      <c r="F12" s="4">
        <v>22</v>
      </c>
      <c r="G12" s="4">
        <v>9</v>
      </c>
      <c r="H12" s="4">
        <v>20</v>
      </c>
      <c r="I12" s="4">
        <v>17</v>
      </c>
      <c r="J12" s="4">
        <v>20</v>
      </c>
      <c r="K12" s="4">
        <v>22</v>
      </c>
      <c r="L12" s="4">
        <v>21</v>
      </c>
      <c r="M12" s="4">
        <v>175</v>
      </c>
      <c r="N12" s="4">
        <f t="shared" si="0"/>
        <v>131</v>
      </c>
      <c r="O12" s="45">
        <f t="shared" si="1"/>
        <v>0.74857142857142855</v>
      </c>
      <c r="P12" s="4"/>
    </row>
    <row r="13" spans="1:16" x14ac:dyDescent="0.25">
      <c r="A13" s="7">
        <v>6</v>
      </c>
      <c r="B13" s="35">
        <v>601</v>
      </c>
      <c r="C13" s="36" t="s">
        <v>572</v>
      </c>
      <c r="D13" s="34" t="s">
        <v>573</v>
      </c>
      <c r="E13" s="7" t="s">
        <v>712</v>
      </c>
      <c r="F13" s="4">
        <v>20</v>
      </c>
      <c r="G13" s="4">
        <v>12</v>
      </c>
      <c r="H13" s="4">
        <v>22</v>
      </c>
      <c r="I13" s="4">
        <v>18</v>
      </c>
      <c r="J13" s="4">
        <v>22</v>
      </c>
      <c r="K13" s="4">
        <v>15</v>
      </c>
      <c r="L13" s="4">
        <v>22</v>
      </c>
      <c r="M13" s="4">
        <v>175</v>
      </c>
      <c r="N13" s="4">
        <f t="shared" si="0"/>
        <v>131</v>
      </c>
      <c r="O13" s="45">
        <f t="shared" si="1"/>
        <v>0.74857142857142855</v>
      </c>
      <c r="P13" s="4"/>
    </row>
    <row r="14" spans="1:16" x14ac:dyDescent="0.25">
      <c r="A14" s="7">
        <v>7</v>
      </c>
      <c r="B14" s="35">
        <v>494</v>
      </c>
      <c r="C14" s="36" t="s">
        <v>574</v>
      </c>
      <c r="D14" s="34" t="s">
        <v>50</v>
      </c>
      <c r="E14" s="7" t="s">
        <v>712</v>
      </c>
      <c r="F14" s="4">
        <v>20</v>
      </c>
      <c r="G14" s="4">
        <v>13</v>
      </c>
      <c r="H14" s="4">
        <v>23</v>
      </c>
      <c r="I14" s="4">
        <v>20</v>
      </c>
      <c r="J14" s="4">
        <v>23</v>
      </c>
      <c r="K14" s="4">
        <v>16</v>
      </c>
      <c r="L14" s="4">
        <v>23</v>
      </c>
      <c r="M14" s="4">
        <v>175</v>
      </c>
      <c r="N14" s="4">
        <f t="shared" si="0"/>
        <v>138</v>
      </c>
      <c r="O14" s="45">
        <f t="shared" si="1"/>
        <v>0.78857142857142859</v>
      </c>
      <c r="P14" s="4"/>
    </row>
    <row r="15" spans="1:16" x14ac:dyDescent="0.25">
      <c r="A15" s="7">
        <v>8</v>
      </c>
      <c r="B15" s="35">
        <v>508</v>
      </c>
      <c r="C15" s="36" t="s">
        <v>575</v>
      </c>
      <c r="D15" s="34" t="s">
        <v>533</v>
      </c>
      <c r="E15" s="7" t="s">
        <v>712</v>
      </c>
      <c r="F15" s="4">
        <v>20</v>
      </c>
      <c r="G15" s="4">
        <v>14</v>
      </c>
      <c r="H15" s="4">
        <v>24</v>
      </c>
      <c r="I15" s="4">
        <v>25</v>
      </c>
      <c r="J15" s="4">
        <v>19</v>
      </c>
      <c r="K15" s="4">
        <v>19</v>
      </c>
      <c r="L15" s="4">
        <v>16</v>
      </c>
      <c r="M15" s="4">
        <v>175</v>
      </c>
      <c r="N15" s="4">
        <f t="shared" si="0"/>
        <v>137</v>
      </c>
      <c r="O15" s="45">
        <f t="shared" si="1"/>
        <v>0.78285714285714281</v>
      </c>
      <c r="P15" s="4"/>
    </row>
    <row r="16" spans="1:16" x14ac:dyDescent="0.25">
      <c r="A16" s="7">
        <v>9</v>
      </c>
      <c r="B16" s="35">
        <v>710</v>
      </c>
      <c r="C16" s="36" t="s">
        <v>576</v>
      </c>
      <c r="D16" s="34" t="s">
        <v>577</v>
      </c>
      <c r="E16" s="7" t="s">
        <v>712</v>
      </c>
      <c r="F16" s="4">
        <v>20</v>
      </c>
      <c r="G16" s="4">
        <v>15</v>
      </c>
      <c r="H16" s="4">
        <v>18</v>
      </c>
      <c r="I16" s="4">
        <v>20</v>
      </c>
      <c r="J16" s="23">
        <v>20</v>
      </c>
      <c r="K16" s="23">
        <v>18</v>
      </c>
      <c r="L16" s="4">
        <v>17</v>
      </c>
      <c r="M16" s="4">
        <v>175</v>
      </c>
      <c r="N16" s="4">
        <f t="shared" si="0"/>
        <v>128</v>
      </c>
      <c r="O16" s="45">
        <f t="shared" si="1"/>
        <v>0.73142857142857143</v>
      </c>
      <c r="P16" s="4"/>
    </row>
    <row r="17" spans="1:16" x14ac:dyDescent="0.25">
      <c r="A17" s="7">
        <v>10</v>
      </c>
      <c r="B17" s="35">
        <v>711</v>
      </c>
      <c r="C17" s="36" t="s">
        <v>578</v>
      </c>
      <c r="D17" s="34" t="s">
        <v>74</v>
      </c>
      <c r="E17" s="7" t="s">
        <v>712</v>
      </c>
      <c r="F17" s="4">
        <v>20</v>
      </c>
      <c r="G17" s="4">
        <v>20</v>
      </c>
      <c r="H17" s="4">
        <v>19</v>
      </c>
      <c r="I17" s="4">
        <v>19</v>
      </c>
      <c r="J17" s="4">
        <v>18</v>
      </c>
      <c r="K17" s="4">
        <v>20</v>
      </c>
      <c r="L17" s="4">
        <v>18</v>
      </c>
      <c r="M17" s="4">
        <v>175</v>
      </c>
      <c r="N17" s="4">
        <f t="shared" si="0"/>
        <v>134</v>
      </c>
      <c r="O17" s="45">
        <f t="shared" si="1"/>
        <v>0.76571428571428568</v>
      </c>
      <c r="P17" s="4"/>
    </row>
    <row r="18" spans="1:16" x14ac:dyDescent="0.25">
      <c r="A18" s="7">
        <v>11</v>
      </c>
      <c r="B18" s="35">
        <v>600</v>
      </c>
      <c r="C18" s="36" t="s">
        <v>579</v>
      </c>
      <c r="D18" s="34" t="s">
        <v>580</v>
      </c>
      <c r="E18" s="7" t="s">
        <v>712</v>
      </c>
      <c r="F18" s="4">
        <v>15</v>
      </c>
      <c r="G18" s="4">
        <v>17</v>
      </c>
      <c r="H18" s="4">
        <v>20</v>
      </c>
      <c r="I18" s="4">
        <v>18</v>
      </c>
      <c r="J18" s="4">
        <v>19</v>
      </c>
      <c r="K18" s="23">
        <v>15</v>
      </c>
      <c r="L18" s="4">
        <v>19</v>
      </c>
      <c r="M18" s="4">
        <v>175</v>
      </c>
      <c r="N18" s="4">
        <f t="shared" si="0"/>
        <v>123</v>
      </c>
      <c r="O18" s="45">
        <f t="shared" si="1"/>
        <v>0.70285714285714285</v>
      </c>
      <c r="P18" s="4"/>
    </row>
    <row r="19" spans="1:16" x14ac:dyDescent="0.25">
      <c r="A19" s="7">
        <v>12</v>
      </c>
      <c r="B19" s="35">
        <v>640</v>
      </c>
      <c r="C19" s="36" t="s">
        <v>581</v>
      </c>
      <c r="D19" s="34" t="s">
        <v>582</v>
      </c>
      <c r="E19" s="7" t="s">
        <v>712</v>
      </c>
      <c r="F19" s="4">
        <v>12</v>
      </c>
      <c r="G19" s="4">
        <v>20</v>
      </c>
      <c r="H19" s="4">
        <v>22</v>
      </c>
      <c r="I19" s="4">
        <v>17</v>
      </c>
      <c r="J19" s="4">
        <v>20</v>
      </c>
      <c r="K19" s="4">
        <v>20</v>
      </c>
      <c r="L19" s="4">
        <v>20</v>
      </c>
      <c r="M19" s="4">
        <v>175</v>
      </c>
      <c r="N19" s="4">
        <f t="shared" si="0"/>
        <v>131</v>
      </c>
      <c r="O19" s="45">
        <f t="shared" si="1"/>
        <v>0.74857142857142855</v>
      </c>
      <c r="P19" s="4"/>
    </row>
    <row r="20" spans="1:16" x14ac:dyDescent="0.25">
      <c r="A20" s="7">
        <v>13</v>
      </c>
      <c r="B20" s="35">
        <v>761</v>
      </c>
      <c r="C20" s="36" t="s">
        <v>583</v>
      </c>
      <c r="D20" s="34" t="s">
        <v>584</v>
      </c>
      <c r="E20" s="7" t="s">
        <v>712</v>
      </c>
      <c r="F20" s="4">
        <v>13</v>
      </c>
      <c r="G20" s="4">
        <v>21</v>
      </c>
      <c r="H20" s="4">
        <v>23</v>
      </c>
      <c r="I20" s="4">
        <v>16</v>
      </c>
      <c r="J20" s="4">
        <v>22</v>
      </c>
      <c r="K20" s="4">
        <v>19</v>
      </c>
      <c r="L20" s="4">
        <v>19</v>
      </c>
      <c r="M20" s="4">
        <v>175</v>
      </c>
      <c r="N20" s="4">
        <f t="shared" si="0"/>
        <v>133</v>
      </c>
      <c r="O20" s="45">
        <f t="shared" si="1"/>
        <v>0.76</v>
      </c>
      <c r="P20" s="4"/>
    </row>
    <row r="21" spans="1:16" x14ac:dyDescent="0.25">
      <c r="A21" s="7">
        <v>14</v>
      </c>
      <c r="B21" s="35">
        <v>470</v>
      </c>
      <c r="C21" s="36" t="s">
        <v>585</v>
      </c>
      <c r="D21" s="34" t="s">
        <v>535</v>
      </c>
      <c r="E21" s="7" t="s">
        <v>712</v>
      </c>
      <c r="F21" s="4">
        <v>14</v>
      </c>
      <c r="G21" s="4">
        <v>22</v>
      </c>
      <c r="H21" s="4">
        <v>20</v>
      </c>
      <c r="I21" s="4">
        <v>12</v>
      </c>
      <c r="J21" s="4">
        <v>21</v>
      </c>
      <c r="K21" s="4">
        <v>21</v>
      </c>
      <c r="L21" s="4">
        <v>20</v>
      </c>
      <c r="M21" s="4">
        <v>175</v>
      </c>
      <c r="N21" s="4">
        <f t="shared" si="0"/>
        <v>130</v>
      </c>
      <c r="O21" s="45">
        <f t="shared" si="1"/>
        <v>0.74285714285714288</v>
      </c>
      <c r="P21" s="4"/>
    </row>
    <row r="22" spans="1:16" x14ac:dyDescent="0.25">
      <c r="A22" s="7">
        <v>15</v>
      </c>
      <c r="B22" s="35">
        <v>642</v>
      </c>
      <c r="C22" s="36" t="s">
        <v>85</v>
      </c>
      <c r="D22" s="34" t="s">
        <v>586</v>
      </c>
      <c r="E22" s="7" t="s">
        <v>712</v>
      </c>
      <c r="F22" s="4">
        <v>16</v>
      </c>
      <c r="G22" s="4">
        <v>23</v>
      </c>
      <c r="H22" s="4">
        <v>22</v>
      </c>
      <c r="I22" s="4">
        <v>13</v>
      </c>
      <c r="J22" s="4">
        <v>20</v>
      </c>
      <c r="K22" s="4">
        <v>22</v>
      </c>
      <c r="L22" s="4">
        <v>22</v>
      </c>
      <c r="M22" s="4">
        <v>175</v>
      </c>
      <c r="N22" s="4">
        <f t="shared" si="0"/>
        <v>138</v>
      </c>
      <c r="O22" s="45">
        <f t="shared" si="1"/>
        <v>0.78857142857142859</v>
      </c>
      <c r="P22" s="4"/>
    </row>
    <row r="23" spans="1:16" x14ac:dyDescent="0.25">
      <c r="A23" s="7">
        <v>16</v>
      </c>
      <c r="B23" s="35">
        <v>607</v>
      </c>
      <c r="C23" s="36" t="s">
        <v>587</v>
      </c>
      <c r="D23" s="34" t="s">
        <v>284</v>
      </c>
      <c r="E23" s="7" t="s">
        <v>712</v>
      </c>
      <c r="F23" s="4">
        <v>17</v>
      </c>
      <c r="G23" s="4">
        <v>25</v>
      </c>
      <c r="H23" s="4">
        <v>13</v>
      </c>
      <c r="I23" s="4">
        <v>19</v>
      </c>
      <c r="J23" s="4">
        <v>19</v>
      </c>
      <c r="K23" s="4">
        <v>23</v>
      </c>
      <c r="L23" s="4">
        <v>21</v>
      </c>
      <c r="M23" s="4">
        <v>175</v>
      </c>
      <c r="N23" s="4">
        <f t="shared" si="0"/>
        <v>137</v>
      </c>
      <c r="O23" s="45">
        <f t="shared" si="1"/>
        <v>0.78285714285714281</v>
      </c>
      <c r="P23" s="4"/>
    </row>
    <row r="24" spans="1:16" x14ac:dyDescent="0.25">
      <c r="A24" s="7">
        <v>17</v>
      </c>
      <c r="B24" s="35">
        <v>437</v>
      </c>
      <c r="C24" s="36" t="s">
        <v>588</v>
      </c>
      <c r="D24" s="34" t="s">
        <v>22</v>
      </c>
      <c r="E24" s="7" t="s">
        <v>712</v>
      </c>
      <c r="F24" s="4">
        <v>18</v>
      </c>
      <c r="G24" s="4">
        <v>16</v>
      </c>
      <c r="H24" s="4">
        <v>14</v>
      </c>
      <c r="I24" s="4">
        <v>20</v>
      </c>
      <c r="J24" s="4">
        <v>18</v>
      </c>
      <c r="K24" s="4">
        <v>15</v>
      </c>
      <c r="L24" s="4">
        <v>19</v>
      </c>
      <c r="M24" s="4">
        <v>175</v>
      </c>
      <c r="N24" s="4">
        <f t="shared" si="0"/>
        <v>120</v>
      </c>
      <c r="O24" s="45">
        <f t="shared" si="1"/>
        <v>0.68571428571428572</v>
      </c>
      <c r="P24" s="4"/>
    </row>
    <row r="25" spans="1:16" x14ac:dyDescent="0.25">
      <c r="A25" s="7">
        <v>18</v>
      </c>
      <c r="B25" s="35">
        <v>504</v>
      </c>
      <c r="C25" s="36" t="s">
        <v>589</v>
      </c>
      <c r="D25" s="34" t="s">
        <v>590</v>
      </c>
      <c r="E25" s="7" t="s">
        <v>712</v>
      </c>
      <c r="F25" s="4">
        <v>20</v>
      </c>
      <c r="G25" s="4">
        <v>17</v>
      </c>
      <c r="H25" s="4">
        <v>15</v>
      </c>
      <c r="I25" s="4">
        <v>22</v>
      </c>
      <c r="J25" s="4">
        <v>20</v>
      </c>
      <c r="K25" s="4">
        <v>16</v>
      </c>
      <c r="L25" s="4">
        <v>20</v>
      </c>
      <c r="M25" s="4">
        <v>175</v>
      </c>
      <c r="N25" s="4">
        <f t="shared" si="0"/>
        <v>130</v>
      </c>
      <c r="O25" s="45">
        <f t="shared" si="1"/>
        <v>0.74285714285714288</v>
      </c>
      <c r="P25" s="4"/>
    </row>
    <row r="26" spans="1:16" x14ac:dyDescent="0.25">
      <c r="A26" s="7">
        <v>19</v>
      </c>
      <c r="B26" s="35">
        <v>705</v>
      </c>
      <c r="C26" s="36" t="s">
        <v>591</v>
      </c>
      <c r="D26" s="34" t="s">
        <v>96</v>
      </c>
      <c r="E26" s="7" t="s">
        <v>712</v>
      </c>
      <c r="F26" s="4">
        <v>20</v>
      </c>
      <c r="G26" s="4">
        <v>18</v>
      </c>
      <c r="H26" s="4">
        <v>21</v>
      </c>
      <c r="I26" s="4">
        <v>23</v>
      </c>
      <c r="J26" s="4">
        <v>19</v>
      </c>
      <c r="K26" s="4">
        <v>17</v>
      </c>
      <c r="L26" s="4">
        <v>15</v>
      </c>
      <c r="M26" s="4">
        <v>175</v>
      </c>
      <c r="N26" s="4">
        <f t="shared" si="0"/>
        <v>133</v>
      </c>
      <c r="O26" s="45">
        <f t="shared" si="1"/>
        <v>0.76</v>
      </c>
      <c r="P26" s="4"/>
    </row>
    <row r="27" spans="1:16" x14ac:dyDescent="0.25">
      <c r="A27" s="7">
        <v>20</v>
      </c>
      <c r="B27" s="35">
        <v>868</v>
      </c>
      <c r="C27" s="36" t="s">
        <v>574</v>
      </c>
      <c r="D27" s="34" t="s">
        <v>592</v>
      </c>
      <c r="E27" s="7" t="s">
        <v>712</v>
      </c>
      <c r="F27" s="4">
        <v>22</v>
      </c>
      <c r="G27" s="4">
        <v>12</v>
      </c>
      <c r="H27" s="4">
        <v>20</v>
      </c>
      <c r="I27" s="4">
        <v>20</v>
      </c>
      <c r="J27" s="4">
        <v>20</v>
      </c>
      <c r="K27" s="4">
        <v>18</v>
      </c>
      <c r="L27" s="4">
        <v>16</v>
      </c>
      <c r="M27" s="4">
        <v>175</v>
      </c>
      <c r="N27" s="4">
        <f t="shared" si="0"/>
        <v>128</v>
      </c>
      <c r="O27" s="45">
        <f t="shared" si="1"/>
        <v>0.73142857142857143</v>
      </c>
      <c r="P27" s="4"/>
    </row>
    <row r="28" spans="1:16" x14ac:dyDescent="0.25">
      <c r="A28" s="7">
        <v>21</v>
      </c>
      <c r="B28" s="35">
        <v>860</v>
      </c>
      <c r="C28" s="36" t="s">
        <v>593</v>
      </c>
      <c r="D28" s="34" t="s">
        <v>594</v>
      </c>
      <c r="E28" s="7" t="s">
        <v>712</v>
      </c>
      <c r="F28" s="4">
        <v>23</v>
      </c>
      <c r="G28" s="4">
        <v>12</v>
      </c>
      <c r="H28" s="4">
        <v>17</v>
      </c>
      <c r="I28" s="4">
        <v>21</v>
      </c>
      <c r="J28" s="4">
        <v>21</v>
      </c>
      <c r="K28" s="4">
        <v>19</v>
      </c>
      <c r="L28" s="4">
        <v>17</v>
      </c>
      <c r="M28" s="4">
        <v>175</v>
      </c>
      <c r="N28" s="4">
        <f t="shared" si="0"/>
        <v>130</v>
      </c>
      <c r="O28" s="45">
        <f t="shared" si="1"/>
        <v>0.74285714285714288</v>
      </c>
      <c r="P28" s="4"/>
    </row>
    <row r="29" spans="1:16" ht="21" x14ac:dyDescent="0.35">
      <c r="A29" s="64" t="s">
        <v>138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</row>
    <row r="30" spans="1:16" x14ac:dyDescent="0.25">
      <c r="A30" s="7">
        <v>30</v>
      </c>
      <c r="B30" s="35">
        <v>634</v>
      </c>
      <c r="C30" s="36" t="s">
        <v>595</v>
      </c>
      <c r="D30" s="34" t="s">
        <v>596</v>
      </c>
      <c r="E30" s="7" t="s">
        <v>712</v>
      </c>
      <c r="F30" s="4">
        <v>15</v>
      </c>
      <c r="G30" s="4">
        <v>13</v>
      </c>
      <c r="H30" s="4">
        <v>18</v>
      </c>
      <c r="I30" s="4">
        <v>21</v>
      </c>
      <c r="J30" s="4">
        <v>22</v>
      </c>
      <c r="K30" s="4">
        <v>20</v>
      </c>
      <c r="L30" s="4">
        <v>18</v>
      </c>
      <c r="M30" s="4">
        <v>175</v>
      </c>
      <c r="N30" s="4">
        <f>SUM(F30:L30)</f>
        <v>127</v>
      </c>
      <c r="O30" s="45">
        <f>N30/M30</f>
        <v>0.72571428571428576</v>
      </c>
      <c r="P30" s="4"/>
    </row>
    <row r="31" spans="1:16" x14ac:dyDescent="0.25">
      <c r="A31" s="7">
        <v>31</v>
      </c>
      <c r="B31" s="35">
        <v>507</v>
      </c>
      <c r="C31" s="36" t="s">
        <v>597</v>
      </c>
      <c r="D31" s="34" t="s">
        <v>533</v>
      </c>
      <c r="E31" s="7" t="s">
        <v>712</v>
      </c>
      <c r="F31" s="4">
        <v>16</v>
      </c>
      <c r="G31" s="4">
        <v>14</v>
      </c>
      <c r="H31" s="4">
        <v>20</v>
      </c>
      <c r="I31" s="4">
        <v>20</v>
      </c>
      <c r="J31" s="4">
        <v>21</v>
      </c>
      <c r="K31" s="4">
        <v>21</v>
      </c>
      <c r="L31" s="4">
        <v>19</v>
      </c>
      <c r="M31" s="4">
        <v>175</v>
      </c>
      <c r="N31" s="4">
        <f t="shared" ref="N31:N53" si="2">SUM(F31:L31)</f>
        <v>131</v>
      </c>
      <c r="O31" s="45">
        <f t="shared" ref="O31:O53" si="3">N31/M31</f>
        <v>0.74857142857142855</v>
      </c>
      <c r="P31" s="4"/>
    </row>
    <row r="32" spans="1:16" x14ac:dyDescent="0.25">
      <c r="A32" s="7">
        <v>32</v>
      </c>
      <c r="B32" s="35">
        <v>706</v>
      </c>
      <c r="C32" s="36" t="s">
        <v>598</v>
      </c>
      <c r="D32" s="34" t="s">
        <v>599</v>
      </c>
      <c r="E32" s="7" t="s">
        <v>712</v>
      </c>
      <c r="F32" s="4">
        <v>17</v>
      </c>
      <c r="G32" s="4">
        <v>15</v>
      </c>
      <c r="H32" s="4">
        <v>19</v>
      </c>
      <c r="I32" s="4">
        <v>20</v>
      </c>
      <c r="J32" s="4">
        <v>20</v>
      </c>
      <c r="K32" s="4">
        <v>22</v>
      </c>
      <c r="L32" s="4">
        <v>20</v>
      </c>
      <c r="M32" s="4">
        <v>175</v>
      </c>
      <c r="N32" s="4">
        <f t="shared" si="2"/>
        <v>133</v>
      </c>
      <c r="O32" s="45">
        <f t="shared" si="3"/>
        <v>0.76</v>
      </c>
      <c r="P32" s="4"/>
    </row>
    <row r="33" spans="1:16" x14ac:dyDescent="0.25">
      <c r="A33" s="7">
        <v>33</v>
      </c>
      <c r="B33" s="35">
        <v>608</v>
      </c>
      <c r="C33" s="36" t="s">
        <v>249</v>
      </c>
      <c r="D33" s="34" t="s">
        <v>146</v>
      </c>
      <c r="E33" s="7" t="s">
        <v>712</v>
      </c>
      <c r="F33" s="4">
        <v>12</v>
      </c>
      <c r="G33" s="4">
        <v>16</v>
      </c>
      <c r="H33" s="4">
        <v>16</v>
      </c>
      <c r="I33" s="4">
        <v>22</v>
      </c>
      <c r="J33" s="4">
        <v>21</v>
      </c>
      <c r="K33" s="4">
        <v>20</v>
      </c>
      <c r="L33" s="4">
        <v>21</v>
      </c>
      <c r="M33" s="4">
        <v>175</v>
      </c>
      <c r="N33" s="4">
        <f t="shared" si="2"/>
        <v>128</v>
      </c>
      <c r="O33" s="45">
        <f t="shared" si="3"/>
        <v>0.73142857142857143</v>
      </c>
      <c r="P33" s="4"/>
    </row>
    <row r="34" spans="1:16" x14ac:dyDescent="0.25">
      <c r="A34" s="7">
        <v>34</v>
      </c>
      <c r="B34" s="35">
        <v>603</v>
      </c>
      <c r="C34" s="36" t="s">
        <v>455</v>
      </c>
      <c r="D34" s="34" t="s">
        <v>26</v>
      </c>
      <c r="E34" s="7" t="s">
        <v>712</v>
      </c>
      <c r="F34" s="4">
        <v>13</v>
      </c>
      <c r="G34" s="4">
        <v>18</v>
      </c>
      <c r="H34" s="4">
        <v>13</v>
      </c>
      <c r="I34" s="4">
        <v>21</v>
      </c>
      <c r="J34" s="4">
        <v>22</v>
      </c>
      <c r="K34" s="4">
        <v>19</v>
      </c>
      <c r="L34" s="4">
        <v>22</v>
      </c>
      <c r="M34" s="4">
        <v>175</v>
      </c>
      <c r="N34" s="4">
        <f t="shared" si="2"/>
        <v>128</v>
      </c>
      <c r="O34" s="45">
        <f t="shared" si="3"/>
        <v>0.73142857142857143</v>
      </c>
      <c r="P34" s="4"/>
    </row>
    <row r="35" spans="1:16" x14ac:dyDescent="0.25">
      <c r="A35" s="7">
        <v>35</v>
      </c>
      <c r="B35" s="32">
        <v>503</v>
      </c>
      <c r="C35" s="33" t="s">
        <v>600</v>
      </c>
      <c r="D35" s="43" t="s">
        <v>590</v>
      </c>
      <c r="E35" s="7" t="s">
        <v>712</v>
      </c>
      <c r="F35" s="4">
        <v>19</v>
      </c>
      <c r="G35" s="4">
        <v>20</v>
      </c>
      <c r="H35" s="4">
        <v>16</v>
      </c>
      <c r="I35" s="4">
        <v>16</v>
      </c>
      <c r="J35" s="4">
        <v>16</v>
      </c>
      <c r="K35" s="4">
        <v>17</v>
      </c>
      <c r="L35" s="4">
        <v>18</v>
      </c>
      <c r="M35" s="4">
        <v>175</v>
      </c>
      <c r="N35" s="4">
        <f t="shared" si="2"/>
        <v>122</v>
      </c>
      <c r="O35" s="45">
        <f t="shared" si="3"/>
        <v>0.69714285714285718</v>
      </c>
      <c r="P35" s="4"/>
    </row>
    <row r="36" spans="1:16" x14ac:dyDescent="0.25">
      <c r="A36" s="7">
        <v>36</v>
      </c>
      <c r="B36" s="35">
        <v>606</v>
      </c>
      <c r="C36" s="36" t="s">
        <v>601</v>
      </c>
      <c r="D36" s="34" t="s">
        <v>602</v>
      </c>
      <c r="E36" s="7" t="s">
        <v>712</v>
      </c>
      <c r="F36" s="4">
        <v>20</v>
      </c>
      <c r="G36" s="4">
        <v>22</v>
      </c>
      <c r="H36" s="4">
        <v>17</v>
      </c>
      <c r="I36" s="4">
        <v>13</v>
      </c>
      <c r="J36" s="4">
        <v>19</v>
      </c>
      <c r="K36" s="4">
        <v>20</v>
      </c>
      <c r="L36" s="4">
        <v>14</v>
      </c>
      <c r="M36" s="4">
        <v>175</v>
      </c>
      <c r="N36" s="4">
        <f t="shared" si="2"/>
        <v>125</v>
      </c>
      <c r="O36" s="45">
        <f t="shared" si="3"/>
        <v>0.7142857142857143</v>
      </c>
      <c r="P36" s="4"/>
    </row>
    <row r="37" spans="1:16" x14ac:dyDescent="0.25">
      <c r="A37" s="7">
        <v>37</v>
      </c>
      <c r="B37" s="35">
        <v>358</v>
      </c>
      <c r="C37" s="36" t="s">
        <v>603</v>
      </c>
      <c r="D37" s="34" t="s">
        <v>417</v>
      </c>
      <c r="E37" s="7" t="s">
        <v>712</v>
      </c>
      <c r="F37" s="4">
        <v>22</v>
      </c>
      <c r="G37" s="4">
        <v>23</v>
      </c>
      <c r="H37" s="4">
        <v>18</v>
      </c>
      <c r="I37" s="4">
        <v>14</v>
      </c>
      <c r="J37" s="4">
        <v>20</v>
      </c>
      <c r="K37" s="4">
        <v>22</v>
      </c>
      <c r="L37" s="4">
        <v>23</v>
      </c>
      <c r="M37" s="4">
        <v>175</v>
      </c>
      <c r="N37" s="4">
        <f t="shared" si="2"/>
        <v>142</v>
      </c>
      <c r="O37" s="45">
        <f t="shared" si="3"/>
        <v>0.81142857142857139</v>
      </c>
      <c r="P37" s="4"/>
    </row>
    <row r="38" spans="1:16" x14ac:dyDescent="0.25">
      <c r="A38" s="7">
        <v>38</v>
      </c>
      <c r="B38" s="35">
        <v>610</v>
      </c>
      <c r="C38" s="36" t="s">
        <v>604</v>
      </c>
      <c r="D38" s="34" t="s">
        <v>428</v>
      </c>
      <c r="E38" s="7" t="s">
        <v>712</v>
      </c>
      <c r="F38" s="4">
        <v>18</v>
      </c>
      <c r="G38" s="4">
        <v>20</v>
      </c>
      <c r="H38" s="4">
        <v>20</v>
      </c>
      <c r="I38" s="4">
        <v>15</v>
      </c>
      <c r="J38" s="4">
        <v>16</v>
      </c>
      <c r="K38" s="4">
        <v>17</v>
      </c>
      <c r="L38" s="4">
        <v>19</v>
      </c>
      <c r="M38" s="4">
        <v>175</v>
      </c>
      <c r="N38" s="4">
        <f t="shared" si="2"/>
        <v>125</v>
      </c>
      <c r="O38" s="45">
        <f t="shared" si="3"/>
        <v>0.7142857142857143</v>
      </c>
      <c r="P38" s="4"/>
    </row>
    <row r="39" spans="1:16" x14ac:dyDescent="0.25">
      <c r="A39" s="7">
        <v>39</v>
      </c>
      <c r="B39" s="35">
        <v>709</v>
      </c>
      <c r="C39" s="36" t="s">
        <v>605</v>
      </c>
      <c r="D39" s="34" t="s">
        <v>606</v>
      </c>
      <c r="E39" s="7" t="s">
        <v>712</v>
      </c>
      <c r="F39" s="4">
        <v>19</v>
      </c>
      <c r="G39" s="4">
        <v>19</v>
      </c>
      <c r="H39" s="4">
        <v>19</v>
      </c>
      <c r="I39" s="4">
        <v>16</v>
      </c>
      <c r="J39" s="4">
        <v>15</v>
      </c>
      <c r="K39" s="4">
        <v>16</v>
      </c>
      <c r="L39" s="4">
        <v>18</v>
      </c>
      <c r="M39" s="4">
        <v>175</v>
      </c>
      <c r="N39" s="4">
        <f t="shared" si="2"/>
        <v>122</v>
      </c>
      <c r="O39" s="45">
        <f t="shared" si="3"/>
        <v>0.69714285714285718</v>
      </c>
      <c r="P39" s="4"/>
    </row>
    <row r="40" spans="1:16" x14ac:dyDescent="0.25">
      <c r="A40" s="7">
        <v>40</v>
      </c>
      <c r="B40" s="35">
        <v>318</v>
      </c>
      <c r="C40" s="36" t="s">
        <v>607</v>
      </c>
      <c r="D40" s="34" t="s">
        <v>148</v>
      </c>
      <c r="E40" s="7" t="s">
        <v>712</v>
      </c>
      <c r="F40" s="4">
        <v>18</v>
      </c>
      <c r="G40" s="4">
        <v>18</v>
      </c>
      <c r="H40" s="4">
        <v>20</v>
      </c>
      <c r="I40" s="4">
        <v>17</v>
      </c>
      <c r="J40" s="4">
        <v>20</v>
      </c>
      <c r="K40" s="4">
        <v>21</v>
      </c>
      <c r="L40" s="4">
        <v>19</v>
      </c>
      <c r="M40" s="4">
        <v>175</v>
      </c>
      <c r="N40" s="4">
        <f t="shared" si="2"/>
        <v>133</v>
      </c>
      <c r="O40" s="45">
        <f t="shared" si="3"/>
        <v>0.76</v>
      </c>
      <c r="P40" s="4"/>
    </row>
    <row r="41" spans="1:16" x14ac:dyDescent="0.25">
      <c r="A41" s="7">
        <v>41</v>
      </c>
      <c r="B41" s="35">
        <v>707</v>
      </c>
      <c r="C41" s="36" t="s">
        <v>608</v>
      </c>
      <c r="D41" s="34" t="s">
        <v>609</v>
      </c>
      <c r="E41" s="7" t="s">
        <v>712</v>
      </c>
      <c r="F41" s="4">
        <v>17</v>
      </c>
      <c r="G41" s="4">
        <v>16</v>
      </c>
      <c r="H41" s="4">
        <v>21</v>
      </c>
      <c r="I41" s="4">
        <v>18</v>
      </c>
      <c r="J41" s="4">
        <v>20</v>
      </c>
      <c r="K41" s="4">
        <v>20</v>
      </c>
      <c r="L41" s="4">
        <v>19</v>
      </c>
      <c r="M41" s="4">
        <v>175</v>
      </c>
      <c r="N41" s="4">
        <f t="shared" si="2"/>
        <v>131</v>
      </c>
      <c r="O41" s="45">
        <f t="shared" si="3"/>
        <v>0.74857142857142855</v>
      </c>
      <c r="P41" s="4"/>
    </row>
    <row r="42" spans="1:16" x14ac:dyDescent="0.25">
      <c r="A42" s="7">
        <v>42</v>
      </c>
      <c r="B42" s="35">
        <v>486</v>
      </c>
      <c r="C42" s="36" t="s">
        <v>610</v>
      </c>
      <c r="D42" s="34" t="s">
        <v>611</v>
      </c>
      <c r="E42" s="7" t="s">
        <v>712</v>
      </c>
      <c r="F42" s="23">
        <v>19</v>
      </c>
      <c r="G42" s="23">
        <v>17</v>
      </c>
      <c r="H42" s="23">
        <v>19</v>
      </c>
      <c r="I42" s="23">
        <v>19</v>
      </c>
      <c r="J42" s="23">
        <v>15</v>
      </c>
      <c r="K42" s="23">
        <v>16</v>
      </c>
      <c r="L42" s="23">
        <v>14</v>
      </c>
      <c r="M42" s="4">
        <v>175</v>
      </c>
      <c r="N42" s="4">
        <f t="shared" si="2"/>
        <v>119</v>
      </c>
      <c r="O42" s="45">
        <f t="shared" si="3"/>
        <v>0.68</v>
      </c>
      <c r="P42" s="4"/>
    </row>
    <row r="43" spans="1:16" x14ac:dyDescent="0.25">
      <c r="A43" s="7">
        <v>43</v>
      </c>
      <c r="B43" s="35">
        <v>602</v>
      </c>
      <c r="C43" s="36" t="s">
        <v>612</v>
      </c>
      <c r="D43" s="34" t="s">
        <v>50</v>
      </c>
      <c r="E43" s="7" t="s">
        <v>712</v>
      </c>
      <c r="F43" s="10">
        <v>20</v>
      </c>
      <c r="G43" s="10">
        <v>20</v>
      </c>
      <c r="H43" s="10">
        <v>16</v>
      </c>
      <c r="I43" s="10">
        <v>20</v>
      </c>
      <c r="J43" s="10">
        <v>17</v>
      </c>
      <c r="K43" s="10">
        <v>18</v>
      </c>
      <c r="L43" s="10">
        <v>20</v>
      </c>
      <c r="M43" s="4">
        <v>175</v>
      </c>
      <c r="N43" s="4">
        <f t="shared" si="2"/>
        <v>131</v>
      </c>
      <c r="O43" s="45">
        <f t="shared" si="3"/>
        <v>0.74857142857142855</v>
      </c>
      <c r="P43" s="4"/>
    </row>
    <row r="44" spans="1:16" x14ac:dyDescent="0.25">
      <c r="A44" s="7">
        <v>44</v>
      </c>
      <c r="B44" s="35">
        <v>708</v>
      </c>
      <c r="C44" s="36" t="s">
        <v>613</v>
      </c>
      <c r="D44" s="34" t="s">
        <v>606</v>
      </c>
      <c r="E44" s="7" t="s">
        <v>712</v>
      </c>
      <c r="F44" s="10">
        <v>19</v>
      </c>
      <c r="G44" s="10">
        <v>21</v>
      </c>
      <c r="H44" s="10">
        <v>17</v>
      </c>
      <c r="I44" s="10">
        <v>21</v>
      </c>
      <c r="J44" s="10">
        <v>15</v>
      </c>
      <c r="K44" s="10">
        <v>19</v>
      </c>
      <c r="L44" s="10">
        <v>20</v>
      </c>
      <c r="M44" s="4">
        <v>175</v>
      </c>
      <c r="N44" s="4">
        <f t="shared" si="2"/>
        <v>132</v>
      </c>
      <c r="O44" s="45">
        <f t="shared" si="3"/>
        <v>0.75428571428571434</v>
      </c>
      <c r="P44" s="4"/>
    </row>
    <row r="45" spans="1:16" x14ac:dyDescent="0.25">
      <c r="A45" s="7">
        <v>45</v>
      </c>
      <c r="B45" s="35">
        <v>641</v>
      </c>
      <c r="C45" s="36" t="s">
        <v>614</v>
      </c>
      <c r="D45" s="34" t="s">
        <v>548</v>
      </c>
      <c r="E45" s="7" t="s">
        <v>712</v>
      </c>
      <c r="F45" s="10">
        <v>20</v>
      </c>
      <c r="G45" s="10">
        <v>19</v>
      </c>
      <c r="H45" s="10">
        <v>19</v>
      </c>
      <c r="I45" s="10">
        <v>22</v>
      </c>
      <c r="J45" s="10">
        <v>16</v>
      </c>
      <c r="K45" s="10">
        <v>17</v>
      </c>
      <c r="L45" s="10">
        <v>18</v>
      </c>
      <c r="M45" s="4">
        <v>175</v>
      </c>
      <c r="N45" s="4">
        <f t="shared" si="2"/>
        <v>131</v>
      </c>
      <c r="O45" s="45">
        <f t="shared" si="3"/>
        <v>0.74857142857142855</v>
      </c>
      <c r="P45" s="4"/>
    </row>
    <row r="46" spans="1:16" x14ac:dyDescent="0.25">
      <c r="A46" s="7">
        <v>46</v>
      </c>
      <c r="B46" s="35">
        <v>782</v>
      </c>
      <c r="C46" s="36" t="s">
        <v>615</v>
      </c>
      <c r="D46" s="34" t="s">
        <v>616</v>
      </c>
      <c r="E46" s="7" t="s">
        <v>712</v>
      </c>
      <c r="F46" s="10">
        <v>21</v>
      </c>
      <c r="G46" s="10">
        <v>18</v>
      </c>
      <c r="H46" s="10">
        <v>20</v>
      </c>
      <c r="I46" s="10">
        <v>23</v>
      </c>
      <c r="J46" s="10">
        <v>17</v>
      </c>
      <c r="K46" s="10">
        <v>18</v>
      </c>
      <c r="L46" s="10">
        <v>20</v>
      </c>
      <c r="M46" s="4">
        <v>175</v>
      </c>
      <c r="N46" s="4">
        <f t="shared" si="2"/>
        <v>137</v>
      </c>
      <c r="O46" s="45">
        <f t="shared" si="3"/>
        <v>0.78285714285714281</v>
      </c>
      <c r="P46" s="4"/>
    </row>
    <row r="47" spans="1:16" x14ac:dyDescent="0.25">
      <c r="A47" s="7">
        <v>47</v>
      </c>
      <c r="B47" s="35">
        <v>469</v>
      </c>
      <c r="C47" s="36" t="s">
        <v>617</v>
      </c>
      <c r="D47" s="34" t="s">
        <v>146</v>
      </c>
      <c r="E47" s="7" t="s">
        <v>712</v>
      </c>
      <c r="F47" s="10">
        <v>22</v>
      </c>
      <c r="G47" s="10">
        <v>20</v>
      </c>
      <c r="H47" s="10">
        <v>19</v>
      </c>
      <c r="I47" s="10">
        <v>16</v>
      </c>
      <c r="J47" s="10">
        <v>19</v>
      </c>
      <c r="K47" s="10">
        <v>20</v>
      </c>
      <c r="L47" s="10">
        <v>21</v>
      </c>
      <c r="M47" s="4">
        <v>175</v>
      </c>
      <c r="N47" s="4">
        <f t="shared" si="2"/>
        <v>137</v>
      </c>
      <c r="O47" s="45">
        <f t="shared" si="3"/>
        <v>0.78285714285714281</v>
      </c>
      <c r="P47" s="4"/>
    </row>
    <row r="48" spans="1:16" x14ac:dyDescent="0.25">
      <c r="A48" s="7">
        <v>48</v>
      </c>
      <c r="B48" s="35">
        <v>388</v>
      </c>
      <c r="C48" s="36" t="s">
        <v>618</v>
      </c>
      <c r="D48" s="34" t="s">
        <v>619</v>
      </c>
      <c r="E48" s="7" t="s">
        <v>712</v>
      </c>
      <c r="F48" s="10">
        <v>23</v>
      </c>
      <c r="G48" s="10">
        <v>21</v>
      </c>
      <c r="H48" s="10">
        <v>21</v>
      </c>
      <c r="I48" s="10">
        <v>17</v>
      </c>
      <c r="J48" s="10">
        <v>20</v>
      </c>
      <c r="K48" s="10">
        <v>22</v>
      </c>
      <c r="L48" s="10">
        <v>21</v>
      </c>
      <c r="M48" s="4">
        <v>175</v>
      </c>
      <c r="N48" s="4">
        <f t="shared" si="2"/>
        <v>145</v>
      </c>
      <c r="O48" s="45">
        <f t="shared" si="3"/>
        <v>0.82857142857142863</v>
      </c>
      <c r="P48" s="4"/>
    </row>
    <row r="49" spans="1:16" x14ac:dyDescent="0.25">
      <c r="A49" s="7">
        <v>49</v>
      </c>
      <c r="B49" s="35">
        <v>510</v>
      </c>
      <c r="C49" s="36" t="s">
        <v>620</v>
      </c>
      <c r="D49" s="34" t="s">
        <v>590</v>
      </c>
      <c r="E49" s="7" t="s">
        <v>712</v>
      </c>
      <c r="F49" s="10">
        <v>20</v>
      </c>
      <c r="G49" s="10">
        <v>22</v>
      </c>
      <c r="H49" s="10">
        <v>22</v>
      </c>
      <c r="I49" s="10">
        <v>18</v>
      </c>
      <c r="J49" s="10">
        <v>19</v>
      </c>
      <c r="K49" s="10">
        <v>20</v>
      </c>
      <c r="L49" s="10">
        <v>18</v>
      </c>
      <c r="M49" s="4">
        <v>175</v>
      </c>
      <c r="N49" s="4">
        <f t="shared" si="2"/>
        <v>139</v>
      </c>
      <c r="O49" s="45">
        <f t="shared" si="3"/>
        <v>0.79428571428571426</v>
      </c>
      <c r="P49" s="4"/>
    </row>
    <row r="50" spans="1:16" x14ac:dyDescent="0.25">
      <c r="A50" s="7">
        <v>50</v>
      </c>
      <c r="B50" s="35">
        <v>704</v>
      </c>
      <c r="C50" s="36" t="s">
        <v>621</v>
      </c>
      <c r="D50" s="34" t="s">
        <v>622</v>
      </c>
      <c r="E50" s="7" t="s">
        <v>712</v>
      </c>
      <c r="F50" s="10">
        <v>19</v>
      </c>
      <c r="G50" s="10">
        <v>19</v>
      </c>
      <c r="H50" s="10">
        <v>23</v>
      </c>
      <c r="I50" s="10">
        <v>19</v>
      </c>
      <c r="J50" s="10">
        <v>18</v>
      </c>
      <c r="K50" s="10">
        <v>20</v>
      </c>
      <c r="L50" s="10">
        <v>19</v>
      </c>
      <c r="M50" s="4">
        <v>175</v>
      </c>
      <c r="N50" s="4">
        <f t="shared" si="2"/>
        <v>137</v>
      </c>
      <c r="O50" s="45">
        <f t="shared" si="3"/>
        <v>0.78285714285714281</v>
      </c>
      <c r="P50" s="4"/>
    </row>
    <row r="51" spans="1:16" x14ac:dyDescent="0.25">
      <c r="A51" s="7">
        <v>51</v>
      </c>
      <c r="B51" s="35">
        <v>852</v>
      </c>
      <c r="C51" s="36" t="s">
        <v>623</v>
      </c>
      <c r="D51" s="34" t="s">
        <v>624</v>
      </c>
      <c r="E51" s="7" t="s">
        <v>712</v>
      </c>
      <c r="F51" s="10">
        <v>18</v>
      </c>
      <c r="G51" s="10">
        <v>20</v>
      </c>
      <c r="H51" s="10">
        <v>18</v>
      </c>
      <c r="I51" s="10">
        <v>20</v>
      </c>
      <c r="J51" s="10">
        <v>20</v>
      </c>
      <c r="K51" s="10">
        <v>19</v>
      </c>
      <c r="L51" s="10">
        <v>20</v>
      </c>
      <c r="M51" s="4">
        <v>175</v>
      </c>
      <c r="N51" s="4">
        <f t="shared" si="2"/>
        <v>135</v>
      </c>
      <c r="O51" s="45">
        <f t="shared" si="3"/>
        <v>0.77142857142857146</v>
      </c>
      <c r="P51" s="4"/>
    </row>
    <row r="52" spans="1:16" x14ac:dyDescent="0.25">
      <c r="A52" s="7">
        <v>52</v>
      </c>
      <c r="B52" s="35">
        <v>712</v>
      </c>
      <c r="C52" s="36" t="s">
        <v>625</v>
      </c>
      <c r="D52" s="34" t="s">
        <v>626</v>
      </c>
      <c r="E52" s="7" t="s">
        <v>712</v>
      </c>
      <c r="F52" s="10">
        <v>17</v>
      </c>
      <c r="G52" s="10">
        <v>21</v>
      </c>
      <c r="H52" s="10">
        <v>17</v>
      </c>
      <c r="I52" s="10">
        <v>21</v>
      </c>
      <c r="J52" s="10">
        <v>15</v>
      </c>
      <c r="K52" s="10">
        <v>16</v>
      </c>
      <c r="L52" s="10">
        <v>17</v>
      </c>
      <c r="M52" s="4">
        <v>175</v>
      </c>
      <c r="N52" s="4">
        <f t="shared" si="2"/>
        <v>124</v>
      </c>
      <c r="O52" s="45">
        <f t="shared" si="3"/>
        <v>0.70857142857142852</v>
      </c>
      <c r="P52" s="4"/>
    </row>
    <row r="53" spans="1:16" x14ac:dyDescent="0.25">
      <c r="A53" s="30">
        <v>53</v>
      </c>
      <c r="B53" s="35">
        <v>888</v>
      </c>
      <c r="C53" s="36" t="s">
        <v>627</v>
      </c>
      <c r="D53" s="34" t="s">
        <v>628</v>
      </c>
      <c r="E53" s="7" t="s">
        <v>712</v>
      </c>
      <c r="F53" s="31">
        <v>20</v>
      </c>
      <c r="G53" s="31">
        <v>19</v>
      </c>
      <c r="H53" s="31">
        <v>19</v>
      </c>
      <c r="I53" s="31">
        <v>22</v>
      </c>
      <c r="J53" s="31">
        <v>16</v>
      </c>
      <c r="K53" s="31">
        <v>17</v>
      </c>
      <c r="L53" s="31">
        <v>18</v>
      </c>
      <c r="M53" s="4">
        <v>175</v>
      </c>
      <c r="N53" s="4">
        <f t="shared" si="2"/>
        <v>131</v>
      </c>
      <c r="O53" s="45">
        <f t="shared" si="3"/>
        <v>0.74857142857142855</v>
      </c>
      <c r="P53" s="30"/>
    </row>
  </sheetData>
  <mergeCells count="15">
    <mergeCell ref="A1:P1"/>
    <mergeCell ref="A2:P2"/>
    <mergeCell ref="A3:P3"/>
    <mergeCell ref="A4:A6"/>
    <mergeCell ref="B4:B6"/>
    <mergeCell ref="C4:C6"/>
    <mergeCell ref="D4:D6"/>
    <mergeCell ref="E4:E6"/>
    <mergeCell ref="F4:L4"/>
    <mergeCell ref="M4:M5"/>
    <mergeCell ref="N4:N6"/>
    <mergeCell ref="O4:O6"/>
    <mergeCell ref="P4:P6"/>
    <mergeCell ref="A7:P7"/>
    <mergeCell ref="A29:P29"/>
  </mergeCells>
  <conditionalFormatting sqref="B8:B28">
    <cfRule type="duplicateValues" dxfId="28" priority="4"/>
    <cfRule type="duplicateValues" dxfId="27" priority="5"/>
  </conditionalFormatting>
  <conditionalFormatting sqref="B30:B34">
    <cfRule type="duplicateValues" dxfId="26" priority="2"/>
  </conditionalFormatting>
  <conditionalFormatting sqref="B30:B53">
    <cfRule type="duplicateValues" dxfId="25" priority="3"/>
  </conditionalFormatting>
  <conditionalFormatting sqref="B35:B53">
    <cfRule type="duplicateValues" dxfId="24" priority="1"/>
  </conditionalFormatting>
  <pageMargins left="0.7" right="0.7" top="0.75" bottom="0.75" header="0.3" footer="0.3"/>
  <ignoredErrors>
    <ignoredError sqref="N8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5D602-09D9-42E4-8672-53FD80E5D214}">
  <dimension ref="A1:P47"/>
  <sheetViews>
    <sheetView topLeftCell="A28" workbookViewId="0">
      <selection activeCell="F35" sqref="F35:L47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2.28515625" bestFit="1" customWidth="1"/>
    <col min="4" max="4" width="27.7109375" bestFit="1" customWidth="1"/>
    <col min="6" max="15" width="5.7109375" customWidth="1"/>
    <col min="16" max="16" width="20.7109375" customWidth="1"/>
  </cols>
  <sheetData>
    <row r="1" spans="1:16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 x14ac:dyDescent="0.25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</row>
    <row r="3" spans="1:16" x14ac:dyDescent="0.25">
      <c r="A3" s="57" t="s">
        <v>239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 spans="1:16" x14ac:dyDescent="0.25">
      <c r="A4" s="52" t="s">
        <v>2</v>
      </c>
      <c r="B4" s="52" t="s">
        <v>3</v>
      </c>
      <c r="C4" s="52" t="s">
        <v>5</v>
      </c>
      <c r="D4" s="52" t="s">
        <v>6</v>
      </c>
      <c r="E4" s="52" t="s">
        <v>4</v>
      </c>
      <c r="F4" s="56" t="s">
        <v>7</v>
      </c>
      <c r="G4" s="56"/>
      <c r="H4" s="56"/>
      <c r="I4" s="56"/>
      <c r="J4" s="56"/>
      <c r="K4" s="56"/>
      <c r="L4" s="56"/>
      <c r="M4" s="52" t="s">
        <v>15</v>
      </c>
      <c r="N4" s="52" t="s">
        <v>16</v>
      </c>
      <c r="O4" s="52" t="s">
        <v>17</v>
      </c>
      <c r="P4" s="56" t="s">
        <v>18</v>
      </c>
    </row>
    <row r="5" spans="1:16" ht="43.5" x14ac:dyDescent="0.25">
      <c r="A5" s="52"/>
      <c r="B5" s="52"/>
      <c r="C5" s="52"/>
      <c r="D5" s="52"/>
      <c r="E5" s="52"/>
      <c r="F5" s="2" t="s">
        <v>10</v>
      </c>
      <c r="G5" s="2" t="s">
        <v>135</v>
      </c>
      <c r="H5" s="2" t="s">
        <v>11</v>
      </c>
      <c r="I5" s="2" t="s">
        <v>136</v>
      </c>
      <c r="J5" s="2" t="s">
        <v>567</v>
      </c>
      <c r="K5" s="2" t="s">
        <v>566</v>
      </c>
      <c r="L5" s="2" t="s">
        <v>409</v>
      </c>
      <c r="M5" s="52"/>
      <c r="N5" s="52"/>
      <c r="O5" s="52"/>
      <c r="P5" s="56"/>
    </row>
    <row r="6" spans="1:16" x14ac:dyDescent="0.25">
      <c r="A6" s="52"/>
      <c r="B6" s="52"/>
      <c r="C6" s="52"/>
      <c r="D6" s="52"/>
      <c r="E6" s="52"/>
      <c r="F6" s="3">
        <v>25</v>
      </c>
      <c r="G6" s="3">
        <v>25</v>
      </c>
      <c r="H6" s="3">
        <v>25</v>
      </c>
      <c r="I6" s="3">
        <v>25</v>
      </c>
      <c r="J6" s="3">
        <v>25</v>
      </c>
      <c r="K6" s="3">
        <v>25</v>
      </c>
      <c r="L6" s="3">
        <v>25</v>
      </c>
      <c r="M6" s="3">
        <f>SUM(F6:L6)</f>
        <v>175</v>
      </c>
      <c r="N6" s="52"/>
      <c r="O6" s="52"/>
      <c r="P6" s="56"/>
    </row>
    <row r="7" spans="1:16" ht="21" x14ac:dyDescent="0.35">
      <c r="A7" s="64" t="s">
        <v>185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 x14ac:dyDescent="0.25">
      <c r="A8" s="7">
        <v>1</v>
      </c>
      <c r="B8" s="35">
        <v>615</v>
      </c>
      <c r="C8" s="36" t="s">
        <v>629</v>
      </c>
      <c r="D8" s="34" t="s">
        <v>340</v>
      </c>
      <c r="E8" s="7" t="s">
        <v>713</v>
      </c>
      <c r="F8" s="4">
        <v>22</v>
      </c>
      <c r="G8" s="4">
        <v>23</v>
      </c>
      <c r="H8" s="4">
        <v>19</v>
      </c>
      <c r="I8" s="4">
        <v>21</v>
      </c>
      <c r="J8" s="4">
        <v>18</v>
      </c>
      <c r="K8" s="4">
        <v>15</v>
      </c>
      <c r="L8" s="4">
        <v>17</v>
      </c>
      <c r="M8" s="4">
        <v>175</v>
      </c>
      <c r="N8" s="4">
        <f>SUM(F8:L8)</f>
        <v>135</v>
      </c>
      <c r="O8" s="45">
        <f>N8/M8</f>
        <v>0.77142857142857146</v>
      </c>
      <c r="P8" s="4"/>
    </row>
    <row r="9" spans="1:16" x14ac:dyDescent="0.25">
      <c r="A9" s="7">
        <v>2</v>
      </c>
      <c r="B9" s="35">
        <v>343</v>
      </c>
      <c r="C9" s="36" t="s">
        <v>57</v>
      </c>
      <c r="D9" s="34" t="s">
        <v>496</v>
      </c>
      <c r="E9" s="7" t="s">
        <v>713</v>
      </c>
      <c r="F9" s="4">
        <v>12</v>
      </c>
      <c r="G9" s="4">
        <v>10</v>
      </c>
      <c r="H9" s="4">
        <v>16</v>
      </c>
      <c r="I9" s="4">
        <v>14</v>
      </c>
      <c r="J9" s="4">
        <v>9</v>
      </c>
      <c r="K9" s="4">
        <v>12</v>
      </c>
      <c r="L9" s="4">
        <v>11</v>
      </c>
      <c r="M9" s="4">
        <v>175</v>
      </c>
      <c r="N9" s="4">
        <f t="shared" ref="N9:N22" si="0">SUM(F9:L9)</f>
        <v>84</v>
      </c>
      <c r="O9" s="45">
        <f t="shared" ref="O9:O22" si="1">N9/M9</f>
        <v>0.48</v>
      </c>
      <c r="P9" s="4"/>
    </row>
    <row r="10" spans="1:16" x14ac:dyDescent="0.25">
      <c r="A10" s="7">
        <v>3</v>
      </c>
      <c r="B10" s="35">
        <v>565</v>
      </c>
      <c r="C10" s="36" t="s">
        <v>630</v>
      </c>
      <c r="D10" s="34" t="s">
        <v>536</v>
      </c>
      <c r="E10" s="7" t="s">
        <v>713</v>
      </c>
      <c r="F10" s="4">
        <v>15</v>
      </c>
      <c r="G10" s="4">
        <v>14</v>
      </c>
      <c r="H10" s="4">
        <v>12</v>
      </c>
      <c r="I10" s="4">
        <v>11</v>
      </c>
      <c r="J10" s="4">
        <v>9</v>
      </c>
      <c r="K10" s="4">
        <v>8</v>
      </c>
      <c r="L10" s="4">
        <v>12</v>
      </c>
      <c r="M10" s="4">
        <v>175</v>
      </c>
      <c r="N10" s="4">
        <f t="shared" si="0"/>
        <v>81</v>
      </c>
      <c r="O10" s="45">
        <f t="shared" si="1"/>
        <v>0.46285714285714286</v>
      </c>
      <c r="P10" s="4"/>
    </row>
    <row r="11" spans="1:16" x14ac:dyDescent="0.25">
      <c r="A11" s="7">
        <v>4</v>
      </c>
      <c r="B11" s="35">
        <v>635</v>
      </c>
      <c r="C11" s="36" t="s">
        <v>631</v>
      </c>
      <c r="D11" s="34" t="s">
        <v>632</v>
      </c>
      <c r="E11" s="7" t="s">
        <v>713</v>
      </c>
      <c r="F11" s="4">
        <v>18</v>
      </c>
      <c r="G11" s="4">
        <v>19</v>
      </c>
      <c r="H11" s="4">
        <v>21</v>
      </c>
      <c r="I11" s="4">
        <v>23</v>
      </c>
      <c r="J11" s="4">
        <v>20</v>
      </c>
      <c r="K11" s="4">
        <v>18</v>
      </c>
      <c r="L11" s="4">
        <v>16</v>
      </c>
      <c r="M11" s="4">
        <v>175</v>
      </c>
      <c r="N11" s="4">
        <f t="shared" si="0"/>
        <v>135</v>
      </c>
      <c r="O11" s="45">
        <f t="shared" si="1"/>
        <v>0.77142857142857146</v>
      </c>
      <c r="P11" s="4"/>
    </row>
    <row r="12" spans="1:16" x14ac:dyDescent="0.25">
      <c r="A12" s="7">
        <v>5</v>
      </c>
      <c r="B12" s="32">
        <v>250</v>
      </c>
      <c r="C12" s="33" t="s">
        <v>633</v>
      </c>
      <c r="D12" s="43" t="s">
        <v>193</v>
      </c>
      <c r="E12" s="7" t="s">
        <v>713</v>
      </c>
      <c r="F12" s="4">
        <v>10</v>
      </c>
      <c r="G12" s="4">
        <v>9</v>
      </c>
      <c r="H12" s="4">
        <v>12</v>
      </c>
      <c r="I12" s="4">
        <v>14</v>
      </c>
      <c r="J12" s="4">
        <v>8</v>
      </c>
      <c r="K12" s="4">
        <v>9</v>
      </c>
      <c r="L12" s="4">
        <v>14</v>
      </c>
      <c r="M12" s="4">
        <v>175</v>
      </c>
      <c r="N12" s="4">
        <f t="shared" si="0"/>
        <v>76</v>
      </c>
      <c r="O12" s="45">
        <f t="shared" si="1"/>
        <v>0.43428571428571427</v>
      </c>
      <c r="P12" s="4"/>
    </row>
    <row r="13" spans="1:16" x14ac:dyDescent="0.25">
      <c r="A13" s="7">
        <v>6</v>
      </c>
      <c r="B13" s="35">
        <v>616</v>
      </c>
      <c r="C13" s="36" t="s">
        <v>634</v>
      </c>
      <c r="D13" s="34" t="s">
        <v>635</v>
      </c>
      <c r="E13" s="7" t="s">
        <v>713</v>
      </c>
      <c r="F13" s="4">
        <v>16</v>
      </c>
      <c r="G13" s="4">
        <v>20</v>
      </c>
      <c r="H13" s="4">
        <v>21</v>
      </c>
      <c r="I13" s="4">
        <v>22</v>
      </c>
      <c r="J13" s="4">
        <v>20</v>
      </c>
      <c r="K13" s="4">
        <v>20</v>
      </c>
      <c r="L13" s="4">
        <v>21</v>
      </c>
      <c r="M13" s="4">
        <v>175</v>
      </c>
      <c r="N13" s="4">
        <f t="shared" si="0"/>
        <v>140</v>
      </c>
      <c r="O13" s="45">
        <f t="shared" si="1"/>
        <v>0.8</v>
      </c>
      <c r="P13" s="4"/>
    </row>
    <row r="14" spans="1:16" x14ac:dyDescent="0.25">
      <c r="A14" s="7">
        <v>7</v>
      </c>
      <c r="B14" s="35">
        <v>347</v>
      </c>
      <c r="C14" s="36" t="s">
        <v>636</v>
      </c>
      <c r="D14" s="34" t="s">
        <v>637</v>
      </c>
      <c r="E14" s="7" t="s">
        <v>713</v>
      </c>
      <c r="F14" s="4">
        <v>6</v>
      </c>
      <c r="G14" s="4">
        <v>8</v>
      </c>
      <c r="H14" s="4">
        <v>7</v>
      </c>
      <c r="I14" s="4">
        <v>12</v>
      </c>
      <c r="J14" s="4">
        <v>5</v>
      </c>
      <c r="K14" s="4">
        <v>4</v>
      </c>
      <c r="L14" s="4">
        <v>12</v>
      </c>
      <c r="M14" s="4">
        <v>175</v>
      </c>
      <c r="N14" s="4">
        <f t="shared" si="0"/>
        <v>54</v>
      </c>
      <c r="O14" s="45">
        <f t="shared" si="1"/>
        <v>0.30857142857142855</v>
      </c>
      <c r="P14" s="4"/>
    </row>
    <row r="15" spans="1:16" x14ac:dyDescent="0.25">
      <c r="A15" s="7">
        <v>8</v>
      </c>
      <c r="B15" s="35">
        <v>401</v>
      </c>
      <c r="C15" s="36" t="s">
        <v>36</v>
      </c>
      <c r="D15" s="34" t="s">
        <v>459</v>
      </c>
      <c r="E15" s="7" t="s">
        <v>713</v>
      </c>
      <c r="F15" s="4">
        <v>8</v>
      </c>
      <c r="G15" s="4">
        <v>2</v>
      </c>
      <c r="H15" s="4">
        <v>6</v>
      </c>
      <c r="I15" s="4">
        <v>8</v>
      </c>
      <c r="J15" s="4">
        <v>9</v>
      </c>
      <c r="K15" s="4">
        <v>5</v>
      </c>
      <c r="L15" s="4">
        <v>9</v>
      </c>
      <c r="M15" s="4">
        <v>175</v>
      </c>
      <c r="N15" s="4">
        <f t="shared" si="0"/>
        <v>47</v>
      </c>
      <c r="O15" s="45">
        <f t="shared" si="1"/>
        <v>0.26857142857142857</v>
      </c>
      <c r="P15" s="4"/>
    </row>
    <row r="16" spans="1:16" x14ac:dyDescent="0.25">
      <c r="A16" s="7">
        <v>9</v>
      </c>
      <c r="B16" s="35">
        <v>568</v>
      </c>
      <c r="C16" s="36" t="s">
        <v>638</v>
      </c>
      <c r="D16" s="34" t="s">
        <v>499</v>
      </c>
      <c r="E16" s="7" t="s">
        <v>713</v>
      </c>
      <c r="F16" s="4">
        <v>23</v>
      </c>
      <c r="G16" s="4">
        <v>4</v>
      </c>
      <c r="H16" s="4">
        <v>23</v>
      </c>
      <c r="I16" s="4">
        <v>22</v>
      </c>
      <c r="J16" s="23">
        <v>25</v>
      </c>
      <c r="K16" s="23">
        <v>24</v>
      </c>
      <c r="L16" s="4">
        <v>22</v>
      </c>
      <c r="M16" s="4">
        <v>175</v>
      </c>
      <c r="N16" s="4">
        <f t="shared" si="0"/>
        <v>143</v>
      </c>
      <c r="O16" s="45">
        <f t="shared" si="1"/>
        <v>0.81714285714285717</v>
      </c>
      <c r="P16" s="4"/>
    </row>
    <row r="17" spans="1:16" x14ac:dyDescent="0.25">
      <c r="A17" s="7">
        <v>10</v>
      </c>
      <c r="B17" s="35">
        <v>715</v>
      </c>
      <c r="C17" s="36" t="s">
        <v>639</v>
      </c>
      <c r="D17" s="34" t="s">
        <v>640</v>
      </c>
      <c r="E17" s="7" t="s">
        <v>713</v>
      </c>
      <c r="F17" s="4">
        <v>8</v>
      </c>
      <c r="G17" s="4">
        <v>9</v>
      </c>
      <c r="H17" s="4">
        <v>7</v>
      </c>
      <c r="I17" s="4">
        <v>12</v>
      </c>
      <c r="J17" s="4">
        <v>14</v>
      </c>
      <c r="K17" s="4">
        <v>16</v>
      </c>
      <c r="L17" s="4">
        <v>17</v>
      </c>
      <c r="M17" s="4">
        <v>175</v>
      </c>
      <c r="N17" s="4">
        <f t="shared" si="0"/>
        <v>83</v>
      </c>
      <c r="O17" s="45">
        <f t="shared" si="1"/>
        <v>0.47428571428571431</v>
      </c>
      <c r="P17" s="4"/>
    </row>
    <row r="18" spans="1:16" x14ac:dyDescent="0.25">
      <c r="A18" s="7">
        <v>11</v>
      </c>
      <c r="B18" s="35">
        <v>474</v>
      </c>
      <c r="C18" s="36" t="s">
        <v>641</v>
      </c>
      <c r="D18" s="34" t="s">
        <v>95</v>
      </c>
      <c r="E18" s="7" t="s">
        <v>713</v>
      </c>
      <c r="F18" s="4">
        <v>16</v>
      </c>
      <c r="G18" s="4">
        <v>15</v>
      </c>
      <c r="H18" s="4">
        <v>21</v>
      </c>
      <c r="I18" s="4">
        <v>18</v>
      </c>
      <c r="J18" s="4">
        <v>16</v>
      </c>
      <c r="K18" s="23">
        <v>14</v>
      </c>
      <c r="L18" s="4">
        <v>22</v>
      </c>
      <c r="M18" s="4">
        <v>175</v>
      </c>
      <c r="N18" s="4">
        <f t="shared" si="0"/>
        <v>122</v>
      </c>
      <c r="O18" s="45">
        <f t="shared" si="1"/>
        <v>0.69714285714285718</v>
      </c>
      <c r="P18" s="4"/>
    </row>
    <row r="19" spans="1:16" x14ac:dyDescent="0.25">
      <c r="A19" s="7">
        <v>12</v>
      </c>
      <c r="B19" s="35">
        <v>475</v>
      </c>
      <c r="C19" s="36" t="s">
        <v>642</v>
      </c>
      <c r="D19" s="34" t="s">
        <v>95</v>
      </c>
      <c r="E19" s="7" t="s">
        <v>713</v>
      </c>
      <c r="F19" s="4">
        <v>18</v>
      </c>
      <c r="G19" s="4">
        <v>19</v>
      </c>
      <c r="H19" s="4">
        <v>12</v>
      </c>
      <c r="I19" s="4">
        <v>19</v>
      </c>
      <c r="J19" s="4">
        <v>14</v>
      </c>
      <c r="K19" s="4">
        <v>16</v>
      </c>
      <c r="L19" s="4">
        <v>15</v>
      </c>
      <c r="M19" s="4">
        <v>175</v>
      </c>
      <c r="N19" s="4">
        <f t="shared" si="0"/>
        <v>113</v>
      </c>
      <c r="O19" s="45">
        <f t="shared" si="1"/>
        <v>0.64571428571428569</v>
      </c>
      <c r="P19" s="4"/>
    </row>
    <row r="20" spans="1:16" x14ac:dyDescent="0.25">
      <c r="A20" s="7">
        <v>13</v>
      </c>
      <c r="B20" s="35">
        <v>620</v>
      </c>
      <c r="C20" s="36" t="s">
        <v>643</v>
      </c>
      <c r="D20" s="34" t="s">
        <v>428</v>
      </c>
      <c r="E20" s="7" t="s">
        <v>713</v>
      </c>
      <c r="F20" s="4">
        <v>18</v>
      </c>
      <c r="G20" s="4">
        <v>16</v>
      </c>
      <c r="H20" s="4">
        <v>17</v>
      </c>
      <c r="I20" s="4">
        <v>18</v>
      </c>
      <c r="J20" s="4">
        <v>19</v>
      </c>
      <c r="K20" s="4">
        <v>20</v>
      </c>
      <c r="L20" s="4">
        <v>22</v>
      </c>
      <c r="M20" s="4">
        <v>175</v>
      </c>
      <c r="N20" s="4">
        <f t="shared" si="0"/>
        <v>130</v>
      </c>
      <c r="O20" s="45">
        <f t="shared" si="1"/>
        <v>0.74285714285714288</v>
      </c>
      <c r="P20" s="4"/>
    </row>
    <row r="21" spans="1:16" x14ac:dyDescent="0.25">
      <c r="A21" s="7">
        <v>14</v>
      </c>
      <c r="B21" s="35">
        <v>426</v>
      </c>
      <c r="C21" s="36" t="s">
        <v>644</v>
      </c>
      <c r="D21" s="34" t="s">
        <v>645</v>
      </c>
      <c r="E21" s="7" t="s">
        <v>713</v>
      </c>
      <c r="F21" s="4">
        <v>6</v>
      </c>
      <c r="G21" s="4">
        <v>7</v>
      </c>
      <c r="H21" s="4">
        <v>9</v>
      </c>
      <c r="I21" s="4">
        <v>10</v>
      </c>
      <c r="J21" s="4">
        <v>11</v>
      </c>
      <c r="K21" s="4">
        <v>14</v>
      </c>
      <c r="L21" s="4">
        <v>1</v>
      </c>
      <c r="M21" s="4">
        <v>175</v>
      </c>
      <c r="N21" s="4">
        <f t="shared" si="0"/>
        <v>58</v>
      </c>
      <c r="O21" s="45">
        <f t="shared" si="1"/>
        <v>0.33142857142857141</v>
      </c>
      <c r="P21" s="4"/>
    </row>
    <row r="22" spans="1:16" x14ac:dyDescent="0.25">
      <c r="A22" s="7">
        <v>15</v>
      </c>
      <c r="B22" s="35">
        <v>790</v>
      </c>
      <c r="C22" s="36" t="s">
        <v>646</v>
      </c>
      <c r="D22" s="34" t="s">
        <v>581</v>
      </c>
      <c r="E22" s="7" t="s">
        <v>713</v>
      </c>
      <c r="F22" s="4">
        <v>18</v>
      </c>
      <c r="G22" s="4">
        <v>16</v>
      </c>
      <c r="H22" s="4">
        <v>14</v>
      </c>
      <c r="I22" s="4">
        <v>17</v>
      </c>
      <c r="J22" s="4">
        <v>19</v>
      </c>
      <c r="K22" s="4">
        <v>3</v>
      </c>
      <c r="L22" s="4">
        <v>6</v>
      </c>
      <c r="M22" s="4">
        <v>175</v>
      </c>
      <c r="N22" s="4">
        <f t="shared" si="0"/>
        <v>93</v>
      </c>
      <c r="O22" s="45">
        <f t="shared" si="1"/>
        <v>0.53142857142857147</v>
      </c>
      <c r="P22" s="4"/>
    </row>
    <row r="23" spans="1:16" ht="21" x14ac:dyDescent="0.35">
      <c r="A23" s="64" t="s">
        <v>138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</row>
    <row r="24" spans="1:16" x14ac:dyDescent="0.25">
      <c r="A24" s="7">
        <v>30</v>
      </c>
      <c r="B24" s="35">
        <v>436</v>
      </c>
      <c r="C24" s="36" t="s">
        <v>647</v>
      </c>
      <c r="D24" s="34" t="s">
        <v>340</v>
      </c>
      <c r="E24" s="7" t="s">
        <v>713</v>
      </c>
      <c r="F24" s="4">
        <v>20</v>
      </c>
      <c r="G24" s="4">
        <v>23</v>
      </c>
      <c r="H24" s="4">
        <v>21</v>
      </c>
      <c r="I24" s="4">
        <v>18</v>
      </c>
      <c r="J24" s="4">
        <v>17</v>
      </c>
      <c r="K24" s="4">
        <v>16</v>
      </c>
      <c r="L24" s="4">
        <v>20</v>
      </c>
      <c r="M24" s="4">
        <v>175</v>
      </c>
      <c r="N24" s="4">
        <f>SUM(F24:L24)</f>
        <v>135</v>
      </c>
      <c r="O24" s="45">
        <f>N24/M24</f>
        <v>0.77142857142857146</v>
      </c>
      <c r="P24" s="4"/>
    </row>
    <row r="25" spans="1:16" x14ac:dyDescent="0.25">
      <c r="A25" s="7">
        <v>31</v>
      </c>
      <c r="B25" s="35">
        <v>443</v>
      </c>
      <c r="C25" s="36" t="s">
        <v>648</v>
      </c>
      <c r="D25" s="34" t="s">
        <v>649</v>
      </c>
      <c r="E25" s="7" t="s">
        <v>713</v>
      </c>
      <c r="F25" s="4">
        <v>22</v>
      </c>
      <c r="G25" s="4">
        <v>24</v>
      </c>
      <c r="H25" s="4">
        <v>22</v>
      </c>
      <c r="I25" s="4">
        <v>23</v>
      </c>
      <c r="J25" s="4">
        <v>21</v>
      </c>
      <c r="K25" s="4">
        <v>18</v>
      </c>
      <c r="L25" s="4">
        <v>19</v>
      </c>
      <c r="M25" s="4">
        <v>175</v>
      </c>
      <c r="N25" s="4">
        <f t="shared" ref="N25:N47" si="2">SUM(F25:L25)</f>
        <v>149</v>
      </c>
      <c r="O25" s="45">
        <f t="shared" ref="O25:O47" si="3">N25/M25</f>
        <v>0.85142857142857142</v>
      </c>
      <c r="P25" s="4"/>
    </row>
    <row r="26" spans="1:16" x14ac:dyDescent="0.25">
      <c r="A26" s="7">
        <v>32</v>
      </c>
      <c r="B26" s="35">
        <v>348</v>
      </c>
      <c r="C26" s="36" t="s">
        <v>650</v>
      </c>
      <c r="D26" s="34" t="s">
        <v>651</v>
      </c>
      <c r="E26" s="7" t="s">
        <v>713</v>
      </c>
      <c r="F26" s="4">
        <v>24</v>
      </c>
      <c r="G26" s="4">
        <v>23</v>
      </c>
      <c r="H26" s="4">
        <v>21</v>
      </c>
      <c r="I26" s="4">
        <v>19</v>
      </c>
      <c r="J26" s="4">
        <v>18</v>
      </c>
      <c r="K26" s="4">
        <v>23</v>
      </c>
      <c r="L26" s="4">
        <v>25</v>
      </c>
      <c r="M26" s="4">
        <v>175</v>
      </c>
      <c r="N26" s="4">
        <f t="shared" si="2"/>
        <v>153</v>
      </c>
      <c r="O26" s="45">
        <f t="shared" si="3"/>
        <v>0.87428571428571433</v>
      </c>
      <c r="P26" s="4"/>
    </row>
    <row r="27" spans="1:16" x14ac:dyDescent="0.25">
      <c r="A27" s="7">
        <v>33</v>
      </c>
      <c r="B27" s="35">
        <v>619</v>
      </c>
      <c r="C27" s="36" t="s">
        <v>652</v>
      </c>
      <c r="D27" s="34" t="s">
        <v>653</v>
      </c>
      <c r="E27" s="7" t="s">
        <v>713</v>
      </c>
      <c r="F27" s="4">
        <v>23</v>
      </c>
      <c r="G27" s="4">
        <v>22</v>
      </c>
      <c r="H27" s="4">
        <v>20</v>
      </c>
      <c r="I27" s="4">
        <v>21</v>
      </c>
      <c r="J27" s="4">
        <v>22</v>
      </c>
      <c r="K27" s="4">
        <v>19</v>
      </c>
      <c r="L27" s="4">
        <v>18</v>
      </c>
      <c r="M27" s="4">
        <v>175</v>
      </c>
      <c r="N27" s="4">
        <f t="shared" si="2"/>
        <v>145</v>
      </c>
      <c r="O27" s="45">
        <f t="shared" si="3"/>
        <v>0.82857142857142863</v>
      </c>
      <c r="P27" s="4"/>
    </row>
    <row r="28" spans="1:16" x14ac:dyDescent="0.25">
      <c r="A28" s="7">
        <v>34</v>
      </c>
      <c r="B28" s="35">
        <v>442</v>
      </c>
      <c r="C28" s="36" t="s">
        <v>654</v>
      </c>
      <c r="D28" s="34" t="s">
        <v>655</v>
      </c>
      <c r="E28" s="7" t="s">
        <v>713</v>
      </c>
      <c r="F28" s="4">
        <v>17</v>
      </c>
      <c r="G28" s="4">
        <v>23</v>
      </c>
      <c r="H28" s="4">
        <v>21</v>
      </c>
      <c r="I28" s="4">
        <v>24</v>
      </c>
      <c r="J28" s="4">
        <v>21</v>
      </c>
      <c r="K28" s="4">
        <v>17</v>
      </c>
      <c r="L28" s="4">
        <v>16</v>
      </c>
      <c r="M28" s="4">
        <v>175</v>
      </c>
      <c r="N28" s="4">
        <f t="shared" si="2"/>
        <v>139</v>
      </c>
      <c r="O28" s="45">
        <f t="shared" si="3"/>
        <v>0.79428571428571426</v>
      </c>
      <c r="P28" s="4"/>
    </row>
    <row r="29" spans="1:16" x14ac:dyDescent="0.25">
      <c r="A29" s="7">
        <v>35</v>
      </c>
      <c r="B29" s="35">
        <v>618</v>
      </c>
      <c r="C29" s="36" t="s">
        <v>656</v>
      </c>
      <c r="D29" s="34" t="s">
        <v>657</v>
      </c>
      <c r="E29" s="7" t="s">
        <v>713</v>
      </c>
      <c r="F29" s="4">
        <v>19</v>
      </c>
      <c r="G29" s="4">
        <v>20</v>
      </c>
      <c r="H29" s="4">
        <v>23</v>
      </c>
      <c r="I29" s="4">
        <v>20</v>
      </c>
      <c r="J29" s="4">
        <v>22</v>
      </c>
      <c r="K29" s="4">
        <v>23</v>
      </c>
      <c r="L29" s="4">
        <v>17</v>
      </c>
      <c r="M29" s="4">
        <v>175</v>
      </c>
      <c r="N29" s="4">
        <f t="shared" si="2"/>
        <v>144</v>
      </c>
      <c r="O29" s="45">
        <f t="shared" si="3"/>
        <v>0.82285714285714284</v>
      </c>
      <c r="P29" s="4"/>
    </row>
    <row r="30" spans="1:16" x14ac:dyDescent="0.25">
      <c r="A30" s="7">
        <v>36</v>
      </c>
      <c r="B30" s="35">
        <v>633</v>
      </c>
      <c r="C30" s="36" t="s">
        <v>658</v>
      </c>
      <c r="D30" s="34" t="s">
        <v>659</v>
      </c>
      <c r="E30" s="7" t="s">
        <v>713</v>
      </c>
      <c r="F30" s="4">
        <v>18</v>
      </c>
      <c r="G30" s="4">
        <v>19</v>
      </c>
      <c r="H30" s="4">
        <v>20</v>
      </c>
      <c r="I30" s="4">
        <v>20</v>
      </c>
      <c r="J30" s="4">
        <v>23</v>
      </c>
      <c r="K30" s="4">
        <v>18</v>
      </c>
      <c r="L30" s="4">
        <v>16</v>
      </c>
      <c r="M30" s="4">
        <v>175</v>
      </c>
      <c r="N30" s="4">
        <f t="shared" si="2"/>
        <v>134</v>
      </c>
      <c r="O30" s="45">
        <f t="shared" si="3"/>
        <v>0.76571428571428568</v>
      </c>
      <c r="P30" s="4"/>
    </row>
    <row r="31" spans="1:16" x14ac:dyDescent="0.25">
      <c r="A31" s="7">
        <v>37</v>
      </c>
      <c r="B31" s="35">
        <v>614</v>
      </c>
      <c r="C31" s="36" t="s">
        <v>660</v>
      </c>
      <c r="D31" s="34" t="s">
        <v>661</v>
      </c>
      <c r="E31" s="7" t="s">
        <v>713</v>
      </c>
      <c r="F31" s="4">
        <v>24</v>
      </c>
      <c r="G31" s="4">
        <v>24</v>
      </c>
      <c r="H31" s="4">
        <v>23</v>
      </c>
      <c r="I31" s="4">
        <v>22</v>
      </c>
      <c r="J31" s="4">
        <v>20</v>
      </c>
      <c r="K31" s="4">
        <v>23</v>
      </c>
      <c r="L31" s="4">
        <v>22</v>
      </c>
      <c r="M31" s="4">
        <v>175</v>
      </c>
      <c r="N31" s="4">
        <f t="shared" si="2"/>
        <v>158</v>
      </c>
      <c r="O31" s="45">
        <f t="shared" si="3"/>
        <v>0.9028571428571428</v>
      </c>
      <c r="P31" s="4"/>
    </row>
    <row r="32" spans="1:16" x14ac:dyDescent="0.25">
      <c r="A32" s="7">
        <v>38</v>
      </c>
      <c r="B32" s="35">
        <v>778</v>
      </c>
      <c r="C32" s="36" t="s">
        <v>662</v>
      </c>
      <c r="D32" s="34" t="s">
        <v>514</v>
      </c>
      <c r="E32" s="7" t="s">
        <v>713</v>
      </c>
      <c r="F32" s="4">
        <v>18</v>
      </c>
      <c r="G32" s="4">
        <v>19</v>
      </c>
      <c r="H32" s="4">
        <v>12</v>
      </c>
      <c r="I32" s="4">
        <v>16</v>
      </c>
      <c r="J32" s="4">
        <v>22</v>
      </c>
      <c r="K32" s="4">
        <v>20</v>
      </c>
      <c r="L32" s="4">
        <v>23</v>
      </c>
      <c r="M32" s="4">
        <v>175</v>
      </c>
      <c r="N32" s="4">
        <f t="shared" si="2"/>
        <v>130</v>
      </c>
      <c r="O32" s="45">
        <f t="shared" si="3"/>
        <v>0.74285714285714288</v>
      </c>
      <c r="P32" s="4"/>
    </row>
    <row r="33" spans="1:16" x14ac:dyDescent="0.25">
      <c r="A33" s="7">
        <v>39</v>
      </c>
      <c r="B33" s="35">
        <v>379</v>
      </c>
      <c r="C33" s="36" t="s">
        <v>663</v>
      </c>
      <c r="D33" s="34" t="s">
        <v>98</v>
      </c>
      <c r="E33" s="7" t="s">
        <v>713</v>
      </c>
      <c r="F33" s="4">
        <v>19</v>
      </c>
      <c r="G33" s="4">
        <v>20</v>
      </c>
      <c r="H33" s="4">
        <v>22</v>
      </c>
      <c r="I33" s="4">
        <v>23</v>
      </c>
      <c r="J33" s="4">
        <v>22</v>
      </c>
      <c r="K33" s="4">
        <v>23</v>
      </c>
      <c r="L33" s="4">
        <v>24</v>
      </c>
      <c r="M33" s="4">
        <v>175</v>
      </c>
      <c r="N33" s="4">
        <f t="shared" si="2"/>
        <v>153</v>
      </c>
      <c r="O33" s="45">
        <f t="shared" si="3"/>
        <v>0.87428571428571433</v>
      </c>
      <c r="P33" s="4"/>
    </row>
    <row r="34" spans="1:16" x14ac:dyDescent="0.25">
      <c r="A34" s="7">
        <v>40</v>
      </c>
      <c r="B34" s="35">
        <v>566</v>
      </c>
      <c r="C34" s="36" t="s">
        <v>664</v>
      </c>
      <c r="D34" s="34" t="s">
        <v>590</v>
      </c>
      <c r="E34" s="7" t="s">
        <v>713</v>
      </c>
      <c r="F34" s="4">
        <v>23</v>
      </c>
      <c r="G34" s="4">
        <v>18</v>
      </c>
      <c r="H34" s="4">
        <v>19</v>
      </c>
      <c r="I34" s="4">
        <v>21</v>
      </c>
      <c r="J34" s="4">
        <v>24</v>
      </c>
      <c r="K34" s="4">
        <v>21</v>
      </c>
      <c r="L34" s="4">
        <v>18</v>
      </c>
      <c r="M34" s="4">
        <v>175</v>
      </c>
      <c r="N34" s="4">
        <f t="shared" si="2"/>
        <v>144</v>
      </c>
      <c r="O34" s="45">
        <f t="shared" si="3"/>
        <v>0.82285714285714284</v>
      </c>
      <c r="P34" s="4"/>
    </row>
    <row r="35" spans="1:16" x14ac:dyDescent="0.25">
      <c r="A35" s="7">
        <v>41</v>
      </c>
      <c r="B35" s="35">
        <v>716</v>
      </c>
      <c r="C35" s="36" t="s">
        <v>151</v>
      </c>
      <c r="D35" s="34" t="s">
        <v>665</v>
      </c>
      <c r="E35" s="7" t="s">
        <v>713</v>
      </c>
      <c r="F35" s="4">
        <v>15</v>
      </c>
      <c r="G35" s="4">
        <v>16</v>
      </c>
      <c r="H35" s="4">
        <v>20</v>
      </c>
      <c r="I35" s="4">
        <v>17</v>
      </c>
      <c r="J35" s="4">
        <v>13</v>
      </c>
      <c r="K35" s="4">
        <v>11</v>
      </c>
      <c r="L35" s="4">
        <v>20</v>
      </c>
      <c r="M35" s="4">
        <v>175</v>
      </c>
      <c r="N35" s="4">
        <f t="shared" si="2"/>
        <v>112</v>
      </c>
      <c r="O35" s="45">
        <f t="shared" si="3"/>
        <v>0.64</v>
      </c>
      <c r="P35" s="4"/>
    </row>
    <row r="36" spans="1:16" x14ac:dyDescent="0.25">
      <c r="A36" s="7">
        <v>42</v>
      </c>
      <c r="B36" s="35">
        <v>769</v>
      </c>
      <c r="C36" s="36" t="s">
        <v>603</v>
      </c>
      <c r="D36" s="34" t="s">
        <v>666</v>
      </c>
      <c r="E36" s="7" t="s">
        <v>713</v>
      </c>
      <c r="F36" s="23">
        <v>14</v>
      </c>
      <c r="G36" s="23">
        <v>15</v>
      </c>
      <c r="H36" s="23">
        <v>21</v>
      </c>
      <c r="I36" s="23">
        <v>18</v>
      </c>
      <c r="J36" s="23">
        <v>19</v>
      </c>
      <c r="K36" s="23">
        <v>14</v>
      </c>
      <c r="L36" s="23">
        <v>17</v>
      </c>
      <c r="M36" s="4">
        <v>175</v>
      </c>
      <c r="N36" s="4">
        <f t="shared" si="2"/>
        <v>118</v>
      </c>
      <c r="O36" s="45">
        <f t="shared" si="3"/>
        <v>0.67428571428571427</v>
      </c>
      <c r="P36" s="4"/>
    </row>
    <row r="37" spans="1:16" x14ac:dyDescent="0.25">
      <c r="A37" s="7">
        <v>43</v>
      </c>
      <c r="B37" s="35">
        <v>613</v>
      </c>
      <c r="C37" s="33" t="s">
        <v>667</v>
      </c>
      <c r="D37" s="43" t="s">
        <v>661</v>
      </c>
      <c r="E37" s="7" t="s">
        <v>713</v>
      </c>
      <c r="F37" s="10">
        <v>22</v>
      </c>
      <c r="G37" s="10">
        <v>24</v>
      </c>
      <c r="H37" s="10">
        <v>21</v>
      </c>
      <c r="I37" s="10">
        <v>20</v>
      </c>
      <c r="J37" s="10">
        <v>19</v>
      </c>
      <c r="K37" s="10">
        <v>18</v>
      </c>
      <c r="L37" s="10">
        <v>22</v>
      </c>
      <c r="M37" s="4">
        <v>175</v>
      </c>
      <c r="N37" s="4">
        <f t="shared" si="2"/>
        <v>146</v>
      </c>
      <c r="O37" s="45">
        <f t="shared" si="3"/>
        <v>0.8342857142857143</v>
      </c>
      <c r="P37" s="4"/>
    </row>
    <row r="38" spans="1:16" x14ac:dyDescent="0.25">
      <c r="A38" s="7">
        <v>44</v>
      </c>
      <c r="B38" s="35">
        <v>907</v>
      </c>
      <c r="C38" s="36" t="s">
        <v>668</v>
      </c>
      <c r="D38" s="34" t="s">
        <v>237</v>
      </c>
      <c r="E38" s="7" t="s">
        <v>713</v>
      </c>
      <c r="F38" s="10">
        <v>22</v>
      </c>
      <c r="G38" s="10">
        <v>23</v>
      </c>
      <c r="H38" s="10">
        <v>20</v>
      </c>
      <c r="I38" s="10">
        <v>18</v>
      </c>
      <c r="J38" s="10">
        <v>19</v>
      </c>
      <c r="K38" s="10">
        <v>16</v>
      </c>
      <c r="L38" s="10">
        <v>18</v>
      </c>
      <c r="M38" s="4">
        <v>175</v>
      </c>
      <c r="N38" s="4">
        <f t="shared" si="2"/>
        <v>136</v>
      </c>
      <c r="O38" s="45">
        <f t="shared" si="3"/>
        <v>0.77714285714285714</v>
      </c>
      <c r="P38" s="4"/>
    </row>
    <row r="39" spans="1:16" x14ac:dyDescent="0.25">
      <c r="A39" s="7">
        <v>45</v>
      </c>
      <c r="B39" s="35">
        <v>354</v>
      </c>
      <c r="C39" s="36" t="s">
        <v>147</v>
      </c>
      <c r="D39" s="34" t="s">
        <v>669</v>
      </c>
      <c r="E39" s="7" t="s">
        <v>713</v>
      </c>
      <c r="F39" s="10">
        <v>14</v>
      </c>
      <c r="G39" s="10">
        <v>15</v>
      </c>
      <c r="H39" s="10">
        <v>17</v>
      </c>
      <c r="I39" s="10">
        <v>18</v>
      </c>
      <c r="J39" s="10">
        <v>21</v>
      </c>
      <c r="K39" s="10">
        <v>15</v>
      </c>
      <c r="L39" s="10">
        <v>17</v>
      </c>
      <c r="M39" s="4">
        <v>175</v>
      </c>
      <c r="N39" s="4">
        <f t="shared" si="2"/>
        <v>117</v>
      </c>
      <c r="O39" s="45">
        <f t="shared" si="3"/>
        <v>0.66857142857142859</v>
      </c>
      <c r="P39" s="4"/>
    </row>
    <row r="40" spans="1:16" x14ac:dyDescent="0.25">
      <c r="A40" s="7">
        <v>46</v>
      </c>
      <c r="B40" s="35">
        <v>339</v>
      </c>
      <c r="C40" s="36" t="s">
        <v>670</v>
      </c>
      <c r="D40" s="34" t="s">
        <v>671</v>
      </c>
      <c r="E40" s="7" t="s">
        <v>713</v>
      </c>
      <c r="F40" s="10">
        <v>10</v>
      </c>
      <c r="G40" s="10">
        <v>9</v>
      </c>
      <c r="H40" s="10">
        <v>11</v>
      </c>
      <c r="I40" s="10">
        <v>18</v>
      </c>
      <c r="J40" s="10">
        <v>16</v>
      </c>
      <c r="K40" s="10">
        <v>12</v>
      </c>
      <c r="L40" s="10">
        <v>19</v>
      </c>
      <c r="M40" s="4">
        <v>175</v>
      </c>
      <c r="N40" s="4">
        <f t="shared" si="2"/>
        <v>95</v>
      </c>
      <c r="O40" s="45">
        <f t="shared" si="3"/>
        <v>0.54285714285714282</v>
      </c>
      <c r="P40" s="4"/>
    </row>
    <row r="41" spans="1:16" x14ac:dyDescent="0.25">
      <c r="A41" s="7">
        <v>47</v>
      </c>
      <c r="B41" s="35">
        <v>855</v>
      </c>
      <c r="C41" s="36" t="s">
        <v>672</v>
      </c>
      <c r="D41" s="34" t="s">
        <v>673</v>
      </c>
      <c r="E41" s="7" t="s">
        <v>713</v>
      </c>
      <c r="F41" s="10">
        <v>22</v>
      </c>
      <c r="G41" s="10">
        <v>23</v>
      </c>
      <c r="H41" s="10">
        <v>20</v>
      </c>
      <c r="I41" s="10">
        <v>19</v>
      </c>
      <c r="J41" s="10">
        <v>21</v>
      </c>
      <c r="K41" s="10">
        <v>22</v>
      </c>
      <c r="L41" s="10">
        <v>23</v>
      </c>
      <c r="M41" s="4">
        <v>175</v>
      </c>
      <c r="N41" s="4">
        <f t="shared" si="2"/>
        <v>150</v>
      </c>
      <c r="O41" s="45">
        <f t="shared" si="3"/>
        <v>0.8571428571428571</v>
      </c>
      <c r="P41" s="4"/>
    </row>
    <row r="42" spans="1:16" x14ac:dyDescent="0.25">
      <c r="A42" s="7">
        <v>48</v>
      </c>
      <c r="B42" s="35">
        <v>879</v>
      </c>
      <c r="C42" s="36" t="s">
        <v>674</v>
      </c>
      <c r="D42" s="34" t="s">
        <v>675</v>
      </c>
      <c r="E42" s="7" t="s">
        <v>713</v>
      </c>
      <c r="F42" s="10">
        <v>5</v>
      </c>
      <c r="G42" s="10">
        <v>4</v>
      </c>
      <c r="H42" s="10">
        <v>7</v>
      </c>
      <c r="I42" s="10">
        <v>8</v>
      </c>
      <c r="J42" s="10">
        <v>5</v>
      </c>
      <c r="K42" s="10">
        <v>4</v>
      </c>
      <c r="L42" s="10">
        <v>2</v>
      </c>
      <c r="M42" s="4">
        <v>175</v>
      </c>
      <c r="N42" s="4">
        <f t="shared" si="2"/>
        <v>35</v>
      </c>
      <c r="O42" s="45">
        <f t="shared" si="3"/>
        <v>0.2</v>
      </c>
      <c r="P42" s="4"/>
    </row>
    <row r="43" spans="1:16" x14ac:dyDescent="0.25">
      <c r="A43" s="7">
        <v>49</v>
      </c>
      <c r="B43" s="35">
        <v>305</v>
      </c>
      <c r="C43" s="36" t="s">
        <v>676</v>
      </c>
      <c r="D43" s="34" t="s">
        <v>503</v>
      </c>
      <c r="E43" s="7" t="s">
        <v>713</v>
      </c>
      <c r="F43" s="10">
        <v>7</v>
      </c>
      <c r="G43" s="10">
        <v>15</v>
      </c>
      <c r="H43" s="10">
        <v>14</v>
      </c>
      <c r="I43" s="10">
        <v>9</v>
      </c>
      <c r="J43" s="10">
        <v>3</v>
      </c>
      <c r="K43" s="10">
        <v>8</v>
      </c>
      <c r="L43" s="10">
        <v>5</v>
      </c>
      <c r="M43" s="4">
        <v>175</v>
      </c>
      <c r="N43" s="4">
        <f t="shared" si="2"/>
        <v>61</v>
      </c>
      <c r="O43" s="45">
        <f t="shared" si="3"/>
        <v>0.34857142857142859</v>
      </c>
      <c r="P43" s="4"/>
    </row>
    <row r="44" spans="1:16" x14ac:dyDescent="0.25">
      <c r="A44" s="7">
        <v>50</v>
      </c>
      <c r="B44" s="35">
        <v>713</v>
      </c>
      <c r="C44" s="36" t="s">
        <v>142</v>
      </c>
      <c r="D44" s="34" t="s">
        <v>96</v>
      </c>
      <c r="E44" s="7" t="s">
        <v>713</v>
      </c>
      <c r="F44" s="10">
        <v>18</v>
      </c>
      <c r="G44" s="10">
        <v>12</v>
      </c>
      <c r="H44" s="10">
        <v>18</v>
      </c>
      <c r="I44" s="10">
        <v>19</v>
      </c>
      <c r="J44" s="10">
        <v>22</v>
      </c>
      <c r="K44" s="10">
        <v>20</v>
      </c>
      <c r="L44" s="10">
        <v>21</v>
      </c>
      <c r="M44" s="4">
        <v>175</v>
      </c>
      <c r="N44" s="4">
        <f t="shared" si="2"/>
        <v>130</v>
      </c>
      <c r="O44" s="45">
        <f t="shared" si="3"/>
        <v>0.74285714285714288</v>
      </c>
      <c r="P44" s="4"/>
    </row>
    <row r="45" spans="1:16" x14ac:dyDescent="0.25">
      <c r="A45" s="7">
        <v>51</v>
      </c>
      <c r="B45" s="35">
        <v>789</v>
      </c>
      <c r="C45" s="36" t="s">
        <v>677</v>
      </c>
      <c r="D45" s="34" t="s">
        <v>581</v>
      </c>
      <c r="E45" s="7" t="s">
        <v>713</v>
      </c>
      <c r="F45" s="10">
        <v>9</v>
      </c>
      <c r="G45" s="10">
        <v>8</v>
      </c>
      <c r="H45" s="10">
        <v>9</v>
      </c>
      <c r="I45" s="10">
        <v>18</v>
      </c>
      <c r="J45" s="10">
        <v>12</v>
      </c>
      <c r="K45" s="10">
        <v>15</v>
      </c>
      <c r="L45" s="10">
        <v>18</v>
      </c>
      <c r="M45" s="4">
        <v>175</v>
      </c>
      <c r="N45" s="4">
        <f t="shared" si="2"/>
        <v>89</v>
      </c>
      <c r="O45" s="45">
        <f t="shared" si="3"/>
        <v>0.50857142857142856</v>
      </c>
      <c r="P45" s="4"/>
    </row>
    <row r="46" spans="1:16" x14ac:dyDescent="0.25">
      <c r="A46" s="7">
        <v>52</v>
      </c>
      <c r="B46" s="35">
        <v>435</v>
      </c>
      <c r="C46" s="36" t="s">
        <v>678</v>
      </c>
      <c r="D46" s="34" t="s">
        <v>89</v>
      </c>
      <c r="E46" s="7" t="s">
        <v>713</v>
      </c>
      <c r="F46" s="10">
        <v>9</v>
      </c>
      <c r="G46" s="10">
        <v>8</v>
      </c>
      <c r="H46" s="10">
        <v>12</v>
      </c>
      <c r="I46" s="10">
        <v>23</v>
      </c>
      <c r="J46" s="10">
        <v>20</v>
      </c>
      <c r="K46" s="10">
        <v>11</v>
      </c>
      <c r="L46" s="10">
        <v>12</v>
      </c>
      <c r="M46" s="4">
        <v>175</v>
      </c>
      <c r="N46" s="4">
        <f t="shared" si="2"/>
        <v>95</v>
      </c>
      <c r="O46" s="45">
        <f t="shared" si="3"/>
        <v>0.54285714285714282</v>
      </c>
      <c r="P46" s="4"/>
    </row>
    <row r="47" spans="1:16" x14ac:dyDescent="0.25">
      <c r="A47" s="30">
        <v>53</v>
      </c>
      <c r="B47" s="35">
        <v>903</v>
      </c>
      <c r="C47" s="36" t="s">
        <v>546</v>
      </c>
      <c r="D47" s="34" t="s">
        <v>679</v>
      </c>
      <c r="E47" s="7" t="s">
        <v>713</v>
      </c>
      <c r="F47" s="31">
        <v>7</v>
      </c>
      <c r="G47" s="31">
        <v>9</v>
      </c>
      <c r="H47" s="31">
        <v>8</v>
      </c>
      <c r="I47" s="31">
        <v>6</v>
      </c>
      <c r="J47" s="31">
        <v>7</v>
      </c>
      <c r="K47" s="31">
        <v>8</v>
      </c>
      <c r="L47" s="31">
        <v>5</v>
      </c>
      <c r="M47" s="4">
        <v>175</v>
      </c>
      <c r="N47" s="4">
        <f t="shared" si="2"/>
        <v>50</v>
      </c>
      <c r="O47" s="45">
        <f t="shared" si="3"/>
        <v>0.2857142857142857</v>
      </c>
      <c r="P47" s="30"/>
    </row>
  </sheetData>
  <mergeCells count="15">
    <mergeCell ref="A1:P1"/>
    <mergeCell ref="A2:P2"/>
    <mergeCell ref="A3:P3"/>
    <mergeCell ref="A4:A6"/>
    <mergeCell ref="B4:B6"/>
    <mergeCell ref="C4:C6"/>
    <mergeCell ref="D4:D6"/>
    <mergeCell ref="E4:E6"/>
    <mergeCell ref="F4:L4"/>
    <mergeCell ref="M4:M5"/>
    <mergeCell ref="N4:N6"/>
    <mergeCell ref="O4:O6"/>
    <mergeCell ref="P4:P6"/>
    <mergeCell ref="A7:P7"/>
    <mergeCell ref="A23:P23"/>
  </mergeCells>
  <conditionalFormatting sqref="B8:B11">
    <cfRule type="duplicateValues" dxfId="23" priority="4"/>
  </conditionalFormatting>
  <conditionalFormatting sqref="B8:B22">
    <cfRule type="duplicateValues" dxfId="22" priority="5"/>
  </conditionalFormatting>
  <conditionalFormatting sqref="B12:B22">
    <cfRule type="duplicateValues" dxfId="21" priority="3"/>
  </conditionalFormatting>
  <conditionalFormatting sqref="B24:B37">
    <cfRule type="duplicateValues" dxfId="20" priority="1"/>
  </conditionalFormatting>
  <conditionalFormatting sqref="B24:B47">
    <cfRule type="duplicateValues" dxfId="19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695BC-CE84-4C22-8C5C-D24FFEDA21B2}">
  <dimension ref="A1:P53"/>
  <sheetViews>
    <sheetView topLeftCell="A5" workbookViewId="0">
      <selection activeCell="F40" sqref="F40:L40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2.28515625" bestFit="1" customWidth="1"/>
    <col min="4" max="4" width="27.7109375" bestFit="1" customWidth="1"/>
    <col min="6" max="15" width="5.7109375" customWidth="1"/>
    <col min="16" max="16" width="20.7109375" customWidth="1"/>
  </cols>
  <sheetData>
    <row r="1" spans="1:16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 x14ac:dyDescent="0.25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</row>
    <row r="3" spans="1:16" x14ac:dyDescent="0.25">
      <c r="A3" s="57" t="s">
        <v>239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 spans="1:16" x14ac:dyDescent="0.25">
      <c r="A4" s="52" t="s">
        <v>2</v>
      </c>
      <c r="B4" s="52" t="s">
        <v>3</v>
      </c>
      <c r="C4" s="52" t="s">
        <v>5</v>
      </c>
      <c r="D4" s="52" t="s">
        <v>6</v>
      </c>
      <c r="E4" s="52" t="s">
        <v>4</v>
      </c>
      <c r="F4" s="56" t="s">
        <v>7</v>
      </c>
      <c r="G4" s="56"/>
      <c r="H4" s="56"/>
      <c r="I4" s="56"/>
      <c r="J4" s="56"/>
      <c r="K4" s="56"/>
      <c r="L4" s="56"/>
      <c r="M4" s="52" t="s">
        <v>15</v>
      </c>
      <c r="N4" s="52" t="s">
        <v>16</v>
      </c>
      <c r="O4" s="52" t="s">
        <v>17</v>
      </c>
      <c r="P4" s="56" t="s">
        <v>18</v>
      </c>
    </row>
    <row r="5" spans="1:16" ht="43.5" x14ac:dyDescent="0.25">
      <c r="A5" s="52"/>
      <c r="B5" s="52"/>
      <c r="C5" s="52"/>
      <c r="D5" s="52"/>
      <c r="E5" s="52"/>
      <c r="F5" s="2" t="s">
        <v>10</v>
      </c>
      <c r="G5" s="2" t="s">
        <v>135</v>
      </c>
      <c r="H5" s="2" t="s">
        <v>11</v>
      </c>
      <c r="I5" s="2" t="s">
        <v>136</v>
      </c>
      <c r="J5" s="2" t="s">
        <v>567</v>
      </c>
      <c r="K5" s="2" t="s">
        <v>566</v>
      </c>
      <c r="L5" s="2" t="s">
        <v>409</v>
      </c>
      <c r="M5" s="52"/>
      <c r="N5" s="52"/>
      <c r="O5" s="52"/>
      <c r="P5" s="56"/>
    </row>
    <row r="6" spans="1:16" x14ac:dyDescent="0.25">
      <c r="A6" s="52"/>
      <c r="B6" s="52"/>
      <c r="C6" s="52"/>
      <c r="D6" s="52"/>
      <c r="E6" s="52"/>
      <c r="F6" s="3">
        <v>25</v>
      </c>
      <c r="G6" s="3">
        <v>25</v>
      </c>
      <c r="H6" s="3">
        <v>25</v>
      </c>
      <c r="I6" s="3">
        <v>25</v>
      </c>
      <c r="J6" s="3">
        <v>25</v>
      </c>
      <c r="K6" s="3">
        <v>25</v>
      </c>
      <c r="L6" s="3">
        <v>25</v>
      </c>
      <c r="M6" s="3">
        <f>SUM(F6:L6)</f>
        <v>175</v>
      </c>
      <c r="N6" s="52"/>
      <c r="O6" s="52"/>
      <c r="P6" s="56"/>
    </row>
    <row r="7" spans="1:16" ht="21" x14ac:dyDescent="0.35">
      <c r="A7" s="64" t="s">
        <v>185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 x14ac:dyDescent="0.25">
      <c r="A8" s="7">
        <v>1</v>
      </c>
      <c r="B8" s="46">
        <v>885</v>
      </c>
      <c r="C8" s="36" t="s">
        <v>112</v>
      </c>
      <c r="D8" s="34" t="s">
        <v>680</v>
      </c>
      <c r="E8" s="7" t="s">
        <v>714</v>
      </c>
      <c r="F8" s="4">
        <v>20</v>
      </c>
      <c r="G8" s="4">
        <v>21</v>
      </c>
      <c r="H8" s="4">
        <v>18</v>
      </c>
      <c r="I8" s="4">
        <v>19</v>
      </c>
      <c r="J8" s="4">
        <v>20</v>
      </c>
      <c r="K8" s="4">
        <v>20</v>
      </c>
      <c r="L8" s="4">
        <v>22</v>
      </c>
      <c r="M8" s="4">
        <v>175</v>
      </c>
      <c r="N8" s="4">
        <f>SUM(F8:L8)</f>
        <v>140</v>
      </c>
      <c r="O8" s="45">
        <f>N8/M8</f>
        <v>0.8</v>
      </c>
      <c r="P8" s="4"/>
    </row>
    <row r="9" spans="1:16" x14ac:dyDescent="0.25">
      <c r="A9" s="7">
        <v>2</v>
      </c>
      <c r="B9" s="46">
        <v>482</v>
      </c>
      <c r="C9" s="36" t="s">
        <v>681</v>
      </c>
      <c r="D9" s="34" t="s">
        <v>682</v>
      </c>
      <c r="E9" s="7" t="s">
        <v>714</v>
      </c>
      <c r="F9" s="4">
        <v>10</v>
      </c>
      <c r="G9" s="4">
        <v>12</v>
      </c>
      <c r="H9" s="4">
        <v>15</v>
      </c>
      <c r="I9" s="4">
        <v>11</v>
      </c>
      <c r="J9" s="4">
        <v>13</v>
      </c>
      <c r="K9" s="4">
        <v>12</v>
      </c>
      <c r="L9" s="4">
        <v>18</v>
      </c>
      <c r="M9" s="4">
        <v>175</v>
      </c>
      <c r="N9" s="4">
        <f t="shared" ref="N9:N34" si="0">SUM(F9:L9)</f>
        <v>91</v>
      </c>
      <c r="O9" s="45">
        <f t="shared" ref="O9:O34" si="1">N9/M9</f>
        <v>0.52</v>
      </c>
      <c r="P9" s="4"/>
    </row>
    <row r="10" spans="1:16" x14ac:dyDescent="0.25">
      <c r="A10" s="7">
        <v>3</v>
      </c>
      <c r="B10" s="46">
        <v>331</v>
      </c>
      <c r="C10" s="36" t="s">
        <v>683</v>
      </c>
      <c r="D10" s="34" t="s">
        <v>655</v>
      </c>
      <c r="E10" s="7" t="s">
        <v>714</v>
      </c>
      <c r="F10" s="4">
        <v>2</v>
      </c>
      <c r="G10" s="4">
        <v>3</v>
      </c>
      <c r="H10" s="4">
        <v>5</v>
      </c>
      <c r="I10" s="4">
        <v>0</v>
      </c>
      <c r="J10" s="4">
        <v>0</v>
      </c>
      <c r="K10" s="4">
        <v>5</v>
      </c>
      <c r="L10" s="4">
        <v>10</v>
      </c>
      <c r="M10" s="4">
        <v>175</v>
      </c>
      <c r="N10" s="4">
        <f t="shared" si="0"/>
        <v>25</v>
      </c>
      <c r="O10" s="45">
        <f t="shared" si="1"/>
        <v>0.14285714285714285</v>
      </c>
      <c r="P10" s="4"/>
    </row>
    <row r="11" spans="1:16" x14ac:dyDescent="0.25">
      <c r="A11" s="7">
        <v>4</v>
      </c>
      <c r="B11" s="46">
        <v>306</v>
      </c>
      <c r="C11" s="36" t="s">
        <v>684</v>
      </c>
      <c r="D11" s="34" t="s">
        <v>193</v>
      </c>
      <c r="E11" s="7" t="s">
        <v>714</v>
      </c>
      <c r="F11" s="4">
        <v>4</v>
      </c>
      <c r="G11" s="4">
        <v>4</v>
      </c>
      <c r="H11" s="4">
        <v>8</v>
      </c>
      <c r="I11" s="4">
        <v>2</v>
      </c>
      <c r="J11" s="4">
        <v>0</v>
      </c>
      <c r="K11" s="4">
        <v>5</v>
      </c>
      <c r="L11" s="4">
        <v>13</v>
      </c>
      <c r="M11" s="4">
        <v>175</v>
      </c>
      <c r="N11" s="4">
        <f t="shared" si="0"/>
        <v>36</v>
      </c>
      <c r="O11" s="45">
        <f t="shared" si="1"/>
        <v>0.20571428571428571</v>
      </c>
      <c r="P11" s="4"/>
    </row>
    <row r="12" spans="1:16" x14ac:dyDescent="0.25">
      <c r="A12" s="7">
        <v>5</v>
      </c>
      <c r="B12" s="46">
        <v>567</v>
      </c>
      <c r="C12" s="36" t="s">
        <v>685</v>
      </c>
      <c r="D12" s="34" t="s">
        <v>686</v>
      </c>
      <c r="E12" s="7" t="s">
        <v>714</v>
      </c>
      <c r="F12" s="4">
        <v>5</v>
      </c>
      <c r="G12" s="4">
        <v>9</v>
      </c>
      <c r="H12" s="4">
        <v>11</v>
      </c>
      <c r="I12" s="4">
        <v>10</v>
      </c>
      <c r="J12" s="4">
        <v>6</v>
      </c>
      <c r="K12" s="4">
        <v>10</v>
      </c>
      <c r="L12" s="4">
        <v>15</v>
      </c>
      <c r="M12" s="4">
        <v>175</v>
      </c>
      <c r="N12" s="4">
        <f t="shared" ref="N12:N24" si="2">SUM(F12:L12)</f>
        <v>66</v>
      </c>
      <c r="O12" s="45">
        <f t="shared" ref="O12:O24" si="3">N12/M12</f>
        <v>0.37714285714285717</v>
      </c>
      <c r="P12" s="4"/>
    </row>
    <row r="13" spans="1:16" x14ac:dyDescent="0.25">
      <c r="A13" s="7">
        <v>6</v>
      </c>
      <c r="B13" s="46">
        <v>721</v>
      </c>
      <c r="C13" s="36" t="s">
        <v>57</v>
      </c>
      <c r="D13" s="34" t="s">
        <v>609</v>
      </c>
      <c r="E13" s="7" t="s">
        <v>714</v>
      </c>
      <c r="F13" s="4">
        <v>12</v>
      </c>
      <c r="G13" s="4">
        <v>14</v>
      </c>
      <c r="H13" s="4">
        <v>14</v>
      </c>
      <c r="I13" s="4">
        <v>13</v>
      </c>
      <c r="J13" s="4">
        <v>11</v>
      </c>
      <c r="K13" s="4">
        <v>15</v>
      </c>
      <c r="L13" s="4">
        <v>18</v>
      </c>
      <c r="M13" s="4">
        <v>175</v>
      </c>
      <c r="N13" s="4">
        <f t="shared" si="2"/>
        <v>97</v>
      </c>
      <c r="O13" s="45">
        <f t="shared" si="3"/>
        <v>0.55428571428571427</v>
      </c>
      <c r="P13" s="4"/>
    </row>
    <row r="14" spans="1:16" x14ac:dyDescent="0.25">
      <c r="A14" s="7">
        <v>7</v>
      </c>
      <c r="B14" s="46">
        <v>342</v>
      </c>
      <c r="C14" s="36" t="s">
        <v>687</v>
      </c>
      <c r="D14" s="34" t="s">
        <v>496</v>
      </c>
      <c r="E14" s="7" t="s">
        <v>714</v>
      </c>
      <c r="F14" s="4">
        <v>12</v>
      </c>
      <c r="G14" s="4">
        <v>12</v>
      </c>
      <c r="H14" s="4">
        <v>15</v>
      </c>
      <c r="I14" s="4">
        <v>10</v>
      </c>
      <c r="J14" s="4">
        <v>11</v>
      </c>
      <c r="K14" s="4">
        <v>15</v>
      </c>
      <c r="L14" s="4">
        <v>19</v>
      </c>
      <c r="M14" s="4">
        <v>175</v>
      </c>
      <c r="N14" s="4">
        <f t="shared" si="2"/>
        <v>94</v>
      </c>
      <c r="O14" s="45">
        <f t="shared" si="3"/>
        <v>0.53714285714285714</v>
      </c>
      <c r="P14" s="4"/>
    </row>
    <row r="15" spans="1:16" x14ac:dyDescent="0.25">
      <c r="A15" s="7">
        <v>8</v>
      </c>
      <c r="B15" s="46">
        <v>625</v>
      </c>
      <c r="C15" s="36" t="s">
        <v>688</v>
      </c>
      <c r="D15" s="34" t="s">
        <v>689</v>
      </c>
      <c r="E15" s="7" t="s">
        <v>714</v>
      </c>
      <c r="F15" s="4">
        <v>10</v>
      </c>
      <c r="G15" s="4">
        <v>12</v>
      </c>
      <c r="H15" s="4">
        <v>12</v>
      </c>
      <c r="I15" s="4">
        <v>10</v>
      </c>
      <c r="J15" s="4">
        <v>8</v>
      </c>
      <c r="K15" s="4">
        <v>11</v>
      </c>
      <c r="L15" s="4">
        <v>14</v>
      </c>
      <c r="M15" s="4">
        <v>175</v>
      </c>
      <c r="N15" s="4">
        <f t="shared" si="2"/>
        <v>77</v>
      </c>
      <c r="O15" s="45">
        <f t="shared" si="3"/>
        <v>0.44</v>
      </c>
      <c r="P15" s="4"/>
    </row>
    <row r="16" spans="1:16" x14ac:dyDescent="0.25">
      <c r="A16" s="7">
        <v>9</v>
      </c>
      <c r="B16" s="46">
        <v>627</v>
      </c>
      <c r="C16" s="36" t="s">
        <v>690</v>
      </c>
      <c r="D16" s="34" t="s">
        <v>691</v>
      </c>
      <c r="E16" s="7" t="s">
        <v>714</v>
      </c>
      <c r="F16" s="4">
        <v>18</v>
      </c>
      <c r="G16" s="4">
        <v>20</v>
      </c>
      <c r="H16" s="4">
        <v>20</v>
      </c>
      <c r="I16" s="4">
        <v>19</v>
      </c>
      <c r="J16" s="4">
        <v>16</v>
      </c>
      <c r="K16" s="4">
        <v>20</v>
      </c>
      <c r="L16" s="4">
        <v>22</v>
      </c>
      <c r="M16" s="4">
        <v>175</v>
      </c>
      <c r="N16" s="4">
        <f t="shared" si="2"/>
        <v>135</v>
      </c>
      <c r="O16" s="45">
        <f t="shared" si="3"/>
        <v>0.77142857142857146</v>
      </c>
      <c r="P16" s="4"/>
    </row>
    <row r="17" spans="1:16" x14ac:dyDescent="0.25">
      <c r="A17" s="7">
        <v>10</v>
      </c>
      <c r="B17" s="46">
        <v>723</v>
      </c>
      <c r="C17" s="36" t="s">
        <v>692</v>
      </c>
      <c r="D17" s="34" t="s">
        <v>693</v>
      </c>
      <c r="E17" s="7" t="s">
        <v>714</v>
      </c>
      <c r="F17" s="4">
        <v>19</v>
      </c>
      <c r="G17" s="4">
        <v>22</v>
      </c>
      <c r="H17" s="4">
        <v>20</v>
      </c>
      <c r="I17" s="4">
        <v>17</v>
      </c>
      <c r="J17" s="4">
        <v>17</v>
      </c>
      <c r="K17" s="4">
        <v>21</v>
      </c>
      <c r="L17" s="4">
        <v>20</v>
      </c>
      <c r="M17" s="4">
        <v>175</v>
      </c>
      <c r="N17" s="4">
        <f t="shared" si="2"/>
        <v>136</v>
      </c>
      <c r="O17" s="45">
        <f t="shared" si="3"/>
        <v>0.77714285714285714</v>
      </c>
      <c r="P17" s="4"/>
    </row>
    <row r="18" spans="1:16" x14ac:dyDescent="0.25">
      <c r="A18" s="7">
        <v>11</v>
      </c>
      <c r="B18" s="46">
        <v>717</v>
      </c>
      <c r="C18" s="36" t="s">
        <v>694</v>
      </c>
      <c r="D18" s="34" t="s">
        <v>695</v>
      </c>
      <c r="E18" s="7" t="s">
        <v>714</v>
      </c>
      <c r="F18" s="4">
        <v>6</v>
      </c>
      <c r="G18" s="4">
        <v>6</v>
      </c>
      <c r="H18" s="4">
        <v>3</v>
      </c>
      <c r="I18" s="4">
        <v>9</v>
      </c>
      <c r="J18" s="4">
        <v>1</v>
      </c>
      <c r="K18" s="4">
        <v>9</v>
      </c>
      <c r="L18" s="4">
        <v>11</v>
      </c>
      <c r="M18" s="4">
        <v>175</v>
      </c>
      <c r="N18" s="4">
        <f t="shared" si="2"/>
        <v>45</v>
      </c>
      <c r="O18" s="45">
        <f t="shared" si="3"/>
        <v>0.25714285714285712</v>
      </c>
      <c r="P18" s="4"/>
    </row>
    <row r="19" spans="1:16" x14ac:dyDescent="0.25">
      <c r="A19" s="7">
        <v>12</v>
      </c>
      <c r="B19" s="46">
        <v>624</v>
      </c>
      <c r="C19" s="36" t="s">
        <v>696</v>
      </c>
      <c r="D19" s="34" t="s">
        <v>697</v>
      </c>
      <c r="E19" s="7" t="s">
        <v>714</v>
      </c>
      <c r="F19" s="4">
        <v>18</v>
      </c>
      <c r="G19" s="4">
        <v>18</v>
      </c>
      <c r="H19" s="4">
        <v>16</v>
      </c>
      <c r="I19" s="4">
        <v>19</v>
      </c>
      <c r="J19" s="4">
        <v>15</v>
      </c>
      <c r="K19" s="4">
        <v>18</v>
      </c>
      <c r="L19" s="4">
        <v>22</v>
      </c>
      <c r="M19" s="4">
        <v>175</v>
      </c>
      <c r="N19" s="4">
        <f t="shared" si="2"/>
        <v>126</v>
      </c>
      <c r="O19" s="45">
        <f t="shared" si="3"/>
        <v>0.72</v>
      </c>
      <c r="P19" s="4"/>
    </row>
    <row r="20" spans="1:16" x14ac:dyDescent="0.25">
      <c r="A20" s="7">
        <v>13</v>
      </c>
      <c r="B20" s="46">
        <v>718</v>
      </c>
      <c r="C20" s="36" t="s">
        <v>692</v>
      </c>
      <c r="D20" s="34" t="s">
        <v>393</v>
      </c>
      <c r="E20" s="7" t="s">
        <v>714</v>
      </c>
      <c r="F20" s="4">
        <v>19</v>
      </c>
      <c r="G20" s="4">
        <v>17</v>
      </c>
      <c r="H20" s="4">
        <v>17</v>
      </c>
      <c r="I20" s="4">
        <v>15</v>
      </c>
      <c r="J20" s="4">
        <v>13</v>
      </c>
      <c r="K20" s="4">
        <v>15</v>
      </c>
      <c r="L20" s="4">
        <v>20</v>
      </c>
      <c r="M20" s="4">
        <v>175</v>
      </c>
      <c r="N20" s="4">
        <f t="shared" si="2"/>
        <v>116</v>
      </c>
      <c r="O20" s="45">
        <f t="shared" si="3"/>
        <v>0.66285714285714281</v>
      </c>
      <c r="P20" s="4"/>
    </row>
    <row r="21" spans="1:16" x14ac:dyDescent="0.25">
      <c r="A21" s="7">
        <v>14</v>
      </c>
      <c r="B21" s="46">
        <v>628</v>
      </c>
      <c r="C21" s="36" t="s">
        <v>140</v>
      </c>
      <c r="D21" s="34" t="s">
        <v>698</v>
      </c>
      <c r="E21" s="7" t="s">
        <v>714</v>
      </c>
      <c r="F21" s="4">
        <v>22</v>
      </c>
      <c r="G21" s="4">
        <v>19</v>
      </c>
      <c r="H21" s="4">
        <v>21</v>
      </c>
      <c r="I21" s="4">
        <v>20</v>
      </c>
      <c r="J21" s="4">
        <v>22</v>
      </c>
      <c r="K21" s="4">
        <v>24</v>
      </c>
      <c r="L21" s="4">
        <v>25</v>
      </c>
      <c r="M21" s="4">
        <v>175</v>
      </c>
      <c r="N21" s="4">
        <f t="shared" si="2"/>
        <v>153</v>
      </c>
      <c r="O21" s="45">
        <f t="shared" si="3"/>
        <v>0.87428571428571433</v>
      </c>
      <c r="P21" s="4"/>
    </row>
    <row r="22" spans="1:16" x14ac:dyDescent="0.25">
      <c r="A22" s="7">
        <v>15</v>
      </c>
      <c r="B22" s="46">
        <v>621</v>
      </c>
      <c r="C22" s="36" t="s">
        <v>699</v>
      </c>
      <c r="D22" s="34" t="s">
        <v>700</v>
      </c>
      <c r="E22" s="7" t="s">
        <v>714</v>
      </c>
      <c r="F22" s="4">
        <v>18</v>
      </c>
      <c r="G22" s="4">
        <v>16</v>
      </c>
      <c r="H22" s="4">
        <v>21</v>
      </c>
      <c r="I22" s="4">
        <v>22</v>
      </c>
      <c r="J22" s="4">
        <v>16</v>
      </c>
      <c r="K22" s="4">
        <v>18</v>
      </c>
      <c r="L22" s="4">
        <v>25</v>
      </c>
      <c r="M22" s="4">
        <v>175</v>
      </c>
      <c r="N22" s="4">
        <f t="shared" si="2"/>
        <v>136</v>
      </c>
      <c r="O22" s="45">
        <f t="shared" si="3"/>
        <v>0.77714285714285714</v>
      </c>
      <c r="P22" s="4"/>
    </row>
    <row r="23" spans="1:16" x14ac:dyDescent="0.25">
      <c r="A23" s="7">
        <v>16</v>
      </c>
      <c r="B23" s="46">
        <v>259</v>
      </c>
      <c r="C23" s="36" t="s">
        <v>310</v>
      </c>
      <c r="D23" s="34" t="s">
        <v>701</v>
      </c>
      <c r="E23" s="7" t="s">
        <v>714</v>
      </c>
      <c r="F23" s="4">
        <v>6</v>
      </c>
      <c r="G23" s="4">
        <v>3</v>
      </c>
      <c r="H23" s="4">
        <v>9</v>
      </c>
      <c r="I23" s="4">
        <v>8</v>
      </c>
      <c r="J23" s="4">
        <v>16</v>
      </c>
      <c r="K23" s="4">
        <v>16</v>
      </c>
      <c r="L23" s="4">
        <v>20</v>
      </c>
      <c r="M23" s="4">
        <v>175</v>
      </c>
      <c r="N23" s="4">
        <f t="shared" si="2"/>
        <v>78</v>
      </c>
      <c r="O23" s="45">
        <f t="shared" si="3"/>
        <v>0.44571428571428573</v>
      </c>
      <c r="P23" s="4"/>
    </row>
    <row r="24" spans="1:16" x14ac:dyDescent="0.25">
      <c r="A24" s="7">
        <v>17</v>
      </c>
      <c r="B24" s="46">
        <v>518</v>
      </c>
      <c r="C24" s="36" t="s">
        <v>702</v>
      </c>
      <c r="D24" s="34" t="s">
        <v>703</v>
      </c>
      <c r="E24" s="7" t="s">
        <v>714</v>
      </c>
      <c r="F24" s="4">
        <v>9</v>
      </c>
      <c r="G24" s="4">
        <v>2</v>
      </c>
      <c r="H24" s="4">
        <v>10</v>
      </c>
      <c r="I24" s="4">
        <v>11</v>
      </c>
      <c r="J24" s="4">
        <v>6</v>
      </c>
      <c r="K24" s="4">
        <v>11</v>
      </c>
      <c r="L24" s="4">
        <v>16</v>
      </c>
      <c r="M24" s="4">
        <v>175</v>
      </c>
      <c r="N24" s="4">
        <f t="shared" si="2"/>
        <v>65</v>
      </c>
      <c r="O24" s="45">
        <f t="shared" si="3"/>
        <v>0.37142857142857144</v>
      </c>
      <c r="P24" s="4"/>
    </row>
    <row r="25" spans="1:16" x14ac:dyDescent="0.25">
      <c r="A25" s="7">
        <v>18</v>
      </c>
      <c r="B25" s="46">
        <v>639</v>
      </c>
      <c r="C25" s="36" t="s">
        <v>704</v>
      </c>
      <c r="D25" s="34" t="s">
        <v>661</v>
      </c>
      <c r="E25" s="7" t="s">
        <v>714</v>
      </c>
      <c r="F25" s="4">
        <v>19</v>
      </c>
      <c r="G25" s="4">
        <v>20</v>
      </c>
      <c r="H25" s="4">
        <v>22</v>
      </c>
      <c r="I25" s="4">
        <v>20</v>
      </c>
      <c r="J25" s="4">
        <v>18</v>
      </c>
      <c r="K25" s="4">
        <v>22</v>
      </c>
      <c r="L25" s="4">
        <v>24</v>
      </c>
      <c r="M25" s="4">
        <v>175</v>
      </c>
      <c r="N25" s="4">
        <f t="shared" si="0"/>
        <v>145</v>
      </c>
      <c r="O25" s="45">
        <f t="shared" si="1"/>
        <v>0.82857142857142863</v>
      </c>
      <c r="P25" s="4"/>
    </row>
    <row r="26" spans="1:16" x14ac:dyDescent="0.25">
      <c r="A26" s="7">
        <v>19</v>
      </c>
      <c r="B26" s="46">
        <v>762</v>
      </c>
      <c r="C26" s="36" t="s">
        <v>352</v>
      </c>
      <c r="D26" s="34" t="s">
        <v>584</v>
      </c>
      <c r="E26" s="7" t="s">
        <v>714</v>
      </c>
      <c r="F26" s="4">
        <v>22</v>
      </c>
      <c r="G26" s="4">
        <v>24</v>
      </c>
      <c r="H26" s="4">
        <v>25</v>
      </c>
      <c r="I26" s="4">
        <v>22</v>
      </c>
      <c r="J26" s="4">
        <v>21</v>
      </c>
      <c r="K26" s="4">
        <v>25</v>
      </c>
      <c r="L26" s="4">
        <v>25</v>
      </c>
      <c r="M26" s="4">
        <v>175</v>
      </c>
      <c r="N26" s="4">
        <f t="shared" si="0"/>
        <v>164</v>
      </c>
      <c r="O26" s="45">
        <f t="shared" si="1"/>
        <v>0.93714285714285717</v>
      </c>
      <c r="P26" s="4"/>
    </row>
    <row r="27" spans="1:16" x14ac:dyDescent="0.25">
      <c r="A27" s="7">
        <v>20</v>
      </c>
      <c r="B27" s="46">
        <v>719</v>
      </c>
      <c r="C27" s="36" t="s">
        <v>356</v>
      </c>
      <c r="D27" s="34" t="s">
        <v>700</v>
      </c>
      <c r="E27" s="7" t="s">
        <v>714</v>
      </c>
      <c r="F27" s="4">
        <v>9</v>
      </c>
      <c r="G27" s="4">
        <v>12</v>
      </c>
      <c r="H27" s="4">
        <v>11</v>
      </c>
      <c r="I27" s="4">
        <v>15</v>
      </c>
      <c r="J27" s="4">
        <v>9</v>
      </c>
      <c r="K27" s="4">
        <v>8</v>
      </c>
      <c r="L27" s="4">
        <v>15</v>
      </c>
      <c r="M27" s="4">
        <v>175</v>
      </c>
      <c r="N27" s="4">
        <f t="shared" si="0"/>
        <v>79</v>
      </c>
      <c r="O27" s="45">
        <f t="shared" si="1"/>
        <v>0.4514285714285714</v>
      </c>
      <c r="P27" s="4"/>
    </row>
    <row r="28" spans="1:16" x14ac:dyDescent="0.25">
      <c r="A28" s="7">
        <v>21</v>
      </c>
      <c r="B28" s="46">
        <v>725</v>
      </c>
      <c r="C28" s="36" t="s">
        <v>705</v>
      </c>
      <c r="D28" s="36" t="s">
        <v>706</v>
      </c>
      <c r="E28" s="7" t="s">
        <v>714</v>
      </c>
      <c r="F28" s="4">
        <v>13</v>
      </c>
      <c r="G28" s="4">
        <v>15</v>
      </c>
      <c r="H28" s="4">
        <v>20</v>
      </c>
      <c r="I28" s="4">
        <v>20</v>
      </c>
      <c r="J28" s="4">
        <v>16</v>
      </c>
      <c r="K28" s="4">
        <v>19</v>
      </c>
      <c r="L28" s="4">
        <v>22</v>
      </c>
      <c r="M28" s="4">
        <v>175</v>
      </c>
      <c r="N28" s="4">
        <f t="shared" si="0"/>
        <v>125</v>
      </c>
      <c r="O28" s="45">
        <f t="shared" si="1"/>
        <v>0.7142857142857143</v>
      </c>
      <c r="P28" s="4"/>
    </row>
    <row r="29" spans="1:16" x14ac:dyDescent="0.25">
      <c r="A29" s="7">
        <v>22</v>
      </c>
      <c r="B29" s="46">
        <v>724</v>
      </c>
      <c r="C29" s="36" t="s">
        <v>707</v>
      </c>
      <c r="D29" s="34" t="s">
        <v>706</v>
      </c>
      <c r="E29" s="7" t="s">
        <v>714</v>
      </c>
      <c r="F29" s="4">
        <v>15</v>
      </c>
      <c r="G29" s="4">
        <v>12</v>
      </c>
      <c r="H29" s="4">
        <v>21</v>
      </c>
      <c r="I29" s="4">
        <v>21</v>
      </c>
      <c r="J29" s="23">
        <v>13</v>
      </c>
      <c r="K29" s="23">
        <v>21</v>
      </c>
      <c r="L29" s="4">
        <v>23</v>
      </c>
      <c r="M29" s="4">
        <v>175</v>
      </c>
      <c r="N29" s="4">
        <f t="shared" si="0"/>
        <v>126</v>
      </c>
      <c r="O29" s="45">
        <f t="shared" si="1"/>
        <v>0.72</v>
      </c>
      <c r="P29" s="4"/>
    </row>
    <row r="30" spans="1:16" x14ac:dyDescent="0.25">
      <c r="A30" s="7">
        <v>23</v>
      </c>
      <c r="B30" s="46">
        <v>630</v>
      </c>
      <c r="C30" s="38" t="s">
        <v>708</v>
      </c>
      <c r="D30" s="39" t="s">
        <v>709</v>
      </c>
      <c r="E30" s="7" t="s">
        <v>714</v>
      </c>
      <c r="F30" s="4">
        <v>6</v>
      </c>
      <c r="G30" s="4">
        <v>8</v>
      </c>
      <c r="H30" s="4">
        <v>10</v>
      </c>
      <c r="I30" s="4">
        <v>10</v>
      </c>
      <c r="J30" s="4">
        <v>2</v>
      </c>
      <c r="K30" s="4">
        <v>6</v>
      </c>
      <c r="L30" s="4">
        <v>22</v>
      </c>
      <c r="M30" s="4">
        <v>175</v>
      </c>
      <c r="N30" s="4">
        <f t="shared" si="0"/>
        <v>64</v>
      </c>
      <c r="O30" s="45">
        <f t="shared" si="1"/>
        <v>0.36571428571428571</v>
      </c>
      <c r="P30" s="4"/>
    </row>
    <row r="31" spans="1:16" x14ac:dyDescent="0.25">
      <c r="A31" s="7">
        <v>24</v>
      </c>
      <c r="B31" s="46">
        <v>622</v>
      </c>
      <c r="C31" s="40" t="s">
        <v>710</v>
      </c>
      <c r="D31" s="40" t="s">
        <v>391</v>
      </c>
      <c r="E31" s="7" t="s">
        <v>714</v>
      </c>
      <c r="F31" s="4">
        <v>18</v>
      </c>
      <c r="G31" s="4">
        <v>22</v>
      </c>
      <c r="H31" s="4">
        <v>18</v>
      </c>
      <c r="I31" s="4">
        <v>20</v>
      </c>
      <c r="J31" s="4">
        <v>14</v>
      </c>
      <c r="K31" s="23">
        <v>15</v>
      </c>
      <c r="L31" s="4">
        <v>20</v>
      </c>
      <c r="M31" s="4">
        <v>175</v>
      </c>
      <c r="N31" s="4">
        <f t="shared" si="0"/>
        <v>127</v>
      </c>
      <c r="O31" s="45">
        <f t="shared" si="1"/>
        <v>0.72571428571428576</v>
      </c>
      <c r="P31" s="4"/>
    </row>
    <row r="32" spans="1:16" x14ac:dyDescent="0.25">
      <c r="A32" s="7">
        <v>25</v>
      </c>
      <c r="B32" s="46">
        <v>849</v>
      </c>
      <c r="C32" s="40" t="s">
        <v>711</v>
      </c>
      <c r="D32" s="40" t="s">
        <v>516</v>
      </c>
      <c r="E32" s="7" t="s">
        <v>714</v>
      </c>
      <c r="F32" s="4">
        <v>19</v>
      </c>
      <c r="G32" s="4">
        <v>20</v>
      </c>
      <c r="H32" s="4">
        <v>23</v>
      </c>
      <c r="I32" s="4">
        <v>24</v>
      </c>
      <c r="J32" s="4">
        <v>18</v>
      </c>
      <c r="K32" s="4">
        <v>24</v>
      </c>
      <c r="L32" s="4">
        <v>25</v>
      </c>
      <c r="M32" s="4">
        <v>175</v>
      </c>
      <c r="N32" s="4">
        <f t="shared" si="0"/>
        <v>153</v>
      </c>
      <c r="O32" s="45">
        <f t="shared" si="1"/>
        <v>0.87428571428571433</v>
      </c>
      <c r="P32" s="4"/>
    </row>
    <row r="33" spans="1:16" x14ac:dyDescent="0.25">
      <c r="A33" s="7">
        <v>26</v>
      </c>
      <c r="B33" s="46">
        <v>514</v>
      </c>
      <c r="C33" s="40" t="s">
        <v>542</v>
      </c>
      <c r="D33" s="47" t="s">
        <v>95</v>
      </c>
      <c r="E33" s="7" t="s">
        <v>714</v>
      </c>
      <c r="F33" s="4">
        <v>12</v>
      </c>
      <c r="G33" s="4">
        <v>13</v>
      </c>
      <c r="H33" s="4">
        <v>12</v>
      </c>
      <c r="I33" s="4">
        <v>16</v>
      </c>
      <c r="J33" s="4">
        <v>6</v>
      </c>
      <c r="K33" s="4">
        <v>12</v>
      </c>
      <c r="L33" s="4">
        <v>20</v>
      </c>
      <c r="M33" s="4">
        <v>175</v>
      </c>
      <c r="N33" s="4">
        <f t="shared" si="0"/>
        <v>91</v>
      </c>
      <c r="O33" s="45">
        <f t="shared" si="1"/>
        <v>0.52</v>
      </c>
      <c r="P33" s="4"/>
    </row>
    <row r="34" spans="1:16" x14ac:dyDescent="0.25">
      <c r="A34" s="7">
        <v>27</v>
      </c>
      <c r="B34" s="46">
        <v>454</v>
      </c>
      <c r="C34" s="33" t="s">
        <v>590</v>
      </c>
      <c r="D34" s="47" t="s">
        <v>89</v>
      </c>
      <c r="E34" s="7" t="s">
        <v>714</v>
      </c>
      <c r="F34" s="4">
        <v>6</v>
      </c>
      <c r="G34" s="4">
        <v>10</v>
      </c>
      <c r="H34" s="4">
        <v>11</v>
      </c>
      <c r="I34" s="4">
        <v>3</v>
      </c>
      <c r="J34" s="4">
        <v>4</v>
      </c>
      <c r="K34" s="4">
        <v>15</v>
      </c>
      <c r="L34" s="4">
        <v>15</v>
      </c>
      <c r="M34" s="4">
        <v>175</v>
      </c>
      <c r="N34" s="4">
        <f t="shared" si="0"/>
        <v>64</v>
      </c>
      <c r="O34" s="45">
        <f t="shared" si="1"/>
        <v>0.36571428571428571</v>
      </c>
      <c r="P34" s="4"/>
    </row>
    <row r="35" spans="1:16" ht="21" x14ac:dyDescent="0.35">
      <c r="A35" s="64" t="s">
        <v>138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</row>
    <row r="36" spans="1:16" x14ac:dyDescent="0.25">
      <c r="A36" s="7">
        <v>30</v>
      </c>
      <c r="B36" s="46">
        <v>636</v>
      </c>
      <c r="C36" s="36" t="s">
        <v>715</v>
      </c>
      <c r="D36" s="34" t="s">
        <v>419</v>
      </c>
      <c r="E36" s="7" t="s">
        <v>714</v>
      </c>
      <c r="F36" s="4">
        <v>24</v>
      </c>
      <c r="G36" s="4">
        <v>25</v>
      </c>
      <c r="H36" s="4">
        <v>25</v>
      </c>
      <c r="I36" s="4">
        <v>23</v>
      </c>
      <c r="J36" s="4">
        <v>24</v>
      </c>
      <c r="K36" s="4">
        <v>25</v>
      </c>
      <c r="L36" s="4">
        <v>25</v>
      </c>
      <c r="M36" s="4">
        <v>175</v>
      </c>
      <c r="N36" s="4">
        <f>SUM(F36:L36)</f>
        <v>171</v>
      </c>
      <c r="O36" s="45">
        <f>N36/M36</f>
        <v>0.97714285714285709</v>
      </c>
      <c r="P36" s="4"/>
    </row>
    <row r="37" spans="1:16" x14ac:dyDescent="0.25">
      <c r="A37" s="7">
        <v>31</v>
      </c>
      <c r="B37" s="46">
        <v>862</v>
      </c>
      <c r="C37" s="36" t="s">
        <v>716</v>
      </c>
      <c r="D37" s="34" t="s">
        <v>717</v>
      </c>
      <c r="E37" s="7" t="s">
        <v>714</v>
      </c>
      <c r="F37" s="4">
        <v>22</v>
      </c>
      <c r="G37" s="4">
        <v>23</v>
      </c>
      <c r="H37" s="4">
        <v>23</v>
      </c>
      <c r="I37" s="4">
        <v>22</v>
      </c>
      <c r="J37" s="4">
        <v>24</v>
      </c>
      <c r="K37" s="4">
        <v>22</v>
      </c>
      <c r="L37" s="4">
        <v>20</v>
      </c>
      <c r="M37" s="4">
        <v>175</v>
      </c>
      <c r="N37" s="4">
        <f t="shared" ref="N37:N53" si="4">SUM(F37:L37)</f>
        <v>156</v>
      </c>
      <c r="O37" s="45">
        <f t="shared" ref="O37:O53" si="5">N37/M37</f>
        <v>0.89142857142857146</v>
      </c>
      <c r="P37" s="4"/>
    </row>
    <row r="38" spans="1:16" x14ac:dyDescent="0.25">
      <c r="A38" s="7">
        <v>32</v>
      </c>
      <c r="B38" s="47">
        <v>870</v>
      </c>
      <c r="C38" s="47" t="s">
        <v>716</v>
      </c>
      <c r="D38" s="47" t="s">
        <v>592</v>
      </c>
      <c r="E38" s="7" t="s">
        <v>714</v>
      </c>
      <c r="F38" s="4">
        <v>23</v>
      </c>
      <c r="G38" s="4">
        <v>24</v>
      </c>
      <c r="H38" s="4">
        <v>25</v>
      </c>
      <c r="I38" s="4">
        <v>24</v>
      </c>
      <c r="J38" s="4">
        <v>22</v>
      </c>
      <c r="K38" s="4">
        <v>23</v>
      </c>
      <c r="L38" s="4">
        <v>24</v>
      </c>
      <c r="M38" s="4">
        <v>175</v>
      </c>
      <c r="N38" s="4">
        <f t="shared" si="4"/>
        <v>165</v>
      </c>
      <c r="O38" s="45">
        <f t="shared" si="5"/>
        <v>0.94285714285714284</v>
      </c>
      <c r="P38" s="4"/>
    </row>
    <row r="39" spans="1:16" x14ac:dyDescent="0.25">
      <c r="A39" s="7">
        <v>33</v>
      </c>
      <c r="B39" s="47">
        <v>626</v>
      </c>
      <c r="C39" s="47" t="s">
        <v>49</v>
      </c>
      <c r="D39" s="47" t="s">
        <v>158</v>
      </c>
      <c r="E39" s="7" t="s">
        <v>714</v>
      </c>
      <c r="F39" s="4">
        <v>19</v>
      </c>
      <c r="G39" s="4">
        <v>20</v>
      </c>
      <c r="H39" s="4">
        <v>21</v>
      </c>
      <c r="I39" s="4">
        <v>20</v>
      </c>
      <c r="J39" s="4">
        <v>18</v>
      </c>
      <c r="K39" s="4">
        <v>20</v>
      </c>
      <c r="L39" s="4">
        <v>24</v>
      </c>
      <c r="M39" s="4">
        <v>175</v>
      </c>
      <c r="N39" s="4">
        <f t="shared" si="4"/>
        <v>142</v>
      </c>
      <c r="O39" s="45">
        <f t="shared" si="5"/>
        <v>0.81142857142857139</v>
      </c>
      <c r="P39" s="4"/>
    </row>
    <row r="40" spans="1:16" x14ac:dyDescent="0.25">
      <c r="A40" s="7">
        <v>34</v>
      </c>
      <c r="B40" s="47">
        <v>853</v>
      </c>
      <c r="C40" s="47" t="s">
        <v>718</v>
      </c>
      <c r="D40" s="47" t="s">
        <v>719</v>
      </c>
      <c r="E40" s="7" t="s">
        <v>714</v>
      </c>
      <c r="F40" s="23" t="s">
        <v>124</v>
      </c>
      <c r="G40" s="23" t="s">
        <v>124</v>
      </c>
      <c r="H40" s="23" t="s">
        <v>124</v>
      </c>
      <c r="I40" s="23" t="s">
        <v>124</v>
      </c>
      <c r="J40" s="23" t="s">
        <v>124</v>
      </c>
      <c r="K40" s="23" t="s">
        <v>124</v>
      </c>
      <c r="L40" s="23" t="s">
        <v>124</v>
      </c>
      <c r="M40" s="4">
        <v>175</v>
      </c>
      <c r="N40" s="4">
        <f t="shared" si="4"/>
        <v>0</v>
      </c>
      <c r="O40" s="45">
        <f t="shared" si="5"/>
        <v>0</v>
      </c>
      <c r="P40" s="4"/>
    </row>
    <row r="41" spans="1:16" x14ac:dyDescent="0.25">
      <c r="A41" s="7">
        <v>35</v>
      </c>
      <c r="B41" s="47">
        <v>871</v>
      </c>
      <c r="C41" s="47" t="s">
        <v>720</v>
      </c>
      <c r="D41" s="47" t="s">
        <v>488</v>
      </c>
      <c r="E41" s="7" t="s">
        <v>714</v>
      </c>
      <c r="F41" s="50">
        <v>12</v>
      </c>
      <c r="G41" s="50">
        <v>18</v>
      </c>
      <c r="H41" s="50">
        <v>20</v>
      </c>
      <c r="I41" s="50">
        <v>20</v>
      </c>
      <c r="J41" s="50">
        <v>13</v>
      </c>
      <c r="K41" s="50">
        <v>20</v>
      </c>
      <c r="L41" s="50">
        <v>22</v>
      </c>
      <c r="M41" s="4">
        <v>175</v>
      </c>
      <c r="N41" s="4">
        <f t="shared" si="4"/>
        <v>125</v>
      </c>
      <c r="O41" s="45">
        <f t="shared" si="5"/>
        <v>0.7142857142857143</v>
      </c>
      <c r="P41" s="4"/>
    </row>
    <row r="42" spans="1:16" x14ac:dyDescent="0.25">
      <c r="A42" s="7">
        <v>36</v>
      </c>
      <c r="B42" s="47">
        <v>637</v>
      </c>
      <c r="C42" s="47" t="s">
        <v>721</v>
      </c>
      <c r="D42" s="47" t="s">
        <v>248</v>
      </c>
      <c r="E42" s="7" t="s">
        <v>714</v>
      </c>
      <c r="F42" s="50">
        <v>20</v>
      </c>
      <c r="G42" s="50">
        <v>22</v>
      </c>
      <c r="H42" s="50">
        <v>22</v>
      </c>
      <c r="I42" s="50">
        <v>23</v>
      </c>
      <c r="J42" s="50">
        <v>20</v>
      </c>
      <c r="K42" s="50">
        <v>21</v>
      </c>
      <c r="L42" s="50">
        <v>25</v>
      </c>
      <c r="M42" s="4">
        <v>175</v>
      </c>
      <c r="N42" s="4">
        <f t="shared" si="4"/>
        <v>153</v>
      </c>
      <c r="O42" s="45">
        <f t="shared" si="5"/>
        <v>0.87428571428571433</v>
      </c>
      <c r="P42" s="4"/>
    </row>
    <row r="43" spans="1:16" x14ac:dyDescent="0.25">
      <c r="A43" s="7">
        <v>37</v>
      </c>
      <c r="B43" s="47">
        <v>720</v>
      </c>
      <c r="C43" s="47" t="s">
        <v>722</v>
      </c>
      <c r="D43" s="47" t="s">
        <v>723</v>
      </c>
      <c r="E43" s="7" t="s">
        <v>714</v>
      </c>
      <c r="F43" s="50">
        <v>20</v>
      </c>
      <c r="G43" s="50">
        <v>23</v>
      </c>
      <c r="H43" s="50">
        <v>24</v>
      </c>
      <c r="I43" s="50">
        <v>20</v>
      </c>
      <c r="J43" s="50">
        <v>20</v>
      </c>
      <c r="K43" s="50">
        <v>21</v>
      </c>
      <c r="L43" s="50">
        <v>19</v>
      </c>
      <c r="M43" s="4">
        <v>175</v>
      </c>
      <c r="N43" s="4">
        <f t="shared" si="4"/>
        <v>147</v>
      </c>
      <c r="O43" s="45">
        <f t="shared" si="5"/>
        <v>0.84</v>
      </c>
      <c r="P43" s="4"/>
    </row>
    <row r="44" spans="1:16" x14ac:dyDescent="0.25">
      <c r="A44" s="7">
        <v>38</v>
      </c>
      <c r="B44" s="47">
        <v>722</v>
      </c>
      <c r="C44" s="47" t="s">
        <v>91</v>
      </c>
      <c r="D44" s="47" t="s">
        <v>724</v>
      </c>
      <c r="E44" s="7" t="s">
        <v>714</v>
      </c>
      <c r="F44" s="50">
        <v>21</v>
      </c>
      <c r="G44" s="50">
        <v>23</v>
      </c>
      <c r="H44" s="50">
        <v>24</v>
      </c>
      <c r="I44" s="50">
        <v>25</v>
      </c>
      <c r="J44" s="50">
        <v>22</v>
      </c>
      <c r="K44" s="50">
        <v>25</v>
      </c>
      <c r="L44" s="50">
        <v>24</v>
      </c>
      <c r="M44" s="4">
        <v>175</v>
      </c>
      <c r="N44" s="4">
        <f t="shared" si="4"/>
        <v>164</v>
      </c>
      <c r="O44" s="45">
        <f t="shared" si="5"/>
        <v>0.93714285714285717</v>
      </c>
      <c r="P44" s="4"/>
    </row>
    <row r="45" spans="1:16" x14ac:dyDescent="0.25">
      <c r="A45" s="7">
        <v>39</v>
      </c>
      <c r="B45" s="47">
        <v>352</v>
      </c>
      <c r="C45" s="47" t="s">
        <v>725</v>
      </c>
      <c r="D45" s="47" t="s">
        <v>726</v>
      </c>
      <c r="E45" s="7" t="s">
        <v>714</v>
      </c>
      <c r="F45" s="50">
        <v>22</v>
      </c>
      <c r="G45" s="50">
        <v>20</v>
      </c>
      <c r="H45" s="50">
        <v>19</v>
      </c>
      <c r="I45" s="50">
        <v>16</v>
      </c>
      <c r="J45" s="50">
        <v>20</v>
      </c>
      <c r="K45" s="50">
        <v>24</v>
      </c>
      <c r="L45" s="50">
        <v>25</v>
      </c>
      <c r="M45" s="4">
        <v>175</v>
      </c>
      <c r="N45" s="4">
        <f t="shared" si="4"/>
        <v>146</v>
      </c>
      <c r="O45" s="45">
        <f t="shared" si="5"/>
        <v>0.8342857142857143</v>
      </c>
      <c r="P45" s="4"/>
    </row>
    <row r="46" spans="1:16" x14ac:dyDescent="0.25">
      <c r="A46" s="7">
        <v>40</v>
      </c>
      <c r="B46" s="47">
        <v>350</v>
      </c>
      <c r="C46" s="47" t="s">
        <v>541</v>
      </c>
      <c r="D46" s="47" t="s">
        <v>391</v>
      </c>
      <c r="E46" s="7" t="s">
        <v>714</v>
      </c>
      <c r="F46" s="50">
        <v>16</v>
      </c>
      <c r="G46" s="50">
        <v>13</v>
      </c>
      <c r="H46" s="23" t="s">
        <v>124</v>
      </c>
      <c r="I46" s="50">
        <v>20</v>
      </c>
      <c r="J46" s="50">
        <v>20</v>
      </c>
      <c r="K46" s="50">
        <v>20</v>
      </c>
      <c r="L46" s="50">
        <v>15</v>
      </c>
      <c r="M46" s="4">
        <v>175</v>
      </c>
      <c r="N46" s="4">
        <f t="shared" si="4"/>
        <v>104</v>
      </c>
      <c r="O46" s="45">
        <f t="shared" si="5"/>
        <v>0.59428571428571431</v>
      </c>
      <c r="P46" s="4"/>
    </row>
    <row r="47" spans="1:16" x14ac:dyDescent="0.25">
      <c r="A47" s="7">
        <v>41</v>
      </c>
      <c r="B47" s="47">
        <v>629</v>
      </c>
      <c r="C47" s="47" t="s">
        <v>727</v>
      </c>
      <c r="D47" s="47" t="s">
        <v>457</v>
      </c>
      <c r="E47" s="7" t="s">
        <v>714</v>
      </c>
      <c r="F47" s="50">
        <v>19</v>
      </c>
      <c r="G47" s="50">
        <v>22</v>
      </c>
      <c r="H47" s="50">
        <v>23</v>
      </c>
      <c r="I47" s="50">
        <v>20</v>
      </c>
      <c r="J47" s="50">
        <v>20</v>
      </c>
      <c r="K47" s="50">
        <v>19</v>
      </c>
      <c r="L47" s="50">
        <v>19</v>
      </c>
      <c r="M47" s="4">
        <v>175</v>
      </c>
      <c r="N47" s="4">
        <f t="shared" si="4"/>
        <v>142</v>
      </c>
      <c r="O47" s="45">
        <f t="shared" si="5"/>
        <v>0.81142857142857139</v>
      </c>
      <c r="P47" s="4"/>
    </row>
    <row r="48" spans="1:16" x14ac:dyDescent="0.25">
      <c r="A48" s="7">
        <v>42</v>
      </c>
      <c r="B48" s="47">
        <v>726</v>
      </c>
      <c r="C48" s="47" t="s">
        <v>728</v>
      </c>
      <c r="D48" s="47" t="s">
        <v>729</v>
      </c>
      <c r="E48" s="7" t="s">
        <v>714</v>
      </c>
      <c r="F48" s="50">
        <v>16</v>
      </c>
      <c r="G48" s="50">
        <v>13</v>
      </c>
      <c r="H48" s="50">
        <v>24</v>
      </c>
      <c r="I48" s="50">
        <v>22</v>
      </c>
      <c r="J48" s="50">
        <v>18</v>
      </c>
      <c r="K48" s="50">
        <v>24</v>
      </c>
      <c r="L48" s="50">
        <v>25</v>
      </c>
      <c r="M48" s="4">
        <v>175</v>
      </c>
      <c r="N48" s="4">
        <f t="shared" si="4"/>
        <v>142</v>
      </c>
      <c r="O48" s="45">
        <f t="shared" si="5"/>
        <v>0.81142857142857139</v>
      </c>
      <c r="P48" s="4"/>
    </row>
    <row r="49" spans="1:16" x14ac:dyDescent="0.25">
      <c r="A49" s="7">
        <v>43</v>
      </c>
      <c r="B49" s="47">
        <v>726</v>
      </c>
      <c r="C49" s="47" t="s">
        <v>730</v>
      </c>
      <c r="D49" s="47" t="s">
        <v>731</v>
      </c>
      <c r="E49" s="7" t="s">
        <v>714</v>
      </c>
      <c r="F49" s="49" t="s">
        <v>124</v>
      </c>
      <c r="G49" s="49" t="s">
        <v>124</v>
      </c>
      <c r="H49" s="49" t="s">
        <v>124</v>
      </c>
      <c r="I49" s="49" t="s">
        <v>124</v>
      </c>
      <c r="J49" s="49" t="s">
        <v>124</v>
      </c>
      <c r="K49" s="49" t="s">
        <v>124</v>
      </c>
      <c r="L49" s="49" t="s">
        <v>124</v>
      </c>
      <c r="M49" s="4">
        <v>175</v>
      </c>
      <c r="N49" s="4">
        <f t="shared" si="4"/>
        <v>0</v>
      </c>
      <c r="O49" s="45">
        <f t="shared" si="5"/>
        <v>0</v>
      </c>
      <c r="P49" s="4"/>
    </row>
    <row r="50" spans="1:16" x14ac:dyDescent="0.25">
      <c r="A50" s="7">
        <v>44</v>
      </c>
      <c r="B50" s="47">
        <v>390</v>
      </c>
      <c r="C50" s="47" t="s">
        <v>732</v>
      </c>
      <c r="D50" s="47" t="s">
        <v>265</v>
      </c>
      <c r="E50" s="7" t="s">
        <v>714</v>
      </c>
      <c r="F50" s="10">
        <v>13</v>
      </c>
      <c r="G50" s="10">
        <v>22</v>
      </c>
      <c r="H50" s="10">
        <v>24</v>
      </c>
      <c r="I50" s="10">
        <v>25</v>
      </c>
      <c r="J50" s="10">
        <v>25</v>
      </c>
      <c r="K50" s="10">
        <v>21</v>
      </c>
      <c r="L50" s="10">
        <v>22</v>
      </c>
      <c r="M50" s="4">
        <v>175</v>
      </c>
      <c r="N50" s="4">
        <f t="shared" si="4"/>
        <v>152</v>
      </c>
      <c r="O50" s="45">
        <f t="shared" si="5"/>
        <v>0.86857142857142855</v>
      </c>
      <c r="P50" s="4"/>
    </row>
    <row r="51" spans="1:16" x14ac:dyDescent="0.25">
      <c r="A51" s="7">
        <v>45</v>
      </c>
      <c r="B51" s="47">
        <v>357</v>
      </c>
      <c r="C51" s="47" t="s">
        <v>733</v>
      </c>
      <c r="D51" s="47" t="s">
        <v>416</v>
      </c>
      <c r="E51" s="7" t="s">
        <v>714</v>
      </c>
      <c r="F51" s="10">
        <v>14</v>
      </c>
      <c r="G51" s="10">
        <v>25</v>
      </c>
      <c r="H51" s="10">
        <v>25</v>
      </c>
      <c r="I51" s="10">
        <v>19</v>
      </c>
      <c r="J51" s="10">
        <v>13</v>
      </c>
      <c r="K51" s="10">
        <v>20</v>
      </c>
      <c r="L51" s="10">
        <v>25</v>
      </c>
      <c r="M51" s="4">
        <v>175</v>
      </c>
      <c r="N51" s="4">
        <f t="shared" si="4"/>
        <v>141</v>
      </c>
      <c r="O51" s="45">
        <f t="shared" si="5"/>
        <v>0.80571428571428572</v>
      </c>
      <c r="P51" s="4"/>
    </row>
    <row r="52" spans="1:16" x14ac:dyDescent="0.25">
      <c r="A52" s="7">
        <v>46</v>
      </c>
      <c r="B52" s="47">
        <v>623</v>
      </c>
      <c r="C52" s="47" t="s">
        <v>734</v>
      </c>
      <c r="D52" s="47" t="s">
        <v>661</v>
      </c>
      <c r="E52" s="7" t="s">
        <v>714</v>
      </c>
      <c r="F52" s="10">
        <v>25</v>
      </c>
      <c r="G52" s="10">
        <v>25</v>
      </c>
      <c r="H52" s="10">
        <v>22</v>
      </c>
      <c r="I52" s="10">
        <v>24</v>
      </c>
      <c r="J52" s="10">
        <v>25</v>
      </c>
      <c r="K52" s="10">
        <v>23</v>
      </c>
      <c r="L52" s="10">
        <v>25</v>
      </c>
      <c r="M52" s="4">
        <v>175</v>
      </c>
      <c r="N52" s="4">
        <f t="shared" si="4"/>
        <v>169</v>
      </c>
      <c r="O52" s="45">
        <f t="shared" si="5"/>
        <v>0.96571428571428575</v>
      </c>
      <c r="P52" s="4"/>
    </row>
    <row r="53" spans="1:16" x14ac:dyDescent="0.25">
      <c r="A53" s="7">
        <v>47</v>
      </c>
      <c r="B53" s="47">
        <v>905</v>
      </c>
      <c r="C53" s="47" t="s">
        <v>735</v>
      </c>
      <c r="D53" s="47" t="s">
        <v>736</v>
      </c>
      <c r="E53" s="7" t="s">
        <v>714</v>
      </c>
      <c r="F53" s="10">
        <v>25</v>
      </c>
      <c r="G53" s="10">
        <v>24</v>
      </c>
      <c r="H53" s="10">
        <v>20</v>
      </c>
      <c r="I53" s="10">
        <v>23</v>
      </c>
      <c r="J53" s="10">
        <v>23</v>
      </c>
      <c r="K53" s="10">
        <v>24</v>
      </c>
      <c r="L53" s="10">
        <v>25</v>
      </c>
      <c r="M53" s="4">
        <v>175</v>
      </c>
      <c r="N53" s="4">
        <f t="shared" si="4"/>
        <v>164</v>
      </c>
      <c r="O53" s="45">
        <f t="shared" si="5"/>
        <v>0.93714285714285717</v>
      </c>
      <c r="P53" s="4"/>
    </row>
  </sheetData>
  <mergeCells count="15">
    <mergeCell ref="A1:P1"/>
    <mergeCell ref="A2:P2"/>
    <mergeCell ref="A3:P3"/>
    <mergeCell ref="A4:A6"/>
    <mergeCell ref="B4:B6"/>
    <mergeCell ref="C4:C6"/>
    <mergeCell ref="D4:D6"/>
    <mergeCell ref="E4:E6"/>
    <mergeCell ref="F4:L4"/>
    <mergeCell ref="M4:M5"/>
    <mergeCell ref="N4:N6"/>
    <mergeCell ref="O4:O6"/>
    <mergeCell ref="P4:P6"/>
    <mergeCell ref="A7:P7"/>
    <mergeCell ref="A35:P35"/>
  </mergeCells>
  <conditionalFormatting sqref="B8:B34">
    <cfRule type="duplicateValues" dxfId="18" priority="2"/>
  </conditionalFormatting>
  <conditionalFormatting sqref="B36:B37">
    <cfRule type="duplicateValues" dxfId="17" priority="1"/>
  </conditionalFormatting>
  <conditionalFormatting sqref="C8:C34">
    <cfRule type="duplicateValues" dxfId="16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FD3A-6783-4A90-A356-E3F6DA39D12D}">
  <dimension ref="A1:P49"/>
  <sheetViews>
    <sheetView topLeftCell="A30" workbookViewId="0">
      <selection activeCell="G46" sqref="G46:L47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2.28515625" bestFit="1" customWidth="1"/>
    <col min="4" max="4" width="27.7109375" bestFit="1" customWidth="1"/>
    <col min="6" max="15" width="5.7109375" customWidth="1"/>
    <col min="16" max="16" width="20.7109375" customWidth="1"/>
  </cols>
  <sheetData>
    <row r="1" spans="1:16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 x14ac:dyDescent="0.25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</row>
    <row r="3" spans="1:16" x14ac:dyDescent="0.25">
      <c r="A3" s="57" t="s">
        <v>239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 spans="1:16" x14ac:dyDescent="0.25">
      <c r="A4" s="52" t="s">
        <v>2</v>
      </c>
      <c r="B4" s="52" t="s">
        <v>3</v>
      </c>
      <c r="C4" s="52" t="s">
        <v>5</v>
      </c>
      <c r="D4" s="52" t="s">
        <v>6</v>
      </c>
      <c r="E4" s="52" t="s">
        <v>4</v>
      </c>
      <c r="F4" s="56" t="s">
        <v>7</v>
      </c>
      <c r="G4" s="56"/>
      <c r="H4" s="56"/>
      <c r="I4" s="56"/>
      <c r="J4" s="56"/>
      <c r="K4" s="56"/>
      <c r="L4" s="56"/>
      <c r="M4" s="52" t="s">
        <v>15</v>
      </c>
      <c r="N4" s="52" t="s">
        <v>16</v>
      </c>
      <c r="O4" s="52" t="s">
        <v>17</v>
      </c>
      <c r="P4" s="56" t="s">
        <v>18</v>
      </c>
    </row>
    <row r="5" spans="1:16" ht="43.5" x14ac:dyDescent="0.25">
      <c r="A5" s="52"/>
      <c r="B5" s="52"/>
      <c r="C5" s="52"/>
      <c r="D5" s="52"/>
      <c r="E5" s="52"/>
      <c r="F5" s="2" t="s">
        <v>10</v>
      </c>
      <c r="G5" s="2" t="s">
        <v>135</v>
      </c>
      <c r="H5" s="2" t="s">
        <v>11</v>
      </c>
      <c r="I5" s="2" t="s">
        <v>136</v>
      </c>
      <c r="J5" s="2" t="s">
        <v>567</v>
      </c>
      <c r="K5" s="2" t="s">
        <v>566</v>
      </c>
      <c r="L5" s="2" t="s">
        <v>409</v>
      </c>
      <c r="M5" s="52"/>
      <c r="N5" s="52"/>
      <c r="O5" s="52"/>
      <c r="P5" s="56"/>
    </row>
    <row r="6" spans="1:16" x14ac:dyDescent="0.25">
      <c r="A6" s="52"/>
      <c r="B6" s="52"/>
      <c r="C6" s="52"/>
      <c r="D6" s="52"/>
      <c r="E6" s="52"/>
      <c r="F6" s="3">
        <v>25</v>
      </c>
      <c r="G6" s="3">
        <v>25</v>
      </c>
      <c r="H6" s="3">
        <v>25</v>
      </c>
      <c r="I6" s="3">
        <v>25</v>
      </c>
      <c r="J6" s="3">
        <v>25</v>
      </c>
      <c r="K6" s="3">
        <v>25</v>
      </c>
      <c r="L6" s="3">
        <v>25</v>
      </c>
      <c r="M6" s="3">
        <f>SUM(F6:L6)</f>
        <v>175</v>
      </c>
      <c r="N6" s="52"/>
      <c r="O6" s="52"/>
      <c r="P6" s="56"/>
    </row>
    <row r="7" spans="1:16" ht="21" x14ac:dyDescent="0.35">
      <c r="A7" s="64" t="s">
        <v>138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 x14ac:dyDescent="0.25">
      <c r="A8" s="7">
        <v>1</v>
      </c>
      <c r="B8" s="46">
        <v>737</v>
      </c>
      <c r="C8" s="36" t="s">
        <v>738</v>
      </c>
      <c r="D8" s="34" t="s">
        <v>495</v>
      </c>
      <c r="E8" s="7" t="s">
        <v>737</v>
      </c>
      <c r="F8" s="4">
        <v>20</v>
      </c>
      <c r="G8" s="4">
        <v>18</v>
      </c>
      <c r="H8" s="4">
        <v>20</v>
      </c>
      <c r="I8" s="4">
        <v>18</v>
      </c>
      <c r="J8" s="4">
        <v>20</v>
      </c>
      <c r="K8" s="4">
        <v>15</v>
      </c>
      <c r="L8" s="4">
        <v>20</v>
      </c>
      <c r="M8" s="4">
        <v>175</v>
      </c>
      <c r="N8" s="4">
        <f>SUM(F8:L8)</f>
        <v>131</v>
      </c>
      <c r="O8" s="45">
        <f>N8/M8</f>
        <v>0.74857142857142855</v>
      </c>
      <c r="P8" s="4"/>
    </row>
    <row r="9" spans="1:16" x14ac:dyDescent="0.25">
      <c r="A9" s="7">
        <v>2</v>
      </c>
      <c r="B9" s="46">
        <v>734</v>
      </c>
      <c r="C9" s="36" t="s">
        <v>739</v>
      </c>
      <c r="D9" s="34" t="s">
        <v>424</v>
      </c>
      <c r="E9" s="7" t="s">
        <v>737</v>
      </c>
      <c r="F9" s="4">
        <v>10</v>
      </c>
      <c r="G9" s="4">
        <v>10</v>
      </c>
      <c r="H9" s="4">
        <v>10</v>
      </c>
      <c r="I9" s="4">
        <v>10</v>
      </c>
      <c r="J9" s="4">
        <v>15</v>
      </c>
      <c r="K9" s="4">
        <v>10</v>
      </c>
      <c r="L9" s="4">
        <v>10</v>
      </c>
      <c r="M9" s="4">
        <v>175</v>
      </c>
      <c r="N9" s="4">
        <f t="shared" ref="N9:N29" si="0">SUM(F9:L9)</f>
        <v>75</v>
      </c>
      <c r="O9" s="45">
        <f t="shared" ref="O9:O29" si="1">N9/M9</f>
        <v>0.42857142857142855</v>
      </c>
      <c r="P9" s="4"/>
    </row>
    <row r="10" spans="1:16" x14ac:dyDescent="0.25">
      <c r="A10" s="7">
        <v>3</v>
      </c>
      <c r="B10" s="46">
        <v>787</v>
      </c>
      <c r="C10" s="36" t="s">
        <v>142</v>
      </c>
      <c r="D10" s="34" t="s">
        <v>428</v>
      </c>
      <c r="E10" s="7" t="s">
        <v>737</v>
      </c>
      <c r="F10" s="4">
        <v>25</v>
      </c>
      <c r="G10" s="4">
        <v>25</v>
      </c>
      <c r="H10" s="4">
        <v>23</v>
      </c>
      <c r="I10" s="4">
        <v>24</v>
      </c>
      <c r="J10" s="4">
        <v>25</v>
      </c>
      <c r="K10" s="4">
        <v>20</v>
      </c>
      <c r="L10" s="4">
        <v>20</v>
      </c>
      <c r="M10" s="4">
        <v>175</v>
      </c>
      <c r="N10" s="4">
        <f t="shared" si="0"/>
        <v>162</v>
      </c>
      <c r="O10" s="45">
        <f t="shared" si="1"/>
        <v>0.92571428571428571</v>
      </c>
      <c r="P10" s="4"/>
    </row>
    <row r="11" spans="1:16" x14ac:dyDescent="0.25">
      <c r="A11" s="7">
        <v>4</v>
      </c>
      <c r="B11" s="46">
        <v>742</v>
      </c>
      <c r="C11" s="36" t="s">
        <v>740</v>
      </c>
      <c r="D11" s="34" t="s">
        <v>726</v>
      </c>
      <c r="E11" s="7" t="s">
        <v>737</v>
      </c>
      <c r="F11" s="4">
        <v>20</v>
      </c>
      <c r="G11" s="4">
        <v>20</v>
      </c>
      <c r="H11" s="4">
        <v>20</v>
      </c>
      <c r="I11" s="4">
        <v>20</v>
      </c>
      <c r="J11" s="4">
        <v>25</v>
      </c>
      <c r="K11" s="4">
        <v>20</v>
      </c>
      <c r="L11" s="4">
        <v>10</v>
      </c>
      <c r="M11" s="4">
        <v>175</v>
      </c>
      <c r="N11" s="4">
        <f t="shared" si="0"/>
        <v>135</v>
      </c>
      <c r="O11" s="45">
        <f t="shared" si="1"/>
        <v>0.77142857142857146</v>
      </c>
      <c r="P11" s="4"/>
    </row>
    <row r="12" spans="1:16" x14ac:dyDescent="0.25">
      <c r="A12" s="7">
        <v>5</v>
      </c>
      <c r="B12" s="46">
        <v>740</v>
      </c>
      <c r="C12" s="36" t="s">
        <v>603</v>
      </c>
      <c r="D12" s="34" t="s">
        <v>193</v>
      </c>
      <c r="E12" s="7" t="s">
        <v>737</v>
      </c>
      <c r="F12" s="4">
        <v>5</v>
      </c>
      <c r="G12" s="4">
        <v>4</v>
      </c>
      <c r="H12" s="4">
        <v>3</v>
      </c>
      <c r="I12" s="4">
        <v>2</v>
      </c>
      <c r="J12" s="4">
        <v>10</v>
      </c>
      <c r="K12" s="4">
        <v>5</v>
      </c>
      <c r="L12" s="4">
        <v>2</v>
      </c>
      <c r="M12" s="4">
        <v>175</v>
      </c>
      <c r="N12" s="4">
        <f t="shared" si="0"/>
        <v>31</v>
      </c>
      <c r="O12" s="45">
        <f t="shared" si="1"/>
        <v>0.17714285714285713</v>
      </c>
      <c r="P12" s="4"/>
    </row>
    <row r="13" spans="1:16" x14ac:dyDescent="0.25">
      <c r="A13" s="7">
        <v>6</v>
      </c>
      <c r="B13" s="46">
        <v>738</v>
      </c>
      <c r="C13" s="36" t="s">
        <v>741</v>
      </c>
      <c r="D13" s="34" t="s">
        <v>495</v>
      </c>
      <c r="E13" s="7" t="s">
        <v>737</v>
      </c>
      <c r="F13" s="4">
        <v>5</v>
      </c>
      <c r="G13" s="4">
        <v>5</v>
      </c>
      <c r="H13" s="4">
        <v>15</v>
      </c>
      <c r="I13" s="4">
        <v>20</v>
      </c>
      <c r="J13" s="4">
        <v>20</v>
      </c>
      <c r="K13" s="4">
        <v>15</v>
      </c>
      <c r="L13" s="4">
        <v>20</v>
      </c>
      <c r="M13" s="4">
        <v>175</v>
      </c>
      <c r="N13" s="4">
        <f t="shared" si="0"/>
        <v>100</v>
      </c>
      <c r="O13" s="45">
        <f t="shared" si="1"/>
        <v>0.5714285714285714</v>
      </c>
      <c r="P13" s="4"/>
    </row>
    <row r="14" spans="1:16" x14ac:dyDescent="0.25">
      <c r="A14" s="7">
        <v>7</v>
      </c>
      <c r="B14" s="46">
        <v>739</v>
      </c>
      <c r="C14" s="36" t="s">
        <v>742</v>
      </c>
      <c r="D14" s="34" t="s">
        <v>590</v>
      </c>
      <c r="E14" s="7" t="s">
        <v>737</v>
      </c>
      <c r="F14" s="4">
        <v>15</v>
      </c>
      <c r="G14" s="4">
        <v>15</v>
      </c>
      <c r="H14" s="4">
        <v>20</v>
      </c>
      <c r="I14" s="4">
        <v>21</v>
      </c>
      <c r="J14" s="4">
        <v>15</v>
      </c>
      <c r="K14" s="4">
        <v>20</v>
      </c>
      <c r="L14" s="4">
        <v>20</v>
      </c>
      <c r="M14" s="4">
        <v>175</v>
      </c>
      <c r="N14" s="4">
        <f t="shared" si="0"/>
        <v>126</v>
      </c>
      <c r="O14" s="45">
        <f t="shared" si="1"/>
        <v>0.72</v>
      </c>
      <c r="P14" s="4"/>
    </row>
    <row r="15" spans="1:16" x14ac:dyDescent="0.25">
      <c r="A15" s="7">
        <v>8</v>
      </c>
      <c r="B15" s="46">
        <v>743</v>
      </c>
      <c r="C15" s="36" t="s">
        <v>743</v>
      </c>
      <c r="D15" s="34" t="s">
        <v>744</v>
      </c>
      <c r="E15" s="7" t="s">
        <v>737</v>
      </c>
      <c r="F15" s="4">
        <v>25</v>
      </c>
      <c r="G15" s="4">
        <v>23</v>
      </c>
      <c r="H15" s="4">
        <v>24</v>
      </c>
      <c r="I15" s="4">
        <v>25</v>
      </c>
      <c r="J15" s="4">
        <v>23</v>
      </c>
      <c r="K15" s="4">
        <v>24</v>
      </c>
      <c r="L15" s="4">
        <v>25</v>
      </c>
      <c r="M15" s="4">
        <v>175</v>
      </c>
      <c r="N15" s="4">
        <f t="shared" si="0"/>
        <v>169</v>
      </c>
      <c r="O15" s="45">
        <f t="shared" si="1"/>
        <v>0.96571428571428575</v>
      </c>
      <c r="P15" s="4"/>
    </row>
    <row r="16" spans="1:16" x14ac:dyDescent="0.25">
      <c r="A16" s="7">
        <v>9</v>
      </c>
      <c r="B16" s="46">
        <v>729</v>
      </c>
      <c r="C16" s="36" t="s">
        <v>745</v>
      </c>
      <c r="D16" s="34" t="s">
        <v>746</v>
      </c>
      <c r="E16" s="7" t="s">
        <v>737</v>
      </c>
      <c r="F16" s="4">
        <v>15</v>
      </c>
      <c r="G16" s="4">
        <v>5</v>
      </c>
      <c r="H16" s="4">
        <v>10</v>
      </c>
      <c r="I16" s="4">
        <v>20</v>
      </c>
      <c r="J16" s="4">
        <v>23</v>
      </c>
      <c r="K16" s="4">
        <v>15</v>
      </c>
      <c r="L16" s="4">
        <v>20</v>
      </c>
      <c r="M16" s="4">
        <v>175</v>
      </c>
      <c r="N16" s="4">
        <f t="shared" si="0"/>
        <v>108</v>
      </c>
      <c r="O16" s="45">
        <f t="shared" si="1"/>
        <v>0.6171428571428571</v>
      </c>
      <c r="P16" s="4"/>
    </row>
    <row r="17" spans="1:16" x14ac:dyDescent="0.25">
      <c r="A17" s="7">
        <v>10</v>
      </c>
      <c r="B17" s="46">
        <v>735</v>
      </c>
      <c r="C17" s="36" t="s">
        <v>747</v>
      </c>
      <c r="D17" s="34" t="s">
        <v>748</v>
      </c>
      <c r="E17" s="7" t="s">
        <v>737</v>
      </c>
      <c r="F17" s="4">
        <v>20</v>
      </c>
      <c r="G17" s="4">
        <v>15</v>
      </c>
      <c r="H17" s="4">
        <v>0</v>
      </c>
      <c r="I17" s="4">
        <v>15</v>
      </c>
      <c r="J17" s="4">
        <v>20</v>
      </c>
      <c r="K17" s="4">
        <v>0</v>
      </c>
      <c r="L17" s="4">
        <v>0</v>
      </c>
      <c r="M17" s="4">
        <v>175</v>
      </c>
      <c r="N17" s="4">
        <f t="shared" si="0"/>
        <v>70</v>
      </c>
      <c r="O17" s="45">
        <f t="shared" si="1"/>
        <v>0.4</v>
      </c>
      <c r="P17" s="4"/>
    </row>
    <row r="18" spans="1:16" x14ac:dyDescent="0.25">
      <c r="A18" s="7">
        <v>11</v>
      </c>
      <c r="B18" s="46">
        <v>736</v>
      </c>
      <c r="C18" s="36" t="s">
        <v>749</v>
      </c>
      <c r="D18" s="34" t="s">
        <v>265</v>
      </c>
      <c r="E18" s="7" t="s">
        <v>737</v>
      </c>
      <c r="F18" s="4">
        <v>25</v>
      </c>
      <c r="G18" s="4">
        <v>25</v>
      </c>
      <c r="H18" s="4">
        <v>24</v>
      </c>
      <c r="I18" s="4">
        <v>25</v>
      </c>
      <c r="J18" s="4">
        <v>24</v>
      </c>
      <c r="K18" s="4">
        <v>23</v>
      </c>
      <c r="L18" s="4">
        <v>25</v>
      </c>
      <c r="M18" s="4">
        <v>175</v>
      </c>
      <c r="N18" s="4">
        <f t="shared" si="0"/>
        <v>171</v>
      </c>
      <c r="O18" s="45">
        <f t="shared" si="1"/>
        <v>0.97714285714285709</v>
      </c>
      <c r="P18" s="4"/>
    </row>
    <row r="19" spans="1:16" x14ac:dyDescent="0.25">
      <c r="A19" s="7">
        <v>12</v>
      </c>
      <c r="B19" s="46">
        <v>759</v>
      </c>
      <c r="C19" s="36" t="s">
        <v>658</v>
      </c>
      <c r="D19" s="34" t="s">
        <v>750</v>
      </c>
      <c r="E19" s="7" t="s">
        <v>737</v>
      </c>
      <c r="F19" s="4">
        <v>25</v>
      </c>
      <c r="G19" s="4">
        <v>24</v>
      </c>
      <c r="H19" s="4">
        <v>5</v>
      </c>
      <c r="I19" s="4">
        <v>20</v>
      </c>
      <c r="J19" s="4">
        <v>15</v>
      </c>
      <c r="K19" s="4">
        <v>20</v>
      </c>
      <c r="L19" s="4">
        <v>25</v>
      </c>
      <c r="M19" s="4">
        <v>175</v>
      </c>
      <c r="N19" s="4">
        <f t="shared" si="0"/>
        <v>134</v>
      </c>
      <c r="O19" s="45">
        <f t="shared" si="1"/>
        <v>0.76571428571428568</v>
      </c>
      <c r="P19" s="4"/>
    </row>
    <row r="20" spans="1:16" x14ac:dyDescent="0.25">
      <c r="A20" s="7">
        <v>13</v>
      </c>
      <c r="B20" s="46">
        <v>746</v>
      </c>
      <c r="C20" s="36" t="s">
        <v>751</v>
      </c>
      <c r="D20" s="34" t="s">
        <v>752</v>
      </c>
      <c r="E20" s="7" t="s">
        <v>737</v>
      </c>
      <c r="F20" s="4">
        <v>25</v>
      </c>
      <c r="G20" s="4">
        <v>23</v>
      </c>
      <c r="H20" s="4">
        <v>23</v>
      </c>
      <c r="I20" s="4">
        <v>25</v>
      </c>
      <c r="J20" s="4">
        <v>25</v>
      </c>
      <c r="K20" s="4">
        <v>24</v>
      </c>
      <c r="L20" s="4">
        <v>25</v>
      </c>
      <c r="M20" s="4">
        <v>175</v>
      </c>
      <c r="N20" s="4">
        <f t="shared" si="0"/>
        <v>170</v>
      </c>
      <c r="O20" s="45">
        <f t="shared" si="1"/>
        <v>0.97142857142857142</v>
      </c>
      <c r="P20" s="4"/>
    </row>
    <row r="21" spans="1:16" x14ac:dyDescent="0.25">
      <c r="A21" s="7">
        <v>14</v>
      </c>
      <c r="B21" s="46">
        <v>745</v>
      </c>
      <c r="C21" s="36" t="s">
        <v>753</v>
      </c>
      <c r="D21" s="34" t="s">
        <v>752</v>
      </c>
      <c r="E21" s="7" t="s">
        <v>737</v>
      </c>
      <c r="F21" s="4">
        <v>10</v>
      </c>
      <c r="G21" s="4">
        <v>15</v>
      </c>
      <c r="H21" s="4">
        <v>15</v>
      </c>
      <c r="I21" s="4">
        <v>20</v>
      </c>
      <c r="J21" s="4">
        <v>20</v>
      </c>
      <c r="K21" s="4">
        <v>15</v>
      </c>
      <c r="L21" s="4">
        <v>14</v>
      </c>
      <c r="M21" s="4">
        <v>175</v>
      </c>
      <c r="N21" s="4">
        <f t="shared" si="0"/>
        <v>109</v>
      </c>
      <c r="O21" s="45">
        <f t="shared" si="1"/>
        <v>0.62285714285714289</v>
      </c>
      <c r="P21" s="4"/>
    </row>
    <row r="22" spans="1:16" x14ac:dyDescent="0.25">
      <c r="A22" s="7">
        <v>15</v>
      </c>
      <c r="B22" s="46">
        <v>731</v>
      </c>
      <c r="C22" s="36" t="s">
        <v>754</v>
      </c>
      <c r="D22" s="34" t="s">
        <v>755</v>
      </c>
      <c r="E22" s="7" t="s">
        <v>737</v>
      </c>
      <c r="F22" s="4">
        <v>20</v>
      </c>
      <c r="G22" s="4">
        <v>20</v>
      </c>
      <c r="H22" s="4">
        <v>25</v>
      </c>
      <c r="I22" s="4">
        <v>25</v>
      </c>
      <c r="J22" s="4">
        <v>15</v>
      </c>
      <c r="K22" s="4">
        <v>20</v>
      </c>
      <c r="L22" s="4">
        <v>15</v>
      </c>
      <c r="M22" s="4">
        <v>175</v>
      </c>
      <c r="N22" s="4">
        <f t="shared" si="0"/>
        <v>140</v>
      </c>
      <c r="O22" s="45">
        <f t="shared" si="1"/>
        <v>0.8</v>
      </c>
      <c r="P22" s="4"/>
    </row>
    <row r="23" spans="1:16" x14ac:dyDescent="0.25">
      <c r="A23" s="7">
        <v>16</v>
      </c>
      <c r="B23" s="46">
        <v>788</v>
      </c>
      <c r="C23" s="36" t="s">
        <v>603</v>
      </c>
      <c r="D23" s="34" t="s">
        <v>756</v>
      </c>
      <c r="E23" s="7" t="s">
        <v>737</v>
      </c>
      <c r="F23" s="4">
        <v>10</v>
      </c>
      <c r="G23" s="4">
        <v>5</v>
      </c>
      <c r="H23" s="4">
        <v>5</v>
      </c>
      <c r="I23" s="4">
        <v>10</v>
      </c>
      <c r="J23" s="4">
        <v>15</v>
      </c>
      <c r="K23" s="4">
        <v>10</v>
      </c>
      <c r="L23" s="4">
        <v>5</v>
      </c>
      <c r="M23" s="4">
        <v>175</v>
      </c>
      <c r="N23" s="4">
        <f t="shared" si="0"/>
        <v>60</v>
      </c>
      <c r="O23" s="45">
        <f t="shared" si="1"/>
        <v>0.34285714285714286</v>
      </c>
      <c r="P23" s="4"/>
    </row>
    <row r="24" spans="1:16" x14ac:dyDescent="0.25">
      <c r="A24" s="7">
        <v>17</v>
      </c>
      <c r="B24" s="46">
        <v>856</v>
      </c>
      <c r="C24" s="36" t="s">
        <v>757</v>
      </c>
      <c r="D24" s="34" t="s">
        <v>590</v>
      </c>
      <c r="E24" s="7" t="s">
        <v>737</v>
      </c>
      <c r="F24" s="4">
        <v>15</v>
      </c>
      <c r="G24" s="4">
        <v>10</v>
      </c>
      <c r="H24" s="4">
        <v>15</v>
      </c>
      <c r="I24" s="4">
        <v>10</v>
      </c>
      <c r="J24" s="4">
        <v>20</v>
      </c>
      <c r="K24" s="4">
        <v>10</v>
      </c>
      <c r="L24" s="4">
        <v>15</v>
      </c>
      <c r="M24" s="4">
        <v>175</v>
      </c>
      <c r="N24" s="4">
        <f t="shared" si="0"/>
        <v>95</v>
      </c>
      <c r="O24" s="45">
        <f t="shared" si="1"/>
        <v>0.54285714285714282</v>
      </c>
      <c r="P24" s="4"/>
    </row>
    <row r="25" spans="1:16" x14ac:dyDescent="0.25">
      <c r="A25" s="7">
        <v>18</v>
      </c>
      <c r="B25" s="46">
        <v>906</v>
      </c>
      <c r="C25" s="36" t="s">
        <v>527</v>
      </c>
      <c r="D25" s="34" t="s">
        <v>758</v>
      </c>
      <c r="E25" s="7" t="s">
        <v>737</v>
      </c>
      <c r="F25" s="4">
        <v>15</v>
      </c>
      <c r="G25" s="4">
        <v>15</v>
      </c>
      <c r="H25" s="4">
        <v>20</v>
      </c>
      <c r="I25" s="4">
        <v>10</v>
      </c>
      <c r="J25" s="4">
        <v>10</v>
      </c>
      <c r="K25" s="4">
        <v>25</v>
      </c>
      <c r="L25" s="4">
        <v>25</v>
      </c>
      <c r="M25" s="4">
        <v>175</v>
      </c>
      <c r="N25" s="4">
        <f t="shared" si="0"/>
        <v>120</v>
      </c>
      <c r="O25" s="45">
        <f t="shared" si="1"/>
        <v>0.68571428571428572</v>
      </c>
      <c r="P25" s="4"/>
    </row>
    <row r="26" spans="1:16" x14ac:dyDescent="0.25">
      <c r="A26" s="7">
        <v>19</v>
      </c>
      <c r="B26" s="46">
        <v>866</v>
      </c>
      <c r="C26" s="36" t="s">
        <v>759</v>
      </c>
      <c r="D26" s="34" t="s">
        <v>760</v>
      </c>
      <c r="E26" s="7" t="s">
        <v>737</v>
      </c>
      <c r="F26" s="4">
        <v>15</v>
      </c>
      <c r="G26" s="4">
        <v>10</v>
      </c>
      <c r="H26" s="4">
        <v>10</v>
      </c>
      <c r="I26" s="4">
        <v>20</v>
      </c>
      <c r="J26" s="4">
        <v>25</v>
      </c>
      <c r="K26" s="4">
        <v>25</v>
      </c>
      <c r="L26" s="4">
        <v>10</v>
      </c>
      <c r="M26" s="4">
        <v>175</v>
      </c>
      <c r="N26" s="4">
        <f t="shared" si="0"/>
        <v>115</v>
      </c>
      <c r="O26" s="45">
        <f t="shared" si="1"/>
        <v>0.65714285714285714</v>
      </c>
      <c r="P26" s="4"/>
    </row>
    <row r="27" spans="1:16" x14ac:dyDescent="0.25">
      <c r="A27" s="7">
        <v>20</v>
      </c>
      <c r="B27" s="46">
        <v>846</v>
      </c>
      <c r="C27" s="36" t="s">
        <v>761</v>
      </c>
      <c r="D27" s="34" t="s">
        <v>762</v>
      </c>
      <c r="E27" s="7" t="s">
        <v>737</v>
      </c>
      <c r="F27" s="4">
        <v>20</v>
      </c>
      <c r="G27" s="4">
        <v>10</v>
      </c>
      <c r="H27" s="4">
        <v>10</v>
      </c>
      <c r="I27" s="4">
        <v>15</v>
      </c>
      <c r="J27" s="4">
        <v>20</v>
      </c>
      <c r="K27" s="4">
        <v>15</v>
      </c>
      <c r="L27" s="4">
        <v>20</v>
      </c>
      <c r="M27" s="4">
        <v>175</v>
      </c>
      <c r="N27" s="4">
        <f t="shared" si="0"/>
        <v>110</v>
      </c>
      <c r="O27" s="45">
        <f t="shared" si="1"/>
        <v>0.62857142857142856</v>
      </c>
      <c r="P27" s="4"/>
    </row>
    <row r="28" spans="1:16" x14ac:dyDescent="0.25">
      <c r="A28" s="7">
        <v>21</v>
      </c>
      <c r="B28" s="46">
        <v>857</v>
      </c>
      <c r="C28" s="36" t="s">
        <v>759</v>
      </c>
      <c r="D28" s="36" t="s">
        <v>428</v>
      </c>
      <c r="E28" s="7" t="s">
        <v>737</v>
      </c>
      <c r="F28" s="4">
        <v>15</v>
      </c>
      <c r="G28" s="4">
        <v>15</v>
      </c>
      <c r="H28" s="4">
        <v>10</v>
      </c>
      <c r="I28" s="4">
        <v>10</v>
      </c>
      <c r="J28" s="4">
        <v>15</v>
      </c>
      <c r="K28" s="4">
        <v>15</v>
      </c>
      <c r="L28" s="4">
        <v>20</v>
      </c>
      <c r="M28" s="4">
        <v>175</v>
      </c>
      <c r="N28" s="4">
        <f t="shared" si="0"/>
        <v>100</v>
      </c>
      <c r="O28" s="45">
        <f t="shared" si="1"/>
        <v>0.5714285714285714</v>
      </c>
      <c r="P28" s="4"/>
    </row>
    <row r="29" spans="1:16" x14ac:dyDescent="0.25">
      <c r="A29" s="7">
        <v>22</v>
      </c>
      <c r="B29" s="46">
        <v>738</v>
      </c>
      <c r="C29" s="40" t="s">
        <v>763</v>
      </c>
      <c r="D29" s="40" t="s">
        <v>764</v>
      </c>
      <c r="E29" s="7" t="s">
        <v>737</v>
      </c>
      <c r="F29" s="4">
        <v>20</v>
      </c>
      <c r="G29" s="4">
        <v>20</v>
      </c>
      <c r="H29" s="4">
        <v>23</v>
      </c>
      <c r="I29" s="50">
        <v>15</v>
      </c>
      <c r="J29" s="50">
        <v>15</v>
      </c>
      <c r="K29" s="50">
        <v>20</v>
      </c>
      <c r="L29" s="50">
        <v>20</v>
      </c>
      <c r="M29" s="4">
        <v>175</v>
      </c>
      <c r="N29" s="4">
        <f t="shared" si="0"/>
        <v>133</v>
      </c>
      <c r="O29" s="45">
        <f t="shared" si="1"/>
        <v>0.76</v>
      </c>
      <c r="P29" s="4"/>
    </row>
    <row r="30" spans="1:16" ht="21" x14ac:dyDescent="0.35">
      <c r="A30" s="64" t="s">
        <v>185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</row>
    <row r="31" spans="1:16" x14ac:dyDescent="0.25">
      <c r="A31" s="7">
        <v>30</v>
      </c>
      <c r="B31" s="46">
        <v>730</v>
      </c>
      <c r="C31" s="36" t="s">
        <v>765</v>
      </c>
      <c r="D31" s="34" t="s">
        <v>22</v>
      </c>
      <c r="E31" s="7" t="s">
        <v>737</v>
      </c>
      <c r="F31" s="4">
        <v>25</v>
      </c>
      <c r="G31" s="4">
        <v>20</v>
      </c>
      <c r="H31" s="4">
        <v>23</v>
      </c>
      <c r="I31" s="4">
        <v>20</v>
      </c>
      <c r="J31" s="4">
        <v>23</v>
      </c>
      <c r="K31" s="4">
        <v>20</v>
      </c>
      <c r="L31" s="4">
        <v>23</v>
      </c>
      <c r="M31" s="4">
        <v>175</v>
      </c>
      <c r="N31" s="4">
        <f>SUM(F31:L31)</f>
        <v>154</v>
      </c>
      <c r="O31" s="45">
        <f>N31/M31</f>
        <v>0.88</v>
      </c>
      <c r="P31" s="4"/>
    </row>
    <row r="32" spans="1:16" x14ac:dyDescent="0.25">
      <c r="A32" s="7">
        <v>31</v>
      </c>
      <c r="B32" s="46">
        <v>732</v>
      </c>
      <c r="C32" s="36" t="s">
        <v>766</v>
      </c>
      <c r="D32" s="34" t="s">
        <v>507</v>
      </c>
      <c r="E32" s="7" t="s">
        <v>737</v>
      </c>
      <c r="F32" s="4">
        <v>20</v>
      </c>
      <c r="G32" s="4">
        <v>15</v>
      </c>
      <c r="H32" s="4">
        <v>20</v>
      </c>
      <c r="I32" s="4">
        <v>15</v>
      </c>
      <c r="J32" s="4">
        <v>25</v>
      </c>
      <c r="K32" s="4">
        <v>23</v>
      </c>
      <c r="L32" s="4">
        <v>25</v>
      </c>
      <c r="M32" s="4">
        <v>175</v>
      </c>
      <c r="N32" s="4">
        <f t="shared" ref="N32:N49" si="2">SUM(F32:L32)</f>
        <v>143</v>
      </c>
      <c r="O32" s="45">
        <f t="shared" ref="O32:O49" si="3">N32/M32</f>
        <v>0.81714285714285717</v>
      </c>
      <c r="P32" s="4"/>
    </row>
    <row r="33" spans="1:16" x14ac:dyDescent="0.25">
      <c r="A33" s="7">
        <v>32</v>
      </c>
      <c r="B33" s="46">
        <v>728</v>
      </c>
      <c r="C33" s="36" t="s">
        <v>767</v>
      </c>
      <c r="D33" s="34" t="s">
        <v>542</v>
      </c>
      <c r="E33" s="7" t="s">
        <v>737</v>
      </c>
      <c r="F33" s="4">
        <v>20</v>
      </c>
      <c r="G33" s="4">
        <v>20</v>
      </c>
      <c r="H33" s="4">
        <v>15</v>
      </c>
      <c r="I33" s="4">
        <v>20</v>
      </c>
      <c r="J33" s="4">
        <v>15</v>
      </c>
      <c r="K33" s="4">
        <v>20</v>
      </c>
      <c r="L33" s="4">
        <v>15</v>
      </c>
      <c r="M33" s="4">
        <v>175</v>
      </c>
      <c r="N33" s="4">
        <f t="shared" si="2"/>
        <v>125</v>
      </c>
      <c r="O33" s="45">
        <f t="shared" si="3"/>
        <v>0.7142857142857143</v>
      </c>
      <c r="P33" s="4"/>
    </row>
    <row r="34" spans="1:16" x14ac:dyDescent="0.25">
      <c r="A34" s="7">
        <v>33</v>
      </c>
      <c r="B34" s="46">
        <v>760</v>
      </c>
      <c r="C34" s="36" t="s">
        <v>768</v>
      </c>
      <c r="D34" s="36" t="s">
        <v>499</v>
      </c>
      <c r="E34" s="7" t="s">
        <v>737</v>
      </c>
      <c r="F34" s="4">
        <v>20</v>
      </c>
      <c r="G34" s="4">
        <v>15</v>
      </c>
      <c r="H34" s="4">
        <v>15</v>
      </c>
      <c r="I34" s="4">
        <v>15</v>
      </c>
      <c r="J34" s="4">
        <v>20</v>
      </c>
      <c r="K34" s="4">
        <v>20</v>
      </c>
      <c r="L34" s="4">
        <v>15</v>
      </c>
      <c r="M34" s="4">
        <v>175</v>
      </c>
      <c r="N34" s="4">
        <f t="shared" si="2"/>
        <v>120</v>
      </c>
      <c r="O34" s="45">
        <f t="shared" si="3"/>
        <v>0.68571428571428572</v>
      </c>
      <c r="P34" s="4"/>
    </row>
    <row r="35" spans="1:16" x14ac:dyDescent="0.25">
      <c r="A35" s="7">
        <v>34</v>
      </c>
      <c r="B35" s="46">
        <v>741</v>
      </c>
      <c r="C35" s="36" t="s">
        <v>769</v>
      </c>
      <c r="D35" s="34" t="s">
        <v>602</v>
      </c>
      <c r="E35" s="7" t="s">
        <v>737</v>
      </c>
      <c r="F35" s="4">
        <v>20</v>
      </c>
      <c r="G35" s="4">
        <v>20</v>
      </c>
      <c r="H35" s="4">
        <v>15</v>
      </c>
      <c r="I35" s="4">
        <v>15</v>
      </c>
      <c r="J35" s="4">
        <v>15</v>
      </c>
      <c r="K35" s="4">
        <v>20</v>
      </c>
      <c r="L35" s="4">
        <v>15</v>
      </c>
      <c r="M35" s="4">
        <v>175</v>
      </c>
      <c r="N35" s="4">
        <f t="shared" si="2"/>
        <v>120</v>
      </c>
      <c r="O35" s="45">
        <f t="shared" si="3"/>
        <v>0.68571428571428572</v>
      </c>
      <c r="P35" s="4"/>
    </row>
    <row r="36" spans="1:16" x14ac:dyDescent="0.25">
      <c r="A36" s="7">
        <v>35</v>
      </c>
      <c r="B36" s="46">
        <v>733</v>
      </c>
      <c r="C36" s="38" t="s">
        <v>770</v>
      </c>
      <c r="D36" s="39" t="s">
        <v>771</v>
      </c>
      <c r="E36" s="7" t="s">
        <v>737</v>
      </c>
      <c r="F36" s="4">
        <v>15</v>
      </c>
      <c r="G36" s="4">
        <v>15</v>
      </c>
      <c r="H36" s="4">
        <v>10</v>
      </c>
      <c r="I36" s="4">
        <v>10</v>
      </c>
      <c r="J36" s="4">
        <v>10</v>
      </c>
      <c r="K36" s="4">
        <v>20</v>
      </c>
      <c r="L36" s="4">
        <v>15</v>
      </c>
      <c r="M36" s="4">
        <v>175</v>
      </c>
      <c r="N36" s="4">
        <f t="shared" si="2"/>
        <v>95</v>
      </c>
      <c r="O36" s="45">
        <f t="shared" si="3"/>
        <v>0.54285714285714282</v>
      </c>
      <c r="P36" s="4"/>
    </row>
    <row r="37" spans="1:16" x14ac:dyDescent="0.25">
      <c r="A37" s="7">
        <v>36</v>
      </c>
      <c r="B37" s="46">
        <v>744</v>
      </c>
      <c r="C37" s="40" t="s">
        <v>772</v>
      </c>
      <c r="D37" s="40" t="s">
        <v>74</v>
      </c>
      <c r="E37" s="7" t="s">
        <v>737</v>
      </c>
      <c r="F37" s="4">
        <v>20</v>
      </c>
      <c r="G37" s="4">
        <v>25</v>
      </c>
      <c r="H37" s="4">
        <v>25</v>
      </c>
      <c r="I37" s="4">
        <v>25</v>
      </c>
      <c r="J37" s="4">
        <v>25</v>
      </c>
      <c r="K37" s="4">
        <v>25</v>
      </c>
      <c r="L37" s="4">
        <v>25</v>
      </c>
      <c r="M37" s="4">
        <v>175</v>
      </c>
      <c r="N37" s="4">
        <f t="shared" si="2"/>
        <v>170</v>
      </c>
      <c r="O37" s="45">
        <f t="shared" si="3"/>
        <v>0.97142857142857142</v>
      </c>
      <c r="P37" s="4"/>
    </row>
    <row r="38" spans="1:16" x14ac:dyDescent="0.25">
      <c r="A38" s="7">
        <v>37</v>
      </c>
      <c r="B38" s="46">
        <v>850</v>
      </c>
      <c r="C38" s="36" t="s">
        <v>773</v>
      </c>
      <c r="D38" s="36" t="s">
        <v>703</v>
      </c>
      <c r="E38" s="7" t="s">
        <v>737</v>
      </c>
      <c r="F38" s="4">
        <v>23</v>
      </c>
      <c r="G38" s="4">
        <v>20</v>
      </c>
      <c r="H38" s="4">
        <v>23</v>
      </c>
      <c r="I38" s="4">
        <v>25</v>
      </c>
      <c r="J38" s="4">
        <v>25</v>
      </c>
      <c r="K38" s="4">
        <v>23</v>
      </c>
      <c r="L38" s="4">
        <v>25</v>
      </c>
      <c r="M38" s="4">
        <v>175</v>
      </c>
      <c r="N38" s="4">
        <f t="shared" si="2"/>
        <v>164</v>
      </c>
      <c r="O38" s="45">
        <f t="shared" si="3"/>
        <v>0.93714285714285717</v>
      </c>
      <c r="P38" s="4"/>
    </row>
    <row r="39" spans="1:16" x14ac:dyDescent="0.25">
      <c r="A39" s="7">
        <v>38</v>
      </c>
      <c r="B39" s="47">
        <v>767</v>
      </c>
      <c r="C39" s="47" t="s">
        <v>85</v>
      </c>
      <c r="D39" s="47" t="s">
        <v>774</v>
      </c>
      <c r="E39" s="7" t="s">
        <v>737</v>
      </c>
      <c r="F39" s="23" t="s">
        <v>124</v>
      </c>
      <c r="G39" s="23" t="s">
        <v>124</v>
      </c>
      <c r="H39" s="23" t="s">
        <v>124</v>
      </c>
      <c r="I39" s="23" t="s">
        <v>124</v>
      </c>
      <c r="J39" s="23" t="s">
        <v>124</v>
      </c>
      <c r="K39" s="23" t="s">
        <v>124</v>
      </c>
      <c r="L39" s="23" t="s">
        <v>124</v>
      </c>
      <c r="M39" s="4">
        <v>175</v>
      </c>
      <c r="N39" s="4">
        <f t="shared" si="2"/>
        <v>0</v>
      </c>
      <c r="O39" s="45">
        <f t="shared" si="3"/>
        <v>0</v>
      </c>
      <c r="P39" s="4"/>
    </row>
    <row r="40" spans="1:16" x14ac:dyDescent="0.25">
      <c r="A40" s="7">
        <v>39</v>
      </c>
      <c r="B40" s="47">
        <v>875</v>
      </c>
      <c r="C40" s="47" t="s">
        <v>775</v>
      </c>
      <c r="D40" s="47" t="s">
        <v>580</v>
      </c>
      <c r="E40" s="7" t="s">
        <v>737</v>
      </c>
      <c r="F40" s="4">
        <v>20</v>
      </c>
      <c r="G40" s="4">
        <v>15</v>
      </c>
      <c r="H40" s="4">
        <v>20</v>
      </c>
      <c r="I40" s="4">
        <v>15</v>
      </c>
      <c r="J40" s="4">
        <v>20</v>
      </c>
      <c r="K40" s="4">
        <v>15</v>
      </c>
      <c r="L40" s="4">
        <v>20</v>
      </c>
      <c r="M40" s="4">
        <v>175</v>
      </c>
      <c r="N40" s="4">
        <f t="shared" si="2"/>
        <v>125</v>
      </c>
      <c r="O40" s="45">
        <f t="shared" si="3"/>
        <v>0.7142857142857143</v>
      </c>
      <c r="P40" s="4"/>
    </row>
    <row r="41" spans="1:16" x14ac:dyDescent="0.25">
      <c r="A41" s="7">
        <v>40</v>
      </c>
      <c r="B41" s="47">
        <v>727</v>
      </c>
      <c r="C41" s="47" t="s">
        <v>776</v>
      </c>
      <c r="D41" s="47" t="s">
        <v>700</v>
      </c>
      <c r="E41" s="7" t="s">
        <v>737</v>
      </c>
      <c r="F41" s="4">
        <v>25</v>
      </c>
      <c r="G41" s="4">
        <v>15</v>
      </c>
      <c r="H41" s="4">
        <v>25</v>
      </c>
      <c r="I41" s="4">
        <v>25</v>
      </c>
      <c r="J41" s="4">
        <v>25</v>
      </c>
      <c r="K41" s="4">
        <v>23</v>
      </c>
      <c r="L41" s="4">
        <v>22</v>
      </c>
      <c r="M41" s="4">
        <v>175</v>
      </c>
      <c r="N41" s="4">
        <f t="shared" si="2"/>
        <v>160</v>
      </c>
      <c r="O41" s="45">
        <f t="shared" si="3"/>
        <v>0.91428571428571426</v>
      </c>
      <c r="P41" s="4"/>
    </row>
    <row r="42" spans="1:16" x14ac:dyDescent="0.25">
      <c r="A42" s="7">
        <v>41</v>
      </c>
      <c r="B42" s="47">
        <v>880</v>
      </c>
      <c r="C42" s="47" t="s">
        <v>777</v>
      </c>
      <c r="D42" s="47" t="s">
        <v>778</v>
      </c>
      <c r="E42" s="7" t="s">
        <v>737</v>
      </c>
      <c r="F42" s="4">
        <v>20</v>
      </c>
      <c r="G42" s="4">
        <v>15</v>
      </c>
      <c r="H42" s="4">
        <v>20</v>
      </c>
      <c r="I42" s="4">
        <v>15</v>
      </c>
      <c r="J42" s="4">
        <v>20</v>
      </c>
      <c r="K42" s="4">
        <v>15</v>
      </c>
      <c r="L42" s="4">
        <v>20</v>
      </c>
      <c r="M42" s="4">
        <v>175</v>
      </c>
      <c r="N42" s="4">
        <f t="shared" si="2"/>
        <v>125</v>
      </c>
      <c r="O42" s="45">
        <f t="shared" si="3"/>
        <v>0.7142857142857143</v>
      </c>
      <c r="P42" s="4"/>
    </row>
    <row r="43" spans="1:16" x14ac:dyDescent="0.25">
      <c r="A43" s="7">
        <v>42</v>
      </c>
      <c r="B43" s="47">
        <v>777</v>
      </c>
      <c r="C43" s="47" t="s">
        <v>779</v>
      </c>
      <c r="D43" s="47" t="s">
        <v>780</v>
      </c>
      <c r="E43" s="7" t="s">
        <v>737</v>
      </c>
      <c r="F43" s="50">
        <v>15</v>
      </c>
      <c r="G43" s="50">
        <v>10</v>
      </c>
      <c r="H43" s="50">
        <v>15</v>
      </c>
      <c r="I43" s="50">
        <v>10</v>
      </c>
      <c r="J43" s="50">
        <v>15</v>
      </c>
      <c r="K43" s="50">
        <v>10</v>
      </c>
      <c r="L43" s="50">
        <v>25</v>
      </c>
      <c r="M43" s="4">
        <v>175</v>
      </c>
      <c r="N43" s="4">
        <f t="shared" si="2"/>
        <v>100</v>
      </c>
      <c r="O43" s="45">
        <f t="shared" si="3"/>
        <v>0.5714285714285714</v>
      </c>
      <c r="P43" s="4"/>
    </row>
    <row r="44" spans="1:16" x14ac:dyDescent="0.25">
      <c r="A44" s="7">
        <v>43</v>
      </c>
      <c r="B44" s="47">
        <v>873</v>
      </c>
      <c r="C44" s="47" t="s">
        <v>781</v>
      </c>
      <c r="D44" s="47" t="s">
        <v>34</v>
      </c>
      <c r="E44" s="7" t="s">
        <v>737</v>
      </c>
      <c r="F44" s="10">
        <v>10</v>
      </c>
      <c r="G44" s="10">
        <v>15</v>
      </c>
      <c r="H44" s="10">
        <v>10</v>
      </c>
      <c r="I44" s="10">
        <v>15</v>
      </c>
      <c r="J44" s="10">
        <v>25</v>
      </c>
      <c r="K44" s="10">
        <v>10</v>
      </c>
      <c r="L44" s="10">
        <v>25</v>
      </c>
      <c r="M44" s="4">
        <v>175</v>
      </c>
      <c r="N44" s="4">
        <f t="shared" si="2"/>
        <v>110</v>
      </c>
      <c r="O44" s="45">
        <f t="shared" si="3"/>
        <v>0.62857142857142856</v>
      </c>
      <c r="P44" s="4"/>
    </row>
    <row r="45" spans="1:16" x14ac:dyDescent="0.25">
      <c r="A45" s="7">
        <v>44</v>
      </c>
      <c r="B45" s="47">
        <v>909</v>
      </c>
      <c r="C45" s="47" t="s">
        <v>782</v>
      </c>
      <c r="D45" s="47" t="s">
        <v>783</v>
      </c>
      <c r="E45" s="7" t="s">
        <v>737</v>
      </c>
      <c r="F45" s="10">
        <v>10</v>
      </c>
      <c r="G45" s="10">
        <v>15</v>
      </c>
      <c r="H45" s="10">
        <v>10</v>
      </c>
      <c r="I45" s="10">
        <v>10</v>
      </c>
      <c r="J45" s="10">
        <v>15</v>
      </c>
      <c r="K45" s="10">
        <v>10</v>
      </c>
      <c r="L45" s="10">
        <v>10</v>
      </c>
      <c r="M45" s="4">
        <v>175</v>
      </c>
      <c r="N45" s="4">
        <f t="shared" si="2"/>
        <v>80</v>
      </c>
      <c r="O45" s="45">
        <f t="shared" si="3"/>
        <v>0.45714285714285713</v>
      </c>
      <c r="P45" s="4"/>
    </row>
    <row r="46" spans="1:16" x14ac:dyDescent="0.25">
      <c r="A46" s="7">
        <v>45</v>
      </c>
      <c r="B46" s="47">
        <v>854</v>
      </c>
      <c r="C46" s="47" t="s">
        <v>784</v>
      </c>
      <c r="D46" s="47" t="s">
        <v>785</v>
      </c>
      <c r="E46" s="7" t="s">
        <v>737</v>
      </c>
      <c r="F46" s="10" t="s">
        <v>124</v>
      </c>
      <c r="G46" s="49" t="s">
        <v>124</v>
      </c>
      <c r="H46" s="49" t="s">
        <v>124</v>
      </c>
      <c r="I46" s="49" t="s">
        <v>124</v>
      </c>
      <c r="J46" s="49" t="s">
        <v>124</v>
      </c>
      <c r="K46" s="49" t="s">
        <v>124</v>
      </c>
      <c r="L46" s="49" t="s">
        <v>124</v>
      </c>
      <c r="M46" s="4">
        <v>175</v>
      </c>
      <c r="N46" s="4">
        <f t="shared" si="2"/>
        <v>0</v>
      </c>
      <c r="O46" s="45">
        <f t="shared" si="3"/>
        <v>0</v>
      </c>
      <c r="P46" s="4"/>
    </row>
    <row r="47" spans="1:16" x14ac:dyDescent="0.25">
      <c r="A47" s="7">
        <v>46</v>
      </c>
      <c r="B47" s="47">
        <v>863</v>
      </c>
      <c r="C47" s="47" t="s">
        <v>786</v>
      </c>
      <c r="D47" s="47" t="s">
        <v>787</v>
      </c>
      <c r="E47" s="7" t="s">
        <v>737</v>
      </c>
      <c r="F47" s="10" t="s">
        <v>124</v>
      </c>
      <c r="G47" s="49" t="s">
        <v>124</v>
      </c>
      <c r="H47" s="49" t="s">
        <v>124</v>
      </c>
      <c r="I47" s="49" t="s">
        <v>124</v>
      </c>
      <c r="J47" s="49" t="s">
        <v>124</v>
      </c>
      <c r="K47" s="49" t="s">
        <v>124</v>
      </c>
      <c r="L47" s="49" t="s">
        <v>124</v>
      </c>
      <c r="M47" s="4">
        <v>175</v>
      </c>
      <c r="N47" s="4">
        <f t="shared" si="2"/>
        <v>0</v>
      </c>
      <c r="O47" s="45">
        <f t="shared" si="3"/>
        <v>0</v>
      </c>
      <c r="P47" s="4"/>
    </row>
    <row r="48" spans="1:16" x14ac:dyDescent="0.25">
      <c r="A48" s="7">
        <v>47</v>
      </c>
      <c r="B48" s="48">
        <v>902</v>
      </c>
      <c r="C48" s="48" t="s">
        <v>314</v>
      </c>
      <c r="D48" s="48" t="s">
        <v>788</v>
      </c>
      <c r="E48" s="7" t="s">
        <v>737</v>
      </c>
      <c r="F48" s="10">
        <v>15</v>
      </c>
      <c r="G48" s="10">
        <v>10</v>
      </c>
      <c r="H48" s="10">
        <v>15</v>
      </c>
      <c r="I48" s="10">
        <v>15</v>
      </c>
      <c r="J48" s="10">
        <v>20</v>
      </c>
      <c r="K48" s="10">
        <v>20</v>
      </c>
      <c r="L48" s="10">
        <v>20</v>
      </c>
      <c r="M48" s="4">
        <v>175</v>
      </c>
      <c r="N48" s="4">
        <f t="shared" si="2"/>
        <v>115</v>
      </c>
      <c r="O48" s="45">
        <f t="shared" si="3"/>
        <v>0.65714285714285714</v>
      </c>
      <c r="P48" s="4"/>
    </row>
    <row r="49" spans="1:16" x14ac:dyDescent="0.25">
      <c r="A49" s="7">
        <v>47</v>
      </c>
      <c r="B49" s="47">
        <v>886</v>
      </c>
      <c r="C49" s="47" t="s">
        <v>789</v>
      </c>
      <c r="D49" s="47" t="s">
        <v>790</v>
      </c>
      <c r="E49" s="7" t="s">
        <v>737</v>
      </c>
      <c r="F49" s="10">
        <v>10</v>
      </c>
      <c r="G49" s="10">
        <v>15</v>
      </c>
      <c r="H49" s="10">
        <v>15</v>
      </c>
      <c r="I49" s="10">
        <v>12</v>
      </c>
      <c r="J49" s="10">
        <v>17</v>
      </c>
      <c r="K49" s="10">
        <v>20</v>
      </c>
      <c r="L49" s="10">
        <v>20</v>
      </c>
      <c r="M49" s="4">
        <v>175</v>
      </c>
      <c r="N49" s="4">
        <f t="shared" si="2"/>
        <v>109</v>
      </c>
      <c r="O49" s="45">
        <f t="shared" si="3"/>
        <v>0.62285714285714289</v>
      </c>
      <c r="P49" s="4"/>
    </row>
  </sheetData>
  <mergeCells count="15">
    <mergeCell ref="A1:P1"/>
    <mergeCell ref="A2:P2"/>
    <mergeCell ref="A3:P3"/>
    <mergeCell ref="A4:A6"/>
    <mergeCell ref="B4:B6"/>
    <mergeCell ref="C4:C6"/>
    <mergeCell ref="D4:D6"/>
    <mergeCell ref="E4:E6"/>
    <mergeCell ref="F4:L4"/>
    <mergeCell ref="M4:M5"/>
    <mergeCell ref="N4:N6"/>
    <mergeCell ref="O4:O6"/>
    <mergeCell ref="P4:P6"/>
    <mergeCell ref="A7:P7"/>
    <mergeCell ref="A30:P30"/>
  </mergeCells>
  <conditionalFormatting sqref="B8:B22">
    <cfRule type="duplicateValues" dxfId="15" priority="8"/>
    <cfRule type="duplicateValues" dxfId="14" priority="9"/>
  </conditionalFormatting>
  <conditionalFormatting sqref="B23">
    <cfRule type="duplicateValues" dxfId="13" priority="5"/>
    <cfRule type="duplicateValues" dxfId="12" priority="6"/>
  </conditionalFormatting>
  <conditionalFormatting sqref="B24:B28">
    <cfRule type="duplicateValues" dxfId="11" priority="10"/>
  </conditionalFormatting>
  <conditionalFormatting sqref="B29">
    <cfRule type="duplicateValues" dxfId="10" priority="7"/>
  </conditionalFormatting>
  <conditionalFormatting sqref="B31:B37">
    <cfRule type="duplicateValues" dxfId="9" priority="1"/>
    <cfRule type="duplicateValues" dxfId="8" priority="2"/>
  </conditionalFormatting>
  <conditionalFormatting sqref="B38">
    <cfRule type="duplicateValues" dxfId="7" priority="3"/>
    <cfRule type="duplicateValues" dxfId="6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F076-EEA5-44C7-9177-7515D2D84603}">
  <dimension ref="A1:P42"/>
  <sheetViews>
    <sheetView tabSelected="1" topLeftCell="A30" workbookViewId="0">
      <selection activeCell="F35" sqref="F35:L42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2.28515625" bestFit="1" customWidth="1"/>
    <col min="4" max="4" width="27.7109375" bestFit="1" customWidth="1"/>
    <col min="6" max="15" width="5.7109375" customWidth="1"/>
    <col min="16" max="16" width="20.7109375" customWidth="1"/>
  </cols>
  <sheetData>
    <row r="1" spans="1:16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 x14ac:dyDescent="0.25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</row>
    <row r="3" spans="1:16" x14ac:dyDescent="0.25">
      <c r="A3" s="57" t="s">
        <v>239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 spans="1:16" x14ac:dyDescent="0.25">
      <c r="A4" s="52" t="s">
        <v>2</v>
      </c>
      <c r="B4" s="52" t="s">
        <v>3</v>
      </c>
      <c r="C4" s="52" t="s">
        <v>5</v>
      </c>
      <c r="D4" s="52" t="s">
        <v>6</v>
      </c>
      <c r="E4" s="52" t="s">
        <v>4</v>
      </c>
      <c r="F4" s="56" t="s">
        <v>7</v>
      </c>
      <c r="G4" s="56"/>
      <c r="H4" s="56"/>
      <c r="I4" s="56"/>
      <c r="J4" s="56"/>
      <c r="K4" s="56"/>
      <c r="L4" s="56"/>
      <c r="M4" s="52" t="s">
        <v>15</v>
      </c>
      <c r="N4" s="52" t="s">
        <v>16</v>
      </c>
      <c r="O4" s="52" t="s">
        <v>17</v>
      </c>
      <c r="P4" s="56" t="s">
        <v>18</v>
      </c>
    </row>
    <row r="5" spans="1:16" ht="42.75" x14ac:dyDescent="0.25">
      <c r="A5" s="52"/>
      <c r="B5" s="52"/>
      <c r="C5" s="52"/>
      <c r="D5" s="52"/>
      <c r="E5" s="52"/>
      <c r="F5" s="2" t="s">
        <v>10</v>
      </c>
      <c r="G5" s="2" t="s">
        <v>135</v>
      </c>
      <c r="H5" s="2" t="s">
        <v>11</v>
      </c>
      <c r="I5" s="2" t="s">
        <v>836</v>
      </c>
      <c r="J5" s="2" t="s">
        <v>837</v>
      </c>
      <c r="K5" s="2" t="s">
        <v>838</v>
      </c>
      <c r="L5" s="2" t="s">
        <v>409</v>
      </c>
      <c r="M5" s="52"/>
      <c r="N5" s="52"/>
      <c r="O5" s="52"/>
      <c r="P5" s="56"/>
    </row>
    <row r="6" spans="1:16" x14ac:dyDescent="0.25">
      <c r="A6" s="52"/>
      <c r="B6" s="52"/>
      <c r="C6" s="52"/>
      <c r="D6" s="52"/>
      <c r="E6" s="52"/>
      <c r="F6" s="3">
        <v>25</v>
      </c>
      <c r="G6" s="3">
        <v>25</v>
      </c>
      <c r="H6" s="3">
        <v>25</v>
      </c>
      <c r="I6" s="3">
        <v>25</v>
      </c>
      <c r="J6" s="3">
        <v>25</v>
      </c>
      <c r="K6" s="3">
        <v>25</v>
      </c>
      <c r="L6" s="3">
        <v>25</v>
      </c>
      <c r="M6" s="3">
        <f>SUM(F6:L6)</f>
        <v>175</v>
      </c>
      <c r="N6" s="52"/>
      <c r="O6" s="52"/>
      <c r="P6" s="56"/>
    </row>
    <row r="7" spans="1:16" ht="21" x14ac:dyDescent="0.35">
      <c r="A7" s="64" t="s">
        <v>138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 x14ac:dyDescent="0.25">
      <c r="A8" s="7">
        <v>1</v>
      </c>
      <c r="B8" s="35">
        <v>858</v>
      </c>
      <c r="C8" s="36" t="s">
        <v>252</v>
      </c>
      <c r="D8" s="34" t="s">
        <v>89</v>
      </c>
      <c r="E8" s="7" t="s">
        <v>791</v>
      </c>
      <c r="F8" s="4">
        <v>22</v>
      </c>
      <c r="G8" s="4">
        <v>18</v>
      </c>
      <c r="H8" s="4">
        <v>21</v>
      </c>
      <c r="I8" s="4">
        <v>20</v>
      </c>
      <c r="J8" s="4">
        <v>23</v>
      </c>
      <c r="K8" s="4">
        <v>17</v>
      </c>
      <c r="L8" s="4">
        <v>20</v>
      </c>
      <c r="M8" s="4">
        <v>175</v>
      </c>
      <c r="N8" s="4">
        <f>SUM(F8:L8)</f>
        <v>141</v>
      </c>
      <c r="O8" s="45">
        <f>N8/M8</f>
        <v>0.80571428571428572</v>
      </c>
      <c r="P8" s="4"/>
    </row>
    <row r="9" spans="1:16" x14ac:dyDescent="0.25">
      <c r="A9" s="7">
        <v>2</v>
      </c>
      <c r="B9" s="35">
        <v>872</v>
      </c>
      <c r="C9" s="36" t="s">
        <v>792</v>
      </c>
      <c r="D9" s="34" t="s">
        <v>793</v>
      </c>
      <c r="E9" s="7" t="s">
        <v>791</v>
      </c>
      <c r="F9" s="4">
        <v>17</v>
      </c>
      <c r="G9" s="4">
        <v>20</v>
      </c>
      <c r="H9" s="4">
        <v>16</v>
      </c>
      <c r="I9" s="4">
        <v>15</v>
      </c>
      <c r="J9" s="4">
        <v>16</v>
      </c>
      <c r="K9" s="4">
        <v>20</v>
      </c>
      <c r="L9" s="4">
        <v>22</v>
      </c>
      <c r="M9" s="4">
        <v>175</v>
      </c>
      <c r="N9" s="4">
        <f t="shared" ref="N9:N25" si="0">SUM(F9:L9)</f>
        <v>126</v>
      </c>
      <c r="O9" s="45">
        <f t="shared" ref="O9:O25" si="1">N9/M9</f>
        <v>0.72</v>
      </c>
      <c r="P9" s="4"/>
    </row>
    <row r="10" spans="1:16" x14ac:dyDescent="0.25">
      <c r="A10" s="7">
        <v>3</v>
      </c>
      <c r="B10" s="35">
        <v>876</v>
      </c>
      <c r="C10" s="36" t="s">
        <v>794</v>
      </c>
      <c r="D10" s="34" t="s">
        <v>795</v>
      </c>
      <c r="E10" s="7" t="s">
        <v>791</v>
      </c>
      <c r="F10" s="4">
        <v>21</v>
      </c>
      <c r="G10" s="4">
        <v>17</v>
      </c>
      <c r="H10" s="4">
        <v>22</v>
      </c>
      <c r="I10" s="4">
        <v>18</v>
      </c>
      <c r="J10" s="4">
        <v>23</v>
      </c>
      <c r="K10" s="4">
        <v>16</v>
      </c>
      <c r="L10" s="4">
        <v>20</v>
      </c>
      <c r="M10" s="4">
        <v>175</v>
      </c>
      <c r="N10" s="4">
        <f t="shared" si="0"/>
        <v>137</v>
      </c>
      <c r="O10" s="45">
        <f t="shared" si="1"/>
        <v>0.78285714285714281</v>
      </c>
      <c r="P10" s="4"/>
    </row>
    <row r="11" spans="1:16" x14ac:dyDescent="0.25">
      <c r="A11" s="7">
        <v>4</v>
      </c>
      <c r="B11" s="35">
        <v>887</v>
      </c>
      <c r="C11" s="36" t="s">
        <v>796</v>
      </c>
      <c r="D11" s="34" t="s">
        <v>628</v>
      </c>
      <c r="E11" s="7" t="s">
        <v>791</v>
      </c>
      <c r="F11" s="4">
        <v>24</v>
      </c>
      <c r="G11" s="4">
        <v>22</v>
      </c>
      <c r="H11" s="4">
        <v>24</v>
      </c>
      <c r="I11" s="4">
        <v>21</v>
      </c>
      <c r="J11" s="4">
        <v>23</v>
      </c>
      <c r="K11" s="4">
        <v>21</v>
      </c>
      <c r="L11" s="4">
        <v>24</v>
      </c>
      <c r="M11" s="4">
        <v>175</v>
      </c>
      <c r="N11" s="4">
        <f t="shared" si="0"/>
        <v>159</v>
      </c>
      <c r="O11" s="45">
        <f t="shared" si="1"/>
        <v>0.90857142857142859</v>
      </c>
      <c r="P11" s="4"/>
    </row>
    <row r="12" spans="1:16" x14ac:dyDescent="0.25">
      <c r="A12" s="7">
        <v>5</v>
      </c>
      <c r="B12" s="35">
        <v>884</v>
      </c>
      <c r="C12" s="36" t="s">
        <v>797</v>
      </c>
      <c r="D12" s="34" t="s">
        <v>798</v>
      </c>
      <c r="E12" s="7" t="s">
        <v>791</v>
      </c>
      <c r="F12" s="4">
        <v>23</v>
      </c>
      <c r="G12" s="4">
        <v>24</v>
      </c>
      <c r="H12" s="4">
        <v>23</v>
      </c>
      <c r="I12" s="4">
        <v>22</v>
      </c>
      <c r="J12" s="4">
        <v>24</v>
      </c>
      <c r="K12" s="4">
        <v>22</v>
      </c>
      <c r="L12" s="4">
        <v>25</v>
      </c>
      <c r="M12" s="4">
        <v>175</v>
      </c>
      <c r="N12" s="4">
        <f t="shared" ref="N12:N25" si="2">SUM(F12:L12)</f>
        <v>163</v>
      </c>
      <c r="O12" s="45">
        <f t="shared" ref="O12:O25" si="3">N12/M12</f>
        <v>0.93142857142857138</v>
      </c>
      <c r="P12" s="4"/>
    </row>
    <row r="13" spans="1:16" x14ac:dyDescent="0.25">
      <c r="A13" s="7">
        <v>6</v>
      </c>
      <c r="B13" s="35">
        <v>752</v>
      </c>
      <c r="C13" s="36" t="s">
        <v>799</v>
      </c>
      <c r="D13" s="34" t="s">
        <v>800</v>
      </c>
      <c r="E13" s="7" t="s">
        <v>791</v>
      </c>
      <c r="F13" s="4">
        <v>14</v>
      </c>
      <c r="G13" s="4">
        <v>17</v>
      </c>
      <c r="H13" s="4">
        <v>20</v>
      </c>
      <c r="I13" s="4">
        <v>14</v>
      </c>
      <c r="J13" s="4">
        <v>15</v>
      </c>
      <c r="K13" s="4">
        <v>17</v>
      </c>
      <c r="L13" s="4">
        <v>20</v>
      </c>
      <c r="M13" s="4">
        <v>175</v>
      </c>
      <c r="N13" s="4">
        <f t="shared" si="2"/>
        <v>117</v>
      </c>
      <c r="O13" s="45">
        <f t="shared" si="3"/>
        <v>0.66857142857142859</v>
      </c>
      <c r="P13" s="4"/>
    </row>
    <row r="14" spans="1:16" x14ac:dyDescent="0.25">
      <c r="A14" s="7">
        <v>7</v>
      </c>
      <c r="B14" s="35">
        <v>893</v>
      </c>
      <c r="C14" s="36" t="s">
        <v>257</v>
      </c>
      <c r="D14" s="34" t="s">
        <v>801</v>
      </c>
      <c r="E14" s="7" t="s">
        <v>791</v>
      </c>
      <c r="F14" s="4">
        <v>20</v>
      </c>
      <c r="G14" s="4">
        <v>18</v>
      </c>
      <c r="H14" s="4">
        <v>20</v>
      </c>
      <c r="I14" s="4">
        <v>14</v>
      </c>
      <c r="J14" s="4">
        <v>17</v>
      </c>
      <c r="K14" s="4">
        <v>15</v>
      </c>
      <c r="L14" s="4">
        <v>18</v>
      </c>
      <c r="M14" s="4">
        <v>175</v>
      </c>
      <c r="N14" s="4">
        <f t="shared" si="2"/>
        <v>122</v>
      </c>
      <c r="O14" s="45">
        <f t="shared" si="3"/>
        <v>0.69714285714285718</v>
      </c>
      <c r="P14" s="4"/>
    </row>
    <row r="15" spans="1:16" x14ac:dyDescent="0.25">
      <c r="A15" s="7">
        <v>8</v>
      </c>
      <c r="B15" s="32">
        <v>897</v>
      </c>
      <c r="C15" s="36" t="s">
        <v>648</v>
      </c>
      <c r="D15" s="34" t="s">
        <v>802</v>
      </c>
      <c r="E15" s="7" t="s">
        <v>791</v>
      </c>
      <c r="F15" s="23" t="s">
        <v>124</v>
      </c>
      <c r="G15" s="23" t="s">
        <v>124</v>
      </c>
      <c r="H15" s="23" t="s">
        <v>124</v>
      </c>
      <c r="I15" s="23" t="s">
        <v>124</v>
      </c>
      <c r="J15" s="23" t="s">
        <v>124</v>
      </c>
      <c r="K15" s="23" t="s">
        <v>124</v>
      </c>
      <c r="L15" s="23" t="s">
        <v>124</v>
      </c>
      <c r="M15" s="4">
        <v>175</v>
      </c>
      <c r="N15" s="4">
        <f t="shared" si="2"/>
        <v>0</v>
      </c>
      <c r="O15" s="45">
        <f t="shared" si="3"/>
        <v>0</v>
      </c>
      <c r="P15" s="4"/>
    </row>
    <row r="16" spans="1:16" x14ac:dyDescent="0.25">
      <c r="A16" s="7">
        <v>9</v>
      </c>
      <c r="B16" s="35">
        <v>751</v>
      </c>
      <c r="C16" s="36" t="s">
        <v>803</v>
      </c>
      <c r="D16" s="34" t="s">
        <v>115</v>
      </c>
      <c r="E16" s="7" t="s">
        <v>791</v>
      </c>
      <c r="F16" s="4">
        <v>16</v>
      </c>
      <c r="G16" s="4">
        <v>14</v>
      </c>
      <c r="H16" s="4">
        <v>20</v>
      </c>
      <c r="I16" s="4">
        <v>17</v>
      </c>
      <c r="J16" s="4">
        <v>14</v>
      </c>
      <c r="K16" s="4">
        <v>18</v>
      </c>
      <c r="L16" s="4">
        <v>20</v>
      </c>
      <c r="M16" s="4">
        <v>175</v>
      </c>
      <c r="N16" s="4">
        <f t="shared" si="2"/>
        <v>119</v>
      </c>
      <c r="O16" s="45">
        <f t="shared" si="3"/>
        <v>0.68</v>
      </c>
      <c r="P16" s="4"/>
    </row>
    <row r="17" spans="1:16" x14ac:dyDescent="0.25">
      <c r="A17" s="7">
        <v>10</v>
      </c>
      <c r="B17" s="35">
        <v>901</v>
      </c>
      <c r="C17" s="36" t="s">
        <v>804</v>
      </c>
      <c r="D17" s="34" t="s">
        <v>793</v>
      </c>
      <c r="E17" s="7" t="s">
        <v>791</v>
      </c>
      <c r="F17" s="4">
        <v>15</v>
      </c>
      <c r="G17" s="4">
        <v>17</v>
      </c>
      <c r="H17" s="4">
        <v>13</v>
      </c>
      <c r="I17" s="4">
        <v>16</v>
      </c>
      <c r="J17" s="4">
        <v>19</v>
      </c>
      <c r="K17" s="4">
        <v>20</v>
      </c>
      <c r="L17" s="4">
        <v>21</v>
      </c>
      <c r="M17" s="4">
        <v>175</v>
      </c>
      <c r="N17" s="4">
        <f t="shared" si="2"/>
        <v>121</v>
      </c>
      <c r="O17" s="45">
        <f t="shared" si="3"/>
        <v>0.69142857142857139</v>
      </c>
      <c r="P17" s="4"/>
    </row>
    <row r="18" spans="1:16" x14ac:dyDescent="0.25">
      <c r="A18" s="7">
        <v>11</v>
      </c>
      <c r="B18" s="35">
        <v>763</v>
      </c>
      <c r="C18" s="36" t="s">
        <v>805</v>
      </c>
      <c r="D18" s="34" t="s">
        <v>806</v>
      </c>
      <c r="E18" s="7" t="s">
        <v>791</v>
      </c>
      <c r="F18" s="4">
        <v>14</v>
      </c>
      <c r="G18" s="4">
        <v>16</v>
      </c>
      <c r="H18" s="4">
        <v>18</v>
      </c>
      <c r="I18" s="4">
        <v>14</v>
      </c>
      <c r="J18" s="4">
        <v>16</v>
      </c>
      <c r="K18" s="4">
        <v>14</v>
      </c>
      <c r="L18" s="4">
        <v>18</v>
      </c>
      <c r="M18" s="4">
        <v>175</v>
      </c>
      <c r="N18" s="4">
        <f t="shared" si="2"/>
        <v>110</v>
      </c>
      <c r="O18" s="45">
        <f t="shared" si="3"/>
        <v>0.62857142857142856</v>
      </c>
      <c r="P18" s="4"/>
    </row>
    <row r="19" spans="1:16" x14ac:dyDescent="0.25">
      <c r="A19" s="7">
        <v>12</v>
      </c>
      <c r="B19" s="35">
        <v>749</v>
      </c>
      <c r="C19" s="36" t="s">
        <v>807</v>
      </c>
      <c r="D19" s="34" t="s">
        <v>461</v>
      </c>
      <c r="E19" s="7" t="s">
        <v>791</v>
      </c>
      <c r="F19" s="4">
        <v>10</v>
      </c>
      <c r="G19" s="4">
        <v>13</v>
      </c>
      <c r="H19" s="4">
        <v>15</v>
      </c>
      <c r="I19" s="4">
        <v>11</v>
      </c>
      <c r="J19" s="4">
        <v>9</v>
      </c>
      <c r="K19" s="4">
        <v>12</v>
      </c>
      <c r="L19" s="4">
        <v>15</v>
      </c>
      <c r="M19" s="4">
        <v>175</v>
      </c>
      <c r="N19" s="4">
        <f t="shared" si="2"/>
        <v>85</v>
      </c>
      <c r="O19" s="45">
        <f t="shared" si="3"/>
        <v>0.48571428571428571</v>
      </c>
      <c r="P19" s="4"/>
    </row>
    <row r="20" spans="1:16" x14ac:dyDescent="0.25">
      <c r="A20" s="7">
        <v>13</v>
      </c>
      <c r="B20" s="35">
        <v>890</v>
      </c>
      <c r="C20" s="36" t="s">
        <v>168</v>
      </c>
      <c r="D20" s="34" t="s">
        <v>808</v>
      </c>
      <c r="E20" s="7" t="s">
        <v>791</v>
      </c>
      <c r="F20" s="4">
        <v>13</v>
      </c>
      <c r="G20" s="4">
        <v>16</v>
      </c>
      <c r="H20" s="4">
        <v>14</v>
      </c>
      <c r="I20" s="4">
        <v>17</v>
      </c>
      <c r="J20" s="4">
        <v>10</v>
      </c>
      <c r="K20" s="4">
        <v>18</v>
      </c>
      <c r="L20" s="4">
        <v>20</v>
      </c>
      <c r="M20" s="4">
        <v>175</v>
      </c>
      <c r="N20" s="4">
        <f t="shared" si="2"/>
        <v>108</v>
      </c>
      <c r="O20" s="45">
        <f t="shared" si="3"/>
        <v>0.6171428571428571</v>
      </c>
      <c r="P20" s="4"/>
    </row>
    <row r="21" spans="1:16" x14ac:dyDescent="0.25">
      <c r="A21" s="7">
        <v>14</v>
      </c>
      <c r="B21" s="35">
        <v>889</v>
      </c>
      <c r="C21" s="36" t="s">
        <v>809</v>
      </c>
      <c r="D21" s="34" t="s">
        <v>497</v>
      </c>
      <c r="E21" s="7" t="s">
        <v>791</v>
      </c>
      <c r="F21" s="4">
        <v>23</v>
      </c>
      <c r="G21" s="4">
        <v>20</v>
      </c>
      <c r="H21" s="4">
        <v>22</v>
      </c>
      <c r="I21" s="4">
        <v>24</v>
      </c>
      <c r="J21" s="4">
        <v>18</v>
      </c>
      <c r="K21" s="4">
        <v>19</v>
      </c>
      <c r="L21" s="4">
        <v>24</v>
      </c>
      <c r="M21" s="4">
        <v>175</v>
      </c>
      <c r="N21" s="4">
        <f t="shared" si="2"/>
        <v>150</v>
      </c>
      <c r="O21" s="45">
        <f t="shared" si="3"/>
        <v>0.8571428571428571</v>
      </c>
      <c r="P21" s="4"/>
    </row>
    <row r="22" spans="1:16" x14ac:dyDescent="0.25">
      <c r="A22" s="7">
        <v>15</v>
      </c>
      <c r="B22" s="35">
        <v>898</v>
      </c>
      <c r="C22" s="36" t="s">
        <v>810</v>
      </c>
      <c r="D22" s="34" t="s">
        <v>48</v>
      </c>
      <c r="E22" s="7" t="s">
        <v>791</v>
      </c>
      <c r="F22" s="4">
        <v>24</v>
      </c>
      <c r="G22" s="4">
        <v>23</v>
      </c>
      <c r="H22" s="4">
        <v>24</v>
      </c>
      <c r="I22" s="4">
        <v>18</v>
      </c>
      <c r="J22" s="4">
        <v>24</v>
      </c>
      <c r="K22" s="4">
        <v>23</v>
      </c>
      <c r="L22" s="4">
        <v>24</v>
      </c>
      <c r="M22" s="4">
        <v>175</v>
      </c>
      <c r="N22" s="4">
        <f t="shared" si="2"/>
        <v>160</v>
      </c>
      <c r="O22" s="45">
        <f t="shared" si="3"/>
        <v>0.91428571428571426</v>
      </c>
      <c r="P22" s="4"/>
    </row>
    <row r="23" spans="1:16" x14ac:dyDescent="0.25">
      <c r="A23" s="7">
        <v>16</v>
      </c>
      <c r="B23" s="35">
        <v>899</v>
      </c>
      <c r="C23" s="36" t="s">
        <v>477</v>
      </c>
      <c r="D23" s="34" t="s">
        <v>516</v>
      </c>
      <c r="E23" s="7" t="s">
        <v>791</v>
      </c>
      <c r="F23" s="4">
        <v>20</v>
      </c>
      <c r="G23" s="4">
        <v>22</v>
      </c>
      <c r="H23" s="4">
        <v>24</v>
      </c>
      <c r="I23" s="4">
        <v>19</v>
      </c>
      <c r="J23" s="4">
        <v>16</v>
      </c>
      <c r="K23" s="4">
        <v>24</v>
      </c>
      <c r="L23" s="4">
        <v>19</v>
      </c>
      <c r="M23" s="4">
        <v>175</v>
      </c>
      <c r="N23" s="4">
        <f t="shared" si="2"/>
        <v>144</v>
      </c>
      <c r="O23" s="45">
        <f t="shared" si="3"/>
        <v>0.82285714285714284</v>
      </c>
      <c r="P23" s="4"/>
    </row>
    <row r="24" spans="1:16" x14ac:dyDescent="0.25">
      <c r="A24" s="7">
        <v>17</v>
      </c>
      <c r="B24" s="35">
        <v>900</v>
      </c>
      <c r="C24" s="36" t="s">
        <v>811</v>
      </c>
      <c r="D24" s="34" t="s">
        <v>393</v>
      </c>
      <c r="E24" s="7" t="s">
        <v>791</v>
      </c>
      <c r="F24" s="4">
        <v>15</v>
      </c>
      <c r="G24" s="4">
        <v>12</v>
      </c>
      <c r="H24" s="4">
        <v>10</v>
      </c>
      <c r="I24" s="4">
        <v>16</v>
      </c>
      <c r="J24" s="4">
        <v>12</v>
      </c>
      <c r="K24" s="4">
        <v>14</v>
      </c>
      <c r="L24" s="4">
        <v>19</v>
      </c>
      <c r="M24" s="4">
        <v>175</v>
      </c>
      <c r="N24" s="4">
        <f t="shared" si="2"/>
        <v>98</v>
      </c>
      <c r="O24" s="45">
        <f t="shared" si="3"/>
        <v>0.56000000000000005</v>
      </c>
      <c r="P24" s="4"/>
    </row>
    <row r="25" spans="1:16" x14ac:dyDescent="0.25">
      <c r="A25" s="7">
        <v>18</v>
      </c>
      <c r="B25" s="35">
        <v>756</v>
      </c>
      <c r="C25" s="36" t="s">
        <v>271</v>
      </c>
      <c r="D25" s="34" t="s">
        <v>812</v>
      </c>
      <c r="E25" s="7" t="s">
        <v>791</v>
      </c>
      <c r="F25" s="4">
        <v>10</v>
      </c>
      <c r="G25" s="4">
        <v>9</v>
      </c>
      <c r="H25" s="4">
        <v>11</v>
      </c>
      <c r="I25" s="4">
        <v>15</v>
      </c>
      <c r="J25" s="4">
        <v>14</v>
      </c>
      <c r="K25" s="4">
        <v>18</v>
      </c>
      <c r="L25" s="4">
        <v>20</v>
      </c>
      <c r="M25" s="4">
        <v>175</v>
      </c>
      <c r="N25" s="4">
        <f t="shared" si="2"/>
        <v>97</v>
      </c>
      <c r="O25" s="45">
        <f t="shared" si="3"/>
        <v>0.55428571428571427</v>
      </c>
      <c r="P25" s="4"/>
    </row>
    <row r="26" spans="1:16" ht="21" x14ac:dyDescent="0.35">
      <c r="A26" s="64" t="s">
        <v>185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</row>
    <row r="27" spans="1:16" x14ac:dyDescent="0.25">
      <c r="A27" s="7">
        <v>30</v>
      </c>
      <c r="B27" s="35">
        <v>750</v>
      </c>
      <c r="C27" s="36" t="s">
        <v>813</v>
      </c>
      <c r="D27" s="34" t="s">
        <v>814</v>
      </c>
      <c r="E27" s="7" t="s">
        <v>791</v>
      </c>
      <c r="F27" s="4">
        <v>19</v>
      </c>
      <c r="G27" s="4">
        <v>15</v>
      </c>
      <c r="H27" s="4">
        <v>12</v>
      </c>
      <c r="I27" s="4">
        <v>17</v>
      </c>
      <c r="J27" s="4">
        <v>19</v>
      </c>
      <c r="K27" s="4">
        <v>11</v>
      </c>
      <c r="L27" s="4">
        <v>19</v>
      </c>
      <c r="M27" s="4">
        <v>175</v>
      </c>
      <c r="N27" s="4">
        <f>SUM(F27:L27)</f>
        <v>112</v>
      </c>
      <c r="O27" s="45">
        <f>N27/M27</f>
        <v>0.64</v>
      </c>
      <c r="P27" s="4"/>
    </row>
    <row r="28" spans="1:16" x14ac:dyDescent="0.25">
      <c r="A28" s="7">
        <v>31</v>
      </c>
      <c r="B28" s="35">
        <v>867</v>
      </c>
      <c r="C28" s="36" t="s">
        <v>815</v>
      </c>
      <c r="D28" s="34" t="s">
        <v>816</v>
      </c>
      <c r="E28" s="7" t="s">
        <v>791</v>
      </c>
      <c r="F28" s="4">
        <v>15</v>
      </c>
      <c r="G28" s="4">
        <v>12</v>
      </c>
      <c r="H28" s="4">
        <v>10</v>
      </c>
      <c r="I28" s="4">
        <v>16</v>
      </c>
      <c r="J28" s="4">
        <v>18</v>
      </c>
      <c r="K28" s="4">
        <v>12</v>
      </c>
      <c r="L28" s="4">
        <v>14</v>
      </c>
      <c r="M28" s="4">
        <v>175</v>
      </c>
      <c r="N28" s="4">
        <f t="shared" ref="N28:N42" si="4">SUM(F28:L28)</f>
        <v>97</v>
      </c>
      <c r="O28" s="45">
        <f t="shared" ref="O28:O42" si="5">N28/M28</f>
        <v>0.55428571428571427</v>
      </c>
      <c r="P28" s="4"/>
    </row>
    <row r="29" spans="1:16" x14ac:dyDescent="0.25">
      <c r="A29" s="7">
        <v>32</v>
      </c>
      <c r="B29" s="35">
        <v>754</v>
      </c>
      <c r="C29" s="36" t="s">
        <v>817</v>
      </c>
      <c r="D29" s="34" t="s">
        <v>818</v>
      </c>
      <c r="E29" s="7" t="s">
        <v>791</v>
      </c>
      <c r="F29" s="4">
        <v>10</v>
      </c>
      <c r="G29" s="4">
        <v>9</v>
      </c>
      <c r="H29" s="4">
        <v>12</v>
      </c>
      <c r="I29" s="4">
        <v>8</v>
      </c>
      <c r="J29" s="4">
        <v>14</v>
      </c>
      <c r="K29" s="4">
        <v>11</v>
      </c>
      <c r="L29" s="4">
        <v>18</v>
      </c>
      <c r="M29" s="4">
        <v>175</v>
      </c>
      <c r="N29" s="4">
        <f t="shared" si="4"/>
        <v>82</v>
      </c>
      <c r="O29" s="45">
        <f t="shared" si="5"/>
        <v>0.46857142857142858</v>
      </c>
      <c r="P29" s="4"/>
    </row>
    <row r="30" spans="1:16" x14ac:dyDescent="0.25">
      <c r="A30" s="7">
        <v>33</v>
      </c>
      <c r="B30" s="35">
        <v>878</v>
      </c>
      <c r="C30" s="36" t="s">
        <v>819</v>
      </c>
      <c r="D30" s="34" t="s">
        <v>806</v>
      </c>
      <c r="E30" s="7" t="s">
        <v>791</v>
      </c>
      <c r="F30" s="4">
        <v>12</v>
      </c>
      <c r="G30" s="4">
        <v>10</v>
      </c>
      <c r="H30" s="4">
        <v>13</v>
      </c>
      <c r="I30" s="4">
        <v>8</v>
      </c>
      <c r="J30" s="4">
        <v>17</v>
      </c>
      <c r="K30" s="4">
        <v>10</v>
      </c>
      <c r="L30" s="4">
        <v>15</v>
      </c>
      <c r="M30" s="4">
        <v>175</v>
      </c>
      <c r="N30" s="4">
        <f t="shared" si="4"/>
        <v>85</v>
      </c>
      <c r="O30" s="45">
        <f t="shared" si="5"/>
        <v>0.48571428571428571</v>
      </c>
      <c r="P30" s="4"/>
    </row>
    <row r="31" spans="1:16" x14ac:dyDescent="0.25">
      <c r="A31" s="7">
        <v>34</v>
      </c>
      <c r="B31" s="35">
        <v>847</v>
      </c>
      <c r="C31" s="36" t="s">
        <v>820</v>
      </c>
      <c r="D31" s="34" t="s">
        <v>821</v>
      </c>
      <c r="E31" s="7" t="s">
        <v>791</v>
      </c>
      <c r="F31" s="4">
        <v>18</v>
      </c>
      <c r="G31" s="4">
        <v>20</v>
      </c>
      <c r="H31" s="4">
        <v>15</v>
      </c>
      <c r="I31" s="4">
        <v>18</v>
      </c>
      <c r="J31" s="4">
        <v>14</v>
      </c>
      <c r="K31" s="4">
        <v>15</v>
      </c>
      <c r="L31" s="4">
        <v>20</v>
      </c>
      <c r="M31" s="4">
        <v>175</v>
      </c>
      <c r="N31" s="4">
        <f t="shared" si="4"/>
        <v>120</v>
      </c>
      <c r="O31" s="45">
        <f t="shared" si="5"/>
        <v>0.68571428571428572</v>
      </c>
      <c r="P31" s="4"/>
    </row>
    <row r="32" spans="1:16" x14ac:dyDescent="0.25">
      <c r="A32" s="7">
        <v>35</v>
      </c>
      <c r="B32" s="35">
        <v>895</v>
      </c>
      <c r="C32" s="36" t="s">
        <v>822</v>
      </c>
      <c r="D32" s="34" t="s">
        <v>823</v>
      </c>
      <c r="E32" s="7" t="s">
        <v>791</v>
      </c>
      <c r="F32" s="4" t="s">
        <v>124</v>
      </c>
      <c r="G32" s="4" t="s">
        <v>124</v>
      </c>
      <c r="H32" s="4" t="s">
        <v>124</v>
      </c>
      <c r="I32" s="4" t="s">
        <v>124</v>
      </c>
      <c r="J32" s="4" t="s">
        <v>124</v>
      </c>
      <c r="K32" s="4" t="s">
        <v>124</v>
      </c>
      <c r="L32" s="4" t="s">
        <v>124</v>
      </c>
      <c r="M32" s="4">
        <v>175</v>
      </c>
      <c r="N32" s="4">
        <f t="shared" si="4"/>
        <v>0</v>
      </c>
      <c r="O32" s="45">
        <f t="shared" si="5"/>
        <v>0</v>
      </c>
      <c r="P32" s="4"/>
    </row>
    <row r="33" spans="1:16" x14ac:dyDescent="0.25">
      <c r="A33" s="7">
        <v>36</v>
      </c>
      <c r="B33" s="35">
        <v>747</v>
      </c>
      <c r="C33" s="36" t="s">
        <v>644</v>
      </c>
      <c r="D33" s="34" t="s">
        <v>700</v>
      </c>
      <c r="E33" s="7" t="s">
        <v>791</v>
      </c>
      <c r="F33" s="4">
        <v>24</v>
      </c>
      <c r="G33" s="4">
        <v>23</v>
      </c>
      <c r="H33" s="4">
        <v>24</v>
      </c>
      <c r="I33" s="4">
        <v>22</v>
      </c>
      <c r="J33" s="4">
        <v>24</v>
      </c>
      <c r="K33" s="4">
        <v>24</v>
      </c>
      <c r="L33" s="4">
        <v>24</v>
      </c>
      <c r="M33" s="4">
        <v>175</v>
      </c>
      <c r="N33" s="4">
        <f t="shared" si="4"/>
        <v>165</v>
      </c>
      <c r="O33" s="45">
        <f t="shared" si="5"/>
        <v>0.94285714285714284</v>
      </c>
      <c r="P33" s="4"/>
    </row>
    <row r="34" spans="1:16" x14ac:dyDescent="0.25">
      <c r="A34" s="7">
        <v>37</v>
      </c>
      <c r="B34" s="35">
        <v>851</v>
      </c>
      <c r="C34" s="36" t="s">
        <v>824</v>
      </c>
      <c r="D34" s="34" t="s">
        <v>825</v>
      </c>
      <c r="E34" s="7" t="s">
        <v>791</v>
      </c>
      <c r="F34" s="4">
        <v>18</v>
      </c>
      <c r="G34" s="4">
        <v>17</v>
      </c>
      <c r="H34" s="4">
        <v>19</v>
      </c>
      <c r="I34" s="4">
        <v>20</v>
      </c>
      <c r="J34" s="4">
        <v>14</v>
      </c>
      <c r="K34" s="4">
        <v>18</v>
      </c>
      <c r="L34" s="4">
        <v>15</v>
      </c>
      <c r="M34" s="4">
        <v>175</v>
      </c>
      <c r="N34" s="4">
        <f t="shared" si="4"/>
        <v>121</v>
      </c>
      <c r="O34" s="45">
        <f t="shared" si="5"/>
        <v>0.69142857142857139</v>
      </c>
      <c r="P34" s="4"/>
    </row>
    <row r="35" spans="1:16" x14ac:dyDescent="0.25">
      <c r="A35" s="7">
        <v>38</v>
      </c>
      <c r="B35" s="35">
        <v>882</v>
      </c>
      <c r="C35" s="36" t="s">
        <v>826</v>
      </c>
      <c r="D35" s="34" t="s">
        <v>703</v>
      </c>
      <c r="E35" s="7" t="s">
        <v>791</v>
      </c>
      <c r="F35" s="4">
        <v>24</v>
      </c>
      <c r="G35" s="4">
        <v>18</v>
      </c>
      <c r="H35" s="4">
        <v>14</v>
      </c>
      <c r="I35" s="4">
        <v>20</v>
      </c>
      <c r="J35" s="4">
        <v>23</v>
      </c>
      <c r="K35" s="4">
        <v>19</v>
      </c>
      <c r="L35" s="4">
        <v>24</v>
      </c>
      <c r="M35" s="4">
        <v>175</v>
      </c>
      <c r="N35" s="4">
        <f t="shared" si="4"/>
        <v>142</v>
      </c>
      <c r="O35" s="45">
        <f t="shared" si="5"/>
        <v>0.81142857142857139</v>
      </c>
      <c r="P35" s="4"/>
    </row>
    <row r="36" spans="1:16" x14ac:dyDescent="0.25">
      <c r="A36" s="7">
        <v>39</v>
      </c>
      <c r="B36" s="35">
        <v>877</v>
      </c>
      <c r="C36" s="36" t="s">
        <v>827</v>
      </c>
      <c r="D36" s="34" t="s">
        <v>795</v>
      </c>
      <c r="E36" s="7" t="s">
        <v>791</v>
      </c>
      <c r="F36" s="4">
        <v>8</v>
      </c>
      <c r="G36" s="4">
        <v>7</v>
      </c>
      <c r="H36" s="4">
        <v>11</v>
      </c>
      <c r="I36" s="4">
        <v>15</v>
      </c>
      <c r="J36" s="4">
        <v>10</v>
      </c>
      <c r="K36" s="4">
        <v>7</v>
      </c>
      <c r="L36" s="4">
        <v>12</v>
      </c>
      <c r="M36" s="4">
        <v>175</v>
      </c>
      <c r="N36" s="4">
        <f t="shared" si="4"/>
        <v>70</v>
      </c>
      <c r="O36" s="45">
        <f t="shared" si="5"/>
        <v>0.4</v>
      </c>
      <c r="P36" s="4"/>
    </row>
    <row r="37" spans="1:16" x14ac:dyDescent="0.25">
      <c r="A37" s="7">
        <v>40</v>
      </c>
      <c r="B37" s="35">
        <v>881</v>
      </c>
      <c r="C37" s="36" t="s">
        <v>828</v>
      </c>
      <c r="D37" s="34" t="s">
        <v>829</v>
      </c>
      <c r="E37" s="7" t="s">
        <v>791</v>
      </c>
      <c r="F37" s="4">
        <v>12</v>
      </c>
      <c r="G37" s="4">
        <v>15</v>
      </c>
      <c r="H37" s="4">
        <v>10</v>
      </c>
      <c r="I37" s="4">
        <v>18</v>
      </c>
      <c r="J37" s="4">
        <v>22</v>
      </c>
      <c r="K37" s="4">
        <v>9</v>
      </c>
      <c r="L37" s="4">
        <v>15</v>
      </c>
      <c r="M37" s="4">
        <v>175</v>
      </c>
      <c r="N37" s="4">
        <f t="shared" si="4"/>
        <v>101</v>
      </c>
      <c r="O37" s="45">
        <f t="shared" si="5"/>
        <v>0.57714285714285718</v>
      </c>
      <c r="P37" s="4"/>
    </row>
    <row r="38" spans="1:16" x14ac:dyDescent="0.25">
      <c r="A38" s="7">
        <v>41</v>
      </c>
      <c r="B38" s="35">
        <v>891</v>
      </c>
      <c r="C38" s="36" t="s">
        <v>830</v>
      </c>
      <c r="D38" s="34" t="s">
        <v>831</v>
      </c>
      <c r="E38" s="7" t="s">
        <v>791</v>
      </c>
      <c r="F38" s="4">
        <v>20</v>
      </c>
      <c r="G38" s="4">
        <v>17</v>
      </c>
      <c r="H38" s="4">
        <v>11</v>
      </c>
      <c r="I38" s="4">
        <v>19</v>
      </c>
      <c r="J38" s="4">
        <v>14</v>
      </c>
      <c r="K38" s="4">
        <v>10</v>
      </c>
      <c r="L38" s="4">
        <v>18</v>
      </c>
      <c r="M38" s="4">
        <v>175</v>
      </c>
      <c r="N38" s="4">
        <f t="shared" si="4"/>
        <v>109</v>
      </c>
      <c r="O38" s="45">
        <f t="shared" si="5"/>
        <v>0.62285714285714289</v>
      </c>
      <c r="P38" s="4"/>
    </row>
    <row r="39" spans="1:16" x14ac:dyDescent="0.25">
      <c r="A39" s="7">
        <v>42</v>
      </c>
      <c r="B39" s="35">
        <v>896</v>
      </c>
      <c r="C39" s="36" t="s">
        <v>832</v>
      </c>
      <c r="D39" s="34" t="s">
        <v>48</v>
      </c>
      <c r="E39" s="7" t="s">
        <v>791</v>
      </c>
      <c r="F39" s="23">
        <v>23</v>
      </c>
      <c r="G39" s="23">
        <v>20</v>
      </c>
      <c r="H39" s="23">
        <v>18</v>
      </c>
      <c r="I39" s="23">
        <v>14</v>
      </c>
      <c r="J39" s="23">
        <v>17</v>
      </c>
      <c r="K39" s="23">
        <v>20</v>
      </c>
      <c r="L39" s="23">
        <v>22</v>
      </c>
      <c r="M39" s="4">
        <v>175</v>
      </c>
      <c r="N39" s="4">
        <f t="shared" si="4"/>
        <v>134</v>
      </c>
      <c r="O39" s="45">
        <f t="shared" si="5"/>
        <v>0.76571428571428568</v>
      </c>
      <c r="P39" s="4"/>
    </row>
    <row r="40" spans="1:16" x14ac:dyDescent="0.25">
      <c r="A40" s="7">
        <v>43</v>
      </c>
      <c r="B40" s="35">
        <v>765</v>
      </c>
      <c r="C40" s="36" t="s">
        <v>227</v>
      </c>
      <c r="D40" s="34" t="s">
        <v>424</v>
      </c>
      <c r="E40" s="7" t="s">
        <v>791</v>
      </c>
      <c r="F40" s="10">
        <v>20</v>
      </c>
      <c r="G40" s="10">
        <v>17</v>
      </c>
      <c r="H40" s="10">
        <v>14</v>
      </c>
      <c r="I40" s="10">
        <v>18</v>
      </c>
      <c r="J40" s="10">
        <v>20</v>
      </c>
      <c r="K40" s="10">
        <v>12</v>
      </c>
      <c r="L40" s="10">
        <v>23</v>
      </c>
      <c r="M40" s="4">
        <v>175</v>
      </c>
      <c r="N40" s="4">
        <f t="shared" si="4"/>
        <v>124</v>
      </c>
      <c r="O40" s="45">
        <f t="shared" si="5"/>
        <v>0.70857142857142852</v>
      </c>
      <c r="P40" s="4"/>
    </row>
    <row r="41" spans="1:16" x14ac:dyDescent="0.25">
      <c r="A41" s="7">
        <v>44</v>
      </c>
      <c r="B41" s="35">
        <v>894</v>
      </c>
      <c r="C41" s="36" t="s">
        <v>50</v>
      </c>
      <c r="D41" s="34" t="s">
        <v>833</v>
      </c>
      <c r="E41" s="7" t="s">
        <v>791</v>
      </c>
      <c r="F41" s="10">
        <v>14</v>
      </c>
      <c r="G41" s="10">
        <v>13</v>
      </c>
      <c r="H41" s="10">
        <v>19</v>
      </c>
      <c r="I41" s="10">
        <v>14</v>
      </c>
      <c r="J41" s="10">
        <v>19</v>
      </c>
      <c r="K41" s="10">
        <v>11</v>
      </c>
      <c r="L41" s="10">
        <v>20</v>
      </c>
      <c r="M41" s="4">
        <v>175</v>
      </c>
      <c r="N41" s="4">
        <f t="shared" si="4"/>
        <v>110</v>
      </c>
      <c r="O41" s="45">
        <f t="shared" si="5"/>
        <v>0.62857142857142856</v>
      </c>
      <c r="P41" s="4"/>
    </row>
    <row r="42" spans="1:16" x14ac:dyDescent="0.25">
      <c r="A42" s="7">
        <v>45</v>
      </c>
      <c r="B42" s="35">
        <v>859</v>
      </c>
      <c r="C42" s="36" t="s">
        <v>834</v>
      </c>
      <c r="D42" s="34" t="s">
        <v>835</v>
      </c>
      <c r="E42" s="7" t="s">
        <v>791</v>
      </c>
      <c r="F42" s="10">
        <v>22</v>
      </c>
      <c r="G42" s="10">
        <v>18</v>
      </c>
      <c r="H42" s="10">
        <v>14</v>
      </c>
      <c r="I42" s="10">
        <v>17</v>
      </c>
      <c r="J42" s="10">
        <v>20</v>
      </c>
      <c r="K42" s="10">
        <v>14</v>
      </c>
      <c r="L42" s="10">
        <v>20</v>
      </c>
      <c r="M42" s="4">
        <v>175</v>
      </c>
      <c r="N42" s="4">
        <f t="shared" si="4"/>
        <v>125</v>
      </c>
      <c r="O42" s="45">
        <f t="shared" si="5"/>
        <v>0.7142857142857143</v>
      </c>
      <c r="P42" s="4"/>
    </row>
  </sheetData>
  <mergeCells count="15">
    <mergeCell ref="A1:P1"/>
    <mergeCell ref="A2:P2"/>
    <mergeCell ref="A3:P3"/>
    <mergeCell ref="A4:A6"/>
    <mergeCell ref="B4:B6"/>
    <mergeCell ref="C4:C6"/>
    <mergeCell ref="D4:D6"/>
    <mergeCell ref="E4:E6"/>
    <mergeCell ref="F4:L4"/>
    <mergeCell ref="M4:M5"/>
    <mergeCell ref="N4:N6"/>
    <mergeCell ref="O4:O6"/>
    <mergeCell ref="P4:P6"/>
    <mergeCell ref="A7:P7"/>
    <mergeCell ref="A26:P26"/>
  </mergeCells>
  <conditionalFormatting sqref="B8:B13">
    <cfRule type="duplicateValues" dxfId="5" priority="4"/>
  </conditionalFormatting>
  <conditionalFormatting sqref="B8:B25">
    <cfRule type="duplicateValues" dxfId="4" priority="6"/>
  </conditionalFormatting>
  <conditionalFormatting sqref="B14">
    <cfRule type="duplicateValues" dxfId="3" priority="3"/>
  </conditionalFormatting>
  <conditionalFormatting sqref="B15:B25">
    <cfRule type="duplicateValues" dxfId="2" priority="5"/>
  </conditionalFormatting>
  <conditionalFormatting sqref="B27:B4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ECE (ROSE)</vt:lpstr>
      <vt:lpstr>ECE (Daffodils)</vt:lpstr>
      <vt:lpstr>Level-I</vt:lpstr>
      <vt:lpstr>Level-II</vt:lpstr>
      <vt:lpstr>Level-III</vt:lpstr>
      <vt:lpstr>Level-IV</vt:lpstr>
      <vt:lpstr>Level-V</vt:lpstr>
      <vt:lpstr>Level-VI</vt:lpstr>
      <vt:lpstr>Level-VII</vt:lpstr>
      <vt:lpstr>Level-VIII</vt:lpstr>
      <vt:lpstr>Level-IX</vt:lpstr>
      <vt:lpstr>'ECE (ROSE)'!Print_Titles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2024-11-30T06:34:00Z</cp:lastPrinted>
  <dcterms:created xsi:type="dcterms:W3CDTF">2024-11-06T06:16:13Z</dcterms:created>
  <dcterms:modified xsi:type="dcterms:W3CDTF">2025-03-05T06:36:16Z</dcterms:modified>
</cp:coreProperties>
</file>