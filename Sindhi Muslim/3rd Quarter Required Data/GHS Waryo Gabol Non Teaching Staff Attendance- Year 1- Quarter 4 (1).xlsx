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Roshan\Desktop\SMB QPR 4\"/>
    </mc:Choice>
  </mc:AlternateContent>
  <xr:revisionPtr revIDLastSave="0" documentId="13_ncr:1_{6AC447DD-38F2-435B-8886-CBFCB694AF5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May 2023" sheetId="3" r:id="rId1"/>
    <sheet name="June 2023" sheetId="5" r:id="rId2"/>
    <sheet name="July 2023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M15" i="5" l="1"/>
  <c r="AL15" i="5"/>
  <c r="AK15" i="5"/>
  <c r="AN15" i="5" s="1"/>
  <c r="AM14" i="5"/>
  <c r="AL14" i="5"/>
  <c r="AK14" i="5"/>
  <c r="AN14" i="5" s="1"/>
  <c r="AM12" i="5"/>
  <c r="AL12" i="5"/>
  <c r="AK12" i="5"/>
  <c r="AN12" i="5" s="1"/>
  <c r="AM11" i="5"/>
  <c r="AL11" i="5"/>
  <c r="AK11" i="5"/>
  <c r="AN11" i="5" s="1"/>
  <c r="AM10" i="5"/>
  <c r="AL10" i="5"/>
  <c r="AK10" i="5"/>
  <c r="AN10" i="5" s="1"/>
  <c r="AM8" i="5"/>
  <c r="AL8" i="5"/>
  <c r="AK8" i="5"/>
  <c r="AN8" i="5" s="1"/>
  <c r="AM15" i="4"/>
  <c r="AL15" i="4"/>
  <c r="AK15" i="4"/>
  <c r="AN15" i="4" s="1"/>
  <c r="AM14" i="4"/>
  <c r="AL14" i="4"/>
  <c r="AK14" i="4"/>
  <c r="AN14" i="4" s="1"/>
  <c r="AM12" i="4"/>
  <c r="AL12" i="4"/>
  <c r="AK12" i="4"/>
  <c r="AN12" i="4" s="1"/>
  <c r="AM11" i="4"/>
  <c r="AL11" i="4"/>
  <c r="AK11" i="4"/>
  <c r="AN11" i="4" s="1"/>
  <c r="AM10" i="4"/>
  <c r="AL10" i="4"/>
  <c r="AK10" i="4"/>
  <c r="AN10" i="4" s="1"/>
  <c r="AM8" i="4"/>
  <c r="AL8" i="4"/>
  <c r="AK8" i="4"/>
  <c r="AN8" i="4" s="1"/>
  <c r="AM15" i="3"/>
  <c r="AL15" i="3"/>
  <c r="AK15" i="3"/>
  <c r="AN15" i="3" s="1"/>
  <c r="AM14" i="3"/>
  <c r="AL14" i="3"/>
  <c r="AK14" i="3"/>
  <c r="AN14" i="3" s="1"/>
  <c r="AM12" i="3"/>
  <c r="AL12" i="3"/>
  <c r="AK12" i="3"/>
  <c r="AN12" i="3" s="1"/>
  <c r="AM11" i="3"/>
  <c r="AL11" i="3"/>
  <c r="AK11" i="3"/>
  <c r="AN11" i="3" s="1"/>
  <c r="AM10" i="3"/>
  <c r="AL10" i="3"/>
  <c r="AK10" i="3"/>
  <c r="AN10" i="3" s="1"/>
  <c r="AM8" i="3"/>
  <c r="AL8" i="3"/>
  <c r="AK8" i="3"/>
  <c r="AN8" i="3" s="1"/>
</calcChain>
</file>

<file path=xl/sharedStrings.xml><?xml version="1.0" encoding="utf-8"?>
<sst xmlns="http://schemas.openxmlformats.org/spreadsheetml/2006/main" count="498" uniqueCount="17">
  <si>
    <t xml:space="preserve">EMO Schools Projects </t>
  </si>
  <si>
    <t>District Package-1 RFP-6</t>
  </si>
  <si>
    <r>
      <t>Daily Non-Teaching Staff Attendance for the month of May</t>
    </r>
    <r>
      <rPr>
        <u/>
        <sz val="11"/>
        <color theme="1"/>
        <rFont val="Times New Roman"/>
        <family val="1"/>
      </rPr>
      <t xml:space="preserve"> 2023                       </t>
    </r>
  </si>
  <si>
    <r>
      <t>GHS:</t>
    </r>
    <r>
      <rPr>
        <u/>
        <sz val="11"/>
        <color theme="1"/>
        <rFont val="Times New Roman"/>
        <family val="1"/>
      </rPr>
      <t xml:space="preserve">                                             </t>
    </r>
    <r>
      <rPr>
        <sz val="11"/>
        <color theme="1"/>
        <rFont val="Times New Roman"/>
        <family val="1"/>
      </rPr>
      <t xml:space="preserve"> SEMIS Code: </t>
    </r>
    <r>
      <rPr>
        <u/>
        <sz val="11"/>
        <color theme="1"/>
        <rFont val="Times New Roman"/>
        <family val="1"/>
      </rPr>
      <t xml:space="preserve">41                                 </t>
    </r>
    <r>
      <rPr>
        <sz val="11"/>
        <color theme="1"/>
        <rFont val="Times New Roman"/>
        <family val="1"/>
      </rPr>
      <t xml:space="preserve">District: </t>
    </r>
  </si>
  <si>
    <t xml:space="preserve">S.No </t>
  </si>
  <si>
    <t xml:space="preserve">Name </t>
  </si>
  <si>
    <t>Gender</t>
  </si>
  <si>
    <t>Category</t>
  </si>
  <si>
    <t xml:space="preserve">Total Working Days </t>
  </si>
  <si>
    <t>Total Present days</t>
  </si>
  <si>
    <t xml:space="preserve">Total Absent Days </t>
  </si>
  <si>
    <t>Total Leaves</t>
  </si>
  <si>
    <t>Percentage %</t>
  </si>
  <si>
    <t>P</t>
  </si>
  <si>
    <t>A</t>
  </si>
  <si>
    <t xml:space="preserve"> </t>
  </si>
  <si>
    <t>Designation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</si>
</sst>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3" xfId="0" quotePrefix="1" applyFont="1" applyBorder="1" applyAlignment="1">
      <alignment horizontal="center" vertical="top"/>
    </xf>
    <xf numFmtId="0" fontId="2" fillId="0" borderId="3" xfId="0" applyFont="1" applyBorder="1"/>
    <xf numFmtId="0" fontId="2" fillId="4" borderId="3" xfId="0" quotePrefix="1" applyFont="1" applyFill="1" applyBorder="1" applyAlignment="1">
      <alignment horizontal="center" vertical="top"/>
    </xf>
    <xf numFmtId="0" fontId="2" fillId="4" borderId="3" xfId="0" applyFont="1" applyFill="1" applyBorder="1"/>
    <xf numFmtId="0" fontId="2" fillId="0" borderId="2" xfId="0" applyFont="1" applyBorder="1" applyAlignment="1">
      <alignment horizontal="center" vertical="center"/>
    </xf>
    <xf numFmtId="9" fontId="2" fillId="0" borderId="2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9" fontId="2" fillId="4" borderId="2" xfId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906FF-5130-4047-B44C-954CA8A2B274}">
  <dimension ref="A3:AN17"/>
  <sheetViews>
    <sheetView workbookViewId="0">
      <selection activeCell="D15" sqref="D15"/>
    </sheetView>
  </sheetViews>
  <sheetFormatPr defaultRowHeight="14.5" x14ac:dyDescent="0.35"/>
  <cols>
    <col min="1" max="1" width="7.08984375" customWidth="1"/>
    <col min="2" max="2" width="6.08984375" bestFit="1" customWidth="1"/>
    <col min="3" max="3" width="6.6328125" bestFit="1" customWidth="1"/>
    <col min="4" max="4" width="8.08984375" bestFit="1" customWidth="1"/>
    <col min="5" max="5" width="9.36328125" bestFit="1" customWidth="1"/>
    <col min="6" max="35" width="3.90625" customWidth="1"/>
    <col min="36" max="36" width="7" customWidth="1"/>
    <col min="37" max="37" width="6.90625" customWidth="1"/>
    <col min="38" max="38" width="7.453125" customWidth="1"/>
    <col min="39" max="39" width="5.81640625" customWidth="1"/>
    <col min="40" max="40" width="3.90625" customWidth="1"/>
  </cols>
  <sheetData>
    <row r="3" spans="1:40" x14ac:dyDescent="0.3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35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3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x14ac:dyDescent="0.35">
      <c r="A6" s="13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ht="40" customHeight="1" x14ac:dyDescent="0.35">
      <c r="A7" s="14" t="s">
        <v>4</v>
      </c>
      <c r="B7" s="15" t="s">
        <v>5</v>
      </c>
      <c r="C7" s="15" t="s">
        <v>6</v>
      </c>
      <c r="D7" s="16" t="s">
        <v>7</v>
      </c>
      <c r="E7" s="15" t="s">
        <v>16</v>
      </c>
      <c r="F7" s="16">
        <v>1</v>
      </c>
      <c r="G7" s="16">
        <v>2</v>
      </c>
      <c r="H7" s="16">
        <v>3</v>
      </c>
      <c r="I7" s="16">
        <v>4</v>
      </c>
      <c r="J7" s="16">
        <v>5</v>
      </c>
      <c r="K7" s="16">
        <v>6</v>
      </c>
      <c r="L7" s="16">
        <v>7</v>
      </c>
      <c r="M7" s="16">
        <v>8</v>
      </c>
      <c r="N7" s="16">
        <v>9</v>
      </c>
      <c r="O7" s="16">
        <v>10</v>
      </c>
      <c r="P7" s="16">
        <v>11</v>
      </c>
      <c r="Q7" s="16">
        <v>12</v>
      </c>
      <c r="R7" s="16">
        <v>13</v>
      </c>
      <c r="S7" s="16">
        <v>14</v>
      </c>
      <c r="T7" s="16">
        <v>15</v>
      </c>
      <c r="U7" s="16">
        <v>16</v>
      </c>
      <c r="V7" s="16">
        <v>17</v>
      </c>
      <c r="W7" s="16">
        <v>18</v>
      </c>
      <c r="X7" s="16">
        <v>19</v>
      </c>
      <c r="Y7" s="16">
        <v>20</v>
      </c>
      <c r="Z7" s="16">
        <v>21</v>
      </c>
      <c r="AA7" s="16">
        <v>22</v>
      </c>
      <c r="AB7" s="16">
        <v>23</v>
      </c>
      <c r="AC7" s="16">
        <v>24</v>
      </c>
      <c r="AD7" s="16">
        <v>25</v>
      </c>
      <c r="AE7" s="16">
        <v>26</v>
      </c>
      <c r="AF7" s="16">
        <v>27</v>
      </c>
      <c r="AG7" s="16">
        <v>28</v>
      </c>
      <c r="AH7" s="16">
        <v>29</v>
      </c>
      <c r="AI7" s="16">
        <v>30</v>
      </c>
      <c r="AJ7" s="17" t="s">
        <v>8</v>
      </c>
      <c r="AK7" s="17" t="s">
        <v>9</v>
      </c>
      <c r="AL7" s="17" t="s">
        <v>10</v>
      </c>
      <c r="AM7" s="17" t="s">
        <v>11</v>
      </c>
      <c r="AN7" s="17" t="s">
        <v>12</v>
      </c>
    </row>
    <row r="8" spans="1:40" x14ac:dyDescent="0.35">
      <c r="A8" s="1">
        <v>1</v>
      </c>
      <c r="B8" s="2"/>
      <c r="C8" s="2"/>
      <c r="D8" s="2"/>
      <c r="E8" s="2"/>
      <c r="F8" s="5" t="s">
        <v>13</v>
      </c>
      <c r="G8" s="5" t="s">
        <v>13</v>
      </c>
      <c r="H8" s="5" t="s">
        <v>13</v>
      </c>
      <c r="I8" s="5" t="s">
        <v>13</v>
      </c>
      <c r="J8" s="5" t="s">
        <v>14</v>
      </c>
      <c r="K8" s="5" t="s">
        <v>13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13</v>
      </c>
      <c r="U8" s="5" t="s">
        <v>13</v>
      </c>
      <c r="V8" s="5" t="s">
        <v>13</v>
      </c>
      <c r="W8" s="5" t="s">
        <v>13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>
        <v>30</v>
      </c>
      <c r="AK8" s="5">
        <f t="shared" ref="AK8:AK14" si="0">COUNTIF(F8:AI8,"P")</f>
        <v>29</v>
      </c>
      <c r="AL8" s="5">
        <f t="shared" ref="AL8:AL14" si="1">COUNTIF(F8:AI8,"A")</f>
        <v>1</v>
      </c>
      <c r="AM8" s="5">
        <f t="shared" ref="AM8:AM14" si="2">COUNTIF(F8:AI8,"L")</f>
        <v>0</v>
      </c>
      <c r="AN8" s="6">
        <f>AK8/AJ8</f>
        <v>0.96666666666666667</v>
      </c>
    </row>
    <row r="9" spans="1:40" x14ac:dyDescent="0.35">
      <c r="A9" s="3">
        <v>2</v>
      </c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</row>
    <row r="10" spans="1:40" x14ac:dyDescent="0.35">
      <c r="A10" s="3">
        <v>3</v>
      </c>
      <c r="B10" s="4"/>
      <c r="C10" s="4"/>
      <c r="D10" s="4"/>
      <c r="E10" s="4"/>
      <c r="F10" s="7"/>
      <c r="G10" s="7" t="s">
        <v>13</v>
      </c>
      <c r="H10" s="7"/>
      <c r="I10" s="7" t="s">
        <v>13</v>
      </c>
      <c r="J10" s="7" t="s">
        <v>13</v>
      </c>
      <c r="K10" s="7" t="s">
        <v>13</v>
      </c>
      <c r="L10" s="7"/>
      <c r="M10" s="7" t="s">
        <v>13</v>
      </c>
      <c r="N10" s="7" t="s">
        <v>13</v>
      </c>
      <c r="O10" s="7"/>
      <c r="P10" s="7" t="s">
        <v>13</v>
      </c>
      <c r="Q10" s="7" t="s">
        <v>13</v>
      </c>
      <c r="R10" s="7" t="s">
        <v>13</v>
      </c>
      <c r="S10" s="7" t="s">
        <v>13</v>
      </c>
      <c r="T10" s="7" t="s">
        <v>13</v>
      </c>
      <c r="U10" s="7" t="s">
        <v>13</v>
      </c>
      <c r="V10" s="7"/>
      <c r="W10" s="7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/>
      <c r="AD10" s="7" t="s">
        <v>13</v>
      </c>
      <c r="AE10" s="7" t="s">
        <v>13</v>
      </c>
      <c r="AF10" s="7" t="s">
        <v>13</v>
      </c>
      <c r="AG10" s="7" t="s">
        <v>13</v>
      </c>
      <c r="AH10" s="7"/>
      <c r="AI10" s="7" t="s">
        <v>13</v>
      </c>
      <c r="AJ10" s="7">
        <v>23</v>
      </c>
      <c r="AK10" s="7">
        <f>COUNTIF(F10:AI10,"P")</f>
        <v>23</v>
      </c>
      <c r="AL10" s="7">
        <f>COUNTIF(F10:AI10,"A")</f>
        <v>0</v>
      </c>
      <c r="AM10" s="7">
        <f>COUNTIF(F10:AI10,"L")</f>
        <v>0</v>
      </c>
      <c r="AN10" s="8">
        <f>AK10/AJ10</f>
        <v>1</v>
      </c>
    </row>
    <row r="11" spans="1:40" x14ac:dyDescent="0.35">
      <c r="A11" s="3">
        <v>4</v>
      </c>
      <c r="B11" s="4"/>
      <c r="C11" s="4"/>
      <c r="D11" s="4"/>
      <c r="E11" s="4"/>
      <c r="F11" s="7" t="s">
        <v>13</v>
      </c>
      <c r="G11" s="7" t="s">
        <v>13</v>
      </c>
      <c r="H11" s="7" t="s">
        <v>13</v>
      </c>
      <c r="I11" s="7" t="s">
        <v>15</v>
      </c>
      <c r="J11" s="7" t="s">
        <v>13</v>
      </c>
      <c r="K11" s="7" t="s">
        <v>13</v>
      </c>
      <c r="L11" s="7" t="s">
        <v>13</v>
      </c>
      <c r="M11" s="7" t="s">
        <v>13</v>
      </c>
      <c r="N11" s="7" t="s">
        <v>13</v>
      </c>
      <c r="O11" s="7" t="s">
        <v>13</v>
      </c>
      <c r="P11" s="7" t="s">
        <v>13</v>
      </c>
      <c r="Q11" s="7" t="s">
        <v>13</v>
      </c>
      <c r="R11" s="7" t="s">
        <v>13</v>
      </c>
      <c r="S11" s="7" t="s">
        <v>13</v>
      </c>
      <c r="T11" s="7" t="s">
        <v>13</v>
      </c>
      <c r="U11" s="7" t="s">
        <v>13</v>
      </c>
      <c r="V11" s="7" t="s">
        <v>13</v>
      </c>
      <c r="W11" s="7" t="s">
        <v>13</v>
      </c>
      <c r="X11" s="7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7" t="s">
        <v>13</v>
      </c>
      <c r="AE11" s="7" t="s">
        <v>13</v>
      </c>
      <c r="AF11" s="7" t="s">
        <v>13</v>
      </c>
      <c r="AG11" s="7" t="s">
        <v>13</v>
      </c>
      <c r="AH11" s="7" t="s">
        <v>13</v>
      </c>
      <c r="AI11" s="7" t="s">
        <v>13</v>
      </c>
      <c r="AJ11" s="7">
        <v>30</v>
      </c>
      <c r="AK11" s="7">
        <f t="shared" si="0"/>
        <v>29</v>
      </c>
      <c r="AL11" s="7">
        <f t="shared" si="1"/>
        <v>0</v>
      </c>
      <c r="AM11" s="7">
        <f t="shared" si="2"/>
        <v>0</v>
      </c>
      <c r="AN11" s="8">
        <f t="shared" ref="AN11:AN14" si="3">AK11/AJ11</f>
        <v>0.96666666666666667</v>
      </c>
    </row>
    <row r="12" spans="1:40" x14ac:dyDescent="0.35">
      <c r="A12" s="3">
        <v>5</v>
      </c>
      <c r="B12" s="4"/>
      <c r="C12" s="4"/>
      <c r="D12" s="4"/>
      <c r="E12" s="4"/>
      <c r="F12" s="7"/>
      <c r="G12" s="7" t="s">
        <v>13</v>
      </c>
      <c r="H12" s="7"/>
      <c r="I12" s="7" t="s">
        <v>13</v>
      </c>
      <c r="J12" s="7" t="s">
        <v>13</v>
      </c>
      <c r="K12" s="7" t="s">
        <v>13</v>
      </c>
      <c r="L12" s="7"/>
      <c r="M12" s="7" t="s">
        <v>13</v>
      </c>
      <c r="N12" s="7" t="s">
        <v>13</v>
      </c>
      <c r="O12" s="7"/>
      <c r="P12" s="7" t="s">
        <v>13</v>
      </c>
      <c r="Q12" s="7" t="s">
        <v>13</v>
      </c>
      <c r="R12" s="7" t="s">
        <v>13</v>
      </c>
      <c r="S12" s="7" t="s">
        <v>13</v>
      </c>
      <c r="T12" s="7" t="s">
        <v>13</v>
      </c>
      <c r="U12" s="7" t="s">
        <v>13</v>
      </c>
      <c r="V12" s="7"/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/>
      <c r="AD12" s="7" t="s">
        <v>13</v>
      </c>
      <c r="AE12" s="7" t="s">
        <v>13</v>
      </c>
      <c r="AF12" s="7" t="s">
        <v>13</v>
      </c>
      <c r="AG12" s="7" t="s">
        <v>13</v>
      </c>
      <c r="AH12" s="7"/>
      <c r="AI12" s="7" t="s">
        <v>13</v>
      </c>
      <c r="AJ12" s="7">
        <v>23</v>
      </c>
      <c r="AK12" s="7">
        <f>COUNTIF(F12:AI12,"P")</f>
        <v>23</v>
      </c>
      <c r="AL12" s="7">
        <f>COUNTIF(F12:AI12,"A")</f>
        <v>0</v>
      </c>
      <c r="AM12" s="7">
        <f>COUNTIF(F12:AI12,"L")</f>
        <v>0</v>
      </c>
      <c r="AN12" s="8">
        <f>AK12/AJ12</f>
        <v>1</v>
      </c>
    </row>
    <row r="13" spans="1:40" x14ac:dyDescent="0.35">
      <c r="A13" s="3"/>
      <c r="B13" s="4"/>
      <c r="C13" s="4"/>
      <c r="D13" s="4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8"/>
    </row>
    <row r="14" spans="1:40" x14ac:dyDescent="0.35">
      <c r="A14" s="3">
        <v>6</v>
      </c>
      <c r="B14" s="4"/>
      <c r="C14" s="4"/>
      <c r="D14" s="4"/>
      <c r="E14" s="4"/>
      <c r="F14" s="7"/>
      <c r="G14" s="7" t="s">
        <v>13</v>
      </c>
      <c r="H14" s="7"/>
      <c r="I14" s="7" t="s">
        <v>13</v>
      </c>
      <c r="J14" s="7" t="s">
        <v>13</v>
      </c>
      <c r="K14" s="7" t="s">
        <v>13</v>
      </c>
      <c r="L14" s="7"/>
      <c r="M14" s="7" t="s">
        <v>13</v>
      </c>
      <c r="N14" s="7" t="s">
        <v>13</v>
      </c>
      <c r="O14" s="7"/>
      <c r="P14" s="7" t="s">
        <v>13</v>
      </c>
      <c r="Q14" s="7" t="s">
        <v>13</v>
      </c>
      <c r="R14" s="7" t="s">
        <v>13</v>
      </c>
      <c r="S14" s="7" t="s">
        <v>13</v>
      </c>
      <c r="T14" s="7" t="s">
        <v>13</v>
      </c>
      <c r="U14" s="7" t="s">
        <v>13</v>
      </c>
      <c r="V14" s="7"/>
      <c r="W14" s="7" t="s">
        <v>13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/>
      <c r="AD14" s="7" t="s">
        <v>13</v>
      </c>
      <c r="AE14" s="7" t="s">
        <v>13</v>
      </c>
      <c r="AF14" s="7" t="s">
        <v>13</v>
      </c>
      <c r="AG14" s="7" t="s">
        <v>13</v>
      </c>
      <c r="AH14" s="7"/>
      <c r="AI14" s="7" t="s">
        <v>13</v>
      </c>
      <c r="AJ14" s="7">
        <v>23</v>
      </c>
      <c r="AK14" s="7">
        <f t="shared" si="0"/>
        <v>23</v>
      </c>
      <c r="AL14" s="7">
        <f t="shared" si="1"/>
        <v>0</v>
      </c>
      <c r="AM14" s="7">
        <f t="shared" si="2"/>
        <v>0</v>
      </c>
      <c r="AN14" s="8">
        <f t="shared" si="3"/>
        <v>1</v>
      </c>
    </row>
    <row r="15" spans="1:40" x14ac:dyDescent="0.35">
      <c r="A15" s="3">
        <v>7</v>
      </c>
      <c r="B15" s="4"/>
      <c r="C15" s="4"/>
      <c r="D15" s="4"/>
      <c r="E15" s="4"/>
      <c r="F15" s="7"/>
      <c r="G15" s="7" t="s">
        <v>13</v>
      </c>
      <c r="H15" s="7"/>
      <c r="I15" s="7" t="s">
        <v>13</v>
      </c>
      <c r="J15" s="7" t="s">
        <v>13</v>
      </c>
      <c r="K15" s="7" t="s">
        <v>13</v>
      </c>
      <c r="L15" s="7"/>
      <c r="M15" s="7" t="s">
        <v>13</v>
      </c>
      <c r="N15" s="7" t="s">
        <v>13</v>
      </c>
      <c r="O15" s="7"/>
      <c r="P15" s="7" t="s">
        <v>13</v>
      </c>
      <c r="Q15" s="7" t="s">
        <v>13</v>
      </c>
      <c r="R15" s="7" t="s">
        <v>13</v>
      </c>
      <c r="S15" s="7" t="s">
        <v>13</v>
      </c>
      <c r="T15" s="7" t="s">
        <v>13</v>
      </c>
      <c r="U15" s="7" t="s">
        <v>13</v>
      </c>
      <c r="V15" s="7"/>
      <c r="W15" s="7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/>
      <c r="AD15" s="7" t="s">
        <v>13</v>
      </c>
      <c r="AE15" s="7" t="s">
        <v>13</v>
      </c>
      <c r="AF15" s="7" t="s">
        <v>13</v>
      </c>
      <c r="AG15" s="7" t="s">
        <v>13</v>
      </c>
      <c r="AH15" s="7"/>
      <c r="AI15" s="7" t="s">
        <v>13</v>
      </c>
      <c r="AJ15" s="7">
        <v>23</v>
      </c>
      <c r="AK15" s="7">
        <f>COUNTIF(F15:AI15,"P")</f>
        <v>23</v>
      </c>
      <c r="AL15" s="7">
        <f>COUNTIF(F15:AI15,"A")</f>
        <v>0</v>
      </c>
      <c r="AM15" s="7">
        <f>COUNTIF(F15:AI15,"L")</f>
        <v>0</v>
      </c>
      <c r="AN15" s="8">
        <f>AK15/AJ15</f>
        <v>1</v>
      </c>
    </row>
    <row r="16" spans="1:40" x14ac:dyDescent="0.35">
      <c r="A16" s="3">
        <v>8</v>
      </c>
      <c r="B16" s="4"/>
      <c r="C16" s="4"/>
      <c r="D16" s="4"/>
      <c r="E16" s="4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x14ac:dyDescent="0.35">
      <c r="A17" s="1">
        <v>7</v>
      </c>
      <c r="B17" s="2"/>
      <c r="C17" s="2"/>
      <c r="D17" s="2"/>
      <c r="E17" s="2"/>
      <c r="F17" s="10"/>
      <c r="G17" s="10"/>
      <c r="H17" s="11"/>
      <c r="I17" s="11"/>
      <c r="J17" s="9"/>
      <c r="K17" s="9"/>
      <c r="L17" s="9"/>
      <c r="M17" s="9"/>
      <c r="N17" s="9"/>
      <c r="O17" s="11"/>
      <c r="P17" s="9"/>
      <c r="Q17" s="9"/>
      <c r="R17" s="9"/>
      <c r="S17" s="9"/>
      <c r="T17" s="9"/>
      <c r="U17" s="9"/>
      <c r="V17" s="11"/>
      <c r="W17" s="9"/>
      <c r="X17" s="9"/>
      <c r="Y17" s="9"/>
      <c r="Z17" s="9"/>
      <c r="AA17" s="9"/>
      <c r="AB17" s="11"/>
      <c r="AC17" s="11"/>
      <c r="AD17" s="9"/>
      <c r="AE17" s="9"/>
      <c r="AF17" s="9"/>
      <c r="AG17" s="9"/>
      <c r="AH17" s="7"/>
      <c r="AI17" s="9"/>
      <c r="AJ17" s="7"/>
      <c r="AK17" s="7"/>
      <c r="AL17" s="7"/>
      <c r="AM17" s="7"/>
      <c r="AN17" s="7"/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17" xr:uid="{BEF25036-5C7E-4E1C-B989-C294ACBD047F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A6C80-53C1-44E2-A207-0632B21C7562}">
  <dimension ref="A3:AN17"/>
  <sheetViews>
    <sheetView workbookViewId="0">
      <selection activeCell="C8" sqref="C8"/>
    </sheetView>
  </sheetViews>
  <sheetFormatPr defaultRowHeight="14.5" x14ac:dyDescent="0.35"/>
  <cols>
    <col min="1" max="1" width="7.08984375" customWidth="1"/>
    <col min="2" max="2" width="6.08984375" bestFit="1" customWidth="1"/>
    <col min="3" max="3" width="6.6328125" bestFit="1" customWidth="1"/>
    <col min="4" max="4" width="8.08984375" bestFit="1" customWidth="1"/>
    <col min="5" max="5" width="9.36328125" bestFit="1" customWidth="1"/>
    <col min="6" max="35" width="3.90625" customWidth="1"/>
    <col min="36" max="36" width="7" customWidth="1"/>
    <col min="37" max="37" width="6.90625" customWidth="1"/>
    <col min="38" max="38" width="7.453125" customWidth="1"/>
    <col min="39" max="39" width="5.81640625" customWidth="1"/>
    <col min="40" max="40" width="3.90625" customWidth="1"/>
  </cols>
  <sheetData>
    <row r="3" spans="1:40" x14ac:dyDescent="0.3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35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3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x14ac:dyDescent="0.35">
      <c r="A6" s="13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ht="40" customHeight="1" x14ac:dyDescent="0.35">
      <c r="A7" s="14" t="s">
        <v>4</v>
      </c>
      <c r="B7" s="15" t="s">
        <v>5</v>
      </c>
      <c r="C7" s="15" t="s">
        <v>6</v>
      </c>
      <c r="D7" s="16" t="s">
        <v>7</v>
      </c>
      <c r="E7" s="15" t="s">
        <v>16</v>
      </c>
      <c r="F7" s="16">
        <v>1</v>
      </c>
      <c r="G7" s="16">
        <v>2</v>
      </c>
      <c r="H7" s="16">
        <v>3</v>
      </c>
      <c r="I7" s="16">
        <v>4</v>
      </c>
      <c r="J7" s="16">
        <v>5</v>
      </c>
      <c r="K7" s="16">
        <v>6</v>
      </c>
      <c r="L7" s="16">
        <v>7</v>
      </c>
      <c r="M7" s="16">
        <v>8</v>
      </c>
      <c r="N7" s="16">
        <v>9</v>
      </c>
      <c r="O7" s="16">
        <v>10</v>
      </c>
      <c r="P7" s="16">
        <v>11</v>
      </c>
      <c r="Q7" s="16">
        <v>12</v>
      </c>
      <c r="R7" s="16">
        <v>13</v>
      </c>
      <c r="S7" s="16">
        <v>14</v>
      </c>
      <c r="T7" s="16">
        <v>15</v>
      </c>
      <c r="U7" s="16">
        <v>16</v>
      </c>
      <c r="V7" s="16">
        <v>17</v>
      </c>
      <c r="W7" s="16">
        <v>18</v>
      </c>
      <c r="X7" s="16">
        <v>19</v>
      </c>
      <c r="Y7" s="16">
        <v>20</v>
      </c>
      <c r="Z7" s="16">
        <v>21</v>
      </c>
      <c r="AA7" s="16">
        <v>22</v>
      </c>
      <c r="AB7" s="16">
        <v>23</v>
      </c>
      <c r="AC7" s="16">
        <v>24</v>
      </c>
      <c r="AD7" s="16">
        <v>25</v>
      </c>
      <c r="AE7" s="16">
        <v>26</v>
      </c>
      <c r="AF7" s="16">
        <v>27</v>
      </c>
      <c r="AG7" s="16">
        <v>28</v>
      </c>
      <c r="AH7" s="16">
        <v>29</v>
      </c>
      <c r="AI7" s="16">
        <v>30</v>
      </c>
      <c r="AJ7" s="17" t="s">
        <v>8</v>
      </c>
      <c r="AK7" s="17" t="s">
        <v>9</v>
      </c>
      <c r="AL7" s="17" t="s">
        <v>10</v>
      </c>
      <c r="AM7" s="17" t="s">
        <v>11</v>
      </c>
      <c r="AN7" s="17" t="s">
        <v>12</v>
      </c>
    </row>
    <row r="8" spans="1:40" x14ac:dyDescent="0.35">
      <c r="A8" s="1">
        <v>1</v>
      </c>
      <c r="B8" s="2"/>
      <c r="C8" s="2"/>
      <c r="D8" s="2"/>
      <c r="E8" s="2"/>
      <c r="F8" s="5" t="s">
        <v>13</v>
      </c>
      <c r="G8" s="5" t="s">
        <v>13</v>
      </c>
      <c r="H8" s="5" t="s">
        <v>13</v>
      </c>
      <c r="I8" s="5" t="s">
        <v>13</v>
      </c>
      <c r="J8" s="5" t="s">
        <v>14</v>
      </c>
      <c r="K8" s="5" t="s">
        <v>13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13</v>
      </c>
      <c r="U8" s="5" t="s">
        <v>13</v>
      </c>
      <c r="V8" s="5" t="s">
        <v>13</v>
      </c>
      <c r="W8" s="5" t="s">
        <v>13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>
        <v>30</v>
      </c>
      <c r="AK8" s="5">
        <f t="shared" ref="AK8:AK14" si="0">COUNTIF(F8:AI8,"P")</f>
        <v>29</v>
      </c>
      <c r="AL8" s="5">
        <f t="shared" ref="AL8:AL14" si="1">COUNTIF(F8:AI8,"A")</f>
        <v>1</v>
      </c>
      <c r="AM8" s="5">
        <f t="shared" ref="AM8:AM14" si="2">COUNTIF(F8:AI8,"L")</f>
        <v>0</v>
      </c>
      <c r="AN8" s="6">
        <f>AK8/AJ8</f>
        <v>0.96666666666666667</v>
      </c>
    </row>
    <row r="9" spans="1:40" x14ac:dyDescent="0.35">
      <c r="A9" s="3">
        <v>2</v>
      </c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</row>
    <row r="10" spans="1:40" x14ac:dyDescent="0.35">
      <c r="A10" s="3">
        <v>3</v>
      </c>
      <c r="B10" s="4"/>
      <c r="C10" s="4"/>
      <c r="D10" s="4"/>
      <c r="E10" s="4"/>
      <c r="F10" s="7"/>
      <c r="G10" s="7" t="s">
        <v>13</v>
      </c>
      <c r="H10" s="7"/>
      <c r="I10" s="7" t="s">
        <v>13</v>
      </c>
      <c r="J10" s="7" t="s">
        <v>13</v>
      </c>
      <c r="K10" s="7" t="s">
        <v>13</v>
      </c>
      <c r="L10" s="7"/>
      <c r="M10" s="7" t="s">
        <v>13</v>
      </c>
      <c r="N10" s="7" t="s">
        <v>13</v>
      </c>
      <c r="O10" s="7"/>
      <c r="P10" s="7" t="s">
        <v>13</v>
      </c>
      <c r="Q10" s="7" t="s">
        <v>13</v>
      </c>
      <c r="R10" s="7" t="s">
        <v>13</v>
      </c>
      <c r="S10" s="7" t="s">
        <v>13</v>
      </c>
      <c r="T10" s="7" t="s">
        <v>13</v>
      </c>
      <c r="U10" s="7" t="s">
        <v>13</v>
      </c>
      <c r="V10" s="7"/>
      <c r="W10" s="7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/>
      <c r="AD10" s="7" t="s">
        <v>13</v>
      </c>
      <c r="AE10" s="7" t="s">
        <v>13</v>
      </c>
      <c r="AF10" s="7" t="s">
        <v>13</v>
      </c>
      <c r="AG10" s="7" t="s">
        <v>13</v>
      </c>
      <c r="AH10" s="7"/>
      <c r="AI10" s="7" t="s">
        <v>13</v>
      </c>
      <c r="AJ10" s="7">
        <v>23</v>
      </c>
      <c r="AK10" s="7">
        <f>COUNTIF(F10:AI10,"P")</f>
        <v>23</v>
      </c>
      <c r="AL10" s="7">
        <f>COUNTIF(F10:AI10,"A")</f>
        <v>0</v>
      </c>
      <c r="AM10" s="7">
        <f>COUNTIF(F10:AI10,"L")</f>
        <v>0</v>
      </c>
      <c r="AN10" s="8">
        <f>AK10/AJ10</f>
        <v>1</v>
      </c>
    </row>
    <row r="11" spans="1:40" x14ac:dyDescent="0.35">
      <c r="A11" s="3">
        <v>4</v>
      </c>
      <c r="B11" s="4"/>
      <c r="C11" s="4"/>
      <c r="D11" s="4"/>
      <c r="E11" s="4"/>
      <c r="F11" s="7" t="s">
        <v>13</v>
      </c>
      <c r="G11" s="7" t="s">
        <v>13</v>
      </c>
      <c r="H11" s="7" t="s">
        <v>13</v>
      </c>
      <c r="I11" s="7" t="s">
        <v>15</v>
      </c>
      <c r="J11" s="7" t="s">
        <v>13</v>
      </c>
      <c r="K11" s="7" t="s">
        <v>13</v>
      </c>
      <c r="L11" s="7" t="s">
        <v>13</v>
      </c>
      <c r="M11" s="7" t="s">
        <v>13</v>
      </c>
      <c r="N11" s="7" t="s">
        <v>13</v>
      </c>
      <c r="O11" s="7" t="s">
        <v>13</v>
      </c>
      <c r="P11" s="7" t="s">
        <v>13</v>
      </c>
      <c r="Q11" s="7" t="s">
        <v>13</v>
      </c>
      <c r="R11" s="7" t="s">
        <v>13</v>
      </c>
      <c r="S11" s="7" t="s">
        <v>13</v>
      </c>
      <c r="T11" s="7" t="s">
        <v>13</v>
      </c>
      <c r="U11" s="7" t="s">
        <v>13</v>
      </c>
      <c r="V11" s="7" t="s">
        <v>13</v>
      </c>
      <c r="W11" s="7" t="s">
        <v>13</v>
      </c>
      <c r="X11" s="7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7" t="s">
        <v>13</v>
      </c>
      <c r="AE11" s="7" t="s">
        <v>13</v>
      </c>
      <c r="AF11" s="7" t="s">
        <v>13</v>
      </c>
      <c r="AG11" s="7" t="s">
        <v>13</v>
      </c>
      <c r="AH11" s="7" t="s">
        <v>13</v>
      </c>
      <c r="AI11" s="7" t="s">
        <v>13</v>
      </c>
      <c r="AJ11" s="7">
        <v>30</v>
      </c>
      <c r="AK11" s="7">
        <f t="shared" si="0"/>
        <v>29</v>
      </c>
      <c r="AL11" s="7">
        <f t="shared" si="1"/>
        <v>0</v>
      </c>
      <c r="AM11" s="7">
        <f t="shared" si="2"/>
        <v>0</v>
      </c>
      <c r="AN11" s="8">
        <f t="shared" ref="AN11:AN14" si="3">AK11/AJ11</f>
        <v>0.96666666666666667</v>
      </c>
    </row>
    <row r="12" spans="1:40" x14ac:dyDescent="0.35">
      <c r="A12" s="3">
        <v>5</v>
      </c>
      <c r="B12" s="4"/>
      <c r="C12" s="4"/>
      <c r="D12" s="4"/>
      <c r="E12" s="4"/>
      <c r="F12" s="7"/>
      <c r="G12" s="7" t="s">
        <v>13</v>
      </c>
      <c r="H12" s="7"/>
      <c r="I12" s="7" t="s">
        <v>13</v>
      </c>
      <c r="J12" s="7" t="s">
        <v>13</v>
      </c>
      <c r="K12" s="7" t="s">
        <v>13</v>
      </c>
      <c r="L12" s="7"/>
      <c r="M12" s="7" t="s">
        <v>13</v>
      </c>
      <c r="N12" s="7" t="s">
        <v>13</v>
      </c>
      <c r="O12" s="7"/>
      <c r="P12" s="7" t="s">
        <v>13</v>
      </c>
      <c r="Q12" s="7" t="s">
        <v>13</v>
      </c>
      <c r="R12" s="7" t="s">
        <v>13</v>
      </c>
      <c r="S12" s="7" t="s">
        <v>13</v>
      </c>
      <c r="T12" s="7" t="s">
        <v>13</v>
      </c>
      <c r="U12" s="7" t="s">
        <v>13</v>
      </c>
      <c r="V12" s="7"/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/>
      <c r="AD12" s="7" t="s">
        <v>13</v>
      </c>
      <c r="AE12" s="7" t="s">
        <v>13</v>
      </c>
      <c r="AF12" s="7" t="s">
        <v>13</v>
      </c>
      <c r="AG12" s="7" t="s">
        <v>13</v>
      </c>
      <c r="AH12" s="7"/>
      <c r="AI12" s="7" t="s">
        <v>13</v>
      </c>
      <c r="AJ12" s="7">
        <v>23</v>
      </c>
      <c r="AK12" s="7">
        <f>COUNTIF(F12:AI12,"P")</f>
        <v>23</v>
      </c>
      <c r="AL12" s="7">
        <f>COUNTIF(F12:AI12,"A")</f>
        <v>0</v>
      </c>
      <c r="AM12" s="7">
        <f>COUNTIF(F12:AI12,"L")</f>
        <v>0</v>
      </c>
      <c r="AN12" s="8">
        <f>AK12/AJ12</f>
        <v>1</v>
      </c>
    </row>
    <row r="13" spans="1:40" x14ac:dyDescent="0.35">
      <c r="A13" s="3"/>
      <c r="B13" s="4"/>
      <c r="C13" s="4"/>
      <c r="D13" s="4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8"/>
    </row>
    <row r="14" spans="1:40" x14ac:dyDescent="0.35">
      <c r="A14" s="3">
        <v>6</v>
      </c>
      <c r="B14" s="4"/>
      <c r="C14" s="4"/>
      <c r="D14" s="4"/>
      <c r="E14" s="4"/>
      <c r="F14" s="7"/>
      <c r="G14" s="7" t="s">
        <v>13</v>
      </c>
      <c r="H14" s="7"/>
      <c r="I14" s="7" t="s">
        <v>13</v>
      </c>
      <c r="J14" s="7" t="s">
        <v>13</v>
      </c>
      <c r="K14" s="7" t="s">
        <v>13</v>
      </c>
      <c r="L14" s="7"/>
      <c r="M14" s="7" t="s">
        <v>13</v>
      </c>
      <c r="N14" s="7" t="s">
        <v>13</v>
      </c>
      <c r="O14" s="7"/>
      <c r="P14" s="7" t="s">
        <v>13</v>
      </c>
      <c r="Q14" s="7" t="s">
        <v>13</v>
      </c>
      <c r="R14" s="7" t="s">
        <v>13</v>
      </c>
      <c r="S14" s="7" t="s">
        <v>13</v>
      </c>
      <c r="T14" s="7" t="s">
        <v>13</v>
      </c>
      <c r="U14" s="7" t="s">
        <v>13</v>
      </c>
      <c r="V14" s="7"/>
      <c r="W14" s="7" t="s">
        <v>13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/>
      <c r="AD14" s="7" t="s">
        <v>13</v>
      </c>
      <c r="AE14" s="7" t="s">
        <v>13</v>
      </c>
      <c r="AF14" s="7" t="s">
        <v>13</v>
      </c>
      <c r="AG14" s="7" t="s">
        <v>13</v>
      </c>
      <c r="AH14" s="7"/>
      <c r="AI14" s="7" t="s">
        <v>13</v>
      </c>
      <c r="AJ14" s="7">
        <v>23</v>
      </c>
      <c r="AK14" s="7">
        <f t="shared" si="0"/>
        <v>23</v>
      </c>
      <c r="AL14" s="7">
        <f t="shared" si="1"/>
        <v>0</v>
      </c>
      <c r="AM14" s="7">
        <f t="shared" si="2"/>
        <v>0</v>
      </c>
      <c r="AN14" s="8">
        <f t="shared" si="3"/>
        <v>1</v>
      </c>
    </row>
    <row r="15" spans="1:40" x14ac:dyDescent="0.35">
      <c r="A15" s="3">
        <v>7</v>
      </c>
      <c r="B15" s="4"/>
      <c r="C15" s="4"/>
      <c r="D15" s="4"/>
      <c r="E15" s="4"/>
      <c r="F15" s="7"/>
      <c r="G15" s="7" t="s">
        <v>13</v>
      </c>
      <c r="H15" s="7"/>
      <c r="I15" s="7" t="s">
        <v>13</v>
      </c>
      <c r="J15" s="7" t="s">
        <v>13</v>
      </c>
      <c r="K15" s="7" t="s">
        <v>13</v>
      </c>
      <c r="L15" s="7"/>
      <c r="M15" s="7" t="s">
        <v>13</v>
      </c>
      <c r="N15" s="7" t="s">
        <v>13</v>
      </c>
      <c r="O15" s="7"/>
      <c r="P15" s="7" t="s">
        <v>13</v>
      </c>
      <c r="Q15" s="7" t="s">
        <v>13</v>
      </c>
      <c r="R15" s="7" t="s">
        <v>13</v>
      </c>
      <c r="S15" s="7" t="s">
        <v>13</v>
      </c>
      <c r="T15" s="7" t="s">
        <v>13</v>
      </c>
      <c r="U15" s="7" t="s">
        <v>13</v>
      </c>
      <c r="V15" s="7"/>
      <c r="W15" s="7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/>
      <c r="AD15" s="7" t="s">
        <v>13</v>
      </c>
      <c r="AE15" s="7" t="s">
        <v>13</v>
      </c>
      <c r="AF15" s="7" t="s">
        <v>13</v>
      </c>
      <c r="AG15" s="7" t="s">
        <v>13</v>
      </c>
      <c r="AH15" s="7"/>
      <c r="AI15" s="7" t="s">
        <v>13</v>
      </c>
      <c r="AJ15" s="7">
        <v>23</v>
      </c>
      <c r="AK15" s="7">
        <f>COUNTIF(F15:AI15,"P")</f>
        <v>23</v>
      </c>
      <c r="AL15" s="7">
        <f>COUNTIF(F15:AI15,"A")</f>
        <v>0</v>
      </c>
      <c r="AM15" s="7">
        <f>COUNTIF(F15:AI15,"L")</f>
        <v>0</v>
      </c>
      <c r="AN15" s="8">
        <f>AK15/AJ15</f>
        <v>1</v>
      </c>
    </row>
    <row r="16" spans="1:40" x14ac:dyDescent="0.35">
      <c r="A16" s="3">
        <v>8</v>
      </c>
      <c r="B16" s="4"/>
      <c r="C16" s="4"/>
      <c r="D16" s="4"/>
      <c r="E16" s="4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x14ac:dyDescent="0.35">
      <c r="A17" s="1">
        <v>7</v>
      </c>
      <c r="B17" s="2"/>
      <c r="C17" s="2"/>
      <c r="D17" s="2"/>
      <c r="E17" s="2"/>
      <c r="F17" s="10"/>
      <c r="G17" s="10"/>
      <c r="H17" s="11"/>
      <c r="I17" s="11"/>
      <c r="J17" s="9"/>
      <c r="K17" s="9"/>
      <c r="L17" s="9"/>
      <c r="M17" s="9"/>
      <c r="N17" s="9"/>
      <c r="O17" s="11"/>
      <c r="P17" s="9"/>
      <c r="Q17" s="9"/>
      <c r="R17" s="9"/>
      <c r="S17" s="9"/>
      <c r="T17" s="9"/>
      <c r="U17" s="9"/>
      <c r="V17" s="11"/>
      <c r="W17" s="9"/>
      <c r="X17" s="9"/>
      <c r="Y17" s="9"/>
      <c r="Z17" s="9"/>
      <c r="AA17" s="9"/>
      <c r="AB17" s="11"/>
      <c r="AC17" s="11"/>
      <c r="AD17" s="9"/>
      <c r="AE17" s="9"/>
      <c r="AF17" s="9"/>
      <c r="AG17" s="9"/>
      <c r="AH17" s="7"/>
      <c r="AI17" s="9"/>
      <c r="AJ17" s="7"/>
      <c r="AK17" s="7"/>
      <c r="AL17" s="7"/>
      <c r="AM17" s="7"/>
      <c r="AN17" s="7"/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17" xr:uid="{A57A0749-256B-4C1C-974F-1D4CB7D17F3A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E7995-9F8D-4F9C-9131-4266E9977675}">
  <dimension ref="A3:AN17"/>
  <sheetViews>
    <sheetView tabSelected="1" workbookViewId="0">
      <selection activeCell="E12" sqref="E12"/>
    </sheetView>
  </sheetViews>
  <sheetFormatPr defaultRowHeight="14.5" x14ac:dyDescent="0.35"/>
  <cols>
    <col min="1" max="1" width="7.08984375" customWidth="1"/>
    <col min="2" max="2" width="6.08984375" bestFit="1" customWidth="1"/>
    <col min="3" max="3" width="6.6328125" bestFit="1" customWidth="1"/>
    <col min="4" max="4" width="8.08984375" bestFit="1" customWidth="1"/>
    <col min="5" max="5" width="9.36328125" bestFit="1" customWidth="1"/>
    <col min="6" max="35" width="3.90625" customWidth="1"/>
    <col min="36" max="36" width="7" customWidth="1"/>
    <col min="37" max="37" width="6.90625" customWidth="1"/>
    <col min="38" max="38" width="7.453125" customWidth="1"/>
    <col min="39" max="39" width="5.81640625" customWidth="1"/>
    <col min="40" max="40" width="3.90625" customWidth="1"/>
  </cols>
  <sheetData>
    <row r="3" spans="1:40" x14ac:dyDescent="0.35">
      <c r="A3" s="12" t="s">
        <v>0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x14ac:dyDescent="0.35">
      <c r="A4" s="12" t="s">
        <v>1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</row>
    <row r="5" spans="1:40" x14ac:dyDescent="0.35">
      <c r="A5" s="12" t="s">
        <v>2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</row>
    <row r="6" spans="1:40" x14ac:dyDescent="0.35">
      <c r="A6" s="13" t="s">
        <v>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</row>
    <row r="7" spans="1:40" ht="40" customHeight="1" x14ac:dyDescent="0.35">
      <c r="A7" s="14" t="s">
        <v>4</v>
      </c>
      <c r="B7" s="15" t="s">
        <v>5</v>
      </c>
      <c r="C7" s="15" t="s">
        <v>6</v>
      </c>
      <c r="D7" s="16" t="s">
        <v>7</v>
      </c>
      <c r="E7" s="15" t="s">
        <v>16</v>
      </c>
      <c r="F7" s="16">
        <v>1</v>
      </c>
      <c r="G7" s="16">
        <v>2</v>
      </c>
      <c r="H7" s="16">
        <v>3</v>
      </c>
      <c r="I7" s="16">
        <v>4</v>
      </c>
      <c r="J7" s="16">
        <v>5</v>
      </c>
      <c r="K7" s="16">
        <v>6</v>
      </c>
      <c r="L7" s="16">
        <v>7</v>
      </c>
      <c r="M7" s="16">
        <v>8</v>
      </c>
      <c r="N7" s="16">
        <v>9</v>
      </c>
      <c r="O7" s="16">
        <v>10</v>
      </c>
      <c r="P7" s="16">
        <v>11</v>
      </c>
      <c r="Q7" s="16">
        <v>12</v>
      </c>
      <c r="R7" s="16">
        <v>13</v>
      </c>
      <c r="S7" s="16">
        <v>14</v>
      </c>
      <c r="T7" s="16">
        <v>15</v>
      </c>
      <c r="U7" s="16">
        <v>16</v>
      </c>
      <c r="V7" s="16">
        <v>17</v>
      </c>
      <c r="W7" s="16">
        <v>18</v>
      </c>
      <c r="X7" s="16">
        <v>19</v>
      </c>
      <c r="Y7" s="16">
        <v>20</v>
      </c>
      <c r="Z7" s="16">
        <v>21</v>
      </c>
      <c r="AA7" s="16">
        <v>22</v>
      </c>
      <c r="AB7" s="16">
        <v>23</v>
      </c>
      <c r="AC7" s="16">
        <v>24</v>
      </c>
      <c r="AD7" s="16">
        <v>25</v>
      </c>
      <c r="AE7" s="16">
        <v>26</v>
      </c>
      <c r="AF7" s="16">
        <v>27</v>
      </c>
      <c r="AG7" s="16">
        <v>28</v>
      </c>
      <c r="AH7" s="16">
        <v>29</v>
      </c>
      <c r="AI7" s="16">
        <v>30</v>
      </c>
      <c r="AJ7" s="17" t="s">
        <v>8</v>
      </c>
      <c r="AK7" s="17" t="s">
        <v>9</v>
      </c>
      <c r="AL7" s="17" t="s">
        <v>10</v>
      </c>
      <c r="AM7" s="17" t="s">
        <v>11</v>
      </c>
      <c r="AN7" s="17" t="s">
        <v>12</v>
      </c>
    </row>
    <row r="8" spans="1:40" x14ac:dyDescent="0.35">
      <c r="A8" s="1">
        <v>1</v>
      </c>
      <c r="B8" s="2"/>
      <c r="C8" s="2"/>
      <c r="D8" s="2"/>
      <c r="E8" s="2"/>
      <c r="F8" s="5" t="s">
        <v>13</v>
      </c>
      <c r="G8" s="5" t="s">
        <v>13</v>
      </c>
      <c r="H8" s="5" t="s">
        <v>13</v>
      </c>
      <c r="I8" s="5" t="s">
        <v>13</v>
      </c>
      <c r="J8" s="5" t="s">
        <v>14</v>
      </c>
      <c r="K8" s="5" t="s">
        <v>13</v>
      </c>
      <c r="L8" s="5" t="s">
        <v>13</v>
      </c>
      <c r="M8" s="5" t="s">
        <v>13</v>
      </c>
      <c r="N8" s="5" t="s">
        <v>13</v>
      </c>
      <c r="O8" s="5" t="s">
        <v>13</v>
      </c>
      <c r="P8" s="5" t="s">
        <v>13</v>
      </c>
      <c r="Q8" s="5" t="s">
        <v>13</v>
      </c>
      <c r="R8" s="5" t="s">
        <v>13</v>
      </c>
      <c r="S8" s="5" t="s">
        <v>13</v>
      </c>
      <c r="T8" s="5" t="s">
        <v>13</v>
      </c>
      <c r="U8" s="5" t="s">
        <v>13</v>
      </c>
      <c r="V8" s="5" t="s">
        <v>13</v>
      </c>
      <c r="W8" s="5" t="s">
        <v>13</v>
      </c>
      <c r="X8" s="5" t="s">
        <v>13</v>
      </c>
      <c r="Y8" s="5" t="s">
        <v>13</v>
      </c>
      <c r="Z8" s="5" t="s">
        <v>13</v>
      </c>
      <c r="AA8" s="5" t="s">
        <v>13</v>
      </c>
      <c r="AB8" s="5" t="s">
        <v>13</v>
      </c>
      <c r="AC8" s="5" t="s">
        <v>13</v>
      </c>
      <c r="AD8" s="5" t="s">
        <v>13</v>
      </c>
      <c r="AE8" s="5" t="s">
        <v>13</v>
      </c>
      <c r="AF8" s="5" t="s">
        <v>13</v>
      </c>
      <c r="AG8" s="5" t="s">
        <v>13</v>
      </c>
      <c r="AH8" s="5" t="s">
        <v>13</v>
      </c>
      <c r="AI8" s="5" t="s">
        <v>13</v>
      </c>
      <c r="AJ8" s="5">
        <v>30</v>
      </c>
      <c r="AK8" s="5">
        <f t="shared" ref="AK8:AK14" si="0">COUNTIF(F8:AI8,"P")</f>
        <v>29</v>
      </c>
      <c r="AL8" s="5">
        <f t="shared" ref="AL8:AL14" si="1">COUNTIF(F8:AI8,"A")</f>
        <v>1</v>
      </c>
      <c r="AM8" s="5">
        <f t="shared" ref="AM8:AM14" si="2">COUNTIF(F8:AI8,"L")</f>
        <v>0</v>
      </c>
      <c r="AN8" s="6">
        <f>AK8/AJ8</f>
        <v>0.96666666666666667</v>
      </c>
    </row>
    <row r="9" spans="1:40" x14ac:dyDescent="0.35">
      <c r="A9" s="3">
        <v>2</v>
      </c>
      <c r="B9" s="4"/>
      <c r="C9" s="4"/>
      <c r="D9" s="4"/>
      <c r="E9" s="4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8"/>
    </row>
    <row r="10" spans="1:40" x14ac:dyDescent="0.35">
      <c r="A10" s="3">
        <v>3</v>
      </c>
      <c r="B10" s="4"/>
      <c r="C10" s="4"/>
      <c r="D10" s="4"/>
      <c r="E10" s="4"/>
      <c r="F10" s="7"/>
      <c r="G10" s="7" t="s">
        <v>13</v>
      </c>
      <c r="H10" s="7"/>
      <c r="I10" s="7" t="s">
        <v>13</v>
      </c>
      <c r="J10" s="7" t="s">
        <v>13</v>
      </c>
      <c r="K10" s="7" t="s">
        <v>13</v>
      </c>
      <c r="L10" s="7"/>
      <c r="M10" s="7" t="s">
        <v>13</v>
      </c>
      <c r="N10" s="7" t="s">
        <v>13</v>
      </c>
      <c r="O10" s="7"/>
      <c r="P10" s="7" t="s">
        <v>13</v>
      </c>
      <c r="Q10" s="7" t="s">
        <v>13</v>
      </c>
      <c r="R10" s="7" t="s">
        <v>13</v>
      </c>
      <c r="S10" s="7" t="s">
        <v>13</v>
      </c>
      <c r="T10" s="7" t="s">
        <v>13</v>
      </c>
      <c r="U10" s="7" t="s">
        <v>13</v>
      </c>
      <c r="V10" s="7"/>
      <c r="W10" s="7" t="s">
        <v>13</v>
      </c>
      <c r="X10" s="7" t="s">
        <v>13</v>
      </c>
      <c r="Y10" s="7" t="s">
        <v>13</v>
      </c>
      <c r="Z10" s="7" t="s">
        <v>13</v>
      </c>
      <c r="AA10" s="7" t="s">
        <v>13</v>
      </c>
      <c r="AB10" s="7" t="s">
        <v>13</v>
      </c>
      <c r="AC10" s="7"/>
      <c r="AD10" s="7" t="s">
        <v>13</v>
      </c>
      <c r="AE10" s="7" t="s">
        <v>13</v>
      </c>
      <c r="AF10" s="7" t="s">
        <v>13</v>
      </c>
      <c r="AG10" s="7" t="s">
        <v>13</v>
      </c>
      <c r="AH10" s="7"/>
      <c r="AI10" s="7" t="s">
        <v>13</v>
      </c>
      <c r="AJ10" s="7">
        <v>23</v>
      </c>
      <c r="AK10" s="7">
        <f>COUNTIF(F10:AI10,"P")</f>
        <v>23</v>
      </c>
      <c r="AL10" s="7">
        <f>COUNTIF(F10:AI10,"A")</f>
        <v>0</v>
      </c>
      <c r="AM10" s="7">
        <f>COUNTIF(F10:AI10,"L")</f>
        <v>0</v>
      </c>
      <c r="AN10" s="8">
        <f>AK10/AJ10</f>
        <v>1</v>
      </c>
    </row>
    <row r="11" spans="1:40" x14ac:dyDescent="0.35">
      <c r="A11" s="3">
        <v>4</v>
      </c>
      <c r="B11" s="4"/>
      <c r="C11" s="4"/>
      <c r="D11" s="4"/>
      <c r="E11" s="4"/>
      <c r="F11" s="7" t="s">
        <v>13</v>
      </c>
      <c r="G11" s="7" t="s">
        <v>13</v>
      </c>
      <c r="H11" s="7" t="s">
        <v>13</v>
      </c>
      <c r="I11" s="7" t="s">
        <v>15</v>
      </c>
      <c r="J11" s="7" t="s">
        <v>13</v>
      </c>
      <c r="K11" s="7" t="s">
        <v>13</v>
      </c>
      <c r="L11" s="7" t="s">
        <v>13</v>
      </c>
      <c r="M11" s="7" t="s">
        <v>13</v>
      </c>
      <c r="N11" s="7" t="s">
        <v>13</v>
      </c>
      <c r="O11" s="7" t="s">
        <v>13</v>
      </c>
      <c r="P11" s="7" t="s">
        <v>13</v>
      </c>
      <c r="Q11" s="7" t="s">
        <v>13</v>
      </c>
      <c r="R11" s="7" t="s">
        <v>13</v>
      </c>
      <c r="S11" s="7" t="s">
        <v>13</v>
      </c>
      <c r="T11" s="7" t="s">
        <v>13</v>
      </c>
      <c r="U11" s="7" t="s">
        <v>13</v>
      </c>
      <c r="V11" s="7" t="s">
        <v>13</v>
      </c>
      <c r="W11" s="7" t="s">
        <v>13</v>
      </c>
      <c r="X11" s="7" t="s">
        <v>13</v>
      </c>
      <c r="Y11" s="7" t="s">
        <v>13</v>
      </c>
      <c r="Z11" s="7" t="s">
        <v>13</v>
      </c>
      <c r="AA11" s="7" t="s">
        <v>13</v>
      </c>
      <c r="AB11" s="7" t="s">
        <v>13</v>
      </c>
      <c r="AC11" s="7" t="s">
        <v>13</v>
      </c>
      <c r="AD11" s="7" t="s">
        <v>13</v>
      </c>
      <c r="AE11" s="7" t="s">
        <v>13</v>
      </c>
      <c r="AF11" s="7" t="s">
        <v>13</v>
      </c>
      <c r="AG11" s="7" t="s">
        <v>13</v>
      </c>
      <c r="AH11" s="7" t="s">
        <v>13</v>
      </c>
      <c r="AI11" s="7" t="s">
        <v>13</v>
      </c>
      <c r="AJ11" s="7">
        <v>30</v>
      </c>
      <c r="AK11" s="7">
        <f t="shared" si="0"/>
        <v>29</v>
      </c>
      <c r="AL11" s="7">
        <f t="shared" si="1"/>
        <v>0</v>
      </c>
      <c r="AM11" s="7">
        <f t="shared" si="2"/>
        <v>0</v>
      </c>
      <c r="AN11" s="8">
        <f t="shared" ref="AN11:AN14" si="3">AK11/AJ11</f>
        <v>0.96666666666666667</v>
      </c>
    </row>
    <row r="12" spans="1:40" x14ac:dyDescent="0.35">
      <c r="A12" s="3">
        <v>5</v>
      </c>
      <c r="B12" s="4"/>
      <c r="C12" s="4"/>
      <c r="D12" s="4"/>
      <c r="E12" s="4"/>
      <c r="F12" s="7"/>
      <c r="G12" s="7" t="s">
        <v>13</v>
      </c>
      <c r="H12" s="7"/>
      <c r="I12" s="7" t="s">
        <v>13</v>
      </c>
      <c r="J12" s="7" t="s">
        <v>13</v>
      </c>
      <c r="K12" s="7" t="s">
        <v>13</v>
      </c>
      <c r="L12" s="7"/>
      <c r="M12" s="7" t="s">
        <v>13</v>
      </c>
      <c r="N12" s="7" t="s">
        <v>13</v>
      </c>
      <c r="O12" s="7"/>
      <c r="P12" s="7" t="s">
        <v>13</v>
      </c>
      <c r="Q12" s="7" t="s">
        <v>13</v>
      </c>
      <c r="R12" s="7" t="s">
        <v>13</v>
      </c>
      <c r="S12" s="7" t="s">
        <v>13</v>
      </c>
      <c r="T12" s="7" t="s">
        <v>13</v>
      </c>
      <c r="U12" s="7" t="s">
        <v>13</v>
      </c>
      <c r="V12" s="7"/>
      <c r="W12" s="7" t="s">
        <v>13</v>
      </c>
      <c r="X12" s="7" t="s">
        <v>13</v>
      </c>
      <c r="Y12" s="7" t="s">
        <v>13</v>
      </c>
      <c r="Z12" s="7" t="s">
        <v>13</v>
      </c>
      <c r="AA12" s="7" t="s">
        <v>13</v>
      </c>
      <c r="AB12" s="7" t="s">
        <v>13</v>
      </c>
      <c r="AC12" s="7"/>
      <c r="AD12" s="7" t="s">
        <v>13</v>
      </c>
      <c r="AE12" s="7" t="s">
        <v>13</v>
      </c>
      <c r="AF12" s="7" t="s">
        <v>13</v>
      </c>
      <c r="AG12" s="7" t="s">
        <v>13</v>
      </c>
      <c r="AH12" s="7"/>
      <c r="AI12" s="7" t="s">
        <v>13</v>
      </c>
      <c r="AJ12" s="7">
        <v>23</v>
      </c>
      <c r="AK12" s="7">
        <f>COUNTIF(F12:AI12,"P")</f>
        <v>23</v>
      </c>
      <c r="AL12" s="7">
        <f>COUNTIF(F12:AI12,"A")</f>
        <v>0</v>
      </c>
      <c r="AM12" s="7">
        <f>COUNTIF(F12:AI12,"L")</f>
        <v>0</v>
      </c>
      <c r="AN12" s="8">
        <f>AK12/AJ12</f>
        <v>1</v>
      </c>
    </row>
    <row r="13" spans="1:40" x14ac:dyDescent="0.35">
      <c r="A13" s="3"/>
      <c r="B13" s="4"/>
      <c r="C13" s="4"/>
      <c r="D13" s="4"/>
      <c r="E13" s="4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8"/>
    </row>
    <row r="14" spans="1:40" x14ac:dyDescent="0.35">
      <c r="A14" s="3">
        <v>6</v>
      </c>
      <c r="B14" s="4"/>
      <c r="C14" s="4"/>
      <c r="D14" s="4"/>
      <c r="E14" s="4"/>
      <c r="F14" s="7"/>
      <c r="G14" s="7" t="s">
        <v>13</v>
      </c>
      <c r="H14" s="7"/>
      <c r="I14" s="7" t="s">
        <v>13</v>
      </c>
      <c r="J14" s="7" t="s">
        <v>13</v>
      </c>
      <c r="K14" s="7" t="s">
        <v>13</v>
      </c>
      <c r="L14" s="7"/>
      <c r="M14" s="7" t="s">
        <v>13</v>
      </c>
      <c r="N14" s="7" t="s">
        <v>13</v>
      </c>
      <c r="O14" s="7"/>
      <c r="P14" s="7" t="s">
        <v>13</v>
      </c>
      <c r="Q14" s="7" t="s">
        <v>13</v>
      </c>
      <c r="R14" s="7" t="s">
        <v>13</v>
      </c>
      <c r="S14" s="7" t="s">
        <v>13</v>
      </c>
      <c r="T14" s="7" t="s">
        <v>13</v>
      </c>
      <c r="U14" s="7" t="s">
        <v>13</v>
      </c>
      <c r="V14" s="7"/>
      <c r="W14" s="7" t="s">
        <v>13</v>
      </c>
      <c r="X14" s="7" t="s">
        <v>13</v>
      </c>
      <c r="Y14" s="7" t="s">
        <v>13</v>
      </c>
      <c r="Z14" s="7" t="s">
        <v>13</v>
      </c>
      <c r="AA14" s="7" t="s">
        <v>13</v>
      </c>
      <c r="AB14" s="7" t="s">
        <v>13</v>
      </c>
      <c r="AC14" s="7"/>
      <c r="AD14" s="7" t="s">
        <v>13</v>
      </c>
      <c r="AE14" s="7" t="s">
        <v>13</v>
      </c>
      <c r="AF14" s="7" t="s">
        <v>13</v>
      </c>
      <c r="AG14" s="7" t="s">
        <v>13</v>
      </c>
      <c r="AH14" s="7"/>
      <c r="AI14" s="7" t="s">
        <v>13</v>
      </c>
      <c r="AJ14" s="7">
        <v>23</v>
      </c>
      <c r="AK14" s="7">
        <f t="shared" si="0"/>
        <v>23</v>
      </c>
      <c r="AL14" s="7">
        <f t="shared" si="1"/>
        <v>0</v>
      </c>
      <c r="AM14" s="7">
        <f t="shared" si="2"/>
        <v>0</v>
      </c>
      <c r="AN14" s="8">
        <f t="shared" si="3"/>
        <v>1</v>
      </c>
    </row>
    <row r="15" spans="1:40" x14ac:dyDescent="0.35">
      <c r="A15" s="3">
        <v>7</v>
      </c>
      <c r="B15" s="4"/>
      <c r="C15" s="4"/>
      <c r="D15" s="4"/>
      <c r="E15" s="4"/>
      <c r="F15" s="7"/>
      <c r="G15" s="7" t="s">
        <v>13</v>
      </c>
      <c r="H15" s="7"/>
      <c r="I15" s="7" t="s">
        <v>13</v>
      </c>
      <c r="J15" s="7" t="s">
        <v>13</v>
      </c>
      <c r="K15" s="7" t="s">
        <v>13</v>
      </c>
      <c r="L15" s="7"/>
      <c r="M15" s="7" t="s">
        <v>13</v>
      </c>
      <c r="N15" s="7" t="s">
        <v>13</v>
      </c>
      <c r="O15" s="7"/>
      <c r="P15" s="7" t="s">
        <v>13</v>
      </c>
      <c r="Q15" s="7" t="s">
        <v>13</v>
      </c>
      <c r="R15" s="7" t="s">
        <v>13</v>
      </c>
      <c r="S15" s="7" t="s">
        <v>13</v>
      </c>
      <c r="T15" s="7" t="s">
        <v>13</v>
      </c>
      <c r="U15" s="7" t="s">
        <v>13</v>
      </c>
      <c r="V15" s="7"/>
      <c r="W15" s="7" t="s">
        <v>13</v>
      </c>
      <c r="X15" s="7" t="s">
        <v>13</v>
      </c>
      <c r="Y15" s="7" t="s">
        <v>13</v>
      </c>
      <c r="Z15" s="7" t="s">
        <v>13</v>
      </c>
      <c r="AA15" s="7" t="s">
        <v>13</v>
      </c>
      <c r="AB15" s="7" t="s">
        <v>13</v>
      </c>
      <c r="AC15" s="7"/>
      <c r="AD15" s="7" t="s">
        <v>13</v>
      </c>
      <c r="AE15" s="7" t="s">
        <v>13</v>
      </c>
      <c r="AF15" s="7" t="s">
        <v>13</v>
      </c>
      <c r="AG15" s="7" t="s">
        <v>13</v>
      </c>
      <c r="AH15" s="7"/>
      <c r="AI15" s="7" t="s">
        <v>13</v>
      </c>
      <c r="AJ15" s="7">
        <v>23</v>
      </c>
      <c r="AK15" s="7">
        <f>COUNTIF(F15:AI15,"P")</f>
        <v>23</v>
      </c>
      <c r="AL15" s="7">
        <f>COUNTIF(F15:AI15,"A")</f>
        <v>0</v>
      </c>
      <c r="AM15" s="7">
        <f>COUNTIF(F15:AI15,"L")</f>
        <v>0</v>
      </c>
      <c r="AN15" s="8">
        <f>AK15/AJ15</f>
        <v>1</v>
      </c>
    </row>
    <row r="16" spans="1:40" x14ac:dyDescent="0.35">
      <c r="A16" s="3">
        <v>8</v>
      </c>
      <c r="B16" s="4"/>
      <c r="C16" s="4"/>
      <c r="D16" s="4"/>
      <c r="E16" s="4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</row>
    <row r="17" spans="1:40" x14ac:dyDescent="0.35">
      <c r="A17" s="1">
        <v>7</v>
      </c>
      <c r="B17" s="2"/>
      <c r="C17" s="2"/>
      <c r="D17" s="2"/>
      <c r="E17" s="2"/>
      <c r="F17" s="10"/>
      <c r="G17" s="10"/>
      <c r="H17" s="11"/>
      <c r="I17" s="11"/>
      <c r="J17" s="9"/>
      <c r="K17" s="9"/>
      <c r="L17" s="9"/>
      <c r="M17" s="9"/>
      <c r="N17" s="9"/>
      <c r="O17" s="11"/>
      <c r="P17" s="9"/>
      <c r="Q17" s="9"/>
      <c r="R17" s="9"/>
      <c r="S17" s="9"/>
      <c r="T17" s="9"/>
      <c r="U17" s="9"/>
      <c r="V17" s="11"/>
      <c r="W17" s="9"/>
      <c r="X17" s="9"/>
      <c r="Y17" s="9"/>
      <c r="Z17" s="9"/>
      <c r="AA17" s="9"/>
      <c r="AB17" s="11"/>
      <c r="AC17" s="11"/>
      <c r="AD17" s="9"/>
      <c r="AE17" s="9"/>
      <c r="AF17" s="9"/>
      <c r="AG17" s="9"/>
      <c r="AH17" s="7"/>
      <c r="AI17" s="9"/>
      <c r="AJ17" s="7"/>
      <c r="AK17" s="7"/>
      <c r="AL17" s="7"/>
      <c r="AM17" s="7"/>
      <c r="AN17" s="7"/>
    </row>
  </sheetData>
  <mergeCells count="4">
    <mergeCell ref="A3:AN3"/>
    <mergeCell ref="A4:AN4"/>
    <mergeCell ref="A5:AN5"/>
    <mergeCell ref="A6:AN6"/>
  </mergeCells>
  <dataValidations count="1">
    <dataValidation allowBlank="1" showInputMessage="1" sqref="C8:E17" xr:uid="{1C35C2C1-B96F-42D5-9E14-107AA54D92AE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May 2023</vt:lpstr>
      <vt:lpstr>June 2023</vt:lpstr>
      <vt:lpstr>July 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Aisha  Naz</dc:creator>
  <cp:lastModifiedBy>Aisha  Naz</cp:lastModifiedBy>
  <dcterms:created xsi:type="dcterms:W3CDTF">2015-06-05T18:17:20Z</dcterms:created>
  <dcterms:modified xsi:type="dcterms:W3CDTF">2024-06-02T11:44:26Z</dcterms:modified>
</cp:coreProperties>
</file>