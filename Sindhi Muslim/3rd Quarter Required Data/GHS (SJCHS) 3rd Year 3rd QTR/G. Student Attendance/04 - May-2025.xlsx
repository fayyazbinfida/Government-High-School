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19320" windowHeight="7500" firstSheet="3" activeTab="12"/>
  </bookViews>
  <sheets>
    <sheet name="Compile Sheet-November-2024" sheetId="18" r:id="rId1"/>
    <sheet name="ECE ROSE" sheetId="19" r:id="rId2"/>
    <sheet name="ECE (Daffodils)" sheetId="5" r:id="rId3"/>
    <sheet name="Class-1" sheetId="8" r:id="rId4"/>
    <sheet name="Class-2" sheetId="9" r:id="rId5"/>
    <sheet name="Class-3" sheetId="10" r:id="rId6"/>
    <sheet name="Class-4" sheetId="11" r:id="rId7"/>
    <sheet name="Class-5" sheetId="12" r:id="rId8"/>
    <sheet name="Class-6" sheetId="13" r:id="rId9"/>
    <sheet name="Class-7" sheetId="14" r:id="rId10"/>
    <sheet name="class-8" sheetId="15" r:id="rId11"/>
    <sheet name="class-9" sheetId="16" r:id="rId12"/>
    <sheet name="class-10" sheetId="17" r:id="rId13"/>
  </sheets>
  <calcPr calcId="144525"/>
</workbook>
</file>

<file path=xl/calcChain.xml><?xml version="1.0" encoding="utf-8"?>
<calcChain xmlns="http://schemas.openxmlformats.org/spreadsheetml/2006/main">
  <c r="AL31" i="19" l="1"/>
  <c r="AK31" i="19"/>
  <c r="AL30" i="19"/>
  <c r="AK30" i="19"/>
  <c r="AL29" i="19"/>
  <c r="AK29" i="19"/>
  <c r="AL28" i="19"/>
  <c r="AK28" i="19"/>
  <c r="AL27" i="19"/>
  <c r="AK27" i="19"/>
  <c r="AL26" i="19"/>
  <c r="AK26" i="19"/>
  <c r="AL25" i="19"/>
  <c r="AK25" i="19"/>
  <c r="AL24" i="19"/>
  <c r="AK24" i="19"/>
  <c r="AL23" i="19"/>
  <c r="AK23" i="19"/>
  <c r="AL22" i="19"/>
  <c r="AK22" i="19"/>
  <c r="AO21" i="19"/>
  <c r="AN21" i="19"/>
  <c r="AP21" i="19" s="1"/>
  <c r="AL21" i="19"/>
  <c r="AK21" i="19"/>
  <c r="AL20" i="19"/>
  <c r="AK20" i="19"/>
  <c r="AL19" i="19"/>
  <c r="AK19" i="19"/>
  <c r="AL18" i="19"/>
  <c r="AK18" i="19"/>
  <c r="AL17" i="19"/>
  <c r="AK17" i="19"/>
  <c r="AL16" i="19"/>
  <c r="AK16" i="19"/>
  <c r="AL15" i="19"/>
  <c r="AK15" i="19"/>
  <c r="AL14" i="19"/>
  <c r="AK14" i="19"/>
  <c r="AO13" i="19"/>
  <c r="AN13" i="19"/>
  <c r="AL13" i="19"/>
  <c r="AK13" i="19"/>
  <c r="AL12" i="19"/>
  <c r="AK12" i="19"/>
  <c r="AL11" i="19"/>
  <c r="AK11" i="19"/>
  <c r="AL10" i="19"/>
  <c r="AK10" i="19"/>
  <c r="AL9" i="19"/>
  <c r="AK9" i="19"/>
  <c r="AL8" i="19"/>
  <c r="AK8" i="19"/>
  <c r="AL7" i="19"/>
  <c r="AK7" i="19"/>
  <c r="AL6" i="19"/>
  <c r="AK6" i="19"/>
  <c r="AL5" i="19"/>
  <c r="AK5" i="19"/>
  <c r="AN4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AN14" i="19" l="1"/>
  <c r="AN15" i="19" s="1"/>
  <c r="AP13" i="19"/>
  <c r="AO14" i="19"/>
  <c r="AO15" i="19" s="1"/>
  <c r="AK27" i="15"/>
  <c r="AL27" i="15"/>
  <c r="AK29" i="13"/>
  <c r="AL29" i="13"/>
  <c r="AK27" i="10"/>
  <c r="AL27" i="10"/>
  <c r="AN22" i="19" l="1"/>
  <c r="AN23" i="19" s="1"/>
  <c r="AO22" i="19"/>
  <c r="AO23" i="19" s="1"/>
  <c r="AP14" i="19"/>
  <c r="AP15" i="19" s="1"/>
  <c r="AK38" i="16"/>
  <c r="AL38" i="16"/>
  <c r="AK39" i="16"/>
  <c r="AL39" i="16"/>
  <c r="AK51" i="14"/>
  <c r="AL51" i="14"/>
  <c r="AK50" i="14"/>
  <c r="AL50" i="14"/>
  <c r="AK49" i="14"/>
  <c r="AL49" i="14"/>
  <c r="AK27" i="14"/>
  <c r="AL27" i="14"/>
  <c r="AP22" i="19" l="1"/>
  <c r="AP23" i="19" s="1"/>
  <c r="AK55" i="13"/>
  <c r="AL55" i="13"/>
  <c r="AK54" i="13"/>
  <c r="AL54" i="13"/>
  <c r="AK53" i="13"/>
  <c r="AL53" i="13"/>
  <c r="AK52" i="13"/>
  <c r="AL52" i="13"/>
  <c r="AK58" i="5" l="1"/>
  <c r="AL58" i="5"/>
  <c r="AK25" i="12" l="1"/>
  <c r="AL25" i="12"/>
  <c r="AK24" i="12"/>
  <c r="AL24" i="12"/>
  <c r="AK23" i="12"/>
  <c r="AL23" i="12"/>
  <c r="AK56" i="11" l="1"/>
  <c r="AL56" i="11"/>
  <c r="AK55" i="11"/>
  <c r="AL55" i="11"/>
  <c r="AK54" i="11"/>
  <c r="AL54" i="11"/>
  <c r="AK30" i="11"/>
  <c r="AL30" i="11"/>
  <c r="AK51" i="10"/>
  <c r="AL51" i="10"/>
  <c r="AK50" i="10"/>
  <c r="AL50" i="10"/>
  <c r="AK63" i="8"/>
  <c r="AL63" i="8"/>
  <c r="AK29" i="8"/>
  <c r="AL29" i="8"/>
  <c r="G3" i="5" l="1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61" i="8" l="1"/>
  <c r="AL61" i="8"/>
  <c r="AK28" i="8"/>
  <c r="AL28" i="8"/>
  <c r="AN4" i="14" l="1"/>
  <c r="AN13" i="8"/>
  <c r="AP13" i="8" s="1"/>
  <c r="AO21" i="5"/>
  <c r="AN21" i="5"/>
  <c r="AN13" i="5"/>
  <c r="AP13" i="5" s="1"/>
  <c r="AO13" i="5"/>
  <c r="AO21" i="8"/>
  <c r="AN21" i="8"/>
  <c r="AO13" i="8"/>
  <c r="AN4" i="8"/>
  <c r="AN4" i="5"/>
  <c r="AL53" i="11"/>
  <c r="AK53" i="11"/>
  <c r="AL52" i="11"/>
  <c r="AK52" i="11"/>
  <c r="AL51" i="11"/>
  <c r="AK51" i="11"/>
  <c r="AL50" i="11"/>
  <c r="AK50" i="11"/>
  <c r="AL49" i="11"/>
  <c r="AK49" i="11"/>
  <c r="AL48" i="11"/>
  <c r="AK48" i="11"/>
  <c r="AL47" i="11"/>
  <c r="AK47" i="11"/>
  <c r="AL46" i="11"/>
  <c r="AK46" i="11"/>
  <c r="AL45" i="11"/>
  <c r="AK45" i="11"/>
  <c r="AL44" i="11"/>
  <c r="AK44" i="11"/>
  <c r="AL43" i="11"/>
  <c r="AK43" i="11"/>
  <c r="AL42" i="11"/>
  <c r="AK42" i="11"/>
  <c r="AL41" i="11"/>
  <c r="AK41" i="11"/>
  <c r="AL40" i="11"/>
  <c r="AK40" i="11"/>
  <c r="AL39" i="11"/>
  <c r="AK39" i="11"/>
  <c r="AL38" i="11"/>
  <c r="AK38" i="11"/>
  <c r="AL37" i="11"/>
  <c r="AK37" i="11"/>
  <c r="AL36" i="11"/>
  <c r="AK36" i="11"/>
  <c r="AL35" i="11"/>
  <c r="AK35" i="11"/>
  <c r="AL34" i="11"/>
  <c r="AK34" i="11"/>
  <c r="AL33" i="11"/>
  <c r="AK33" i="11"/>
  <c r="AL32" i="11"/>
  <c r="AK32" i="11"/>
  <c r="AL31" i="11"/>
  <c r="AK31" i="11"/>
  <c r="AL29" i="11"/>
  <c r="AK29" i="11"/>
  <c r="AL28" i="11"/>
  <c r="AK28" i="11"/>
  <c r="AL27" i="11"/>
  <c r="AK27" i="11"/>
  <c r="AL26" i="11"/>
  <c r="AK26" i="11"/>
  <c r="AL25" i="11"/>
  <c r="AK25" i="11"/>
  <c r="AL24" i="11"/>
  <c r="AK24" i="11"/>
  <c r="AL23" i="11"/>
  <c r="AK23" i="11"/>
  <c r="AL22" i="11"/>
  <c r="AK22" i="11"/>
  <c r="AL21" i="11"/>
  <c r="AK21" i="11"/>
  <c r="AO20" i="11"/>
  <c r="AN20" i="11"/>
  <c r="AL20" i="11"/>
  <c r="AK20" i="11"/>
  <c r="AL19" i="11"/>
  <c r="AK19" i="11"/>
  <c r="AL18" i="11"/>
  <c r="AK18" i="11"/>
  <c r="AL17" i="11"/>
  <c r="AK17" i="11"/>
  <c r="AL16" i="11"/>
  <c r="AK16" i="11"/>
  <c r="AL15" i="11"/>
  <c r="AK15" i="11"/>
  <c r="AL14" i="11"/>
  <c r="AK14" i="11"/>
  <c r="AL13" i="11"/>
  <c r="AK13" i="11"/>
  <c r="AO12" i="11"/>
  <c r="AN12" i="11"/>
  <c r="AL12" i="11"/>
  <c r="AK12" i="11"/>
  <c r="AL11" i="11"/>
  <c r="AK11" i="11"/>
  <c r="AL10" i="11"/>
  <c r="AK10" i="11"/>
  <c r="AL9" i="11"/>
  <c r="AK9" i="11"/>
  <c r="AL8" i="11"/>
  <c r="AK8" i="11"/>
  <c r="AL7" i="11"/>
  <c r="AK7" i="11"/>
  <c r="AL6" i="11"/>
  <c r="AK6" i="11"/>
  <c r="AL5" i="11"/>
  <c r="AK5" i="11"/>
  <c r="AN4" i="11"/>
  <c r="AO13" i="11" l="1"/>
  <c r="AO14" i="11" s="1"/>
  <c r="AN13" i="11"/>
  <c r="AN14" i="11" s="1"/>
  <c r="AP20" i="11"/>
  <c r="AP12" i="11"/>
  <c r="AP21" i="8"/>
  <c r="AP21" i="5"/>
  <c r="AO21" i="11" l="1"/>
  <c r="AO22" i="11" s="1"/>
  <c r="AN21" i="11"/>
  <c r="AN22" i="11" s="1"/>
  <c r="AP13" i="11"/>
  <c r="AP14" i="11" s="1"/>
  <c r="AP21" i="11" l="1"/>
  <c r="AP22" i="11" s="1"/>
  <c r="AL52" i="10"/>
  <c r="AK52" i="10"/>
  <c r="AL49" i="10"/>
  <c r="AK49" i="10"/>
  <c r="AL48" i="10"/>
  <c r="AK48" i="10"/>
  <c r="AL47" i="10"/>
  <c r="AK47" i="10"/>
  <c r="AL46" i="10"/>
  <c r="AK46" i="10"/>
  <c r="AL45" i="10"/>
  <c r="AK45" i="10"/>
  <c r="AL44" i="10"/>
  <c r="AK44" i="10"/>
  <c r="AL43" i="10"/>
  <c r="AK43" i="10"/>
  <c r="AL42" i="10"/>
  <c r="AK42" i="10"/>
  <c r="AL41" i="10"/>
  <c r="AK41" i="10"/>
  <c r="AL40" i="10"/>
  <c r="AK40" i="10"/>
  <c r="AL39" i="10"/>
  <c r="AK39" i="10"/>
  <c r="AL38" i="10"/>
  <c r="AK38" i="10"/>
  <c r="AL37" i="10"/>
  <c r="AK37" i="10"/>
  <c r="AL36" i="10"/>
  <c r="AK36" i="10"/>
  <c r="AL35" i="10"/>
  <c r="AK35" i="10"/>
  <c r="AL34" i="10"/>
  <c r="AK34" i="10"/>
  <c r="AL33" i="10"/>
  <c r="AK33" i="10"/>
  <c r="AL32" i="10"/>
  <c r="AK32" i="10"/>
  <c r="AL31" i="10"/>
  <c r="AK31" i="10"/>
  <c r="AL30" i="10"/>
  <c r="AK30" i="10"/>
  <c r="AL29" i="10"/>
  <c r="AK29" i="10"/>
  <c r="AL28" i="10"/>
  <c r="AK28" i="10"/>
  <c r="AL26" i="10"/>
  <c r="AK26" i="10"/>
  <c r="AL25" i="10"/>
  <c r="AK25" i="10"/>
  <c r="AL24" i="10"/>
  <c r="AK24" i="10"/>
  <c r="AL23" i="10"/>
  <c r="AK23" i="10"/>
  <c r="AL22" i="10"/>
  <c r="AK22" i="10"/>
  <c r="AO21" i="10"/>
  <c r="AN21" i="10"/>
  <c r="AL21" i="10"/>
  <c r="AK21" i="10"/>
  <c r="AL20" i="10"/>
  <c r="AK20" i="10"/>
  <c r="AL19" i="10"/>
  <c r="AK19" i="10"/>
  <c r="AL18" i="10"/>
  <c r="AK18" i="10"/>
  <c r="AL17" i="10"/>
  <c r="AK17" i="10"/>
  <c r="AL16" i="10"/>
  <c r="AK16" i="10"/>
  <c r="AL15" i="10"/>
  <c r="AK15" i="10"/>
  <c r="AL14" i="10"/>
  <c r="AK14" i="10"/>
  <c r="AO13" i="10"/>
  <c r="AN13" i="10"/>
  <c r="AL13" i="10"/>
  <c r="AK13" i="10"/>
  <c r="AL12" i="10"/>
  <c r="AK12" i="10"/>
  <c r="AL11" i="10"/>
  <c r="AK11" i="10"/>
  <c r="AL10" i="10"/>
  <c r="AK10" i="10"/>
  <c r="AL9" i="10"/>
  <c r="AK9" i="10"/>
  <c r="AL8" i="10"/>
  <c r="AK8" i="10"/>
  <c r="AL7" i="10"/>
  <c r="AK7" i="10"/>
  <c r="AL6" i="10"/>
  <c r="AK6" i="10"/>
  <c r="AL5" i="10"/>
  <c r="AK5" i="10"/>
  <c r="AN4" i="10"/>
  <c r="AP13" i="10" l="1"/>
  <c r="AN14" i="10"/>
  <c r="AN15" i="10" s="1"/>
  <c r="AP21" i="10"/>
  <c r="AO14" i="10"/>
  <c r="AO15" i="10" s="1"/>
  <c r="AN22" i="10" l="1"/>
  <c r="AN23" i="10" s="1"/>
  <c r="AO22" i="10"/>
  <c r="AO23" i="10" s="1"/>
  <c r="AP14" i="10"/>
  <c r="AP15" i="10" s="1"/>
  <c r="AP22" i="10" l="1"/>
  <c r="AP23" i="10" s="1"/>
  <c r="AL54" i="9"/>
  <c r="AK54" i="9"/>
  <c r="AL53" i="9"/>
  <c r="AK53" i="9"/>
  <c r="AL52" i="9"/>
  <c r="AK52" i="9"/>
  <c r="AL51" i="9"/>
  <c r="AK51" i="9"/>
  <c r="AL50" i="9"/>
  <c r="AK50" i="9"/>
  <c r="AL49" i="9"/>
  <c r="AK49" i="9"/>
  <c r="AL48" i="9"/>
  <c r="AK48" i="9"/>
  <c r="AL47" i="9"/>
  <c r="AK47" i="9"/>
  <c r="AL46" i="9"/>
  <c r="AK46" i="9"/>
  <c r="AL45" i="9"/>
  <c r="AK45" i="9"/>
  <c r="AL44" i="9"/>
  <c r="AK44" i="9"/>
  <c r="AL43" i="9"/>
  <c r="AK43" i="9"/>
  <c r="AL42" i="9"/>
  <c r="AK42" i="9"/>
  <c r="AL41" i="9"/>
  <c r="AK41" i="9"/>
  <c r="AL40" i="9"/>
  <c r="AK40" i="9"/>
  <c r="AL39" i="9"/>
  <c r="AK39" i="9"/>
  <c r="AL38" i="9"/>
  <c r="AK38" i="9"/>
  <c r="AL37" i="9"/>
  <c r="AK37" i="9"/>
  <c r="AL36" i="9"/>
  <c r="AK36" i="9"/>
  <c r="AL35" i="9"/>
  <c r="AK35" i="9"/>
  <c r="AL34" i="9"/>
  <c r="AK34" i="9"/>
  <c r="AL33" i="9"/>
  <c r="AK33" i="9"/>
  <c r="AL32" i="9"/>
  <c r="AK32" i="9"/>
  <c r="AL31" i="9"/>
  <c r="AK31" i="9"/>
  <c r="AL30" i="9"/>
  <c r="AK30" i="9"/>
  <c r="AL29" i="9"/>
  <c r="AK29" i="9"/>
  <c r="AL28" i="9"/>
  <c r="AK28" i="9"/>
  <c r="AL27" i="9"/>
  <c r="AK27" i="9"/>
  <c r="AL26" i="9"/>
  <c r="AK26" i="9"/>
  <c r="AL25" i="9"/>
  <c r="AK25" i="9"/>
  <c r="AL24" i="9"/>
  <c r="AK24" i="9"/>
  <c r="AL23" i="9"/>
  <c r="AK23" i="9"/>
  <c r="AL22" i="9"/>
  <c r="AK22" i="9"/>
  <c r="AL21" i="9"/>
  <c r="AK21" i="9"/>
  <c r="AO20" i="9"/>
  <c r="AN20" i="9"/>
  <c r="AL20" i="9"/>
  <c r="AK20" i="9"/>
  <c r="AL19" i="9"/>
  <c r="AK19" i="9"/>
  <c r="AL18" i="9"/>
  <c r="AK18" i="9"/>
  <c r="AL17" i="9"/>
  <c r="AK17" i="9"/>
  <c r="AL16" i="9"/>
  <c r="AK16" i="9"/>
  <c r="AL15" i="9"/>
  <c r="AK15" i="9"/>
  <c r="AL14" i="9"/>
  <c r="AK14" i="9"/>
  <c r="AL13" i="9"/>
  <c r="AK13" i="9"/>
  <c r="AO12" i="9"/>
  <c r="AN12" i="9"/>
  <c r="AL12" i="9"/>
  <c r="AK12" i="9"/>
  <c r="AL11" i="9"/>
  <c r="AK11" i="9"/>
  <c r="AL10" i="9"/>
  <c r="AK10" i="9"/>
  <c r="AL9" i="9"/>
  <c r="AK9" i="9"/>
  <c r="AL8" i="9"/>
  <c r="AK8" i="9"/>
  <c r="AL7" i="9"/>
  <c r="AK7" i="9"/>
  <c r="AL6" i="9"/>
  <c r="AK6" i="9"/>
  <c r="AL5" i="9"/>
  <c r="AK5" i="9"/>
  <c r="AN4" i="9"/>
  <c r="AP12" i="9" l="1"/>
  <c r="AP20" i="9"/>
  <c r="AO13" i="9"/>
  <c r="AO14" i="9" s="1"/>
  <c r="AN13" i="9"/>
  <c r="AN21" i="9" s="1"/>
  <c r="AO21" i="9" l="1"/>
  <c r="AN14" i="9"/>
  <c r="AP13" i="9"/>
  <c r="AP14" i="9" s="1"/>
  <c r="AP21" i="9" l="1"/>
  <c r="AL60" i="8"/>
  <c r="AK60" i="8"/>
  <c r="AL59" i="8"/>
  <c r="AK59" i="8"/>
  <c r="AL58" i="8"/>
  <c r="AK58" i="8"/>
  <c r="AL57" i="8"/>
  <c r="AK57" i="8"/>
  <c r="AL56" i="8"/>
  <c r="AK56" i="8"/>
  <c r="AL55" i="8"/>
  <c r="AK55" i="8"/>
  <c r="AL54" i="8"/>
  <c r="AK54" i="8"/>
  <c r="AL53" i="8"/>
  <c r="AK53" i="8"/>
  <c r="AL52" i="8"/>
  <c r="AK52" i="8"/>
  <c r="AL51" i="8"/>
  <c r="AK51" i="8"/>
  <c r="AL50" i="8"/>
  <c r="AK50" i="8"/>
  <c r="AL49" i="8"/>
  <c r="AK49" i="8"/>
  <c r="AL48" i="8"/>
  <c r="AK48" i="8"/>
  <c r="AL47" i="8"/>
  <c r="AK47" i="8"/>
  <c r="AL46" i="8"/>
  <c r="AK46" i="8"/>
  <c r="AL45" i="8"/>
  <c r="AK45" i="8"/>
  <c r="AL44" i="8"/>
  <c r="AK44" i="8"/>
  <c r="AL43" i="8"/>
  <c r="AK43" i="8"/>
  <c r="AL42" i="8"/>
  <c r="AK42" i="8"/>
  <c r="AL41" i="8"/>
  <c r="AK41" i="8"/>
  <c r="AL40" i="8"/>
  <c r="AK40" i="8"/>
  <c r="AL39" i="8"/>
  <c r="AK39" i="8"/>
  <c r="AL38" i="8"/>
  <c r="AK38" i="8"/>
  <c r="AL37" i="8"/>
  <c r="AK37" i="8"/>
  <c r="AL36" i="8"/>
  <c r="AK36" i="8"/>
  <c r="AL35" i="8"/>
  <c r="AK35" i="8"/>
  <c r="AL34" i="8"/>
  <c r="AK34" i="8"/>
  <c r="AL33" i="8"/>
  <c r="AK33" i="8"/>
  <c r="AL32" i="8"/>
  <c r="AK32" i="8"/>
  <c r="AL31" i="8"/>
  <c r="AK31" i="8"/>
  <c r="AL30" i="8"/>
  <c r="AK30" i="8"/>
  <c r="AL27" i="8"/>
  <c r="AK27" i="8"/>
  <c r="AL26" i="8"/>
  <c r="AK26" i="8"/>
  <c r="AL25" i="8"/>
  <c r="AL24" i="8"/>
  <c r="AK24" i="8"/>
  <c r="AL23" i="8"/>
  <c r="AK23" i="8"/>
  <c r="AL22" i="8"/>
  <c r="AK22" i="8"/>
  <c r="AL21" i="8"/>
  <c r="AK21" i="8"/>
  <c r="AL20" i="8"/>
  <c r="AK20" i="8"/>
  <c r="AL19" i="8"/>
  <c r="AK19" i="8"/>
  <c r="AL18" i="8"/>
  <c r="AK18" i="8"/>
  <c r="AL17" i="8"/>
  <c r="AK17" i="8"/>
  <c r="AL16" i="8"/>
  <c r="AK16" i="8"/>
  <c r="AL15" i="8"/>
  <c r="AK15" i="8"/>
  <c r="AL14" i="8"/>
  <c r="AK14" i="8"/>
  <c r="AL13" i="8"/>
  <c r="AK13" i="8"/>
  <c r="AL12" i="8"/>
  <c r="AK12" i="8"/>
  <c r="AL11" i="8"/>
  <c r="AK11" i="8"/>
  <c r="AL10" i="8"/>
  <c r="AK10" i="8"/>
  <c r="AL9" i="8"/>
  <c r="AK9" i="8"/>
  <c r="AL8" i="8"/>
  <c r="AK8" i="8"/>
  <c r="AL7" i="8"/>
  <c r="AK7" i="8"/>
  <c r="AL6" i="8"/>
  <c r="AK6" i="8"/>
  <c r="AL5" i="8"/>
  <c r="AK5" i="8"/>
  <c r="AN14" i="8" l="1"/>
  <c r="AN15" i="8" s="1"/>
  <c r="AO14" i="8"/>
  <c r="AO15" i="8" s="1"/>
  <c r="AL57" i="5"/>
  <c r="AK57" i="5"/>
  <c r="AL56" i="5"/>
  <c r="AK56" i="5"/>
  <c r="AL55" i="5"/>
  <c r="AK55" i="5"/>
  <c r="AL54" i="5"/>
  <c r="AK54" i="5"/>
  <c r="AL53" i="5"/>
  <c r="AK53" i="5"/>
  <c r="AL52" i="5"/>
  <c r="AK52" i="5"/>
  <c r="AL51" i="5"/>
  <c r="AK51" i="5"/>
  <c r="AL50" i="5"/>
  <c r="AK50" i="5"/>
  <c r="AL49" i="5"/>
  <c r="AK49" i="5"/>
  <c r="AL48" i="5"/>
  <c r="AK48" i="5"/>
  <c r="AL47" i="5"/>
  <c r="AK47" i="5"/>
  <c r="AL46" i="5"/>
  <c r="AK46" i="5"/>
  <c r="AL45" i="5"/>
  <c r="AK45" i="5"/>
  <c r="AL44" i="5"/>
  <c r="AK44" i="5"/>
  <c r="AL43" i="5"/>
  <c r="AK43" i="5"/>
  <c r="AL42" i="5"/>
  <c r="AK42" i="5"/>
  <c r="AL41" i="5"/>
  <c r="AK41" i="5"/>
  <c r="AL40" i="5"/>
  <c r="AK40" i="5"/>
  <c r="AL39" i="5"/>
  <c r="AK39" i="5"/>
  <c r="AL38" i="5"/>
  <c r="AK38" i="5"/>
  <c r="AL37" i="5"/>
  <c r="AK37" i="5"/>
  <c r="AL36" i="5"/>
  <c r="AK36" i="5"/>
  <c r="AL35" i="5"/>
  <c r="AK35" i="5"/>
  <c r="AL34" i="5"/>
  <c r="AK34" i="5"/>
  <c r="AL33" i="5"/>
  <c r="AK33" i="5"/>
  <c r="AL32" i="5"/>
  <c r="AK32" i="5"/>
  <c r="AL31" i="5"/>
  <c r="AK31" i="5"/>
  <c r="AL30" i="5"/>
  <c r="AK30" i="5"/>
  <c r="AL29" i="5"/>
  <c r="AK29" i="5"/>
  <c r="AL28" i="5"/>
  <c r="AK28" i="5"/>
  <c r="AL27" i="5"/>
  <c r="AK27" i="5"/>
  <c r="AL26" i="5"/>
  <c r="AK26" i="5"/>
  <c r="AL25" i="5"/>
  <c r="AK25" i="5"/>
  <c r="AL24" i="5"/>
  <c r="AK24" i="5"/>
  <c r="AL23" i="5"/>
  <c r="AK23" i="5"/>
  <c r="AL22" i="5"/>
  <c r="AK22" i="5"/>
  <c r="AL21" i="5"/>
  <c r="AK21" i="5"/>
  <c r="AL20" i="5"/>
  <c r="AK20" i="5"/>
  <c r="AL19" i="5"/>
  <c r="AK19" i="5"/>
  <c r="AL18" i="5"/>
  <c r="AK18" i="5"/>
  <c r="AL17" i="5"/>
  <c r="AK17" i="5"/>
  <c r="AL16" i="5"/>
  <c r="AK16" i="5"/>
  <c r="AL15" i="5"/>
  <c r="AK15" i="5"/>
  <c r="AL14" i="5"/>
  <c r="AK14" i="5"/>
  <c r="AL13" i="5"/>
  <c r="AK13" i="5"/>
  <c r="AL12" i="5"/>
  <c r="AK12" i="5"/>
  <c r="AL11" i="5"/>
  <c r="AK11" i="5"/>
  <c r="AL10" i="5"/>
  <c r="AK10" i="5"/>
  <c r="AL9" i="5"/>
  <c r="AK9" i="5"/>
  <c r="AL8" i="5"/>
  <c r="AK8" i="5"/>
  <c r="AL7" i="5"/>
  <c r="AK7" i="5"/>
  <c r="AL6" i="5"/>
  <c r="AK6" i="5"/>
  <c r="AL5" i="5"/>
  <c r="AK5" i="5"/>
  <c r="F3" i="5"/>
  <c r="AN22" i="8" l="1"/>
  <c r="AN23" i="8" s="1"/>
  <c r="AP14" i="8"/>
  <c r="AP15" i="8" s="1"/>
  <c r="AO22" i="8"/>
  <c r="AN14" i="5"/>
  <c r="AN15" i="5" s="1"/>
  <c r="AO14" i="5"/>
  <c r="AO22" i="5" s="1"/>
  <c r="E17" i="18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O21" i="17"/>
  <c r="AN21" i="17"/>
  <c r="AO13" i="17"/>
  <c r="AN13" i="17"/>
  <c r="AN4" i="17"/>
  <c r="AL36" i="17"/>
  <c r="AK36" i="17"/>
  <c r="AL35" i="17"/>
  <c r="AK35" i="17"/>
  <c r="AL34" i="17"/>
  <c r="AK34" i="17"/>
  <c r="AL33" i="17"/>
  <c r="AK33" i="17"/>
  <c r="AL32" i="17"/>
  <c r="AK32" i="17"/>
  <c r="AL31" i="17"/>
  <c r="AK31" i="17"/>
  <c r="AL30" i="17"/>
  <c r="AK30" i="17"/>
  <c r="AL29" i="17"/>
  <c r="AK29" i="17"/>
  <c r="AL28" i="17"/>
  <c r="AK28" i="17"/>
  <c r="AL27" i="17"/>
  <c r="AK27" i="17"/>
  <c r="AL26" i="17"/>
  <c r="AK26" i="17"/>
  <c r="AL25" i="17"/>
  <c r="AK25" i="17"/>
  <c r="AL24" i="17"/>
  <c r="AK24" i="17"/>
  <c r="AL23" i="17"/>
  <c r="AK23" i="17"/>
  <c r="AL22" i="17"/>
  <c r="AK22" i="17"/>
  <c r="AL21" i="17"/>
  <c r="AK21" i="17"/>
  <c r="AL20" i="17"/>
  <c r="AK20" i="17"/>
  <c r="AL19" i="17"/>
  <c r="AK19" i="17"/>
  <c r="AL18" i="17"/>
  <c r="AK18" i="17"/>
  <c r="AL17" i="17"/>
  <c r="AK17" i="17"/>
  <c r="AL16" i="17"/>
  <c r="AK16" i="17"/>
  <c r="AL15" i="17"/>
  <c r="AK15" i="17"/>
  <c r="AL14" i="17"/>
  <c r="AK14" i="17"/>
  <c r="AL13" i="17"/>
  <c r="AK13" i="17"/>
  <c r="AL12" i="17"/>
  <c r="AK12" i="17"/>
  <c r="AL11" i="17"/>
  <c r="AK11" i="17"/>
  <c r="AL10" i="17"/>
  <c r="AK10" i="17"/>
  <c r="AL9" i="17"/>
  <c r="AK9" i="17"/>
  <c r="AL8" i="17"/>
  <c r="AK8" i="17"/>
  <c r="AL7" i="17"/>
  <c r="AK7" i="17"/>
  <c r="AL6" i="17"/>
  <c r="AK6" i="17"/>
  <c r="AL5" i="17"/>
  <c r="AK5" i="17"/>
  <c r="AP13" i="17" l="1"/>
  <c r="AP22" i="8"/>
  <c r="AP23" i="8" s="1"/>
  <c r="AO23" i="8"/>
  <c r="AN22" i="5"/>
  <c r="AN23" i="5" s="1"/>
  <c r="AO15" i="5"/>
  <c r="AP14" i="5"/>
  <c r="AP15" i="5" s="1"/>
  <c r="AO23" i="5"/>
  <c r="AO14" i="17"/>
  <c r="AO22" i="17" s="1"/>
  <c r="AO23" i="17" s="1"/>
  <c r="AN14" i="17"/>
  <c r="AN22" i="17" s="1"/>
  <c r="AN23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P21" i="17"/>
  <c r="J16" i="18" l="1"/>
  <c r="L16" i="18" s="1"/>
  <c r="AP22" i="5"/>
  <c r="AP23" i="5" s="1"/>
  <c r="AO15" i="17"/>
  <c r="I16" i="18"/>
  <c r="AN15" i="17"/>
  <c r="AP14" i="17"/>
  <c r="AP15" i="17" s="1"/>
  <c r="AP22" i="17"/>
  <c r="AP23" i="17" s="1"/>
  <c r="H17" i="18"/>
  <c r="K16" i="18" l="1"/>
  <c r="N16" i="18" s="1"/>
  <c r="M16" i="18"/>
  <c r="O16" i="18" s="1"/>
  <c r="AO19" i="16"/>
  <c r="AN19" i="16"/>
  <c r="AO13" i="16"/>
  <c r="AN13" i="16"/>
  <c r="AN4" i="16"/>
  <c r="AL37" i="16"/>
  <c r="AK37" i="16"/>
  <c r="AL36" i="16"/>
  <c r="AK36" i="16"/>
  <c r="AL35" i="16"/>
  <c r="AK35" i="16"/>
  <c r="AL34" i="16"/>
  <c r="AK34" i="16"/>
  <c r="AL33" i="16"/>
  <c r="AK33" i="16"/>
  <c r="AL32" i="16"/>
  <c r="AK32" i="16"/>
  <c r="AL31" i="16"/>
  <c r="AK31" i="16"/>
  <c r="AL30" i="16"/>
  <c r="AK30" i="16"/>
  <c r="AL29" i="16"/>
  <c r="AK29" i="16"/>
  <c r="AL28" i="16"/>
  <c r="AK28" i="16"/>
  <c r="AL27" i="16"/>
  <c r="AK27" i="16"/>
  <c r="AL26" i="16"/>
  <c r="AK26" i="16"/>
  <c r="AL25" i="16"/>
  <c r="AK25" i="16"/>
  <c r="AL24" i="16"/>
  <c r="AK24" i="16"/>
  <c r="AL23" i="16"/>
  <c r="AK23" i="16"/>
  <c r="AL22" i="16"/>
  <c r="AK22" i="16"/>
  <c r="AL21" i="16"/>
  <c r="AK21" i="16"/>
  <c r="AL20" i="16"/>
  <c r="AK20" i="16"/>
  <c r="AL19" i="16"/>
  <c r="AK19" i="16"/>
  <c r="AL18" i="16"/>
  <c r="AK18" i="16"/>
  <c r="AL17" i="16"/>
  <c r="AK17" i="16"/>
  <c r="AL16" i="16"/>
  <c r="AK16" i="16"/>
  <c r="AL15" i="16"/>
  <c r="AK15" i="16"/>
  <c r="AL14" i="16"/>
  <c r="AK14" i="16"/>
  <c r="AL13" i="16"/>
  <c r="AK13" i="16"/>
  <c r="AL12" i="16"/>
  <c r="AK12" i="16"/>
  <c r="AL11" i="16"/>
  <c r="AK11" i="16"/>
  <c r="AL10" i="16"/>
  <c r="AK10" i="16"/>
  <c r="AL9" i="16"/>
  <c r="AK9" i="16"/>
  <c r="AL8" i="16"/>
  <c r="AK8" i="16"/>
  <c r="AL7" i="16"/>
  <c r="AK7" i="16"/>
  <c r="AL6" i="16"/>
  <c r="AK6" i="16"/>
  <c r="AL5" i="16"/>
  <c r="AK5" i="16"/>
  <c r="AP13" i="16" l="1"/>
  <c r="AN14" i="16"/>
  <c r="I15" i="18" s="1"/>
  <c r="M15" i="18" s="1"/>
  <c r="AO14" i="16"/>
  <c r="J15" i="18" s="1"/>
  <c r="L15" i="18" s="1"/>
  <c r="AP19" i="16"/>
  <c r="AN20" i="16" l="1"/>
  <c r="AO20" i="16"/>
  <c r="O15" i="18"/>
  <c r="AP14" i="16"/>
  <c r="K15" i="18"/>
  <c r="N15" i="18" s="1"/>
  <c r="AP20" i="16" l="1"/>
  <c r="AO20" i="15"/>
  <c r="AN20" i="15"/>
  <c r="AO13" i="15"/>
  <c r="AN13" i="15"/>
  <c r="AN4" i="15"/>
  <c r="AL46" i="15"/>
  <c r="AK46" i="15"/>
  <c r="AL45" i="15"/>
  <c r="AK45" i="15"/>
  <c r="AL44" i="15"/>
  <c r="AK44" i="15"/>
  <c r="AL43" i="15"/>
  <c r="AK43" i="15"/>
  <c r="AL42" i="15"/>
  <c r="AK42" i="15"/>
  <c r="AL41" i="15"/>
  <c r="AK41" i="15"/>
  <c r="AL40" i="15"/>
  <c r="AK40" i="15"/>
  <c r="AL39" i="15"/>
  <c r="AK39" i="15"/>
  <c r="AL38" i="15"/>
  <c r="AK38" i="15"/>
  <c r="AL37" i="15"/>
  <c r="AK37" i="15"/>
  <c r="AL36" i="15"/>
  <c r="AK36" i="15"/>
  <c r="AL35" i="15"/>
  <c r="AK35" i="15"/>
  <c r="AL34" i="15"/>
  <c r="AK34" i="15"/>
  <c r="AL33" i="15"/>
  <c r="AK33" i="15"/>
  <c r="AL32" i="15"/>
  <c r="AK32" i="15"/>
  <c r="AL31" i="15"/>
  <c r="AK31" i="15"/>
  <c r="AL30" i="15"/>
  <c r="AK30" i="15"/>
  <c r="AL29" i="15"/>
  <c r="AK29" i="15"/>
  <c r="AL28" i="15"/>
  <c r="AK28" i="15"/>
  <c r="AL26" i="15"/>
  <c r="AK26" i="15"/>
  <c r="AL25" i="15"/>
  <c r="AK25" i="15"/>
  <c r="AL24" i="15"/>
  <c r="AK24" i="15"/>
  <c r="AL23" i="15"/>
  <c r="AK23" i="15"/>
  <c r="AL22" i="15"/>
  <c r="AK22" i="15"/>
  <c r="AL21" i="15"/>
  <c r="AK21" i="15"/>
  <c r="AL20" i="15"/>
  <c r="AK20" i="15"/>
  <c r="AL19" i="15"/>
  <c r="AK19" i="15"/>
  <c r="AL18" i="15"/>
  <c r="AK18" i="15"/>
  <c r="AL17" i="15"/>
  <c r="AK17" i="15"/>
  <c r="AL16" i="15"/>
  <c r="AK16" i="15"/>
  <c r="AL15" i="15"/>
  <c r="AK15" i="15"/>
  <c r="AL14" i="15"/>
  <c r="AK14" i="15"/>
  <c r="AL13" i="15"/>
  <c r="AK13" i="15"/>
  <c r="AL12" i="15"/>
  <c r="AK12" i="15"/>
  <c r="AL11" i="15"/>
  <c r="AK11" i="15"/>
  <c r="AL10" i="15"/>
  <c r="AK10" i="15"/>
  <c r="AL9" i="15"/>
  <c r="AK9" i="15"/>
  <c r="AL8" i="15"/>
  <c r="AK8" i="15"/>
  <c r="AL7" i="15"/>
  <c r="AK7" i="15"/>
  <c r="AL6" i="15"/>
  <c r="AK6" i="15"/>
  <c r="AL5" i="15"/>
  <c r="AK5" i="15"/>
  <c r="AP13" i="15" l="1"/>
  <c r="AO14" i="15"/>
  <c r="AO15" i="15" s="1"/>
  <c r="AN14" i="15"/>
  <c r="AN15" i="15" s="1"/>
  <c r="AP20" i="15"/>
  <c r="I14" i="18" l="1"/>
  <c r="M14" i="18" s="1"/>
  <c r="AN21" i="15"/>
  <c r="AN22" i="15" s="1"/>
  <c r="AP14" i="15"/>
  <c r="AP15" i="15" s="1"/>
  <c r="J14" i="18"/>
  <c r="L14" i="18" s="1"/>
  <c r="AO21" i="15"/>
  <c r="AO22" i="15" s="1"/>
  <c r="O14" i="18" l="1"/>
  <c r="K14" i="18"/>
  <c r="N14" i="18" s="1"/>
  <c r="AP21" i="15"/>
  <c r="AP22" i="15" s="1"/>
  <c r="AO21" i="14"/>
  <c r="AN21" i="14"/>
  <c r="AO13" i="14"/>
  <c r="AN13" i="14"/>
  <c r="AL48" i="14"/>
  <c r="AK48" i="14"/>
  <c r="AL47" i="14"/>
  <c r="AK47" i="14"/>
  <c r="AL46" i="14"/>
  <c r="AK46" i="14"/>
  <c r="AL45" i="14"/>
  <c r="AK45" i="14"/>
  <c r="AL44" i="14"/>
  <c r="AK44" i="14"/>
  <c r="AL43" i="14"/>
  <c r="AK43" i="14"/>
  <c r="AL42" i="14"/>
  <c r="AK42" i="14"/>
  <c r="AL41" i="14"/>
  <c r="AK41" i="14"/>
  <c r="AL40" i="14"/>
  <c r="AK40" i="14"/>
  <c r="AL39" i="14"/>
  <c r="AK39" i="14"/>
  <c r="AL38" i="14"/>
  <c r="AK38" i="14"/>
  <c r="AL37" i="14"/>
  <c r="AK37" i="14"/>
  <c r="AL36" i="14"/>
  <c r="AK36" i="14"/>
  <c r="AL35" i="14"/>
  <c r="AK35" i="14"/>
  <c r="AL34" i="14"/>
  <c r="AK34" i="14"/>
  <c r="AL33" i="14"/>
  <c r="AK33" i="14"/>
  <c r="AL32" i="14"/>
  <c r="AK32" i="14"/>
  <c r="AL31" i="14"/>
  <c r="AK31" i="14"/>
  <c r="AL30" i="14"/>
  <c r="AK30" i="14"/>
  <c r="AL29" i="14"/>
  <c r="AK29" i="14"/>
  <c r="AL28" i="14"/>
  <c r="AK28" i="14"/>
  <c r="AL26" i="14"/>
  <c r="AK26" i="14"/>
  <c r="AL25" i="14"/>
  <c r="AK25" i="14"/>
  <c r="AL24" i="14"/>
  <c r="AK24" i="14"/>
  <c r="AL23" i="14"/>
  <c r="AK23" i="14"/>
  <c r="AL22" i="14"/>
  <c r="AK22" i="14"/>
  <c r="AL21" i="14"/>
  <c r="AK21" i="14"/>
  <c r="AL20" i="14"/>
  <c r="AK20" i="14"/>
  <c r="AL19" i="14"/>
  <c r="AK19" i="14"/>
  <c r="AL18" i="14"/>
  <c r="AK18" i="14"/>
  <c r="AL17" i="14"/>
  <c r="AK17" i="14"/>
  <c r="AL16" i="14"/>
  <c r="AK16" i="14"/>
  <c r="AL15" i="14"/>
  <c r="AK15" i="14"/>
  <c r="AL14" i="14"/>
  <c r="AK14" i="14"/>
  <c r="AL13" i="14"/>
  <c r="AK13" i="14"/>
  <c r="AL12" i="14"/>
  <c r="AK12" i="14"/>
  <c r="AL11" i="14"/>
  <c r="AK11" i="14"/>
  <c r="AL10" i="14"/>
  <c r="AK10" i="14"/>
  <c r="AL9" i="14"/>
  <c r="AK9" i="14"/>
  <c r="AL8" i="14"/>
  <c r="AK8" i="14"/>
  <c r="AL7" i="14"/>
  <c r="AK7" i="14"/>
  <c r="AL6" i="14"/>
  <c r="AK6" i="14"/>
  <c r="AL5" i="14"/>
  <c r="AK5" i="14"/>
  <c r="AN14" i="14" l="1"/>
  <c r="AN15" i="14" s="1"/>
  <c r="AO14" i="14"/>
  <c r="AO15" i="14" s="1"/>
  <c r="AP13" i="14"/>
  <c r="AP21" i="14"/>
  <c r="AN22" i="14" l="1"/>
  <c r="AN23" i="14" s="1"/>
  <c r="I13" i="18"/>
  <c r="AO22" i="14"/>
  <c r="AO23" i="14" s="1"/>
  <c r="J13" i="18"/>
  <c r="L13" i="18" s="1"/>
  <c r="AP14" i="14"/>
  <c r="AP15" i="14" s="1"/>
  <c r="AP22" i="14" l="1"/>
  <c r="AP23" i="14" s="1"/>
  <c r="K13" i="18"/>
  <c r="N13" i="18" s="1"/>
  <c r="M13" i="18"/>
  <c r="O13" i="18" s="1"/>
  <c r="AO21" i="13"/>
  <c r="AN21" i="13"/>
  <c r="AO13" i="13"/>
  <c r="AN13" i="13"/>
  <c r="AN4" i="13"/>
  <c r="AL51" i="13"/>
  <c r="AK51" i="13"/>
  <c r="AL50" i="13"/>
  <c r="AK50" i="13"/>
  <c r="AL49" i="13"/>
  <c r="AK49" i="13"/>
  <c r="AL48" i="13"/>
  <c r="AK48" i="13"/>
  <c r="AL47" i="13"/>
  <c r="AK47" i="13"/>
  <c r="AL46" i="13"/>
  <c r="AK46" i="13"/>
  <c r="AL45" i="13"/>
  <c r="AK45" i="13"/>
  <c r="AL44" i="13"/>
  <c r="AK44" i="13"/>
  <c r="AL43" i="13"/>
  <c r="AK43" i="13"/>
  <c r="AL42" i="13"/>
  <c r="AK42" i="13"/>
  <c r="AL41" i="13"/>
  <c r="AK41" i="13"/>
  <c r="AL40" i="13"/>
  <c r="AK40" i="13"/>
  <c r="AL39" i="13"/>
  <c r="AK39" i="13"/>
  <c r="AL38" i="13"/>
  <c r="AK38" i="13"/>
  <c r="AL37" i="13"/>
  <c r="AK37" i="13"/>
  <c r="AL36" i="13"/>
  <c r="AK36" i="13"/>
  <c r="AL35" i="13"/>
  <c r="AK35" i="13"/>
  <c r="AL34" i="13"/>
  <c r="AK34" i="13"/>
  <c r="AL33" i="13"/>
  <c r="AK33" i="13"/>
  <c r="AL32" i="13"/>
  <c r="AK32" i="13"/>
  <c r="AL31" i="13"/>
  <c r="AK31" i="13"/>
  <c r="AL30" i="13"/>
  <c r="AK30" i="13"/>
  <c r="AL28" i="13"/>
  <c r="AK28" i="13"/>
  <c r="AL27" i="13"/>
  <c r="AK27" i="13"/>
  <c r="AL26" i="13"/>
  <c r="AK26" i="13"/>
  <c r="AL25" i="13"/>
  <c r="AK25" i="13"/>
  <c r="AL24" i="13"/>
  <c r="AK24" i="13"/>
  <c r="AL23" i="13"/>
  <c r="AK23" i="13"/>
  <c r="AL22" i="13"/>
  <c r="AK22" i="13"/>
  <c r="AL21" i="13"/>
  <c r="AK21" i="13"/>
  <c r="AL20" i="13"/>
  <c r="AK20" i="13"/>
  <c r="AL19" i="13"/>
  <c r="AK19" i="13"/>
  <c r="AL18" i="13"/>
  <c r="AK18" i="13"/>
  <c r="AL17" i="13"/>
  <c r="AK17" i="13"/>
  <c r="AL16" i="13"/>
  <c r="AK16" i="13"/>
  <c r="AL15" i="13"/>
  <c r="AK15" i="13"/>
  <c r="AL14" i="13"/>
  <c r="AK14" i="13"/>
  <c r="AL13" i="13"/>
  <c r="AK13" i="13"/>
  <c r="AL12" i="13"/>
  <c r="AK12" i="13"/>
  <c r="AL11" i="13"/>
  <c r="AK11" i="13"/>
  <c r="AL10" i="13"/>
  <c r="AK10" i="13"/>
  <c r="AL9" i="13"/>
  <c r="AK9" i="13"/>
  <c r="AL8" i="13"/>
  <c r="AK8" i="13"/>
  <c r="AL7" i="13"/>
  <c r="AK7" i="13"/>
  <c r="AL6" i="13"/>
  <c r="AK6" i="13"/>
  <c r="AL5" i="13"/>
  <c r="AK5" i="13"/>
  <c r="AP13" i="13" l="1"/>
  <c r="AO14" i="13"/>
  <c r="J12" i="18" s="1"/>
  <c r="L12" i="18" s="1"/>
  <c r="AN14" i="13"/>
  <c r="I12" i="18" s="1"/>
  <c r="AP21" i="13"/>
  <c r="AO15" i="13" l="1"/>
  <c r="AP14" i="13"/>
  <c r="AP15" i="13" s="1"/>
  <c r="AN15" i="13"/>
  <c r="AN22" i="13"/>
  <c r="AN23" i="13" s="1"/>
  <c r="AO22" i="13"/>
  <c r="AO23" i="13" s="1"/>
  <c r="M12" i="18"/>
  <c r="O12" i="18" s="1"/>
  <c r="K12" i="18"/>
  <c r="N12" i="18" s="1"/>
  <c r="AP22" i="13" l="1"/>
  <c r="AP23" i="13" s="1"/>
  <c r="AO21" i="12"/>
  <c r="AN21" i="12"/>
  <c r="AO13" i="12"/>
  <c r="AN13" i="12"/>
  <c r="AN4" i="12"/>
  <c r="AL51" i="12"/>
  <c r="AK51" i="12"/>
  <c r="AL50" i="12"/>
  <c r="AK50" i="12"/>
  <c r="AL49" i="12"/>
  <c r="AK49" i="12"/>
  <c r="AL48" i="12"/>
  <c r="AK48" i="12"/>
  <c r="AL47" i="12"/>
  <c r="AK47" i="12"/>
  <c r="AL46" i="12"/>
  <c r="AK46" i="12"/>
  <c r="AL45" i="12"/>
  <c r="AK45" i="12"/>
  <c r="AL44" i="12"/>
  <c r="AK44" i="12"/>
  <c r="AL43" i="12"/>
  <c r="AK43" i="12"/>
  <c r="AL42" i="12"/>
  <c r="AK42" i="12"/>
  <c r="AL41" i="12"/>
  <c r="AK41" i="12"/>
  <c r="AL40" i="12"/>
  <c r="AK40" i="12"/>
  <c r="AL39" i="12"/>
  <c r="AK39" i="12"/>
  <c r="AL38" i="12"/>
  <c r="AK38" i="12"/>
  <c r="AL37" i="12"/>
  <c r="AK37" i="12"/>
  <c r="AL36" i="12"/>
  <c r="AK36" i="12"/>
  <c r="AL35" i="12"/>
  <c r="AK35" i="12"/>
  <c r="AL34" i="12"/>
  <c r="AK34" i="12"/>
  <c r="AL33" i="12"/>
  <c r="AK33" i="12"/>
  <c r="AL32" i="12"/>
  <c r="AK32" i="12"/>
  <c r="AL31" i="12"/>
  <c r="AK31" i="12"/>
  <c r="AL30" i="12"/>
  <c r="AK30" i="12"/>
  <c r="AL29" i="12"/>
  <c r="AK29" i="12"/>
  <c r="AL28" i="12"/>
  <c r="AL27" i="12"/>
  <c r="AK27" i="12"/>
  <c r="AL26" i="12"/>
  <c r="AK26" i="12"/>
  <c r="AL22" i="12"/>
  <c r="AK22" i="12"/>
  <c r="AL21" i="12"/>
  <c r="AK21" i="12"/>
  <c r="AL20" i="12"/>
  <c r="AK20" i="12"/>
  <c r="AL19" i="12"/>
  <c r="AK19" i="12"/>
  <c r="AL18" i="12"/>
  <c r="AK18" i="12"/>
  <c r="AL17" i="12"/>
  <c r="AK17" i="12"/>
  <c r="AL16" i="12"/>
  <c r="AK16" i="12"/>
  <c r="AL15" i="12"/>
  <c r="AK15" i="12"/>
  <c r="AL14" i="12"/>
  <c r="AK14" i="12"/>
  <c r="AL13" i="12"/>
  <c r="AK13" i="12"/>
  <c r="AL12" i="12"/>
  <c r="AK12" i="12"/>
  <c r="AL11" i="12"/>
  <c r="AK11" i="12"/>
  <c r="AL10" i="12"/>
  <c r="AK10" i="12"/>
  <c r="AL9" i="12"/>
  <c r="AK9" i="12"/>
  <c r="AL8" i="12"/>
  <c r="AK8" i="12"/>
  <c r="AL7" i="12"/>
  <c r="AK7" i="12"/>
  <c r="AL6" i="12"/>
  <c r="AK6" i="12"/>
  <c r="AL5" i="12"/>
  <c r="AK5" i="12"/>
  <c r="AN14" i="12" l="1"/>
  <c r="AN15" i="12" s="1"/>
  <c r="AO14" i="12"/>
  <c r="AO15" i="12" s="1"/>
  <c r="AP13" i="12"/>
  <c r="AP21" i="12"/>
  <c r="AN22" i="12" l="1"/>
  <c r="AN26" i="12" s="1"/>
  <c r="AO22" i="12"/>
  <c r="AO26" i="12" s="1"/>
  <c r="AP14" i="12"/>
  <c r="AP15" i="12" s="1"/>
  <c r="J11" i="18"/>
  <c r="L11" i="18" s="1"/>
  <c r="I11" i="18"/>
  <c r="M11" i="18" s="1"/>
  <c r="O11" i="18" l="1"/>
  <c r="AP22" i="12"/>
  <c r="AP26" i="12" s="1"/>
  <c r="K11" i="18"/>
  <c r="N11" i="18" s="1"/>
  <c r="I10" i="18"/>
  <c r="J10" i="18"/>
  <c r="L10" i="18" s="1"/>
  <c r="K10" i="18" l="1"/>
  <c r="N10" i="18" s="1"/>
  <c r="M10" i="18"/>
  <c r="O10" i="18" s="1"/>
  <c r="I9" i="18" l="1"/>
  <c r="J9" i="18"/>
  <c r="L9" i="18" s="1"/>
  <c r="K9" i="18" l="1"/>
  <c r="N9" i="18" s="1"/>
  <c r="M9" i="18"/>
  <c r="O9" i="18" s="1"/>
  <c r="I8" i="18" l="1"/>
  <c r="J8" i="18"/>
  <c r="L8" i="18" s="1"/>
  <c r="M8" i="18" l="1"/>
  <c r="O8" i="18" s="1"/>
  <c r="K8" i="18"/>
  <c r="N8" i="18" s="1"/>
  <c r="J7" i="18" l="1"/>
  <c r="L7" i="18" s="1"/>
  <c r="I7" i="18"/>
  <c r="M7" i="18" l="1"/>
  <c r="O7" i="18" s="1"/>
  <c r="K7" i="18"/>
  <c r="N7" i="18" s="1"/>
  <c r="I6" i="18" l="1"/>
  <c r="I17" i="18" l="1"/>
  <c r="M6" i="18"/>
  <c r="J6" i="18"/>
  <c r="K6" i="18" s="1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<sst xmlns="http://schemas.openxmlformats.org/spreadsheetml/2006/main" count="13406" uniqueCount="903">
  <si>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</si>
  <si>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</si>
  <si>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</si>
  <si>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</si>
  <si>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</si>
  <si>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</si>
  <si>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</si>
  <si>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</si>
  <si>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</si>
  <si>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</si>
  <si>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</si>
  <si>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</si>
  <si>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</si>
  <si>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</si>
  <si>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</si>
  <si>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</si>
  <si>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</si>
  <si>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</si>
  <si>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</si>
  <si>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</si>
  <si>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</si>
  <si>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</si>
  <si>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</si>
  <si>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</si>
  <si>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</si>
  <si>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</si>
  <si>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</si>
  <si>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</si>
  <si>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</si>
  <si>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</si>
  <si>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</si>
  <si>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</si>
  <si>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</si>
  <si>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</si>
  <si>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</si>
  <si>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</si>
  <si>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</si>
  <si>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</si>
  <si>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</si>
  <si>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</si>
  <si>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</si>
  <si>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</si>
  <si>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</si>
  <si>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</si>
  <si>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</si>
  <si>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</si>
  <si>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</si>
  <si>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</si>
  <si>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</si>
  <si>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</si>
  <si>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</si>
  <si>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</si>
  <si>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</si>
  <si>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</si>
  <si>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</si>
  <si>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</si>
  <si>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</si>
  <si>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</si>
  <si>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</si>
  <si>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</si>
  <si>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</si>
  <si>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</si>
  <si>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</si>
  <si>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</si>
  <si>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</si>
  <si>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</si>
  <si>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</si>
  <si>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</si>
  <si>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</si>
  <si>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</si>
  <si>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</si>
  <si>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</si>
  <si>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</si>
  <si>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</si>
  <si>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</si>
  <si>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</si>
  <si>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</si>
  <si>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</si>
  <si>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</si>
  <si>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</si>
  <si>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</si>
  <si>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</si>
  <si>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</si>
  <si>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</si>
  <si>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</si>
  <si>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</si>
  <si>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</si>
  <si>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</si>
  <si>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</si>
  <si>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</si>
  <si>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</si>
  <si>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</si>
  <si>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</si>
  <si>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</si>
  <si>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</si>
  <si>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</si>
  <si>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</si>
  <si>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</si>
  <si>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</si>
  <si>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</si>
  <si>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</si>
  <si>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</si>
  <si>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</si>
  <si>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</si>
  <si>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</si>
  <si>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</si>
  <si>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</si>
  <si>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Faisal</t>
  </si>
  <si>
    <t>Saifullah</t>
  </si>
  <si>
    <t>Farooq Ali</t>
  </si>
  <si>
    <t>Ali Usman</t>
  </si>
  <si>
    <t>Abdullah</t>
  </si>
  <si>
    <t>Jameel Hussain</t>
  </si>
  <si>
    <t>Israr</t>
  </si>
  <si>
    <t>Zulfiqar Ali</t>
  </si>
  <si>
    <t>Zakria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</si>
  <si>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</si>
  <si>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</si>
  <si>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</si>
  <si>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</si>
  <si>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</si>
  <si>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</si>
  <si>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</si>
  <si>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</si>
  <si>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</si>
  <si>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</si>
  <si>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</si>
  <si>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</si>
  <si>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</si>
  <si>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</si>
  <si>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</si>
  <si>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</si>
  <si>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</si>
  <si>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</si>
  <si>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</si>
  <si>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</si>
  <si>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</si>
  <si>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</si>
  <si>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</si>
  <si>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</si>
  <si>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</si>
  <si>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</si>
  <si>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</si>
  <si>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</si>
  <si>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</si>
  <si>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</si>
  <si>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</si>
  <si>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</si>
  <si>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</si>
  <si>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</si>
  <si>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</si>
  <si>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</si>
  <si>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</si>
  <si>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</si>
  <si>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</si>
  <si>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</si>
  <si>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</si>
  <si>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</si>
  <si>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</si>
  <si>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</si>
  <si>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</si>
  <si>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</si>
  <si>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</si>
  <si>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</si>
  <si>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</si>
  <si>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</si>
  <si>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</si>
  <si>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</si>
  <si>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</si>
  <si>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</si>
  <si>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</si>
  <si>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</si>
  <si>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</si>
  <si>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</si>
  <si>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</si>
  <si>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</si>
  <si>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</si>
  <si>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</si>
  <si>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</si>
  <si>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</si>
  <si>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</si>
  <si>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</si>
  <si>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</si>
  <si>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</si>
  <si>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</si>
  <si>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</si>
  <si>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</si>
  <si>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</si>
  <si>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</si>
  <si>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</si>
  <si>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</si>
  <si>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</si>
  <si>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</si>
  <si>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</si>
  <si>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</si>
  <si>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</si>
  <si>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</si>
  <si>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</si>
  <si>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</si>
  <si>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</si>
  <si>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</si>
  <si>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</si>
  <si>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</si>
  <si>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</si>
  <si>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</si>
  <si>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</si>
  <si>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</si>
  <si>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</si>
  <si>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</si>
  <si>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</si>
  <si>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</si>
  <si>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</si>
  <si>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</si>
  <si>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</si>
  <si>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</si>
  <si>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</si>
  <si>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</si>
  <si>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</si>
  <si>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</si>
  <si>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</si>
  <si>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</si>
  <si>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</si>
  <si>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</si>
  <si>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</si>
  <si>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</si>
  <si>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</si>
  <si>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</si>
  <si>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</si>
  <si>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</si>
  <si>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</si>
  <si>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</si>
  <si>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</si>
  <si>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</si>
  <si>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</si>
  <si>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</si>
  <si>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</si>
  <si>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</si>
  <si>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</si>
  <si>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</si>
  <si>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</si>
  <si>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</si>
  <si>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</si>
  <si>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</si>
  <si>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</si>
  <si>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</si>
  <si>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</si>
  <si>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</si>
  <si>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</si>
  <si>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</si>
  <si>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</si>
  <si>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</si>
  <si>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</si>
  <si>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Haram</t>
  </si>
  <si>
    <t>Moien Khan</t>
  </si>
  <si>
    <t>Ayesha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</si>
  <si>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</si>
  <si>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</si>
  <si>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</si>
  <si>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</si>
  <si>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</si>
  <si>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</si>
  <si>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</si>
  <si>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</si>
  <si>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</si>
  <si>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Qadir</t>
  </si>
  <si>
    <t>A. Hammad</t>
  </si>
  <si>
    <t>Akbar Ali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</si>
  <si>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</si>
  <si>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</si>
  <si>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</si>
  <si>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</si>
  <si>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</si>
  <si>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</si>
  <si>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</si>
  <si>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</si>
  <si>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</si>
  <si>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</si>
  <si>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</si>
  <si>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</si>
  <si>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</si>
  <si>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</si>
  <si>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</si>
  <si>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</si>
  <si>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</si>
  <si>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</si>
  <si>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</si>
  <si>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</si>
  <si>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</si>
  <si>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</si>
  <si>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</si>
  <si>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</si>
  <si>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</si>
  <si>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</si>
  <si>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</si>
  <si>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</si>
  <si>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</si>
  <si>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</si>
  <si>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</si>
  <si>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</si>
  <si>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</si>
  <si>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</si>
  <si>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</si>
  <si>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</si>
  <si>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Goverment High School (SJCHS)</t>
  </si>
  <si>
    <t>Abiha Zehra</t>
  </si>
  <si>
    <t>Ab. Mateen</t>
  </si>
  <si>
    <t>Two</t>
  </si>
  <si>
    <t>Aleena Zia</t>
  </si>
  <si>
    <t>Khuda Baksh</t>
  </si>
  <si>
    <t>Anumta Jamali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</si>
  <si>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</si>
  <si>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</si>
  <si>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</si>
  <si>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</si>
  <si>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</si>
  <si>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</si>
  <si>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</si>
  <si>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</si>
  <si>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</si>
  <si>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</si>
  <si>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</si>
  <si>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</si>
  <si>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</si>
  <si>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</si>
  <si>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</si>
  <si>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</si>
  <si>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</si>
  <si>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</si>
  <si>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</si>
  <si>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</si>
  <si>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Taskeen</t>
  </si>
  <si>
    <t>Abdul Wahab</t>
  </si>
  <si>
    <t>Riazuddin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</si>
  <si>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</si>
  <si>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</si>
  <si>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</si>
  <si>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</si>
  <si>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</si>
  <si>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</si>
  <si>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</si>
  <si>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</si>
  <si>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</si>
  <si>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</si>
  <si>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</si>
  <si>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</si>
  <si>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</si>
  <si>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</si>
  <si>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</si>
  <si>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</si>
  <si>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</si>
  <si>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</si>
  <si>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</si>
  <si>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</si>
  <si>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</si>
  <si>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</si>
  <si>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</si>
  <si>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</si>
  <si>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</si>
  <si>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</si>
  <si>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</si>
  <si>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</si>
  <si>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</si>
  <si>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</si>
  <si>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</si>
  <si>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</si>
  <si>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</si>
  <si>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</si>
  <si>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</si>
  <si>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</si>
  <si>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</si>
  <si>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</si>
  <si>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</si>
  <si>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</si>
  <si>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</si>
  <si>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</si>
  <si>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</si>
  <si>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</si>
  <si>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</si>
  <si>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</si>
  <si>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</si>
  <si>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</si>
  <si>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</si>
  <si>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</si>
  <si>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</si>
  <si>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</si>
  <si>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</si>
  <si>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</si>
  <si>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</si>
  <si>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</si>
  <si>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</si>
  <si>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</si>
  <si>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</si>
  <si>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</si>
  <si>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</si>
  <si>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</si>
  <si>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</si>
  <si>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</si>
  <si>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</si>
  <si>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</si>
  <si>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</si>
  <si>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</si>
  <si>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</si>
  <si>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</si>
  <si>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</si>
  <si>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</si>
  <si>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</si>
  <si>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</si>
  <si>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</si>
  <si>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</si>
  <si>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</si>
  <si>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</si>
  <si>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</si>
  <si>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</si>
  <si>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</si>
  <si>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</si>
  <si>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</si>
  <si>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</si>
  <si>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</si>
  <si>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</si>
  <si>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</si>
  <si>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</si>
  <si>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</si>
  <si>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</si>
  <si>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</si>
  <si>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</si>
  <si>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Atteeque ur Rehman</t>
  </si>
  <si>
    <t>Raffique Ahmed</t>
  </si>
  <si>
    <t>Muhammad Essa</t>
  </si>
  <si>
    <t>Aqeel Ahmed</t>
  </si>
  <si>
    <t>Najeebullah</t>
  </si>
  <si>
    <t>Four</t>
  </si>
  <si>
    <t>M. Shafique</t>
  </si>
  <si>
    <t>Dost M.</t>
  </si>
  <si>
    <t>M. Usman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</si>
  <si>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</si>
  <si>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</si>
  <si>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</si>
  <si>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</si>
  <si>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</si>
  <si>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</si>
  <si>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</si>
  <si>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 xml:space="preserve">Zain </t>
  </si>
  <si>
    <t>Zaheer Ahmed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</si>
  <si>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</si>
  <si>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</si>
  <si>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</si>
  <si>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</si>
  <si>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</si>
  <si>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</si>
  <si>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</si>
  <si>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</si>
  <si>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</si>
  <si>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</si>
  <si>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M. Qassam</t>
  </si>
  <si>
    <t>Imran H.</t>
  </si>
  <si>
    <t>Aliyan</t>
  </si>
  <si>
    <t>Gulraiz</t>
  </si>
  <si>
    <t>Ambreen</t>
  </si>
  <si>
    <t>Abdul Ghafoor</t>
  </si>
  <si>
    <t>Bibi Zehra</t>
  </si>
  <si>
    <t xml:space="preserve">Liaquat </t>
  </si>
  <si>
    <t>Rana</t>
  </si>
  <si>
    <t>Fatima Gul</t>
  </si>
  <si>
    <t>Shah Nazwaz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</si>
  <si>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</si>
  <si>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</si>
  <si>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</si>
  <si>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</si>
  <si>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</si>
  <si>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</si>
  <si>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</si>
  <si>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</si>
  <si>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</si>
  <si>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</si>
  <si>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</si>
  <si>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</si>
  <si>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</si>
  <si>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</si>
  <si>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</si>
  <si>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</si>
  <si>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</si>
  <si>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</si>
  <si>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</si>
  <si>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</si>
  <si>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</si>
  <si>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Nuzhat</t>
  </si>
  <si>
    <t>Rooba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</si>
  <si>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</si>
  <si>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</si>
  <si>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</si>
  <si>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</si>
  <si>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</si>
  <si>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</si>
  <si>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</si>
  <si>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</si>
  <si>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</si>
  <si>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</si>
  <si>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</si>
  <si>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</si>
  <si>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</si>
  <si>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</si>
  <si>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</si>
  <si>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</si>
  <si>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</si>
  <si>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</si>
  <si>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</si>
  <si>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</si>
  <si>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</si>
  <si>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</si>
  <si>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</si>
  <si>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</si>
  <si>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</si>
  <si>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</si>
  <si>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</si>
  <si>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</si>
  <si>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</si>
  <si>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</si>
  <si>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</si>
  <si>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</si>
  <si>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</si>
  <si>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</si>
  <si>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</si>
  <si>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</si>
  <si>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</si>
  <si>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</si>
  <si>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</si>
  <si>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</si>
  <si>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</si>
  <si>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</si>
  <si>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</si>
  <si>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</si>
  <si>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</si>
  <si>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</si>
  <si>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</si>
  <si>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</si>
  <si>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</si>
  <si>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</si>
  <si>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</si>
  <si>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</si>
  <si>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</si>
  <si>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</si>
  <si>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</si>
  <si>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</si>
  <si>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</si>
  <si>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</si>
  <si>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</si>
  <si>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</si>
  <si>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</si>
  <si>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</si>
  <si>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</si>
  <si>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</si>
  <si>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</si>
  <si>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</si>
  <si>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</si>
  <si>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</si>
  <si>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</si>
  <si>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Six</t>
  </si>
  <si>
    <t>Abdul Samad</t>
  </si>
  <si>
    <t>Abdul Wassay</t>
  </si>
  <si>
    <t>Sohail Sarwar</t>
  </si>
  <si>
    <t>Abid Ali</t>
  </si>
  <si>
    <t>Meer Majid</t>
  </si>
  <si>
    <t>Haji Iqbal</t>
  </si>
  <si>
    <t>M. Tayyab</t>
  </si>
  <si>
    <t>Uzair Ahmed</t>
  </si>
  <si>
    <t>Abdul Sattar</t>
  </si>
  <si>
    <t>Wajid Ali</t>
  </si>
  <si>
    <t>Ayan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</si>
  <si>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</si>
  <si>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</si>
  <si>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</si>
  <si>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</si>
  <si>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</si>
  <si>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</si>
  <si>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</si>
  <si>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>Noor Muqadis</t>
  </si>
  <si>
    <t>Muhammad Idrees</t>
  </si>
  <si>
    <t xml:space="preserve">Rubina 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</si>
  <si>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</si>
  <si>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</si>
  <si>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</si>
  <si>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</si>
  <si>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</si>
  <si>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</si>
  <si>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</si>
  <si>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</si>
  <si>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</si>
  <si>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>Muskan</t>
  </si>
  <si>
    <t>Zara Bano</t>
  </si>
  <si>
    <t>Nabi Bux</t>
  </si>
  <si>
    <t>Aman</t>
  </si>
  <si>
    <t>Maham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</si>
  <si>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</si>
  <si>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</si>
  <si>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</si>
  <si>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</si>
  <si>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</si>
  <si>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</si>
  <si>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</si>
  <si>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</si>
  <si>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 xml:space="preserve">Hasnain Raza </t>
  </si>
  <si>
    <t>Hasnain yasir</t>
  </si>
  <si>
    <t xml:space="preserve">Mubashir </t>
  </si>
  <si>
    <t>M. Hassan</t>
  </si>
  <si>
    <t>M. Raza</t>
  </si>
  <si>
    <t>Nisar Ali</t>
  </si>
  <si>
    <t>Safiullah Hafeez</t>
  </si>
  <si>
    <t>Asma</t>
  </si>
  <si>
    <t>Aiman Khan</t>
  </si>
  <si>
    <t>Aiman Safdar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</si>
  <si>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</si>
  <si>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</si>
  <si>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</si>
  <si>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</si>
  <si>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</si>
  <si>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</si>
  <si>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</si>
  <si>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</si>
  <si>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</si>
  <si>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</si>
  <si>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</si>
  <si>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</si>
  <si>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 xml:space="preserve">Hina </t>
  </si>
  <si>
    <t xml:space="preserve">Iqra </t>
  </si>
  <si>
    <t>Kanwal Naz</t>
  </si>
  <si>
    <t>M. Rehman Abbasi</t>
  </si>
  <si>
    <t>Murk</t>
  </si>
  <si>
    <t>Shadab Aziz</t>
  </si>
  <si>
    <t>Shaista Rani</t>
  </si>
  <si>
    <t>M. Moosa</t>
  </si>
  <si>
    <t>Tasleem Rani</t>
  </si>
  <si>
    <t xml:space="preserve">Zarmina </t>
  </si>
  <si>
    <t>Gulbahar</t>
  </si>
  <si>
    <t>Naghma Naz</t>
  </si>
  <si>
    <t xml:space="preserve">Muskan </t>
  </si>
  <si>
    <t>Saira</t>
  </si>
  <si>
    <t>M. Salah</t>
  </si>
  <si>
    <t>Abdul Salam</t>
  </si>
  <si>
    <t>Ameer Ali</t>
  </si>
  <si>
    <t>Faizan Ali</t>
  </si>
  <si>
    <t>Ghaibi Khan</t>
  </si>
  <si>
    <t>Hasnain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</si>
  <si>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</si>
  <si>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</si>
  <si>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</si>
  <si>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</si>
  <si>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</si>
  <si>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</si>
  <si>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</si>
  <si>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</si>
  <si>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</si>
  <si>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</si>
  <si>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</si>
  <si>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</si>
  <si>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</si>
  <si>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</si>
  <si>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</si>
  <si>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Salman</t>
  </si>
  <si>
    <t>Maroof Ali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</si>
  <si>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</si>
  <si>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</si>
  <si>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</si>
  <si>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</si>
  <si>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</si>
  <si>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</si>
  <si>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</si>
  <si>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</si>
  <si>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</si>
  <si>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</si>
  <si>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</si>
  <si>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</si>
  <si>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</si>
  <si>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</si>
  <si>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</si>
  <si>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</si>
  <si>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</si>
  <si>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</si>
  <si>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</si>
  <si>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</si>
  <si>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</si>
  <si>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</si>
  <si>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</si>
  <si>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</si>
  <si>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</si>
  <si>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</si>
  <si>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</si>
  <si>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</si>
  <si>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</si>
  <si>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</si>
  <si>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</si>
  <si>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</si>
  <si>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</si>
  <si>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</si>
  <si>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</si>
  <si>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Kashaf Kanwal</t>
  </si>
  <si>
    <t>Saima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</si>
  <si>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</si>
  <si>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</si>
  <si>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</si>
  <si>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</si>
  <si>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</si>
  <si>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</si>
  <si>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</si>
  <si>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</si>
  <si>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</si>
  <si>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</si>
  <si>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</si>
  <si>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</si>
  <si>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</si>
  <si>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</si>
  <si>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</si>
  <si>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</si>
  <si>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</si>
  <si>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</si>
  <si>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M.Ibrahim</t>
  </si>
  <si>
    <t>Tue</t>
  </si>
  <si>
    <t>.</t>
  </si>
  <si>
    <t xml:space="preserve">Rafia </t>
  </si>
  <si>
    <t>Iqramudin</t>
  </si>
  <si>
    <t>masoor ali</t>
  </si>
  <si>
    <t>Mustirah</t>
  </si>
  <si>
    <t xml:space="preserve">6+ </t>
  </si>
  <si>
    <t>ONE</t>
  </si>
  <si>
    <t>TWO</t>
  </si>
  <si>
    <t xml:space="preserve">  </t>
  </si>
  <si>
    <t>SIX</t>
  </si>
  <si>
    <t>Father  Name</t>
  </si>
  <si>
    <t>Nine</t>
  </si>
  <si>
    <t>Ten</t>
  </si>
  <si>
    <t>Mehrunisa</t>
  </si>
  <si>
    <t>p</t>
  </si>
  <si>
    <t>Sajid  Ali</t>
  </si>
  <si>
    <t>Monthly Attendence Month of MAY-2025</t>
  </si>
  <si>
    <t>Thu</t>
  </si>
  <si>
    <t>Fri</t>
  </si>
  <si>
    <t>Sat</t>
  </si>
  <si>
    <t>Sun</t>
  </si>
  <si>
    <t>Mon</t>
  </si>
  <si>
    <t>Wed</t>
  </si>
  <si>
    <t>Sunday      Sunday       Sunday       Sunday</t>
  </si>
  <si>
    <t>Sunday       Sunday      Sunday      Sunday</t>
  </si>
  <si>
    <t xml:space="preserve">Sunday    Sunday      Sunday      Sunday   </t>
  </si>
  <si>
    <t xml:space="preserve">  Sunday     Sunday     Sunday      Sunday</t>
  </si>
  <si>
    <t>01,MAY</t>
  </si>
  <si>
    <t>Sunday    Sunday    Sunday     sunday</t>
  </si>
  <si>
    <r>
      <rPr>
        <sz val="14"/>
        <color theme="1"/>
        <rFont val="Calibri"/>
        <family val="2"/>
        <scheme val="minor"/>
      </rPr>
      <t>SUNDAY  SUNDAY  SUNDAY  SUNDAY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</si>
  <si>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Sunday  Sunday   Sunday    Sunday</t>
    </r>
    <r>
      <rPr>
        <sz val="11"/>
        <color theme="1"/>
        <rFont val="Calibri"/>
        <family val="2"/>
        <scheme val="minor"/>
      </rPr>
      <t xml:space="preserve"> </t>
    </r>
  </si>
  <si>
    <t>Wazeer Ali</t>
  </si>
  <si>
    <t>Munwar Ali</t>
  </si>
  <si>
    <t>Taj muhammad</t>
  </si>
  <si>
    <t>Lakhmir Khan</t>
  </si>
  <si>
    <t>Tanveer  Ali</t>
  </si>
  <si>
    <t>Ahmed  ali</t>
  </si>
  <si>
    <t>BaktawarAli</t>
  </si>
  <si>
    <t>SUNDAY        SUNDAY        SUNDAY      SUNDAY   SUNDAY</t>
  </si>
  <si>
    <t xml:space="preserve">Mudassir </t>
  </si>
  <si>
    <t>M.Reheem</t>
  </si>
  <si>
    <t xml:space="preserve">Sameer GUL </t>
  </si>
  <si>
    <t xml:space="preserve">Irshad </t>
  </si>
  <si>
    <t xml:space="preserve">Sahar </t>
  </si>
  <si>
    <t>Nida</t>
  </si>
  <si>
    <t>Mukhtiar</t>
  </si>
  <si>
    <t>M.Azim</t>
  </si>
  <si>
    <t>M.Ali</t>
  </si>
  <si>
    <t>Hafiz ullah</t>
  </si>
  <si>
    <t>Haji   Mallah</t>
  </si>
  <si>
    <t>irfan</t>
  </si>
  <si>
    <t xml:space="preserve">SUNDAY       SUNDAY       SUNDAY        SUNDAY      SUNDAY   </t>
  </si>
  <si>
    <r>
      <rPr>
        <sz val="22"/>
        <color theme="1"/>
        <rFont val="Calibri"/>
        <family val="2"/>
        <scheme val="minor"/>
      </rPr>
      <t xml:space="preserve">SUNDAY       SUNDAY       SUNDAY        SUNDAY      SUNDAY </t>
    </r>
    <r>
      <rPr>
        <sz val="11"/>
        <color theme="1"/>
        <rFont val="Calibri"/>
        <family val="2"/>
        <scheme val="minor"/>
      </rPr>
      <t xml:space="preserve">  </t>
    </r>
  </si>
  <si>
    <t xml:space="preserve">SUNDAY     SUNDAY     SUNDAY       SUNDAY    SUNDAY   </t>
  </si>
  <si>
    <t xml:space="preserve">Danish </t>
  </si>
  <si>
    <t>M.sameer</t>
  </si>
  <si>
    <t>M.Muzammil</t>
  </si>
  <si>
    <t xml:space="preserve">Joun Ali </t>
  </si>
  <si>
    <t>Muzamil</t>
  </si>
  <si>
    <t>M.Anwar</t>
  </si>
  <si>
    <t>Hasnain khadim</t>
  </si>
  <si>
    <t>Ameenullah odho</t>
  </si>
  <si>
    <t>Fawad Hussain</t>
  </si>
  <si>
    <t>Seerat Fatima</t>
  </si>
  <si>
    <t>Aiman Ghaffar</t>
  </si>
  <si>
    <t>Ahmed rafeeq</t>
  </si>
  <si>
    <t>Ahmed ali</t>
  </si>
  <si>
    <t xml:space="preserve">Sunday          Sunday          Sunday           Sunday     </t>
  </si>
  <si>
    <t>M.Sarib</t>
  </si>
  <si>
    <t>Iffat</t>
  </si>
  <si>
    <t xml:space="preserve">Imtaiz Ali </t>
  </si>
  <si>
    <t>Ejaz Ali</t>
  </si>
  <si>
    <t>M.Maroof</t>
  </si>
  <si>
    <t>Nisar ali</t>
  </si>
  <si>
    <t>Ghulam Nabi</t>
  </si>
  <si>
    <t>Ali Murad</t>
  </si>
  <si>
    <t>Zulfirar Ali</t>
  </si>
  <si>
    <t xml:space="preserve">Abdullah </t>
  </si>
  <si>
    <t xml:space="preserve">M.Asif </t>
  </si>
  <si>
    <t>Hafizullah Somroo</t>
  </si>
  <si>
    <t>Sultan</t>
  </si>
  <si>
    <t>G.Sarwar</t>
  </si>
  <si>
    <t xml:space="preserve">Abid </t>
  </si>
  <si>
    <t>Safdar</t>
  </si>
  <si>
    <t>Ghulam sabir bhatti</t>
  </si>
  <si>
    <t>Faiz Bhutto</t>
  </si>
  <si>
    <t>M.Ibrahim Abro</t>
  </si>
  <si>
    <t>Hamid ali syal</t>
  </si>
  <si>
    <t>Zulfirara ALI</t>
  </si>
  <si>
    <t>M.Younas</t>
  </si>
  <si>
    <t xml:space="preserve">Didar </t>
  </si>
  <si>
    <t>M.Faroor</t>
  </si>
  <si>
    <t xml:space="preserve">SUNDAY           SUNDAY           SUNDAY          SUNDAY    </t>
  </si>
  <si>
    <t>Dua Bahar</t>
  </si>
  <si>
    <t>Muktair</t>
  </si>
  <si>
    <t>samiullah</t>
  </si>
  <si>
    <t xml:space="preserve">SUNDAY     SUNDAY       SUNDAY     SUNDAY   </t>
  </si>
  <si>
    <t>Ahram Ali</t>
  </si>
  <si>
    <t>farasha</t>
  </si>
  <si>
    <t xml:space="preserve">SUNDAY      SUNDAY       SUNDAY     SUNDAY    </t>
  </si>
  <si>
    <t xml:space="preserve">LABOUR DAY       LABOUR DAY          LABOUR DAY   </t>
  </si>
  <si>
    <t>A</t>
  </si>
  <si>
    <t>P</t>
  </si>
  <si>
    <t>L</t>
  </si>
  <si>
    <t>LABOUR DAY      LABOUR DAY         LABOUR DAY</t>
  </si>
  <si>
    <t>Minha</t>
  </si>
  <si>
    <t>Anusha</t>
  </si>
  <si>
    <t>Shahzeb</t>
  </si>
  <si>
    <t>Tameer hussain</t>
  </si>
  <si>
    <t>LABOUR DAY    LABOUR DAY     LABOUR DAY</t>
  </si>
  <si>
    <t>Umar</t>
  </si>
  <si>
    <t>Ihram khan</t>
  </si>
  <si>
    <t xml:space="preserve">LABOUR DAY     LABOUR DAY      LABOUR DAY   </t>
  </si>
  <si>
    <t>Hooriya</t>
  </si>
  <si>
    <t>Ghulam sakina</t>
  </si>
  <si>
    <t>Zoya Ahsan</t>
  </si>
  <si>
    <t xml:space="preserve">LABOUR DAY     LABOUR DAY       LABOUR DAY    </t>
  </si>
  <si>
    <t>Ali Jan</t>
  </si>
  <si>
    <t>M. Shafique somroo</t>
  </si>
  <si>
    <t>Ahsan ali</t>
  </si>
  <si>
    <t>Altaf Hussian</t>
  </si>
  <si>
    <t xml:space="preserve">Ameer Saddam </t>
  </si>
  <si>
    <t xml:space="preserve">LABOUR DAY     LABOUR DAY   LABOUR DAY </t>
  </si>
  <si>
    <t>Gulab Ali</t>
  </si>
  <si>
    <t>Ibaa-dullah</t>
  </si>
  <si>
    <t>M.Araf</t>
  </si>
  <si>
    <t>M.Aqib</t>
  </si>
  <si>
    <t>Aurangzaib</t>
  </si>
  <si>
    <t xml:space="preserve">LABOUR DAY        LABOUR DAY     LABOUR DAY   </t>
  </si>
  <si>
    <t>Sidra-tul Muntaha</t>
  </si>
  <si>
    <t>G.Murtaza</t>
  </si>
  <si>
    <t>LABOUR DAY      LABOUR DAY       LABOUR DAY</t>
  </si>
  <si>
    <t>-</t>
  </si>
  <si>
    <t>LABOUR DAY    LABOUR DAY   LABOUR DAY</t>
  </si>
  <si>
    <t>LABOUR DAY  LABOUR DAY     LABOUR DAY</t>
  </si>
  <si>
    <t>Kulsoom</t>
  </si>
  <si>
    <t>Abdul waheed</t>
  </si>
  <si>
    <t>Imtiaz Ali</t>
  </si>
  <si>
    <t>Riaz Ali</t>
  </si>
  <si>
    <t>Waris Ali</t>
  </si>
  <si>
    <t>LABOUR DAY    LABOUR DAY  LABOUR DAY</t>
  </si>
  <si>
    <t>Rayaan</t>
  </si>
  <si>
    <t>Muntasha Almas</t>
  </si>
  <si>
    <t>Yaseen</t>
  </si>
  <si>
    <t>M.Younis</t>
  </si>
  <si>
    <t>Rameez</t>
  </si>
  <si>
    <t>ECE ROSE</t>
  </si>
  <si>
    <t>Mir Ghulam Mustafa Bhutto</t>
  </si>
  <si>
    <t>Abdul Khaliq Bhutto</t>
  </si>
  <si>
    <t>Airah Alber</t>
  </si>
  <si>
    <t>Meerum</t>
  </si>
  <si>
    <t>Razaullah</t>
  </si>
  <si>
    <t>Marwa Bibi</t>
  </si>
  <si>
    <t>Naqeeb Ullah</t>
  </si>
  <si>
    <t>Muhammad Huzzaifa</t>
  </si>
  <si>
    <t>Zain Ullah</t>
  </si>
  <si>
    <t>Mustaqim Hussain</t>
  </si>
  <si>
    <t>Zafar Hussain</t>
  </si>
  <si>
    <t>Irshad</t>
  </si>
  <si>
    <t>Shafiq Shah</t>
  </si>
  <si>
    <t>Aon Ali</t>
  </si>
  <si>
    <t>Ajwa Rashid</t>
  </si>
  <si>
    <t>Rashid Hussain</t>
  </si>
  <si>
    <t>Muhammad Ramzan</t>
  </si>
  <si>
    <t>Abdul Karim</t>
  </si>
  <si>
    <t>Airah Meer</t>
  </si>
  <si>
    <t>Tanveer Ahmed Jamali</t>
  </si>
  <si>
    <t>Zeeshan Ali</t>
  </si>
  <si>
    <t>Farhan Ali</t>
  </si>
  <si>
    <t>Muhammad Qaiser</t>
  </si>
  <si>
    <t>Muhammad Qasim Mugheri</t>
  </si>
  <si>
    <t>Bibi Batool</t>
  </si>
  <si>
    <t>Syed Shahid Ali Shah</t>
  </si>
  <si>
    <t>Sajid Jamali</t>
  </si>
  <si>
    <t>Arwa Fatima</t>
  </si>
  <si>
    <t>Muhammad Bilawal</t>
  </si>
  <si>
    <t>Muhammad Siddiq</t>
  </si>
  <si>
    <t>Waseem</t>
  </si>
  <si>
    <t>Ariyan</t>
  </si>
  <si>
    <t>Inaya Fatima</t>
  </si>
  <si>
    <t>Ijaz Ahmed</t>
  </si>
  <si>
    <t>Aqib</t>
  </si>
  <si>
    <t>Zainab Haneef</t>
  </si>
  <si>
    <t>Haneef Qadir</t>
  </si>
  <si>
    <t>Muhammad Ameen</t>
  </si>
  <si>
    <t>Zara Fatima</t>
  </si>
  <si>
    <t xml:space="preserve">SUNDAY - SUNDAY - SUNDAY - SUNDAY - SUNDAY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</si>
</sst>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,mmm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6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3" xfId="0" applyFont="1" applyBorder="1"/>
    <xf numFmtId="0" fontId="10" fillId="0" borderId="9" xfId="0" applyFont="1" applyBorder="1"/>
    <xf numFmtId="0" fontId="10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0" fillId="0" borderId="5" xfId="0" applyFont="1" applyBorder="1"/>
    <xf numFmtId="0" fontId="14" fillId="0" borderId="3" xfId="0" applyFont="1" applyBorder="1"/>
    <xf numFmtId="0" fontId="15" fillId="0" borderId="3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9" fontId="15" fillId="0" borderId="5" xfId="1" applyFont="1" applyFill="1" applyBorder="1" applyAlignment="1">
      <alignment horizontal="center" vertical="center"/>
    </xf>
    <xf numFmtId="9" fontId="15" fillId="0" borderId="3" xfId="1" applyFont="1" applyFill="1" applyBorder="1" applyAlignment="1">
      <alignment horizontal="center" vertical="center"/>
    </xf>
    <xf numFmtId="9" fontId="15" fillId="0" borderId="4" xfId="1" applyFont="1" applyFill="1" applyBorder="1" applyAlignment="1">
      <alignment horizontal="center" vertical="center"/>
    </xf>
    <xf numFmtId="9" fontId="15" fillId="3" borderId="17" xfId="1" applyFont="1" applyFill="1" applyBorder="1"/>
    <xf numFmtId="9" fontId="15" fillId="0" borderId="20" xfId="1" applyFont="1" applyFill="1" applyBorder="1" applyAlignment="1">
      <alignment horizontal="center" vertical="center"/>
    </xf>
    <xf numFmtId="9" fontId="15" fillId="3" borderId="21" xfId="1" applyFont="1" applyFill="1" applyBorder="1"/>
    <xf numFmtId="0" fontId="14" fillId="0" borderId="2" xfId="0" applyFont="1" applyBorder="1"/>
    <xf numFmtId="0" fontId="15" fillId="0" borderId="2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9" fontId="15" fillId="0" borderId="28" xfId="1" applyFont="1" applyFill="1" applyBorder="1" applyAlignment="1">
      <alignment horizontal="center" vertical="center"/>
    </xf>
    <xf numFmtId="9" fontId="15" fillId="0" borderId="2" xfId="1" applyFont="1" applyFill="1" applyBorder="1" applyAlignment="1">
      <alignment horizontal="center" vertical="center"/>
    </xf>
    <xf numFmtId="9" fontId="15" fillId="0" borderId="24" xfId="1" applyFont="1" applyFill="1" applyBorder="1" applyAlignment="1">
      <alignment horizontal="center" vertical="center"/>
    </xf>
    <xf numFmtId="9" fontId="15" fillId="3" borderId="27" xfId="1" applyFont="1" applyFill="1" applyBorder="1"/>
    <xf numFmtId="0" fontId="16" fillId="0" borderId="16" xfId="0" applyFont="1" applyBorder="1" applyAlignment="1">
      <alignment horizontal="center"/>
    </xf>
    <xf numFmtId="0" fontId="14" fillId="0" borderId="12" xfId="0" applyFont="1" applyBorder="1"/>
    <xf numFmtId="0" fontId="16" fillId="0" borderId="12" xfId="0" applyFont="1" applyBorder="1" applyAlignment="1">
      <alignment horizontal="center"/>
    </xf>
    <xf numFmtId="9" fontId="15" fillId="0" borderId="12" xfId="1" applyFont="1" applyFill="1" applyBorder="1" applyAlignment="1">
      <alignment horizontal="center" vertical="center"/>
    </xf>
    <xf numFmtId="9" fontId="15" fillId="3" borderId="15" xfId="1" applyFont="1" applyFill="1" applyBorder="1"/>
    <xf numFmtId="0" fontId="17" fillId="0" borderId="19" xfId="0" applyFont="1" applyBorder="1" applyAlignment="1">
      <alignment horizontal="center"/>
    </xf>
    <xf numFmtId="9" fontId="17" fillId="0" borderId="20" xfId="1" applyFont="1" applyFill="1" applyBorder="1" applyAlignment="1">
      <alignment horizontal="center"/>
    </xf>
    <xf numFmtId="9" fontId="18" fillId="0" borderId="20" xfId="1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/>
    </xf>
    <xf numFmtId="9" fontId="18" fillId="0" borderId="22" xfId="1" applyFont="1" applyFill="1" applyBorder="1" applyAlignment="1">
      <alignment horizontal="center" vertical="center" wrapText="1"/>
    </xf>
    <xf numFmtId="9" fontId="15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8" fillId="0" borderId="19" xfId="1" applyFont="1" applyFill="1" applyBorder="1" applyAlignment="1">
      <alignment horizontal="center" vertical="center" wrapText="1"/>
    </xf>
    <xf numFmtId="9" fontId="18" fillId="0" borderId="21" xfId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4" fillId="0" borderId="6" xfId="0" applyFont="1" applyBorder="1"/>
    <xf numFmtId="0" fontId="15" fillId="0" borderId="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9" fontId="15" fillId="0" borderId="7" xfId="1" applyFont="1" applyFill="1" applyBorder="1" applyAlignment="1">
      <alignment horizontal="center" vertical="center"/>
    </xf>
    <xf numFmtId="9" fontId="15" fillId="0" borderId="6" xfId="1" applyFont="1" applyFill="1" applyBorder="1" applyAlignment="1">
      <alignment horizontal="center" vertical="center"/>
    </xf>
    <xf numFmtId="9" fontId="15" fillId="0" borderId="18" xfId="1" applyFont="1" applyFill="1" applyBorder="1" applyAlignment="1">
      <alignment horizontal="center" vertical="center"/>
    </xf>
    <xf numFmtId="9" fontId="15" fillId="3" borderId="35" xfId="1" applyFont="1" applyFill="1" applyBorder="1"/>
    <xf numFmtId="0" fontId="12" fillId="0" borderId="20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4" borderId="36" xfId="0" applyFont="1" applyFill="1" applyBorder="1" applyAlignment="1">
      <alignment horizontal="center" vertical="center" wrapText="1"/>
    </xf>
    <xf numFmtId="0" fontId="12" fillId="4" borderId="37" xfId="0" applyFont="1" applyFill="1" applyBorder="1" applyAlignment="1">
      <alignment horizontal="center" vertical="center" wrapText="1"/>
    </xf>
    <xf numFmtId="0" fontId="12" fillId="4" borderId="38" xfId="0" applyFont="1" applyFill="1" applyBorder="1" applyAlignment="1">
      <alignment horizontal="center" vertical="center" wrapText="1"/>
    </xf>
    <xf numFmtId="0" fontId="3" fillId="4" borderId="34" xfId="0" applyFont="1" applyFill="1" applyBorder="1"/>
    <xf numFmtId="0" fontId="3" fillId="4" borderId="6" xfId="0" applyFont="1" applyFill="1" applyBorder="1"/>
    <xf numFmtId="0" fontId="3" fillId="4" borderId="35" xfId="0" applyFont="1" applyFill="1" applyBorder="1"/>
    <xf numFmtId="0" fontId="3" fillId="4" borderId="23" xfId="0" applyFont="1" applyFill="1" applyBorder="1"/>
    <xf numFmtId="0" fontId="3" fillId="4" borderId="3" xfId="0" applyFont="1" applyFill="1" applyBorder="1"/>
    <xf numFmtId="0" fontId="3" fillId="4" borderId="17" xfId="0" applyFont="1" applyFill="1" applyBorder="1"/>
    <xf numFmtId="0" fontId="3" fillId="4" borderId="26" xfId="0" applyFont="1" applyFill="1" applyBorder="1"/>
    <xf numFmtId="0" fontId="3" fillId="4" borderId="2" xfId="0" applyFont="1" applyFill="1" applyBorder="1"/>
    <xf numFmtId="0" fontId="3" fillId="4" borderId="27" xfId="0" applyFont="1" applyFill="1" applyBorder="1"/>
    <xf numFmtId="0" fontId="16" fillId="4" borderId="1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2" fillId="4" borderId="29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/>
    <xf numFmtId="0" fontId="8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Font="1" applyBorder="1"/>
    <xf numFmtId="0" fontId="10" fillId="3" borderId="6" xfId="0" applyFont="1" applyFill="1" applyBorder="1"/>
    <xf numFmtId="0" fontId="0" fillId="0" borderId="6" xfId="0" applyFont="1" applyBorder="1"/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textRotation="255"/>
    </xf>
    <xf numFmtId="0" fontId="0" fillId="0" borderId="2" xfId="0" applyFont="1" applyBorder="1" applyAlignment="1">
      <alignment vertical="center" textRotation="255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vertical="center" textRotation="255"/>
    </xf>
    <xf numFmtId="0" fontId="2" fillId="0" borderId="2" xfId="0" applyFont="1" applyBorder="1" applyAlignment="1">
      <alignment horizontal="center"/>
    </xf>
    <xf numFmtId="0" fontId="3" fillId="5" borderId="3" xfId="0" applyFont="1" applyFill="1" applyBorder="1"/>
    <xf numFmtId="0" fontId="3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6" fillId="0" borderId="9" xfId="0" applyFont="1" applyBorder="1"/>
    <xf numFmtId="0" fontId="6" fillId="0" borderId="10" xfId="0" applyFont="1" applyBorder="1"/>
    <xf numFmtId="0" fontId="0" fillId="0" borderId="3" xfId="0" applyFont="1" applyBorder="1" applyAlignment="1">
      <alignment vertical="center" textRotation="255"/>
    </xf>
    <xf numFmtId="0" fontId="2" fillId="6" borderId="3" xfId="0" applyFont="1" applyFill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 textRotation="255"/>
    </xf>
    <xf numFmtId="0" fontId="0" fillId="0" borderId="3" xfId="0" applyBorder="1" applyAlignment="1">
      <alignment horizontal="center" vertical="center" textRotation="255"/>
    </xf>
    <xf numFmtId="0" fontId="2" fillId="6" borderId="9" xfId="0" applyFont="1" applyFill="1" applyBorder="1" applyAlignment="1">
      <alignment horizontal="center" vertical="center" textRotation="255"/>
    </xf>
    <xf numFmtId="0" fontId="0" fillId="0" borderId="9" xfId="0" applyBorder="1" applyAlignment="1">
      <alignment horizontal="center" vertical="center" textRotation="255"/>
    </xf>
    <xf numFmtId="0" fontId="0" fillId="0" borderId="6" xfId="0" applyBorder="1" applyAlignment="1">
      <alignment horizontal="center" vertical="center" textRotation="255"/>
    </xf>
    <xf numFmtId="0" fontId="5" fillId="0" borderId="3" xfId="0" applyFont="1" applyBorder="1"/>
    <xf numFmtId="0" fontId="5" fillId="0" borderId="3" xfId="0" applyFont="1" applyBorder="1" applyAlignment="1">
      <alignment horizontal="center" vertical="center"/>
    </xf>
    <xf numFmtId="0" fontId="0" fillId="0" borderId="3" xfId="0" applyBorder="1"/>
    <xf numFmtId="0" fontId="3" fillId="0" borderId="0" xfId="0" applyFont="1" applyBorder="1"/>
    <xf numFmtId="0" fontId="10" fillId="3" borderId="3" xfId="0" applyFont="1" applyFill="1" applyBorder="1"/>
    <xf numFmtId="0" fontId="0" fillId="3" borderId="3" xfId="0" applyFill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49" fontId="0" fillId="0" borderId="3" xfId="0" applyNumberFormat="1" applyBorder="1" applyAlignment="1">
      <alignment vertical="center" textRotation="255"/>
    </xf>
    <xf numFmtId="0" fontId="12" fillId="0" borderId="16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17" fontId="13" fillId="0" borderId="30" xfId="0" applyNumberFormat="1" applyFont="1" applyBorder="1" applyAlignment="1">
      <alignment horizontal="center"/>
    </xf>
    <xf numFmtId="17" fontId="13" fillId="0" borderId="13" xfId="0" applyNumberFormat="1" applyFont="1" applyBorder="1" applyAlignment="1">
      <alignment horizontal="center"/>
    </xf>
    <xf numFmtId="17" fontId="13" fillId="0" borderId="12" xfId="0" applyNumberFormat="1" applyFont="1" applyBorder="1" applyAlignment="1">
      <alignment horizontal="center"/>
    </xf>
    <xf numFmtId="17" fontId="13" fillId="0" borderId="14" xfId="0" applyNumberFormat="1" applyFont="1" applyBorder="1" applyAlignment="1">
      <alignment horizontal="center"/>
    </xf>
    <xf numFmtId="17" fontId="13" fillId="0" borderId="15" xfId="0" applyNumberFormat="1" applyFont="1" applyBorder="1" applyAlignment="1">
      <alignment horizontal="center"/>
    </xf>
    <xf numFmtId="17" fontId="9" fillId="2" borderId="3" xfId="0" applyNumberFormat="1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 textRotation="255"/>
    </xf>
    <xf numFmtId="0" fontId="2" fillId="6" borderId="3" xfId="0" applyFont="1" applyFill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 textRotation="255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 textRotation="255"/>
    </xf>
    <xf numFmtId="0" fontId="2" fillId="6" borderId="9" xfId="0" applyFont="1" applyFill="1" applyBorder="1" applyAlignment="1">
      <alignment horizontal="center" vertical="center" textRotation="255"/>
    </xf>
    <xf numFmtId="0" fontId="2" fillId="6" borderId="6" xfId="0" applyFont="1" applyFill="1" applyBorder="1" applyAlignment="1">
      <alignment horizontal="center" vertical="center" textRotation="255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 vertical="center" textRotation="255"/>
    </xf>
    <xf numFmtId="0" fontId="0" fillId="0" borderId="9" xfId="0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6" xfId="0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textRotation="255"/>
    </xf>
    <xf numFmtId="0" fontId="0" fillId="6" borderId="9" xfId="0" applyFill="1" applyBorder="1" applyAlignment="1">
      <alignment horizontal="center" vertical="center" textRotation="255"/>
    </xf>
    <xf numFmtId="0" fontId="0" fillId="6" borderId="6" xfId="0" applyFill="1" applyBorder="1" applyAlignment="1">
      <alignment horizontal="center" vertical="center" textRotation="255"/>
    </xf>
    <xf numFmtId="0" fontId="20" fillId="0" borderId="2" xfId="0" applyFont="1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24" fillId="6" borderId="2" xfId="0" applyFont="1" applyFill="1" applyBorder="1" applyAlignment="1">
      <alignment horizontal="center" vertical="center" textRotation="255"/>
    </xf>
    <xf numFmtId="0" fontId="20" fillId="5" borderId="9" xfId="0" applyFont="1" applyFill="1" applyBorder="1" applyAlignment="1">
      <alignment horizontal="center" vertical="center" textRotation="90"/>
    </xf>
    <xf numFmtId="0" fontId="0" fillId="5" borderId="9" xfId="0" applyFill="1" applyBorder="1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/>
    </xf>
    <xf numFmtId="0" fontId="24" fillId="6" borderId="3" xfId="0" applyFont="1" applyFill="1" applyBorder="1" applyAlignment="1">
      <alignment horizontal="center" vertical="center" textRotation="255"/>
    </xf>
    <xf numFmtId="0" fontId="0" fillId="6" borderId="3" xfId="0" applyFont="1" applyFill="1" applyBorder="1" applyAlignment="1">
      <alignment horizontal="center" vertical="center" textRotation="255"/>
    </xf>
    <xf numFmtId="0" fontId="21" fillId="0" borderId="3" xfId="0" applyFont="1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25" fillId="6" borderId="3" xfId="0" applyFont="1" applyFill="1" applyBorder="1" applyAlignment="1">
      <alignment horizontal="center" vertical="center" textRotation="255"/>
    </xf>
    <xf numFmtId="0" fontId="25" fillId="6" borderId="2" xfId="0" applyFont="1" applyFill="1" applyBorder="1" applyAlignment="1">
      <alignment horizontal="center" vertical="center" textRotation="255"/>
    </xf>
    <xf numFmtId="0" fontId="22" fillId="0" borderId="2" xfId="0" applyFont="1" applyBorder="1" applyAlignment="1">
      <alignment horizontal="center" vertical="center" textRotation="90"/>
    </xf>
  </cellXfs>
  <cellStyles count="2">
    <cellStyle name="Normal" xfId="0" builtinId="0"/>
    <cellStyle name="Percent" xfId="1" builtinId="5"/>
  </cellStyles>
  <dxfs count="38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18"/>
  <sheetViews>
    <sheetView topLeftCell="A3" workbookViewId="0">
      <selection activeCell="I11" sqref="I11"/>
    </sheetView>
  </sheetViews>
  <sheetFormatPr defaultRowHeight="14.5" x14ac:dyDescent="0.35"/>
  <cols>
    <col min="1" max="1" width="14.81640625" bestFit="1" customWidth="1"/>
  </cols>
  <sheetData>
    <row r="3" spans="1:15" ht="15" thickBot="1" x14ac:dyDescent="0.4"/>
    <row r="4" spans="1:15" ht="16" thickBot="1" x14ac:dyDescent="0.4">
      <c r="A4" s="140" t="s">
        <v>3</v>
      </c>
      <c r="B4" s="142" t="s">
        <v>712</v>
      </c>
      <c r="C4" s="143"/>
      <c r="D4" s="143"/>
      <c r="E4" s="144"/>
      <c r="F4" s="144"/>
      <c r="G4" s="144"/>
      <c r="H4" s="144"/>
      <c r="I4" s="143"/>
      <c r="J4" s="143"/>
      <c r="K4" s="143"/>
      <c r="L4" s="144"/>
      <c r="M4" s="144"/>
      <c r="N4" s="145"/>
      <c r="O4" s="146"/>
    </row>
    <row r="5" spans="1:15" ht="21.5" thickBot="1" x14ac:dyDescent="0.4">
      <c r="A5" s="141"/>
      <c r="B5" s="73" t="s">
        <v>11</v>
      </c>
      <c r="C5" s="73" t="s">
        <v>12</v>
      </c>
      <c r="D5" s="73" t="s">
        <v>13</v>
      </c>
      <c r="E5" s="74" t="s">
        <v>696</v>
      </c>
      <c r="F5" s="73" t="s">
        <v>697</v>
      </c>
      <c r="G5" s="73" t="s">
        <v>698</v>
      </c>
      <c r="H5" s="75" t="s">
        <v>699</v>
      </c>
      <c r="I5" s="76" t="s">
        <v>700</v>
      </c>
      <c r="J5" s="77" t="s">
        <v>701</v>
      </c>
      <c r="K5" s="78" t="s">
        <v>702</v>
      </c>
      <c r="L5" s="91" t="s">
        <v>703</v>
      </c>
      <c r="M5" s="92" t="s">
        <v>704</v>
      </c>
      <c r="N5" s="92" t="s">
        <v>704</v>
      </c>
      <c r="O5" s="93" t="s">
        <v>705</v>
      </c>
    </row>
    <row r="6" spans="1:15" ht="18" x14ac:dyDescent="0.4">
      <c r="A6" s="61" t="s">
        <v>706</v>
      </c>
      <c r="B6" s="65">
        <v>27</v>
      </c>
      <c r="C6" s="65">
        <v>27</v>
      </c>
      <c r="D6" s="65">
        <f>SUM(B6:C6)</f>
        <v>54</v>
      </c>
      <c r="E6" s="66">
        <v>24</v>
      </c>
      <c r="F6" s="67">
        <f>B6*E6</f>
        <v>648</v>
      </c>
      <c r="G6" s="67">
        <f t="shared" ref="G6:G16" si="0">C6*E6</f>
        <v>648</v>
      </c>
      <c r="H6" s="68">
        <f>SUM(F6:G6)</f>
        <v>1296</v>
      </c>
      <c r="I6" s="79" t="str">
        <f>'ECE (Daffodils)'!V14</f>
        <v>P</v>
      </c>
      <c r="J6" s="80">
        <f>'ECE (Daffodils)'!W14</f>
        <v>0</v>
      </c>
      <c r="K6" s="81">
        <f>SUM(I6:J6)</f>
        <v>0</v>
      </c>
      <c r="L6" s="69">
        <f>J6/G6</f>
        <v>0</v>
      </c>
      <c r="M6" s="70" t="e">
        <f>I6/F6</f>
        <v>#VALUE!</v>
      </c>
      <c r="N6" s="71">
        <f>K6/H6</f>
        <v>0</v>
      </c>
      <c r="O6" s="72" t="e">
        <f>AVERAGE(L6:M6)</f>
        <v>#VALUE!</v>
      </c>
    </row>
    <row r="7" spans="1:15" ht="18" x14ac:dyDescent="0.4">
      <c r="A7" s="61" t="s">
        <v>707</v>
      </c>
      <c r="B7" s="30">
        <v>31</v>
      </c>
      <c r="C7" s="30">
        <v>25</v>
      </c>
      <c r="D7" s="30">
        <f>SUM(B7:C7)</f>
        <v>56</v>
      </c>
      <c r="E7" s="60">
        <v>24</v>
      </c>
      <c r="F7" s="31">
        <f>B7*E7</f>
        <v>744</v>
      </c>
      <c r="G7" s="31">
        <f t="shared" si="0"/>
        <v>600</v>
      </c>
      <c r="H7" s="32">
        <f>SUM(F7:G7)</f>
        <v>1344</v>
      </c>
      <c r="I7" s="82" t="str">
        <f>'Class-1'!V14</f>
        <v>P</v>
      </c>
      <c r="J7" s="83">
        <f>'Class-1'!W14</f>
        <v>0</v>
      </c>
      <c r="K7" s="84">
        <f>SUM(I7:J7)</f>
        <v>0</v>
      </c>
      <c r="L7" s="33">
        <f>J7/G7</f>
        <v>0</v>
      </c>
      <c r="M7" s="34" t="e">
        <f>I7/F7</f>
        <v>#VALUE!</v>
      </c>
      <c r="N7" s="35">
        <f>K7/H7</f>
        <v>0</v>
      </c>
      <c r="O7" s="36" t="e">
        <f>AVERAGE(L7:M7)</f>
        <v>#VALUE!</v>
      </c>
    </row>
    <row r="8" spans="1:15" ht="18" x14ac:dyDescent="0.4">
      <c r="A8" s="62" t="s">
        <v>708</v>
      </c>
      <c r="B8" s="30">
        <v>32</v>
      </c>
      <c r="C8" s="30">
        <v>24</v>
      </c>
      <c r="D8" s="30">
        <f t="shared" ref="D8:D16" si="1">SUM(B8:C8)</f>
        <v>56</v>
      </c>
      <c r="E8" s="60">
        <v>24</v>
      </c>
      <c r="F8" s="31">
        <f t="shared" ref="F8:F16" si="2">B8*E8</f>
        <v>768</v>
      </c>
      <c r="G8" s="31">
        <f t="shared" si="0"/>
        <v>576</v>
      </c>
      <c r="H8" s="32">
        <f t="shared" ref="H8:H16" si="3">SUM(F8:G8)</f>
        <v>1344</v>
      </c>
      <c r="I8" s="82" t="str">
        <f>'Class-2'!V13</f>
        <v>P</v>
      </c>
      <c r="J8" s="83">
        <f>'Class-2'!W13</f>
        <v>0</v>
      </c>
      <c r="K8" s="84">
        <f t="shared" ref="K8:K16" si="4">SUM(I8:J8)</f>
        <v>0</v>
      </c>
      <c r="L8" s="33">
        <f t="shared" ref="L8:L16" si="5">J8/G8</f>
        <v>0</v>
      </c>
      <c r="M8" s="34" t="e">
        <f t="shared" ref="M8:M16" si="6">I8/F8</f>
        <v>#VALUE!</v>
      </c>
      <c r="N8" s="35">
        <f t="shared" ref="N8:N16" si="7">K8/H8</f>
        <v>0</v>
      </c>
      <c r="O8" s="36" t="e">
        <f t="shared" ref="O8:O16" si="8">AVERAGE(L8:M8)</f>
        <v>#VALUE!</v>
      </c>
    </row>
    <row r="9" spans="1:15" ht="18" x14ac:dyDescent="0.4">
      <c r="A9" s="63" t="s">
        <v>306</v>
      </c>
      <c r="B9" s="30">
        <v>26</v>
      </c>
      <c r="C9" s="30">
        <v>26</v>
      </c>
      <c r="D9" s="30">
        <f t="shared" si="1"/>
        <v>52</v>
      </c>
      <c r="E9" s="60">
        <v>24</v>
      </c>
      <c r="F9" s="31">
        <f t="shared" si="2"/>
        <v>624</v>
      </c>
      <c r="G9" s="31">
        <f t="shared" si="0"/>
        <v>624</v>
      </c>
      <c r="H9" s="32">
        <f t="shared" si="3"/>
        <v>1248</v>
      </c>
      <c r="I9" s="82" t="str">
        <f>'Class-3'!V14</f>
        <v>P</v>
      </c>
      <c r="J9" s="83">
        <f>'Class-3'!W14</f>
        <v>0</v>
      </c>
      <c r="K9" s="84">
        <f t="shared" si="4"/>
        <v>0</v>
      </c>
      <c r="L9" s="33">
        <f t="shared" si="5"/>
        <v>0</v>
      </c>
      <c r="M9" s="34" t="e">
        <f t="shared" si="6"/>
        <v>#VALUE!</v>
      </c>
      <c r="N9" s="35">
        <f t="shared" si="7"/>
        <v>0</v>
      </c>
      <c r="O9" s="36" t="e">
        <f t="shared" si="8"/>
        <v>#VALUE!</v>
      </c>
    </row>
    <row r="10" spans="1:15" ht="18" x14ac:dyDescent="0.4">
      <c r="A10" s="62" t="s">
        <v>361</v>
      </c>
      <c r="B10" s="30">
        <v>28</v>
      </c>
      <c r="C10" s="30">
        <v>24</v>
      </c>
      <c r="D10" s="30">
        <f t="shared" si="1"/>
        <v>52</v>
      </c>
      <c r="E10" s="31">
        <v>24</v>
      </c>
      <c r="F10" s="31">
        <f t="shared" si="2"/>
        <v>672</v>
      </c>
      <c r="G10" s="31">
        <f t="shared" si="0"/>
        <v>576</v>
      </c>
      <c r="H10" s="32">
        <f t="shared" si="3"/>
        <v>1248</v>
      </c>
      <c r="I10" s="82" t="str">
        <f>'Class-4'!V13</f>
        <v>A</v>
      </c>
      <c r="J10" s="83">
        <f>'Class-4'!W13</f>
        <v>0</v>
      </c>
      <c r="K10" s="84">
        <f>SUM(I10:J10)</f>
        <v>0</v>
      </c>
      <c r="L10" s="33">
        <f t="shared" si="5"/>
        <v>0</v>
      </c>
      <c r="M10" s="34" t="e">
        <f t="shared" si="6"/>
        <v>#VALUE!</v>
      </c>
      <c r="N10" s="35">
        <f>K10/H10</f>
        <v>0</v>
      </c>
      <c r="O10" s="36" t="e">
        <f t="shared" si="8"/>
        <v>#VALUE!</v>
      </c>
    </row>
    <row r="11" spans="1:15" ht="18" x14ac:dyDescent="0.4">
      <c r="A11" s="62" t="s">
        <v>430</v>
      </c>
      <c r="B11" s="30">
        <v>21</v>
      </c>
      <c r="C11" s="30">
        <v>32</v>
      </c>
      <c r="D11" s="30">
        <f t="shared" si="1"/>
        <v>53</v>
      </c>
      <c r="E11" s="31">
        <v>24</v>
      </c>
      <c r="F11" s="31">
        <f t="shared" si="2"/>
        <v>504</v>
      </c>
      <c r="G11" s="31">
        <f t="shared" si="0"/>
        <v>768</v>
      </c>
      <c r="H11" s="32">
        <f t="shared" si="3"/>
        <v>1272</v>
      </c>
      <c r="I11" s="82">
        <f>'Class-5'!AN14</f>
        <v>348</v>
      </c>
      <c r="J11" s="83">
        <f>'Class-5'!AO14</f>
        <v>383</v>
      </c>
      <c r="K11" s="84">
        <f t="shared" si="4"/>
        <v>731</v>
      </c>
      <c r="L11" s="33">
        <f t="shared" si="5"/>
        <v>0.49869791666666669</v>
      </c>
      <c r="M11" s="34">
        <f t="shared" si="6"/>
        <v>0.69047619047619047</v>
      </c>
      <c r="N11" s="35">
        <f t="shared" si="7"/>
        <v>0.57468553459119498</v>
      </c>
      <c r="O11" s="36">
        <f t="shared" si="8"/>
        <v>0.5945870535714286</v>
      </c>
    </row>
    <row r="12" spans="1:15" ht="18" x14ac:dyDescent="0.4">
      <c r="A12" s="62" t="s">
        <v>497</v>
      </c>
      <c r="B12" s="30">
        <v>23</v>
      </c>
      <c r="C12" s="30">
        <v>23</v>
      </c>
      <c r="D12" s="30">
        <f t="shared" si="1"/>
        <v>46</v>
      </c>
      <c r="E12" s="31">
        <v>24</v>
      </c>
      <c r="F12" s="31">
        <f t="shared" si="2"/>
        <v>552</v>
      </c>
      <c r="G12" s="31">
        <f t="shared" si="0"/>
        <v>552</v>
      </c>
      <c r="H12" s="32">
        <f t="shared" si="3"/>
        <v>1104</v>
      </c>
      <c r="I12" s="82">
        <f>'Class-6'!AN14</f>
        <v>433</v>
      </c>
      <c r="J12" s="83">
        <f>'Class-6'!AO14</f>
        <v>384</v>
      </c>
      <c r="K12" s="84">
        <f t="shared" si="4"/>
        <v>817</v>
      </c>
      <c r="L12" s="33">
        <f t="shared" si="5"/>
        <v>0.69565217391304346</v>
      </c>
      <c r="M12" s="34">
        <f t="shared" si="6"/>
        <v>0.78442028985507251</v>
      </c>
      <c r="N12" s="35">
        <f t="shared" si="7"/>
        <v>0.74003623188405798</v>
      </c>
      <c r="O12" s="36">
        <f t="shared" si="8"/>
        <v>0.74003623188405798</v>
      </c>
    </row>
    <row r="13" spans="1:15" ht="18" x14ac:dyDescent="0.4">
      <c r="A13" s="63" t="s">
        <v>556</v>
      </c>
      <c r="B13" s="30">
        <v>17</v>
      </c>
      <c r="C13" s="30">
        <v>28</v>
      </c>
      <c r="D13" s="30">
        <f t="shared" si="1"/>
        <v>45</v>
      </c>
      <c r="E13" s="31">
        <v>24</v>
      </c>
      <c r="F13" s="31">
        <f t="shared" si="2"/>
        <v>408</v>
      </c>
      <c r="G13" s="31">
        <f t="shared" si="0"/>
        <v>672</v>
      </c>
      <c r="H13" s="32">
        <f t="shared" si="3"/>
        <v>1080</v>
      </c>
      <c r="I13" s="82">
        <f>'Class-7'!AN14</f>
        <v>294</v>
      </c>
      <c r="J13" s="83">
        <f>'Class-7'!AO14</f>
        <v>548</v>
      </c>
      <c r="K13" s="84">
        <f t="shared" si="4"/>
        <v>842</v>
      </c>
      <c r="L13" s="33">
        <f t="shared" si="5"/>
        <v>0.81547619047619047</v>
      </c>
      <c r="M13" s="34">
        <f t="shared" si="6"/>
        <v>0.72058823529411764</v>
      </c>
      <c r="N13" s="35">
        <f t="shared" si="7"/>
        <v>0.77962962962962967</v>
      </c>
      <c r="O13" s="36">
        <f t="shared" si="8"/>
        <v>0.768032212885154</v>
      </c>
    </row>
    <row r="14" spans="1:15" ht="18" x14ac:dyDescent="0.4">
      <c r="A14" s="63" t="s">
        <v>709</v>
      </c>
      <c r="B14" s="30">
        <v>29</v>
      </c>
      <c r="C14" s="30">
        <v>19</v>
      </c>
      <c r="D14" s="30">
        <f t="shared" si="1"/>
        <v>48</v>
      </c>
      <c r="E14" s="31">
        <v>24</v>
      </c>
      <c r="F14" s="31">
        <f t="shared" si="2"/>
        <v>696</v>
      </c>
      <c r="G14" s="31">
        <f t="shared" si="0"/>
        <v>456</v>
      </c>
      <c r="H14" s="32">
        <f t="shared" si="3"/>
        <v>1152</v>
      </c>
      <c r="I14" s="82">
        <f>'class-8'!AN14</f>
        <v>527</v>
      </c>
      <c r="J14" s="83">
        <f>'class-8'!AO14</f>
        <v>247</v>
      </c>
      <c r="K14" s="84">
        <f t="shared" si="4"/>
        <v>774</v>
      </c>
      <c r="L14" s="33">
        <f t="shared" si="5"/>
        <v>0.54166666666666663</v>
      </c>
      <c r="M14" s="34">
        <f t="shared" si="6"/>
        <v>0.75718390804597702</v>
      </c>
      <c r="N14" s="35">
        <f t="shared" si="7"/>
        <v>0.671875</v>
      </c>
      <c r="O14" s="36">
        <f t="shared" si="8"/>
        <v>0.64942528735632177</v>
      </c>
    </row>
    <row r="15" spans="1:15" ht="18" x14ac:dyDescent="0.4">
      <c r="A15" s="63" t="s">
        <v>710</v>
      </c>
      <c r="B15" s="30">
        <v>19</v>
      </c>
      <c r="C15" s="30">
        <v>23</v>
      </c>
      <c r="D15" s="30">
        <f t="shared" si="1"/>
        <v>42</v>
      </c>
      <c r="E15" s="31">
        <v>24</v>
      </c>
      <c r="F15" s="31">
        <f t="shared" si="2"/>
        <v>456</v>
      </c>
      <c r="G15" s="31">
        <f t="shared" si="0"/>
        <v>552</v>
      </c>
      <c r="H15" s="32">
        <f t="shared" si="3"/>
        <v>1008</v>
      </c>
      <c r="I15" s="82">
        <f>'class-9'!AN14</f>
        <v>232</v>
      </c>
      <c r="J15" s="83">
        <f>'class-9'!AO14</f>
        <v>377</v>
      </c>
      <c r="K15" s="84">
        <f t="shared" si="4"/>
        <v>609</v>
      </c>
      <c r="L15" s="33">
        <f t="shared" si="5"/>
        <v>0.68297101449275366</v>
      </c>
      <c r="M15" s="34">
        <f t="shared" si="6"/>
        <v>0.50877192982456143</v>
      </c>
      <c r="N15" s="35">
        <f t="shared" si="7"/>
        <v>0.60416666666666663</v>
      </c>
      <c r="O15" s="36">
        <f t="shared" si="8"/>
        <v>0.59587147215865754</v>
      </c>
    </row>
    <row r="16" spans="1:15" ht="18.5" thickBot="1" x14ac:dyDescent="0.45">
      <c r="A16" s="64" t="s">
        <v>711</v>
      </c>
      <c r="B16" s="39">
        <v>16</v>
      </c>
      <c r="C16" s="39">
        <v>19</v>
      </c>
      <c r="D16" s="39">
        <f t="shared" si="1"/>
        <v>35</v>
      </c>
      <c r="E16" s="40">
        <v>24</v>
      </c>
      <c r="F16" s="40">
        <f t="shared" si="2"/>
        <v>384</v>
      </c>
      <c r="G16" s="40">
        <f t="shared" si="0"/>
        <v>456</v>
      </c>
      <c r="H16" s="41">
        <f t="shared" si="3"/>
        <v>840</v>
      </c>
      <c r="I16" s="85">
        <f>'class-10'!AN14</f>
        <v>207</v>
      </c>
      <c r="J16" s="86">
        <f>'class-10'!AO14</f>
        <v>212</v>
      </c>
      <c r="K16" s="87">
        <f t="shared" si="4"/>
        <v>419</v>
      </c>
      <c r="L16" s="42">
        <f t="shared" si="5"/>
        <v>0.46491228070175439</v>
      </c>
      <c r="M16" s="43">
        <f t="shared" si="6"/>
        <v>0.5390625</v>
      </c>
      <c r="N16" s="44">
        <f t="shared" si="7"/>
        <v>0.49880952380952381</v>
      </c>
      <c r="O16" s="45">
        <f t="shared" si="8"/>
        <v>0.50198739035087714</v>
      </c>
    </row>
    <row r="17" spans="1:15" ht="18" x14ac:dyDescent="0.4">
      <c r="A17" s="46" t="s">
        <v>13</v>
      </c>
      <c r="B17" s="47">
        <f t="shared" ref="B17:K17" si="9">SUM(B6:B16)</f>
        <v>269</v>
      </c>
      <c r="C17" s="47">
        <f t="shared" si="9"/>
        <v>270</v>
      </c>
      <c r="D17" s="47">
        <f t="shared" si="9"/>
        <v>539</v>
      </c>
      <c r="E17" s="48">
        <f t="shared" si="9"/>
        <v>264</v>
      </c>
      <c r="F17" s="48">
        <f t="shared" si="9"/>
        <v>6456</v>
      </c>
      <c r="G17" s="48">
        <f t="shared" si="9"/>
        <v>6480</v>
      </c>
      <c r="H17" s="54">
        <f t="shared" si="9"/>
        <v>12936</v>
      </c>
      <c r="I17" s="88">
        <f t="shared" si="9"/>
        <v>2041</v>
      </c>
      <c r="J17" s="89">
        <f t="shared" si="9"/>
        <v>2151</v>
      </c>
      <c r="K17" s="90">
        <f t="shared" si="9"/>
        <v>4192</v>
      </c>
      <c r="L17" s="56">
        <f>J17/G17</f>
        <v>0.33194444444444443</v>
      </c>
      <c r="M17" s="49">
        <f>I17/F17</f>
        <v>0.31614002478314746</v>
      </c>
      <c r="N17" s="49">
        <f>AVERAGE(N6:N16)</f>
        <v>0.35174568968918846</v>
      </c>
      <c r="O17" s="50" t="e">
        <f>AVERAGE(O6:O16)</f>
        <v>#VALUE!</v>
      </c>
    </row>
    <row r="18" spans="1:15" ht="15" thickBot="1" x14ac:dyDescent="0.4">
      <c r="A18" s="51" t="s">
        <v>16</v>
      </c>
      <c r="B18" s="52">
        <v>1</v>
      </c>
      <c r="C18" s="52">
        <v>1</v>
      </c>
      <c r="D18" s="53">
        <v>1</v>
      </c>
      <c r="E18" s="52">
        <v>1</v>
      </c>
      <c r="F18" s="52">
        <v>1</v>
      </c>
      <c r="G18" s="53">
        <v>1</v>
      </c>
      <c r="H18" s="55">
        <v>1</v>
      </c>
      <c r="I18" s="58">
        <f>I17/F17</f>
        <v>0.31614002478314746</v>
      </c>
      <c r="J18" s="53">
        <f>J17/G17</f>
        <v>0.33194444444444443</v>
      </c>
      <c r="K18" s="59">
        <f>K17/H17</f>
        <v>0.3240568954854669</v>
      </c>
      <c r="L18" s="57">
        <v>0.54</v>
      </c>
      <c r="M18" s="37">
        <v>0.56000000000000005</v>
      </c>
      <c r="N18" s="37">
        <v>0.55000000000000004</v>
      </c>
      <c r="O18" s="38">
        <f>AVERAGE(L17:M17)</f>
        <v>0.32404223461379594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zoomScaleNormal="100" workbookViewId="0">
      <selection activeCell="H16" sqref="H16"/>
    </sheetView>
  </sheetViews>
  <sheetFormatPr defaultColWidth="3.81640625" defaultRowHeight="14" x14ac:dyDescent="0.3"/>
  <cols>
    <col min="1" max="1" width="5.1796875" style="135" bestFit="1" customWidth="1"/>
    <col min="2" max="2" width="5.81640625" style="135" customWidth="1"/>
    <col min="3" max="3" width="24.453125" style="135" bestFit="1" customWidth="1"/>
    <col min="4" max="4" width="17.54296875" style="135" bestFit="1" customWidth="1"/>
    <col min="5" max="5" width="9" style="135" customWidth="1"/>
    <col min="6" max="6" width="3.81640625" style="135"/>
    <col min="7" max="7" width="4.7265625" style="135" bestFit="1" customWidth="1"/>
    <col min="8" max="8" width="3.81640625" style="135"/>
    <col min="9" max="10" width="3.7265625" style="135" bestFit="1" customWidth="1"/>
    <col min="11" max="11" width="3.81640625" style="135"/>
    <col min="12" max="12" width="4.54296875" style="135" bestFit="1" customWidth="1"/>
    <col min="13" max="13" width="3.81640625" style="135"/>
    <col min="14" max="14" width="4.7265625" style="135" bestFit="1" customWidth="1"/>
    <col min="15" max="15" width="3.81640625" style="135"/>
    <col min="16" max="17" width="3.7265625" style="135" bestFit="1" customWidth="1"/>
    <col min="18" max="18" width="3.81640625" style="135"/>
    <col min="19" max="19" width="4.54296875" style="135" bestFit="1" customWidth="1"/>
    <col min="20" max="20" width="3.81640625" style="135"/>
    <col min="21" max="21" width="4.7265625" style="135" bestFit="1" customWidth="1"/>
    <col min="22" max="22" width="3.81640625" style="135"/>
    <col min="23" max="24" width="3.7265625" style="135" bestFit="1" customWidth="1"/>
    <col min="25" max="25" width="3.81640625" style="135"/>
    <col min="26" max="26" width="4.54296875" style="135" bestFit="1" customWidth="1"/>
    <col min="27" max="27" width="3.81640625" style="135"/>
    <col min="28" max="28" width="4.7265625" style="135" bestFit="1" customWidth="1"/>
    <col min="29" max="29" width="3.81640625" style="135"/>
    <col min="30" max="31" width="3.7265625" style="135" bestFit="1" customWidth="1"/>
    <col min="32" max="32" width="3.81640625" style="135"/>
    <col min="33" max="33" width="4.54296875" style="135" bestFit="1" customWidth="1"/>
    <col min="34" max="34" width="4.54296875" style="135" customWidth="1"/>
    <col min="35" max="35" width="3.81640625" style="135"/>
    <col min="36" max="36" width="4.7265625" style="135" bestFit="1" customWidth="1"/>
    <col min="37" max="37" width="7.1796875" style="135" bestFit="1" customWidth="1"/>
    <col min="38" max="38" width="6.7265625" style="135" bestFit="1" customWidth="1"/>
    <col min="39" max="39" width="18.54296875" style="135" bestFit="1" customWidth="1"/>
    <col min="40" max="41" width="8" style="135" customWidth="1"/>
    <col min="42" max="42" width="7" style="135" customWidth="1"/>
    <col min="43" max="16384" width="3.81640625" style="135"/>
  </cols>
  <sheetData>
    <row r="1" spans="1:42" ht="17" x14ac:dyDescent="0.3">
      <c r="A1" s="151" t="s">
        <v>18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4"/>
      <c r="AN1" s="14"/>
      <c r="AO1" s="14"/>
      <c r="AP1" s="14"/>
    </row>
    <row r="2" spans="1:42" ht="17" x14ac:dyDescent="0.4">
      <c r="A2" s="152" t="s">
        <v>732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4"/>
      <c r="AN2" s="14"/>
      <c r="AO2" s="14"/>
      <c r="AP2" s="14"/>
    </row>
    <row r="3" spans="1:42" ht="15.5" x14ac:dyDescent="0.3">
      <c r="A3" s="153" t="s">
        <v>0</v>
      </c>
      <c r="B3" s="153" t="s">
        <v>713</v>
      </c>
      <c r="C3" s="153" t="s">
        <v>1</v>
      </c>
      <c r="D3" s="153" t="s">
        <v>2</v>
      </c>
      <c r="E3" s="153" t="s">
        <v>3</v>
      </c>
      <c r="F3" s="2" t="str">
        <f t="shared" ref="F3:AJ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Fri</v>
      </c>
      <c r="AJ3" s="2" t="str">
        <f t="shared" si="0"/>
        <v>Sat</v>
      </c>
      <c r="AK3" s="154" t="s">
        <v>4</v>
      </c>
      <c r="AL3" s="154" t="s">
        <v>5</v>
      </c>
      <c r="AM3" s="147" t="s">
        <v>119</v>
      </c>
      <c r="AN3" s="147"/>
      <c r="AO3" s="132"/>
      <c r="AP3" s="132"/>
    </row>
    <row r="4" spans="1:42" ht="38.5" x14ac:dyDescent="0.3">
      <c r="A4" s="153"/>
      <c r="B4" s="153"/>
      <c r="C4" s="153"/>
      <c r="D4" s="153"/>
      <c r="E4" s="153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54"/>
      <c r="AL4" s="154"/>
      <c r="AM4" s="5" t="s">
        <v>120</v>
      </c>
      <c r="AN4" s="5">
        <f>SUM(AN5:AN8)</f>
        <v>30</v>
      </c>
      <c r="AO4" s="132"/>
      <c r="AP4" s="132"/>
    </row>
    <row r="5" spans="1:42" ht="15" customHeight="1" x14ac:dyDescent="0.35">
      <c r="A5" s="9">
        <v>1</v>
      </c>
      <c r="B5" s="11"/>
      <c r="C5" s="136" t="s">
        <v>863</v>
      </c>
      <c r="D5" s="136" t="s">
        <v>864</v>
      </c>
      <c r="E5" s="8" t="s">
        <v>862</v>
      </c>
      <c r="F5" s="148" t="s">
        <v>816</v>
      </c>
      <c r="G5" s="94" t="s">
        <v>818</v>
      </c>
      <c r="H5" s="94" t="s">
        <v>818</v>
      </c>
      <c r="I5" s="150" t="s">
        <v>902</v>
      </c>
      <c r="J5" s="94" t="s">
        <v>818</v>
      </c>
      <c r="K5" s="94" t="s">
        <v>818</v>
      </c>
      <c r="L5" s="94" t="s">
        <v>818</v>
      </c>
      <c r="M5" s="94" t="s">
        <v>818</v>
      </c>
      <c r="N5" s="94" t="s">
        <v>818</v>
      </c>
      <c r="O5" s="94" t="s">
        <v>818</v>
      </c>
      <c r="P5" s="150" t="s">
        <v>902</v>
      </c>
      <c r="Q5" s="94" t="s">
        <v>818</v>
      </c>
      <c r="R5" s="94" t="s">
        <v>818</v>
      </c>
      <c r="S5" s="94" t="s">
        <v>818</v>
      </c>
      <c r="T5" s="94" t="s">
        <v>818</v>
      </c>
      <c r="U5" s="94" t="s">
        <v>818</v>
      </c>
      <c r="V5" s="94" t="s">
        <v>818</v>
      </c>
      <c r="W5" s="150" t="s">
        <v>902</v>
      </c>
      <c r="X5" s="94" t="s">
        <v>818</v>
      </c>
      <c r="Y5" s="94" t="s">
        <v>818</v>
      </c>
      <c r="Z5" s="94" t="s">
        <v>818</v>
      </c>
      <c r="AA5" s="94" t="s">
        <v>818</v>
      </c>
      <c r="AB5" s="94" t="s">
        <v>818</v>
      </c>
      <c r="AC5" s="94"/>
      <c r="AD5" s="150" t="s">
        <v>902</v>
      </c>
      <c r="AE5" s="94"/>
      <c r="AF5" s="94"/>
      <c r="AG5" s="94"/>
      <c r="AH5" s="94"/>
      <c r="AI5" s="94"/>
      <c r="AJ5" s="94"/>
      <c r="AK5" s="5">
        <f t="shared" ref="AK5:AK31" si="1">COUNTIF(F5:AJ5,"P")</f>
        <v>19</v>
      </c>
      <c r="AL5" s="5">
        <f t="shared" ref="AL5:AL31" si="2">COUNTIF(F5:AJ5,"A")</f>
        <v>0</v>
      </c>
      <c r="AM5" s="5" t="s">
        <v>7</v>
      </c>
      <c r="AN5" s="9">
        <v>26</v>
      </c>
      <c r="AO5" s="133"/>
      <c r="AP5" s="132"/>
    </row>
    <row r="6" spans="1:42" ht="15.5" x14ac:dyDescent="0.35">
      <c r="A6" s="9">
        <v>2</v>
      </c>
      <c r="B6" s="11"/>
      <c r="C6" s="136" t="s">
        <v>865</v>
      </c>
      <c r="D6" s="136" t="s">
        <v>553</v>
      </c>
      <c r="E6" s="8" t="s">
        <v>862</v>
      </c>
      <c r="F6" s="149"/>
      <c r="G6" s="94" t="s">
        <v>818</v>
      </c>
      <c r="H6" s="94" t="s">
        <v>818</v>
      </c>
      <c r="I6" s="150"/>
      <c r="J6" s="94" t="s">
        <v>818</v>
      </c>
      <c r="K6" s="94" t="s">
        <v>818</v>
      </c>
      <c r="L6" s="94" t="s">
        <v>818</v>
      </c>
      <c r="M6" s="94" t="s">
        <v>818</v>
      </c>
      <c r="N6" s="94" t="s">
        <v>818</v>
      </c>
      <c r="O6" s="94" t="s">
        <v>818</v>
      </c>
      <c r="P6" s="150"/>
      <c r="Q6" s="94" t="s">
        <v>818</v>
      </c>
      <c r="R6" s="94" t="s">
        <v>819</v>
      </c>
      <c r="S6" s="94" t="s">
        <v>818</v>
      </c>
      <c r="T6" s="94" t="s">
        <v>818</v>
      </c>
      <c r="U6" s="94" t="s">
        <v>818</v>
      </c>
      <c r="V6" s="94" t="s">
        <v>818</v>
      </c>
      <c r="W6" s="150"/>
      <c r="X6" s="94" t="s">
        <v>818</v>
      </c>
      <c r="Y6" s="94" t="s">
        <v>818</v>
      </c>
      <c r="Z6" s="94" t="s">
        <v>818</v>
      </c>
      <c r="AA6" s="94" t="s">
        <v>818</v>
      </c>
      <c r="AB6" s="94" t="s">
        <v>818</v>
      </c>
      <c r="AC6" s="94"/>
      <c r="AD6" s="150"/>
      <c r="AE6" s="94"/>
      <c r="AF6" s="94"/>
      <c r="AG6" s="94"/>
      <c r="AH6" s="94"/>
      <c r="AI6" s="94"/>
      <c r="AJ6" s="94"/>
      <c r="AK6" s="5">
        <f t="shared" si="1"/>
        <v>18</v>
      </c>
      <c r="AL6" s="5">
        <f t="shared" si="2"/>
        <v>0</v>
      </c>
      <c r="AM6" s="5" t="s">
        <v>8</v>
      </c>
      <c r="AN6" s="9">
        <v>4</v>
      </c>
      <c r="AO6" s="132"/>
      <c r="AP6" s="132"/>
    </row>
    <row r="7" spans="1:42" ht="15.5" x14ac:dyDescent="0.35">
      <c r="A7" s="9">
        <v>3</v>
      </c>
      <c r="B7" s="11"/>
      <c r="C7" s="136" t="s">
        <v>866</v>
      </c>
      <c r="D7" s="136" t="s">
        <v>867</v>
      </c>
      <c r="E7" s="8" t="s">
        <v>862</v>
      </c>
      <c r="F7" s="149"/>
      <c r="G7" s="94" t="s">
        <v>818</v>
      </c>
      <c r="H7" s="94" t="s">
        <v>818</v>
      </c>
      <c r="I7" s="150"/>
      <c r="J7" s="94" t="s">
        <v>818</v>
      </c>
      <c r="K7" s="94" t="s">
        <v>818</v>
      </c>
      <c r="L7" s="94" t="s">
        <v>818</v>
      </c>
      <c r="M7" s="94" t="s">
        <v>818</v>
      </c>
      <c r="N7" s="94" t="s">
        <v>818</v>
      </c>
      <c r="O7" s="94" t="s">
        <v>818</v>
      </c>
      <c r="P7" s="150"/>
      <c r="Q7" s="94" t="s">
        <v>818</v>
      </c>
      <c r="R7" s="94" t="s">
        <v>818</v>
      </c>
      <c r="S7" s="94" t="s">
        <v>818</v>
      </c>
      <c r="T7" s="94" t="s">
        <v>818</v>
      </c>
      <c r="U7" s="94" t="s">
        <v>818</v>
      </c>
      <c r="V7" s="94" t="s">
        <v>818</v>
      </c>
      <c r="W7" s="150"/>
      <c r="X7" s="94" t="s">
        <v>818</v>
      </c>
      <c r="Y7" s="94" t="s">
        <v>818</v>
      </c>
      <c r="Z7" s="94" t="s">
        <v>818</v>
      </c>
      <c r="AA7" s="94" t="s">
        <v>818</v>
      </c>
      <c r="AB7" s="94" t="s">
        <v>818</v>
      </c>
      <c r="AC7" s="94"/>
      <c r="AD7" s="150"/>
      <c r="AE7" s="94"/>
      <c r="AF7" s="94"/>
      <c r="AG7" s="94"/>
      <c r="AH7" s="94"/>
      <c r="AI7" s="94"/>
      <c r="AJ7" s="94"/>
      <c r="AK7" s="5">
        <f t="shared" si="1"/>
        <v>19</v>
      </c>
      <c r="AL7" s="5">
        <f t="shared" si="2"/>
        <v>0</v>
      </c>
      <c r="AM7" s="5"/>
      <c r="AN7" s="9"/>
      <c r="AO7" s="132"/>
      <c r="AP7" s="132"/>
    </row>
    <row r="8" spans="1:42" ht="15.5" x14ac:dyDescent="0.35">
      <c r="A8" s="9">
        <v>4</v>
      </c>
      <c r="B8" s="11"/>
      <c r="C8" s="136" t="s">
        <v>868</v>
      </c>
      <c r="D8" s="136" t="s">
        <v>869</v>
      </c>
      <c r="E8" s="8" t="s">
        <v>862</v>
      </c>
      <c r="F8" s="149"/>
      <c r="G8" s="94" t="s">
        <v>818</v>
      </c>
      <c r="H8" s="94" t="s">
        <v>818</v>
      </c>
      <c r="I8" s="150"/>
      <c r="J8" s="94" t="s">
        <v>818</v>
      </c>
      <c r="K8" s="94" t="s">
        <v>818</v>
      </c>
      <c r="L8" s="94" t="s">
        <v>818</v>
      </c>
      <c r="M8" s="94" t="s">
        <v>818</v>
      </c>
      <c r="N8" s="94" t="s">
        <v>818</v>
      </c>
      <c r="O8" s="94" t="s">
        <v>818</v>
      </c>
      <c r="P8" s="150"/>
      <c r="Q8" s="94" t="s">
        <v>818</v>
      </c>
      <c r="R8" s="94" t="s">
        <v>818</v>
      </c>
      <c r="S8" s="94" t="s">
        <v>818</v>
      </c>
      <c r="T8" s="94" t="s">
        <v>818</v>
      </c>
      <c r="U8" s="94" t="s">
        <v>818</v>
      </c>
      <c r="V8" s="94" t="s">
        <v>818</v>
      </c>
      <c r="W8" s="150"/>
      <c r="X8" s="94" t="s">
        <v>818</v>
      </c>
      <c r="Y8" s="94" t="s">
        <v>818</v>
      </c>
      <c r="Z8" s="94" t="s">
        <v>818</v>
      </c>
      <c r="AA8" s="94" t="s">
        <v>818</v>
      </c>
      <c r="AB8" s="94" t="s">
        <v>818</v>
      </c>
      <c r="AC8" s="94"/>
      <c r="AD8" s="150"/>
      <c r="AE8" s="94"/>
      <c r="AF8" s="94"/>
      <c r="AG8" s="94"/>
      <c r="AH8" s="94"/>
      <c r="AI8" s="94"/>
      <c r="AJ8" s="94"/>
      <c r="AK8" s="5">
        <f t="shared" si="1"/>
        <v>19</v>
      </c>
      <c r="AL8" s="5">
        <f t="shared" si="2"/>
        <v>0</v>
      </c>
      <c r="AM8" s="5"/>
      <c r="AN8" s="9"/>
      <c r="AO8" s="134"/>
      <c r="AP8" s="134"/>
    </row>
    <row r="9" spans="1:42" ht="15.5" x14ac:dyDescent="0.35">
      <c r="A9" s="9">
        <v>5</v>
      </c>
      <c r="B9" s="95"/>
      <c r="C9" s="136" t="s">
        <v>870</v>
      </c>
      <c r="D9" s="136" t="s">
        <v>871</v>
      </c>
      <c r="E9" s="8" t="s">
        <v>862</v>
      </c>
      <c r="F9" s="149"/>
      <c r="G9" s="94" t="s">
        <v>818</v>
      </c>
      <c r="H9" s="94" t="s">
        <v>818</v>
      </c>
      <c r="I9" s="150"/>
      <c r="J9" s="94" t="s">
        <v>818</v>
      </c>
      <c r="K9" s="94" t="s">
        <v>818</v>
      </c>
      <c r="L9" s="94" t="s">
        <v>818</v>
      </c>
      <c r="M9" s="94" t="s">
        <v>818</v>
      </c>
      <c r="N9" s="94" t="s">
        <v>818</v>
      </c>
      <c r="O9" s="94" t="s">
        <v>818</v>
      </c>
      <c r="P9" s="150"/>
      <c r="Q9" s="94" t="s">
        <v>818</v>
      </c>
      <c r="R9" s="94" t="s">
        <v>818</v>
      </c>
      <c r="S9" s="94" t="s">
        <v>818</v>
      </c>
      <c r="T9" s="94" t="s">
        <v>818</v>
      </c>
      <c r="U9" s="94" t="s">
        <v>818</v>
      </c>
      <c r="V9" s="94" t="s">
        <v>818</v>
      </c>
      <c r="W9" s="150"/>
      <c r="X9" s="94" t="s">
        <v>818</v>
      </c>
      <c r="Y9" s="94" t="s">
        <v>818</v>
      </c>
      <c r="Z9" s="94" t="s">
        <v>818</v>
      </c>
      <c r="AA9" s="94" t="s">
        <v>818</v>
      </c>
      <c r="AB9" s="94" t="s">
        <v>818</v>
      </c>
      <c r="AC9" s="94"/>
      <c r="AD9" s="150"/>
      <c r="AE9" s="94"/>
      <c r="AF9" s="94"/>
      <c r="AG9" s="94"/>
      <c r="AH9" s="94"/>
      <c r="AI9" s="94"/>
      <c r="AJ9" s="94"/>
      <c r="AK9" s="5">
        <f t="shared" si="1"/>
        <v>19</v>
      </c>
      <c r="AL9" s="5">
        <f t="shared" si="2"/>
        <v>0</v>
      </c>
      <c r="AM9" s="5"/>
      <c r="AN9" s="9"/>
      <c r="AO9" s="14"/>
      <c r="AP9" s="14"/>
    </row>
    <row r="10" spans="1:42" ht="15.5" x14ac:dyDescent="0.35">
      <c r="A10" s="9">
        <v>6</v>
      </c>
      <c r="B10" s="95"/>
      <c r="C10" s="136" t="s">
        <v>872</v>
      </c>
      <c r="D10" s="136" t="s">
        <v>873</v>
      </c>
      <c r="E10" s="8" t="s">
        <v>862</v>
      </c>
      <c r="F10" s="149"/>
      <c r="G10" s="94" t="s">
        <v>818</v>
      </c>
      <c r="H10" s="94" t="s">
        <v>818</v>
      </c>
      <c r="I10" s="150"/>
      <c r="J10" s="94" t="s">
        <v>818</v>
      </c>
      <c r="K10" s="94" t="s">
        <v>818</v>
      </c>
      <c r="L10" s="94" t="s">
        <v>818</v>
      </c>
      <c r="M10" s="94" t="s">
        <v>818</v>
      </c>
      <c r="N10" s="94" t="s">
        <v>818</v>
      </c>
      <c r="O10" s="94" t="s">
        <v>818</v>
      </c>
      <c r="P10" s="150"/>
      <c r="Q10" s="94" t="s">
        <v>818</v>
      </c>
      <c r="R10" s="94" t="s">
        <v>818</v>
      </c>
      <c r="S10" s="94" t="s">
        <v>818</v>
      </c>
      <c r="T10" s="94" t="s">
        <v>818</v>
      </c>
      <c r="U10" s="94" t="s">
        <v>818</v>
      </c>
      <c r="V10" s="94" t="s">
        <v>818</v>
      </c>
      <c r="W10" s="150"/>
      <c r="X10" s="94" t="s">
        <v>818</v>
      </c>
      <c r="Y10" s="94" t="s">
        <v>817</v>
      </c>
      <c r="Z10" s="94" t="s">
        <v>818</v>
      </c>
      <c r="AA10" s="94" t="s">
        <v>818</v>
      </c>
      <c r="AB10" s="94" t="s">
        <v>818</v>
      </c>
      <c r="AC10" s="94"/>
      <c r="AD10" s="150"/>
      <c r="AE10" s="94"/>
      <c r="AF10" s="94"/>
      <c r="AG10" s="94"/>
      <c r="AH10" s="94"/>
      <c r="AI10" s="94"/>
      <c r="AJ10" s="94"/>
      <c r="AK10" s="5">
        <f t="shared" si="1"/>
        <v>18</v>
      </c>
      <c r="AL10" s="5">
        <f t="shared" si="2"/>
        <v>1</v>
      </c>
      <c r="AM10" s="14"/>
      <c r="AN10" s="14"/>
      <c r="AO10" s="14"/>
      <c r="AP10" s="14"/>
    </row>
    <row r="11" spans="1:42" ht="15.5" x14ac:dyDescent="0.35">
      <c r="A11" s="9">
        <v>7</v>
      </c>
      <c r="B11" s="95"/>
      <c r="C11" s="136" t="s">
        <v>874</v>
      </c>
      <c r="D11" s="136" t="s">
        <v>875</v>
      </c>
      <c r="E11" s="8" t="s">
        <v>862</v>
      </c>
      <c r="F11" s="149"/>
      <c r="G11" s="94" t="s">
        <v>817</v>
      </c>
      <c r="H11" s="94" t="s">
        <v>817</v>
      </c>
      <c r="I11" s="150"/>
      <c r="J11" s="94" t="s">
        <v>817</v>
      </c>
      <c r="K11" s="94" t="s">
        <v>818</v>
      </c>
      <c r="L11" s="94" t="s">
        <v>818</v>
      </c>
      <c r="M11" s="94" t="s">
        <v>818</v>
      </c>
      <c r="N11" s="94" t="s">
        <v>818</v>
      </c>
      <c r="O11" s="94" t="s">
        <v>818</v>
      </c>
      <c r="P11" s="150"/>
      <c r="Q11" s="94" t="s">
        <v>818</v>
      </c>
      <c r="R11" s="94" t="s">
        <v>818</v>
      </c>
      <c r="S11" s="94" t="s">
        <v>818</v>
      </c>
      <c r="T11" s="94" t="s">
        <v>818</v>
      </c>
      <c r="U11" s="94" t="s">
        <v>818</v>
      </c>
      <c r="V11" s="94" t="s">
        <v>818</v>
      </c>
      <c r="W11" s="150"/>
      <c r="X11" s="94" t="s">
        <v>818</v>
      </c>
      <c r="Y11" s="94" t="s">
        <v>818</v>
      </c>
      <c r="Z11" s="94" t="s">
        <v>818</v>
      </c>
      <c r="AA11" s="94" t="s">
        <v>818</v>
      </c>
      <c r="AB11" s="94" t="s">
        <v>818</v>
      </c>
      <c r="AC11" s="94"/>
      <c r="AD11" s="150"/>
      <c r="AE11" s="94"/>
      <c r="AF11" s="94"/>
      <c r="AG11" s="94"/>
      <c r="AH11" s="94"/>
      <c r="AI11" s="94"/>
      <c r="AJ11" s="94"/>
      <c r="AK11" s="5">
        <f t="shared" si="1"/>
        <v>16</v>
      </c>
      <c r="AL11" s="5">
        <f t="shared" si="2"/>
        <v>3</v>
      </c>
      <c r="AM11" s="147" t="s">
        <v>9</v>
      </c>
      <c r="AN11" s="147"/>
      <c r="AO11" s="147"/>
      <c r="AP11" s="147"/>
    </row>
    <row r="12" spans="1:42" ht="15.5" x14ac:dyDescent="0.35">
      <c r="A12" s="9">
        <v>8</v>
      </c>
      <c r="B12" s="95"/>
      <c r="C12" s="136" t="s">
        <v>876</v>
      </c>
      <c r="D12" s="136" t="s">
        <v>166</v>
      </c>
      <c r="E12" s="8" t="s">
        <v>862</v>
      </c>
      <c r="F12" s="149"/>
      <c r="G12" s="94" t="s">
        <v>817</v>
      </c>
      <c r="H12" s="94" t="s">
        <v>817</v>
      </c>
      <c r="I12" s="150"/>
      <c r="J12" s="94" t="s">
        <v>818</v>
      </c>
      <c r="K12" s="94" t="s">
        <v>818</v>
      </c>
      <c r="L12" s="94" t="s">
        <v>817</v>
      </c>
      <c r="M12" s="94" t="s">
        <v>818</v>
      </c>
      <c r="N12" s="94" t="s">
        <v>817</v>
      </c>
      <c r="O12" s="94" t="s">
        <v>817</v>
      </c>
      <c r="P12" s="150"/>
      <c r="Q12" s="94" t="s">
        <v>818</v>
      </c>
      <c r="R12" s="94" t="s">
        <v>819</v>
      </c>
      <c r="S12" s="94" t="s">
        <v>819</v>
      </c>
      <c r="T12" s="94" t="s">
        <v>818</v>
      </c>
      <c r="U12" s="94" t="s">
        <v>817</v>
      </c>
      <c r="V12" s="94" t="s">
        <v>817</v>
      </c>
      <c r="W12" s="150"/>
      <c r="X12" s="94" t="s">
        <v>817</v>
      </c>
      <c r="Y12" s="94" t="s">
        <v>818</v>
      </c>
      <c r="Z12" s="94" t="s">
        <v>818</v>
      </c>
      <c r="AA12" s="94" t="s">
        <v>818</v>
      </c>
      <c r="AB12" s="94" t="s">
        <v>818</v>
      </c>
      <c r="AC12" s="94"/>
      <c r="AD12" s="150"/>
      <c r="AE12" s="94"/>
      <c r="AF12" s="94"/>
      <c r="AG12" s="94"/>
      <c r="AH12" s="94"/>
      <c r="AI12" s="94"/>
      <c r="AJ12" s="94"/>
      <c r="AK12" s="5">
        <f t="shared" si="1"/>
        <v>9</v>
      </c>
      <c r="AL12" s="5">
        <f t="shared" si="2"/>
        <v>8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5.5" x14ac:dyDescent="0.35">
      <c r="A13" s="9">
        <v>9</v>
      </c>
      <c r="B13" s="95"/>
      <c r="C13" s="136" t="s">
        <v>877</v>
      </c>
      <c r="D13" s="136" t="s">
        <v>878</v>
      </c>
      <c r="E13" s="8" t="s">
        <v>862</v>
      </c>
      <c r="F13" s="149"/>
      <c r="G13" s="94" t="s">
        <v>818</v>
      </c>
      <c r="H13" s="94" t="s">
        <v>818</v>
      </c>
      <c r="I13" s="150"/>
      <c r="J13" s="94" t="s">
        <v>818</v>
      </c>
      <c r="K13" s="94" t="s">
        <v>818</v>
      </c>
      <c r="L13" s="94" t="s">
        <v>818</v>
      </c>
      <c r="M13" s="94" t="s">
        <v>818</v>
      </c>
      <c r="N13" s="94" t="s">
        <v>818</v>
      </c>
      <c r="O13" s="94" t="s">
        <v>818</v>
      </c>
      <c r="P13" s="150"/>
      <c r="Q13" s="94" t="s">
        <v>818</v>
      </c>
      <c r="R13" s="94" t="s">
        <v>818</v>
      </c>
      <c r="S13" s="94" t="s">
        <v>818</v>
      </c>
      <c r="T13" s="94" t="s">
        <v>818</v>
      </c>
      <c r="U13" s="94" t="s">
        <v>818</v>
      </c>
      <c r="V13" s="94" t="s">
        <v>818</v>
      </c>
      <c r="W13" s="150"/>
      <c r="X13" s="94" t="s">
        <v>818</v>
      </c>
      <c r="Y13" s="94" t="s">
        <v>818</v>
      </c>
      <c r="Z13" s="94" t="s">
        <v>818</v>
      </c>
      <c r="AA13" s="94" t="s">
        <v>818</v>
      </c>
      <c r="AB13" s="94" t="s">
        <v>818</v>
      </c>
      <c r="AC13" s="94"/>
      <c r="AD13" s="150"/>
      <c r="AE13" s="94"/>
      <c r="AF13" s="94"/>
      <c r="AG13" s="94"/>
      <c r="AH13" s="94"/>
      <c r="AI13" s="94"/>
      <c r="AJ13" s="94"/>
      <c r="AK13" s="5">
        <f t="shared" si="1"/>
        <v>19</v>
      </c>
      <c r="AL13" s="5">
        <f t="shared" si="2"/>
        <v>0</v>
      </c>
      <c r="AM13" s="5" t="s">
        <v>14</v>
      </c>
      <c r="AN13" s="9">
        <f>29*$AN$5</f>
        <v>754</v>
      </c>
      <c r="AO13" s="9">
        <f>25*$AN$5</f>
        <v>650</v>
      </c>
      <c r="AP13" s="9">
        <f>SUM(AN13:AO13)</f>
        <v>1404</v>
      </c>
    </row>
    <row r="14" spans="1:42" ht="15.5" x14ac:dyDescent="0.35">
      <c r="A14" s="9">
        <v>10</v>
      </c>
      <c r="B14" s="11"/>
      <c r="C14" s="136" t="s">
        <v>879</v>
      </c>
      <c r="D14" s="136" t="s">
        <v>880</v>
      </c>
      <c r="E14" s="8" t="s">
        <v>862</v>
      </c>
      <c r="F14" s="149"/>
      <c r="G14" s="94" t="s">
        <v>818</v>
      </c>
      <c r="H14" s="94" t="s">
        <v>818</v>
      </c>
      <c r="I14" s="150"/>
      <c r="J14" s="94" t="s">
        <v>818</v>
      </c>
      <c r="K14" s="94" t="s">
        <v>818</v>
      </c>
      <c r="L14" s="94" t="s">
        <v>818</v>
      </c>
      <c r="M14" s="94" t="s">
        <v>818</v>
      </c>
      <c r="N14" s="94" t="s">
        <v>818</v>
      </c>
      <c r="O14" s="94" t="s">
        <v>818</v>
      </c>
      <c r="P14" s="150"/>
      <c r="Q14" s="94" t="s">
        <v>818</v>
      </c>
      <c r="R14" s="94" t="s">
        <v>818</v>
      </c>
      <c r="S14" s="94" t="s">
        <v>818</v>
      </c>
      <c r="T14" s="94" t="s">
        <v>818</v>
      </c>
      <c r="U14" s="94" t="s">
        <v>818</v>
      </c>
      <c r="V14" s="94" t="s">
        <v>818</v>
      </c>
      <c r="W14" s="150"/>
      <c r="X14" s="94" t="s">
        <v>818</v>
      </c>
      <c r="Y14" s="94" t="s">
        <v>818</v>
      </c>
      <c r="Z14" s="94" t="s">
        <v>818</v>
      </c>
      <c r="AA14" s="94" t="s">
        <v>818</v>
      </c>
      <c r="AB14" s="94" t="s">
        <v>818</v>
      </c>
      <c r="AC14" s="94"/>
      <c r="AD14" s="150"/>
      <c r="AE14" s="94"/>
      <c r="AF14" s="94"/>
      <c r="AG14" s="94"/>
      <c r="AH14" s="94"/>
      <c r="AI14" s="94"/>
      <c r="AJ14" s="94"/>
      <c r="AK14" s="5">
        <f t="shared" si="1"/>
        <v>19</v>
      </c>
      <c r="AL14" s="5">
        <f t="shared" si="2"/>
        <v>0</v>
      </c>
      <c r="AM14" s="5" t="s">
        <v>15</v>
      </c>
      <c r="AN14" s="9">
        <f>SUM(AK29:AK31)</f>
        <v>43</v>
      </c>
      <c r="AO14" s="9">
        <f>SUM(AK5:AK28)</f>
        <v>404</v>
      </c>
      <c r="AP14" s="9">
        <f>AN14+AO14</f>
        <v>447</v>
      </c>
    </row>
    <row r="15" spans="1:42" ht="15.5" x14ac:dyDescent="0.35">
      <c r="A15" s="9">
        <v>11</v>
      </c>
      <c r="B15" s="11"/>
      <c r="C15" s="136" t="s">
        <v>881</v>
      </c>
      <c r="D15" s="136" t="s">
        <v>882</v>
      </c>
      <c r="E15" s="8" t="s">
        <v>862</v>
      </c>
      <c r="F15" s="149"/>
      <c r="G15" s="94" t="s">
        <v>818</v>
      </c>
      <c r="H15" s="94" t="s">
        <v>818</v>
      </c>
      <c r="I15" s="150"/>
      <c r="J15" s="94" t="s">
        <v>818</v>
      </c>
      <c r="K15" s="94" t="s">
        <v>818</v>
      </c>
      <c r="L15" s="94" t="s">
        <v>818</v>
      </c>
      <c r="M15" s="94" t="s">
        <v>818</v>
      </c>
      <c r="N15" s="94" t="s">
        <v>818</v>
      </c>
      <c r="O15" s="94" t="s">
        <v>818</v>
      </c>
      <c r="P15" s="150"/>
      <c r="Q15" s="94" t="s">
        <v>818</v>
      </c>
      <c r="R15" s="94" t="s">
        <v>819</v>
      </c>
      <c r="S15" s="94" t="s">
        <v>818</v>
      </c>
      <c r="T15" s="94" t="s">
        <v>818</v>
      </c>
      <c r="U15" s="94" t="s">
        <v>818</v>
      </c>
      <c r="V15" s="94" t="s">
        <v>818</v>
      </c>
      <c r="W15" s="150"/>
      <c r="X15" s="94" t="s">
        <v>818</v>
      </c>
      <c r="Y15" s="94" t="s">
        <v>818</v>
      </c>
      <c r="Z15" s="94" t="s">
        <v>818</v>
      </c>
      <c r="AA15" s="94" t="s">
        <v>818</v>
      </c>
      <c r="AB15" s="94" t="s">
        <v>818</v>
      </c>
      <c r="AC15" s="94"/>
      <c r="AD15" s="150"/>
      <c r="AE15" s="94"/>
      <c r="AF15" s="94"/>
      <c r="AG15" s="94"/>
      <c r="AH15" s="94"/>
      <c r="AI15" s="94"/>
      <c r="AJ15" s="94"/>
      <c r="AK15" s="5">
        <f t="shared" si="1"/>
        <v>18</v>
      </c>
      <c r="AL15" s="5">
        <f t="shared" si="2"/>
        <v>0</v>
      </c>
      <c r="AM15" s="5" t="s">
        <v>16</v>
      </c>
      <c r="AN15" s="12">
        <f>AN14/AN13</f>
        <v>5.7029177718832889E-2</v>
      </c>
      <c r="AO15" s="12">
        <f>AO14/AO13</f>
        <v>0.62153846153846148</v>
      </c>
      <c r="AP15" s="12">
        <f>AP14/AP13</f>
        <v>0.31837606837606836</v>
      </c>
    </row>
    <row r="16" spans="1:42" ht="15.5" x14ac:dyDescent="0.35">
      <c r="A16" s="9">
        <v>12</v>
      </c>
      <c r="B16" s="11"/>
      <c r="C16" s="136" t="s">
        <v>883</v>
      </c>
      <c r="D16" s="136" t="s">
        <v>50</v>
      </c>
      <c r="E16" s="8" t="s">
        <v>862</v>
      </c>
      <c r="F16" s="149"/>
      <c r="G16" s="94" t="s">
        <v>730</v>
      </c>
      <c r="H16" s="94" t="s">
        <v>818</v>
      </c>
      <c r="I16" s="150"/>
      <c r="J16" s="94" t="s">
        <v>818</v>
      </c>
      <c r="K16" s="94" t="s">
        <v>818</v>
      </c>
      <c r="L16" s="94" t="s">
        <v>818</v>
      </c>
      <c r="M16" s="94" t="s">
        <v>818</v>
      </c>
      <c r="N16" s="94" t="s">
        <v>818</v>
      </c>
      <c r="O16" s="94" t="s">
        <v>818</v>
      </c>
      <c r="P16" s="150"/>
      <c r="Q16" s="94" t="s">
        <v>818</v>
      </c>
      <c r="R16" s="94" t="s">
        <v>819</v>
      </c>
      <c r="S16" s="94" t="s">
        <v>819</v>
      </c>
      <c r="T16" s="94" t="s">
        <v>819</v>
      </c>
      <c r="U16" s="94" t="s">
        <v>819</v>
      </c>
      <c r="V16" s="94" t="s">
        <v>819</v>
      </c>
      <c r="W16" s="150"/>
      <c r="X16" s="94" t="s">
        <v>818</v>
      </c>
      <c r="Y16" s="94" t="s">
        <v>818</v>
      </c>
      <c r="Z16" s="94" t="s">
        <v>818</v>
      </c>
      <c r="AA16" s="94" t="s">
        <v>818</v>
      </c>
      <c r="AB16" s="94" t="s">
        <v>818</v>
      </c>
      <c r="AC16" s="94"/>
      <c r="AD16" s="150"/>
      <c r="AE16" s="94"/>
      <c r="AF16" s="94"/>
      <c r="AG16" s="94"/>
      <c r="AH16" s="94"/>
      <c r="AI16" s="94"/>
      <c r="AJ16" s="94"/>
      <c r="AK16" s="5">
        <f t="shared" si="1"/>
        <v>14</v>
      </c>
      <c r="AL16" s="5">
        <f t="shared" si="2"/>
        <v>0</v>
      </c>
      <c r="AM16" s="134"/>
      <c r="AN16" s="134"/>
      <c r="AO16" s="134"/>
      <c r="AP16" s="134"/>
    </row>
    <row r="17" spans="1:42" ht="15.5" x14ac:dyDescent="0.35">
      <c r="A17" s="9">
        <v>13</v>
      </c>
      <c r="B17" s="11"/>
      <c r="C17" s="136" t="s">
        <v>884</v>
      </c>
      <c r="D17" s="136" t="s">
        <v>266</v>
      </c>
      <c r="E17" s="8" t="s">
        <v>862</v>
      </c>
      <c r="F17" s="149"/>
      <c r="G17" s="94" t="s">
        <v>818</v>
      </c>
      <c r="H17" s="94" t="s">
        <v>818</v>
      </c>
      <c r="I17" s="150"/>
      <c r="J17" s="94" t="s">
        <v>818</v>
      </c>
      <c r="K17" s="94" t="s">
        <v>818</v>
      </c>
      <c r="L17" s="94" t="s">
        <v>818</v>
      </c>
      <c r="M17" s="94" t="s">
        <v>818</v>
      </c>
      <c r="N17" s="94" t="s">
        <v>818</v>
      </c>
      <c r="O17" s="94" t="s">
        <v>818</v>
      </c>
      <c r="P17" s="150"/>
      <c r="Q17" s="94" t="s">
        <v>818</v>
      </c>
      <c r="R17" s="94" t="s">
        <v>818</v>
      </c>
      <c r="S17" s="94" t="s">
        <v>818</v>
      </c>
      <c r="T17" s="94" t="s">
        <v>818</v>
      </c>
      <c r="U17" s="94" t="s">
        <v>818</v>
      </c>
      <c r="V17" s="94" t="s">
        <v>818</v>
      </c>
      <c r="W17" s="150"/>
      <c r="X17" s="94" t="s">
        <v>818</v>
      </c>
      <c r="Y17" s="94" t="s">
        <v>818</v>
      </c>
      <c r="Z17" s="94" t="s">
        <v>818</v>
      </c>
      <c r="AA17" s="94" t="s">
        <v>818</v>
      </c>
      <c r="AB17" s="94" t="s">
        <v>818</v>
      </c>
      <c r="AC17" s="94"/>
      <c r="AD17" s="150"/>
      <c r="AE17" s="94"/>
      <c r="AF17" s="94"/>
      <c r="AG17" s="94"/>
      <c r="AH17" s="94"/>
      <c r="AI17" s="94"/>
      <c r="AJ17" s="94"/>
      <c r="AK17" s="5">
        <f t="shared" si="1"/>
        <v>19</v>
      </c>
      <c r="AL17" s="5">
        <f t="shared" si="2"/>
        <v>0</v>
      </c>
      <c r="AM17" s="134"/>
      <c r="AN17" s="134"/>
      <c r="AO17" s="134"/>
      <c r="AP17" s="134"/>
    </row>
    <row r="18" spans="1:42" ht="15.5" x14ac:dyDescent="0.35">
      <c r="A18" s="9">
        <v>14</v>
      </c>
      <c r="B18" s="11"/>
      <c r="C18" s="136" t="s">
        <v>885</v>
      </c>
      <c r="D18" s="136" t="s">
        <v>886</v>
      </c>
      <c r="E18" s="8" t="s">
        <v>862</v>
      </c>
      <c r="F18" s="149"/>
      <c r="G18" s="94" t="s">
        <v>818</v>
      </c>
      <c r="H18" s="94" t="s">
        <v>818</v>
      </c>
      <c r="I18" s="150"/>
      <c r="J18" s="94" t="s">
        <v>818</v>
      </c>
      <c r="K18" s="94" t="s">
        <v>818</v>
      </c>
      <c r="L18" s="94" t="s">
        <v>818</v>
      </c>
      <c r="M18" s="94" t="s">
        <v>817</v>
      </c>
      <c r="N18" s="94" t="s">
        <v>817</v>
      </c>
      <c r="O18" s="94" t="s">
        <v>818</v>
      </c>
      <c r="P18" s="150"/>
      <c r="Q18" s="94" t="s">
        <v>818</v>
      </c>
      <c r="R18" s="94" t="s">
        <v>818</v>
      </c>
      <c r="S18" s="94" t="s">
        <v>818</v>
      </c>
      <c r="T18" s="94" t="s">
        <v>818</v>
      </c>
      <c r="U18" s="94" t="s">
        <v>818</v>
      </c>
      <c r="V18" s="94" t="s">
        <v>818</v>
      </c>
      <c r="W18" s="150"/>
      <c r="X18" s="94" t="s">
        <v>818</v>
      </c>
      <c r="Y18" s="94" t="s">
        <v>818</v>
      </c>
      <c r="Z18" s="94" t="s">
        <v>818</v>
      </c>
      <c r="AA18" s="94" t="s">
        <v>818</v>
      </c>
      <c r="AB18" s="94" t="s">
        <v>818</v>
      </c>
      <c r="AC18" s="94"/>
      <c r="AD18" s="150"/>
      <c r="AE18" s="94"/>
      <c r="AF18" s="94"/>
      <c r="AG18" s="94"/>
      <c r="AH18" s="94"/>
      <c r="AI18" s="94"/>
      <c r="AJ18" s="94"/>
      <c r="AK18" s="5">
        <f t="shared" si="1"/>
        <v>17</v>
      </c>
      <c r="AL18" s="5">
        <f t="shared" si="2"/>
        <v>2</v>
      </c>
      <c r="AM18" s="134"/>
      <c r="AN18" s="134"/>
      <c r="AO18" s="134"/>
      <c r="AP18" s="134"/>
    </row>
    <row r="19" spans="1:42" ht="15.5" x14ac:dyDescent="0.35">
      <c r="A19" s="9">
        <v>15</v>
      </c>
      <c r="B19" s="11"/>
      <c r="C19" s="136" t="s">
        <v>488</v>
      </c>
      <c r="D19" s="136" t="s">
        <v>358</v>
      </c>
      <c r="E19" s="8" t="s">
        <v>862</v>
      </c>
      <c r="F19" s="149"/>
      <c r="G19" s="94" t="s">
        <v>818</v>
      </c>
      <c r="H19" s="94" t="s">
        <v>818</v>
      </c>
      <c r="I19" s="150"/>
      <c r="J19" s="94" t="s">
        <v>818</v>
      </c>
      <c r="K19" s="94" t="s">
        <v>818</v>
      </c>
      <c r="L19" s="94" t="s">
        <v>818</v>
      </c>
      <c r="M19" s="94" t="s">
        <v>817</v>
      </c>
      <c r="N19" s="94" t="s">
        <v>817</v>
      </c>
      <c r="O19" s="94" t="s">
        <v>817</v>
      </c>
      <c r="P19" s="150"/>
      <c r="Q19" s="94" t="s">
        <v>818</v>
      </c>
      <c r="R19" s="94" t="s">
        <v>817</v>
      </c>
      <c r="S19" s="94" t="s">
        <v>819</v>
      </c>
      <c r="T19" s="94" t="s">
        <v>819</v>
      </c>
      <c r="U19" s="94" t="s">
        <v>817</v>
      </c>
      <c r="V19" s="94" t="s">
        <v>817</v>
      </c>
      <c r="W19" s="150"/>
      <c r="X19" s="94" t="s">
        <v>818</v>
      </c>
      <c r="Y19" s="94" t="s">
        <v>818</v>
      </c>
      <c r="Z19" s="94" t="s">
        <v>818</v>
      </c>
      <c r="AA19" s="94" t="s">
        <v>818</v>
      </c>
      <c r="AB19" s="94" t="s">
        <v>818</v>
      </c>
      <c r="AC19" s="94"/>
      <c r="AD19" s="150"/>
      <c r="AE19" s="94"/>
      <c r="AF19" s="94"/>
      <c r="AG19" s="94"/>
      <c r="AH19" s="94"/>
      <c r="AI19" s="94"/>
      <c r="AJ19" s="94"/>
      <c r="AK19" s="5">
        <f t="shared" si="1"/>
        <v>11</v>
      </c>
      <c r="AL19" s="5">
        <f t="shared" si="2"/>
        <v>6</v>
      </c>
      <c r="AM19" s="147" t="s">
        <v>121</v>
      </c>
      <c r="AN19" s="147"/>
      <c r="AO19" s="147"/>
      <c r="AP19" s="147"/>
    </row>
    <row r="20" spans="1:42" ht="15.5" x14ac:dyDescent="0.35">
      <c r="A20" s="9">
        <v>16</v>
      </c>
      <c r="B20" s="11"/>
      <c r="C20" s="136" t="s">
        <v>887</v>
      </c>
      <c r="D20" s="136" t="s">
        <v>888</v>
      </c>
      <c r="E20" s="8" t="s">
        <v>862</v>
      </c>
      <c r="F20" s="149"/>
      <c r="G20" s="94" t="s">
        <v>818</v>
      </c>
      <c r="H20" s="94" t="s">
        <v>818</v>
      </c>
      <c r="I20" s="150"/>
      <c r="J20" s="94" t="s">
        <v>818</v>
      </c>
      <c r="K20" s="94" t="s">
        <v>818</v>
      </c>
      <c r="L20" s="94" t="s">
        <v>818</v>
      </c>
      <c r="M20" s="94" t="s">
        <v>818</v>
      </c>
      <c r="N20" s="94" t="s">
        <v>818</v>
      </c>
      <c r="O20" s="94" t="s">
        <v>818</v>
      </c>
      <c r="P20" s="150"/>
      <c r="Q20" s="94" t="s">
        <v>818</v>
      </c>
      <c r="R20" s="94" t="s">
        <v>818</v>
      </c>
      <c r="S20" s="94" t="s">
        <v>818</v>
      </c>
      <c r="T20" s="94" t="s">
        <v>818</v>
      </c>
      <c r="U20" s="94" t="s">
        <v>818</v>
      </c>
      <c r="V20" s="94" t="s">
        <v>818</v>
      </c>
      <c r="W20" s="150"/>
      <c r="X20" s="94" t="s">
        <v>818</v>
      </c>
      <c r="Y20" s="94" t="s">
        <v>818</v>
      </c>
      <c r="Z20" s="94" t="s">
        <v>818</v>
      </c>
      <c r="AA20" s="94" t="s">
        <v>818</v>
      </c>
      <c r="AB20" s="94" t="s">
        <v>818</v>
      </c>
      <c r="AC20" s="94"/>
      <c r="AD20" s="150"/>
      <c r="AE20" s="94"/>
      <c r="AF20" s="94"/>
      <c r="AG20" s="94"/>
      <c r="AH20" s="94"/>
      <c r="AI20" s="94"/>
      <c r="AJ20" s="94"/>
      <c r="AK20" s="5">
        <f t="shared" si="1"/>
        <v>19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5.5" x14ac:dyDescent="0.35">
      <c r="A21" s="9">
        <v>17</v>
      </c>
      <c r="B21" s="11"/>
      <c r="C21" s="136" t="s">
        <v>829</v>
      </c>
      <c r="D21" s="136" t="s">
        <v>889</v>
      </c>
      <c r="E21" s="8" t="s">
        <v>862</v>
      </c>
      <c r="F21" s="149"/>
      <c r="G21" s="94" t="s">
        <v>818</v>
      </c>
      <c r="H21" s="94" t="s">
        <v>818</v>
      </c>
      <c r="I21" s="150"/>
      <c r="J21" s="94" t="s">
        <v>818</v>
      </c>
      <c r="K21" s="94" t="s">
        <v>818</v>
      </c>
      <c r="L21" s="94" t="s">
        <v>818</v>
      </c>
      <c r="M21" s="94" t="s">
        <v>818</v>
      </c>
      <c r="N21" s="94" t="s">
        <v>818</v>
      </c>
      <c r="O21" s="94" t="s">
        <v>818</v>
      </c>
      <c r="P21" s="150"/>
      <c r="Q21" s="94" t="s">
        <v>818</v>
      </c>
      <c r="R21" s="94" t="s">
        <v>818</v>
      </c>
      <c r="S21" s="94" t="s">
        <v>818</v>
      </c>
      <c r="T21" s="94" t="s">
        <v>818</v>
      </c>
      <c r="U21" s="94" t="s">
        <v>818</v>
      </c>
      <c r="V21" s="94" t="s">
        <v>818</v>
      </c>
      <c r="W21" s="150"/>
      <c r="X21" s="94" t="s">
        <v>818</v>
      </c>
      <c r="Y21" s="94" t="s">
        <v>818</v>
      </c>
      <c r="Z21" s="94" t="s">
        <v>818</v>
      </c>
      <c r="AA21" s="94" t="s">
        <v>818</v>
      </c>
      <c r="AB21" s="94" t="s">
        <v>818</v>
      </c>
      <c r="AC21" s="94"/>
      <c r="AD21" s="150"/>
      <c r="AE21" s="94"/>
      <c r="AF21" s="94"/>
      <c r="AG21" s="94"/>
      <c r="AH21" s="94"/>
      <c r="AI21" s="94"/>
      <c r="AJ21" s="94"/>
      <c r="AK21" s="5">
        <f t="shared" si="1"/>
        <v>19</v>
      </c>
      <c r="AL21" s="5">
        <f t="shared" si="2"/>
        <v>0</v>
      </c>
      <c r="AM21" s="5" t="s">
        <v>14</v>
      </c>
      <c r="AN21" s="9">
        <f>29*$AN$5</f>
        <v>754</v>
      </c>
      <c r="AO21" s="9">
        <f>25*$AN$5</f>
        <v>650</v>
      </c>
      <c r="AP21" s="9">
        <f>AN21+AO21</f>
        <v>1404</v>
      </c>
    </row>
    <row r="22" spans="1:42" ht="15.5" x14ac:dyDescent="0.35">
      <c r="A22" s="9">
        <v>18</v>
      </c>
      <c r="B22" s="11"/>
      <c r="C22" s="136" t="s">
        <v>890</v>
      </c>
      <c r="D22" s="136" t="s">
        <v>891</v>
      </c>
      <c r="E22" s="8" t="s">
        <v>862</v>
      </c>
      <c r="F22" s="149"/>
      <c r="G22" s="94" t="s">
        <v>818</v>
      </c>
      <c r="H22" s="94" t="s">
        <v>818</v>
      </c>
      <c r="I22" s="150"/>
      <c r="J22" s="94" t="s">
        <v>818</v>
      </c>
      <c r="K22" s="94" t="s">
        <v>818</v>
      </c>
      <c r="L22" s="94" t="s">
        <v>818</v>
      </c>
      <c r="M22" s="94" t="s">
        <v>818</v>
      </c>
      <c r="N22" s="94" t="s">
        <v>818</v>
      </c>
      <c r="O22" s="94" t="s">
        <v>818</v>
      </c>
      <c r="P22" s="150"/>
      <c r="Q22" s="94" t="s">
        <v>818</v>
      </c>
      <c r="R22" s="94" t="s">
        <v>818</v>
      </c>
      <c r="S22" s="94" t="s">
        <v>818</v>
      </c>
      <c r="T22" s="94" t="s">
        <v>818</v>
      </c>
      <c r="U22" s="94" t="s">
        <v>818</v>
      </c>
      <c r="V22" s="94" t="s">
        <v>818</v>
      </c>
      <c r="W22" s="150"/>
      <c r="X22" s="94" t="s">
        <v>818</v>
      </c>
      <c r="Y22" s="94" t="s">
        <v>818</v>
      </c>
      <c r="Z22" s="94" t="s">
        <v>818</v>
      </c>
      <c r="AA22" s="94" t="s">
        <v>818</v>
      </c>
      <c r="AB22" s="94" t="s">
        <v>818</v>
      </c>
      <c r="AC22" s="94"/>
      <c r="AD22" s="150"/>
      <c r="AE22" s="94"/>
      <c r="AF22" s="94"/>
      <c r="AG22" s="94"/>
      <c r="AH22" s="94"/>
      <c r="AI22" s="94"/>
      <c r="AJ22" s="94"/>
      <c r="AK22" s="5">
        <f t="shared" si="1"/>
        <v>19</v>
      </c>
      <c r="AL22" s="5">
        <f t="shared" si="2"/>
        <v>0</v>
      </c>
      <c r="AM22" s="5" t="s">
        <v>17</v>
      </c>
      <c r="AN22" s="9">
        <f>AN21-AN14</f>
        <v>711</v>
      </c>
      <c r="AO22" s="9">
        <f>AO21-AO14</f>
        <v>246</v>
      </c>
      <c r="AP22" s="9">
        <f>AN22+AO22</f>
        <v>957</v>
      </c>
    </row>
    <row r="23" spans="1:42" ht="15.5" x14ac:dyDescent="0.35">
      <c r="A23" s="9">
        <v>19</v>
      </c>
      <c r="B23" s="11"/>
      <c r="C23" s="136" t="s">
        <v>892</v>
      </c>
      <c r="D23" s="136" t="s">
        <v>790</v>
      </c>
      <c r="E23" s="8" t="s">
        <v>862</v>
      </c>
      <c r="F23" s="149"/>
      <c r="G23" s="94" t="s">
        <v>817</v>
      </c>
      <c r="H23" s="94" t="s">
        <v>817</v>
      </c>
      <c r="I23" s="150"/>
      <c r="J23" s="94" t="s">
        <v>817</v>
      </c>
      <c r="K23" s="94" t="s">
        <v>818</v>
      </c>
      <c r="L23" s="94" t="s">
        <v>818</v>
      </c>
      <c r="M23" s="94" t="s">
        <v>818</v>
      </c>
      <c r="N23" s="94" t="s">
        <v>818</v>
      </c>
      <c r="O23" s="94" t="s">
        <v>818</v>
      </c>
      <c r="P23" s="150"/>
      <c r="Q23" s="94" t="s">
        <v>818</v>
      </c>
      <c r="R23" s="94" t="s">
        <v>818</v>
      </c>
      <c r="S23" s="94" t="s">
        <v>818</v>
      </c>
      <c r="T23" s="94" t="s">
        <v>818</v>
      </c>
      <c r="U23" s="94" t="s">
        <v>818</v>
      </c>
      <c r="V23" s="94" t="s">
        <v>818</v>
      </c>
      <c r="W23" s="150"/>
      <c r="X23" s="94" t="s">
        <v>818</v>
      </c>
      <c r="Y23" s="94" t="s">
        <v>818</v>
      </c>
      <c r="Z23" s="94" t="s">
        <v>818</v>
      </c>
      <c r="AA23" s="94" t="s">
        <v>818</v>
      </c>
      <c r="AB23" s="94" t="s">
        <v>818</v>
      </c>
      <c r="AC23" s="94"/>
      <c r="AD23" s="150"/>
      <c r="AE23" s="94"/>
      <c r="AF23" s="94"/>
      <c r="AG23" s="94"/>
      <c r="AH23" s="94"/>
      <c r="AI23" s="94"/>
      <c r="AJ23" s="94"/>
      <c r="AK23" s="5">
        <f t="shared" si="1"/>
        <v>16</v>
      </c>
      <c r="AL23" s="5">
        <f t="shared" si="2"/>
        <v>3</v>
      </c>
      <c r="AM23" s="5" t="s">
        <v>16</v>
      </c>
      <c r="AN23" s="12">
        <f>AN22/AN21</f>
        <v>0.94297082228116713</v>
      </c>
      <c r="AO23" s="12">
        <f>AO22/AO21</f>
        <v>0.37846153846153846</v>
      </c>
      <c r="AP23" s="12">
        <f>AP22/AP21</f>
        <v>0.68162393162393164</v>
      </c>
    </row>
    <row r="24" spans="1:42" ht="15.5" x14ac:dyDescent="0.3">
      <c r="A24" s="9">
        <v>20</v>
      </c>
      <c r="B24" s="11"/>
      <c r="C24" s="138" t="s">
        <v>893</v>
      </c>
      <c r="D24" s="137" t="s">
        <v>565</v>
      </c>
      <c r="E24" s="8" t="s">
        <v>862</v>
      </c>
      <c r="F24" s="149"/>
      <c r="G24" s="94" t="s">
        <v>818</v>
      </c>
      <c r="H24" s="94" t="s">
        <v>818</v>
      </c>
      <c r="I24" s="150"/>
      <c r="J24" s="94" t="s">
        <v>818</v>
      </c>
      <c r="K24" s="94" t="s">
        <v>818</v>
      </c>
      <c r="L24" s="94" t="s">
        <v>818</v>
      </c>
      <c r="M24" s="94" t="s">
        <v>818</v>
      </c>
      <c r="N24" s="94" t="s">
        <v>818</v>
      </c>
      <c r="O24" s="94" t="s">
        <v>818</v>
      </c>
      <c r="P24" s="150"/>
      <c r="Q24" s="94" t="s">
        <v>818</v>
      </c>
      <c r="R24" s="94" t="s">
        <v>818</v>
      </c>
      <c r="S24" s="94" t="s">
        <v>818</v>
      </c>
      <c r="T24" s="94" t="s">
        <v>818</v>
      </c>
      <c r="U24" s="94" t="s">
        <v>818</v>
      </c>
      <c r="V24" s="94" t="s">
        <v>818</v>
      </c>
      <c r="W24" s="150"/>
      <c r="X24" s="94" t="s">
        <v>818</v>
      </c>
      <c r="Y24" s="94" t="s">
        <v>818</v>
      </c>
      <c r="Z24" s="94" t="s">
        <v>818</v>
      </c>
      <c r="AA24" s="94" t="s">
        <v>818</v>
      </c>
      <c r="AB24" s="94" t="s">
        <v>818</v>
      </c>
      <c r="AC24" s="94"/>
      <c r="AD24" s="150"/>
      <c r="AE24" s="94"/>
      <c r="AF24" s="94"/>
      <c r="AG24" s="94"/>
      <c r="AH24" s="94"/>
      <c r="AI24" s="94"/>
      <c r="AJ24" s="94"/>
      <c r="AK24" s="5">
        <f t="shared" si="1"/>
        <v>19</v>
      </c>
      <c r="AL24" s="5">
        <f t="shared" si="2"/>
        <v>0</v>
      </c>
      <c r="AM24" s="14"/>
      <c r="AN24" s="14"/>
      <c r="AO24" s="14"/>
      <c r="AP24" s="14"/>
    </row>
    <row r="25" spans="1:42" ht="15.5" x14ac:dyDescent="0.3">
      <c r="A25" s="9">
        <v>21</v>
      </c>
      <c r="B25" s="11"/>
      <c r="C25" s="137" t="s">
        <v>894</v>
      </c>
      <c r="D25" s="137" t="s">
        <v>217</v>
      </c>
      <c r="E25" s="8" t="s">
        <v>862</v>
      </c>
      <c r="F25" s="149"/>
      <c r="G25" s="94" t="s">
        <v>818</v>
      </c>
      <c r="H25" s="94" t="s">
        <v>818</v>
      </c>
      <c r="I25" s="150"/>
      <c r="J25" s="94" t="s">
        <v>817</v>
      </c>
      <c r="K25" s="94" t="s">
        <v>818</v>
      </c>
      <c r="L25" s="94" t="s">
        <v>818</v>
      </c>
      <c r="M25" s="94" t="s">
        <v>818</v>
      </c>
      <c r="N25" s="94" t="s">
        <v>818</v>
      </c>
      <c r="O25" s="94" t="s">
        <v>818</v>
      </c>
      <c r="P25" s="150"/>
      <c r="Q25" s="94" t="s">
        <v>818</v>
      </c>
      <c r="R25" s="94" t="s">
        <v>818</v>
      </c>
      <c r="S25" s="94" t="s">
        <v>818</v>
      </c>
      <c r="T25" s="94" t="s">
        <v>818</v>
      </c>
      <c r="U25" s="94" t="s">
        <v>818</v>
      </c>
      <c r="V25" s="94" t="s">
        <v>818</v>
      </c>
      <c r="W25" s="150"/>
      <c r="X25" s="94" t="s">
        <v>818</v>
      </c>
      <c r="Y25" s="94" t="s">
        <v>818</v>
      </c>
      <c r="Z25" s="94" t="s">
        <v>818</v>
      </c>
      <c r="AA25" s="94" t="s">
        <v>818</v>
      </c>
      <c r="AB25" s="94" t="s">
        <v>818</v>
      </c>
      <c r="AC25" s="94"/>
      <c r="AD25" s="150"/>
      <c r="AE25" s="94"/>
      <c r="AF25" s="94"/>
      <c r="AG25" s="94"/>
      <c r="AH25" s="94"/>
      <c r="AI25" s="94"/>
      <c r="AJ25" s="94"/>
      <c r="AK25" s="5">
        <f t="shared" si="1"/>
        <v>18</v>
      </c>
      <c r="AL25" s="5">
        <f t="shared" si="2"/>
        <v>1</v>
      </c>
      <c r="AM25" s="14"/>
      <c r="AN25" s="14"/>
      <c r="AO25" s="14"/>
      <c r="AP25" s="14"/>
    </row>
    <row r="26" spans="1:42" ht="15.5" x14ac:dyDescent="0.3">
      <c r="A26" s="9">
        <v>22</v>
      </c>
      <c r="B26" s="11"/>
      <c r="C26" s="137" t="s">
        <v>895</v>
      </c>
      <c r="D26" s="137" t="s">
        <v>896</v>
      </c>
      <c r="E26" s="8" t="s">
        <v>862</v>
      </c>
      <c r="F26" s="149"/>
      <c r="G26" s="94" t="s">
        <v>817</v>
      </c>
      <c r="H26" s="94" t="s">
        <v>817</v>
      </c>
      <c r="I26" s="150"/>
      <c r="J26" s="94" t="s">
        <v>818</v>
      </c>
      <c r="K26" s="94" t="s">
        <v>818</v>
      </c>
      <c r="L26" s="94" t="s">
        <v>818</v>
      </c>
      <c r="M26" s="94" t="s">
        <v>818</v>
      </c>
      <c r="N26" s="94" t="s">
        <v>818</v>
      </c>
      <c r="O26" s="94" t="s">
        <v>818</v>
      </c>
      <c r="P26" s="150"/>
      <c r="Q26" s="94" t="s">
        <v>818</v>
      </c>
      <c r="R26" s="94" t="s">
        <v>818</v>
      </c>
      <c r="S26" s="94" t="s">
        <v>818</v>
      </c>
      <c r="T26" s="94" t="s">
        <v>818</v>
      </c>
      <c r="U26" s="94" t="s">
        <v>818</v>
      </c>
      <c r="V26" s="94" t="s">
        <v>818</v>
      </c>
      <c r="W26" s="150"/>
      <c r="X26" s="94" t="s">
        <v>818</v>
      </c>
      <c r="Y26" s="94" t="s">
        <v>818</v>
      </c>
      <c r="Z26" s="94" t="s">
        <v>818</v>
      </c>
      <c r="AA26" s="94" t="s">
        <v>818</v>
      </c>
      <c r="AB26" s="94" t="s">
        <v>818</v>
      </c>
      <c r="AC26" s="94"/>
      <c r="AD26" s="150"/>
      <c r="AE26" s="94"/>
      <c r="AF26" s="94"/>
      <c r="AG26" s="94"/>
      <c r="AH26" s="94"/>
      <c r="AI26" s="94"/>
      <c r="AJ26" s="94"/>
      <c r="AK26" s="5">
        <f t="shared" si="1"/>
        <v>17</v>
      </c>
      <c r="AL26" s="5">
        <f t="shared" si="2"/>
        <v>2</v>
      </c>
      <c r="AM26" s="14"/>
      <c r="AN26" s="14"/>
      <c r="AO26" s="14"/>
      <c r="AP26" s="14"/>
    </row>
    <row r="27" spans="1:42" ht="15.5" x14ac:dyDescent="0.35">
      <c r="A27" s="9">
        <v>23</v>
      </c>
      <c r="B27" s="11"/>
      <c r="C27" s="137" t="s">
        <v>897</v>
      </c>
      <c r="D27" s="136"/>
      <c r="E27" s="8" t="s">
        <v>862</v>
      </c>
      <c r="F27" s="149"/>
      <c r="G27" s="94" t="s">
        <v>817</v>
      </c>
      <c r="H27" s="94" t="s">
        <v>817</v>
      </c>
      <c r="I27" s="150"/>
      <c r="J27" s="94" t="s">
        <v>817</v>
      </c>
      <c r="K27" s="94" t="s">
        <v>818</v>
      </c>
      <c r="L27" s="94" t="s">
        <v>818</v>
      </c>
      <c r="M27" s="94" t="s">
        <v>817</v>
      </c>
      <c r="N27" s="94" t="s">
        <v>817</v>
      </c>
      <c r="O27" s="94" t="s">
        <v>817</v>
      </c>
      <c r="P27" s="150"/>
      <c r="Q27" s="94" t="s">
        <v>818</v>
      </c>
      <c r="R27" s="94" t="s">
        <v>818</v>
      </c>
      <c r="S27" s="94" t="s">
        <v>818</v>
      </c>
      <c r="T27" s="94" t="s">
        <v>818</v>
      </c>
      <c r="U27" s="94" t="s">
        <v>818</v>
      </c>
      <c r="V27" s="94" t="s">
        <v>818</v>
      </c>
      <c r="W27" s="150"/>
      <c r="X27" s="94" t="s">
        <v>818</v>
      </c>
      <c r="Y27" s="94" t="s">
        <v>818</v>
      </c>
      <c r="Z27" s="94" t="s">
        <v>818</v>
      </c>
      <c r="AA27" s="94" t="s">
        <v>818</v>
      </c>
      <c r="AB27" s="94" t="s">
        <v>818</v>
      </c>
      <c r="AC27" s="94"/>
      <c r="AD27" s="150"/>
      <c r="AE27" s="94"/>
      <c r="AF27" s="94"/>
      <c r="AG27" s="94"/>
      <c r="AH27" s="94"/>
      <c r="AI27" s="94"/>
      <c r="AJ27" s="94"/>
      <c r="AK27" s="5">
        <f t="shared" si="1"/>
        <v>13</v>
      </c>
      <c r="AL27" s="5">
        <f t="shared" si="2"/>
        <v>6</v>
      </c>
      <c r="AM27" s="14"/>
      <c r="AN27" s="14"/>
      <c r="AO27" s="14"/>
      <c r="AP27" s="14"/>
    </row>
    <row r="28" spans="1:42" ht="15.5" x14ac:dyDescent="0.35">
      <c r="A28" s="9">
        <v>24</v>
      </c>
      <c r="B28" s="11"/>
      <c r="C28" s="136" t="s">
        <v>894</v>
      </c>
      <c r="D28" s="136" t="s">
        <v>274</v>
      </c>
      <c r="E28" s="8" t="s">
        <v>862</v>
      </c>
      <c r="F28" s="149"/>
      <c r="G28" s="94" t="s">
        <v>818</v>
      </c>
      <c r="H28" s="94" t="s">
        <v>818</v>
      </c>
      <c r="I28" s="150"/>
      <c r="J28" s="94" t="s">
        <v>818</v>
      </c>
      <c r="K28" s="94" t="s">
        <v>818</v>
      </c>
      <c r="L28" s="94" t="s">
        <v>818</v>
      </c>
      <c r="M28" s="94" t="s">
        <v>818</v>
      </c>
      <c r="N28" s="94" t="s">
        <v>817</v>
      </c>
      <c r="O28" s="94" t="s">
        <v>817</v>
      </c>
      <c r="P28" s="150"/>
      <c r="Q28" s="94" t="s">
        <v>818</v>
      </c>
      <c r="R28" s="94" t="s">
        <v>818</v>
      </c>
      <c r="S28" s="94" t="s">
        <v>818</v>
      </c>
      <c r="T28" s="94" t="s">
        <v>818</v>
      </c>
      <c r="U28" s="94" t="s">
        <v>817</v>
      </c>
      <c r="V28" s="94" t="s">
        <v>817</v>
      </c>
      <c r="W28" s="150"/>
      <c r="X28" s="94" t="s">
        <v>819</v>
      </c>
      <c r="Y28" s="94" t="s">
        <v>819</v>
      </c>
      <c r="Z28" s="94" t="s">
        <v>819</v>
      </c>
      <c r="AA28" s="94" t="s">
        <v>819</v>
      </c>
      <c r="AB28" s="94" t="s">
        <v>819</v>
      </c>
      <c r="AC28" s="94"/>
      <c r="AD28" s="150"/>
      <c r="AE28" s="94"/>
      <c r="AF28" s="94"/>
      <c r="AG28" s="94"/>
      <c r="AH28" s="94"/>
      <c r="AI28" s="94"/>
      <c r="AJ28" s="94"/>
      <c r="AK28" s="5">
        <f t="shared" si="1"/>
        <v>10</v>
      </c>
      <c r="AL28" s="5">
        <f t="shared" si="2"/>
        <v>4</v>
      </c>
      <c r="AM28" s="14"/>
      <c r="AN28" s="14"/>
      <c r="AO28" s="14"/>
      <c r="AP28" s="14"/>
    </row>
    <row r="29" spans="1:42" ht="15.5" x14ac:dyDescent="0.3">
      <c r="A29" s="9">
        <v>25</v>
      </c>
      <c r="B29" s="11"/>
      <c r="C29" s="137" t="s">
        <v>898</v>
      </c>
      <c r="D29" s="137" t="s">
        <v>899</v>
      </c>
      <c r="E29" s="8" t="s">
        <v>862</v>
      </c>
      <c r="F29" s="149"/>
      <c r="G29" s="94" t="s">
        <v>817</v>
      </c>
      <c r="H29" s="94" t="s">
        <v>817</v>
      </c>
      <c r="I29" s="150"/>
      <c r="J29" s="94" t="s">
        <v>817</v>
      </c>
      <c r="K29" s="94" t="s">
        <v>817</v>
      </c>
      <c r="L29" s="94" t="s">
        <v>818</v>
      </c>
      <c r="M29" s="94" t="s">
        <v>818</v>
      </c>
      <c r="N29" s="94" t="s">
        <v>818</v>
      </c>
      <c r="O29" s="94" t="s">
        <v>818</v>
      </c>
      <c r="P29" s="150"/>
      <c r="Q29" s="94" t="s">
        <v>818</v>
      </c>
      <c r="R29" s="94" t="s">
        <v>818</v>
      </c>
      <c r="S29" s="94" t="s">
        <v>818</v>
      </c>
      <c r="T29" s="94" t="s">
        <v>818</v>
      </c>
      <c r="U29" s="94" t="s">
        <v>818</v>
      </c>
      <c r="V29" s="94" t="s">
        <v>818</v>
      </c>
      <c r="W29" s="150"/>
      <c r="X29" s="94" t="s">
        <v>818</v>
      </c>
      <c r="Y29" s="94" t="s">
        <v>818</v>
      </c>
      <c r="Z29" s="94" t="s">
        <v>818</v>
      </c>
      <c r="AA29" s="94" t="s">
        <v>818</v>
      </c>
      <c r="AB29" s="94" t="s">
        <v>818</v>
      </c>
      <c r="AC29" s="94"/>
      <c r="AD29" s="150"/>
      <c r="AE29" s="94"/>
      <c r="AF29" s="94"/>
      <c r="AG29" s="94"/>
      <c r="AH29" s="94"/>
      <c r="AI29" s="94"/>
      <c r="AJ29" s="94"/>
      <c r="AK29" s="5">
        <f t="shared" si="1"/>
        <v>15</v>
      </c>
      <c r="AL29" s="5">
        <f t="shared" si="2"/>
        <v>4</v>
      </c>
      <c r="AM29" s="14"/>
      <c r="AN29" s="14"/>
      <c r="AO29" s="14"/>
      <c r="AP29" s="14"/>
    </row>
    <row r="30" spans="1:42" ht="15.5" x14ac:dyDescent="0.3">
      <c r="A30" s="9">
        <v>26</v>
      </c>
      <c r="B30" s="11"/>
      <c r="C30" s="137" t="s">
        <v>249</v>
      </c>
      <c r="D30" s="137" t="s">
        <v>900</v>
      </c>
      <c r="E30" s="8" t="s">
        <v>862</v>
      </c>
      <c r="F30" s="149"/>
      <c r="G30" s="94" t="s">
        <v>818</v>
      </c>
      <c r="H30" s="94" t="s">
        <v>818</v>
      </c>
      <c r="I30" s="150"/>
      <c r="J30" s="94" t="s">
        <v>817</v>
      </c>
      <c r="K30" s="94" t="s">
        <v>817</v>
      </c>
      <c r="L30" s="94" t="s">
        <v>817</v>
      </c>
      <c r="M30" s="94" t="s">
        <v>818</v>
      </c>
      <c r="N30" s="94" t="s">
        <v>818</v>
      </c>
      <c r="O30" s="94" t="s">
        <v>818</v>
      </c>
      <c r="P30" s="150"/>
      <c r="Q30" s="94" t="s">
        <v>818</v>
      </c>
      <c r="R30" s="94" t="s">
        <v>818</v>
      </c>
      <c r="S30" s="94" t="s">
        <v>817</v>
      </c>
      <c r="T30" s="94" t="s">
        <v>819</v>
      </c>
      <c r="U30" s="94" t="s">
        <v>817</v>
      </c>
      <c r="V30" s="94" t="s">
        <v>817</v>
      </c>
      <c r="W30" s="150"/>
      <c r="X30" s="94" t="s">
        <v>818</v>
      </c>
      <c r="Y30" s="94" t="s">
        <v>818</v>
      </c>
      <c r="Z30" s="94" t="s">
        <v>818</v>
      </c>
      <c r="AA30" s="94" t="s">
        <v>818</v>
      </c>
      <c r="AB30" s="94" t="s">
        <v>817</v>
      </c>
      <c r="AC30" s="94"/>
      <c r="AD30" s="150"/>
      <c r="AE30" s="94"/>
      <c r="AF30" s="94"/>
      <c r="AG30" s="94"/>
      <c r="AH30" s="94"/>
      <c r="AI30" s="94"/>
      <c r="AJ30" s="94"/>
      <c r="AK30" s="5">
        <f t="shared" si="1"/>
        <v>11</v>
      </c>
      <c r="AL30" s="5">
        <f t="shared" si="2"/>
        <v>7</v>
      </c>
      <c r="AM30" s="14"/>
      <c r="AN30" s="14"/>
      <c r="AO30" s="14"/>
      <c r="AP30" s="14"/>
    </row>
    <row r="31" spans="1:42" ht="15.5" x14ac:dyDescent="0.35">
      <c r="A31" s="9">
        <v>27</v>
      </c>
      <c r="B31" s="11"/>
      <c r="C31" s="136" t="s">
        <v>901</v>
      </c>
      <c r="D31" s="136"/>
      <c r="E31" s="8" t="s">
        <v>862</v>
      </c>
      <c r="F31" s="149"/>
      <c r="G31" s="94" t="s">
        <v>817</v>
      </c>
      <c r="H31" s="94" t="s">
        <v>817</v>
      </c>
      <c r="I31" s="150"/>
      <c r="J31" s="94" t="s">
        <v>818</v>
      </c>
      <c r="K31" s="94" t="s">
        <v>818</v>
      </c>
      <c r="L31" s="94" t="s">
        <v>818</v>
      </c>
      <c r="M31" s="94" t="s">
        <v>818</v>
      </c>
      <c r="N31" s="94" t="s">
        <v>818</v>
      </c>
      <c r="O31" s="94" t="s">
        <v>818</v>
      </c>
      <c r="P31" s="150"/>
      <c r="Q31" s="94" t="s">
        <v>818</v>
      </c>
      <c r="R31" s="94" t="s">
        <v>818</v>
      </c>
      <c r="S31" s="94" t="s">
        <v>818</v>
      </c>
      <c r="T31" s="94" t="s">
        <v>818</v>
      </c>
      <c r="U31" s="94" t="s">
        <v>818</v>
      </c>
      <c r="V31" s="94" t="s">
        <v>818</v>
      </c>
      <c r="W31" s="150"/>
      <c r="X31" s="94" t="s">
        <v>818</v>
      </c>
      <c r="Y31" s="94" t="s">
        <v>818</v>
      </c>
      <c r="Z31" s="94" t="s">
        <v>818</v>
      </c>
      <c r="AA31" s="94" t="s">
        <v>818</v>
      </c>
      <c r="AB31" s="94" t="s">
        <v>818</v>
      </c>
      <c r="AC31" s="94"/>
      <c r="AD31" s="150"/>
      <c r="AE31" s="94"/>
      <c r="AF31" s="94"/>
      <c r="AG31" s="94"/>
      <c r="AH31" s="94"/>
      <c r="AI31" s="94"/>
      <c r="AJ31" s="94"/>
      <c r="AK31" s="5">
        <f t="shared" si="1"/>
        <v>17</v>
      </c>
      <c r="AL31" s="5">
        <f t="shared" si="2"/>
        <v>2</v>
      </c>
      <c r="AM31" s="14"/>
      <c r="AN31" s="14"/>
      <c r="AO31" s="14"/>
      <c r="AP31" s="14"/>
    </row>
  </sheetData>
  <mergeCells count="17">
    <mergeCell ref="A1:AL1"/>
    <mergeCell ref="A2:AL2"/>
    <mergeCell ref="A3:A4"/>
    <mergeCell ref="B3:B4"/>
    <mergeCell ref="C3:C4"/>
    <mergeCell ref="D3:D4"/>
    <mergeCell ref="E3:E4"/>
    <mergeCell ref="AK3:AK4"/>
    <mergeCell ref="AL3:AL4"/>
    <mergeCell ref="AM3:AN3"/>
    <mergeCell ref="F5:F31"/>
    <mergeCell ref="I5:I31"/>
    <mergeCell ref="P5:P31"/>
    <mergeCell ref="W5:W31"/>
    <mergeCell ref="AD5:AD31"/>
    <mergeCell ref="AM11:AP11"/>
    <mergeCell ref="AM19:AP19"/>
  </mergeCells>
  <conditionalFormatting sqref="F3:AJ5 G6:AJ31">
    <cfRule type="expression" dxfId="388" priority="11">
      <formula>F$3="SUN"</formula>
    </cfRule>
  </conditionalFormatting>
  <conditionalFormatting sqref="F5:AJ5 G6:AJ31">
    <cfRule type="cellIs" dxfId="387" priority="13" operator="equal">
      <formula>"L"</formula>
    </cfRule>
    <cfRule type="cellIs" dxfId="386" priority="14" operator="equal">
      <formula>"A"</formula>
    </cfRule>
    <cfRule type="cellIs" dxfId="385" priority="15" operator="equal">
      <formula>"P"</formula>
    </cfRule>
  </conditionalFormatting>
  <conditionalFormatting sqref="AK3:AL3 AK5:AL31">
    <cfRule type="expression" dxfId="384" priority="12">
      <formula>#REF!="Sun"</formula>
    </cfRule>
  </conditionalFormatting>
  <conditionalFormatting sqref="AM5:AM9">
    <cfRule type="expression" dxfId="383" priority="8">
      <formula>AM$3="Sun"</formula>
    </cfRule>
  </conditionalFormatting>
  <conditionalFormatting sqref="AM12:AM15">
    <cfRule type="expression" dxfId="382" priority="6">
      <formula>AM$3="Sun"</formula>
    </cfRule>
  </conditionalFormatting>
  <conditionalFormatting sqref="AM20:AM23">
    <cfRule type="expression" dxfId="381" priority="5">
      <formula>AM$3="Sun"</formula>
    </cfRule>
  </conditionalFormatting>
  <conditionalFormatting sqref="AM4:AN4">
    <cfRule type="expression" dxfId="380" priority="9">
      <formula>AM$3="Sun"</formula>
    </cfRule>
  </conditionalFormatting>
  <conditionalFormatting sqref="AN12:AP12 AN20:AP20">
    <cfRule type="expression" dxfId="379" priority="10">
      <formula>AN$3="Sun"</formula>
    </cfRule>
  </conditionalFormatting>
  <conditionalFormatting sqref="AP21">
    <cfRule type="expression" dxfId="378" priority="7">
      <formula>AP$3="Sun"</formula>
    </cfRule>
  </conditionalFormatting>
  <conditionalFormatting sqref="F3:AJ5 G6:AJ31">
    <cfRule type="expression" dxfId="377" priority="4">
      <formula>F$4=TODAY()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8"/>
  <sheetViews>
    <sheetView zoomScaleNormal="100" workbookViewId="0">
      <selection activeCell="Y59" sqref="Y59"/>
    </sheetView>
  </sheetViews>
  <sheetFormatPr defaultColWidth="3.81640625" defaultRowHeight="14" x14ac:dyDescent="0.3"/>
  <cols>
    <col min="1" max="1" width="5.1796875" style="1" bestFit="1" customWidth="1"/>
    <col min="2" max="2" width="5.81640625" style="1" customWidth="1"/>
    <col min="3" max="3" width="19.26953125" style="1" bestFit="1" customWidth="1"/>
    <col min="4" max="4" width="19" style="1" bestFit="1" customWidth="1"/>
    <col min="5" max="5" width="6.453125" style="1" customWidth="1"/>
    <col min="6" max="6" width="3.81640625" style="1"/>
    <col min="7" max="7" width="4.7265625" style="1" bestFit="1" customWidth="1"/>
    <col min="8" max="8" width="3.81640625" style="1"/>
    <col min="9" max="10" width="3.7265625" style="1" bestFit="1" customWidth="1"/>
    <col min="11" max="11" width="3.81640625" style="1"/>
    <col min="12" max="12" width="4.54296875" style="1" bestFit="1" customWidth="1"/>
    <col min="13" max="13" width="3.81640625" style="1"/>
    <col min="14" max="14" width="4.7265625" style="1" bestFit="1" customWidth="1"/>
    <col min="15" max="15" width="3.81640625" style="1"/>
    <col min="16" max="17" width="3.7265625" style="1" bestFit="1" customWidth="1"/>
    <col min="18" max="18" width="3.81640625" style="1"/>
    <col min="19" max="19" width="4.54296875" style="1" bestFit="1" customWidth="1"/>
    <col min="20" max="20" width="3.81640625" style="1"/>
    <col min="21" max="21" width="4.7265625" style="1" bestFit="1" customWidth="1"/>
    <col min="22" max="22" width="3.81640625" style="1"/>
    <col min="23" max="24" width="3.7265625" style="1" bestFit="1" customWidth="1"/>
    <col min="25" max="25" width="3.81640625" style="1"/>
    <col min="26" max="26" width="4.54296875" style="1" bestFit="1" customWidth="1"/>
    <col min="27" max="27" width="3.81640625" style="1"/>
    <col min="28" max="28" width="4.7265625" style="1" bestFit="1" customWidth="1"/>
    <col min="29" max="29" width="3.81640625" style="1"/>
    <col min="30" max="31" width="3.7265625" style="1" bestFit="1" customWidth="1"/>
    <col min="32" max="32" width="3.81640625" style="1"/>
    <col min="33" max="33" width="4.54296875" style="1" bestFit="1" customWidth="1"/>
    <col min="34" max="34" width="4.54296875" style="1" customWidth="1"/>
    <col min="35" max="35" width="3.81640625" style="1"/>
    <col min="36" max="36" width="4.7265625" style="1" bestFit="1" customWidth="1"/>
    <col min="37" max="37" width="7.1796875" style="1" bestFit="1" customWidth="1"/>
    <col min="38" max="38" width="6.7265625" style="1" bestFit="1" customWidth="1"/>
    <col min="39" max="39" width="18.54296875" style="1" bestFit="1" customWidth="1"/>
    <col min="40" max="41" width="8" style="1" customWidth="1"/>
    <col min="42" max="42" width="7" style="1" customWidth="1"/>
    <col min="43" max="16384" width="3.81640625" style="1"/>
  </cols>
  <sheetData>
    <row r="1" spans="1:42" ht="17" x14ac:dyDescent="0.3">
      <c r="A1" s="164" t="s">
        <v>18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</row>
    <row r="2" spans="1:42" ht="17" x14ac:dyDescent="0.4">
      <c r="A2" s="167" t="s">
        <v>732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</row>
    <row r="3" spans="1:42" ht="15.5" x14ac:dyDescent="0.3">
      <c r="A3" s="153" t="s">
        <v>0</v>
      </c>
      <c r="B3" s="153" t="s">
        <v>713</v>
      </c>
      <c r="C3" s="153" t="s">
        <v>1</v>
      </c>
      <c r="D3" s="153" t="s">
        <v>2</v>
      </c>
      <c r="E3" s="153" t="s">
        <v>3</v>
      </c>
      <c r="F3" s="2" t="str">
        <f t="shared" ref="F3:AJ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Fri</v>
      </c>
      <c r="AJ3" s="2" t="str">
        <f t="shared" si="0"/>
        <v>Sat</v>
      </c>
      <c r="AK3" s="154" t="s">
        <v>4</v>
      </c>
      <c r="AL3" s="165" t="s">
        <v>5</v>
      </c>
      <c r="AM3" s="158" t="s">
        <v>119</v>
      </c>
      <c r="AN3" s="159"/>
      <c r="AO3" s="3"/>
      <c r="AP3" s="3"/>
    </row>
    <row r="4" spans="1:42" ht="38.5" x14ac:dyDescent="0.3">
      <c r="A4" s="153"/>
      <c r="B4" s="153"/>
      <c r="C4" s="153"/>
      <c r="D4" s="153"/>
      <c r="E4" s="153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54"/>
      <c r="AL4" s="166"/>
      <c r="AM4" s="5" t="s">
        <v>120</v>
      </c>
      <c r="AN4" s="5">
        <f>SUM(AN5:AN8)</f>
        <v>30</v>
      </c>
      <c r="AO4" s="3"/>
      <c r="AP4" s="3"/>
    </row>
    <row r="5" spans="1:42" ht="15" customHeight="1" x14ac:dyDescent="0.3">
      <c r="A5" s="9">
        <v>1</v>
      </c>
      <c r="B5" s="11">
        <v>112</v>
      </c>
      <c r="C5" s="7" t="s">
        <v>19</v>
      </c>
      <c r="D5" s="7" t="s">
        <v>20</v>
      </c>
      <c r="E5" s="8" t="s">
        <v>6</v>
      </c>
      <c r="F5" s="155" t="s">
        <v>816</v>
      </c>
      <c r="G5" s="94" t="s">
        <v>817</v>
      </c>
      <c r="H5" s="94" t="s">
        <v>817</v>
      </c>
      <c r="I5" s="161" t="s">
        <v>362</v>
      </c>
      <c r="J5" s="94" t="s">
        <v>817</v>
      </c>
      <c r="K5" s="94" t="s">
        <v>817</v>
      </c>
      <c r="L5" s="94" t="s">
        <v>817</v>
      </c>
      <c r="M5" s="94" t="s">
        <v>817</v>
      </c>
      <c r="N5" s="94" t="s">
        <v>817</v>
      </c>
      <c r="O5" s="94" t="s">
        <v>817</v>
      </c>
      <c r="P5" s="161" t="s">
        <v>362</v>
      </c>
      <c r="Q5" s="94" t="s">
        <v>817</v>
      </c>
      <c r="R5" s="94" t="s">
        <v>817</v>
      </c>
      <c r="S5" s="94" t="s">
        <v>817</v>
      </c>
      <c r="T5" s="94" t="s">
        <v>817</v>
      </c>
      <c r="U5" s="94" t="s">
        <v>817</v>
      </c>
      <c r="V5" s="94" t="s">
        <v>817</v>
      </c>
      <c r="W5" s="161" t="s">
        <v>362</v>
      </c>
      <c r="X5" s="94" t="s">
        <v>817</v>
      </c>
      <c r="Y5" s="94" t="s">
        <v>817</v>
      </c>
      <c r="Z5" s="94" t="s">
        <v>817</v>
      </c>
      <c r="AA5" s="94" t="s">
        <v>817</v>
      </c>
      <c r="AB5" s="94" t="s">
        <v>817</v>
      </c>
      <c r="AC5" s="94"/>
      <c r="AD5" s="161" t="s">
        <v>362</v>
      </c>
      <c r="AE5" s="94"/>
      <c r="AF5" s="94"/>
      <c r="AG5" s="94"/>
      <c r="AH5" s="94"/>
      <c r="AI5" s="94"/>
      <c r="AJ5" s="94"/>
      <c r="AK5" s="5">
        <f t="shared" ref="AK5:AK36" si="1">COUNTIF(F5:AJ5,"P")</f>
        <v>0</v>
      </c>
      <c r="AL5" s="5">
        <f t="shared" ref="AL5:AL36" si="2">COUNTIF(F5:AJ5,"A")</f>
        <v>19</v>
      </c>
      <c r="AM5" s="5" t="s">
        <v>7</v>
      </c>
      <c r="AN5" s="9">
        <v>26</v>
      </c>
      <c r="AO5" s="10"/>
      <c r="AP5" s="3"/>
    </row>
    <row r="6" spans="1:42" ht="15.5" x14ac:dyDescent="0.3">
      <c r="A6" s="9">
        <v>2</v>
      </c>
      <c r="B6" s="11">
        <v>135</v>
      </c>
      <c r="C6" s="7" t="s">
        <v>25</v>
      </c>
      <c r="D6" s="7" t="s">
        <v>26</v>
      </c>
      <c r="E6" s="8" t="s">
        <v>6</v>
      </c>
      <c r="F6" s="156"/>
      <c r="G6" s="94" t="s">
        <v>817</v>
      </c>
      <c r="H6" s="94" t="s">
        <v>818</v>
      </c>
      <c r="I6" s="162"/>
      <c r="J6" s="94" t="s">
        <v>818</v>
      </c>
      <c r="K6" s="94" t="s">
        <v>817</v>
      </c>
      <c r="L6" s="94" t="s">
        <v>818</v>
      </c>
      <c r="M6" s="94" t="s">
        <v>817</v>
      </c>
      <c r="N6" s="94" t="s">
        <v>818</v>
      </c>
      <c r="O6" s="94" t="s">
        <v>817</v>
      </c>
      <c r="P6" s="162"/>
      <c r="Q6" s="94" t="s">
        <v>818</v>
      </c>
      <c r="R6" s="94" t="s">
        <v>818</v>
      </c>
      <c r="S6" s="94" t="s">
        <v>817</v>
      </c>
      <c r="T6" s="94" t="s">
        <v>818</v>
      </c>
      <c r="U6" s="94" t="s">
        <v>818</v>
      </c>
      <c r="V6" s="94" t="s">
        <v>818</v>
      </c>
      <c r="W6" s="162"/>
      <c r="X6" s="94" t="s">
        <v>818</v>
      </c>
      <c r="Y6" s="94" t="s">
        <v>817</v>
      </c>
      <c r="Z6" s="94" t="s">
        <v>817</v>
      </c>
      <c r="AA6" s="94" t="s">
        <v>818</v>
      </c>
      <c r="AB6" s="94" t="s">
        <v>818</v>
      </c>
      <c r="AC6" s="94"/>
      <c r="AD6" s="162"/>
      <c r="AE6" s="94"/>
      <c r="AF6" s="94"/>
      <c r="AG6" s="94"/>
      <c r="AH6" s="94"/>
      <c r="AI6" s="94"/>
      <c r="AJ6" s="94"/>
      <c r="AK6" s="5">
        <f t="shared" si="1"/>
        <v>12</v>
      </c>
      <c r="AL6" s="5">
        <f t="shared" si="2"/>
        <v>7</v>
      </c>
      <c r="AM6" s="5" t="s">
        <v>8</v>
      </c>
      <c r="AN6" s="9">
        <v>4</v>
      </c>
      <c r="AO6" s="3"/>
      <c r="AP6" s="3"/>
    </row>
    <row r="7" spans="1:42" ht="15.5" x14ac:dyDescent="0.3">
      <c r="A7" s="9">
        <v>3</v>
      </c>
      <c r="B7" s="11">
        <v>137</v>
      </c>
      <c r="C7" s="7" t="s">
        <v>29</v>
      </c>
      <c r="D7" s="7" t="s">
        <v>30</v>
      </c>
      <c r="E7" s="8" t="s">
        <v>6</v>
      </c>
      <c r="F7" s="156"/>
      <c r="G7" s="94" t="s">
        <v>817</v>
      </c>
      <c r="H7" s="94" t="s">
        <v>818</v>
      </c>
      <c r="I7" s="162"/>
      <c r="J7" s="94" t="s">
        <v>818</v>
      </c>
      <c r="K7" s="94" t="s">
        <v>818</v>
      </c>
      <c r="L7" s="94" t="s">
        <v>818</v>
      </c>
      <c r="M7" s="94" t="s">
        <v>818</v>
      </c>
      <c r="N7" s="94" t="s">
        <v>818</v>
      </c>
      <c r="O7" s="94" t="s">
        <v>817</v>
      </c>
      <c r="P7" s="162"/>
      <c r="Q7" s="94" t="s">
        <v>817</v>
      </c>
      <c r="R7" s="94" t="s">
        <v>818</v>
      </c>
      <c r="S7" s="94" t="s">
        <v>818</v>
      </c>
      <c r="T7" s="94" t="s">
        <v>818</v>
      </c>
      <c r="U7" s="94" t="s">
        <v>818</v>
      </c>
      <c r="V7" s="94" t="s">
        <v>818</v>
      </c>
      <c r="W7" s="162"/>
      <c r="X7" s="94" t="s">
        <v>818</v>
      </c>
      <c r="Y7" s="94" t="s">
        <v>818</v>
      </c>
      <c r="Z7" s="94" t="s">
        <v>817</v>
      </c>
      <c r="AA7" s="94" t="s">
        <v>818</v>
      </c>
      <c r="AB7" s="94" t="s">
        <v>818</v>
      </c>
      <c r="AC7" s="94"/>
      <c r="AD7" s="162"/>
      <c r="AE7" s="94"/>
      <c r="AF7" s="94"/>
      <c r="AG7" s="94"/>
      <c r="AH7" s="94"/>
      <c r="AI7" s="94"/>
      <c r="AJ7" s="94"/>
      <c r="AK7" s="5">
        <f t="shared" si="1"/>
        <v>15</v>
      </c>
      <c r="AL7" s="5">
        <f t="shared" si="2"/>
        <v>4</v>
      </c>
      <c r="AM7" s="5"/>
      <c r="AN7" s="9"/>
      <c r="AO7" s="3"/>
      <c r="AP7" s="3"/>
    </row>
    <row r="8" spans="1:42" ht="15.5" x14ac:dyDescent="0.35">
      <c r="A8" s="9">
        <v>4</v>
      </c>
      <c r="B8" s="11">
        <v>173</v>
      </c>
      <c r="C8" s="7" t="s">
        <v>33</v>
      </c>
      <c r="D8" s="7" t="s">
        <v>34</v>
      </c>
      <c r="E8" s="8" t="s">
        <v>6</v>
      </c>
      <c r="F8" s="156"/>
      <c r="G8" s="94" t="s">
        <v>818</v>
      </c>
      <c r="H8" s="94" t="s">
        <v>818</v>
      </c>
      <c r="I8" s="162"/>
      <c r="J8" s="94" t="s">
        <v>818</v>
      </c>
      <c r="K8" s="94" t="s">
        <v>818</v>
      </c>
      <c r="L8" s="94" t="s">
        <v>818</v>
      </c>
      <c r="M8" s="94" t="s">
        <v>818</v>
      </c>
      <c r="N8" s="94" t="s">
        <v>818</v>
      </c>
      <c r="O8" s="94" t="s">
        <v>818</v>
      </c>
      <c r="P8" s="162"/>
      <c r="Q8" s="94" t="s">
        <v>818</v>
      </c>
      <c r="R8" s="94" t="s">
        <v>818</v>
      </c>
      <c r="S8" s="94" t="s">
        <v>818</v>
      </c>
      <c r="T8" s="94" t="s">
        <v>818</v>
      </c>
      <c r="U8" s="94" t="s">
        <v>818</v>
      </c>
      <c r="V8" s="94" t="s">
        <v>818</v>
      </c>
      <c r="W8" s="162"/>
      <c r="X8" s="94" t="s">
        <v>818</v>
      </c>
      <c r="Y8" s="94" t="s">
        <v>818</v>
      </c>
      <c r="Z8" s="94" t="s">
        <v>817</v>
      </c>
      <c r="AA8" s="94" t="s">
        <v>818</v>
      </c>
      <c r="AB8" s="94" t="s">
        <v>818</v>
      </c>
      <c r="AC8" s="94"/>
      <c r="AD8" s="162"/>
      <c r="AE8" s="94"/>
      <c r="AF8" s="94"/>
      <c r="AG8" s="94"/>
      <c r="AH8" s="94"/>
      <c r="AI8" s="94"/>
      <c r="AJ8" s="94"/>
      <c r="AK8" s="5">
        <f t="shared" si="1"/>
        <v>18</v>
      </c>
      <c r="AL8" s="5">
        <f t="shared" si="2"/>
        <v>1</v>
      </c>
      <c r="AM8" s="5"/>
      <c r="AN8" s="9"/>
      <c r="AO8"/>
      <c r="AP8"/>
    </row>
    <row r="9" spans="1:42" ht="15.5" x14ac:dyDescent="0.3">
      <c r="A9" s="9">
        <v>5</v>
      </c>
      <c r="B9" s="95">
        <v>143</v>
      </c>
      <c r="C9" s="7" t="s">
        <v>37</v>
      </c>
      <c r="D9" s="7" t="s">
        <v>38</v>
      </c>
      <c r="E9" s="8" t="s">
        <v>6</v>
      </c>
      <c r="F9" s="156"/>
      <c r="G9" s="94" t="s">
        <v>818</v>
      </c>
      <c r="H9" s="94" t="s">
        <v>818</v>
      </c>
      <c r="I9" s="162"/>
      <c r="J9" s="94" t="s">
        <v>818</v>
      </c>
      <c r="K9" s="94" t="s">
        <v>818</v>
      </c>
      <c r="L9" s="94" t="s">
        <v>818</v>
      </c>
      <c r="M9" s="94" t="s">
        <v>817</v>
      </c>
      <c r="N9" s="94" t="s">
        <v>818</v>
      </c>
      <c r="O9" s="94" t="s">
        <v>818</v>
      </c>
      <c r="P9" s="162"/>
      <c r="Q9" s="94" t="s">
        <v>818</v>
      </c>
      <c r="R9" s="94" t="s">
        <v>818</v>
      </c>
      <c r="S9" s="94" t="s">
        <v>818</v>
      </c>
      <c r="T9" s="94" t="s">
        <v>818</v>
      </c>
      <c r="U9" s="94" t="s">
        <v>818</v>
      </c>
      <c r="V9" s="94" t="s">
        <v>818</v>
      </c>
      <c r="W9" s="162"/>
      <c r="X9" s="94" t="s">
        <v>818</v>
      </c>
      <c r="Y9" s="94" t="s">
        <v>818</v>
      </c>
      <c r="Z9" s="94" t="s">
        <v>818</v>
      </c>
      <c r="AA9" s="94" t="s">
        <v>818</v>
      </c>
      <c r="AB9" s="94" t="s">
        <v>818</v>
      </c>
      <c r="AC9" s="94"/>
      <c r="AD9" s="162"/>
      <c r="AE9" s="94"/>
      <c r="AF9" s="94"/>
      <c r="AG9" s="94"/>
      <c r="AH9" s="94"/>
      <c r="AI9" s="94"/>
      <c r="AJ9" s="94"/>
      <c r="AK9" s="5">
        <f t="shared" si="1"/>
        <v>18</v>
      </c>
      <c r="AL9" s="5">
        <f t="shared" si="2"/>
        <v>1</v>
      </c>
      <c r="AM9" s="5"/>
      <c r="AN9" s="9"/>
    </row>
    <row r="10" spans="1:42" ht="15.5" x14ac:dyDescent="0.3">
      <c r="A10" s="9">
        <v>6</v>
      </c>
      <c r="B10" s="95">
        <v>146</v>
      </c>
      <c r="C10" s="7" t="s">
        <v>43</v>
      </c>
      <c r="D10" s="7" t="s">
        <v>44</v>
      </c>
      <c r="E10" s="8" t="s">
        <v>6</v>
      </c>
      <c r="F10" s="156"/>
      <c r="G10" s="94" t="s">
        <v>817</v>
      </c>
      <c r="H10" s="94" t="s">
        <v>817</v>
      </c>
      <c r="I10" s="162"/>
      <c r="J10" s="94" t="s">
        <v>817</v>
      </c>
      <c r="K10" s="94" t="s">
        <v>817</v>
      </c>
      <c r="L10" s="94" t="s">
        <v>817</v>
      </c>
      <c r="M10" s="94" t="s">
        <v>817</v>
      </c>
      <c r="N10" s="94" t="s">
        <v>817</v>
      </c>
      <c r="O10" s="94" t="s">
        <v>817</v>
      </c>
      <c r="P10" s="162"/>
      <c r="Q10" s="94" t="s">
        <v>817</v>
      </c>
      <c r="R10" s="94" t="s">
        <v>817</v>
      </c>
      <c r="S10" s="94" t="s">
        <v>818</v>
      </c>
      <c r="T10" s="94" t="s">
        <v>818</v>
      </c>
      <c r="U10" s="94" t="s">
        <v>818</v>
      </c>
      <c r="V10" s="94" t="s">
        <v>817</v>
      </c>
      <c r="W10" s="162"/>
      <c r="X10" s="94" t="s">
        <v>818</v>
      </c>
      <c r="Y10" s="94" t="s">
        <v>818</v>
      </c>
      <c r="Z10" s="94" t="s">
        <v>817</v>
      </c>
      <c r="AA10" s="94" t="s">
        <v>818</v>
      </c>
      <c r="AB10" s="94" t="s">
        <v>818</v>
      </c>
      <c r="AC10" s="94"/>
      <c r="AD10" s="162"/>
      <c r="AE10" s="94"/>
      <c r="AF10" s="94"/>
      <c r="AG10" s="94"/>
      <c r="AH10" s="94"/>
      <c r="AI10" s="94"/>
      <c r="AJ10" s="94"/>
      <c r="AK10" s="5">
        <f t="shared" si="1"/>
        <v>7</v>
      </c>
      <c r="AL10" s="5">
        <f t="shared" si="2"/>
        <v>12</v>
      </c>
    </row>
    <row r="11" spans="1:42" ht="15.5" x14ac:dyDescent="0.3">
      <c r="A11" s="9">
        <v>7</v>
      </c>
      <c r="B11" s="95">
        <v>148</v>
      </c>
      <c r="C11" s="7" t="s">
        <v>45</v>
      </c>
      <c r="D11" s="7" t="s">
        <v>46</v>
      </c>
      <c r="E11" s="8" t="s">
        <v>6</v>
      </c>
      <c r="F11" s="156"/>
      <c r="G11" s="94" t="s">
        <v>817</v>
      </c>
      <c r="H11" s="94" t="s">
        <v>817</v>
      </c>
      <c r="I11" s="162"/>
      <c r="J11" s="94" t="s">
        <v>817</v>
      </c>
      <c r="K11" s="94" t="s">
        <v>817</v>
      </c>
      <c r="L11" s="94" t="s">
        <v>817</v>
      </c>
      <c r="M11" s="94" t="s">
        <v>817</v>
      </c>
      <c r="N11" s="94" t="s">
        <v>817</v>
      </c>
      <c r="O11" s="94" t="s">
        <v>817</v>
      </c>
      <c r="P11" s="162"/>
      <c r="Q11" s="94" t="s">
        <v>817</v>
      </c>
      <c r="R11" s="94" t="s">
        <v>818</v>
      </c>
      <c r="S11" s="94" t="s">
        <v>818</v>
      </c>
      <c r="T11" s="94" t="s">
        <v>817</v>
      </c>
      <c r="U11" s="94" t="s">
        <v>818</v>
      </c>
      <c r="V11" s="94" t="s">
        <v>818</v>
      </c>
      <c r="W11" s="162"/>
      <c r="X11" s="94" t="s">
        <v>817</v>
      </c>
      <c r="Y11" s="94" t="s">
        <v>818</v>
      </c>
      <c r="Z11" s="94" t="s">
        <v>817</v>
      </c>
      <c r="AA11" s="94" t="s">
        <v>818</v>
      </c>
      <c r="AB11" s="94" t="s">
        <v>818</v>
      </c>
      <c r="AC11" s="94"/>
      <c r="AD11" s="162"/>
      <c r="AE11" s="94"/>
      <c r="AF11" s="94"/>
      <c r="AG11" s="94"/>
      <c r="AH11" s="94"/>
      <c r="AI11" s="94"/>
      <c r="AJ11" s="94"/>
      <c r="AK11" s="5">
        <f t="shared" si="1"/>
        <v>7</v>
      </c>
      <c r="AL11" s="5">
        <f t="shared" si="2"/>
        <v>12</v>
      </c>
      <c r="AM11" s="158" t="s">
        <v>9</v>
      </c>
      <c r="AN11" s="159"/>
      <c r="AO11" s="159"/>
      <c r="AP11" s="160"/>
    </row>
    <row r="12" spans="1:42" ht="15.5" x14ac:dyDescent="0.3">
      <c r="A12" s="9">
        <v>8</v>
      </c>
      <c r="B12" s="95">
        <v>150</v>
      </c>
      <c r="C12" s="7" t="s">
        <v>47</v>
      </c>
      <c r="D12" s="7" t="s">
        <v>48</v>
      </c>
      <c r="E12" s="8" t="s">
        <v>6</v>
      </c>
      <c r="F12" s="156"/>
      <c r="G12" s="94" t="s">
        <v>818</v>
      </c>
      <c r="H12" s="94" t="s">
        <v>818</v>
      </c>
      <c r="I12" s="162"/>
      <c r="J12" s="94" t="s">
        <v>818</v>
      </c>
      <c r="K12" s="94" t="s">
        <v>818</v>
      </c>
      <c r="L12" s="94" t="s">
        <v>818</v>
      </c>
      <c r="M12" s="94" t="s">
        <v>817</v>
      </c>
      <c r="N12" s="94" t="s">
        <v>818</v>
      </c>
      <c r="O12" s="94" t="s">
        <v>818</v>
      </c>
      <c r="P12" s="162"/>
      <c r="Q12" s="94" t="s">
        <v>818</v>
      </c>
      <c r="R12" s="94" t="s">
        <v>818</v>
      </c>
      <c r="S12" s="94" t="s">
        <v>818</v>
      </c>
      <c r="T12" s="94" t="s">
        <v>818</v>
      </c>
      <c r="U12" s="94" t="s">
        <v>817</v>
      </c>
      <c r="V12" s="94" t="s">
        <v>818</v>
      </c>
      <c r="W12" s="162"/>
      <c r="X12" s="94" t="s">
        <v>818</v>
      </c>
      <c r="Y12" s="94" t="s">
        <v>818</v>
      </c>
      <c r="Z12" s="94" t="s">
        <v>818</v>
      </c>
      <c r="AA12" s="94" t="s">
        <v>818</v>
      </c>
      <c r="AB12" s="94" t="s">
        <v>818</v>
      </c>
      <c r="AC12" s="94"/>
      <c r="AD12" s="162"/>
      <c r="AE12" s="94"/>
      <c r="AF12" s="94"/>
      <c r="AG12" s="94"/>
      <c r="AH12" s="94"/>
      <c r="AI12" s="94"/>
      <c r="AJ12" s="94"/>
      <c r="AK12" s="5">
        <f t="shared" si="1"/>
        <v>17</v>
      </c>
      <c r="AL12" s="5">
        <f t="shared" si="2"/>
        <v>2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5.5" x14ac:dyDescent="0.3">
      <c r="A13" s="9">
        <v>9</v>
      </c>
      <c r="B13" s="95">
        <v>151</v>
      </c>
      <c r="C13" s="7" t="s">
        <v>49</v>
      </c>
      <c r="D13" s="7" t="s">
        <v>50</v>
      </c>
      <c r="E13" s="8" t="s">
        <v>6</v>
      </c>
      <c r="F13" s="156"/>
      <c r="G13" s="94" t="s">
        <v>818</v>
      </c>
      <c r="H13" s="94" t="s">
        <v>818</v>
      </c>
      <c r="I13" s="162"/>
      <c r="J13" s="94" t="s">
        <v>818</v>
      </c>
      <c r="K13" s="94" t="s">
        <v>818</v>
      </c>
      <c r="L13" s="94" t="s">
        <v>818</v>
      </c>
      <c r="M13" s="94" t="s">
        <v>818</v>
      </c>
      <c r="N13" s="94" t="s">
        <v>817</v>
      </c>
      <c r="O13" s="94" t="s">
        <v>818</v>
      </c>
      <c r="P13" s="162"/>
      <c r="Q13" s="94" t="s">
        <v>818</v>
      </c>
      <c r="R13" s="94" t="s">
        <v>818</v>
      </c>
      <c r="S13" s="94" t="s">
        <v>818</v>
      </c>
      <c r="T13" s="94" t="s">
        <v>818</v>
      </c>
      <c r="U13" s="94" t="s">
        <v>818</v>
      </c>
      <c r="V13" s="94" t="s">
        <v>818</v>
      </c>
      <c r="W13" s="162"/>
      <c r="X13" s="94" t="s">
        <v>818</v>
      </c>
      <c r="Y13" s="94" t="s">
        <v>818</v>
      </c>
      <c r="Z13" s="94" t="s">
        <v>818</v>
      </c>
      <c r="AA13" s="94" t="s">
        <v>818</v>
      </c>
      <c r="AB13" s="94" t="s">
        <v>818</v>
      </c>
      <c r="AC13" s="94"/>
      <c r="AD13" s="162"/>
      <c r="AE13" s="94"/>
      <c r="AF13" s="94"/>
      <c r="AG13" s="94"/>
      <c r="AH13" s="94"/>
      <c r="AI13" s="94"/>
      <c r="AJ13" s="94"/>
      <c r="AK13" s="5">
        <f t="shared" si="1"/>
        <v>18</v>
      </c>
      <c r="AL13" s="5">
        <f t="shared" si="2"/>
        <v>1</v>
      </c>
      <c r="AM13" s="5" t="s">
        <v>14</v>
      </c>
      <c r="AN13" s="9">
        <f>29*$AN$5</f>
        <v>754</v>
      </c>
      <c r="AO13" s="9">
        <f>25*$AN$5</f>
        <v>650</v>
      </c>
      <c r="AP13" s="9">
        <f>SUM(AN13:AO13)</f>
        <v>1404</v>
      </c>
    </row>
    <row r="14" spans="1:42" ht="15.5" x14ac:dyDescent="0.3">
      <c r="A14" s="9">
        <v>10</v>
      </c>
      <c r="B14" s="11">
        <v>160</v>
      </c>
      <c r="C14" s="7" t="s">
        <v>65</v>
      </c>
      <c r="D14" s="7" t="s">
        <v>66</v>
      </c>
      <c r="E14" s="8" t="s">
        <v>6</v>
      </c>
      <c r="F14" s="156"/>
      <c r="G14" s="94" t="s">
        <v>817</v>
      </c>
      <c r="H14" s="94" t="s">
        <v>817</v>
      </c>
      <c r="I14" s="162"/>
      <c r="J14" s="94" t="s">
        <v>818</v>
      </c>
      <c r="K14" s="94" t="s">
        <v>818</v>
      </c>
      <c r="L14" s="94" t="s">
        <v>818</v>
      </c>
      <c r="M14" s="94" t="s">
        <v>818</v>
      </c>
      <c r="N14" s="94" t="s">
        <v>818</v>
      </c>
      <c r="O14" s="94" t="s">
        <v>818</v>
      </c>
      <c r="P14" s="162"/>
      <c r="Q14" s="94" t="s">
        <v>818</v>
      </c>
      <c r="R14" s="94" t="s">
        <v>817</v>
      </c>
      <c r="S14" s="94" t="s">
        <v>818</v>
      </c>
      <c r="T14" s="94" t="s">
        <v>818</v>
      </c>
      <c r="U14" s="94" t="s">
        <v>818</v>
      </c>
      <c r="V14" s="94" t="s">
        <v>818</v>
      </c>
      <c r="W14" s="162"/>
      <c r="X14" s="94" t="s">
        <v>818</v>
      </c>
      <c r="Y14" s="94" t="s">
        <v>818</v>
      </c>
      <c r="Z14" s="94" t="s">
        <v>818</v>
      </c>
      <c r="AA14" s="94" t="s">
        <v>818</v>
      </c>
      <c r="AB14" s="94" t="s">
        <v>818</v>
      </c>
      <c r="AC14" s="94"/>
      <c r="AD14" s="162"/>
      <c r="AE14" s="94"/>
      <c r="AF14" s="94"/>
      <c r="AG14" s="94"/>
      <c r="AH14" s="94"/>
      <c r="AI14" s="94"/>
      <c r="AJ14" s="94"/>
      <c r="AK14" s="5">
        <f t="shared" si="1"/>
        <v>16</v>
      </c>
      <c r="AL14" s="5">
        <f t="shared" si="2"/>
        <v>3</v>
      </c>
      <c r="AM14" s="5" t="s">
        <v>15</v>
      </c>
      <c r="AN14" s="9">
        <f>SUM(AK29:AK57)</f>
        <v>395</v>
      </c>
      <c r="AO14" s="9">
        <f>SUM(AK5:AK28)</f>
        <v>242</v>
      </c>
      <c r="AP14" s="9">
        <f>AN14+AO14</f>
        <v>637</v>
      </c>
    </row>
    <row r="15" spans="1:42" ht="15.5" x14ac:dyDescent="0.3">
      <c r="A15" s="9">
        <v>11</v>
      </c>
      <c r="B15" s="11">
        <v>161</v>
      </c>
      <c r="C15" s="7" t="s">
        <v>67</v>
      </c>
      <c r="D15" s="7" t="s">
        <v>68</v>
      </c>
      <c r="E15" s="8" t="s">
        <v>6</v>
      </c>
      <c r="F15" s="156"/>
      <c r="G15" s="94" t="s">
        <v>817</v>
      </c>
      <c r="H15" s="94" t="s">
        <v>817</v>
      </c>
      <c r="I15" s="162"/>
      <c r="J15" s="94" t="s">
        <v>818</v>
      </c>
      <c r="K15" s="94" t="s">
        <v>818</v>
      </c>
      <c r="L15" s="94" t="s">
        <v>817</v>
      </c>
      <c r="M15" s="94" t="s">
        <v>817</v>
      </c>
      <c r="N15" s="94" t="s">
        <v>818</v>
      </c>
      <c r="O15" s="94" t="s">
        <v>818</v>
      </c>
      <c r="P15" s="162"/>
      <c r="Q15" s="94" t="s">
        <v>817</v>
      </c>
      <c r="R15" s="94" t="s">
        <v>818</v>
      </c>
      <c r="S15" s="94" t="s">
        <v>818</v>
      </c>
      <c r="T15" s="94" t="s">
        <v>818</v>
      </c>
      <c r="U15" s="94" t="s">
        <v>818</v>
      </c>
      <c r="V15" s="94" t="s">
        <v>818</v>
      </c>
      <c r="W15" s="162"/>
      <c r="X15" s="94" t="s">
        <v>818</v>
      </c>
      <c r="Y15" s="94" t="s">
        <v>818</v>
      </c>
      <c r="Z15" s="94" t="s">
        <v>818</v>
      </c>
      <c r="AA15" s="94" t="s">
        <v>818</v>
      </c>
      <c r="AB15" s="94" t="s">
        <v>817</v>
      </c>
      <c r="AC15" s="94"/>
      <c r="AD15" s="162"/>
      <c r="AE15" s="94"/>
      <c r="AF15" s="94"/>
      <c r="AG15" s="94"/>
      <c r="AH15" s="94"/>
      <c r="AI15" s="94"/>
      <c r="AJ15" s="94"/>
      <c r="AK15" s="5">
        <f t="shared" si="1"/>
        <v>13</v>
      </c>
      <c r="AL15" s="5">
        <f t="shared" si="2"/>
        <v>6</v>
      </c>
      <c r="AM15" s="5" t="s">
        <v>16</v>
      </c>
      <c r="AN15" s="12">
        <f>AN14/AN13</f>
        <v>0.52387267904509283</v>
      </c>
      <c r="AO15" s="12">
        <f>AO14/AO13</f>
        <v>0.37230769230769228</v>
      </c>
      <c r="AP15" s="12">
        <f>AP14/AP13</f>
        <v>0.45370370370370372</v>
      </c>
    </row>
    <row r="16" spans="1:42" ht="15.5" x14ac:dyDescent="0.35">
      <c r="A16" s="9">
        <v>12</v>
      </c>
      <c r="B16" s="11">
        <v>162</v>
      </c>
      <c r="C16" s="7" t="s">
        <v>69</v>
      </c>
      <c r="D16" s="7" t="s">
        <v>70</v>
      </c>
      <c r="E16" s="8" t="s">
        <v>6</v>
      </c>
      <c r="F16" s="156"/>
      <c r="G16" s="94" t="s">
        <v>817</v>
      </c>
      <c r="H16" s="94" t="s">
        <v>818</v>
      </c>
      <c r="I16" s="162"/>
      <c r="J16" s="94" t="s">
        <v>818</v>
      </c>
      <c r="K16" s="94" t="s">
        <v>817</v>
      </c>
      <c r="L16" s="94" t="s">
        <v>818</v>
      </c>
      <c r="M16" s="94" t="s">
        <v>818</v>
      </c>
      <c r="N16" s="94" t="s">
        <v>818</v>
      </c>
      <c r="O16" s="94" t="s">
        <v>818</v>
      </c>
      <c r="P16" s="162"/>
      <c r="Q16" s="94" t="s">
        <v>817</v>
      </c>
      <c r="R16" s="94" t="s">
        <v>818</v>
      </c>
      <c r="S16" s="94" t="s">
        <v>817</v>
      </c>
      <c r="T16" s="94" t="s">
        <v>817</v>
      </c>
      <c r="U16" s="94" t="s">
        <v>817</v>
      </c>
      <c r="V16" s="94" t="s">
        <v>817</v>
      </c>
      <c r="W16" s="162"/>
      <c r="X16" s="94" t="s">
        <v>817</v>
      </c>
      <c r="Y16" s="94" t="s">
        <v>817</v>
      </c>
      <c r="Z16" s="94" t="s">
        <v>817</v>
      </c>
      <c r="AA16" s="94" t="s">
        <v>817</v>
      </c>
      <c r="AB16" s="94" t="s">
        <v>818</v>
      </c>
      <c r="AC16" s="94"/>
      <c r="AD16" s="162"/>
      <c r="AE16" s="94"/>
      <c r="AF16" s="94"/>
      <c r="AG16" s="94"/>
      <c r="AH16" s="94"/>
      <c r="AI16" s="94"/>
      <c r="AJ16" s="94"/>
      <c r="AK16" s="5">
        <f t="shared" si="1"/>
        <v>8</v>
      </c>
      <c r="AL16" s="5">
        <f t="shared" si="2"/>
        <v>11</v>
      </c>
      <c r="AM16"/>
      <c r="AN16"/>
      <c r="AO16"/>
      <c r="AP16"/>
    </row>
    <row r="17" spans="1:42" ht="15.5" x14ac:dyDescent="0.35">
      <c r="A17" s="9">
        <v>13</v>
      </c>
      <c r="B17" s="11">
        <v>163</v>
      </c>
      <c r="C17" s="7" t="s">
        <v>71</v>
      </c>
      <c r="D17" s="7" t="s">
        <v>72</v>
      </c>
      <c r="E17" s="8" t="s">
        <v>6</v>
      </c>
      <c r="F17" s="156"/>
      <c r="G17" s="94" t="s">
        <v>818</v>
      </c>
      <c r="H17" s="94" t="s">
        <v>818</v>
      </c>
      <c r="I17" s="162"/>
      <c r="J17" s="94" t="s">
        <v>818</v>
      </c>
      <c r="K17" s="94" t="s">
        <v>818</v>
      </c>
      <c r="L17" s="94" t="s">
        <v>818</v>
      </c>
      <c r="M17" s="94" t="s">
        <v>818</v>
      </c>
      <c r="N17" s="94" t="s">
        <v>818</v>
      </c>
      <c r="O17" s="94" t="s">
        <v>817</v>
      </c>
      <c r="P17" s="162"/>
      <c r="Q17" s="94" t="s">
        <v>818</v>
      </c>
      <c r="R17" s="94" t="s">
        <v>818</v>
      </c>
      <c r="S17" s="94" t="s">
        <v>818</v>
      </c>
      <c r="T17" s="94" t="s">
        <v>818</v>
      </c>
      <c r="U17" s="94" t="s">
        <v>818</v>
      </c>
      <c r="V17" s="94" t="s">
        <v>818</v>
      </c>
      <c r="W17" s="162"/>
      <c r="X17" s="94" t="s">
        <v>818</v>
      </c>
      <c r="Y17" s="94" t="s">
        <v>818</v>
      </c>
      <c r="Z17" s="94" t="s">
        <v>818</v>
      </c>
      <c r="AA17" s="94" t="s">
        <v>818</v>
      </c>
      <c r="AB17" s="94" t="s">
        <v>818</v>
      </c>
      <c r="AC17" s="94"/>
      <c r="AD17" s="162"/>
      <c r="AE17" s="94"/>
      <c r="AF17" s="94"/>
      <c r="AG17" s="94"/>
      <c r="AH17" s="94"/>
      <c r="AI17" s="94"/>
      <c r="AJ17" s="94"/>
      <c r="AK17" s="5">
        <f t="shared" si="1"/>
        <v>18</v>
      </c>
      <c r="AL17" s="5">
        <f t="shared" si="2"/>
        <v>1</v>
      </c>
      <c r="AM17"/>
      <c r="AN17"/>
      <c r="AO17"/>
      <c r="AP17"/>
    </row>
    <row r="18" spans="1:42" ht="15.5" x14ac:dyDescent="0.35">
      <c r="A18" s="9">
        <v>14</v>
      </c>
      <c r="B18" s="11">
        <v>166</v>
      </c>
      <c r="C18" s="7" t="s">
        <v>75</v>
      </c>
      <c r="D18" s="7" t="s">
        <v>76</v>
      </c>
      <c r="E18" s="8" t="s">
        <v>6</v>
      </c>
      <c r="F18" s="156"/>
      <c r="G18" s="94" t="s">
        <v>817</v>
      </c>
      <c r="H18" s="94" t="s">
        <v>817</v>
      </c>
      <c r="I18" s="162"/>
      <c r="J18" s="94" t="s">
        <v>817</v>
      </c>
      <c r="K18" s="94" t="s">
        <v>817</v>
      </c>
      <c r="L18" s="94" t="s">
        <v>817</v>
      </c>
      <c r="M18" s="94" t="s">
        <v>817</v>
      </c>
      <c r="N18" s="94" t="s">
        <v>817</v>
      </c>
      <c r="O18" s="94" t="s">
        <v>817</v>
      </c>
      <c r="P18" s="162"/>
      <c r="Q18" s="94" t="s">
        <v>817</v>
      </c>
      <c r="R18" s="94" t="s">
        <v>817</v>
      </c>
      <c r="S18" s="94" t="s">
        <v>817</v>
      </c>
      <c r="T18" s="94" t="s">
        <v>817</v>
      </c>
      <c r="U18" s="94" t="s">
        <v>817</v>
      </c>
      <c r="V18" s="94" t="s">
        <v>817</v>
      </c>
      <c r="W18" s="162"/>
      <c r="X18" s="94" t="s">
        <v>817</v>
      </c>
      <c r="Y18" s="94" t="s">
        <v>817</v>
      </c>
      <c r="Z18" s="94" t="s">
        <v>817</v>
      </c>
      <c r="AA18" s="94" t="s">
        <v>817</v>
      </c>
      <c r="AB18" s="94" t="s">
        <v>817</v>
      </c>
      <c r="AC18" s="94"/>
      <c r="AD18" s="162"/>
      <c r="AE18" s="94"/>
      <c r="AF18" s="94"/>
      <c r="AG18" s="94"/>
      <c r="AH18" s="94"/>
      <c r="AI18" s="94"/>
      <c r="AJ18" s="94"/>
      <c r="AK18" s="5">
        <f t="shared" si="1"/>
        <v>0</v>
      </c>
      <c r="AL18" s="5">
        <f t="shared" si="2"/>
        <v>19</v>
      </c>
      <c r="AM18"/>
      <c r="AN18"/>
      <c r="AO18"/>
      <c r="AP18"/>
    </row>
    <row r="19" spans="1:42" ht="15.5" x14ac:dyDescent="0.3">
      <c r="A19" s="9">
        <v>15</v>
      </c>
      <c r="B19" s="11">
        <v>168</v>
      </c>
      <c r="C19" s="7" t="s">
        <v>77</v>
      </c>
      <c r="D19" s="7" t="s">
        <v>78</v>
      </c>
      <c r="E19" s="8" t="s">
        <v>6</v>
      </c>
      <c r="F19" s="156"/>
      <c r="G19" s="94" t="s">
        <v>818</v>
      </c>
      <c r="H19" s="94" t="s">
        <v>818</v>
      </c>
      <c r="I19" s="162"/>
      <c r="J19" s="94" t="s">
        <v>818</v>
      </c>
      <c r="K19" s="94" t="s">
        <v>818</v>
      </c>
      <c r="L19" s="94" t="s">
        <v>817</v>
      </c>
      <c r="M19" s="94" t="s">
        <v>818</v>
      </c>
      <c r="N19" s="94" t="s">
        <v>818</v>
      </c>
      <c r="O19" s="94" t="s">
        <v>818</v>
      </c>
      <c r="P19" s="162"/>
      <c r="Q19" s="94" t="s">
        <v>818</v>
      </c>
      <c r="R19" s="94" t="s">
        <v>818</v>
      </c>
      <c r="S19" s="94" t="s">
        <v>818</v>
      </c>
      <c r="T19" s="94" t="s">
        <v>818</v>
      </c>
      <c r="U19" s="94" t="s">
        <v>818</v>
      </c>
      <c r="V19" s="94" t="s">
        <v>818</v>
      </c>
      <c r="W19" s="162"/>
      <c r="X19" s="94" t="s">
        <v>818</v>
      </c>
      <c r="Y19" s="94" t="s">
        <v>818</v>
      </c>
      <c r="Z19" s="94" t="s">
        <v>818</v>
      </c>
      <c r="AA19" s="94" t="s">
        <v>818</v>
      </c>
      <c r="AB19" s="94" t="s">
        <v>818</v>
      </c>
      <c r="AC19" s="94"/>
      <c r="AD19" s="162"/>
      <c r="AE19" s="94"/>
      <c r="AF19" s="94"/>
      <c r="AG19" s="94"/>
      <c r="AH19" s="94"/>
      <c r="AI19" s="94"/>
      <c r="AJ19" s="94"/>
      <c r="AK19" s="5">
        <f t="shared" si="1"/>
        <v>18</v>
      </c>
      <c r="AL19" s="5">
        <f t="shared" si="2"/>
        <v>1</v>
      </c>
      <c r="AM19" s="158" t="s">
        <v>121</v>
      </c>
      <c r="AN19" s="159"/>
      <c r="AO19" s="159"/>
      <c r="AP19" s="160"/>
    </row>
    <row r="20" spans="1:42" ht="15.5" x14ac:dyDescent="0.3">
      <c r="A20" s="9">
        <v>16</v>
      </c>
      <c r="B20" s="11">
        <v>170</v>
      </c>
      <c r="C20" s="7" t="s">
        <v>81</v>
      </c>
      <c r="D20" s="7" t="s">
        <v>82</v>
      </c>
      <c r="E20" s="8" t="s">
        <v>6</v>
      </c>
      <c r="F20" s="156"/>
      <c r="G20" s="94" t="s">
        <v>817</v>
      </c>
      <c r="H20" s="94" t="s">
        <v>817</v>
      </c>
      <c r="I20" s="162"/>
      <c r="J20" s="94" t="s">
        <v>818</v>
      </c>
      <c r="K20" s="94" t="s">
        <v>818</v>
      </c>
      <c r="L20" s="94" t="s">
        <v>817</v>
      </c>
      <c r="M20" s="94" t="s">
        <v>817</v>
      </c>
      <c r="N20" s="94" t="s">
        <v>818</v>
      </c>
      <c r="O20" s="94" t="s">
        <v>818</v>
      </c>
      <c r="P20" s="162"/>
      <c r="Q20" s="94" t="s">
        <v>817</v>
      </c>
      <c r="R20" s="94" t="s">
        <v>817</v>
      </c>
      <c r="S20" s="94" t="s">
        <v>818</v>
      </c>
      <c r="T20" s="94" t="s">
        <v>817</v>
      </c>
      <c r="U20" s="94" t="s">
        <v>817</v>
      </c>
      <c r="V20" s="94" t="s">
        <v>817</v>
      </c>
      <c r="W20" s="162"/>
      <c r="X20" s="94" t="s">
        <v>818</v>
      </c>
      <c r="Y20" s="94" t="s">
        <v>818</v>
      </c>
      <c r="Z20" s="94" t="s">
        <v>818</v>
      </c>
      <c r="AA20" s="94" t="s">
        <v>818</v>
      </c>
      <c r="AB20" s="94" t="s">
        <v>818</v>
      </c>
      <c r="AC20" s="94"/>
      <c r="AD20" s="162"/>
      <c r="AE20" s="94"/>
      <c r="AF20" s="94"/>
      <c r="AG20" s="94"/>
      <c r="AH20" s="94"/>
      <c r="AI20" s="94"/>
      <c r="AJ20" s="94"/>
      <c r="AK20" s="5">
        <f t="shared" si="1"/>
        <v>10</v>
      </c>
      <c r="AL20" s="5">
        <f t="shared" si="2"/>
        <v>9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5.5" x14ac:dyDescent="0.3">
      <c r="A21" s="9">
        <v>17</v>
      </c>
      <c r="B21" s="11">
        <v>171</v>
      </c>
      <c r="C21" s="7" t="s">
        <v>83</v>
      </c>
      <c r="D21" s="7" t="s">
        <v>84</v>
      </c>
      <c r="E21" s="8" t="s">
        <v>6</v>
      </c>
      <c r="F21" s="156"/>
      <c r="G21" s="94" t="s">
        <v>817</v>
      </c>
      <c r="H21" s="94" t="s">
        <v>818</v>
      </c>
      <c r="I21" s="162"/>
      <c r="J21" s="94" t="s">
        <v>817</v>
      </c>
      <c r="K21" s="94" t="s">
        <v>817</v>
      </c>
      <c r="L21" s="94" t="s">
        <v>817</v>
      </c>
      <c r="M21" s="94" t="s">
        <v>817</v>
      </c>
      <c r="N21" s="94" t="s">
        <v>817</v>
      </c>
      <c r="O21" s="94" t="s">
        <v>817</v>
      </c>
      <c r="P21" s="162"/>
      <c r="Q21" s="94" t="s">
        <v>817</v>
      </c>
      <c r="R21" s="94" t="s">
        <v>817</v>
      </c>
      <c r="S21" s="94" t="s">
        <v>817</v>
      </c>
      <c r="T21" s="94" t="s">
        <v>817</v>
      </c>
      <c r="U21" s="94" t="s">
        <v>817</v>
      </c>
      <c r="V21" s="94" t="s">
        <v>817</v>
      </c>
      <c r="W21" s="162"/>
      <c r="X21" s="94" t="s">
        <v>817</v>
      </c>
      <c r="Y21" s="94" t="s">
        <v>817</v>
      </c>
      <c r="Z21" s="94" t="s">
        <v>817</v>
      </c>
      <c r="AA21" s="94" t="s">
        <v>817</v>
      </c>
      <c r="AB21" s="94" t="s">
        <v>817</v>
      </c>
      <c r="AC21" s="94"/>
      <c r="AD21" s="162"/>
      <c r="AE21" s="94"/>
      <c r="AF21" s="94"/>
      <c r="AG21" s="94"/>
      <c r="AH21" s="94"/>
      <c r="AI21" s="94"/>
      <c r="AJ21" s="94"/>
      <c r="AK21" s="5">
        <f t="shared" si="1"/>
        <v>1</v>
      </c>
      <c r="AL21" s="5">
        <f t="shared" si="2"/>
        <v>18</v>
      </c>
      <c r="AM21" s="5" t="s">
        <v>14</v>
      </c>
      <c r="AN21" s="9">
        <f>29*$AN$5</f>
        <v>754</v>
      </c>
      <c r="AO21" s="9">
        <f>25*$AN$5</f>
        <v>650</v>
      </c>
      <c r="AP21" s="9">
        <f>AN21+AO21</f>
        <v>1404</v>
      </c>
    </row>
    <row r="22" spans="1:42" ht="15.5" x14ac:dyDescent="0.3">
      <c r="A22" s="9">
        <v>18</v>
      </c>
      <c r="B22" s="11">
        <v>172</v>
      </c>
      <c r="C22" s="7" t="s">
        <v>85</v>
      </c>
      <c r="D22" s="7" t="s">
        <v>86</v>
      </c>
      <c r="E22" s="8" t="s">
        <v>6</v>
      </c>
      <c r="F22" s="156"/>
      <c r="G22" s="94" t="s">
        <v>817</v>
      </c>
      <c r="H22" s="94" t="s">
        <v>817</v>
      </c>
      <c r="I22" s="162"/>
      <c r="J22" s="94" t="s">
        <v>817</v>
      </c>
      <c r="K22" s="94" t="s">
        <v>817</v>
      </c>
      <c r="L22" s="94" t="s">
        <v>817</v>
      </c>
      <c r="M22" s="94" t="s">
        <v>817</v>
      </c>
      <c r="N22" s="94" t="s">
        <v>817</v>
      </c>
      <c r="O22" s="94" t="s">
        <v>817</v>
      </c>
      <c r="P22" s="162"/>
      <c r="Q22" s="94" t="s">
        <v>817</v>
      </c>
      <c r="R22" s="94" t="s">
        <v>817</v>
      </c>
      <c r="S22" s="94" t="s">
        <v>817</v>
      </c>
      <c r="T22" s="94" t="s">
        <v>817</v>
      </c>
      <c r="U22" s="94" t="s">
        <v>817</v>
      </c>
      <c r="V22" s="94" t="s">
        <v>817</v>
      </c>
      <c r="W22" s="162"/>
      <c r="X22" s="94" t="s">
        <v>817</v>
      </c>
      <c r="Y22" s="94" t="s">
        <v>817</v>
      </c>
      <c r="Z22" s="94" t="s">
        <v>817</v>
      </c>
      <c r="AA22" s="94" t="s">
        <v>817</v>
      </c>
      <c r="AB22" s="94" t="s">
        <v>817</v>
      </c>
      <c r="AC22" s="94"/>
      <c r="AD22" s="162"/>
      <c r="AE22" s="94"/>
      <c r="AF22" s="94"/>
      <c r="AG22" s="94"/>
      <c r="AH22" s="94"/>
      <c r="AI22" s="94"/>
      <c r="AJ22" s="94"/>
      <c r="AK22" s="5">
        <f t="shared" si="1"/>
        <v>0</v>
      </c>
      <c r="AL22" s="5">
        <f t="shared" si="2"/>
        <v>19</v>
      </c>
      <c r="AM22" s="5" t="s">
        <v>17</v>
      </c>
      <c r="AN22" s="9">
        <f>AN21-AN14</f>
        <v>359</v>
      </c>
      <c r="AO22" s="9">
        <f>AO21-AO14</f>
        <v>408</v>
      </c>
      <c r="AP22" s="9">
        <f>AN22+AO22</f>
        <v>767</v>
      </c>
    </row>
    <row r="23" spans="1:42" ht="15.5" x14ac:dyDescent="0.3">
      <c r="A23" s="9">
        <v>19</v>
      </c>
      <c r="B23" s="11">
        <v>180</v>
      </c>
      <c r="C23" s="7" t="s">
        <v>91</v>
      </c>
      <c r="D23" s="7" t="s">
        <v>92</v>
      </c>
      <c r="E23" s="8" t="s">
        <v>6</v>
      </c>
      <c r="F23" s="156"/>
      <c r="G23" s="94" t="s">
        <v>817</v>
      </c>
      <c r="H23" s="94" t="s">
        <v>818</v>
      </c>
      <c r="I23" s="162"/>
      <c r="J23" s="94" t="s">
        <v>818</v>
      </c>
      <c r="K23" s="94" t="s">
        <v>818</v>
      </c>
      <c r="L23" s="94" t="s">
        <v>818</v>
      </c>
      <c r="M23" s="94" t="s">
        <v>817</v>
      </c>
      <c r="N23" s="94" t="s">
        <v>818</v>
      </c>
      <c r="O23" s="94" t="s">
        <v>818</v>
      </c>
      <c r="P23" s="162"/>
      <c r="Q23" s="94" t="s">
        <v>818</v>
      </c>
      <c r="R23" s="94" t="s">
        <v>818</v>
      </c>
      <c r="S23" s="94" t="s">
        <v>818</v>
      </c>
      <c r="T23" s="94" t="s">
        <v>817</v>
      </c>
      <c r="U23" s="94" t="s">
        <v>817</v>
      </c>
      <c r="V23" s="94" t="s">
        <v>817</v>
      </c>
      <c r="W23" s="162"/>
      <c r="X23" s="94" t="s">
        <v>817</v>
      </c>
      <c r="Y23" s="94" t="s">
        <v>817</v>
      </c>
      <c r="Z23" s="94" t="s">
        <v>817</v>
      </c>
      <c r="AA23" s="94" t="s">
        <v>817</v>
      </c>
      <c r="AB23" s="94" t="s">
        <v>817</v>
      </c>
      <c r="AC23" s="94"/>
      <c r="AD23" s="162"/>
      <c r="AE23" s="94"/>
      <c r="AF23" s="94"/>
      <c r="AG23" s="94"/>
      <c r="AH23" s="94"/>
      <c r="AI23" s="94"/>
      <c r="AJ23" s="94"/>
      <c r="AK23" s="5">
        <f t="shared" si="1"/>
        <v>9</v>
      </c>
      <c r="AL23" s="5">
        <f t="shared" si="2"/>
        <v>10</v>
      </c>
      <c r="AM23" s="5" t="s">
        <v>16</v>
      </c>
      <c r="AN23" s="12">
        <f>AN22/AN21</f>
        <v>0.47612732095490717</v>
      </c>
      <c r="AO23" s="12">
        <f>AO22/AO21</f>
        <v>0.62769230769230766</v>
      </c>
      <c r="AP23" s="12">
        <f>AP22/AP21</f>
        <v>0.54629629629629628</v>
      </c>
    </row>
    <row r="24" spans="1:42" ht="15.5" x14ac:dyDescent="0.3">
      <c r="A24" s="9">
        <v>20</v>
      </c>
      <c r="B24" s="11">
        <v>181</v>
      </c>
      <c r="C24" s="7" t="s">
        <v>99</v>
      </c>
      <c r="D24" s="7" t="s">
        <v>102</v>
      </c>
      <c r="E24" s="8" t="s">
        <v>6</v>
      </c>
      <c r="F24" s="156"/>
      <c r="G24" s="94" t="s">
        <v>817</v>
      </c>
      <c r="H24" s="94" t="s">
        <v>817</v>
      </c>
      <c r="I24" s="162"/>
      <c r="J24" s="94" t="s">
        <v>817</v>
      </c>
      <c r="K24" s="94" t="s">
        <v>817</v>
      </c>
      <c r="L24" s="94" t="s">
        <v>817</v>
      </c>
      <c r="M24" s="94" t="s">
        <v>817</v>
      </c>
      <c r="N24" s="94" t="s">
        <v>817</v>
      </c>
      <c r="O24" s="94" t="s">
        <v>817</v>
      </c>
      <c r="P24" s="162"/>
      <c r="Q24" s="94" t="s">
        <v>817</v>
      </c>
      <c r="R24" s="94" t="s">
        <v>817</v>
      </c>
      <c r="S24" s="94" t="s">
        <v>817</v>
      </c>
      <c r="T24" s="94" t="s">
        <v>817</v>
      </c>
      <c r="U24" s="94" t="s">
        <v>817</v>
      </c>
      <c r="V24" s="94" t="s">
        <v>817</v>
      </c>
      <c r="W24" s="162"/>
      <c r="X24" s="94" t="s">
        <v>817</v>
      </c>
      <c r="Y24" s="94" t="s">
        <v>817</v>
      </c>
      <c r="Z24" s="94" t="s">
        <v>817</v>
      </c>
      <c r="AA24" s="94" t="s">
        <v>817</v>
      </c>
      <c r="AB24" s="94" t="s">
        <v>817</v>
      </c>
      <c r="AC24" s="94"/>
      <c r="AD24" s="162"/>
      <c r="AE24" s="94"/>
      <c r="AF24" s="94"/>
      <c r="AG24" s="94"/>
      <c r="AH24" s="94"/>
      <c r="AI24" s="94"/>
      <c r="AJ24" s="94"/>
      <c r="AK24" s="5">
        <f t="shared" si="1"/>
        <v>0</v>
      </c>
      <c r="AL24" s="5">
        <f t="shared" si="2"/>
        <v>19</v>
      </c>
    </row>
    <row r="25" spans="1:42" ht="15.5" x14ac:dyDescent="0.3">
      <c r="A25" s="9">
        <v>21</v>
      </c>
      <c r="B25" s="11">
        <v>195</v>
      </c>
      <c r="C25" s="7" t="s">
        <v>105</v>
      </c>
      <c r="D25" s="7" t="s">
        <v>106</v>
      </c>
      <c r="E25" s="8" t="s">
        <v>6</v>
      </c>
      <c r="F25" s="156"/>
      <c r="G25" s="94" t="s">
        <v>817</v>
      </c>
      <c r="H25" s="94" t="s">
        <v>818</v>
      </c>
      <c r="I25" s="162"/>
      <c r="J25" s="94" t="s">
        <v>817</v>
      </c>
      <c r="K25" s="94" t="s">
        <v>817</v>
      </c>
      <c r="L25" s="94" t="s">
        <v>817</v>
      </c>
      <c r="M25" s="94" t="s">
        <v>817</v>
      </c>
      <c r="N25" s="94" t="s">
        <v>817</v>
      </c>
      <c r="O25" s="94" t="s">
        <v>817</v>
      </c>
      <c r="P25" s="162"/>
      <c r="Q25" s="94" t="s">
        <v>817</v>
      </c>
      <c r="R25" s="94" t="s">
        <v>817</v>
      </c>
      <c r="S25" s="94" t="s">
        <v>817</v>
      </c>
      <c r="T25" s="94" t="s">
        <v>817</v>
      </c>
      <c r="U25" s="94" t="s">
        <v>817</v>
      </c>
      <c r="V25" s="94" t="s">
        <v>817</v>
      </c>
      <c r="W25" s="162"/>
      <c r="X25" s="94" t="s">
        <v>818</v>
      </c>
      <c r="Y25" s="94" t="s">
        <v>817</v>
      </c>
      <c r="Z25" s="94" t="s">
        <v>817</v>
      </c>
      <c r="AA25" s="94" t="s">
        <v>817</v>
      </c>
      <c r="AB25" s="94" t="s">
        <v>817</v>
      </c>
      <c r="AC25" s="94"/>
      <c r="AD25" s="162"/>
      <c r="AE25" s="94"/>
      <c r="AF25" s="94"/>
      <c r="AG25" s="94"/>
      <c r="AH25" s="94"/>
      <c r="AI25" s="94"/>
      <c r="AJ25" s="94"/>
      <c r="AK25" s="5">
        <f t="shared" si="1"/>
        <v>2</v>
      </c>
      <c r="AL25" s="5">
        <f t="shared" si="2"/>
        <v>17</v>
      </c>
    </row>
    <row r="26" spans="1:42" ht="15.5" x14ac:dyDescent="0.3">
      <c r="A26" s="9">
        <v>22</v>
      </c>
      <c r="B26" s="11">
        <v>183</v>
      </c>
      <c r="C26" s="7" t="s">
        <v>720</v>
      </c>
      <c r="D26" s="7" t="s">
        <v>107</v>
      </c>
      <c r="E26" s="8" t="s">
        <v>6</v>
      </c>
      <c r="F26" s="156"/>
      <c r="G26" s="94" t="s">
        <v>818</v>
      </c>
      <c r="H26" s="94" t="s">
        <v>818</v>
      </c>
      <c r="I26" s="162"/>
      <c r="J26" s="94" t="s">
        <v>817</v>
      </c>
      <c r="K26" s="94" t="s">
        <v>817</v>
      </c>
      <c r="L26" s="94" t="s">
        <v>818</v>
      </c>
      <c r="M26" s="94" t="s">
        <v>818</v>
      </c>
      <c r="N26" s="94" t="s">
        <v>818</v>
      </c>
      <c r="O26" s="94" t="s">
        <v>817</v>
      </c>
      <c r="P26" s="162"/>
      <c r="Q26" s="94" t="s">
        <v>818</v>
      </c>
      <c r="R26" s="94" t="s">
        <v>818</v>
      </c>
      <c r="S26" s="94" t="s">
        <v>818</v>
      </c>
      <c r="T26" s="94" t="s">
        <v>818</v>
      </c>
      <c r="U26" s="94" t="s">
        <v>817</v>
      </c>
      <c r="V26" s="94" t="s">
        <v>818</v>
      </c>
      <c r="W26" s="162"/>
      <c r="X26" s="94" t="s">
        <v>818</v>
      </c>
      <c r="Y26" s="94" t="s">
        <v>818</v>
      </c>
      <c r="Z26" s="94" t="s">
        <v>818</v>
      </c>
      <c r="AA26" s="94" t="s">
        <v>818</v>
      </c>
      <c r="AB26" s="94" t="s">
        <v>817</v>
      </c>
      <c r="AC26" s="94"/>
      <c r="AD26" s="162"/>
      <c r="AE26" s="94"/>
      <c r="AF26" s="94"/>
      <c r="AG26" s="94"/>
      <c r="AH26" s="94"/>
      <c r="AI26" s="94"/>
      <c r="AJ26" s="94"/>
      <c r="AK26" s="5">
        <f t="shared" si="1"/>
        <v>14</v>
      </c>
      <c r="AL26" s="5">
        <f t="shared" si="2"/>
        <v>5</v>
      </c>
    </row>
    <row r="27" spans="1:42" ht="15.5" x14ac:dyDescent="0.3">
      <c r="A27" s="9">
        <v>23</v>
      </c>
      <c r="B27" s="11">
        <v>170</v>
      </c>
      <c r="C27" s="14" t="s">
        <v>116</v>
      </c>
      <c r="D27" s="14" t="s">
        <v>117</v>
      </c>
      <c r="E27" s="8" t="s">
        <v>6</v>
      </c>
      <c r="F27" s="156"/>
      <c r="G27" s="94" t="s">
        <v>818</v>
      </c>
      <c r="H27" s="94" t="s">
        <v>818</v>
      </c>
      <c r="I27" s="162"/>
      <c r="J27" s="94" t="s">
        <v>818</v>
      </c>
      <c r="K27" s="94" t="s">
        <v>818</v>
      </c>
      <c r="L27" s="94" t="s">
        <v>818</v>
      </c>
      <c r="M27" s="94" t="s">
        <v>818</v>
      </c>
      <c r="N27" s="94" t="s">
        <v>818</v>
      </c>
      <c r="O27" s="94" t="s">
        <v>818</v>
      </c>
      <c r="P27" s="162"/>
      <c r="Q27" s="94" t="s">
        <v>818</v>
      </c>
      <c r="R27" s="94" t="s">
        <v>818</v>
      </c>
      <c r="S27" s="94" t="s">
        <v>818</v>
      </c>
      <c r="T27" s="94" t="s">
        <v>818</v>
      </c>
      <c r="U27" s="94" t="s">
        <v>818</v>
      </c>
      <c r="V27" s="94" t="s">
        <v>818</v>
      </c>
      <c r="W27" s="162"/>
      <c r="X27" s="94" t="s">
        <v>818</v>
      </c>
      <c r="Y27" s="94" t="s">
        <v>818</v>
      </c>
      <c r="Z27" s="94" t="s">
        <v>818</v>
      </c>
      <c r="AA27" s="94" t="s">
        <v>818</v>
      </c>
      <c r="AB27" s="94" t="s">
        <v>818</v>
      </c>
      <c r="AC27" s="94"/>
      <c r="AD27" s="162"/>
      <c r="AE27" s="94"/>
      <c r="AF27" s="94"/>
      <c r="AG27" s="94"/>
      <c r="AH27" s="94"/>
      <c r="AI27" s="94"/>
      <c r="AJ27" s="94"/>
      <c r="AK27" s="5">
        <f t="shared" si="1"/>
        <v>19</v>
      </c>
      <c r="AL27" s="5">
        <f t="shared" si="2"/>
        <v>0</v>
      </c>
    </row>
    <row r="28" spans="1:42" ht="15.5" x14ac:dyDescent="0.3">
      <c r="A28" s="9">
        <v>1</v>
      </c>
      <c r="B28" s="11">
        <v>189</v>
      </c>
      <c r="C28" s="14" t="s">
        <v>115</v>
      </c>
      <c r="D28" s="14" t="s">
        <v>718</v>
      </c>
      <c r="E28" s="8" t="s">
        <v>6</v>
      </c>
      <c r="F28" s="156"/>
      <c r="G28" s="94" t="s">
        <v>817</v>
      </c>
      <c r="H28" s="94" t="s">
        <v>817</v>
      </c>
      <c r="I28" s="162"/>
      <c r="J28" s="94" t="s">
        <v>817</v>
      </c>
      <c r="K28" s="94" t="s">
        <v>817</v>
      </c>
      <c r="L28" s="94" t="s">
        <v>817</v>
      </c>
      <c r="M28" s="94" t="s">
        <v>817</v>
      </c>
      <c r="N28" s="94" t="s">
        <v>817</v>
      </c>
      <c r="O28" s="94" t="s">
        <v>817</v>
      </c>
      <c r="P28" s="162"/>
      <c r="Q28" s="94" t="s">
        <v>817</v>
      </c>
      <c r="R28" s="94" t="s">
        <v>817</v>
      </c>
      <c r="S28" s="94" t="s">
        <v>817</v>
      </c>
      <c r="T28" s="94" t="s">
        <v>817</v>
      </c>
      <c r="U28" s="94" t="s">
        <v>817</v>
      </c>
      <c r="V28" s="94" t="s">
        <v>818</v>
      </c>
      <c r="W28" s="162"/>
      <c r="X28" s="94" t="s">
        <v>817</v>
      </c>
      <c r="Y28" s="94" t="s">
        <v>818</v>
      </c>
      <c r="Z28" s="94" t="s">
        <v>817</v>
      </c>
      <c r="AA28" s="94" t="s">
        <v>817</v>
      </c>
      <c r="AB28" s="94" t="s">
        <v>817</v>
      </c>
      <c r="AC28" s="94"/>
      <c r="AD28" s="162"/>
      <c r="AE28" s="94"/>
      <c r="AF28" s="94"/>
      <c r="AG28" s="94"/>
      <c r="AH28" s="94"/>
      <c r="AI28" s="94"/>
      <c r="AJ28" s="94"/>
      <c r="AK28" s="5">
        <f t="shared" si="1"/>
        <v>2</v>
      </c>
      <c r="AL28" s="5">
        <f t="shared" si="2"/>
        <v>17</v>
      </c>
    </row>
    <row r="29" spans="1:42" ht="15.5" x14ac:dyDescent="0.3">
      <c r="A29" s="9">
        <v>2</v>
      </c>
      <c r="B29" s="11">
        <v>99</v>
      </c>
      <c r="C29" s="7" t="s">
        <v>21</v>
      </c>
      <c r="D29" s="7" t="s">
        <v>22</v>
      </c>
      <c r="E29" s="8" t="s">
        <v>6</v>
      </c>
      <c r="F29" s="156"/>
      <c r="G29" s="94" t="s">
        <v>818</v>
      </c>
      <c r="H29" s="94" t="s">
        <v>818</v>
      </c>
      <c r="I29" s="162"/>
      <c r="J29" s="94" t="s">
        <v>818</v>
      </c>
      <c r="K29" s="94" t="s">
        <v>818</v>
      </c>
      <c r="L29" s="94" t="s">
        <v>818</v>
      </c>
      <c r="M29" s="94" t="s">
        <v>818</v>
      </c>
      <c r="N29" s="94" t="s">
        <v>818</v>
      </c>
      <c r="O29" s="94" t="s">
        <v>818</v>
      </c>
      <c r="P29" s="162"/>
      <c r="Q29" s="94" t="s">
        <v>817</v>
      </c>
      <c r="R29" s="94" t="s">
        <v>817</v>
      </c>
      <c r="S29" s="94" t="s">
        <v>818</v>
      </c>
      <c r="T29" s="94" t="s">
        <v>818</v>
      </c>
      <c r="U29" s="94" t="s">
        <v>818</v>
      </c>
      <c r="V29" s="94" t="s">
        <v>818</v>
      </c>
      <c r="W29" s="162"/>
      <c r="X29" s="94" t="s">
        <v>818</v>
      </c>
      <c r="Y29" s="94" t="s">
        <v>818</v>
      </c>
      <c r="Z29" s="94" t="s">
        <v>818</v>
      </c>
      <c r="AA29" s="94" t="s">
        <v>818</v>
      </c>
      <c r="AB29" s="94" t="s">
        <v>818</v>
      </c>
      <c r="AC29" s="94"/>
      <c r="AD29" s="162"/>
      <c r="AE29" s="94"/>
      <c r="AF29" s="94"/>
      <c r="AG29" s="94"/>
      <c r="AH29" s="94"/>
      <c r="AI29" s="94"/>
      <c r="AJ29" s="94"/>
      <c r="AK29" s="5">
        <f t="shared" si="1"/>
        <v>17</v>
      </c>
      <c r="AL29" s="5">
        <f t="shared" si="2"/>
        <v>2</v>
      </c>
    </row>
    <row r="30" spans="1:42" ht="15.5" x14ac:dyDescent="0.3">
      <c r="A30" s="9">
        <v>3</v>
      </c>
      <c r="B30" s="11">
        <v>98</v>
      </c>
      <c r="C30" s="7" t="s">
        <v>23</v>
      </c>
      <c r="D30" s="7" t="s">
        <v>24</v>
      </c>
      <c r="E30" s="8" t="s">
        <v>6</v>
      </c>
      <c r="F30" s="156"/>
      <c r="G30" s="94" t="s">
        <v>817</v>
      </c>
      <c r="H30" s="94" t="s">
        <v>817</v>
      </c>
      <c r="I30" s="162"/>
      <c r="J30" s="94" t="s">
        <v>818</v>
      </c>
      <c r="K30" s="94" t="s">
        <v>818</v>
      </c>
      <c r="L30" s="94" t="s">
        <v>818</v>
      </c>
      <c r="M30" s="94" t="s">
        <v>818</v>
      </c>
      <c r="N30" s="94" t="s">
        <v>818</v>
      </c>
      <c r="O30" s="94" t="s">
        <v>817</v>
      </c>
      <c r="P30" s="162"/>
      <c r="Q30" s="94" t="s">
        <v>818</v>
      </c>
      <c r="R30" s="94" t="s">
        <v>818</v>
      </c>
      <c r="S30" s="94" t="s">
        <v>818</v>
      </c>
      <c r="T30" s="94" t="s">
        <v>818</v>
      </c>
      <c r="U30" s="94" t="s">
        <v>818</v>
      </c>
      <c r="V30" s="94" t="s">
        <v>818</v>
      </c>
      <c r="W30" s="162"/>
      <c r="X30" s="94" t="s">
        <v>818</v>
      </c>
      <c r="Y30" s="94" t="s">
        <v>818</v>
      </c>
      <c r="Z30" s="94" t="s">
        <v>817</v>
      </c>
      <c r="AA30" s="94" t="s">
        <v>818</v>
      </c>
      <c r="AB30" s="94" t="s">
        <v>818</v>
      </c>
      <c r="AC30" s="94"/>
      <c r="AD30" s="162"/>
      <c r="AE30" s="94"/>
      <c r="AF30" s="94"/>
      <c r="AG30" s="94"/>
      <c r="AH30" s="94"/>
      <c r="AI30" s="94"/>
      <c r="AJ30" s="94"/>
      <c r="AK30" s="5">
        <f t="shared" si="1"/>
        <v>15</v>
      </c>
      <c r="AL30" s="5">
        <f t="shared" si="2"/>
        <v>4</v>
      </c>
    </row>
    <row r="31" spans="1:42" ht="15.5" x14ac:dyDescent="0.3">
      <c r="A31" s="9">
        <v>4</v>
      </c>
      <c r="B31" s="11">
        <v>136</v>
      </c>
      <c r="C31" s="7" t="s">
        <v>27</v>
      </c>
      <c r="D31" s="7" t="s">
        <v>28</v>
      </c>
      <c r="E31" s="8" t="s">
        <v>6</v>
      </c>
      <c r="F31" s="156"/>
      <c r="G31" s="94" t="s">
        <v>817</v>
      </c>
      <c r="H31" s="94" t="s">
        <v>817</v>
      </c>
      <c r="I31" s="162"/>
      <c r="J31" s="94" t="s">
        <v>818</v>
      </c>
      <c r="K31" s="94" t="s">
        <v>818</v>
      </c>
      <c r="L31" s="94" t="s">
        <v>818</v>
      </c>
      <c r="M31" s="94" t="s">
        <v>818</v>
      </c>
      <c r="N31" s="94" t="s">
        <v>818</v>
      </c>
      <c r="O31" s="94" t="s">
        <v>818</v>
      </c>
      <c r="P31" s="162"/>
      <c r="Q31" s="94" t="s">
        <v>818</v>
      </c>
      <c r="R31" s="94" t="s">
        <v>818</v>
      </c>
      <c r="S31" s="94" t="s">
        <v>818</v>
      </c>
      <c r="T31" s="94" t="s">
        <v>818</v>
      </c>
      <c r="U31" s="94" t="s">
        <v>818</v>
      </c>
      <c r="V31" s="94" t="s">
        <v>818</v>
      </c>
      <c r="W31" s="162"/>
      <c r="X31" s="94" t="s">
        <v>818</v>
      </c>
      <c r="Y31" s="94" t="s">
        <v>818</v>
      </c>
      <c r="Z31" s="94" t="s">
        <v>818</v>
      </c>
      <c r="AA31" s="94" t="s">
        <v>818</v>
      </c>
      <c r="AB31" s="94" t="s">
        <v>818</v>
      </c>
      <c r="AC31" s="94"/>
      <c r="AD31" s="162"/>
      <c r="AE31" s="94"/>
      <c r="AF31" s="94"/>
      <c r="AG31" s="94"/>
      <c r="AH31" s="94"/>
      <c r="AI31" s="94"/>
      <c r="AJ31" s="94"/>
      <c r="AK31" s="5">
        <f t="shared" si="1"/>
        <v>17</v>
      </c>
      <c r="AL31" s="5">
        <f t="shared" si="2"/>
        <v>2</v>
      </c>
    </row>
    <row r="32" spans="1:42" ht="15.5" x14ac:dyDescent="0.3">
      <c r="A32" s="9">
        <v>5</v>
      </c>
      <c r="B32" s="11">
        <v>139</v>
      </c>
      <c r="C32" s="7" t="s">
        <v>31</v>
      </c>
      <c r="D32" s="7" t="s">
        <v>32</v>
      </c>
      <c r="E32" s="8" t="s">
        <v>6</v>
      </c>
      <c r="F32" s="156"/>
      <c r="G32" s="94" t="s">
        <v>817</v>
      </c>
      <c r="H32" s="94" t="s">
        <v>818</v>
      </c>
      <c r="I32" s="162"/>
      <c r="J32" s="94" t="s">
        <v>817</v>
      </c>
      <c r="K32" s="94" t="s">
        <v>818</v>
      </c>
      <c r="L32" s="94" t="s">
        <v>817</v>
      </c>
      <c r="M32" s="94" t="s">
        <v>818</v>
      </c>
      <c r="N32" s="94" t="s">
        <v>818</v>
      </c>
      <c r="O32" s="94" t="s">
        <v>817</v>
      </c>
      <c r="P32" s="162"/>
      <c r="Q32" s="94" t="s">
        <v>818</v>
      </c>
      <c r="R32" s="94" t="s">
        <v>818</v>
      </c>
      <c r="S32" s="94" t="s">
        <v>817</v>
      </c>
      <c r="T32" s="94" t="s">
        <v>818</v>
      </c>
      <c r="U32" s="94" t="s">
        <v>818</v>
      </c>
      <c r="V32" s="94" t="s">
        <v>818</v>
      </c>
      <c r="W32" s="162"/>
      <c r="X32" s="94" t="s">
        <v>818</v>
      </c>
      <c r="Y32" s="94" t="s">
        <v>818</v>
      </c>
      <c r="Z32" s="94" t="s">
        <v>818</v>
      </c>
      <c r="AA32" s="94" t="s">
        <v>818</v>
      </c>
      <c r="AB32" s="94" t="s">
        <v>818</v>
      </c>
      <c r="AC32" s="94"/>
      <c r="AD32" s="162"/>
      <c r="AE32" s="94"/>
      <c r="AF32" s="94"/>
      <c r="AG32" s="94"/>
      <c r="AH32" s="94"/>
      <c r="AI32" s="94"/>
      <c r="AJ32" s="94"/>
      <c r="AK32" s="5">
        <f t="shared" si="1"/>
        <v>14</v>
      </c>
      <c r="AL32" s="5">
        <f t="shared" si="2"/>
        <v>5</v>
      </c>
    </row>
    <row r="33" spans="1:39" ht="15.5" x14ac:dyDescent="0.3">
      <c r="A33" s="9">
        <v>6</v>
      </c>
      <c r="B33" s="11">
        <v>142</v>
      </c>
      <c r="C33" s="7" t="s">
        <v>35</v>
      </c>
      <c r="D33" s="7" t="s">
        <v>36</v>
      </c>
      <c r="E33" s="8" t="s">
        <v>6</v>
      </c>
      <c r="F33" s="156"/>
      <c r="G33" s="94" t="s">
        <v>818</v>
      </c>
      <c r="H33" s="94" t="s">
        <v>818</v>
      </c>
      <c r="I33" s="162"/>
      <c r="J33" s="94" t="s">
        <v>818</v>
      </c>
      <c r="K33" s="94" t="s">
        <v>818</v>
      </c>
      <c r="L33" s="94" t="s">
        <v>818</v>
      </c>
      <c r="M33" s="94" t="s">
        <v>817</v>
      </c>
      <c r="N33" s="94" t="s">
        <v>818</v>
      </c>
      <c r="O33" s="94" t="s">
        <v>818</v>
      </c>
      <c r="P33" s="162"/>
      <c r="Q33" s="94" t="s">
        <v>818</v>
      </c>
      <c r="R33" s="94" t="s">
        <v>818</v>
      </c>
      <c r="S33" s="94" t="s">
        <v>818</v>
      </c>
      <c r="T33" s="94" t="s">
        <v>818</v>
      </c>
      <c r="U33" s="94" t="s">
        <v>818</v>
      </c>
      <c r="V33" s="94" t="s">
        <v>818</v>
      </c>
      <c r="W33" s="162"/>
      <c r="X33" s="94" t="s">
        <v>818</v>
      </c>
      <c r="Y33" s="94" t="s">
        <v>818</v>
      </c>
      <c r="Z33" s="94" t="s">
        <v>818</v>
      </c>
      <c r="AA33" s="94" t="s">
        <v>818</v>
      </c>
      <c r="AB33" s="94" t="s">
        <v>818</v>
      </c>
      <c r="AC33" s="94"/>
      <c r="AD33" s="162"/>
      <c r="AE33" s="94"/>
      <c r="AF33" s="94"/>
      <c r="AG33" s="94"/>
      <c r="AH33" s="94"/>
      <c r="AI33" s="94"/>
      <c r="AJ33" s="94"/>
      <c r="AK33" s="5">
        <f t="shared" si="1"/>
        <v>18</v>
      </c>
      <c r="AL33" s="5">
        <f t="shared" si="2"/>
        <v>1</v>
      </c>
    </row>
    <row r="34" spans="1:39" ht="15.5" x14ac:dyDescent="0.3">
      <c r="A34" s="9">
        <v>7</v>
      </c>
      <c r="B34" s="95">
        <v>144</v>
      </c>
      <c r="C34" s="7" t="s">
        <v>39</v>
      </c>
      <c r="D34" s="7" t="s">
        <v>40</v>
      </c>
      <c r="E34" s="8" t="s">
        <v>6</v>
      </c>
      <c r="F34" s="156"/>
      <c r="G34" s="94" t="s">
        <v>818</v>
      </c>
      <c r="H34" s="94" t="s">
        <v>818</v>
      </c>
      <c r="I34" s="162"/>
      <c r="J34" s="94" t="s">
        <v>818</v>
      </c>
      <c r="K34" s="94" t="s">
        <v>818</v>
      </c>
      <c r="L34" s="94" t="s">
        <v>818</v>
      </c>
      <c r="M34" s="94" t="s">
        <v>818</v>
      </c>
      <c r="N34" s="94" t="s">
        <v>818</v>
      </c>
      <c r="O34" s="94" t="s">
        <v>818</v>
      </c>
      <c r="P34" s="162"/>
      <c r="Q34" s="94" t="s">
        <v>818</v>
      </c>
      <c r="R34" s="94" t="s">
        <v>818</v>
      </c>
      <c r="S34" s="94" t="s">
        <v>818</v>
      </c>
      <c r="T34" s="94" t="s">
        <v>818</v>
      </c>
      <c r="U34" s="94" t="s">
        <v>818</v>
      </c>
      <c r="V34" s="94" t="s">
        <v>818</v>
      </c>
      <c r="W34" s="162"/>
      <c r="X34" s="94" t="s">
        <v>818</v>
      </c>
      <c r="Y34" s="94" t="s">
        <v>818</v>
      </c>
      <c r="Z34" s="94" t="s">
        <v>818</v>
      </c>
      <c r="AA34" s="94" t="s">
        <v>818</v>
      </c>
      <c r="AB34" s="94" t="s">
        <v>818</v>
      </c>
      <c r="AC34" s="94"/>
      <c r="AD34" s="162"/>
      <c r="AE34" s="94"/>
      <c r="AF34" s="94"/>
      <c r="AG34" s="94"/>
      <c r="AH34" s="94"/>
      <c r="AI34" s="94"/>
      <c r="AJ34" s="94"/>
      <c r="AK34" s="5">
        <f t="shared" si="1"/>
        <v>19</v>
      </c>
      <c r="AL34" s="5">
        <f t="shared" si="2"/>
        <v>0</v>
      </c>
    </row>
    <row r="35" spans="1:39" ht="15.5" x14ac:dyDescent="0.3">
      <c r="A35" s="9">
        <v>8</v>
      </c>
      <c r="B35" s="95">
        <v>145</v>
      </c>
      <c r="C35" s="7" t="s">
        <v>41</v>
      </c>
      <c r="D35" s="7" t="s">
        <v>42</v>
      </c>
      <c r="E35" s="8" t="s">
        <v>6</v>
      </c>
      <c r="F35" s="156"/>
      <c r="G35" s="94" t="s">
        <v>817</v>
      </c>
      <c r="H35" s="94" t="s">
        <v>818</v>
      </c>
      <c r="I35" s="162"/>
      <c r="J35" s="94" t="s">
        <v>817</v>
      </c>
      <c r="K35" s="94" t="s">
        <v>817</v>
      </c>
      <c r="L35" s="94" t="s">
        <v>817</v>
      </c>
      <c r="M35" s="94" t="s">
        <v>817</v>
      </c>
      <c r="N35" s="94" t="s">
        <v>817</v>
      </c>
      <c r="O35" s="94" t="s">
        <v>817</v>
      </c>
      <c r="P35" s="162"/>
      <c r="Q35" s="94" t="s">
        <v>817</v>
      </c>
      <c r="R35" s="94" t="s">
        <v>817</v>
      </c>
      <c r="S35" s="94" t="s">
        <v>817</v>
      </c>
      <c r="T35" s="94" t="s">
        <v>817</v>
      </c>
      <c r="U35" s="94" t="s">
        <v>817</v>
      </c>
      <c r="V35" s="94" t="s">
        <v>817</v>
      </c>
      <c r="W35" s="162"/>
      <c r="X35" s="94" t="s">
        <v>817</v>
      </c>
      <c r="Y35" s="94" t="s">
        <v>817</v>
      </c>
      <c r="Z35" s="94" t="s">
        <v>817</v>
      </c>
      <c r="AA35" s="94" t="s">
        <v>817</v>
      </c>
      <c r="AB35" s="94" t="s">
        <v>817</v>
      </c>
      <c r="AC35" s="94"/>
      <c r="AD35" s="162"/>
      <c r="AE35" s="94"/>
      <c r="AF35" s="94"/>
      <c r="AG35" s="94"/>
      <c r="AH35" s="94"/>
      <c r="AI35" s="94"/>
      <c r="AJ35" s="94"/>
      <c r="AK35" s="5">
        <f t="shared" si="1"/>
        <v>1</v>
      </c>
      <c r="AL35" s="5">
        <f t="shared" si="2"/>
        <v>18</v>
      </c>
    </row>
    <row r="36" spans="1:39" ht="15.5" x14ac:dyDescent="0.3">
      <c r="A36" s="9">
        <v>9</v>
      </c>
      <c r="B36" s="95">
        <v>152</v>
      </c>
      <c r="C36" s="7" t="s">
        <v>51</v>
      </c>
      <c r="D36" s="7" t="s">
        <v>52</v>
      </c>
      <c r="E36" s="8" t="s">
        <v>6</v>
      </c>
      <c r="F36" s="156"/>
      <c r="G36" s="94" t="s">
        <v>817</v>
      </c>
      <c r="H36" s="94" t="s">
        <v>817</v>
      </c>
      <c r="I36" s="162"/>
      <c r="J36" s="94" t="s">
        <v>818</v>
      </c>
      <c r="K36" s="94" t="s">
        <v>818</v>
      </c>
      <c r="L36" s="94" t="s">
        <v>818</v>
      </c>
      <c r="M36" s="94" t="s">
        <v>818</v>
      </c>
      <c r="N36" s="94" t="s">
        <v>818</v>
      </c>
      <c r="O36" s="94" t="s">
        <v>817</v>
      </c>
      <c r="P36" s="162"/>
      <c r="Q36" s="94" t="s">
        <v>818</v>
      </c>
      <c r="R36" s="94" t="s">
        <v>818</v>
      </c>
      <c r="S36" s="94" t="s">
        <v>818</v>
      </c>
      <c r="T36" s="94" t="s">
        <v>818</v>
      </c>
      <c r="U36" s="94" t="s">
        <v>818</v>
      </c>
      <c r="V36" s="94" t="s">
        <v>818</v>
      </c>
      <c r="W36" s="162"/>
      <c r="X36" s="94" t="s">
        <v>818</v>
      </c>
      <c r="Y36" s="94" t="s">
        <v>818</v>
      </c>
      <c r="Z36" s="94" t="s">
        <v>818</v>
      </c>
      <c r="AA36" s="94" t="s">
        <v>818</v>
      </c>
      <c r="AB36" s="94" t="s">
        <v>818</v>
      </c>
      <c r="AC36" s="94"/>
      <c r="AD36" s="162"/>
      <c r="AE36" s="94"/>
      <c r="AF36" s="94"/>
      <c r="AG36" s="94"/>
      <c r="AH36" s="94"/>
      <c r="AI36" s="94"/>
      <c r="AJ36" s="94"/>
      <c r="AK36" s="5">
        <f t="shared" si="1"/>
        <v>16</v>
      </c>
      <c r="AL36" s="5">
        <f t="shared" si="2"/>
        <v>3</v>
      </c>
    </row>
    <row r="37" spans="1:39" ht="15.5" x14ac:dyDescent="0.3">
      <c r="A37" s="9">
        <v>10</v>
      </c>
      <c r="B37" s="95">
        <v>153</v>
      </c>
      <c r="C37" s="7" t="s">
        <v>53</v>
      </c>
      <c r="D37" s="7" t="s">
        <v>54</v>
      </c>
      <c r="E37" s="8" t="s">
        <v>6</v>
      </c>
      <c r="F37" s="156"/>
      <c r="G37" s="94" t="s">
        <v>817</v>
      </c>
      <c r="H37" s="94" t="s">
        <v>818</v>
      </c>
      <c r="I37" s="162"/>
      <c r="J37" s="94" t="s">
        <v>818</v>
      </c>
      <c r="K37" s="94" t="s">
        <v>818</v>
      </c>
      <c r="L37" s="94" t="s">
        <v>818</v>
      </c>
      <c r="M37" s="94" t="s">
        <v>818</v>
      </c>
      <c r="N37" s="94" t="s">
        <v>818</v>
      </c>
      <c r="O37" s="94" t="s">
        <v>818</v>
      </c>
      <c r="P37" s="162"/>
      <c r="Q37" s="94" t="s">
        <v>818</v>
      </c>
      <c r="R37" s="94" t="s">
        <v>818</v>
      </c>
      <c r="S37" s="94" t="s">
        <v>818</v>
      </c>
      <c r="T37" s="94" t="s">
        <v>818</v>
      </c>
      <c r="U37" s="94" t="s">
        <v>818</v>
      </c>
      <c r="V37" s="94" t="s">
        <v>818</v>
      </c>
      <c r="W37" s="162"/>
      <c r="X37" s="94" t="s">
        <v>818</v>
      </c>
      <c r="Y37" s="94" t="s">
        <v>818</v>
      </c>
      <c r="Z37" s="94" t="s">
        <v>818</v>
      </c>
      <c r="AA37" s="94" t="s">
        <v>818</v>
      </c>
      <c r="AB37" s="94" t="s">
        <v>818</v>
      </c>
      <c r="AC37" s="94"/>
      <c r="AD37" s="162"/>
      <c r="AE37" s="94"/>
      <c r="AF37" s="94"/>
      <c r="AG37" s="94"/>
      <c r="AH37" s="94"/>
      <c r="AI37" s="94"/>
      <c r="AJ37" s="94"/>
      <c r="AK37" s="5">
        <f t="shared" ref="AK37:AK58" si="3">COUNTIF(F37:AJ37,"P")</f>
        <v>18</v>
      </c>
      <c r="AL37" s="5">
        <f t="shared" ref="AL37:AL58" si="4">COUNTIF(F37:AJ37,"A")</f>
        <v>1</v>
      </c>
    </row>
    <row r="38" spans="1:39" ht="15.5" x14ac:dyDescent="0.3">
      <c r="A38" s="9">
        <v>11</v>
      </c>
      <c r="B38" s="95">
        <v>154</v>
      </c>
      <c r="C38" s="7" t="s">
        <v>55</v>
      </c>
      <c r="D38" s="7" t="s">
        <v>56</v>
      </c>
      <c r="E38" s="8" t="s">
        <v>6</v>
      </c>
      <c r="F38" s="156"/>
      <c r="G38" s="94" t="s">
        <v>818</v>
      </c>
      <c r="H38" s="94" t="s">
        <v>818</v>
      </c>
      <c r="I38" s="162"/>
      <c r="J38" s="94" t="s">
        <v>818</v>
      </c>
      <c r="K38" s="94" t="s">
        <v>818</v>
      </c>
      <c r="L38" s="94" t="s">
        <v>818</v>
      </c>
      <c r="M38" s="94" t="s">
        <v>818</v>
      </c>
      <c r="N38" s="94" t="s">
        <v>818</v>
      </c>
      <c r="O38" s="94" t="s">
        <v>818</v>
      </c>
      <c r="P38" s="162"/>
      <c r="Q38" s="94" t="s">
        <v>818</v>
      </c>
      <c r="R38" s="94" t="s">
        <v>818</v>
      </c>
      <c r="S38" s="94" t="s">
        <v>818</v>
      </c>
      <c r="T38" s="94" t="s">
        <v>818</v>
      </c>
      <c r="U38" s="94" t="s">
        <v>818</v>
      </c>
      <c r="V38" s="94" t="s">
        <v>818</v>
      </c>
      <c r="W38" s="162"/>
      <c r="X38" s="94" t="s">
        <v>818</v>
      </c>
      <c r="Y38" s="94" t="s">
        <v>818</v>
      </c>
      <c r="Z38" s="94" t="s">
        <v>818</v>
      </c>
      <c r="AA38" s="94" t="s">
        <v>818</v>
      </c>
      <c r="AB38" s="94" t="s">
        <v>818</v>
      </c>
      <c r="AC38" s="94"/>
      <c r="AD38" s="162"/>
      <c r="AE38" s="94"/>
      <c r="AF38" s="94"/>
      <c r="AG38" s="94"/>
      <c r="AH38" s="94"/>
      <c r="AI38" s="94"/>
      <c r="AJ38" s="94"/>
      <c r="AK38" s="5">
        <f t="shared" si="3"/>
        <v>19</v>
      </c>
      <c r="AL38" s="5">
        <f t="shared" si="4"/>
        <v>0</v>
      </c>
    </row>
    <row r="39" spans="1:39" ht="15.5" x14ac:dyDescent="0.3">
      <c r="A39" s="9">
        <v>12</v>
      </c>
      <c r="B39" s="95">
        <v>155</v>
      </c>
      <c r="C39" s="7" t="s">
        <v>57</v>
      </c>
      <c r="D39" s="7" t="s">
        <v>58</v>
      </c>
      <c r="E39" s="8" t="s">
        <v>6</v>
      </c>
      <c r="F39" s="156"/>
      <c r="G39" s="94" t="s">
        <v>817</v>
      </c>
      <c r="H39" s="94" t="s">
        <v>817</v>
      </c>
      <c r="I39" s="162"/>
      <c r="J39" s="94" t="s">
        <v>818</v>
      </c>
      <c r="K39" s="94" t="s">
        <v>818</v>
      </c>
      <c r="L39" s="94" t="s">
        <v>818</v>
      </c>
      <c r="M39" s="94" t="s">
        <v>818</v>
      </c>
      <c r="N39" s="94" t="s">
        <v>818</v>
      </c>
      <c r="O39" s="94" t="s">
        <v>818</v>
      </c>
      <c r="P39" s="162"/>
      <c r="Q39" s="94" t="s">
        <v>818</v>
      </c>
      <c r="R39" s="94" t="s">
        <v>818</v>
      </c>
      <c r="S39" s="94" t="s">
        <v>818</v>
      </c>
      <c r="T39" s="94" t="s">
        <v>818</v>
      </c>
      <c r="U39" s="94" t="s">
        <v>818</v>
      </c>
      <c r="V39" s="94" t="s">
        <v>818</v>
      </c>
      <c r="W39" s="162"/>
      <c r="X39" s="94" t="s">
        <v>818</v>
      </c>
      <c r="Y39" s="94" t="s">
        <v>819</v>
      </c>
      <c r="Z39" s="94" t="s">
        <v>819</v>
      </c>
      <c r="AA39" s="94" t="s">
        <v>818</v>
      </c>
      <c r="AB39" s="94" t="s">
        <v>818</v>
      </c>
      <c r="AC39" s="94"/>
      <c r="AD39" s="162"/>
      <c r="AE39" s="94"/>
      <c r="AF39" s="94"/>
      <c r="AG39" s="94"/>
      <c r="AH39" s="94"/>
      <c r="AI39" s="94"/>
      <c r="AJ39" s="94"/>
      <c r="AK39" s="5">
        <f t="shared" si="3"/>
        <v>15</v>
      </c>
      <c r="AL39" s="5">
        <f t="shared" si="4"/>
        <v>2</v>
      </c>
    </row>
    <row r="40" spans="1:39" ht="15.5" x14ac:dyDescent="0.3">
      <c r="A40" s="9">
        <v>13</v>
      </c>
      <c r="B40" s="95">
        <v>156</v>
      </c>
      <c r="C40" s="7" t="s">
        <v>59</v>
      </c>
      <c r="D40" s="7" t="s">
        <v>60</v>
      </c>
      <c r="E40" s="8" t="s">
        <v>6</v>
      </c>
      <c r="F40" s="156"/>
      <c r="G40" s="94" t="s">
        <v>817</v>
      </c>
      <c r="H40" s="94" t="s">
        <v>817</v>
      </c>
      <c r="I40" s="162"/>
      <c r="J40" s="94" t="s">
        <v>818</v>
      </c>
      <c r="K40" s="94" t="s">
        <v>818</v>
      </c>
      <c r="L40" s="94" t="s">
        <v>819</v>
      </c>
      <c r="M40" s="94" t="s">
        <v>819</v>
      </c>
      <c r="N40" s="94" t="s">
        <v>819</v>
      </c>
      <c r="O40" s="94" t="s">
        <v>819</v>
      </c>
      <c r="P40" s="162"/>
      <c r="Q40" s="94" t="s">
        <v>819</v>
      </c>
      <c r="R40" s="94" t="s">
        <v>819</v>
      </c>
      <c r="S40" s="94" t="s">
        <v>819</v>
      </c>
      <c r="T40" s="94" t="s">
        <v>819</v>
      </c>
      <c r="U40" s="94" t="s">
        <v>819</v>
      </c>
      <c r="V40" s="94" t="s">
        <v>819</v>
      </c>
      <c r="W40" s="162"/>
      <c r="X40" s="94" t="s">
        <v>819</v>
      </c>
      <c r="Y40" s="94" t="s">
        <v>817</v>
      </c>
      <c r="Z40" s="94" t="s">
        <v>818</v>
      </c>
      <c r="AA40" s="94" t="s">
        <v>818</v>
      </c>
      <c r="AB40" s="94" t="s">
        <v>818</v>
      </c>
      <c r="AC40" s="94"/>
      <c r="AD40" s="162"/>
      <c r="AE40" s="94"/>
      <c r="AF40" s="94"/>
      <c r="AG40" s="94"/>
      <c r="AH40" s="94"/>
      <c r="AI40" s="94"/>
      <c r="AJ40" s="94"/>
      <c r="AK40" s="5">
        <f t="shared" si="3"/>
        <v>5</v>
      </c>
      <c r="AL40" s="5">
        <f t="shared" si="4"/>
        <v>3</v>
      </c>
    </row>
    <row r="41" spans="1:39" ht="15.5" x14ac:dyDescent="0.3">
      <c r="A41" s="9">
        <v>14</v>
      </c>
      <c r="B41" s="95">
        <v>158</v>
      </c>
      <c r="C41" s="7" t="s">
        <v>61</v>
      </c>
      <c r="D41" s="7" t="s">
        <v>62</v>
      </c>
      <c r="E41" s="8" t="s">
        <v>6</v>
      </c>
      <c r="F41" s="156"/>
      <c r="G41" s="94" t="s">
        <v>818</v>
      </c>
      <c r="H41" s="94" t="s">
        <v>818</v>
      </c>
      <c r="I41" s="162"/>
      <c r="J41" s="94" t="s">
        <v>818</v>
      </c>
      <c r="K41" s="94" t="s">
        <v>818</v>
      </c>
      <c r="L41" s="94" t="s">
        <v>818</v>
      </c>
      <c r="M41" s="94" t="s">
        <v>818</v>
      </c>
      <c r="N41" s="94" t="s">
        <v>818</v>
      </c>
      <c r="O41" s="94" t="s">
        <v>818</v>
      </c>
      <c r="P41" s="162"/>
      <c r="Q41" s="94" t="s">
        <v>818</v>
      </c>
      <c r="R41" s="94" t="s">
        <v>818</v>
      </c>
      <c r="S41" s="94" t="s">
        <v>818</v>
      </c>
      <c r="T41" s="94" t="s">
        <v>818</v>
      </c>
      <c r="U41" s="94" t="s">
        <v>818</v>
      </c>
      <c r="V41" s="94" t="s">
        <v>818</v>
      </c>
      <c r="W41" s="162"/>
      <c r="X41" s="94" t="s">
        <v>818</v>
      </c>
      <c r="Y41" s="94" t="s">
        <v>818</v>
      </c>
      <c r="Z41" s="94" t="s">
        <v>818</v>
      </c>
      <c r="AA41" s="94" t="s">
        <v>818</v>
      </c>
      <c r="AB41" s="94" t="s">
        <v>818</v>
      </c>
      <c r="AC41" s="94"/>
      <c r="AD41" s="162"/>
      <c r="AE41" s="94"/>
      <c r="AF41" s="94"/>
      <c r="AG41" s="94"/>
      <c r="AH41" s="94"/>
      <c r="AI41" s="94"/>
      <c r="AJ41" s="94"/>
      <c r="AK41" s="5">
        <f t="shared" si="3"/>
        <v>19</v>
      </c>
      <c r="AL41" s="5">
        <f t="shared" si="4"/>
        <v>0</v>
      </c>
    </row>
    <row r="42" spans="1:39" ht="15.5" x14ac:dyDescent="0.3">
      <c r="A42" s="9">
        <v>15</v>
      </c>
      <c r="B42" s="11">
        <v>159</v>
      </c>
      <c r="C42" s="7" t="s">
        <v>63</v>
      </c>
      <c r="D42" s="7" t="s">
        <v>64</v>
      </c>
      <c r="E42" s="8" t="s">
        <v>6</v>
      </c>
      <c r="F42" s="156"/>
      <c r="G42" s="94" t="s">
        <v>817</v>
      </c>
      <c r="H42" s="94" t="s">
        <v>818</v>
      </c>
      <c r="I42" s="162"/>
      <c r="J42" s="94" t="s">
        <v>817</v>
      </c>
      <c r="K42" s="94" t="s">
        <v>817</v>
      </c>
      <c r="L42" s="94" t="s">
        <v>817</v>
      </c>
      <c r="M42" s="94" t="s">
        <v>817</v>
      </c>
      <c r="N42" s="94" t="s">
        <v>817</v>
      </c>
      <c r="O42" s="94" t="s">
        <v>817</v>
      </c>
      <c r="P42" s="162"/>
      <c r="Q42" s="94" t="s">
        <v>817</v>
      </c>
      <c r="R42" s="94" t="s">
        <v>817</v>
      </c>
      <c r="S42" s="94" t="s">
        <v>817</v>
      </c>
      <c r="T42" s="94" t="s">
        <v>817</v>
      </c>
      <c r="U42" s="94" t="s">
        <v>817</v>
      </c>
      <c r="V42" s="94" t="s">
        <v>817</v>
      </c>
      <c r="W42" s="162"/>
      <c r="X42" s="94" t="s">
        <v>817</v>
      </c>
      <c r="Y42" s="94" t="s">
        <v>817</v>
      </c>
      <c r="Z42" s="94" t="s">
        <v>817</v>
      </c>
      <c r="AA42" s="94" t="s">
        <v>817</v>
      </c>
      <c r="AB42" s="94" t="s">
        <v>817</v>
      </c>
      <c r="AC42" s="94"/>
      <c r="AD42" s="162"/>
      <c r="AE42" s="94"/>
      <c r="AF42" s="94"/>
      <c r="AG42" s="94"/>
      <c r="AH42" s="94"/>
      <c r="AI42" s="94"/>
      <c r="AJ42" s="94"/>
      <c r="AK42" s="5">
        <f t="shared" si="3"/>
        <v>1</v>
      </c>
      <c r="AL42" s="5">
        <f t="shared" si="4"/>
        <v>18</v>
      </c>
    </row>
    <row r="43" spans="1:39" ht="15.5" x14ac:dyDescent="0.3">
      <c r="A43" s="9">
        <v>16</v>
      </c>
      <c r="B43" s="11">
        <v>165</v>
      </c>
      <c r="C43" s="7" t="s">
        <v>73</v>
      </c>
      <c r="D43" s="7" t="s">
        <v>74</v>
      </c>
      <c r="E43" s="8" t="s">
        <v>6</v>
      </c>
      <c r="F43" s="156"/>
      <c r="G43" s="94" t="s">
        <v>817</v>
      </c>
      <c r="H43" s="94" t="s">
        <v>818</v>
      </c>
      <c r="I43" s="162"/>
      <c r="J43" s="94" t="s">
        <v>818</v>
      </c>
      <c r="K43" s="94" t="s">
        <v>818</v>
      </c>
      <c r="L43" s="94" t="s">
        <v>818</v>
      </c>
      <c r="M43" s="94" t="s">
        <v>818</v>
      </c>
      <c r="N43" s="94" t="s">
        <v>817</v>
      </c>
      <c r="O43" s="94" t="s">
        <v>818</v>
      </c>
      <c r="P43" s="162"/>
      <c r="Q43" s="94" t="s">
        <v>817</v>
      </c>
      <c r="R43" s="94" t="s">
        <v>818</v>
      </c>
      <c r="S43" s="94" t="s">
        <v>818</v>
      </c>
      <c r="T43" s="94" t="s">
        <v>818</v>
      </c>
      <c r="U43" s="94" t="s">
        <v>818</v>
      </c>
      <c r="V43" s="94" t="s">
        <v>818</v>
      </c>
      <c r="W43" s="162"/>
      <c r="X43" s="94" t="s">
        <v>818</v>
      </c>
      <c r="Y43" s="94" t="s">
        <v>818</v>
      </c>
      <c r="Z43" s="94" t="s">
        <v>817</v>
      </c>
      <c r="AA43" s="94" t="s">
        <v>818</v>
      </c>
      <c r="AB43" s="94" t="s">
        <v>818</v>
      </c>
      <c r="AC43" s="94"/>
      <c r="AD43" s="162"/>
      <c r="AE43" s="94"/>
      <c r="AF43" s="94"/>
      <c r="AG43" s="94"/>
      <c r="AH43" s="94"/>
      <c r="AI43" s="94"/>
      <c r="AJ43" s="94"/>
      <c r="AK43" s="5">
        <f t="shared" si="3"/>
        <v>15</v>
      </c>
      <c r="AL43" s="5">
        <f t="shared" si="4"/>
        <v>4</v>
      </c>
    </row>
    <row r="44" spans="1:39" ht="15.5" x14ac:dyDescent="0.3">
      <c r="A44" s="9">
        <v>17</v>
      </c>
      <c r="B44" s="11">
        <v>167</v>
      </c>
      <c r="C44" s="7" t="s">
        <v>87</v>
      </c>
      <c r="D44" s="7" t="s">
        <v>76</v>
      </c>
      <c r="E44" s="8" t="s">
        <v>6</v>
      </c>
      <c r="F44" s="156"/>
      <c r="G44" s="94" t="s">
        <v>817</v>
      </c>
      <c r="H44" s="94" t="s">
        <v>817</v>
      </c>
      <c r="I44" s="162"/>
      <c r="J44" s="94" t="s">
        <v>817</v>
      </c>
      <c r="K44" s="94" t="s">
        <v>817</v>
      </c>
      <c r="L44" s="94" t="s">
        <v>817</v>
      </c>
      <c r="M44" s="94" t="s">
        <v>817</v>
      </c>
      <c r="N44" s="94" t="s">
        <v>817</v>
      </c>
      <c r="O44" s="94" t="s">
        <v>817</v>
      </c>
      <c r="P44" s="162"/>
      <c r="Q44" s="94" t="s">
        <v>817</v>
      </c>
      <c r="R44" s="94" t="s">
        <v>817</v>
      </c>
      <c r="S44" s="94" t="s">
        <v>817</v>
      </c>
      <c r="T44" s="94" t="s">
        <v>817</v>
      </c>
      <c r="U44" s="94" t="s">
        <v>817</v>
      </c>
      <c r="V44" s="94" t="s">
        <v>817</v>
      </c>
      <c r="W44" s="162"/>
      <c r="X44" s="94" t="s">
        <v>817</v>
      </c>
      <c r="Y44" s="94" t="s">
        <v>818</v>
      </c>
      <c r="Z44" s="94" t="s">
        <v>817</v>
      </c>
      <c r="AA44" s="94" t="s">
        <v>817</v>
      </c>
      <c r="AB44" s="94" t="s">
        <v>817</v>
      </c>
      <c r="AC44" s="94"/>
      <c r="AD44" s="162"/>
      <c r="AE44" s="94"/>
      <c r="AF44" s="94"/>
      <c r="AG44" s="94"/>
      <c r="AH44" s="94"/>
      <c r="AI44" s="94"/>
      <c r="AJ44" s="94"/>
      <c r="AK44" s="5">
        <f t="shared" si="3"/>
        <v>1</v>
      </c>
      <c r="AL44" s="5">
        <f t="shared" si="4"/>
        <v>18</v>
      </c>
    </row>
    <row r="45" spans="1:39" ht="15.5" x14ac:dyDescent="0.3">
      <c r="A45" s="9">
        <v>18</v>
      </c>
      <c r="B45" s="11">
        <v>169</v>
      </c>
      <c r="C45" s="7" t="s">
        <v>79</v>
      </c>
      <c r="D45" s="7" t="s">
        <v>80</v>
      </c>
      <c r="E45" s="8" t="s">
        <v>6</v>
      </c>
      <c r="F45" s="156"/>
      <c r="G45" s="94" t="s">
        <v>817</v>
      </c>
      <c r="H45" s="94" t="s">
        <v>817</v>
      </c>
      <c r="I45" s="162"/>
      <c r="J45" s="94" t="s">
        <v>818</v>
      </c>
      <c r="K45" s="94" t="s">
        <v>818</v>
      </c>
      <c r="L45" s="94" t="s">
        <v>818</v>
      </c>
      <c r="M45" s="94" t="s">
        <v>818</v>
      </c>
      <c r="N45" s="94" t="s">
        <v>817</v>
      </c>
      <c r="O45" s="94" t="s">
        <v>817</v>
      </c>
      <c r="P45" s="162"/>
      <c r="Q45" s="94" t="s">
        <v>818</v>
      </c>
      <c r="R45" s="94" t="s">
        <v>818</v>
      </c>
      <c r="S45" s="94" t="s">
        <v>818</v>
      </c>
      <c r="T45" s="94" t="s">
        <v>818</v>
      </c>
      <c r="U45" s="94" t="s">
        <v>818</v>
      </c>
      <c r="V45" s="94" t="s">
        <v>818</v>
      </c>
      <c r="W45" s="162"/>
      <c r="X45" s="94" t="s">
        <v>818</v>
      </c>
      <c r="Y45" s="94" t="s">
        <v>818</v>
      </c>
      <c r="Z45" s="94" t="s">
        <v>818</v>
      </c>
      <c r="AA45" s="94" t="s">
        <v>818</v>
      </c>
      <c r="AB45" s="94" t="s">
        <v>818</v>
      </c>
      <c r="AC45" s="94"/>
      <c r="AD45" s="162"/>
      <c r="AE45" s="94"/>
      <c r="AF45" s="94"/>
      <c r="AG45" s="94"/>
      <c r="AH45" s="94"/>
      <c r="AI45" s="94"/>
      <c r="AJ45" s="94"/>
      <c r="AK45" s="5">
        <f t="shared" si="3"/>
        <v>15</v>
      </c>
      <c r="AL45" s="5">
        <f t="shared" si="4"/>
        <v>4</v>
      </c>
    </row>
    <row r="46" spans="1:39" ht="15.5" x14ac:dyDescent="0.3">
      <c r="A46" s="9">
        <v>19</v>
      </c>
      <c r="B46" s="11">
        <v>196</v>
      </c>
      <c r="C46" s="7" t="s">
        <v>88</v>
      </c>
      <c r="D46" s="7" t="s">
        <v>89</v>
      </c>
      <c r="E46" s="8" t="s">
        <v>6</v>
      </c>
      <c r="F46" s="156"/>
      <c r="G46" s="94" t="s">
        <v>818</v>
      </c>
      <c r="H46" s="94" t="s">
        <v>817</v>
      </c>
      <c r="I46" s="162"/>
      <c r="J46" s="94" t="s">
        <v>818</v>
      </c>
      <c r="K46" s="94" t="s">
        <v>818</v>
      </c>
      <c r="L46" s="94" t="s">
        <v>818</v>
      </c>
      <c r="M46" s="94" t="s">
        <v>818</v>
      </c>
      <c r="N46" s="94" t="s">
        <v>818</v>
      </c>
      <c r="O46" s="94" t="s">
        <v>818</v>
      </c>
      <c r="P46" s="162"/>
      <c r="Q46" s="94" t="s">
        <v>817</v>
      </c>
      <c r="R46" s="94" t="s">
        <v>817</v>
      </c>
      <c r="S46" s="94" t="s">
        <v>817</v>
      </c>
      <c r="T46" s="94" t="s">
        <v>817</v>
      </c>
      <c r="U46" s="94" t="s">
        <v>817</v>
      </c>
      <c r="V46" s="94" t="s">
        <v>819</v>
      </c>
      <c r="W46" s="162"/>
      <c r="X46" s="94" t="s">
        <v>818</v>
      </c>
      <c r="Y46" s="94" t="s">
        <v>819</v>
      </c>
      <c r="Z46" s="94" t="s">
        <v>819</v>
      </c>
      <c r="AA46" s="94" t="s">
        <v>819</v>
      </c>
      <c r="AB46" s="94" t="s">
        <v>819</v>
      </c>
      <c r="AC46" s="94"/>
      <c r="AD46" s="162"/>
      <c r="AE46" s="94"/>
      <c r="AF46" s="94"/>
      <c r="AG46" s="94"/>
      <c r="AH46" s="94"/>
      <c r="AI46" s="94"/>
      <c r="AJ46" s="94"/>
      <c r="AK46" s="5">
        <f t="shared" si="3"/>
        <v>8</v>
      </c>
      <c r="AL46" s="5">
        <f t="shared" si="4"/>
        <v>6</v>
      </c>
    </row>
    <row r="47" spans="1:39" ht="15.5" x14ac:dyDescent="0.3">
      <c r="A47" s="9">
        <v>20</v>
      </c>
      <c r="B47" s="11">
        <v>197</v>
      </c>
      <c r="C47" s="7" t="s">
        <v>90</v>
      </c>
      <c r="D47" s="7" t="s">
        <v>719</v>
      </c>
      <c r="E47" s="8" t="s">
        <v>6</v>
      </c>
      <c r="F47" s="156"/>
      <c r="G47" s="94" t="s">
        <v>818</v>
      </c>
      <c r="H47" s="94" t="s">
        <v>817</v>
      </c>
      <c r="I47" s="162"/>
      <c r="J47" s="94" t="s">
        <v>818</v>
      </c>
      <c r="K47" s="94" t="s">
        <v>818</v>
      </c>
      <c r="L47" s="94" t="s">
        <v>818</v>
      </c>
      <c r="M47" s="94" t="s">
        <v>818</v>
      </c>
      <c r="N47" s="94" t="s">
        <v>818</v>
      </c>
      <c r="O47" s="94" t="s">
        <v>818</v>
      </c>
      <c r="P47" s="162"/>
      <c r="Q47" s="94" t="s">
        <v>818</v>
      </c>
      <c r="R47" s="94" t="s">
        <v>818</v>
      </c>
      <c r="S47" s="94" t="s">
        <v>818</v>
      </c>
      <c r="T47" s="94" t="s">
        <v>818</v>
      </c>
      <c r="U47" s="94" t="s">
        <v>818</v>
      </c>
      <c r="V47" s="94" t="s">
        <v>818</v>
      </c>
      <c r="W47" s="162"/>
      <c r="X47" s="94" t="s">
        <v>818</v>
      </c>
      <c r="Y47" s="94" t="s">
        <v>818</v>
      </c>
      <c r="Z47" s="94" t="s">
        <v>818</v>
      </c>
      <c r="AA47" s="94" t="s">
        <v>818</v>
      </c>
      <c r="AB47" s="94" t="s">
        <v>818</v>
      </c>
      <c r="AC47" s="94"/>
      <c r="AD47" s="162"/>
      <c r="AE47" s="94"/>
      <c r="AF47" s="94"/>
      <c r="AG47" s="94"/>
      <c r="AH47" s="94"/>
      <c r="AI47" s="94"/>
      <c r="AJ47" s="94"/>
      <c r="AK47" s="5">
        <f t="shared" si="3"/>
        <v>18</v>
      </c>
      <c r="AL47" s="5">
        <f t="shared" si="4"/>
        <v>1</v>
      </c>
    </row>
    <row r="48" spans="1:39" ht="15.5" x14ac:dyDescent="0.3">
      <c r="A48" s="9">
        <v>21</v>
      </c>
      <c r="B48" s="11">
        <v>182</v>
      </c>
      <c r="C48" s="7" t="s">
        <v>93</v>
      </c>
      <c r="D48" s="7" t="s">
        <v>94</v>
      </c>
      <c r="E48" s="8" t="s">
        <v>6</v>
      </c>
      <c r="F48" s="156"/>
      <c r="G48" s="94" t="s">
        <v>817</v>
      </c>
      <c r="H48" s="94" t="s">
        <v>818</v>
      </c>
      <c r="I48" s="162"/>
      <c r="J48" s="94" t="s">
        <v>818</v>
      </c>
      <c r="K48" s="94" t="s">
        <v>818</v>
      </c>
      <c r="L48" s="94" t="s">
        <v>818</v>
      </c>
      <c r="M48" s="94" t="s">
        <v>818</v>
      </c>
      <c r="N48" s="94" t="s">
        <v>817</v>
      </c>
      <c r="O48" s="94" t="s">
        <v>817</v>
      </c>
      <c r="P48" s="162"/>
      <c r="Q48" s="94" t="s">
        <v>817</v>
      </c>
      <c r="R48" s="94" t="s">
        <v>818</v>
      </c>
      <c r="S48" s="94" t="s">
        <v>818</v>
      </c>
      <c r="T48" s="94" t="s">
        <v>817</v>
      </c>
      <c r="U48" s="94" t="s">
        <v>818</v>
      </c>
      <c r="V48" s="94" t="s">
        <v>817</v>
      </c>
      <c r="W48" s="162"/>
      <c r="X48" s="94" t="s">
        <v>818</v>
      </c>
      <c r="Y48" s="94" t="s">
        <v>818</v>
      </c>
      <c r="Z48" s="94" t="s">
        <v>818</v>
      </c>
      <c r="AA48" s="94" t="s">
        <v>818</v>
      </c>
      <c r="AB48" s="94" t="s">
        <v>818</v>
      </c>
      <c r="AC48" s="94"/>
      <c r="AD48" s="162"/>
      <c r="AE48" s="94"/>
      <c r="AF48" s="94"/>
      <c r="AG48" s="94"/>
      <c r="AH48" s="94"/>
      <c r="AI48" s="94"/>
      <c r="AJ48" s="94"/>
      <c r="AK48" s="5">
        <f t="shared" si="3"/>
        <v>13</v>
      </c>
      <c r="AL48" s="5">
        <f t="shared" si="4"/>
        <v>6</v>
      </c>
      <c r="AM48" s="1" t="s">
        <v>721</v>
      </c>
    </row>
    <row r="49" spans="1:38" ht="15.5" x14ac:dyDescent="0.3">
      <c r="A49" s="9">
        <v>22</v>
      </c>
      <c r="B49" s="11">
        <v>186</v>
      </c>
      <c r="C49" s="7" t="s">
        <v>95</v>
      </c>
      <c r="D49" s="7" t="s">
        <v>96</v>
      </c>
      <c r="E49" s="8" t="s">
        <v>6</v>
      </c>
      <c r="F49" s="156"/>
      <c r="G49" s="94" t="s">
        <v>818</v>
      </c>
      <c r="H49" s="94" t="s">
        <v>818</v>
      </c>
      <c r="I49" s="162"/>
      <c r="J49" s="94" t="s">
        <v>818</v>
      </c>
      <c r="K49" s="94" t="s">
        <v>818</v>
      </c>
      <c r="L49" s="94" t="s">
        <v>818</v>
      </c>
      <c r="M49" s="94" t="s">
        <v>818</v>
      </c>
      <c r="N49" s="94" t="s">
        <v>818</v>
      </c>
      <c r="O49" s="94" t="s">
        <v>818</v>
      </c>
      <c r="P49" s="162"/>
      <c r="Q49" s="94" t="s">
        <v>818</v>
      </c>
      <c r="R49" s="94" t="s">
        <v>817</v>
      </c>
      <c r="S49" s="94" t="s">
        <v>819</v>
      </c>
      <c r="T49" s="94" t="s">
        <v>819</v>
      </c>
      <c r="U49" s="94" t="s">
        <v>818</v>
      </c>
      <c r="V49" s="94" t="s">
        <v>818</v>
      </c>
      <c r="W49" s="162"/>
      <c r="X49" s="94" t="s">
        <v>818</v>
      </c>
      <c r="Y49" s="94" t="s">
        <v>818</v>
      </c>
      <c r="Z49" s="94" t="s">
        <v>818</v>
      </c>
      <c r="AA49" s="94" t="s">
        <v>818</v>
      </c>
      <c r="AB49" s="94" t="s">
        <v>818</v>
      </c>
      <c r="AC49" s="94"/>
      <c r="AD49" s="162"/>
      <c r="AE49" s="94"/>
      <c r="AF49" s="94"/>
      <c r="AG49" s="94"/>
      <c r="AH49" s="94"/>
      <c r="AI49" s="94"/>
      <c r="AJ49" s="94"/>
      <c r="AK49" s="5">
        <f t="shared" si="3"/>
        <v>16</v>
      </c>
      <c r="AL49" s="5">
        <f t="shared" si="4"/>
        <v>1</v>
      </c>
    </row>
    <row r="50" spans="1:38" ht="15.5" x14ac:dyDescent="0.3">
      <c r="A50" s="9">
        <v>23</v>
      </c>
      <c r="B50" s="11">
        <v>188</v>
      </c>
      <c r="C50" s="7" t="s">
        <v>97</v>
      </c>
      <c r="D50" s="7" t="s">
        <v>98</v>
      </c>
      <c r="E50" s="8" t="s">
        <v>6</v>
      </c>
      <c r="F50" s="156"/>
      <c r="G50" s="94" t="s">
        <v>817</v>
      </c>
      <c r="H50" s="94" t="s">
        <v>818</v>
      </c>
      <c r="I50" s="162"/>
      <c r="J50" s="94" t="s">
        <v>818</v>
      </c>
      <c r="K50" s="94" t="s">
        <v>818</v>
      </c>
      <c r="L50" s="94" t="s">
        <v>818</v>
      </c>
      <c r="M50" s="94" t="s">
        <v>817</v>
      </c>
      <c r="N50" s="94" t="s">
        <v>818</v>
      </c>
      <c r="O50" s="94" t="s">
        <v>818</v>
      </c>
      <c r="P50" s="162"/>
      <c r="Q50" s="94" t="s">
        <v>818</v>
      </c>
      <c r="R50" s="94" t="s">
        <v>818</v>
      </c>
      <c r="S50" s="94" t="s">
        <v>818</v>
      </c>
      <c r="T50" s="94" t="s">
        <v>818</v>
      </c>
      <c r="U50" s="94" t="s">
        <v>817</v>
      </c>
      <c r="V50" s="94" t="s">
        <v>818</v>
      </c>
      <c r="W50" s="162"/>
      <c r="X50" s="94" t="s">
        <v>818</v>
      </c>
      <c r="Y50" s="94" t="s">
        <v>818</v>
      </c>
      <c r="Z50" s="94" t="s">
        <v>818</v>
      </c>
      <c r="AA50" s="94" t="s">
        <v>818</v>
      </c>
      <c r="AB50" s="94" t="s">
        <v>818</v>
      </c>
      <c r="AC50" s="94"/>
      <c r="AD50" s="162"/>
      <c r="AE50" s="94"/>
      <c r="AF50" s="94"/>
      <c r="AG50" s="94"/>
      <c r="AH50" s="94"/>
      <c r="AI50" s="94"/>
      <c r="AJ50" s="94"/>
      <c r="AK50" s="5">
        <f t="shared" si="3"/>
        <v>16</v>
      </c>
      <c r="AL50" s="5">
        <f t="shared" si="4"/>
        <v>3</v>
      </c>
    </row>
    <row r="51" spans="1:38" ht="15.5" x14ac:dyDescent="0.3">
      <c r="A51" s="9">
        <v>24</v>
      </c>
      <c r="B51" s="11">
        <v>184</v>
      </c>
      <c r="C51" s="7" t="s">
        <v>108</v>
      </c>
      <c r="D51" s="7" t="s">
        <v>109</v>
      </c>
      <c r="E51" s="8" t="s">
        <v>6</v>
      </c>
      <c r="F51" s="156"/>
      <c r="G51" s="94" t="s">
        <v>817</v>
      </c>
      <c r="H51" s="94" t="s">
        <v>817</v>
      </c>
      <c r="I51" s="162"/>
      <c r="J51" s="94" t="s">
        <v>817</v>
      </c>
      <c r="K51" s="94" t="s">
        <v>818</v>
      </c>
      <c r="L51" s="94" t="s">
        <v>818</v>
      </c>
      <c r="M51" s="94" t="s">
        <v>817</v>
      </c>
      <c r="N51" s="94" t="s">
        <v>818</v>
      </c>
      <c r="O51" s="94" t="s">
        <v>817</v>
      </c>
      <c r="P51" s="162"/>
      <c r="Q51" s="94" t="s">
        <v>817</v>
      </c>
      <c r="R51" s="94" t="s">
        <v>818</v>
      </c>
      <c r="S51" s="94" t="s">
        <v>818</v>
      </c>
      <c r="T51" s="94" t="s">
        <v>818</v>
      </c>
      <c r="U51" s="94" t="s">
        <v>818</v>
      </c>
      <c r="V51" s="94" t="s">
        <v>818</v>
      </c>
      <c r="W51" s="162"/>
      <c r="X51" s="94" t="s">
        <v>818</v>
      </c>
      <c r="Y51" s="94" t="s">
        <v>817</v>
      </c>
      <c r="Z51" s="94" t="s">
        <v>818</v>
      </c>
      <c r="AA51" s="94" t="s">
        <v>818</v>
      </c>
      <c r="AB51" s="94" t="s">
        <v>818</v>
      </c>
      <c r="AC51" s="94"/>
      <c r="AD51" s="162"/>
      <c r="AE51" s="94"/>
      <c r="AF51" s="94"/>
      <c r="AG51" s="94"/>
      <c r="AH51" s="94"/>
      <c r="AI51" s="94"/>
      <c r="AJ51" s="94"/>
      <c r="AK51" s="5">
        <f t="shared" si="3"/>
        <v>12</v>
      </c>
      <c r="AL51" s="5">
        <f t="shared" si="4"/>
        <v>7</v>
      </c>
    </row>
    <row r="52" spans="1:38" ht="15.5" x14ac:dyDescent="0.3">
      <c r="A52" s="9">
        <v>25</v>
      </c>
      <c r="B52" s="11">
        <v>185</v>
      </c>
      <c r="C52" s="14" t="s">
        <v>110</v>
      </c>
      <c r="D52" s="14" t="s">
        <v>27</v>
      </c>
      <c r="E52" s="8" t="s">
        <v>6</v>
      </c>
      <c r="F52" s="156"/>
      <c r="G52" s="94" t="s">
        <v>817</v>
      </c>
      <c r="H52" s="94" t="s">
        <v>817</v>
      </c>
      <c r="I52" s="162"/>
      <c r="J52" s="94" t="s">
        <v>818</v>
      </c>
      <c r="K52" s="94" t="s">
        <v>818</v>
      </c>
      <c r="L52" s="94" t="s">
        <v>818</v>
      </c>
      <c r="M52" s="94" t="s">
        <v>818</v>
      </c>
      <c r="N52" s="94" t="s">
        <v>817</v>
      </c>
      <c r="O52" s="94" t="s">
        <v>817</v>
      </c>
      <c r="P52" s="162"/>
      <c r="Q52" s="94" t="s">
        <v>817</v>
      </c>
      <c r="R52" s="94" t="s">
        <v>817</v>
      </c>
      <c r="S52" s="94" t="s">
        <v>818</v>
      </c>
      <c r="T52" s="94" t="s">
        <v>818</v>
      </c>
      <c r="U52" s="94" t="s">
        <v>818</v>
      </c>
      <c r="V52" s="94" t="s">
        <v>818</v>
      </c>
      <c r="W52" s="162"/>
      <c r="X52" s="94" t="s">
        <v>818</v>
      </c>
      <c r="Y52" s="94" t="s">
        <v>818</v>
      </c>
      <c r="Z52" s="94" t="s">
        <v>818</v>
      </c>
      <c r="AA52" s="94" t="s">
        <v>818</v>
      </c>
      <c r="AB52" s="94" t="s">
        <v>818</v>
      </c>
      <c r="AC52" s="94"/>
      <c r="AD52" s="162"/>
      <c r="AE52" s="94"/>
      <c r="AF52" s="94"/>
      <c r="AG52" s="94"/>
      <c r="AH52" s="94"/>
      <c r="AI52" s="94"/>
      <c r="AJ52" s="94"/>
      <c r="AK52" s="5">
        <f t="shared" si="3"/>
        <v>13</v>
      </c>
      <c r="AL52" s="5">
        <f t="shared" si="4"/>
        <v>6</v>
      </c>
    </row>
    <row r="53" spans="1:38" ht="15.5" x14ac:dyDescent="0.3">
      <c r="A53" s="9">
        <v>26</v>
      </c>
      <c r="B53" s="11">
        <v>186</v>
      </c>
      <c r="C53" s="14" t="s">
        <v>103</v>
      </c>
      <c r="D53" s="14" t="s">
        <v>104</v>
      </c>
      <c r="E53" s="8" t="s">
        <v>6</v>
      </c>
      <c r="F53" s="156"/>
      <c r="G53" s="94" t="s">
        <v>818</v>
      </c>
      <c r="H53" s="94" t="s">
        <v>818</v>
      </c>
      <c r="I53" s="162"/>
      <c r="J53" s="94" t="s">
        <v>818</v>
      </c>
      <c r="K53" s="94" t="s">
        <v>818</v>
      </c>
      <c r="L53" s="94" t="s">
        <v>818</v>
      </c>
      <c r="M53" s="94" t="s">
        <v>818</v>
      </c>
      <c r="N53" s="94" t="s">
        <v>818</v>
      </c>
      <c r="O53" s="94" t="s">
        <v>818</v>
      </c>
      <c r="P53" s="162"/>
      <c r="Q53" s="94" t="s">
        <v>818</v>
      </c>
      <c r="R53" s="94" t="s">
        <v>818</v>
      </c>
      <c r="S53" s="94" t="s">
        <v>818</v>
      </c>
      <c r="T53" s="94" t="s">
        <v>818</v>
      </c>
      <c r="U53" s="94" t="s">
        <v>818</v>
      </c>
      <c r="V53" s="94" t="s">
        <v>818</v>
      </c>
      <c r="W53" s="162"/>
      <c r="X53" s="94" t="s">
        <v>818</v>
      </c>
      <c r="Y53" s="94" t="s">
        <v>818</v>
      </c>
      <c r="Z53" s="94" t="s">
        <v>818</v>
      </c>
      <c r="AA53" s="94" t="s">
        <v>818</v>
      </c>
      <c r="AB53" s="94" t="s">
        <v>818</v>
      </c>
      <c r="AC53" s="94"/>
      <c r="AD53" s="162"/>
      <c r="AE53" s="94"/>
      <c r="AF53" s="94"/>
      <c r="AG53" s="94"/>
      <c r="AH53" s="94"/>
      <c r="AI53" s="94"/>
      <c r="AJ53" s="94"/>
      <c r="AK53" s="5">
        <f t="shared" si="3"/>
        <v>19</v>
      </c>
      <c r="AL53" s="5">
        <f t="shared" si="4"/>
        <v>0</v>
      </c>
    </row>
    <row r="54" spans="1:38" ht="15.5" x14ac:dyDescent="0.3">
      <c r="A54" s="9">
        <v>27</v>
      </c>
      <c r="B54" s="11">
        <v>187</v>
      </c>
      <c r="C54" s="14" t="s">
        <v>111</v>
      </c>
      <c r="D54" s="14" t="s">
        <v>112</v>
      </c>
      <c r="E54" s="8" t="s">
        <v>6</v>
      </c>
      <c r="F54" s="156"/>
      <c r="G54" s="94" t="s">
        <v>818</v>
      </c>
      <c r="H54" s="94" t="s">
        <v>818</v>
      </c>
      <c r="I54" s="162"/>
      <c r="J54" s="94" t="s">
        <v>818</v>
      </c>
      <c r="K54" s="94" t="s">
        <v>818</v>
      </c>
      <c r="L54" s="94" t="s">
        <v>818</v>
      </c>
      <c r="M54" s="94" t="s">
        <v>818</v>
      </c>
      <c r="N54" s="94" t="s">
        <v>818</v>
      </c>
      <c r="O54" s="94" t="s">
        <v>817</v>
      </c>
      <c r="P54" s="162"/>
      <c r="Q54" s="94" t="s">
        <v>818</v>
      </c>
      <c r="R54" s="94" t="s">
        <v>818</v>
      </c>
      <c r="S54" s="94" t="s">
        <v>818</v>
      </c>
      <c r="T54" s="94" t="s">
        <v>818</v>
      </c>
      <c r="U54" s="94" t="s">
        <v>818</v>
      </c>
      <c r="V54" s="94" t="s">
        <v>818</v>
      </c>
      <c r="W54" s="162"/>
      <c r="X54" s="94" t="s">
        <v>818</v>
      </c>
      <c r="Y54" s="94" t="s">
        <v>819</v>
      </c>
      <c r="Z54" s="94" t="s">
        <v>819</v>
      </c>
      <c r="AA54" s="94" t="s">
        <v>818</v>
      </c>
      <c r="AB54" s="94" t="s">
        <v>818</v>
      </c>
      <c r="AC54" s="94"/>
      <c r="AD54" s="162"/>
      <c r="AE54" s="94"/>
      <c r="AF54" s="94"/>
      <c r="AG54" s="94"/>
      <c r="AH54" s="94"/>
      <c r="AI54" s="94"/>
      <c r="AJ54" s="94"/>
      <c r="AK54" s="5">
        <f t="shared" si="3"/>
        <v>16</v>
      </c>
      <c r="AL54" s="5">
        <f t="shared" si="4"/>
        <v>1</v>
      </c>
    </row>
    <row r="55" spans="1:38" ht="15.5" x14ac:dyDescent="0.3">
      <c r="A55" s="9">
        <v>28</v>
      </c>
      <c r="B55" s="11">
        <v>188</v>
      </c>
      <c r="C55" s="14" t="s">
        <v>113</v>
      </c>
      <c r="D55" s="14" t="s">
        <v>114</v>
      </c>
      <c r="E55" s="8" t="s">
        <v>6</v>
      </c>
      <c r="F55" s="156"/>
      <c r="G55" s="94" t="s">
        <v>818</v>
      </c>
      <c r="H55" s="94" t="s">
        <v>818</v>
      </c>
      <c r="I55" s="162"/>
      <c r="J55" s="94" t="s">
        <v>818</v>
      </c>
      <c r="K55" s="94" t="s">
        <v>818</v>
      </c>
      <c r="L55" s="94" t="s">
        <v>818</v>
      </c>
      <c r="M55" s="94" t="s">
        <v>818</v>
      </c>
      <c r="N55" s="94" t="s">
        <v>818</v>
      </c>
      <c r="O55" s="94" t="s">
        <v>818</v>
      </c>
      <c r="P55" s="162"/>
      <c r="Q55" s="94" t="s">
        <v>818</v>
      </c>
      <c r="R55" s="94" t="s">
        <v>818</v>
      </c>
      <c r="S55" s="94" t="s">
        <v>818</v>
      </c>
      <c r="T55" s="94" t="s">
        <v>818</v>
      </c>
      <c r="U55" s="94" t="s">
        <v>818</v>
      </c>
      <c r="V55" s="94" t="s">
        <v>818</v>
      </c>
      <c r="W55" s="162"/>
      <c r="X55" s="94" t="s">
        <v>818</v>
      </c>
      <c r="Y55" s="94" t="s">
        <v>818</v>
      </c>
      <c r="Z55" s="94" t="s">
        <v>818</v>
      </c>
      <c r="AA55" s="94" t="s">
        <v>818</v>
      </c>
      <c r="AB55" s="94" t="s">
        <v>818</v>
      </c>
      <c r="AC55" s="94"/>
      <c r="AD55" s="162"/>
      <c r="AE55" s="94"/>
      <c r="AF55" s="94"/>
      <c r="AG55" s="94"/>
      <c r="AH55" s="94"/>
      <c r="AI55" s="94"/>
      <c r="AJ55" s="94"/>
      <c r="AK55" s="5">
        <f t="shared" si="3"/>
        <v>19</v>
      </c>
      <c r="AL55" s="5">
        <f t="shared" si="4"/>
        <v>0</v>
      </c>
    </row>
    <row r="56" spans="1:38" ht="15.5" x14ac:dyDescent="0.3">
      <c r="A56" s="9">
        <v>29</v>
      </c>
      <c r="B56" s="11">
        <v>177</v>
      </c>
      <c r="C56" s="14" t="s">
        <v>118</v>
      </c>
      <c r="D56" s="14" t="s">
        <v>117</v>
      </c>
      <c r="E56" s="8" t="s">
        <v>6</v>
      </c>
      <c r="F56" s="156"/>
      <c r="G56" s="94" t="s">
        <v>818</v>
      </c>
      <c r="H56" s="94" t="s">
        <v>818</v>
      </c>
      <c r="I56" s="162"/>
      <c r="J56" s="94" t="s">
        <v>818</v>
      </c>
      <c r="K56" s="94" t="s">
        <v>818</v>
      </c>
      <c r="L56" s="94" t="s">
        <v>818</v>
      </c>
      <c r="M56" s="94" t="s">
        <v>818</v>
      </c>
      <c r="N56" s="94" t="s">
        <v>818</v>
      </c>
      <c r="O56" s="94" t="s">
        <v>818</v>
      </c>
      <c r="P56" s="162"/>
      <c r="Q56" s="94" t="s">
        <v>818</v>
      </c>
      <c r="R56" s="94" t="s">
        <v>818</v>
      </c>
      <c r="S56" s="94" t="s">
        <v>818</v>
      </c>
      <c r="T56" s="94" t="s">
        <v>818</v>
      </c>
      <c r="U56" s="94" t="s">
        <v>818</v>
      </c>
      <c r="V56" s="94" t="s">
        <v>818</v>
      </c>
      <c r="W56" s="162"/>
      <c r="X56" s="94" t="s">
        <v>818</v>
      </c>
      <c r="Y56" s="94" t="s">
        <v>818</v>
      </c>
      <c r="Z56" s="94" t="s">
        <v>818</v>
      </c>
      <c r="AA56" s="94" t="s">
        <v>818</v>
      </c>
      <c r="AB56" s="94" t="s">
        <v>818</v>
      </c>
      <c r="AC56" s="94"/>
      <c r="AD56" s="162"/>
      <c r="AE56" s="94"/>
      <c r="AF56" s="94"/>
      <c r="AG56" s="94"/>
      <c r="AH56" s="94"/>
      <c r="AI56" s="94"/>
      <c r="AJ56" s="94"/>
      <c r="AK56" s="5">
        <f t="shared" si="3"/>
        <v>19</v>
      </c>
      <c r="AL56" s="5">
        <f t="shared" si="4"/>
        <v>0</v>
      </c>
    </row>
    <row r="57" spans="1:38" ht="15.5" x14ac:dyDescent="0.3">
      <c r="A57" s="9">
        <v>30</v>
      </c>
      <c r="B57" s="11">
        <v>191</v>
      </c>
      <c r="C57" s="7" t="s">
        <v>100</v>
      </c>
      <c r="D57" s="7" t="s">
        <v>101</v>
      </c>
      <c r="E57" s="8" t="s">
        <v>6</v>
      </c>
      <c r="F57" s="157"/>
      <c r="G57" s="94" t="s">
        <v>817</v>
      </c>
      <c r="H57" s="94" t="s">
        <v>818</v>
      </c>
      <c r="I57" s="163"/>
      <c r="J57" s="94" t="s">
        <v>817</v>
      </c>
      <c r="K57" s="94" t="s">
        <v>817</v>
      </c>
      <c r="L57" s="94" t="s">
        <v>817</v>
      </c>
      <c r="M57" s="94" t="s">
        <v>817</v>
      </c>
      <c r="N57" s="94" t="s">
        <v>817</v>
      </c>
      <c r="O57" s="94" t="s">
        <v>817</v>
      </c>
      <c r="P57" s="163"/>
      <c r="Q57" s="94" t="s">
        <v>817</v>
      </c>
      <c r="R57" s="94" t="s">
        <v>817</v>
      </c>
      <c r="S57" s="94" t="s">
        <v>817</v>
      </c>
      <c r="T57" s="94" t="s">
        <v>817</v>
      </c>
      <c r="U57" s="94" t="s">
        <v>817</v>
      </c>
      <c r="V57" s="94" t="s">
        <v>817</v>
      </c>
      <c r="W57" s="163"/>
      <c r="X57" s="94" t="s">
        <v>817</v>
      </c>
      <c r="Y57" s="94" t="s">
        <v>817</v>
      </c>
      <c r="Z57" s="94" t="s">
        <v>817</v>
      </c>
      <c r="AA57" s="94" t="s">
        <v>817</v>
      </c>
      <c r="AB57" s="94" t="s">
        <v>817</v>
      </c>
      <c r="AC57" s="94"/>
      <c r="AD57" s="163"/>
      <c r="AE57" s="94"/>
      <c r="AF57" s="94"/>
      <c r="AG57" s="94"/>
      <c r="AH57" s="94"/>
      <c r="AI57" s="94"/>
      <c r="AJ57" s="94"/>
      <c r="AK57" s="5">
        <f t="shared" si="3"/>
        <v>1</v>
      </c>
      <c r="AL57" s="5">
        <f t="shared" si="4"/>
        <v>18</v>
      </c>
    </row>
    <row r="58" spans="1:38" ht="15.5" x14ac:dyDescent="0.3">
      <c r="A58" s="9">
        <v>31</v>
      </c>
      <c r="B58" s="11"/>
      <c r="C58" s="7" t="s">
        <v>113</v>
      </c>
      <c r="D58" s="7" t="s">
        <v>168</v>
      </c>
      <c r="E58" s="8" t="s">
        <v>6</v>
      </c>
      <c r="F58" s="126"/>
      <c r="G58" s="94" t="s">
        <v>818</v>
      </c>
      <c r="H58" s="94" t="s">
        <v>818</v>
      </c>
      <c r="I58" s="127"/>
      <c r="J58" s="94" t="s">
        <v>818</v>
      </c>
      <c r="K58" s="94" t="s">
        <v>818</v>
      </c>
      <c r="L58" s="94" t="s">
        <v>818</v>
      </c>
      <c r="M58" s="94" t="s">
        <v>818</v>
      </c>
      <c r="N58" s="94" t="s">
        <v>818</v>
      </c>
      <c r="O58" s="94" t="s">
        <v>818</v>
      </c>
      <c r="P58" s="127"/>
      <c r="Q58" s="94" t="s">
        <v>818</v>
      </c>
      <c r="R58" s="94" t="s">
        <v>818</v>
      </c>
      <c r="S58" s="94" t="s">
        <v>818</v>
      </c>
      <c r="T58" s="94" t="s">
        <v>818</v>
      </c>
      <c r="U58" s="94" t="s">
        <v>818</v>
      </c>
      <c r="V58" s="94" t="s">
        <v>818</v>
      </c>
      <c r="W58" s="127"/>
      <c r="X58" s="94" t="s">
        <v>818</v>
      </c>
      <c r="Y58" s="94" t="s">
        <v>818</v>
      </c>
      <c r="Z58" s="94" t="s">
        <v>818</v>
      </c>
      <c r="AA58" s="94" t="s">
        <v>818</v>
      </c>
      <c r="AB58" s="94" t="s">
        <v>818</v>
      </c>
      <c r="AC58" s="94"/>
      <c r="AD58" s="127"/>
      <c r="AE58" s="94"/>
      <c r="AF58" s="94"/>
      <c r="AG58" s="94"/>
      <c r="AH58" s="94"/>
      <c r="AI58" s="94"/>
      <c r="AJ58" s="94"/>
      <c r="AK58" s="5">
        <f t="shared" si="3"/>
        <v>19</v>
      </c>
      <c r="AL58" s="5">
        <f t="shared" si="4"/>
        <v>0</v>
      </c>
    </row>
  </sheetData>
  <mergeCells count="17">
    <mergeCell ref="A1:AL1"/>
    <mergeCell ref="AK3:AK4"/>
    <mergeCell ref="AL3:AL4"/>
    <mergeCell ref="A2:AL2"/>
    <mergeCell ref="A3:A4"/>
    <mergeCell ref="B3:B4"/>
    <mergeCell ref="C3:C4"/>
    <mergeCell ref="D3:D4"/>
    <mergeCell ref="E3:E4"/>
    <mergeCell ref="F5:F57"/>
    <mergeCell ref="AM3:AN3"/>
    <mergeCell ref="AM11:AP11"/>
    <mergeCell ref="AM19:AP19"/>
    <mergeCell ref="I5:I57"/>
    <mergeCell ref="P5:P57"/>
    <mergeCell ref="W5:W57"/>
    <mergeCell ref="AD5:AD57"/>
  </mergeCells>
  <conditionalFormatting sqref="F3:AJ5 G6:AJ58">
    <cfRule type="expression" dxfId="376" priority="24">
      <formula>F$3="SUN"</formula>
    </cfRule>
  </conditionalFormatting>
  <conditionalFormatting sqref="F5:AJ5 G6:AJ58">
    <cfRule type="cellIs" dxfId="375" priority="27" operator="equal">
      <formula>"L"</formula>
    </cfRule>
    <cfRule type="cellIs" dxfId="374" priority="28" operator="equal">
      <formula>"A"</formula>
    </cfRule>
    <cfRule type="cellIs" dxfId="373" priority="29" operator="equal">
      <formula>"P"</formula>
    </cfRule>
  </conditionalFormatting>
  <conditionalFormatting sqref="AK3:AL3 AK5:AL58">
    <cfRule type="expression" dxfId="372" priority="26">
      <formula>#REF!="Sun"</formula>
    </cfRule>
  </conditionalFormatting>
  <conditionalFormatting sqref="AM5:AM9">
    <cfRule type="expression" dxfId="371" priority="15">
      <formula>AM$3="Sun"</formula>
    </cfRule>
  </conditionalFormatting>
  <conditionalFormatting sqref="AM12:AM15">
    <cfRule type="expression" dxfId="370" priority="13">
      <formula>AM$3="Sun"</formula>
    </cfRule>
  </conditionalFormatting>
  <conditionalFormatting sqref="AM20:AM23">
    <cfRule type="expression" dxfId="369" priority="12">
      <formula>AM$3="Sun"</formula>
    </cfRule>
  </conditionalFormatting>
  <conditionalFormatting sqref="AM4:AN4">
    <cfRule type="expression" dxfId="368" priority="16">
      <formula>AM$3="Sun"</formula>
    </cfRule>
  </conditionalFormatting>
  <conditionalFormatting sqref="AN12:AP12 AN20:AP20">
    <cfRule type="expression" dxfId="367" priority="17">
      <formula>AN$3="Sun"</formula>
    </cfRule>
  </conditionalFormatting>
  <conditionalFormatting sqref="AP21">
    <cfRule type="expression" dxfId="366" priority="14">
      <formula>AP$3="Sun"</formula>
    </cfRule>
  </conditionalFormatting>
  <conditionalFormatting sqref="F3:AJ5 G6:AJ58">
    <cfRule type="expression" dxfId="365" priority="1">
      <formula>F$4=TODAY()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3"/>
  <sheetViews>
    <sheetView topLeftCell="A3" zoomScaleNormal="100" workbookViewId="0">
      <selection activeCell="AB5" sqref="AB5"/>
    </sheetView>
  </sheetViews>
  <sheetFormatPr defaultColWidth="3.81640625" defaultRowHeight="14" x14ac:dyDescent="0.3"/>
  <cols>
    <col min="1" max="1" width="5.1796875" style="1" bestFit="1" customWidth="1"/>
    <col min="2" max="2" width="5.81640625" style="1" customWidth="1"/>
    <col min="3" max="3" width="19.26953125" style="1" bestFit="1" customWidth="1"/>
    <col min="4" max="4" width="19" style="1" bestFit="1" customWidth="1"/>
    <col min="5" max="5" width="6.7265625" style="1" customWidth="1"/>
    <col min="6" max="6" width="3.81640625" style="1" bestFit="1" customWidth="1"/>
    <col min="7" max="7" width="4.54296875" style="1" bestFit="1" customWidth="1"/>
    <col min="8" max="8" width="3.81640625" style="1" bestFit="1" customWidth="1"/>
    <col min="9" max="9" width="4.7265625" style="1" bestFit="1" customWidth="1"/>
    <col min="10" max="10" width="3.81640625" style="1" bestFit="1"/>
    <col min="11" max="12" width="3.7265625" style="1" bestFit="1" customWidth="1"/>
    <col min="13" max="13" width="3.81640625" style="1" bestFit="1"/>
    <col min="14" max="14" width="3.7265625" style="1" bestFit="1" customWidth="1"/>
    <col min="15" max="15" width="3.81640625" style="1" bestFit="1"/>
    <col min="16" max="16" width="4.7265625" style="1" bestFit="1" customWidth="1"/>
    <col min="17" max="17" width="3.81640625" style="1" bestFit="1" customWidth="1"/>
    <col min="18" max="19" width="3.7265625" style="1" bestFit="1" customWidth="1"/>
    <col min="20" max="20" width="3.81640625" style="1" bestFit="1" customWidth="1"/>
    <col min="21" max="21" width="4.54296875" style="1" bestFit="1" customWidth="1"/>
    <col min="22" max="22" width="3.81640625" style="1" bestFit="1" customWidth="1"/>
    <col min="23" max="23" width="4.7265625" style="1" bestFit="1" customWidth="1"/>
    <col min="24" max="24" width="3.81640625" style="1" bestFit="1" customWidth="1"/>
    <col min="25" max="26" width="3.7265625" style="1" bestFit="1" customWidth="1"/>
    <col min="27" max="27" width="3.81640625" style="1" bestFit="1"/>
    <col min="28" max="28" width="4.54296875" style="1" bestFit="1" customWidth="1"/>
    <col min="29" max="30" width="3.81640625" style="1" bestFit="1"/>
    <col min="31" max="31" width="3.81640625" style="1" bestFit="1" customWidth="1"/>
    <col min="32" max="32" width="3.81640625" style="1" bestFit="1"/>
    <col min="33" max="34" width="3.7265625" style="1" bestFit="1" customWidth="1"/>
    <col min="35" max="36" width="3.7265625" style="1" customWidth="1"/>
    <col min="37" max="37" width="6.7265625" style="1" bestFit="1" customWidth="1"/>
    <col min="38" max="38" width="6.7265625" style="1" customWidth="1"/>
    <col min="39" max="39" width="18.54296875" style="1" bestFit="1" customWidth="1"/>
    <col min="40" max="41" width="5.1796875" style="1" bestFit="1" customWidth="1"/>
    <col min="42" max="42" width="5.453125" style="1" bestFit="1" customWidth="1"/>
    <col min="43" max="16384" width="3.81640625" style="1"/>
  </cols>
  <sheetData>
    <row r="1" spans="1:42" ht="17" x14ac:dyDescent="0.3">
      <c r="A1" s="170" t="s">
        <v>18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2"/>
    </row>
    <row r="2" spans="1:42" ht="17" x14ac:dyDescent="0.4">
      <c r="A2" s="173" t="s">
        <v>732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5"/>
    </row>
    <row r="3" spans="1:42" ht="15.5" x14ac:dyDescent="0.3">
      <c r="A3" s="153" t="s">
        <v>0</v>
      </c>
      <c r="B3" s="153" t="s">
        <v>713</v>
      </c>
      <c r="C3" s="153" t="s">
        <v>1</v>
      </c>
      <c r="D3" s="153" t="s">
        <v>2</v>
      </c>
      <c r="E3" s="153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54" t="s">
        <v>4</v>
      </c>
      <c r="AL3" s="154" t="s">
        <v>5</v>
      </c>
      <c r="AM3" s="158" t="s">
        <v>119</v>
      </c>
      <c r="AN3" s="159"/>
      <c r="AO3" s="3"/>
      <c r="AP3" s="3"/>
    </row>
    <row r="4" spans="1:42" ht="38.5" x14ac:dyDescent="0.3">
      <c r="A4" s="153"/>
      <c r="B4" s="153"/>
      <c r="C4" s="153"/>
      <c r="D4" s="153"/>
      <c r="E4" s="153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54"/>
      <c r="AL4" s="154"/>
      <c r="AM4" s="5" t="s">
        <v>120</v>
      </c>
      <c r="AN4" s="5">
        <f>SUM(AN5:AN8)</f>
        <v>30</v>
      </c>
      <c r="AO4" s="3"/>
      <c r="AP4" s="3"/>
    </row>
    <row r="5" spans="1:42" ht="15" customHeight="1" x14ac:dyDescent="0.3">
      <c r="A5" s="9">
        <v>1</v>
      </c>
      <c r="B5" s="11">
        <v>106</v>
      </c>
      <c r="C5" s="7" t="s">
        <v>123</v>
      </c>
      <c r="D5" s="99" t="s">
        <v>124</v>
      </c>
      <c r="E5" s="8" t="s">
        <v>722</v>
      </c>
      <c r="F5" s="155" t="s">
        <v>820</v>
      </c>
      <c r="G5" s="94" t="s">
        <v>818</v>
      </c>
      <c r="H5" s="94" t="s">
        <v>818</v>
      </c>
      <c r="I5" s="168" t="s">
        <v>739</v>
      </c>
      <c r="J5" s="94" t="s">
        <v>818</v>
      </c>
      <c r="K5" s="113" t="s">
        <v>818</v>
      </c>
      <c r="L5" s="94" t="s">
        <v>818</v>
      </c>
      <c r="M5" s="94" t="s">
        <v>818</v>
      </c>
      <c r="N5" s="94" t="s">
        <v>818</v>
      </c>
      <c r="O5" s="94" t="s">
        <v>730</v>
      </c>
      <c r="P5" s="168" t="s">
        <v>740</v>
      </c>
      <c r="Q5" s="94" t="s">
        <v>730</v>
      </c>
      <c r="R5" s="113" t="s">
        <v>818</v>
      </c>
      <c r="S5" s="94" t="s">
        <v>730</v>
      </c>
      <c r="T5" s="94" t="s">
        <v>730</v>
      </c>
      <c r="U5" s="94" t="s">
        <v>730</v>
      </c>
      <c r="V5" s="94" t="s">
        <v>817</v>
      </c>
      <c r="W5" s="168" t="s">
        <v>741</v>
      </c>
      <c r="X5" s="94" t="s">
        <v>818</v>
      </c>
      <c r="Y5" s="113" t="s">
        <v>818</v>
      </c>
      <c r="Z5" s="94" t="s">
        <v>818</v>
      </c>
      <c r="AA5" s="94" t="s">
        <v>818</v>
      </c>
      <c r="AB5" s="94"/>
      <c r="AC5" s="94"/>
      <c r="AD5" s="168" t="s">
        <v>742</v>
      </c>
      <c r="AE5" s="94"/>
      <c r="AF5" s="113"/>
      <c r="AG5" s="94"/>
      <c r="AH5" s="94"/>
      <c r="AI5" s="94"/>
      <c r="AJ5" s="94"/>
      <c r="AK5" s="5">
        <f t="shared" ref="AK5:AK24" si="0">COUNTIF(F5:AI5,"P")</f>
        <v>17</v>
      </c>
      <c r="AL5" s="5">
        <f t="shared" ref="AL5:AL37" si="1">COUNTIF(F5:AI5,"A")</f>
        <v>1</v>
      </c>
      <c r="AM5" s="5" t="s">
        <v>7</v>
      </c>
      <c r="AN5" s="9">
        <v>26</v>
      </c>
      <c r="AO5" s="10"/>
      <c r="AP5" s="3"/>
    </row>
    <row r="6" spans="1:42" ht="15.5" x14ac:dyDescent="0.3">
      <c r="A6" s="9">
        <v>2</v>
      </c>
      <c r="B6" s="11">
        <v>75</v>
      </c>
      <c r="C6" s="7" t="s">
        <v>125</v>
      </c>
      <c r="D6" s="99" t="s">
        <v>126</v>
      </c>
      <c r="E6" s="8" t="s">
        <v>722</v>
      </c>
      <c r="F6" s="156"/>
      <c r="G6" s="94" t="s">
        <v>818</v>
      </c>
      <c r="H6" s="94" t="s">
        <v>818</v>
      </c>
      <c r="I6" s="169"/>
      <c r="J6" s="94" t="s">
        <v>818</v>
      </c>
      <c r="K6" s="113" t="s">
        <v>818</v>
      </c>
      <c r="L6" s="94" t="s">
        <v>818</v>
      </c>
      <c r="M6" s="94" t="s">
        <v>818</v>
      </c>
      <c r="N6" s="94" t="s">
        <v>818</v>
      </c>
      <c r="O6" s="94" t="s">
        <v>818</v>
      </c>
      <c r="P6" s="169"/>
      <c r="Q6" s="94" t="s">
        <v>818</v>
      </c>
      <c r="R6" s="113" t="s">
        <v>818</v>
      </c>
      <c r="S6" s="94" t="s">
        <v>730</v>
      </c>
      <c r="T6" s="94" t="s">
        <v>817</v>
      </c>
      <c r="U6" s="94" t="s">
        <v>818</v>
      </c>
      <c r="V6" s="94" t="s">
        <v>818</v>
      </c>
      <c r="W6" s="169"/>
      <c r="X6" s="94" t="s">
        <v>818</v>
      </c>
      <c r="Y6" s="113" t="s">
        <v>818</v>
      </c>
      <c r="Z6" s="94" t="s">
        <v>818</v>
      </c>
      <c r="AA6" s="94" t="s">
        <v>818</v>
      </c>
      <c r="AB6" s="94"/>
      <c r="AC6" s="94"/>
      <c r="AD6" s="169"/>
      <c r="AE6" s="94"/>
      <c r="AF6" s="113"/>
      <c r="AG6" s="94"/>
      <c r="AH6" s="94"/>
      <c r="AI6" s="94"/>
      <c r="AJ6" s="94"/>
      <c r="AK6" s="5">
        <f t="shared" si="0"/>
        <v>17</v>
      </c>
      <c r="AL6" s="5">
        <f t="shared" si="1"/>
        <v>1</v>
      </c>
      <c r="AM6" s="5" t="s">
        <v>8</v>
      </c>
      <c r="AN6" s="9">
        <v>4</v>
      </c>
      <c r="AO6" s="3"/>
      <c r="AP6" s="3"/>
    </row>
    <row r="7" spans="1:42" ht="15.5" x14ac:dyDescent="0.3">
      <c r="A7" s="9">
        <v>3</v>
      </c>
      <c r="B7" s="11">
        <v>109</v>
      </c>
      <c r="C7" s="7" t="s">
        <v>127</v>
      </c>
      <c r="D7" s="99" t="s">
        <v>97</v>
      </c>
      <c r="E7" s="8" t="s">
        <v>722</v>
      </c>
      <c r="F7" s="156"/>
      <c r="G7" s="94" t="s">
        <v>818</v>
      </c>
      <c r="H7" s="94" t="s">
        <v>817</v>
      </c>
      <c r="I7" s="169"/>
      <c r="J7" s="94" t="s">
        <v>818</v>
      </c>
      <c r="K7" s="113" t="s">
        <v>818</v>
      </c>
      <c r="L7" s="94" t="s">
        <v>817</v>
      </c>
      <c r="M7" s="94" t="s">
        <v>817</v>
      </c>
      <c r="N7" s="94" t="s">
        <v>817</v>
      </c>
      <c r="O7" s="94" t="s">
        <v>817</v>
      </c>
      <c r="P7" s="169"/>
      <c r="Q7" s="94" t="s">
        <v>817</v>
      </c>
      <c r="R7" s="113" t="s">
        <v>818</v>
      </c>
      <c r="S7" s="94" t="s">
        <v>818</v>
      </c>
      <c r="T7" s="94" t="s">
        <v>817</v>
      </c>
      <c r="U7" s="94" t="s">
        <v>817</v>
      </c>
      <c r="V7" s="94" t="s">
        <v>817</v>
      </c>
      <c r="W7" s="169"/>
      <c r="X7" s="94" t="s">
        <v>817</v>
      </c>
      <c r="Y7" s="113" t="s">
        <v>818</v>
      </c>
      <c r="Z7" s="94" t="s">
        <v>818</v>
      </c>
      <c r="AA7" s="94" t="s">
        <v>818</v>
      </c>
      <c r="AB7" s="94"/>
      <c r="AC7" s="94"/>
      <c r="AD7" s="169"/>
      <c r="AE7" s="94"/>
      <c r="AF7" s="113"/>
      <c r="AG7" s="94"/>
      <c r="AH7" s="94"/>
      <c r="AI7" s="94"/>
      <c r="AJ7" s="94"/>
      <c r="AK7" s="5">
        <f t="shared" si="0"/>
        <v>8</v>
      </c>
      <c r="AL7" s="5">
        <f t="shared" si="1"/>
        <v>10</v>
      </c>
      <c r="AM7" s="5"/>
      <c r="AN7" s="9"/>
      <c r="AO7" s="3"/>
      <c r="AP7" s="3"/>
    </row>
    <row r="8" spans="1:42" ht="15.5" x14ac:dyDescent="0.35">
      <c r="A8" s="9">
        <v>4</v>
      </c>
      <c r="B8" s="11">
        <v>49</v>
      </c>
      <c r="C8" s="7" t="s">
        <v>128</v>
      </c>
      <c r="D8" s="99" t="s">
        <v>129</v>
      </c>
      <c r="E8" s="8" t="s">
        <v>722</v>
      </c>
      <c r="F8" s="156"/>
      <c r="G8" s="94" t="s">
        <v>817</v>
      </c>
      <c r="H8" s="94" t="s">
        <v>817</v>
      </c>
      <c r="I8" s="169"/>
      <c r="J8" s="94" t="s">
        <v>818</v>
      </c>
      <c r="K8" s="113" t="s">
        <v>818</v>
      </c>
      <c r="L8" s="94" t="s">
        <v>817</v>
      </c>
      <c r="M8" s="94" t="s">
        <v>818</v>
      </c>
      <c r="N8" s="94" t="s">
        <v>818</v>
      </c>
      <c r="O8" s="94" t="s">
        <v>818</v>
      </c>
      <c r="P8" s="169"/>
      <c r="Q8" s="94" t="s">
        <v>818</v>
      </c>
      <c r="R8" s="113" t="s">
        <v>818</v>
      </c>
      <c r="S8" s="94" t="s">
        <v>818</v>
      </c>
      <c r="T8" s="94" t="s">
        <v>818</v>
      </c>
      <c r="U8" s="94" t="s">
        <v>818</v>
      </c>
      <c r="V8" s="94" t="s">
        <v>818</v>
      </c>
      <c r="W8" s="169"/>
      <c r="X8" s="94" t="s">
        <v>818</v>
      </c>
      <c r="Y8" s="113" t="s">
        <v>818</v>
      </c>
      <c r="Z8" s="94" t="s">
        <v>818</v>
      </c>
      <c r="AA8" s="94" t="s">
        <v>818</v>
      </c>
      <c r="AB8" s="94"/>
      <c r="AC8" s="94"/>
      <c r="AD8" s="169"/>
      <c r="AE8" s="94"/>
      <c r="AF8" s="113"/>
      <c r="AG8" s="94"/>
      <c r="AH8" s="94"/>
      <c r="AI8" s="94"/>
      <c r="AJ8" s="94"/>
      <c r="AK8" s="5">
        <f t="shared" si="0"/>
        <v>15</v>
      </c>
      <c r="AL8" s="5">
        <f t="shared" si="1"/>
        <v>3</v>
      </c>
      <c r="AM8" s="5"/>
      <c r="AN8" s="9"/>
      <c r="AO8"/>
      <c r="AP8"/>
    </row>
    <row r="9" spans="1:42" ht="15.5" x14ac:dyDescent="0.3">
      <c r="A9" s="9">
        <v>5</v>
      </c>
      <c r="B9" s="11">
        <v>104</v>
      </c>
      <c r="C9" s="7" t="s">
        <v>130</v>
      </c>
      <c r="D9" s="99" t="s">
        <v>131</v>
      </c>
      <c r="E9" s="8" t="s">
        <v>722</v>
      </c>
      <c r="F9" s="156"/>
      <c r="G9" s="94" t="s">
        <v>817</v>
      </c>
      <c r="H9" s="94" t="s">
        <v>817</v>
      </c>
      <c r="I9" s="169"/>
      <c r="J9" s="94" t="s">
        <v>817</v>
      </c>
      <c r="K9" s="113" t="s">
        <v>817</v>
      </c>
      <c r="L9" s="94" t="s">
        <v>817</v>
      </c>
      <c r="M9" s="94" t="s">
        <v>817</v>
      </c>
      <c r="N9" s="94" t="s">
        <v>817</v>
      </c>
      <c r="O9" s="94" t="s">
        <v>817</v>
      </c>
      <c r="P9" s="169"/>
      <c r="Q9" s="94" t="s">
        <v>817</v>
      </c>
      <c r="R9" s="113" t="s">
        <v>817</v>
      </c>
      <c r="S9" s="94" t="s">
        <v>817</v>
      </c>
      <c r="T9" s="94" t="s">
        <v>817</v>
      </c>
      <c r="U9" s="94" t="s">
        <v>817</v>
      </c>
      <c r="V9" s="94" t="s">
        <v>817</v>
      </c>
      <c r="W9" s="169"/>
      <c r="X9" s="94" t="s">
        <v>817</v>
      </c>
      <c r="Y9" s="113" t="s">
        <v>817</v>
      </c>
      <c r="Z9" s="94" t="s">
        <v>817</v>
      </c>
      <c r="AA9" s="94" t="s">
        <v>818</v>
      </c>
      <c r="AB9" s="94"/>
      <c r="AC9" s="94"/>
      <c r="AD9" s="169"/>
      <c r="AE9" s="94"/>
      <c r="AF9" s="113"/>
      <c r="AG9" s="94"/>
      <c r="AH9" s="94"/>
      <c r="AI9" s="94"/>
      <c r="AJ9" s="94"/>
      <c r="AK9" s="5">
        <f t="shared" si="0"/>
        <v>1</v>
      </c>
      <c r="AL9" s="5">
        <f t="shared" si="1"/>
        <v>17</v>
      </c>
      <c r="AM9" s="5"/>
      <c r="AN9" s="9"/>
    </row>
    <row r="10" spans="1:42" ht="15.5" x14ac:dyDescent="0.3">
      <c r="A10" s="9">
        <v>6</v>
      </c>
      <c r="B10" s="11">
        <v>88</v>
      </c>
      <c r="C10" s="7" t="s">
        <v>132</v>
      </c>
      <c r="D10" s="99" t="s">
        <v>133</v>
      </c>
      <c r="E10" s="8" t="s">
        <v>722</v>
      </c>
      <c r="F10" s="156"/>
      <c r="G10" s="94" t="s">
        <v>817</v>
      </c>
      <c r="H10" s="94" t="s">
        <v>818</v>
      </c>
      <c r="I10" s="169"/>
      <c r="J10" s="94" t="s">
        <v>818</v>
      </c>
      <c r="K10" s="113" t="s">
        <v>818</v>
      </c>
      <c r="L10" s="94" t="s">
        <v>818</v>
      </c>
      <c r="M10" s="94" t="s">
        <v>818</v>
      </c>
      <c r="N10" s="94" t="s">
        <v>818</v>
      </c>
      <c r="O10" s="94" t="s">
        <v>818</v>
      </c>
      <c r="P10" s="169"/>
      <c r="Q10" s="94" t="s">
        <v>818</v>
      </c>
      <c r="R10" s="113" t="s">
        <v>818</v>
      </c>
      <c r="S10" s="94" t="s">
        <v>818</v>
      </c>
      <c r="T10" s="94" t="s">
        <v>818</v>
      </c>
      <c r="U10" s="94" t="s">
        <v>818</v>
      </c>
      <c r="V10" s="94" t="s">
        <v>818</v>
      </c>
      <c r="W10" s="169"/>
      <c r="X10" s="94" t="s">
        <v>818</v>
      </c>
      <c r="Y10" s="113" t="s">
        <v>818</v>
      </c>
      <c r="Z10" s="94" t="s">
        <v>817</v>
      </c>
      <c r="AA10" s="94" t="s">
        <v>818</v>
      </c>
      <c r="AB10" s="94"/>
      <c r="AC10" s="94"/>
      <c r="AD10" s="169"/>
      <c r="AE10" s="94"/>
      <c r="AF10" s="113"/>
      <c r="AG10" s="94"/>
      <c r="AH10" s="94"/>
      <c r="AI10" s="94"/>
      <c r="AJ10" s="94"/>
      <c r="AK10" s="5">
        <f t="shared" si="0"/>
        <v>16</v>
      </c>
      <c r="AL10" s="5">
        <f t="shared" si="1"/>
        <v>2</v>
      </c>
    </row>
    <row r="11" spans="1:42" ht="15.5" customHeight="1" x14ac:dyDescent="0.3">
      <c r="A11" s="9">
        <v>7</v>
      </c>
      <c r="B11" s="11">
        <v>59</v>
      </c>
      <c r="C11" s="7" t="s">
        <v>134</v>
      </c>
      <c r="D11" s="99" t="s">
        <v>135</v>
      </c>
      <c r="E11" s="8" t="s">
        <v>722</v>
      </c>
      <c r="F11" s="156"/>
      <c r="G11" s="94" t="s">
        <v>818</v>
      </c>
      <c r="H11" s="94" t="s">
        <v>818</v>
      </c>
      <c r="I11" s="169"/>
      <c r="J11" s="94" t="s">
        <v>818</v>
      </c>
      <c r="K11" s="113" t="s">
        <v>818</v>
      </c>
      <c r="L11" s="94" t="s">
        <v>818</v>
      </c>
      <c r="M11" s="94" t="s">
        <v>818</v>
      </c>
      <c r="N11" s="94" t="s">
        <v>818</v>
      </c>
      <c r="O11" s="94" t="s">
        <v>818</v>
      </c>
      <c r="P11" s="169"/>
      <c r="Q11" s="94" t="s">
        <v>818</v>
      </c>
      <c r="R11" s="113" t="s">
        <v>817</v>
      </c>
      <c r="S11" s="94" t="s">
        <v>818</v>
      </c>
      <c r="T11" s="94" t="s">
        <v>817</v>
      </c>
      <c r="U11" s="94" t="s">
        <v>818</v>
      </c>
      <c r="V11" s="94" t="s">
        <v>818</v>
      </c>
      <c r="W11" s="169"/>
      <c r="X11" s="94" t="s">
        <v>818</v>
      </c>
      <c r="Y11" s="113" t="s">
        <v>818</v>
      </c>
      <c r="Z11" s="94" t="s">
        <v>818</v>
      </c>
      <c r="AA11" s="94" t="s">
        <v>818</v>
      </c>
      <c r="AB11" s="94"/>
      <c r="AC11" s="94"/>
      <c r="AD11" s="169"/>
      <c r="AE11" s="94"/>
      <c r="AF11" s="113"/>
      <c r="AG11" s="94"/>
      <c r="AH11" s="94"/>
      <c r="AI11" s="94"/>
      <c r="AJ11" s="94"/>
      <c r="AK11" s="5">
        <f t="shared" si="0"/>
        <v>16</v>
      </c>
      <c r="AL11" s="5">
        <f t="shared" si="1"/>
        <v>2</v>
      </c>
      <c r="AM11" s="158" t="s">
        <v>9</v>
      </c>
      <c r="AN11" s="159"/>
      <c r="AO11" s="159"/>
      <c r="AP11" s="160"/>
    </row>
    <row r="12" spans="1:42" ht="15.5" x14ac:dyDescent="0.3">
      <c r="A12" s="9">
        <v>8</v>
      </c>
      <c r="B12" s="11">
        <v>83</v>
      </c>
      <c r="C12" s="7" t="s">
        <v>136</v>
      </c>
      <c r="D12" s="99" t="s">
        <v>137</v>
      </c>
      <c r="E12" s="8" t="s">
        <v>722</v>
      </c>
      <c r="F12" s="156"/>
      <c r="G12" s="94" t="s">
        <v>818</v>
      </c>
      <c r="H12" s="94" t="s">
        <v>818</v>
      </c>
      <c r="I12" s="169"/>
      <c r="J12" s="94" t="s">
        <v>818</v>
      </c>
      <c r="K12" s="113" t="s">
        <v>818</v>
      </c>
      <c r="L12" s="94" t="s">
        <v>818</v>
      </c>
      <c r="M12" s="94" t="s">
        <v>817</v>
      </c>
      <c r="N12" s="94" t="s">
        <v>818</v>
      </c>
      <c r="O12" s="94" t="s">
        <v>818</v>
      </c>
      <c r="P12" s="169"/>
      <c r="Q12" s="94" t="s">
        <v>817</v>
      </c>
      <c r="R12" s="113" t="s">
        <v>818</v>
      </c>
      <c r="S12" s="94" t="s">
        <v>818</v>
      </c>
      <c r="T12" s="94" t="s">
        <v>818</v>
      </c>
      <c r="U12" s="94" t="s">
        <v>818</v>
      </c>
      <c r="V12" s="94" t="s">
        <v>818</v>
      </c>
      <c r="W12" s="169"/>
      <c r="X12" s="94" t="s">
        <v>818</v>
      </c>
      <c r="Y12" s="113" t="s">
        <v>818</v>
      </c>
      <c r="Z12" s="94" t="s">
        <v>818</v>
      </c>
      <c r="AA12" s="94" t="s">
        <v>818</v>
      </c>
      <c r="AB12" s="94"/>
      <c r="AC12" s="94"/>
      <c r="AD12" s="169"/>
      <c r="AE12" s="94"/>
      <c r="AF12" s="113"/>
      <c r="AG12" s="94"/>
      <c r="AH12" s="94"/>
      <c r="AI12" s="94"/>
      <c r="AJ12" s="94"/>
      <c r="AK12" s="5">
        <f t="shared" si="0"/>
        <v>16</v>
      </c>
      <c r="AL12" s="5">
        <f t="shared" si="1"/>
        <v>2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5.5" x14ac:dyDescent="0.3">
      <c r="A13" s="9">
        <v>9</v>
      </c>
      <c r="B13" s="11">
        <v>89</v>
      </c>
      <c r="C13" s="7" t="s">
        <v>138</v>
      </c>
      <c r="D13" s="99" t="s">
        <v>139</v>
      </c>
      <c r="E13" s="8" t="s">
        <v>722</v>
      </c>
      <c r="F13" s="156"/>
      <c r="G13" s="94" t="s">
        <v>818</v>
      </c>
      <c r="H13" s="94" t="s">
        <v>818</v>
      </c>
      <c r="I13" s="169"/>
      <c r="J13" s="94" t="s">
        <v>818</v>
      </c>
      <c r="K13" s="113" t="s">
        <v>818</v>
      </c>
      <c r="L13" s="94" t="s">
        <v>818</v>
      </c>
      <c r="M13" s="94" t="s">
        <v>818</v>
      </c>
      <c r="N13" s="94" t="s">
        <v>818</v>
      </c>
      <c r="O13" s="94" t="s">
        <v>818</v>
      </c>
      <c r="P13" s="169"/>
      <c r="Q13" s="94" t="s">
        <v>818</v>
      </c>
      <c r="R13" s="113" t="s">
        <v>818</v>
      </c>
      <c r="S13" s="94" t="s">
        <v>818</v>
      </c>
      <c r="T13" s="94" t="s">
        <v>818</v>
      </c>
      <c r="U13" s="94" t="s">
        <v>818</v>
      </c>
      <c r="V13" s="94" t="s">
        <v>818</v>
      </c>
      <c r="W13" s="169"/>
      <c r="X13" s="94" t="s">
        <v>818</v>
      </c>
      <c r="Y13" s="113" t="s">
        <v>818</v>
      </c>
      <c r="Z13" s="94" t="s">
        <v>818</v>
      </c>
      <c r="AA13" s="94" t="s">
        <v>818</v>
      </c>
      <c r="AB13" s="94"/>
      <c r="AC13" s="94"/>
      <c r="AD13" s="169"/>
      <c r="AE13" s="94"/>
      <c r="AF13" s="113"/>
      <c r="AG13" s="94"/>
      <c r="AH13" s="94"/>
      <c r="AI13" s="94"/>
      <c r="AJ13" s="94"/>
      <c r="AK13" s="5">
        <f t="shared" si="0"/>
        <v>18</v>
      </c>
      <c r="AL13" s="5">
        <f t="shared" si="1"/>
        <v>0</v>
      </c>
      <c r="AM13" s="5" t="s">
        <v>14</v>
      </c>
      <c r="AN13" s="9">
        <f>32*$AN$5</f>
        <v>832</v>
      </c>
      <c r="AO13" s="9">
        <f>24*$AN$5</f>
        <v>624</v>
      </c>
      <c r="AP13" s="9">
        <f>SUM(AN13:AO13)</f>
        <v>1456</v>
      </c>
    </row>
    <row r="14" spans="1:42" ht="15.5" x14ac:dyDescent="0.3">
      <c r="A14" s="9">
        <v>10</v>
      </c>
      <c r="B14" s="95">
        <v>86</v>
      </c>
      <c r="C14" s="7" t="s">
        <v>140</v>
      </c>
      <c r="D14" s="99" t="s">
        <v>141</v>
      </c>
      <c r="E14" s="8" t="s">
        <v>722</v>
      </c>
      <c r="F14" s="156"/>
      <c r="G14" s="94" t="s">
        <v>817</v>
      </c>
      <c r="H14" s="94" t="s">
        <v>818</v>
      </c>
      <c r="I14" s="169"/>
      <c r="J14" s="94" t="s">
        <v>818</v>
      </c>
      <c r="K14" s="113" t="s">
        <v>817</v>
      </c>
      <c r="L14" s="94" t="s">
        <v>818</v>
      </c>
      <c r="M14" s="94" t="s">
        <v>817</v>
      </c>
      <c r="N14" s="94" t="s">
        <v>817</v>
      </c>
      <c r="O14" s="94" t="s">
        <v>818</v>
      </c>
      <c r="P14" s="169"/>
      <c r="Q14" s="94" t="s">
        <v>818</v>
      </c>
      <c r="R14" s="113" t="s">
        <v>818</v>
      </c>
      <c r="S14" s="94" t="s">
        <v>818</v>
      </c>
      <c r="T14" s="94" t="s">
        <v>818</v>
      </c>
      <c r="U14" s="94" t="s">
        <v>818</v>
      </c>
      <c r="V14" s="94" t="s">
        <v>818</v>
      </c>
      <c r="W14" s="169"/>
      <c r="X14" s="94" t="s">
        <v>817</v>
      </c>
      <c r="Y14" s="113" t="s">
        <v>818</v>
      </c>
      <c r="Z14" s="94" t="s">
        <v>818</v>
      </c>
      <c r="AA14" s="94" t="s">
        <v>818</v>
      </c>
      <c r="AB14" s="94"/>
      <c r="AC14" s="94"/>
      <c r="AD14" s="169"/>
      <c r="AE14" s="94"/>
      <c r="AF14" s="113"/>
      <c r="AG14" s="94"/>
      <c r="AH14" s="94"/>
      <c r="AI14" s="94"/>
      <c r="AJ14" s="94"/>
      <c r="AK14" s="5">
        <f t="shared" si="0"/>
        <v>13</v>
      </c>
      <c r="AL14" s="5">
        <f t="shared" si="1"/>
        <v>5</v>
      </c>
      <c r="AM14" s="5" t="s">
        <v>15</v>
      </c>
      <c r="AN14" s="9">
        <f>SUM(AK31:AK61)</f>
        <v>448</v>
      </c>
      <c r="AO14" s="9">
        <f>SUM(AK5:AK30)</f>
        <v>296</v>
      </c>
      <c r="AP14" s="9">
        <f>AN14+AO14</f>
        <v>744</v>
      </c>
    </row>
    <row r="15" spans="1:42" ht="15.5" x14ac:dyDescent="0.3">
      <c r="A15" s="9">
        <v>11</v>
      </c>
      <c r="B15" s="95">
        <v>105</v>
      </c>
      <c r="C15" s="7" t="s">
        <v>142</v>
      </c>
      <c r="D15" s="99" t="s">
        <v>143</v>
      </c>
      <c r="E15" s="8" t="s">
        <v>722</v>
      </c>
      <c r="F15" s="156"/>
      <c r="G15" s="94" t="s">
        <v>818</v>
      </c>
      <c r="H15" s="94" t="s">
        <v>818</v>
      </c>
      <c r="I15" s="169"/>
      <c r="J15" s="94" t="s">
        <v>818</v>
      </c>
      <c r="K15" s="113" t="s">
        <v>818</v>
      </c>
      <c r="L15" s="94" t="s">
        <v>818</v>
      </c>
      <c r="M15" s="94" t="s">
        <v>818</v>
      </c>
      <c r="N15" s="94" t="s">
        <v>818</v>
      </c>
      <c r="O15" s="94" t="s">
        <v>818</v>
      </c>
      <c r="P15" s="169"/>
      <c r="Q15" s="94" t="s">
        <v>818</v>
      </c>
      <c r="R15" s="113" t="s">
        <v>818</v>
      </c>
      <c r="S15" s="94" t="s">
        <v>817</v>
      </c>
      <c r="T15" s="94" t="s">
        <v>818</v>
      </c>
      <c r="U15" s="94" t="s">
        <v>817</v>
      </c>
      <c r="V15" s="94" t="s">
        <v>818</v>
      </c>
      <c r="W15" s="169"/>
      <c r="X15" s="94" t="s">
        <v>818</v>
      </c>
      <c r="Y15" s="113" t="s">
        <v>817</v>
      </c>
      <c r="Z15" s="94" t="s">
        <v>818</v>
      </c>
      <c r="AA15" s="94" t="s">
        <v>818</v>
      </c>
      <c r="AB15" s="94"/>
      <c r="AC15" s="94"/>
      <c r="AD15" s="169"/>
      <c r="AE15" s="94"/>
      <c r="AF15" s="113"/>
      <c r="AG15" s="94"/>
      <c r="AH15" s="94"/>
      <c r="AI15" s="94"/>
      <c r="AJ15" s="94"/>
      <c r="AK15" s="5">
        <f t="shared" si="0"/>
        <v>15</v>
      </c>
      <c r="AL15" s="5">
        <f t="shared" si="1"/>
        <v>3</v>
      </c>
      <c r="AM15" s="5" t="s">
        <v>16</v>
      </c>
      <c r="AN15" s="12">
        <f>AN14/AN13</f>
        <v>0.53846153846153844</v>
      </c>
      <c r="AO15" s="12">
        <f>AO14/AO13</f>
        <v>0.47435897435897434</v>
      </c>
      <c r="AP15" s="12">
        <f>AP14/AP13</f>
        <v>0.51098901098901095</v>
      </c>
    </row>
    <row r="16" spans="1:42" ht="15.5" x14ac:dyDescent="0.35">
      <c r="A16" s="9">
        <v>12</v>
      </c>
      <c r="B16" s="95">
        <v>84</v>
      </c>
      <c r="C16" s="7" t="s">
        <v>821</v>
      </c>
      <c r="D16" s="99" t="s">
        <v>144</v>
      </c>
      <c r="E16" s="8" t="s">
        <v>722</v>
      </c>
      <c r="F16" s="156"/>
      <c r="G16" s="94" t="s">
        <v>730</v>
      </c>
      <c r="H16" s="94" t="s">
        <v>730</v>
      </c>
      <c r="I16" s="169"/>
      <c r="J16" s="94" t="s">
        <v>730</v>
      </c>
      <c r="K16" s="113" t="s">
        <v>730</v>
      </c>
      <c r="L16" s="94" t="s">
        <v>818</v>
      </c>
      <c r="M16" s="94" t="s">
        <v>817</v>
      </c>
      <c r="N16" s="94" t="s">
        <v>817</v>
      </c>
      <c r="O16" s="94" t="s">
        <v>817</v>
      </c>
      <c r="P16" s="169"/>
      <c r="Q16" s="94" t="s">
        <v>817</v>
      </c>
      <c r="R16" s="113" t="s">
        <v>818</v>
      </c>
      <c r="S16" s="94" t="s">
        <v>817</v>
      </c>
      <c r="T16" s="94" t="s">
        <v>817</v>
      </c>
      <c r="U16" s="94" t="s">
        <v>817</v>
      </c>
      <c r="V16" s="94" t="s">
        <v>818</v>
      </c>
      <c r="W16" s="169"/>
      <c r="X16" s="94" t="s">
        <v>817</v>
      </c>
      <c r="Y16" s="113" t="s">
        <v>817</v>
      </c>
      <c r="Z16" s="94" t="s">
        <v>817</v>
      </c>
      <c r="AA16" s="94" t="s">
        <v>817</v>
      </c>
      <c r="AB16" s="94"/>
      <c r="AC16" s="94"/>
      <c r="AD16" s="169"/>
      <c r="AE16" s="94"/>
      <c r="AF16" s="113"/>
      <c r="AG16" s="94"/>
      <c r="AH16" s="94"/>
      <c r="AI16" s="94"/>
      <c r="AJ16" s="94"/>
      <c r="AK16" s="5">
        <f t="shared" si="0"/>
        <v>7</v>
      </c>
      <c r="AL16" s="5">
        <f t="shared" si="1"/>
        <v>11</v>
      </c>
      <c r="AM16"/>
      <c r="AN16"/>
      <c r="AO16"/>
      <c r="AP16"/>
    </row>
    <row r="17" spans="1:42" ht="15.5" x14ac:dyDescent="0.35">
      <c r="A17" s="9">
        <v>13</v>
      </c>
      <c r="B17" s="95">
        <v>85</v>
      </c>
      <c r="C17" s="7" t="s">
        <v>145</v>
      </c>
      <c r="D17" s="99" t="s">
        <v>146</v>
      </c>
      <c r="E17" s="8" t="s">
        <v>722</v>
      </c>
      <c r="F17" s="156"/>
      <c r="G17" s="94" t="s">
        <v>818</v>
      </c>
      <c r="H17" s="94" t="s">
        <v>818</v>
      </c>
      <c r="I17" s="169"/>
      <c r="J17" s="94" t="s">
        <v>818</v>
      </c>
      <c r="K17" s="113" t="s">
        <v>818</v>
      </c>
      <c r="L17" s="94" t="s">
        <v>818</v>
      </c>
      <c r="M17" s="94" t="s">
        <v>818</v>
      </c>
      <c r="N17" s="94" t="s">
        <v>817</v>
      </c>
      <c r="O17" s="94" t="s">
        <v>818</v>
      </c>
      <c r="P17" s="169"/>
      <c r="Q17" s="94" t="s">
        <v>818</v>
      </c>
      <c r="R17" s="113" t="s">
        <v>818</v>
      </c>
      <c r="S17" s="94" t="s">
        <v>818</v>
      </c>
      <c r="T17" s="94" t="s">
        <v>818</v>
      </c>
      <c r="U17" s="94" t="s">
        <v>818</v>
      </c>
      <c r="V17" s="94" t="s">
        <v>817</v>
      </c>
      <c r="W17" s="169"/>
      <c r="X17" s="94" t="s">
        <v>817</v>
      </c>
      <c r="Y17" s="113" t="s">
        <v>818</v>
      </c>
      <c r="Z17" s="94" t="s">
        <v>818</v>
      </c>
      <c r="AA17" s="94" t="s">
        <v>818</v>
      </c>
      <c r="AB17" s="94"/>
      <c r="AC17" s="94"/>
      <c r="AD17" s="169"/>
      <c r="AE17" s="94"/>
      <c r="AF17" s="113"/>
      <c r="AG17" s="94"/>
      <c r="AH17" s="94"/>
      <c r="AI17" s="94"/>
      <c r="AJ17" s="94"/>
      <c r="AK17" s="5">
        <f t="shared" si="0"/>
        <v>15</v>
      </c>
      <c r="AL17" s="5">
        <f t="shared" si="1"/>
        <v>3</v>
      </c>
      <c r="AM17"/>
      <c r="AN17"/>
      <c r="AO17"/>
      <c r="AP17"/>
    </row>
    <row r="18" spans="1:42" ht="15.5" x14ac:dyDescent="0.35">
      <c r="A18" s="9">
        <v>14</v>
      </c>
      <c r="B18" s="95">
        <v>102</v>
      </c>
      <c r="C18" s="7" t="s">
        <v>147</v>
      </c>
      <c r="D18" s="99" t="s">
        <v>148</v>
      </c>
      <c r="E18" s="8" t="s">
        <v>722</v>
      </c>
      <c r="F18" s="156"/>
      <c r="G18" s="94" t="s">
        <v>817</v>
      </c>
      <c r="H18" s="94" t="s">
        <v>817</v>
      </c>
      <c r="I18" s="169"/>
      <c r="J18" s="94" t="s">
        <v>818</v>
      </c>
      <c r="K18" s="113" t="s">
        <v>818</v>
      </c>
      <c r="L18" s="94" t="s">
        <v>818</v>
      </c>
      <c r="M18" s="94" t="s">
        <v>817</v>
      </c>
      <c r="N18" s="94" t="s">
        <v>818</v>
      </c>
      <c r="O18" s="94" t="s">
        <v>817</v>
      </c>
      <c r="P18" s="169"/>
      <c r="Q18" s="94" t="s">
        <v>818</v>
      </c>
      <c r="R18" s="113" t="s">
        <v>818</v>
      </c>
      <c r="S18" s="94" t="s">
        <v>817</v>
      </c>
      <c r="T18" s="94" t="s">
        <v>818</v>
      </c>
      <c r="U18" s="94" t="s">
        <v>817</v>
      </c>
      <c r="V18" s="94" t="s">
        <v>818</v>
      </c>
      <c r="W18" s="169"/>
      <c r="X18" s="94" t="s">
        <v>817</v>
      </c>
      <c r="Y18" s="113" t="s">
        <v>818</v>
      </c>
      <c r="Z18" s="94" t="s">
        <v>817</v>
      </c>
      <c r="AA18" s="94" t="s">
        <v>818</v>
      </c>
      <c r="AB18" s="94"/>
      <c r="AC18" s="94"/>
      <c r="AD18" s="169"/>
      <c r="AE18" s="94"/>
      <c r="AF18" s="113"/>
      <c r="AG18" s="94"/>
      <c r="AH18" s="94"/>
      <c r="AI18" s="94"/>
      <c r="AJ18" s="94"/>
      <c r="AK18" s="5">
        <f t="shared" si="0"/>
        <v>10</v>
      </c>
      <c r="AL18" s="5">
        <f t="shared" si="1"/>
        <v>8</v>
      </c>
      <c r="AM18"/>
      <c r="AN18"/>
      <c r="AO18"/>
      <c r="AP18"/>
    </row>
    <row r="19" spans="1:42" ht="15.5" x14ac:dyDescent="0.3">
      <c r="A19" s="9">
        <v>15</v>
      </c>
      <c r="B19" s="95">
        <v>87</v>
      </c>
      <c r="C19" s="7" t="s">
        <v>149</v>
      </c>
      <c r="D19" s="99" t="s">
        <v>150</v>
      </c>
      <c r="E19" s="8" t="s">
        <v>722</v>
      </c>
      <c r="F19" s="156"/>
      <c r="G19" s="94" t="s">
        <v>818</v>
      </c>
      <c r="H19" s="94" t="s">
        <v>818</v>
      </c>
      <c r="I19" s="169"/>
      <c r="J19" s="94" t="s">
        <v>818</v>
      </c>
      <c r="K19" s="113" t="s">
        <v>818</v>
      </c>
      <c r="L19" s="94" t="s">
        <v>818</v>
      </c>
      <c r="M19" s="94" t="s">
        <v>817</v>
      </c>
      <c r="N19" s="94" t="s">
        <v>818</v>
      </c>
      <c r="O19" s="94" t="s">
        <v>818</v>
      </c>
      <c r="P19" s="169"/>
      <c r="Q19" s="94" t="s">
        <v>818</v>
      </c>
      <c r="R19" s="113" t="s">
        <v>818</v>
      </c>
      <c r="S19" s="94" t="s">
        <v>818</v>
      </c>
      <c r="T19" s="94" t="s">
        <v>818</v>
      </c>
      <c r="U19" s="94" t="s">
        <v>818</v>
      </c>
      <c r="V19" s="94" t="s">
        <v>818</v>
      </c>
      <c r="W19" s="169"/>
      <c r="X19" s="94" t="s">
        <v>818</v>
      </c>
      <c r="Y19" s="113" t="s">
        <v>818</v>
      </c>
      <c r="Z19" s="94" t="s">
        <v>818</v>
      </c>
      <c r="AA19" s="94" t="s">
        <v>818</v>
      </c>
      <c r="AB19" s="94"/>
      <c r="AC19" s="94"/>
      <c r="AD19" s="169"/>
      <c r="AE19" s="94"/>
      <c r="AF19" s="113"/>
      <c r="AG19" s="94"/>
      <c r="AH19" s="94"/>
      <c r="AI19" s="94"/>
      <c r="AJ19" s="94"/>
      <c r="AK19" s="5">
        <f t="shared" si="0"/>
        <v>17</v>
      </c>
      <c r="AL19" s="5">
        <f t="shared" si="1"/>
        <v>1</v>
      </c>
      <c r="AM19" s="158" t="s">
        <v>121</v>
      </c>
      <c r="AN19" s="159"/>
      <c r="AO19" s="159"/>
      <c r="AP19" s="160"/>
    </row>
    <row r="20" spans="1:42" ht="15.5" x14ac:dyDescent="0.3">
      <c r="A20" s="9">
        <v>16</v>
      </c>
      <c r="B20" s="95">
        <v>71</v>
      </c>
      <c r="C20" s="7" t="s">
        <v>151</v>
      </c>
      <c r="D20" s="99" t="s">
        <v>133</v>
      </c>
      <c r="E20" s="8" t="s">
        <v>722</v>
      </c>
      <c r="F20" s="156"/>
      <c r="G20" s="94" t="s">
        <v>817</v>
      </c>
      <c r="H20" s="94" t="s">
        <v>818</v>
      </c>
      <c r="I20" s="169"/>
      <c r="J20" s="94" t="s">
        <v>817</v>
      </c>
      <c r="K20" s="113" t="s">
        <v>817</v>
      </c>
      <c r="L20" s="94" t="s">
        <v>817</v>
      </c>
      <c r="M20" s="94" t="s">
        <v>818</v>
      </c>
      <c r="N20" s="94" t="s">
        <v>818</v>
      </c>
      <c r="O20" s="94" t="s">
        <v>818</v>
      </c>
      <c r="P20" s="169"/>
      <c r="Q20" s="94" t="s">
        <v>818</v>
      </c>
      <c r="R20" s="113" t="s">
        <v>817</v>
      </c>
      <c r="S20" s="94" t="s">
        <v>817</v>
      </c>
      <c r="T20" s="94" t="s">
        <v>817</v>
      </c>
      <c r="U20" s="94" t="s">
        <v>818</v>
      </c>
      <c r="V20" s="94" t="s">
        <v>818</v>
      </c>
      <c r="W20" s="169"/>
      <c r="X20" s="94" t="s">
        <v>818</v>
      </c>
      <c r="Y20" s="113" t="s">
        <v>818</v>
      </c>
      <c r="Z20" s="94" t="s">
        <v>817</v>
      </c>
      <c r="AA20" s="94" t="s">
        <v>818</v>
      </c>
      <c r="AB20" s="94"/>
      <c r="AC20" s="94"/>
      <c r="AD20" s="169"/>
      <c r="AE20" s="94"/>
      <c r="AF20" s="113"/>
      <c r="AG20" s="94"/>
      <c r="AH20" s="94"/>
      <c r="AI20" s="94"/>
      <c r="AJ20" s="94"/>
      <c r="AK20" s="5">
        <f t="shared" si="0"/>
        <v>10</v>
      </c>
      <c r="AL20" s="5">
        <f t="shared" si="1"/>
        <v>8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5.5" x14ac:dyDescent="0.3">
      <c r="A21" s="9">
        <v>17</v>
      </c>
      <c r="B21" s="95">
        <v>81</v>
      </c>
      <c r="C21" s="7" t="s">
        <v>152</v>
      </c>
      <c r="D21" s="99" t="s">
        <v>153</v>
      </c>
      <c r="E21" s="8" t="s">
        <v>722</v>
      </c>
      <c r="F21" s="156"/>
      <c r="G21" s="94" t="s">
        <v>818</v>
      </c>
      <c r="H21" s="94" t="s">
        <v>817</v>
      </c>
      <c r="I21" s="169"/>
      <c r="J21" s="94" t="s">
        <v>817</v>
      </c>
      <c r="K21" s="113" t="s">
        <v>817</v>
      </c>
      <c r="L21" s="94" t="s">
        <v>817</v>
      </c>
      <c r="M21" s="94" t="s">
        <v>817</v>
      </c>
      <c r="N21" s="94" t="s">
        <v>817</v>
      </c>
      <c r="O21" s="94" t="s">
        <v>817</v>
      </c>
      <c r="P21" s="169"/>
      <c r="Q21" s="94" t="s">
        <v>817</v>
      </c>
      <c r="R21" s="113" t="s">
        <v>817</v>
      </c>
      <c r="S21" s="94" t="s">
        <v>817</v>
      </c>
      <c r="T21" s="94" t="s">
        <v>817</v>
      </c>
      <c r="U21" s="94" t="s">
        <v>817</v>
      </c>
      <c r="V21" s="94" t="s">
        <v>817</v>
      </c>
      <c r="W21" s="169"/>
      <c r="X21" s="94" t="s">
        <v>817</v>
      </c>
      <c r="Y21" s="113" t="s">
        <v>817</v>
      </c>
      <c r="Z21" s="94" t="s">
        <v>817</v>
      </c>
      <c r="AA21" s="94" t="s">
        <v>817</v>
      </c>
      <c r="AB21" s="94"/>
      <c r="AC21" s="94"/>
      <c r="AD21" s="169"/>
      <c r="AE21" s="94"/>
      <c r="AF21" s="113"/>
      <c r="AG21" s="94"/>
      <c r="AH21" s="94"/>
      <c r="AI21" s="94"/>
      <c r="AJ21" s="94"/>
      <c r="AK21" s="5">
        <f t="shared" si="0"/>
        <v>1</v>
      </c>
      <c r="AL21" s="5">
        <f t="shared" si="1"/>
        <v>17</v>
      </c>
      <c r="AM21" s="5" t="s">
        <v>14</v>
      </c>
      <c r="AN21" s="9">
        <f>32*$AN$5</f>
        <v>832</v>
      </c>
      <c r="AO21" s="9">
        <f>24*$AN$5</f>
        <v>624</v>
      </c>
      <c r="AP21" s="9">
        <f>AN21+AO21</f>
        <v>1456</v>
      </c>
    </row>
    <row r="22" spans="1:42" ht="15.5" x14ac:dyDescent="0.3">
      <c r="A22" s="9">
        <v>18</v>
      </c>
      <c r="B22" s="95">
        <v>82</v>
      </c>
      <c r="C22" s="7" t="s">
        <v>154</v>
      </c>
      <c r="D22" s="99" t="s">
        <v>155</v>
      </c>
      <c r="E22" s="8" t="s">
        <v>722</v>
      </c>
      <c r="F22" s="156"/>
      <c r="G22" s="94" t="s">
        <v>817</v>
      </c>
      <c r="H22" s="94" t="s">
        <v>817</v>
      </c>
      <c r="I22" s="169"/>
      <c r="J22" s="94" t="s">
        <v>817</v>
      </c>
      <c r="K22" s="113" t="s">
        <v>817</v>
      </c>
      <c r="L22" s="94" t="s">
        <v>818</v>
      </c>
      <c r="M22" s="94" t="s">
        <v>818</v>
      </c>
      <c r="N22" s="94" t="s">
        <v>818</v>
      </c>
      <c r="O22" s="94" t="s">
        <v>818</v>
      </c>
      <c r="P22" s="169"/>
      <c r="Q22" s="94" t="s">
        <v>818</v>
      </c>
      <c r="R22" s="113" t="s">
        <v>818</v>
      </c>
      <c r="S22" s="94" t="s">
        <v>818</v>
      </c>
      <c r="T22" s="94" t="s">
        <v>818</v>
      </c>
      <c r="U22" s="94" t="s">
        <v>818</v>
      </c>
      <c r="V22" s="94" t="s">
        <v>818</v>
      </c>
      <c r="W22" s="169"/>
      <c r="X22" s="94" t="s">
        <v>818</v>
      </c>
      <c r="Y22" s="113" t="s">
        <v>818</v>
      </c>
      <c r="Z22" s="94" t="s">
        <v>818</v>
      </c>
      <c r="AA22" s="94" t="s">
        <v>818</v>
      </c>
      <c r="AB22" s="94"/>
      <c r="AC22" s="94"/>
      <c r="AD22" s="169"/>
      <c r="AE22" s="94"/>
      <c r="AF22" s="113"/>
      <c r="AG22" s="94"/>
      <c r="AH22" s="94"/>
      <c r="AI22" s="94"/>
      <c r="AJ22" s="94"/>
      <c r="AK22" s="5">
        <f t="shared" si="0"/>
        <v>14</v>
      </c>
      <c r="AL22" s="5">
        <f t="shared" si="1"/>
        <v>4</v>
      </c>
      <c r="AM22" s="5" t="s">
        <v>17</v>
      </c>
      <c r="AN22" s="9">
        <f>AN21-AN14</f>
        <v>384</v>
      </c>
      <c r="AO22" s="9">
        <f>AO21-AO14</f>
        <v>328</v>
      </c>
      <c r="AP22" s="9">
        <f>AN22+AO22</f>
        <v>712</v>
      </c>
    </row>
    <row r="23" spans="1:42" ht="15.5" x14ac:dyDescent="0.3">
      <c r="A23" s="9">
        <v>19</v>
      </c>
      <c r="B23" s="95">
        <v>68</v>
      </c>
      <c r="C23" s="7" t="s">
        <v>156</v>
      </c>
      <c r="D23" s="99" t="s">
        <v>157</v>
      </c>
      <c r="E23" s="8" t="s">
        <v>722</v>
      </c>
      <c r="F23" s="156"/>
      <c r="G23" s="94" t="s">
        <v>817</v>
      </c>
      <c r="H23" s="94" t="s">
        <v>817</v>
      </c>
      <c r="I23" s="169"/>
      <c r="J23" s="94" t="s">
        <v>818</v>
      </c>
      <c r="K23" s="113" t="s">
        <v>818</v>
      </c>
      <c r="L23" s="94" t="s">
        <v>818</v>
      </c>
      <c r="M23" s="94" t="s">
        <v>818</v>
      </c>
      <c r="N23" s="94" t="s">
        <v>818</v>
      </c>
      <c r="O23" s="94" t="s">
        <v>818</v>
      </c>
      <c r="P23" s="169"/>
      <c r="Q23" s="94" t="s">
        <v>818</v>
      </c>
      <c r="R23" s="113" t="s">
        <v>817</v>
      </c>
      <c r="S23" s="94" t="s">
        <v>818</v>
      </c>
      <c r="T23" s="94" t="s">
        <v>818</v>
      </c>
      <c r="U23" s="94" t="s">
        <v>818</v>
      </c>
      <c r="V23" s="94" t="s">
        <v>817</v>
      </c>
      <c r="W23" s="169"/>
      <c r="X23" s="94" t="s">
        <v>818</v>
      </c>
      <c r="Y23" s="113" t="s">
        <v>818</v>
      </c>
      <c r="Z23" s="94" t="s">
        <v>818</v>
      </c>
      <c r="AA23" s="94" t="s">
        <v>818</v>
      </c>
      <c r="AB23" s="139"/>
      <c r="AC23" s="94"/>
      <c r="AD23" s="169"/>
      <c r="AE23" s="94"/>
      <c r="AF23" s="113"/>
      <c r="AG23" s="94"/>
      <c r="AH23" s="94"/>
      <c r="AI23" s="94"/>
      <c r="AJ23" s="94"/>
      <c r="AK23" s="5">
        <f t="shared" si="0"/>
        <v>14</v>
      </c>
      <c r="AL23" s="5">
        <f t="shared" si="1"/>
        <v>4</v>
      </c>
      <c r="AM23" s="5" t="s">
        <v>16</v>
      </c>
      <c r="AN23" s="12">
        <f>AN22/AN21</f>
        <v>0.46153846153846156</v>
      </c>
      <c r="AO23" s="12">
        <f>AO22/AO21</f>
        <v>0.52564102564102566</v>
      </c>
      <c r="AP23" s="12">
        <f>AP22/AP21</f>
        <v>0.48901098901098899</v>
      </c>
    </row>
    <row r="24" spans="1:42" ht="15.5" x14ac:dyDescent="0.3">
      <c r="A24" s="9">
        <v>20</v>
      </c>
      <c r="B24" s="95">
        <v>69</v>
      </c>
      <c r="C24" s="7" t="s">
        <v>158</v>
      </c>
      <c r="D24" s="99" t="s">
        <v>159</v>
      </c>
      <c r="E24" s="8" t="s">
        <v>722</v>
      </c>
      <c r="F24" s="156"/>
      <c r="G24" s="94" t="s">
        <v>817</v>
      </c>
      <c r="H24" s="94" t="s">
        <v>818</v>
      </c>
      <c r="I24" s="169"/>
      <c r="J24" s="94" t="s">
        <v>818</v>
      </c>
      <c r="K24" s="113" t="s">
        <v>818</v>
      </c>
      <c r="L24" s="94" t="s">
        <v>818</v>
      </c>
      <c r="M24" s="94" t="s">
        <v>817</v>
      </c>
      <c r="N24" s="94" t="s">
        <v>818</v>
      </c>
      <c r="O24" s="94" t="s">
        <v>818</v>
      </c>
      <c r="P24" s="169"/>
      <c r="Q24" s="94" t="s">
        <v>818</v>
      </c>
      <c r="R24" s="113" t="s">
        <v>818</v>
      </c>
      <c r="S24" s="94" t="s">
        <v>818</v>
      </c>
      <c r="T24" s="94" t="s">
        <v>818</v>
      </c>
      <c r="U24" s="94" t="s">
        <v>818</v>
      </c>
      <c r="V24" s="94" t="s">
        <v>818</v>
      </c>
      <c r="W24" s="169"/>
      <c r="X24" s="94" t="s">
        <v>818</v>
      </c>
      <c r="Y24" s="113" t="s">
        <v>818</v>
      </c>
      <c r="Z24" s="94" t="s">
        <v>818</v>
      </c>
      <c r="AA24" s="94" t="s">
        <v>818</v>
      </c>
      <c r="AB24" s="94"/>
      <c r="AC24" s="94"/>
      <c r="AD24" s="169"/>
      <c r="AE24" s="94"/>
      <c r="AF24" s="113"/>
      <c r="AG24" s="94"/>
      <c r="AH24" s="94"/>
      <c r="AI24" s="94"/>
      <c r="AJ24" s="94"/>
      <c r="AK24" s="5">
        <f t="shared" si="0"/>
        <v>16</v>
      </c>
      <c r="AL24" s="5">
        <f t="shared" si="1"/>
        <v>2</v>
      </c>
    </row>
    <row r="25" spans="1:42" ht="15.5" x14ac:dyDescent="0.3">
      <c r="A25" s="9">
        <v>21</v>
      </c>
      <c r="B25" s="95">
        <v>70</v>
      </c>
      <c r="C25" s="7" t="s">
        <v>160</v>
      </c>
      <c r="D25" s="99" t="s">
        <v>161</v>
      </c>
      <c r="E25" s="8" t="s">
        <v>722</v>
      </c>
      <c r="F25" s="156"/>
      <c r="G25" s="94" t="s">
        <v>818</v>
      </c>
      <c r="H25" s="94" t="s">
        <v>817</v>
      </c>
      <c r="I25" s="169"/>
      <c r="J25" s="94" t="s">
        <v>818</v>
      </c>
      <c r="K25" s="113" t="s">
        <v>818</v>
      </c>
      <c r="L25" s="94" t="s">
        <v>818</v>
      </c>
      <c r="M25" s="94" t="s">
        <v>818</v>
      </c>
      <c r="N25" s="94" t="s">
        <v>818</v>
      </c>
      <c r="O25" s="94" t="s">
        <v>818</v>
      </c>
      <c r="P25" s="169"/>
      <c r="Q25" s="94" t="s">
        <v>818</v>
      </c>
      <c r="R25" s="113" t="s">
        <v>818</v>
      </c>
      <c r="S25" s="94" t="s">
        <v>818</v>
      </c>
      <c r="T25" s="94" t="s">
        <v>817</v>
      </c>
      <c r="U25" s="94" t="s">
        <v>818</v>
      </c>
      <c r="V25" s="94" t="s">
        <v>818</v>
      </c>
      <c r="W25" s="169"/>
      <c r="X25" s="94" t="s">
        <v>818</v>
      </c>
      <c r="Y25" s="113" t="s">
        <v>818</v>
      </c>
      <c r="Z25" s="94" t="s">
        <v>818</v>
      </c>
      <c r="AA25" s="94" t="s">
        <v>818</v>
      </c>
      <c r="AB25" s="94"/>
      <c r="AC25" s="94"/>
      <c r="AD25" s="169"/>
      <c r="AE25" s="94"/>
      <c r="AF25" s="113"/>
      <c r="AG25" s="94"/>
      <c r="AH25" s="94"/>
      <c r="AI25" s="94"/>
      <c r="AJ25" s="94"/>
      <c r="AK25" s="5">
        <v>14</v>
      </c>
      <c r="AL25" s="5">
        <f t="shared" si="1"/>
        <v>2</v>
      </c>
    </row>
    <row r="26" spans="1:42" ht="15.5" x14ac:dyDescent="0.3">
      <c r="A26" s="9">
        <v>22</v>
      </c>
      <c r="B26" s="95">
        <v>103</v>
      </c>
      <c r="C26" s="7" t="s">
        <v>162</v>
      </c>
      <c r="D26" s="99" t="s">
        <v>131</v>
      </c>
      <c r="E26" s="8" t="s">
        <v>722</v>
      </c>
      <c r="F26" s="156"/>
      <c r="G26" s="94" t="s">
        <v>817</v>
      </c>
      <c r="H26" s="94" t="s">
        <v>817</v>
      </c>
      <c r="I26" s="169"/>
      <c r="J26" s="94" t="s">
        <v>817</v>
      </c>
      <c r="K26" s="113" t="s">
        <v>817</v>
      </c>
      <c r="L26" s="94" t="s">
        <v>817</v>
      </c>
      <c r="M26" s="94" t="s">
        <v>817</v>
      </c>
      <c r="N26" s="94" t="s">
        <v>817</v>
      </c>
      <c r="O26" s="94" t="s">
        <v>817</v>
      </c>
      <c r="P26" s="169"/>
      <c r="Q26" s="94" t="s">
        <v>817</v>
      </c>
      <c r="R26" s="113" t="s">
        <v>817</v>
      </c>
      <c r="S26" s="94" t="s">
        <v>817</v>
      </c>
      <c r="T26" s="94" t="s">
        <v>817</v>
      </c>
      <c r="U26" s="94" t="s">
        <v>817</v>
      </c>
      <c r="V26" s="94" t="s">
        <v>817</v>
      </c>
      <c r="W26" s="169"/>
      <c r="X26" s="94" t="s">
        <v>817</v>
      </c>
      <c r="Y26" s="113" t="s">
        <v>817</v>
      </c>
      <c r="Z26" s="94" t="s">
        <v>817</v>
      </c>
      <c r="AA26" s="94" t="s">
        <v>817</v>
      </c>
      <c r="AB26" s="94"/>
      <c r="AC26" s="94"/>
      <c r="AD26" s="169"/>
      <c r="AE26" s="94"/>
      <c r="AF26" s="113"/>
      <c r="AG26" s="94"/>
      <c r="AH26" s="94"/>
      <c r="AI26" s="94"/>
      <c r="AJ26" s="94"/>
      <c r="AK26" s="5">
        <f t="shared" ref="AK26:AK63" si="2">COUNTIF(F26:AI26,"P")</f>
        <v>0</v>
      </c>
      <c r="AL26" s="5">
        <f t="shared" si="1"/>
        <v>18</v>
      </c>
    </row>
    <row r="27" spans="1:42" ht="15.5" x14ac:dyDescent="0.3">
      <c r="A27" s="9">
        <v>23</v>
      </c>
      <c r="B27" s="11">
        <v>149</v>
      </c>
      <c r="C27" s="7" t="s">
        <v>163</v>
      </c>
      <c r="D27" s="99" t="s">
        <v>164</v>
      </c>
      <c r="E27" s="8" t="s">
        <v>722</v>
      </c>
      <c r="F27" s="156"/>
      <c r="G27" s="94" t="s">
        <v>817</v>
      </c>
      <c r="H27" s="94" t="s">
        <v>817</v>
      </c>
      <c r="I27" s="169"/>
      <c r="J27" s="94" t="s">
        <v>817</v>
      </c>
      <c r="K27" s="113" t="s">
        <v>817</v>
      </c>
      <c r="L27" s="94" t="s">
        <v>817</v>
      </c>
      <c r="M27" s="94" t="s">
        <v>817</v>
      </c>
      <c r="N27" s="94" t="s">
        <v>817</v>
      </c>
      <c r="O27" s="94" t="s">
        <v>817</v>
      </c>
      <c r="P27" s="169"/>
      <c r="Q27" s="94" t="s">
        <v>817</v>
      </c>
      <c r="R27" s="113" t="s">
        <v>818</v>
      </c>
      <c r="S27" s="94" t="s">
        <v>818</v>
      </c>
      <c r="T27" s="94" t="s">
        <v>817</v>
      </c>
      <c r="U27" s="94" t="s">
        <v>818</v>
      </c>
      <c r="V27" s="94" t="s">
        <v>818</v>
      </c>
      <c r="W27" s="169"/>
      <c r="X27" s="94" t="s">
        <v>817</v>
      </c>
      <c r="Y27" s="113" t="s">
        <v>817</v>
      </c>
      <c r="Z27" s="94" t="s">
        <v>817</v>
      </c>
      <c r="AA27" s="94" t="s">
        <v>818</v>
      </c>
      <c r="AB27" s="94"/>
      <c r="AC27" s="94"/>
      <c r="AD27" s="169"/>
      <c r="AE27" s="94"/>
      <c r="AF27" s="113"/>
      <c r="AG27" s="94"/>
      <c r="AH27" s="94"/>
      <c r="AI27" s="94"/>
      <c r="AJ27" s="94"/>
      <c r="AK27" s="5">
        <f t="shared" si="2"/>
        <v>5</v>
      </c>
      <c r="AL27" s="5">
        <f t="shared" si="1"/>
        <v>13</v>
      </c>
    </row>
    <row r="28" spans="1:42" ht="15.5" x14ac:dyDescent="0.3">
      <c r="A28" s="9">
        <v>24</v>
      </c>
      <c r="B28" s="11">
        <v>107</v>
      </c>
      <c r="C28" s="7" t="s">
        <v>729</v>
      </c>
      <c r="D28" s="99" t="s">
        <v>38</v>
      </c>
      <c r="E28" s="8" t="s">
        <v>722</v>
      </c>
      <c r="F28" s="156"/>
      <c r="G28" s="94" t="s">
        <v>817</v>
      </c>
      <c r="H28" s="94" t="s">
        <v>817</v>
      </c>
      <c r="I28" s="169"/>
      <c r="J28" s="94" t="s">
        <v>817</v>
      </c>
      <c r="K28" s="113" t="s">
        <v>817</v>
      </c>
      <c r="L28" s="94" t="s">
        <v>817</v>
      </c>
      <c r="M28" s="94" t="s">
        <v>817</v>
      </c>
      <c r="N28" s="94" t="s">
        <v>817</v>
      </c>
      <c r="O28" s="94" t="s">
        <v>817</v>
      </c>
      <c r="P28" s="169"/>
      <c r="Q28" s="94" t="s">
        <v>817</v>
      </c>
      <c r="R28" s="113" t="s">
        <v>817</v>
      </c>
      <c r="S28" s="94" t="s">
        <v>817</v>
      </c>
      <c r="T28" s="94" t="s">
        <v>817</v>
      </c>
      <c r="U28" s="94" t="s">
        <v>817</v>
      </c>
      <c r="V28" s="94" t="s">
        <v>817</v>
      </c>
      <c r="W28" s="169"/>
      <c r="X28" s="94" t="s">
        <v>817</v>
      </c>
      <c r="Y28" s="113" t="s">
        <v>817</v>
      </c>
      <c r="Z28" s="94" t="s">
        <v>817</v>
      </c>
      <c r="AA28" s="94" t="s">
        <v>817</v>
      </c>
      <c r="AB28" s="94"/>
      <c r="AC28" s="94"/>
      <c r="AD28" s="169"/>
      <c r="AE28" s="94"/>
      <c r="AF28" s="113"/>
      <c r="AG28" s="94"/>
      <c r="AH28" s="94"/>
      <c r="AI28" s="94"/>
      <c r="AJ28" s="94"/>
      <c r="AK28" s="5">
        <f t="shared" si="2"/>
        <v>0</v>
      </c>
      <c r="AL28" s="5">
        <f t="shared" si="1"/>
        <v>18</v>
      </c>
    </row>
    <row r="29" spans="1:42" ht="15.5" x14ac:dyDescent="0.3">
      <c r="A29" s="9">
        <v>25</v>
      </c>
      <c r="B29" s="11"/>
      <c r="C29" s="7" t="s">
        <v>822</v>
      </c>
      <c r="D29" s="99"/>
      <c r="E29" s="8" t="s">
        <v>722</v>
      </c>
      <c r="F29" s="156"/>
      <c r="G29" s="94" t="s">
        <v>730</v>
      </c>
      <c r="H29" s="94" t="s">
        <v>730</v>
      </c>
      <c r="I29" s="169"/>
      <c r="J29" s="94" t="s">
        <v>817</v>
      </c>
      <c r="K29" s="113" t="s">
        <v>817</v>
      </c>
      <c r="L29" s="94" t="s">
        <v>817</v>
      </c>
      <c r="M29" s="94" t="s">
        <v>817</v>
      </c>
      <c r="N29" s="94" t="s">
        <v>818</v>
      </c>
      <c r="O29" s="94" t="s">
        <v>817</v>
      </c>
      <c r="P29" s="169"/>
      <c r="Q29" s="94" t="s">
        <v>818</v>
      </c>
      <c r="R29" s="113" t="s">
        <v>817</v>
      </c>
      <c r="S29" s="94" t="s">
        <v>818</v>
      </c>
      <c r="T29" s="94" t="s">
        <v>818</v>
      </c>
      <c r="U29" s="94" t="s">
        <v>818</v>
      </c>
      <c r="V29" s="94" t="s">
        <v>818</v>
      </c>
      <c r="W29" s="169"/>
      <c r="X29" s="94" t="s">
        <v>818</v>
      </c>
      <c r="Y29" s="113" t="s">
        <v>818</v>
      </c>
      <c r="Z29" s="94" t="s">
        <v>818</v>
      </c>
      <c r="AA29" s="94" t="s">
        <v>818</v>
      </c>
      <c r="AB29" s="94"/>
      <c r="AC29" s="94"/>
      <c r="AD29" s="169"/>
      <c r="AE29" s="94"/>
      <c r="AF29" s="113"/>
      <c r="AG29" s="94"/>
      <c r="AH29" s="94"/>
      <c r="AI29" s="94"/>
      <c r="AJ29" s="94"/>
      <c r="AK29" s="5">
        <f t="shared" si="2"/>
        <v>12</v>
      </c>
      <c r="AL29" s="5">
        <f t="shared" si="1"/>
        <v>6</v>
      </c>
    </row>
    <row r="30" spans="1:42" ht="15.5" x14ac:dyDescent="0.3">
      <c r="A30" s="9">
        <v>26</v>
      </c>
      <c r="B30" s="11">
        <v>169</v>
      </c>
      <c r="C30" s="7" t="s">
        <v>165</v>
      </c>
      <c r="D30" s="99" t="s">
        <v>166</v>
      </c>
      <c r="E30" s="8" t="s">
        <v>722</v>
      </c>
      <c r="F30" s="156"/>
      <c r="G30" s="94" t="s">
        <v>817</v>
      </c>
      <c r="H30" s="94" t="s">
        <v>818</v>
      </c>
      <c r="I30" s="169"/>
      <c r="J30" s="94" t="s">
        <v>818</v>
      </c>
      <c r="K30" s="113" t="s">
        <v>818</v>
      </c>
      <c r="L30" s="94" t="s">
        <v>817</v>
      </c>
      <c r="M30" s="94" t="s">
        <v>817</v>
      </c>
      <c r="N30" s="94" t="s">
        <v>818</v>
      </c>
      <c r="O30" s="94" t="s">
        <v>818</v>
      </c>
      <c r="P30" s="169"/>
      <c r="Q30" s="94" t="s">
        <v>818</v>
      </c>
      <c r="R30" s="113" t="s">
        <v>818</v>
      </c>
      <c r="S30" s="94" t="s">
        <v>817</v>
      </c>
      <c r="T30" s="94" t="s">
        <v>818</v>
      </c>
      <c r="U30" s="94" t="s">
        <v>817</v>
      </c>
      <c r="V30" s="94" t="s">
        <v>817</v>
      </c>
      <c r="W30" s="169"/>
      <c r="X30" s="94" t="s">
        <v>818</v>
      </c>
      <c r="Y30" s="113" t="s">
        <v>817</v>
      </c>
      <c r="Z30" s="94" t="s">
        <v>817</v>
      </c>
      <c r="AA30" s="94" t="s">
        <v>817</v>
      </c>
      <c r="AB30" s="94"/>
      <c r="AC30" s="94"/>
      <c r="AD30" s="169"/>
      <c r="AE30" s="94"/>
      <c r="AF30" s="113"/>
      <c r="AG30" s="94"/>
      <c r="AH30" s="94"/>
      <c r="AI30" s="94"/>
      <c r="AJ30" s="94"/>
      <c r="AK30" s="5">
        <f t="shared" si="2"/>
        <v>9</v>
      </c>
      <c r="AL30" s="5">
        <f t="shared" si="1"/>
        <v>9</v>
      </c>
    </row>
    <row r="31" spans="1:42" ht="16.5" customHeight="1" x14ac:dyDescent="0.35">
      <c r="A31" s="6">
        <v>1</v>
      </c>
      <c r="B31" s="6">
        <v>61</v>
      </c>
      <c r="C31" s="96" t="s">
        <v>167</v>
      </c>
      <c r="D31" s="15" t="s">
        <v>168</v>
      </c>
      <c r="E31" s="8" t="s">
        <v>722</v>
      </c>
      <c r="F31" s="156"/>
      <c r="G31" s="94" t="s">
        <v>818</v>
      </c>
      <c r="H31" s="94" t="s">
        <v>818</v>
      </c>
      <c r="I31" s="169"/>
      <c r="J31" s="94" t="s">
        <v>818</v>
      </c>
      <c r="K31" s="113" t="s">
        <v>818</v>
      </c>
      <c r="L31" s="94" t="s">
        <v>818</v>
      </c>
      <c r="M31" s="94" t="s">
        <v>818</v>
      </c>
      <c r="N31" s="94" t="s">
        <v>818</v>
      </c>
      <c r="O31" s="94" t="s">
        <v>818</v>
      </c>
      <c r="P31" s="169"/>
      <c r="Q31" s="94" t="s">
        <v>818</v>
      </c>
      <c r="R31" s="113" t="s">
        <v>818</v>
      </c>
      <c r="S31" s="94" t="s">
        <v>818</v>
      </c>
      <c r="T31" s="94" t="s">
        <v>818</v>
      </c>
      <c r="U31" s="94" t="s">
        <v>818</v>
      </c>
      <c r="V31" s="94" t="s">
        <v>818</v>
      </c>
      <c r="W31" s="169"/>
      <c r="X31" s="94" t="s">
        <v>818</v>
      </c>
      <c r="Y31" s="113" t="s">
        <v>818</v>
      </c>
      <c r="Z31" s="94" t="s">
        <v>818</v>
      </c>
      <c r="AA31" s="94" t="s">
        <v>818</v>
      </c>
      <c r="AB31" s="94"/>
      <c r="AC31" s="94"/>
      <c r="AD31" s="169"/>
      <c r="AE31" s="94"/>
      <c r="AF31" s="113"/>
      <c r="AG31" s="94"/>
      <c r="AH31" s="94"/>
      <c r="AI31" s="94"/>
      <c r="AJ31" s="94"/>
      <c r="AK31" s="4">
        <f t="shared" si="2"/>
        <v>18</v>
      </c>
      <c r="AL31" s="4">
        <f t="shared" si="1"/>
        <v>0</v>
      </c>
    </row>
    <row r="32" spans="1:42" ht="15.5" x14ac:dyDescent="0.35">
      <c r="A32" s="6">
        <v>2</v>
      </c>
      <c r="B32" s="11">
        <v>79</v>
      </c>
      <c r="C32" s="97" t="s">
        <v>169</v>
      </c>
      <c r="D32" s="16" t="s">
        <v>170</v>
      </c>
      <c r="E32" s="8" t="s">
        <v>722</v>
      </c>
      <c r="F32" s="156"/>
      <c r="G32" s="94" t="s">
        <v>818</v>
      </c>
      <c r="H32" s="94" t="s">
        <v>818</v>
      </c>
      <c r="I32" s="169"/>
      <c r="J32" s="94" t="s">
        <v>818</v>
      </c>
      <c r="K32" s="113" t="s">
        <v>818</v>
      </c>
      <c r="L32" s="94" t="s">
        <v>818</v>
      </c>
      <c r="M32" s="94" t="s">
        <v>818</v>
      </c>
      <c r="N32" s="94" t="s">
        <v>818</v>
      </c>
      <c r="O32" s="94" t="s">
        <v>817</v>
      </c>
      <c r="P32" s="169"/>
      <c r="Q32" s="94" t="s">
        <v>818</v>
      </c>
      <c r="R32" s="113" t="s">
        <v>818</v>
      </c>
      <c r="S32" s="94" t="s">
        <v>818</v>
      </c>
      <c r="T32" s="94" t="s">
        <v>818</v>
      </c>
      <c r="U32" s="94" t="s">
        <v>818</v>
      </c>
      <c r="V32" s="94" t="s">
        <v>818</v>
      </c>
      <c r="W32" s="169"/>
      <c r="X32" s="94" t="s">
        <v>818</v>
      </c>
      <c r="Y32" s="113" t="s">
        <v>818</v>
      </c>
      <c r="Z32" s="94" t="s">
        <v>818</v>
      </c>
      <c r="AA32" s="94" t="s">
        <v>818</v>
      </c>
      <c r="AB32" s="94"/>
      <c r="AC32" s="94"/>
      <c r="AD32" s="169"/>
      <c r="AE32" s="94"/>
      <c r="AF32" s="113"/>
      <c r="AG32" s="94"/>
      <c r="AH32" s="94"/>
      <c r="AI32" s="94"/>
      <c r="AJ32" s="94"/>
      <c r="AK32" s="4">
        <f t="shared" si="2"/>
        <v>17</v>
      </c>
      <c r="AL32" s="4">
        <f t="shared" si="1"/>
        <v>1</v>
      </c>
    </row>
    <row r="33" spans="1:38" ht="15.5" x14ac:dyDescent="0.35">
      <c r="A33" s="6">
        <v>3</v>
      </c>
      <c r="B33" s="11">
        <v>16</v>
      </c>
      <c r="C33" s="97" t="s">
        <v>171</v>
      </c>
      <c r="D33" s="16" t="s">
        <v>172</v>
      </c>
      <c r="E33" s="8" t="s">
        <v>722</v>
      </c>
      <c r="F33" s="156"/>
      <c r="G33" s="94" t="s">
        <v>818</v>
      </c>
      <c r="H33" s="94" t="s">
        <v>818</v>
      </c>
      <c r="I33" s="169"/>
      <c r="J33" s="94" t="s">
        <v>817</v>
      </c>
      <c r="K33" s="113" t="s">
        <v>818</v>
      </c>
      <c r="L33" s="94" t="s">
        <v>818</v>
      </c>
      <c r="M33" s="94" t="s">
        <v>818</v>
      </c>
      <c r="N33" s="94" t="s">
        <v>818</v>
      </c>
      <c r="O33" s="94" t="s">
        <v>818</v>
      </c>
      <c r="P33" s="169"/>
      <c r="Q33" s="94" t="s">
        <v>818</v>
      </c>
      <c r="R33" s="113" t="s">
        <v>818</v>
      </c>
      <c r="S33" s="94" t="s">
        <v>818</v>
      </c>
      <c r="T33" s="94" t="s">
        <v>818</v>
      </c>
      <c r="U33" s="94" t="s">
        <v>818</v>
      </c>
      <c r="V33" s="94" t="s">
        <v>818</v>
      </c>
      <c r="W33" s="169"/>
      <c r="X33" s="94" t="s">
        <v>818</v>
      </c>
      <c r="Y33" s="113" t="s">
        <v>818</v>
      </c>
      <c r="Z33" s="94" t="s">
        <v>818</v>
      </c>
      <c r="AA33" s="94" t="s">
        <v>818</v>
      </c>
      <c r="AB33" s="94"/>
      <c r="AC33" s="94"/>
      <c r="AD33" s="169"/>
      <c r="AE33" s="94"/>
      <c r="AF33" s="113"/>
      <c r="AG33" s="94"/>
      <c r="AH33" s="94"/>
      <c r="AI33" s="94"/>
      <c r="AJ33" s="94"/>
      <c r="AK33" s="4">
        <f t="shared" si="2"/>
        <v>17</v>
      </c>
      <c r="AL33" s="4">
        <f t="shared" si="1"/>
        <v>1</v>
      </c>
    </row>
    <row r="34" spans="1:38" ht="15.5" x14ac:dyDescent="0.35">
      <c r="A34" s="6">
        <v>4</v>
      </c>
      <c r="B34" s="11">
        <v>78</v>
      </c>
      <c r="C34" s="97" t="s">
        <v>173</v>
      </c>
      <c r="D34" s="16" t="s">
        <v>174</v>
      </c>
      <c r="E34" s="8" t="s">
        <v>722</v>
      </c>
      <c r="F34" s="156"/>
      <c r="G34" s="94" t="s">
        <v>818</v>
      </c>
      <c r="H34" s="94" t="s">
        <v>818</v>
      </c>
      <c r="I34" s="169"/>
      <c r="J34" s="94" t="s">
        <v>818</v>
      </c>
      <c r="K34" s="113" t="s">
        <v>818</v>
      </c>
      <c r="L34" s="94" t="s">
        <v>818</v>
      </c>
      <c r="M34" s="94" t="s">
        <v>818</v>
      </c>
      <c r="N34" s="94" t="s">
        <v>818</v>
      </c>
      <c r="O34" s="94" t="s">
        <v>817</v>
      </c>
      <c r="P34" s="169"/>
      <c r="Q34" s="94" t="s">
        <v>818</v>
      </c>
      <c r="R34" s="113" t="s">
        <v>818</v>
      </c>
      <c r="S34" s="94" t="s">
        <v>818</v>
      </c>
      <c r="T34" s="94" t="s">
        <v>818</v>
      </c>
      <c r="U34" s="94" t="s">
        <v>817</v>
      </c>
      <c r="V34" s="94" t="s">
        <v>817</v>
      </c>
      <c r="W34" s="169"/>
      <c r="X34" s="94" t="s">
        <v>818</v>
      </c>
      <c r="Y34" s="113" t="s">
        <v>818</v>
      </c>
      <c r="Z34" s="94" t="s">
        <v>818</v>
      </c>
      <c r="AA34" s="94" t="s">
        <v>818</v>
      </c>
      <c r="AB34" s="94"/>
      <c r="AC34" s="94"/>
      <c r="AD34" s="169"/>
      <c r="AE34" s="94"/>
      <c r="AF34" s="113"/>
      <c r="AG34" s="94"/>
      <c r="AH34" s="94"/>
      <c r="AI34" s="94"/>
      <c r="AJ34" s="94"/>
      <c r="AK34" s="4">
        <f t="shared" si="2"/>
        <v>15</v>
      </c>
      <c r="AL34" s="4">
        <f t="shared" si="1"/>
        <v>3</v>
      </c>
    </row>
    <row r="35" spans="1:38" ht="15.5" x14ac:dyDescent="0.35">
      <c r="A35" s="6">
        <v>5</v>
      </c>
      <c r="B35" s="11">
        <v>76</v>
      </c>
      <c r="C35" s="97" t="s">
        <v>175</v>
      </c>
      <c r="D35" s="16" t="s">
        <v>176</v>
      </c>
      <c r="E35" s="8" t="s">
        <v>722</v>
      </c>
      <c r="F35" s="156"/>
      <c r="G35" s="94" t="s">
        <v>818</v>
      </c>
      <c r="H35" s="94" t="s">
        <v>818</v>
      </c>
      <c r="I35" s="169"/>
      <c r="J35" s="94" t="s">
        <v>818</v>
      </c>
      <c r="K35" s="113" t="s">
        <v>818</v>
      </c>
      <c r="L35" s="94" t="s">
        <v>818</v>
      </c>
      <c r="M35" s="94" t="s">
        <v>818</v>
      </c>
      <c r="N35" s="94" t="s">
        <v>818</v>
      </c>
      <c r="O35" s="94" t="s">
        <v>818</v>
      </c>
      <c r="P35" s="169"/>
      <c r="Q35" s="94" t="s">
        <v>818</v>
      </c>
      <c r="R35" s="113" t="s">
        <v>818</v>
      </c>
      <c r="S35" s="94" t="s">
        <v>818</v>
      </c>
      <c r="T35" s="94" t="s">
        <v>818</v>
      </c>
      <c r="U35" s="94" t="s">
        <v>818</v>
      </c>
      <c r="V35" s="94" t="s">
        <v>818</v>
      </c>
      <c r="W35" s="169"/>
      <c r="X35" s="94" t="s">
        <v>817</v>
      </c>
      <c r="Y35" s="113" t="s">
        <v>818</v>
      </c>
      <c r="Z35" s="94" t="s">
        <v>818</v>
      </c>
      <c r="AA35" s="94" t="s">
        <v>818</v>
      </c>
      <c r="AB35" s="94"/>
      <c r="AC35" s="94"/>
      <c r="AD35" s="169"/>
      <c r="AE35" s="94"/>
      <c r="AF35" s="113"/>
      <c r="AG35" s="94"/>
      <c r="AH35" s="94"/>
      <c r="AI35" s="94"/>
      <c r="AJ35" s="94"/>
      <c r="AK35" s="4">
        <f t="shared" si="2"/>
        <v>17</v>
      </c>
      <c r="AL35" s="4">
        <f t="shared" si="1"/>
        <v>1</v>
      </c>
    </row>
    <row r="36" spans="1:38" ht="15.5" x14ac:dyDescent="0.35">
      <c r="A36" s="6">
        <v>6</v>
      </c>
      <c r="B36" s="11">
        <v>108</v>
      </c>
      <c r="C36" s="97" t="s">
        <v>177</v>
      </c>
      <c r="D36" s="16" t="s">
        <v>178</v>
      </c>
      <c r="E36" s="8" t="s">
        <v>722</v>
      </c>
      <c r="F36" s="156"/>
      <c r="G36" s="94" t="s">
        <v>818</v>
      </c>
      <c r="H36" s="94" t="s">
        <v>817</v>
      </c>
      <c r="I36" s="169"/>
      <c r="J36" s="94" t="s">
        <v>818</v>
      </c>
      <c r="K36" s="113" t="s">
        <v>818</v>
      </c>
      <c r="L36" s="94" t="s">
        <v>817</v>
      </c>
      <c r="M36" s="94" t="s">
        <v>817</v>
      </c>
      <c r="N36" s="94" t="s">
        <v>818</v>
      </c>
      <c r="O36" s="94" t="s">
        <v>817</v>
      </c>
      <c r="P36" s="169"/>
      <c r="Q36" s="94" t="s">
        <v>818</v>
      </c>
      <c r="R36" s="113" t="s">
        <v>817</v>
      </c>
      <c r="S36" s="94" t="s">
        <v>818</v>
      </c>
      <c r="T36" s="94" t="s">
        <v>817</v>
      </c>
      <c r="U36" s="94" t="s">
        <v>817</v>
      </c>
      <c r="V36" s="94" t="s">
        <v>817</v>
      </c>
      <c r="W36" s="169"/>
      <c r="X36" s="94" t="s">
        <v>817</v>
      </c>
      <c r="Y36" s="113" t="s">
        <v>818</v>
      </c>
      <c r="Z36" s="94" t="s">
        <v>818</v>
      </c>
      <c r="AA36" s="94" t="s">
        <v>818</v>
      </c>
      <c r="AB36" s="94"/>
      <c r="AC36" s="94"/>
      <c r="AD36" s="169"/>
      <c r="AE36" s="94"/>
      <c r="AF36" s="113"/>
      <c r="AG36" s="94"/>
      <c r="AH36" s="94"/>
      <c r="AI36" s="94"/>
      <c r="AJ36" s="94"/>
      <c r="AK36" s="4">
        <f t="shared" si="2"/>
        <v>9</v>
      </c>
      <c r="AL36" s="4">
        <f t="shared" si="1"/>
        <v>9</v>
      </c>
    </row>
    <row r="37" spans="1:38" ht="15.5" x14ac:dyDescent="0.35">
      <c r="A37" s="6">
        <v>7</v>
      </c>
      <c r="B37" s="11">
        <v>131</v>
      </c>
      <c r="C37" s="97" t="s">
        <v>179</v>
      </c>
      <c r="D37" s="16" t="s">
        <v>180</v>
      </c>
      <c r="E37" s="8" t="s">
        <v>722</v>
      </c>
      <c r="F37" s="156"/>
      <c r="G37" s="94" t="s">
        <v>817</v>
      </c>
      <c r="H37" s="94" t="s">
        <v>817</v>
      </c>
      <c r="I37" s="169"/>
      <c r="J37" s="94" t="s">
        <v>817</v>
      </c>
      <c r="K37" s="113" t="s">
        <v>817</v>
      </c>
      <c r="L37" s="94" t="s">
        <v>817</v>
      </c>
      <c r="M37" s="94" t="s">
        <v>817</v>
      </c>
      <c r="N37" s="94" t="s">
        <v>817</v>
      </c>
      <c r="O37" s="94" t="s">
        <v>817</v>
      </c>
      <c r="P37" s="169"/>
      <c r="Q37" s="94" t="s">
        <v>817</v>
      </c>
      <c r="R37" s="113" t="s">
        <v>817</v>
      </c>
      <c r="S37" s="94" t="s">
        <v>817</v>
      </c>
      <c r="T37" s="94" t="s">
        <v>817</v>
      </c>
      <c r="U37" s="94" t="s">
        <v>817</v>
      </c>
      <c r="V37" s="94" t="s">
        <v>817</v>
      </c>
      <c r="W37" s="169"/>
      <c r="X37" s="94" t="s">
        <v>817</v>
      </c>
      <c r="Y37" s="113" t="s">
        <v>817</v>
      </c>
      <c r="Z37" s="94" t="s">
        <v>817</v>
      </c>
      <c r="AA37" s="94" t="s">
        <v>817</v>
      </c>
      <c r="AB37" s="94"/>
      <c r="AC37" s="94"/>
      <c r="AD37" s="169"/>
      <c r="AE37" s="94"/>
      <c r="AF37" s="113"/>
      <c r="AG37" s="94"/>
      <c r="AH37" s="94"/>
      <c r="AI37" s="94"/>
      <c r="AJ37" s="94"/>
      <c r="AK37" s="4">
        <f t="shared" si="2"/>
        <v>0</v>
      </c>
      <c r="AL37" s="4">
        <f t="shared" si="1"/>
        <v>18</v>
      </c>
    </row>
    <row r="38" spans="1:38" ht="15.5" x14ac:dyDescent="0.35">
      <c r="A38" s="6">
        <v>8</v>
      </c>
      <c r="B38" s="11">
        <v>101</v>
      </c>
      <c r="C38" s="97" t="s">
        <v>181</v>
      </c>
      <c r="D38" s="16" t="s">
        <v>182</v>
      </c>
      <c r="E38" s="8" t="s">
        <v>722</v>
      </c>
      <c r="F38" s="156"/>
      <c r="G38" s="94" t="s">
        <v>818</v>
      </c>
      <c r="H38" s="94" t="s">
        <v>818</v>
      </c>
      <c r="I38" s="169"/>
      <c r="J38" s="94" t="s">
        <v>817</v>
      </c>
      <c r="K38" s="113" t="s">
        <v>818</v>
      </c>
      <c r="L38" s="94" t="s">
        <v>817</v>
      </c>
      <c r="M38" s="94" t="s">
        <v>818</v>
      </c>
      <c r="N38" s="94" t="s">
        <v>817</v>
      </c>
      <c r="O38" s="94" t="s">
        <v>817</v>
      </c>
      <c r="P38" s="169"/>
      <c r="Q38" s="94" t="s">
        <v>818</v>
      </c>
      <c r="R38" s="113" t="s">
        <v>818</v>
      </c>
      <c r="S38" s="94" t="s">
        <v>818</v>
      </c>
      <c r="T38" s="94" t="s">
        <v>818</v>
      </c>
      <c r="U38" s="94" t="s">
        <v>818</v>
      </c>
      <c r="V38" s="94" t="s">
        <v>818</v>
      </c>
      <c r="W38" s="169"/>
      <c r="X38" s="94" t="s">
        <v>818</v>
      </c>
      <c r="Y38" s="113" t="s">
        <v>818</v>
      </c>
      <c r="Z38" s="94" t="s">
        <v>818</v>
      </c>
      <c r="AA38" s="94" t="s">
        <v>818</v>
      </c>
      <c r="AB38" s="94"/>
      <c r="AC38" s="94"/>
      <c r="AD38" s="169"/>
      <c r="AE38" s="94"/>
      <c r="AF38" s="113"/>
      <c r="AG38" s="94"/>
      <c r="AH38" s="94"/>
      <c r="AI38" s="94"/>
      <c r="AJ38" s="94"/>
      <c r="AK38" s="4">
        <f t="shared" si="2"/>
        <v>14</v>
      </c>
      <c r="AL38" s="4">
        <f t="shared" ref="AL38:AL63" si="3">COUNTIF(F38:AI38,"A")</f>
        <v>4</v>
      </c>
    </row>
    <row r="39" spans="1:38" ht="15.5" x14ac:dyDescent="0.35">
      <c r="A39" s="6">
        <v>9</v>
      </c>
      <c r="B39" s="11">
        <v>100</v>
      </c>
      <c r="C39" s="97" t="s">
        <v>183</v>
      </c>
      <c r="D39" s="16" t="s">
        <v>184</v>
      </c>
      <c r="E39" s="8" t="s">
        <v>722</v>
      </c>
      <c r="F39" s="156"/>
      <c r="G39" s="94" t="s">
        <v>817</v>
      </c>
      <c r="H39" s="94" t="s">
        <v>818</v>
      </c>
      <c r="I39" s="169"/>
      <c r="J39" s="94" t="s">
        <v>818</v>
      </c>
      <c r="K39" s="113" t="s">
        <v>818</v>
      </c>
      <c r="L39" s="94" t="s">
        <v>817</v>
      </c>
      <c r="M39" s="94" t="s">
        <v>818</v>
      </c>
      <c r="N39" s="94" t="s">
        <v>817</v>
      </c>
      <c r="O39" s="94" t="s">
        <v>818</v>
      </c>
      <c r="P39" s="169"/>
      <c r="Q39" s="94" t="s">
        <v>817</v>
      </c>
      <c r="R39" s="113" t="s">
        <v>818</v>
      </c>
      <c r="S39" s="94" t="s">
        <v>818</v>
      </c>
      <c r="T39" s="94" t="s">
        <v>818</v>
      </c>
      <c r="U39" s="94" t="s">
        <v>818</v>
      </c>
      <c r="V39" s="94" t="s">
        <v>817</v>
      </c>
      <c r="W39" s="169"/>
      <c r="X39" s="94" t="s">
        <v>818</v>
      </c>
      <c r="Y39" s="113" t="s">
        <v>818</v>
      </c>
      <c r="Z39" s="94" t="s">
        <v>818</v>
      </c>
      <c r="AA39" s="94" t="s">
        <v>818</v>
      </c>
      <c r="AB39" s="94"/>
      <c r="AC39" s="94"/>
      <c r="AD39" s="169"/>
      <c r="AE39" s="94"/>
      <c r="AF39" s="113"/>
      <c r="AG39" s="94"/>
      <c r="AH39" s="94"/>
      <c r="AI39" s="94"/>
      <c r="AJ39" s="94"/>
      <c r="AK39" s="4">
        <f t="shared" si="2"/>
        <v>13</v>
      </c>
      <c r="AL39" s="4">
        <f t="shared" si="3"/>
        <v>5</v>
      </c>
    </row>
    <row r="40" spans="1:38" ht="15.5" x14ac:dyDescent="0.35">
      <c r="A40" s="6">
        <v>10</v>
      </c>
      <c r="B40" s="11">
        <v>90</v>
      </c>
      <c r="C40" s="97" t="s">
        <v>185</v>
      </c>
      <c r="D40" s="16" t="s">
        <v>139</v>
      </c>
      <c r="E40" s="8" t="s">
        <v>722</v>
      </c>
      <c r="F40" s="156"/>
      <c r="G40" s="94" t="s">
        <v>818</v>
      </c>
      <c r="H40" s="94" t="s">
        <v>818</v>
      </c>
      <c r="I40" s="169"/>
      <c r="J40" s="94" t="s">
        <v>818</v>
      </c>
      <c r="K40" s="113" t="s">
        <v>818</v>
      </c>
      <c r="L40" s="94" t="s">
        <v>818</v>
      </c>
      <c r="M40" s="94" t="s">
        <v>818</v>
      </c>
      <c r="N40" s="94" t="s">
        <v>818</v>
      </c>
      <c r="O40" s="94" t="s">
        <v>818</v>
      </c>
      <c r="P40" s="169"/>
      <c r="Q40" s="94" t="s">
        <v>818</v>
      </c>
      <c r="R40" s="113" t="s">
        <v>818</v>
      </c>
      <c r="S40" s="94" t="s">
        <v>818</v>
      </c>
      <c r="T40" s="94" t="s">
        <v>818</v>
      </c>
      <c r="U40" s="94" t="s">
        <v>818</v>
      </c>
      <c r="V40" s="94" t="s">
        <v>818</v>
      </c>
      <c r="W40" s="169"/>
      <c r="X40" s="94" t="s">
        <v>818</v>
      </c>
      <c r="Y40" s="113" t="s">
        <v>818</v>
      </c>
      <c r="Z40" s="94" t="s">
        <v>818</v>
      </c>
      <c r="AA40" s="94" t="s">
        <v>818</v>
      </c>
      <c r="AB40" s="94"/>
      <c r="AC40" s="94"/>
      <c r="AD40" s="169"/>
      <c r="AE40" s="94"/>
      <c r="AF40" s="113"/>
      <c r="AG40" s="94"/>
      <c r="AH40" s="94"/>
      <c r="AI40" s="94"/>
      <c r="AJ40" s="94"/>
      <c r="AK40" s="4">
        <f t="shared" si="2"/>
        <v>18</v>
      </c>
      <c r="AL40" s="4">
        <f t="shared" si="3"/>
        <v>0</v>
      </c>
    </row>
    <row r="41" spans="1:38" ht="15.5" x14ac:dyDescent="0.35">
      <c r="A41" s="6">
        <v>11</v>
      </c>
      <c r="B41" s="11">
        <v>73</v>
      </c>
      <c r="C41" s="97" t="s">
        <v>186</v>
      </c>
      <c r="D41" s="16" t="s">
        <v>187</v>
      </c>
      <c r="E41" s="8" t="s">
        <v>722</v>
      </c>
      <c r="F41" s="156"/>
      <c r="G41" s="94" t="s">
        <v>817</v>
      </c>
      <c r="H41" s="94" t="s">
        <v>817</v>
      </c>
      <c r="I41" s="169"/>
      <c r="J41" s="94" t="s">
        <v>818</v>
      </c>
      <c r="K41" s="113" t="s">
        <v>818</v>
      </c>
      <c r="L41" s="94" t="s">
        <v>817</v>
      </c>
      <c r="M41" s="94" t="s">
        <v>817</v>
      </c>
      <c r="N41" s="94" t="s">
        <v>818</v>
      </c>
      <c r="O41" s="94" t="s">
        <v>818</v>
      </c>
      <c r="P41" s="169"/>
      <c r="Q41" s="94" t="s">
        <v>818</v>
      </c>
      <c r="R41" s="113" t="s">
        <v>818</v>
      </c>
      <c r="S41" s="94" t="s">
        <v>818</v>
      </c>
      <c r="T41" s="94" t="s">
        <v>818</v>
      </c>
      <c r="U41" s="94" t="s">
        <v>818</v>
      </c>
      <c r="V41" s="94" t="s">
        <v>818</v>
      </c>
      <c r="W41" s="169"/>
      <c r="X41" s="94" t="s">
        <v>818</v>
      </c>
      <c r="Y41" s="113" t="s">
        <v>818</v>
      </c>
      <c r="Z41" s="94" t="s">
        <v>818</v>
      </c>
      <c r="AA41" s="94" t="s">
        <v>818</v>
      </c>
      <c r="AB41" s="94"/>
      <c r="AC41" s="94"/>
      <c r="AD41" s="169"/>
      <c r="AE41" s="94"/>
      <c r="AF41" s="113"/>
      <c r="AG41" s="94"/>
      <c r="AH41" s="94"/>
      <c r="AI41" s="94"/>
      <c r="AJ41" s="94"/>
      <c r="AK41" s="4">
        <f t="shared" si="2"/>
        <v>14</v>
      </c>
      <c r="AL41" s="4">
        <f t="shared" si="3"/>
        <v>4</v>
      </c>
    </row>
    <row r="42" spans="1:38" ht="15.5" x14ac:dyDescent="0.35">
      <c r="A42" s="6">
        <v>12</v>
      </c>
      <c r="B42" s="11">
        <v>74</v>
      </c>
      <c r="C42" s="97" t="s">
        <v>188</v>
      </c>
      <c r="D42" s="16" t="s">
        <v>189</v>
      </c>
      <c r="E42" s="8" t="s">
        <v>722</v>
      </c>
      <c r="F42" s="156"/>
      <c r="G42" s="94" t="s">
        <v>817</v>
      </c>
      <c r="H42" s="94" t="s">
        <v>817</v>
      </c>
      <c r="I42" s="169"/>
      <c r="J42" s="94" t="s">
        <v>818</v>
      </c>
      <c r="K42" s="113" t="s">
        <v>818</v>
      </c>
      <c r="L42" s="94" t="s">
        <v>817</v>
      </c>
      <c r="M42" s="94" t="s">
        <v>818</v>
      </c>
      <c r="N42" s="94" t="s">
        <v>817</v>
      </c>
      <c r="O42" s="94" t="s">
        <v>818</v>
      </c>
      <c r="P42" s="169"/>
      <c r="Q42" s="94" t="s">
        <v>818</v>
      </c>
      <c r="R42" s="113" t="s">
        <v>818</v>
      </c>
      <c r="S42" s="94" t="s">
        <v>818</v>
      </c>
      <c r="T42" s="94" t="s">
        <v>818</v>
      </c>
      <c r="U42" s="94" t="s">
        <v>818</v>
      </c>
      <c r="V42" s="94" t="s">
        <v>818</v>
      </c>
      <c r="W42" s="169"/>
      <c r="X42" s="94" t="s">
        <v>818</v>
      </c>
      <c r="Y42" s="113" t="s">
        <v>818</v>
      </c>
      <c r="Z42" s="94" t="s">
        <v>818</v>
      </c>
      <c r="AA42" s="94" t="s">
        <v>818</v>
      </c>
      <c r="AB42" s="94"/>
      <c r="AC42" s="94"/>
      <c r="AD42" s="169"/>
      <c r="AE42" s="94"/>
      <c r="AF42" s="113"/>
      <c r="AG42" s="94"/>
      <c r="AH42" s="94"/>
      <c r="AI42" s="94"/>
      <c r="AJ42" s="94"/>
      <c r="AK42" s="4">
        <f t="shared" si="2"/>
        <v>14</v>
      </c>
      <c r="AL42" s="4">
        <f t="shared" si="3"/>
        <v>4</v>
      </c>
    </row>
    <row r="43" spans="1:38" ht="15.5" x14ac:dyDescent="0.35">
      <c r="A43" s="6">
        <v>13</v>
      </c>
      <c r="B43" s="11">
        <v>77</v>
      </c>
      <c r="C43" s="97" t="s">
        <v>190</v>
      </c>
      <c r="D43" s="16" t="s">
        <v>191</v>
      </c>
      <c r="E43" s="8" t="s">
        <v>722</v>
      </c>
      <c r="F43" s="156"/>
      <c r="G43" s="94" t="s">
        <v>818</v>
      </c>
      <c r="H43" s="94" t="s">
        <v>818</v>
      </c>
      <c r="I43" s="169"/>
      <c r="J43" s="94" t="s">
        <v>818</v>
      </c>
      <c r="K43" s="113" t="s">
        <v>818</v>
      </c>
      <c r="L43" s="94" t="s">
        <v>818</v>
      </c>
      <c r="M43" s="94" t="s">
        <v>818</v>
      </c>
      <c r="N43" s="94" t="s">
        <v>818</v>
      </c>
      <c r="O43" s="94" t="s">
        <v>818</v>
      </c>
      <c r="P43" s="169"/>
      <c r="Q43" s="94" t="s">
        <v>817</v>
      </c>
      <c r="R43" s="113" t="s">
        <v>818</v>
      </c>
      <c r="S43" s="94" t="s">
        <v>818</v>
      </c>
      <c r="T43" s="94" t="s">
        <v>818</v>
      </c>
      <c r="U43" s="94" t="s">
        <v>818</v>
      </c>
      <c r="V43" s="94" t="s">
        <v>817</v>
      </c>
      <c r="W43" s="169"/>
      <c r="X43" s="94" t="s">
        <v>817</v>
      </c>
      <c r="Y43" s="113" t="s">
        <v>818</v>
      </c>
      <c r="Z43" s="94" t="s">
        <v>818</v>
      </c>
      <c r="AA43" s="94" t="s">
        <v>818</v>
      </c>
      <c r="AB43" s="94"/>
      <c r="AC43" s="94"/>
      <c r="AD43" s="169"/>
      <c r="AE43" s="94"/>
      <c r="AF43" s="113"/>
      <c r="AG43" s="94"/>
      <c r="AH43" s="94"/>
      <c r="AI43" s="94"/>
      <c r="AJ43" s="94"/>
      <c r="AK43" s="4">
        <f t="shared" si="2"/>
        <v>15</v>
      </c>
      <c r="AL43" s="4">
        <f t="shared" si="3"/>
        <v>3</v>
      </c>
    </row>
    <row r="44" spans="1:38" ht="15.5" x14ac:dyDescent="0.35">
      <c r="A44" s="6">
        <v>14</v>
      </c>
      <c r="B44" s="11">
        <v>80</v>
      </c>
      <c r="C44" s="97" t="s">
        <v>192</v>
      </c>
      <c r="D44" s="16" t="s">
        <v>193</v>
      </c>
      <c r="E44" s="8" t="s">
        <v>722</v>
      </c>
      <c r="F44" s="156"/>
      <c r="G44" s="94" t="s">
        <v>817</v>
      </c>
      <c r="H44" s="94" t="s">
        <v>818</v>
      </c>
      <c r="I44" s="169"/>
      <c r="J44" s="94" t="s">
        <v>818</v>
      </c>
      <c r="K44" s="113" t="s">
        <v>817</v>
      </c>
      <c r="L44" s="94" t="s">
        <v>818</v>
      </c>
      <c r="M44" s="94" t="s">
        <v>818</v>
      </c>
      <c r="N44" s="94" t="s">
        <v>818</v>
      </c>
      <c r="O44" s="94" t="s">
        <v>818</v>
      </c>
      <c r="P44" s="169"/>
      <c r="Q44" s="94" t="s">
        <v>818</v>
      </c>
      <c r="R44" s="113" t="s">
        <v>818</v>
      </c>
      <c r="S44" s="94" t="s">
        <v>818</v>
      </c>
      <c r="T44" s="94" t="s">
        <v>818</v>
      </c>
      <c r="U44" s="94" t="s">
        <v>818</v>
      </c>
      <c r="V44" s="94" t="s">
        <v>818</v>
      </c>
      <c r="W44" s="169"/>
      <c r="X44" s="94" t="s">
        <v>818</v>
      </c>
      <c r="Y44" s="113" t="s">
        <v>818</v>
      </c>
      <c r="Z44" s="94" t="s">
        <v>818</v>
      </c>
      <c r="AA44" s="94" t="s">
        <v>818</v>
      </c>
      <c r="AB44" s="94"/>
      <c r="AC44" s="94"/>
      <c r="AD44" s="169"/>
      <c r="AE44" s="94"/>
      <c r="AF44" s="113"/>
      <c r="AG44" s="94"/>
      <c r="AH44" s="94"/>
      <c r="AI44" s="94"/>
      <c r="AJ44" s="94"/>
      <c r="AK44" s="4">
        <f t="shared" si="2"/>
        <v>16</v>
      </c>
      <c r="AL44" s="4">
        <f t="shared" si="3"/>
        <v>2</v>
      </c>
    </row>
    <row r="45" spans="1:38" ht="15.5" x14ac:dyDescent="0.35">
      <c r="A45" s="6">
        <v>15</v>
      </c>
      <c r="B45" s="11">
        <v>93</v>
      </c>
      <c r="C45" s="97" t="s">
        <v>194</v>
      </c>
      <c r="D45" s="16" t="s">
        <v>58</v>
      </c>
      <c r="E45" s="8" t="s">
        <v>722</v>
      </c>
      <c r="F45" s="156"/>
      <c r="G45" s="94" t="s">
        <v>817</v>
      </c>
      <c r="H45" s="94" t="s">
        <v>817</v>
      </c>
      <c r="I45" s="169"/>
      <c r="J45" s="94" t="s">
        <v>818</v>
      </c>
      <c r="K45" s="113" t="s">
        <v>818</v>
      </c>
      <c r="L45" s="94" t="s">
        <v>818</v>
      </c>
      <c r="M45" s="94" t="s">
        <v>818</v>
      </c>
      <c r="N45" s="94" t="s">
        <v>818</v>
      </c>
      <c r="O45" s="94" t="s">
        <v>818</v>
      </c>
      <c r="P45" s="169"/>
      <c r="Q45" s="94" t="s">
        <v>818</v>
      </c>
      <c r="R45" s="113" t="s">
        <v>818</v>
      </c>
      <c r="S45" s="94" t="s">
        <v>818</v>
      </c>
      <c r="T45" s="94" t="s">
        <v>818</v>
      </c>
      <c r="U45" s="94" t="s">
        <v>818</v>
      </c>
      <c r="V45" s="94" t="s">
        <v>818</v>
      </c>
      <c r="W45" s="169"/>
      <c r="X45" s="94" t="s">
        <v>817</v>
      </c>
      <c r="Y45" s="113" t="s">
        <v>818</v>
      </c>
      <c r="Z45" s="94" t="s">
        <v>817</v>
      </c>
      <c r="AA45" s="94" t="s">
        <v>818</v>
      </c>
      <c r="AB45" s="94"/>
      <c r="AC45" s="94"/>
      <c r="AD45" s="169"/>
      <c r="AE45" s="94"/>
      <c r="AF45" s="113"/>
      <c r="AG45" s="94"/>
      <c r="AH45" s="94"/>
      <c r="AI45" s="94"/>
      <c r="AJ45" s="94"/>
      <c r="AK45" s="4">
        <f t="shared" si="2"/>
        <v>14</v>
      </c>
      <c r="AL45" s="4">
        <f t="shared" si="3"/>
        <v>4</v>
      </c>
    </row>
    <row r="46" spans="1:38" ht="15.5" x14ac:dyDescent="0.35">
      <c r="A46" s="6">
        <v>16</v>
      </c>
      <c r="B46" s="11">
        <v>14</v>
      </c>
      <c r="C46" s="97" t="s">
        <v>195</v>
      </c>
      <c r="D46" s="16" t="s">
        <v>196</v>
      </c>
      <c r="E46" s="8" t="s">
        <v>722</v>
      </c>
      <c r="F46" s="156"/>
      <c r="G46" s="94" t="s">
        <v>818</v>
      </c>
      <c r="H46" s="94" t="s">
        <v>818</v>
      </c>
      <c r="I46" s="169"/>
      <c r="J46" s="94" t="s">
        <v>818</v>
      </c>
      <c r="K46" s="113" t="s">
        <v>818</v>
      </c>
      <c r="L46" s="94" t="s">
        <v>818</v>
      </c>
      <c r="M46" s="94" t="s">
        <v>818</v>
      </c>
      <c r="N46" s="94" t="s">
        <v>817</v>
      </c>
      <c r="O46" s="94" t="s">
        <v>818</v>
      </c>
      <c r="P46" s="169"/>
      <c r="Q46" s="94" t="s">
        <v>818</v>
      </c>
      <c r="R46" s="113" t="s">
        <v>818</v>
      </c>
      <c r="S46" s="94" t="s">
        <v>818</v>
      </c>
      <c r="T46" s="94" t="s">
        <v>818</v>
      </c>
      <c r="U46" s="94" t="s">
        <v>818</v>
      </c>
      <c r="V46" s="94" t="s">
        <v>818</v>
      </c>
      <c r="W46" s="169"/>
      <c r="X46" s="94" t="s">
        <v>818</v>
      </c>
      <c r="Y46" s="113" t="s">
        <v>818</v>
      </c>
      <c r="Z46" s="94" t="s">
        <v>818</v>
      </c>
      <c r="AA46" s="94" t="s">
        <v>818</v>
      </c>
      <c r="AB46" s="94"/>
      <c r="AC46" s="94"/>
      <c r="AD46" s="169"/>
      <c r="AE46" s="94"/>
      <c r="AF46" s="113"/>
      <c r="AG46" s="94"/>
      <c r="AH46" s="94"/>
      <c r="AI46" s="94"/>
      <c r="AJ46" s="94"/>
      <c r="AK46" s="4">
        <f t="shared" si="2"/>
        <v>17</v>
      </c>
      <c r="AL46" s="4">
        <f t="shared" si="3"/>
        <v>1</v>
      </c>
    </row>
    <row r="47" spans="1:38" ht="15.5" x14ac:dyDescent="0.35">
      <c r="A47" s="6">
        <v>17</v>
      </c>
      <c r="B47" s="11">
        <v>94</v>
      </c>
      <c r="C47" s="97" t="s">
        <v>197</v>
      </c>
      <c r="D47" s="16" t="s">
        <v>196</v>
      </c>
      <c r="E47" s="8" t="s">
        <v>722</v>
      </c>
      <c r="F47" s="156"/>
      <c r="G47" s="94" t="s">
        <v>818</v>
      </c>
      <c r="H47" s="94" t="s">
        <v>818</v>
      </c>
      <c r="I47" s="169"/>
      <c r="J47" s="94" t="s">
        <v>818</v>
      </c>
      <c r="K47" s="113" t="s">
        <v>818</v>
      </c>
      <c r="L47" s="94" t="s">
        <v>818</v>
      </c>
      <c r="M47" s="94" t="s">
        <v>818</v>
      </c>
      <c r="N47" s="94" t="s">
        <v>818</v>
      </c>
      <c r="O47" s="94" t="s">
        <v>818</v>
      </c>
      <c r="P47" s="169"/>
      <c r="Q47" s="94" t="s">
        <v>818</v>
      </c>
      <c r="R47" s="113" t="s">
        <v>817</v>
      </c>
      <c r="S47" s="94" t="s">
        <v>817</v>
      </c>
      <c r="T47" s="94" t="s">
        <v>818</v>
      </c>
      <c r="U47" s="94" t="s">
        <v>818</v>
      </c>
      <c r="V47" s="94" t="s">
        <v>818</v>
      </c>
      <c r="W47" s="169"/>
      <c r="X47" s="94" t="s">
        <v>818</v>
      </c>
      <c r="Y47" s="113" t="s">
        <v>818</v>
      </c>
      <c r="Z47" s="94" t="s">
        <v>818</v>
      </c>
      <c r="AA47" s="94" t="s">
        <v>818</v>
      </c>
      <c r="AB47" s="94"/>
      <c r="AC47" s="94"/>
      <c r="AD47" s="169"/>
      <c r="AE47" s="94"/>
      <c r="AF47" s="113"/>
      <c r="AG47" s="94"/>
      <c r="AH47" s="94"/>
      <c r="AI47" s="94"/>
      <c r="AJ47" s="94"/>
      <c r="AK47" s="4">
        <f t="shared" si="2"/>
        <v>16</v>
      </c>
      <c r="AL47" s="4">
        <f t="shared" si="3"/>
        <v>2</v>
      </c>
    </row>
    <row r="48" spans="1:38" ht="15.5" x14ac:dyDescent="0.35">
      <c r="A48" s="6">
        <v>18</v>
      </c>
      <c r="B48" s="11">
        <v>111</v>
      </c>
      <c r="C48" s="97" t="s">
        <v>198</v>
      </c>
      <c r="D48" s="16" t="s">
        <v>199</v>
      </c>
      <c r="E48" s="8" t="s">
        <v>722</v>
      </c>
      <c r="F48" s="156"/>
      <c r="G48" s="94" t="s">
        <v>818</v>
      </c>
      <c r="H48" s="94" t="s">
        <v>818</v>
      </c>
      <c r="I48" s="169"/>
      <c r="J48" s="94" t="s">
        <v>818</v>
      </c>
      <c r="K48" s="113" t="s">
        <v>818</v>
      </c>
      <c r="L48" s="94" t="s">
        <v>818</v>
      </c>
      <c r="M48" s="94" t="s">
        <v>817</v>
      </c>
      <c r="N48" s="94" t="s">
        <v>818</v>
      </c>
      <c r="O48" s="94" t="s">
        <v>818</v>
      </c>
      <c r="P48" s="169"/>
      <c r="Q48" s="94" t="s">
        <v>818</v>
      </c>
      <c r="R48" s="113" t="s">
        <v>818</v>
      </c>
      <c r="S48" s="94" t="s">
        <v>818</v>
      </c>
      <c r="T48" s="94" t="s">
        <v>818</v>
      </c>
      <c r="U48" s="94" t="s">
        <v>817</v>
      </c>
      <c r="V48" s="94" t="s">
        <v>818</v>
      </c>
      <c r="W48" s="169"/>
      <c r="X48" s="94" t="s">
        <v>818</v>
      </c>
      <c r="Y48" s="113" t="s">
        <v>818</v>
      </c>
      <c r="Z48" s="94" t="s">
        <v>818</v>
      </c>
      <c r="AA48" s="94" t="s">
        <v>818</v>
      </c>
      <c r="AB48" s="94"/>
      <c r="AC48" s="94"/>
      <c r="AD48" s="169"/>
      <c r="AE48" s="94"/>
      <c r="AF48" s="113"/>
      <c r="AG48" s="94"/>
      <c r="AH48" s="94"/>
      <c r="AI48" s="94"/>
      <c r="AJ48" s="94"/>
      <c r="AK48" s="4">
        <f t="shared" si="2"/>
        <v>16</v>
      </c>
      <c r="AL48" s="4">
        <f t="shared" si="3"/>
        <v>2</v>
      </c>
    </row>
    <row r="49" spans="1:38" ht="15.5" x14ac:dyDescent="0.35">
      <c r="A49" s="6">
        <v>19</v>
      </c>
      <c r="B49" s="11">
        <v>113</v>
      </c>
      <c r="C49" s="97" t="s">
        <v>200</v>
      </c>
      <c r="D49" s="16" t="s">
        <v>78</v>
      </c>
      <c r="E49" s="8" t="s">
        <v>722</v>
      </c>
      <c r="F49" s="156"/>
      <c r="G49" s="94" t="s">
        <v>818</v>
      </c>
      <c r="H49" s="94" t="s">
        <v>818</v>
      </c>
      <c r="I49" s="169"/>
      <c r="J49" s="94" t="s">
        <v>818</v>
      </c>
      <c r="K49" s="113" t="s">
        <v>818</v>
      </c>
      <c r="L49" s="94" t="s">
        <v>818</v>
      </c>
      <c r="M49" s="94" t="s">
        <v>818</v>
      </c>
      <c r="N49" s="94" t="s">
        <v>818</v>
      </c>
      <c r="O49" s="94" t="s">
        <v>818</v>
      </c>
      <c r="P49" s="169"/>
      <c r="Q49" s="94" t="s">
        <v>818</v>
      </c>
      <c r="R49" s="113" t="s">
        <v>818</v>
      </c>
      <c r="S49" s="94" t="s">
        <v>818</v>
      </c>
      <c r="T49" s="94" t="s">
        <v>818</v>
      </c>
      <c r="U49" s="94" t="s">
        <v>818</v>
      </c>
      <c r="V49" s="94" t="s">
        <v>818</v>
      </c>
      <c r="W49" s="169"/>
      <c r="X49" s="94" t="s">
        <v>818</v>
      </c>
      <c r="Y49" s="113" t="s">
        <v>818</v>
      </c>
      <c r="Z49" s="94" t="s">
        <v>818</v>
      </c>
      <c r="AA49" s="94" t="s">
        <v>818</v>
      </c>
      <c r="AB49" s="94"/>
      <c r="AC49" s="94"/>
      <c r="AD49" s="169"/>
      <c r="AE49" s="94"/>
      <c r="AF49" s="113"/>
      <c r="AG49" s="94"/>
      <c r="AH49" s="94"/>
      <c r="AI49" s="94"/>
      <c r="AJ49" s="94"/>
      <c r="AK49" s="4">
        <f t="shared" si="2"/>
        <v>18</v>
      </c>
      <c r="AL49" s="4">
        <f t="shared" si="3"/>
        <v>0</v>
      </c>
    </row>
    <row r="50" spans="1:38" ht="15.5" x14ac:dyDescent="0.35">
      <c r="A50" s="6">
        <v>20</v>
      </c>
      <c r="B50" s="11">
        <v>115</v>
      </c>
      <c r="C50" s="97" t="s">
        <v>201</v>
      </c>
      <c r="D50" s="16" t="s">
        <v>202</v>
      </c>
      <c r="E50" s="8" t="s">
        <v>722</v>
      </c>
      <c r="F50" s="156"/>
      <c r="G50" s="94" t="s">
        <v>818</v>
      </c>
      <c r="H50" s="94" t="s">
        <v>818</v>
      </c>
      <c r="I50" s="169"/>
      <c r="J50" s="94" t="s">
        <v>818</v>
      </c>
      <c r="K50" s="113" t="s">
        <v>818</v>
      </c>
      <c r="L50" s="94" t="s">
        <v>818</v>
      </c>
      <c r="M50" s="94" t="s">
        <v>818</v>
      </c>
      <c r="N50" s="94" t="s">
        <v>818</v>
      </c>
      <c r="O50" s="94" t="s">
        <v>818</v>
      </c>
      <c r="P50" s="169"/>
      <c r="Q50" s="94" t="s">
        <v>818</v>
      </c>
      <c r="R50" s="113" t="s">
        <v>818</v>
      </c>
      <c r="S50" s="94" t="s">
        <v>818</v>
      </c>
      <c r="T50" s="94" t="s">
        <v>818</v>
      </c>
      <c r="U50" s="94" t="s">
        <v>818</v>
      </c>
      <c r="V50" s="94" t="s">
        <v>818</v>
      </c>
      <c r="W50" s="169"/>
      <c r="X50" s="94" t="s">
        <v>818</v>
      </c>
      <c r="Y50" s="113" t="s">
        <v>818</v>
      </c>
      <c r="Z50" s="94" t="s">
        <v>818</v>
      </c>
      <c r="AA50" s="94" t="s">
        <v>818</v>
      </c>
      <c r="AB50" s="94"/>
      <c r="AC50" s="94"/>
      <c r="AD50" s="169"/>
      <c r="AE50" s="94"/>
      <c r="AF50" s="113"/>
      <c r="AG50" s="94"/>
      <c r="AH50" s="94"/>
      <c r="AI50" s="94"/>
      <c r="AJ50" s="94"/>
      <c r="AK50" s="4">
        <f t="shared" si="2"/>
        <v>18</v>
      </c>
      <c r="AL50" s="4">
        <f t="shared" si="3"/>
        <v>0</v>
      </c>
    </row>
    <row r="51" spans="1:38" ht="15.5" x14ac:dyDescent="0.35">
      <c r="A51" s="6">
        <v>21</v>
      </c>
      <c r="B51" s="11">
        <v>114</v>
      </c>
      <c r="C51" s="97" t="s">
        <v>203</v>
      </c>
      <c r="D51" s="16" t="s">
        <v>202</v>
      </c>
      <c r="E51" s="8" t="s">
        <v>722</v>
      </c>
      <c r="F51" s="156"/>
      <c r="G51" s="94" t="s">
        <v>818</v>
      </c>
      <c r="H51" s="94" t="s">
        <v>818</v>
      </c>
      <c r="I51" s="169"/>
      <c r="J51" s="94" t="s">
        <v>818</v>
      </c>
      <c r="K51" s="113" t="s">
        <v>818</v>
      </c>
      <c r="L51" s="94" t="s">
        <v>818</v>
      </c>
      <c r="M51" s="94" t="s">
        <v>818</v>
      </c>
      <c r="N51" s="94" t="s">
        <v>818</v>
      </c>
      <c r="O51" s="94" t="s">
        <v>818</v>
      </c>
      <c r="P51" s="169"/>
      <c r="Q51" s="94" t="s">
        <v>818</v>
      </c>
      <c r="R51" s="113" t="s">
        <v>818</v>
      </c>
      <c r="S51" s="94" t="s">
        <v>818</v>
      </c>
      <c r="T51" s="94" t="s">
        <v>818</v>
      </c>
      <c r="U51" s="94" t="s">
        <v>818</v>
      </c>
      <c r="V51" s="94" t="s">
        <v>818</v>
      </c>
      <c r="W51" s="169"/>
      <c r="X51" s="94" t="s">
        <v>818</v>
      </c>
      <c r="Y51" s="113" t="s">
        <v>818</v>
      </c>
      <c r="Z51" s="94" t="s">
        <v>818</v>
      </c>
      <c r="AA51" s="94" t="s">
        <v>818</v>
      </c>
      <c r="AB51" s="94"/>
      <c r="AC51" s="94"/>
      <c r="AD51" s="169"/>
      <c r="AE51" s="94"/>
      <c r="AF51" s="113"/>
      <c r="AG51" s="94"/>
      <c r="AH51" s="94"/>
      <c r="AI51" s="94"/>
      <c r="AJ51" s="94"/>
      <c r="AK51" s="4">
        <f t="shared" si="2"/>
        <v>18</v>
      </c>
      <c r="AL51" s="4">
        <f t="shared" si="3"/>
        <v>0</v>
      </c>
    </row>
    <row r="52" spans="1:38" ht="15.5" x14ac:dyDescent="0.35">
      <c r="A52" s="6">
        <v>22</v>
      </c>
      <c r="B52" s="11">
        <v>141</v>
      </c>
      <c r="C52" s="97" t="s">
        <v>204</v>
      </c>
      <c r="D52" s="16" t="s">
        <v>205</v>
      </c>
      <c r="E52" s="8" t="s">
        <v>722</v>
      </c>
      <c r="F52" s="156"/>
      <c r="G52" s="94" t="s">
        <v>817</v>
      </c>
      <c r="H52" s="94" t="s">
        <v>817</v>
      </c>
      <c r="I52" s="169"/>
      <c r="J52" s="94" t="s">
        <v>818</v>
      </c>
      <c r="K52" s="113" t="s">
        <v>818</v>
      </c>
      <c r="L52" s="94" t="s">
        <v>818</v>
      </c>
      <c r="M52" s="94" t="s">
        <v>818</v>
      </c>
      <c r="N52" s="94" t="s">
        <v>818</v>
      </c>
      <c r="O52" s="94" t="s">
        <v>818</v>
      </c>
      <c r="P52" s="169"/>
      <c r="Q52" s="94" t="s">
        <v>818</v>
      </c>
      <c r="R52" s="113" t="s">
        <v>818</v>
      </c>
      <c r="S52" s="94" t="s">
        <v>818</v>
      </c>
      <c r="T52" s="94" t="s">
        <v>818</v>
      </c>
      <c r="U52" s="94" t="s">
        <v>818</v>
      </c>
      <c r="V52" s="94" t="s">
        <v>817</v>
      </c>
      <c r="W52" s="169"/>
      <c r="X52" s="94" t="s">
        <v>817</v>
      </c>
      <c r="Y52" s="113" t="s">
        <v>818</v>
      </c>
      <c r="Z52" s="94" t="s">
        <v>818</v>
      </c>
      <c r="AA52" s="94" t="s">
        <v>818</v>
      </c>
      <c r="AB52" s="94"/>
      <c r="AC52" s="94"/>
      <c r="AD52" s="169"/>
      <c r="AE52" s="94"/>
      <c r="AF52" s="113"/>
      <c r="AG52" s="94"/>
      <c r="AH52" s="94"/>
      <c r="AI52" s="94"/>
      <c r="AJ52" s="94"/>
      <c r="AK52" s="4">
        <f t="shared" si="2"/>
        <v>14</v>
      </c>
      <c r="AL52" s="4">
        <f t="shared" si="3"/>
        <v>4</v>
      </c>
    </row>
    <row r="53" spans="1:38" ht="15.5" x14ac:dyDescent="0.35">
      <c r="A53" s="6">
        <v>23</v>
      </c>
      <c r="B53" s="11">
        <v>140</v>
      </c>
      <c r="C53" s="97" t="s">
        <v>206</v>
      </c>
      <c r="D53" s="16" t="s">
        <v>205</v>
      </c>
      <c r="E53" s="8" t="s">
        <v>722</v>
      </c>
      <c r="F53" s="156"/>
      <c r="G53" s="94" t="s">
        <v>817</v>
      </c>
      <c r="H53" s="94" t="s">
        <v>817</v>
      </c>
      <c r="I53" s="169"/>
      <c r="J53" s="94" t="s">
        <v>818</v>
      </c>
      <c r="K53" s="113" t="s">
        <v>818</v>
      </c>
      <c r="L53" s="94" t="s">
        <v>818</v>
      </c>
      <c r="M53" s="94" t="s">
        <v>818</v>
      </c>
      <c r="N53" s="94" t="s">
        <v>818</v>
      </c>
      <c r="O53" s="94" t="s">
        <v>817</v>
      </c>
      <c r="P53" s="169"/>
      <c r="Q53" s="94" t="s">
        <v>818</v>
      </c>
      <c r="R53" s="113" t="s">
        <v>818</v>
      </c>
      <c r="S53" s="94" t="s">
        <v>818</v>
      </c>
      <c r="T53" s="94" t="s">
        <v>818</v>
      </c>
      <c r="U53" s="94" t="s">
        <v>818</v>
      </c>
      <c r="V53" s="94" t="s">
        <v>817</v>
      </c>
      <c r="W53" s="169"/>
      <c r="X53" s="94" t="s">
        <v>817</v>
      </c>
      <c r="Y53" s="113" t="s">
        <v>818</v>
      </c>
      <c r="Z53" s="94" t="s">
        <v>818</v>
      </c>
      <c r="AA53" s="94" t="s">
        <v>818</v>
      </c>
      <c r="AB53" s="94"/>
      <c r="AC53" s="94"/>
      <c r="AD53" s="169"/>
      <c r="AE53" s="94"/>
      <c r="AF53" s="113"/>
      <c r="AG53" s="94"/>
      <c r="AH53" s="94"/>
      <c r="AI53" s="94"/>
      <c r="AJ53" s="94"/>
      <c r="AK53" s="4">
        <f t="shared" si="2"/>
        <v>13</v>
      </c>
      <c r="AL53" s="4">
        <f t="shared" si="3"/>
        <v>5</v>
      </c>
    </row>
    <row r="54" spans="1:38" ht="15.5" x14ac:dyDescent="0.35">
      <c r="A54" s="6">
        <v>24</v>
      </c>
      <c r="B54" s="11">
        <v>96</v>
      </c>
      <c r="C54" s="97" t="s">
        <v>207</v>
      </c>
      <c r="D54" s="16" t="s">
        <v>208</v>
      </c>
      <c r="E54" s="8" t="s">
        <v>722</v>
      </c>
      <c r="F54" s="156"/>
      <c r="G54" s="94" t="s">
        <v>818</v>
      </c>
      <c r="H54" s="94" t="s">
        <v>818</v>
      </c>
      <c r="I54" s="169"/>
      <c r="J54" s="94" t="s">
        <v>818</v>
      </c>
      <c r="K54" s="113" t="s">
        <v>818</v>
      </c>
      <c r="L54" s="94" t="s">
        <v>818</v>
      </c>
      <c r="M54" s="94" t="s">
        <v>817</v>
      </c>
      <c r="N54" s="94" t="s">
        <v>818</v>
      </c>
      <c r="O54" s="94" t="s">
        <v>818</v>
      </c>
      <c r="P54" s="169"/>
      <c r="Q54" s="94" t="s">
        <v>818</v>
      </c>
      <c r="R54" s="113" t="s">
        <v>817</v>
      </c>
      <c r="S54" s="94" t="s">
        <v>818</v>
      </c>
      <c r="T54" s="94" t="s">
        <v>818</v>
      </c>
      <c r="U54" s="94" t="s">
        <v>818</v>
      </c>
      <c r="V54" s="94" t="s">
        <v>818</v>
      </c>
      <c r="W54" s="169"/>
      <c r="X54" s="94" t="s">
        <v>818</v>
      </c>
      <c r="Y54" s="113" t="s">
        <v>817</v>
      </c>
      <c r="Z54" s="94" t="s">
        <v>818</v>
      </c>
      <c r="AA54" s="94" t="s">
        <v>818</v>
      </c>
      <c r="AB54" s="94"/>
      <c r="AC54" s="94"/>
      <c r="AD54" s="169"/>
      <c r="AE54" s="94"/>
      <c r="AF54" s="113"/>
      <c r="AG54" s="94"/>
      <c r="AH54" s="94"/>
      <c r="AI54" s="94"/>
      <c r="AJ54" s="94"/>
      <c r="AK54" s="4">
        <f t="shared" si="2"/>
        <v>15</v>
      </c>
      <c r="AL54" s="4">
        <f t="shared" si="3"/>
        <v>3</v>
      </c>
    </row>
    <row r="55" spans="1:38" ht="15.5" x14ac:dyDescent="0.35">
      <c r="A55" s="6">
        <v>25</v>
      </c>
      <c r="B55" s="11">
        <v>190</v>
      </c>
      <c r="C55" s="97" t="s">
        <v>209</v>
      </c>
      <c r="D55" s="16" t="s">
        <v>133</v>
      </c>
      <c r="E55" s="8" t="s">
        <v>722</v>
      </c>
      <c r="F55" s="156"/>
      <c r="G55" s="94" t="s">
        <v>817</v>
      </c>
      <c r="H55" s="94" t="s">
        <v>818</v>
      </c>
      <c r="I55" s="169"/>
      <c r="J55" s="94" t="s">
        <v>818</v>
      </c>
      <c r="K55" s="113" t="s">
        <v>818</v>
      </c>
      <c r="L55" s="94" t="s">
        <v>818</v>
      </c>
      <c r="M55" s="94" t="s">
        <v>818</v>
      </c>
      <c r="N55" s="94" t="s">
        <v>818</v>
      </c>
      <c r="O55" s="94" t="s">
        <v>818</v>
      </c>
      <c r="P55" s="169"/>
      <c r="Q55" s="94" t="s">
        <v>817</v>
      </c>
      <c r="R55" s="113" t="s">
        <v>818</v>
      </c>
      <c r="S55" s="94" t="s">
        <v>818</v>
      </c>
      <c r="T55" s="94" t="s">
        <v>818</v>
      </c>
      <c r="U55" s="94" t="s">
        <v>818</v>
      </c>
      <c r="V55" s="94" t="s">
        <v>818</v>
      </c>
      <c r="W55" s="169"/>
      <c r="X55" s="94" t="s">
        <v>818</v>
      </c>
      <c r="Y55" s="113" t="s">
        <v>818</v>
      </c>
      <c r="Z55" s="94" t="s">
        <v>818</v>
      </c>
      <c r="AA55" s="94" t="s">
        <v>818</v>
      </c>
      <c r="AB55" s="94"/>
      <c r="AC55" s="94"/>
      <c r="AD55" s="169"/>
      <c r="AE55" s="94"/>
      <c r="AF55" s="113"/>
      <c r="AG55" s="94"/>
      <c r="AH55" s="94"/>
      <c r="AI55" s="94"/>
      <c r="AJ55" s="94"/>
      <c r="AK55" s="4">
        <f t="shared" si="2"/>
        <v>16</v>
      </c>
      <c r="AL55" s="4">
        <f t="shared" si="3"/>
        <v>2</v>
      </c>
    </row>
    <row r="56" spans="1:38" ht="15.5" x14ac:dyDescent="0.35">
      <c r="A56" s="6">
        <v>26</v>
      </c>
      <c r="B56" s="11">
        <v>192</v>
      </c>
      <c r="C56" s="97" t="s">
        <v>210</v>
      </c>
      <c r="D56" s="16" t="s">
        <v>211</v>
      </c>
      <c r="E56" s="8" t="s">
        <v>722</v>
      </c>
      <c r="F56" s="156"/>
      <c r="G56" s="94" t="s">
        <v>817</v>
      </c>
      <c r="H56" s="94" t="s">
        <v>817</v>
      </c>
      <c r="I56" s="169"/>
      <c r="J56" s="94" t="s">
        <v>817</v>
      </c>
      <c r="K56" s="113" t="s">
        <v>817</v>
      </c>
      <c r="L56" s="94" t="s">
        <v>817</v>
      </c>
      <c r="M56" s="94" t="s">
        <v>817</v>
      </c>
      <c r="N56" s="94" t="s">
        <v>817</v>
      </c>
      <c r="O56" s="94" t="s">
        <v>817</v>
      </c>
      <c r="P56" s="169"/>
      <c r="Q56" s="94" t="s">
        <v>818</v>
      </c>
      <c r="R56" s="113" t="s">
        <v>818</v>
      </c>
      <c r="S56" s="94" t="s">
        <v>818</v>
      </c>
      <c r="T56" s="94" t="s">
        <v>818</v>
      </c>
      <c r="U56" s="94" t="s">
        <v>818</v>
      </c>
      <c r="V56" s="94" t="s">
        <v>817</v>
      </c>
      <c r="W56" s="169"/>
      <c r="X56" s="94" t="s">
        <v>818</v>
      </c>
      <c r="Y56" s="113" t="s">
        <v>817</v>
      </c>
      <c r="Z56" s="94" t="s">
        <v>818</v>
      </c>
      <c r="AA56" s="94" t="s">
        <v>818</v>
      </c>
      <c r="AB56" s="94"/>
      <c r="AC56" s="94"/>
      <c r="AD56" s="169"/>
      <c r="AE56" s="94"/>
      <c r="AF56" s="113"/>
      <c r="AG56" s="94"/>
      <c r="AH56" s="94"/>
      <c r="AI56" s="94"/>
      <c r="AJ56" s="94"/>
      <c r="AK56" s="4">
        <f t="shared" si="2"/>
        <v>8</v>
      </c>
      <c r="AL56" s="4">
        <f t="shared" si="3"/>
        <v>10</v>
      </c>
    </row>
    <row r="57" spans="1:38" ht="15.5" x14ac:dyDescent="0.35">
      <c r="A57" s="6">
        <v>27</v>
      </c>
      <c r="B57" s="11">
        <v>193</v>
      </c>
      <c r="C57" s="97" t="s">
        <v>212</v>
      </c>
      <c r="D57" s="16" t="s">
        <v>213</v>
      </c>
      <c r="E57" s="8" t="s">
        <v>722</v>
      </c>
      <c r="F57" s="156"/>
      <c r="G57" s="94" t="s">
        <v>818</v>
      </c>
      <c r="H57" s="94" t="s">
        <v>818</v>
      </c>
      <c r="I57" s="169"/>
      <c r="J57" s="94" t="s">
        <v>817</v>
      </c>
      <c r="K57" s="113" t="s">
        <v>818</v>
      </c>
      <c r="L57" s="94" t="s">
        <v>818</v>
      </c>
      <c r="M57" s="94" t="s">
        <v>818</v>
      </c>
      <c r="N57" s="94" t="s">
        <v>817</v>
      </c>
      <c r="O57" s="94" t="s">
        <v>817</v>
      </c>
      <c r="P57" s="169"/>
      <c r="Q57" s="94" t="s">
        <v>817</v>
      </c>
      <c r="R57" s="113" t="s">
        <v>817</v>
      </c>
      <c r="S57" s="94" t="s">
        <v>818</v>
      </c>
      <c r="T57" s="94" t="s">
        <v>818</v>
      </c>
      <c r="U57" s="94" t="s">
        <v>817</v>
      </c>
      <c r="V57" s="94" t="s">
        <v>818</v>
      </c>
      <c r="W57" s="169"/>
      <c r="X57" s="94" t="s">
        <v>817</v>
      </c>
      <c r="Y57" s="113" t="s">
        <v>818</v>
      </c>
      <c r="Z57" s="94" t="s">
        <v>818</v>
      </c>
      <c r="AA57" s="94" t="s">
        <v>818</v>
      </c>
      <c r="AB57" s="94"/>
      <c r="AC57" s="94"/>
      <c r="AD57" s="169"/>
      <c r="AE57" s="94"/>
      <c r="AF57" s="113"/>
      <c r="AG57" s="94"/>
      <c r="AH57" s="94"/>
      <c r="AI57" s="94"/>
      <c r="AJ57" s="94"/>
      <c r="AK57" s="4">
        <f t="shared" si="2"/>
        <v>11</v>
      </c>
      <c r="AL57" s="4">
        <f t="shared" si="3"/>
        <v>7</v>
      </c>
    </row>
    <row r="58" spans="1:38" ht="15.5" x14ac:dyDescent="0.35">
      <c r="A58" s="6">
        <v>28</v>
      </c>
      <c r="B58" s="11">
        <v>72</v>
      </c>
      <c r="C58" s="97" t="s">
        <v>214</v>
      </c>
      <c r="D58" s="16" t="s">
        <v>215</v>
      </c>
      <c r="E58" s="8" t="s">
        <v>722</v>
      </c>
      <c r="F58" s="156"/>
      <c r="G58" s="94" t="s">
        <v>818</v>
      </c>
      <c r="H58" s="94" t="s">
        <v>818</v>
      </c>
      <c r="I58" s="169"/>
      <c r="J58" s="94" t="s">
        <v>818</v>
      </c>
      <c r="K58" s="113" t="s">
        <v>818</v>
      </c>
      <c r="L58" s="94" t="s">
        <v>818</v>
      </c>
      <c r="M58" s="94" t="s">
        <v>818</v>
      </c>
      <c r="N58" s="94" t="s">
        <v>818</v>
      </c>
      <c r="O58" s="94" t="s">
        <v>818</v>
      </c>
      <c r="P58" s="169"/>
      <c r="Q58" s="94" t="s">
        <v>818</v>
      </c>
      <c r="R58" s="113" t="s">
        <v>818</v>
      </c>
      <c r="S58" s="94" t="s">
        <v>817</v>
      </c>
      <c r="T58" s="94" t="s">
        <v>818</v>
      </c>
      <c r="U58" s="94" t="s">
        <v>817</v>
      </c>
      <c r="V58" s="94" t="s">
        <v>818</v>
      </c>
      <c r="W58" s="169"/>
      <c r="X58" s="94" t="s">
        <v>818</v>
      </c>
      <c r="Y58" s="113" t="s">
        <v>818</v>
      </c>
      <c r="Z58" s="94" t="s">
        <v>817</v>
      </c>
      <c r="AA58" s="94" t="s">
        <v>818</v>
      </c>
      <c r="AB58" s="94"/>
      <c r="AC58" s="94"/>
      <c r="AD58" s="169"/>
      <c r="AE58" s="94"/>
      <c r="AF58" s="113"/>
      <c r="AG58" s="94"/>
      <c r="AH58" s="94"/>
      <c r="AI58" s="94"/>
      <c r="AJ58" s="94"/>
      <c r="AK58" s="4">
        <f t="shared" si="2"/>
        <v>15</v>
      </c>
      <c r="AL58" s="4">
        <f t="shared" si="3"/>
        <v>3</v>
      </c>
    </row>
    <row r="59" spans="1:38" ht="15.5" x14ac:dyDescent="0.35">
      <c r="A59" s="6">
        <v>29</v>
      </c>
      <c r="B59" s="11">
        <v>92</v>
      </c>
      <c r="C59" s="98" t="s">
        <v>216</v>
      </c>
      <c r="D59" s="11" t="s">
        <v>217</v>
      </c>
      <c r="E59" s="8" t="s">
        <v>722</v>
      </c>
      <c r="F59" s="156"/>
      <c r="G59" s="94" t="s">
        <v>817</v>
      </c>
      <c r="H59" s="94" t="s">
        <v>818</v>
      </c>
      <c r="I59" s="169"/>
      <c r="J59" s="94" t="s">
        <v>818</v>
      </c>
      <c r="K59" s="113" t="s">
        <v>818</v>
      </c>
      <c r="L59" s="94" t="s">
        <v>818</v>
      </c>
      <c r="M59" s="94" t="s">
        <v>818</v>
      </c>
      <c r="N59" s="94" t="s">
        <v>818</v>
      </c>
      <c r="O59" s="94" t="s">
        <v>818</v>
      </c>
      <c r="P59" s="169"/>
      <c r="Q59" s="94" t="s">
        <v>818</v>
      </c>
      <c r="R59" s="113" t="s">
        <v>818</v>
      </c>
      <c r="S59" s="94" t="s">
        <v>817</v>
      </c>
      <c r="T59" s="94" t="s">
        <v>818</v>
      </c>
      <c r="U59" s="94" t="s">
        <v>818</v>
      </c>
      <c r="V59" s="94" t="s">
        <v>818</v>
      </c>
      <c r="W59" s="169"/>
      <c r="X59" s="94" t="s">
        <v>818</v>
      </c>
      <c r="Y59" s="113" t="s">
        <v>818</v>
      </c>
      <c r="Z59" s="94" t="s">
        <v>818</v>
      </c>
      <c r="AA59" s="94" t="s">
        <v>818</v>
      </c>
      <c r="AB59" s="94"/>
      <c r="AC59" s="94"/>
      <c r="AD59" s="169"/>
      <c r="AE59" s="94"/>
      <c r="AF59" s="113"/>
      <c r="AG59" s="94"/>
      <c r="AH59" s="94"/>
      <c r="AI59" s="94"/>
      <c r="AJ59" s="94"/>
      <c r="AK59" s="4">
        <f t="shared" si="2"/>
        <v>16</v>
      </c>
      <c r="AL59" s="4">
        <f t="shared" si="3"/>
        <v>2</v>
      </c>
    </row>
    <row r="60" spans="1:38" ht="15.5" x14ac:dyDescent="0.35">
      <c r="A60" s="6">
        <v>30</v>
      </c>
      <c r="B60" s="11">
        <v>191</v>
      </c>
      <c r="C60" s="98" t="s">
        <v>218</v>
      </c>
      <c r="D60" s="11" t="s">
        <v>219</v>
      </c>
      <c r="E60" s="8" t="s">
        <v>722</v>
      </c>
      <c r="F60" s="156"/>
      <c r="G60" s="94" t="s">
        <v>818</v>
      </c>
      <c r="H60" s="94" t="s">
        <v>818</v>
      </c>
      <c r="I60" s="169"/>
      <c r="J60" s="94" t="s">
        <v>818</v>
      </c>
      <c r="K60" s="113" t="s">
        <v>818</v>
      </c>
      <c r="L60" s="94" t="s">
        <v>817</v>
      </c>
      <c r="M60" s="94" t="s">
        <v>818</v>
      </c>
      <c r="N60" s="94" t="s">
        <v>818</v>
      </c>
      <c r="O60" s="94" t="s">
        <v>818</v>
      </c>
      <c r="P60" s="169"/>
      <c r="Q60" s="94" t="s">
        <v>818</v>
      </c>
      <c r="R60" s="113" t="s">
        <v>818</v>
      </c>
      <c r="S60" s="94" t="s">
        <v>818</v>
      </c>
      <c r="T60" s="94" t="s">
        <v>818</v>
      </c>
      <c r="U60" s="94" t="s">
        <v>818</v>
      </c>
      <c r="V60" s="94" t="s">
        <v>818</v>
      </c>
      <c r="W60" s="169"/>
      <c r="X60" s="94" t="s">
        <v>818</v>
      </c>
      <c r="Y60" s="113" t="s">
        <v>818</v>
      </c>
      <c r="Z60" s="94" t="s">
        <v>818</v>
      </c>
      <c r="AA60" s="94" t="s">
        <v>818</v>
      </c>
      <c r="AB60" s="94"/>
      <c r="AC60" s="94"/>
      <c r="AD60" s="169"/>
      <c r="AE60" s="94"/>
      <c r="AF60" s="113"/>
      <c r="AG60" s="94"/>
      <c r="AH60" s="94"/>
      <c r="AI60" s="94"/>
      <c r="AJ60" s="94"/>
      <c r="AK60" s="4">
        <f t="shared" si="2"/>
        <v>17</v>
      </c>
      <c r="AL60" s="4">
        <f t="shared" si="3"/>
        <v>1</v>
      </c>
    </row>
    <row r="61" spans="1:38" ht="15.5" x14ac:dyDescent="0.35">
      <c r="A61" s="114">
        <v>31</v>
      </c>
      <c r="B61" s="115">
        <v>97</v>
      </c>
      <c r="C61" s="116" t="s">
        <v>256</v>
      </c>
      <c r="D61" s="115" t="s">
        <v>714</v>
      </c>
      <c r="E61" s="8" t="s">
        <v>722</v>
      </c>
      <c r="F61" s="156"/>
      <c r="G61" s="117" t="s">
        <v>817</v>
      </c>
      <c r="H61" s="117" t="s">
        <v>817</v>
      </c>
      <c r="I61" s="169"/>
      <c r="J61" s="117" t="s">
        <v>817</v>
      </c>
      <c r="K61" s="117" t="s">
        <v>817</v>
      </c>
      <c r="L61" s="117" t="s">
        <v>817</v>
      </c>
      <c r="M61" s="117" t="s">
        <v>817</v>
      </c>
      <c r="N61" s="117" t="s">
        <v>817</v>
      </c>
      <c r="O61" s="117" t="s">
        <v>817</v>
      </c>
      <c r="P61" s="176"/>
      <c r="Q61" s="117" t="s">
        <v>818</v>
      </c>
      <c r="R61" s="113" t="s">
        <v>817</v>
      </c>
      <c r="S61" s="117" t="s">
        <v>818</v>
      </c>
      <c r="T61" s="117" t="s">
        <v>818</v>
      </c>
      <c r="U61" s="117" t="s">
        <v>818</v>
      </c>
      <c r="V61" s="117" t="s">
        <v>818</v>
      </c>
      <c r="W61" s="169"/>
      <c r="X61" s="117" t="s">
        <v>818</v>
      </c>
      <c r="Y61" s="113" t="s">
        <v>818</v>
      </c>
      <c r="Z61" s="117" t="s">
        <v>818</v>
      </c>
      <c r="AA61" s="117" t="s">
        <v>818</v>
      </c>
      <c r="AB61" s="117"/>
      <c r="AC61" s="117"/>
      <c r="AD61" s="169"/>
      <c r="AE61" s="117"/>
      <c r="AF61" s="113"/>
      <c r="AG61" s="117"/>
      <c r="AH61" s="117"/>
      <c r="AI61" s="117"/>
      <c r="AJ61" s="117"/>
      <c r="AK61" s="118">
        <f t="shared" si="2"/>
        <v>9</v>
      </c>
      <c r="AL61" s="118">
        <f t="shared" si="3"/>
        <v>9</v>
      </c>
    </row>
    <row r="62" spans="1:38" ht="15.5" customHeight="1" x14ac:dyDescent="0.35">
      <c r="A62" s="114">
        <v>32</v>
      </c>
      <c r="B62" s="115"/>
      <c r="C62" s="116" t="s">
        <v>857</v>
      </c>
      <c r="D62" s="115"/>
      <c r="E62" s="8" t="s">
        <v>722</v>
      </c>
      <c r="F62" s="129"/>
      <c r="G62" s="117" t="s">
        <v>848</v>
      </c>
      <c r="H62" s="117" t="s">
        <v>848</v>
      </c>
      <c r="I62" s="130"/>
      <c r="J62" s="117"/>
      <c r="K62" s="117"/>
      <c r="L62" s="117"/>
      <c r="M62" s="117"/>
      <c r="N62" s="117"/>
      <c r="O62" s="117"/>
      <c r="P62" s="131"/>
      <c r="Q62" s="117" t="s">
        <v>730</v>
      </c>
      <c r="R62" s="113" t="s">
        <v>817</v>
      </c>
      <c r="S62" s="117" t="s">
        <v>817</v>
      </c>
      <c r="T62" s="117" t="s">
        <v>817</v>
      </c>
      <c r="U62" s="117" t="s">
        <v>818</v>
      </c>
      <c r="V62" s="117" t="s">
        <v>818</v>
      </c>
      <c r="W62" s="130"/>
      <c r="X62" s="117" t="s">
        <v>818</v>
      </c>
      <c r="Y62" s="113" t="s">
        <v>818</v>
      </c>
      <c r="Z62" s="117" t="s">
        <v>818</v>
      </c>
      <c r="AA62" s="117" t="s">
        <v>818</v>
      </c>
      <c r="AB62" s="117"/>
      <c r="AC62" s="117"/>
      <c r="AD62" s="130"/>
      <c r="AE62" s="117"/>
      <c r="AF62" s="113"/>
      <c r="AG62" s="117"/>
      <c r="AH62" s="117"/>
      <c r="AI62" s="117"/>
      <c r="AJ62" s="117"/>
      <c r="AK62" s="118"/>
      <c r="AL62" s="118"/>
    </row>
    <row r="63" spans="1:38" ht="15.5" x14ac:dyDescent="0.3">
      <c r="A63" s="11">
        <v>33</v>
      </c>
      <c r="B63" s="11"/>
      <c r="C63" s="122" t="s">
        <v>823</v>
      </c>
      <c r="D63" s="11" t="s">
        <v>837</v>
      </c>
      <c r="E63" s="109" t="s">
        <v>722</v>
      </c>
      <c r="F63" s="121"/>
      <c r="G63" s="112" t="s">
        <v>817</v>
      </c>
      <c r="H63" s="112" t="s">
        <v>817</v>
      </c>
      <c r="I63" s="120"/>
      <c r="J63" s="112" t="s">
        <v>817</v>
      </c>
      <c r="K63" s="112" t="s">
        <v>817</v>
      </c>
      <c r="L63" s="112" t="s">
        <v>817</v>
      </c>
      <c r="M63" s="112" t="s">
        <v>817</v>
      </c>
      <c r="N63" s="112" t="s">
        <v>817</v>
      </c>
      <c r="O63" s="112" t="s">
        <v>817</v>
      </c>
      <c r="P63" s="120"/>
      <c r="Q63" s="112" t="s">
        <v>818</v>
      </c>
      <c r="R63" s="112" t="s">
        <v>818</v>
      </c>
      <c r="S63" s="11" t="s">
        <v>818</v>
      </c>
      <c r="T63" s="11" t="s">
        <v>818</v>
      </c>
      <c r="U63" s="11" t="s">
        <v>818</v>
      </c>
      <c r="V63" s="11"/>
      <c r="W63" s="120"/>
      <c r="X63" s="11" t="s">
        <v>818</v>
      </c>
      <c r="Y63" s="113" t="s">
        <v>818</v>
      </c>
      <c r="Z63" s="14" t="s">
        <v>818</v>
      </c>
      <c r="AA63" s="14" t="s">
        <v>818</v>
      </c>
      <c r="AB63" s="14"/>
      <c r="AC63" s="14"/>
      <c r="AD63" s="119"/>
      <c r="AE63" s="14"/>
      <c r="AF63" s="113"/>
      <c r="AG63" s="14"/>
      <c r="AH63" s="14"/>
      <c r="AI63" s="14"/>
      <c r="AJ63" s="14"/>
      <c r="AK63" s="14">
        <f t="shared" si="2"/>
        <v>9</v>
      </c>
      <c r="AL63" s="14">
        <f t="shared" si="3"/>
        <v>8</v>
      </c>
    </row>
  </sheetData>
  <mergeCells count="17">
    <mergeCell ref="W5:W61"/>
    <mergeCell ref="AD5:AD61"/>
    <mergeCell ref="F5:F61"/>
    <mergeCell ref="AM19:AP19"/>
    <mergeCell ref="A1:AL1"/>
    <mergeCell ref="A2:AL2"/>
    <mergeCell ref="AM3:AN3"/>
    <mergeCell ref="AM11:AP11"/>
    <mergeCell ref="AK3:AK4"/>
    <mergeCell ref="AL3:AL4"/>
    <mergeCell ref="A3:A4"/>
    <mergeCell ref="B3:B4"/>
    <mergeCell ref="C3:C4"/>
    <mergeCell ref="D3:D4"/>
    <mergeCell ref="E3:E4"/>
    <mergeCell ref="I5:I61"/>
    <mergeCell ref="P5:P61"/>
  </mergeCells>
  <conditionalFormatting sqref="F5:I5 N5:N60 U5:U62 AB5:AB62 AI5:AJ62 F3:AJ4 G6:H63">
    <cfRule type="expression" dxfId="364" priority="120">
      <formula>F$4=TODAY()</formula>
    </cfRule>
  </conditionalFormatting>
  <conditionalFormatting sqref="F5:I5 N5:N60 U5:U62 AB5:AB62 AI5:AJ62 F3:AJ4 G6:H63">
    <cfRule type="expression" dxfId="363" priority="129">
      <formula>F$3="Sun"</formula>
    </cfRule>
  </conditionalFormatting>
  <conditionalFormatting sqref="F5:I5 N5:N60 U5:U62 AB5:AB62 AI5:AJ62 G6:H63">
    <cfRule type="cellIs" dxfId="362" priority="121" operator="equal">
      <formula>"L"</formula>
    </cfRule>
    <cfRule type="cellIs" dxfId="361" priority="122" operator="equal">
      <formula>"A"</formula>
    </cfRule>
    <cfRule type="cellIs" dxfId="360" priority="123" operator="equal">
      <formula>"P"</formula>
    </cfRule>
  </conditionalFormatting>
  <conditionalFormatting sqref="L5:M60 O5:Q5 S5:T62 V5:X5 Z5:AA62 AC5:AE5 AG5:AH62 O6:O60 V6:V62 X6:X62 AC6:AC62 AE6:AE62 J5:J63 K61:O63 Q6:Q63">
    <cfRule type="expression" dxfId="359" priority="98">
      <formula>J$4=TODAY()</formula>
    </cfRule>
    <cfRule type="cellIs" dxfId="358" priority="99" operator="equal">
      <formula>"L"</formula>
    </cfRule>
    <cfRule type="cellIs" dxfId="357" priority="100" operator="equal">
      <formula>"A"</formula>
    </cfRule>
    <cfRule type="cellIs" dxfId="356" priority="101" operator="equal">
      <formula>"P"</formula>
    </cfRule>
    <cfRule type="expression" dxfId="355" priority="102">
      <formula>J$3="Sun"</formula>
    </cfRule>
  </conditionalFormatting>
  <conditionalFormatting sqref="AK3:AL3">
    <cfRule type="expression" dxfId="354" priority="130">
      <formula>#REF!="Sun"</formula>
    </cfRule>
  </conditionalFormatting>
  <conditionalFormatting sqref="AK5:AL62">
    <cfRule type="expression" dxfId="353" priority="118">
      <formula>#REF!="Sun"</formula>
    </cfRule>
  </conditionalFormatting>
  <conditionalFormatting sqref="AM5:AM9">
    <cfRule type="expression" dxfId="352" priority="89">
      <formula>AM$3="Sun"</formula>
    </cfRule>
  </conditionalFormatting>
  <conditionalFormatting sqref="AM12:AM15">
    <cfRule type="expression" dxfId="351" priority="87">
      <formula>AM$3="Sun"</formula>
    </cfRule>
  </conditionalFormatting>
  <conditionalFormatting sqref="AM20:AM23">
    <cfRule type="expression" dxfId="350" priority="86">
      <formula>AM$3="Sun"</formula>
    </cfRule>
  </conditionalFormatting>
  <conditionalFormatting sqref="AM4:AN4">
    <cfRule type="expression" dxfId="349" priority="90">
      <formula>AM$3="Sun"</formula>
    </cfRule>
  </conditionalFormatting>
  <conditionalFormatting sqref="AN12:AP12 AN20:AP20">
    <cfRule type="expression" dxfId="348" priority="91">
      <formula>AN$3="Sun"</formula>
    </cfRule>
  </conditionalFormatting>
  <conditionalFormatting sqref="AP21">
    <cfRule type="expression" dxfId="347" priority="88">
      <formula>AP$3="Sun"</formula>
    </cfRule>
  </conditionalFormatting>
  <conditionalFormatting sqref="K5:K60">
    <cfRule type="expression" dxfId="346" priority="36">
      <formula>K$4=TODAY()</formula>
    </cfRule>
  </conditionalFormatting>
  <conditionalFormatting sqref="K5:K60">
    <cfRule type="expression" dxfId="345" priority="40">
      <formula>K$3="Sun"</formula>
    </cfRule>
  </conditionalFormatting>
  <conditionalFormatting sqref="K5:K60">
    <cfRule type="cellIs" dxfId="344" priority="37" operator="equal">
      <formula>"L"</formula>
    </cfRule>
    <cfRule type="cellIs" dxfId="343" priority="38" operator="equal">
      <formula>"A"</formula>
    </cfRule>
    <cfRule type="cellIs" dxfId="342" priority="39" operator="equal">
      <formula>"P"</formula>
    </cfRule>
  </conditionalFormatting>
  <conditionalFormatting sqref="R5:R62">
    <cfRule type="expression" dxfId="341" priority="31">
      <formula>R$4=TODAY()</formula>
    </cfRule>
  </conditionalFormatting>
  <conditionalFormatting sqref="R5:R62">
    <cfRule type="expression" dxfId="340" priority="35">
      <formula>R$3="Sun"</formula>
    </cfRule>
  </conditionalFormatting>
  <conditionalFormatting sqref="R5:R62">
    <cfRule type="cellIs" dxfId="339" priority="32" operator="equal">
      <formula>"L"</formula>
    </cfRule>
    <cfRule type="cellIs" dxfId="338" priority="33" operator="equal">
      <formula>"A"</formula>
    </cfRule>
    <cfRule type="cellIs" dxfId="337" priority="34" operator="equal">
      <formula>"P"</formula>
    </cfRule>
  </conditionalFormatting>
  <conditionalFormatting sqref="Y5:Y63">
    <cfRule type="expression" dxfId="336" priority="26">
      <formula>Y$4=TODAY()</formula>
    </cfRule>
  </conditionalFormatting>
  <conditionalFormatting sqref="Y5:Y63">
    <cfRule type="expression" dxfId="335" priority="30">
      <formula>Y$3="Sun"</formula>
    </cfRule>
  </conditionalFormatting>
  <conditionalFormatting sqref="Y5:Y63">
    <cfRule type="cellIs" dxfId="334" priority="27" operator="equal">
      <formula>"L"</formula>
    </cfRule>
    <cfRule type="cellIs" dxfId="333" priority="28" operator="equal">
      <formula>"A"</formula>
    </cfRule>
    <cfRule type="cellIs" dxfId="332" priority="29" operator="equal">
      <formula>"P"</formula>
    </cfRule>
  </conditionalFormatting>
  <conditionalFormatting sqref="AF5:AF63">
    <cfRule type="expression" dxfId="331" priority="21">
      <formula>AF$4=TODAY()</formula>
    </cfRule>
  </conditionalFormatting>
  <conditionalFormatting sqref="AF5:AF63">
    <cfRule type="expression" dxfId="330" priority="25">
      <formula>AF$3="Sun"</formula>
    </cfRule>
  </conditionalFormatting>
  <conditionalFormatting sqref="AF5:AF63">
    <cfRule type="cellIs" dxfId="329" priority="22" operator="equal">
      <formula>"L"</formula>
    </cfRule>
    <cfRule type="cellIs" dxfId="328" priority="23" operator="equal">
      <formula>"A"</formula>
    </cfRule>
    <cfRule type="cellIs" dxfId="327" priority="24" operator="equal">
      <formula>"P"</formula>
    </cfRule>
  </conditionalFormatting>
  <conditionalFormatting sqref="B5:B30">
    <cfRule type="duplicateValues" dxfId="326" priority="339"/>
  </conditionalFormatting>
  <conditionalFormatting sqref="B31:B58">
    <cfRule type="duplicateValues" dxfId="325" priority="340"/>
  </conditionalFormatting>
  <conditionalFormatting sqref="R63">
    <cfRule type="expression" dxfId="324" priority="346">
      <formula>Q$4=TODAY()</formula>
    </cfRule>
    <cfRule type="cellIs" dxfId="323" priority="347" operator="equal">
      <formula>"L"</formula>
    </cfRule>
    <cfRule type="cellIs" dxfId="322" priority="348" operator="equal">
      <formula>"A"</formula>
    </cfRule>
    <cfRule type="cellIs" dxfId="321" priority="349" operator="equal">
      <formula>"P"</formula>
    </cfRule>
    <cfRule type="expression" dxfId="320" priority="350">
      <formula>Q$3="Sun"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1"/>
  <sheetViews>
    <sheetView zoomScaleNormal="100" workbookViewId="0">
      <selection activeCell="S53" sqref="S53"/>
    </sheetView>
  </sheetViews>
  <sheetFormatPr defaultColWidth="3.81640625" defaultRowHeight="14" x14ac:dyDescent="0.3"/>
  <cols>
    <col min="1" max="1" width="5.1796875" style="1" bestFit="1" customWidth="1"/>
    <col min="2" max="2" width="4.7265625" style="1" bestFit="1" customWidth="1"/>
    <col min="3" max="3" width="19.26953125" style="1" bestFit="1" customWidth="1"/>
    <col min="4" max="4" width="19" style="1" bestFit="1" customWidth="1"/>
    <col min="5" max="5" width="6.453125" style="1" customWidth="1"/>
    <col min="6" max="7" width="3.7265625" style="1" bestFit="1" customWidth="1"/>
    <col min="8" max="8" width="3.81640625" style="1" bestFit="1" customWidth="1"/>
    <col min="9" max="9" width="4.54296875" style="1" bestFit="1" customWidth="1"/>
    <col min="10" max="11" width="3.81640625" style="1" bestFit="1" customWidth="1"/>
    <col min="12" max="12" width="3.81640625" style="1" bestFit="1"/>
    <col min="13" max="14" width="3.7265625" style="1" bestFit="1" customWidth="1"/>
    <col min="15" max="15" width="3.81640625" style="1" bestFit="1" customWidth="1"/>
    <col min="16" max="16" width="4.54296875" style="1" bestFit="1" customWidth="1"/>
    <col min="17" max="17" width="3.81640625" style="1" bestFit="1" customWidth="1"/>
    <col min="18" max="18" width="4.7265625" style="1" bestFit="1" customWidth="1"/>
    <col min="19" max="19" width="3.81640625" style="1" bestFit="1" customWidth="1"/>
    <col min="20" max="21" width="3.7265625" style="1" bestFit="1" customWidth="1"/>
    <col min="22" max="22" width="3.81640625" style="1" bestFit="1" customWidth="1"/>
    <col min="23" max="23" width="4.54296875" style="1" bestFit="1" customWidth="1"/>
    <col min="24" max="24" width="3.81640625" style="1" bestFit="1" customWidth="1"/>
    <col min="25" max="25" width="4.7265625" style="1" bestFit="1" customWidth="1"/>
    <col min="26" max="26" width="3.81640625" style="1" bestFit="1"/>
    <col min="27" max="28" width="3.7265625" style="1" bestFit="1" customWidth="1"/>
    <col min="29" max="29" width="3.81640625" style="1" bestFit="1"/>
    <col min="30" max="30" width="4.1796875" style="1" bestFit="1" customWidth="1"/>
    <col min="31" max="31" width="4.36328125" style="1" bestFit="1" customWidth="1"/>
    <col min="32" max="32" width="3.6328125" style="1" bestFit="1" customWidth="1"/>
    <col min="33" max="33" width="3.81640625" style="1" bestFit="1"/>
    <col min="34" max="34" width="3.7265625" style="1" bestFit="1" customWidth="1"/>
    <col min="35" max="36" width="3.7265625" style="1" customWidth="1"/>
    <col min="37" max="38" width="6.7265625" style="1" bestFit="1" customWidth="1"/>
    <col min="39" max="39" width="18.54296875" style="1" bestFit="1" customWidth="1"/>
    <col min="40" max="42" width="7.54296875" style="1" bestFit="1" customWidth="1"/>
    <col min="43" max="16384" width="3.81640625" style="1"/>
  </cols>
  <sheetData>
    <row r="1" spans="1:42" ht="17" x14ac:dyDescent="0.3">
      <c r="A1" s="164" t="s">
        <v>18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</row>
    <row r="2" spans="1:42" ht="17" x14ac:dyDescent="0.3">
      <c r="A2" s="164" t="s">
        <v>732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</row>
    <row r="3" spans="1:42" ht="15.5" x14ac:dyDescent="0.3">
      <c r="A3" s="177" t="s">
        <v>0</v>
      </c>
      <c r="B3" s="177" t="s">
        <v>713</v>
      </c>
      <c r="C3" s="177" t="s">
        <v>1</v>
      </c>
      <c r="D3" s="177" t="s">
        <v>2</v>
      </c>
      <c r="E3" s="177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65" t="s">
        <v>4</v>
      </c>
      <c r="AL3" s="165" t="s">
        <v>5</v>
      </c>
      <c r="AM3" s="158" t="s">
        <v>119</v>
      </c>
      <c r="AN3" s="159"/>
      <c r="AO3" s="3"/>
      <c r="AP3" s="3"/>
    </row>
    <row r="4" spans="1:42" ht="40.5" x14ac:dyDescent="0.3">
      <c r="A4" s="178"/>
      <c r="B4" s="178"/>
      <c r="C4" s="178"/>
      <c r="D4" s="178"/>
      <c r="E4" s="178"/>
      <c r="F4" s="13" t="s">
        <v>743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66"/>
      <c r="AL4" s="166"/>
      <c r="AM4" s="5" t="s">
        <v>120</v>
      </c>
      <c r="AN4" s="5">
        <f>SUM(AN5:AN8)</f>
        <v>30</v>
      </c>
      <c r="AO4" s="3"/>
      <c r="AP4" s="3"/>
    </row>
    <row r="5" spans="1:42" ht="15" customHeight="1" x14ac:dyDescent="0.3">
      <c r="A5" s="9">
        <v>1</v>
      </c>
      <c r="B5" s="11">
        <v>815</v>
      </c>
      <c r="C5" s="7" t="s">
        <v>220</v>
      </c>
      <c r="D5" s="7" t="s">
        <v>221</v>
      </c>
      <c r="E5" s="1" t="s">
        <v>723</v>
      </c>
      <c r="F5" s="155" t="s">
        <v>825</v>
      </c>
      <c r="G5" s="94" t="s">
        <v>730</v>
      </c>
      <c r="H5" s="94" t="s">
        <v>730</v>
      </c>
      <c r="I5" s="168" t="s">
        <v>744</v>
      </c>
      <c r="J5" s="94" t="s">
        <v>730</v>
      </c>
      <c r="K5" s="113" t="s">
        <v>730</v>
      </c>
      <c r="L5" s="94" t="s">
        <v>730</v>
      </c>
      <c r="M5" s="94" t="s">
        <v>730</v>
      </c>
      <c r="N5" s="94" t="s">
        <v>730</v>
      </c>
      <c r="O5" s="94" t="s">
        <v>730</v>
      </c>
      <c r="P5" s="168" t="s">
        <v>744</v>
      </c>
      <c r="Q5" s="94" t="s">
        <v>817</v>
      </c>
      <c r="R5" s="113" t="s">
        <v>818</v>
      </c>
      <c r="S5" s="94" t="s">
        <v>818</v>
      </c>
      <c r="T5" s="94" t="s">
        <v>818</v>
      </c>
      <c r="U5" s="94" t="s">
        <v>818</v>
      </c>
      <c r="V5" s="94" t="s">
        <v>818</v>
      </c>
      <c r="W5" s="168" t="s">
        <v>744</v>
      </c>
      <c r="X5" s="94" t="s">
        <v>819</v>
      </c>
      <c r="Y5" s="113" t="s">
        <v>819</v>
      </c>
      <c r="Z5" s="94" t="s">
        <v>818</v>
      </c>
      <c r="AA5" s="94" t="s">
        <v>818</v>
      </c>
      <c r="AB5" s="94"/>
      <c r="AC5" s="94"/>
      <c r="AD5" s="168" t="s">
        <v>744</v>
      </c>
      <c r="AE5" s="94"/>
      <c r="AF5" s="113"/>
      <c r="AG5" s="94"/>
      <c r="AH5" s="94"/>
      <c r="AI5" s="94"/>
      <c r="AJ5" s="94"/>
      <c r="AK5" s="5">
        <f t="shared" ref="AK5:AK31" si="0">COUNTIF(F5:AI5,"P")</f>
        <v>15</v>
      </c>
      <c r="AL5" s="5">
        <f t="shared" ref="AL5:AL31" si="1">COUNTIF(F5:AI5,"A")</f>
        <v>1</v>
      </c>
      <c r="AM5" s="5" t="s">
        <v>7</v>
      </c>
      <c r="AN5" s="9">
        <v>26</v>
      </c>
      <c r="AO5" s="10"/>
      <c r="AP5" s="3"/>
    </row>
    <row r="6" spans="1:42" ht="15.5" x14ac:dyDescent="0.3">
      <c r="A6" s="9">
        <v>2</v>
      </c>
      <c r="B6" s="11">
        <v>819</v>
      </c>
      <c r="C6" s="7" t="s">
        <v>125</v>
      </c>
      <c r="D6" s="7" t="s">
        <v>223</v>
      </c>
      <c r="E6" s="1" t="s">
        <v>723</v>
      </c>
      <c r="F6" s="156"/>
      <c r="G6" s="94" t="s">
        <v>818</v>
      </c>
      <c r="H6" s="94" t="s">
        <v>818</v>
      </c>
      <c r="I6" s="169"/>
      <c r="J6" s="94" t="s">
        <v>818</v>
      </c>
      <c r="K6" s="113" t="s">
        <v>817</v>
      </c>
      <c r="L6" s="94" t="s">
        <v>818</v>
      </c>
      <c r="M6" s="94" t="s">
        <v>818</v>
      </c>
      <c r="N6" s="94" t="s">
        <v>818</v>
      </c>
      <c r="O6" s="94" t="s">
        <v>818</v>
      </c>
      <c r="P6" s="169"/>
      <c r="Q6" s="94" t="s">
        <v>818</v>
      </c>
      <c r="R6" s="113" t="s">
        <v>818</v>
      </c>
      <c r="S6" s="94" t="s">
        <v>818</v>
      </c>
      <c r="T6" s="94" t="s">
        <v>818</v>
      </c>
      <c r="U6" s="94" t="s">
        <v>818</v>
      </c>
      <c r="V6" s="94" t="s">
        <v>818</v>
      </c>
      <c r="W6" s="169"/>
      <c r="X6" s="94" t="s">
        <v>818</v>
      </c>
      <c r="Y6" s="113" t="s">
        <v>818</v>
      </c>
      <c r="Z6" s="94" t="s">
        <v>818</v>
      </c>
      <c r="AA6" s="94" t="s">
        <v>818</v>
      </c>
      <c r="AB6" s="94"/>
      <c r="AC6" s="94"/>
      <c r="AD6" s="169"/>
      <c r="AE6" s="94"/>
      <c r="AF6" s="113"/>
      <c r="AG6" s="94"/>
      <c r="AH6" s="94"/>
      <c r="AI6" s="94"/>
      <c r="AJ6" s="94"/>
      <c r="AK6" s="5">
        <f t="shared" si="0"/>
        <v>17</v>
      </c>
      <c r="AL6" s="5">
        <f t="shared" si="1"/>
        <v>1</v>
      </c>
      <c r="AM6" s="5" t="s">
        <v>8</v>
      </c>
      <c r="AN6" s="9">
        <v>4</v>
      </c>
      <c r="AO6" s="3"/>
      <c r="AP6" s="3"/>
    </row>
    <row r="7" spans="1:42" ht="15.5" x14ac:dyDescent="0.3">
      <c r="A7" s="9">
        <v>3</v>
      </c>
      <c r="B7" s="11">
        <v>812</v>
      </c>
      <c r="C7" s="7" t="s">
        <v>224</v>
      </c>
      <c r="D7" s="7" t="s">
        <v>225</v>
      </c>
      <c r="E7" s="1" t="s">
        <v>723</v>
      </c>
      <c r="F7" s="156"/>
      <c r="G7" s="94" t="s">
        <v>818</v>
      </c>
      <c r="H7" s="94" t="s">
        <v>818</v>
      </c>
      <c r="I7" s="169"/>
      <c r="J7" s="94" t="s">
        <v>818</v>
      </c>
      <c r="K7" s="113" t="s">
        <v>818</v>
      </c>
      <c r="L7" s="94" t="s">
        <v>818</v>
      </c>
      <c r="M7" s="94" t="s">
        <v>818</v>
      </c>
      <c r="N7" s="94" t="s">
        <v>817</v>
      </c>
      <c r="O7" s="94" t="s">
        <v>818</v>
      </c>
      <c r="P7" s="169"/>
      <c r="Q7" s="94" t="s">
        <v>818</v>
      </c>
      <c r="R7" s="113" t="s">
        <v>818</v>
      </c>
      <c r="S7" s="94" t="s">
        <v>818</v>
      </c>
      <c r="T7" s="94" t="s">
        <v>818</v>
      </c>
      <c r="U7" s="94" t="s">
        <v>818</v>
      </c>
      <c r="V7" s="94" t="s">
        <v>817</v>
      </c>
      <c r="W7" s="169"/>
      <c r="X7" s="94" t="s">
        <v>818</v>
      </c>
      <c r="Y7" s="113" t="s">
        <v>818</v>
      </c>
      <c r="Z7" s="94" t="s">
        <v>818</v>
      </c>
      <c r="AA7" s="94" t="s">
        <v>818</v>
      </c>
      <c r="AB7" s="94"/>
      <c r="AC7" s="94"/>
      <c r="AD7" s="169"/>
      <c r="AE7" s="94"/>
      <c r="AF7" s="113"/>
      <c r="AG7" s="94"/>
      <c r="AH7" s="94"/>
      <c r="AI7" s="94"/>
      <c r="AJ7" s="94"/>
      <c r="AK7" s="5">
        <f t="shared" si="0"/>
        <v>16</v>
      </c>
      <c r="AL7" s="5">
        <f t="shared" si="1"/>
        <v>2</v>
      </c>
      <c r="AM7" s="5"/>
      <c r="AN7" s="9"/>
      <c r="AO7" s="3"/>
      <c r="AP7" s="3"/>
    </row>
    <row r="8" spans="1:42" ht="15.5" x14ac:dyDescent="0.35">
      <c r="A8" s="9">
        <v>4</v>
      </c>
      <c r="B8" s="11">
        <v>801</v>
      </c>
      <c r="C8" s="7" t="s">
        <v>226</v>
      </c>
      <c r="D8" s="7" t="s">
        <v>227</v>
      </c>
      <c r="E8" s="1" t="s">
        <v>723</v>
      </c>
      <c r="F8" s="156"/>
      <c r="G8" s="94" t="s">
        <v>818</v>
      </c>
      <c r="H8" s="94" t="s">
        <v>818</v>
      </c>
      <c r="I8" s="169"/>
      <c r="J8" s="94" t="s">
        <v>818</v>
      </c>
      <c r="K8" s="113" t="s">
        <v>818</v>
      </c>
      <c r="L8" s="94" t="s">
        <v>818</v>
      </c>
      <c r="M8" s="94" t="s">
        <v>818</v>
      </c>
      <c r="N8" s="94" t="s">
        <v>817</v>
      </c>
      <c r="O8" s="94" t="s">
        <v>818</v>
      </c>
      <c r="P8" s="169"/>
      <c r="Q8" s="94" t="s">
        <v>818</v>
      </c>
      <c r="R8" s="113" t="s">
        <v>818</v>
      </c>
      <c r="S8" s="94" t="s">
        <v>818</v>
      </c>
      <c r="T8" s="94" t="s">
        <v>818</v>
      </c>
      <c r="U8" s="94" t="s">
        <v>817</v>
      </c>
      <c r="V8" s="94" t="s">
        <v>817</v>
      </c>
      <c r="W8" s="169"/>
      <c r="X8" s="94" t="s">
        <v>818</v>
      </c>
      <c r="Y8" s="113" t="s">
        <v>818</v>
      </c>
      <c r="Z8" s="94" t="s">
        <v>818</v>
      </c>
      <c r="AA8" s="94" t="s">
        <v>818</v>
      </c>
      <c r="AB8" s="94"/>
      <c r="AC8" s="94"/>
      <c r="AD8" s="169"/>
      <c r="AE8" s="94"/>
      <c r="AF8" s="113"/>
      <c r="AG8" s="94"/>
      <c r="AH8" s="94"/>
      <c r="AI8" s="94"/>
      <c r="AJ8" s="94"/>
      <c r="AK8" s="5">
        <f t="shared" si="0"/>
        <v>15</v>
      </c>
      <c r="AL8" s="5">
        <f t="shared" si="1"/>
        <v>3</v>
      </c>
      <c r="AM8" s="5"/>
      <c r="AN8" s="9"/>
      <c r="AO8"/>
      <c r="AP8"/>
    </row>
    <row r="9" spans="1:42" ht="15.5" x14ac:dyDescent="0.3">
      <c r="A9" s="9">
        <v>5</v>
      </c>
      <c r="B9" s="11">
        <v>828</v>
      </c>
      <c r="C9" s="7" t="s">
        <v>228</v>
      </c>
      <c r="D9" s="7" t="s">
        <v>223</v>
      </c>
      <c r="E9" s="1" t="s">
        <v>723</v>
      </c>
      <c r="F9" s="156"/>
      <c r="G9" s="94" t="s">
        <v>818</v>
      </c>
      <c r="H9" s="94" t="s">
        <v>818</v>
      </c>
      <c r="I9" s="169"/>
      <c r="J9" s="94" t="s">
        <v>818</v>
      </c>
      <c r="K9" s="113" t="s">
        <v>817</v>
      </c>
      <c r="L9" s="94" t="s">
        <v>818</v>
      </c>
      <c r="M9" s="94" t="s">
        <v>818</v>
      </c>
      <c r="N9" s="94" t="s">
        <v>818</v>
      </c>
      <c r="O9" s="94" t="s">
        <v>817</v>
      </c>
      <c r="P9" s="169"/>
      <c r="Q9" s="94" t="s">
        <v>818</v>
      </c>
      <c r="R9" s="113" t="s">
        <v>818</v>
      </c>
      <c r="S9" s="94" t="s">
        <v>817</v>
      </c>
      <c r="T9" s="94" t="s">
        <v>818</v>
      </c>
      <c r="U9" s="94" t="s">
        <v>817</v>
      </c>
      <c r="V9" s="94" t="s">
        <v>818</v>
      </c>
      <c r="W9" s="169"/>
      <c r="X9" s="94" t="s">
        <v>818</v>
      </c>
      <c r="Y9" s="113" t="s">
        <v>817</v>
      </c>
      <c r="Z9" s="94" t="s">
        <v>818</v>
      </c>
      <c r="AA9" s="94" t="s">
        <v>818</v>
      </c>
      <c r="AB9" s="94"/>
      <c r="AC9" s="94"/>
      <c r="AD9" s="169"/>
      <c r="AE9" s="94"/>
      <c r="AF9" s="113"/>
      <c r="AG9" s="94"/>
      <c r="AH9" s="94"/>
      <c r="AI9" s="94"/>
      <c r="AJ9" s="94"/>
      <c r="AK9" s="5">
        <f t="shared" si="0"/>
        <v>13</v>
      </c>
      <c r="AL9" s="5">
        <f t="shared" si="1"/>
        <v>5</v>
      </c>
      <c r="AM9" s="5"/>
      <c r="AN9" s="9"/>
    </row>
    <row r="10" spans="1:42" ht="15.5" x14ac:dyDescent="0.3">
      <c r="A10" s="9">
        <v>6</v>
      </c>
      <c r="B10" s="11">
        <v>829</v>
      </c>
      <c r="C10" s="7" t="s">
        <v>229</v>
      </c>
      <c r="D10" s="7" t="s">
        <v>230</v>
      </c>
      <c r="E10" s="1" t="s">
        <v>723</v>
      </c>
      <c r="F10" s="156"/>
      <c r="G10" s="94" t="s">
        <v>818</v>
      </c>
      <c r="H10" s="94" t="s">
        <v>818</v>
      </c>
      <c r="I10" s="169"/>
      <c r="J10" s="94" t="s">
        <v>818</v>
      </c>
      <c r="K10" s="113" t="s">
        <v>818</v>
      </c>
      <c r="L10" s="94" t="s">
        <v>817</v>
      </c>
      <c r="M10" s="94" t="s">
        <v>817</v>
      </c>
      <c r="N10" s="94" t="s">
        <v>817</v>
      </c>
      <c r="O10" s="94" t="s">
        <v>817</v>
      </c>
      <c r="P10" s="169"/>
      <c r="Q10" s="94" t="s">
        <v>817</v>
      </c>
      <c r="R10" s="113" t="s">
        <v>818</v>
      </c>
      <c r="S10" s="94" t="s">
        <v>817</v>
      </c>
      <c r="T10" s="94" t="s">
        <v>817</v>
      </c>
      <c r="U10" s="94" t="s">
        <v>817</v>
      </c>
      <c r="V10" s="94" t="s">
        <v>817</v>
      </c>
      <c r="W10" s="169"/>
      <c r="X10" s="94" t="s">
        <v>817</v>
      </c>
      <c r="Y10" s="113" t="s">
        <v>817</v>
      </c>
      <c r="Z10" s="94" t="s">
        <v>817</v>
      </c>
      <c r="AA10" s="94" t="s">
        <v>817</v>
      </c>
      <c r="AB10" s="94"/>
      <c r="AC10" s="94"/>
      <c r="AD10" s="169"/>
      <c r="AE10" s="94"/>
      <c r="AF10" s="113"/>
      <c r="AG10" s="94"/>
      <c r="AH10" s="94"/>
      <c r="AI10" s="94"/>
      <c r="AJ10" s="94"/>
      <c r="AK10" s="5">
        <f t="shared" si="0"/>
        <v>5</v>
      </c>
      <c r="AL10" s="5">
        <f t="shared" si="1"/>
        <v>13</v>
      </c>
    </row>
    <row r="11" spans="1:42" ht="15.5" x14ac:dyDescent="0.3">
      <c r="A11" s="9">
        <v>7</v>
      </c>
      <c r="B11" s="11">
        <v>817</v>
      </c>
      <c r="C11" s="7" t="s">
        <v>231</v>
      </c>
      <c r="D11" s="7" t="s">
        <v>232</v>
      </c>
      <c r="E11" s="1" t="s">
        <v>723</v>
      </c>
      <c r="F11" s="156"/>
      <c r="G11" s="94" t="s">
        <v>818</v>
      </c>
      <c r="H11" s="94" t="s">
        <v>818</v>
      </c>
      <c r="I11" s="169"/>
      <c r="J11" s="94" t="s">
        <v>818</v>
      </c>
      <c r="K11" s="113" t="s">
        <v>818</v>
      </c>
      <c r="L11" s="94" t="s">
        <v>818</v>
      </c>
      <c r="M11" s="94" t="s">
        <v>818</v>
      </c>
      <c r="N11" s="94" t="s">
        <v>818</v>
      </c>
      <c r="O11" s="94" t="s">
        <v>818</v>
      </c>
      <c r="P11" s="169"/>
      <c r="Q11" s="94" t="s">
        <v>818</v>
      </c>
      <c r="R11" s="113" t="s">
        <v>818</v>
      </c>
      <c r="S11" s="94" t="s">
        <v>818</v>
      </c>
      <c r="T11" s="94" t="s">
        <v>818</v>
      </c>
      <c r="U11" s="94" t="s">
        <v>818</v>
      </c>
      <c r="V11" s="94" t="s">
        <v>818</v>
      </c>
      <c r="W11" s="169"/>
      <c r="X11" s="94" t="s">
        <v>818</v>
      </c>
      <c r="Y11" s="113" t="s">
        <v>818</v>
      </c>
      <c r="Z11" s="94" t="s">
        <v>818</v>
      </c>
      <c r="AA11" s="94" t="s">
        <v>818</v>
      </c>
      <c r="AB11" s="94"/>
      <c r="AC11" s="94"/>
      <c r="AD11" s="169"/>
      <c r="AE11" s="94"/>
      <c r="AF11" s="113"/>
      <c r="AG11" s="94"/>
      <c r="AH11" s="94"/>
      <c r="AI11" s="94"/>
      <c r="AJ11" s="94"/>
      <c r="AK11" s="5">
        <f t="shared" si="0"/>
        <v>18</v>
      </c>
      <c r="AL11" s="5">
        <f t="shared" si="1"/>
        <v>0</v>
      </c>
      <c r="AM11" s="5" t="s">
        <v>10</v>
      </c>
      <c r="AN11" s="5" t="s">
        <v>11</v>
      </c>
      <c r="AO11" s="5" t="s">
        <v>12</v>
      </c>
      <c r="AP11" s="5" t="s">
        <v>13</v>
      </c>
    </row>
    <row r="12" spans="1:42" ht="15.5" x14ac:dyDescent="0.3">
      <c r="A12" s="9">
        <v>8</v>
      </c>
      <c r="B12" s="95">
        <v>807</v>
      </c>
      <c r="C12" s="7" t="s">
        <v>233</v>
      </c>
      <c r="D12" s="7" t="s">
        <v>234</v>
      </c>
      <c r="E12" s="1" t="s">
        <v>723</v>
      </c>
      <c r="F12" s="156"/>
      <c r="G12" s="94" t="s">
        <v>817</v>
      </c>
      <c r="H12" s="94" t="s">
        <v>817</v>
      </c>
      <c r="I12" s="169"/>
      <c r="J12" s="94" t="s">
        <v>817</v>
      </c>
      <c r="K12" s="113" t="s">
        <v>817</v>
      </c>
      <c r="L12" s="94" t="s">
        <v>817</v>
      </c>
      <c r="M12" s="94" t="s">
        <v>817</v>
      </c>
      <c r="N12" s="94" t="s">
        <v>817</v>
      </c>
      <c r="O12" s="94" t="s">
        <v>817</v>
      </c>
      <c r="P12" s="169"/>
      <c r="Q12" s="94" t="s">
        <v>817</v>
      </c>
      <c r="R12" s="113" t="s">
        <v>817</v>
      </c>
      <c r="S12" s="94" t="s">
        <v>818</v>
      </c>
      <c r="T12" s="94" t="s">
        <v>818</v>
      </c>
      <c r="U12" s="94" t="s">
        <v>818</v>
      </c>
      <c r="V12" s="94" t="s">
        <v>818</v>
      </c>
      <c r="W12" s="169"/>
      <c r="X12" s="94" t="s">
        <v>818</v>
      </c>
      <c r="Y12" s="113" t="s">
        <v>818</v>
      </c>
      <c r="Z12" s="94" t="s">
        <v>818</v>
      </c>
      <c r="AA12" s="94" t="s">
        <v>818</v>
      </c>
      <c r="AB12" s="94"/>
      <c r="AC12" s="94"/>
      <c r="AD12" s="169"/>
      <c r="AE12" s="94"/>
      <c r="AF12" s="113"/>
      <c r="AG12" s="94"/>
      <c r="AH12" s="94"/>
      <c r="AI12" s="94"/>
      <c r="AJ12" s="94"/>
      <c r="AK12" s="5">
        <f t="shared" si="0"/>
        <v>8</v>
      </c>
      <c r="AL12" s="5">
        <f t="shared" si="1"/>
        <v>10</v>
      </c>
      <c r="AM12" s="5" t="s">
        <v>14</v>
      </c>
      <c r="AN12" s="9">
        <f>32*$AN$5</f>
        <v>832</v>
      </c>
      <c r="AO12" s="9">
        <f>24*$AN$5</f>
        <v>624</v>
      </c>
      <c r="AP12" s="9">
        <f>SUM(AN12:AO12)</f>
        <v>1456</v>
      </c>
    </row>
    <row r="13" spans="1:42" ht="15.5" x14ac:dyDescent="0.3">
      <c r="A13" s="9">
        <v>9</v>
      </c>
      <c r="B13" s="11">
        <v>827</v>
      </c>
      <c r="C13" s="7" t="s">
        <v>235</v>
      </c>
      <c r="D13" s="7" t="s">
        <v>89</v>
      </c>
      <c r="E13" s="1" t="s">
        <v>723</v>
      </c>
      <c r="F13" s="156"/>
      <c r="G13" s="94" t="s">
        <v>818</v>
      </c>
      <c r="H13" s="94" t="s">
        <v>818</v>
      </c>
      <c r="I13" s="169"/>
      <c r="J13" s="94" t="s">
        <v>818</v>
      </c>
      <c r="K13" s="113" t="s">
        <v>818</v>
      </c>
      <c r="L13" s="94" t="s">
        <v>818</v>
      </c>
      <c r="M13" s="94" t="s">
        <v>818</v>
      </c>
      <c r="N13" s="94" t="s">
        <v>818</v>
      </c>
      <c r="O13" s="94" t="s">
        <v>818</v>
      </c>
      <c r="P13" s="169"/>
      <c r="Q13" s="94" t="s">
        <v>818</v>
      </c>
      <c r="R13" s="113" t="s">
        <v>818</v>
      </c>
      <c r="S13" s="94" t="s">
        <v>818</v>
      </c>
      <c r="T13" s="94" t="s">
        <v>818</v>
      </c>
      <c r="U13" s="94" t="s">
        <v>818</v>
      </c>
      <c r="V13" s="94" t="s">
        <v>818</v>
      </c>
      <c r="W13" s="169"/>
      <c r="X13" s="94" t="s">
        <v>818</v>
      </c>
      <c r="Y13" s="113" t="s">
        <v>818</v>
      </c>
      <c r="Z13" s="94" t="s">
        <v>818</v>
      </c>
      <c r="AA13" s="94" t="s">
        <v>818</v>
      </c>
      <c r="AB13" s="94"/>
      <c r="AC13" s="94"/>
      <c r="AD13" s="169"/>
      <c r="AE13" s="94"/>
      <c r="AF13" s="113"/>
      <c r="AG13" s="94"/>
      <c r="AH13" s="94"/>
      <c r="AI13" s="94"/>
      <c r="AJ13" s="94"/>
      <c r="AK13" s="5">
        <f t="shared" si="0"/>
        <v>18</v>
      </c>
      <c r="AL13" s="5">
        <f t="shared" si="1"/>
        <v>0</v>
      </c>
      <c r="AM13" s="5" t="s">
        <v>15</v>
      </c>
      <c r="AN13" s="9">
        <f>SUM(AK25:AK54)</f>
        <v>424</v>
      </c>
      <c r="AO13" s="9">
        <f>SUM(AK5:AK24)</f>
        <v>281</v>
      </c>
      <c r="AP13" s="9">
        <f>AN13+AO13</f>
        <v>705</v>
      </c>
    </row>
    <row r="14" spans="1:42" ht="15.5" x14ac:dyDescent="0.3">
      <c r="A14" s="9">
        <v>10</v>
      </c>
      <c r="B14" s="11">
        <v>802</v>
      </c>
      <c r="C14" s="7" t="s">
        <v>236</v>
      </c>
      <c r="D14" s="7" t="s">
        <v>184</v>
      </c>
      <c r="E14" s="1" t="s">
        <v>723</v>
      </c>
      <c r="F14" s="156"/>
      <c r="G14" s="94" t="s">
        <v>817</v>
      </c>
      <c r="H14" s="94" t="s">
        <v>818</v>
      </c>
      <c r="I14" s="169"/>
      <c r="J14" s="94" t="s">
        <v>818</v>
      </c>
      <c r="K14" s="113" t="s">
        <v>818</v>
      </c>
      <c r="L14" s="94" t="s">
        <v>818</v>
      </c>
      <c r="M14" s="94" t="s">
        <v>817</v>
      </c>
      <c r="N14" s="94" t="s">
        <v>818</v>
      </c>
      <c r="O14" s="94" t="s">
        <v>818</v>
      </c>
      <c r="P14" s="169"/>
      <c r="Q14" s="94" t="s">
        <v>818</v>
      </c>
      <c r="R14" s="113" t="s">
        <v>818</v>
      </c>
      <c r="S14" s="94" t="s">
        <v>818</v>
      </c>
      <c r="T14" s="94" t="s">
        <v>818</v>
      </c>
      <c r="U14" s="94" t="s">
        <v>818</v>
      </c>
      <c r="V14" s="94" t="s">
        <v>818</v>
      </c>
      <c r="W14" s="169"/>
      <c r="X14" s="94" t="s">
        <v>818</v>
      </c>
      <c r="Y14" s="113" t="s">
        <v>818</v>
      </c>
      <c r="Z14" s="94" t="s">
        <v>818</v>
      </c>
      <c r="AA14" s="94" t="s">
        <v>817</v>
      </c>
      <c r="AB14" s="94"/>
      <c r="AC14" s="94"/>
      <c r="AD14" s="169"/>
      <c r="AE14" s="94"/>
      <c r="AF14" s="113"/>
      <c r="AG14" s="94"/>
      <c r="AH14" s="94"/>
      <c r="AI14" s="94"/>
      <c r="AJ14" s="94"/>
      <c r="AK14" s="5">
        <f t="shared" si="0"/>
        <v>15</v>
      </c>
      <c r="AL14" s="5">
        <f t="shared" si="1"/>
        <v>3</v>
      </c>
      <c r="AM14" s="5" t="s">
        <v>16</v>
      </c>
      <c r="AN14" s="12">
        <f>AN13/AN12</f>
        <v>0.50961538461538458</v>
      </c>
      <c r="AO14" s="12">
        <f>AO13/AO12</f>
        <v>0.45032051282051283</v>
      </c>
      <c r="AP14" s="12">
        <f>AP13/AP12</f>
        <v>0.4842032967032967</v>
      </c>
    </row>
    <row r="15" spans="1:42" ht="15.5" x14ac:dyDescent="0.35">
      <c r="A15" s="9">
        <v>11</v>
      </c>
      <c r="B15" s="11"/>
      <c r="C15" s="7" t="s">
        <v>237</v>
      </c>
      <c r="D15" s="7" t="s">
        <v>238</v>
      </c>
      <c r="E15" s="1" t="s">
        <v>723</v>
      </c>
      <c r="F15" s="156"/>
      <c r="G15" s="94" t="s">
        <v>817</v>
      </c>
      <c r="H15" s="94" t="s">
        <v>818</v>
      </c>
      <c r="I15" s="169"/>
      <c r="J15" s="94" t="s">
        <v>818</v>
      </c>
      <c r="K15" s="113" t="s">
        <v>817</v>
      </c>
      <c r="L15" s="94" t="s">
        <v>817</v>
      </c>
      <c r="M15" s="94" t="s">
        <v>818</v>
      </c>
      <c r="N15" s="94" t="s">
        <v>818</v>
      </c>
      <c r="O15" s="94" t="s">
        <v>817</v>
      </c>
      <c r="P15" s="169"/>
      <c r="Q15" s="94" t="s">
        <v>818</v>
      </c>
      <c r="R15" s="113" t="s">
        <v>818</v>
      </c>
      <c r="S15" s="94" t="s">
        <v>818</v>
      </c>
      <c r="T15" s="94" t="s">
        <v>818</v>
      </c>
      <c r="U15" s="94" t="s">
        <v>818</v>
      </c>
      <c r="V15" s="94" t="s">
        <v>818</v>
      </c>
      <c r="W15" s="169"/>
      <c r="X15" s="94" t="s">
        <v>817</v>
      </c>
      <c r="Y15" s="113" t="s">
        <v>818</v>
      </c>
      <c r="Z15" s="94" t="s">
        <v>817</v>
      </c>
      <c r="AA15" s="94" t="s">
        <v>818</v>
      </c>
      <c r="AB15" s="94"/>
      <c r="AC15" s="94"/>
      <c r="AD15" s="169"/>
      <c r="AE15" s="94"/>
      <c r="AF15" s="113"/>
      <c r="AG15" s="94"/>
      <c r="AH15" s="94"/>
      <c r="AI15" s="94"/>
      <c r="AJ15" s="94"/>
      <c r="AK15" s="5">
        <f t="shared" si="0"/>
        <v>12</v>
      </c>
      <c r="AL15" s="5">
        <f t="shared" si="1"/>
        <v>6</v>
      </c>
      <c r="AM15"/>
      <c r="AN15"/>
      <c r="AO15"/>
      <c r="AP15"/>
    </row>
    <row r="16" spans="1:42" ht="15.5" x14ac:dyDescent="0.35">
      <c r="A16" s="9">
        <v>12</v>
      </c>
      <c r="B16" s="11">
        <v>836</v>
      </c>
      <c r="C16" s="7" t="s">
        <v>239</v>
      </c>
      <c r="D16" s="7" t="s">
        <v>240</v>
      </c>
      <c r="E16" s="1" t="s">
        <v>723</v>
      </c>
      <c r="F16" s="156"/>
      <c r="G16" s="94" t="s">
        <v>818</v>
      </c>
      <c r="H16" s="94" t="s">
        <v>817</v>
      </c>
      <c r="I16" s="169"/>
      <c r="J16" s="94" t="s">
        <v>818</v>
      </c>
      <c r="K16" s="113" t="s">
        <v>818</v>
      </c>
      <c r="L16" s="94" t="s">
        <v>818</v>
      </c>
      <c r="M16" s="94" t="s">
        <v>818</v>
      </c>
      <c r="N16" s="94" t="s">
        <v>818</v>
      </c>
      <c r="O16" s="94" t="s">
        <v>818</v>
      </c>
      <c r="P16" s="169"/>
      <c r="Q16" s="94" t="s">
        <v>818</v>
      </c>
      <c r="R16" s="113" t="s">
        <v>818</v>
      </c>
      <c r="S16" s="94" t="s">
        <v>818</v>
      </c>
      <c r="T16" s="94" t="s">
        <v>818</v>
      </c>
      <c r="U16" s="94" t="s">
        <v>818</v>
      </c>
      <c r="V16" s="94" t="s">
        <v>818</v>
      </c>
      <c r="W16" s="169"/>
      <c r="X16" s="94" t="s">
        <v>818</v>
      </c>
      <c r="Y16" s="113" t="s">
        <v>818</v>
      </c>
      <c r="Z16" s="94" t="s">
        <v>818</v>
      </c>
      <c r="AA16" s="94" t="s">
        <v>818</v>
      </c>
      <c r="AB16" s="94"/>
      <c r="AC16" s="94"/>
      <c r="AD16" s="169"/>
      <c r="AE16" s="94"/>
      <c r="AF16" s="113"/>
      <c r="AG16" s="94"/>
      <c r="AH16" s="94"/>
      <c r="AI16" s="94"/>
      <c r="AJ16" s="94"/>
      <c r="AK16" s="5">
        <f t="shared" si="0"/>
        <v>17</v>
      </c>
      <c r="AL16" s="5">
        <f t="shared" si="1"/>
        <v>1</v>
      </c>
      <c r="AM16"/>
      <c r="AN16"/>
      <c r="AO16"/>
      <c r="AP16"/>
    </row>
    <row r="17" spans="1:42" ht="15.5" x14ac:dyDescent="0.35">
      <c r="A17" s="9">
        <v>13</v>
      </c>
      <c r="B17" s="11">
        <v>835</v>
      </c>
      <c r="C17" s="7" t="s">
        <v>241</v>
      </c>
      <c r="D17" s="7" t="s">
        <v>684</v>
      </c>
      <c r="E17" s="1" t="s">
        <v>723</v>
      </c>
      <c r="F17" s="156"/>
      <c r="G17" s="94" t="s">
        <v>817</v>
      </c>
      <c r="H17" s="94" t="s">
        <v>817</v>
      </c>
      <c r="I17" s="169"/>
      <c r="J17" s="94" t="s">
        <v>817</v>
      </c>
      <c r="K17" s="113" t="s">
        <v>817</v>
      </c>
      <c r="L17" s="94" t="s">
        <v>817</v>
      </c>
      <c r="M17" s="94" t="s">
        <v>817</v>
      </c>
      <c r="N17" s="94" t="s">
        <v>817</v>
      </c>
      <c r="O17" s="94" t="s">
        <v>817</v>
      </c>
      <c r="P17" s="169"/>
      <c r="Q17" s="94" t="s">
        <v>817</v>
      </c>
      <c r="R17" s="113" t="s">
        <v>817</v>
      </c>
      <c r="S17" s="94" t="s">
        <v>817</v>
      </c>
      <c r="T17" s="94" t="s">
        <v>817</v>
      </c>
      <c r="U17" s="94" t="s">
        <v>817</v>
      </c>
      <c r="V17" s="94" t="s">
        <v>817</v>
      </c>
      <c r="W17" s="169"/>
      <c r="X17" s="94" t="s">
        <v>817</v>
      </c>
      <c r="Y17" s="113" t="s">
        <v>817</v>
      </c>
      <c r="Z17" s="94" t="s">
        <v>817</v>
      </c>
      <c r="AA17" s="94" t="s">
        <v>817</v>
      </c>
      <c r="AB17" s="94"/>
      <c r="AC17" s="94"/>
      <c r="AD17" s="169"/>
      <c r="AE17" s="94"/>
      <c r="AF17" s="113"/>
      <c r="AG17" s="94"/>
      <c r="AH17" s="94"/>
      <c r="AI17" s="94"/>
      <c r="AJ17" s="94"/>
      <c r="AK17" s="5">
        <f t="shared" si="0"/>
        <v>0</v>
      </c>
      <c r="AL17" s="5">
        <f t="shared" si="1"/>
        <v>18</v>
      </c>
      <c r="AM17"/>
      <c r="AN17"/>
      <c r="AO17"/>
      <c r="AP17"/>
    </row>
    <row r="18" spans="1:42" ht="15.5" x14ac:dyDescent="0.3">
      <c r="A18" s="9">
        <v>14</v>
      </c>
      <c r="B18" s="11"/>
      <c r="C18" s="7" t="s">
        <v>242</v>
      </c>
      <c r="D18" s="7" t="s">
        <v>243</v>
      </c>
      <c r="E18" s="1" t="s">
        <v>723</v>
      </c>
      <c r="F18" s="156"/>
      <c r="G18" s="94" t="s">
        <v>818</v>
      </c>
      <c r="H18" s="94" t="s">
        <v>817</v>
      </c>
      <c r="I18" s="169"/>
      <c r="J18" s="94" t="s">
        <v>818</v>
      </c>
      <c r="K18" s="113" t="s">
        <v>817</v>
      </c>
      <c r="L18" s="94" t="s">
        <v>818</v>
      </c>
      <c r="M18" s="94" t="s">
        <v>818</v>
      </c>
      <c r="N18" s="94" t="s">
        <v>818</v>
      </c>
      <c r="O18" s="94" t="s">
        <v>817</v>
      </c>
      <c r="P18" s="169"/>
      <c r="Q18" s="94" t="s">
        <v>818</v>
      </c>
      <c r="R18" s="113" t="s">
        <v>818</v>
      </c>
      <c r="S18" s="94" t="s">
        <v>818</v>
      </c>
      <c r="T18" s="94" t="s">
        <v>818</v>
      </c>
      <c r="U18" s="94" t="s">
        <v>818</v>
      </c>
      <c r="V18" s="94" t="s">
        <v>817</v>
      </c>
      <c r="W18" s="169"/>
      <c r="X18" s="94" t="s">
        <v>818</v>
      </c>
      <c r="Y18" s="113" t="s">
        <v>818</v>
      </c>
      <c r="Z18" s="94" t="s">
        <v>818</v>
      </c>
      <c r="AA18" s="94" t="s">
        <v>818</v>
      </c>
      <c r="AB18" s="94"/>
      <c r="AC18" s="94"/>
      <c r="AD18" s="169"/>
      <c r="AE18" s="94"/>
      <c r="AF18" s="113"/>
      <c r="AG18" s="94"/>
      <c r="AH18" s="94"/>
      <c r="AI18" s="94"/>
      <c r="AJ18" s="94"/>
      <c r="AK18" s="5">
        <f t="shared" si="0"/>
        <v>14</v>
      </c>
      <c r="AL18" s="5">
        <f t="shared" si="1"/>
        <v>4</v>
      </c>
      <c r="AM18" s="158" t="s">
        <v>121</v>
      </c>
      <c r="AN18" s="159"/>
      <c r="AO18" s="159"/>
      <c r="AP18" s="160"/>
    </row>
    <row r="19" spans="1:42" ht="15.5" x14ac:dyDescent="0.3">
      <c r="A19" s="9">
        <v>15</v>
      </c>
      <c r="B19" s="11">
        <v>892</v>
      </c>
      <c r="C19" s="7" t="s">
        <v>244</v>
      </c>
      <c r="D19" s="7" t="s">
        <v>245</v>
      </c>
      <c r="E19" s="1" t="s">
        <v>723</v>
      </c>
      <c r="F19" s="156"/>
      <c r="G19" s="94" t="s">
        <v>818</v>
      </c>
      <c r="H19" s="94" t="s">
        <v>818</v>
      </c>
      <c r="I19" s="169"/>
      <c r="J19" s="94" t="s">
        <v>818</v>
      </c>
      <c r="K19" s="113" t="s">
        <v>818</v>
      </c>
      <c r="L19" s="94" t="s">
        <v>818</v>
      </c>
      <c r="M19" s="94" t="s">
        <v>818</v>
      </c>
      <c r="N19" s="94" t="s">
        <v>818</v>
      </c>
      <c r="O19" s="94" t="s">
        <v>818</v>
      </c>
      <c r="P19" s="169"/>
      <c r="Q19" s="94" t="s">
        <v>818</v>
      </c>
      <c r="R19" s="113" t="s">
        <v>818</v>
      </c>
      <c r="S19" s="94" t="s">
        <v>818</v>
      </c>
      <c r="T19" s="94" t="s">
        <v>818</v>
      </c>
      <c r="U19" s="94" t="s">
        <v>817</v>
      </c>
      <c r="V19" s="94" t="s">
        <v>818</v>
      </c>
      <c r="W19" s="169"/>
      <c r="X19" s="94" t="s">
        <v>818</v>
      </c>
      <c r="Y19" s="113" t="s">
        <v>818</v>
      </c>
      <c r="Z19" s="94" t="s">
        <v>818</v>
      </c>
      <c r="AA19" s="94" t="s">
        <v>818</v>
      </c>
      <c r="AB19" s="94"/>
      <c r="AC19" s="94"/>
      <c r="AD19" s="169"/>
      <c r="AE19" s="94"/>
      <c r="AF19" s="113"/>
      <c r="AG19" s="94"/>
      <c r="AH19" s="94"/>
      <c r="AI19" s="94"/>
      <c r="AJ19" s="94"/>
      <c r="AK19" s="5">
        <f t="shared" si="0"/>
        <v>17</v>
      </c>
      <c r="AL19" s="5">
        <f t="shared" si="1"/>
        <v>1</v>
      </c>
      <c r="AM19" s="5" t="s">
        <v>10</v>
      </c>
      <c r="AN19" s="5" t="s">
        <v>11</v>
      </c>
      <c r="AO19" s="5" t="s">
        <v>12</v>
      </c>
      <c r="AP19" s="5" t="s">
        <v>13</v>
      </c>
    </row>
    <row r="20" spans="1:42" ht="15.5" x14ac:dyDescent="0.3">
      <c r="A20" s="9">
        <v>16</v>
      </c>
      <c r="B20" s="11">
        <v>838</v>
      </c>
      <c r="C20" s="7" t="s">
        <v>246</v>
      </c>
      <c r="D20" s="7" t="s">
        <v>245</v>
      </c>
      <c r="E20" s="1" t="s">
        <v>723</v>
      </c>
      <c r="F20" s="156"/>
      <c r="G20" s="94" t="s">
        <v>818</v>
      </c>
      <c r="H20" s="94" t="s">
        <v>818</v>
      </c>
      <c r="I20" s="169"/>
      <c r="J20" s="94" t="s">
        <v>818</v>
      </c>
      <c r="K20" s="113" t="s">
        <v>818</v>
      </c>
      <c r="L20" s="94" t="s">
        <v>818</v>
      </c>
      <c r="M20" s="94" t="s">
        <v>818</v>
      </c>
      <c r="N20" s="94" t="s">
        <v>818</v>
      </c>
      <c r="O20" s="94" t="s">
        <v>818</v>
      </c>
      <c r="P20" s="169"/>
      <c r="Q20" s="94" t="s">
        <v>818</v>
      </c>
      <c r="R20" s="113" t="s">
        <v>818</v>
      </c>
      <c r="S20" s="94" t="s">
        <v>818</v>
      </c>
      <c r="T20" s="94" t="s">
        <v>818</v>
      </c>
      <c r="U20" s="94" t="s">
        <v>817</v>
      </c>
      <c r="V20" s="94" t="s">
        <v>818</v>
      </c>
      <c r="W20" s="169"/>
      <c r="X20" s="94" t="s">
        <v>818</v>
      </c>
      <c r="Y20" s="113" t="s">
        <v>818</v>
      </c>
      <c r="Z20" s="94" t="s">
        <v>818</v>
      </c>
      <c r="AA20" s="94" t="s">
        <v>818</v>
      </c>
      <c r="AB20" s="94"/>
      <c r="AC20" s="94"/>
      <c r="AD20" s="169"/>
      <c r="AE20" s="94"/>
      <c r="AF20" s="113"/>
      <c r="AG20" s="94"/>
      <c r="AH20" s="94"/>
      <c r="AI20" s="94"/>
      <c r="AJ20" s="94"/>
      <c r="AK20" s="5">
        <f t="shared" si="0"/>
        <v>17</v>
      </c>
      <c r="AL20" s="5">
        <f t="shared" si="1"/>
        <v>1</v>
      </c>
      <c r="AM20" s="5" t="s">
        <v>14</v>
      </c>
      <c r="AN20" s="9">
        <f>32*$AN$5</f>
        <v>832</v>
      </c>
      <c r="AO20" s="9">
        <f>24*$AN$5</f>
        <v>624</v>
      </c>
      <c r="AP20" s="9">
        <f>AN20+AO20</f>
        <v>1456</v>
      </c>
    </row>
    <row r="21" spans="1:42" ht="15.5" x14ac:dyDescent="0.3">
      <c r="A21" s="9">
        <v>17</v>
      </c>
      <c r="B21" s="11">
        <v>808</v>
      </c>
      <c r="C21" s="7" t="s">
        <v>252</v>
      </c>
      <c r="D21" s="7" t="s">
        <v>253</v>
      </c>
      <c r="E21" s="1" t="s">
        <v>723</v>
      </c>
      <c r="F21" s="156"/>
      <c r="G21" s="94" t="s">
        <v>817</v>
      </c>
      <c r="H21" s="94" t="s">
        <v>817</v>
      </c>
      <c r="I21" s="169"/>
      <c r="J21" s="94" t="s">
        <v>818</v>
      </c>
      <c r="K21" s="113" t="s">
        <v>818</v>
      </c>
      <c r="L21" s="94" t="s">
        <v>818</v>
      </c>
      <c r="M21" s="94" t="s">
        <v>818</v>
      </c>
      <c r="N21" s="94" t="s">
        <v>818</v>
      </c>
      <c r="O21" s="94" t="s">
        <v>818</v>
      </c>
      <c r="P21" s="169"/>
      <c r="Q21" s="94" t="s">
        <v>818</v>
      </c>
      <c r="R21" s="113" t="s">
        <v>818</v>
      </c>
      <c r="S21" s="94" t="s">
        <v>818</v>
      </c>
      <c r="T21" s="94" t="s">
        <v>818</v>
      </c>
      <c r="U21" s="94" t="s">
        <v>817</v>
      </c>
      <c r="V21" s="94" t="s">
        <v>817</v>
      </c>
      <c r="W21" s="169"/>
      <c r="X21" s="94" t="s">
        <v>818</v>
      </c>
      <c r="Y21" s="113" t="s">
        <v>818</v>
      </c>
      <c r="Z21" s="94" t="s">
        <v>817</v>
      </c>
      <c r="AA21" s="94" t="s">
        <v>817</v>
      </c>
      <c r="AB21" s="94"/>
      <c r="AC21" s="94"/>
      <c r="AD21" s="169"/>
      <c r="AE21" s="94"/>
      <c r="AF21" s="113"/>
      <c r="AG21" s="94"/>
      <c r="AH21" s="94"/>
      <c r="AI21" s="94"/>
      <c r="AJ21" s="94"/>
      <c r="AK21" s="5">
        <f t="shared" si="0"/>
        <v>12</v>
      </c>
      <c r="AL21" s="5">
        <f t="shared" si="1"/>
        <v>6</v>
      </c>
      <c r="AM21" s="5" t="s">
        <v>17</v>
      </c>
      <c r="AN21" s="9">
        <f>AN20-AN13</f>
        <v>408</v>
      </c>
      <c r="AO21" s="9">
        <f>AO20-AO13</f>
        <v>343</v>
      </c>
      <c r="AP21" s="9">
        <f>AN21+AO21</f>
        <v>751</v>
      </c>
    </row>
    <row r="22" spans="1:42" ht="15.5" x14ac:dyDescent="0.3">
      <c r="A22" s="9">
        <v>18</v>
      </c>
      <c r="B22" s="11">
        <v>823</v>
      </c>
      <c r="C22" s="7" t="s">
        <v>247</v>
      </c>
      <c r="D22" s="7" t="s">
        <v>248</v>
      </c>
      <c r="E22" s="1" t="s">
        <v>723</v>
      </c>
      <c r="F22" s="156"/>
      <c r="G22" s="94" t="s">
        <v>818</v>
      </c>
      <c r="H22" s="94" t="s">
        <v>818</v>
      </c>
      <c r="I22" s="169"/>
      <c r="J22" s="94" t="s">
        <v>818</v>
      </c>
      <c r="K22" s="113" t="s">
        <v>818</v>
      </c>
      <c r="L22" s="94" t="s">
        <v>817</v>
      </c>
      <c r="M22" s="94" t="s">
        <v>818</v>
      </c>
      <c r="N22" s="94" t="s">
        <v>818</v>
      </c>
      <c r="O22" s="94" t="s">
        <v>818</v>
      </c>
      <c r="P22" s="169"/>
      <c r="Q22" s="94" t="s">
        <v>818</v>
      </c>
      <c r="R22" s="113" t="s">
        <v>817</v>
      </c>
      <c r="S22" s="94" t="s">
        <v>818</v>
      </c>
      <c r="T22" s="94" t="s">
        <v>818</v>
      </c>
      <c r="U22" s="94" t="s">
        <v>818</v>
      </c>
      <c r="V22" s="94" t="s">
        <v>818</v>
      </c>
      <c r="W22" s="169"/>
      <c r="X22" s="94" t="s">
        <v>818</v>
      </c>
      <c r="Y22" s="113" t="s">
        <v>818</v>
      </c>
      <c r="Z22" s="94" t="s">
        <v>818</v>
      </c>
      <c r="AA22" s="94" t="s">
        <v>818</v>
      </c>
      <c r="AB22" s="94"/>
      <c r="AC22" s="94"/>
      <c r="AD22" s="169"/>
      <c r="AE22" s="94"/>
      <c r="AF22" s="113"/>
      <c r="AG22" s="94"/>
      <c r="AH22" s="94"/>
      <c r="AI22" s="94"/>
      <c r="AJ22" s="94"/>
      <c r="AK22" s="5">
        <f t="shared" si="0"/>
        <v>16</v>
      </c>
      <c r="AL22" s="5">
        <f t="shared" si="1"/>
        <v>2</v>
      </c>
    </row>
    <row r="23" spans="1:42" ht="15.5" x14ac:dyDescent="0.3">
      <c r="A23" s="9">
        <v>19</v>
      </c>
      <c r="B23" s="11">
        <v>793</v>
      </c>
      <c r="C23" s="7" t="s">
        <v>249</v>
      </c>
      <c r="D23" s="7" t="s">
        <v>250</v>
      </c>
      <c r="E23" s="1" t="s">
        <v>723</v>
      </c>
      <c r="F23" s="156"/>
      <c r="G23" s="94" t="s">
        <v>818</v>
      </c>
      <c r="H23" s="94" t="s">
        <v>818</v>
      </c>
      <c r="I23" s="169"/>
      <c r="J23" s="94" t="s">
        <v>818</v>
      </c>
      <c r="K23" s="113" t="s">
        <v>818</v>
      </c>
      <c r="L23" s="94" t="s">
        <v>818</v>
      </c>
      <c r="M23" s="94" t="s">
        <v>818</v>
      </c>
      <c r="N23" s="94" t="s">
        <v>818</v>
      </c>
      <c r="O23" s="94" t="s">
        <v>818</v>
      </c>
      <c r="P23" s="169"/>
      <c r="Q23" s="94" t="s">
        <v>818</v>
      </c>
      <c r="R23" s="113" t="s">
        <v>818</v>
      </c>
      <c r="S23" s="94" t="s">
        <v>818</v>
      </c>
      <c r="T23" s="94" t="s">
        <v>818</v>
      </c>
      <c r="U23" s="94" t="s">
        <v>818</v>
      </c>
      <c r="V23" s="94" t="s">
        <v>818</v>
      </c>
      <c r="W23" s="169"/>
      <c r="X23" s="94" t="s">
        <v>818</v>
      </c>
      <c r="Y23" s="113" t="s">
        <v>818</v>
      </c>
      <c r="Z23" s="94" t="s">
        <v>818</v>
      </c>
      <c r="AA23" s="94" t="s">
        <v>818</v>
      </c>
      <c r="AB23" s="94"/>
      <c r="AC23" s="94"/>
      <c r="AD23" s="169"/>
      <c r="AE23" s="94"/>
      <c r="AF23" s="113"/>
      <c r="AG23" s="94"/>
      <c r="AH23" s="94"/>
      <c r="AI23" s="94"/>
      <c r="AJ23" s="94"/>
      <c r="AK23" s="5">
        <f t="shared" si="0"/>
        <v>18</v>
      </c>
      <c r="AL23" s="5">
        <f t="shared" si="1"/>
        <v>0</v>
      </c>
    </row>
    <row r="24" spans="1:42" ht="15.5" x14ac:dyDescent="0.3">
      <c r="A24" s="9">
        <v>20</v>
      </c>
      <c r="B24" s="11">
        <v>811</v>
      </c>
      <c r="C24" s="7" t="s">
        <v>249</v>
      </c>
      <c r="D24" s="7" t="s">
        <v>251</v>
      </c>
      <c r="E24" s="1" t="s">
        <v>723</v>
      </c>
      <c r="F24" s="156"/>
      <c r="G24" s="94" t="s">
        <v>818</v>
      </c>
      <c r="H24" s="94" t="s">
        <v>818</v>
      </c>
      <c r="I24" s="169"/>
      <c r="J24" s="94" t="s">
        <v>818</v>
      </c>
      <c r="K24" s="113" t="s">
        <v>818</v>
      </c>
      <c r="L24" s="94" t="s">
        <v>818</v>
      </c>
      <c r="M24" s="94" t="s">
        <v>818</v>
      </c>
      <c r="N24" s="94" t="s">
        <v>818</v>
      </c>
      <c r="O24" s="94" t="s">
        <v>818</v>
      </c>
      <c r="P24" s="169"/>
      <c r="Q24" s="94" t="s">
        <v>818</v>
      </c>
      <c r="R24" s="113" t="s">
        <v>818</v>
      </c>
      <c r="S24" s="94" t="s">
        <v>818</v>
      </c>
      <c r="T24" s="94" t="s">
        <v>818</v>
      </c>
      <c r="U24" s="94" t="s">
        <v>818</v>
      </c>
      <c r="V24" s="94" t="s">
        <v>818</v>
      </c>
      <c r="W24" s="169"/>
      <c r="X24" s="94" t="s">
        <v>818</v>
      </c>
      <c r="Y24" s="113" t="s">
        <v>818</v>
      </c>
      <c r="Z24" s="94" t="s">
        <v>818</v>
      </c>
      <c r="AA24" s="94" t="s">
        <v>818</v>
      </c>
      <c r="AB24" s="94"/>
      <c r="AC24" s="94"/>
      <c r="AD24" s="169"/>
      <c r="AE24" s="94"/>
      <c r="AF24" s="113"/>
      <c r="AG24" s="94"/>
      <c r="AH24" s="94"/>
      <c r="AI24" s="94"/>
      <c r="AJ24" s="94"/>
      <c r="AK24" s="5">
        <f t="shared" si="0"/>
        <v>18</v>
      </c>
      <c r="AL24" s="5">
        <f t="shared" si="1"/>
        <v>0</v>
      </c>
    </row>
    <row r="25" spans="1:42" ht="16.5" customHeight="1" x14ac:dyDescent="0.3">
      <c r="A25" s="9">
        <v>1</v>
      </c>
      <c r="B25" s="11">
        <v>824</v>
      </c>
      <c r="C25" s="7" t="s">
        <v>255</v>
      </c>
      <c r="D25" s="7" t="s">
        <v>251</v>
      </c>
      <c r="E25" s="1" t="s">
        <v>723</v>
      </c>
      <c r="F25" s="156"/>
      <c r="G25" s="94" t="s">
        <v>818</v>
      </c>
      <c r="H25" s="94" t="s">
        <v>817</v>
      </c>
      <c r="I25" s="169"/>
      <c r="J25" s="94" t="s">
        <v>818</v>
      </c>
      <c r="K25" s="113" t="s">
        <v>818</v>
      </c>
      <c r="L25" s="94" t="s">
        <v>818</v>
      </c>
      <c r="M25" s="94" t="s">
        <v>818</v>
      </c>
      <c r="N25" s="94" t="s">
        <v>818</v>
      </c>
      <c r="O25" s="94" t="s">
        <v>818</v>
      </c>
      <c r="P25" s="169"/>
      <c r="Q25" s="94" t="s">
        <v>818</v>
      </c>
      <c r="R25" s="113" t="s">
        <v>818</v>
      </c>
      <c r="S25" s="94" t="s">
        <v>818</v>
      </c>
      <c r="T25" s="94" t="s">
        <v>818</v>
      </c>
      <c r="U25" s="94" t="s">
        <v>818</v>
      </c>
      <c r="V25" s="94" t="s">
        <v>818</v>
      </c>
      <c r="W25" s="169"/>
      <c r="X25" s="94" t="s">
        <v>818</v>
      </c>
      <c r="Y25" s="113" t="s">
        <v>818</v>
      </c>
      <c r="Z25" s="94" t="s">
        <v>818</v>
      </c>
      <c r="AA25" s="94" t="s">
        <v>818</v>
      </c>
      <c r="AB25" s="94"/>
      <c r="AC25" s="94"/>
      <c r="AD25" s="169"/>
      <c r="AE25" s="94"/>
      <c r="AF25" s="113"/>
      <c r="AG25" s="94"/>
      <c r="AH25" s="94"/>
      <c r="AI25" s="94"/>
      <c r="AJ25" s="94"/>
      <c r="AK25" s="5">
        <f t="shared" si="0"/>
        <v>17</v>
      </c>
      <c r="AL25" s="5">
        <f t="shared" si="1"/>
        <v>1</v>
      </c>
    </row>
    <row r="26" spans="1:42" ht="15.5" x14ac:dyDescent="0.3">
      <c r="A26" s="9">
        <v>2</v>
      </c>
      <c r="B26" s="11">
        <v>791</v>
      </c>
      <c r="C26" s="7" t="s">
        <v>255</v>
      </c>
      <c r="D26" s="7" t="s">
        <v>256</v>
      </c>
      <c r="E26" s="1" t="s">
        <v>723</v>
      </c>
      <c r="F26" s="156"/>
      <c r="G26" s="94" t="s">
        <v>817</v>
      </c>
      <c r="H26" s="94" t="s">
        <v>817</v>
      </c>
      <c r="I26" s="169"/>
      <c r="J26" s="94" t="s">
        <v>818</v>
      </c>
      <c r="K26" s="113" t="s">
        <v>818</v>
      </c>
      <c r="L26" s="94" t="s">
        <v>818</v>
      </c>
      <c r="M26" s="94" t="s">
        <v>817</v>
      </c>
      <c r="N26" s="94" t="s">
        <v>818</v>
      </c>
      <c r="O26" s="94" t="s">
        <v>818</v>
      </c>
      <c r="P26" s="169"/>
      <c r="Q26" s="94" t="s">
        <v>818</v>
      </c>
      <c r="R26" s="113" t="s">
        <v>818</v>
      </c>
      <c r="S26" s="94" t="s">
        <v>818</v>
      </c>
      <c r="T26" s="94" t="s">
        <v>818</v>
      </c>
      <c r="U26" s="94" t="s">
        <v>817</v>
      </c>
      <c r="V26" s="94" t="s">
        <v>817</v>
      </c>
      <c r="W26" s="169"/>
      <c r="X26" s="94" t="s">
        <v>818</v>
      </c>
      <c r="Y26" s="113" t="s">
        <v>818</v>
      </c>
      <c r="Z26" s="94" t="s">
        <v>818</v>
      </c>
      <c r="AA26" s="94" t="s">
        <v>818</v>
      </c>
      <c r="AB26" s="94"/>
      <c r="AC26" s="94"/>
      <c r="AD26" s="169"/>
      <c r="AE26" s="94"/>
      <c r="AF26" s="113"/>
      <c r="AG26" s="94"/>
      <c r="AH26" s="94"/>
      <c r="AI26" s="94"/>
      <c r="AJ26" s="94"/>
      <c r="AK26" s="5">
        <f t="shared" si="0"/>
        <v>13</v>
      </c>
      <c r="AL26" s="5">
        <f t="shared" si="1"/>
        <v>5</v>
      </c>
    </row>
    <row r="27" spans="1:42" ht="15.5" x14ac:dyDescent="0.3">
      <c r="A27" s="9">
        <v>3</v>
      </c>
      <c r="B27" s="11">
        <v>809</v>
      </c>
      <c r="C27" s="7" t="s">
        <v>257</v>
      </c>
      <c r="D27" s="7" t="s">
        <v>258</v>
      </c>
      <c r="E27" s="1" t="s">
        <v>723</v>
      </c>
      <c r="F27" s="156"/>
      <c r="G27" s="94" t="s">
        <v>818</v>
      </c>
      <c r="H27" s="94" t="s">
        <v>818</v>
      </c>
      <c r="I27" s="169"/>
      <c r="J27" s="94" t="s">
        <v>818</v>
      </c>
      <c r="K27" s="113" t="s">
        <v>818</v>
      </c>
      <c r="L27" s="94" t="s">
        <v>818</v>
      </c>
      <c r="M27" s="94" t="s">
        <v>818</v>
      </c>
      <c r="N27" s="94" t="s">
        <v>818</v>
      </c>
      <c r="O27" s="94" t="s">
        <v>818</v>
      </c>
      <c r="P27" s="169"/>
      <c r="Q27" s="94" t="s">
        <v>817</v>
      </c>
      <c r="R27" s="113" t="s">
        <v>818</v>
      </c>
      <c r="S27" s="94" t="s">
        <v>818</v>
      </c>
      <c r="T27" s="94" t="s">
        <v>818</v>
      </c>
      <c r="U27" s="94" t="s">
        <v>818</v>
      </c>
      <c r="V27" s="94" t="s">
        <v>818</v>
      </c>
      <c r="W27" s="169"/>
      <c r="X27" s="94" t="s">
        <v>818</v>
      </c>
      <c r="Y27" s="113" t="s">
        <v>818</v>
      </c>
      <c r="Z27" s="94" t="s">
        <v>818</v>
      </c>
      <c r="AA27" s="94" t="s">
        <v>818</v>
      </c>
      <c r="AB27" s="94"/>
      <c r="AC27" s="94"/>
      <c r="AD27" s="169"/>
      <c r="AE27" s="94"/>
      <c r="AF27" s="113"/>
      <c r="AG27" s="94"/>
      <c r="AH27" s="94"/>
      <c r="AI27" s="94"/>
      <c r="AJ27" s="94"/>
      <c r="AK27" s="5">
        <f t="shared" si="0"/>
        <v>17</v>
      </c>
      <c r="AL27" s="5">
        <f t="shared" si="1"/>
        <v>1</v>
      </c>
    </row>
    <row r="28" spans="1:42" ht="15.5" x14ac:dyDescent="0.3">
      <c r="A28" s="9">
        <v>4</v>
      </c>
      <c r="B28" s="11">
        <v>837</v>
      </c>
      <c r="C28" s="7" t="s">
        <v>259</v>
      </c>
      <c r="D28" s="7" t="s">
        <v>260</v>
      </c>
      <c r="E28" s="1" t="s">
        <v>723</v>
      </c>
      <c r="F28" s="156"/>
      <c r="G28" s="94" t="s">
        <v>818</v>
      </c>
      <c r="H28" s="94" t="s">
        <v>817</v>
      </c>
      <c r="I28" s="169"/>
      <c r="J28" s="94" t="s">
        <v>818</v>
      </c>
      <c r="K28" s="113" t="s">
        <v>817</v>
      </c>
      <c r="L28" s="94" t="s">
        <v>817</v>
      </c>
      <c r="M28" s="94" t="s">
        <v>817</v>
      </c>
      <c r="N28" s="94" t="s">
        <v>818</v>
      </c>
      <c r="O28" s="94" t="s">
        <v>817</v>
      </c>
      <c r="P28" s="169"/>
      <c r="Q28" s="94" t="s">
        <v>817</v>
      </c>
      <c r="R28" s="113" t="s">
        <v>818</v>
      </c>
      <c r="S28" s="94" t="s">
        <v>818</v>
      </c>
      <c r="T28" s="94" t="s">
        <v>818</v>
      </c>
      <c r="U28" s="94" t="s">
        <v>817</v>
      </c>
      <c r="V28" s="94" t="s">
        <v>818</v>
      </c>
      <c r="W28" s="169"/>
      <c r="X28" s="94" t="s">
        <v>818</v>
      </c>
      <c r="Y28" s="113" t="s">
        <v>818</v>
      </c>
      <c r="Z28" s="94" t="s">
        <v>818</v>
      </c>
      <c r="AA28" s="94" t="s">
        <v>817</v>
      </c>
      <c r="AB28" s="94"/>
      <c r="AC28" s="94"/>
      <c r="AD28" s="169"/>
      <c r="AE28" s="94"/>
      <c r="AF28" s="113"/>
      <c r="AG28" s="94"/>
      <c r="AH28" s="94"/>
      <c r="AI28" s="94"/>
      <c r="AJ28" s="94"/>
      <c r="AK28" s="5">
        <f t="shared" si="0"/>
        <v>10</v>
      </c>
      <c r="AL28" s="5">
        <f t="shared" si="1"/>
        <v>8</v>
      </c>
    </row>
    <row r="29" spans="1:42" ht="15.5" x14ac:dyDescent="0.3">
      <c r="A29" s="9">
        <v>5</v>
      </c>
      <c r="B29" s="11">
        <v>798</v>
      </c>
      <c r="C29" s="7" t="s">
        <v>111</v>
      </c>
      <c r="D29" s="7" t="s">
        <v>261</v>
      </c>
      <c r="E29" s="1" t="s">
        <v>723</v>
      </c>
      <c r="F29" s="156"/>
      <c r="G29" s="94" t="s">
        <v>818</v>
      </c>
      <c r="H29" s="94" t="s">
        <v>818</v>
      </c>
      <c r="I29" s="169"/>
      <c r="J29" s="94" t="s">
        <v>818</v>
      </c>
      <c r="K29" s="113" t="s">
        <v>818</v>
      </c>
      <c r="L29" s="94" t="s">
        <v>818</v>
      </c>
      <c r="M29" s="94" t="s">
        <v>818</v>
      </c>
      <c r="N29" s="94" t="s">
        <v>818</v>
      </c>
      <c r="O29" s="94" t="s">
        <v>818</v>
      </c>
      <c r="P29" s="169"/>
      <c r="Q29" s="94" t="s">
        <v>818</v>
      </c>
      <c r="R29" s="113" t="s">
        <v>818</v>
      </c>
      <c r="S29" s="94" t="s">
        <v>818</v>
      </c>
      <c r="T29" s="94" t="s">
        <v>818</v>
      </c>
      <c r="U29" s="94" t="s">
        <v>817</v>
      </c>
      <c r="V29" s="94" t="s">
        <v>818</v>
      </c>
      <c r="W29" s="169"/>
      <c r="X29" s="94" t="s">
        <v>818</v>
      </c>
      <c r="Y29" s="113" t="s">
        <v>818</v>
      </c>
      <c r="Z29" s="94" t="s">
        <v>818</v>
      </c>
      <c r="AA29" s="94" t="s">
        <v>818</v>
      </c>
      <c r="AB29" s="94"/>
      <c r="AC29" s="94"/>
      <c r="AD29" s="169"/>
      <c r="AE29" s="94"/>
      <c r="AF29" s="113"/>
      <c r="AG29" s="94"/>
      <c r="AH29" s="94"/>
      <c r="AI29" s="94"/>
      <c r="AJ29" s="94"/>
      <c r="AK29" s="5">
        <f t="shared" si="0"/>
        <v>17</v>
      </c>
      <c r="AL29" s="5">
        <f t="shared" si="1"/>
        <v>1</v>
      </c>
    </row>
    <row r="30" spans="1:42" ht="15" customHeight="1" x14ac:dyDescent="0.3">
      <c r="A30" s="9">
        <v>6</v>
      </c>
      <c r="B30" s="11">
        <v>816</v>
      </c>
      <c r="C30" s="7" t="s">
        <v>262</v>
      </c>
      <c r="D30" s="7" t="s">
        <v>263</v>
      </c>
      <c r="E30" s="1" t="s">
        <v>723</v>
      </c>
      <c r="F30" s="156"/>
      <c r="G30" s="94" t="s">
        <v>818</v>
      </c>
      <c r="H30" s="94" t="s">
        <v>818</v>
      </c>
      <c r="I30" s="169"/>
      <c r="J30" s="94" t="s">
        <v>817</v>
      </c>
      <c r="K30" s="113" t="s">
        <v>817</v>
      </c>
      <c r="L30" s="94" t="s">
        <v>817</v>
      </c>
      <c r="M30" s="94" t="s">
        <v>817</v>
      </c>
      <c r="N30" s="94" t="s">
        <v>817</v>
      </c>
      <c r="O30" s="94" t="s">
        <v>817</v>
      </c>
      <c r="P30" s="169"/>
      <c r="Q30" s="94" t="s">
        <v>818</v>
      </c>
      <c r="R30" s="113" t="s">
        <v>818</v>
      </c>
      <c r="S30" s="94" t="s">
        <v>818</v>
      </c>
      <c r="T30" s="94" t="s">
        <v>818</v>
      </c>
      <c r="U30" s="94" t="s">
        <v>818</v>
      </c>
      <c r="V30" s="94" t="s">
        <v>818</v>
      </c>
      <c r="W30" s="169"/>
      <c r="X30" s="94" t="s">
        <v>818</v>
      </c>
      <c r="Y30" s="113" t="s">
        <v>818</v>
      </c>
      <c r="Z30" s="94" t="s">
        <v>818</v>
      </c>
      <c r="AA30" s="94" t="s">
        <v>818</v>
      </c>
      <c r="AB30" s="94"/>
      <c r="AC30" s="94"/>
      <c r="AD30" s="169"/>
      <c r="AE30" s="94"/>
      <c r="AF30" s="113"/>
      <c r="AG30" s="94"/>
      <c r="AH30" s="94"/>
      <c r="AI30" s="94"/>
      <c r="AJ30" s="94"/>
      <c r="AK30" s="5">
        <f t="shared" si="0"/>
        <v>12</v>
      </c>
      <c r="AL30" s="5">
        <f t="shared" si="1"/>
        <v>6</v>
      </c>
    </row>
    <row r="31" spans="1:42" ht="15.5" x14ac:dyDescent="0.3">
      <c r="A31" s="9">
        <v>7</v>
      </c>
      <c r="B31" s="11"/>
      <c r="C31" s="7" t="s">
        <v>264</v>
      </c>
      <c r="D31" s="7" t="s">
        <v>265</v>
      </c>
      <c r="E31" s="1" t="s">
        <v>723</v>
      </c>
      <c r="F31" s="156"/>
      <c r="G31" s="94" t="s">
        <v>818</v>
      </c>
      <c r="H31" s="94" t="s">
        <v>818</v>
      </c>
      <c r="I31" s="169"/>
      <c r="J31" s="94" t="s">
        <v>817</v>
      </c>
      <c r="K31" s="113" t="s">
        <v>817</v>
      </c>
      <c r="L31" s="94" t="s">
        <v>818</v>
      </c>
      <c r="M31" s="94" t="s">
        <v>817</v>
      </c>
      <c r="N31" s="94" t="s">
        <v>817</v>
      </c>
      <c r="O31" s="94" t="s">
        <v>817</v>
      </c>
      <c r="P31" s="169"/>
      <c r="Q31" s="94" t="s">
        <v>817</v>
      </c>
      <c r="R31" s="113" t="s">
        <v>818</v>
      </c>
      <c r="S31" s="94" t="s">
        <v>817</v>
      </c>
      <c r="T31" s="94" t="s">
        <v>817</v>
      </c>
      <c r="U31" s="94" t="s">
        <v>817</v>
      </c>
      <c r="V31" s="94" t="s">
        <v>818</v>
      </c>
      <c r="W31" s="169"/>
      <c r="X31" s="94" t="s">
        <v>818</v>
      </c>
      <c r="Y31" s="113" t="s">
        <v>818</v>
      </c>
      <c r="Z31" s="94" t="s">
        <v>817</v>
      </c>
      <c r="AA31" s="94" t="s">
        <v>817</v>
      </c>
      <c r="AB31" s="94"/>
      <c r="AC31" s="94"/>
      <c r="AD31" s="169"/>
      <c r="AE31" s="94"/>
      <c r="AF31" s="113"/>
      <c r="AG31" s="94"/>
      <c r="AH31" s="94"/>
      <c r="AI31" s="94"/>
      <c r="AJ31" s="94"/>
      <c r="AK31" s="5">
        <f t="shared" si="0"/>
        <v>7</v>
      </c>
      <c r="AL31" s="5">
        <f t="shared" si="1"/>
        <v>11</v>
      </c>
    </row>
    <row r="32" spans="1:42" ht="15.5" x14ac:dyDescent="0.3">
      <c r="A32" s="9">
        <v>8</v>
      </c>
      <c r="B32" s="11">
        <v>795</v>
      </c>
      <c r="C32" s="7" t="s">
        <v>96</v>
      </c>
      <c r="D32" s="7" t="s">
        <v>266</v>
      </c>
      <c r="E32" s="1" t="s">
        <v>723</v>
      </c>
      <c r="F32" s="156"/>
      <c r="G32" s="94" t="s">
        <v>818</v>
      </c>
      <c r="H32" s="94" t="s">
        <v>817</v>
      </c>
      <c r="I32" s="169"/>
      <c r="J32" s="94" t="s">
        <v>818</v>
      </c>
      <c r="K32" s="113" t="s">
        <v>818</v>
      </c>
      <c r="L32" s="94" t="s">
        <v>818</v>
      </c>
      <c r="M32" s="94" t="s">
        <v>818</v>
      </c>
      <c r="N32" s="94" t="s">
        <v>818</v>
      </c>
      <c r="O32" s="94" t="s">
        <v>818</v>
      </c>
      <c r="P32" s="169"/>
      <c r="Q32" s="94" t="s">
        <v>818</v>
      </c>
      <c r="R32" s="113" t="s">
        <v>818</v>
      </c>
      <c r="S32" s="94" t="s">
        <v>818</v>
      </c>
      <c r="T32" s="94" t="s">
        <v>818</v>
      </c>
      <c r="U32" s="94" t="s">
        <v>818</v>
      </c>
      <c r="V32" s="94" t="s">
        <v>818</v>
      </c>
      <c r="W32" s="169"/>
      <c r="X32" s="94" t="s">
        <v>818</v>
      </c>
      <c r="Y32" s="113" t="s">
        <v>818</v>
      </c>
      <c r="Z32" s="94" t="s">
        <v>818</v>
      </c>
      <c r="AA32" s="94" t="s">
        <v>818</v>
      </c>
      <c r="AB32" s="94"/>
      <c r="AC32" s="94"/>
      <c r="AD32" s="169"/>
      <c r="AE32" s="94"/>
      <c r="AF32" s="113"/>
      <c r="AG32" s="94"/>
      <c r="AH32" s="94"/>
      <c r="AI32" s="94"/>
      <c r="AJ32" s="94"/>
      <c r="AK32" s="5">
        <f t="shared" ref="AK32:AK54" si="2">COUNTIF(F32:AI32,"P")</f>
        <v>17</v>
      </c>
      <c r="AL32" s="5">
        <f t="shared" ref="AL32:AL54" si="3">COUNTIF(F32:AI32,"A")</f>
        <v>1</v>
      </c>
    </row>
    <row r="33" spans="1:38" ht="15.5" x14ac:dyDescent="0.3">
      <c r="A33" s="9">
        <v>9</v>
      </c>
      <c r="B33" s="11">
        <v>821</v>
      </c>
      <c r="C33" s="7" t="s">
        <v>267</v>
      </c>
      <c r="D33" s="7" t="s">
        <v>268</v>
      </c>
      <c r="E33" s="1" t="s">
        <v>723</v>
      </c>
      <c r="F33" s="156"/>
      <c r="G33" s="94" t="s">
        <v>817</v>
      </c>
      <c r="H33" s="94" t="s">
        <v>817</v>
      </c>
      <c r="I33" s="169"/>
      <c r="J33" s="94" t="s">
        <v>817</v>
      </c>
      <c r="K33" s="113" t="s">
        <v>817</v>
      </c>
      <c r="L33" s="94" t="s">
        <v>817</v>
      </c>
      <c r="M33" s="94" t="s">
        <v>817</v>
      </c>
      <c r="N33" s="94" t="s">
        <v>817</v>
      </c>
      <c r="O33" s="94" t="s">
        <v>817</v>
      </c>
      <c r="P33" s="169"/>
      <c r="Q33" s="94" t="s">
        <v>818</v>
      </c>
      <c r="R33" s="113" t="s">
        <v>818</v>
      </c>
      <c r="S33" s="94" t="s">
        <v>818</v>
      </c>
      <c r="T33" s="94" t="s">
        <v>817</v>
      </c>
      <c r="U33" s="94" t="s">
        <v>818</v>
      </c>
      <c r="V33" s="94" t="s">
        <v>817</v>
      </c>
      <c r="W33" s="169"/>
      <c r="X33" s="94" t="s">
        <v>817</v>
      </c>
      <c r="Y33" s="113" t="s">
        <v>817</v>
      </c>
      <c r="Z33" s="94" t="s">
        <v>818</v>
      </c>
      <c r="AA33" s="94" t="s">
        <v>818</v>
      </c>
      <c r="AB33" s="94"/>
      <c r="AC33" s="94"/>
      <c r="AD33" s="169"/>
      <c r="AE33" s="94"/>
      <c r="AF33" s="113"/>
      <c r="AG33" s="94"/>
      <c r="AH33" s="94"/>
      <c r="AI33" s="94"/>
      <c r="AJ33" s="94"/>
      <c r="AK33" s="5">
        <f t="shared" si="2"/>
        <v>6</v>
      </c>
      <c r="AL33" s="5">
        <f t="shared" si="3"/>
        <v>12</v>
      </c>
    </row>
    <row r="34" spans="1:38" ht="15" customHeight="1" x14ac:dyDescent="0.3">
      <c r="A34" s="9">
        <v>10</v>
      </c>
      <c r="B34" s="11">
        <v>776</v>
      </c>
      <c r="C34" s="7" t="s">
        <v>269</v>
      </c>
      <c r="D34" s="7" t="s">
        <v>270</v>
      </c>
      <c r="E34" s="1" t="s">
        <v>723</v>
      </c>
      <c r="F34" s="156"/>
      <c r="G34" s="94" t="s">
        <v>818</v>
      </c>
      <c r="H34" s="94" t="s">
        <v>818</v>
      </c>
      <c r="I34" s="169"/>
      <c r="J34" s="94" t="s">
        <v>818</v>
      </c>
      <c r="K34" s="113" t="s">
        <v>818</v>
      </c>
      <c r="L34" s="94" t="s">
        <v>818</v>
      </c>
      <c r="M34" s="94" t="s">
        <v>818</v>
      </c>
      <c r="N34" s="94" t="s">
        <v>818</v>
      </c>
      <c r="O34" s="94" t="s">
        <v>818</v>
      </c>
      <c r="P34" s="169"/>
      <c r="Q34" s="94" t="s">
        <v>818</v>
      </c>
      <c r="R34" s="113" t="s">
        <v>818</v>
      </c>
      <c r="S34" s="94" t="s">
        <v>818</v>
      </c>
      <c r="T34" s="94" t="s">
        <v>818</v>
      </c>
      <c r="U34" s="94" t="s">
        <v>818</v>
      </c>
      <c r="V34" s="94" t="s">
        <v>818</v>
      </c>
      <c r="W34" s="169"/>
      <c r="X34" s="94" t="s">
        <v>818</v>
      </c>
      <c r="Y34" s="113" t="s">
        <v>818</v>
      </c>
      <c r="Z34" s="94" t="s">
        <v>818</v>
      </c>
      <c r="AA34" s="94" t="s">
        <v>818</v>
      </c>
      <c r="AB34" s="94"/>
      <c r="AC34" s="94"/>
      <c r="AD34" s="169"/>
      <c r="AE34" s="94"/>
      <c r="AF34" s="113"/>
      <c r="AG34" s="94"/>
      <c r="AH34" s="94"/>
      <c r="AI34" s="94"/>
      <c r="AJ34" s="94"/>
      <c r="AK34" s="5">
        <f t="shared" si="2"/>
        <v>18</v>
      </c>
      <c r="AL34" s="5">
        <f t="shared" si="3"/>
        <v>0</v>
      </c>
    </row>
    <row r="35" spans="1:38" ht="15.5" x14ac:dyDescent="0.3">
      <c r="A35" s="9">
        <v>11</v>
      </c>
      <c r="B35" s="11">
        <v>820</v>
      </c>
      <c r="C35" s="7" t="s">
        <v>269</v>
      </c>
      <c r="D35" s="7" t="s">
        <v>197</v>
      </c>
      <c r="E35" s="1" t="s">
        <v>723</v>
      </c>
      <c r="F35" s="156"/>
      <c r="G35" s="94" t="s">
        <v>818</v>
      </c>
      <c r="H35" s="94" t="s">
        <v>818</v>
      </c>
      <c r="I35" s="169"/>
      <c r="J35" s="94" t="s">
        <v>818</v>
      </c>
      <c r="K35" s="113" t="s">
        <v>818</v>
      </c>
      <c r="L35" s="94" t="s">
        <v>818</v>
      </c>
      <c r="M35" s="94" t="s">
        <v>818</v>
      </c>
      <c r="N35" s="94" t="s">
        <v>818</v>
      </c>
      <c r="O35" s="94" t="s">
        <v>818</v>
      </c>
      <c r="P35" s="169"/>
      <c r="Q35" s="94" t="s">
        <v>818</v>
      </c>
      <c r="R35" s="113" t="s">
        <v>818</v>
      </c>
      <c r="S35" s="94" t="s">
        <v>818</v>
      </c>
      <c r="T35" s="94" t="s">
        <v>818</v>
      </c>
      <c r="U35" s="94" t="s">
        <v>818</v>
      </c>
      <c r="V35" s="94" t="s">
        <v>818</v>
      </c>
      <c r="W35" s="169"/>
      <c r="X35" s="94" t="s">
        <v>817</v>
      </c>
      <c r="Y35" s="113" t="s">
        <v>818</v>
      </c>
      <c r="Z35" s="94" t="s">
        <v>818</v>
      </c>
      <c r="AA35" s="94" t="s">
        <v>818</v>
      </c>
      <c r="AB35" s="94"/>
      <c r="AC35" s="94"/>
      <c r="AD35" s="169"/>
      <c r="AE35" s="94"/>
      <c r="AF35" s="113"/>
      <c r="AG35" s="94"/>
      <c r="AH35" s="94"/>
      <c r="AI35" s="94"/>
      <c r="AJ35" s="94"/>
      <c r="AK35" s="5">
        <f t="shared" si="2"/>
        <v>17</v>
      </c>
      <c r="AL35" s="5">
        <f t="shared" si="3"/>
        <v>1</v>
      </c>
    </row>
    <row r="36" spans="1:38" ht="15.5" x14ac:dyDescent="0.3">
      <c r="A36" s="9">
        <v>12</v>
      </c>
      <c r="B36" s="11">
        <v>832</v>
      </c>
      <c r="C36" s="7" t="s">
        <v>185</v>
      </c>
      <c r="D36" s="7" t="s">
        <v>271</v>
      </c>
      <c r="E36" s="1" t="s">
        <v>723</v>
      </c>
      <c r="F36" s="156"/>
      <c r="G36" s="94" t="s">
        <v>818</v>
      </c>
      <c r="H36" s="94" t="s">
        <v>817</v>
      </c>
      <c r="I36" s="169"/>
      <c r="J36" s="94" t="s">
        <v>818</v>
      </c>
      <c r="K36" s="113" t="s">
        <v>818</v>
      </c>
      <c r="L36" s="94" t="s">
        <v>818</v>
      </c>
      <c r="M36" s="94" t="s">
        <v>818</v>
      </c>
      <c r="N36" s="94" t="s">
        <v>818</v>
      </c>
      <c r="O36" s="94" t="s">
        <v>818</v>
      </c>
      <c r="P36" s="169"/>
      <c r="Q36" s="94" t="s">
        <v>818</v>
      </c>
      <c r="R36" s="113" t="s">
        <v>818</v>
      </c>
      <c r="S36" s="94" t="s">
        <v>818</v>
      </c>
      <c r="T36" s="94" t="s">
        <v>818</v>
      </c>
      <c r="U36" s="94" t="s">
        <v>818</v>
      </c>
      <c r="V36" s="94" t="s">
        <v>818</v>
      </c>
      <c r="W36" s="169"/>
      <c r="X36" s="94" t="s">
        <v>818</v>
      </c>
      <c r="Y36" s="113" t="s">
        <v>818</v>
      </c>
      <c r="Z36" s="94" t="s">
        <v>818</v>
      </c>
      <c r="AA36" s="94" t="s">
        <v>818</v>
      </c>
      <c r="AB36" s="94"/>
      <c r="AC36" s="94"/>
      <c r="AD36" s="169"/>
      <c r="AE36" s="94"/>
      <c r="AF36" s="113"/>
      <c r="AG36" s="94"/>
      <c r="AH36" s="94"/>
      <c r="AI36" s="94"/>
      <c r="AJ36" s="94"/>
      <c r="AK36" s="5">
        <f t="shared" si="2"/>
        <v>17</v>
      </c>
      <c r="AL36" s="5">
        <f t="shared" si="3"/>
        <v>1</v>
      </c>
    </row>
    <row r="37" spans="1:38" ht="15.5" x14ac:dyDescent="0.3">
      <c r="A37" s="9">
        <v>13</v>
      </c>
      <c r="B37" s="11">
        <v>818</v>
      </c>
      <c r="C37" s="7" t="s">
        <v>272</v>
      </c>
      <c r="D37" s="7" t="s">
        <v>273</v>
      </c>
      <c r="E37" s="1" t="s">
        <v>723</v>
      </c>
      <c r="F37" s="156"/>
      <c r="G37" s="94" t="s">
        <v>818</v>
      </c>
      <c r="H37" s="94" t="s">
        <v>817</v>
      </c>
      <c r="I37" s="169"/>
      <c r="J37" s="94" t="s">
        <v>818</v>
      </c>
      <c r="K37" s="113" t="s">
        <v>817</v>
      </c>
      <c r="L37" s="94" t="s">
        <v>818</v>
      </c>
      <c r="M37" s="94" t="s">
        <v>818</v>
      </c>
      <c r="N37" s="94" t="s">
        <v>818</v>
      </c>
      <c r="O37" s="94" t="s">
        <v>818</v>
      </c>
      <c r="P37" s="169"/>
      <c r="Q37" s="94" t="s">
        <v>818</v>
      </c>
      <c r="R37" s="113" t="s">
        <v>818</v>
      </c>
      <c r="S37" s="94" t="s">
        <v>818</v>
      </c>
      <c r="T37" s="94" t="s">
        <v>818</v>
      </c>
      <c r="U37" s="94" t="s">
        <v>818</v>
      </c>
      <c r="V37" s="94" t="s">
        <v>818</v>
      </c>
      <c r="W37" s="169"/>
      <c r="X37" s="94" t="s">
        <v>818</v>
      </c>
      <c r="Y37" s="113" t="s">
        <v>818</v>
      </c>
      <c r="Z37" s="94" t="s">
        <v>818</v>
      </c>
      <c r="AA37" s="94" t="s">
        <v>818</v>
      </c>
      <c r="AB37" s="94"/>
      <c r="AC37" s="94"/>
      <c r="AD37" s="169"/>
      <c r="AE37" s="94"/>
      <c r="AF37" s="113"/>
      <c r="AG37" s="94"/>
      <c r="AH37" s="94"/>
      <c r="AI37" s="94"/>
      <c r="AJ37" s="94"/>
      <c r="AK37" s="5">
        <f t="shared" si="2"/>
        <v>16</v>
      </c>
      <c r="AL37" s="5">
        <f t="shared" si="3"/>
        <v>2</v>
      </c>
    </row>
    <row r="38" spans="1:38" ht="15.5" x14ac:dyDescent="0.3">
      <c r="A38" s="9">
        <v>14</v>
      </c>
      <c r="B38" s="11"/>
      <c r="C38" s="7" t="s">
        <v>274</v>
      </c>
      <c r="D38" s="7" t="s">
        <v>275</v>
      </c>
      <c r="E38" s="1" t="s">
        <v>723</v>
      </c>
      <c r="F38" s="156"/>
      <c r="G38" s="94" t="s">
        <v>817</v>
      </c>
      <c r="H38" s="94" t="s">
        <v>818</v>
      </c>
      <c r="I38" s="169"/>
      <c r="J38" s="94" t="s">
        <v>817</v>
      </c>
      <c r="K38" s="113" t="s">
        <v>818</v>
      </c>
      <c r="L38" s="94" t="s">
        <v>818</v>
      </c>
      <c r="M38" s="94" t="s">
        <v>818</v>
      </c>
      <c r="N38" s="94" t="s">
        <v>817</v>
      </c>
      <c r="O38" s="94" t="s">
        <v>818</v>
      </c>
      <c r="P38" s="169"/>
      <c r="Q38" s="94" t="s">
        <v>818</v>
      </c>
      <c r="R38" s="113" t="s">
        <v>818</v>
      </c>
      <c r="S38" s="94" t="s">
        <v>818</v>
      </c>
      <c r="T38" s="94" t="s">
        <v>818</v>
      </c>
      <c r="U38" s="94" t="s">
        <v>817</v>
      </c>
      <c r="V38" s="94" t="s">
        <v>818</v>
      </c>
      <c r="W38" s="169"/>
      <c r="X38" s="94" t="s">
        <v>818</v>
      </c>
      <c r="Y38" s="113" t="s">
        <v>818</v>
      </c>
      <c r="Z38" s="94" t="s">
        <v>817</v>
      </c>
      <c r="AA38" s="94" t="s">
        <v>817</v>
      </c>
      <c r="AB38" s="94"/>
      <c r="AC38" s="94"/>
      <c r="AD38" s="169"/>
      <c r="AE38" s="94"/>
      <c r="AF38" s="113"/>
      <c r="AG38" s="94"/>
      <c r="AH38" s="94"/>
      <c r="AI38" s="94"/>
      <c r="AJ38" s="94"/>
      <c r="AK38" s="5">
        <f t="shared" si="2"/>
        <v>12</v>
      </c>
      <c r="AL38" s="5">
        <f t="shared" si="3"/>
        <v>6</v>
      </c>
    </row>
    <row r="39" spans="1:38" ht="15.5" x14ac:dyDescent="0.3">
      <c r="A39" s="9">
        <v>15</v>
      </c>
      <c r="B39" s="11">
        <v>825</v>
      </c>
      <c r="C39" s="7" t="s">
        <v>276</v>
      </c>
      <c r="D39" s="7" t="s">
        <v>223</v>
      </c>
      <c r="E39" s="1" t="s">
        <v>723</v>
      </c>
      <c r="F39" s="156"/>
      <c r="G39" s="94" t="s">
        <v>818</v>
      </c>
      <c r="H39" s="94" t="s">
        <v>818</v>
      </c>
      <c r="I39" s="169"/>
      <c r="J39" s="94" t="s">
        <v>818</v>
      </c>
      <c r="K39" s="113" t="s">
        <v>818</v>
      </c>
      <c r="L39" s="94" t="s">
        <v>818</v>
      </c>
      <c r="M39" s="94" t="s">
        <v>818</v>
      </c>
      <c r="N39" s="94" t="s">
        <v>818</v>
      </c>
      <c r="O39" s="94" t="s">
        <v>817</v>
      </c>
      <c r="P39" s="169"/>
      <c r="Q39" s="94" t="s">
        <v>818</v>
      </c>
      <c r="R39" s="113" t="s">
        <v>818</v>
      </c>
      <c r="S39" s="94" t="s">
        <v>817</v>
      </c>
      <c r="T39" s="94" t="s">
        <v>818</v>
      </c>
      <c r="U39" s="94" t="s">
        <v>818</v>
      </c>
      <c r="V39" s="94" t="s">
        <v>818</v>
      </c>
      <c r="W39" s="169"/>
      <c r="X39" s="94" t="s">
        <v>818</v>
      </c>
      <c r="Y39" s="113" t="s">
        <v>818</v>
      </c>
      <c r="Z39" s="94" t="s">
        <v>818</v>
      </c>
      <c r="AA39" s="94" t="s">
        <v>818</v>
      </c>
      <c r="AB39" s="94"/>
      <c r="AC39" s="94"/>
      <c r="AD39" s="169"/>
      <c r="AE39" s="94"/>
      <c r="AF39" s="113"/>
      <c r="AG39" s="94"/>
      <c r="AH39" s="94"/>
      <c r="AI39" s="94"/>
      <c r="AJ39" s="94"/>
      <c r="AK39" s="5">
        <f t="shared" si="2"/>
        <v>16</v>
      </c>
      <c r="AL39" s="5">
        <f t="shared" si="3"/>
        <v>2</v>
      </c>
    </row>
    <row r="40" spans="1:38" ht="15.5" x14ac:dyDescent="0.3">
      <c r="A40" s="9">
        <v>16</v>
      </c>
      <c r="B40" s="11">
        <v>831</v>
      </c>
      <c r="C40" s="7" t="s">
        <v>277</v>
      </c>
      <c r="D40" s="7" t="s">
        <v>271</v>
      </c>
      <c r="E40" s="1" t="s">
        <v>723</v>
      </c>
      <c r="F40" s="156"/>
      <c r="G40" s="94" t="s">
        <v>818</v>
      </c>
      <c r="H40" s="94" t="s">
        <v>817</v>
      </c>
      <c r="I40" s="169"/>
      <c r="J40" s="94" t="s">
        <v>818</v>
      </c>
      <c r="K40" s="113" t="s">
        <v>818</v>
      </c>
      <c r="L40" s="94" t="s">
        <v>818</v>
      </c>
      <c r="M40" s="94" t="s">
        <v>818</v>
      </c>
      <c r="N40" s="94" t="s">
        <v>818</v>
      </c>
      <c r="O40" s="94" t="s">
        <v>818</v>
      </c>
      <c r="P40" s="169"/>
      <c r="Q40" s="94" t="s">
        <v>818</v>
      </c>
      <c r="R40" s="113" t="s">
        <v>818</v>
      </c>
      <c r="S40" s="94" t="s">
        <v>817</v>
      </c>
      <c r="T40" s="94" t="s">
        <v>818</v>
      </c>
      <c r="U40" s="94" t="s">
        <v>818</v>
      </c>
      <c r="V40" s="94" t="s">
        <v>818</v>
      </c>
      <c r="W40" s="169"/>
      <c r="X40" s="94" t="s">
        <v>818</v>
      </c>
      <c r="Y40" s="113" t="s">
        <v>818</v>
      </c>
      <c r="Z40" s="94" t="s">
        <v>818</v>
      </c>
      <c r="AA40" s="94" t="s">
        <v>818</v>
      </c>
      <c r="AB40" s="94"/>
      <c r="AC40" s="94"/>
      <c r="AD40" s="169"/>
      <c r="AE40" s="94"/>
      <c r="AF40" s="113"/>
      <c r="AG40" s="94"/>
      <c r="AH40" s="94"/>
      <c r="AI40" s="94"/>
      <c r="AJ40" s="94"/>
      <c r="AK40" s="5">
        <f t="shared" si="2"/>
        <v>16</v>
      </c>
      <c r="AL40" s="5">
        <f t="shared" si="3"/>
        <v>2</v>
      </c>
    </row>
    <row r="41" spans="1:38" ht="15.5" x14ac:dyDescent="0.3">
      <c r="A41" s="9">
        <v>17</v>
      </c>
      <c r="B41" s="11">
        <v>833</v>
      </c>
      <c r="C41" s="7" t="s">
        <v>278</v>
      </c>
      <c r="D41" s="7" t="s">
        <v>279</v>
      </c>
      <c r="E41" s="1" t="s">
        <v>723</v>
      </c>
      <c r="F41" s="156"/>
      <c r="G41" s="94" t="s">
        <v>818</v>
      </c>
      <c r="H41" s="94" t="s">
        <v>818</v>
      </c>
      <c r="I41" s="169"/>
      <c r="J41" s="94" t="s">
        <v>818</v>
      </c>
      <c r="K41" s="113" t="s">
        <v>818</v>
      </c>
      <c r="L41" s="94" t="s">
        <v>818</v>
      </c>
      <c r="M41" s="94" t="s">
        <v>818</v>
      </c>
      <c r="N41" s="94" t="s">
        <v>818</v>
      </c>
      <c r="O41" s="94" t="s">
        <v>818</v>
      </c>
      <c r="P41" s="169"/>
      <c r="Q41" s="94" t="s">
        <v>818</v>
      </c>
      <c r="R41" s="113" t="s">
        <v>818</v>
      </c>
      <c r="S41" s="94" t="s">
        <v>818</v>
      </c>
      <c r="T41" s="94" t="s">
        <v>818</v>
      </c>
      <c r="U41" s="94" t="s">
        <v>818</v>
      </c>
      <c r="V41" s="94" t="s">
        <v>817</v>
      </c>
      <c r="W41" s="169"/>
      <c r="X41" s="94" t="s">
        <v>818</v>
      </c>
      <c r="Y41" s="113" t="s">
        <v>818</v>
      </c>
      <c r="Z41" s="94" t="s">
        <v>818</v>
      </c>
      <c r="AA41" s="94" t="s">
        <v>818</v>
      </c>
      <c r="AB41" s="94"/>
      <c r="AC41" s="94"/>
      <c r="AD41" s="169"/>
      <c r="AE41" s="94"/>
      <c r="AF41" s="113"/>
      <c r="AG41" s="94"/>
      <c r="AH41" s="94"/>
      <c r="AI41" s="94"/>
      <c r="AJ41" s="94"/>
      <c r="AK41" s="5">
        <f t="shared" si="2"/>
        <v>17</v>
      </c>
      <c r="AL41" s="5">
        <f t="shared" si="3"/>
        <v>1</v>
      </c>
    </row>
    <row r="42" spans="1:38" ht="15.5" x14ac:dyDescent="0.3">
      <c r="A42" s="9">
        <v>18</v>
      </c>
      <c r="B42" s="11">
        <v>830</v>
      </c>
      <c r="C42" s="7" t="s">
        <v>280</v>
      </c>
      <c r="D42" s="7" t="s">
        <v>281</v>
      </c>
      <c r="E42" s="1" t="s">
        <v>723</v>
      </c>
      <c r="F42" s="156"/>
      <c r="G42" s="94" t="s">
        <v>818</v>
      </c>
      <c r="H42" s="94" t="s">
        <v>818</v>
      </c>
      <c r="I42" s="169"/>
      <c r="J42" s="94" t="s">
        <v>818</v>
      </c>
      <c r="K42" s="113" t="s">
        <v>818</v>
      </c>
      <c r="L42" s="94" t="s">
        <v>818</v>
      </c>
      <c r="M42" s="94" t="s">
        <v>818</v>
      </c>
      <c r="N42" s="94" t="s">
        <v>818</v>
      </c>
      <c r="O42" s="94" t="s">
        <v>818</v>
      </c>
      <c r="P42" s="169"/>
      <c r="Q42" s="94" t="s">
        <v>818</v>
      </c>
      <c r="R42" s="113" t="s">
        <v>818</v>
      </c>
      <c r="S42" s="94" t="s">
        <v>818</v>
      </c>
      <c r="T42" s="94" t="s">
        <v>818</v>
      </c>
      <c r="U42" s="94" t="s">
        <v>818</v>
      </c>
      <c r="V42" s="94" t="s">
        <v>818</v>
      </c>
      <c r="W42" s="169"/>
      <c r="X42" s="94" t="s">
        <v>818</v>
      </c>
      <c r="Y42" s="113" t="s">
        <v>818</v>
      </c>
      <c r="Z42" s="94" t="s">
        <v>818</v>
      </c>
      <c r="AA42" s="94" t="s">
        <v>818</v>
      </c>
      <c r="AB42" s="94"/>
      <c r="AC42" s="94"/>
      <c r="AD42" s="169"/>
      <c r="AE42" s="94"/>
      <c r="AF42" s="113"/>
      <c r="AG42" s="94"/>
      <c r="AH42" s="94"/>
      <c r="AI42" s="94"/>
      <c r="AJ42" s="94"/>
      <c r="AK42" s="5">
        <f t="shared" si="2"/>
        <v>18</v>
      </c>
      <c r="AL42" s="5">
        <f t="shared" si="3"/>
        <v>0</v>
      </c>
    </row>
    <row r="43" spans="1:38" ht="15.5" x14ac:dyDescent="0.3">
      <c r="A43" s="9">
        <v>19</v>
      </c>
      <c r="B43" s="11">
        <v>813</v>
      </c>
      <c r="C43" s="7" t="s">
        <v>282</v>
      </c>
      <c r="D43" s="7" t="s">
        <v>283</v>
      </c>
      <c r="E43" s="1" t="s">
        <v>723</v>
      </c>
      <c r="F43" s="156"/>
      <c r="G43" s="94" t="s">
        <v>817</v>
      </c>
      <c r="H43" s="94" t="s">
        <v>817</v>
      </c>
      <c r="I43" s="169"/>
      <c r="J43" s="94" t="s">
        <v>817</v>
      </c>
      <c r="K43" s="113" t="s">
        <v>817</v>
      </c>
      <c r="L43" s="94" t="s">
        <v>817</v>
      </c>
      <c r="M43" s="94" t="s">
        <v>817</v>
      </c>
      <c r="N43" s="94" t="s">
        <v>817</v>
      </c>
      <c r="O43" s="94" t="s">
        <v>817</v>
      </c>
      <c r="P43" s="169"/>
      <c r="Q43" s="94" t="s">
        <v>817</v>
      </c>
      <c r="R43" s="113" t="s">
        <v>817</v>
      </c>
      <c r="S43" s="94" t="s">
        <v>817</v>
      </c>
      <c r="T43" s="94" t="s">
        <v>817</v>
      </c>
      <c r="U43" s="94" t="s">
        <v>817</v>
      </c>
      <c r="V43" s="94" t="s">
        <v>817</v>
      </c>
      <c r="W43" s="169"/>
      <c r="X43" s="94" t="s">
        <v>817</v>
      </c>
      <c r="Y43" s="113" t="s">
        <v>817</v>
      </c>
      <c r="Z43" s="94" t="s">
        <v>817</v>
      </c>
      <c r="AA43" s="94" t="s">
        <v>817</v>
      </c>
      <c r="AB43" s="94"/>
      <c r="AC43" s="94"/>
      <c r="AD43" s="169"/>
      <c r="AE43" s="94"/>
      <c r="AF43" s="113"/>
      <c r="AG43" s="94"/>
      <c r="AH43" s="94"/>
      <c r="AI43" s="94"/>
      <c r="AJ43" s="94"/>
      <c r="AK43" s="5">
        <f t="shared" si="2"/>
        <v>0</v>
      </c>
      <c r="AL43" s="5">
        <f t="shared" si="3"/>
        <v>18</v>
      </c>
    </row>
    <row r="44" spans="1:38" ht="15.5" x14ac:dyDescent="0.3">
      <c r="A44" s="9">
        <v>20</v>
      </c>
      <c r="B44" s="11"/>
      <c r="C44" s="7" t="s">
        <v>284</v>
      </c>
      <c r="D44" s="7" t="s">
        <v>285</v>
      </c>
      <c r="E44" s="1" t="s">
        <v>723</v>
      </c>
      <c r="F44" s="156"/>
      <c r="G44" s="94" t="s">
        <v>818</v>
      </c>
      <c r="H44" s="94" t="s">
        <v>817</v>
      </c>
      <c r="I44" s="169"/>
      <c r="J44" s="94" t="s">
        <v>818</v>
      </c>
      <c r="K44" s="113" t="s">
        <v>818</v>
      </c>
      <c r="L44" s="94" t="s">
        <v>818</v>
      </c>
      <c r="M44" s="94" t="s">
        <v>818</v>
      </c>
      <c r="N44" s="94" t="s">
        <v>818</v>
      </c>
      <c r="O44" s="94" t="s">
        <v>818</v>
      </c>
      <c r="P44" s="169"/>
      <c r="Q44" s="94" t="s">
        <v>818</v>
      </c>
      <c r="R44" s="113" t="s">
        <v>818</v>
      </c>
      <c r="S44" s="94" t="s">
        <v>818</v>
      </c>
      <c r="T44" s="94" t="s">
        <v>818</v>
      </c>
      <c r="U44" s="94" t="s">
        <v>818</v>
      </c>
      <c r="V44" s="94" t="s">
        <v>818</v>
      </c>
      <c r="W44" s="169"/>
      <c r="X44" s="94" t="s">
        <v>818</v>
      </c>
      <c r="Y44" s="113" t="s">
        <v>818</v>
      </c>
      <c r="Z44" s="94" t="s">
        <v>818</v>
      </c>
      <c r="AA44" s="94" t="s">
        <v>818</v>
      </c>
      <c r="AB44" s="94"/>
      <c r="AC44" s="94"/>
      <c r="AD44" s="169"/>
      <c r="AE44" s="94"/>
      <c r="AF44" s="113"/>
      <c r="AG44" s="94"/>
      <c r="AH44" s="94"/>
      <c r="AI44" s="94"/>
      <c r="AJ44" s="94"/>
      <c r="AK44" s="5">
        <f t="shared" si="2"/>
        <v>17</v>
      </c>
      <c r="AL44" s="5">
        <f t="shared" si="3"/>
        <v>1</v>
      </c>
    </row>
    <row r="45" spans="1:38" ht="15.5" x14ac:dyDescent="0.3">
      <c r="A45" s="9">
        <v>21</v>
      </c>
      <c r="B45" s="11">
        <v>804</v>
      </c>
      <c r="C45" s="7" t="s">
        <v>286</v>
      </c>
      <c r="D45" s="7" t="s">
        <v>287</v>
      </c>
      <c r="E45" s="1" t="s">
        <v>723</v>
      </c>
      <c r="F45" s="156"/>
      <c r="G45" s="94" t="s">
        <v>817</v>
      </c>
      <c r="H45" s="94" t="s">
        <v>817</v>
      </c>
      <c r="I45" s="169"/>
      <c r="J45" s="94" t="s">
        <v>817</v>
      </c>
      <c r="K45" s="113" t="s">
        <v>817</v>
      </c>
      <c r="L45" s="94" t="s">
        <v>817</v>
      </c>
      <c r="M45" s="94" t="s">
        <v>818</v>
      </c>
      <c r="N45" s="94" t="s">
        <v>818</v>
      </c>
      <c r="O45" s="94" t="s">
        <v>818</v>
      </c>
      <c r="P45" s="169"/>
      <c r="Q45" s="94" t="s">
        <v>818</v>
      </c>
      <c r="R45" s="113" t="s">
        <v>818</v>
      </c>
      <c r="S45" s="94" t="s">
        <v>818</v>
      </c>
      <c r="T45" s="94" t="s">
        <v>818</v>
      </c>
      <c r="U45" s="94" t="s">
        <v>818</v>
      </c>
      <c r="V45" s="94" t="s">
        <v>818</v>
      </c>
      <c r="W45" s="169"/>
      <c r="X45" s="94" t="s">
        <v>818</v>
      </c>
      <c r="Y45" s="113" t="s">
        <v>818</v>
      </c>
      <c r="Z45" s="94" t="s">
        <v>818</v>
      </c>
      <c r="AA45" s="94" t="s">
        <v>818</v>
      </c>
      <c r="AB45" s="94"/>
      <c r="AC45" s="94"/>
      <c r="AD45" s="169"/>
      <c r="AE45" s="94"/>
      <c r="AF45" s="113"/>
      <c r="AG45" s="94"/>
      <c r="AH45" s="94"/>
      <c r="AI45" s="94"/>
      <c r="AJ45" s="94"/>
      <c r="AK45" s="5">
        <f t="shared" si="2"/>
        <v>13</v>
      </c>
      <c r="AL45" s="5">
        <f t="shared" si="3"/>
        <v>5</v>
      </c>
    </row>
    <row r="46" spans="1:38" ht="15.5" x14ac:dyDescent="0.3">
      <c r="A46" s="9">
        <v>22</v>
      </c>
      <c r="B46" s="11">
        <v>794</v>
      </c>
      <c r="C46" s="7" t="s">
        <v>288</v>
      </c>
      <c r="D46" s="7" t="s">
        <v>289</v>
      </c>
      <c r="E46" s="1" t="s">
        <v>723</v>
      </c>
      <c r="F46" s="156"/>
      <c r="G46" s="94" t="s">
        <v>817</v>
      </c>
      <c r="H46" s="94" t="s">
        <v>817</v>
      </c>
      <c r="I46" s="169"/>
      <c r="J46" s="94" t="s">
        <v>818</v>
      </c>
      <c r="K46" s="113" t="s">
        <v>818</v>
      </c>
      <c r="L46" s="94" t="s">
        <v>818</v>
      </c>
      <c r="M46" s="94" t="s">
        <v>818</v>
      </c>
      <c r="N46" s="94" t="s">
        <v>818</v>
      </c>
      <c r="O46" s="94" t="s">
        <v>818</v>
      </c>
      <c r="P46" s="169"/>
      <c r="Q46" s="94" t="s">
        <v>818</v>
      </c>
      <c r="R46" s="113" t="s">
        <v>818</v>
      </c>
      <c r="S46" s="94" t="s">
        <v>817</v>
      </c>
      <c r="T46" s="94" t="s">
        <v>818</v>
      </c>
      <c r="U46" s="94" t="s">
        <v>817</v>
      </c>
      <c r="V46" s="94" t="s">
        <v>818</v>
      </c>
      <c r="W46" s="169"/>
      <c r="X46" s="94" t="s">
        <v>817</v>
      </c>
      <c r="Y46" s="113" t="s">
        <v>818</v>
      </c>
      <c r="Z46" s="94" t="s">
        <v>817</v>
      </c>
      <c r="AA46" s="94" t="s">
        <v>818</v>
      </c>
      <c r="AB46" s="94"/>
      <c r="AC46" s="94"/>
      <c r="AD46" s="169"/>
      <c r="AE46" s="94"/>
      <c r="AF46" s="113"/>
      <c r="AG46" s="94"/>
      <c r="AH46" s="94"/>
      <c r="AI46" s="94"/>
      <c r="AJ46" s="94"/>
      <c r="AK46" s="5">
        <f t="shared" si="2"/>
        <v>12</v>
      </c>
      <c r="AL46" s="5">
        <f t="shared" si="3"/>
        <v>6</v>
      </c>
    </row>
    <row r="47" spans="1:38" ht="15.5" x14ac:dyDescent="0.3">
      <c r="A47" s="9">
        <v>23</v>
      </c>
      <c r="B47" s="11">
        <v>826</v>
      </c>
      <c r="C47" s="7" t="s">
        <v>290</v>
      </c>
      <c r="D47" s="7" t="s">
        <v>291</v>
      </c>
      <c r="E47" s="1" t="s">
        <v>723</v>
      </c>
      <c r="F47" s="156"/>
      <c r="G47" s="94" t="s">
        <v>818</v>
      </c>
      <c r="H47" s="94" t="s">
        <v>818</v>
      </c>
      <c r="I47" s="169"/>
      <c r="J47" s="94" t="s">
        <v>818</v>
      </c>
      <c r="K47" s="113" t="s">
        <v>818</v>
      </c>
      <c r="L47" s="94" t="s">
        <v>818</v>
      </c>
      <c r="M47" s="94" t="s">
        <v>818</v>
      </c>
      <c r="N47" s="94" t="s">
        <v>818</v>
      </c>
      <c r="O47" s="94" t="s">
        <v>818</v>
      </c>
      <c r="P47" s="169"/>
      <c r="Q47" s="94" t="s">
        <v>818</v>
      </c>
      <c r="R47" s="113" t="s">
        <v>818</v>
      </c>
      <c r="S47" s="94" t="s">
        <v>818</v>
      </c>
      <c r="T47" s="94" t="s">
        <v>818</v>
      </c>
      <c r="U47" s="94" t="s">
        <v>818</v>
      </c>
      <c r="V47" s="94" t="s">
        <v>818</v>
      </c>
      <c r="W47" s="169"/>
      <c r="X47" s="94" t="s">
        <v>818</v>
      </c>
      <c r="Y47" s="113" t="s">
        <v>818</v>
      </c>
      <c r="Z47" s="94" t="s">
        <v>818</v>
      </c>
      <c r="AA47" s="94" t="s">
        <v>818</v>
      </c>
      <c r="AB47" s="94"/>
      <c r="AC47" s="94"/>
      <c r="AD47" s="169"/>
      <c r="AE47" s="94"/>
      <c r="AF47" s="113"/>
      <c r="AG47" s="94"/>
      <c r="AH47" s="94"/>
      <c r="AI47" s="94"/>
      <c r="AJ47" s="94"/>
      <c r="AK47" s="5">
        <f t="shared" si="2"/>
        <v>18</v>
      </c>
      <c r="AL47" s="5">
        <f t="shared" si="3"/>
        <v>0</v>
      </c>
    </row>
    <row r="48" spans="1:38" ht="15.5" x14ac:dyDescent="0.3">
      <c r="A48" s="9">
        <v>24</v>
      </c>
      <c r="B48" s="11">
        <v>803</v>
      </c>
      <c r="C48" s="7" t="s">
        <v>292</v>
      </c>
      <c r="D48" s="7" t="s">
        <v>293</v>
      </c>
      <c r="E48" s="1" t="s">
        <v>723</v>
      </c>
      <c r="F48" s="156"/>
      <c r="G48" s="94" t="s">
        <v>817</v>
      </c>
      <c r="H48" s="94" t="s">
        <v>818</v>
      </c>
      <c r="I48" s="169"/>
      <c r="J48" s="94" t="s">
        <v>818</v>
      </c>
      <c r="K48" s="113" t="s">
        <v>817</v>
      </c>
      <c r="L48" s="94" t="s">
        <v>818</v>
      </c>
      <c r="M48" s="94" t="s">
        <v>818</v>
      </c>
      <c r="N48" s="94" t="s">
        <v>818</v>
      </c>
      <c r="O48" s="94" t="s">
        <v>818</v>
      </c>
      <c r="P48" s="169"/>
      <c r="Q48" s="94" t="s">
        <v>818</v>
      </c>
      <c r="R48" s="113" t="s">
        <v>818</v>
      </c>
      <c r="S48" s="94" t="s">
        <v>818</v>
      </c>
      <c r="T48" s="94" t="s">
        <v>817</v>
      </c>
      <c r="U48" s="94" t="s">
        <v>818</v>
      </c>
      <c r="V48" s="94" t="s">
        <v>817</v>
      </c>
      <c r="W48" s="169"/>
      <c r="X48" s="94" t="s">
        <v>819</v>
      </c>
      <c r="Y48" s="113" t="s">
        <v>818</v>
      </c>
      <c r="Z48" s="94" t="s">
        <v>818</v>
      </c>
      <c r="AA48" s="94" t="s">
        <v>817</v>
      </c>
      <c r="AB48" s="94"/>
      <c r="AC48" s="94"/>
      <c r="AD48" s="169"/>
      <c r="AE48" s="94"/>
      <c r="AF48" s="113"/>
      <c r="AG48" s="94"/>
      <c r="AH48" s="94"/>
      <c r="AI48" s="94"/>
      <c r="AJ48" s="94"/>
      <c r="AK48" s="5">
        <f t="shared" si="2"/>
        <v>12</v>
      </c>
      <c r="AL48" s="5">
        <f t="shared" si="3"/>
        <v>5</v>
      </c>
    </row>
    <row r="49" spans="1:38" ht="15.5" x14ac:dyDescent="0.3">
      <c r="A49" s="9">
        <v>25</v>
      </c>
      <c r="B49" s="11">
        <v>810</v>
      </c>
      <c r="C49" s="7" t="s">
        <v>294</v>
      </c>
      <c r="D49" s="7" t="s">
        <v>295</v>
      </c>
      <c r="E49" s="1" t="s">
        <v>723</v>
      </c>
      <c r="F49" s="156"/>
      <c r="G49" s="94" t="s">
        <v>817</v>
      </c>
      <c r="H49" s="94" t="s">
        <v>818</v>
      </c>
      <c r="I49" s="169"/>
      <c r="J49" s="94" t="s">
        <v>818</v>
      </c>
      <c r="K49" s="113" t="s">
        <v>818</v>
      </c>
      <c r="L49" s="94" t="s">
        <v>817</v>
      </c>
      <c r="M49" s="94" t="s">
        <v>817</v>
      </c>
      <c r="N49" s="94" t="s">
        <v>818</v>
      </c>
      <c r="O49" s="94" t="s">
        <v>818</v>
      </c>
      <c r="P49" s="169"/>
      <c r="Q49" s="94" t="s">
        <v>818</v>
      </c>
      <c r="R49" s="113" t="s">
        <v>818</v>
      </c>
      <c r="S49" s="94" t="s">
        <v>818</v>
      </c>
      <c r="T49" s="94" t="s">
        <v>818</v>
      </c>
      <c r="U49" s="94" t="s">
        <v>818</v>
      </c>
      <c r="V49" s="94" t="s">
        <v>818</v>
      </c>
      <c r="W49" s="169"/>
      <c r="X49" s="94" t="s">
        <v>818</v>
      </c>
      <c r="Y49" s="113" t="s">
        <v>818</v>
      </c>
      <c r="Z49" s="94" t="s">
        <v>818</v>
      </c>
      <c r="AA49" s="94" t="s">
        <v>818</v>
      </c>
      <c r="AB49" s="94"/>
      <c r="AC49" s="94"/>
      <c r="AD49" s="169"/>
      <c r="AE49" s="94"/>
      <c r="AF49" s="113"/>
      <c r="AG49" s="94"/>
      <c r="AH49" s="94"/>
      <c r="AI49" s="94"/>
      <c r="AJ49" s="94"/>
      <c r="AK49" s="5">
        <f t="shared" si="2"/>
        <v>15</v>
      </c>
      <c r="AL49" s="5">
        <f t="shared" si="3"/>
        <v>3</v>
      </c>
    </row>
    <row r="50" spans="1:38" ht="15.5" x14ac:dyDescent="0.3">
      <c r="A50" s="9">
        <v>26</v>
      </c>
      <c r="B50" s="11">
        <v>834</v>
      </c>
      <c r="C50" s="7" t="s">
        <v>296</v>
      </c>
      <c r="D50" s="7" t="s">
        <v>297</v>
      </c>
      <c r="E50" s="1" t="s">
        <v>723</v>
      </c>
      <c r="F50" s="156"/>
      <c r="G50" s="94" t="s">
        <v>818</v>
      </c>
      <c r="H50" s="94" t="s">
        <v>817</v>
      </c>
      <c r="I50" s="169"/>
      <c r="J50" s="94" t="s">
        <v>818</v>
      </c>
      <c r="K50" s="113" t="s">
        <v>818</v>
      </c>
      <c r="L50" s="94" t="s">
        <v>817</v>
      </c>
      <c r="M50" s="94" t="s">
        <v>818</v>
      </c>
      <c r="N50" s="94" t="s">
        <v>818</v>
      </c>
      <c r="O50" s="94" t="s">
        <v>818</v>
      </c>
      <c r="P50" s="169"/>
      <c r="Q50" s="94" t="s">
        <v>818</v>
      </c>
      <c r="R50" s="113" t="s">
        <v>818</v>
      </c>
      <c r="S50" s="94" t="s">
        <v>817</v>
      </c>
      <c r="T50" s="94" t="s">
        <v>818</v>
      </c>
      <c r="U50" s="94" t="s">
        <v>817</v>
      </c>
      <c r="V50" s="94" t="s">
        <v>818</v>
      </c>
      <c r="W50" s="169"/>
      <c r="X50" s="94" t="s">
        <v>818</v>
      </c>
      <c r="Y50" s="113" t="s">
        <v>818</v>
      </c>
      <c r="Z50" s="94" t="s">
        <v>818</v>
      </c>
      <c r="AA50" s="94" t="s">
        <v>818</v>
      </c>
      <c r="AB50" s="94"/>
      <c r="AC50" s="94"/>
      <c r="AD50" s="169"/>
      <c r="AE50" s="94"/>
      <c r="AF50" s="113"/>
      <c r="AG50" s="94"/>
      <c r="AH50" s="94"/>
      <c r="AI50" s="94"/>
      <c r="AJ50" s="94"/>
      <c r="AK50" s="5">
        <f t="shared" si="2"/>
        <v>14</v>
      </c>
      <c r="AL50" s="5">
        <f t="shared" si="3"/>
        <v>4</v>
      </c>
    </row>
    <row r="51" spans="1:38" ht="15.5" x14ac:dyDescent="0.3">
      <c r="A51" s="9">
        <v>27</v>
      </c>
      <c r="B51" s="11">
        <v>806</v>
      </c>
      <c r="C51" s="7" t="s">
        <v>298</v>
      </c>
      <c r="D51" s="7" t="s">
        <v>34</v>
      </c>
      <c r="E51" s="1" t="s">
        <v>723</v>
      </c>
      <c r="F51" s="156"/>
      <c r="G51" s="94" t="s">
        <v>818</v>
      </c>
      <c r="H51" s="94" t="s">
        <v>818</v>
      </c>
      <c r="I51" s="169"/>
      <c r="J51" s="94" t="s">
        <v>818</v>
      </c>
      <c r="K51" s="113" t="s">
        <v>818</v>
      </c>
      <c r="L51" s="94" t="s">
        <v>818</v>
      </c>
      <c r="M51" s="94" t="s">
        <v>818</v>
      </c>
      <c r="N51" s="94" t="s">
        <v>818</v>
      </c>
      <c r="O51" s="94" t="s">
        <v>818</v>
      </c>
      <c r="P51" s="169"/>
      <c r="Q51" s="94" t="s">
        <v>818</v>
      </c>
      <c r="R51" s="113" t="s">
        <v>818</v>
      </c>
      <c r="S51" s="94" t="s">
        <v>818</v>
      </c>
      <c r="T51" s="94" t="s">
        <v>818</v>
      </c>
      <c r="U51" s="94" t="s">
        <v>818</v>
      </c>
      <c r="V51" s="94" t="s">
        <v>818</v>
      </c>
      <c r="W51" s="169"/>
      <c r="X51" s="94" t="s">
        <v>818</v>
      </c>
      <c r="Y51" s="113" t="s">
        <v>818</v>
      </c>
      <c r="Z51" s="94" t="s">
        <v>818</v>
      </c>
      <c r="AA51" s="94" t="s">
        <v>817</v>
      </c>
      <c r="AB51" s="94"/>
      <c r="AC51" s="94"/>
      <c r="AD51" s="169"/>
      <c r="AE51" s="94"/>
      <c r="AF51" s="113"/>
      <c r="AG51" s="94"/>
      <c r="AH51" s="94"/>
      <c r="AI51" s="94"/>
      <c r="AJ51" s="94"/>
      <c r="AK51" s="5">
        <f t="shared" si="2"/>
        <v>17</v>
      </c>
      <c r="AL51" s="5">
        <f t="shared" si="3"/>
        <v>1</v>
      </c>
    </row>
    <row r="52" spans="1:38" ht="15.5" x14ac:dyDescent="0.3">
      <c r="A52" s="9">
        <v>28</v>
      </c>
      <c r="B52" s="11">
        <v>799</v>
      </c>
      <c r="C52" s="7" t="s">
        <v>299</v>
      </c>
      <c r="D52" s="7" t="s">
        <v>300</v>
      </c>
      <c r="E52" s="1" t="s">
        <v>723</v>
      </c>
      <c r="F52" s="156"/>
      <c r="G52" s="94" t="s">
        <v>818</v>
      </c>
      <c r="H52" s="94" t="s">
        <v>817</v>
      </c>
      <c r="I52" s="169"/>
      <c r="J52" s="94" t="s">
        <v>818</v>
      </c>
      <c r="K52" s="113" t="s">
        <v>818</v>
      </c>
      <c r="L52" s="94" t="s">
        <v>818</v>
      </c>
      <c r="M52" s="94" t="s">
        <v>818</v>
      </c>
      <c r="N52" s="94" t="s">
        <v>818</v>
      </c>
      <c r="O52" s="94" t="s">
        <v>818</v>
      </c>
      <c r="P52" s="169"/>
      <c r="Q52" s="94" t="s">
        <v>818</v>
      </c>
      <c r="R52" s="113" t="s">
        <v>818</v>
      </c>
      <c r="S52" s="94" t="s">
        <v>818</v>
      </c>
      <c r="T52" s="94" t="s">
        <v>818</v>
      </c>
      <c r="U52" s="94" t="s">
        <v>818</v>
      </c>
      <c r="V52" s="94" t="s">
        <v>818</v>
      </c>
      <c r="W52" s="169"/>
      <c r="X52" s="94" t="s">
        <v>818</v>
      </c>
      <c r="Y52" s="113" t="s">
        <v>818</v>
      </c>
      <c r="Z52" s="94" t="s">
        <v>818</v>
      </c>
      <c r="AA52" s="94" t="s">
        <v>818</v>
      </c>
      <c r="AB52" s="94"/>
      <c r="AC52" s="94"/>
      <c r="AD52" s="169"/>
      <c r="AE52" s="94"/>
      <c r="AF52" s="113"/>
      <c r="AG52" s="94"/>
      <c r="AH52" s="94"/>
      <c r="AI52" s="94"/>
      <c r="AJ52" s="94"/>
      <c r="AK52" s="5">
        <f t="shared" si="2"/>
        <v>17</v>
      </c>
      <c r="AL52" s="5">
        <f t="shared" si="3"/>
        <v>1</v>
      </c>
    </row>
    <row r="53" spans="1:38" ht="15.5" x14ac:dyDescent="0.3">
      <c r="A53" s="9">
        <v>29</v>
      </c>
      <c r="B53" s="11">
        <v>805</v>
      </c>
      <c r="C53" s="7" t="s">
        <v>824</v>
      </c>
      <c r="D53" s="7" t="s">
        <v>139</v>
      </c>
      <c r="E53" s="1" t="s">
        <v>723</v>
      </c>
      <c r="F53" s="156"/>
      <c r="G53" s="94" t="s">
        <v>818</v>
      </c>
      <c r="H53" s="94" t="s">
        <v>818</v>
      </c>
      <c r="I53" s="169"/>
      <c r="J53" s="94" t="s">
        <v>818</v>
      </c>
      <c r="K53" s="113" t="s">
        <v>818</v>
      </c>
      <c r="L53" s="94" t="s">
        <v>818</v>
      </c>
      <c r="M53" s="94" t="s">
        <v>818</v>
      </c>
      <c r="N53" s="94" t="s">
        <v>818</v>
      </c>
      <c r="O53" s="94" t="s">
        <v>818</v>
      </c>
      <c r="P53" s="169"/>
      <c r="Q53" s="94" t="s">
        <v>818</v>
      </c>
      <c r="R53" s="113" t="s">
        <v>818</v>
      </c>
      <c r="S53" s="94" t="s">
        <v>818</v>
      </c>
      <c r="T53" s="94" t="s">
        <v>818</v>
      </c>
      <c r="U53" s="94" t="s">
        <v>818</v>
      </c>
      <c r="V53" s="94" t="s">
        <v>818</v>
      </c>
      <c r="W53" s="169"/>
      <c r="X53" s="94" t="s">
        <v>819</v>
      </c>
      <c r="Y53" s="113" t="s">
        <v>819</v>
      </c>
      <c r="Z53" s="94" t="s">
        <v>819</v>
      </c>
      <c r="AA53" s="94" t="s">
        <v>819</v>
      </c>
      <c r="AB53" s="94"/>
      <c r="AC53" s="94"/>
      <c r="AD53" s="169"/>
      <c r="AE53" s="94"/>
      <c r="AF53" s="113"/>
      <c r="AG53" s="94"/>
      <c r="AH53" s="94"/>
      <c r="AI53" s="94"/>
      <c r="AJ53" s="94"/>
      <c r="AK53" s="5">
        <f t="shared" si="2"/>
        <v>14</v>
      </c>
      <c r="AL53" s="5">
        <f t="shared" si="3"/>
        <v>0</v>
      </c>
    </row>
    <row r="54" spans="1:38" ht="15.5" x14ac:dyDescent="0.3">
      <c r="A54" s="9">
        <v>30</v>
      </c>
      <c r="B54" s="11"/>
      <c r="C54" s="7" t="s">
        <v>302</v>
      </c>
      <c r="D54" s="7" t="s">
        <v>836</v>
      </c>
      <c r="E54" s="1" t="s">
        <v>723</v>
      </c>
      <c r="F54" s="157"/>
      <c r="G54" s="94" t="s">
        <v>817</v>
      </c>
      <c r="H54" s="94" t="s">
        <v>817</v>
      </c>
      <c r="I54" s="176"/>
      <c r="J54" s="94" t="s">
        <v>818</v>
      </c>
      <c r="K54" s="113" t="s">
        <v>818</v>
      </c>
      <c r="L54" s="94" t="s">
        <v>817</v>
      </c>
      <c r="M54" s="94" t="s">
        <v>818</v>
      </c>
      <c r="N54" s="94" t="s">
        <v>818</v>
      </c>
      <c r="O54" s="94" t="s">
        <v>817</v>
      </c>
      <c r="P54" s="176"/>
      <c r="Q54" s="94" t="s">
        <v>818</v>
      </c>
      <c r="R54" s="113" t="s">
        <v>818</v>
      </c>
      <c r="S54" s="94" t="s">
        <v>818</v>
      </c>
      <c r="T54" s="94" t="s">
        <v>818</v>
      </c>
      <c r="U54" s="94" t="s">
        <v>817</v>
      </c>
      <c r="V54" s="94" t="s">
        <v>817</v>
      </c>
      <c r="W54" s="176"/>
      <c r="X54" s="94" t="s">
        <v>818</v>
      </c>
      <c r="Y54" s="113" t="s">
        <v>818</v>
      </c>
      <c r="Z54" s="94" t="s">
        <v>818</v>
      </c>
      <c r="AA54" s="94" t="s">
        <v>818</v>
      </c>
      <c r="AB54" s="94"/>
      <c r="AC54" s="94"/>
      <c r="AD54" s="176"/>
      <c r="AE54" s="94"/>
      <c r="AF54" s="113"/>
      <c r="AG54" s="94"/>
      <c r="AH54" s="94"/>
      <c r="AI54" s="94"/>
      <c r="AJ54" s="94"/>
      <c r="AK54" s="5">
        <f t="shared" si="2"/>
        <v>12</v>
      </c>
      <c r="AL54" s="5">
        <f t="shared" si="3"/>
        <v>6</v>
      </c>
    </row>
    <row r="55" spans="1:38" x14ac:dyDescent="0.3">
      <c r="A55" s="9"/>
    </row>
    <row r="56" spans="1:38" x14ac:dyDescent="0.3">
      <c r="A56" s="9"/>
    </row>
    <row r="61" spans="1:38" ht="14.5" x14ac:dyDescent="0.3">
      <c r="E61" s="8"/>
    </row>
  </sheetData>
  <mergeCells count="16">
    <mergeCell ref="A1:AL1"/>
    <mergeCell ref="A2:AL2"/>
    <mergeCell ref="E3:E4"/>
    <mergeCell ref="AK3:AK4"/>
    <mergeCell ref="AL3:AL4"/>
    <mergeCell ref="AM18:AP18"/>
    <mergeCell ref="AM3:AN3"/>
    <mergeCell ref="A3:A4"/>
    <mergeCell ref="B3:B4"/>
    <mergeCell ref="C3:C4"/>
    <mergeCell ref="D3:D4"/>
    <mergeCell ref="I5:I54"/>
    <mergeCell ref="P5:P54"/>
    <mergeCell ref="W5:W54"/>
    <mergeCell ref="AD5:AD54"/>
    <mergeCell ref="F5:F54"/>
  </mergeCells>
  <conditionalFormatting sqref="F5:O5 F3:AJ4 G6:H54 J6:O54 Q5:V54 X5:AC54 AE5:AJ54">
    <cfRule type="cellIs" dxfId="319" priority="23" operator="equal">
      <formula>"L"</formula>
    </cfRule>
    <cfRule type="cellIs" dxfId="318" priority="24" operator="equal">
      <formula>"P"</formula>
    </cfRule>
    <cfRule type="cellIs" dxfId="317" priority="25" operator="equal">
      <formula>"A"</formula>
    </cfRule>
    <cfRule type="expression" dxfId="316" priority="26">
      <formula>F$4=TODAY()</formula>
    </cfRule>
    <cfRule type="expression" dxfId="315" priority="27">
      <formula>F$3="SUN"</formula>
    </cfRule>
  </conditionalFormatting>
  <conditionalFormatting sqref="AK3:AL3 AK5:AL54">
    <cfRule type="expression" dxfId="314" priority="28">
      <formula>#REF!="Sun"</formula>
    </cfRule>
  </conditionalFormatting>
  <conditionalFormatting sqref="AM5:AM9">
    <cfRule type="expression" dxfId="313" priority="19">
      <formula>AM$3="Sun"</formula>
    </cfRule>
  </conditionalFormatting>
  <conditionalFormatting sqref="AM11:AM14">
    <cfRule type="expression" dxfId="312" priority="17">
      <formula>AM$3="Sun"</formula>
    </cfRule>
  </conditionalFormatting>
  <conditionalFormatting sqref="AM19:AM21">
    <cfRule type="expression" dxfId="311" priority="16">
      <formula>AM$3="Sun"</formula>
    </cfRule>
  </conditionalFormatting>
  <conditionalFormatting sqref="AM4:AN4">
    <cfRule type="expression" dxfId="310" priority="20">
      <formula>AM$3="Sun"</formula>
    </cfRule>
  </conditionalFormatting>
  <conditionalFormatting sqref="AN11:AP11 AN19:AP19">
    <cfRule type="expression" dxfId="309" priority="21">
      <formula>AN$3="Sun"</formula>
    </cfRule>
  </conditionalFormatting>
  <conditionalFormatting sqref="AP20">
    <cfRule type="expression" dxfId="308" priority="18">
      <formula>AP$3="Sun"</formula>
    </cfRule>
  </conditionalFormatting>
  <conditionalFormatting sqref="P5">
    <cfRule type="cellIs" dxfId="307" priority="11" operator="equal">
      <formula>"L"</formula>
    </cfRule>
    <cfRule type="cellIs" dxfId="306" priority="12" operator="equal">
      <formula>"P"</formula>
    </cfRule>
    <cfRule type="cellIs" dxfId="305" priority="13" operator="equal">
      <formula>"A"</formula>
    </cfRule>
    <cfRule type="expression" dxfId="304" priority="14">
      <formula>P$4=TODAY()</formula>
    </cfRule>
    <cfRule type="expression" dxfId="303" priority="15">
      <formula>P$3="SUN"</formula>
    </cfRule>
  </conditionalFormatting>
  <conditionalFormatting sqref="W5">
    <cfRule type="cellIs" dxfId="302" priority="6" operator="equal">
      <formula>"L"</formula>
    </cfRule>
    <cfRule type="cellIs" dxfId="301" priority="7" operator="equal">
      <formula>"P"</formula>
    </cfRule>
    <cfRule type="cellIs" dxfId="300" priority="8" operator="equal">
      <formula>"A"</formula>
    </cfRule>
    <cfRule type="expression" dxfId="299" priority="9">
      <formula>W$4=TODAY()</formula>
    </cfRule>
    <cfRule type="expression" dxfId="298" priority="10">
      <formula>W$3="SUN"</formula>
    </cfRule>
  </conditionalFormatting>
  <conditionalFormatting sqref="AD5">
    <cfRule type="cellIs" dxfId="297" priority="1" operator="equal">
      <formula>"L"</formula>
    </cfRule>
    <cfRule type="cellIs" dxfId="296" priority="2" operator="equal">
      <formula>"P"</formula>
    </cfRule>
    <cfRule type="cellIs" dxfId="295" priority="3" operator="equal">
      <formula>"A"</formula>
    </cfRule>
    <cfRule type="expression" dxfId="294" priority="4">
      <formula>AD$4=TODAY()</formula>
    </cfRule>
    <cfRule type="expression" dxfId="293" priority="5">
      <formula>AD$3="SUN"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3"/>
  <sheetViews>
    <sheetView workbookViewId="0">
      <selection activeCell="R20" sqref="R20"/>
    </sheetView>
  </sheetViews>
  <sheetFormatPr defaultColWidth="3.81640625" defaultRowHeight="14" x14ac:dyDescent="0.3"/>
  <cols>
    <col min="1" max="1" width="5.1796875" style="1" bestFit="1" customWidth="1"/>
    <col min="2" max="2" width="5" style="1" bestFit="1" customWidth="1"/>
    <col min="3" max="3" width="19.26953125" style="1" bestFit="1" customWidth="1"/>
    <col min="4" max="4" width="19" style="1" bestFit="1" customWidth="1"/>
    <col min="5" max="5" width="6.453125" style="1" customWidth="1"/>
    <col min="6" max="7" width="3.7265625" style="1" bestFit="1" customWidth="1"/>
    <col min="8" max="8" width="3.81640625" style="1"/>
    <col min="9" max="9" width="4.54296875" style="1" bestFit="1" customWidth="1"/>
    <col min="10" max="10" width="3.81640625" style="1"/>
    <col min="11" max="11" width="4.7265625" style="1" bestFit="1" customWidth="1"/>
    <col min="12" max="12" width="3.81640625" style="1"/>
    <col min="13" max="14" width="3.7265625" style="1" bestFit="1" customWidth="1"/>
    <col min="15" max="15" width="3.81640625" style="1"/>
    <col min="16" max="16" width="4.54296875" style="1" bestFit="1" customWidth="1"/>
    <col min="17" max="17" width="3.81640625" style="1"/>
    <col min="18" max="18" width="4.7265625" style="1" bestFit="1" customWidth="1"/>
    <col min="19" max="19" width="3.81640625" style="1"/>
    <col min="20" max="21" width="3.7265625" style="1" bestFit="1" customWidth="1"/>
    <col min="22" max="22" width="3.81640625" style="1"/>
    <col min="23" max="23" width="4.54296875" style="1" bestFit="1" customWidth="1"/>
    <col min="24" max="24" width="3.81640625" style="1"/>
    <col min="25" max="25" width="4.7265625" style="1" bestFit="1" customWidth="1"/>
    <col min="26" max="26" width="3.81640625" style="1"/>
    <col min="27" max="28" width="3.7265625" style="1" bestFit="1" customWidth="1"/>
    <col min="29" max="29" width="3.36328125" style="1" bestFit="1" customWidth="1"/>
    <col min="30" max="30" width="4.54296875" style="1" bestFit="1" customWidth="1"/>
    <col min="31" max="31" width="4.36328125" style="1" bestFit="1" customWidth="1"/>
    <col min="32" max="32" width="3.6328125" style="1" bestFit="1" customWidth="1"/>
    <col min="33" max="33" width="3.81640625" style="1"/>
    <col min="34" max="34" width="3.7265625" style="1" bestFit="1" customWidth="1"/>
    <col min="35" max="36" width="3.7265625" style="1" customWidth="1"/>
    <col min="37" max="38" width="6.7265625" style="1" bestFit="1" customWidth="1"/>
    <col min="39" max="39" width="18.54296875" style="1" bestFit="1" customWidth="1"/>
    <col min="40" max="40" width="5.81640625" style="1" bestFit="1" customWidth="1"/>
    <col min="41" max="41" width="14.26953125" style="1" bestFit="1" customWidth="1"/>
    <col min="42" max="42" width="6.7265625" style="1" bestFit="1" customWidth="1"/>
    <col min="43" max="16384" width="3.81640625" style="1"/>
  </cols>
  <sheetData>
    <row r="1" spans="1:42" ht="17" x14ac:dyDescent="0.3">
      <c r="A1" s="164" t="s">
        <v>303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</row>
    <row r="2" spans="1:42" ht="17" x14ac:dyDescent="0.4">
      <c r="A2" s="167" t="s">
        <v>732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</row>
    <row r="3" spans="1:42" ht="15.5" x14ac:dyDescent="0.3">
      <c r="A3" s="153" t="s">
        <v>0</v>
      </c>
      <c r="B3" s="153" t="s">
        <v>713</v>
      </c>
      <c r="C3" s="153" t="s">
        <v>1</v>
      </c>
      <c r="D3" s="153" t="s">
        <v>2</v>
      </c>
      <c r="E3" s="153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54" t="s">
        <v>4</v>
      </c>
      <c r="AL3" s="154" t="s">
        <v>5</v>
      </c>
      <c r="AM3" s="158" t="s">
        <v>119</v>
      </c>
      <c r="AN3" s="159"/>
      <c r="AO3" s="3"/>
      <c r="AP3" s="3"/>
    </row>
    <row r="4" spans="1:42" ht="40.5" x14ac:dyDescent="0.3">
      <c r="A4" s="153"/>
      <c r="B4" s="153"/>
      <c r="C4" s="153"/>
      <c r="D4" s="153"/>
      <c r="E4" s="153"/>
      <c r="F4" s="13" t="s">
        <v>743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54"/>
      <c r="AL4" s="154"/>
      <c r="AM4" s="5" t="s">
        <v>120</v>
      </c>
      <c r="AN4" s="5">
        <f>SUM(AN5:AN8)</f>
        <v>30</v>
      </c>
      <c r="AO4" s="3"/>
      <c r="AP4" s="3"/>
    </row>
    <row r="5" spans="1:42" ht="15" customHeight="1" x14ac:dyDescent="0.3">
      <c r="A5" s="9">
        <v>1</v>
      </c>
      <c r="B5" s="11">
        <v>772</v>
      </c>
      <c r="C5" s="7" t="s">
        <v>304</v>
      </c>
      <c r="D5" s="7" t="s">
        <v>305</v>
      </c>
      <c r="E5" s="8" t="s">
        <v>361</v>
      </c>
      <c r="F5" s="155" t="s">
        <v>828</v>
      </c>
      <c r="G5" s="94" t="s">
        <v>817</v>
      </c>
      <c r="H5" s="94" t="s">
        <v>817</v>
      </c>
      <c r="I5" s="179" t="s">
        <v>745</v>
      </c>
      <c r="J5" s="94" t="s">
        <v>818</v>
      </c>
      <c r="K5" s="113" t="s">
        <v>818</v>
      </c>
      <c r="L5" s="94" t="s">
        <v>818</v>
      </c>
      <c r="M5" s="94" t="s">
        <v>818</v>
      </c>
      <c r="N5" s="94" t="s">
        <v>817</v>
      </c>
      <c r="O5" s="94" t="s">
        <v>817</v>
      </c>
      <c r="P5" s="179" t="s">
        <v>745</v>
      </c>
      <c r="Q5" s="94" t="s">
        <v>818</v>
      </c>
      <c r="R5" s="113" t="s">
        <v>818</v>
      </c>
      <c r="S5" s="94" t="s">
        <v>818</v>
      </c>
      <c r="T5" s="94" t="s">
        <v>818</v>
      </c>
      <c r="U5" s="94" t="s">
        <v>818</v>
      </c>
      <c r="V5" s="94" t="s">
        <v>818</v>
      </c>
      <c r="W5" s="179" t="s">
        <v>745</v>
      </c>
      <c r="X5" s="94" t="s">
        <v>818</v>
      </c>
      <c r="Y5" s="113" t="s">
        <v>818</v>
      </c>
      <c r="Z5" s="94" t="s">
        <v>818</v>
      </c>
      <c r="AA5" s="94" t="s">
        <v>818</v>
      </c>
      <c r="AB5" s="94" t="s">
        <v>818</v>
      </c>
      <c r="AC5" s="94"/>
      <c r="AD5" s="179" t="s">
        <v>745</v>
      </c>
      <c r="AE5" s="94"/>
      <c r="AF5" s="113"/>
      <c r="AG5" s="94"/>
      <c r="AH5" s="94"/>
      <c r="AI5" s="94"/>
      <c r="AJ5" s="94"/>
      <c r="AK5" s="5">
        <f t="shared" ref="AK5:AK52" si="0">COUNTIF(F5:AI5,"P")</f>
        <v>15</v>
      </c>
      <c r="AL5" s="5">
        <f t="shared" ref="AL5:AL52" si="1">COUNTIF(F5:AI5,"A")</f>
        <v>4</v>
      </c>
      <c r="AM5" s="5" t="s">
        <v>7</v>
      </c>
      <c r="AN5" s="9">
        <v>26</v>
      </c>
      <c r="AO5" s="10"/>
      <c r="AP5" s="3"/>
    </row>
    <row r="6" spans="1:42" ht="15.5" x14ac:dyDescent="0.3">
      <c r="A6" s="9">
        <v>2</v>
      </c>
      <c r="B6" s="11">
        <v>673</v>
      </c>
      <c r="C6" s="7" t="s">
        <v>307</v>
      </c>
      <c r="D6" s="7" t="s">
        <v>308</v>
      </c>
      <c r="E6" s="8" t="s">
        <v>361</v>
      </c>
      <c r="F6" s="180"/>
      <c r="G6" s="94" t="s">
        <v>818</v>
      </c>
      <c r="H6" s="94" t="s">
        <v>817</v>
      </c>
      <c r="I6" s="169"/>
      <c r="J6" s="94" t="s">
        <v>818</v>
      </c>
      <c r="K6" s="113" t="s">
        <v>818</v>
      </c>
      <c r="L6" s="94" t="s">
        <v>818</v>
      </c>
      <c r="M6" s="94" t="s">
        <v>818</v>
      </c>
      <c r="N6" s="94" t="s">
        <v>818</v>
      </c>
      <c r="O6" s="94" t="s">
        <v>818</v>
      </c>
      <c r="P6" s="169"/>
      <c r="Q6" s="94" t="s">
        <v>818</v>
      </c>
      <c r="R6" s="113" t="s">
        <v>818</v>
      </c>
      <c r="S6" s="94" t="s">
        <v>818</v>
      </c>
      <c r="T6" s="94" t="s">
        <v>818</v>
      </c>
      <c r="U6" s="94" t="s">
        <v>818</v>
      </c>
      <c r="V6" s="94" t="s">
        <v>818</v>
      </c>
      <c r="W6" s="169"/>
      <c r="X6" s="94" t="s">
        <v>818</v>
      </c>
      <c r="Y6" s="113" t="s">
        <v>818</v>
      </c>
      <c r="Z6" s="94" t="s">
        <v>818</v>
      </c>
      <c r="AA6" s="94" t="s">
        <v>818</v>
      </c>
      <c r="AB6" s="94" t="s">
        <v>818</v>
      </c>
      <c r="AC6" s="94"/>
      <c r="AD6" s="169"/>
      <c r="AE6" s="94"/>
      <c r="AF6" s="113"/>
      <c r="AG6" s="94"/>
      <c r="AH6" s="94"/>
      <c r="AI6" s="94"/>
      <c r="AJ6" s="94"/>
      <c r="AK6" s="5">
        <f t="shared" si="0"/>
        <v>18</v>
      </c>
      <c r="AL6" s="5">
        <f t="shared" si="1"/>
        <v>1</v>
      </c>
      <c r="AM6" s="5" t="s">
        <v>8</v>
      </c>
      <c r="AN6" s="9">
        <v>4</v>
      </c>
      <c r="AO6" s="3"/>
      <c r="AP6" s="3"/>
    </row>
    <row r="7" spans="1:42" ht="15.5" x14ac:dyDescent="0.3">
      <c r="A7" s="9">
        <v>3</v>
      </c>
      <c r="B7" s="11">
        <v>6523</v>
      </c>
      <c r="C7" s="7" t="s">
        <v>309</v>
      </c>
      <c r="D7" s="7" t="s">
        <v>234</v>
      </c>
      <c r="E7" s="8" t="s">
        <v>361</v>
      </c>
      <c r="F7" s="180"/>
      <c r="G7" s="94" t="s">
        <v>818</v>
      </c>
      <c r="H7" s="94" t="s">
        <v>818</v>
      </c>
      <c r="I7" s="169"/>
      <c r="J7" s="94" t="s">
        <v>818</v>
      </c>
      <c r="K7" s="113" t="s">
        <v>818</v>
      </c>
      <c r="L7" s="94" t="s">
        <v>818</v>
      </c>
      <c r="M7" s="94" t="s">
        <v>818</v>
      </c>
      <c r="N7" s="94" t="s">
        <v>818</v>
      </c>
      <c r="O7" s="94" t="s">
        <v>818</v>
      </c>
      <c r="P7" s="169"/>
      <c r="Q7" s="94" t="s">
        <v>818</v>
      </c>
      <c r="R7" s="113" t="s">
        <v>818</v>
      </c>
      <c r="S7" s="94" t="s">
        <v>818</v>
      </c>
      <c r="T7" s="94" t="s">
        <v>818</v>
      </c>
      <c r="U7" s="94" t="s">
        <v>818</v>
      </c>
      <c r="V7" s="94" t="s">
        <v>818</v>
      </c>
      <c r="W7" s="169"/>
      <c r="X7" s="94" t="s">
        <v>818</v>
      </c>
      <c r="Y7" s="113" t="s">
        <v>818</v>
      </c>
      <c r="Z7" s="94" t="s">
        <v>818</v>
      </c>
      <c r="AA7" s="94" t="s">
        <v>818</v>
      </c>
      <c r="AB7" s="94" t="s">
        <v>818</v>
      </c>
      <c r="AC7" s="94"/>
      <c r="AD7" s="169"/>
      <c r="AE7" s="94"/>
      <c r="AF7" s="113"/>
      <c r="AG7" s="94"/>
      <c r="AH7" s="94"/>
      <c r="AI7" s="94"/>
      <c r="AJ7" s="94"/>
      <c r="AK7" s="5">
        <f t="shared" si="0"/>
        <v>19</v>
      </c>
      <c r="AL7" s="5">
        <f t="shared" si="1"/>
        <v>0</v>
      </c>
      <c r="AM7" s="5"/>
      <c r="AN7" s="9"/>
      <c r="AO7" s="3"/>
      <c r="AP7" s="3"/>
    </row>
    <row r="8" spans="1:42" ht="15.5" x14ac:dyDescent="0.35">
      <c r="A8" s="9">
        <v>4</v>
      </c>
      <c r="B8" s="11">
        <v>665</v>
      </c>
      <c r="C8" s="7" t="s">
        <v>222</v>
      </c>
      <c r="D8" s="7" t="s">
        <v>26</v>
      </c>
      <c r="E8" s="8" t="s">
        <v>361</v>
      </c>
      <c r="F8" s="180"/>
      <c r="G8" s="94" t="s">
        <v>818</v>
      </c>
      <c r="H8" s="94" t="s">
        <v>818</v>
      </c>
      <c r="I8" s="169"/>
      <c r="J8" s="94" t="s">
        <v>818</v>
      </c>
      <c r="K8" s="113" t="s">
        <v>817</v>
      </c>
      <c r="L8" s="94" t="s">
        <v>818</v>
      </c>
      <c r="M8" s="94" t="s">
        <v>817</v>
      </c>
      <c r="N8" s="94" t="s">
        <v>818</v>
      </c>
      <c r="O8" s="94" t="s">
        <v>818</v>
      </c>
      <c r="P8" s="169"/>
      <c r="Q8" s="94" t="s">
        <v>818</v>
      </c>
      <c r="R8" s="113" t="s">
        <v>818</v>
      </c>
      <c r="S8" s="94" t="s">
        <v>818</v>
      </c>
      <c r="T8" s="94" t="s">
        <v>818</v>
      </c>
      <c r="U8" s="94" t="s">
        <v>817</v>
      </c>
      <c r="V8" s="94" t="s">
        <v>818</v>
      </c>
      <c r="W8" s="169"/>
      <c r="X8" s="94" t="s">
        <v>818</v>
      </c>
      <c r="Y8" s="113" t="s">
        <v>818</v>
      </c>
      <c r="Z8" s="94" t="s">
        <v>818</v>
      </c>
      <c r="AA8" s="94" t="s">
        <v>818</v>
      </c>
      <c r="AB8" s="94" t="s">
        <v>818</v>
      </c>
      <c r="AC8" s="94"/>
      <c r="AD8" s="169"/>
      <c r="AE8" s="94"/>
      <c r="AF8" s="113"/>
      <c r="AG8" s="94"/>
      <c r="AH8" s="94"/>
      <c r="AI8" s="94"/>
      <c r="AJ8" s="94"/>
      <c r="AK8" s="5">
        <f t="shared" si="0"/>
        <v>16</v>
      </c>
      <c r="AL8" s="5">
        <f t="shared" si="1"/>
        <v>3</v>
      </c>
      <c r="AM8" s="5"/>
      <c r="AN8" s="9"/>
      <c r="AO8"/>
      <c r="AP8"/>
    </row>
    <row r="9" spans="1:42" ht="15.5" x14ac:dyDescent="0.3">
      <c r="A9" s="9">
        <v>5</v>
      </c>
      <c r="B9" s="11">
        <v>656</v>
      </c>
      <c r="C9" s="7" t="s">
        <v>254</v>
      </c>
      <c r="D9" s="7" t="s">
        <v>310</v>
      </c>
      <c r="E9" s="8" t="s">
        <v>361</v>
      </c>
      <c r="F9" s="180"/>
      <c r="G9" s="94" t="s">
        <v>817</v>
      </c>
      <c r="H9" s="94" t="s">
        <v>817</v>
      </c>
      <c r="I9" s="169"/>
      <c r="J9" s="94" t="s">
        <v>817</v>
      </c>
      <c r="K9" s="113" t="s">
        <v>817</v>
      </c>
      <c r="L9" s="94" t="s">
        <v>817</v>
      </c>
      <c r="M9" s="94" t="s">
        <v>817</v>
      </c>
      <c r="N9" s="94" t="s">
        <v>817</v>
      </c>
      <c r="O9" s="94" t="s">
        <v>817</v>
      </c>
      <c r="P9" s="169"/>
      <c r="Q9" s="94" t="s">
        <v>817</v>
      </c>
      <c r="R9" s="113" t="s">
        <v>817</v>
      </c>
      <c r="S9" s="94" t="s">
        <v>817</v>
      </c>
      <c r="T9" s="94" t="s">
        <v>817</v>
      </c>
      <c r="U9" s="94" t="s">
        <v>817</v>
      </c>
      <c r="V9" s="94" t="s">
        <v>817</v>
      </c>
      <c r="W9" s="169"/>
      <c r="X9" s="94" t="s">
        <v>818</v>
      </c>
      <c r="Y9" s="113" t="s">
        <v>818</v>
      </c>
      <c r="Z9" s="94" t="s">
        <v>818</v>
      </c>
      <c r="AA9" s="94" t="s">
        <v>818</v>
      </c>
      <c r="AB9" s="94" t="s">
        <v>818</v>
      </c>
      <c r="AC9" s="94"/>
      <c r="AD9" s="169"/>
      <c r="AE9" s="94"/>
      <c r="AF9" s="113"/>
      <c r="AG9" s="94"/>
      <c r="AH9" s="94"/>
      <c r="AI9" s="94"/>
      <c r="AJ9" s="94"/>
      <c r="AK9" s="5">
        <f t="shared" si="0"/>
        <v>5</v>
      </c>
      <c r="AL9" s="5">
        <f t="shared" si="1"/>
        <v>14</v>
      </c>
      <c r="AM9" s="5"/>
      <c r="AN9" s="9"/>
    </row>
    <row r="10" spans="1:42" ht="15.5" x14ac:dyDescent="0.3">
      <c r="A10" s="9">
        <v>6</v>
      </c>
      <c r="B10" s="11">
        <v>910</v>
      </c>
      <c r="C10" s="7" t="s">
        <v>254</v>
      </c>
      <c r="D10" s="7" t="s">
        <v>251</v>
      </c>
      <c r="E10" s="8" t="s">
        <v>361</v>
      </c>
      <c r="F10" s="180"/>
      <c r="G10" s="94" t="s">
        <v>818</v>
      </c>
      <c r="H10" s="94" t="s">
        <v>818</v>
      </c>
      <c r="I10" s="169"/>
      <c r="J10" s="94" t="s">
        <v>818</v>
      </c>
      <c r="K10" s="113" t="s">
        <v>818</v>
      </c>
      <c r="L10" s="94" t="s">
        <v>818</v>
      </c>
      <c r="M10" s="94" t="s">
        <v>818</v>
      </c>
      <c r="N10" s="94" t="s">
        <v>818</v>
      </c>
      <c r="O10" s="94" t="s">
        <v>818</v>
      </c>
      <c r="P10" s="169"/>
      <c r="Q10" s="94" t="s">
        <v>817</v>
      </c>
      <c r="R10" s="113" t="s">
        <v>818</v>
      </c>
      <c r="S10" s="94" t="s">
        <v>818</v>
      </c>
      <c r="T10" s="94" t="s">
        <v>818</v>
      </c>
      <c r="U10" s="94" t="s">
        <v>818</v>
      </c>
      <c r="V10" s="94" t="s">
        <v>818</v>
      </c>
      <c r="W10" s="169"/>
      <c r="X10" s="94" t="s">
        <v>818</v>
      </c>
      <c r="Y10" s="113" t="s">
        <v>818</v>
      </c>
      <c r="Z10" s="94" t="s">
        <v>818</v>
      </c>
      <c r="AA10" s="94" t="s">
        <v>818</v>
      </c>
      <c r="AB10" s="94" t="s">
        <v>818</v>
      </c>
      <c r="AC10" s="94"/>
      <c r="AD10" s="169"/>
      <c r="AE10" s="94"/>
      <c r="AF10" s="113"/>
      <c r="AG10" s="94"/>
      <c r="AH10" s="94"/>
      <c r="AI10" s="94"/>
      <c r="AJ10" s="94"/>
      <c r="AK10" s="5">
        <f t="shared" si="0"/>
        <v>18</v>
      </c>
      <c r="AL10" s="5">
        <f t="shared" si="1"/>
        <v>1</v>
      </c>
    </row>
    <row r="11" spans="1:42" ht="15.5" x14ac:dyDescent="0.3">
      <c r="A11" s="9">
        <v>7</v>
      </c>
      <c r="B11" s="11">
        <v>679</v>
      </c>
      <c r="C11" s="7" t="s">
        <v>132</v>
      </c>
      <c r="D11" s="7" t="s">
        <v>266</v>
      </c>
      <c r="E11" s="8" t="s">
        <v>361</v>
      </c>
      <c r="F11" s="180"/>
      <c r="G11" s="94" t="s">
        <v>818</v>
      </c>
      <c r="H11" s="94" t="s">
        <v>817</v>
      </c>
      <c r="I11" s="169"/>
      <c r="J11" s="94" t="s">
        <v>818</v>
      </c>
      <c r="K11" s="113" t="s">
        <v>818</v>
      </c>
      <c r="L11" s="94" t="s">
        <v>818</v>
      </c>
      <c r="M11" s="94" t="s">
        <v>818</v>
      </c>
      <c r="N11" s="94" t="s">
        <v>818</v>
      </c>
      <c r="O11" s="94" t="s">
        <v>818</v>
      </c>
      <c r="P11" s="169"/>
      <c r="Q11" s="94" t="s">
        <v>818</v>
      </c>
      <c r="R11" s="113" t="s">
        <v>817</v>
      </c>
      <c r="S11" s="94" t="s">
        <v>818</v>
      </c>
      <c r="T11" s="94" t="s">
        <v>818</v>
      </c>
      <c r="U11" s="94" t="s">
        <v>818</v>
      </c>
      <c r="V11" s="94" t="s">
        <v>818</v>
      </c>
      <c r="W11" s="169"/>
      <c r="X11" s="94" t="s">
        <v>818</v>
      </c>
      <c r="Y11" s="113" t="s">
        <v>818</v>
      </c>
      <c r="Z11" s="94" t="s">
        <v>818</v>
      </c>
      <c r="AA11" s="94" t="s">
        <v>818</v>
      </c>
      <c r="AB11" s="94" t="s">
        <v>818</v>
      </c>
      <c r="AC11" s="94"/>
      <c r="AD11" s="169"/>
      <c r="AE11" s="94"/>
      <c r="AF11" s="113"/>
      <c r="AG11" s="94"/>
      <c r="AH11" s="94"/>
      <c r="AI11" s="94"/>
      <c r="AJ11" s="94"/>
      <c r="AK11" s="5">
        <f t="shared" si="0"/>
        <v>17</v>
      </c>
      <c r="AL11" s="5">
        <f t="shared" si="1"/>
        <v>2</v>
      </c>
      <c r="AM11" s="158" t="s">
        <v>9</v>
      </c>
      <c r="AN11" s="159"/>
      <c r="AO11" s="159"/>
      <c r="AP11" s="160"/>
    </row>
    <row r="12" spans="1:42" ht="15.5" x14ac:dyDescent="0.3">
      <c r="A12" s="9">
        <v>8</v>
      </c>
      <c r="B12" s="11">
        <v>675</v>
      </c>
      <c r="C12" s="7" t="s">
        <v>91</v>
      </c>
      <c r="D12" s="7" t="s">
        <v>266</v>
      </c>
      <c r="E12" s="8" t="s">
        <v>361</v>
      </c>
      <c r="F12" s="180"/>
      <c r="G12" s="94" t="s">
        <v>818</v>
      </c>
      <c r="H12" s="94" t="s">
        <v>818</v>
      </c>
      <c r="I12" s="169"/>
      <c r="J12" s="94" t="s">
        <v>818</v>
      </c>
      <c r="K12" s="113" t="s">
        <v>818</v>
      </c>
      <c r="L12" s="94" t="s">
        <v>818</v>
      </c>
      <c r="M12" s="94" t="s">
        <v>818</v>
      </c>
      <c r="N12" s="94" t="s">
        <v>818</v>
      </c>
      <c r="O12" s="94" t="s">
        <v>818</v>
      </c>
      <c r="P12" s="169"/>
      <c r="Q12" s="94" t="s">
        <v>818</v>
      </c>
      <c r="R12" s="113" t="s">
        <v>818</v>
      </c>
      <c r="S12" s="94" t="s">
        <v>818</v>
      </c>
      <c r="T12" s="94" t="s">
        <v>818</v>
      </c>
      <c r="U12" s="94" t="s">
        <v>818</v>
      </c>
      <c r="V12" s="94" t="s">
        <v>818</v>
      </c>
      <c r="W12" s="169"/>
      <c r="X12" s="94" t="s">
        <v>818</v>
      </c>
      <c r="Y12" s="113" t="s">
        <v>818</v>
      </c>
      <c r="Z12" s="94" t="s">
        <v>818</v>
      </c>
      <c r="AA12" s="94" t="s">
        <v>818</v>
      </c>
      <c r="AB12" s="94" t="s">
        <v>818</v>
      </c>
      <c r="AC12" s="94"/>
      <c r="AD12" s="169"/>
      <c r="AE12" s="94"/>
      <c r="AF12" s="113"/>
      <c r="AG12" s="94"/>
      <c r="AH12" s="94"/>
      <c r="AI12" s="94"/>
      <c r="AJ12" s="94"/>
      <c r="AK12" s="5">
        <f t="shared" si="0"/>
        <v>19</v>
      </c>
      <c r="AL12" s="5">
        <f t="shared" si="1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5.5" x14ac:dyDescent="0.3">
      <c r="A13" s="9">
        <v>9</v>
      </c>
      <c r="B13" s="11">
        <v>774</v>
      </c>
      <c r="C13" s="7" t="s">
        <v>312</v>
      </c>
      <c r="D13" s="7" t="s">
        <v>251</v>
      </c>
      <c r="E13" s="8" t="s">
        <v>361</v>
      </c>
      <c r="F13" s="180"/>
      <c r="G13" s="94" t="s">
        <v>817</v>
      </c>
      <c r="H13" s="94" t="s">
        <v>817</v>
      </c>
      <c r="I13" s="169"/>
      <c r="J13" s="94" t="s">
        <v>817</v>
      </c>
      <c r="K13" s="113" t="s">
        <v>817</v>
      </c>
      <c r="L13" s="94" t="s">
        <v>818</v>
      </c>
      <c r="M13" s="94" t="s">
        <v>818</v>
      </c>
      <c r="N13" s="94" t="s">
        <v>818</v>
      </c>
      <c r="O13" s="94" t="s">
        <v>818</v>
      </c>
      <c r="P13" s="169"/>
      <c r="Q13" s="94" t="s">
        <v>818</v>
      </c>
      <c r="R13" s="113" t="s">
        <v>818</v>
      </c>
      <c r="S13" s="94" t="s">
        <v>818</v>
      </c>
      <c r="T13" s="94" t="s">
        <v>818</v>
      </c>
      <c r="U13" s="94" t="s">
        <v>818</v>
      </c>
      <c r="V13" s="94" t="s">
        <v>818</v>
      </c>
      <c r="W13" s="169"/>
      <c r="X13" s="94" t="s">
        <v>817</v>
      </c>
      <c r="Y13" s="113" t="s">
        <v>818</v>
      </c>
      <c r="Z13" s="94" t="s">
        <v>818</v>
      </c>
      <c r="AA13" s="94" t="s">
        <v>818</v>
      </c>
      <c r="AB13" s="94" t="s">
        <v>817</v>
      </c>
      <c r="AC13" s="94"/>
      <c r="AD13" s="169"/>
      <c r="AE13" s="94"/>
      <c r="AF13" s="113"/>
      <c r="AG13" s="94"/>
      <c r="AH13" s="94"/>
      <c r="AI13" s="94"/>
      <c r="AJ13" s="94"/>
      <c r="AK13" s="5">
        <f t="shared" si="0"/>
        <v>13</v>
      </c>
      <c r="AL13" s="5">
        <f t="shared" si="1"/>
        <v>6</v>
      </c>
      <c r="AM13" s="5" t="s">
        <v>14</v>
      </c>
      <c r="AN13" s="9">
        <f>26*$AN$5</f>
        <v>676</v>
      </c>
      <c r="AO13" s="9">
        <f>26*$AN$5</f>
        <v>676</v>
      </c>
      <c r="AP13" s="9">
        <f>SUM(AN13:AO13)</f>
        <v>1352</v>
      </c>
    </row>
    <row r="14" spans="1:42" ht="15.5" x14ac:dyDescent="0.3">
      <c r="A14" s="9">
        <v>10</v>
      </c>
      <c r="B14" s="95">
        <v>655</v>
      </c>
      <c r="C14" s="7" t="s">
        <v>313</v>
      </c>
      <c r="D14" s="7" t="s">
        <v>22</v>
      </c>
      <c r="E14" s="8" t="s">
        <v>361</v>
      </c>
      <c r="F14" s="180"/>
      <c r="G14" s="94" t="s">
        <v>818</v>
      </c>
      <c r="H14" s="94" t="s">
        <v>818</v>
      </c>
      <c r="I14" s="169"/>
      <c r="J14" s="94" t="s">
        <v>818</v>
      </c>
      <c r="K14" s="113" t="s">
        <v>818</v>
      </c>
      <c r="L14" s="94" t="s">
        <v>818</v>
      </c>
      <c r="M14" s="94" t="s">
        <v>818</v>
      </c>
      <c r="N14" s="94" t="s">
        <v>818</v>
      </c>
      <c r="O14" s="94" t="s">
        <v>818</v>
      </c>
      <c r="P14" s="169"/>
      <c r="Q14" s="94" t="s">
        <v>818</v>
      </c>
      <c r="R14" s="113" t="s">
        <v>818</v>
      </c>
      <c r="S14" s="94" t="s">
        <v>818</v>
      </c>
      <c r="T14" s="94" t="s">
        <v>818</v>
      </c>
      <c r="U14" s="94" t="s">
        <v>818</v>
      </c>
      <c r="V14" s="94" t="s">
        <v>818</v>
      </c>
      <c r="W14" s="169"/>
      <c r="X14" s="94" t="s">
        <v>818</v>
      </c>
      <c r="Y14" s="113" t="s">
        <v>818</v>
      </c>
      <c r="Z14" s="94" t="s">
        <v>818</v>
      </c>
      <c r="AA14" s="94" t="s">
        <v>818</v>
      </c>
      <c r="AB14" s="94" t="s">
        <v>818</v>
      </c>
      <c r="AC14" s="94"/>
      <c r="AD14" s="169"/>
      <c r="AE14" s="94"/>
      <c r="AF14" s="113"/>
      <c r="AG14" s="94"/>
      <c r="AH14" s="94"/>
      <c r="AI14" s="94"/>
      <c r="AJ14" s="94"/>
      <c r="AK14" s="5">
        <f t="shared" si="0"/>
        <v>19</v>
      </c>
      <c r="AL14" s="5">
        <f t="shared" si="1"/>
        <v>0</v>
      </c>
      <c r="AM14" s="5" t="s">
        <v>15</v>
      </c>
      <c r="AN14" s="9">
        <f>SUM(AK29:AK52)</f>
        <v>350</v>
      </c>
      <c r="AO14" s="9">
        <f>SUM(AK5:AK28)</f>
        <v>347</v>
      </c>
      <c r="AP14" s="9">
        <f>AN14+AO14</f>
        <v>697</v>
      </c>
    </row>
    <row r="15" spans="1:42" ht="15.5" x14ac:dyDescent="0.3">
      <c r="A15" s="9">
        <v>11</v>
      </c>
      <c r="B15" s="95">
        <v>653</v>
      </c>
      <c r="C15" s="7" t="s">
        <v>314</v>
      </c>
      <c r="D15" s="7" t="s">
        <v>315</v>
      </c>
      <c r="E15" s="8" t="s">
        <v>361</v>
      </c>
      <c r="F15" s="180"/>
      <c r="G15" s="94" t="s">
        <v>817</v>
      </c>
      <c r="H15" s="94" t="s">
        <v>818</v>
      </c>
      <c r="I15" s="169"/>
      <c r="J15" s="94" t="s">
        <v>818</v>
      </c>
      <c r="K15" s="113" t="s">
        <v>818</v>
      </c>
      <c r="L15" s="94" t="s">
        <v>818</v>
      </c>
      <c r="M15" s="94" t="s">
        <v>818</v>
      </c>
      <c r="N15" s="94" t="s">
        <v>818</v>
      </c>
      <c r="O15" s="94" t="s">
        <v>818</v>
      </c>
      <c r="P15" s="169"/>
      <c r="Q15" s="94" t="s">
        <v>818</v>
      </c>
      <c r="R15" s="113" t="s">
        <v>818</v>
      </c>
      <c r="S15" s="94" t="s">
        <v>818</v>
      </c>
      <c r="T15" s="94" t="s">
        <v>818</v>
      </c>
      <c r="U15" s="94" t="s">
        <v>818</v>
      </c>
      <c r="V15" s="94" t="s">
        <v>818</v>
      </c>
      <c r="W15" s="169"/>
      <c r="X15" s="94" t="s">
        <v>817</v>
      </c>
      <c r="Y15" s="113" t="s">
        <v>818</v>
      </c>
      <c r="Z15" s="94" t="s">
        <v>818</v>
      </c>
      <c r="AA15" s="94" t="s">
        <v>818</v>
      </c>
      <c r="AB15" s="94" t="s">
        <v>818</v>
      </c>
      <c r="AC15" s="94"/>
      <c r="AD15" s="169"/>
      <c r="AE15" s="94"/>
      <c r="AF15" s="113"/>
      <c r="AG15" s="94"/>
      <c r="AH15" s="94"/>
      <c r="AI15" s="94"/>
      <c r="AJ15" s="94"/>
      <c r="AK15" s="5">
        <f t="shared" si="0"/>
        <v>17</v>
      </c>
      <c r="AL15" s="5">
        <f t="shared" si="1"/>
        <v>2</v>
      </c>
      <c r="AM15" s="5" t="s">
        <v>16</v>
      </c>
      <c r="AN15" s="12">
        <f>AN14/AN13</f>
        <v>0.51775147928994081</v>
      </c>
      <c r="AO15" s="12">
        <f>AO14/AO13</f>
        <v>0.51331360946745563</v>
      </c>
      <c r="AP15" s="12">
        <f>AP14/AP13</f>
        <v>0.51553254437869822</v>
      </c>
    </row>
    <row r="16" spans="1:42" ht="15.5" x14ac:dyDescent="0.35">
      <c r="A16" s="9">
        <v>12</v>
      </c>
      <c r="B16" s="11">
        <v>657</v>
      </c>
      <c r="C16" s="7" t="s">
        <v>25</v>
      </c>
      <c r="D16" s="7" t="s">
        <v>275</v>
      </c>
      <c r="E16" s="8" t="s">
        <v>361</v>
      </c>
      <c r="F16" s="180"/>
      <c r="G16" s="94" t="s">
        <v>817</v>
      </c>
      <c r="H16" s="94" t="s">
        <v>817</v>
      </c>
      <c r="I16" s="169"/>
      <c r="J16" s="94" t="s">
        <v>817</v>
      </c>
      <c r="K16" s="113" t="s">
        <v>818</v>
      </c>
      <c r="L16" s="94" t="s">
        <v>817</v>
      </c>
      <c r="M16" s="94" t="s">
        <v>817</v>
      </c>
      <c r="N16" s="94" t="s">
        <v>817</v>
      </c>
      <c r="O16" s="94" t="s">
        <v>818</v>
      </c>
      <c r="P16" s="169"/>
      <c r="Q16" s="94" t="s">
        <v>818</v>
      </c>
      <c r="R16" s="113" t="s">
        <v>817</v>
      </c>
      <c r="S16" s="94" t="s">
        <v>818</v>
      </c>
      <c r="T16" s="94" t="s">
        <v>818</v>
      </c>
      <c r="U16" s="94" t="s">
        <v>818</v>
      </c>
      <c r="V16" s="94" t="s">
        <v>818</v>
      </c>
      <c r="W16" s="169"/>
      <c r="X16" s="94" t="s">
        <v>818</v>
      </c>
      <c r="Y16" s="113" t="s">
        <v>818</v>
      </c>
      <c r="Z16" s="94" t="s">
        <v>818</v>
      </c>
      <c r="AA16" s="94" t="s">
        <v>817</v>
      </c>
      <c r="AB16" s="94" t="s">
        <v>818</v>
      </c>
      <c r="AC16" s="94"/>
      <c r="AD16" s="169"/>
      <c r="AE16" s="94"/>
      <c r="AF16" s="113"/>
      <c r="AG16" s="94"/>
      <c r="AH16" s="94"/>
      <c r="AI16" s="94"/>
      <c r="AJ16" s="94"/>
      <c r="AK16" s="5">
        <f t="shared" si="0"/>
        <v>11</v>
      </c>
      <c r="AL16" s="5">
        <f t="shared" si="1"/>
        <v>8</v>
      </c>
      <c r="AM16"/>
      <c r="AN16"/>
      <c r="AO16"/>
      <c r="AP16"/>
    </row>
    <row r="17" spans="1:42" ht="15.5" x14ac:dyDescent="0.35">
      <c r="A17" s="9">
        <v>13</v>
      </c>
      <c r="B17" s="11">
        <v>672</v>
      </c>
      <c r="C17" s="7" t="s">
        <v>316</v>
      </c>
      <c r="D17" s="7" t="s">
        <v>317</v>
      </c>
      <c r="E17" s="8" t="s">
        <v>361</v>
      </c>
      <c r="F17" s="180"/>
      <c r="G17" s="94" t="s">
        <v>817</v>
      </c>
      <c r="H17" s="94" t="s">
        <v>817</v>
      </c>
      <c r="I17" s="169"/>
      <c r="J17" s="94" t="s">
        <v>817</v>
      </c>
      <c r="K17" s="113" t="s">
        <v>817</v>
      </c>
      <c r="L17" s="94" t="s">
        <v>818</v>
      </c>
      <c r="M17" s="94" t="s">
        <v>817</v>
      </c>
      <c r="N17" s="94" t="s">
        <v>818</v>
      </c>
      <c r="O17" s="94" t="s">
        <v>818</v>
      </c>
      <c r="P17" s="169"/>
      <c r="Q17" s="94" t="s">
        <v>818</v>
      </c>
      <c r="R17" s="113" t="s">
        <v>818</v>
      </c>
      <c r="S17" s="94" t="s">
        <v>817</v>
      </c>
      <c r="T17" s="94" t="s">
        <v>818</v>
      </c>
      <c r="U17" s="94" t="s">
        <v>817</v>
      </c>
      <c r="V17" s="94" t="s">
        <v>818</v>
      </c>
      <c r="W17" s="169"/>
      <c r="X17" s="94" t="s">
        <v>817</v>
      </c>
      <c r="Y17" s="113" t="s">
        <v>818</v>
      </c>
      <c r="Z17" s="94" t="s">
        <v>817</v>
      </c>
      <c r="AA17" s="94" t="s">
        <v>818</v>
      </c>
      <c r="AB17" s="94" t="s">
        <v>818</v>
      </c>
      <c r="AC17" s="94"/>
      <c r="AD17" s="169"/>
      <c r="AE17" s="94"/>
      <c r="AF17" s="113"/>
      <c r="AG17" s="94"/>
      <c r="AH17" s="94"/>
      <c r="AI17" s="94"/>
      <c r="AJ17" s="94"/>
      <c r="AK17" s="5">
        <f t="shared" si="0"/>
        <v>10</v>
      </c>
      <c r="AL17" s="5">
        <f t="shared" si="1"/>
        <v>9</v>
      </c>
      <c r="AM17"/>
      <c r="AN17"/>
      <c r="AO17"/>
      <c r="AP17"/>
    </row>
    <row r="18" spans="1:42" ht="15.5" x14ac:dyDescent="0.35">
      <c r="A18" s="9">
        <v>14</v>
      </c>
      <c r="B18" s="11">
        <v>702</v>
      </c>
      <c r="C18" s="7" t="s">
        <v>318</v>
      </c>
      <c r="D18" s="7" t="s">
        <v>133</v>
      </c>
      <c r="E18" s="8" t="s">
        <v>361</v>
      </c>
      <c r="F18" s="180"/>
      <c r="G18" s="94" t="s">
        <v>817</v>
      </c>
      <c r="H18" s="94" t="s">
        <v>818</v>
      </c>
      <c r="I18" s="169"/>
      <c r="J18" s="94" t="s">
        <v>818</v>
      </c>
      <c r="K18" s="113" t="s">
        <v>818</v>
      </c>
      <c r="L18" s="94" t="s">
        <v>818</v>
      </c>
      <c r="M18" s="94" t="s">
        <v>818</v>
      </c>
      <c r="N18" s="94" t="s">
        <v>818</v>
      </c>
      <c r="O18" s="94" t="s">
        <v>818</v>
      </c>
      <c r="P18" s="169"/>
      <c r="Q18" s="94" t="s">
        <v>817</v>
      </c>
      <c r="R18" s="113" t="s">
        <v>817</v>
      </c>
      <c r="S18" s="94" t="s">
        <v>818</v>
      </c>
      <c r="T18" s="94" t="s">
        <v>818</v>
      </c>
      <c r="U18" s="94" t="s">
        <v>818</v>
      </c>
      <c r="V18" s="94" t="s">
        <v>818</v>
      </c>
      <c r="W18" s="169"/>
      <c r="X18" s="94" t="s">
        <v>818</v>
      </c>
      <c r="Y18" s="113" t="s">
        <v>817</v>
      </c>
      <c r="Z18" s="94" t="s">
        <v>818</v>
      </c>
      <c r="AA18" s="94" t="s">
        <v>818</v>
      </c>
      <c r="AB18" s="94" t="s">
        <v>818</v>
      </c>
      <c r="AC18" s="94"/>
      <c r="AD18" s="169"/>
      <c r="AE18" s="94"/>
      <c r="AF18" s="113"/>
      <c r="AG18" s="94"/>
      <c r="AH18" s="94"/>
      <c r="AI18" s="94"/>
      <c r="AJ18" s="94"/>
      <c r="AK18" s="5">
        <f t="shared" si="0"/>
        <v>15</v>
      </c>
      <c r="AL18" s="5">
        <f t="shared" si="1"/>
        <v>4</v>
      </c>
      <c r="AM18"/>
      <c r="AN18"/>
      <c r="AO18"/>
      <c r="AP18"/>
    </row>
    <row r="19" spans="1:42" ht="15.5" x14ac:dyDescent="0.3">
      <c r="A19" s="9">
        <v>15</v>
      </c>
      <c r="B19" s="11">
        <v>659</v>
      </c>
      <c r="C19" s="7" t="s">
        <v>319</v>
      </c>
      <c r="D19" s="7" t="s">
        <v>320</v>
      </c>
      <c r="E19" s="8" t="s">
        <v>361</v>
      </c>
      <c r="F19" s="180"/>
      <c r="G19" s="94" t="s">
        <v>817</v>
      </c>
      <c r="H19" s="94" t="s">
        <v>817</v>
      </c>
      <c r="I19" s="169"/>
      <c r="J19" s="94" t="s">
        <v>817</v>
      </c>
      <c r="K19" s="113" t="s">
        <v>817</v>
      </c>
      <c r="L19" s="94" t="s">
        <v>817</v>
      </c>
      <c r="M19" s="94" t="s">
        <v>817</v>
      </c>
      <c r="N19" s="94" t="s">
        <v>817</v>
      </c>
      <c r="O19" s="94" t="s">
        <v>817</v>
      </c>
      <c r="P19" s="169"/>
      <c r="Q19" s="94" t="s">
        <v>817</v>
      </c>
      <c r="R19" s="113" t="s">
        <v>817</v>
      </c>
      <c r="S19" s="94" t="s">
        <v>817</v>
      </c>
      <c r="T19" s="94" t="s">
        <v>817</v>
      </c>
      <c r="U19" s="94" t="s">
        <v>817</v>
      </c>
      <c r="V19" s="94" t="s">
        <v>817</v>
      </c>
      <c r="W19" s="169"/>
      <c r="X19" s="94" t="s">
        <v>817</v>
      </c>
      <c r="Y19" s="113" t="s">
        <v>817</v>
      </c>
      <c r="Z19" s="94" t="s">
        <v>817</v>
      </c>
      <c r="AA19" s="94" t="s">
        <v>817</v>
      </c>
      <c r="AB19" s="94" t="s">
        <v>817</v>
      </c>
      <c r="AC19" s="94"/>
      <c r="AD19" s="169"/>
      <c r="AE19" s="94"/>
      <c r="AF19" s="113"/>
      <c r="AG19" s="94"/>
      <c r="AH19" s="94"/>
      <c r="AI19" s="94"/>
      <c r="AJ19" s="94"/>
      <c r="AK19" s="5">
        <f t="shared" si="0"/>
        <v>0</v>
      </c>
      <c r="AL19" s="5">
        <f t="shared" si="1"/>
        <v>19</v>
      </c>
      <c r="AM19" s="158" t="s">
        <v>121</v>
      </c>
      <c r="AN19" s="159"/>
      <c r="AO19" s="159"/>
      <c r="AP19" s="160"/>
    </row>
    <row r="20" spans="1:42" ht="15.5" x14ac:dyDescent="0.3">
      <c r="A20" s="9">
        <v>16</v>
      </c>
      <c r="B20" s="11">
        <v>661</v>
      </c>
      <c r="C20" s="7" t="s">
        <v>321</v>
      </c>
      <c r="D20" s="7" t="s">
        <v>322</v>
      </c>
      <c r="E20" s="8" t="s">
        <v>361</v>
      </c>
      <c r="F20" s="180"/>
      <c r="G20" s="94" t="s">
        <v>818</v>
      </c>
      <c r="H20" s="94" t="s">
        <v>818</v>
      </c>
      <c r="I20" s="169"/>
      <c r="J20" s="94" t="s">
        <v>818</v>
      </c>
      <c r="K20" s="113" t="s">
        <v>818</v>
      </c>
      <c r="L20" s="94" t="s">
        <v>818</v>
      </c>
      <c r="M20" s="94" t="s">
        <v>818</v>
      </c>
      <c r="N20" s="94" t="s">
        <v>818</v>
      </c>
      <c r="O20" s="94" t="s">
        <v>818</v>
      </c>
      <c r="P20" s="169"/>
      <c r="Q20" s="94" t="s">
        <v>818</v>
      </c>
      <c r="R20" s="113" t="s">
        <v>818</v>
      </c>
      <c r="S20" s="94" t="s">
        <v>818</v>
      </c>
      <c r="T20" s="94" t="s">
        <v>818</v>
      </c>
      <c r="U20" s="94" t="s">
        <v>818</v>
      </c>
      <c r="V20" s="94" t="s">
        <v>818</v>
      </c>
      <c r="W20" s="169"/>
      <c r="X20" s="94" t="s">
        <v>818</v>
      </c>
      <c r="Y20" s="113" t="s">
        <v>818</v>
      </c>
      <c r="Z20" s="94" t="s">
        <v>818</v>
      </c>
      <c r="AA20" s="94" t="s">
        <v>818</v>
      </c>
      <c r="AB20" s="94" t="s">
        <v>818</v>
      </c>
      <c r="AC20" s="94"/>
      <c r="AD20" s="169"/>
      <c r="AE20" s="94"/>
      <c r="AF20" s="113"/>
      <c r="AG20" s="94"/>
      <c r="AH20" s="94"/>
      <c r="AI20" s="94"/>
      <c r="AJ20" s="94"/>
      <c r="AK20" s="5">
        <f t="shared" si="0"/>
        <v>19</v>
      </c>
      <c r="AL20" s="5">
        <f t="shared" si="1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5.5" x14ac:dyDescent="0.3">
      <c r="A21" s="9">
        <v>17</v>
      </c>
      <c r="B21" s="11">
        <v>522</v>
      </c>
      <c r="C21" s="7" t="s">
        <v>323</v>
      </c>
      <c r="D21" s="7" t="s">
        <v>219</v>
      </c>
      <c r="E21" s="8" t="s">
        <v>361</v>
      </c>
      <c r="F21" s="180"/>
      <c r="G21" s="94" t="s">
        <v>818</v>
      </c>
      <c r="H21" s="94" t="s">
        <v>818</v>
      </c>
      <c r="I21" s="169"/>
      <c r="J21" s="94" t="s">
        <v>818</v>
      </c>
      <c r="K21" s="113" t="s">
        <v>818</v>
      </c>
      <c r="L21" s="94" t="s">
        <v>818</v>
      </c>
      <c r="M21" s="94" t="s">
        <v>818</v>
      </c>
      <c r="N21" s="94" t="s">
        <v>818</v>
      </c>
      <c r="O21" s="94" t="s">
        <v>818</v>
      </c>
      <c r="P21" s="169"/>
      <c r="Q21" s="94" t="s">
        <v>818</v>
      </c>
      <c r="R21" s="113" t="s">
        <v>818</v>
      </c>
      <c r="S21" s="94" t="s">
        <v>818</v>
      </c>
      <c r="T21" s="94" t="s">
        <v>818</v>
      </c>
      <c r="U21" s="94" t="s">
        <v>817</v>
      </c>
      <c r="V21" s="94" t="s">
        <v>818</v>
      </c>
      <c r="W21" s="169"/>
      <c r="X21" s="94" t="s">
        <v>818</v>
      </c>
      <c r="Y21" s="113" t="s">
        <v>818</v>
      </c>
      <c r="Z21" s="94" t="s">
        <v>818</v>
      </c>
      <c r="AA21" s="94" t="s">
        <v>818</v>
      </c>
      <c r="AB21" s="94" t="s">
        <v>818</v>
      </c>
      <c r="AC21" s="94"/>
      <c r="AD21" s="169"/>
      <c r="AE21" s="94"/>
      <c r="AF21" s="113"/>
      <c r="AG21" s="94"/>
      <c r="AH21" s="94"/>
      <c r="AI21" s="94"/>
      <c r="AJ21" s="94"/>
      <c r="AK21" s="5">
        <f t="shared" si="0"/>
        <v>18</v>
      </c>
      <c r="AL21" s="5">
        <f t="shared" si="1"/>
        <v>1</v>
      </c>
      <c r="AM21" s="5" t="s">
        <v>14</v>
      </c>
      <c r="AN21" s="9">
        <f>26*$AN$5</f>
        <v>676</v>
      </c>
      <c r="AO21" s="9">
        <f>26*$AN$5</f>
        <v>676</v>
      </c>
      <c r="AP21" s="9">
        <f>AN21+AO21</f>
        <v>1352</v>
      </c>
    </row>
    <row r="22" spans="1:42" ht="15.5" x14ac:dyDescent="0.3">
      <c r="A22" s="9">
        <v>18</v>
      </c>
      <c r="B22" s="11">
        <v>654</v>
      </c>
      <c r="C22" s="7" t="s">
        <v>324</v>
      </c>
      <c r="D22" s="7" t="s">
        <v>129</v>
      </c>
      <c r="E22" s="8" t="s">
        <v>361</v>
      </c>
      <c r="F22" s="180"/>
      <c r="G22" s="94" t="s">
        <v>818</v>
      </c>
      <c r="H22" s="94" t="s">
        <v>818</v>
      </c>
      <c r="I22" s="169"/>
      <c r="J22" s="94" t="s">
        <v>818</v>
      </c>
      <c r="K22" s="113" t="s">
        <v>818</v>
      </c>
      <c r="L22" s="94" t="s">
        <v>818</v>
      </c>
      <c r="M22" s="94" t="s">
        <v>818</v>
      </c>
      <c r="N22" s="94" t="s">
        <v>818</v>
      </c>
      <c r="O22" s="94" t="s">
        <v>818</v>
      </c>
      <c r="P22" s="169"/>
      <c r="Q22" s="94" t="s">
        <v>818</v>
      </c>
      <c r="R22" s="113" t="s">
        <v>818</v>
      </c>
      <c r="S22" s="94" t="s">
        <v>818</v>
      </c>
      <c r="T22" s="94" t="s">
        <v>818</v>
      </c>
      <c r="U22" s="94" t="s">
        <v>818</v>
      </c>
      <c r="V22" s="94" t="s">
        <v>818</v>
      </c>
      <c r="W22" s="169"/>
      <c r="X22" s="94" t="s">
        <v>818</v>
      </c>
      <c r="Y22" s="113" t="s">
        <v>818</v>
      </c>
      <c r="Z22" s="94" t="s">
        <v>818</v>
      </c>
      <c r="AA22" s="94" t="s">
        <v>818</v>
      </c>
      <c r="AB22" s="94" t="s">
        <v>818</v>
      </c>
      <c r="AC22" s="94"/>
      <c r="AD22" s="169"/>
      <c r="AE22" s="94"/>
      <c r="AF22" s="113"/>
      <c r="AG22" s="94"/>
      <c r="AH22" s="94"/>
      <c r="AI22" s="94"/>
      <c r="AJ22" s="94"/>
      <c r="AK22" s="5">
        <f t="shared" si="0"/>
        <v>19</v>
      </c>
      <c r="AL22" s="5">
        <f t="shared" si="1"/>
        <v>0</v>
      </c>
      <c r="AM22" s="5" t="s">
        <v>17</v>
      </c>
      <c r="AN22" s="9">
        <f>AN21-AN14</f>
        <v>326</v>
      </c>
      <c r="AO22" s="9">
        <f>AO21-AO14</f>
        <v>329</v>
      </c>
      <c r="AP22" s="9">
        <f>AN22+AO22</f>
        <v>655</v>
      </c>
    </row>
    <row r="23" spans="1:42" ht="15.5" x14ac:dyDescent="0.3">
      <c r="A23" s="9">
        <v>19</v>
      </c>
      <c r="B23" s="11">
        <v>660</v>
      </c>
      <c r="C23" s="7" t="s">
        <v>325</v>
      </c>
      <c r="D23" s="7" t="s">
        <v>326</v>
      </c>
      <c r="E23" s="8" t="s">
        <v>361</v>
      </c>
      <c r="F23" s="180"/>
      <c r="G23" s="94" t="s">
        <v>818</v>
      </c>
      <c r="H23" s="94" t="s">
        <v>818</v>
      </c>
      <c r="I23" s="169"/>
      <c r="J23" s="94" t="s">
        <v>818</v>
      </c>
      <c r="K23" s="113" t="s">
        <v>818</v>
      </c>
      <c r="L23" s="94" t="s">
        <v>818</v>
      </c>
      <c r="M23" s="94" t="s">
        <v>818</v>
      </c>
      <c r="N23" s="94" t="s">
        <v>818</v>
      </c>
      <c r="O23" s="94" t="s">
        <v>818</v>
      </c>
      <c r="P23" s="169"/>
      <c r="Q23" s="94" t="s">
        <v>818</v>
      </c>
      <c r="R23" s="113" t="s">
        <v>818</v>
      </c>
      <c r="S23" s="94" t="s">
        <v>818</v>
      </c>
      <c r="T23" s="94" t="s">
        <v>818</v>
      </c>
      <c r="U23" s="94" t="s">
        <v>818</v>
      </c>
      <c r="V23" s="94" t="s">
        <v>818</v>
      </c>
      <c r="W23" s="169"/>
      <c r="X23" s="94" t="s">
        <v>818</v>
      </c>
      <c r="Y23" s="113" t="s">
        <v>818</v>
      </c>
      <c r="Z23" s="94" t="s">
        <v>818</v>
      </c>
      <c r="AA23" s="94" t="s">
        <v>818</v>
      </c>
      <c r="AB23" s="94" t="s">
        <v>818</v>
      </c>
      <c r="AC23" s="94"/>
      <c r="AD23" s="169"/>
      <c r="AE23" s="94"/>
      <c r="AF23" s="113"/>
      <c r="AG23" s="94"/>
      <c r="AH23" s="94"/>
      <c r="AI23" s="94"/>
      <c r="AJ23" s="94"/>
      <c r="AK23" s="5">
        <f t="shared" si="0"/>
        <v>19</v>
      </c>
      <c r="AL23" s="5">
        <f t="shared" si="1"/>
        <v>0</v>
      </c>
      <c r="AM23" s="5" t="s">
        <v>16</v>
      </c>
      <c r="AN23" s="12">
        <f>AN22/AN21</f>
        <v>0.48224852071005919</v>
      </c>
      <c r="AO23" s="12">
        <f>AO22/AO21</f>
        <v>0.48668639053254437</v>
      </c>
      <c r="AP23" s="12">
        <f>AP22/AP21</f>
        <v>0.48446745562130178</v>
      </c>
    </row>
    <row r="24" spans="1:42" ht="15.5" x14ac:dyDescent="0.3">
      <c r="A24" s="9">
        <v>20</v>
      </c>
      <c r="B24" s="11">
        <v>841</v>
      </c>
      <c r="C24" s="7" t="s">
        <v>327</v>
      </c>
      <c r="D24" s="7" t="s">
        <v>328</v>
      </c>
      <c r="E24" s="8" t="s">
        <v>361</v>
      </c>
      <c r="F24" s="180"/>
      <c r="G24" s="94" t="s">
        <v>818</v>
      </c>
      <c r="H24" s="94" t="s">
        <v>818</v>
      </c>
      <c r="I24" s="169"/>
      <c r="J24" s="94" t="s">
        <v>818</v>
      </c>
      <c r="K24" s="113" t="s">
        <v>818</v>
      </c>
      <c r="L24" s="94" t="s">
        <v>818</v>
      </c>
      <c r="M24" s="94" t="s">
        <v>818</v>
      </c>
      <c r="N24" s="94" t="s">
        <v>818</v>
      </c>
      <c r="O24" s="94" t="s">
        <v>818</v>
      </c>
      <c r="P24" s="169"/>
      <c r="Q24" s="94" t="s">
        <v>818</v>
      </c>
      <c r="R24" s="113" t="s">
        <v>818</v>
      </c>
      <c r="S24" s="94" t="s">
        <v>818</v>
      </c>
      <c r="T24" s="94" t="s">
        <v>818</v>
      </c>
      <c r="U24" s="94" t="s">
        <v>818</v>
      </c>
      <c r="V24" s="94" t="s">
        <v>818</v>
      </c>
      <c r="W24" s="169"/>
      <c r="X24" s="94" t="s">
        <v>818</v>
      </c>
      <c r="Y24" s="113" t="s">
        <v>818</v>
      </c>
      <c r="Z24" s="94" t="s">
        <v>818</v>
      </c>
      <c r="AA24" s="94" t="s">
        <v>818</v>
      </c>
      <c r="AB24" s="94" t="s">
        <v>818</v>
      </c>
      <c r="AC24" s="94"/>
      <c r="AD24" s="169"/>
      <c r="AE24" s="94"/>
      <c r="AF24" s="113"/>
      <c r="AG24" s="94"/>
      <c r="AH24" s="94"/>
      <c r="AI24" s="94"/>
      <c r="AJ24" s="94"/>
      <c r="AK24" s="5">
        <f t="shared" si="0"/>
        <v>19</v>
      </c>
      <c r="AL24" s="5">
        <f t="shared" si="1"/>
        <v>0</v>
      </c>
    </row>
    <row r="25" spans="1:42" ht="15.5" x14ac:dyDescent="0.3">
      <c r="A25" s="9">
        <v>21</v>
      </c>
      <c r="B25" s="11">
        <v>676</v>
      </c>
      <c r="C25" s="7" t="s">
        <v>329</v>
      </c>
      <c r="D25" s="7" t="s">
        <v>133</v>
      </c>
      <c r="E25" s="8" t="s">
        <v>361</v>
      </c>
      <c r="F25" s="180"/>
      <c r="G25" s="94" t="s">
        <v>817</v>
      </c>
      <c r="H25" s="94" t="s">
        <v>818</v>
      </c>
      <c r="I25" s="169"/>
      <c r="J25" s="94" t="s">
        <v>818</v>
      </c>
      <c r="K25" s="113" t="s">
        <v>818</v>
      </c>
      <c r="L25" s="94" t="s">
        <v>818</v>
      </c>
      <c r="M25" s="94" t="s">
        <v>818</v>
      </c>
      <c r="N25" s="94" t="s">
        <v>818</v>
      </c>
      <c r="O25" s="94" t="s">
        <v>818</v>
      </c>
      <c r="P25" s="169"/>
      <c r="Q25" s="94" t="s">
        <v>818</v>
      </c>
      <c r="R25" s="113" t="s">
        <v>818</v>
      </c>
      <c r="S25" s="94" t="s">
        <v>818</v>
      </c>
      <c r="T25" s="94" t="s">
        <v>817</v>
      </c>
      <c r="U25" s="94" t="s">
        <v>818</v>
      </c>
      <c r="V25" s="94" t="s">
        <v>818</v>
      </c>
      <c r="W25" s="169"/>
      <c r="X25" s="94" t="s">
        <v>818</v>
      </c>
      <c r="Y25" s="113" t="s">
        <v>818</v>
      </c>
      <c r="Z25" s="94" t="s">
        <v>817</v>
      </c>
      <c r="AA25" s="94" t="s">
        <v>818</v>
      </c>
      <c r="AB25" s="94" t="s">
        <v>818</v>
      </c>
      <c r="AC25" s="94"/>
      <c r="AD25" s="169"/>
      <c r="AE25" s="94"/>
      <c r="AF25" s="113"/>
      <c r="AG25" s="94"/>
      <c r="AH25" s="94"/>
      <c r="AI25" s="94"/>
      <c r="AJ25" s="94"/>
      <c r="AK25" s="5">
        <f t="shared" si="0"/>
        <v>16</v>
      </c>
      <c r="AL25" s="5">
        <f t="shared" si="1"/>
        <v>3</v>
      </c>
    </row>
    <row r="26" spans="1:42" ht="15.5" x14ac:dyDescent="0.3">
      <c r="A26" s="9">
        <v>22</v>
      </c>
      <c r="B26" s="11">
        <v>658</v>
      </c>
      <c r="C26" s="7" t="s">
        <v>330</v>
      </c>
      <c r="D26" s="7" t="s">
        <v>131</v>
      </c>
      <c r="E26" s="8" t="s">
        <v>361</v>
      </c>
      <c r="F26" s="180"/>
      <c r="G26" s="94" t="s">
        <v>817</v>
      </c>
      <c r="H26" s="94" t="s">
        <v>817</v>
      </c>
      <c r="I26" s="169"/>
      <c r="J26" s="94" t="s">
        <v>817</v>
      </c>
      <c r="K26" s="113" t="s">
        <v>817</v>
      </c>
      <c r="L26" s="94" t="s">
        <v>817</v>
      </c>
      <c r="M26" s="94" t="s">
        <v>817</v>
      </c>
      <c r="N26" s="94" t="s">
        <v>817</v>
      </c>
      <c r="O26" s="94" t="s">
        <v>817</v>
      </c>
      <c r="P26" s="169"/>
      <c r="Q26" s="94" t="s">
        <v>817</v>
      </c>
      <c r="R26" s="113" t="s">
        <v>817</v>
      </c>
      <c r="S26" s="94" t="s">
        <v>817</v>
      </c>
      <c r="T26" s="94" t="s">
        <v>817</v>
      </c>
      <c r="U26" s="94" t="s">
        <v>817</v>
      </c>
      <c r="V26" s="94" t="s">
        <v>817</v>
      </c>
      <c r="W26" s="169"/>
      <c r="X26" s="94" t="s">
        <v>817</v>
      </c>
      <c r="Y26" s="113" t="s">
        <v>817</v>
      </c>
      <c r="Z26" s="94" t="s">
        <v>817</v>
      </c>
      <c r="AA26" s="94" t="s">
        <v>817</v>
      </c>
      <c r="AB26" s="94" t="s">
        <v>818</v>
      </c>
      <c r="AC26" s="94"/>
      <c r="AD26" s="169"/>
      <c r="AE26" s="94"/>
      <c r="AF26" s="113"/>
      <c r="AG26" s="94"/>
      <c r="AH26" s="94"/>
      <c r="AI26" s="94"/>
      <c r="AJ26" s="94"/>
      <c r="AK26" s="5">
        <f t="shared" si="0"/>
        <v>1</v>
      </c>
      <c r="AL26" s="5">
        <f t="shared" si="1"/>
        <v>18</v>
      </c>
    </row>
    <row r="27" spans="1:42" ht="15.5" x14ac:dyDescent="0.3">
      <c r="A27" s="9">
        <v>23</v>
      </c>
      <c r="B27" s="11"/>
      <c r="C27" s="7" t="s">
        <v>858</v>
      </c>
      <c r="D27" s="7"/>
      <c r="E27" s="8" t="s">
        <v>361</v>
      </c>
      <c r="F27" s="180"/>
      <c r="G27" s="94" t="s">
        <v>848</v>
      </c>
      <c r="H27" s="94" t="s">
        <v>848</v>
      </c>
      <c r="I27" s="169"/>
      <c r="J27" s="94" t="s">
        <v>848</v>
      </c>
      <c r="K27" s="113" t="s">
        <v>848</v>
      </c>
      <c r="L27" s="94" t="s">
        <v>848</v>
      </c>
      <c r="M27" s="94" t="s">
        <v>848</v>
      </c>
      <c r="N27" s="94" t="s">
        <v>848</v>
      </c>
      <c r="O27" s="94" t="s">
        <v>848</v>
      </c>
      <c r="P27" s="169"/>
      <c r="Q27" s="94" t="s">
        <v>848</v>
      </c>
      <c r="R27" s="113" t="s">
        <v>848</v>
      </c>
      <c r="S27" s="94" t="s">
        <v>848</v>
      </c>
      <c r="T27" s="94" t="s">
        <v>848</v>
      </c>
      <c r="U27" s="94" t="s">
        <v>848</v>
      </c>
      <c r="V27" s="94" t="s">
        <v>730</v>
      </c>
      <c r="W27" s="169"/>
      <c r="X27" s="94" t="s">
        <v>730</v>
      </c>
      <c r="Y27" s="113" t="s">
        <v>730</v>
      </c>
      <c r="Z27" s="94" t="s">
        <v>730</v>
      </c>
      <c r="AA27" s="94" t="s">
        <v>730</v>
      </c>
      <c r="AB27" s="94" t="s">
        <v>818</v>
      </c>
      <c r="AC27" s="94"/>
      <c r="AD27" s="169"/>
      <c r="AE27" s="94"/>
      <c r="AF27" s="113"/>
      <c r="AG27" s="94"/>
      <c r="AH27" s="94"/>
      <c r="AI27" s="94"/>
      <c r="AJ27" s="94"/>
      <c r="AK27" s="5">
        <f t="shared" si="0"/>
        <v>6</v>
      </c>
      <c r="AL27" s="5">
        <f t="shared" si="1"/>
        <v>0</v>
      </c>
    </row>
    <row r="28" spans="1:42" ht="15.5" x14ac:dyDescent="0.3">
      <c r="A28" s="9">
        <v>24</v>
      </c>
      <c r="B28" s="11">
        <v>785</v>
      </c>
      <c r="C28" s="7" t="s">
        <v>249</v>
      </c>
      <c r="D28" s="7" t="s">
        <v>176</v>
      </c>
      <c r="E28" s="8" t="s">
        <v>361</v>
      </c>
      <c r="F28" s="180"/>
      <c r="G28" s="94" t="s">
        <v>818</v>
      </c>
      <c r="H28" s="94" t="s">
        <v>818</v>
      </c>
      <c r="I28" s="169"/>
      <c r="J28" s="94" t="s">
        <v>818</v>
      </c>
      <c r="K28" s="113" t="s">
        <v>818</v>
      </c>
      <c r="L28" s="94" t="s">
        <v>818</v>
      </c>
      <c r="M28" s="94" t="s">
        <v>818</v>
      </c>
      <c r="N28" s="94" t="s">
        <v>818</v>
      </c>
      <c r="O28" s="94" t="s">
        <v>818</v>
      </c>
      <c r="P28" s="169"/>
      <c r="Q28" s="94" t="s">
        <v>818</v>
      </c>
      <c r="R28" s="113" t="s">
        <v>818</v>
      </c>
      <c r="S28" s="94" t="s">
        <v>818</v>
      </c>
      <c r="T28" s="94" t="s">
        <v>818</v>
      </c>
      <c r="U28" s="94" t="s">
        <v>818</v>
      </c>
      <c r="V28" s="94" t="s">
        <v>818</v>
      </c>
      <c r="W28" s="169"/>
      <c r="X28" s="94" t="s">
        <v>817</v>
      </c>
      <c r="Y28" s="113" t="s">
        <v>818</v>
      </c>
      <c r="Z28" s="94" t="s">
        <v>818</v>
      </c>
      <c r="AA28" s="94" t="s">
        <v>818</v>
      </c>
      <c r="AB28" s="94" t="s">
        <v>818</v>
      </c>
      <c r="AC28" s="94"/>
      <c r="AD28" s="169"/>
      <c r="AE28" s="94"/>
      <c r="AF28" s="113"/>
      <c r="AG28" s="94"/>
      <c r="AH28" s="94"/>
      <c r="AI28" s="94"/>
      <c r="AJ28" s="94"/>
      <c r="AK28" s="5">
        <f t="shared" si="0"/>
        <v>18</v>
      </c>
      <c r="AL28" s="5">
        <f t="shared" si="1"/>
        <v>1</v>
      </c>
    </row>
    <row r="29" spans="1:42" ht="15.5" x14ac:dyDescent="0.3">
      <c r="A29" s="9">
        <v>1</v>
      </c>
      <c r="B29" s="11">
        <v>700</v>
      </c>
      <c r="C29" s="7" t="s">
        <v>22</v>
      </c>
      <c r="D29" s="7" t="s">
        <v>219</v>
      </c>
      <c r="E29" s="8" t="s">
        <v>361</v>
      </c>
      <c r="F29" s="180"/>
      <c r="G29" s="94" t="s">
        <v>817</v>
      </c>
      <c r="H29" s="94" t="s">
        <v>818</v>
      </c>
      <c r="I29" s="169"/>
      <c r="J29" s="94" t="s">
        <v>818</v>
      </c>
      <c r="K29" s="113" t="s">
        <v>818</v>
      </c>
      <c r="L29" s="94" t="s">
        <v>818</v>
      </c>
      <c r="M29" s="94" t="s">
        <v>818</v>
      </c>
      <c r="N29" s="94" t="s">
        <v>818</v>
      </c>
      <c r="O29" s="94" t="s">
        <v>817</v>
      </c>
      <c r="P29" s="169"/>
      <c r="Q29" s="94" t="s">
        <v>817</v>
      </c>
      <c r="R29" s="113" t="s">
        <v>818</v>
      </c>
      <c r="S29" s="94" t="s">
        <v>817</v>
      </c>
      <c r="T29" s="94" t="s">
        <v>818</v>
      </c>
      <c r="U29" s="94" t="s">
        <v>817</v>
      </c>
      <c r="V29" s="94" t="s">
        <v>818</v>
      </c>
      <c r="W29" s="169"/>
      <c r="X29" s="94" t="s">
        <v>818</v>
      </c>
      <c r="Y29" s="113" t="s">
        <v>818</v>
      </c>
      <c r="Z29" s="94" t="s">
        <v>818</v>
      </c>
      <c r="AA29" s="94" t="s">
        <v>818</v>
      </c>
      <c r="AB29" s="94"/>
      <c r="AC29" s="94"/>
      <c r="AD29" s="169"/>
      <c r="AE29" s="94"/>
      <c r="AF29" s="113"/>
      <c r="AG29" s="94"/>
      <c r="AH29" s="94"/>
      <c r="AI29" s="94"/>
      <c r="AJ29" s="94"/>
      <c r="AK29" s="5">
        <f t="shared" si="0"/>
        <v>13</v>
      </c>
      <c r="AL29" s="5">
        <f t="shared" si="1"/>
        <v>5</v>
      </c>
    </row>
    <row r="30" spans="1:42" ht="15.5" x14ac:dyDescent="0.3">
      <c r="A30" s="9">
        <v>2</v>
      </c>
      <c r="B30" s="11">
        <v>680</v>
      </c>
      <c r="C30" s="7" t="s">
        <v>331</v>
      </c>
      <c r="D30" s="7" t="s">
        <v>311</v>
      </c>
      <c r="E30" s="8" t="s">
        <v>361</v>
      </c>
      <c r="F30" s="180"/>
      <c r="G30" s="94" t="s">
        <v>817</v>
      </c>
      <c r="H30" s="94" t="s">
        <v>818</v>
      </c>
      <c r="I30" s="169"/>
      <c r="J30" s="94" t="s">
        <v>818</v>
      </c>
      <c r="K30" s="113" t="s">
        <v>817</v>
      </c>
      <c r="L30" s="94" t="s">
        <v>818</v>
      </c>
      <c r="M30" s="94" t="s">
        <v>818</v>
      </c>
      <c r="N30" s="94" t="s">
        <v>818</v>
      </c>
      <c r="O30" s="94" t="s">
        <v>818</v>
      </c>
      <c r="P30" s="169"/>
      <c r="Q30" s="94" t="s">
        <v>818</v>
      </c>
      <c r="R30" s="113" t="s">
        <v>818</v>
      </c>
      <c r="S30" s="94" t="s">
        <v>818</v>
      </c>
      <c r="T30" s="94" t="s">
        <v>818</v>
      </c>
      <c r="U30" s="94" t="s">
        <v>818</v>
      </c>
      <c r="V30" s="94" t="s">
        <v>818</v>
      </c>
      <c r="W30" s="169"/>
      <c r="X30" s="94" t="s">
        <v>818</v>
      </c>
      <c r="Y30" s="113" t="s">
        <v>818</v>
      </c>
      <c r="Z30" s="94" t="s">
        <v>818</v>
      </c>
      <c r="AA30" s="94" t="s">
        <v>818</v>
      </c>
      <c r="AB30" s="94"/>
      <c r="AC30" s="94"/>
      <c r="AD30" s="169"/>
      <c r="AE30" s="94"/>
      <c r="AF30" s="113"/>
      <c r="AG30" s="94"/>
      <c r="AH30" s="94"/>
      <c r="AI30" s="94"/>
      <c r="AJ30" s="94"/>
      <c r="AK30" s="5">
        <f t="shared" si="0"/>
        <v>16</v>
      </c>
      <c r="AL30" s="5">
        <f t="shared" si="1"/>
        <v>2</v>
      </c>
    </row>
    <row r="31" spans="1:42" ht="15.5" x14ac:dyDescent="0.3">
      <c r="A31" s="9">
        <v>3</v>
      </c>
      <c r="B31" s="11">
        <v>650</v>
      </c>
      <c r="C31" s="7" t="s">
        <v>111</v>
      </c>
      <c r="D31" s="7" t="s">
        <v>332</v>
      </c>
      <c r="E31" s="8" t="s">
        <v>361</v>
      </c>
      <c r="F31" s="180"/>
      <c r="G31" s="94" t="s">
        <v>818</v>
      </c>
      <c r="H31" s="94" t="s">
        <v>818</v>
      </c>
      <c r="I31" s="169"/>
      <c r="J31" s="94" t="s">
        <v>818</v>
      </c>
      <c r="K31" s="113" t="s">
        <v>818</v>
      </c>
      <c r="L31" s="94" t="s">
        <v>818</v>
      </c>
      <c r="M31" s="94" t="s">
        <v>818</v>
      </c>
      <c r="N31" s="94" t="s">
        <v>818</v>
      </c>
      <c r="O31" s="94" t="s">
        <v>818</v>
      </c>
      <c r="P31" s="169"/>
      <c r="Q31" s="94" t="s">
        <v>818</v>
      </c>
      <c r="R31" s="113" t="s">
        <v>818</v>
      </c>
      <c r="S31" s="94" t="s">
        <v>818</v>
      </c>
      <c r="T31" s="94" t="s">
        <v>818</v>
      </c>
      <c r="U31" s="94" t="s">
        <v>818</v>
      </c>
      <c r="V31" s="94" t="s">
        <v>818</v>
      </c>
      <c r="W31" s="169"/>
      <c r="X31" s="94" t="s">
        <v>818</v>
      </c>
      <c r="Y31" s="113" t="s">
        <v>818</v>
      </c>
      <c r="Z31" s="94" t="s">
        <v>818</v>
      </c>
      <c r="AA31" s="94" t="s">
        <v>818</v>
      </c>
      <c r="AB31" s="94"/>
      <c r="AC31" s="94"/>
      <c r="AD31" s="169"/>
      <c r="AE31" s="94"/>
      <c r="AF31" s="113"/>
      <c r="AG31" s="94"/>
      <c r="AH31" s="94"/>
      <c r="AI31" s="94"/>
      <c r="AJ31" s="94"/>
      <c r="AK31" s="5">
        <f t="shared" si="0"/>
        <v>18</v>
      </c>
      <c r="AL31" s="5">
        <f t="shared" si="1"/>
        <v>0</v>
      </c>
    </row>
    <row r="32" spans="1:42" ht="15.5" x14ac:dyDescent="0.3">
      <c r="A32" s="9">
        <v>4</v>
      </c>
      <c r="B32" s="11">
        <v>911</v>
      </c>
      <c r="C32" s="7" t="s">
        <v>334</v>
      </c>
      <c r="D32" s="7" t="s">
        <v>335</v>
      </c>
      <c r="E32" s="8" t="s">
        <v>361</v>
      </c>
      <c r="F32" s="180"/>
      <c r="G32" s="94" t="s">
        <v>817</v>
      </c>
      <c r="H32" s="94" t="s">
        <v>818</v>
      </c>
      <c r="I32" s="169"/>
      <c r="J32" s="94" t="s">
        <v>818</v>
      </c>
      <c r="K32" s="113" t="s">
        <v>818</v>
      </c>
      <c r="L32" s="94" t="s">
        <v>817</v>
      </c>
      <c r="M32" s="94" t="s">
        <v>818</v>
      </c>
      <c r="N32" s="94" t="s">
        <v>817</v>
      </c>
      <c r="O32" s="94" t="s">
        <v>818</v>
      </c>
      <c r="P32" s="169"/>
      <c r="Q32" s="94" t="s">
        <v>818</v>
      </c>
      <c r="R32" s="113" t="s">
        <v>818</v>
      </c>
      <c r="S32" s="94" t="s">
        <v>818</v>
      </c>
      <c r="T32" s="94" t="s">
        <v>818</v>
      </c>
      <c r="U32" s="94" t="s">
        <v>818</v>
      </c>
      <c r="V32" s="94" t="s">
        <v>818</v>
      </c>
      <c r="W32" s="169"/>
      <c r="X32" s="94" t="s">
        <v>818</v>
      </c>
      <c r="Y32" s="113" t="s">
        <v>818</v>
      </c>
      <c r="Z32" s="94" t="s">
        <v>818</v>
      </c>
      <c r="AA32" s="94" t="s">
        <v>818</v>
      </c>
      <c r="AB32" s="94"/>
      <c r="AC32" s="94"/>
      <c r="AD32" s="169"/>
      <c r="AE32" s="94"/>
      <c r="AF32" s="113"/>
      <c r="AG32" s="94"/>
      <c r="AH32" s="94"/>
      <c r="AI32" s="94"/>
      <c r="AJ32" s="94"/>
      <c r="AK32" s="5">
        <f t="shared" si="0"/>
        <v>15</v>
      </c>
      <c r="AL32" s="5">
        <f t="shared" si="1"/>
        <v>3</v>
      </c>
    </row>
    <row r="33" spans="1:38" ht="15.5" x14ac:dyDescent="0.3">
      <c r="A33" s="9">
        <v>5</v>
      </c>
      <c r="B33" s="11">
        <v>683</v>
      </c>
      <c r="C33" s="7" t="s">
        <v>336</v>
      </c>
      <c r="D33" s="7" t="s">
        <v>337</v>
      </c>
      <c r="E33" s="8" t="s">
        <v>361</v>
      </c>
      <c r="F33" s="180"/>
      <c r="G33" s="94" t="s">
        <v>818</v>
      </c>
      <c r="H33" s="94" t="s">
        <v>818</v>
      </c>
      <c r="I33" s="169"/>
      <c r="J33" s="94" t="s">
        <v>817</v>
      </c>
      <c r="K33" s="113" t="s">
        <v>817</v>
      </c>
      <c r="L33" s="94" t="s">
        <v>817</v>
      </c>
      <c r="M33" s="94" t="s">
        <v>818</v>
      </c>
      <c r="N33" s="94" t="s">
        <v>818</v>
      </c>
      <c r="O33" s="94" t="s">
        <v>817</v>
      </c>
      <c r="P33" s="169"/>
      <c r="Q33" s="94" t="s">
        <v>818</v>
      </c>
      <c r="R33" s="113" t="s">
        <v>818</v>
      </c>
      <c r="S33" s="94" t="s">
        <v>818</v>
      </c>
      <c r="T33" s="94" t="s">
        <v>818</v>
      </c>
      <c r="U33" s="94" t="s">
        <v>818</v>
      </c>
      <c r="V33" s="94" t="s">
        <v>817</v>
      </c>
      <c r="W33" s="169"/>
      <c r="X33" s="94" t="s">
        <v>817</v>
      </c>
      <c r="Y33" s="113" t="s">
        <v>818</v>
      </c>
      <c r="Z33" s="94" t="s">
        <v>818</v>
      </c>
      <c r="AA33" s="94" t="s">
        <v>818</v>
      </c>
      <c r="AB33" s="94"/>
      <c r="AC33" s="94"/>
      <c r="AD33" s="169"/>
      <c r="AE33" s="94"/>
      <c r="AF33" s="113"/>
      <c r="AG33" s="94"/>
      <c r="AH33" s="94"/>
      <c r="AI33" s="94"/>
      <c r="AJ33" s="94"/>
      <c r="AK33" s="5">
        <f t="shared" si="0"/>
        <v>12</v>
      </c>
      <c r="AL33" s="5">
        <f t="shared" si="1"/>
        <v>6</v>
      </c>
    </row>
    <row r="34" spans="1:38" ht="15.5" x14ac:dyDescent="0.3">
      <c r="A34" s="9">
        <v>6</v>
      </c>
      <c r="B34" s="11">
        <v>662</v>
      </c>
      <c r="C34" s="7" t="s">
        <v>338</v>
      </c>
      <c r="D34" s="7" t="s">
        <v>339</v>
      </c>
      <c r="E34" s="8" t="s">
        <v>361</v>
      </c>
      <c r="F34" s="180"/>
      <c r="G34" s="94" t="s">
        <v>818</v>
      </c>
      <c r="H34" s="94" t="s">
        <v>818</v>
      </c>
      <c r="I34" s="169"/>
      <c r="J34" s="94" t="s">
        <v>818</v>
      </c>
      <c r="K34" s="113" t="s">
        <v>817</v>
      </c>
      <c r="L34" s="94" t="s">
        <v>818</v>
      </c>
      <c r="M34" s="94" t="s">
        <v>818</v>
      </c>
      <c r="N34" s="94" t="s">
        <v>817</v>
      </c>
      <c r="O34" s="94" t="s">
        <v>817</v>
      </c>
      <c r="P34" s="169"/>
      <c r="Q34" s="94" t="s">
        <v>817</v>
      </c>
      <c r="R34" s="113" t="s">
        <v>818</v>
      </c>
      <c r="S34" s="94" t="s">
        <v>817</v>
      </c>
      <c r="T34" s="94" t="s">
        <v>818</v>
      </c>
      <c r="U34" s="94" t="s">
        <v>818</v>
      </c>
      <c r="V34" s="94" t="s">
        <v>817</v>
      </c>
      <c r="W34" s="169"/>
      <c r="X34" s="94" t="s">
        <v>818</v>
      </c>
      <c r="Y34" s="113" t="s">
        <v>817</v>
      </c>
      <c r="Z34" s="94" t="s">
        <v>818</v>
      </c>
      <c r="AA34" s="94" t="s">
        <v>818</v>
      </c>
      <c r="AB34" s="94"/>
      <c r="AC34" s="94"/>
      <c r="AD34" s="169"/>
      <c r="AE34" s="94"/>
      <c r="AF34" s="113"/>
      <c r="AG34" s="94"/>
      <c r="AH34" s="94"/>
      <c r="AI34" s="94"/>
      <c r="AJ34" s="94"/>
      <c r="AK34" s="5">
        <f t="shared" si="0"/>
        <v>11</v>
      </c>
      <c r="AL34" s="5">
        <f t="shared" si="1"/>
        <v>7</v>
      </c>
    </row>
    <row r="35" spans="1:38" ht="15.5" x14ac:dyDescent="0.3">
      <c r="A35" s="9">
        <v>7</v>
      </c>
      <c r="B35" s="11">
        <v>681</v>
      </c>
      <c r="C35" s="7" t="s">
        <v>340</v>
      </c>
      <c r="D35" s="7" t="s">
        <v>62</v>
      </c>
      <c r="E35" s="8" t="s">
        <v>361</v>
      </c>
      <c r="F35" s="180"/>
      <c r="G35" s="94" t="s">
        <v>818</v>
      </c>
      <c r="H35" s="94" t="s">
        <v>817</v>
      </c>
      <c r="I35" s="169"/>
      <c r="J35" s="94" t="s">
        <v>818</v>
      </c>
      <c r="K35" s="113" t="s">
        <v>818</v>
      </c>
      <c r="L35" s="94" t="s">
        <v>818</v>
      </c>
      <c r="M35" s="94" t="s">
        <v>817</v>
      </c>
      <c r="N35" s="94" t="s">
        <v>818</v>
      </c>
      <c r="O35" s="94" t="s">
        <v>818</v>
      </c>
      <c r="P35" s="169"/>
      <c r="Q35" s="94" t="s">
        <v>817</v>
      </c>
      <c r="R35" s="113" t="s">
        <v>818</v>
      </c>
      <c r="S35" s="94" t="s">
        <v>817</v>
      </c>
      <c r="T35" s="94" t="s">
        <v>818</v>
      </c>
      <c r="U35" s="94" t="s">
        <v>818</v>
      </c>
      <c r="V35" s="94" t="s">
        <v>817</v>
      </c>
      <c r="W35" s="169"/>
      <c r="X35" s="94" t="s">
        <v>818</v>
      </c>
      <c r="Y35" s="113" t="s">
        <v>818</v>
      </c>
      <c r="Z35" s="94" t="s">
        <v>818</v>
      </c>
      <c r="AA35" s="94" t="s">
        <v>818</v>
      </c>
      <c r="AB35" s="94"/>
      <c r="AC35" s="94"/>
      <c r="AD35" s="169"/>
      <c r="AE35" s="94"/>
      <c r="AF35" s="113"/>
      <c r="AG35" s="94"/>
      <c r="AH35" s="94"/>
      <c r="AI35" s="94"/>
      <c r="AJ35" s="94"/>
      <c r="AK35" s="5">
        <f t="shared" si="0"/>
        <v>13</v>
      </c>
      <c r="AL35" s="5">
        <f t="shared" si="1"/>
        <v>5</v>
      </c>
    </row>
    <row r="36" spans="1:38" ht="15.5" x14ac:dyDescent="0.3">
      <c r="A36" s="9">
        <v>8</v>
      </c>
      <c r="B36" s="11">
        <v>664</v>
      </c>
      <c r="C36" s="7" t="s">
        <v>106</v>
      </c>
      <c r="D36" s="7" t="s">
        <v>341</v>
      </c>
      <c r="E36" s="8" t="s">
        <v>361</v>
      </c>
      <c r="F36" s="180"/>
      <c r="G36" s="94" t="s">
        <v>818</v>
      </c>
      <c r="H36" s="94" t="s">
        <v>818</v>
      </c>
      <c r="I36" s="169"/>
      <c r="J36" s="94" t="s">
        <v>817</v>
      </c>
      <c r="K36" s="113" t="s">
        <v>818</v>
      </c>
      <c r="L36" s="94" t="s">
        <v>817</v>
      </c>
      <c r="M36" s="94" t="s">
        <v>818</v>
      </c>
      <c r="N36" s="94" t="s">
        <v>818</v>
      </c>
      <c r="O36" s="94" t="s">
        <v>818</v>
      </c>
      <c r="P36" s="169"/>
      <c r="Q36" s="94" t="s">
        <v>818</v>
      </c>
      <c r="R36" s="113" t="s">
        <v>818</v>
      </c>
      <c r="S36" s="94" t="s">
        <v>818</v>
      </c>
      <c r="T36" s="94" t="s">
        <v>818</v>
      </c>
      <c r="U36" s="94" t="s">
        <v>818</v>
      </c>
      <c r="V36" s="94" t="s">
        <v>818</v>
      </c>
      <c r="W36" s="169"/>
      <c r="X36" s="94" t="s">
        <v>818</v>
      </c>
      <c r="Y36" s="113" t="s">
        <v>818</v>
      </c>
      <c r="Z36" s="94" t="s">
        <v>818</v>
      </c>
      <c r="AA36" s="94" t="s">
        <v>818</v>
      </c>
      <c r="AB36" s="94"/>
      <c r="AC36" s="94"/>
      <c r="AD36" s="169"/>
      <c r="AE36" s="94"/>
      <c r="AF36" s="113"/>
      <c r="AG36" s="94"/>
      <c r="AH36" s="94"/>
      <c r="AI36" s="94"/>
      <c r="AJ36" s="94"/>
      <c r="AK36" s="5">
        <f t="shared" si="0"/>
        <v>16</v>
      </c>
      <c r="AL36" s="5">
        <f t="shared" si="1"/>
        <v>2</v>
      </c>
    </row>
    <row r="37" spans="1:38" ht="15.5" x14ac:dyDescent="0.3">
      <c r="A37" s="9">
        <v>9</v>
      </c>
      <c r="B37" s="11">
        <v>663</v>
      </c>
      <c r="C37" s="7" t="s">
        <v>342</v>
      </c>
      <c r="D37" s="7" t="s">
        <v>60</v>
      </c>
      <c r="E37" s="8" t="s">
        <v>361</v>
      </c>
      <c r="F37" s="180"/>
      <c r="G37" s="94" t="s">
        <v>817</v>
      </c>
      <c r="H37" s="94" t="s">
        <v>817</v>
      </c>
      <c r="I37" s="169"/>
      <c r="J37" s="94" t="s">
        <v>817</v>
      </c>
      <c r="K37" s="113" t="s">
        <v>817</v>
      </c>
      <c r="L37" s="94" t="s">
        <v>817</v>
      </c>
      <c r="M37" s="94" t="s">
        <v>817</v>
      </c>
      <c r="N37" s="94" t="s">
        <v>817</v>
      </c>
      <c r="O37" s="94" t="s">
        <v>817</v>
      </c>
      <c r="P37" s="169"/>
      <c r="Q37" s="94" t="s">
        <v>817</v>
      </c>
      <c r="R37" s="113" t="s">
        <v>817</v>
      </c>
      <c r="S37" s="94" t="s">
        <v>817</v>
      </c>
      <c r="T37" s="94" t="s">
        <v>817</v>
      </c>
      <c r="U37" s="94" t="s">
        <v>817</v>
      </c>
      <c r="V37" s="94" t="s">
        <v>817</v>
      </c>
      <c r="W37" s="169"/>
      <c r="X37" s="94" t="s">
        <v>817</v>
      </c>
      <c r="Y37" s="113" t="s">
        <v>817</v>
      </c>
      <c r="Z37" s="94" t="s">
        <v>818</v>
      </c>
      <c r="AA37" s="94" t="s">
        <v>818</v>
      </c>
      <c r="AB37" s="94"/>
      <c r="AC37" s="94"/>
      <c r="AD37" s="169"/>
      <c r="AE37" s="94"/>
      <c r="AF37" s="113"/>
      <c r="AG37" s="94"/>
      <c r="AH37" s="94"/>
      <c r="AI37" s="94"/>
      <c r="AJ37" s="94"/>
      <c r="AK37" s="5">
        <f t="shared" si="0"/>
        <v>2</v>
      </c>
      <c r="AL37" s="5">
        <f t="shared" si="1"/>
        <v>16</v>
      </c>
    </row>
    <row r="38" spans="1:38" ht="15.5" x14ac:dyDescent="0.3">
      <c r="A38" s="9">
        <v>10</v>
      </c>
      <c r="B38" s="11">
        <v>771</v>
      </c>
      <c r="C38" s="7" t="s">
        <v>343</v>
      </c>
      <c r="D38" s="7" t="s">
        <v>266</v>
      </c>
      <c r="E38" s="8" t="s">
        <v>361</v>
      </c>
      <c r="F38" s="180"/>
      <c r="G38" s="94" t="s">
        <v>818</v>
      </c>
      <c r="H38" s="94" t="s">
        <v>818</v>
      </c>
      <c r="I38" s="169"/>
      <c r="J38" s="94" t="s">
        <v>818</v>
      </c>
      <c r="K38" s="113" t="s">
        <v>818</v>
      </c>
      <c r="L38" s="94" t="s">
        <v>818</v>
      </c>
      <c r="M38" s="94" t="s">
        <v>818</v>
      </c>
      <c r="N38" s="94" t="s">
        <v>818</v>
      </c>
      <c r="O38" s="94" t="s">
        <v>818</v>
      </c>
      <c r="P38" s="169"/>
      <c r="Q38" s="94" t="s">
        <v>818</v>
      </c>
      <c r="R38" s="113" t="s">
        <v>817</v>
      </c>
      <c r="S38" s="94" t="s">
        <v>818</v>
      </c>
      <c r="T38" s="94" t="s">
        <v>818</v>
      </c>
      <c r="U38" s="94" t="s">
        <v>818</v>
      </c>
      <c r="V38" s="94" t="s">
        <v>818</v>
      </c>
      <c r="W38" s="169"/>
      <c r="X38" s="94" t="s">
        <v>817</v>
      </c>
      <c r="Y38" s="113" t="s">
        <v>818</v>
      </c>
      <c r="Z38" s="94" t="s">
        <v>818</v>
      </c>
      <c r="AA38" s="94" t="s">
        <v>818</v>
      </c>
      <c r="AB38" s="94"/>
      <c r="AC38" s="94"/>
      <c r="AD38" s="169"/>
      <c r="AE38" s="94"/>
      <c r="AF38" s="113"/>
      <c r="AG38" s="94"/>
      <c r="AH38" s="94"/>
      <c r="AI38" s="94"/>
      <c r="AJ38" s="94"/>
      <c r="AK38" s="5">
        <f t="shared" si="0"/>
        <v>16</v>
      </c>
      <c r="AL38" s="5">
        <f t="shared" si="1"/>
        <v>2</v>
      </c>
    </row>
    <row r="39" spans="1:38" ht="15.5" x14ac:dyDescent="0.3">
      <c r="A39" s="9">
        <v>11</v>
      </c>
      <c r="B39" s="11">
        <v>773</v>
      </c>
      <c r="C39" s="7" t="s">
        <v>185</v>
      </c>
      <c r="D39" s="7" t="s">
        <v>234</v>
      </c>
      <c r="E39" s="8" t="s">
        <v>361</v>
      </c>
      <c r="F39" s="180"/>
      <c r="G39" s="94" t="s">
        <v>818</v>
      </c>
      <c r="H39" s="94" t="s">
        <v>818</v>
      </c>
      <c r="I39" s="169"/>
      <c r="J39" s="94" t="s">
        <v>818</v>
      </c>
      <c r="K39" s="113" t="s">
        <v>818</v>
      </c>
      <c r="L39" s="94" t="s">
        <v>818</v>
      </c>
      <c r="M39" s="94" t="s">
        <v>818</v>
      </c>
      <c r="N39" s="94" t="s">
        <v>818</v>
      </c>
      <c r="O39" s="94" t="s">
        <v>818</v>
      </c>
      <c r="P39" s="169"/>
      <c r="Q39" s="94" t="s">
        <v>818</v>
      </c>
      <c r="R39" s="113" t="s">
        <v>818</v>
      </c>
      <c r="S39" s="94" t="s">
        <v>818</v>
      </c>
      <c r="T39" s="94" t="s">
        <v>818</v>
      </c>
      <c r="U39" s="94" t="s">
        <v>818</v>
      </c>
      <c r="V39" s="94" t="s">
        <v>818</v>
      </c>
      <c r="W39" s="169"/>
      <c r="X39" s="94" t="s">
        <v>818</v>
      </c>
      <c r="Y39" s="113" t="s">
        <v>818</v>
      </c>
      <c r="Z39" s="94" t="s">
        <v>818</v>
      </c>
      <c r="AA39" s="94" t="s">
        <v>818</v>
      </c>
      <c r="AB39" s="94"/>
      <c r="AC39" s="94"/>
      <c r="AD39" s="169"/>
      <c r="AE39" s="94"/>
      <c r="AF39" s="113"/>
      <c r="AG39" s="94"/>
      <c r="AH39" s="94"/>
      <c r="AI39" s="94"/>
      <c r="AJ39" s="94"/>
      <c r="AK39" s="5">
        <f t="shared" si="0"/>
        <v>18</v>
      </c>
      <c r="AL39" s="5">
        <f t="shared" si="1"/>
        <v>0</v>
      </c>
    </row>
    <row r="40" spans="1:38" ht="15.5" x14ac:dyDescent="0.3">
      <c r="A40" s="9">
        <v>12</v>
      </c>
      <c r="B40" s="11">
        <v>775</v>
      </c>
      <c r="C40" s="7" t="s">
        <v>344</v>
      </c>
      <c r="D40" s="7" t="s">
        <v>345</v>
      </c>
      <c r="E40" s="8" t="s">
        <v>361</v>
      </c>
      <c r="F40" s="180"/>
      <c r="G40" s="94" t="s">
        <v>817</v>
      </c>
      <c r="H40" s="94" t="s">
        <v>818</v>
      </c>
      <c r="I40" s="169"/>
      <c r="J40" s="94" t="s">
        <v>818</v>
      </c>
      <c r="K40" s="113" t="s">
        <v>818</v>
      </c>
      <c r="L40" s="94" t="s">
        <v>817</v>
      </c>
      <c r="M40" s="94" t="s">
        <v>818</v>
      </c>
      <c r="N40" s="94" t="s">
        <v>818</v>
      </c>
      <c r="O40" s="94" t="s">
        <v>818</v>
      </c>
      <c r="P40" s="169"/>
      <c r="Q40" s="94" t="s">
        <v>817</v>
      </c>
      <c r="R40" s="113" t="s">
        <v>818</v>
      </c>
      <c r="S40" s="94" t="s">
        <v>818</v>
      </c>
      <c r="T40" s="94" t="s">
        <v>817</v>
      </c>
      <c r="U40" s="94" t="s">
        <v>817</v>
      </c>
      <c r="V40" s="94" t="s">
        <v>818</v>
      </c>
      <c r="W40" s="169"/>
      <c r="X40" s="94" t="s">
        <v>818</v>
      </c>
      <c r="Y40" s="113" t="s">
        <v>817</v>
      </c>
      <c r="Z40" s="94" t="s">
        <v>818</v>
      </c>
      <c r="AA40" s="94" t="s">
        <v>818</v>
      </c>
      <c r="AB40" s="94"/>
      <c r="AC40" s="94"/>
      <c r="AD40" s="169"/>
      <c r="AE40" s="94"/>
      <c r="AF40" s="113"/>
      <c r="AG40" s="94"/>
      <c r="AH40" s="94"/>
      <c r="AI40" s="94"/>
      <c r="AJ40" s="94"/>
      <c r="AK40" s="5">
        <f t="shared" si="0"/>
        <v>12</v>
      </c>
      <c r="AL40" s="5">
        <f t="shared" si="1"/>
        <v>6</v>
      </c>
    </row>
    <row r="41" spans="1:38" ht="15.5" x14ac:dyDescent="0.3">
      <c r="A41" s="9">
        <v>13</v>
      </c>
      <c r="B41" s="11">
        <v>678</v>
      </c>
      <c r="C41" s="7" t="s">
        <v>346</v>
      </c>
      <c r="D41" s="7" t="s">
        <v>258</v>
      </c>
      <c r="E41" s="8" t="s">
        <v>361</v>
      </c>
      <c r="F41" s="180"/>
      <c r="G41" s="94" t="s">
        <v>818</v>
      </c>
      <c r="H41" s="94" t="s">
        <v>818</v>
      </c>
      <c r="I41" s="169"/>
      <c r="J41" s="94" t="s">
        <v>818</v>
      </c>
      <c r="K41" s="113" t="s">
        <v>818</v>
      </c>
      <c r="L41" s="94" t="s">
        <v>818</v>
      </c>
      <c r="M41" s="94" t="s">
        <v>818</v>
      </c>
      <c r="N41" s="94" t="s">
        <v>818</v>
      </c>
      <c r="O41" s="94" t="s">
        <v>818</v>
      </c>
      <c r="P41" s="169"/>
      <c r="Q41" s="94" t="s">
        <v>818</v>
      </c>
      <c r="R41" s="113" t="s">
        <v>818</v>
      </c>
      <c r="S41" s="94" t="s">
        <v>818</v>
      </c>
      <c r="T41" s="94" t="s">
        <v>817</v>
      </c>
      <c r="U41" s="94" t="s">
        <v>818</v>
      </c>
      <c r="V41" s="94" t="s">
        <v>818</v>
      </c>
      <c r="W41" s="169"/>
      <c r="X41" s="94" t="s">
        <v>818</v>
      </c>
      <c r="Y41" s="113" t="s">
        <v>818</v>
      </c>
      <c r="Z41" s="94" t="s">
        <v>818</v>
      </c>
      <c r="AA41" s="94" t="s">
        <v>818</v>
      </c>
      <c r="AB41" s="94"/>
      <c r="AC41" s="94"/>
      <c r="AD41" s="169"/>
      <c r="AE41" s="94"/>
      <c r="AF41" s="113"/>
      <c r="AG41" s="94"/>
      <c r="AH41" s="94"/>
      <c r="AI41" s="94"/>
      <c r="AJ41" s="94"/>
      <c r="AK41" s="5">
        <f t="shared" si="0"/>
        <v>17</v>
      </c>
      <c r="AL41" s="5">
        <f t="shared" si="1"/>
        <v>1</v>
      </c>
    </row>
    <row r="42" spans="1:38" ht="15.5" x14ac:dyDescent="0.3">
      <c r="A42" s="9">
        <v>14</v>
      </c>
      <c r="B42" s="11">
        <v>674</v>
      </c>
      <c r="C42" s="7" t="s">
        <v>347</v>
      </c>
      <c r="D42" s="7" t="s">
        <v>58</v>
      </c>
      <c r="E42" s="8" t="s">
        <v>361</v>
      </c>
      <c r="F42" s="180"/>
      <c r="G42" s="94" t="s">
        <v>818</v>
      </c>
      <c r="H42" s="94" t="s">
        <v>818</v>
      </c>
      <c r="I42" s="169"/>
      <c r="J42" s="94" t="s">
        <v>818</v>
      </c>
      <c r="K42" s="113" t="s">
        <v>818</v>
      </c>
      <c r="L42" s="94" t="s">
        <v>818</v>
      </c>
      <c r="M42" s="94" t="s">
        <v>818</v>
      </c>
      <c r="N42" s="94" t="s">
        <v>818</v>
      </c>
      <c r="O42" s="94" t="s">
        <v>818</v>
      </c>
      <c r="P42" s="169"/>
      <c r="Q42" s="94" t="s">
        <v>818</v>
      </c>
      <c r="R42" s="113" t="s">
        <v>818</v>
      </c>
      <c r="S42" s="94" t="s">
        <v>818</v>
      </c>
      <c r="T42" s="94" t="s">
        <v>818</v>
      </c>
      <c r="U42" s="94" t="s">
        <v>818</v>
      </c>
      <c r="V42" s="94" t="s">
        <v>818</v>
      </c>
      <c r="W42" s="169"/>
      <c r="X42" s="94" t="s">
        <v>818</v>
      </c>
      <c r="Y42" s="113" t="s">
        <v>818</v>
      </c>
      <c r="Z42" s="94" t="s">
        <v>818</v>
      </c>
      <c r="AA42" s="94" t="s">
        <v>818</v>
      </c>
      <c r="AB42" s="94"/>
      <c r="AC42" s="94"/>
      <c r="AD42" s="169"/>
      <c r="AE42" s="94"/>
      <c r="AF42" s="113"/>
      <c r="AG42" s="94"/>
      <c r="AH42" s="94"/>
      <c r="AI42" s="94"/>
      <c r="AJ42" s="94"/>
      <c r="AK42" s="5">
        <f t="shared" si="0"/>
        <v>18</v>
      </c>
      <c r="AL42" s="5">
        <f t="shared" si="1"/>
        <v>0</v>
      </c>
    </row>
    <row r="43" spans="1:38" ht="15.5" x14ac:dyDescent="0.3">
      <c r="A43" s="9">
        <v>15</v>
      </c>
      <c r="B43" s="11">
        <v>666</v>
      </c>
      <c r="C43" s="7" t="s">
        <v>348</v>
      </c>
      <c r="D43" s="7" t="s">
        <v>349</v>
      </c>
      <c r="E43" s="8" t="s">
        <v>361</v>
      </c>
      <c r="F43" s="180"/>
      <c r="G43" s="94" t="s">
        <v>818</v>
      </c>
      <c r="H43" s="94" t="s">
        <v>818</v>
      </c>
      <c r="I43" s="169"/>
      <c r="J43" s="94" t="s">
        <v>818</v>
      </c>
      <c r="K43" s="113" t="s">
        <v>818</v>
      </c>
      <c r="L43" s="94" t="s">
        <v>818</v>
      </c>
      <c r="M43" s="94" t="s">
        <v>817</v>
      </c>
      <c r="N43" s="94" t="s">
        <v>817</v>
      </c>
      <c r="O43" s="94" t="s">
        <v>818</v>
      </c>
      <c r="P43" s="169"/>
      <c r="Q43" s="94" t="s">
        <v>818</v>
      </c>
      <c r="R43" s="113" t="s">
        <v>818</v>
      </c>
      <c r="S43" s="94" t="s">
        <v>818</v>
      </c>
      <c r="T43" s="94" t="s">
        <v>818</v>
      </c>
      <c r="U43" s="94" t="s">
        <v>818</v>
      </c>
      <c r="V43" s="94" t="s">
        <v>818</v>
      </c>
      <c r="W43" s="169"/>
      <c r="X43" s="94" t="s">
        <v>818</v>
      </c>
      <c r="Y43" s="113" t="s">
        <v>817</v>
      </c>
      <c r="Z43" s="94" t="s">
        <v>818</v>
      </c>
      <c r="AA43" s="94" t="s">
        <v>818</v>
      </c>
      <c r="AB43" s="94"/>
      <c r="AC43" s="94"/>
      <c r="AD43" s="169"/>
      <c r="AE43" s="94"/>
      <c r="AF43" s="113"/>
      <c r="AG43" s="94"/>
      <c r="AH43" s="94"/>
      <c r="AI43" s="94"/>
      <c r="AJ43" s="94"/>
      <c r="AK43" s="5">
        <f t="shared" si="0"/>
        <v>15</v>
      </c>
      <c r="AL43" s="5">
        <f t="shared" si="1"/>
        <v>3</v>
      </c>
    </row>
    <row r="44" spans="1:38" ht="15.5" x14ac:dyDescent="0.3">
      <c r="A44" s="9">
        <v>16</v>
      </c>
      <c r="B44" s="11">
        <v>786</v>
      </c>
      <c r="C44" s="7" t="s">
        <v>350</v>
      </c>
      <c r="D44" s="7" t="s">
        <v>351</v>
      </c>
      <c r="E44" s="8" t="s">
        <v>361</v>
      </c>
      <c r="F44" s="180"/>
      <c r="G44" s="94" t="s">
        <v>817</v>
      </c>
      <c r="H44" s="94" t="s">
        <v>818</v>
      </c>
      <c r="I44" s="169"/>
      <c r="J44" s="94" t="s">
        <v>818</v>
      </c>
      <c r="K44" s="113" t="s">
        <v>818</v>
      </c>
      <c r="L44" s="94" t="s">
        <v>818</v>
      </c>
      <c r="M44" s="94" t="s">
        <v>817</v>
      </c>
      <c r="N44" s="94" t="s">
        <v>818</v>
      </c>
      <c r="O44" s="94" t="s">
        <v>818</v>
      </c>
      <c r="P44" s="169"/>
      <c r="Q44" s="94" t="s">
        <v>818</v>
      </c>
      <c r="R44" s="113" t="s">
        <v>818</v>
      </c>
      <c r="S44" s="94" t="s">
        <v>818</v>
      </c>
      <c r="T44" s="94" t="s">
        <v>818</v>
      </c>
      <c r="U44" s="94" t="s">
        <v>817</v>
      </c>
      <c r="V44" s="94" t="s">
        <v>818</v>
      </c>
      <c r="W44" s="169"/>
      <c r="X44" s="94" t="s">
        <v>818</v>
      </c>
      <c r="Y44" s="113" t="s">
        <v>818</v>
      </c>
      <c r="Z44" s="94" t="s">
        <v>818</v>
      </c>
      <c r="AA44" s="94" t="s">
        <v>818</v>
      </c>
      <c r="AB44" s="94"/>
      <c r="AC44" s="94"/>
      <c r="AD44" s="169"/>
      <c r="AE44" s="94"/>
      <c r="AF44" s="113"/>
      <c r="AG44" s="94"/>
      <c r="AH44" s="94"/>
      <c r="AI44" s="94"/>
      <c r="AJ44" s="94"/>
      <c r="AK44" s="5">
        <f t="shared" si="0"/>
        <v>15</v>
      </c>
      <c r="AL44" s="5">
        <f t="shared" si="1"/>
        <v>3</v>
      </c>
    </row>
    <row r="45" spans="1:38" ht="15.5" x14ac:dyDescent="0.3">
      <c r="A45" s="9">
        <v>17</v>
      </c>
      <c r="B45" s="11">
        <v>682</v>
      </c>
      <c r="C45" s="7" t="s">
        <v>352</v>
      </c>
      <c r="D45" s="7" t="s">
        <v>96</v>
      </c>
      <c r="E45" s="8" t="s">
        <v>361</v>
      </c>
      <c r="F45" s="180"/>
      <c r="G45" s="94" t="s">
        <v>818</v>
      </c>
      <c r="H45" s="94" t="s">
        <v>818</v>
      </c>
      <c r="I45" s="169"/>
      <c r="J45" s="94" t="s">
        <v>818</v>
      </c>
      <c r="K45" s="113" t="s">
        <v>818</v>
      </c>
      <c r="L45" s="94" t="s">
        <v>818</v>
      </c>
      <c r="M45" s="94" t="s">
        <v>818</v>
      </c>
      <c r="N45" s="94" t="s">
        <v>818</v>
      </c>
      <c r="O45" s="94" t="s">
        <v>818</v>
      </c>
      <c r="P45" s="169"/>
      <c r="Q45" s="94" t="s">
        <v>818</v>
      </c>
      <c r="R45" s="113" t="s">
        <v>818</v>
      </c>
      <c r="S45" s="94" t="s">
        <v>818</v>
      </c>
      <c r="T45" s="94" t="s">
        <v>818</v>
      </c>
      <c r="U45" s="94" t="s">
        <v>818</v>
      </c>
      <c r="V45" s="94" t="s">
        <v>818</v>
      </c>
      <c r="W45" s="169"/>
      <c r="X45" s="94" t="s">
        <v>818</v>
      </c>
      <c r="Y45" s="113" t="s">
        <v>818</v>
      </c>
      <c r="Z45" s="94" t="s">
        <v>818</v>
      </c>
      <c r="AA45" s="94" t="s">
        <v>818</v>
      </c>
      <c r="AB45" s="94"/>
      <c r="AC45" s="94"/>
      <c r="AD45" s="169"/>
      <c r="AE45" s="94"/>
      <c r="AF45" s="113"/>
      <c r="AG45" s="94"/>
      <c r="AH45" s="94"/>
      <c r="AI45" s="94"/>
      <c r="AJ45" s="94"/>
      <c r="AK45" s="5">
        <f t="shared" si="0"/>
        <v>18</v>
      </c>
      <c r="AL45" s="5">
        <f t="shared" si="1"/>
        <v>0</v>
      </c>
    </row>
    <row r="46" spans="1:38" ht="15.5" x14ac:dyDescent="0.3">
      <c r="A46" s="9">
        <v>18</v>
      </c>
      <c r="B46" s="11">
        <v>651</v>
      </c>
      <c r="C46" s="7" t="s">
        <v>55</v>
      </c>
      <c r="D46" s="7" t="s">
        <v>172</v>
      </c>
      <c r="E46" s="8" t="s">
        <v>361</v>
      </c>
      <c r="F46" s="180"/>
      <c r="G46" s="94" t="s">
        <v>818</v>
      </c>
      <c r="H46" s="94" t="s">
        <v>818</v>
      </c>
      <c r="I46" s="169"/>
      <c r="J46" s="94" t="s">
        <v>818</v>
      </c>
      <c r="K46" s="113" t="s">
        <v>818</v>
      </c>
      <c r="L46" s="94" t="s">
        <v>817</v>
      </c>
      <c r="M46" s="94" t="s">
        <v>818</v>
      </c>
      <c r="N46" s="94" t="s">
        <v>818</v>
      </c>
      <c r="O46" s="94" t="s">
        <v>818</v>
      </c>
      <c r="P46" s="169"/>
      <c r="Q46" s="94" t="s">
        <v>818</v>
      </c>
      <c r="R46" s="113" t="s">
        <v>818</v>
      </c>
      <c r="S46" s="94" t="s">
        <v>818</v>
      </c>
      <c r="T46" s="94" t="s">
        <v>818</v>
      </c>
      <c r="U46" s="94" t="s">
        <v>818</v>
      </c>
      <c r="V46" s="94" t="s">
        <v>818</v>
      </c>
      <c r="W46" s="169"/>
      <c r="X46" s="94" t="s">
        <v>818</v>
      </c>
      <c r="Y46" s="113" t="s">
        <v>818</v>
      </c>
      <c r="Z46" s="94" t="s">
        <v>818</v>
      </c>
      <c r="AA46" s="94" t="s">
        <v>818</v>
      </c>
      <c r="AB46" s="94"/>
      <c r="AC46" s="94"/>
      <c r="AD46" s="169"/>
      <c r="AE46" s="94"/>
      <c r="AF46" s="113"/>
      <c r="AG46" s="94"/>
      <c r="AH46" s="94"/>
      <c r="AI46" s="94"/>
      <c r="AJ46" s="94"/>
      <c r="AK46" s="5">
        <f t="shared" si="0"/>
        <v>17</v>
      </c>
      <c r="AL46" s="5">
        <f t="shared" si="1"/>
        <v>1</v>
      </c>
    </row>
    <row r="47" spans="1:38" ht="15.5" x14ac:dyDescent="0.3">
      <c r="A47" s="9">
        <v>19</v>
      </c>
      <c r="B47" s="11">
        <v>667</v>
      </c>
      <c r="C47" s="7" t="s">
        <v>292</v>
      </c>
      <c r="D47" s="7" t="s">
        <v>353</v>
      </c>
      <c r="E47" s="8" t="s">
        <v>361</v>
      </c>
      <c r="F47" s="180"/>
      <c r="G47" s="94" t="s">
        <v>818</v>
      </c>
      <c r="H47" s="94" t="s">
        <v>818</v>
      </c>
      <c r="I47" s="169"/>
      <c r="J47" s="94" t="s">
        <v>818</v>
      </c>
      <c r="K47" s="113" t="s">
        <v>818</v>
      </c>
      <c r="L47" s="94" t="s">
        <v>818</v>
      </c>
      <c r="M47" s="94" t="s">
        <v>818</v>
      </c>
      <c r="N47" s="94" t="s">
        <v>818</v>
      </c>
      <c r="O47" s="94" t="s">
        <v>818</v>
      </c>
      <c r="P47" s="169"/>
      <c r="Q47" s="94" t="s">
        <v>818</v>
      </c>
      <c r="R47" s="113" t="s">
        <v>818</v>
      </c>
      <c r="S47" s="94" t="s">
        <v>818</v>
      </c>
      <c r="T47" s="94" t="s">
        <v>818</v>
      </c>
      <c r="U47" s="94" t="s">
        <v>817</v>
      </c>
      <c r="V47" s="94" t="s">
        <v>818</v>
      </c>
      <c r="W47" s="169"/>
      <c r="X47" s="94" t="s">
        <v>818</v>
      </c>
      <c r="Y47" s="113" t="s">
        <v>818</v>
      </c>
      <c r="Z47" s="94" t="s">
        <v>818</v>
      </c>
      <c r="AA47" s="94" t="s">
        <v>818</v>
      </c>
      <c r="AB47" s="94"/>
      <c r="AC47" s="94"/>
      <c r="AD47" s="169"/>
      <c r="AE47" s="94"/>
      <c r="AF47" s="113"/>
      <c r="AG47" s="94"/>
      <c r="AH47" s="94"/>
      <c r="AI47" s="94"/>
      <c r="AJ47" s="94"/>
      <c r="AK47" s="5">
        <f t="shared" si="0"/>
        <v>17</v>
      </c>
      <c r="AL47" s="5">
        <f t="shared" si="1"/>
        <v>1</v>
      </c>
    </row>
    <row r="48" spans="1:38" ht="15.5" x14ac:dyDescent="0.3">
      <c r="A48" s="9">
        <v>20</v>
      </c>
      <c r="B48" s="11">
        <v>669</v>
      </c>
      <c r="C48" s="7" t="s">
        <v>354</v>
      </c>
      <c r="D48" s="7" t="s">
        <v>355</v>
      </c>
      <c r="E48" s="8" t="s">
        <v>361</v>
      </c>
      <c r="F48" s="180"/>
      <c r="G48" s="94" t="s">
        <v>818</v>
      </c>
      <c r="H48" s="94" t="s">
        <v>818</v>
      </c>
      <c r="I48" s="169"/>
      <c r="J48" s="94" t="s">
        <v>817</v>
      </c>
      <c r="K48" s="113" t="s">
        <v>818</v>
      </c>
      <c r="L48" s="94" t="s">
        <v>818</v>
      </c>
      <c r="M48" s="94" t="s">
        <v>817</v>
      </c>
      <c r="N48" s="94" t="s">
        <v>818</v>
      </c>
      <c r="O48" s="94" t="s">
        <v>817</v>
      </c>
      <c r="P48" s="169"/>
      <c r="Q48" s="94" t="s">
        <v>818</v>
      </c>
      <c r="R48" s="113" t="s">
        <v>818</v>
      </c>
      <c r="S48" s="94" t="s">
        <v>817</v>
      </c>
      <c r="T48" s="94" t="s">
        <v>817</v>
      </c>
      <c r="U48" s="94" t="s">
        <v>817</v>
      </c>
      <c r="V48" s="94" t="s">
        <v>817</v>
      </c>
      <c r="W48" s="169"/>
      <c r="X48" s="94" t="s">
        <v>817</v>
      </c>
      <c r="Y48" s="113" t="s">
        <v>817</v>
      </c>
      <c r="Z48" s="94" t="s">
        <v>817</v>
      </c>
      <c r="AA48" s="94" t="s">
        <v>817</v>
      </c>
      <c r="AB48" s="94"/>
      <c r="AC48" s="94"/>
      <c r="AD48" s="169"/>
      <c r="AE48" s="94"/>
      <c r="AF48" s="113"/>
      <c r="AG48" s="94"/>
      <c r="AH48" s="94"/>
      <c r="AI48" s="94"/>
      <c r="AJ48" s="94"/>
      <c r="AK48" s="5">
        <f t="shared" si="0"/>
        <v>7</v>
      </c>
      <c r="AL48" s="5">
        <f t="shared" si="1"/>
        <v>11</v>
      </c>
    </row>
    <row r="49" spans="1:38" ht="15.5" x14ac:dyDescent="0.3">
      <c r="A49" s="9">
        <v>21</v>
      </c>
      <c r="B49" s="11">
        <v>677</v>
      </c>
      <c r="C49" s="7" t="s">
        <v>356</v>
      </c>
      <c r="D49" s="7" t="s">
        <v>351</v>
      </c>
      <c r="E49" s="8" t="s">
        <v>361</v>
      </c>
      <c r="F49" s="180"/>
      <c r="G49" s="94" t="s">
        <v>817</v>
      </c>
      <c r="H49" s="94" t="s">
        <v>818</v>
      </c>
      <c r="I49" s="169"/>
      <c r="J49" s="94" t="s">
        <v>818</v>
      </c>
      <c r="K49" s="113" t="s">
        <v>818</v>
      </c>
      <c r="L49" s="94" t="s">
        <v>818</v>
      </c>
      <c r="M49" s="94" t="s">
        <v>817</v>
      </c>
      <c r="N49" s="94" t="s">
        <v>818</v>
      </c>
      <c r="O49" s="94" t="s">
        <v>818</v>
      </c>
      <c r="P49" s="169"/>
      <c r="Q49" s="94" t="s">
        <v>818</v>
      </c>
      <c r="R49" s="113" t="s">
        <v>818</v>
      </c>
      <c r="S49" s="94" t="s">
        <v>818</v>
      </c>
      <c r="T49" s="94" t="s">
        <v>818</v>
      </c>
      <c r="U49" s="94" t="s">
        <v>817</v>
      </c>
      <c r="V49" s="94" t="s">
        <v>818</v>
      </c>
      <c r="W49" s="169"/>
      <c r="X49" s="94" t="s">
        <v>818</v>
      </c>
      <c r="Y49" s="113" t="s">
        <v>818</v>
      </c>
      <c r="Z49" s="94" t="s">
        <v>818</v>
      </c>
      <c r="AA49" s="94" t="s">
        <v>818</v>
      </c>
      <c r="AB49" s="94"/>
      <c r="AC49" s="94"/>
      <c r="AD49" s="169"/>
      <c r="AE49" s="94"/>
      <c r="AF49" s="113"/>
      <c r="AG49" s="94"/>
      <c r="AH49" s="94"/>
      <c r="AI49" s="94"/>
      <c r="AJ49" s="94"/>
      <c r="AK49" s="5">
        <f t="shared" si="0"/>
        <v>15</v>
      </c>
      <c r="AL49" s="5">
        <f t="shared" si="1"/>
        <v>3</v>
      </c>
    </row>
    <row r="50" spans="1:38" ht="15.5" x14ac:dyDescent="0.3">
      <c r="A50" s="9">
        <v>22</v>
      </c>
      <c r="B50" s="11"/>
      <c r="C50" s="7" t="s">
        <v>826</v>
      </c>
      <c r="D50" s="7" t="s">
        <v>124</v>
      </c>
      <c r="E50" s="8" t="s">
        <v>361</v>
      </c>
      <c r="F50" s="180"/>
      <c r="G50" s="94" t="s">
        <v>818</v>
      </c>
      <c r="H50" s="94" t="s">
        <v>818</v>
      </c>
      <c r="I50" s="169"/>
      <c r="J50" s="94" t="s">
        <v>818</v>
      </c>
      <c r="K50" s="113" t="s">
        <v>818</v>
      </c>
      <c r="L50" s="94" t="s">
        <v>818</v>
      </c>
      <c r="M50" s="94" t="s">
        <v>818</v>
      </c>
      <c r="N50" s="94" t="s">
        <v>818</v>
      </c>
      <c r="O50" s="94" t="s">
        <v>818</v>
      </c>
      <c r="P50" s="169"/>
      <c r="Q50" s="94" t="s">
        <v>818</v>
      </c>
      <c r="R50" s="113" t="s">
        <v>818</v>
      </c>
      <c r="S50" s="94" t="s">
        <v>818</v>
      </c>
      <c r="T50" s="94" t="s">
        <v>818</v>
      </c>
      <c r="U50" s="94" t="s">
        <v>817</v>
      </c>
      <c r="V50" s="94" t="s">
        <v>818</v>
      </c>
      <c r="W50" s="169"/>
      <c r="X50" s="94" t="s">
        <v>818</v>
      </c>
      <c r="Y50" s="113" t="s">
        <v>818</v>
      </c>
      <c r="Z50" s="94" t="s">
        <v>818</v>
      </c>
      <c r="AA50" s="94" t="s">
        <v>818</v>
      </c>
      <c r="AB50" s="94"/>
      <c r="AC50" s="94"/>
      <c r="AD50" s="169"/>
      <c r="AE50" s="94"/>
      <c r="AF50" s="113"/>
      <c r="AG50" s="94"/>
      <c r="AH50" s="94"/>
      <c r="AI50" s="94"/>
      <c r="AJ50" s="94"/>
      <c r="AK50" s="5">
        <f t="shared" si="0"/>
        <v>17</v>
      </c>
      <c r="AL50" s="5">
        <f t="shared" si="1"/>
        <v>1</v>
      </c>
    </row>
    <row r="51" spans="1:38" ht="15.5" x14ac:dyDescent="0.3">
      <c r="A51" s="9">
        <v>23</v>
      </c>
      <c r="B51" s="11"/>
      <c r="C51" s="7" t="s">
        <v>827</v>
      </c>
      <c r="D51" s="7"/>
      <c r="E51" s="8" t="s">
        <v>361</v>
      </c>
      <c r="F51" s="180"/>
      <c r="G51" s="94" t="s">
        <v>818</v>
      </c>
      <c r="H51" s="94" t="s">
        <v>818</v>
      </c>
      <c r="I51" s="169"/>
      <c r="J51" s="94" t="s">
        <v>818</v>
      </c>
      <c r="K51" s="113" t="s">
        <v>818</v>
      </c>
      <c r="L51" s="94" t="s">
        <v>818</v>
      </c>
      <c r="M51" s="94" t="s">
        <v>817</v>
      </c>
      <c r="N51" s="94" t="s">
        <v>818</v>
      </c>
      <c r="O51" s="94" t="s">
        <v>818</v>
      </c>
      <c r="P51" s="169"/>
      <c r="Q51" s="94" t="s">
        <v>818</v>
      </c>
      <c r="R51" s="113" t="s">
        <v>818</v>
      </c>
      <c r="S51" s="94" t="s">
        <v>818</v>
      </c>
      <c r="T51" s="94" t="s">
        <v>818</v>
      </c>
      <c r="U51" s="94" t="s">
        <v>818</v>
      </c>
      <c r="V51" s="94" t="s">
        <v>818</v>
      </c>
      <c r="W51" s="169"/>
      <c r="X51" s="94" t="s">
        <v>818</v>
      </c>
      <c r="Y51" s="113" t="s">
        <v>818</v>
      </c>
      <c r="Z51" s="94" t="s">
        <v>818</v>
      </c>
      <c r="AA51" s="94" t="s">
        <v>818</v>
      </c>
      <c r="AB51" s="94"/>
      <c r="AC51" s="94"/>
      <c r="AD51" s="169"/>
      <c r="AE51" s="94"/>
      <c r="AF51" s="113"/>
      <c r="AG51" s="94"/>
      <c r="AH51" s="94"/>
      <c r="AI51" s="94"/>
      <c r="AJ51" s="94"/>
      <c r="AK51" s="5">
        <f t="shared" si="0"/>
        <v>17</v>
      </c>
      <c r="AL51" s="5">
        <f t="shared" si="1"/>
        <v>1</v>
      </c>
    </row>
    <row r="52" spans="1:38" ht="15.5" x14ac:dyDescent="0.3">
      <c r="A52" s="9">
        <v>24</v>
      </c>
      <c r="B52" s="11">
        <v>783</v>
      </c>
      <c r="C52" s="7" t="s">
        <v>357</v>
      </c>
      <c r="D52" s="7" t="s">
        <v>358</v>
      </c>
      <c r="E52" s="8" t="s">
        <v>361</v>
      </c>
      <c r="F52" s="181"/>
      <c r="G52" s="94" t="s">
        <v>818</v>
      </c>
      <c r="H52" s="94" t="s">
        <v>818</v>
      </c>
      <c r="I52" s="176"/>
      <c r="J52" s="94" t="s">
        <v>818</v>
      </c>
      <c r="K52" s="113" t="s">
        <v>818</v>
      </c>
      <c r="L52" s="94" t="s">
        <v>818</v>
      </c>
      <c r="M52" s="94" t="s">
        <v>818</v>
      </c>
      <c r="N52" s="94" t="s">
        <v>818</v>
      </c>
      <c r="O52" s="94" t="s">
        <v>817</v>
      </c>
      <c r="P52" s="176"/>
      <c r="Q52" s="94" t="s">
        <v>818</v>
      </c>
      <c r="R52" s="113" t="s">
        <v>817</v>
      </c>
      <c r="S52" s="94" t="s">
        <v>818</v>
      </c>
      <c r="T52" s="94" t="s">
        <v>818</v>
      </c>
      <c r="U52" s="94" t="s">
        <v>818</v>
      </c>
      <c r="V52" s="94" t="s">
        <v>817</v>
      </c>
      <c r="W52" s="176"/>
      <c r="X52" s="94" t="s">
        <v>818</v>
      </c>
      <c r="Y52" s="113" t="s">
        <v>818</v>
      </c>
      <c r="Z52" s="94" t="s">
        <v>818</v>
      </c>
      <c r="AA52" s="94" t="s">
        <v>818</v>
      </c>
      <c r="AB52" s="94"/>
      <c r="AC52" s="94"/>
      <c r="AD52" s="176"/>
      <c r="AE52" s="94"/>
      <c r="AF52" s="113"/>
      <c r="AG52" s="94"/>
      <c r="AH52" s="94"/>
      <c r="AI52" s="94"/>
      <c r="AJ52" s="94"/>
      <c r="AK52" s="5">
        <f t="shared" si="0"/>
        <v>15</v>
      </c>
      <c r="AL52" s="5">
        <f t="shared" si="1"/>
        <v>3</v>
      </c>
    </row>
    <row r="53" spans="1:38" ht="14.5" x14ac:dyDescent="0.35">
      <c r="Y53"/>
    </row>
  </sheetData>
  <mergeCells count="17">
    <mergeCell ref="AD5:AD52"/>
    <mergeCell ref="AM3:AN3"/>
    <mergeCell ref="AM11:AP11"/>
    <mergeCell ref="AM19:AP19"/>
    <mergeCell ref="F5:F52"/>
    <mergeCell ref="I5:I52"/>
    <mergeCell ref="P5:P52"/>
    <mergeCell ref="W5:W52"/>
    <mergeCell ref="A1:AL1"/>
    <mergeCell ref="A2:AL2"/>
    <mergeCell ref="AK3:AK4"/>
    <mergeCell ref="AL3:AL4"/>
    <mergeCell ref="E3:E4"/>
    <mergeCell ref="A3:A4"/>
    <mergeCell ref="B3:B4"/>
    <mergeCell ref="C3:C4"/>
    <mergeCell ref="D3:D4"/>
  </mergeCells>
  <conditionalFormatting sqref="F5:O5 F3:AJ3 G6:H52 Q5:V52 X5:AC52 J6:O52 AE5:AJ52">
    <cfRule type="expression" dxfId="292" priority="28">
      <formula>F$4=TODAY()</formula>
    </cfRule>
  </conditionalFormatting>
  <conditionalFormatting sqref="F5:O5 F3:AJ3 G6:H52 Q5:V52 X5:AC52 J6:O52 AE5:AJ52">
    <cfRule type="expression" dxfId="291" priority="32">
      <formula>F$3="Sun"</formula>
    </cfRule>
  </conditionalFormatting>
  <conditionalFormatting sqref="F5:O5 G6:H52 Q5:V52 X5:AC52 J6:O52 AE5:AJ52">
    <cfRule type="cellIs" dxfId="290" priority="29" operator="equal">
      <formula>"L"</formula>
    </cfRule>
    <cfRule type="cellIs" dxfId="289" priority="30" operator="equal">
      <formula>"A"</formula>
    </cfRule>
    <cfRule type="cellIs" dxfId="288" priority="31" operator="equal">
      <formula>"P"</formula>
    </cfRule>
  </conditionalFormatting>
  <conditionalFormatting sqref="AK3:AL3 AK5:AL52">
    <cfRule type="expression" dxfId="287" priority="33">
      <formula>#REF!="Sun"</formula>
    </cfRule>
  </conditionalFormatting>
  <conditionalFormatting sqref="AM5:AM9">
    <cfRule type="expression" dxfId="286" priority="24">
      <formula>AM$3="Sun"</formula>
    </cfRule>
  </conditionalFormatting>
  <conditionalFormatting sqref="AM12:AM15">
    <cfRule type="expression" dxfId="285" priority="22">
      <formula>AM$3="Sun"</formula>
    </cfRule>
  </conditionalFormatting>
  <conditionalFormatting sqref="AM20:AM23">
    <cfRule type="expression" dxfId="284" priority="21">
      <formula>AM$3="Sun"</formula>
    </cfRule>
  </conditionalFormatting>
  <conditionalFormatting sqref="AM4:AN4">
    <cfRule type="expression" dxfId="283" priority="25">
      <formula>AM$3="Sun"</formula>
    </cfRule>
  </conditionalFormatting>
  <conditionalFormatting sqref="AN12:AP12 AN20:AP20">
    <cfRule type="expression" dxfId="282" priority="26">
      <formula>AN$3="Sun"</formula>
    </cfRule>
  </conditionalFormatting>
  <conditionalFormatting sqref="AP21">
    <cfRule type="expression" dxfId="281" priority="23">
      <formula>AP$3="Sun"</formula>
    </cfRule>
  </conditionalFormatting>
  <conditionalFormatting sqref="F4:AJ4">
    <cfRule type="cellIs" dxfId="280" priority="16" operator="equal">
      <formula>"L"</formula>
    </cfRule>
    <cfRule type="cellIs" dxfId="279" priority="17" operator="equal">
      <formula>"P"</formula>
    </cfRule>
    <cfRule type="cellIs" dxfId="278" priority="18" operator="equal">
      <formula>"A"</formula>
    </cfRule>
    <cfRule type="expression" dxfId="277" priority="19">
      <formula>F$4=TODAY()</formula>
    </cfRule>
    <cfRule type="expression" dxfId="276" priority="20">
      <formula>F$3="SUN"</formula>
    </cfRule>
  </conditionalFormatting>
  <conditionalFormatting sqref="P5">
    <cfRule type="expression" dxfId="275" priority="11">
      <formula>P$4=TODAY()</formula>
    </cfRule>
  </conditionalFormatting>
  <conditionalFormatting sqref="P5">
    <cfRule type="expression" dxfId="274" priority="15">
      <formula>P$3="Sun"</formula>
    </cfRule>
  </conditionalFormatting>
  <conditionalFormatting sqref="P5">
    <cfRule type="cellIs" dxfId="273" priority="12" operator="equal">
      <formula>"L"</formula>
    </cfRule>
    <cfRule type="cellIs" dxfId="272" priority="13" operator="equal">
      <formula>"A"</formula>
    </cfRule>
    <cfRule type="cellIs" dxfId="271" priority="14" operator="equal">
      <formula>"P"</formula>
    </cfRule>
  </conditionalFormatting>
  <conditionalFormatting sqref="W5">
    <cfRule type="expression" dxfId="270" priority="6">
      <formula>W$4=TODAY()</formula>
    </cfRule>
  </conditionalFormatting>
  <conditionalFormatting sqref="W5">
    <cfRule type="expression" dxfId="269" priority="10">
      <formula>W$3="Sun"</formula>
    </cfRule>
  </conditionalFormatting>
  <conditionalFormatting sqref="W5">
    <cfRule type="cellIs" dxfId="268" priority="7" operator="equal">
      <formula>"L"</formula>
    </cfRule>
    <cfRule type="cellIs" dxfId="267" priority="8" operator="equal">
      <formula>"A"</formula>
    </cfRule>
    <cfRule type="cellIs" dxfId="266" priority="9" operator="equal">
      <formula>"P"</formula>
    </cfRule>
  </conditionalFormatting>
  <conditionalFormatting sqref="AD5">
    <cfRule type="expression" dxfId="265" priority="1">
      <formula>AD$4=TODAY()</formula>
    </cfRule>
  </conditionalFormatting>
  <conditionalFormatting sqref="AD5">
    <cfRule type="expression" dxfId="264" priority="5">
      <formula>AD$3="Sun"</formula>
    </cfRule>
  </conditionalFormatting>
  <conditionalFormatting sqref="AD5">
    <cfRule type="cellIs" dxfId="263" priority="2" operator="equal">
      <formula>"L"</formula>
    </cfRule>
    <cfRule type="cellIs" dxfId="262" priority="3" operator="equal">
      <formula>"A"</formula>
    </cfRule>
    <cfRule type="cellIs" dxfId="261" priority="4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7"/>
  <sheetViews>
    <sheetView workbookViewId="0">
      <selection activeCell="AF57" sqref="AF57"/>
    </sheetView>
  </sheetViews>
  <sheetFormatPr defaultColWidth="3.81640625" defaultRowHeight="14" x14ac:dyDescent="0.3"/>
  <cols>
    <col min="1" max="1" width="5.1796875" style="1" bestFit="1" customWidth="1"/>
    <col min="2" max="2" width="4.7265625" style="1" bestFit="1" customWidth="1"/>
    <col min="3" max="3" width="19.26953125" style="1" bestFit="1" customWidth="1"/>
    <col min="4" max="4" width="22.54296875" style="1" bestFit="1" customWidth="1"/>
    <col min="5" max="5" width="6.1796875" style="1" customWidth="1"/>
    <col min="6" max="6" width="3.81640625" style="1"/>
    <col min="7" max="7" width="4.54296875" style="1" bestFit="1" customWidth="1"/>
    <col min="8" max="8" width="3.81640625" style="1"/>
    <col min="9" max="9" width="4.7265625" style="1" bestFit="1" customWidth="1"/>
    <col min="10" max="10" width="3.81640625" style="1"/>
    <col min="11" max="12" width="3.7265625" style="1" bestFit="1" customWidth="1"/>
    <col min="13" max="13" width="3.81640625" style="1"/>
    <col min="14" max="14" width="3.7265625" style="1" bestFit="1" customWidth="1"/>
    <col min="15" max="15" width="3.81640625" style="1"/>
    <col min="16" max="16" width="4.7265625" style="1" bestFit="1" customWidth="1"/>
    <col min="17" max="17" width="3.81640625" style="1"/>
    <col min="18" max="19" width="3.7265625" style="1" bestFit="1" customWidth="1"/>
    <col min="20" max="20" width="3.81640625" style="1"/>
    <col min="21" max="21" width="4.54296875" style="1" bestFit="1" customWidth="1"/>
    <col min="22" max="22" width="3.81640625" style="1"/>
    <col min="23" max="23" width="4.7265625" style="1" bestFit="1" customWidth="1"/>
    <col min="24" max="24" width="3.81640625" style="1"/>
    <col min="25" max="26" width="3.7265625" style="1" bestFit="1" customWidth="1"/>
    <col min="27" max="27" width="3.81640625" style="1"/>
    <col min="28" max="28" width="4.54296875" style="1" bestFit="1" customWidth="1"/>
    <col min="29" max="29" width="3.81640625" style="1"/>
    <col min="30" max="30" width="4.7265625" style="1" bestFit="1" customWidth="1"/>
    <col min="31" max="31" width="4.7265625" style="1" customWidth="1"/>
    <col min="32" max="32" width="3.81640625" style="1"/>
    <col min="33" max="34" width="3.7265625" style="1" bestFit="1" customWidth="1"/>
    <col min="35" max="36" width="3.7265625" style="1" customWidth="1"/>
    <col min="37" max="38" width="6.7265625" style="1" bestFit="1" customWidth="1"/>
    <col min="39" max="39" width="18.54296875" style="1" bestFit="1" customWidth="1"/>
    <col min="40" max="40" width="5.81640625" style="1" bestFit="1" customWidth="1"/>
    <col min="41" max="41" width="14.26953125" style="1" bestFit="1" customWidth="1"/>
    <col min="42" max="42" width="6.7265625" style="1" bestFit="1" customWidth="1"/>
    <col min="43" max="16384" width="3.81640625" style="1"/>
  </cols>
  <sheetData>
    <row r="1" spans="1:42" ht="17" x14ac:dyDescent="0.3">
      <c r="A1" s="164" t="s">
        <v>18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02"/>
    </row>
    <row r="2" spans="1:42" ht="17" x14ac:dyDescent="0.4">
      <c r="A2" s="167" t="s">
        <v>732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03"/>
    </row>
    <row r="3" spans="1:42" ht="15.5" x14ac:dyDescent="0.3">
      <c r="A3" s="177" t="s">
        <v>0</v>
      </c>
      <c r="B3" s="177" t="s">
        <v>713</v>
      </c>
      <c r="C3" s="177" t="s">
        <v>1</v>
      </c>
      <c r="D3" s="177" t="s">
        <v>2</v>
      </c>
      <c r="E3" s="177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54" t="s">
        <v>4</v>
      </c>
      <c r="AL3" s="154" t="s">
        <v>5</v>
      </c>
      <c r="AM3" s="158" t="s">
        <v>119</v>
      </c>
      <c r="AN3" s="159"/>
      <c r="AO3" s="3"/>
      <c r="AP3" s="3"/>
    </row>
    <row r="4" spans="1:42" ht="40.5" x14ac:dyDescent="0.3">
      <c r="A4" s="178"/>
      <c r="B4" s="178"/>
      <c r="C4" s="178"/>
      <c r="D4" s="178"/>
      <c r="E4" s="178"/>
      <c r="F4" s="13" t="s">
        <v>743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54"/>
      <c r="AL4" s="154"/>
      <c r="AM4" s="5" t="s">
        <v>120</v>
      </c>
      <c r="AN4" s="5">
        <f>SUM(AN5:AN7)</f>
        <v>26</v>
      </c>
      <c r="AO4" s="3"/>
      <c r="AP4" s="3"/>
    </row>
    <row r="5" spans="1:42" ht="15" customHeight="1" x14ac:dyDescent="0.3">
      <c r="A5" s="9">
        <v>1</v>
      </c>
      <c r="B5" s="11">
        <v>646</v>
      </c>
      <c r="C5" s="17" t="s">
        <v>399</v>
      </c>
      <c r="D5" s="18" t="s">
        <v>232</v>
      </c>
      <c r="E5" s="19" t="s">
        <v>430</v>
      </c>
      <c r="F5" s="155" t="s">
        <v>832</v>
      </c>
      <c r="G5" s="94" t="s">
        <v>730</v>
      </c>
      <c r="H5" s="94" t="s">
        <v>818</v>
      </c>
      <c r="I5" s="179" t="s">
        <v>746</v>
      </c>
      <c r="J5" s="94" t="s">
        <v>818</v>
      </c>
      <c r="K5" s="113" t="s">
        <v>818</v>
      </c>
      <c r="L5" s="94" t="s">
        <v>818</v>
      </c>
      <c r="M5" s="94" t="s">
        <v>818</v>
      </c>
      <c r="N5" s="94" t="s">
        <v>818</v>
      </c>
      <c r="O5" s="94" t="s">
        <v>818</v>
      </c>
      <c r="P5" s="179" t="s">
        <v>746</v>
      </c>
      <c r="Q5" s="94" t="s">
        <v>818</v>
      </c>
      <c r="R5" s="113" t="s">
        <v>818</v>
      </c>
      <c r="S5" s="94" t="s">
        <v>818</v>
      </c>
      <c r="T5" s="94" t="s">
        <v>818</v>
      </c>
      <c r="U5" s="94" t="s">
        <v>818</v>
      </c>
      <c r="V5" s="94" t="s">
        <v>818</v>
      </c>
      <c r="W5" s="179" t="s">
        <v>746</v>
      </c>
      <c r="X5" s="94" t="s">
        <v>818</v>
      </c>
      <c r="Y5" s="113" t="s">
        <v>818</v>
      </c>
      <c r="Z5" s="94" t="s">
        <v>818</v>
      </c>
      <c r="AA5" s="94" t="s">
        <v>818</v>
      </c>
      <c r="AB5" s="94" t="s">
        <v>818</v>
      </c>
      <c r="AC5" s="94" t="s">
        <v>818</v>
      </c>
      <c r="AD5" s="179" t="s">
        <v>746</v>
      </c>
      <c r="AE5" s="94" t="s">
        <v>818</v>
      </c>
      <c r="AF5" s="113" t="s">
        <v>818</v>
      </c>
      <c r="AG5" s="94"/>
      <c r="AH5" s="94"/>
      <c r="AI5" s="94"/>
      <c r="AJ5" s="94"/>
      <c r="AK5" s="5">
        <f t="shared" ref="AK5:AK36" si="0">COUNTIF(F5:AI5,"P")</f>
        <v>22</v>
      </c>
      <c r="AL5" s="5">
        <f t="shared" ref="AL5:AL36" si="1">COUNTIF(F5:AI5,"A")</f>
        <v>0</v>
      </c>
      <c r="AM5" s="5" t="s">
        <v>7</v>
      </c>
      <c r="AN5" s="9">
        <v>26</v>
      </c>
      <c r="AO5" s="10"/>
      <c r="AP5" s="3"/>
    </row>
    <row r="6" spans="1:42" ht="15.5" x14ac:dyDescent="0.3">
      <c r="A6" s="9">
        <v>2</v>
      </c>
      <c r="B6" s="11">
        <v>684</v>
      </c>
      <c r="C6" s="17" t="s">
        <v>400</v>
      </c>
      <c r="D6" s="18" t="s">
        <v>311</v>
      </c>
      <c r="E6" s="19" t="s">
        <v>430</v>
      </c>
      <c r="F6" s="156"/>
      <c r="G6" s="94" t="s">
        <v>817</v>
      </c>
      <c r="H6" s="94" t="s">
        <v>818</v>
      </c>
      <c r="I6" s="169"/>
      <c r="J6" s="94" t="s">
        <v>818</v>
      </c>
      <c r="K6" s="113" t="s">
        <v>817</v>
      </c>
      <c r="L6" s="94" t="s">
        <v>818</v>
      </c>
      <c r="M6" s="94" t="s">
        <v>818</v>
      </c>
      <c r="N6" s="94" t="s">
        <v>818</v>
      </c>
      <c r="O6" s="94" t="s">
        <v>818</v>
      </c>
      <c r="P6" s="169"/>
      <c r="Q6" s="94" t="s">
        <v>818</v>
      </c>
      <c r="R6" s="113" t="s">
        <v>818</v>
      </c>
      <c r="S6" s="94" t="s">
        <v>818</v>
      </c>
      <c r="T6" s="94" t="s">
        <v>818</v>
      </c>
      <c r="U6" s="94" t="s">
        <v>818</v>
      </c>
      <c r="V6" s="94" t="s">
        <v>818</v>
      </c>
      <c r="W6" s="169"/>
      <c r="X6" s="94" t="s">
        <v>818</v>
      </c>
      <c r="Y6" s="113" t="s">
        <v>818</v>
      </c>
      <c r="Z6" s="94" t="s">
        <v>818</v>
      </c>
      <c r="AA6" s="94" t="s">
        <v>818</v>
      </c>
      <c r="AB6" s="94" t="s">
        <v>817</v>
      </c>
      <c r="AC6" s="94" t="s">
        <v>817</v>
      </c>
      <c r="AD6" s="169"/>
      <c r="AE6" s="94" t="s">
        <v>818</v>
      </c>
      <c r="AF6" s="113" t="s">
        <v>818</v>
      </c>
      <c r="AG6" s="94"/>
      <c r="AH6" s="94"/>
      <c r="AI6" s="94"/>
      <c r="AJ6" s="94"/>
      <c r="AK6" s="5">
        <f t="shared" si="0"/>
        <v>18</v>
      </c>
      <c r="AL6" s="5">
        <f t="shared" si="1"/>
        <v>4</v>
      </c>
      <c r="AM6" s="5" t="s">
        <v>724</v>
      </c>
      <c r="AN6" s="9"/>
      <c r="AO6" s="3"/>
      <c r="AP6" s="3"/>
    </row>
    <row r="7" spans="1:42" ht="15.5" x14ac:dyDescent="0.35">
      <c r="A7" s="9">
        <v>3</v>
      </c>
      <c r="B7" s="11">
        <v>551</v>
      </c>
      <c r="C7" s="17" t="s">
        <v>111</v>
      </c>
      <c r="D7" s="18" t="s">
        <v>401</v>
      </c>
      <c r="E7" s="19" t="s">
        <v>430</v>
      </c>
      <c r="F7" s="156"/>
      <c r="G7" s="94" t="s">
        <v>818</v>
      </c>
      <c r="H7" s="94" t="s">
        <v>818</v>
      </c>
      <c r="I7" s="169"/>
      <c r="J7" s="94" t="s">
        <v>818</v>
      </c>
      <c r="K7" s="113" t="s">
        <v>818</v>
      </c>
      <c r="L7" s="94" t="s">
        <v>818</v>
      </c>
      <c r="M7" s="94" t="s">
        <v>818</v>
      </c>
      <c r="N7" s="94" t="s">
        <v>818</v>
      </c>
      <c r="O7" s="94" t="s">
        <v>818</v>
      </c>
      <c r="P7" s="169"/>
      <c r="Q7" s="94" t="s">
        <v>818</v>
      </c>
      <c r="R7" s="113" t="s">
        <v>818</v>
      </c>
      <c r="S7" s="94" t="s">
        <v>818</v>
      </c>
      <c r="T7" s="94" t="s">
        <v>818</v>
      </c>
      <c r="U7" s="94" t="s">
        <v>818</v>
      </c>
      <c r="V7" s="94" t="s">
        <v>818</v>
      </c>
      <c r="W7" s="169"/>
      <c r="X7" s="94" t="s">
        <v>818</v>
      </c>
      <c r="Y7" s="113" t="s">
        <v>818</v>
      </c>
      <c r="Z7" s="94" t="s">
        <v>818</v>
      </c>
      <c r="AA7" s="94" t="s">
        <v>818</v>
      </c>
      <c r="AB7" s="94" t="s">
        <v>818</v>
      </c>
      <c r="AC7" s="94" t="s">
        <v>818</v>
      </c>
      <c r="AD7" s="169"/>
      <c r="AE7" s="94" t="s">
        <v>818</v>
      </c>
      <c r="AF7" s="113" t="s">
        <v>818</v>
      </c>
      <c r="AG7" s="94"/>
      <c r="AH7" s="94"/>
      <c r="AI7" s="94"/>
      <c r="AJ7" s="94"/>
      <c r="AK7" s="5">
        <f t="shared" si="0"/>
        <v>22</v>
      </c>
      <c r="AL7" s="5">
        <f t="shared" si="1"/>
        <v>0</v>
      </c>
      <c r="AM7" s="5"/>
      <c r="AN7" s="9"/>
      <c r="AO7"/>
      <c r="AP7"/>
    </row>
    <row r="8" spans="1:42" ht="15.5" x14ac:dyDescent="0.3">
      <c r="A8" s="9">
        <v>4</v>
      </c>
      <c r="B8" s="6">
        <v>490</v>
      </c>
      <c r="C8" s="7" t="s">
        <v>397</v>
      </c>
      <c r="D8" s="21" t="s">
        <v>398</v>
      </c>
      <c r="E8" s="19" t="s">
        <v>430</v>
      </c>
      <c r="F8" s="156"/>
      <c r="G8" s="94" t="s">
        <v>818</v>
      </c>
      <c r="H8" s="94" t="s">
        <v>818</v>
      </c>
      <c r="I8" s="169"/>
      <c r="J8" s="94" t="s">
        <v>818</v>
      </c>
      <c r="K8" s="113" t="s">
        <v>818</v>
      </c>
      <c r="L8" s="94" t="s">
        <v>818</v>
      </c>
      <c r="M8" s="94" t="s">
        <v>818</v>
      </c>
      <c r="N8" s="94" t="s">
        <v>818</v>
      </c>
      <c r="O8" s="94" t="s">
        <v>818</v>
      </c>
      <c r="P8" s="169"/>
      <c r="Q8" s="94" t="s">
        <v>818</v>
      </c>
      <c r="R8" s="113" t="s">
        <v>818</v>
      </c>
      <c r="S8" s="94" t="s">
        <v>818</v>
      </c>
      <c r="T8" s="94" t="s">
        <v>818</v>
      </c>
      <c r="U8" s="94" t="s">
        <v>818</v>
      </c>
      <c r="V8" s="94" t="s">
        <v>818</v>
      </c>
      <c r="W8" s="169"/>
      <c r="X8" s="94" t="s">
        <v>818</v>
      </c>
      <c r="Y8" s="113" t="s">
        <v>818</v>
      </c>
      <c r="Z8" s="94" t="s">
        <v>818</v>
      </c>
      <c r="AA8" s="94" t="s">
        <v>818</v>
      </c>
      <c r="AB8" s="94" t="s">
        <v>818</v>
      </c>
      <c r="AC8" s="94" t="s">
        <v>818</v>
      </c>
      <c r="AD8" s="169"/>
      <c r="AE8" s="94" t="s">
        <v>818</v>
      </c>
      <c r="AF8" s="113" t="s">
        <v>818</v>
      </c>
      <c r="AG8" s="94"/>
      <c r="AH8" s="94"/>
      <c r="AI8" s="94"/>
      <c r="AJ8" s="94"/>
      <c r="AK8" s="5">
        <f t="shared" si="0"/>
        <v>22</v>
      </c>
      <c r="AL8" s="5">
        <f t="shared" si="1"/>
        <v>0</v>
      </c>
      <c r="AM8" s="5"/>
      <c r="AN8" s="9"/>
    </row>
    <row r="9" spans="1:42" ht="15.5" x14ac:dyDescent="0.3">
      <c r="A9" s="9">
        <v>5</v>
      </c>
      <c r="B9" s="11">
        <v>647</v>
      </c>
      <c r="C9" s="17" t="s">
        <v>402</v>
      </c>
      <c r="D9" s="18" t="s">
        <v>403</v>
      </c>
      <c r="E9" s="19" t="s">
        <v>430</v>
      </c>
      <c r="F9" s="156"/>
      <c r="G9" s="94" t="s">
        <v>818</v>
      </c>
      <c r="H9" s="94" t="s">
        <v>818</v>
      </c>
      <c r="I9" s="169"/>
      <c r="J9" s="94" t="s">
        <v>818</v>
      </c>
      <c r="K9" s="113" t="s">
        <v>818</v>
      </c>
      <c r="L9" s="94" t="s">
        <v>818</v>
      </c>
      <c r="M9" s="94" t="s">
        <v>818</v>
      </c>
      <c r="N9" s="94" t="s">
        <v>818</v>
      </c>
      <c r="O9" s="94" t="s">
        <v>818</v>
      </c>
      <c r="P9" s="169"/>
      <c r="Q9" s="94" t="s">
        <v>818</v>
      </c>
      <c r="R9" s="113" t="s">
        <v>818</v>
      </c>
      <c r="S9" s="94" t="s">
        <v>818</v>
      </c>
      <c r="T9" s="94" t="s">
        <v>818</v>
      </c>
      <c r="U9" s="94" t="s">
        <v>818</v>
      </c>
      <c r="V9" s="94" t="s">
        <v>818</v>
      </c>
      <c r="W9" s="169"/>
      <c r="X9" s="94" t="s">
        <v>818</v>
      </c>
      <c r="Y9" s="113" t="s">
        <v>818</v>
      </c>
      <c r="Z9" s="94" t="s">
        <v>818</v>
      </c>
      <c r="AA9" s="94" t="s">
        <v>818</v>
      </c>
      <c r="AB9" s="94" t="s">
        <v>818</v>
      </c>
      <c r="AC9" s="94" t="s">
        <v>818</v>
      </c>
      <c r="AD9" s="169"/>
      <c r="AE9" s="94" t="s">
        <v>818</v>
      </c>
      <c r="AF9" s="113" t="s">
        <v>817</v>
      </c>
      <c r="AG9" s="94"/>
      <c r="AH9" s="94"/>
      <c r="AI9" s="94"/>
      <c r="AJ9" s="94"/>
      <c r="AK9" s="5">
        <f t="shared" si="0"/>
        <v>21</v>
      </c>
      <c r="AL9" s="5">
        <f t="shared" si="1"/>
        <v>1</v>
      </c>
    </row>
    <row r="10" spans="1:42" ht="15.5" x14ac:dyDescent="0.3">
      <c r="A10" s="9">
        <v>6</v>
      </c>
      <c r="B10" s="11">
        <v>908</v>
      </c>
      <c r="C10" s="17" t="s">
        <v>425</v>
      </c>
      <c r="D10" s="18" t="s">
        <v>426</v>
      </c>
      <c r="E10" s="19" t="s">
        <v>430</v>
      </c>
      <c r="F10" s="156"/>
      <c r="G10" s="94" t="s">
        <v>818</v>
      </c>
      <c r="H10" s="94" t="s">
        <v>817</v>
      </c>
      <c r="I10" s="169"/>
      <c r="J10" s="94" t="s">
        <v>818</v>
      </c>
      <c r="K10" s="113" t="s">
        <v>818</v>
      </c>
      <c r="L10" s="94" t="s">
        <v>818</v>
      </c>
      <c r="M10" s="94" t="s">
        <v>818</v>
      </c>
      <c r="N10" s="94" t="s">
        <v>817</v>
      </c>
      <c r="O10" s="94" t="s">
        <v>817</v>
      </c>
      <c r="P10" s="169"/>
      <c r="Q10" s="94" t="s">
        <v>817</v>
      </c>
      <c r="R10" s="113" t="s">
        <v>817</v>
      </c>
      <c r="S10" s="94" t="s">
        <v>818</v>
      </c>
      <c r="T10" s="94" t="s">
        <v>818</v>
      </c>
      <c r="U10" s="94" t="s">
        <v>818</v>
      </c>
      <c r="V10" s="94" t="s">
        <v>818</v>
      </c>
      <c r="W10" s="169"/>
      <c r="X10" s="94" t="s">
        <v>818</v>
      </c>
      <c r="Y10" s="113" t="s">
        <v>818</v>
      </c>
      <c r="Z10" s="94" t="s">
        <v>818</v>
      </c>
      <c r="AA10" s="94" t="s">
        <v>818</v>
      </c>
      <c r="AB10" s="94" t="s">
        <v>818</v>
      </c>
      <c r="AC10" s="94" t="s">
        <v>818</v>
      </c>
      <c r="AD10" s="169"/>
      <c r="AE10" s="94" t="s">
        <v>818</v>
      </c>
      <c r="AF10" s="113" t="s">
        <v>818</v>
      </c>
      <c r="AG10" s="94"/>
      <c r="AH10" s="94"/>
      <c r="AI10" s="94"/>
      <c r="AJ10" s="94"/>
      <c r="AK10" s="5">
        <f t="shared" si="0"/>
        <v>17</v>
      </c>
      <c r="AL10" s="5">
        <f t="shared" si="1"/>
        <v>5</v>
      </c>
      <c r="AM10" s="158" t="s">
        <v>9</v>
      </c>
      <c r="AN10" s="159"/>
      <c r="AO10" s="159"/>
      <c r="AP10" s="160"/>
    </row>
    <row r="11" spans="1:42" ht="15.5" x14ac:dyDescent="0.3">
      <c r="A11" s="9">
        <v>7</v>
      </c>
      <c r="B11" s="11">
        <v>585</v>
      </c>
      <c r="C11" s="17" t="s">
        <v>404</v>
      </c>
      <c r="D11" s="18" t="s">
        <v>56</v>
      </c>
      <c r="E11" s="19" t="s">
        <v>430</v>
      </c>
      <c r="F11" s="156"/>
      <c r="G11" s="94" t="s">
        <v>817</v>
      </c>
      <c r="H11" s="94" t="s">
        <v>817</v>
      </c>
      <c r="I11" s="169"/>
      <c r="J11" s="94" t="s">
        <v>817</v>
      </c>
      <c r="K11" s="113" t="s">
        <v>818</v>
      </c>
      <c r="L11" s="94" t="s">
        <v>818</v>
      </c>
      <c r="M11" s="94" t="s">
        <v>818</v>
      </c>
      <c r="N11" s="94" t="s">
        <v>818</v>
      </c>
      <c r="O11" s="94" t="s">
        <v>818</v>
      </c>
      <c r="P11" s="169"/>
      <c r="Q11" s="94" t="s">
        <v>818</v>
      </c>
      <c r="R11" s="113" t="s">
        <v>818</v>
      </c>
      <c r="S11" s="94" t="s">
        <v>818</v>
      </c>
      <c r="T11" s="94" t="s">
        <v>817</v>
      </c>
      <c r="U11" s="94" t="s">
        <v>818</v>
      </c>
      <c r="V11" s="94" t="s">
        <v>817</v>
      </c>
      <c r="W11" s="169"/>
      <c r="X11" s="94" t="s">
        <v>818</v>
      </c>
      <c r="Y11" s="113" t="s">
        <v>818</v>
      </c>
      <c r="Z11" s="94" t="s">
        <v>818</v>
      </c>
      <c r="AA11" s="94" t="s">
        <v>818</v>
      </c>
      <c r="AB11" s="94" t="s">
        <v>817</v>
      </c>
      <c r="AC11" s="94" t="s">
        <v>818</v>
      </c>
      <c r="AD11" s="169"/>
      <c r="AE11" s="94" t="s">
        <v>818</v>
      </c>
      <c r="AF11" s="113" t="s">
        <v>818</v>
      </c>
      <c r="AG11" s="94"/>
      <c r="AH11" s="94"/>
      <c r="AI11" s="94"/>
      <c r="AJ11" s="94"/>
      <c r="AK11" s="5">
        <f t="shared" si="0"/>
        <v>16</v>
      </c>
      <c r="AL11" s="5">
        <f t="shared" si="1"/>
        <v>6</v>
      </c>
      <c r="AM11" s="5" t="s">
        <v>10</v>
      </c>
      <c r="AN11" s="5" t="s">
        <v>11</v>
      </c>
      <c r="AO11" s="5" t="s">
        <v>12</v>
      </c>
      <c r="AP11" s="5" t="s">
        <v>13</v>
      </c>
    </row>
    <row r="12" spans="1:42" ht="15.5" x14ac:dyDescent="0.3">
      <c r="A12" s="9">
        <v>8</v>
      </c>
      <c r="B12" s="11">
        <v>555</v>
      </c>
      <c r="C12" s="17" t="s">
        <v>58</v>
      </c>
      <c r="D12" s="18" t="s">
        <v>238</v>
      </c>
      <c r="E12" s="19" t="s">
        <v>430</v>
      </c>
      <c r="F12" s="156"/>
      <c r="G12" s="94" t="s">
        <v>817</v>
      </c>
      <c r="H12" s="94" t="s">
        <v>818</v>
      </c>
      <c r="I12" s="169"/>
      <c r="J12" s="94" t="s">
        <v>818</v>
      </c>
      <c r="K12" s="113" t="s">
        <v>817</v>
      </c>
      <c r="L12" s="94" t="s">
        <v>817</v>
      </c>
      <c r="M12" s="94" t="s">
        <v>818</v>
      </c>
      <c r="N12" s="94" t="s">
        <v>818</v>
      </c>
      <c r="O12" s="94" t="s">
        <v>817</v>
      </c>
      <c r="P12" s="169"/>
      <c r="Q12" s="94" t="s">
        <v>818</v>
      </c>
      <c r="R12" s="113" t="s">
        <v>817</v>
      </c>
      <c r="S12" s="94" t="s">
        <v>818</v>
      </c>
      <c r="T12" s="94" t="s">
        <v>818</v>
      </c>
      <c r="U12" s="94" t="s">
        <v>817</v>
      </c>
      <c r="V12" s="94" t="s">
        <v>818</v>
      </c>
      <c r="W12" s="169"/>
      <c r="X12" s="94" t="s">
        <v>818</v>
      </c>
      <c r="Y12" s="113" t="s">
        <v>817</v>
      </c>
      <c r="Z12" s="94" t="s">
        <v>818</v>
      </c>
      <c r="AA12" s="94" t="s">
        <v>818</v>
      </c>
      <c r="AB12" s="94" t="s">
        <v>818</v>
      </c>
      <c r="AC12" s="94" t="s">
        <v>817</v>
      </c>
      <c r="AD12" s="169"/>
      <c r="AE12" s="94" t="s">
        <v>817</v>
      </c>
      <c r="AF12" s="113" t="s">
        <v>818</v>
      </c>
      <c r="AG12" s="94"/>
      <c r="AH12" s="94"/>
      <c r="AI12" s="94"/>
      <c r="AJ12" s="94"/>
      <c r="AK12" s="5">
        <f t="shared" si="0"/>
        <v>13</v>
      </c>
      <c r="AL12" s="5">
        <f t="shared" si="1"/>
        <v>9</v>
      </c>
      <c r="AM12" s="5" t="s">
        <v>14</v>
      </c>
      <c r="AN12" s="9">
        <f>28*$AN$5</f>
        <v>728</v>
      </c>
      <c r="AO12" s="9">
        <f>24*$AN$5</f>
        <v>624</v>
      </c>
      <c r="AP12" s="9">
        <f>SUM(AN12:AO12)</f>
        <v>1352</v>
      </c>
    </row>
    <row r="13" spans="1:42" ht="15.5" x14ac:dyDescent="0.3">
      <c r="A13" s="9">
        <v>9</v>
      </c>
      <c r="B13" s="95">
        <v>691</v>
      </c>
      <c r="C13" s="17" t="s">
        <v>405</v>
      </c>
      <c r="D13" s="18" t="s">
        <v>406</v>
      </c>
      <c r="E13" s="19" t="s">
        <v>430</v>
      </c>
      <c r="F13" s="156"/>
      <c r="G13" s="94" t="s">
        <v>817</v>
      </c>
      <c r="H13" s="94" t="s">
        <v>817</v>
      </c>
      <c r="I13" s="169"/>
      <c r="J13" s="94" t="s">
        <v>818</v>
      </c>
      <c r="K13" s="113" t="s">
        <v>817</v>
      </c>
      <c r="L13" s="94" t="s">
        <v>818</v>
      </c>
      <c r="M13" s="94" t="s">
        <v>818</v>
      </c>
      <c r="N13" s="94" t="s">
        <v>818</v>
      </c>
      <c r="O13" s="94" t="s">
        <v>818</v>
      </c>
      <c r="P13" s="169"/>
      <c r="Q13" s="94" t="s">
        <v>818</v>
      </c>
      <c r="R13" s="113" t="s">
        <v>817</v>
      </c>
      <c r="S13" s="94" t="s">
        <v>818</v>
      </c>
      <c r="T13" s="94" t="s">
        <v>818</v>
      </c>
      <c r="U13" s="94" t="s">
        <v>818</v>
      </c>
      <c r="V13" s="94" t="s">
        <v>817</v>
      </c>
      <c r="W13" s="169"/>
      <c r="X13" s="94" t="s">
        <v>818</v>
      </c>
      <c r="Y13" s="113" t="s">
        <v>817</v>
      </c>
      <c r="Z13" s="94" t="s">
        <v>817</v>
      </c>
      <c r="AA13" s="94" t="s">
        <v>817</v>
      </c>
      <c r="AB13" s="94" t="s">
        <v>817</v>
      </c>
      <c r="AC13" s="94" t="s">
        <v>818</v>
      </c>
      <c r="AD13" s="169"/>
      <c r="AE13" s="94" t="s">
        <v>817</v>
      </c>
      <c r="AF13" s="113" t="s">
        <v>818</v>
      </c>
      <c r="AG13" s="94"/>
      <c r="AH13" s="94"/>
      <c r="AI13" s="94"/>
      <c r="AJ13" s="94"/>
      <c r="AK13" s="5">
        <f t="shared" si="0"/>
        <v>12</v>
      </c>
      <c r="AL13" s="5">
        <f t="shared" si="1"/>
        <v>10</v>
      </c>
      <c r="AM13" s="5" t="s">
        <v>15</v>
      </c>
      <c r="AN13" s="9">
        <f>SUM(AK5:AK29)</f>
        <v>439</v>
      </c>
      <c r="AO13" s="9">
        <f>SUM(AK31:AK53)</f>
        <v>345</v>
      </c>
      <c r="AP13" s="9">
        <f>AN13+AO13</f>
        <v>784</v>
      </c>
    </row>
    <row r="14" spans="1:42" ht="15.5" x14ac:dyDescent="0.3">
      <c r="A14" s="9">
        <v>10</v>
      </c>
      <c r="B14" s="11">
        <v>913</v>
      </c>
      <c r="C14" s="17" t="s">
        <v>427</v>
      </c>
      <c r="D14" s="18" t="s">
        <v>731</v>
      </c>
      <c r="E14" s="19" t="s">
        <v>430</v>
      </c>
      <c r="F14" s="156"/>
      <c r="G14" s="94" t="s">
        <v>818</v>
      </c>
      <c r="H14" s="94" t="s">
        <v>818</v>
      </c>
      <c r="I14" s="169"/>
      <c r="J14" s="94" t="s">
        <v>818</v>
      </c>
      <c r="K14" s="113" t="s">
        <v>817</v>
      </c>
      <c r="L14" s="94" t="s">
        <v>818</v>
      </c>
      <c r="M14" s="94" t="s">
        <v>818</v>
      </c>
      <c r="N14" s="94" t="s">
        <v>818</v>
      </c>
      <c r="O14" s="94" t="s">
        <v>818</v>
      </c>
      <c r="P14" s="169"/>
      <c r="Q14" s="94" t="s">
        <v>818</v>
      </c>
      <c r="R14" s="113" t="s">
        <v>818</v>
      </c>
      <c r="S14" s="94" t="s">
        <v>818</v>
      </c>
      <c r="T14" s="94" t="s">
        <v>818</v>
      </c>
      <c r="U14" s="94" t="s">
        <v>818</v>
      </c>
      <c r="V14" s="94" t="s">
        <v>818</v>
      </c>
      <c r="W14" s="169"/>
      <c r="X14" s="94" t="s">
        <v>818</v>
      </c>
      <c r="Y14" s="113" t="s">
        <v>818</v>
      </c>
      <c r="Z14" s="94" t="s">
        <v>818</v>
      </c>
      <c r="AA14" s="94" t="s">
        <v>818</v>
      </c>
      <c r="AB14" s="94" t="s">
        <v>818</v>
      </c>
      <c r="AC14" s="94" t="s">
        <v>818</v>
      </c>
      <c r="AD14" s="169"/>
      <c r="AE14" s="94" t="s">
        <v>817</v>
      </c>
      <c r="AF14" s="113" t="s">
        <v>817</v>
      </c>
      <c r="AG14" s="94"/>
      <c r="AH14" s="94"/>
      <c r="AI14" s="94"/>
      <c r="AJ14" s="94"/>
      <c r="AK14" s="5">
        <f t="shared" si="0"/>
        <v>19</v>
      </c>
      <c r="AL14" s="5">
        <f t="shared" si="1"/>
        <v>3</v>
      </c>
      <c r="AM14" s="5" t="s">
        <v>16</v>
      </c>
      <c r="AN14" s="12">
        <f>AN13/AN12</f>
        <v>0.60302197802197799</v>
      </c>
      <c r="AO14" s="12">
        <f>AO13/AO12</f>
        <v>0.55288461538461542</v>
      </c>
      <c r="AP14" s="12">
        <f>AP13/AP12</f>
        <v>0.57988165680473369</v>
      </c>
    </row>
    <row r="15" spans="1:42" ht="15.5" x14ac:dyDescent="0.35">
      <c r="A15" s="9">
        <v>11</v>
      </c>
      <c r="B15" s="11">
        <v>528</v>
      </c>
      <c r="C15" s="17" t="s">
        <v>407</v>
      </c>
      <c r="D15" s="18" t="s">
        <v>408</v>
      </c>
      <c r="E15" s="19" t="s">
        <v>430</v>
      </c>
      <c r="F15" s="156"/>
      <c r="G15" s="94" t="s">
        <v>817</v>
      </c>
      <c r="H15" s="94" t="s">
        <v>817</v>
      </c>
      <c r="I15" s="169"/>
      <c r="J15" s="94" t="s">
        <v>817</v>
      </c>
      <c r="K15" s="113" t="s">
        <v>817</v>
      </c>
      <c r="L15" s="94" t="s">
        <v>817</v>
      </c>
      <c r="M15" s="94" t="s">
        <v>817</v>
      </c>
      <c r="N15" s="94" t="s">
        <v>817</v>
      </c>
      <c r="O15" s="94" t="s">
        <v>817</v>
      </c>
      <c r="P15" s="169"/>
      <c r="Q15" s="94" t="s">
        <v>817</v>
      </c>
      <c r="R15" s="113" t="s">
        <v>817</v>
      </c>
      <c r="S15" s="94" t="s">
        <v>817</v>
      </c>
      <c r="T15" s="94" t="s">
        <v>817</v>
      </c>
      <c r="U15" s="94" t="s">
        <v>817</v>
      </c>
      <c r="V15" s="94" t="s">
        <v>817</v>
      </c>
      <c r="W15" s="169"/>
      <c r="X15" s="94" t="s">
        <v>817</v>
      </c>
      <c r="Y15" s="113" t="s">
        <v>817</v>
      </c>
      <c r="Z15" s="94" t="s">
        <v>817</v>
      </c>
      <c r="AA15" s="94" t="s">
        <v>817</v>
      </c>
      <c r="AB15" s="94" t="s">
        <v>817</v>
      </c>
      <c r="AC15" s="94" t="s">
        <v>817</v>
      </c>
      <c r="AD15" s="169"/>
      <c r="AE15" s="94" t="s">
        <v>817</v>
      </c>
      <c r="AF15" s="113" t="s">
        <v>817</v>
      </c>
      <c r="AG15" s="94"/>
      <c r="AH15" s="94"/>
      <c r="AI15" s="94"/>
      <c r="AJ15" s="94"/>
      <c r="AK15" s="5">
        <f t="shared" si="0"/>
        <v>0</v>
      </c>
      <c r="AL15" s="5">
        <f t="shared" si="1"/>
        <v>22</v>
      </c>
      <c r="AM15"/>
      <c r="AN15"/>
      <c r="AO15"/>
      <c r="AP15"/>
    </row>
    <row r="16" spans="1:42" ht="15.5" x14ac:dyDescent="0.35">
      <c r="A16" s="9">
        <v>12</v>
      </c>
      <c r="B16" s="11">
        <v>689</v>
      </c>
      <c r="C16" s="17" t="s">
        <v>409</v>
      </c>
      <c r="D16" s="18" t="s">
        <v>166</v>
      </c>
      <c r="E16" s="19" t="s">
        <v>430</v>
      </c>
      <c r="F16" s="156"/>
      <c r="G16" s="94" t="s">
        <v>818</v>
      </c>
      <c r="H16" s="94" t="s">
        <v>818</v>
      </c>
      <c r="I16" s="169"/>
      <c r="J16" s="94" t="s">
        <v>818</v>
      </c>
      <c r="K16" s="113" t="s">
        <v>818</v>
      </c>
      <c r="L16" s="94" t="s">
        <v>818</v>
      </c>
      <c r="M16" s="94" t="s">
        <v>818</v>
      </c>
      <c r="N16" s="94" t="s">
        <v>818</v>
      </c>
      <c r="O16" s="94" t="s">
        <v>817</v>
      </c>
      <c r="P16" s="169"/>
      <c r="Q16" s="94" t="s">
        <v>818</v>
      </c>
      <c r="R16" s="113" t="s">
        <v>818</v>
      </c>
      <c r="S16" s="94" t="s">
        <v>818</v>
      </c>
      <c r="T16" s="94" t="s">
        <v>818</v>
      </c>
      <c r="U16" s="94" t="s">
        <v>817</v>
      </c>
      <c r="V16" s="94" t="s">
        <v>818</v>
      </c>
      <c r="W16" s="169"/>
      <c r="X16" s="94" t="s">
        <v>818</v>
      </c>
      <c r="Y16" s="113" t="s">
        <v>818</v>
      </c>
      <c r="Z16" s="94" t="s">
        <v>818</v>
      </c>
      <c r="AA16" s="94" t="s">
        <v>818</v>
      </c>
      <c r="AB16" s="94" t="s">
        <v>818</v>
      </c>
      <c r="AC16" s="94" t="s">
        <v>818</v>
      </c>
      <c r="AD16" s="169"/>
      <c r="AE16" s="94" t="s">
        <v>818</v>
      </c>
      <c r="AF16" s="113" t="s">
        <v>818</v>
      </c>
      <c r="AG16" s="94"/>
      <c r="AH16" s="94"/>
      <c r="AI16" s="94"/>
      <c r="AJ16" s="94"/>
      <c r="AK16" s="5">
        <f t="shared" si="0"/>
        <v>20</v>
      </c>
      <c r="AL16" s="5">
        <f t="shared" si="1"/>
        <v>2</v>
      </c>
      <c r="AM16"/>
      <c r="AN16"/>
      <c r="AO16"/>
      <c r="AP16"/>
    </row>
    <row r="17" spans="1:42" ht="15.5" x14ac:dyDescent="0.35">
      <c r="A17" s="9">
        <v>13</v>
      </c>
      <c r="B17" s="11">
        <v>648</v>
      </c>
      <c r="C17" s="17" t="s">
        <v>411</v>
      </c>
      <c r="D17" s="18" t="s">
        <v>66</v>
      </c>
      <c r="E17" s="19" t="s">
        <v>430</v>
      </c>
      <c r="F17" s="156"/>
      <c r="G17" s="94" t="s">
        <v>817</v>
      </c>
      <c r="H17" s="94" t="s">
        <v>817</v>
      </c>
      <c r="I17" s="169"/>
      <c r="J17" s="94" t="s">
        <v>818</v>
      </c>
      <c r="K17" s="113" t="s">
        <v>818</v>
      </c>
      <c r="L17" s="94" t="s">
        <v>818</v>
      </c>
      <c r="M17" s="94" t="s">
        <v>818</v>
      </c>
      <c r="N17" s="94" t="s">
        <v>818</v>
      </c>
      <c r="O17" s="94" t="s">
        <v>818</v>
      </c>
      <c r="P17" s="169"/>
      <c r="Q17" s="94" t="s">
        <v>818</v>
      </c>
      <c r="R17" s="113" t="s">
        <v>818</v>
      </c>
      <c r="S17" s="94" t="s">
        <v>818</v>
      </c>
      <c r="T17" s="94" t="s">
        <v>818</v>
      </c>
      <c r="U17" s="94" t="s">
        <v>818</v>
      </c>
      <c r="V17" s="94" t="s">
        <v>818</v>
      </c>
      <c r="W17" s="169"/>
      <c r="X17" s="94" t="s">
        <v>818</v>
      </c>
      <c r="Y17" s="113" t="s">
        <v>818</v>
      </c>
      <c r="Z17" s="94" t="s">
        <v>818</v>
      </c>
      <c r="AA17" s="94" t="s">
        <v>818</v>
      </c>
      <c r="AB17" s="94" t="s">
        <v>818</v>
      </c>
      <c r="AC17" s="94" t="s">
        <v>818</v>
      </c>
      <c r="AD17" s="169"/>
      <c r="AE17" s="94" t="s">
        <v>818</v>
      </c>
      <c r="AF17" s="113" t="s">
        <v>818</v>
      </c>
      <c r="AG17" s="94"/>
      <c r="AH17" s="94"/>
      <c r="AI17" s="94"/>
      <c r="AJ17" s="94"/>
      <c r="AK17" s="5">
        <f t="shared" si="0"/>
        <v>20</v>
      </c>
      <c r="AL17" s="5">
        <f t="shared" si="1"/>
        <v>2</v>
      </c>
      <c r="AM17"/>
      <c r="AN17"/>
      <c r="AO17"/>
      <c r="AP17"/>
    </row>
    <row r="18" spans="1:42" ht="15.5" x14ac:dyDescent="0.3">
      <c r="A18" s="9">
        <v>14</v>
      </c>
      <c r="B18" s="11">
        <v>578</v>
      </c>
      <c r="C18" s="17" t="s">
        <v>412</v>
      </c>
      <c r="D18" s="18" t="s">
        <v>221</v>
      </c>
      <c r="E18" s="19" t="s">
        <v>430</v>
      </c>
      <c r="F18" s="156"/>
      <c r="G18" s="94" t="s">
        <v>818</v>
      </c>
      <c r="H18" s="94" t="s">
        <v>818</v>
      </c>
      <c r="I18" s="169"/>
      <c r="J18" s="94" t="s">
        <v>818</v>
      </c>
      <c r="K18" s="113" t="s">
        <v>818</v>
      </c>
      <c r="L18" s="94" t="s">
        <v>818</v>
      </c>
      <c r="M18" s="94" t="s">
        <v>818</v>
      </c>
      <c r="N18" s="94" t="s">
        <v>818</v>
      </c>
      <c r="O18" s="94" t="s">
        <v>818</v>
      </c>
      <c r="P18" s="169"/>
      <c r="Q18" s="94" t="s">
        <v>817</v>
      </c>
      <c r="R18" s="113" t="s">
        <v>818</v>
      </c>
      <c r="S18" s="94" t="s">
        <v>818</v>
      </c>
      <c r="T18" s="94" t="s">
        <v>818</v>
      </c>
      <c r="U18" s="94" t="s">
        <v>818</v>
      </c>
      <c r="V18" s="94" t="s">
        <v>818</v>
      </c>
      <c r="W18" s="169"/>
      <c r="X18" s="94" t="s">
        <v>818</v>
      </c>
      <c r="Y18" s="113" t="s">
        <v>818</v>
      </c>
      <c r="Z18" s="94" t="s">
        <v>818</v>
      </c>
      <c r="AA18" s="94" t="s">
        <v>818</v>
      </c>
      <c r="AB18" s="94" t="s">
        <v>818</v>
      </c>
      <c r="AC18" s="94" t="s">
        <v>818</v>
      </c>
      <c r="AD18" s="169"/>
      <c r="AE18" s="94" t="s">
        <v>818</v>
      </c>
      <c r="AF18" s="113" t="s">
        <v>818</v>
      </c>
      <c r="AG18" s="94"/>
      <c r="AH18" s="94"/>
      <c r="AI18" s="94"/>
      <c r="AJ18" s="94"/>
      <c r="AK18" s="5">
        <f t="shared" si="0"/>
        <v>21</v>
      </c>
      <c r="AL18" s="5">
        <f t="shared" si="1"/>
        <v>1</v>
      </c>
      <c r="AM18" s="158" t="s">
        <v>121</v>
      </c>
      <c r="AN18" s="159"/>
      <c r="AO18" s="159"/>
      <c r="AP18" s="160"/>
    </row>
    <row r="19" spans="1:42" ht="15.5" x14ac:dyDescent="0.3">
      <c r="A19" s="9">
        <v>15</v>
      </c>
      <c r="B19" s="11">
        <v>573</v>
      </c>
      <c r="C19" s="17" t="s">
        <v>97</v>
      </c>
      <c r="D19" s="18" t="s">
        <v>84</v>
      </c>
      <c r="E19" s="19" t="s">
        <v>430</v>
      </c>
      <c r="F19" s="156"/>
      <c r="G19" s="94" t="s">
        <v>818</v>
      </c>
      <c r="H19" s="94" t="s">
        <v>818</v>
      </c>
      <c r="I19" s="169"/>
      <c r="J19" s="94" t="s">
        <v>818</v>
      </c>
      <c r="K19" s="113" t="s">
        <v>818</v>
      </c>
      <c r="L19" s="94" t="s">
        <v>818</v>
      </c>
      <c r="M19" s="94" t="s">
        <v>818</v>
      </c>
      <c r="N19" s="94" t="s">
        <v>818</v>
      </c>
      <c r="O19" s="94" t="s">
        <v>818</v>
      </c>
      <c r="P19" s="169"/>
      <c r="Q19" s="94" t="s">
        <v>818</v>
      </c>
      <c r="R19" s="113" t="s">
        <v>818</v>
      </c>
      <c r="S19" s="94" t="s">
        <v>817</v>
      </c>
      <c r="T19" s="94" t="s">
        <v>818</v>
      </c>
      <c r="U19" s="94" t="s">
        <v>818</v>
      </c>
      <c r="V19" s="94" t="s">
        <v>818</v>
      </c>
      <c r="W19" s="169"/>
      <c r="X19" s="94" t="s">
        <v>818</v>
      </c>
      <c r="Y19" s="113" t="s">
        <v>818</v>
      </c>
      <c r="Z19" s="94" t="s">
        <v>818</v>
      </c>
      <c r="AA19" s="94" t="s">
        <v>818</v>
      </c>
      <c r="AB19" s="94" t="s">
        <v>818</v>
      </c>
      <c r="AC19" s="94" t="s">
        <v>818</v>
      </c>
      <c r="AD19" s="169"/>
      <c r="AE19" s="94" t="s">
        <v>818</v>
      </c>
      <c r="AF19" s="113" t="s">
        <v>818</v>
      </c>
      <c r="AG19" s="94"/>
      <c r="AH19" s="94"/>
      <c r="AI19" s="94"/>
      <c r="AJ19" s="94"/>
      <c r="AK19" s="5">
        <f t="shared" si="0"/>
        <v>21</v>
      </c>
      <c r="AL19" s="5">
        <f t="shared" si="1"/>
        <v>1</v>
      </c>
      <c r="AM19" s="5" t="s">
        <v>10</v>
      </c>
      <c r="AN19" s="5" t="s">
        <v>11</v>
      </c>
      <c r="AO19" s="5" t="s">
        <v>12</v>
      </c>
      <c r="AP19" s="5" t="s">
        <v>13</v>
      </c>
    </row>
    <row r="20" spans="1:42" ht="15.5" x14ac:dyDescent="0.3">
      <c r="A20" s="9">
        <v>16</v>
      </c>
      <c r="B20" s="11">
        <v>479</v>
      </c>
      <c r="C20" s="17" t="s">
        <v>410</v>
      </c>
      <c r="D20" s="18" t="s">
        <v>114</v>
      </c>
      <c r="E20" s="19" t="s">
        <v>430</v>
      </c>
      <c r="F20" s="156"/>
      <c r="G20" s="94" t="s">
        <v>817</v>
      </c>
      <c r="H20" s="94" t="s">
        <v>817</v>
      </c>
      <c r="I20" s="169"/>
      <c r="J20" s="94" t="s">
        <v>818</v>
      </c>
      <c r="K20" s="113" t="s">
        <v>818</v>
      </c>
      <c r="L20" s="94" t="s">
        <v>817</v>
      </c>
      <c r="M20" s="94" t="s">
        <v>818</v>
      </c>
      <c r="N20" s="94" t="s">
        <v>818</v>
      </c>
      <c r="O20" s="94" t="s">
        <v>818</v>
      </c>
      <c r="P20" s="169"/>
      <c r="Q20" s="94" t="s">
        <v>818</v>
      </c>
      <c r="R20" s="113" t="s">
        <v>818</v>
      </c>
      <c r="S20" s="94" t="s">
        <v>818</v>
      </c>
      <c r="T20" s="94" t="s">
        <v>817</v>
      </c>
      <c r="U20" s="94" t="s">
        <v>818</v>
      </c>
      <c r="V20" s="94" t="s">
        <v>818</v>
      </c>
      <c r="W20" s="169"/>
      <c r="X20" s="94" t="s">
        <v>818</v>
      </c>
      <c r="Y20" s="113" t="s">
        <v>818</v>
      </c>
      <c r="Z20" s="94" t="s">
        <v>817</v>
      </c>
      <c r="AA20" s="94" t="s">
        <v>817</v>
      </c>
      <c r="AB20" s="94" t="s">
        <v>817</v>
      </c>
      <c r="AC20" s="94" t="s">
        <v>817</v>
      </c>
      <c r="AD20" s="169"/>
      <c r="AE20" s="94" t="s">
        <v>818</v>
      </c>
      <c r="AF20" s="113" t="s">
        <v>818</v>
      </c>
      <c r="AG20" s="94"/>
      <c r="AH20" s="94"/>
      <c r="AI20" s="94"/>
      <c r="AJ20" s="94"/>
      <c r="AK20" s="5">
        <f t="shared" si="0"/>
        <v>14</v>
      </c>
      <c r="AL20" s="5">
        <f t="shared" si="1"/>
        <v>8</v>
      </c>
      <c r="AM20" s="5" t="s">
        <v>14</v>
      </c>
      <c r="AN20" s="9">
        <f>28*$AN$5</f>
        <v>728</v>
      </c>
      <c r="AO20" s="9">
        <f>24*$AN$5</f>
        <v>624</v>
      </c>
      <c r="AP20" s="9">
        <f>AN20+AO20</f>
        <v>1352</v>
      </c>
    </row>
    <row r="21" spans="1:42" ht="15.5" x14ac:dyDescent="0.3">
      <c r="A21" s="9">
        <v>17</v>
      </c>
      <c r="B21" s="11">
        <v>575</v>
      </c>
      <c r="C21" s="17" t="s">
        <v>413</v>
      </c>
      <c r="D21" s="18" t="s">
        <v>414</v>
      </c>
      <c r="E21" s="19" t="s">
        <v>430</v>
      </c>
      <c r="F21" s="156"/>
      <c r="G21" s="94" t="s">
        <v>817</v>
      </c>
      <c r="H21" s="94" t="s">
        <v>817</v>
      </c>
      <c r="I21" s="169"/>
      <c r="J21" s="94" t="s">
        <v>817</v>
      </c>
      <c r="K21" s="113" t="s">
        <v>817</v>
      </c>
      <c r="L21" s="94" t="s">
        <v>818</v>
      </c>
      <c r="M21" s="94" t="s">
        <v>818</v>
      </c>
      <c r="N21" s="94" t="s">
        <v>818</v>
      </c>
      <c r="O21" s="94" t="s">
        <v>818</v>
      </c>
      <c r="P21" s="169"/>
      <c r="Q21" s="94" t="s">
        <v>818</v>
      </c>
      <c r="R21" s="113" t="s">
        <v>818</v>
      </c>
      <c r="S21" s="94" t="s">
        <v>818</v>
      </c>
      <c r="T21" s="94" t="s">
        <v>818</v>
      </c>
      <c r="U21" s="94" t="s">
        <v>818</v>
      </c>
      <c r="V21" s="94" t="s">
        <v>818</v>
      </c>
      <c r="W21" s="169"/>
      <c r="X21" s="94" t="s">
        <v>818</v>
      </c>
      <c r="Y21" s="113" t="s">
        <v>818</v>
      </c>
      <c r="Z21" s="94" t="s">
        <v>818</v>
      </c>
      <c r="AA21" s="94" t="s">
        <v>818</v>
      </c>
      <c r="AB21" s="94" t="s">
        <v>818</v>
      </c>
      <c r="AC21" s="94" t="s">
        <v>818</v>
      </c>
      <c r="AD21" s="169"/>
      <c r="AE21" s="94" t="s">
        <v>818</v>
      </c>
      <c r="AF21" s="113" t="s">
        <v>818</v>
      </c>
      <c r="AG21" s="94"/>
      <c r="AH21" s="94"/>
      <c r="AI21" s="94"/>
      <c r="AJ21" s="94"/>
      <c r="AK21" s="5">
        <f t="shared" si="0"/>
        <v>18</v>
      </c>
      <c r="AL21" s="5">
        <f t="shared" si="1"/>
        <v>4</v>
      </c>
      <c r="AM21" s="5" t="s">
        <v>17</v>
      </c>
      <c r="AN21" s="9">
        <f>AN20-AN13</f>
        <v>289</v>
      </c>
      <c r="AO21" s="9">
        <f>AO20-AO13</f>
        <v>279</v>
      </c>
      <c r="AP21" s="9">
        <f>AN21+AO21</f>
        <v>568</v>
      </c>
    </row>
    <row r="22" spans="1:42" ht="15.5" x14ac:dyDescent="0.3">
      <c r="A22" s="9">
        <v>18</v>
      </c>
      <c r="B22" s="11">
        <v>586</v>
      </c>
      <c r="C22" s="17" t="s">
        <v>415</v>
      </c>
      <c r="D22" s="18" t="s">
        <v>416</v>
      </c>
      <c r="E22" s="19" t="s">
        <v>430</v>
      </c>
      <c r="F22" s="156"/>
      <c r="G22" s="94" t="s">
        <v>818</v>
      </c>
      <c r="H22" s="94" t="s">
        <v>818</v>
      </c>
      <c r="I22" s="169"/>
      <c r="J22" s="94" t="s">
        <v>818</v>
      </c>
      <c r="K22" s="113" t="s">
        <v>818</v>
      </c>
      <c r="L22" s="94" t="s">
        <v>818</v>
      </c>
      <c r="M22" s="94" t="s">
        <v>818</v>
      </c>
      <c r="N22" s="94" t="s">
        <v>818</v>
      </c>
      <c r="O22" s="94" t="s">
        <v>818</v>
      </c>
      <c r="P22" s="169"/>
      <c r="Q22" s="94" t="s">
        <v>818</v>
      </c>
      <c r="R22" s="113" t="s">
        <v>818</v>
      </c>
      <c r="S22" s="94" t="s">
        <v>818</v>
      </c>
      <c r="T22" s="94" t="s">
        <v>818</v>
      </c>
      <c r="U22" s="94" t="s">
        <v>818</v>
      </c>
      <c r="V22" s="94" t="s">
        <v>818</v>
      </c>
      <c r="W22" s="169"/>
      <c r="X22" s="94" t="s">
        <v>818</v>
      </c>
      <c r="Y22" s="113" t="s">
        <v>818</v>
      </c>
      <c r="Z22" s="94" t="s">
        <v>818</v>
      </c>
      <c r="AA22" s="94" t="s">
        <v>818</v>
      </c>
      <c r="AB22" s="94" t="s">
        <v>818</v>
      </c>
      <c r="AC22" s="94" t="s">
        <v>818</v>
      </c>
      <c r="AD22" s="169"/>
      <c r="AE22" s="94" t="s">
        <v>818</v>
      </c>
      <c r="AF22" s="113" t="s">
        <v>818</v>
      </c>
      <c r="AG22" s="94"/>
      <c r="AH22" s="94"/>
      <c r="AI22" s="94"/>
      <c r="AJ22" s="94"/>
      <c r="AK22" s="5">
        <f t="shared" si="0"/>
        <v>22</v>
      </c>
      <c r="AL22" s="5">
        <f t="shared" si="1"/>
        <v>0</v>
      </c>
      <c r="AM22" s="5" t="s">
        <v>16</v>
      </c>
      <c r="AN22" s="12">
        <f>AN21/AN20</f>
        <v>0.39697802197802196</v>
      </c>
      <c r="AO22" s="12">
        <f>AO21/AO20</f>
        <v>0.44711538461538464</v>
      </c>
      <c r="AP22" s="12">
        <f>AP21/AP20</f>
        <v>0.42011834319526625</v>
      </c>
    </row>
    <row r="23" spans="1:42" ht="15.5" x14ac:dyDescent="0.3">
      <c r="A23" s="9">
        <v>19</v>
      </c>
      <c r="B23" s="11">
        <v>580</v>
      </c>
      <c r="C23" s="17" t="s">
        <v>418</v>
      </c>
      <c r="D23" s="18" t="s">
        <v>419</v>
      </c>
      <c r="E23" s="19" t="s">
        <v>430</v>
      </c>
      <c r="F23" s="156"/>
      <c r="G23" s="94" t="s">
        <v>818</v>
      </c>
      <c r="H23" s="94" t="s">
        <v>818</v>
      </c>
      <c r="I23" s="169"/>
      <c r="J23" s="94" t="s">
        <v>818</v>
      </c>
      <c r="K23" s="113" t="s">
        <v>818</v>
      </c>
      <c r="L23" s="94" t="s">
        <v>818</v>
      </c>
      <c r="M23" s="94" t="s">
        <v>818</v>
      </c>
      <c r="N23" s="94" t="s">
        <v>818</v>
      </c>
      <c r="O23" s="94" t="s">
        <v>817</v>
      </c>
      <c r="P23" s="169"/>
      <c r="Q23" s="94" t="s">
        <v>818</v>
      </c>
      <c r="R23" s="113" t="s">
        <v>818</v>
      </c>
      <c r="S23" s="94" t="s">
        <v>818</v>
      </c>
      <c r="T23" s="94" t="s">
        <v>818</v>
      </c>
      <c r="U23" s="94" t="s">
        <v>818</v>
      </c>
      <c r="V23" s="94" t="s">
        <v>818</v>
      </c>
      <c r="W23" s="169"/>
      <c r="X23" s="94" t="s">
        <v>818</v>
      </c>
      <c r="Y23" s="113" t="s">
        <v>818</v>
      </c>
      <c r="Z23" s="94" t="s">
        <v>818</v>
      </c>
      <c r="AA23" s="94" t="s">
        <v>818</v>
      </c>
      <c r="AB23" s="94" t="s">
        <v>818</v>
      </c>
      <c r="AC23" s="94" t="s">
        <v>818</v>
      </c>
      <c r="AD23" s="169"/>
      <c r="AE23" s="94" t="s">
        <v>818</v>
      </c>
      <c r="AF23" s="113" t="s">
        <v>818</v>
      </c>
      <c r="AG23" s="94"/>
      <c r="AH23" s="94"/>
      <c r="AI23" s="94"/>
      <c r="AJ23" s="94"/>
      <c r="AK23" s="5">
        <f t="shared" si="0"/>
        <v>21</v>
      </c>
      <c r="AL23" s="5">
        <f t="shared" si="1"/>
        <v>1</v>
      </c>
    </row>
    <row r="24" spans="1:42" ht="15.5" x14ac:dyDescent="0.3">
      <c r="A24" s="9">
        <v>20</v>
      </c>
      <c r="B24" s="11">
        <v>583</v>
      </c>
      <c r="C24" s="17" t="s">
        <v>417</v>
      </c>
      <c r="D24" s="18" t="s">
        <v>41</v>
      </c>
      <c r="E24" s="19" t="s">
        <v>430</v>
      </c>
      <c r="F24" s="156"/>
      <c r="G24" s="94" t="s">
        <v>818</v>
      </c>
      <c r="H24" s="94" t="s">
        <v>817</v>
      </c>
      <c r="I24" s="169"/>
      <c r="J24" s="94" t="s">
        <v>818</v>
      </c>
      <c r="K24" s="113" t="s">
        <v>818</v>
      </c>
      <c r="L24" s="94" t="s">
        <v>818</v>
      </c>
      <c r="M24" s="94" t="s">
        <v>818</v>
      </c>
      <c r="N24" s="94" t="s">
        <v>817</v>
      </c>
      <c r="O24" s="94" t="s">
        <v>817</v>
      </c>
      <c r="P24" s="169"/>
      <c r="Q24" s="94" t="s">
        <v>818</v>
      </c>
      <c r="R24" s="113" t="s">
        <v>818</v>
      </c>
      <c r="S24" s="94" t="s">
        <v>818</v>
      </c>
      <c r="T24" s="94" t="s">
        <v>818</v>
      </c>
      <c r="U24" s="94" t="s">
        <v>818</v>
      </c>
      <c r="V24" s="94" t="s">
        <v>818</v>
      </c>
      <c r="W24" s="169"/>
      <c r="X24" s="94" t="s">
        <v>818</v>
      </c>
      <c r="Y24" s="113" t="s">
        <v>818</v>
      </c>
      <c r="Z24" s="94" t="s">
        <v>818</v>
      </c>
      <c r="AA24" s="94" t="s">
        <v>818</v>
      </c>
      <c r="AB24" s="94" t="s">
        <v>818</v>
      </c>
      <c r="AC24" s="94" t="s">
        <v>817</v>
      </c>
      <c r="AD24" s="169"/>
      <c r="AE24" s="94" t="s">
        <v>818</v>
      </c>
      <c r="AF24" s="113" t="s">
        <v>818</v>
      </c>
      <c r="AG24" s="94"/>
      <c r="AH24" s="94"/>
      <c r="AI24" s="94"/>
      <c r="AJ24" s="94"/>
      <c r="AK24" s="5">
        <f t="shared" si="0"/>
        <v>18</v>
      </c>
      <c r="AL24" s="5">
        <f t="shared" si="1"/>
        <v>4</v>
      </c>
    </row>
    <row r="25" spans="1:42" ht="15.5" x14ac:dyDescent="0.3">
      <c r="A25" s="9">
        <v>21</v>
      </c>
      <c r="B25" s="11">
        <v>480</v>
      </c>
      <c r="C25" s="17" t="s">
        <v>420</v>
      </c>
      <c r="D25" s="18" t="s">
        <v>234</v>
      </c>
      <c r="E25" s="19" t="s">
        <v>430</v>
      </c>
      <c r="F25" s="156"/>
      <c r="G25" s="94" t="s">
        <v>817</v>
      </c>
      <c r="H25" s="94" t="s">
        <v>817</v>
      </c>
      <c r="I25" s="169"/>
      <c r="J25" s="94" t="s">
        <v>817</v>
      </c>
      <c r="K25" s="113" t="s">
        <v>817</v>
      </c>
      <c r="L25" s="94" t="s">
        <v>817</v>
      </c>
      <c r="M25" s="94" t="s">
        <v>817</v>
      </c>
      <c r="N25" s="94" t="s">
        <v>817</v>
      </c>
      <c r="O25" s="94" t="s">
        <v>817</v>
      </c>
      <c r="P25" s="169"/>
      <c r="Q25" s="94" t="s">
        <v>818</v>
      </c>
      <c r="R25" s="113" t="s">
        <v>818</v>
      </c>
      <c r="S25" s="94" t="s">
        <v>818</v>
      </c>
      <c r="T25" s="94" t="s">
        <v>818</v>
      </c>
      <c r="U25" s="94" t="s">
        <v>818</v>
      </c>
      <c r="V25" s="94" t="s">
        <v>818</v>
      </c>
      <c r="W25" s="169"/>
      <c r="X25" s="94" t="s">
        <v>818</v>
      </c>
      <c r="Y25" s="113" t="s">
        <v>818</v>
      </c>
      <c r="Z25" s="94" t="s">
        <v>818</v>
      </c>
      <c r="AA25" s="94" t="s">
        <v>818</v>
      </c>
      <c r="AB25" s="94" t="s">
        <v>818</v>
      </c>
      <c r="AC25" s="94" t="s">
        <v>818</v>
      </c>
      <c r="AD25" s="169"/>
      <c r="AE25" s="94" t="s">
        <v>818</v>
      </c>
      <c r="AF25" s="113" t="s">
        <v>818</v>
      </c>
      <c r="AG25" s="94"/>
      <c r="AH25" s="94"/>
      <c r="AI25" s="94"/>
      <c r="AJ25" s="94"/>
      <c r="AK25" s="5">
        <f t="shared" si="0"/>
        <v>14</v>
      </c>
      <c r="AL25" s="5">
        <f t="shared" si="1"/>
        <v>8</v>
      </c>
    </row>
    <row r="26" spans="1:42" ht="15.5" x14ac:dyDescent="0.3">
      <c r="A26" s="9">
        <v>22</v>
      </c>
      <c r="B26" s="11">
        <v>576</v>
      </c>
      <c r="C26" s="17" t="s">
        <v>302</v>
      </c>
      <c r="D26" s="18" t="s">
        <v>234</v>
      </c>
      <c r="E26" s="19" t="s">
        <v>430</v>
      </c>
      <c r="F26" s="156"/>
      <c r="G26" s="94" t="s">
        <v>818</v>
      </c>
      <c r="H26" s="94" t="s">
        <v>818</v>
      </c>
      <c r="I26" s="169"/>
      <c r="J26" s="94" t="s">
        <v>818</v>
      </c>
      <c r="K26" s="113" t="s">
        <v>818</v>
      </c>
      <c r="L26" s="94" t="s">
        <v>818</v>
      </c>
      <c r="M26" s="94" t="s">
        <v>818</v>
      </c>
      <c r="N26" s="94" t="s">
        <v>818</v>
      </c>
      <c r="O26" s="94" t="s">
        <v>818</v>
      </c>
      <c r="P26" s="169"/>
      <c r="Q26" s="94" t="s">
        <v>818</v>
      </c>
      <c r="R26" s="113" t="s">
        <v>818</v>
      </c>
      <c r="S26" s="94" t="s">
        <v>818</v>
      </c>
      <c r="T26" s="94" t="s">
        <v>818</v>
      </c>
      <c r="U26" s="94" t="s">
        <v>818</v>
      </c>
      <c r="V26" s="94" t="s">
        <v>818</v>
      </c>
      <c r="W26" s="169"/>
      <c r="X26" s="94" t="s">
        <v>818</v>
      </c>
      <c r="Y26" s="113" t="s">
        <v>818</v>
      </c>
      <c r="Z26" s="94" t="s">
        <v>818</v>
      </c>
      <c r="AA26" s="94" t="s">
        <v>818</v>
      </c>
      <c r="AB26" s="94" t="s">
        <v>818</v>
      </c>
      <c r="AC26" s="94" t="s">
        <v>818</v>
      </c>
      <c r="AD26" s="169"/>
      <c r="AE26" s="94" t="s">
        <v>818</v>
      </c>
      <c r="AF26" s="113" t="s">
        <v>818</v>
      </c>
      <c r="AG26" s="94"/>
      <c r="AH26" s="94"/>
      <c r="AI26" s="94"/>
      <c r="AJ26" s="94"/>
      <c r="AK26" s="5">
        <f t="shared" si="0"/>
        <v>22</v>
      </c>
      <c r="AL26" s="5">
        <f t="shared" si="1"/>
        <v>0</v>
      </c>
    </row>
    <row r="27" spans="1:42" ht="15.5" x14ac:dyDescent="0.3">
      <c r="A27" s="9">
        <v>23</v>
      </c>
      <c r="B27" s="11">
        <v>685</v>
      </c>
      <c r="C27" s="17" t="s">
        <v>421</v>
      </c>
      <c r="D27" s="18" t="s">
        <v>422</v>
      </c>
      <c r="E27" s="19" t="s">
        <v>430</v>
      </c>
      <c r="F27" s="156"/>
      <c r="G27" s="94" t="s">
        <v>818</v>
      </c>
      <c r="H27" s="94" t="s">
        <v>818</v>
      </c>
      <c r="I27" s="169"/>
      <c r="J27" s="94" t="s">
        <v>818</v>
      </c>
      <c r="K27" s="113" t="s">
        <v>818</v>
      </c>
      <c r="L27" s="94" t="s">
        <v>818</v>
      </c>
      <c r="M27" s="94" t="s">
        <v>818</v>
      </c>
      <c r="N27" s="94" t="s">
        <v>818</v>
      </c>
      <c r="O27" s="94" t="s">
        <v>818</v>
      </c>
      <c r="P27" s="169"/>
      <c r="Q27" s="94" t="s">
        <v>818</v>
      </c>
      <c r="R27" s="113" t="s">
        <v>818</v>
      </c>
      <c r="S27" s="94" t="s">
        <v>818</v>
      </c>
      <c r="T27" s="94" t="s">
        <v>818</v>
      </c>
      <c r="U27" s="94" t="s">
        <v>818</v>
      </c>
      <c r="V27" s="94" t="s">
        <v>817</v>
      </c>
      <c r="W27" s="169"/>
      <c r="X27" s="94" t="s">
        <v>818</v>
      </c>
      <c r="Y27" s="113" t="s">
        <v>818</v>
      </c>
      <c r="Z27" s="94" t="s">
        <v>818</v>
      </c>
      <c r="AA27" s="94" t="s">
        <v>818</v>
      </c>
      <c r="AB27" s="94" t="s">
        <v>818</v>
      </c>
      <c r="AC27" s="94" t="s">
        <v>817</v>
      </c>
      <c r="AD27" s="169"/>
      <c r="AE27" s="94" t="s">
        <v>817</v>
      </c>
      <c r="AF27" s="113" t="s">
        <v>818</v>
      </c>
      <c r="AG27" s="94"/>
      <c r="AH27" s="94"/>
      <c r="AI27" s="94"/>
      <c r="AJ27" s="94"/>
      <c r="AK27" s="5">
        <f t="shared" si="0"/>
        <v>19</v>
      </c>
      <c r="AL27" s="5">
        <f t="shared" si="1"/>
        <v>3</v>
      </c>
    </row>
    <row r="28" spans="1:42" ht="16.5" customHeight="1" x14ac:dyDescent="0.3">
      <c r="A28" s="9">
        <v>24</v>
      </c>
      <c r="B28" s="11">
        <v>688</v>
      </c>
      <c r="C28" s="17" t="s">
        <v>423</v>
      </c>
      <c r="D28" s="18" t="s">
        <v>415</v>
      </c>
      <c r="E28" s="19" t="s">
        <v>430</v>
      </c>
      <c r="F28" s="156"/>
      <c r="G28" s="94" t="s">
        <v>818</v>
      </c>
      <c r="H28" s="94" t="s">
        <v>818</v>
      </c>
      <c r="I28" s="169"/>
      <c r="J28" s="94" t="s">
        <v>818</v>
      </c>
      <c r="K28" s="113" t="s">
        <v>818</v>
      </c>
      <c r="L28" s="94" t="s">
        <v>818</v>
      </c>
      <c r="M28" s="94" t="s">
        <v>818</v>
      </c>
      <c r="N28" s="94" t="s">
        <v>817</v>
      </c>
      <c r="O28" s="94" t="s">
        <v>818</v>
      </c>
      <c r="P28" s="169"/>
      <c r="Q28" s="94" t="s">
        <v>818</v>
      </c>
      <c r="R28" s="113" t="s">
        <v>818</v>
      </c>
      <c r="S28" s="94" t="s">
        <v>818</v>
      </c>
      <c r="T28" s="94" t="s">
        <v>818</v>
      </c>
      <c r="U28" s="94" t="s">
        <v>818</v>
      </c>
      <c r="V28" s="94" t="s">
        <v>817</v>
      </c>
      <c r="W28" s="169"/>
      <c r="X28" s="94" t="s">
        <v>818</v>
      </c>
      <c r="Y28" s="113" t="s">
        <v>818</v>
      </c>
      <c r="Z28" s="94" t="s">
        <v>818</v>
      </c>
      <c r="AA28" s="94" t="s">
        <v>818</v>
      </c>
      <c r="AB28" s="94" t="s">
        <v>818</v>
      </c>
      <c r="AC28" s="94" t="s">
        <v>817</v>
      </c>
      <c r="AD28" s="169"/>
      <c r="AE28" s="94" t="s">
        <v>817</v>
      </c>
      <c r="AF28" s="113" t="s">
        <v>818</v>
      </c>
      <c r="AG28" s="94"/>
      <c r="AH28" s="94"/>
      <c r="AI28" s="94"/>
      <c r="AJ28" s="94"/>
      <c r="AK28" s="5">
        <f t="shared" si="0"/>
        <v>18</v>
      </c>
      <c r="AL28" s="5">
        <f t="shared" si="1"/>
        <v>4</v>
      </c>
    </row>
    <row r="29" spans="1:42" ht="15.5" x14ac:dyDescent="0.3">
      <c r="A29" s="9">
        <v>25</v>
      </c>
      <c r="B29" s="11">
        <v>546</v>
      </c>
      <c r="C29" s="17" t="s">
        <v>423</v>
      </c>
      <c r="D29" s="18" t="s">
        <v>424</v>
      </c>
      <c r="E29" s="104" t="s">
        <v>430</v>
      </c>
      <c r="F29" s="156"/>
      <c r="G29" s="94" t="s">
        <v>817</v>
      </c>
      <c r="H29" s="94" t="s">
        <v>817</v>
      </c>
      <c r="I29" s="169"/>
      <c r="J29" s="94" t="s">
        <v>817</v>
      </c>
      <c r="K29" s="113" t="s">
        <v>817</v>
      </c>
      <c r="L29" s="94" t="s">
        <v>817</v>
      </c>
      <c r="M29" s="94" t="s">
        <v>817</v>
      </c>
      <c r="N29" s="94" t="s">
        <v>817</v>
      </c>
      <c r="O29" s="94" t="s">
        <v>817</v>
      </c>
      <c r="P29" s="169"/>
      <c r="Q29" s="94" t="s">
        <v>818</v>
      </c>
      <c r="R29" s="113" t="s">
        <v>818</v>
      </c>
      <c r="S29" s="94" t="s">
        <v>817</v>
      </c>
      <c r="T29" s="94" t="s">
        <v>818</v>
      </c>
      <c r="U29" s="94" t="s">
        <v>817</v>
      </c>
      <c r="V29" s="94" t="s">
        <v>818</v>
      </c>
      <c r="W29" s="169"/>
      <c r="X29" s="94" t="s">
        <v>818</v>
      </c>
      <c r="Y29" s="113" t="s">
        <v>818</v>
      </c>
      <c r="Z29" s="94" t="s">
        <v>818</v>
      </c>
      <c r="AA29" s="94" t="s">
        <v>818</v>
      </c>
      <c r="AB29" s="94" t="s">
        <v>817</v>
      </c>
      <c r="AC29" s="94" t="s">
        <v>817</v>
      </c>
      <c r="AD29" s="169"/>
      <c r="AE29" s="94" t="s">
        <v>817</v>
      </c>
      <c r="AF29" s="113" t="s">
        <v>818</v>
      </c>
      <c r="AG29" s="94"/>
      <c r="AH29" s="94"/>
      <c r="AI29" s="94"/>
      <c r="AJ29" s="94"/>
      <c r="AK29" s="5">
        <f t="shared" si="0"/>
        <v>9</v>
      </c>
      <c r="AL29" s="5">
        <f t="shared" si="1"/>
        <v>13</v>
      </c>
    </row>
    <row r="30" spans="1:42" ht="15.5" x14ac:dyDescent="0.3">
      <c r="A30" s="20">
        <v>26</v>
      </c>
      <c r="B30" s="11">
        <v>472</v>
      </c>
      <c r="C30" s="17" t="s">
        <v>833</v>
      </c>
      <c r="D30" s="18" t="s">
        <v>834</v>
      </c>
      <c r="E30" s="104" t="s">
        <v>430</v>
      </c>
      <c r="F30" s="156"/>
      <c r="G30" s="94" t="s">
        <v>818</v>
      </c>
      <c r="H30" s="94" t="s">
        <v>817</v>
      </c>
      <c r="I30" s="169"/>
      <c r="J30" s="94" t="s">
        <v>818</v>
      </c>
      <c r="K30" s="113" t="s">
        <v>818</v>
      </c>
      <c r="L30" s="94" t="s">
        <v>817</v>
      </c>
      <c r="M30" s="94" t="s">
        <v>818</v>
      </c>
      <c r="N30" s="94" t="s">
        <v>818</v>
      </c>
      <c r="O30" s="94" t="s">
        <v>818</v>
      </c>
      <c r="P30" s="169"/>
      <c r="Q30" s="94" t="s">
        <v>818</v>
      </c>
      <c r="R30" s="113" t="s">
        <v>818</v>
      </c>
      <c r="S30" s="94" t="s">
        <v>818</v>
      </c>
      <c r="T30" s="94" t="s">
        <v>817</v>
      </c>
      <c r="U30" s="94" t="s">
        <v>818</v>
      </c>
      <c r="V30" s="94" t="s">
        <v>818</v>
      </c>
      <c r="W30" s="169"/>
      <c r="X30" s="94" t="s">
        <v>818</v>
      </c>
      <c r="Y30" s="113" t="s">
        <v>818</v>
      </c>
      <c r="Z30" s="94" t="s">
        <v>817</v>
      </c>
      <c r="AA30" s="94" t="s">
        <v>817</v>
      </c>
      <c r="AB30" s="94" t="s">
        <v>817</v>
      </c>
      <c r="AC30" s="94" t="s">
        <v>817</v>
      </c>
      <c r="AD30" s="169"/>
      <c r="AE30" s="94" t="s">
        <v>817</v>
      </c>
      <c r="AF30" s="113" t="s">
        <v>818</v>
      </c>
      <c r="AG30" s="94"/>
      <c r="AH30" s="94"/>
      <c r="AI30" s="94"/>
      <c r="AJ30" s="94"/>
      <c r="AK30" s="5">
        <f t="shared" si="0"/>
        <v>14</v>
      </c>
      <c r="AL30" s="5">
        <f t="shared" si="1"/>
        <v>8</v>
      </c>
    </row>
    <row r="31" spans="1:42" ht="15.5" x14ac:dyDescent="0.3">
      <c r="A31" s="20">
        <v>1</v>
      </c>
      <c r="B31" s="11">
        <v>544</v>
      </c>
      <c r="C31" s="17" t="s">
        <v>359</v>
      </c>
      <c r="D31" s="18" t="s">
        <v>360</v>
      </c>
      <c r="E31" s="104" t="s">
        <v>430</v>
      </c>
      <c r="F31" s="156"/>
      <c r="G31" s="94" t="s">
        <v>818</v>
      </c>
      <c r="H31" s="94" t="s">
        <v>818</v>
      </c>
      <c r="I31" s="169"/>
      <c r="J31" s="94" t="s">
        <v>817</v>
      </c>
      <c r="K31" s="113" t="s">
        <v>818</v>
      </c>
      <c r="L31" s="94" t="s">
        <v>818</v>
      </c>
      <c r="M31" s="94" t="s">
        <v>818</v>
      </c>
      <c r="N31" s="94" t="s">
        <v>818</v>
      </c>
      <c r="O31" s="94" t="s">
        <v>818</v>
      </c>
      <c r="P31" s="169"/>
      <c r="Q31" s="94" t="s">
        <v>818</v>
      </c>
      <c r="R31" s="113" t="s">
        <v>817</v>
      </c>
      <c r="S31" s="94" t="s">
        <v>818</v>
      </c>
      <c r="T31" s="94" t="s">
        <v>818</v>
      </c>
      <c r="U31" s="94" t="s">
        <v>818</v>
      </c>
      <c r="V31" s="94" t="s">
        <v>818</v>
      </c>
      <c r="W31" s="169"/>
      <c r="X31" s="94" t="s">
        <v>818</v>
      </c>
      <c r="Y31" s="113" t="s">
        <v>818</v>
      </c>
      <c r="Z31" s="94" t="s">
        <v>818</v>
      </c>
      <c r="AA31" s="94" t="s">
        <v>818</v>
      </c>
      <c r="AB31" s="94" t="s">
        <v>817</v>
      </c>
      <c r="AC31" s="94" t="s">
        <v>818</v>
      </c>
      <c r="AD31" s="169"/>
      <c r="AE31" s="94" t="s">
        <v>818</v>
      </c>
      <c r="AF31" s="113" t="s">
        <v>818</v>
      </c>
      <c r="AG31" s="94"/>
      <c r="AH31" s="94"/>
      <c r="AI31" s="94"/>
      <c r="AJ31" s="94"/>
      <c r="AK31" s="5">
        <f t="shared" si="0"/>
        <v>19</v>
      </c>
      <c r="AL31" s="5">
        <f t="shared" si="1"/>
        <v>3</v>
      </c>
    </row>
    <row r="32" spans="1:42" ht="15.5" x14ac:dyDescent="0.3">
      <c r="A32" s="20">
        <v>2</v>
      </c>
      <c r="B32" s="11">
        <v>780</v>
      </c>
      <c r="C32" s="17" t="s">
        <v>363</v>
      </c>
      <c r="D32" s="18" t="s">
        <v>364</v>
      </c>
      <c r="E32" s="19" t="s">
        <v>430</v>
      </c>
      <c r="F32" s="156"/>
      <c r="G32" s="94" t="s">
        <v>817</v>
      </c>
      <c r="H32" s="94" t="s">
        <v>817</v>
      </c>
      <c r="I32" s="169"/>
      <c r="J32" s="94" t="s">
        <v>818</v>
      </c>
      <c r="K32" s="113" t="s">
        <v>818</v>
      </c>
      <c r="L32" s="94" t="s">
        <v>818</v>
      </c>
      <c r="M32" s="94" t="s">
        <v>818</v>
      </c>
      <c r="N32" s="94" t="s">
        <v>818</v>
      </c>
      <c r="O32" s="94" t="s">
        <v>818</v>
      </c>
      <c r="P32" s="169"/>
      <c r="Q32" s="94" t="s">
        <v>818</v>
      </c>
      <c r="R32" s="113" t="s">
        <v>818</v>
      </c>
      <c r="S32" s="94" t="s">
        <v>818</v>
      </c>
      <c r="T32" s="94" t="s">
        <v>817</v>
      </c>
      <c r="U32" s="94" t="s">
        <v>817</v>
      </c>
      <c r="V32" s="94" t="s">
        <v>817</v>
      </c>
      <c r="W32" s="169"/>
      <c r="X32" s="94" t="s">
        <v>818</v>
      </c>
      <c r="Y32" s="113" t="s">
        <v>818</v>
      </c>
      <c r="Z32" s="94" t="s">
        <v>818</v>
      </c>
      <c r="AA32" s="94" t="s">
        <v>818</v>
      </c>
      <c r="AB32" s="94" t="s">
        <v>818</v>
      </c>
      <c r="AC32" s="94" t="s">
        <v>817</v>
      </c>
      <c r="AD32" s="169"/>
      <c r="AE32" s="94" t="s">
        <v>817</v>
      </c>
      <c r="AF32" s="113" t="s">
        <v>818</v>
      </c>
      <c r="AG32" s="94"/>
      <c r="AH32" s="94"/>
      <c r="AI32" s="94"/>
      <c r="AJ32" s="94"/>
      <c r="AK32" s="5">
        <f t="shared" si="0"/>
        <v>15</v>
      </c>
      <c r="AL32" s="5">
        <f t="shared" si="1"/>
        <v>7</v>
      </c>
    </row>
    <row r="33" spans="1:38" ht="15.5" x14ac:dyDescent="0.3">
      <c r="A33" s="20">
        <v>3</v>
      </c>
      <c r="B33" s="11">
        <v>844</v>
      </c>
      <c r="C33" s="17" t="s">
        <v>393</v>
      </c>
      <c r="D33" s="18" t="s">
        <v>394</v>
      </c>
      <c r="E33" s="19" t="s">
        <v>430</v>
      </c>
      <c r="F33" s="156"/>
      <c r="G33" s="94" t="s">
        <v>817</v>
      </c>
      <c r="H33" s="94" t="s">
        <v>817</v>
      </c>
      <c r="I33" s="169"/>
      <c r="J33" s="94" t="s">
        <v>817</v>
      </c>
      <c r="K33" s="113" t="s">
        <v>817</v>
      </c>
      <c r="L33" s="94" t="s">
        <v>818</v>
      </c>
      <c r="M33" s="94" t="s">
        <v>818</v>
      </c>
      <c r="N33" s="94" t="s">
        <v>817</v>
      </c>
      <c r="O33" s="94" t="s">
        <v>817</v>
      </c>
      <c r="P33" s="169"/>
      <c r="Q33" s="94" t="s">
        <v>818</v>
      </c>
      <c r="R33" s="113" t="s">
        <v>818</v>
      </c>
      <c r="S33" s="94" t="s">
        <v>817</v>
      </c>
      <c r="T33" s="94" t="s">
        <v>818</v>
      </c>
      <c r="U33" s="94" t="s">
        <v>817</v>
      </c>
      <c r="V33" s="94" t="s">
        <v>817</v>
      </c>
      <c r="W33" s="169"/>
      <c r="X33" s="94" t="s">
        <v>818</v>
      </c>
      <c r="Y33" s="113" t="s">
        <v>818</v>
      </c>
      <c r="Z33" s="94" t="s">
        <v>818</v>
      </c>
      <c r="AA33" s="94" t="s">
        <v>818</v>
      </c>
      <c r="AB33" s="94" t="s">
        <v>818</v>
      </c>
      <c r="AC33" s="94" t="s">
        <v>817</v>
      </c>
      <c r="AD33" s="169"/>
      <c r="AE33" s="94" t="s">
        <v>817</v>
      </c>
      <c r="AF33" s="113" t="s">
        <v>817</v>
      </c>
      <c r="AG33" s="94"/>
      <c r="AH33" s="94"/>
      <c r="AI33" s="94"/>
      <c r="AJ33" s="94"/>
      <c r="AK33" s="5">
        <f t="shared" si="0"/>
        <v>10</v>
      </c>
      <c r="AL33" s="5">
        <f t="shared" si="1"/>
        <v>12</v>
      </c>
    </row>
    <row r="34" spans="1:38" ht="15.5" x14ac:dyDescent="0.3">
      <c r="A34" s="20">
        <v>4</v>
      </c>
      <c r="B34" s="11">
        <v>569</v>
      </c>
      <c r="C34" s="17" t="s">
        <v>365</v>
      </c>
      <c r="D34" s="18" t="s">
        <v>366</v>
      </c>
      <c r="E34" s="19" t="s">
        <v>430</v>
      </c>
      <c r="F34" s="156"/>
      <c r="G34" s="94" t="s">
        <v>818</v>
      </c>
      <c r="H34" s="94" t="s">
        <v>818</v>
      </c>
      <c r="I34" s="169"/>
      <c r="J34" s="94" t="s">
        <v>818</v>
      </c>
      <c r="K34" s="113" t="s">
        <v>818</v>
      </c>
      <c r="L34" s="94" t="s">
        <v>818</v>
      </c>
      <c r="M34" s="94" t="s">
        <v>817</v>
      </c>
      <c r="N34" s="94" t="s">
        <v>818</v>
      </c>
      <c r="O34" s="94" t="s">
        <v>818</v>
      </c>
      <c r="P34" s="169"/>
      <c r="Q34" s="94" t="s">
        <v>818</v>
      </c>
      <c r="R34" s="113" t="s">
        <v>818</v>
      </c>
      <c r="S34" s="94" t="s">
        <v>818</v>
      </c>
      <c r="T34" s="94" t="s">
        <v>818</v>
      </c>
      <c r="U34" s="94" t="s">
        <v>818</v>
      </c>
      <c r="V34" s="94" t="s">
        <v>818</v>
      </c>
      <c r="W34" s="169"/>
      <c r="X34" s="94" t="s">
        <v>818</v>
      </c>
      <c r="Y34" s="113" t="s">
        <v>818</v>
      </c>
      <c r="Z34" s="94" t="s">
        <v>818</v>
      </c>
      <c r="AA34" s="94" t="s">
        <v>818</v>
      </c>
      <c r="AB34" s="94" t="s">
        <v>818</v>
      </c>
      <c r="AC34" s="94" t="s">
        <v>818</v>
      </c>
      <c r="AD34" s="169"/>
      <c r="AE34" s="94" t="s">
        <v>818</v>
      </c>
      <c r="AF34" s="113" t="s">
        <v>818</v>
      </c>
      <c r="AG34" s="94"/>
      <c r="AH34" s="94"/>
      <c r="AI34" s="94"/>
      <c r="AJ34" s="94"/>
      <c r="AK34" s="5">
        <f t="shared" si="0"/>
        <v>21</v>
      </c>
      <c r="AL34" s="5">
        <f t="shared" si="1"/>
        <v>1</v>
      </c>
    </row>
    <row r="35" spans="1:38" ht="15.5" x14ac:dyDescent="0.3">
      <c r="A35" s="20">
        <v>5</v>
      </c>
      <c r="B35" s="11">
        <v>582</v>
      </c>
      <c r="C35" s="17" t="s">
        <v>91</v>
      </c>
      <c r="D35" s="18" t="s">
        <v>367</v>
      </c>
      <c r="E35" s="19" t="s">
        <v>430</v>
      </c>
      <c r="F35" s="156"/>
      <c r="G35" s="94" t="s">
        <v>817</v>
      </c>
      <c r="H35" s="94" t="s">
        <v>817</v>
      </c>
      <c r="I35" s="169"/>
      <c r="J35" s="94" t="s">
        <v>817</v>
      </c>
      <c r="K35" s="113" t="s">
        <v>817</v>
      </c>
      <c r="L35" s="94" t="s">
        <v>817</v>
      </c>
      <c r="M35" s="94" t="s">
        <v>817</v>
      </c>
      <c r="N35" s="94" t="s">
        <v>817</v>
      </c>
      <c r="O35" s="94" t="s">
        <v>817</v>
      </c>
      <c r="P35" s="169"/>
      <c r="Q35" s="94" t="s">
        <v>817</v>
      </c>
      <c r="R35" s="113" t="s">
        <v>817</v>
      </c>
      <c r="S35" s="94" t="s">
        <v>817</v>
      </c>
      <c r="T35" s="94" t="s">
        <v>817</v>
      </c>
      <c r="U35" s="94" t="s">
        <v>817</v>
      </c>
      <c r="V35" s="94" t="s">
        <v>817</v>
      </c>
      <c r="W35" s="169"/>
      <c r="X35" s="94" t="s">
        <v>817</v>
      </c>
      <c r="Y35" s="113" t="s">
        <v>817</v>
      </c>
      <c r="Z35" s="94" t="s">
        <v>817</v>
      </c>
      <c r="AA35" s="94" t="s">
        <v>817</v>
      </c>
      <c r="AB35" s="94" t="s">
        <v>817</v>
      </c>
      <c r="AC35" s="94" t="s">
        <v>817</v>
      </c>
      <c r="AD35" s="169"/>
      <c r="AE35" s="94" t="s">
        <v>817</v>
      </c>
      <c r="AF35" s="113" t="s">
        <v>817</v>
      </c>
      <c r="AG35" s="94"/>
      <c r="AH35" s="94"/>
      <c r="AI35" s="94"/>
      <c r="AJ35" s="94"/>
      <c r="AK35" s="5">
        <f t="shared" si="0"/>
        <v>0</v>
      </c>
      <c r="AL35" s="5">
        <f t="shared" si="1"/>
        <v>22</v>
      </c>
    </row>
    <row r="36" spans="1:38" ht="15.5" x14ac:dyDescent="0.3">
      <c r="A36" s="20">
        <v>6</v>
      </c>
      <c r="B36" s="11">
        <v>574</v>
      </c>
      <c r="C36" s="17" t="s">
        <v>368</v>
      </c>
      <c r="D36" s="18" t="s">
        <v>369</v>
      </c>
      <c r="E36" s="19" t="s">
        <v>430</v>
      </c>
      <c r="F36" s="156"/>
      <c r="G36" s="94" t="s">
        <v>817</v>
      </c>
      <c r="H36" s="94" t="s">
        <v>818</v>
      </c>
      <c r="I36" s="169"/>
      <c r="J36" s="94" t="s">
        <v>818</v>
      </c>
      <c r="K36" s="113" t="s">
        <v>818</v>
      </c>
      <c r="L36" s="94" t="s">
        <v>818</v>
      </c>
      <c r="M36" s="94" t="s">
        <v>818</v>
      </c>
      <c r="N36" s="94" t="s">
        <v>818</v>
      </c>
      <c r="O36" s="94" t="s">
        <v>817</v>
      </c>
      <c r="P36" s="169"/>
      <c r="Q36" s="94" t="s">
        <v>818</v>
      </c>
      <c r="R36" s="113" t="s">
        <v>818</v>
      </c>
      <c r="S36" s="94" t="s">
        <v>818</v>
      </c>
      <c r="T36" s="94" t="s">
        <v>818</v>
      </c>
      <c r="U36" s="94" t="s">
        <v>818</v>
      </c>
      <c r="V36" s="94" t="s">
        <v>818</v>
      </c>
      <c r="W36" s="169"/>
      <c r="X36" s="94" t="s">
        <v>817</v>
      </c>
      <c r="Y36" s="113" t="s">
        <v>818</v>
      </c>
      <c r="Z36" s="94" t="s">
        <v>817</v>
      </c>
      <c r="AA36" s="94" t="s">
        <v>817</v>
      </c>
      <c r="AB36" s="94" t="s">
        <v>817</v>
      </c>
      <c r="AC36" s="94" t="s">
        <v>818</v>
      </c>
      <c r="AD36" s="169"/>
      <c r="AE36" s="94" t="s">
        <v>818</v>
      </c>
      <c r="AF36" s="113" t="s">
        <v>817</v>
      </c>
      <c r="AG36" s="94"/>
      <c r="AH36" s="94"/>
      <c r="AI36" s="94"/>
      <c r="AJ36" s="94"/>
      <c r="AK36" s="5">
        <f t="shared" si="0"/>
        <v>15</v>
      </c>
      <c r="AL36" s="5">
        <f t="shared" si="1"/>
        <v>7</v>
      </c>
    </row>
    <row r="37" spans="1:38" ht="15.5" x14ac:dyDescent="0.3">
      <c r="A37" s="20">
        <v>7</v>
      </c>
      <c r="B37" s="11">
        <v>526</v>
      </c>
      <c r="C37" s="17" t="s">
        <v>372</v>
      </c>
      <c r="D37" s="18" t="s">
        <v>270</v>
      </c>
      <c r="E37" s="19" t="s">
        <v>430</v>
      </c>
      <c r="F37" s="156"/>
      <c r="G37" s="94" t="s">
        <v>818</v>
      </c>
      <c r="H37" s="94" t="s">
        <v>818</v>
      </c>
      <c r="I37" s="169"/>
      <c r="J37" s="94" t="s">
        <v>818</v>
      </c>
      <c r="K37" s="113" t="s">
        <v>818</v>
      </c>
      <c r="L37" s="94" t="s">
        <v>818</v>
      </c>
      <c r="M37" s="94" t="s">
        <v>818</v>
      </c>
      <c r="N37" s="94" t="s">
        <v>818</v>
      </c>
      <c r="O37" s="94" t="s">
        <v>818</v>
      </c>
      <c r="P37" s="169"/>
      <c r="Q37" s="94" t="s">
        <v>818</v>
      </c>
      <c r="R37" s="113" t="s">
        <v>818</v>
      </c>
      <c r="S37" s="94" t="s">
        <v>818</v>
      </c>
      <c r="T37" s="94" t="s">
        <v>818</v>
      </c>
      <c r="U37" s="94" t="s">
        <v>818</v>
      </c>
      <c r="V37" s="94" t="s">
        <v>818</v>
      </c>
      <c r="W37" s="169"/>
      <c r="X37" s="94" t="s">
        <v>818</v>
      </c>
      <c r="Y37" s="113" t="s">
        <v>818</v>
      </c>
      <c r="Z37" s="94" t="s">
        <v>818</v>
      </c>
      <c r="AA37" s="94" t="s">
        <v>818</v>
      </c>
      <c r="AB37" s="94" t="s">
        <v>818</v>
      </c>
      <c r="AC37" s="94" t="s">
        <v>818</v>
      </c>
      <c r="AD37" s="169"/>
      <c r="AE37" s="94" t="s">
        <v>818</v>
      </c>
      <c r="AF37" s="113" t="s">
        <v>818</v>
      </c>
      <c r="AG37" s="94"/>
      <c r="AH37" s="94"/>
      <c r="AI37" s="94"/>
      <c r="AJ37" s="94"/>
      <c r="AK37" s="5">
        <f t="shared" ref="AK37:AK56" si="2">COUNTIF(F37:AI37,"P")</f>
        <v>22</v>
      </c>
      <c r="AL37" s="5">
        <f t="shared" ref="AL37:AL56" si="3">COUNTIF(F37:AI37,"A")</f>
        <v>0</v>
      </c>
    </row>
    <row r="38" spans="1:38" ht="15.5" x14ac:dyDescent="0.3">
      <c r="A38" s="20">
        <v>8</v>
      </c>
      <c r="B38" s="11">
        <v>914</v>
      </c>
      <c r="C38" s="17" t="s">
        <v>138</v>
      </c>
      <c r="D38" s="18" t="s">
        <v>183</v>
      </c>
      <c r="E38" s="19" t="s">
        <v>430</v>
      </c>
      <c r="F38" s="156"/>
      <c r="G38" s="94" t="s">
        <v>817</v>
      </c>
      <c r="H38" s="94" t="s">
        <v>817</v>
      </c>
      <c r="I38" s="169"/>
      <c r="J38" s="94" t="s">
        <v>817</v>
      </c>
      <c r="K38" s="113" t="s">
        <v>817</v>
      </c>
      <c r="L38" s="94" t="s">
        <v>817</v>
      </c>
      <c r="M38" s="94" t="s">
        <v>817</v>
      </c>
      <c r="N38" s="94" t="s">
        <v>817</v>
      </c>
      <c r="O38" s="94" t="s">
        <v>817</v>
      </c>
      <c r="P38" s="169"/>
      <c r="Q38" s="94" t="s">
        <v>817</v>
      </c>
      <c r="R38" s="113" t="s">
        <v>817</v>
      </c>
      <c r="S38" s="94" t="s">
        <v>817</v>
      </c>
      <c r="T38" s="94" t="s">
        <v>817</v>
      </c>
      <c r="U38" s="94" t="s">
        <v>817</v>
      </c>
      <c r="V38" s="94" t="s">
        <v>817</v>
      </c>
      <c r="W38" s="169"/>
      <c r="X38" s="94" t="s">
        <v>817</v>
      </c>
      <c r="Y38" s="113" t="s">
        <v>817</v>
      </c>
      <c r="Z38" s="94" t="s">
        <v>817</v>
      </c>
      <c r="AA38" s="94" t="s">
        <v>817</v>
      </c>
      <c r="AB38" s="94" t="s">
        <v>817</v>
      </c>
      <c r="AC38" s="94" t="s">
        <v>817</v>
      </c>
      <c r="AD38" s="169"/>
      <c r="AE38" s="94" t="s">
        <v>817</v>
      </c>
      <c r="AF38" s="113" t="s">
        <v>818</v>
      </c>
      <c r="AG38" s="94"/>
      <c r="AH38" s="94"/>
      <c r="AI38" s="94"/>
      <c r="AJ38" s="94"/>
      <c r="AK38" s="5">
        <f t="shared" si="2"/>
        <v>1</v>
      </c>
      <c r="AL38" s="5">
        <f t="shared" si="3"/>
        <v>21</v>
      </c>
    </row>
    <row r="39" spans="1:38" ht="15.5" x14ac:dyDescent="0.3">
      <c r="A39" s="20">
        <v>9</v>
      </c>
      <c r="B39" s="11">
        <v>537</v>
      </c>
      <c r="C39" s="17" t="s">
        <v>373</v>
      </c>
      <c r="D39" s="18" t="s">
        <v>374</v>
      </c>
      <c r="E39" s="19" t="s">
        <v>430</v>
      </c>
      <c r="F39" s="156"/>
      <c r="G39" s="94" t="s">
        <v>818</v>
      </c>
      <c r="H39" s="94" t="s">
        <v>818</v>
      </c>
      <c r="I39" s="169"/>
      <c r="J39" s="94" t="s">
        <v>818</v>
      </c>
      <c r="K39" s="113" t="s">
        <v>818</v>
      </c>
      <c r="L39" s="94" t="s">
        <v>818</v>
      </c>
      <c r="M39" s="94" t="s">
        <v>818</v>
      </c>
      <c r="N39" s="94" t="s">
        <v>818</v>
      </c>
      <c r="O39" s="94" t="s">
        <v>818</v>
      </c>
      <c r="P39" s="169"/>
      <c r="Q39" s="94" t="s">
        <v>818</v>
      </c>
      <c r="R39" s="113" t="s">
        <v>818</v>
      </c>
      <c r="S39" s="94" t="s">
        <v>818</v>
      </c>
      <c r="T39" s="94" t="s">
        <v>818</v>
      </c>
      <c r="U39" s="94" t="s">
        <v>818</v>
      </c>
      <c r="V39" s="94" t="s">
        <v>818</v>
      </c>
      <c r="W39" s="169"/>
      <c r="X39" s="94" t="s">
        <v>817</v>
      </c>
      <c r="Y39" s="113" t="s">
        <v>818</v>
      </c>
      <c r="Z39" s="94" t="s">
        <v>818</v>
      </c>
      <c r="AA39" s="94" t="s">
        <v>818</v>
      </c>
      <c r="AB39" s="94" t="s">
        <v>818</v>
      </c>
      <c r="AC39" s="94" t="s">
        <v>817</v>
      </c>
      <c r="AD39" s="169"/>
      <c r="AE39" s="94" t="s">
        <v>818</v>
      </c>
      <c r="AF39" s="113" t="s">
        <v>818</v>
      </c>
      <c r="AG39" s="94"/>
      <c r="AH39" s="94"/>
      <c r="AI39" s="94"/>
      <c r="AJ39" s="94"/>
      <c r="AK39" s="5">
        <f t="shared" si="2"/>
        <v>20</v>
      </c>
      <c r="AL39" s="5">
        <f t="shared" si="3"/>
        <v>2</v>
      </c>
    </row>
    <row r="40" spans="1:38" ht="15.5" x14ac:dyDescent="0.3">
      <c r="A40" s="20">
        <v>10</v>
      </c>
      <c r="B40" s="11">
        <v>584</v>
      </c>
      <c r="C40" s="17" t="s">
        <v>313</v>
      </c>
      <c r="D40" s="18" t="s">
        <v>315</v>
      </c>
      <c r="E40" s="19" t="s">
        <v>430</v>
      </c>
      <c r="F40" s="156"/>
      <c r="G40" s="94" t="s">
        <v>818</v>
      </c>
      <c r="H40" s="94" t="s">
        <v>817</v>
      </c>
      <c r="I40" s="169"/>
      <c r="J40" s="94" t="s">
        <v>817</v>
      </c>
      <c r="K40" s="113" t="s">
        <v>817</v>
      </c>
      <c r="L40" s="94" t="s">
        <v>817</v>
      </c>
      <c r="M40" s="94" t="s">
        <v>818</v>
      </c>
      <c r="N40" s="94" t="s">
        <v>818</v>
      </c>
      <c r="O40" s="94" t="s">
        <v>818</v>
      </c>
      <c r="P40" s="169"/>
      <c r="Q40" s="94" t="s">
        <v>818</v>
      </c>
      <c r="R40" s="113" t="s">
        <v>818</v>
      </c>
      <c r="S40" s="94" t="s">
        <v>818</v>
      </c>
      <c r="T40" s="94" t="s">
        <v>818</v>
      </c>
      <c r="U40" s="94" t="s">
        <v>818</v>
      </c>
      <c r="V40" s="94" t="s">
        <v>818</v>
      </c>
      <c r="W40" s="169"/>
      <c r="X40" s="94" t="s">
        <v>818</v>
      </c>
      <c r="Y40" s="113" t="s">
        <v>818</v>
      </c>
      <c r="Z40" s="94" t="s">
        <v>818</v>
      </c>
      <c r="AA40" s="94" t="s">
        <v>818</v>
      </c>
      <c r="AB40" s="94" t="s">
        <v>818</v>
      </c>
      <c r="AC40" s="94" t="s">
        <v>818</v>
      </c>
      <c r="AD40" s="169"/>
      <c r="AE40" s="94" t="s">
        <v>818</v>
      </c>
      <c r="AF40" s="113" t="s">
        <v>818</v>
      </c>
      <c r="AG40" s="94"/>
      <c r="AH40" s="94"/>
      <c r="AI40" s="94"/>
      <c r="AJ40" s="94"/>
      <c r="AK40" s="5">
        <f t="shared" si="2"/>
        <v>18</v>
      </c>
      <c r="AL40" s="5">
        <f t="shared" si="3"/>
        <v>4</v>
      </c>
    </row>
    <row r="41" spans="1:38" ht="15.5" x14ac:dyDescent="0.3">
      <c r="A41" s="20">
        <v>11</v>
      </c>
      <c r="B41" s="11">
        <v>520</v>
      </c>
      <c r="C41" s="17" t="s">
        <v>313</v>
      </c>
      <c r="D41" s="18" t="s">
        <v>375</v>
      </c>
      <c r="E41" s="19" t="s">
        <v>430</v>
      </c>
      <c r="F41" s="156"/>
      <c r="G41" s="94" t="s">
        <v>818</v>
      </c>
      <c r="H41" s="94" t="s">
        <v>817</v>
      </c>
      <c r="I41" s="169"/>
      <c r="J41" s="94" t="s">
        <v>818</v>
      </c>
      <c r="K41" s="113" t="s">
        <v>818</v>
      </c>
      <c r="L41" s="94" t="s">
        <v>818</v>
      </c>
      <c r="M41" s="94" t="s">
        <v>818</v>
      </c>
      <c r="N41" s="94" t="s">
        <v>818</v>
      </c>
      <c r="O41" s="94" t="s">
        <v>817</v>
      </c>
      <c r="P41" s="169"/>
      <c r="Q41" s="94" t="s">
        <v>818</v>
      </c>
      <c r="R41" s="113" t="s">
        <v>818</v>
      </c>
      <c r="S41" s="94" t="s">
        <v>818</v>
      </c>
      <c r="T41" s="94" t="s">
        <v>818</v>
      </c>
      <c r="U41" s="94" t="s">
        <v>818</v>
      </c>
      <c r="V41" s="94" t="s">
        <v>817</v>
      </c>
      <c r="W41" s="169"/>
      <c r="X41" s="94" t="s">
        <v>818</v>
      </c>
      <c r="Y41" s="113" t="s">
        <v>818</v>
      </c>
      <c r="Z41" s="94" t="s">
        <v>817</v>
      </c>
      <c r="AA41" s="94" t="s">
        <v>817</v>
      </c>
      <c r="AB41" s="94" t="s">
        <v>818</v>
      </c>
      <c r="AC41" s="94" t="s">
        <v>818</v>
      </c>
      <c r="AD41" s="169"/>
      <c r="AE41" s="94" t="s">
        <v>818</v>
      </c>
      <c r="AF41" s="113" t="s">
        <v>818</v>
      </c>
      <c r="AG41" s="94"/>
      <c r="AH41" s="94"/>
      <c r="AI41" s="94"/>
      <c r="AJ41" s="94"/>
      <c r="AK41" s="5">
        <f t="shared" si="2"/>
        <v>17</v>
      </c>
      <c r="AL41" s="5">
        <f t="shared" si="3"/>
        <v>5</v>
      </c>
    </row>
    <row r="42" spans="1:38" ht="15.5" x14ac:dyDescent="0.3">
      <c r="A42" s="20">
        <v>12</v>
      </c>
      <c r="B42" s="11">
        <v>915</v>
      </c>
      <c r="C42" s="17" t="s">
        <v>395</v>
      </c>
      <c r="D42" s="18" t="s">
        <v>396</v>
      </c>
      <c r="E42" s="19" t="s">
        <v>430</v>
      </c>
      <c r="F42" s="156"/>
      <c r="G42" s="94" t="s">
        <v>817</v>
      </c>
      <c r="H42" s="94" t="s">
        <v>818</v>
      </c>
      <c r="I42" s="169"/>
      <c r="J42" s="94" t="s">
        <v>818</v>
      </c>
      <c r="K42" s="113" t="s">
        <v>818</v>
      </c>
      <c r="L42" s="94" t="s">
        <v>818</v>
      </c>
      <c r="M42" s="94" t="s">
        <v>818</v>
      </c>
      <c r="N42" s="94" t="s">
        <v>818</v>
      </c>
      <c r="O42" s="94" t="s">
        <v>817</v>
      </c>
      <c r="P42" s="169"/>
      <c r="Q42" s="94" t="s">
        <v>818</v>
      </c>
      <c r="R42" s="113" t="s">
        <v>818</v>
      </c>
      <c r="S42" s="94" t="s">
        <v>817</v>
      </c>
      <c r="T42" s="94" t="s">
        <v>817</v>
      </c>
      <c r="U42" s="94" t="s">
        <v>817</v>
      </c>
      <c r="V42" s="94" t="s">
        <v>817</v>
      </c>
      <c r="W42" s="169"/>
      <c r="X42" s="94" t="s">
        <v>818</v>
      </c>
      <c r="Y42" s="113" t="s">
        <v>818</v>
      </c>
      <c r="Z42" s="94" t="s">
        <v>818</v>
      </c>
      <c r="AA42" s="94" t="s">
        <v>818</v>
      </c>
      <c r="AB42" s="94" t="s">
        <v>818</v>
      </c>
      <c r="AC42" s="94" t="s">
        <v>817</v>
      </c>
      <c r="AD42" s="169"/>
      <c r="AE42" s="94" t="s">
        <v>818</v>
      </c>
      <c r="AF42" s="113" t="s">
        <v>818</v>
      </c>
      <c r="AG42" s="94"/>
      <c r="AH42" s="94"/>
      <c r="AI42" s="94"/>
      <c r="AJ42" s="94"/>
      <c r="AK42" s="5">
        <f t="shared" si="2"/>
        <v>15</v>
      </c>
      <c r="AL42" s="5">
        <f t="shared" si="3"/>
        <v>7</v>
      </c>
    </row>
    <row r="43" spans="1:38" ht="15.5" x14ac:dyDescent="0.3">
      <c r="A43" s="20">
        <v>13</v>
      </c>
      <c r="B43" s="11">
        <v>687</v>
      </c>
      <c r="C43" s="17" t="s">
        <v>376</v>
      </c>
      <c r="D43" s="18" t="s">
        <v>377</v>
      </c>
      <c r="E43" s="19" t="s">
        <v>430</v>
      </c>
      <c r="F43" s="156"/>
      <c r="G43" s="94" t="s">
        <v>817</v>
      </c>
      <c r="H43" s="94" t="s">
        <v>817</v>
      </c>
      <c r="I43" s="169"/>
      <c r="J43" s="94" t="s">
        <v>818</v>
      </c>
      <c r="K43" s="113" t="s">
        <v>818</v>
      </c>
      <c r="L43" s="94" t="s">
        <v>818</v>
      </c>
      <c r="M43" s="94" t="s">
        <v>818</v>
      </c>
      <c r="N43" s="94" t="s">
        <v>818</v>
      </c>
      <c r="O43" s="94" t="s">
        <v>818</v>
      </c>
      <c r="P43" s="169"/>
      <c r="Q43" s="94" t="s">
        <v>818</v>
      </c>
      <c r="R43" s="113" t="s">
        <v>818</v>
      </c>
      <c r="S43" s="94" t="s">
        <v>818</v>
      </c>
      <c r="T43" s="94" t="s">
        <v>817</v>
      </c>
      <c r="U43" s="94" t="s">
        <v>818</v>
      </c>
      <c r="V43" s="94" t="s">
        <v>817</v>
      </c>
      <c r="W43" s="169"/>
      <c r="X43" s="94" t="s">
        <v>818</v>
      </c>
      <c r="Y43" s="113" t="s">
        <v>818</v>
      </c>
      <c r="Z43" s="94" t="s">
        <v>818</v>
      </c>
      <c r="AA43" s="94" t="s">
        <v>818</v>
      </c>
      <c r="AB43" s="94" t="s">
        <v>818</v>
      </c>
      <c r="AC43" s="94" t="s">
        <v>817</v>
      </c>
      <c r="AD43" s="169"/>
      <c r="AE43" s="94" t="s">
        <v>818</v>
      </c>
      <c r="AF43" s="113" t="s">
        <v>818</v>
      </c>
      <c r="AG43" s="94"/>
      <c r="AH43" s="94"/>
      <c r="AI43" s="94"/>
      <c r="AJ43" s="94"/>
      <c r="AK43" s="5">
        <f t="shared" si="2"/>
        <v>17</v>
      </c>
      <c r="AL43" s="5">
        <f t="shared" si="3"/>
        <v>5</v>
      </c>
    </row>
    <row r="44" spans="1:38" ht="15.5" x14ac:dyDescent="0.3">
      <c r="A44" s="20">
        <v>14</v>
      </c>
      <c r="B44" s="11">
        <v>649</v>
      </c>
      <c r="C44" s="17" t="s">
        <v>391</v>
      </c>
      <c r="D44" s="18" t="s">
        <v>392</v>
      </c>
      <c r="E44" s="19" t="s">
        <v>430</v>
      </c>
      <c r="F44" s="156"/>
      <c r="G44" s="94" t="s">
        <v>818</v>
      </c>
      <c r="H44" s="94" t="s">
        <v>818</v>
      </c>
      <c r="I44" s="169"/>
      <c r="J44" s="94" t="s">
        <v>818</v>
      </c>
      <c r="K44" s="113" t="s">
        <v>818</v>
      </c>
      <c r="L44" s="94" t="s">
        <v>818</v>
      </c>
      <c r="M44" s="94" t="s">
        <v>818</v>
      </c>
      <c r="N44" s="94" t="s">
        <v>818</v>
      </c>
      <c r="O44" s="94" t="s">
        <v>818</v>
      </c>
      <c r="P44" s="169"/>
      <c r="Q44" s="94" t="s">
        <v>818</v>
      </c>
      <c r="R44" s="113" t="s">
        <v>818</v>
      </c>
      <c r="S44" s="94" t="s">
        <v>818</v>
      </c>
      <c r="T44" s="94" t="s">
        <v>818</v>
      </c>
      <c r="U44" s="94" t="s">
        <v>818</v>
      </c>
      <c r="V44" s="94" t="s">
        <v>818</v>
      </c>
      <c r="W44" s="169"/>
      <c r="X44" s="94" t="s">
        <v>818</v>
      </c>
      <c r="Y44" s="113" t="s">
        <v>818</v>
      </c>
      <c r="Z44" s="94" t="s">
        <v>818</v>
      </c>
      <c r="AA44" s="94" t="s">
        <v>818</v>
      </c>
      <c r="AB44" s="94" t="s">
        <v>818</v>
      </c>
      <c r="AC44" s="94" t="s">
        <v>818</v>
      </c>
      <c r="AD44" s="169"/>
      <c r="AE44" s="94" t="s">
        <v>818</v>
      </c>
      <c r="AF44" s="113" t="s">
        <v>818</v>
      </c>
      <c r="AG44" s="94"/>
      <c r="AH44" s="94"/>
      <c r="AI44" s="94"/>
      <c r="AJ44" s="94"/>
      <c r="AK44" s="5">
        <f t="shared" si="2"/>
        <v>22</v>
      </c>
      <c r="AL44" s="5">
        <f t="shared" si="3"/>
        <v>0</v>
      </c>
    </row>
    <row r="45" spans="1:38" ht="15.5" x14ac:dyDescent="0.3">
      <c r="A45" s="20">
        <v>15</v>
      </c>
      <c r="B45" s="11">
        <v>686</v>
      </c>
      <c r="C45" s="17" t="s">
        <v>381</v>
      </c>
      <c r="D45" s="18" t="s">
        <v>139</v>
      </c>
      <c r="E45" s="19" t="s">
        <v>430</v>
      </c>
      <c r="F45" s="156"/>
      <c r="G45" s="94" t="s">
        <v>817</v>
      </c>
      <c r="H45" s="94" t="s">
        <v>818</v>
      </c>
      <c r="I45" s="169"/>
      <c r="J45" s="94" t="s">
        <v>817</v>
      </c>
      <c r="K45" s="113" t="s">
        <v>817</v>
      </c>
      <c r="L45" s="94" t="s">
        <v>817</v>
      </c>
      <c r="M45" s="94" t="s">
        <v>817</v>
      </c>
      <c r="N45" s="94" t="s">
        <v>817</v>
      </c>
      <c r="O45" s="94" t="s">
        <v>817</v>
      </c>
      <c r="P45" s="169"/>
      <c r="Q45" s="94" t="s">
        <v>818</v>
      </c>
      <c r="R45" s="113" t="s">
        <v>818</v>
      </c>
      <c r="S45" s="94" t="s">
        <v>818</v>
      </c>
      <c r="T45" s="94" t="s">
        <v>818</v>
      </c>
      <c r="U45" s="94" t="s">
        <v>818</v>
      </c>
      <c r="V45" s="94" t="s">
        <v>818</v>
      </c>
      <c r="W45" s="169"/>
      <c r="X45" s="94" t="s">
        <v>818</v>
      </c>
      <c r="Y45" s="113" t="s">
        <v>818</v>
      </c>
      <c r="Z45" s="94" t="s">
        <v>818</v>
      </c>
      <c r="AA45" s="94" t="s">
        <v>818</v>
      </c>
      <c r="AB45" s="94" t="s">
        <v>818</v>
      </c>
      <c r="AC45" s="94" t="s">
        <v>818</v>
      </c>
      <c r="AD45" s="169"/>
      <c r="AE45" s="94" t="s">
        <v>817</v>
      </c>
      <c r="AF45" s="113" t="s">
        <v>818</v>
      </c>
      <c r="AG45" s="94"/>
      <c r="AH45" s="94"/>
      <c r="AI45" s="94"/>
      <c r="AJ45" s="94"/>
      <c r="AK45" s="5">
        <f t="shared" si="2"/>
        <v>14</v>
      </c>
      <c r="AL45" s="5">
        <f t="shared" si="3"/>
        <v>8</v>
      </c>
    </row>
    <row r="46" spans="1:38" ht="15.5" x14ac:dyDescent="0.3">
      <c r="A46" s="20">
        <v>16</v>
      </c>
      <c r="B46" s="11">
        <v>581</v>
      </c>
      <c r="C46" s="17" t="s">
        <v>378</v>
      </c>
      <c r="D46" s="18" t="s">
        <v>161</v>
      </c>
      <c r="E46" s="19" t="s">
        <v>430</v>
      </c>
      <c r="F46" s="156"/>
      <c r="G46" s="94" t="s">
        <v>818</v>
      </c>
      <c r="H46" s="94" t="s">
        <v>817</v>
      </c>
      <c r="I46" s="169"/>
      <c r="J46" s="94" t="s">
        <v>818</v>
      </c>
      <c r="K46" s="113" t="s">
        <v>818</v>
      </c>
      <c r="L46" s="94" t="s">
        <v>818</v>
      </c>
      <c r="M46" s="94" t="s">
        <v>818</v>
      </c>
      <c r="N46" s="94" t="s">
        <v>818</v>
      </c>
      <c r="O46" s="94" t="s">
        <v>817</v>
      </c>
      <c r="P46" s="169"/>
      <c r="Q46" s="94" t="s">
        <v>818</v>
      </c>
      <c r="R46" s="113" t="s">
        <v>818</v>
      </c>
      <c r="S46" s="94" t="s">
        <v>817</v>
      </c>
      <c r="T46" s="94" t="s">
        <v>818</v>
      </c>
      <c r="U46" s="94" t="s">
        <v>818</v>
      </c>
      <c r="V46" s="94" t="s">
        <v>818</v>
      </c>
      <c r="W46" s="169"/>
      <c r="X46" s="94" t="s">
        <v>818</v>
      </c>
      <c r="Y46" s="113" t="s">
        <v>818</v>
      </c>
      <c r="Z46" s="94" t="s">
        <v>818</v>
      </c>
      <c r="AA46" s="94" t="s">
        <v>818</v>
      </c>
      <c r="AB46" s="94" t="s">
        <v>818</v>
      </c>
      <c r="AC46" s="94" t="s">
        <v>818</v>
      </c>
      <c r="AD46" s="169"/>
      <c r="AE46" s="94" t="s">
        <v>817</v>
      </c>
      <c r="AF46" s="113" t="s">
        <v>817</v>
      </c>
      <c r="AG46" s="94"/>
      <c r="AH46" s="94"/>
      <c r="AI46" s="94"/>
      <c r="AJ46" s="94"/>
      <c r="AK46" s="5">
        <f t="shared" si="2"/>
        <v>17</v>
      </c>
      <c r="AL46" s="5">
        <f t="shared" si="3"/>
        <v>5</v>
      </c>
    </row>
    <row r="47" spans="1:38" ht="15.5" x14ac:dyDescent="0.3">
      <c r="A47" s="20">
        <v>17</v>
      </c>
      <c r="B47" s="11">
        <v>588</v>
      </c>
      <c r="C47" s="17" t="s">
        <v>379</v>
      </c>
      <c r="D47" s="18" t="s">
        <v>380</v>
      </c>
      <c r="E47" s="19" t="s">
        <v>430</v>
      </c>
      <c r="F47" s="156"/>
      <c r="G47" s="94" t="s">
        <v>817</v>
      </c>
      <c r="H47" s="94" t="s">
        <v>817</v>
      </c>
      <c r="I47" s="169"/>
      <c r="J47" s="94" t="s">
        <v>817</v>
      </c>
      <c r="K47" s="113" t="s">
        <v>817</v>
      </c>
      <c r="L47" s="94" t="s">
        <v>817</v>
      </c>
      <c r="M47" s="94" t="s">
        <v>817</v>
      </c>
      <c r="N47" s="94" t="s">
        <v>817</v>
      </c>
      <c r="O47" s="94" t="s">
        <v>817</v>
      </c>
      <c r="P47" s="169"/>
      <c r="Q47" s="94" t="s">
        <v>817</v>
      </c>
      <c r="R47" s="113" t="s">
        <v>817</v>
      </c>
      <c r="S47" s="94" t="s">
        <v>817</v>
      </c>
      <c r="T47" s="94" t="s">
        <v>817</v>
      </c>
      <c r="U47" s="94" t="s">
        <v>817</v>
      </c>
      <c r="V47" s="94" t="s">
        <v>817</v>
      </c>
      <c r="W47" s="169"/>
      <c r="X47" s="94" t="s">
        <v>817</v>
      </c>
      <c r="Y47" s="113" t="s">
        <v>817</v>
      </c>
      <c r="Z47" s="94" t="s">
        <v>817</v>
      </c>
      <c r="AA47" s="94" t="s">
        <v>817</v>
      </c>
      <c r="AB47" s="94" t="s">
        <v>817</v>
      </c>
      <c r="AC47" s="94" t="s">
        <v>817</v>
      </c>
      <c r="AD47" s="169"/>
      <c r="AE47" s="94" t="s">
        <v>817</v>
      </c>
      <c r="AF47" s="113" t="s">
        <v>817</v>
      </c>
      <c r="AG47" s="94"/>
      <c r="AH47" s="94"/>
      <c r="AI47" s="94"/>
      <c r="AJ47" s="94"/>
      <c r="AK47" s="5">
        <f t="shared" si="2"/>
        <v>0</v>
      </c>
      <c r="AL47" s="5">
        <f t="shared" si="3"/>
        <v>22</v>
      </c>
    </row>
    <row r="48" spans="1:38" ht="15.5" x14ac:dyDescent="0.3">
      <c r="A48" s="20">
        <v>18</v>
      </c>
      <c r="B48" s="11">
        <v>525</v>
      </c>
      <c r="C48" s="17" t="s">
        <v>382</v>
      </c>
      <c r="D48" s="18" t="s">
        <v>383</v>
      </c>
      <c r="E48" s="19" t="s">
        <v>430</v>
      </c>
      <c r="F48" s="156"/>
      <c r="G48" s="94" t="s">
        <v>818</v>
      </c>
      <c r="H48" s="94" t="s">
        <v>818</v>
      </c>
      <c r="I48" s="169"/>
      <c r="J48" s="94" t="s">
        <v>818</v>
      </c>
      <c r="K48" s="113" t="s">
        <v>818</v>
      </c>
      <c r="L48" s="94" t="s">
        <v>818</v>
      </c>
      <c r="M48" s="94" t="s">
        <v>818</v>
      </c>
      <c r="N48" s="94" t="s">
        <v>818</v>
      </c>
      <c r="O48" s="94" t="s">
        <v>818</v>
      </c>
      <c r="P48" s="169"/>
      <c r="Q48" s="94" t="s">
        <v>818</v>
      </c>
      <c r="R48" s="113" t="s">
        <v>818</v>
      </c>
      <c r="S48" s="94" t="s">
        <v>818</v>
      </c>
      <c r="T48" s="94" t="s">
        <v>818</v>
      </c>
      <c r="U48" s="94" t="s">
        <v>818</v>
      </c>
      <c r="V48" s="94" t="s">
        <v>818</v>
      </c>
      <c r="W48" s="169"/>
      <c r="X48" s="94" t="s">
        <v>818</v>
      </c>
      <c r="Y48" s="113" t="s">
        <v>818</v>
      </c>
      <c r="Z48" s="94" t="s">
        <v>818</v>
      </c>
      <c r="AA48" s="94" t="s">
        <v>818</v>
      </c>
      <c r="AB48" s="94" t="s">
        <v>818</v>
      </c>
      <c r="AC48" s="94" t="s">
        <v>818</v>
      </c>
      <c r="AD48" s="169"/>
      <c r="AE48" s="94" t="s">
        <v>818</v>
      </c>
      <c r="AF48" s="113" t="s">
        <v>818</v>
      </c>
      <c r="AG48" s="94"/>
      <c r="AH48" s="94"/>
      <c r="AI48" s="94"/>
      <c r="AJ48" s="94"/>
      <c r="AK48" s="5">
        <f t="shared" si="2"/>
        <v>22</v>
      </c>
      <c r="AL48" s="5">
        <f t="shared" si="3"/>
        <v>0</v>
      </c>
    </row>
    <row r="49" spans="1:38" ht="15.5" x14ac:dyDescent="0.3">
      <c r="A49" s="20">
        <v>19</v>
      </c>
      <c r="B49" s="11">
        <v>577</v>
      </c>
      <c r="C49" s="17" t="s">
        <v>384</v>
      </c>
      <c r="D49" s="18" t="s">
        <v>385</v>
      </c>
      <c r="E49" s="19" t="s">
        <v>430</v>
      </c>
      <c r="F49" s="156"/>
      <c r="G49" s="94" t="s">
        <v>818</v>
      </c>
      <c r="H49" s="94" t="s">
        <v>818</v>
      </c>
      <c r="I49" s="169"/>
      <c r="J49" s="94" t="s">
        <v>818</v>
      </c>
      <c r="K49" s="113" t="s">
        <v>818</v>
      </c>
      <c r="L49" s="94" t="s">
        <v>818</v>
      </c>
      <c r="M49" s="94" t="s">
        <v>818</v>
      </c>
      <c r="N49" s="94" t="s">
        <v>818</v>
      </c>
      <c r="O49" s="94" t="s">
        <v>818</v>
      </c>
      <c r="P49" s="169"/>
      <c r="Q49" s="94" t="s">
        <v>818</v>
      </c>
      <c r="R49" s="113" t="s">
        <v>818</v>
      </c>
      <c r="S49" s="94" t="s">
        <v>818</v>
      </c>
      <c r="T49" s="94" t="s">
        <v>818</v>
      </c>
      <c r="U49" s="94" t="s">
        <v>818</v>
      </c>
      <c r="V49" s="94" t="s">
        <v>818</v>
      </c>
      <c r="W49" s="169"/>
      <c r="X49" s="94" t="s">
        <v>818</v>
      </c>
      <c r="Y49" s="113" t="s">
        <v>818</v>
      </c>
      <c r="Z49" s="94" t="s">
        <v>818</v>
      </c>
      <c r="AA49" s="94" t="s">
        <v>818</v>
      </c>
      <c r="AB49" s="94" t="s">
        <v>818</v>
      </c>
      <c r="AC49" s="94" t="s">
        <v>818</v>
      </c>
      <c r="AD49" s="169"/>
      <c r="AE49" s="94" t="s">
        <v>818</v>
      </c>
      <c r="AF49" s="113" t="s">
        <v>818</v>
      </c>
      <c r="AG49" s="94"/>
      <c r="AH49" s="94"/>
      <c r="AI49" s="94"/>
      <c r="AJ49" s="94"/>
      <c r="AK49" s="5">
        <f t="shared" si="2"/>
        <v>22</v>
      </c>
      <c r="AL49" s="5">
        <f t="shared" si="3"/>
        <v>0</v>
      </c>
    </row>
    <row r="50" spans="1:38" ht="15.5" x14ac:dyDescent="0.3">
      <c r="A50" s="20">
        <v>20</v>
      </c>
      <c r="B50" s="11">
        <v>589</v>
      </c>
      <c r="C50" s="17" t="s">
        <v>386</v>
      </c>
      <c r="D50" s="18" t="s">
        <v>387</v>
      </c>
      <c r="E50" s="19" t="s">
        <v>430</v>
      </c>
      <c r="F50" s="156"/>
      <c r="G50" s="94" t="s">
        <v>817</v>
      </c>
      <c r="H50" s="94" t="s">
        <v>817</v>
      </c>
      <c r="I50" s="169"/>
      <c r="J50" s="94" t="s">
        <v>817</v>
      </c>
      <c r="K50" s="113" t="s">
        <v>817</v>
      </c>
      <c r="L50" s="94" t="s">
        <v>817</v>
      </c>
      <c r="M50" s="94" t="s">
        <v>817</v>
      </c>
      <c r="N50" s="94" t="s">
        <v>817</v>
      </c>
      <c r="O50" s="94" t="s">
        <v>817</v>
      </c>
      <c r="P50" s="169"/>
      <c r="Q50" s="94" t="s">
        <v>817</v>
      </c>
      <c r="R50" s="113" t="s">
        <v>817</v>
      </c>
      <c r="S50" s="94" t="s">
        <v>817</v>
      </c>
      <c r="T50" s="94" t="s">
        <v>817</v>
      </c>
      <c r="U50" s="94" t="s">
        <v>817</v>
      </c>
      <c r="V50" s="94" t="s">
        <v>817</v>
      </c>
      <c r="W50" s="169"/>
      <c r="X50" s="94" t="s">
        <v>817</v>
      </c>
      <c r="Y50" s="113" t="s">
        <v>817</v>
      </c>
      <c r="Z50" s="94" t="s">
        <v>817</v>
      </c>
      <c r="AA50" s="94" t="s">
        <v>817</v>
      </c>
      <c r="AB50" s="94" t="s">
        <v>817</v>
      </c>
      <c r="AC50" s="94" t="s">
        <v>817</v>
      </c>
      <c r="AD50" s="169"/>
      <c r="AE50" s="94" t="s">
        <v>817</v>
      </c>
      <c r="AF50" s="113" t="s">
        <v>817</v>
      </c>
      <c r="AG50" s="94"/>
      <c r="AH50" s="94"/>
      <c r="AI50" s="94"/>
      <c r="AJ50" s="94"/>
      <c r="AK50" s="5">
        <f t="shared" si="2"/>
        <v>0</v>
      </c>
      <c r="AL50" s="5">
        <f t="shared" si="3"/>
        <v>22</v>
      </c>
    </row>
    <row r="51" spans="1:38" ht="15.5" x14ac:dyDescent="0.3">
      <c r="A51" s="20">
        <v>21</v>
      </c>
      <c r="B51" s="11">
        <v>912</v>
      </c>
      <c r="C51" s="17" t="s">
        <v>388</v>
      </c>
      <c r="D51" s="18" t="s">
        <v>389</v>
      </c>
      <c r="E51" s="19" t="s">
        <v>430</v>
      </c>
      <c r="F51" s="156"/>
      <c r="G51" s="94" t="s">
        <v>819</v>
      </c>
      <c r="H51" s="94" t="s">
        <v>817</v>
      </c>
      <c r="I51" s="169"/>
      <c r="J51" s="94" t="s">
        <v>818</v>
      </c>
      <c r="K51" s="113" t="s">
        <v>818</v>
      </c>
      <c r="L51" s="94" t="s">
        <v>818</v>
      </c>
      <c r="M51" s="94" t="s">
        <v>818</v>
      </c>
      <c r="N51" s="94" t="s">
        <v>818</v>
      </c>
      <c r="O51" s="94" t="s">
        <v>817</v>
      </c>
      <c r="P51" s="169"/>
      <c r="Q51" s="94" t="s">
        <v>818</v>
      </c>
      <c r="R51" s="113" t="s">
        <v>817</v>
      </c>
      <c r="S51" s="94" t="s">
        <v>818</v>
      </c>
      <c r="T51" s="94" t="s">
        <v>818</v>
      </c>
      <c r="U51" s="94" t="s">
        <v>817</v>
      </c>
      <c r="V51" s="94" t="s">
        <v>818</v>
      </c>
      <c r="W51" s="169"/>
      <c r="X51" s="94" t="s">
        <v>818</v>
      </c>
      <c r="Y51" s="113" t="s">
        <v>818</v>
      </c>
      <c r="Z51" s="94" t="s">
        <v>818</v>
      </c>
      <c r="AA51" s="94" t="s">
        <v>818</v>
      </c>
      <c r="AB51" s="94" t="s">
        <v>818</v>
      </c>
      <c r="AC51" s="94" t="s">
        <v>818</v>
      </c>
      <c r="AD51" s="169"/>
      <c r="AE51" s="94" t="s">
        <v>818</v>
      </c>
      <c r="AF51" s="113" t="s">
        <v>818</v>
      </c>
      <c r="AG51" s="94"/>
      <c r="AH51" s="94"/>
      <c r="AI51" s="94"/>
      <c r="AJ51" s="94"/>
      <c r="AK51" s="5">
        <f t="shared" si="2"/>
        <v>17</v>
      </c>
      <c r="AL51" s="5">
        <f t="shared" si="3"/>
        <v>4</v>
      </c>
    </row>
    <row r="52" spans="1:38" ht="15.5" x14ac:dyDescent="0.3">
      <c r="A52" s="20">
        <v>22</v>
      </c>
      <c r="B52" s="11">
        <v>571</v>
      </c>
      <c r="C52" s="17" t="s">
        <v>370</v>
      </c>
      <c r="D52" s="18" t="s">
        <v>371</v>
      </c>
      <c r="E52" s="19" t="s">
        <v>430</v>
      </c>
      <c r="F52" s="156"/>
      <c r="G52" s="94" t="s">
        <v>818</v>
      </c>
      <c r="H52" s="94" t="s">
        <v>818</v>
      </c>
      <c r="I52" s="169"/>
      <c r="J52" s="94" t="s">
        <v>818</v>
      </c>
      <c r="K52" s="113" t="s">
        <v>818</v>
      </c>
      <c r="L52" s="94" t="s">
        <v>818</v>
      </c>
      <c r="M52" s="94" t="s">
        <v>818</v>
      </c>
      <c r="N52" s="94" t="s">
        <v>818</v>
      </c>
      <c r="O52" s="94" t="s">
        <v>818</v>
      </c>
      <c r="P52" s="169"/>
      <c r="Q52" s="94" t="s">
        <v>818</v>
      </c>
      <c r="R52" s="113" t="s">
        <v>818</v>
      </c>
      <c r="S52" s="94" t="s">
        <v>818</v>
      </c>
      <c r="T52" s="94" t="s">
        <v>818</v>
      </c>
      <c r="U52" s="94" t="s">
        <v>818</v>
      </c>
      <c r="V52" s="94" t="s">
        <v>818</v>
      </c>
      <c r="W52" s="169"/>
      <c r="X52" s="94" t="s">
        <v>818</v>
      </c>
      <c r="Y52" s="113" t="s">
        <v>818</v>
      </c>
      <c r="Z52" s="94" t="s">
        <v>818</v>
      </c>
      <c r="AA52" s="94" t="s">
        <v>818</v>
      </c>
      <c r="AB52" s="94" t="s">
        <v>818</v>
      </c>
      <c r="AC52" s="94" t="s">
        <v>818</v>
      </c>
      <c r="AD52" s="169"/>
      <c r="AE52" s="94" t="s">
        <v>818</v>
      </c>
      <c r="AF52" s="113" t="s">
        <v>818</v>
      </c>
      <c r="AG52" s="94"/>
      <c r="AH52" s="94"/>
      <c r="AI52" s="94"/>
      <c r="AJ52" s="94"/>
      <c r="AK52" s="5">
        <f t="shared" si="2"/>
        <v>22</v>
      </c>
      <c r="AL52" s="5">
        <f t="shared" si="3"/>
        <v>0</v>
      </c>
    </row>
    <row r="53" spans="1:38" ht="15.5" x14ac:dyDescent="0.3">
      <c r="A53" s="20">
        <v>23</v>
      </c>
      <c r="B53" s="115">
        <v>572</v>
      </c>
      <c r="C53" s="123" t="s">
        <v>390</v>
      </c>
      <c r="D53" s="124" t="s">
        <v>84</v>
      </c>
      <c r="E53" s="110" t="s">
        <v>430</v>
      </c>
      <c r="F53" s="156"/>
      <c r="G53" s="117" t="s">
        <v>818</v>
      </c>
      <c r="H53" s="117" t="s">
        <v>818</v>
      </c>
      <c r="I53" s="169"/>
      <c r="J53" s="117" t="s">
        <v>818</v>
      </c>
      <c r="K53" s="113" t="s">
        <v>818</v>
      </c>
      <c r="L53" s="117" t="s">
        <v>818</v>
      </c>
      <c r="M53" s="117" t="s">
        <v>818</v>
      </c>
      <c r="N53" s="117" t="s">
        <v>818</v>
      </c>
      <c r="O53" s="117" t="s">
        <v>818</v>
      </c>
      <c r="P53" s="169"/>
      <c r="Q53" s="117" t="s">
        <v>818</v>
      </c>
      <c r="R53" s="113" t="s">
        <v>818</v>
      </c>
      <c r="S53" s="117" t="s">
        <v>817</v>
      </c>
      <c r="T53" s="117" t="s">
        <v>818</v>
      </c>
      <c r="U53" s="117" t="s">
        <v>818</v>
      </c>
      <c r="V53" s="117" t="s">
        <v>818</v>
      </c>
      <c r="W53" s="169"/>
      <c r="X53" s="117" t="s">
        <v>818</v>
      </c>
      <c r="Y53" s="113" t="s">
        <v>818</v>
      </c>
      <c r="Z53" s="117" t="s">
        <v>817</v>
      </c>
      <c r="AA53" s="117" t="s">
        <v>817</v>
      </c>
      <c r="AB53" s="117" t="s">
        <v>818</v>
      </c>
      <c r="AC53" s="117" t="s">
        <v>818</v>
      </c>
      <c r="AD53" s="169"/>
      <c r="AE53" s="117" t="s">
        <v>818</v>
      </c>
      <c r="AF53" s="113" t="s">
        <v>818</v>
      </c>
      <c r="AG53" s="117"/>
      <c r="AH53" s="117"/>
      <c r="AI53" s="117"/>
      <c r="AJ53" s="117"/>
      <c r="AK53" s="111">
        <f t="shared" si="2"/>
        <v>19</v>
      </c>
      <c r="AL53" s="111">
        <f t="shared" si="3"/>
        <v>3</v>
      </c>
    </row>
    <row r="54" spans="1:38" ht="15.5" x14ac:dyDescent="0.3">
      <c r="A54" s="20">
        <v>24</v>
      </c>
      <c r="B54" s="11"/>
      <c r="C54" s="7" t="s">
        <v>829</v>
      </c>
      <c r="D54" s="7"/>
      <c r="E54" s="110" t="s">
        <v>430</v>
      </c>
      <c r="F54" s="156"/>
      <c r="G54" s="94" t="s">
        <v>817</v>
      </c>
      <c r="H54" s="94" t="s">
        <v>817</v>
      </c>
      <c r="I54" s="169"/>
      <c r="J54" s="94" t="s">
        <v>817</v>
      </c>
      <c r="K54" s="125" t="s">
        <v>817</v>
      </c>
      <c r="L54" s="94" t="s">
        <v>817</v>
      </c>
      <c r="M54" s="94" t="s">
        <v>817</v>
      </c>
      <c r="N54" s="94" t="s">
        <v>817</v>
      </c>
      <c r="O54" s="94" t="s">
        <v>817</v>
      </c>
      <c r="P54" s="169"/>
      <c r="Q54" s="94" t="s">
        <v>817</v>
      </c>
      <c r="R54" s="125" t="s">
        <v>817</v>
      </c>
      <c r="S54" s="94" t="s">
        <v>817</v>
      </c>
      <c r="T54" s="94" t="s">
        <v>817</v>
      </c>
      <c r="U54" s="94" t="s">
        <v>817</v>
      </c>
      <c r="V54" s="94" t="s">
        <v>817</v>
      </c>
      <c r="W54" s="169"/>
      <c r="X54" s="94" t="s">
        <v>817</v>
      </c>
      <c r="Y54" s="113" t="s">
        <v>817</v>
      </c>
      <c r="Z54" s="94" t="s">
        <v>817</v>
      </c>
      <c r="AA54" s="94" t="s">
        <v>817</v>
      </c>
      <c r="AB54" s="94" t="s">
        <v>817</v>
      </c>
      <c r="AC54" s="94" t="s">
        <v>817</v>
      </c>
      <c r="AD54" s="169"/>
      <c r="AE54" s="94" t="s">
        <v>817</v>
      </c>
      <c r="AF54" s="113" t="s">
        <v>817</v>
      </c>
      <c r="AG54" s="94"/>
      <c r="AH54" s="94"/>
      <c r="AI54" s="94"/>
      <c r="AJ54" s="94"/>
      <c r="AK54" s="5">
        <f t="shared" si="2"/>
        <v>0</v>
      </c>
      <c r="AL54" s="5">
        <f t="shared" si="3"/>
        <v>22</v>
      </c>
    </row>
    <row r="55" spans="1:38" ht="15.5" x14ac:dyDescent="0.3">
      <c r="A55" s="20">
        <v>25</v>
      </c>
      <c r="B55" s="11">
        <v>694</v>
      </c>
      <c r="C55" s="7" t="s">
        <v>830</v>
      </c>
      <c r="D55" s="7" t="s">
        <v>426</v>
      </c>
      <c r="E55" s="110" t="s">
        <v>430</v>
      </c>
      <c r="F55" s="156"/>
      <c r="G55" s="94" t="s">
        <v>818</v>
      </c>
      <c r="H55" s="94" t="s">
        <v>818</v>
      </c>
      <c r="I55" s="169"/>
      <c r="J55" s="94" t="s">
        <v>818</v>
      </c>
      <c r="K55" s="125" t="s">
        <v>817</v>
      </c>
      <c r="L55" s="94" t="s">
        <v>818</v>
      </c>
      <c r="M55" s="94" t="s">
        <v>817</v>
      </c>
      <c r="N55" s="94" t="s">
        <v>818</v>
      </c>
      <c r="O55" s="94" t="s">
        <v>818</v>
      </c>
      <c r="P55" s="169"/>
      <c r="Q55" s="94" t="s">
        <v>818</v>
      </c>
      <c r="R55" s="125" t="s">
        <v>818</v>
      </c>
      <c r="S55" s="94" t="s">
        <v>818</v>
      </c>
      <c r="T55" s="94" t="s">
        <v>818</v>
      </c>
      <c r="U55" s="94" t="s">
        <v>817</v>
      </c>
      <c r="V55" s="94" t="s">
        <v>818</v>
      </c>
      <c r="W55" s="169"/>
      <c r="X55" s="94" t="s">
        <v>818</v>
      </c>
      <c r="Y55" s="113" t="s">
        <v>818</v>
      </c>
      <c r="Z55" s="94" t="s">
        <v>818</v>
      </c>
      <c r="AA55" s="94" t="s">
        <v>817</v>
      </c>
      <c r="AB55" s="94" t="s">
        <v>818</v>
      </c>
      <c r="AC55" s="94" t="s">
        <v>818</v>
      </c>
      <c r="AD55" s="169"/>
      <c r="AE55" s="94" t="s">
        <v>818</v>
      </c>
      <c r="AF55" s="113" t="s">
        <v>817</v>
      </c>
      <c r="AG55" s="94"/>
      <c r="AH55" s="94"/>
      <c r="AI55" s="94"/>
      <c r="AJ55" s="94"/>
      <c r="AK55" s="5">
        <f t="shared" si="2"/>
        <v>17</v>
      </c>
      <c r="AL55" s="5">
        <f t="shared" si="3"/>
        <v>5</v>
      </c>
    </row>
    <row r="56" spans="1:38" ht="15.5" x14ac:dyDescent="0.3">
      <c r="A56" s="20">
        <v>26</v>
      </c>
      <c r="B56" s="11">
        <v>612</v>
      </c>
      <c r="C56" s="7" t="s">
        <v>831</v>
      </c>
      <c r="D56" s="7" t="s">
        <v>835</v>
      </c>
      <c r="E56" s="110" t="s">
        <v>430</v>
      </c>
      <c r="F56" s="157"/>
      <c r="G56" s="94" t="s">
        <v>818</v>
      </c>
      <c r="H56" s="94" t="s">
        <v>817</v>
      </c>
      <c r="I56" s="176"/>
      <c r="J56" s="94" t="s">
        <v>818</v>
      </c>
      <c r="K56" s="125" t="s">
        <v>817</v>
      </c>
      <c r="L56" s="94" t="s">
        <v>817</v>
      </c>
      <c r="M56" s="94" t="s">
        <v>818</v>
      </c>
      <c r="N56" s="94" t="s">
        <v>818</v>
      </c>
      <c r="O56" s="94" t="s">
        <v>818</v>
      </c>
      <c r="P56" s="176"/>
      <c r="Q56" s="94" t="s">
        <v>818</v>
      </c>
      <c r="R56" s="125" t="s">
        <v>818</v>
      </c>
      <c r="S56" s="94" t="s">
        <v>818</v>
      </c>
      <c r="T56" s="94" t="s">
        <v>818</v>
      </c>
      <c r="U56" s="94" t="s">
        <v>818</v>
      </c>
      <c r="V56" s="94" t="s">
        <v>817</v>
      </c>
      <c r="W56" s="176"/>
      <c r="X56" s="94" t="s">
        <v>818</v>
      </c>
      <c r="Y56" s="113" t="s">
        <v>818</v>
      </c>
      <c r="Z56" s="94" t="s">
        <v>818</v>
      </c>
      <c r="AA56" s="94" t="s">
        <v>818</v>
      </c>
      <c r="AB56" s="94" t="s">
        <v>818</v>
      </c>
      <c r="AC56" s="94" t="s">
        <v>818</v>
      </c>
      <c r="AD56" s="176"/>
      <c r="AE56" s="94" t="s">
        <v>818</v>
      </c>
      <c r="AF56" s="113" t="s">
        <v>817</v>
      </c>
      <c r="AG56" s="94"/>
      <c r="AH56" s="94"/>
      <c r="AI56" s="94"/>
      <c r="AJ56" s="94"/>
      <c r="AK56" s="5">
        <f t="shared" si="2"/>
        <v>17</v>
      </c>
      <c r="AL56" s="5">
        <f t="shared" si="3"/>
        <v>5</v>
      </c>
    </row>
    <row r="57" spans="1:38" ht="14.5" x14ac:dyDescent="0.3">
      <c r="E57" s="19"/>
    </row>
  </sheetData>
  <mergeCells count="17">
    <mergeCell ref="I5:I56"/>
    <mergeCell ref="P5:P56"/>
    <mergeCell ref="W5:W56"/>
    <mergeCell ref="AD5:AD56"/>
    <mergeCell ref="A1:AI1"/>
    <mergeCell ref="A2:AI2"/>
    <mergeCell ref="E3:E4"/>
    <mergeCell ref="A3:A4"/>
    <mergeCell ref="B3:B4"/>
    <mergeCell ref="C3:C4"/>
    <mergeCell ref="D3:D4"/>
    <mergeCell ref="F5:F56"/>
    <mergeCell ref="AM10:AP10"/>
    <mergeCell ref="AM18:AP18"/>
    <mergeCell ref="AK3:AK4"/>
    <mergeCell ref="AL3:AL4"/>
    <mergeCell ref="AM3:AN3"/>
  </mergeCells>
  <conditionalFormatting sqref="F5:O5 F3:AJ3 G6:H56 J6:O56 Q5:V56 AM5:AM8 X5:AC56 AE5:AJ56">
    <cfRule type="expression" dxfId="260" priority="37">
      <formula>F$3="Sun"</formula>
    </cfRule>
  </conditionalFormatting>
  <conditionalFormatting sqref="F5:O5 G6:H56 J6:O56 Q5:V56 X5:AC56 AE5:AJ56">
    <cfRule type="cellIs" dxfId="259" priority="33" operator="equal">
      <formula>"L"</formula>
    </cfRule>
    <cfRule type="cellIs" dxfId="258" priority="34" operator="equal">
      <formula>"A"</formula>
    </cfRule>
    <cfRule type="cellIs" dxfId="257" priority="35" operator="equal">
      <formula>"P"</formula>
    </cfRule>
  </conditionalFormatting>
  <conditionalFormatting sqref="AK3:AL3 AK5:AL56">
    <cfRule type="expression" dxfId="256" priority="38">
      <formula>#REF!="Sun"</formula>
    </cfRule>
  </conditionalFormatting>
  <conditionalFormatting sqref="AM11:AM14">
    <cfRule type="expression" dxfId="255" priority="25">
      <formula>AM$3="Sun"</formula>
    </cfRule>
  </conditionalFormatting>
  <conditionalFormatting sqref="AM19:AM22">
    <cfRule type="expression" dxfId="254" priority="24">
      <formula>AM$3="Sun"</formula>
    </cfRule>
  </conditionalFormatting>
  <conditionalFormatting sqref="AM4:AN4">
    <cfRule type="expression" dxfId="253" priority="28">
      <formula>AM$3="Sun"</formula>
    </cfRule>
  </conditionalFormatting>
  <conditionalFormatting sqref="AN11:AP11 AN19:AP19">
    <cfRule type="expression" dxfId="252" priority="29">
      <formula>AN$3="Sun"</formula>
    </cfRule>
  </conditionalFormatting>
  <conditionalFormatting sqref="AP20">
    <cfRule type="expression" dxfId="251" priority="26">
      <formula>AP$3="Sun"</formula>
    </cfRule>
  </conditionalFormatting>
  <conditionalFormatting sqref="F3:AJ3 F5:O5 G6:H56 J6:O56 Q5:V56 X5:AC56 AE5:AJ56">
    <cfRule type="expression" dxfId="250" priority="23">
      <formula>F$4=TODAY()</formula>
    </cfRule>
  </conditionalFormatting>
  <conditionalFormatting sqref="F4:AJ4">
    <cfRule type="cellIs" dxfId="249" priority="18" operator="equal">
      <formula>"L"</formula>
    </cfRule>
    <cfRule type="cellIs" dxfId="248" priority="19" operator="equal">
      <formula>"P"</formula>
    </cfRule>
    <cfRule type="cellIs" dxfId="247" priority="20" operator="equal">
      <formula>"A"</formula>
    </cfRule>
    <cfRule type="expression" dxfId="246" priority="21">
      <formula>F$4=TODAY()</formula>
    </cfRule>
    <cfRule type="expression" dxfId="245" priority="22">
      <formula>F$3="SUN"</formula>
    </cfRule>
  </conditionalFormatting>
  <conditionalFormatting sqref="B31:B56">
    <cfRule type="duplicateValues" dxfId="244" priority="16"/>
  </conditionalFormatting>
  <conditionalFormatting sqref="P5">
    <cfRule type="expression" dxfId="243" priority="15">
      <formula>P$3="Sun"</formula>
    </cfRule>
  </conditionalFormatting>
  <conditionalFormatting sqref="P5">
    <cfRule type="cellIs" dxfId="242" priority="12" operator="equal">
      <formula>"L"</formula>
    </cfRule>
    <cfRule type="cellIs" dxfId="241" priority="13" operator="equal">
      <formula>"A"</formula>
    </cfRule>
    <cfRule type="cellIs" dxfId="240" priority="14" operator="equal">
      <formula>"P"</formula>
    </cfRule>
  </conditionalFormatting>
  <conditionalFormatting sqref="P5">
    <cfRule type="expression" dxfId="239" priority="11">
      <formula>P$4=TODAY()</formula>
    </cfRule>
  </conditionalFormatting>
  <conditionalFormatting sqref="W5">
    <cfRule type="expression" dxfId="238" priority="10">
      <formula>W$3="Sun"</formula>
    </cfRule>
  </conditionalFormatting>
  <conditionalFormatting sqref="W5">
    <cfRule type="cellIs" dxfId="237" priority="7" operator="equal">
      <formula>"L"</formula>
    </cfRule>
    <cfRule type="cellIs" dxfId="236" priority="8" operator="equal">
      <formula>"A"</formula>
    </cfRule>
    <cfRule type="cellIs" dxfId="235" priority="9" operator="equal">
      <formula>"P"</formula>
    </cfRule>
  </conditionalFormatting>
  <conditionalFormatting sqref="W5">
    <cfRule type="expression" dxfId="234" priority="6">
      <formula>W$4=TODAY()</formula>
    </cfRule>
  </conditionalFormatting>
  <conditionalFormatting sqref="AD5">
    <cfRule type="expression" dxfId="233" priority="5">
      <formula>AD$3="Sun"</formula>
    </cfRule>
  </conditionalFormatting>
  <conditionalFormatting sqref="AD5">
    <cfRule type="cellIs" dxfId="232" priority="2" operator="equal">
      <formula>"L"</formula>
    </cfRule>
    <cfRule type="cellIs" dxfId="231" priority="3" operator="equal">
      <formula>"A"</formula>
    </cfRule>
    <cfRule type="cellIs" dxfId="230" priority="4" operator="equal">
      <formula>"P"</formula>
    </cfRule>
  </conditionalFormatting>
  <conditionalFormatting sqref="AD5">
    <cfRule type="expression" dxfId="229" priority="1">
      <formula>AD$4=TODAY()</formula>
    </cfRule>
  </conditionalFormatting>
  <conditionalFormatting sqref="B5:B30">
    <cfRule type="duplicateValues" dxfId="228" priority="399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zoomScaleNormal="100" workbookViewId="0">
      <selection activeCell="AE6" sqref="AE6"/>
    </sheetView>
  </sheetViews>
  <sheetFormatPr defaultColWidth="3.81640625" defaultRowHeight="14" x14ac:dyDescent="0.3"/>
  <cols>
    <col min="1" max="1" width="5.1796875" style="1" bestFit="1" customWidth="1"/>
    <col min="2" max="2" width="5.1796875" style="1" customWidth="1"/>
    <col min="3" max="3" width="19.26953125" style="1" bestFit="1" customWidth="1"/>
    <col min="4" max="4" width="19" style="1" bestFit="1" customWidth="1"/>
    <col min="5" max="5" width="6.453125" style="1" customWidth="1"/>
    <col min="6" max="6" width="4.7265625" style="1" bestFit="1" customWidth="1"/>
    <col min="7" max="7" width="3.81640625" style="1" bestFit="1" customWidth="1"/>
    <col min="8" max="8" width="3.7265625" style="1" customWidth="1"/>
    <col min="9" max="9" width="3.7265625" style="1" bestFit="1" customWidth="1"/>
    <col min="10" max="12" width="3.81640625" style="1" bestFit="1" customWidth="1"/>
    <col min="13" max="13" width="4.7265625" style="1" bestFit="1" customWidth="1"/>
    <col min="14" max="14" width="3.81640625" style="1" bestFit="1" customWidth="1"/>
    <col min="15" max="16" width="3.7265625" style="1" bestFit="1" customWidth="1"/>
    <col min="17" max="17" width="3.81640625" style="1" bestFit="1" customWidth="1"/>
    <col min="18" max="18" width="4.54296875" style="1" customWidth="1"/>
    <col min="19" max="19" width="3.81640625" style="1" bestFit="1" customWidth="1"/>
    <col min="20" max="20" width="4.7265625" style="1" bestFit="1" customWidth="1"/>
    <col min="21" max="21" width="3.81640625" style="1" bestFit="1" customWidth="1"/>
    <col min="22" max="23" width="3.7265625" style="1" bestFit="1" customWidth="1"/>
    <col min="24" max="24" width="3.81640625" style="1" bestFit="1" customWidth="1"/>
    <col min="25" max="25" width="4.54296875" style="1" bestFit="1" customWidth="1"/>
    <col min="26" max="26" width="3.81640625" style="1" bestFit="1" customWidth="1"/>
    <col min="27" max="27" width="4.7265625" style="1" bestFit="1" customWidth="1"/>
    <col min="28" max="28" width="3.81640625" style="1"/>
    <col min="29" max="30" width="3.7265625" style="1" bestFit="1" customWidth="1"/>
    <col min="31" max="31" width="3.81640625" style="1" bestFit="1" customWidth="1"/>
    <col min="32" max="32" width="4.1796875" style="1" bestFit="1" customWidth="1"/>
    <col min="33" max="33" width="3.81640625" style="1" bestFit="1" customWidth="1"/>
    <col min="34" max="34" width="4.7265625" style="1" bestFit="1" customWidth="1"/>
    <col min="35" max="35" width="3.81640625" style="1" bestFit="1" customWidth="1"/>
    <col min="36" max="36" width="3.81640625" style="1" customWidth="1"/>
    <col min="37" max="38" width="6.7265625" style="1" bestFit="1" customWidth="1"/>
    <col min="39" max="39" width="18.54296875" style="1" bestFit="1" customWidth="1"/>
    <col min="40" max="40" width="5.81640625" style="1" bestFit="1" customWidth="1"/>
    <col min="41" max="41" width="14.26953125" style="1" bestFit="1" customWidth="1"/>
    <col min="42" max="42" width="6.7265625" style="1" bestFit="1" customWidth="1"/>
    <col min="43" max="16384" width="3.81640625" style="1"/>
  </cols>
  <sheetData>
    <row r="1" spans="1:42" ht="17" x14ac:dyDescent="0.3">
      <c r="A1" s="164" t="s">
        <v>18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</row>
    <row r="2" spans="1:42" ht="17" x14ac:dyDescent="0.4">
      <c r="A2" s="167" t="s">
        <v>732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</row>
    <row r="3" spans="1:42" ht="15.5" x14ac:dyDescent="0.3">
      <c r="A3" s="177" t="s">
        <v>0</v>
      </c>
      <c r="B3" s="177" t="s">
        <v>713</v>
      </c>
      <c r="C3" s="177" t="s">
        <v>1</v>
      </c>
      <c r="D3" s="177" t="s">
        <v>2</v>
      </c>
      <c r="E3" s="177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54" t="s">
        <v>4</v>
      </c>
      <c r="AL3" s="154" t="s">
        <v>5</v>
      </c>
      <c r="AM3" s="158" t="s">
        <v>119</v>
      </c>
      <c r="AN3" s="159"/>
      <c r="AO3" s="3"/>
      <c r="AP3" s="3"/>
    </row>
    <row r="4" spans="1:42" ht="40.5" x14ac:dyDescent="0.3">
      <c r="A4" s="178"/>
      <c r="B4" s="178"/>
      <c r="C4" s="178"/>
      <c r="D4" s="178"/>
      <c r="E4" s="178"/>
      <c r="F4" s="13" t="s">
        <v>743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54"/>
      <c r="AL4" s="154"/>
      <c r="AM4" s="5" t="s">
        <v>120</v>
      </c>
      <c r="AN4" s="5">
        <f>SUM(AN5:AN8)</f>
        <v>30</v>
      </c>
      <c r="AO4" s="3"/>
      <c r="AP4" s="3"/>
    </row>
    <row r="5" spans="1:42" ht="15" customHeight="1" x14ac:dyDescent="0.35">
      <c r="A5" s="20">
        <v>1</v>
      </c>
      <c r="B5" s="20">
        <v>527</v>
      </c>
      <c r="C5" s="22" t="s">
        <v>428</v>
      </c>
      <c r="D5" s="23" t="s">
        <v>429</v>
      </c>
      <c r="E5" s="19" t="s">
        <v>497</v>
      </c>
      <c r="F5" s="184" t="s">
        <v>838</v>
      </c>
      <c r="G5" s="8" t="s">
        <v>817</v>
      </c>
      <c r="H5" s="8" t="s">
        <v>817</v>
      </c>
      <c r="I5" s="182" t="s">
        <v>754</v>
      </c>
      <c r="J5" s="8" t="s">
        <v>817</v>
      </c>
      <c r="K5" s="113" t="s">
        <v>817</v>
      </c>
      <c r="L5" s="8" t="s">
        <v>817</v>
      </c>
      <c r="M5" s="8" t="s">
        <v>817</v>
      </c>
      <c r="N5" s="8" t="s">
        <v>817</v>
      </c>
      <c r="O5" s="8" t="s">
        <v>817</v>
      </c>
      <c r="P5" s="182" t="s">
        <v>754</v>
      </c>
      <c r="Q5" s="8" t="s">
        <v>818</v>
      </c>
      <c r="R5" s="113" t="s">
        <v>818</v>
      </c>
      <c r="S5" s="8" t="s">
        <v>818</v>
      </c>
      <c r="T5" s="8" t="s">
        <v>817</v>
      </c>
      <c r="U5" s="8" t="s">
        <v>818</v>
      </c>
      <c r="V5" s="8" t="s">
        <v>818</v>
      </c>
      <c r="W5" s="182" t="s">
        <v>754</v>
      </c>
      <c r="X5" s="8" t="s">
        <v>818</v>
      </c>
      <c r="Y5" s="113" t="s">
        <v>818</v>
      </c>
      <c r="Z5" s="8" t="s">
        <v>818</v>
      </c>
      <c r="AA5" s="8" t="s">
        <v>818</v>
      </c>
      <c r="AB5" s="8" t="s">
        <v>818</v>
      </c>
      <c r="AC5" s="8" t="s">
        <v>818</v>
      </c>
      <c r="AD5" s="182" t="s">
        <v>754</v>
      </c>
      <c r="AE5" s="8" t="s">
        <v>730</v>
      </c>
      <c r="AF5" s="113" t="s">
        <v>818</v>
      </c>
      <c r="AG5" s="8"/>
      <c r="AH5" s="8"/>
      <c r="AI5" s="8"/>
      <c r="AJ5" s="8"/>
      <c r="AK5" s="5">
        <f t="shared" ref="AK5:AK27" si="0">COUNTIF(F5:AI5,"P")</f>
        <v>13</v>
      </c>
      <c r="AL5" s="5">
        <f t="shared" ref="AL5:AL38" si="1">COUNTIF(F5:AI5,"A")</f>
        <v>9</v>
      </c>
      <c r="AM5" s="5" t="s">
        <v>7</v>
      </c>
      <c r="AN5" s="9">
        <v>26</v>
      </c>
      <c r="AO5" s="10"/>
      <c r="AP5" s="3"/>
    </row>
    <row r="6" spans="1:42" ht="15.5" x14ac:dyDescent="0.35">
      <c r="A6" s="20">
        <v>2</v>
      </c>
      <c r="B6" s="20">
        <v>549</v>
      </c>
      <c r="C6" s="22" t="s">
        <v>432</v>
      </c>
      <c r="D6" s="23" t="s">
        <v>433</v>
      </c>
      <c r="E6" s="19" t="s">
        <v>497</v>
      </c>
      <c r="F6" s="180"/>
      <c r="G6" s="8" t="s">
        <v>818</v>
      </c>
      <c r="H6" s="8" t="s">
        <v>818</v>
      </c>
      <c r="I6" s="183"/>
      <c r="J6" s="8" t="s">
        <v>817</v>
      </c>
      <c r="K6" s="113" t="s">
        <v>818</v>
      </c>
      <c r="L6" s="8" t="s">
        <v>818</v>
      </c>
      <c r="M6" s="8" t="s">
        <v>818</v>
      </c>
      <c r="N6" s="8" t="s">
        <v>818</v>
      </c>
      <c r="O6" s="8" t="s">
        <v>818</v>
      </c>
      <c r="P6" s="183"/>
      <c r="Q6" s="8" t="s">
        <v>818</v>
      </c>
      <c r="R6" s="113" t="s">
        <v>818</v>
      </c>
      <c r="S6" s="8" t="s">
        <v>818</v>
      </c>
      <c r="T6" s="8" t="s">
        <v>818</v>
      </c>
      <c r="U6" s="8" t="s">
        <v>818</v>
      </c>
      <c r="V6" s="8" t="s">
        <v>818</v>
      </c>
      <c r="W6" s="183"/>
      <c r="X6" s="8" t="s">
        <v>818</v>
      </c>
      <c r="Y6" s="113" t="s">
        <v>818</v>
      </c>
      <c r="Z6" s="8" t="s">
        <v>818</v>
      </c>
      <c r="AA6" s="8" t="s">
        <v>818</v>
      </c>
      <c r="AB6" s="8" t="s">
        <v>818</v>
      </c>
      <c r="AC6" s="8" t="s">
        <v>818</v>
      </c>
      <c r="AD6" s="183"/>
      <c r="AE6" s="8" t="s">
        <v>730</v>
      </c>
      <c r="AF6" s="113" t="s">
        <v>818</v>
      </c>
      <c r="AG6" s="8"/>
      <c r="AH6" s="8"/>
      <c r="AI6" s="8"/>
      <c r="AJ6" s="8"/>
      <c r="AK6" s="5">
        <f t="shared" si="0"/>
        <v>21</v>
      </c>
      <c r="AL6" s="5">
        <f t="shared" si="1"/>
        <v>1</v>
      </c>
      <c r="AM6" s="5" t="s">
        <v>8</v>
      </c>
      <c r="AN6" s="9">
        <v>4</v>
      </c>
      <c r="AO6" s="3"/>
      <c r="AP6" s="3"/>
    </row>
    <row r="7" spans="1:42" ht="15.5" x14ac:dyDescent="0.35">
      <c r="A7" s="20">
        <v>3</v>
      </c>
      <c r="B7" s="20">
        <v>865</v>
      </c>
      <c r="C7" s="22" t="s">
        <v>449</v>
      </c>
      <c r="D7" s="23" t="s">
        <v>450</v>
      </c>
      <c r="E7" s="19" t="s">
        <v>497</v>
      </c>
      <c r="F7" s="180"/>
      <c r="G7" s="8" t="s">
        <v>818</v>
      </c>
      <c r="H7" s="8" t="s">
        <v>818</v>
      </c>
      <c r="I7" s="183"/>
      <c r="J7" s="8" t="s">
        <v>818</v>
      </c>
      <c r="K7" s="113" t="s">
        <v>818</v>
      </c>
      <c r="L7" s="8" t="s">
        <v>818</v>
      </c>
      <c r="M7" s="8" t="s">
        <v>818</v>
      </c>
      <c r="N7" s="8" t="s">
        <v>818</v>
      </c>
      <c r="O7" s="8" t="s">
        <v>817</v>
      </c>
      <c r="P7" s="183"/>
      <c r="Q7" s="8" t="s">
        <v>818</v>
      </c>
      <c r="R7" s="113" t="s">
        <v>818</v>
      </c>
      <c r="S7" s="8" t="s">
        <v>818</v>
      </c>
      <c r="T7" s="8" t="s">
        <v>819</v>
      </c>
      <c r="U7" s="8" t="s">
        <v>818</v>
      </c>
      <c r="V7" s="8" t="s">
        <v>817</v>
      </c>
      <c r="W7" s="183"/>
      <c r="X7" s="8" t="s">
        <v>818</v>
      </c>
      <c r="Y7" s="113" t="s">
        <v>818</v>
      </c>
      <c r="Z7" s="8" t="s">
        <v>818</v>
      </c>
      <c r="AA7" s="8" t="s">
        <v>818</v>
      </c>
      <c r="AB7" s="8" t="s">
        <v>818</v>
      </c>
      <c r="AC7" s="8" t="s">
        <v>818</v>
      </c>
      <c r="AD7" s="183"/>
      <c r="AE7" s="8" t="s">
        <v>730</v>
      </c>
      <c r="AF7" s="113" t="s">
        <v>818</v>
      </c>
      <c r="AG7" s="8"/>
      <c r="AH7" s="8"/>
      <c r="AI7" s="8"/>
      <c r="AJ7" s="8"/>
      <c r="AK7" s="5">
        <f t="shared" si="0"/>
        <v>19</v>
      </c>
      <c r="AL7" s="5">
        <f t="shared" si="1"/>
        <v>2</v>
      </c>
      <c r="AM7" s="5"/>
      <c r="AN7" s="9"/>
      <c r="AO7" s="3"/>
      <c r="AP7" s="3"/>
    </row>
    <row r="8" spans="1:42" ht="15.5" x14ac:dyDescent="0.35">
      <c r="A8" s="20">
        <v>4</v>
      </c>
      <c r="B8" s="20">
        <v>593</v>
      </c>
      <c r="C8" s="22" t="s">
        <v>434</v>
      </c>
      <c r="D8" s="23" t="s">
        <v>435</v>
      </c>
      <c r="E8" s="19" t="s">
        <v>497</v>
      </c>
      <c r="F8" s="180"/>
      <c r="G8" s="8" t="s">
        <v>817</v>
      </c>
      <c r="H8" s="8" t="s">
        <v>817</v>
      </c>
      <c r="I8" s="183"/>
      <c r="J8" s="8" t="s">
        <v>817</v>
      </c>
      <c r="K8" s="113" t="s">
        <v>817</v>
      </c>
      <c r="L8" s="8" t="s">
        <v>817</v>
      </c>
      <c r="M8" s="8" t="s">
        <v>817</v>
      </c>
      <c r="N8" s="8" t="s">
        <v>817</v>
      </c>
      <c r="O8" s="8" t="s">
        <v>817</v>
      </c>
      <c r="P8" s="183"/>
      <c r="Q8" s="8" t="s">
        <v>817</v>
      </c>
      <c r="R8" s="113" t="s">
        <v>817</v>
      </c>
      <c r="S8" s="8" t="s">
        <v>817</v>
      </c>
      <c r="T8" s="8" t="s">
        <v>818</v>
      </c>
      <c r="U8" s="8" t="s">
        <v>817</v>
      </c>
      <c r="V8" s="8" t="s">
        <v>817</v>
      </c>
      <c r="W8" s="183"/>
      <c r="X8" s="8" t="s">
        <v>817</v>
      </c>
      <c r="Y8" s="113" t="s">
        <v>817</v>
      </c>
      <c r="Z8" s="8" t="s">
        <v>817</v>
      </c>
      <c r="AA8" s="8" t="s">
        <v>817</v>
      </c>
      <c r="AB8" s="8" t="s">
        <v>817</v>
      </c>
      <c r="AC8" s="8" t="s">
        <v>817</v>
      </c>
      <c r="AD8" s="183"/>
      <c r="AE8" s="8" t="s">
        <v>817</v>
      </c>
      <c r="AF8" s="113" t="s">
        <v>817</v>
      </c>
      <c r="AG8" s="8"/>
      <c r="AH8" s="8"/>
      <c r="AI8" s="8"/>
      <c r="AJ8" s="8"/>
      <c r="AK8" s="5">
        <f t="shared" si="0"/>
        <v>1</v>
      </c>
      <c r="AL8" s="5">
        <f t="shared" si="1"/>
        <v>21</v>
      </c>
      <c r="AM8" s="5"/>
      <c r="AN8" s="9"/>
      <c r="AO8"/>
      <c r="AP8"/>
    </row>
    <row r="9" spans="1:42" ht="15.5" x14ac:dyDescent="0.35">
      <c r="A9" s="20">
        <v>5</v>
      </c>
      <c r="B9" s="20">
        <v>548</v>
      </c>
      <c r="C9" s="22" t="s">
        <v>436</v>
      </c>
      <c r="D9" s="23" t="s">
        <v>437</v>
      </c>
      <c r="E9" s="19" t="s">
        <v>497</v>
      </c>
      <c r="F9" s="180"/>
      <c r="G9" s="8" t="s">
        <v>818</v>
      </c>
      <c r="H9" s="8" t="s">
        <v>818</v>
      </c>
      <c r="I9" s="183"/>
      <c r="J9" s="8" t="s">
        <v>818</v>
      </c>
      <c r="K9" s="113" t="s">
        <v>818</v>
      </c>
      <c r="L9" s="8" t="s">
        <v>818</v>
      </c>
      <c r="M9" s="8" t="s">
        <v>818</v>
      </c>
      <c r="N9" s="8" t="s">
        <v>818</v>
      </c>
      <c r="O9" s="8" t="s">
        <v>818</v>
      </c>
      <c r="P9" s="183"/>
      <c r="Q9" s="8" t="s">
        <v>818</v>
      </c>
      <c r="R9" s="113" t="s">
        <v>818</v>
      </c>
      <c r="S9" s="8" t="s">
        <v>818</v>
      </c>
      <c r="T9" s="8" t="s">
        <v>817</v>
      </c>
      <c r="U9" s="8" t="s">
        <v>818</v>
      </c>
      <c r="V9" s="8" t="s">
        <v>818</v>
      </c>
      <c r="W9" s="183"/>
      <c r="X9" s="8" t="s">
        <v>818</v>
      </c>
      <c r="Y9" s="113" t="s">
        <v>818</v>
      </c>
      <c r="Z9" s="8" t="s">
        <v>818</v>
      </c>
      <c r="AA9" s="8" t="s">
        <v>818</v>
      </c>
      <c r="AB9" s="8" t="s">
        <v>818</v>
      </c>
      <c r="AC9" s="8" t="s">
        <v>818</v>
      </c>
      <c r="AD9" s="183"/>
      <c r="AE9" s="8" t="s">
        <v>818</v>
      </c>
      <c r="AF9" s="113" t="s">
        <v>817</v>
      </c>
      <c r="AG9" s="8"/>
      <c r="AH9" s="8"/>
      <c r="AI9" s="8"/>
      <c r="AJ9" s="8"/>
      <c r="AK9" s="5">
        <f t="shared" si="0"/>
        <v>20</v>
      </c>
      <c r="AL9" s="5">
        <f t="shared" si="1"/>
        <v>2</v>
      </c>
      <c r="AM9" s="5"/>
      <c r="AN9" s="9"/>
    </row>
    <row r="10" spans="1:42" ht="15.5" x14ac:dyDescent="0.35">
      <c r="A10" s="20">
        <v>6</v>
      </c>
      <c r="B10" s="20">
        <v>447</v>
      </c>
      <c r="C10" s="22" t="s">
        <v>438</v>
      </c>
      <c r="D10" s="23" t="s">
        <v>439</v>
      </c>
      <c r="E10" s="19" t="s">
        <v>497</v>
      </c>
      <c r="F10" s="180"/>
      <c r="G10" s="8" t="s">
        <v>818</v>
      </c>
      <c r="H10" s="8" t="s">
        <v>818</v>
      </c>
      <c r="I10" s="183"/>
      <c r="J10" s="8" t="s">
        <v>818</v>
      </c>
      <c r="K10" s="113" t="s">
        <v>818</v>
      </c>
      <c r="L10" s="8" t="s">
        <v>818</v>
      </c>
      <c r="M10" s="8" t="s">
        <v>818</v>
      </c>
      <c r="N10" s="8" t="s">
        <v>818</v>
      </c>
      <c r="O10" s="8" t="s">
        <v>817</v>
      </c>
      <c r="P10" s="183"/>
      <c r="Q10" s="8" t="s">
        <v>818</v>
      </c>
      <c r="R10" s="113" t="s">
        <v>818</v>
      </c>
      <c r="S10" s="8" t="s">
        <v>818</v>
      </c>
      <c r="T10" s="8" t="s">
        <v>818</v>
      </c>
      <c r="U10" s="8" t="s">
        <v>818</v>
      </c>
      <c r="V10" s="8" t="s">
        <v>818</v>
      </c>
      <c r="W10" s="183"/>
      <c r="X10" s="8" t="s">
        <v>818</v>
      </c>
      <c r="Y10" s="113" t="s">
        <v>818</v>
      </c>
      <c r="Z10" s="8" t="s">
        <v>818</v>
      </c>
      <c r="AA10" s="8" t="s">
        <v>818</v>
      </c>
      <c r="AB10" s="8" t="s">
        <v>818</v>
      </c>
      <c r="AC10" s="8" t="s">
        <v>818</v>
      </c>
      <c r="AD10" s="183"/>
      <c r="AE10" s="8" t="s">
        <v>818</v>
      </c>
      <c r="AF10" s="113" t="s">
        <v>818</v>
      </c>
      <c r="AG10" s="8"/>
      <c r="AH10" s="8"/>
      <c r="AI10" s="8"/>
      <c r="AJ10" s="8"/>
      <c r="AK10" s="5">
        <f t="shared" si="0"/>
        <v>21</v>
      </c>
      <c r="AL10" s="5">
        <f t="shared" si="1"/>
        <v>1</v>
      </c>
    </row>
    <row r="11" spans="1:42" ht="15.5" x14ac:dyDescent="0.35">
      <c r="A11" s="20">
        <v>7</v>
      </c>
      <c r="B11" s="20">
        <v>501</v>
      </c>
      <c r="C11" s="22" t="s">
        <v>292</v>
      </c>
      <c r="D11" s="23" t="s">
        <v>232</v>
      </c>
      <c r="E11" s="19" t="s">
        <v>497</v>
      </c>
      <c r="F11" s="180"/>
      <c r="G11" s="8" t="s">
        <v>818</v>
      </c>
      <c r="H11" s="8" t="s">
        <v>818</v>
      </c>
      <c r="I11" s="183"/>
      <c r="J11" s="8" t="s">
        <v>818</v>
      </c>
      <c r="K11" s="113" t="s">
        <v>818</v>
      </c>
      <c r="L11" s="8" t="s">
        <v>818</v>
      </c>
      <c r="M11" s="8" t="s">
        <v>818</v>
      </c>
      <c r="N11" s="8" t="s">
        <v>818</v>
      </c>
      <c r="O11" s="8" t="s">
        <v>818</v>
      </c>
      <c r="P11" s="183"/>
      <c r="Q11" s="8" t="s">
        <v>818</v>
      </c>
      <c r="R11" s="113" t="s">
        <v>818</v>
      </c>
      <c r="S11" s="8" t="s">
        <v>818</v>
      </c>
      <c r="T11" s="8" t="s">
        <v>818</v>
      </c>
      <c r="U11" s="8" t="s">
        <v>818</v>
      </c>
      <c r="V11" s="8" t="s">
        <v>818</v>
      </c>
      <c r="W11" s="183"/>
      <c r="X11" s="8" t="s">
        <v>818</v>
      </c>
      <c r="Y11" s="113" t="s">
        <v>818</v>
      </c>
      <c r="Z11" s="8" t="s">
        <v>818</v>
      </c>
      <c r="AA11" s="8" t="s">
        <v>818</v>
      </c>
      <c r="AB11" s="8" t="s">
        <v>818</v>
      </c>
      <c r="AC11" s="8" t="s">
        <v>818</v>
      </c>
      <c r="AD11" s="183"/>
      <c r="AE11" s="8" t="s">
        <v>818</v>
      </c>
      <c r="AF11" s="113" t="s">
        <v>818</v>
      </c>
      <c r="AG11" s="8"/>
      <c r="AH11" s="8"/>
      <c r="AI11" s="8"/>
      <c r="AJ11" s="8"/>
      <c r="AK11" s="5">
        <f t="shared" si="0"/>
        <v>22</v>
      </c>
      <c r="AL11" s="5">
        <f t="shared" si="1"/>
        <v>0</v>
      </c>
      <c r="AM11" s="158" t="s">
        <v>9</v>
      </c>
      <c r="AN11" s="159"/>
      <c r="AO11" s="159"/>
      <c r="AP11" s="160"/>
    </row>
    <row r="12" spans="1:42" ht="15.5" x14ac:dyDescent="0.35">
      <c r="A12" s="20">
        <v>8</v>
      </c>
      <c r="B12" s="20">
        <v>497</v>
      </c>
      <c r="C12" s="22" t="s">
        <v>751</v>
      </c>
      <c r="D12" s="23" t="s">
        <v>747</v>
      </c>
      <c r="E12" s="19" t="s">
        <v>497</v>
      </c>
      <c r="F12" s="180"/>
      <c r="G12" s="8" t="s">
        <v>818</v>
      </c>
      <c r="H12" s="8" t="s">
        <v>818</v>
      </c>
      <c r="I12" s="183"/>
      <c r="J12" s="8" t="s">
        <v>817</v>
      </c>
      <c r="K12" s="113" t="s">
        <v>817</v>
      </c>
      <c r="L12" s="8" t="s">
        <v>817</v>
      </c>
      <c r="M12" s="8" t="s">
        <v>818</v>
      </c>
      <c r="N12" s="8" t="s">
        <v>818</v>
      </c>
      <c r="O12" s="8" t="s">
        <v>818</v>
      </c>
      <c r="P12" s="183"/>
      <c r="Q12" s="8" t="s">
        <v>818</v>
      </c>
      <c r="R12" s="113" t="s">
        <v>818</v>
      </c>
      <c r="S12" s="8" t="s">
        <v>818</v>
      </c>
      <c r="T12" s="8" t="s">
        <v>817</v>
      </c>
      <c r="U12" s="8" t="s">
        <v>818</v>
      </c>
      <c r="V12" s="8" t="s">
        <v>818</v>
      </c>
      <c r="W12" s="183"/>
      <c r="X12" s="8" t="s">
        <v>818</v>
      </c>
      <c r="Y12" s="113" t="s">
        <v>818</v>
      </c>
      <c r="Z12" s="8" t="s">
        <v>818</v>
      </c>
      <c r="AA12" s="8" t="s">
        <v>818</v>
      </c>
      <c r="AB12" s="8" t="s">
        <v>818</v>
      </c>
      <c r="AC12" s="8" t="s">
        <v>818</v>
      </c>
      <c r="AD12" s="183"/>
      <c r="AE12" s="8" t="s">
        <v>818</v>
      </c>
      <c r="AF12" s="113" t="s">
        <v>818</v>
      </c>
      <c r="AG12" s="8"/>
      <c r="AH12" s="8"/>
      <c r="AI12" s="8"/>
      <c r="AJ12" s="8"/>
      <c r="AK12" s="5">
        <f t="shared" si="0"/>
        <v>18</v>
      </c>
      <c r="AL12" s="5">
        <f t="shared" si="1"/>
        <v>4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5.5" x14ac:dyDescent="0.35">
      <c r="A13" s="20">
        <v>9</v>
      </c>
      <c r="B13" s="20">
        <v>550</v>
      </c>
      <c r="C13" s="22" t="s">
        <v>441</v>
      </c>
      <c r="D13" s="23" t="s">
        <v>442</v>
      </c>
      <c r="E13" s="19" t="s">
        <v>497</v>
      </c>
      <c r="F13" s="180"/>
      <c r="G13" s="8" t="s">
        <v>818</v>
      </c>
      <c r="H13" s="8" t="s">
        <v>818</v>
      </c>
      <c r="I13" s="183"/>
      <c r="J13" s="8" t="s">
        <v>818</v>
      </c>
      <c r="K13" s="113" t="s">
        <v>818</v>
      </c>
      <c r="L13" s="8" t="s">
        <v>818</v>
      </c>
      <c r="M13" s="8" t="s">
        <v>818</v>
      </c>
      <c r="N13" s="8" t="s">
        <v>818</v>
      </c>
      <c r="O13" s="8" t="s">
        <v>818</v>
      </c>
      <c r="P13" s="183"/>
      <c r="Q13" s="8" t="s">
        <v>818</v>
      </c>
      <c r="R13" s="113" t="s">
        <v>818</v>
      </c>
      <c r="S13" s="8" t="s">
        <v>818</v>
      </c>
      <c r="T13" s="8" t="s">
        <v>818</v>
      </c>
      <c r="U13" s="8" t="s">
        <v>818</v>
      </c>
      <c r="V13" s="8" t="s">
        <v>818</v>
      </c>
      <c r="W13" s="183"/>
      <c r="X13" s="8" t="s">
        <v>818</v>
      </c>
      <c r="Y13" s="113" t="s">
        <v>818</v>
      </c>
      <c r="Z13" s="8" t="s">
        <v>818</v>
      </c>
      <c r="AA13" s="8" t="s">
        <v>818</v>
      </c>
      <c r="AB13" s="8" t="s">
        <v>818</v>
      </c>
      <c r="AC13" s="8" t="s">
        <v>818</v>
      </c>
      <c r="AD13" s="183"/>
      <c r="AE13" s="8" t="s">
        <v>818</v>
      </c>
      <c r="AF13" s="113" t="s">
        <v>818</v>
      </c>
      <c r="AG13" s="8"/>
      <c r="AH13" s="8"/>
      <c r="AI13" s="8"/>
      <c r="AJ13" s="8"/>
      <c r="AK13" s="5">
        <f t="shared" si="0"/>
        <v>22</v>
      </c>
      <c r="AL13" s="5">
        <f t="shared" si="1"/>
        <v>0</v>
      </c>
      <c r="AM13" s="5" t="s">
        <v>14</v>
      </c>
      <c r="AN13" s="9">
        <f>21*$AN$5</f>
        <v>546</v>
      </c>
      <c r="AO13" s="9">
        <f>32*$AN$5</f>
        <v>832</v>
      </c>
      <c r="AP13" s="9">
        <f>SUM(AN13:AO13)</f>
        <v>1378</v>
      </c>
    </row>
    <row r="14" spans="1:42" ht="15.5" x14ac:dyDescent="0.35">
      <c r="A14" s="20">
        <v>10</v>
      </c>
      <c r="B14" s="20">
        <v>595</v>
      </c>
      <c r="C14" s="22" t="s">
        <v>443</v>
      </c>
      <c r="D14" s="23" t="s">
        <v>444</v>
      </c>
      <c r="E14" s="19" t="s">
        <v>497</v>
      </c>
      <c r="F14" s="180"/>
      <c r="G14" s="8" t="s">
        <v>817</v>
      </c>
      <c r="H14" s="8" t="s">
        <v>817</v>
      </c>
      <c r="I14" s="183"/>
      <c r="J14" s="8" t="s">
        <v>818</v>
      </c>
      <c r="K14" s="113" t="s">
        <v>818</v>
      </c>
      <c r="L14" s="8" t="s">
        <v>818</v>
      </c>
      <c r="M14" s="8" t="s">
        <v>818</v>
      </c>
      <c r="N14" s="8" t="s">
        <v>818</v>
      </c>
      <c r="O14" s="8" t="s">
        <v>818</v>
      </c>
      <c r="P14" s="183"/>
      <c r="Q14" s="8" t="s">
        <v>817</v>
      </c>
      <c r="R14" s="113" t="s">
        <v>818</v>
      </c>
      <c r="S14" s="8" t="s">
        <v>818</v>
      </c>
      <c r="T14" s="8" t="s">
        <v>817</v>
      </c>
      <c r="U14" s="8" t="s">
        <v>818</v>
      </c>
      <c r="V14" s="8" t="s">
        <v>818</v>
      </c>
      <c r="W14" s="183"/>
      <c r="X14" s="8" t="s">
        <v>818</v>
      </c>
      <c r="Y14" s="113" t="s">
        <v>818</v>
      </c>
      <c r="Z14" s="8" t="s">
        <v>818</v>
      </c>
      <c r="AA14" s="8" t="s">
        <v>818</v>
      </c>
      <c r="AB14" s="8" t="s">
        <v>818</v>
      </c>
      <c r="AC14" s="8" t="s">
        <v>818</v>
      </c>
      <c r="AD14" s="183"/>
      <c r="AE14" s="8" t="s">
        <v>818</v>
      </c>
      <c r="AF14" s="113" t="s">
        <v>818</v>
      </c>
      <c r="AG14" s="8"/>
      <c r="AH14" s="8"/>
      <c r="AI14" s="8"/>
      <c r="AJ14" s="8"/>
      <c r="AK14" s="5">
        <f t="shared" si="0"/>
        <v>18</v>
      </c>
      <c r="AL14" s="5">
        <f t="shared" si="1"/>
        <v>4</v>
      </c>
      <c r="AM14" s="5" t="s">
        <v>15</v>
      </c>
      <c r="AN14" s="9">
        <f>SUM(AK5:AK28)</f>
        <v>348</v>
      </c>
      <c r="AO14" s="9">
        <f>SUM(AK30:AK51)</f>
        <v>383</v>
      </c>
      <c r="AP14" s="9">
        <f>AN14+AO14</f>
        <v>731</v>
      </c>
    </row>
    <row r="15" spans="1:42" ht="15.5" x14ac:dyDescent="0.35">
      <c r="A15" s="20">
        <v>11</v>
      </c>
      <c r="B15" s="20">
        <v>917</v>
      </c>
      <c r="C15" s="22" t="s">
        <v>445</v>
      </c>
      <c r="D15" s="23" t="s">
        <v>839</v>
      </c>
      <c r="E15" s="19" t="s">
        <v>497</v>
      </c>
      <c r="F15" s="180"/>
      <c r="G15" s="8" t="s">
        <v>818</v>
      </c>
      <c r="H15" s="8" t="s">
        <v>817</v>
      </c>
      <c r="I15" s="183"/>
      <c r="J15" s="8" t="s">
        <v>818</v>
      </c>
      <c r="K15" s="113" t="s">
        <v>818</v>
      </c>
      <c r="L15" s="8" t="s">
        <v>818</v>
      </c>
      <c r="M15" s="8" t="s">
        <v>818</v>
      </c>
      <c r="N15" s="8" t="s">
        <v>818</v>
      </c>
      <c r="O15" s="8" t="s">
        <v>818</v>
      </c>
      <c r="P15" s="183"/>
      <c r="Q15" s="8" t="s">
        <v>817</v>
      </c>
      <c r="R15" s="113" t="s">
        <v>818</v>
      </c>
      <c r="S15" s="8" t="s">
        <v>818</v>
      </c>
      <c r="T15" s="8" t="s">
        <v>818</v>
      </c>
      <c r="U15" s="8" t="s">
        <v>818</v>
      </c>
      <c r="V15" s="8" t="s">
        <v>818</v>
      </c>
      <c r="W15" s="183"/>
      <c r="X15" s="8" t="s">
        <v>818</v>
      </c>
      <c r="Y15" s="113" t="s">
        <v>818</v>
      </c>
      <c r="Z15" s="8" t="s">
        <v>818</v>
      </c>
      <c r="AA15" s="8" t="s">
        <v>818</v>
      </c>
      <c r="AB15" s="8" t="s">
        <v>818</v>
      </c>
      <c r="AC15" s="8" t="s">
        <v>818</v>
      </c>
      <c r="AD15" s="183"/>
      <c r="AE15" s="8" t="s">
        <v>818</v>
      </c>
      <c r="AF15" s="113" t="s">
        <v>818</v>
      </c>
      <c r="AG15" s="8"/>
      <c r="AH15" s="8"/>
      <c r="AI15" s="8"/>
      <c r="AJ15" s="8"/>
      <c r="AK15" s="5">
        <f t="shared" si="0"/>
        <v>20</v>
      </c>
      <c r="AL15" s="5">
        <f t="shared" si="1"/>
        <v>2</v>
      </c>
      <c r="AM15" s="5" t="s">
        <v>16</v>
      </c>
      <c r="AN15" s="12">
        <f>AN14/AN13</f>
        <v>0.63736263736263732</v>
      </c>
      <c r="AO15" s="12">
        <f>AO14/AO13</f>
        <v>0.46033653846153844</v>
      </c>
      <c r="AP15" s="12">
        <f>AP14/AP13</f>
        <v>0.53047895500725695</v>
      </c>
    </row>
    <row r="16" spans="1:42" ht="15.5" x14ac:dyDescent="0.35">
      <c r="A16" s="20">
        <v>12</v>
      </c>
      <c r="B16" s="20">
        <v>883</v>
      </c>
      <c r="C16" s="22" t="s">
        <v>447</v>
      </c>
      <c r="D16" s="23" t="s">
        <v>448</v>
      </c>
      <c r="E16" s="19" t="s">
        <v>497</v>
      </c>
      <c r="F16" s="180"/>
      <c r="G16" s="8" t="s">
        <v>730</v>
      </c>
      <c r="H16" s="8" t="s">
        <v>730</v>
      </c>
      <c r="I16" s="183"/>
      <c r="J16" s="8" t="s">
        <v>730</v>
      </c>
      <c r="K16" s="113" t="s">
        <v>730</v>
      </c>
      <c r="L16" s="8" t="s">
        <v>730</v>
      </c>
      <c r="M16" s="8" t="s">
        <v>730</v>
      </c>
      <c r="N16" s="8" t="s">
        <v>817</v>
      </c>
      <c r="O16" s="8" t="s">
        <v>817</v>
      </c>
      <c r="P16" s="183"/>
      <c r="Q16" s="8" t="s">
        <v>818</v>
      </c>
      <c r="R16" s="113" t="s">
        <v>817</v>
      </c>
      <c r="S16" s="8" t="s">
        <v>818</v>
      </c>
      <c r="T16" s="8" t="s">
        <v>818</v>
      </c>
      <c r="U16" s="8" t="s">
        <v>818</v>
      </c>
      <c r="V16" s="8" t="s">
        <v>818</v>
      </c>
      <c r="W16" s="183"/>
      <c r="X16" s="8" t="s">
        <v>818</v>
      </c>
      <c r="Y16" s="113" t="s">
        <v>818</v>
      </c>
      <c r="Z16" s="8" t="s">
        <v>818</v>
      </c>
      <c r="AA16" s="8" t="s">
        <v>818</v>
      </c>
      <c r="AB16" s="8" t="s">
        <v>818</v>
      </c>
      <c r="AC16" s="8" t="s">
        <v>818</v>
      </c>
      <c r="AD16" s="183"/>
      <c r="AE16" s="8" t="s">
        <v>817</v>
      </c>
      <c r="AF16" s="113" t="s">
        <v>817</v>
      </c>
      <c r="AG16" s="8"/>
      <c r="AH16" s="8"/>
      <c r="AI16" s="8"/>
      <c r="AJ16" s="8"/>
      <c r="AK16" s="5">
        <f t="shared" si="0"/>
        <v>17</v>
      </c>
      <c r="AL16" s="5">
        <f t="shared" si="1"/>
        <v>5</v>
      </c>
      <c r="AM16"/>
      <c r="AN16"/>
      <c r="AO16"/>
      <c r="AP16"/>
    </row>
    <row r="17" spans="1:42" ht="15.5" x14ac:dyDescent="0.35">
      <c r="A17" s="20">
        <v>13</v>
      </c>
      <c r="B17" s="20">
        <v>779</v>
      </c>
      <c r="C17" s="22" t="s">
        <v>424</v>
      </c>
      <c r="D17" s="23" t="s">
        <v>451</v>
      </c>
      <c r="E17" s="19" t="s">
        <v>497</v>
      </c>
      <c r="F17" s="180"/>
      <c r="G17" s="8" t="s">
        <v>818</v>
      </c>
      <c r="H17" s="8" t="s">
        <v>818</v>
      </c>
      <c r="I17" s="183"/>
      <c r="J17" s="8" t="s">
        <v>818</v>
      </c>
      <c r="K17" s="113" t="s">
        <v>818</v>
      </c>
      <c r="L17" s="8" t="s">
        <v>818</v>
      </c>
      <c r="M17" s="8" t="s">
        <v>818</v>
      </c>
      <c r="N17" s="8" t="s">
        <v>818</v>
      </c>
      <c r="O17" s="8" t="s">
        <v>818</v>
      </c>
      <c r="P17" s="183"/>
      <c r="Q17" s="8" t="s">
        <v>818</v>
      </c>
      <c r="R17" s="113" t="s">
        <v>818</v>
      </c>
      <c r="S17" s="8" t="s">
        <v>818</v>
      </c>
      <c r="T17" s="8" t="s">
        <v>818</v>
      </c>
      <c r="U17" s="8" t="s">
        <v>818</v>
      </c>
      <c r="V17" s="8" t="s">
        <v>818</v>
      </c>
      <c r="W17" s="183"/>
      <c r="X17" s="8" t="s">
        <v>818</v>
      </c>
      <c r="Y17" s="113" t="s">
        <v>818</v>
      </c>
      <c r="Z17" s="8" t="s">
        <v>818</v>
      </c>
      <c r="AA17" s="8" t="s">
        <v>818</v>
      </c>
      <c r="AB17" s="8" t="s">
        <v>818</v>
      </c>
      <c r="AC17" s="8" t="s">
        <v>818</v>
      </c>
      <c r="AD17" s="183"/>
      <c r="AE17" s="8" t="s">
        <v>818</v>
      </c>
      <c r="AF17" s="113" t="s">
        <v>818</v>
      </c>
      <c r="AG17" s="8"/>
      <c r="AH17" s="8"/>
      <c r="AI17" s="8"/>
      <c r="AJ17" s="8"/>
      <c r="AK17" s="5">
        <f t="shared" si="0"/>
        <v>22</v>
      </c>
      <c r="AL17" s="5">
        <f t="shared" si="1"/>
        <v>0</v>
      </c>
      <c r="AM17"/>
      <c r="AN17"/>
      <c r="AO17"/>
      <c r="AP17"/>
    </row>
    <row r="18" spans="1:42" ht="15.5" x14ac:dyDescent="0.35">
      <c r="A18" s="20">
        <v>14</v>
      </c>
      <c r="B18" s="20">
        <v>848</v>
      </c>
      <c r="C18" s="22" t="s">
        <v>452</v>
      </c>
      <c r="D18" s="23" t="s">
        <v>139</v>
      </c>
      <c r="E18" s="19" t="s">
        <v>497</v>
      </c>
      <c r="F18" s="180"/>
      <c r="G18" s="8" t="s">
        <v>817</v>
      </c>
      <c r="H18" s="8" t="s">
        <v>817</v>
      </c>
      <c r="I18" s="183"/>
      <c r="J18" s="8" t="s">
        <v>819</v>
      </c>
      <c r="K18" s="113" t="s">
        <v>817</v>
      </c>
      <c r="L18" s="8" t="s">
        <v>817</v>
      </c>
      <c r="M18" s="8" t="s">
        <v>818</v>
      </c>
      <c r="N18" s="8" t="s">
        <v>818</v>
      </c>
      <c r="O18" s="8" t="s">
        <v>818</v>
      </c>
      <c r="P18" s="183"/>
      <c r="Q18" s="8" t="s">
        <v>817</v>
      </c>
      <c r="R18" s="113" t="s">
        <v>818</v>
      </c>
      <c r="S18" s="8" t="s">
        <v>818</v>
      </c>
      <c r="T18" s="8" t="s">
        <v>818</v>
      </c>
      <c r="U18" s="8" t="s">
        <v>817</v>
      </c>
      <c r="V18" s="8" t="s">
        <v>817</v>
      </c>
      <c r="W18" s="183"/>
      <c r="X18" s="8" t="s">
        <v>818</v>
      </c>
      <c r="Y18" s="113" t="s">
        <v>818</v>
      </c>
      <c r="Z18" s="8" t="s">
        <v>818</v>
      </c>
      <c r="AA18" s="8" t="s">
        <v>818</v>
      </c>
      <c r="AB18" s="8" t="s">
        <v>818</v>
      </c>
      <c r="AC18" s="8" t="s">
        <v>818</v>
      </c>
      <c r="AD18" s="183"/>
      <c r="AE18" s="8" t="s">
        <v>819</v>
      </c>
      <c r="AF18" s="113" t="s">
        <v>818</v>
      </c>
      <c r="AG18" s="8"/>
      <c r="AH18" s="8"/>
      <c r="AI18" s="8"/>
      <c r="AJ18" s="8"/>
      <c r="AK18" s="5">
        <f t="shared" si="0"/>
        <v>13</v>
      </c>
      <c r="AL18" s="5">
        <f t="shared" si="1"/>
        <v>7</v>
      </c>
      <c r="AM18"/>
      <c r="AN18"/>
      <c r="AO18"/>
      <c r="AP18"/>
    </row>
    <row r="19" spans="1:42" ht="15.5" x14ac:dyDescent="0.35">
      <c r="A19" s="20">
        <v>15</v>
      </c>
      <c r="B19" s="20">
        <v>916</v>
      </c>
      <c r="C19" s="22" t="s">
        <v>453</v>
      </c>
      <c r="D19" s="23" t="s">
        <v>454</v>
      </c>
      <c r="E19" s="19" t="s">
        <v>497</v>
      </c>
      <c r="F19" s="180"/>
      <c r="G19" s="8" t="s">
        <v>817</v>
      </c>
      <c r="H19" s="8" t="s">
        <v>817</v>
      </c>
      <c r="I19" s="183"/>
      <c r="J19" s="8" t="s">
        <v>817</v>
      </c>
      <c r="K19" s="113" t="s">
        <v>817</v>
      </c>
      <c r="L19" s="8" t="s">
        <v>817</v>
      </c>
      <c r="M19" s="8" t="s">
        <v>817</v>
      </c>
      <c r="N19" s="8" t="s">
        <v>817</v>
      </c>
      <c r="O19" s="8" t="s">
        <v>817</v>
      </c>
      <c r="P19" s="183"/>
      <c r="Q19" s="8" t="s">
        <v>817</v>
      </c>
      <c r="R19" s="113" t="s">
        <v>817</v>
      </c>
      <c r="S19" s="8" t="s">
        <v>817</v>
      </c>
      <c r="T19" s="8" t="s">
        <v>817</v>
      </c>
      <c r="U19" s="8" t="s">
        <v>817</v>
      </c>
      <c r="V19" s="8" t="s">
        <v>817</v>
      </c>
      <c r="W19" s="183"/>
      <c r="X19" s="8" t="s">
        <v>817</v>
      </c>
      <c r="Y19" s="113" t="s">
        <v>817</v>
      </c>
      <c r="Z19" s="8" t="s">
        <v>817</v>
      </c>
      <c r="AA19" s="8" t="s">
        <v>817</v>
      </c>
      <c r="AB19" s="8" t="s">
        <v>817</v>
      </c>
      <c r="AC19" s="8" t="s">
        <v>817</v>
      </c>
      <c r="AD19" s="183"/>
      <c r="AE19" s="8" t="s">
        <v>817</v>
      </c>
      <c r="AF19" s="113" t="s">
        <v>817</v>
      </c>
      <c r="AG19" s="8"/>
      <c r="AH19" s="8"/>
      <c r="AI19" s="8"/>
      <c r="AJ19" s="8"/>
      <c r="AK19" s="5">
        <f t="shared" si="0"/>
        <v>0</v>
      </c>
      <c r="AL19" s="5">
        <f t="shared" si="1"/>
        <v>22</v>
      </c>
      <c r="AM19" s="158" t="s">
        <v>121</v>
      </c>
      <c r="AN19" s="159"/>
      <c r="AO19" s="159"/>
      <c r="AP19" s="160"/>
    </row>
    <row r="20" spans="1:42" ht="15.5" x14ac:dyDescent="0.35">
      <c r="A20" s="20">
        <v>16</v>
      </c>
      <c r="B20" s="20">
        <v>904</v>
      </c>
      <c r="C20" s="24" t="s">
        <v>455</v>
      </c>
      <c r="D20" s="24" t="s">
        <v>456</v>
      </c>
      <c r="E20" s="19" t="s">
        <v>497</v>
      </c>
      <c r="F20" s="180"/>
      <c r="G20" s="8" t="s">
        <v>818</v>
      </c>
      <c r="H20" s="8" t="s">
        <v>817</v>
      </c>
      <c r="I20" s="183"/>
      <c r="J20" s="8" t="s">
        <v>818</v>
      </c>
      <c r="K20" s="113" t="s">
        <v>818</v>
      </c>
      <c r="L20" s="8" t="s">
        <v>817</v>
      </c>
      <c r="M20" s="8" t="s">
        <v>818</v>
      </c>
      <c r="N20" s="8" t="s">
        <v>818</v>
      </c>
      <c r="O20" s="8" t="s">
        <v>817</v>
      </c>
      <c r="P20" s="183"/>
      <c r="Q20" s="8" t="s">
        <v>818</v>
      </c>
      <c r="R20" s="113" t="s">
        <v>818</v>
      </c>
      <c r="S20" s="8" t="s">
        <v>818</v>
      </c>
      <c r="T20" s="8" t="s">
        <v>817</v>
      </c>
      <c r="U20" s="8" t="s">
        <v>817</v>
      </c>
      <c r="V20" s="8" t="s">
        <v>818</v>
      </c>
      <c r="W20" s="183"/>
      <c r="X20" s="8" t="s">
        <v>818</v>
      </c>
      <c r="Y20" s="113" t="s">
        <v>817</v>
      </c>
      <c r="Z20" s="8" t="s">
        <v>818</v>
      </c>
      <c r="AA20" s="8" t="s">
        <v>817</v>
      </c>
      <c r="AB20" s="8" t="s">
        <v>818</v>
      </c>
      <c r="AC20" s="8" t="s">
        <v>818</v>
      </c>
      <c r="AD20" s="183"/>
      <c r="AE20" s="8" t="s">
        <v>818</v>
      </c>
      <c r="AF20" s="113" t="s">
        <v>818</v>
      </c>
      <c r="AG20" s="8"/>
      <c r="AH20" s="8"/>
      <c r="AI20" s="8"/>
      <c r="AJ20" s="8"/>
      <c r="AK20" s="5">
        <f t="shared" si="0"/>
        <v>15</v>
      </c>
      <c r="AL20" s="5">
        <f t="shared" si="1"/>
        <v>7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5.5" x14ac:dyDescent="0.35">
      <c r="A21" s="20">
        <v>17</v>
      </c>
      <c r="B21" s="20">
        <v>757</v>
      </c>
      <c r="C21" s="24" t="s">
        <v>752</v>
      </c>
      <c r="D21" s="24" t="s">
        <v>498</v>
      </c>
      <c r="E21" s="19" t="s">
        <v>497</v>
      </c>
      <c r="F21" s="180"/>
      <c r="G21" s="8" t="s">
        <v>817</v>
      </c>
      <c r="H21" s="8" t="s">
        <v>817</v>
      </c>
      <c r="I21" s="183"/>
      <c r="J21" s="8" t="s">
        <v>817</v>
      </c>
      <c r="K21" s="113" t="s">
        <v>817</v>
      </c>
      <c r="L21" s="8" t="s">
        <v>817</v>
      </c>
      <c r="M21" s="8" t="s">
        <v>817</v>
      </c>
      <c r="N21" s="8" t="s">
        <v>817</v>
      </c>
      <c r="O21" s="8" t="s">
        <v>817</v>
      </c>
      <c r="P21" s="183"/>
      <c r="Q21" s="8" t="s">
        <v>817</v>
      </c>
      <c r="R21" s="113" t="s">
        <v>817</v>
      </c>
      <c r="S21" s="8" t="s">
        <v>817</v>
      </c>
      <c r="T21" s="8" t="s">
        <v>817</v>
      </c>
      <c r="U21" s="8" t="s">
        <v>817</v>
      </c>
      <c r="V21" s="8" t="s">
        <v>817</v>
      </c>
      <c r="W21" s="183"/>
      <c r="X21" s="8" t="s">
        <v>817</v>
      </c>
      <c r="Y21" s="113" t="s">
        <v>817</v>
      </c>
      <c r="Z21" s="8" t="s">
        <v>817</v>
      </c>
      <c r="AA21" s="8" t="s">
        <v>817</v>
      </c>
      <c r="AB21" s="8" t="s">
        <v>818</v>
      </c>
      <c r="AC21" s="8" t="s">
        <v>818</v>
      </c>
      <c r="AD21" s="183"/>
      <c r="AE21" s="8" t="s">
        <v>817</v>
      </c>
      <c r="AF21" s="113" t="s">
        <v>817</v>
      </c>
      <c r="AG21" s="8"/>
      <c r="AH21" s="8"/>
      <c r="AI21" s="8"/>
      <c r="AJ21" s="8"/>
      <c r="AK21" s="5">
        <f t="shared" si="0"/>
        <v>2</v>
      </c>
      <c r="AL21" s="5">
        <f t="shared" si="1"/>
        <v>20</v>
      </c>
      <c r="AM21" s="5" t="s">
        <v>14</v>
      </c>
      <c r="AN21" s="9">
        <f>21*$AN$5</f>
        <v>546</v>
      </c>
      <c r="AO21" s="9">
        <f>32*$AN$5</f>
        <v>832</v>
      </c>
      <c r="AP21" s="9">
        <f>AN21+AO21</f>
        <v>1378</v>
      </c>
    </row>
    <row r="22" spans="1:42" ht="15.5" x14ac:dyDescent="0.35">
      <c r="A22" s="20">
        <v>18</v>
      </c>
      <c r="B22" s="20">
        <v>508</v>
      </c>
      <c r="C22" s="24" t="s">
        <v>504</v>
      </c>
      <c r="D22" s="24" t="s">
        <v>464</v>
      </c>
      <c r="E22" s="104" t="s">
        <v>497</v>
      </c>
      <c r="F22" s="180"/>
      <c r="G22" s="8" t="s">
        <v>817</v>
      </c>
      <c r="H22" s="8" t="s">
        <v>817</v>
      </c>
      <c r="I22" s="183"/>
      <c r="J22" s="8" t="s">
        <v>817</v>
      </c>
      <c r="K22" s="113" t="s">
        <v>817</v>
      </c>
      <c r="L22" s="8" t="s">
        <v>817</v>
      </c>
      <c r="M22" s="8" t="s">
        <v>817</v>
      </c>
      <c r="N22" s="8" t="s">
        <v>817</v>
      </c>
      <c r="O22" s="8" t="s">
        <v>817</v>
      </c>
      <c r="P22" s="183"/>
      <c r="Q22" s="8" t="s">
        <v>817</v>
      </c>
      <c r="R22" s="113" t="s">
        <v>817</v>
      </c>
      <c r="S22" s="8" t="s">
        <v>817</v>
      </c>
      <c r="T22" s="8" t="s">
        <v>817</v>
      </c>
      <c r="U22" s="8" t="s">
        <v>817</v>
      </c>
      <c r="V22" s="8" t="s">
        <v>817</v>
      </c>
      <c r="W22" s="183"/>
      <c r="X22" s="8" t="s">
        <v>817</v>
      </c>
      <c r="Y22" s="113" t="s">
        <v>817</v>
      </c>
      <c r="Z22" s="8" t="s">
        <v>817</v>
      </c>
      <c r="AA22" s="8" t="s">
        <v>817</v>
      </c>
      <c r="AB22" s="8" t="s">
        <v>817</v>
      </c>
      <c r="AC22" s="8" t="s">
        <v>817</v>
      </c>
      <c r="AD22" s="183"/>
      <c r="AE22" s="8" t="s">
        <v>817</v>
      </c>
      <c r="AF22" s="113" t="s">
        <v>817</v>
      </c>
      <c r="AG22" s="8"/>
      <c r="AH22" s="8"/>
      <c r="AI22" s="8"/>
      <c r="AJ22" s="8"/>
      <c r="AK22" s="5">
        <f t="shared" si="0"/>
        <v>0</v>
      </c>
      <c r="AL22" s="5">
        <f t="shared" si="1"/>
        <v>22</v>
      </c>
      <c r="AM22" s="5" t="s">
        <v>17</v>
      </c>
      <c r="AN22" s="9">
        <f>AN21-AN14</f>
        <v>198</v>
      </c>
      <c r="AO22" s="9">
        <f>AO21-AO14</f>
        <v>449</v>
      </c>
      <c r="AP22" s="9">
        <f>AN22+AO22</f>
        <v>647</v>
      </c>
    </row>
    <row r="23" spans="1:42" ht="15.5" x14ac:dyDescent="0.35">
      <c r="A23" s="20">
        <v>19</v>
      </c>
      <c r="B23" s="20"/>
      <c r="C23" s="24" t="s">
        <v>840</v>
      </c>
      <c r="D23" s="24" t="s">
        <v>133</v>
      </c>
      <c r="E23" s="104" t="s">
        <v>497</v>
      </c>
      <c r="F23" s="180"/>
      <c r="G23" s="8" t="s">
        <v>730</v>
      </c>
      <c r="H23" s="8" t="s">
        <v>730</v>
      </c>
      <c r="I23" s="183"/>
      <c r="J23" s="8" t="s">
        <v>730</v>
      </c>
      <c r="K23" s="113" t="s">
        <v>730</v>
      </c>
      <c r="L23" s="8" t="s">
        <v>730</v>
      </c>
      <c r="M23" s="8" t="s">
        <v>730</v>
      </c>
      <c r="N23" s="8" t="s">
        <v>730</v>
      </c>
      <c r="O23" s="8" t="s">
        <v>730</v>
      </c>
      <c r="P23" s="183"/>
      <c r="Q23" s="8" t="s">
        <v>730</v>
      </c>
      <c r="R23" s="113" t="s">
        <v>730</v>
      </c>
      <c r="S23" s="8" t="s">
        <v>730</v>
      </c>
      <c r="T23" s="8" t="s">
        <v>818</v>
      </c>
      <c r="U23" s="8" t="s">
        <v>818</v>
      </c>
      <c r="V23" s="8" t="s">
        <v>818</v>
      </c>
      <c r="W23" s="183"/>
      <c r="X23" s="8" t="s">
        <v>818</v>
      </c>
      <c r="Y23" s="113" t="s">
        <v>818</v>
      </c>
      <c r="Z23" s="8" t="s">
        <v>818</v>
      </c>
      <c r="AA23" s="8" t="s">
        <v>818</v>
      </c>
      <c r="AB23" s="8" t="s">
        <v>817</v>
      </c>
      <c r="AC23" s="8" t="s">
        <v>817</v>
      </c>
      <c r="AD23" s="183"/>
      <c r="AE23" s="8" t="s">
        <v>817</v>
      </c>
      <c r="AF23" s="113" t="s">
        <v>817</v>
      </c>
      <c r="AG23" s="8"/>
      <c r="AH23" s="8"/>
      <c r="AI23" s="8"/>
      <c r="AJ23" s="8"/>
      <c r="AK23" s="5">
        <f t="shared" si="0"/>
        <v>18</v>
      </c>
      <c r="AL23" s="5">
        <f t="shared" si="1"/>
        <v>4</v>
      </c>
      <c r="AM23" s="5"/>
      <c r="AN23" s="9"/>
      <c r="AO23" s="9"/>
      <c r="AP23" s="9"/>
    </row>
    <row r="24" spans="1:42" ht="15.5" x14ac:dyDescent="0.35">
      <c r="A24" s="20">
        <v>20</v>
      </c>
      <c r="B24" s="20"/>
      <c r="C24" s="24" t="s">
        <v>841</v>
      </c>
      <c r="D24" s="24" t="s">
        <v>843</v>
      </c>
      <c r="E24" s="104" t="s">
        <v>497</v>
      </c>
      <c r="F24" s="180"/>
      <c r="G24" s="8" t="s">
        <v>730</v>
      </c>
      <c r="H24" s="8" t="s">
        <v>730</v>
      </c>
      <c r="I24" s="183"/>
      <c r="J24" s="8" t="s">
        <v>817</v>
      </c>
      <c r="K24" s="113" t="s">
        <v>818</v>
      </c>
      <c r="L24" s="8" t="s">
        <v>818</v>
      </c>
      <c r="M24" s="8" t="s">
        <v>817</v>
      </c>
      <c r="N24" s="8" t="s">
        <v>817</v>
      </c>
      <c r="O24" s="8" t="s">
        <v>819</v>
      </c>
      <c r="P24" s="183"/>
      <c r="Q24" s="8" t="s">
        <v>818</v>
      </c>
      <c r="R24" s="113" t="s">
        <v>818</v>
      </c>
      <c r="S24" s="8" t="s">
        <v>818</v>
      </c>
      <c r="T24" s="8" t="s">
        <v>818</v>
      </c>
      <c r="U24" s="8" t="s">
        <v>817</v>
      </c>
      <c r="V24" s="8" t="s">
        <v>817</v>
      </c>
      <c r="W24" s="183"/>
      <c r="X24" s="8" t="s">
        <v>817</v>
      </c>
      <c r="Y24" s="113" t="s">
        <v>818</v>
      </c>
      <c r="Z24" s="8" t="s">
        <v>818</v>
      </c>
      <c r="AA24" s="8" t="s">
        <v>817</v>
      </c>
      <c r="AB24" s="8" t="s">
        <v>818</v>
      </c>
      <c r="AC24" s="8" t="s">
        <v>818</v>
      </c>
      <c r="AD24" s="183"/>
      <c r="AE24" s="8" t="s">
        <v>818</v>
      </c>
      <c r="AF24" s="113" t="s">
        <v>818</v>
      </c>
      <c r="AG24" s="8"/>
      <c r="AH24" s="8"/>
      <c r="AI24" s="8"/>
      <c r="AJ24" s="8"/>
      <c r="AK24" s="5">
        <f t="shared" si="0"/>
        <v>14</v>
      </c>
      <c r="AL24" s="5">
        <f t="shared" si="1"/>
        <v>7</v>
      </c>
      <c r="AM24" s="5"/>
      <c r="AN24" s="9"/>
      <c r="AO24" s="9"/>
      <c r="AP24" s="9"/>
    </row>
    <row r="25" spans="1:42" ht="15.5" x14ac:dyDescent="0.35">
      <c r="A25" s="20">
        <v>21</v>
      </c>
      <c r="B25" s="20"/>
      <c r="C25" s="24" t="s">
        <v>842</v>
      </c>
      <c r="D25" s="24" t="s">
        <v>843</v>
      </c>
      <c r="E25" s="104" t="s">
        <v>497</v>
      </c>
      <c r="F25" s="180"/>
      <c r="G25" s="8" t="s">
        <v>818</v>
      </c>
      <c r="H25" s="8" t="s">
        <v>818</v>
      </c>
      <c r="I25" s="183"/>
      <c r="J25" s="8" t="s">
        <v>817</v>
      </c>
      <c r="K25" s="113" t="s">
        <v>818</v>
      </c>
      <c r="L25" s="8" t="s">
        <v>818</v>
      </c>
      <c r="M25" s="8" t="s">
        <v>817</v>
      </c>
      <c r="N25" s="8" t="s">
        <v>817</v>
      </c>
      <c r="O25" s="8" t="s">
        <v>819</v>
      </c>
      <c r="P25" s="183"/>
      <c r="Q25" s="8" t="s">
        <v>818</v>
      </c>
      <c r="R25" s="113" t="s">
        <v>818</v>
      </c>
      <c r="S25" s="8" t="s">
        <v>818</v>
      </c>
      <c r="T25" s="8" t="s">
        <v>818</v>
      </c>
      <c r="U25" s="8" t="s">
        <v>817</v>
      </c>
      <c r="V25" s="8" t="s">
        <v>817</v>
      </c>
      <c r="W25" s="183"/>
      <c r="X25" s="8" t="s">
        <v>817</v>
      </c>
      <c r="Y25" s="113" t="s">
        <v>817</v>
      </c>
      <c r="Z25" s="8" t="s">
        <v>818</v>
      </c>
      <c r="AA25" s="8" t="s">
        <v>817</v>
      </c>
      <c r="AB25" s="8" t="s">
        <v>818</v>
      </c>
      <c r="AC25" s="8" t="s">
        <v>818</v>
      </c>
      <c r="AD25" s="183"/>
      <c r="AE25" s="8" t="s">
        <v>818</v>
      </c>
      <c r="AF25" s="113" t="s">
        <v>818</v>
      </c>
      <c r="AG25" s="8"/>
      <c r="AH25" s="8"/>
      <c r="AI25" s="8"/>
      <c r="AJ25" s="8"/>
      <c r="AK25" s="5">
        <f t="shared" si="0"/>
        <v>13</v>
      </c>
      <c r="AL25" s="5">
        <f t="shared" si="1"/>
        <v>8</v>
      </c>
      <c r="AM25" s="5"/>
      <c r="AN25" s="9"/>
      <c r="AO25" s="9"/>
      <c r="AP25" s="9"/>
    </row>
    <row r="26" spans="1:42" ht="13" customHeight="1" x14ac:dyDescent="0.35">
      <c r="A26" s="20">
        <v>1</v>
      </c>
      <c r="B26" s="20">
        <v>358</v>
      </c>
      <c r="C26" s="24" t="s">
        <v>623</v>
      </c>
      <c r="D26" s="24" t="s">
        <v>748</v>
      </c>
      <c r="E26" s="19" t="s">
        <v>497</v>
      </c>
      <c r="F26" s="180"/>
      <c r="G26" s="8" t="s">
        <v>818</v>
      </c>
      <c r="H26" s="8" t="s">
        <v>818</v>
      </c>
      <c r="I26" s="183"/>
      <c r="J26" s="8" t="s">
        <v>818</v>
      </c>
      <c r="K26" s="113" t="s">
        <v>818</v>
      </c>
      <c r="L26" s="8" t="s">
        <v>818</v>
      </c>
      <c r="M26" s="8" t="s">
        <v>818</v>
      </c>
      <c r="N26" s="8" t="s">
        <v>818</v>
      </c>
      <c r="O26" s="8" t="s">
        <v>818</v>
      </c>
      <c r="P26" s="183"/>
      <c r="Q26" s="8" t="s">
        <v>818</v>
      </c>
      <c r="R26" s="113" t="s">
        <v>818</v>
      </c>
      <c r="S26" s="8" t="s">
        <v>818</v>
      </c>
      <c r="T26" s="8" t="s">
        <v>818</v>
      </c>
      <c r="U26" s="8" t="s">
        <v>818</v>
      </c>
      <c r="V26" s="8" t="s">
        <v>818</v>
      </c>
      <c r="W26" s="183"/>
      <c r="X26" s="8" t="s">
        <v>818</v>
      </c>
      <c r="Y26" s="113" t="s">
        <v>818</v>
      </c>
      <c r="Z26" s="8" t="s">
        <v>817</v>
      </c>
      <c r="AA26" s="8" t="s">
        <v>818</v>
      </c>
      <c r="AB26" s="8" t="s">
        <v>818</v>
      </c>
      <c r="AC26" s="8" t="s">
        <v>818</v>
      </c>
      <c r="AD26" s="183"/>
      <c r="AE26" s="8" t="s">
        <v>818</v>
      </c>
      <c r="AF26" s="113" t="s">
        <v>818</v>
      </c>
      <c r="AG26" s="8"/>
      <c r="AH26" s="8"/>
      <c r="AI26" s="8"/>
      <c r="AJ26" s="8"/>
      <c r="AK26" s="5">
        <f t="shared" si="0"/>
        <v>21</v>
      </c>
      <c r="AL26" s="5">
        <f t="shared" si="1"/>
        <v>1</v>
      </c>
      <c r="AM26" s="5" t="s">
        <v>16</v>
      </c>
      <c r="AN26" s="12">
        <f>AN22/AN21</f>
        <v>0.36263736263736263</v>
      </c>
      <c r="AO26" s="12">
        <f>AO22/AO21</f>
        <v>0.53966346153846156</v>
      </c>
      <c r="AP26" s="12">
        <f>AP22/AP21</f>
        <v>0.46952104499274311</v>
      </c>
    </row>
    <row r="27" spans="1:42" ht="15.5" x14ac:dyDescent="0.35">
      <c r="A27" s="20">
        <v>2</v>
      </c>
      <c r="B27" s="20">
        <v>543</v>
      </c>
      <c r="C27" s="24" t="s">
        <v>457</v>
      </c>
      <c r="D27" s="24" t="s">
        <v>458</v>
      </c>
      <c r="E27" s="19" t="s">
        <v>497</v>
      </c>
      <c r="F27" s="180"/>
      <c r="G27" s="8" t="s">
        <v>818</v>
      </c>
      <c r="H27" s="8" t="s">
        <v>818</v>
      </c>
      <c r="I27" s="183"/>
      <c r="J27" s="8" t="s">
        <v>817</v>
      </c>
      <c r="K27" s="113" t="s">
        <v>817</v>
      </c>
      <c r="L27" s="8" t="s">
        <v>817</v>
      </c>
      <c r="M27" s="8" t="s">
        <v>818</v>
      </c>
      <c r="N27" s="8" t="s">
        <v>818</v>
      </c>
      <c r="O27" s="8" t="s">
        <v>818</v>
      </c>
      <c r="P27" s="183"/>
      <c r="Q27" s="8" t="s">
        <v>818</v>
      </c>
      <c r="R27" s="113" t="s">
        <v>818</v>
      </c>
      <c r="S27" s="8" t="s">
        <v>818</v>
      </c>
      <c r="T27" s="8" t="s">
        <v>818</v>
      </c>
      <c r="U27" s="8" t="s">
        <v>818</v>
      </c>
      <c r="V27" s="8" t="s">
        <v>819</v>
      </c>
      <c r="W27" s="183"/>
      <c r="X27" s="8" t="s">
        <v>818</v>
      </c>
      <c r="Y27" s="113" t="s">
        <v>818</v>
      </c>
      <c r="Z27" s="8" t="s">
        <v>818</v>
      </c>
      <c r="AA27" s="8" t="s">
        <v>818</v>
      </c>
      <c r="AB27" s="8" t="s">
        <v>818</v>
      </c>
      <c r="AC27" s="8" t="s">
        <v>818</v>
      </c>
      <c r="AD27" s="183"/>
      <c r="AE27" s="8" t="s">
        <v>818</v>
      </c>
      <c r="AF27" s="113" t="s">
        <v>818</v>
      </c>
      <c r="AG27" s="8"/>
      <c r="AH27" s="8"/>
      <c r="AI27" s="8"/>
      <c r="AJ27" s="8"/>
      <c r="AK27" s="5">
        <f t="shared" si="0"/>
        <v>18</v>
      </c>
      <c r="AL27" s="5">
        <f t="shared" si="1"/>
        <v>3</v>
      </c>
    </row>
    <row r="28" spans="1:42" ht="15.5" x14ac:dyDescent="0.35">
      <c r="A28" s="20">
        <v>3</v>
      </c>
      <c r="B28" s="20">
        <v>594</v>
      </c>
      <c r="C28" s="24" t="s">
        <v>459</v>
      </c>
      <c r="D28" s="24" t="s">
        <v>460</v>
      </c>
      <c r="E28" s="19" t="s">
        <v>497</v>
      </c>
      <c r="F28" s="180"/>
      <c r="G28" s="8" t="s">
        <v>818</v>
      </c>
      <c r="H28" s="8" t="s">
        <v>818</v>
      </c>
      <c r="I28" s="183"/>
      <c r="J28" s="8" t="s">
        <v>818</v>
      </c>
      <c r="K28" s="113" t="s">
        <v>818</v>
      </c>
      <c r="L28" s="8" t="s">
        <v>818</v>
      </c>
      <c r="M28" s="8" t="s">
        <v>818</v>
      </c>
      <c r="N28" s="8" t="s">
        <v>818</v>
      </c>
      <c r="O28" s="8" t="s">
        <v>818</v>
      </c>
      <c r="P28" s="183"/>
      <c r="Q28" s="8" t="s">
        <v>818</v>
      </c>
      <c r="R28" s="113" t="s">
        <v>819</v>
      </c>
      <c r="S28" s="8" t="s">
        <v>818</v>
      </c>
      <c r="T28" s="8" t="s">
        <v>817</v>
      </c>
      <c r="U28" s="8" t="s">
        <v>818</v>
      </c>
      <c r="V28" s="8" t="s">
        <v>818</v>
      </c>
      <c r="W28" s="183"/>
      <c r="X28" s="8" t="s">
        <v>818</v>
      </c>
      <c r="Y28" s="113" t="s">
        <v>818</v>
      </c>
      <c r="Z28" s="8" t="s">
        <v>818</v>
      </c>
      <c r="AA28" s="8" t="s">
        <v>818</v>
      </c>
      <c r="AB28" s="8" t="s">
        <v>818</v>
      </c>
      <c r="AC28" s="8" t="s">
        <v>818</v>
      </c>
      <c r="AD28" s="183"/>
      <c r="AE28" s="8" t="s">
        <v>818</v>
      </c>
      <c r="AF28" s="113" t="s">
        <v>818</v>
      </c>
      <c r="AG28" s="8"/>
      <c r="AH28" s="8"/>
      <c r="AI28" s="8"/>
      <c r="AJ28" s="8"/>
      <c r="AK28" s="5" t="s">
        <v>716</v>
      </c>
      <c r="AL28" s="5">
        <f t="shared" si="1"/>
        <v>1</v>
      </c>
    </row>
    <row r="29" spans="1:42" ht="15.5" x14ac:dyDescent="0.35">
      <c r="A29" s="20">
        <v>4</v>
      </c>
      <c r="B29" s="20">
        <v>432</v>
      </c>
      <c r="C29" s="24" t="s">
        <v>489</v>
      </c>
      <c r="D29" s="24" t="s">
        <v>490</v>
      </c>
      <c r="E29" s="19" t="s">
        <v>497</v>
      </c>
      <c r="F29" s="180"/>
      <c r="G29" s="8" t="s">
        <v>730</v>
      </c>
      <c r="H29" s="8" t="s">
        <v>817</v>
      </c>
      <c r="I29" s="183"/>
      <c r="J29" s="8" t="s">
        <v>818</v>
      </c>
      <c r="K29" s="113" t="s">
        <v>818</v>
      </c>
      <c r="L29" s="8" t="s">
        <v>818</v>
      </c>
      <c r="M29" s="8" t="s">
        <v>818</v>
      </c>
      <c r="N29" s="8" t="s">
        <v>818</v>
      </c>
      <c r="O29" s="8" t="s">
        <v>818</v>
      </c>
      <c r="P29" s="183"/>
      <c r="Q29" s="8" t="s">
        <v>818</v>
      </c>
      <c r="R29" s="113" t="s">
        <v>818</v>
      </c>
      <c r="S29" s="8" t="s">
        <v>817</v>
      </c>
      <c r="T29" s="8" t="s">
        <v>818</v>
      </c>
      <c r="U29" s="8" t="s">
        <v>818</v>
      </c>
      <c r="V29" s="8" t="s">
        <v>818</v>
      </c>
      <c r="W29" s="183"/>
      <c r="X29" s="8" t="s">
        <v>818</v>
      </c>
      <c r="Y29" s="113" t="s">
        <v>818</v>
      </c>
      <c r="Z29" s="8" t="s">
        <v>818</v>
      </c>
      <c r="AA29" s="8" t="s">
        <v>818</v>
      </c>
      <c r="AB29" s="8" t="s">
        <v>818</v>
      </c>
      <c r="AC29" s="8" t="s">
        <v>818</v>
      </c>
      <c r="AD29" s="183"/>
      <c r="AE29" s="8" t="s">
        <v>817</v>
      </c>
      <c r="AF29" s="113" t="s">
        <v>818</v>
      </c>
      <c r="AG29" s="8"/>
      <c r="AH29" s="8"/>
      <c r="AI29" s="8"/>
      <c r="AJ29" s="8"/>
      <c r="AK29" s="5">
        <f t="shared" ref="AK29:AK51" si="2">COUNTIF(F29:AI29,"P")</f>
        <v>19</v>
      </c>
      <c r="AL29" s="5">
        <f t="shared" si="1"/>
        <v>3</v>
      </c>
    </row>
    <row r="30" spans="1:42" ht="15.5" x14ac:dyDescent="0.35">
      <c r="A30" s="20">
        <v>5</v>
      </c>
      <c r="B30" s="20">
        <v>590</v>
      </c>
      <c r="C30" s="24" t="s">
        <v>753</v>
      </c>
      <c r="D30" s="24" t="s">
        <v>749</v>
      </c>
      <c r="E30" s="19" t="s">
        <v>497</v>
      </c>
      <c r="F30" s="180"/>
      <c r="G30" s="8" t="s">
        <v>817</v>
      </c>
      <c r="H30" s="8" t="s">
        <v>817</v>
      </c>
      <c r="I30" s="183"/>
      <c r="J30" s="8" t="s">
        <v>817</v>
      </c>
      <c r="K30" s="113" t="s">
        <v>817</v>
      </c>
      <c r="L30" s="8" t="s">
        <v>817</v>
      </c>
      <c r="M30" s="8" t="s">
        <v>817</v>
      </c>
      <c r="N30" s="8" t="s">
        <v>817</v>
      </c>
      <c r="O30" s="8" t="s">
        <v>817</v>
      </c>
      <c r="P30" s="183"/>
      <c r="Q30" s="8" t="s">
        <v>817</v>
      </c>
      <c r="R30" s="113" t="s">
        <v>817</v>
      </c>
      <c r="S30" s="8" t="s">
        <v>817</v>
      </c>
      <c r="T30" s="8" t="s">
        <v>817</v>
      </c>
      <c r="U30" s="8" t="s">
        <v>817</v>
      </c>
      <c r="V30" s="8" t="s">
        <v>817</v>
      </c>
      <c r="W30" s="183"/>
      <c r="X30" s="8" t="s">
        <v>817</v>
      </c>
      <c r="Y30" s="113" t="s">
        <v>817</v>
      </c>
      <c r="Z30" s="8" t="s">
        <v>817</v>
      </c>
      <c r="AA30" s="8" t="s">
        <v>817</v>
      </c>
      <c r="AB30" s="8" t="s">
        <v>817</v>
      </c>
      <c r="AC30" s="8" t="s">
        <v>817</v>
      </c>
      <c r="AD30" s="183"/>
      <c r="AE30" s="8" t="s">
        <v>817</v>
      </c>
      <c r="AF30" s="113" t="s">
        <v>817</v>
      </c>
      <c r="AG30" s="8"/>
      <c r="AH30" s="8"/>
      <c r="AI30" s="8"/>
      <c r="AJ30" s="8"/>
      <c r="AK30" s="5">
        <f t="shared" si="2"/>
        <v>0</v>
      </c>
      <c r="AL30" s="5">
        <f t="shared" si="1"/>
        <v>22</v>
      </c>
    </row>
    <row r="31" spans="1:42" ht="15.5" x14ac:dyDescent="0.35">
      <c r="A31" s="20">
        <v>6</v>
      </c>
      <c r="B31" s="9">
        <v>554</v>
      </c>
      <c r="C31" s="24" t="s">
        <v>393</v>
      </c>
      <c r="D31" s="24" t="s">
        <v>461</v>
      </c>
      <c r="E31" s="19" t="s">
        <v>497</v>
      </c>
      <c r="F31" s="180"/>
      <c r="G31" s="8" t="s">
        <v>817</v>
      </c>
      <c r="H31" s="8" t="s">
        <v>818</v>
      </c>
      <c r="I31" s="183"/>
      <c r="J31" s="8" t="s">
        <v>818</v>
      </c>
      <c r="K31" s="113" t="s">
        <v>818</v>
      </c>
      <c r="L31" s="8" t="s">
        <v>818</v>
      </c>
      <c r="M31" s="8" t="s">
        <v>818</v>
      </c>
      <c r="N31" s="8" t="s">
        <v>818</v>
      </c>
      <c r="O31" s="8" t="s">
        <v>818</v>
      </c>
      <c r="P31" s="183"/>
      <c r="Q31" s="8" t="s">
        <v>818</v>
      </c>
      <c r="R31" s="113" t="s">
        <v>818</v>
      </c>
      <c r="S31" s="8" t="s">
        <v>818</v>
      </c>
      <c r="T31" s="8" t="s">
        <v>817</v>
      </c>
      <c r="U31" s="8" t="s">
        <v>818</v>
      </c>
      <c r="V31" s="8" t="s">
        <v>818</v>
      </c>
      <c r="W31" s="183"/>
      <c r="X31" s="8" t="s">
        <v>817</v>
      </c>
      <c r="Y31" s="113" t="s">
        <v>818</v>
      </c>
      <c r="Z31" s="8" t="s">
        <v>818</v>
      </c>
      <c r="AA31" s="8" t="s">
        <v>818</v>
      </c>
      <c r="AB31" s="8" t="s">
        <v>818</v>
      </c>
      <c r="AC31" s="8" t="s">
        <v>818</v>
      </c>
      <c r="AD31" s="183"/>
      <c r="AE31" s="8" t="s">
        <v>818</v>
      </c>
      <c r="AF31" s="113" t="s">
        <v>818</v>
      </c>
      <c r="AG31" s="8"/>
      <c r="AH31" s="8"/>
      <c r="AI31" s="8"/>
      <c r="AJ31" s="8"/>
      <c r="AK31" s="5">
        <f t="shared" si="2"/>
        <v>19</v>
      </c>
      <c r="AL31" s="5">
        <f t="shared" si="1"/>
        <v>3</v>
      </c>
    </row>
    <row r="32" spans="1:42" ht="15.5" x14ac:dyDescent="0.35">
      <c r="A32" s="20">
        <v>7</v>
      </c>
      <c r="B32" s="20">
        <v>496</v>
      </c>
      <c r="C32" s="24" t="s">
        <v>132</v>
      </c>
      <c r="D32" s="24" t="s">
        <v>431</v>
      </c>
      <c r="E32" s="19" t="s">
        <v>497</v>
      </c>
      <c r="F32" s="180"/>
      <c r="G32" s="8" t="s">
        <v>818</v>
      </c>
      <c r="H32" s="8" t="s">
        <v>818</v>
      </c>
      <c r="I32" s="183"/>
      <c r="J32" s="8" t="s">
        <v>818</v>
      </c>
      <c r="K32" s="113" t="s">
        <v>818</v>
      </c>
      <c r="L32" s="8" t="s">
        <v>818</v>
      </c>
      <c r="M32" s="8" t="s">
        <v>818</v>
      </c>
      <c r="N32" s="8" t="s">
        <v>818</v>
      </c>
      <c r="O32" s="8" t="s">
        <v>818</v>
      </c>
      <c r="P32" s="183"/>
      <c r="Q32" s="8" t="s">
        <v>818</v>
      </c>
      <c r="R32" s="113" t="s">
        <v>818</v>
      </c>
      <c r="S32" s="8" t="s">
        <v>818</v>
      </c>
      <c r="T32" s="8" t="s">
        <v>818</v>
      </c>
      <c r="U32" s="8" t="s">
        <v>818</v>
      </c>
      <c r="V32" s="8" t="s">
        <v>818</v>
      </c>
      <c r="W32" s="183"/>
      <c r="X32" s="8" t="s">
        <v>818</v>
      </c>
      <c r="Y32" s="113" t="s">
        <v>818</v>
      </c>
      <c r="Z32" s="8" t="s">
        <v>818</v>
      </c>
      <c r="AA32" s="8" t="s">
        <v>818</v>
      </c>
      <c r="AB32" s="8" t="s">
        <v>817</v>
      </c>
      <c r="AC32" s="8" t="s">
        <v>817</v>
      </c>
      <c r="AD32" s="183"/>
      <c r="AE32" s="8" t="s">
        <v>817</v>
      </c>
      <c r="AF32" s="113" t="s">
        <v>817</v>
      </c>
      <c r="AG32" s="8"/>
      <c r="AH32" s="8"/>
      <c r="AI32" s="8"/>
      <c r="AJ32" s="8"/>
      <c r="AK32" s="5">
        <f t="shared" si="2"/>
        <v>18</v>
      </c>
      <c r="AL32" s="5">
        <f t="shared" si="1"/>
        <v>4</v>
      </c>
    </row>
    <row r="33" spans="1:38" ht="15.5" x14ac:dyDescent="0.35">
      <c r="A33" s="20">
        <v>8</v>
      </c>
      <c r="B33" s="20">
        <v>599</v>
      </c>
      <c r="C33" s="22" t="s">
        <v>462</v>
      </c>
      <c r="D33" s="23" t="s">
        <v>463</v>
      </c>
      <c r="E33" s="19" t="s">
        <v>497</v>
      </c>
      <c r="F33" s="180"/>
      <c r="G33" s="8" t="s">
        <v>817</v>
      </c>
      <c r="H33" s="8" t="s">
        <v>818</v>
      </c>
      <c r="I33" s="183"/>
      <c r="J33" s="8" t="s">
        <v>817</v>
      </c>
      <c r="K33" s="113" t="s">
        <v>817</v>
      </c>
      <c r="L33" s="8" t="s">
        <v>818</v>
      </c>
      <c r="M33" s="8" t="s">
        <v>818</v>
      </c>
      <c r="N33" s="8" t="s">
        <v>818</v>
      </c>
      <c r="O33" s="8" t="s">
        <v>818</v>
      </c>
      <c r="P33" s="183"/>
      <c r="Q33" s="8" t="s">
        <v>818</v>
      </c>
      <c r="R33" s="113" t="s">
        <v>818</v>
      </c>
      <c r="S33" s="8" t="s">
        <v>818</v>
      </c>
      <c r="T33" s="8" t="s">
        <v>818</v>
      </c>
      <c r="U33" s="8" t="s">
        <v>818</v>
      </c>
      <c r="V33" s="8" t="s">
        <v>818</v>
      </c>
      <c r="W33" s="183"/>
      <c r="X33" s="8" t="s">
        <v>818</v>
      </c>
      <c r="Y33" s="113" t="s">
        <v>818</v>
      </c>
      <c r="Z33" s="8" t="s">
        <v>818</v>
      </c>
      <c r="AA33" s="8" t="s">
        <v>818</v>
      </c>
      <c r="AB33" s="8" t="s">
        <v>818</v>
      </c>
      <c r="AC33" s="8" t="s">
        <v>818</v>
      </c>
      <c r="AD33" s="183"/>
      <c r="AE33" s="8" t="s">
        <v>818</v>
      </c>
      <c r="AF33" s="113" t="s">
        <v>818</v>
      </c>
      <c r="AG33" s="8"/>
      <c r="AH33" s="8"/>
      <c r="AI33" s="8"/>
      <c r="AJ33" s="8"/>
      <c r="AK33" s="5">
        <f t="shared" si="2"/>
        <v>19</v>
      </c>
      <c r="AL33" s="5">
        <f t="shared" si="1"/>
        <v>3</v>
      </c>
    </row>
    <row r="34" spans="1:38" ht="15.5" x14ac:dyDescent="0.35">
      <c r="A34" s="20">
        <v>9</v>
      </c>
      <c r="B34" s="20">
        <v>471</v>
      </c>
      <c r="C34" s="22" t="s">
        <v>465</v>
      </c>
      <c r="D34" s="23" t="s">
        <v>466</v>
      </c>
      <c r="E34" s="19" t="s">
        <v>497</v>
      </c>
      <c r="F34" s="180"/>
      <c r="G34" s="8" t="s">
        <v>818</v>
      </c>
      <c r="H34" s="8" t="s">
        <v>818</v>
      </c>
      <c r="I34" s="183"/>
      <c r="J34" s="8" t="s">
        <v>818</v>
      </c>
      <c r="K34" s="113" t="s">
        <v>818</v>
      </c>
      <c r="L34" s="8" t="s">
        <v>818</v>
      </c>
      <c r="M34" s="8" t="s">
        <v>819</v>
      </c>
      <c r="N34" s="8" t="s">
        <v>818</v>
      </c>
      <c r="O34" s="8" t="s">
        <v>818</v>
      </c>
      <c r="P34" s="183"/>
      <c r="Q34" s="8" t="s">
        <v>818</v>
      </c>
      <c r="R34" s="113" t="s">
        <v>818</v>
      </c>
      <c r="S34" s="8" t="s">
        <v>818</v>
      </c>
      <c r="T34" s="8" t="s">
        <v>818</v>
      </c>
      <c r="U34" s="8" t="s">
        <v>818</v>
      </c>
      <c r="V34" s="8" t="s">
        <v>819</v>
      </c>
      <c r="W34" s="183"/>
      <c r="X34" s="8" t="s">
        <v>818</v>
      </c>
      <c r="Y34" s="113" t="s">
        <v>818</v>
      </c>
      <c r="Z34" s="8" t="s">
        <v>818</v>
      </c>
      <c r="AA34" s="8" t="s">
        <v>818</v>
      </c>
      <c r="AB34" s="8" t="s">
        <v>818</v>
      </c>
      <c r="AC34" s="8" t="s">
        <v>818</v>
      </c>
      <c r="AD34" s="183"/>
      <c r="AE34" s="8" t="s">
        <v>818</v>
      </c>
      <c r="AF34" s="113" t="s">
        <v>817</v>
      </c>
      <c r="AG34" s="8"/>
      <c r="AH34" s="8"/>
      <c r="AI34" s="8"/>
      <c r="AJ34" s="8"/>
      <c r="AK34" s="5">
        <f t="shared" si="2"/>
        <v>19</v>
      </c>
      <c r="AL34" s="5">
        <f t="shared" si="1"/>
        <v>1</v>
      </c>
    </row>
    <row r="35" spans="1:38" ht="15.5" x14ac:dyDescent="0.35">
      <c r="A35" s="20">
        <v>10</v>
      </c>
      <c r="B35" s="20">
        <v>537</v>
      </c>
      <c r="C35" s="22" t="s">
        <v>467</v>
      </c>
      <c r="D35" s="23" t="s">
        <v>468</v>
      </c>
      <c r="E35" s="19" t="s">
        <v>497</v>
      </c>
      <c r="F35" s="180"/>
      <c r="G35" s="8" t="s">
        <v>818</v>
      </c>
      <c r="H35" s="8" t="s">
        <v>818</v>
      </c>
      <c r="I35" s="183"/>
      <c r="J35" s="8" t="s">
        <v>818</v>
      </c>
      <c r="K35" s="113" t="s">
        <v>818</v>
      </c>
      <c r="L35" s="8" t="s">
        <v>818</v>
      </c>
      <c r="M35" s="8" t="s">
        <v>818</v>
      </c>
      <c r="N35" s="8" t="s">
        <v>818</v>
      </c>
      <c r="O35" s="8" t="s">
        <v>818</v>
      </c>
      <c r="P35" s="183"/>
      <c r="Q35" s="8" t="s">
        <v>818</v>
      </c>
      <c r="R35" s="113" t="s">
        <v>818</v>
      </c>
      <c r="S35" s="8" t="s">
        <v>818</v>
      </c>
      <c r="T35" s="8" t="s">
        <v>818</v>
      </c>
      <c r="U35" s="8" t="s">
        <v>818</v>
      </c>
      <c r="V35" s="8" t="s">
        <v>818</v>
      </c>
      <c r="W35" s="183"/>
      <c r="X35" s="8" t="s">
        <v>818</v>
      </c>
      <c r="Y35" s="113" t="s">
        <v>818</v>
      </c>
      <c r="Z35" s="8" t="s">
        <v>818</v>
      </c>
      <c r="AA35" s="8" t="s">
        <v>818</v>
      </c>
      <c r="AB35" s="8" t="s">
        <v>818</v>
      </c>
      <c r="AC35" s="8" t="s">
        <v>818</v>
      </c>
      <c r="AD35" s="183"/>
      <c r="AE35" s="8" t="s">
        <v>818</v>
      </c>
      <c r="AF35" s="113" t="s">
        <v>818</v>
      </c>
      <c r="AG35" s="8"/>
      <c r="AH35" s="8"/>
      <c r="AI35" s="8"/>
      <c r="AJ35" s="8"/>
      <c r="AK35" s="5">
        <f t="shared" si="2"/>
        <v>22</v>
      </c>
      <c r="AL35" s="5">
        <f t="shared" si="1"/>
        <v>0</v>
      </c>
    </row>
    <row r="36" spans="1:38" ht="15.5" x14ac:dyDescent="0.35">
      <c r="A36" s="20">
        <v>11</v>
      </c>
      <c r="B36" s="20">
        <v>698</v>
      </c>
      <c r="C36" s="22" t="s">
        <v>469</v>
      </c>
      <c r="D36" s="23" t="s">
        <v>470</v>
      </c>
      <c r="E36" s="19" t="s">
        <v>497</v>
      </c>
      <c r="F36" s="180"/>
      <c r="G36" s="8" t="s">
        <v>818</v>
      </c>
      <c r="H36" s="8" t="s">
        <v>818</v>
      </c>
      <c r="I36" s="183"/>
      <c r="J36" s="8" t="s">
        <v>818</v>
      </c>
      <c r="K36" s="113" t="s">
        <v>818</v>
      </c>
      <c r="L36" s="8" t="s">
        <v>818</v>
      </c>
      <c r="M36" s="8" t="s">
        <v>817</v>
      </c>
      <c r="N36" s="8" t="s">
        <v>818</v>
      </c>
      <c r="O36" s="8" t="s">
        <v>818</v>
      </c>
      <c r="P36" s="183"/>
      <c r="Q36" s="8" t="s">
        <v>818</v>
      </c>
      <c r="R36" s="113" t="s">
        <v>818</v>
      </c>
      <c r="S36" s="8" t="s">
        <v>818</v>
      </c>
      <c r="T36" s="8" t="s">
        <v>818</v>
      </c>
      <c r="U36" s="8" t="s">
        <v>818</v>
      </c>
      <c r="V36" s="8" t="s">
        <v>818</v>
      </c>
      <c r="W36" s="183"/>
      <c r="X36" s="8" t="s">
        <v>818</v>
      </c>
      <c r="Y36" s="113" t="s">
        <v>818</v>
      </c>
      <c r="Z36" s="8" t="s">
        <v>818</v>
      </c>
      <c r="AA36" s="8" t="s">
        <v>818</v>
      </c>
      <c r="AB36" s="8" t="s">
        <v>818</v>
      </c>
      <c r="AC36" s="8" t="s">
        <v>818</v>
      </c>
      <c r="AD36" s="183"/>
      <c r="AE36" s="8" t="s">
        <v>818</v>
      </c>
      <c r="AF36" s="113" t="s">
        <v>818</v>
      </c>
      <c r="AG36" s="8"/>
      <c r="AH36" s="8"/>
      <c r="AI36" s="8"/>
      <c r="AJ36" s="8"/>
      <c r="AK36" s="5">
        <f t="shared" si="2"/>
        <v>21</v>
      </c>
      <c r="AL36" s="5">
        <f t="shared" si="1"/>
        <v>1</v>
      </c>
    </row>
    <row r="37" spans="1:38" ht="15.5" x14ac:dyDescent="0.35">
      <c r="A37" s="20">
        <v>12</v>
      </c>
      <c r="B37" s="20">
        <v>524</v>
      </c>
      <c r="C37" s="22" t="s">
        <v>471</v>
      </c>
      <c r="D37" s="23" t="s">
        <v>472</v>
      </c>
      <c r="E37" s="19" t="s">
        <v>497</v>
      </c>
      <c r="F37" s="180"/>
      <c r="G37" s="8" t="s">
        <v>817</v>
      </c>
      <c r="H37" s="8" t="s">
        <v>818</v>
      </c>
      <c r="I37" s="183"/>
      <c r="J37" s="8" t="s">
        <v>818</v>
      </c>
      <c r="K37" s="113" t="s">
        <v>818</v>
      </c>
      <c r="L37" s="8" t="s">
        <v>817</v>
      </c>
      <c r="M37" s="8" t="s">
        <v>818</v>
      </c>
      <c r="N37" s="8" t="s">
        <v>818</v>
      </c>
      <c r="O37" s="8" t="s">
        <v>818</v>
      </c>
      <c r="P37" s="183"/>
      <c r="Q37" s="8" t="s">
        <v>818</v>
      </c>
      <c r="R37" s="113" t="s">
        <v>819</v>
      </c>
      <c r="S37" s="8" t="s">
        <v>817</v>
      </c>
      <c r="T37" s="8" t="s">
        <v>817</v>
      </c>
      <c r="U37" s="8" t="s">
        <v>818</v>
      </c>
      <c r="V37" s="8" t="s">
        <v>818</v>
      </c>
      <c r="W37" s="183"/>
      <c r="X37" s="8" t="s">
        <v>818</v>
      </c>
      <c r="Y37" s="113" t="s">
        <v>818</v>
      </c>
      <c r="Z37" s="8" t="s">
        <v>818</v>
      </c>
      <c r="AA37" s="8" t="s">
        <v>818</v>
      </c>
      <c r="AB37" s="8" t="s">
        <v>818</v>
      </c>
      <c r="AC37" s="8" t="s">
        <v>818</v>
      </c>
      <c r="AD37" s="183"/>
      <c r="AE37" s="8" t="s">
        <v>818</v>
      </c>
      <c r="AF37" s="113" t="s">
        <v>817</v>
      </c>
      <c r="AG37" s="8"/>
      <c r="AH37" s="8"/>
      <c r="AI37" s="8"/>
      <c r="AJ37" s="8"/>
      <c r="AK37" s="5">
        <f t="shared" si="2"/>
        <v>16</v>
      </c>
      <c r="AL37" s="5">
        <f t="shared" si="1"/>
        <v>5</v>
      </c>
    </row>
    <row r="38" spans="1:38" ht="15.5" x14ac:dyDescent="0.35">
      <c r="A38" s="20">
        <v>13</v>
      </c>
      <c r="B38" s="20">
        <v>438</v>
      </c>
      <c r="C38" s="22" t="s">
        <v>473</v>
      </c>
      <c r="D38" s="23" t="s">
        <v>251</v>
      </c>
      <c r="E38" s="19" t="s">
        <v>497</v>
      </c>
      <c r="F38" s="180"/>
      <c r="G38" s="8" t="s">
        <v>817</v>
      </c>
      <c r="H38" s="8" t="s">
        <v>817</v>
      </c>
      <c r="I38" s="183"/>
      <c r="J38" s="8" t="s">
        <v>818</v>
      </c>
      <c r="K38" s="113" t="s">
        <v>818</v>
      </c>
      <c r="L38" s="8" t="s">
        <v>817</v>
      </c>
      <c r="M38" s="8" t="s">
        <v>818</v>
      </c>
      <c r="N38" s="8" t="s">
        <v>818</v>
      </c>
      <c r="O38" s="8" t="s">
        <v>818</v>
      </c>
      <c r="P38" s="183"/>
      <c r="Q38" s="8" t="s">
        <v>818</v>
      </c>
      <c r="R38" s="113" t="s">
        <v>818</v>
      </c>
      <c r="S38" s="8" t="s">
        <v>818</v>
      </c>
      <c r="T38" s="8" t="s">
        <v>817</v>
      </c>
      <c r="U38" s="8" t="s">
        <v>818</v>
      </c>
      <c r="V38" s="8" t="s">
        <v>818</v>
      </c>
      <c r="W38" s="183"/>
      <c r="X38" s="8" t="s">
        <v>818</v>
      </c>
      <c r="Y38" s="113" t="s">
        <v>817</v>
      </c>
      <c r="Z38" s="8" t="s">
        <v>818</v>
      </c>
      <c r="AA38" s="8" t="s">
        <v>817</v>
      </c>
      <c r="AB38" s="8" t="s">
        <v>817</v>
      </c>
      <c r="AC38" s="8" t="s">
        <v>817</v>
      </c>
      <c r="AD38" s="183"/>
      <c r="AE38" s="8" t="s">
        <v>818</v>
      </c>
      <c r="AF38" s="113" t="s">
        <v>817</v>
      </c>
      <c r="AG38" s="8"/>
      <c r="AH38" s="8"/>
      <c r="AI38" s="8"/>
      <c r="AJ38" s="8"/>
      <c r="AK38" s="5">
        <f t="shared" si="2"/>
        <v>13</v>
      </c>
      <c r="AL38" s="5">
        <f t="shared" si="1"/>
        <v>9</v>
      </c>
    </row>
    <row r="39" spans="1:38" ht="15.5" x14ac:dyDescent="0.35">
      <c r="A39" s="20">
        <v>14</v>
      </c>
      <c r="B39" s="20">
        <v>532</v>
      </c>
      <c r="C39" s="22" t="s">
        <v>476</v>
      </c>
      <c r="D39" s="23" t="s">
        <v>89</v>
      </c>
      <c r="E39" s="19" t="s">
        <v>497</v>
      </c>
      <c r="F39" s="180"/>
      <c r="G39" s="8" t="s">
        <v>818</v>
      </c>
      <c r="H39" s="8" t="s">
        <v>818</v>
      </c>
      <c r="I39" s="183"/>
      <c r="J39" s="8" t="s">
        <v>818</v>
      </c>
      <c r="K39" s="113" t="s">
        <v>818</v>
      </c>
      <c r="L39" s="8" t="s">
        <v>818</v>
      </c>
      <c r="M39" s="8" t="s">
        <v>818</v>
      </c>
      <c r="N39" s="8" t="s">
        <v>818</v>
      </c>
      <c r="O39" s="8" t="s">
        <v>818</v>
      </c>
      <c r="P39" s="183"/>
      <c r="Q39" s="8" t="s">
        <v>818</v>
      </c>
      <c r="R39" s="113" t="s">
        <v>818</v>
      </c>
      <c r="S39" s="8" t="s">
        <v>818</v>
      </c>
      <c r="T39" s="8" t="s">
        <v>818</v>
      </c>
      <c r="U39" s="8" t="s">
        <v>818</v>
      </c>
      <c r="V39" s="8" t="s">
        <v>818</v>
      </c>
      <c r="W39" s="183"/>
      <c r="X39" s="8" t="s">
        <v>818</v>
      </c>
      <c r="Y39" s="113" t="s">
        <v>818</v>
      </c>
      <c r="Z39" s="8" t="s">
        <v>818</v>
      </c>
      <c r="AA39" s="8" t="s">
        <v>818</v>
      </c>
      <c r="AB39" s="8" t="s">
        <v>818</v>
      </c>
      <c r="AC39" s="8" t="s">
        <v>818</v>
      </c>
      <c r="AD39" s="183"/>
      <c r="AE39" s="8" t="s">
        <v>818</v>
      </c>
      <c r="AF39" s="113" t="s">
        <v>818</v>
      </c>
      <c r="AG39" s="8"/>
      <c r="AH39" s="8"/>
      <c r="AI39" s="8"/>
      <c r="AJ39" s="8"/>
      <c r="AK39" s="5">
        <f t="shared" si="2"/>
        <v>22</v>
      </c>
      <c r="AL39" s="5">
        <f t="shared" ref="AL39:AL51" si="3">COUNTIF(F39:AI39,"A")</f>
        <v>0</v>
      </c>
    </row>
    <row r="40" spans="1:38" ht="15.5" x14ac:dyDescent="0.35">
      <c r="A40" s="20">
        <v>15</v>
      </c>
      <c r="B40" s="20">
        <v>643</v>
      </c>
      <c r="C40" s="22" t="s">
        <v>477</v>
      </c>
      <c r="D40" s="23" t="s">
        <v>478</v>
      </c>
      <c r="E40" s="19" t="s">
        <v>497</v>
      </c>
      <c r="F40" s="180"/>
      <c r="G40" s="8" t="s">
        <v>818</v>
      </c>
      <c r="H40" s="8" t="s">
        <v>818</v>
      </c>
      <c r="I40" s="183"/>
      <c r="J40" s="8" t="s">
        <v>818</v>
      </c>
      <c r="K40" s="113" t="s">
        <v>818</v>
      </c>
      <c r="L40" s="8" t="s">
        <v>818</v>
      </c>
      <c r="M40" s="8" t="s">
        <v>819</v>
      </c>
      <c r="N40" s="8" t="s">
        <v>817</v>
      </c>
      <c r="O40" s="8" t="s">
        <v>818</v>
      </c>
      <c r="P40" s="183"/>
      <c r="Q40" s="8" t="s">
        <v>818</v>
      </c>
      <c r="R40" s="113" t="s">
        <v>818</v>
      </c>
      <c r="S40" s="8" t="s">
        <v>818</v>
      </c>
      <c r="T40" s="8" t="s">
        <v>818</v>
      </c>
      <c r="U40" s="8" t="s">
        <v>818</v>
      </c>
      <c r="V40" s="8" t="s">
        <v>818</v>
      </c>
      <c r="W40" s="183"/>
      <c r="X40" s="8" t="s">
        <v>818</v>
      </c>
      <c r="Y40" s="113" t="s">
        <v>818</v>
      </c>
      <c r="Z40" s="8" t="s">
        <v>818</v>
      </c>
      <c r="AA40" s="8" t="s">
        <v>818</v>
      </c>
      <c r="AB40" s="8" t="s">
        <v>818</v>
      </c>
      <c r="AC40" s="8" t="s">
        <v>818</v>
      </c>
      <c r="AD40" s="183"/>
      <c r="AE40" s="8" t="s">
        <v>818</v>
      </c>
      <c r="AF40" s="113" t="s">
        <v>818</v>
      </c>
      <c r="AG40" s="8"/>
      <c r="AH40" s="8"/>
      <c r="AI40" s="8"/>
      <c r="AJ40" s="8"/>
      <c r="AK40" s="5">
        <f t="shared" si="2"/>
        <v>20</v>
      </c>
      <c r="AL40" s="5">
        <f t="shared" si="3"/>
        <v>1</v>
      </c>
    </row>
    <row r="41" spans="1:38" ht="15.5" x14ac:dyDescent="0.35">
      <c r="A41" s="20">
        <v>16</v>
      </c>
      <c r="B41" s="20">
        <v>519</v>
      </c>
      <c r="C41" s="22" t="s">
        <v>479</v>
      </c>
      <c r="D41" s="23" t="s">
        <v>480</v>
      </c>
      <c r="E41" s="19" t="s">
        <v>497</v>
      </c>
      <c r="F41" s="180"/>
      <c r="G41" s="8" t="s">
        <v>818</v>
      </c>
      <c r="H41" s="8" t="s">
        <v>818</v>
      </c>
      <c r="I41" s="183"/>
      <c r="J41" s="8" t="s">
        <v>818</v>
      </c>
      <c r="K41" s="113" t="s">
        <v>818</v>
      </c>
      <c r="L41" s="8" t="s">
        <v>817</v>
      </c>
      <c r="M41" s="8" t="s">
        <v>818</v>
      </c>
      <c r="N41" s="8" t="s">
        <v>818</v>
      </c>
      <c r="O41" s="8" t="s">
        <v>819</v>
      </c>
      <c r="P41" s="183"/>
      <c r="Q41" s="8" t="s">
        <v>818</v>
      </c>
      <c r="R41" s="113" t="s">
        <v>818</v>
      </c>
      <c r="S41" s="8" t="s">
        <v>818</v>
      </c>
      <c r="T41" s="8" t="s">
        <v>818</v>
      </c>
      <c r="U41" s="8" t="s">
        <v>818</v>
      </c>
      <c r="V41" s="8" t="s">
        <v>819</v>
      </c>
      <c r="W41" s="183"/>
      <c r="X41" s="8" t="s">
        <v>818</v>
      </c>
      <c r="Y41" s="113" t="s">
        <v>818</v>
      </c>
      <c r="Z41" s="8" t="s">
        <v>818</v>
      </c>
      <c r="AA41" s="8" t="s">
        <v>818</v>
      </c>
      <c r="AB41" s="8" t="s">
        <v>819</v>
      </c>
      <c r="AC41" s="8" t="s">
        <v>818</v>
      </c>
      <c r="AD41" s="183"/>
      <c r="AE41" s="8" t="s">
        <v>818</v>
      </c>
      <c r="AF41" s="113" t="s">
        <v>818</v>
      </c>
      <c r="AG41" s="8"/>
      <c r="AH41" s="8"/>
      <c r="AI41" s="8"/>
      <c r="AJ41" s="8"/>
      <c r="AK41" s="5">
        <f t="shared" si="2"/>
        <v>18</v>
      </c>
      <c r="AL41" s="5">
        <f t="shared" si="3"/>
        <v>1</v>
      </c>
    </row>
    <row r="42" spans="1:38" ht="15.5" x14ac:dyDescent="0.35">
      <c r="A42" s="20">
        <v>17</v>
      </c>
      <c r="B42" s="20">
        <v>611</v>
      </c>
      <c r="C42" s="22" t="s">
        <v>481</v>
      </c>
      <c r="D42" s="23" t="s">
        <v>64</v>
      </c>
      <c r="E42" s="19" t="s">
        <v>497</v>
      </c>
      <c r="F42" s="180"/>
      <c r="G42" s="8" t="s">
        <v>817</v>
      </c>
      <c r="H42" s="8" t="s">
        <v>817</v>
      </c>
      <c r="I42" s="183"/>
      <c r="J42" s="8" t="s">
        <v>817</v>
      </c>
      <c r="K42" s="113" t="s">
        <v>817</v>
      </c>
      <c r="L42" s="8" t="s">
        <v>817</v>
      </c>
      <c r="M42" s="8" t="s">
        <v>817</v>
      </c>
      <c r="N42" s="8" t="s">
        <v>817</v>
      </c>
      <c r="O42" s="8" t="s">
        <v>817</v>
      </c>
      <c r="P42" s="183"/>
      <c r="Q42" s="8" t="s">
        <v>817</v>
      </c>
      <c r="R42" s="113" t="s">
        <v>817</v>
      </c>
      <c r="S42" s="8" t="s">
        <v>817</v>
      </c>
      <c r="T42" s="8" t="s">
        <v>817</v>
      </c>
      <c r="U42" s="8" t="s">
        <v>817</v>
      </c>
      <c r="V42" s="8" t="s">
        <v>817</v>
      </c>
      <c r="W42" s="183"/>
      <c r="X42" s="8" t="s">
        <v>817</v>
      </c>
      <c r="Y42" s="113" t="s">
        <v>817</v>
      </c>
      <c r="Z42" s="8" t="s">
        <v>817</v>
      </c>
      <c r="AA42" s="8" t="s">
        <v>817</v>
      </c>
      <c r="AB42" s="8" t="s">
        <v>817</v>
      </c>
      <c r="AC42" s="8" t="s">
        <v>817</v>
      </c>
      <c r="AD42" s="183"/>
      <c r="AE42" s="8" t="s">
        <v>817</v>
      </c>
      <c r="AF42" s="113" t="s">
        <v>817</v>
      </c>
      <c r="AG42" s="8"/>
      <c r="AH42" s="8"/>
      <c r="AI42" s="8"/>
      <c r="AJ42" s="8"/>
      <c r="AK42" s="5">
        <f t="shared" si="2"/>
        <v>0</v>
      </c>
      <c r="AL42" s="5">
        <f t="shared" si="3"/>
        <v>22</v>
      </c>
    </row>
    <row r="43" spans="1:38" ht="15.5" x14ac:dyDescent="0.35">
      <c r="A43" s="20">
        <v>18</v>
      </c>
      <c r="B43" s="20">
        <v>695</v>
      </c>
      <c r="C43" s="22" t="s">
        <v>482</v>
      </c>
      <c r="D43" s="23" t="s">
        <v>483</v>
      </c>
      <c r="E43" s="19" t="s">
        <v>497</v>
      </c>
      <c r="F43" s="180"/>
      <c r="G43" s="8" t="s">
        <v>817</v>
      </c>
      <c r="H43" s="8" t="s">
        <v>818</v>
      </c>
      <c r="I43" s="183"/>
      <c r="J43" s="8" t="s">
        <v>818</v>
      </c>
      <c r="K43" s="113" t="s">
        <v>818</v>
      </c>
      <c r="L43" s="8" t="s">
        <v>818</v>
      </c>
      <c r="M43" s="8" t="s">
        <v>818</v>
      </c>
      <c r="N43" s="8" t="s">
        <v>818</v>
      </c>
      <c r="O43" s="8" t="s">
        <v>817</v>
      </c>
      <c r="P43" s="183"/>
      <c r="Q43" s="8" t="s">
        <v>817</v>
      </c>
      <c r="R43" s="113" t="s">
        <v>818</v>
      </c>
      <c r="S43" s="8" t="s">
        <v>818</v>
      </c>
      <c r="T43" s="8" t="s">
        <v>818</v>
      </c>
      <c r="U43" s="8" t="s">
        <v>818</v>
      </c>
      <c r="V43" s="8" t="s">
        <v>818</v>
      </c>
      <c r="W43" s="183"/>
      <c r="X43" s="8" t="s">
        <v>818</v>
      </c>
      <c r="Y43" s="113" t="s">
        <v>818</v>
      </c>
      <c r="Z43" s="8" t="s">
        <v>818</v>
      </c>
      <c r="AA43" s="8" t="s">
        <v>818</v>
      </c>
      <c r="AB43" s="8" t="s">
        <v>818</v>
      </c>
      <c r="AC43" s="8" t="s">
        <v>818</v>
      </c>
      <c r="AD43" s="183"/>
      <c r="AE43" s="8" t="s">
        <v>818</v>
      </c>
      <c r="AF43" s="113" t="s">
        <v>817</v>
      </c>
      <c r="AG43" s="8"/>
      <c r="AH43" s="8"/>
      <c r="AI43" s="8"/>
      <c r="AJ43" s="8"/>
      <c r="AK43" s="5">
        <f t="shared" si="2"/>
        <v>18</v>
      </c>
      <c r="AL43" s="5">
        <f t="shared" si="3"/>
        <v>4</v>
      </c>
    </row>
    <row r="44" spans="1:38" ht="15.5" x14ac:dyDescent="0.35">
      <c r="A44" s="20">
        <v>19</v>
      </c>
      <c r="B44" s="20">
        <v>598</v>
      </c>
      <c r="C44" s="22" t="s">
        <v>484</v>
      </c>
      <c r="D44" s="23" t="s">
        <v>141</v>
      </c>
      <c r="E44" s="19" t="s">
        <v>497</v>
      </c>
      <c r="F44" s="180"/>
      <c r="G44" s="8" t="s">
        <v>817</v>
      </c>
      <c r="H44" s="8" t="s">
        <v>818</v>
      </c>
      <c r="I44" s="183"/>
      <c r="J44" s="8" t="s">
        <v>818</v>
      </c>
      <c r="K44" s="113" t="s">
        <v>818</v>
      </c>
      <c r="L44" s="8" t="s">
        <v>818</v>
      </c>
      <c r="M44" s="8" t="s">
        <v>818</v>
      </c>
      <c r="N44" s="8" t="s">
        <v>818</v>
      </c>
      <c r="O44" s="8" t="s">
        <v>818</v>
      </c>
      <c r="P44" s="183"/>
      <c r="Q44" s="8" t="s">
        <v>818</v>
      </c>
      <c r="R44" s="113" t="s">
        <v>818</v>
      </c>
      <c r="S44" s="8" t="s">
        <v>818</v>
      </c>
      <c r="T44" s="8" t="s">
        <v>818</v>
      </c>
      <c r="U44" s="8" t="s">
        <v>818</v>
      </c>
      <c r="V44" s="8" t="s">
        <v>818</v>
      </c>
      <c r="W44" s="183"/>
      <c r="X44" s="8" t="s">
        <v>818</v>
      </c>
      <c r="Y44" s="113" t="s">
        <v>817</v>
      </c>
      <c r="Z44" s="8" t="s">
        <v>818</v>
      </c>
      <c r="AA44" s="8" t="s">
        <v>818</v>
      </c>
      <c r="AB44" s="8" t="s">
        <v>818</v>
      </c>
      <c r="AC44" s="8" t="s">
        <v>818</v>
      </c>
      <c r="AD44" s="183"/>
      <c r="AE44" s="8" t="s">
        <v>818</v>
      </c>
      <c r="AF44" s="113" t="s">
        <v>818</v>
      </c>
      <c r="AG44" s="8"/>
      <c r="AH44" s="8"/>
      <c r="AI44" s="8"/>
      <c r="AJ44" s="8"/>
      <c r="AK44" s="5">
        <f t="shared" si="2"/>
        <v>20</v>
      </c>
      <c r="AL44" s="5">
        <f t="shared" si="3"/>
        <v>2</v>
      </c>
    </row>
    <row r="45" spans="1:38" ht="15.5" x14ac:dyDescent="0.35">
      <c r="A45" s="20">
        <v>20</v>
      </c>
      <c r="B45" s="20">
        <v>699</v>
      </c>
      <c r="C45" s="22" t="s">
        <v>485</v>
      </c>
      <c r="D45" s="23" t="s">
        <v>133</v>
      </c>
      <c r="E45" s="19" t="s">
        <v>497</v>
      </c>
      <c r="F45" s="180"/>
      <c r="G45" s="8" t="s">
        <v>818</v>
      </c>
      <c r="H45" s="8" t="s">
        <v>818</v>
      </c>
      <c r="I45" s="183"/>
      <c r="J45" s="8" t="s">
        <v>818</v>
      </c>
      <c r="K45" s="113" t="s">
        <v>818</v>
      </c>
      <c r="L45" s="8" t="s">
        <v>818</v>
      </c>
      <c r="M45" s="8" t="s">
        <v>818</v>
      </c>
      <c r="N45" s="8" t="s">
        <v>818</v>
      </c>
      <c r="O45" s="8" t="s">
        <v>818</v>
      </c>
      <c r="P45" s="183"/>
      <c r="Q45" s="8" t="s">
        <v>818</v>
      </c>
      <c r="R45" s="113" t="s">
        <v>818</v>
      </c>
      <c r="S45" s="8" t="s">
        <v>818</v>
      </c>
      <c r="T45" s="8" t="s">
        <v>818</v>
      </c>
      <c r="U45" s="8" t="s">
        <v>818</v>
      </c>
      <c r="V45" s="8" t="s">
        <v>818</v>
      </c>
      <c r="W45" s="183"/>
      <c r="X45" s="8" t="s">
        <v>818</v>
      </c>
      <c r="Y45" s="113" t="s">
        <v>818</v>
      </c>
      <c r="Z45" s="8" t="s">
        <v>818</v>
      </c>
      <c r="AA45" s="8" t="s">
        <v>818</v>
      </c>
      <c r="AB45" s="8" t="s">
        <v>818</v>
      </c>
      <c r="AC45" s="8" t="s">
        <v>818</v>
      </c>
      <c r="AD45" s="183"/>
      <c r="AE45" s="8" t="s">
        <v>818</v>
      </c>
      <c r="AF45" s="113" t="s">
        <v>818</v>
      </c>
      <c r="AG45" s="8"/>
      <c r="AH45" s="8"/>
      <c r="AI45" s="8"/>
      <c r="AJ45" s="8"/>
      <c r="AK45" s="5">
        <f t="shared" si="2"/>
        <v>22</v>
      </c>
      <c r="AL45" s="5">
        <f t="shared" si="3"/>
        <v>0</v>
      </c>
    </row>
    <row r="46" spans="1:38" ht="15.5" x14ac:dyDescent="0.35">
      <c r="A46" s="20">
        <v>21</v>
      </c>
      <c r="B46" s="20">
        <v>638</v>
      </c>
      <c r="C46" s="22" t="s">
        <v>486</v>
      </c>
      <c r="D46" s="22" t="s">
        <v>750</v>
      </c>
      <c r="E46" s="19" t="s">
        <v>497</v>
      </c>
      <c r="F46" s="180"/>
      <c r="G46" s="8" t="s">
        <v>817</v>
      </c>
      <c r="H46" s="8" t="s">
        <v>817</v>
      </c>
      <c r="I46" s="183"/>
      <c r="J46" s="8" t="s">
        <v>817</v>
      </c>
      <c r="K46" s="113" t="s">
        <v>817</v>
      </c>
      <c r="L46" s="8" t="s">
        <v>818</v>
      </c>
      <c r="M46" s="8" t="s">
        <v>817</v>
      </c>
      <c r="N46" s="8" t="s">
        <v>818</v>
      </c>
      <c r="O46" s="8" t="s">
        <v>818</v>
      </c>
      <c r="P46" s="183"/>
      <c r="Q46" s="8" t="s">
        <v>818</v>
      </c>
      <c r="R46" s="113" t="s">
        <v>818</v>
      </c>
      <c r="S46" s="8" t="s">
        <v>819</v>
      </c>
      <c r="T46" s="8" t="s">
        <v>818</v>
      </c>
      <c r="U46" s="8" t="s">
        <v>818</v>
      </c>
      <c r="V46" s="8" t="s">
        <v>817</v>
      </c>
      <c r="W46" s="183"/>
      <c r="X46" s="8" t="s">
        <v>818</v>
      </c>
      <c r="Y46" s="113" t="s">
        <v>818</v>
      </c>
      <c r="Z46" s="8" t="s">
        <v>818</v>
      </c>
      <c r="AA46" s="8" t="s">
        <v>818</v>
      </c>
      <c r="AB46" s="8" t="s">
        <v>817</v>
      </c>
      <c r="AC46" s="8" t="s">
        <v>818</v>
      </c>
      <c r="AD46" s="183"/>
      <c r="AE46" s="8" t="s">
        <v>818</v>
      </c>
      <c r="AF46" s="113" t="s">
        <v>817</v>
      </c>
      <c r="AG46" s="8"/>
      <c r="AH46" s="8"/>
      <c r="AI46" s="8"/>
      <c r="AJ46" s="8"/>
      <c r="AK46" s="5">
        <f t="shared" si="2"/>
        <v>13</v>
      </c>
      <c r="AL46" s="5">
        <f t="shared" si="3"/>
        <v>8</v>
      </c>
    </row>
    <row r="47" spans="1:38" ht="15.5" x14ac:dyDescent="0.35">
      <c r="A47" s="20">
        <v>22</v>
      </c>
      <c r="B47" s="20">
        <v>697</v>
      </c>
      <c r="C47" s="24" t="s">
        <v>487</v>
      </c>
      <c r="D47" s="24" t="s">
        <v>358</v>
      </c>
      <c r="E47" s="19" t="s">
        <v>497</v>
      </c>
      <c r="F47" s="180"/>
      <c r="G47" s="8" t="s">
        <v>818</v>
      </c>
      <c r="H47" s="8" t="s">
        <v>818</v>
      </c>
      <c r="I47" s="183"/>
      <c r="J47" s="8" t="s">
        <v>818</v>
      </c>
      <c r="K47" s="113" t="s">
        <v>818</v>
      </c>
      <c r="L47" s="8" t="s">
        <v>818</v>
      </c>
      <c r="M47" s="8" t="s">
        <v>818</v>
      </c>
      <c r="N47" s="8" t="s">
        <v>818</v>
      </c>
      <c r="O47" s="8" t="s">
        <v>818</v>
      </c>
      <c r="P47" s="183"/>
      <c r="Q47" s="8" t="s">
        <v>818</v>
      </c>
      <c r="R47" s="113" t="s">
        <v>818</v>
      </c>
      <c r="S47" s="8" t="s">
        <v>818</v>
      </c>
      <c r="T47" s="8" t="s">
        <v>818</v>
      </c>
      <c r="U47" s="8" t="s">
        <v>818</v>
      </c>
      <c r="V47" s="8" t="s">
        <v>818</v>
      </c>
      <c r="W47" s="183"/>
      <c r="X47" s="8" t="s">
        <v>818</v>
      </c>
      <c r="Y47" s="113" t="s">
        <v>818</v>
      </c>
      <c r="Z47" s="8" t="s">
        <v>818</v>
      </c>
      <c r="AA47" s="8" t="s">
        <v>818</v>
      </c>
      <c r="AB47" s="8" t="s">
        <v>818</v>
      </c>
      <c r="AC47" s="8" t="s">
        <v>818</v>
      </c>
      <c r="AD47" s="183"/>
      <c r="AE47" s="8" t="s">
        <v>818</v>
      </c>
      <c r="AF47" s="113" t="s">
        <v>817</v>
      </c>
      <c r="AG47" s="8"/>
      <c r="AH47" s="8"/>
      <c r="AI47" s="8"/>
      <c r="AJ47" s="8"/>
      <c r="AK47" s="5">
        <f t="shared" si="2"/>
        <v>21</v>
      </c>
      <c r="AL47" s="5">
        <f t="shared" si="3"/>
        <v>1</v>
      </c>
    </row>
    <row r="48" spans="1:38" ht="15.5" x14ac:dyDescent="0.35">
      <c r="A48" s="20">
        <v>23</v>
      </c>
      <c r="B48" s="9">
        <v>558</v>
      </c>
      <c r="C48" s="24" t="s">
        <v>488</v>
      </c>
      <c r="D48" s="24" t="s">
        <v>406</v>
      </c>
      <c r="E48" s="19" t="s">
        <v>497</v>
      </c>
      <c r="F48" s="180"/>
      <c r="G48" s="8" t="s">
        <v>817</v>
      </c>
      <c r="H48" s="8" t="s">
        <v>818</v>
      </c>
      <c r="I48" s="183"/>
      <c r="J48" s="8" t="s">
        <v>818</v>
      </c>
      <c r="K48" s="113" t="s">
        <v>818</v>
      </c>
      <c r="L48" s="8" t="s">
        <v>817</v>
      </c>
      <c r="M48" s="8" t="s">
        <v>818</v>
      </c>
      <c r="N48" s="8" t="s">
        <v>818</v>
      </c>
      <c r="O48" s="8" t="s">
        <v>818</v>
      </c>
      <c r="P48" s="183"/>
      <c r="Q48" s="8" t="s">
        <v>818</v>
      </c>
      <c r="R48" s="113" t="s">
        <v>818</v>
      </c>
      <c r="S48" s="8" t="s">
        <v>818</v>
      </c>
      <c r="T48" s="8" t="s">
        <v>818</v>
      </c>
      <c r="U48" s="8" t="s">
        <v>818</v>
      </c>
      <c r="V48" s="8" t="s">
        <v>818</v>
      </c>
      <c r="W48" s="183"/>
      <c r="X48" s="8" t="s">
        <v>818</v>
      </c>
      <c r="Y48" s="113" t="s">
        <v>818</v>
      </c>
      <c r="Z48" s="8" t="s">
        <v>818</v>
      </c>
      <c r="AA48" s="8" t="s">
        <v>817</v>
      </c>
      <c r="AB48" s="8" t="s">
        <v>818</v>
      </c>
      <c r="AC48" s="8" t="s">
        <v>818</v>
      </c>
      <c r="AD48" s="183"/>
      <c r="AE48" s="8" t="s">
        <v>818</v>
      </c>
      <c r="AF48" s="113" t="s">
        <v>818</v>
      </c>
      <c r="AG48" s="8"/>
      <c r="AH48" s="8"/>
      <c r="AI48" s="8"/>
      <c r="AJ48" s="8"/>
      <c r="AK48" s="5">
        <f t="shared" si="2"/>
        <v>19</v>
      </c>
      <c r="AL48" s="5">
        <f t="shared" si="3"/>
        <v>3</v>
      </c>
    </row>
    <row r="49" spans="1:38" ht="15.5" x14ac:dyDescent="0.35">
      <c r="A49" s="20">
        <v>24</v>
      </c>
      <c r="B49" s="20">
        <v>592</v>
      </c>
      <c r="C49" s="24" t="s">
        <v>491</v>
      </c>
      <c r="D49" s="24" t="s">
        <v>197</v>
      </c>
      <c r="E49" s="19" t="s">
        <v>497</v>
      </c>
      <c r="F49" s="180"/>
      <c r="G49" s="8" t="s">
        <v>818</v>
      </c>
      <c r="H49" s="8" t="s">
        <v>818</v>
      </c>
      <c r="I49" s="183"/>
      <c r="J49" s="8" t="s">
        <v>818</v>
      </c>
      <c r="K49" s="113" t="s">
        <v>818</v>
      </c>
      <c r="L49" s="8" t="s">
        <v>818</v>
      </c>
      <c r="M49" s="8" t="s">
        <v>818</v>
      </c>
      <c r="N49" s="8" t="s">
        <v>818</v>
      </c>
      <c r="O49" s="8" t="s">
        <v>817</v>
      </c>
      <c r="P49" s="183"/>
      <c r="Q49" s="8" t="s">
        <v>818</v>
      </c>
      <c r="R49" s="113" t="s">
        <v>818</v>
      </c>
      <c r="S49" s="8" t="s">
        <v>818</v>
      </c>
      <c r="T49" s="8" t="s">
        <v>818</v>
      </c>
      <c r="U49" s="8" t="s">
        <v>818</v>
      </c>
      <c r="V49" s="8" t="s">
        <v>818</v>
      </c>
      <c r="W49" s="183"/>
      <c r="X49" s="8" t="s">
        <v>818</v>
      </c>
      <c r="Y49" s="113" t="s">
        <v>818</v>
      </c>
      <c r="Z49" s="8" t="s">
        <v>818</v>
      </c>
      <c r="AA49" s="8" t="s">
        <v>818</v>
      </c>
      <c r="AB49" s="8" t="s">
        <v>818</v>
      </c>
      <c r="AC49" s="8" t="s">
        <v>818</v>
      </c>
      <c r="AD49" s="183"/>
      <c r="AE49" s="8" t="s">
        <v>818</v>
      </c>
      <c r="AF49" s="113" t="s">
        <v>818</v>
      </c>
      <c r="AG49" s="8"/>
      <c r="AH49" s="8"/>
      <c r="AI49" s="8"/>
      <c r="AJ49" s="8"/>
      <c r="AK49" s="5">
        <f t="shared" si="2"/>
        <v>21</v>
      </c>
      <c r="AL49" s="5">
        <f t="shared" si="3"/>
        <v>1</v>
      </c>
    </row>
    <row r="50" spans="1:38" ht="15.5" x14ac:dyDescent="0.35">
      <c r="A50" s="20">
        <v>25</v>
      </c>
      <c r="B50" s="9">
        <v>864</v>
      </c>
      <c r="C50" s="24" t="s">
        <v>492</v>
      </c>
      <c r="D50" s="24" t="s">
        <v>112</v>
      </c>
      <c r="E50" s="19" t="s">
        <v>497</v>
      </c>
      <c r="F50" s="180"/>
      <c r="G50" s="8" t="s">
        <v>818</v>
      </c>
      <c r="H50" s="8" t="s">
        <v>818</v>
      </c>
      <c r="I50" s="183"/>
      <c r="J50" s="8" t="s">
        <v>818</v>
      </c>
      <c r="K50" s="113" t="s">
        <v>818</v>
      </c>
      <c r="L50" s="8" t="s">
        <v>818</v>
      </c>
      <c r="M50" s="8" t="s">
        <v>818</v>
      </c>
      <c r="N50" s="8" t="s">
        <v>818</v>
      </c>
      <c r="O50" s="8" t="s">
        <v>817</v>
      </c>
      <c r="P50" s="183"/>
      <c r="Q50" s="8" t="s">
        <v>818</v>
      </c>
      <c r="R50" s="113" t="s">
        <v>818</v>
      </c>
      <c r="S50" s="8" t="s">
        <v>818</v>
      </c>
      <c r="T50" s="8" t="s">
        <v>818</v>
      </c>
      <c r="U50" s="8" t="s">
        <v>818</v>
      </c>
      <c r="V50" s="8" t="s">
        <v>818</v>
      </c>
      <c r="W50" s="183"/>
      <c r="X50" s="8" t="s">
        <v>818</v>
      </c>
      <c r="Y50" s="113" t="s">
        <v>818</v>
      </c>
      <c r="Z50" s="8" t="s">
        <v>818</v>
      </c>
      <c r="AA50" s="8" t="s">
        <v>818</v>
      </c>
      <c r="AB50" s="8" t="s">
        <v>818</v>
      </c>
      <c r="AC50" s="8" t="s">
        <v>818</v>
      </c>
      <c r="AD50" s="183"/>
      <c r="AE50" s="8" t="s">
        <v>818</v>
      </c>
      <c r="AF50" s="113" t="s">
        <v>818</v>
      </c>
      <c r="AG50" s="8"/>
      <c r="AH50" s="8"/>
      <c r="AI50" s="8"/>
      <c r="AJ50" s="8"/>
      <c r="AK50" s="5">
        <f t="shared" si="2"/>
        <v>21</v>
      </c>
      <c r="AL50" s="5">
        <f t="shared" si="3"/>
        <v>1</v>
      </c>
    </row>
    <row r="51" spans="1:38" ht="15.5" x14ac:dyDescent="0.35">
      <c r="A51" s="20">
        <v>26</v>
      </c>
      <c r="B51" s="20">
        <v>874</v>
      </c>
      <c r="C51" s="24" t="s">
        <v>493</v>
      </c>
      <c r="D51" s="24" t="s">
        <v>494</v>
      </c>
      <c r="E51" s="19" t="s">
        <v>497</v>
      </c>
      <c r="F51" s="181"/>
      <c r="G51" s="8" t="s">
        <v>818</v>
      </c>
      <c r="H51" s="8" t="s">
        <v>818</v>
      </c>
      <c r="I51" s="183"/>
      <c r="J51" s="8" t="s">
        <v>819</v>
      </c>
      <c r="K51" s="113" t="s">
        <v>818</v>
      </c>
      <c r="L51" s="8" t="s">
        <v>818</v>
      </c>
      <c r="M51" s="8" t="s">
        <v>818</v>
      </c>
      <c r="N51" s="8" t="s">
        <v>818</v>
      </c>
      <c r="O51" s="8" t="s">
        <v>818</v>
      </c>
      <c r="P51" s="183"/>
      <c r="Q51" s="8" t="s">
        <v>818</v>
      </c>
      <c r="R51" s="113" t="s">
        <v>818</v>
      </c>
      <c r="S51" s="8" t="s">
        <v>818</v>
      </c>
      <c r="T51" s="8" t="s">
        <v>818</v>
      </c>
      <c r="U51" s="8" t="s">
        <v>818</v>
      </c>
      <c r="V51" s="8" t="s">
        <v>818</v>
      </c>
      <c r="W51" s="183"/>
      <c r="X51" s="8" t="s">
        <v>818</v>
      </c>
      <c r="Y51" s="113" t="s">
        <v>818</v>
      </c>
      <c r="Z51" s="8" t="s">
        <v>818</v>
      </c>
      <c r="AA51" s="8" t="s">
        <v>818</v>
      </c>
      <c r="AB51" s="8" t="s">
        <v>818</v>
      </c>
      <c r="AC51" s="8" t="s">
        <v>818</v>
      </c>
      <c r="AD51" s="183"/>
      <c r="AE51" s="8" t="s">
        <v>818</v>
      </c>
      <c r="AF51" s="113" t="s">
        <v>818</v>
      </c>
      <c r="AG51" s="8"/>
      <c r="AH51" s="8"/>
      <c r="AI51" s="8"/>
      <c r="AJ51" s="8"/>
      <c r="AK51" s="5">
        <f t="shared" si="2"/>
        <v>21</v>
      </c>
      <c r="AL51" s="5">
        <f t="shared" si="3"/>
        <v>0</v>
      </c>
    </row>
  </sheetData>
  <mergeCells count="17">
    <mergeCell ref="AD5:AD51"/>
    <mergeCell ref="AM3:AN3"/>
    <mergeCell ref="AM11:AP11"/>
    <mergeCell ref="AM19:AP19"/>
    <mergeCell ref="F5:F51"/>
    <mergeCell ref="I5:I51"/>
    <mergeCell ref="P5:P51"/>
    <mergeCell ref="W5:W51"/>
    <mergeCell ref="A1:AL1"/>
    <mergeCell ref="A2:AL2"/>
    <mergeCell ref="A3:A4"/>
    <mergeCell ref="C3:C4"/>
    <mergeCell ref="D3:D4"/>
    <mergeCell ref="E3:E4"/>
    <mergeCell ref="AK3:AK4"/>
    <mergeCell ref="AL3:AL4"/>
    <mergeCell ref="B3:B4"/>
  </mergeCells>
  <conditionalFormatting sqref="F3:AJ3 F5:H5 N5:N51 U5:U51 AB5:AB51 AI5:AJ51 G6:H51">
    <cfRule type="expression" dxfId="227" priority="247">
      <formula>F$3="Sun"</formula>
    </cfRule>
  </conditionalFormatting>
  <conditionalFormatting sqref="F5:H5 N5:N51 U5:U51 AB5:AB51 AI5:AJ51 G6:H51">
    <cfRule type="expression" dxfId="226" priority="246">
      <formula>IF(F$4=TODAY(),TRUE,FALSE)</formula>
    </cfRule>
  </conditionalFormatting>
  <conditionalFormatting sqref="F5:H5 N5:N51 U5:U51 AB5:AB51 AI5:AJ51 G6:H51">
    <cfRule type="cellIs" dxfId="225" priority="243" operator="equal">
      <formula>"L"</formula>
    </cfRule>
    <cfRule type="cellIs" dxfId="224" priority="244" operator="equal">
      <formula>"A"</formula>
    </cfRule>
    <cfRule type="cellIs" dxfId="223" priority="245" operator="equal">
      <formula>"P"</formula>
    </cfRule>
  </conditionalFormatting>
  <conditionalFormatting sqref="I5:J5 L5:M51 S5:T51 Z5:AA51 AG5:AH51 J6:J51 O5:O51 V5:V51 AC5:AC51 Q5:Q51 X5:X51 AE5:AE51">
    <cfRule type="cellIs" dxfId="222" priority="196" operator="equal">
      <formula>"L"</formula>
    </cfRule>
    <cfRule type="cellIs" dxfId="221" priority="197" operator="equal">
      <formula>"A"</formula>
    </cfRule>
    <cfRule type="cellIs" dxfId="220" priority="198" operator="equal">
      <formula>"P"</formula>
    </cfRule>
    <cfRule type="expression" dxfId="219" priority="199">
      <formula>IF(I$4=TODAY(),TRUE,FALSE)</formula>
    </cfRule>
    <cfRule type="expression" dxfId="218" priority="200">
      <formula>I$3="Sun"</formula>
    </cfRule>
  </conditionalFormatting>
  <conditionalFormatting sqref="AK3:AL3 AK5:AL51">
    <cfRule type="expression" dxfId="217" priority="248">
      <formula>#REF!="Sun"</formula>
    </cfRule>
  </conditionalFormatting>
  <conditionalFormatting sqref="AM5:AM9">
    <cfRule type="expression" dxfId="216" priority="219">
      <formula>AM$3="Sun"</formula>
    </cfRule>
  </conditionalFormatting>
  <conditionalFormatting sqref="AM12:AM15">
    <cfRule type="expression" dxfId="215" priority="217">
      <formula>AM$3="Sun"</formula>
    </cfRule>
  </conditionalFormatting>
  <conditionalFormatting sqref="AM20:AM26">
    <cfRule type="expression" dxfId="214" priority="216">
      <formula>AM$3="Sun"</formula>
    </cfRule>
  </conditionalFormatting>
  <conditionalFormatting sqref="AM4:AN4">
    <cfRule type="expression" dxfId="213" priority="220">
      <formula>AM$3="Sun"</formula>
    </cfRule>
  </conditionalFormatting>
  <conditionalFormatting sqref="AN12:AP12 AN20:AP20">
    <cfRule type="expression" dxfId="212" priority="221">
      <formula>AN$3="Sun"</formula>
    </cfRule>
  </conditionalFormatting>
  <conditionalFormatting sqref="AP21">
    <cfRule type="expression" dxfId="211" priority="218">
      <formula>AP$3="Sun"</formula>
    </cfRule>
  </conditionalFormatting>
  <conditionalFormatting sqref="K5:K51">
    <cfRule type="expression" dxfId="210" priority="65">
      <formula>K$3="Sun"</formula>
    </cfRule>
  </conditionalFormatting>
  <conditionalFormatting sqref="K5:K51">
    <cfRule type="expression" dxfId="209" priority="64">
      <formula>IF(K$4=TODAY(),TRUE,FALSE)</formula>
    </cfRule>
  </conditionalFormatting>
  <conditionalFormatting sqref="K5:K51">
    <cfRule type="cellIs" dxfId="208" priority="61" operator="equal">
      <formula>"L"</formula>
    </cfRule>
    <cfRule type="cellIs" dxfId="207" priority="62" operator="equal">
      <formula>"A"</formula>
    </cfRule>
    <cfRule type="cellIs" dxfId="206" priority="63" operator="equal">
      <formula>"P"</formula>
    </cfRule>
  </conditionalFormatting>
  <conditionalFormatting sqref="R5:R51">
    <cfRule type="expression" dxfId="205" priority="60">
      <formula>R$3="Sun"</formula>
    </cfRule>
  </conditionalFormatting>
  <conditionalFormatting sqref="R5:R51">
    <cfRule type="expression" dxfId="204" priority="59">
      <formula>IF(R$4=TODAY(),TRUE,FALSE)</formula>
    </cfRule>
  </conditionalFormatting>
  <conditionalFormatting sqref="R5:R51">
    <cfRule type="cellIs" dxfId="203" priority="56" operator="equal">
      <formula>"L"</formula>
    </cfRule>
    <cfRule type="cellIs" dxfId="202" priority="57" operator="equal">
      <formula>"A"</formula>
    </cfRule>
    <cfRule type="cellIs" dxfId="201" priority="58" operator="equal">
      <formula>"P"</formula>
    </cfRule>
  </conditionalFormatting>
  <conditionalFormatting sqref="Y5:Y51">
    <cfRule type="expression" dxfId="200" priority="55">
      <formula>Y$3="Sun"</formula>
    </cfRule>
  </conditionalFormatting>
  <conditionalFormatting sqref="Y5:Y51">
    <cfRule type="expression" dxfId="199" priority="54">
      <formula>IF(Y$4=TODAY(),TRUE,FALSE)</formula>
    </cfRule>
  </conditionalFormatting>
  <conditionalFormatting sqref="Y5:Y51">
    <cfRule type="cellIs" dxfId="198" priority="51" operator="equal">
      <formula>"L"</formula>
    </cfRule>
    <cfRule type="cellIs" dxfId="197" priority="52" operator="equal">
      <formula>"A"</formula>
    </cfRule>
    <cfRule type="cellIs" dxfId="196" priority="53" operator="equal">
      <formula>"P"</formula>
    </cfRule>
  </conditionalFormatting>
  <conditionalFormatting sqref="AF5:AF51">
    <cfRule type="expression" dxfId="195" priority="50">
      <formula>AF$3="Sun"</formula>
    </cfRule>
  </conditionalFormatting>
  <conditionalFormatting sqref="AF5:AF51">
    <cfRule type="expression" dxfId="194" priority="49">
      <formula>IF(AF$4=TODAY(),TRUE,FALSE)</formula>
    </cfRule>
  </conditionalFormatting>
  <conditionalFormatting sqref="AF5:AF51">
    <cfRule type="cellIs" dxfId="193" priority="46" operator="equal">
      <formula>"L"</formula>
    </cfRule>
    <cfRule type="cellIs" dxfId="192" priority="47" operator="equal">
      <formula>"A"</formula>
    </cfRule>
    <cfRule type="cellIs" dxfId="191" priority="48" operator="equal">
      <formula>"P"</formula>
    </cfRule>
  </conditionalFormatting>
  <conditionalFormatting sqref="F4:AJ4">
    <cfRule type="cellIs" dxfId="190" priority="16" operator="equal">
      <formula>"L"</formula>
    </cfRule>
    <cfRule type="cellIs" dxfId="189" priority="17" operator="equal">
      <formula>"P"</formula>
    </cfRule>
    <cfRule type="cellIs" dxfId="188" priority="18" operator="equal">
      <formula>"A"</formula>
    </cfRule>
    <cfRule type="expression" dxfId="187" priority="19">
      <formula>F$4=TODAY()</formula>
    </cfRule>
    <cfRule type="expression" dxfId="186" priority="20">
      <formula>F$3="SUN"</formula>
    </cfRule>
  </conditionalFormatting>
  <conditionalFormatting sqref="P5">
    <cfRule type="cellIs" dxfId="185" priority="11" operator="equal">
      <formula>"L"</formula>
    </cfRule>
    <cfRule type="cellIs" dxfId="184" priority="12" operator="equal">
      <formula>"A"</formula>
    </cfRule>
    <cfRule type="cellIs" dxfId="183" priority="13" operator="equal">
      <formula>"P"</formula>
    </cfRule>
    <cfRule type="expression" dxfId="182" priority="14">
      <formula>IF(P$4=TODAY(),TRUE,FALSE)</formula>
    </cfRule>
    <cfRule type="expression" dxfId="181" priority="15">
      <formula>P$3="Sun"</formula>
    </cfRule>
  </conditionalFormatting>
  <conditionalFormatting sqref="W5">
    <cfRule type="cellIs" dxfId="180" priority="6" operator="equal">
      <formula>"L"</formula>
    </cfRule>
    <cfRule type="cellIs" dxfId="179" priority="7" operator="equal">
      <formula>"A"</formula>
    </cfRule>
    <cfRule type="cellIs" dxfId="178" priority="8" operator="equal">
      <formula>"P"</formula>
    </cfRule>
    <cfRule type="expression" dxfId="177" priority="9">
      <formula>IF(W$4=TODAY(),TRUE,FALSE)</formula>
    </cfRule>
    <cfRule type="expression" dxfId="176" priority="10">
      <formula>W$3="Sun"</formula>
    </cfRule>
  </conditionalFormatting>
  <conditionalFormatting sqref="AD5">
    <cfRule type="cellIs" dxfId="175" priority="1" operator="equal">
      <formula>"L"</formula>
    </cfRule>
    <cfRule type="cellIs" dxfId="174" priority="2" operator="equal">
      <formula>"A"</formula>
    </cfRule>
    <cfRule type="cellIs" dxfId="173" priority="3" operator="equal">
      <formula>"P"</formula>
    </cfRule>
    <cfRule type="expression" dxfId="172" priority="4">
      <formula>IF(AD$4=TODAY(),TRUE,FALSE)</formula>
    </cfRule>
    <cfRule type="expression" dxfId="171" priority="5">
      <formula>AD$3="Sun"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5"/>
  <sheetViews>
    <sheetView workbookViewId="0">
      <selection activeCell="AF56" sqref="AF56"/>
    </sheetView>
  </sheetViews>
  <sheetFormatPr defaultColWidth="3.81640625" defaultRowHeight="14" x14ac:dyDescent="0.3"/>
  <cols>
    <col min="1" max="1" width="5.1796875" style="1" bestFit="1" customWidth="1"/>
    <col min="2" max="2" width="5.1796875" style="1" customWidth="1"/>
    <col min="3" max="3" width="19.26953125" style="1" bestFit="1" customWidth="1"/>
    <col min="4" max="4" width="17.7265625" style="1" bestFit="1" customWidth="1"/>
    <col min="5" max="5" width="6.453125" style="1" customWidth="1"/>
    <col min="6" max="6" width="3.7265625" style="1" bestFit="1" customWidth="1"/>
    <col min="7" max="7" width="3.36328125" style="1" bestFit="1" customWidth="1"/>
    <col min="8" max="8" width="4.54296875" style="1" bestFit="1" customWidth="1"/>
    <col min="9" max="9" width="3.81640625" style="1" bestFit="1" customWidth="1"/>
    <col min="10" max="10" width="4.7265625" style="1" bestFit="1" customWidth="1"/>
    <col min="11" max="11" width="3.81640625" style="1" bestFit="1" customWidth="1"/>
    <col min="12" max="13" width="3.7265625" style="1" bestFit="1" customWidth="1"/>
    <col min="14" max="14" width="3.81640625" style="1" bestFit="1" customWidth="1"/>
    <col min="15" max="15" width="4.54296875" style="1" bestFit="1" customWidth="1"/>
    <col min="16" max="16" width="3.81640625" style="1" bestFit="1" customWidth="1"/>
    <col min="17" max="17" width="4.7265625" style="1" bestFit="1" customWidth="1"/>
    <col min="18" max="18" width="3.81640625" style="1" bestFit="1" customWidth="1"/>
    <col min="19" max="20" width="3.7265625" style="1" bestFit="1" customWidth="1"/>
    <col min="21" max="21" width="3.81640625" style="1" bestFit="1" customWidth="1"/>
    <col min="22" max="22" width="4.54296875" style="1" bestFit="1" customWidth="1"/>
    <col min="23" max="23" width="3.81640625" style="1" bestFit="1" customWidth="1"/>
    <col min="24" max="24" width="4.7265625" style="1" bestFit="1" customWidth="1"/>
    <col min="25" max="25" width="3.81640625" style="1" bestFit="1" customWidth="1"/>
    <col min="26" max="27" width="3.7265625" style="1" bestFit="1" customWidth="1"/>
    <col min="28" max="28" width="3.81640625" style="1" bestFit="1"/>
    <col min="29" max="29" width="3.36328125" style="1" bestFit="1" customWidth="1"/>
    <col min="30" max="30" width="3.81640625" style="1" bestFit="1" customWidth="1"/>
    <col min="31" max="31" width="4.36328125" style="1" bestFit="1" customWidth="1"/>
    <col min="32" max="32" width="3.6328125" style="1" bestFit="1" customWidth="1"/>
    <col min="33" max="33" width="4.36328125" style="1" bestFit="1" customWidth="1"/>
    <col min="34" max="34" width="3.7265625" style="1" bestFit="1" customWidth="1"/>
    <col min="35" max="35" width="3.81640625" style="1" bestFit="1" customWidth="1"/>
    <col min="36" max="36" width="3.81640625" style="1" customWidth="1"/>
    <col min="37" max="38" width="6.7265625" style="1" bestFit="1" customWidth="1"/>
    <col min="39" max="39" width="18.54296875" style="1" bestFit="1" customWidth="1"/>
    <col min="40" max="40" width="5.81640625" style="1" bestFit="1" customWidth="1"/>
    <col min="41" max="41" width="14.26953125" style="1" bestFit="1" customWidth="1"/>
    <col min="42" max="42" width="6.7265625" style="1" bestFit="1" customWidth="1"/>
    <col min="43" max="16384" width="3.81640625" style="1"/>
  </cols>
  <sheetData>
    <row r="1" spans="1:42" ht="17" x14ac:dyDescent="0.3">
      <c r="A1" s="164" t="s">
        <v>18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</row>
    <row r="2" spans="1:42" ht="17" x14ac:dyDescent="0.4">
      <c r="A2" s="167" t="s">
        <v>732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</row>
    <row r="3" spans="1:42" ht="15.5" x14ac:dyDescent="0.3">
      <c r="A3" s="177" t="s">
        <v>0</v>
      </c>
      <c r="B3" s="177" t="s">
        <v>713</v>
      </c>
      <c r="C3" s="177" t="s">
        <v>1</v>
      </c>
      <c r="D3" s="177" t="s">
        <v>2</v>
      </c>
      <c r="E3" s="177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54" t="s">
        <v>4</v>
      </c>
      <c r="AL3" s="154" t="s">
        <v>5</v>
      </c>
      <c r="AM3" s="158" t="s">
        <v>119</v>
      </c>
      <c r="AN3" s="159"/>
      <c r="AO3" s="3"/>
      <c r="AP3" s="3"/>
    </row>
    <row r="4" spans="1:42" ht="38.5" x14ac:dyDescent="0.3">
      <c r="A4" s="178"/>
      <c r="B4" s="178"/>
      <c r="C4" s="178"/>
      <c r="D4" s="178"/>
      <c r="E4" s="178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54"/>
      <c r="AL4" s="154"/>
      <c r="AM4" s="5" t="s">
        <v>120</v>
      </c>
      <c r="AN4" s="5">
        <f>SUM(AN5:AN8)</f>
        <v>30</v>
      </c>
      <c r="AO4" s="3"/>
      <c r="AP4" s="3"/>
    </row>
    <row r="5" spans="1:42" ht="15" customHeight="1" x14ac:dyDescent="0.35">
      <c r="A5" s="20">
        <v>1</v>
      </c>
      <c r="B5" s="20">
        <v>605</v>
      </c>
      <c r="C5" s="22" t="s">
        <v>495</v>
      </c>
      <c r="D5" s="23" t="s">
        <v>496</v>
      </c>
      <c r="E5" s="19" t="s">
        <v>725</v>
      </c>
      <c r="F5" s="184" t="s">
        <v>844</v>
      </c>
      <c r="G5" s="8" t="s">
        <v>818</v>
      </c>
      <c r="H5" s="8" t="s">
        <v>818</v>
      </c>
      <c r="I5" s="187" t="s">
        <v>768</v>
      </c>
      <c r="J5" s="8" t="s">
        <v>818</v>
      </c>
      <c r="K5" s="113" t="s">
        <v>818</v>
      </c>
      <c r="L5" s="8" t="s">
        <v>818</v>
      </c>
      <c r="M5" s="8" t="s">
        <v>818</v>
      </c>
      <c r="N5" s="8" t="s">
        <v>817</v>
      </c>
      <c r="O5" s="8" t="s">
        <v>818</v>
      </c>
      <c r="P5" s="105"/>
      <c r="Q5" s="8" t="s">
        <v>818</v>
      </c>
      <c r="R5" s="113" t="s">
        <v>818</v>
      </c>
      <c r="S5" s="8" t="s">
        <v>817</v>
      </c>
      <c r="T5" s="8" t="s">
        <v>818</v>
      </c>
      <c r="U5" s="8" t="s">
        <v>817</v>
      </c>
      <c r="V5" s="8" t="s">
        <v>818</v>
      </c>
      <c r="W5" s="182" t="s">
        <v>767</v>
      </c>
      <c r="X5" s="8" t="s">
        <v>818</v>
      </c>
      <c r="Y5" s="113" t="s">
        <v>818</v>
      </c>
      <c r="Z5" s="8" t="s">
        <v>818</v>
      </c>
      <c r="AA5" s="8" t="s">
        <v>818</v>
      </c>
      <c r="AB5" s="8" t="s">
        <v>818</v>
      </c>
      <c r="AC5" s="8" t="s">
        <v>817</v>
      </c>
      <c r="AD5" s="182" t="s">
        <v>769</v>
      </c>
      <c r="AE5" s="8" t="s">
        <v>818</v>
      </c>
      <c r="AF5" s="113" t="s">
        <v>818</v>
      </c>
      <c r="AG5" s="8"/>
      <c r="AH5" s="8"/>
      <c r="AI5" s="8"/>
      <c r="AJ5" s="8"/>
      <c r="AK5" s="5">
        <f t="shared" ref="AK5:AK55" si="0">COUNTIF(F5:AI5,"P")</f>
        <v>18</v>
      </c>
      <c r="AL5" s="5">
        <f t="shared" ref="AL5:AL55" si="1">COUNTIF(F5:AI5,"A")</f>
        <v>4</v>
      </c>
      <c r="AM5" s="5" t="s">
        <v>7</v>
      </c>
      <c r="AN5" s="9">
        <v>26</v>
      </c>
      <c r="AO5" s="10"/>
      <c r="AP5" s="3"/>
    </row>
    <row r="6" spans="1:42" ht="15.5" x14ac:dyDescent="0.35">
      <c r="A6" s="20">
        <v>2</v>
      </c>
      <c r="B6" s="20">
        <v>609</v>
      </c>
      <c r="C6" s="22" t="s">
        <v>46</v>
      </c>
      <c r="D6" s="23" t="s">
        <v>398</v>
      </c>
      <c r="E6" s="19" t="s">
        <v>725</v>
      </c>
      <c r="F6" s="180"/>
      <c r="G6" s="8" t="s">
        <v>818</v>
      </c>
      <c r="H6" s="8" t="s">
        <v>818</v>
      </c>
      <c r="I6" s="183"/>
      <c r="J6" s="8" t="s">
        <v>818</v>
      </c>
      <c r="K6" s="113" t="s">
        <v>818</v>
      </c>
      <c r="L6" s="8" t="s">
        <v>818</v>
      </c>
      <c r="M6" s="8" t="s">
        <v>818</v>
      </c>
      <c r="N6" s="8" t="s">
        <v>818</v>
      </c>
      <c r="O6" s="8" t="s">
        <v>818</v>
      </c>
      <c r="P6" s="185" t="s">
        <v>767</v>
      </c>
      <c r="Q6" s="8" t="s">
        <v>818</v>
      </c>
      <c r="R6" s="113" t="s">
        <v>818</v>
      </c>
      <c r="S6" s="8" t="s">
        <v>818</v>
      </c>
      <c r="T6" s="8" t="s">
        <v>818</v>
      </c>
      <c r="U6" s="8" t="s">
        <v>818</v>
      </c>
      <c r="V6" s="8" t="s">
        <v>818</v>
      </c>
      <c r="W6" s="183"/>
      <c r="X6" s="8" t="s">
        <v>818</v>
      </c>
      <c r="Y6" s="113" t="s">
        <v>818</v>
      </c>
      <c r="Z6" s="8" t="s">
        <v>818</v>
      </c>
      <c r="AA6" s="8" t="s">
        <v>818</v>
      </c>
      <c r="AB6" s="8" t="s">
        <v>818</v>
      </c>
      <c r="AC6" s="8" t="s">
        <v>818</v>
      </c>
      <c r="AD6" s="183"/>
      <c r="AE6" s="8" t="s">
        <v>818</v>
      </c>
      <c r="AF6" s="113" t="s">
        <v>818</v>
      </c>
      <c r="AG6" s="8"/>
      <c r="AH6" s="8"/>
      <c r="AI6" s="8"/>
      <c r="AJ6" s="8"/>
      <c r="AK6" s="5">
        <f t="shared" si="0"/>
        <v>22</v>
      </c>
      <c r="AL6" s="5">
        <f t="shared" si="1"/>
        <v>0</v>
      </c>
      <c r="AM6" s="5" t="s">
        <v>8</v>
      </c>
      <c r="AN6" s="9">
        <v>4</v>
      </c>
      <c r="AO6" s="3"/>
      <c r="AP6" s="3"/>
    </row>
    <row r="7" spans="1:42" ht="15.5" x14ac:dyDescent="0.35">
      <c r="A7" s="20">
        <v>3</v>
      </c>
      <c r="B7" s="20">
        <v>604</v>
      </c>
      <c r="C7" s="22" t="s">
        <v>499</v>
      </c>
      <c r="D7" s="23" t="s">
        <v>141</v>
      </c>
      <c r="E7" s="19" t="s">
        <v>725</v>
      </c>
      <c r="F7" s="180"/>
      <c r="G7" s="8" t="s">
        <v>817</v>
      </c>
      <c r="H7" s="8" t="s">
        <v>818</v>
      </c>
      <c r="I7" s="183"/>
      <c r="J7" s="8" t="s">
        <v>818</v>
      </c>
      <c r="K7" s="113" t="s">
        <v>818</v>
      </c>
      <c r="L7" s="8" t="s">
        <v>818</v>
      </c>
      <c r="M7" s="8" t="s">
        <v>818</v>
      </c>
      <c r="N7" s="8" t="s">
        <v>818</v>
      </c>
      <c r="O7" s="8" t="s">
        <v>818</v>
      </c>
      <c r="P7" s="186"/>
      <c r="Q7" s="8" t="s">
        <v>818</v>
      </c>
      <c r="R7" s="113" t="s">
        <v>818</v>
      </c>
      <c r="S7" s="8" t="s">
        <v>818</v>
      </c>
      <c r="T7" s="8" t="s">
        <v>818</v>
      </c>
      <c r="U7" s="8" t="s">
        <v>818</v>
      </c>
      <c r="V7" s="8" t="s">
        <v>818</v>
      </c>
      <c r="W7" s="183"/>
      <c r="X7" s="8" t="s">
        <v>818</v>
      </c>
      <c r="Y7" s="113" t="s">
        <v>818</v>
      </c>
      <c r="Z7" s="8" t="s">
        <v>818</v>
      </c>
      <c r="AA7" s="8" t="s">
        <v>818</v>
      </c>
      <c r="AB7" s="8" t="s">
        <v>818</v>
      </c>
      <c r="AC7" s="8" t="s">
        <v>818</v>
      </c>
      <c r="AD7" s="183"/>
      <c r="AE7" s="8" t="s">
        <v>818</v>
      </c>
      <c r="AF7" s="113" t="s">
        <v>818</v>
      </c>
      <c r="AG7" s="8"/>
      <c r="AH7" s="8"/>
      <c r="AI7" s="8"/>
      <c r="AJ7" s="8"/>
      <c r="AK7" s="5">
        <f t="shared" si="0"/>
        <v>21</v>
      </c>
      <c r="AL7" s="5">
        <f t="shared" si="1"/>
        <v>1</v>
      </c>
      <c r="AM7" s="5"/>
      <c r="AN7" s="9"/>
      <c r="AO7" s="3"/>
      <c r="AP7" s="3"/>
    </row>
    <row r="8" spans="1:42" ht="15.5" x14ac:dyDescent="0.35">
      <c r="A8" s="20">
        <v>4</v>
      </c>
      <c r="B8" s="20">
        <v>464</v>
      </c>
      <c r="C8" s="22" t="s">
        <v>500</v>
      </c>
      <c r="D8" s="23" t="s">
        <v>89</v>
      </c>
      <c r="E8" s="19" t="s">
        <v>725</v>
      </c>
      <c r="F8" s="180"/>
      <c r="G8" s="8" t="s">
        <v>818</v>
      </c>
      <c r="H8" s="8" t="s">
        <v>818</v>
      </c>
      <c r="I8" s="183"/>
      <c r="J8" s="8" t="s">
        <v>818</v>
      </c>
      <c r="K8" s="113" t="s">
        <v>818</v>
      </c>
      <c r="L8" s="8" t="s">
        <v>818</v>
      </c>
      <c r="M8" s="8" t="s">
        <v>818</v>
      </c>
      <c r="N8" s="8" t="s">
        <v>818</v>
      </c>
      <c r="O8" s="8" t="s">
        <v>818</v>
      </c>
      <c r="P8" s="186"/>
      <c r="Q8" s="8" t="s">
        <v>817</v>
      </c>
      <c r="R8" s="113" t="s">
        <v>818</v>
      </c>
      <c r="S8" s="8" t="s">
        <v>817</v>
      </c>
      <c r="T8" s="8" t="s">
        <v>818</v>
      </c>
      <c r="U8" s="8" t="s">
        <v>817</v>
      </c>
      <c r="V8" s="8" t="s">
        <v>818</v>
      </c>
      <c r="W8" s="183"/>
      <c r="X8" s="8" t="s">
        <v>818</v>
      </c>
      <c r="Y8" s="113" t="s">
        <v>818</v>
      </c>
      <c r="Z8" s="8" t="s">
        <v>818</v>
      </c>
      <c r="AA8" s="8" t="s">
        <v>818</v>
      </c>
      <c r="AB8" s="8" t="s">
        <v>818</v>
      </c>
      <c r="AC8" s="8" t="s">
        <v>817</v>
      </c>
      <c r="AD8" s="183"/>
      <c r="AE8" s="8" t="s">
        <v>818</v>
      </c>
      <c r="AF8" s="113" t="s">
        <v>817</v>
      </c>
      <c r="AG8" s="8"/>
      <c r="AH8" s="8"/>
      <c r="AI8" s="8"/>
      <c r="AJ8" s="8"/>
      <c r="AK8" s="5">
        <f t="shared" si="0"/>
        <v>17</v>
      </c>
      <c r="AL8" s="5">
        <f t="shared" si="1"/>
        <v>5</v>
      </c>
      <c r="AM8" s="5"/>
      <c r="AN8" s="9"/>
      <c r="AO8"/>
      <c r="AP8"/>
    </row>
    <row r="9" spans="1:42" ht="15.5" x14ac:dyDescent="0.35">
      <c r="A9" s="20">
        <v>5</v>
      </c>
      <c r="B9" s="20">
        <v>601</v>
      </c>
      <c r="C9" s="22" t="s">
        <v>501</v>
      </c>
      <c r="D9" s="23" t="s">
        <v>502</v>
      </c>
      <c r="E9" s="19" t="s">
        <v>725</v>
      </c>
      <c r="F9" s="180"/>
      <c r="G9" s="8" t="s">
        <v>817</v>
      </c>
      <c r="H9" s="8" t="s">
        <v>817</v>
      </c>
      <c r="I9" s="183"/>
      <c r="J9" s="8" t="s">
        <v>818</v>
      </c>
      <c r="K9" s="113" t="s">
        <v>817</v>
      </c>
      <c r="L9" s="8" t="s">
        <v>818</v>
      </c>
      <c r="M9" s="8" t="s">
        <v>818</v>
      </c>
      <c r="N9" s="8" t="s">
        <v>818</v>
      </c>
      <c r="O9" s="8" t="s">
        <v>818</v>
      </c>
      <c r="P9" s="186"/>
      <c r="Q9" s="8" t="s">
        <v>818</v>
      </c>
      <c r="R9" s="113" t="s">
        <v>818</v>
      </c>
      <c r="S9" s="8" t="s">
        <v>818</v>
      </c>
      <c r="T9" s="8" t="s">
        <v>818</v>
      </c>
      <c r="U9" s="8" t="s">
        <v>818</v>
      </c>
      <c r="V9" s="8" t="s">
        <v>818</v>
      </c>
      <c r="W9" s="183"/>
      <c r="X9" s="8" t="s">
        <v>818</v>
      </c>
      <c r="Y9" s="113" t="s">
        <v>818</v>
      </c>
      <c r="Z9" s="8" t="s">
        <v>818</v>
      </c>
      <c r="AA9" s="8" t="s">
        <v>818</v>
      </c>
      <c r="AB9" s="8" t="s">
        <v>818</v>
      </c>
      <c r="AC9" s="8" t="s">
        <v>818</v>
      </c>
      <c r="AD9" s="183"/>
      <c r="AE9" s="8" t="s">
        <v>818</v>
      </c>
      <c r="AF9" s="113" t="s">
        <v>817</v>
      </c>
      <c r="AG9" s="8"/>
      <c r="AH9" s="8"/>
      <c r="AI9" s="8"/>
      <c r="AJ9" s="8"/>
      <c r="AK9" s="5">
        <f t="shared" si="0"/>
        <v>18</v>
      </c>
      <c r="AL9" s="5">
        <f t="shared" si="1"/>
        <v>4</v>
      </c>
      <c r="AM9" s="5"/>
      <c r="AN9" s="9"/>
    </row>
    <row r="10" spans="1:42" ht="15.5" x14ac:dyDescent="0.35">
      <c r="A10" s="20">
        <v>6</v>
      </c>
      <c r="B10" s="20">
        <v>494</v>
      </c>
      <c r="C10" s="22" t="s">
        <v>503</v>
      </c>
      <c r="D10" s="23" t="s">
        <v>50</v>
      </c>
      <c r="E10" s="19" t="s">
        <v>725</v>
      </c>
      <c r="F10" s="180"/>
      <c r="G10" s="8" t="s">
        <v>818</v>
      </c>
      <c r="H10" s="8" t="s">
        <v>818</v>
      </c>
      <c r="I10" s="183"/>
      <c r="J10" s="8" t="s">
        <v>818</v>
      </c>
      <c r="K10" s="113" t="s">
        <v>818</v>
      </c>
      <c r="L10" s="8" t="s">
        <v>818</v>
      </c>
      <c r="M10" s="8" t="s">
        <v>818</v>
      </c>
      <c r="N10" s="8" t="s">
        <v>818</v>
      </c>
      <c r="O10" s="8" t="s">
        <v>817</v>
      </c>
      <c r="P10" s="186"/>
      <c r="Q10" s="8" t="s">
        <v>818</v>
      </c>
      <c r="R10" s="113" t="s">
        <v>818</v>
      </c>
      <c r="S10" s="8" t="s">
        <v>818</v>
      </c>
      <c r="T10" s="8" t="s">
        <v>818</v>
      </c>
      <c r="U10" s="8" t="s">
        <v>818</v>
      </c>
      <c r="V10" s="8" t="s">
        <v>818</v>
      </c>
      <c r="W10" s="183"/>
      <c r="X10" s="8" t="s">
        <v>818</v>
      </c>
      <c r="Y10" s="113" t="s">
        <v>818</v>
      </c>
      <c r="Z10" s="8" t="s">
        <v>818</v>
      </c>
      <c r="AA10" s="8" t="s">
        <v>818</v>
      </c>
      <c r="AB10" s="8" t="s">
        <v>818</v>
      </c>
      <c r="AC10" s="8" t="s">
        <v>818</v>
      </c>
      <c r="AD10" s="183"/>
      <c r="AE10" s="8" t="s">
        <v>817</v>
      </c>
      <c r="AF10" s="113" t="s">
        <v>817</v>
      </c>
      <c r="AG10" s="8"/>
      <c r="AH10" s="8"/>
      <c r="AI10" s="8"/>
      <c r="AJ10" s="8"/>
      <c r="AK10" s="5">
        <f t="shared" si="0"/>
        <v>19</v>
      </c>
      <c r="AL10" s="5">
        <f t="shared" si="1"/>
        <v>3</v>
      </c>
    </row>
    <row r="11" spans="1:42" ht="15.5" x14ac:dyDescent="0.35">
      <c r="A11" s="20">
        <v>7</v>
      </c>
      <c r="B11" s="20">
        <v>426</v>
      </c>
      <c r="C11" s="22" t="s">
        <v>755</v>
      </c>
      <c r="D11" s="23" t="s">
        <v>761</v>
      </c>
      <c r="E11" s="19" t="s">
        <v>725</v>
      </c>
      <c r="F11" s="180"/>
      <c r="G11" s="8" t="s">
        <v>817</v>
      </c>
      <c r="H11" s="8" t="s">
        <v>817</v>
      </c>
      <c r="I11" s="183"/>
      <c r="J11" s="8" t="s">
        <v>817</v>
      </c>
      <c r="K11" s="113" t="s">
        <v>817</v>
      </c>
      <c r="L11" s="8" t="s">
        <v>817</v>
      </c>
      <c r="M11" s="8" t="s">
        <v>818</v>
      </c>
      <c r="N11" s="8" t="s">
        <v>817</v>
      </c>
      <c r="O11" s="8" t="s">
        <v>817</v>
      </c>
      <c r="P11" s="186"/>
      <c r="Q11" s="8" t="s">
        <v>817</v>
      </c>
      <c r="R11" s="113" t="s">
        <v>817</v>
      </c>
      <c r="S11" s="8" t="s">
        <v>817</v>
      </c>
      <c r="T11" s="8" t="s">
        <v>817</v>
      </c>
      <c r="U11" s="8" t="s">
        <v>817</v>
      </c>
      <c r="V11" s="8" t="s">
        <v>817</v>
      </c>
      <c r="W11" s="183"/>
      <c r="X11" s="8" t="s">
        <v>817</v>
      </c>
      <c r="Y11" s="113" t="s">
        <v>817</v>
      </c>
      <c r="Z11" s="8" t="s">
        <v>817</v>
      </c>
      <c r="AA11" s="8" t="s">
        <v>817</v>
      </c>
      <c r="AB11" s="8" t="s">
        <v>817</v>
      </c>
      <c r="AC11" s="8" t="s">
        <v>817</v>
      </c>
      <c r="AD11" s="183"/>
      <c r="AE11" s="8" t="s">
        <v>817</v>
      </c>
      <c r="AF11" s="113" t="s">
        <v>817</v>
      </c>
      <c r="AG11" s="8"/>
      <c r="AH11" s="8"/>
      <c r="AI11" s="8"/>
      <c r="AJ11" s="8"/>
      <c r="AK11" s="5">
        <f t="shared" si="0"/>
        <v>1</v>
      </c>
      <c r="AL11" s="5">
        <f t="shared" si="1"/>
        <v>21</v>
      </c>
      <c r="AM11" s="158" t="s">
        <v>9</v>
      </c>
      <c r="AN11" s="159"/>
      <c r="AO11" s="159"/>
      <c r="AP11" s="160"/>
    </row>
    <row r="12" spans="1:42" ht="15.5" x14ac:dyDescent="0.35">
      <c r="A12" s="20">
        <v>8</v>
      </c>
      <c r="B12" s="20">
        <v>710</v>
      </c>
      <c r="C12" s="22" t="s">
        <v>505</v>
      </c>
      <c r="D12" s="23" t="s">
        <v>506</v>
      </c>
      <c r="E12" s="19" t="s">
        <v>725</v>
      </c>
      <c r="F12" s="180"/>
      <c r="G12" s="8" t="s">
        <v>818</v>
      </c>
      <c r="H12" s="8" t="s">
        <v>818</v>
      </c>
      <c r="I12" s="183"/>
      <c r="J12" s="8" t="s">
        <v>818</v>
      </c>
      <c r="K12" s="113" t="s">
        <v>818</v>
      </c>
      <c r="L12" s="8" t="s">
        <v>818</v>
      </c>
      <c r="M12" s="8" t="s">
        <v>818</v>
      </c>
      <c r="N12" s="8" t="s">
        <v>818</v>
      </c>
      <c r="O12" s="8" t="s">
        <v>818</v>
      </c>
      <c r="P12" s="186"/>
      <c r="Q12" s="8" t="s">
        <v>818</v>
      </c>
      <c r="R12" s="113" t="s">
        <v>818</v>
      </c>
      <c r="S12" s="8" t="s">
        <v>818</v>
      </c>
      <c r="T12" s="8" t="s">
        <v>818</v>
      </c>
      <c r="U12" s="8" t="s">
        <v>818</v>
      </c>
      <c r="V12" s="8" t="s">
        <v>818</v>
      </c>
      <c r="W12" s="183"/>
      <c r="X12" s="8" t="s">
        <v>818</v>
      </c>
      <c r="Y12" s="113" t="s">
        <v>818</v>
      </c>
      <c r="Z12" s="8" t="s">
        <v>818</v>
      </c>
      <c r="AA12" s="8" t="s">
        <v>818</v>
      </c>
      <c r="AB12" s="8" t="s">
        <v>818</v>
      </c>
      <c r="AC12" s="8" t="s">
        <v>818</v>
      </c>
      <c r="AD12" s="183"/>
      <c r="AE12" s="8" t="s">
        <v>818</v>
      </c>
      <c r="AF12" s="113" t="s">
        <v>818</v>
      </c>
      <c r="AG12" s="8"/>
      <c r="AH12" s="8"/>
      <c r="AI12" s="8"/>
      <c r="AJ12" s="8"/>
      <c r="AK12" s="5">
        <f t="shared" si="0"/>
        <v>22</v>
      </c>
      <c r="AL12" s="5">
        <f t="shared" si="1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5.5" x14ac:dyDescent="0.35">
      <c r="A13" s="20">
        <v>9</v>
      </c>
      <c r="B13" s="20">
        <v>711</v>
      </c>
      <c r="C13" s="22" t="s">
        <v>507</v>
      </c>
      <c r="D13" s="23" t="s">
        <v>508</v>
      </c>
      <c r="E13" s="19" t="s">
        <v>725</v>
      </c>
      <c r="F13" s="180"/>
      <c r="G13" s="8" t="s">
        <v>818</v>
      </c>
      <c r="H13" s="8" t="s">
        <v>818</v>
      </c>
      <c r="I13" s="183"/>
      <c r="J13" s="8" t="s">
        <v>818</v>
      </c>
      <c r="K13" s="113" t="s">
        <v>818</v>
      </c>
      <c r="L13" s="8" t="s">
        <v>818</v>
      </c>
      <c r="M13" s="8" t="s">
        <v>818</v>
      </c>
      <c r="N13" s="8" t="s">
        <v>818</v>
      </c>
      <c r="O13" s="8" t="s">
        <v>818</v>
      </c>
      <c r="P13" s="186"/>
      <c r="Q13" s="8" t="s">
        <v>818</v>
      </c>
      <c r="R13" s="113" t="s">
        <v>818</v>
      </c>
      <c r="S13" s="8" t="s">
        <v>817</v>
      </c>
      <c r="T13" s="8" t="s">
        <v>818</v>
      </c>
      <c r="U13" s="8" t="s">
        <v>818</v>
      </c>
      <c r="V13" s="8" t="s">
        <v>818</v>
      </c>
      <c r="W13" s="183"/>
      <c r="X13" s="8" t="s">
        <v>818</v>
      </c>
      <c r="Y13" s="113" t="s">
        <v>818</v>
      </c>
      <c r="Z13" s="8" t="s">
        <v>818</v>
      </c>
      <c r="AA13" s="8" t="s">
        <v>818</v>
      </c>
      <c r="AB13" s="8" t="s">
        <v>818</v>
      </c>
      <c r="AC13" s="8" t="s">
        <v>818</v>
      </c>
      <c r="AD13" s="183"/>
      <c r="AE13" s="8" t="s">
        <v>818</v>
      </c>
      <c r="AF13" s="113" t="s">
        <v>818</v>
      </c>
      <c r="AG13" s="8"/>
      <c r="AH13" s="8"/>
      <c r="AI13" s="8"/>
      <c r="AJ13" s="8"/>
      <c r="AK13" s="5">
        <f t="shared" si="0"/>
        <v>21</v>
      </c>
      <c r="AL13" s="5">
        <f t="shared" si="1"/>
        <v>1</v>
      </c>
      <c r="AM13" s="5" t="s">
        <v>14</v>
      </c>
      <c r="AN13" s="9">
        <f>23*$AN$5</f>
        <v>598</v>
      </c>
      <c r="AO13" s="9">
        <f>23*$AN$5</f>
        <v>598</v>
      </c>
      <c r="AP13" s="9">
        <f>SUM(AN13:AO13)</f>
        <v>1196</v>
      </c>
    </row>
    <row r="14" spans="1:42" ht="15.5" x14ac:dyDescent="0.35">
      <c r="A14" s="20">
        <v>10</v>
      </c>
      <c r="B14" s="20">
        <v>600</v>
      </c>
      <c r="C14" s="22" t="s">
        <v>509</v>
      </c>
      <c r="D14" s="23" t="s">
        <v>135</v>
      </c>
      <c r="E14" s="19" t="s">
        <v>725</v>
      </c>
      <c r="F14" s="180"/>
      <c r="G14" s="8" t="s">
        <v>817</v>
      </c>
      <c r="H14" s="8" t="s">
        <v>818</v>
      </c>
      <c r="I14" s="183"/>
      <c r="J14" s="8" t="s">
        <v>818</v>
      </c>
      <c r="K14" s="113" t="s">
        <v>818</v>
      </c>
      <c r="L14" s="8" t="s">
        <v>818</v>
      </c>
      <c r="M14" s="8" t="s">
        <v>817</v>
      </c>
      <c r="N14" s="8" t="s">
        <v>818</v>
      </c>
      <c r="O14" s="8" t="s">
        <v>818</v>
      </c>
      <c r="P14" s="186"/>
      <c r="Q14" s="8" t="s">
        <v>818</v>
      </c>
      <c r="R14" s="113" t="s">
        <v>818</v>
      </c>
      <c r="S14" s="8" t="s">
        <v>818</v>
      </c>
      <c r="T14" s="8" t="s">
        <v>818</v>
      </c>
      <c r="U14" s="8" t="s">
        <v>817</v>
      </c>
      <c r="V14" s="8" t="s">
        <v>818</v>
      </c>
      <c r="W14" s="183"/>
      <c r="X14" s="8" t="s">
        <v>818</v>
      </c>
      <c r="Y14" s="113" t="s">
        <v>817</v>
      </c>
      <c r="Z14" s="8" t="s">
        <v>818</v>
      </c>
      <c r="AA14" s="8" t="s">
        <v>818</v>
      </c>
      <c r="AB14" s="8" t="s">
        <v>818</v>
      </c>
      <c r="AC14" s="8" t="s">
        <v>818</v>
      </c>
      <c r="AD14" s="183"/>
      <c r="AE14" s="8" t="s">
        <v>818</v>
      </c>
      <c r="AF14" s="113" t="s">
        <v>818</v>
      </c>
      <c r="AG14" s="8"/>
      <c r="AH14" s="8"/>
      <c r="AI14" s="8"/>
      <c r="AJ14" s="8"/>
      <c r="AK14" s="5">
        <f t="shared" si="0"/>
        <v>18</v>
      </c>
      <c r="AL14" s="5">
        <f t="shared" si="1"/>
        <v>4</v>
      </c>
      <c r="AM14" s="5" t="s">
        <v>15</v>
      </c>
      <c r="AN14" s="9">
        <f>SUM(AK5:AK27)</f>
        <v>433</v>
      </c>
      <c r="AO14" s="9">
        <f>SUM(AK28:AK51)</f>
        <v>384</v>
      </c>
      <c r="AP14" s="9">
        <f>AN14+AO14</f>
        <v>817</v>
      </c>
    </row>
    <row r="15" spans="1:42" ht="15.5" x14ac:dyDescent="0.35">
      <c r="A15" s="20">
        <v>11</v>
      </c>
      <c r="B15" s="20">
        <v>640</v>
      </c>
      <c r="C15" s="22" t="s">
        <v>352</v>
      </c>
      <c r="D15" s="23" t="s">
        <v>510</v>
      </c>
      <c r="E15" s="19" t="s">
        <v>725</v>
      </c>
      <c r="F15" s="180"/>
      <c r="G15" s="8" t="s">
        <v>817</v>
      </c>
      <c r="H15" s="8" t="s">
        <v>817</v>
      </c>
      <c r="I15" s="183"/>
      <c r="J15" s="8" t="s">
        <v>817</v>
      </c>
      <c r="K15" s="113" t="s">
        <v>817</v>
      </c>
      <c r="L15" s="8" t="s">
        <v>818</v>
      </c>
      <c r="M15" s="8" t="s">
        <v>818</v>
      </c>
      <c r="N15" s="8" t="s">
        <v>818</v>
      </c>
      <c r="O15" s="8" t="s">
        <v>818</v>
      </c>
      <c r="P15" s="186"/>
      <c r="Q15" s="8" t="s">
        <v>818</v>
      </c>
      <c r="R15" s="113" t="s">
        <v>818</v>
      </c>
      <c r="S15" s="8" t="s">
        <v>818</v>
      </c>
      <c r="T15" s="8" t="s">
        <v>817</v>
      </c>
      <c r="U15" s="8" t="s">
        <v>818</v>
      </c>
      <c r="V15" s="8" t="s">
        <v>818</v>
      </c>
      <c r="W15" s="183"/>
      <c r="X15" s="8" t="s">
        <v>818</v>
      </c>
      <c r="Y15" s="113" t="s">
        <v>818</v>
      </c>
      <c r="Z15" s="8" t="s">
        <v>818</v>
      </c>
      <c r="AA15" s="8" t="s">
        <v>817</v>
      </c>
      <c r="AB15" s="8" t="s">
        <v>817</v>
      </c>
      <c r="AC15" s="8" t="s">
        <v>818</v>
      </c>
      <c r="AD15" s="183"/>
      <c r="AE15" s="8" t="s">
        <v>818</v>
      </c>
      <c r="AF15" s="113" t="s">
        <v>818</v>
      </c>
      <c r="AG15" s="8"/>
      <c r="AH15" s="8"/>
      <c r="AI15" s="8"/>
      <c r="AJ15" s="8"/>
      <c r="AK15" s="5">
        <f t="shared" si="0"/>
        <v>15</v>
      </c>
      <c r="AL15" s="5">
        <f t="shared" si="1"/>
        <v>7</v>
      </c>
      <c r="AM15" s="5" t="s">
        <v>16</v>
      </c>
      <c r="AN15" s="12">
        <f>AN14/AN13</f>
        <v>0.72408026755852839</v>
      </c>
      <c r="AO15" s="12">
        <f>AO14/AO13</f>
        <v>0.64214046822742477</v>
      </c>
      <c r="AP15" s="12">
        <f>AP14/AP13</f>
        <v>0.68311036789297663</v>
      </c>
    </row>
    <row r="16" spans="1:42" ht="15.5" x14ac:dyDescent="0.35">
      <c r="A16" s="20">
        <v>12</v>
      </c>
      <c r="B16" s="20">
        <v>761</v>
      </c>
      <c r="C16" s="22" t="s">
        <v>511</v>
      </c>
      <c r="D16" s="23" t="s">
        <v>512</v>
      </c>
      <c r="E16" s="19" t="s">
        <v>725</v>
      </c>
      <c r="F16" s="180"/>
      <c r="G16" s="8" t="s">
        <v>818</v>
      </c>
      <c r="H16" s="8" t="s">
        <v>818</v>
      </c>
      <c r="I16" s="183"/>
      <c r="J16" s="8" t="s">
        <v>818</v>
      </c>
      <c r="K16" s="113" t="s">
        <v>818</v>
      </c>
      <c r="L16" s="8" t="s">
        <v>818</v>
      </c>
      <c r="M16" s="8" t="s">
        <v>818</v>
      </c>
      <c r="N16" s="8" t="s">
        <v>818</v>
      </c>
      <c r="O16" s="8" t="s">
        <v>818</v>
      </c>
      <c r="P16" s="186"/>
      <c r="Q16" s="8" t="s">
        <v>818</v>
      </c>
      <c r="R16" s="113" t="s">
        <v>818</v>
      </c>
      <c r="S16" s="8" t="s">
        <v>818</v>
      </c>
      <c r="T16" s="8" t="s">
        <v>818</v>
      </c>
      <c r="U16" s="8" t="s">
        <v>818</v>
      </c>
      <c r="V16" s="8" t="s">
        <v>818</v>
      </c>
      <c r="W16" s="183"/>
      <c r="X16" s="8" t="s">
        <v>818</v>
      </c>
      <c r="Y16" s="113" t="s">
        <v>818</v>
      </c>
      <c r="Z16" s="8" t="s">
        <v>818</v>
      </c>
      <c r="AA16" s="8" t="s">
        <v>818</v>
      </c>
      <c r="AB16" s="8" t="s">
        <v>818</v>
      </c>
      <c r="AC16" s="8" t="s">
        <v>818</v>
      </c>
      <c r="AD16" s="183"/>
      <c r="AE16" s="8" t="s">
        <v>818</v>
      </c>
      <c r="AF16" s="113" t="s">
        <v>818</v>
      </c>
      <c r="AG16" s="8"/>
      <c r="AH16" s="8"/>
      <c r="AI16" s="8"/>
      <c r="AJ16" s="8"/>
      <c r="AK16" s="5">
        <f t="shared" si="0"/>
        <v>22</v>
      </c>
      <c r="AL16" s="5">
        <f t="shared" si="1"/>
        <v>0</v>
      </c>
      <c r="AM16"/>
      <c r="AN16"/>
      <c r="AO16"/>
      <c r="AP16"/>
    </row>
    <row r="17" spans="1:42" ht="15.5" x14ac:dyDescent="0.35">
      <c r="A17" s="20">
        <v>13</v>
      </c>
      <c r="B17" s="20">
        <v>642</v>
      </c>
      <c r="C17" s="22" t="s">
        <v>84</v>
      </c>
      <c r="D17" s="23" t="s">
        <v>513</v>
      </c>
      <c r="E17" s="19" t="s">
        <v>725</v>
      </c>
      <c r="F17" s="180"/>
      <c r="G17" s="8" t="s">
        <v>818</v>
      </c>
      <c r="H17" s="8" t="s">
        <v>817</v>
      </c>
      <c r="I17" s="183"/>
      <c r="J17" s="8" t="s">
        <v>818</v>
      </c>
      <c r="K17" s="113" t="s">
        <v>818</v>
      </c>
      <c r="L17" s="8" t="s">
        <v>818</v>
      </c>
      <c r="M17" s="8" t="s">
        <v>818</v>
      </c>
      <c r="N17" s="8" t="s">
        <v>818</v>
      </c>
      <c r="O17" s="8" t="s">
        <v>818</v>
      </c>
      <c r="P17" s="186"/>
      <c r="Q17" s="8" t="s">
        <v>818</v>
      </c>
      <c r="R17" s="113" t="s">
        <v>818</v>
      </c>
      <c r="S17" s="8" t="s">
        <v>818</v>
      </c>
      <c r="T17" s="8" t="s">
        <v>818</v>
      </c>
      <c r="U17" s="8" t="s">
        <v>818</v>
      </c>
      <c r="V17" s="8" t="s">
        <v>818</v>
      </c>
      <c r="W17" s="183"/>
      <c r="X17" s="8" t="s">
        <v>818</v>
      </c>
      <c r="Y17" s="113" t="s">
        <v>818</v>
      </c>
      <c r="Z17" s="8" t="s">
        <v>818</v>
      </c>
      <c r="AA17" s="8" t="s">
        <v>818</v>
      </c>
      <c r="AB17" s="8" t="s">
        <v>818</v>
      </c>
      <c r="AC17" s="8" t="s">
        <v>817</v>
      </c>
      <c r="AD17" s="183"/>
      <c r="AE17" s="8" t="s">
        <v>818</v>
      </c>
      <c r="AF17" s="113" t="s">
        <v>818</v>
      </c>
      <c r="AG17" s="8"/>
      <c r="AH17" s="8"/>
      <c r="AI17" s="8"/>
      <c r="AJ17" s="8"/>
      <c r="AK17" s="5">
        <f t="shared" si="0"/>
        <v>20</v>
      </c>
      <c r="AL17" s="5">
        <f t="shared" si="1"/>
        <v>2</v>
      </c>
      <c r="AM17"/>
      <c r="AN17"/>
      <c r="AO17"/>
      <c r="AP17"/>
    </row>
    <row r="18" spans="1:42" ht="15.5" x14ac:dyDescent="0.35">
      <c r="A18" s="20">
        <v>14</v>
      </c>
      <c r="B18" s="20">
        <v>607</v>
      </c>
      <c r="C18" s="22" t="s">
        <v>514</v>
      </c>
      <c r="D18" s="23" t="s">
        <v>515</v>
      </c>
      <c r="E18" s="19" t="s">
        <v>725</v>
      </c>
      <c r="F18" s="180"/>
      <c r="G18" s="8" t="s">
        <v>818</v>
      </c>
      <c r="H18" s="8" t="s">
        <v>818</v>
      </c>
      <c r="I18" s="183"/>
      <c r="J18" s="8" t="s">
        <v>818</v>
      </c>
      <c r="K18" s="113" t="s">
        <v>818</v>
      </c>
      <c r="L18" s="8" t="s">
        <v>818</v>
      </c>
      <c r="M18" s="8" t="s">
        <v>818</v>
      </c>
      <c r="N18" s="8" t="s">
        <v>818</v>
      </c>
      <c r="O18" s="8" t="s">
        <v>818</v>
      </c>
      <c r="P18" s="186"/>
      <c r="Q18" s="8" t="s">
        <v>818</v>
      </c>
      <c r="R18" s="113" t="s">
        <v>818</v>
      </c>
      <c r="S18" s="8" t="s">
        <v>818</v>
      </c>
      <c r="T18" s="8" t="s">
        <v>818</v>
      </c>
      <c r="U18" s="8" t="s">
        <v>818</v>
      </c>
      <c r="V18" s="8" t="s">
        <v>818</v>
      </c>
      <c r="W18" s="183"/>
      <c r="X18" s="8" t="s">
        <v>818</v>
      </c>
      <c r="Y18" s="113" t="s">
        <v>818</v>
      </c>
      <c r="Z18" s="8" t="s">
        <v>818</v>
      </c>
      <c r="AA18" s="8" t="s">
        <v>818</v>
      </c>
      <c r="AB18" s="8" t="s">
        <v>818</v>
      </c>
      <c r="AC18" s="8" t="s">
        <v>818</v>
      </c>
      <c r="AD18" s="183"/>
      <c r="AE18" s="8" t="s">
        <v>818</v>
      </c>
      <c r="AF18" s="113" t="s">
        <v>818</v>
      </c>
      <c r="AG18" s="8"/>
      <c r="AH18" s="8"/>
      <c r="AI18" s="8"/>
      <c r="AJ18" s="8"/>
      <c r="AK18" s="5">
        <f t="shared" si="0"/>
        <v>22</v>
      </c>
      <c r="AL18" s="5">
        <f t="shared" si="1"/>
        <v>0</v>
      </c>
      <c r="AM18"/>
      <c r="AN18"/>
      <c r="AO18"/>
      <c r="AP18"/>
    </row>
    <row r="19" spans="1:42" ht="15.5" x14ac:dyDescent="0.35">
      <c r="A19" s="20">
        <v>15</v>
      </c>
      <c r="B19" s="20">
        <v>437</v>
      </c>
      <c r="C19" s="22" t="s">
        <v>516</v>
      </c>
      <c r="D19" s="23" t="s">
        <v>22</v>
      </c>
      <c r="E19" s="19" t="s">
        <v>725</v>
      </c>
      <c r="F19" s="180"/>
      <c r="G19" s="8" t="s">
        <v>818</v>
      </c>
      <c r="H19" s="8" t="s">
        <v>818</v>
      </c>
      <c r="I19" s="183"/>
      <c r="J19" s="8" t="s">
        <v>818</v>
      </c>
      <c r="K19" s="113" t="s">
        <v>818</v>
      </c>
      <c r="L19" s="8" t="s">
        <v>818</v>
      </c>
      <c r="M19" s="8" t="s">
        <v>818</v>
      </c>
      <c r="N19" s="8" t="s">
        <v>818</v>
      </c>
      <c r="O19" s="8" t="s">
        <v>818</v>
      </c>
      <c r="P19" s="186"/>
      <c r="Q19" s="8" t="s">
        <v>818</v>
      </c>
      <c r="R19" s="113" t="s">
        <v>818</v>
      </c>
      <c r="S19" s="8" t="s">
        <v>818</v>
      </c>
      <c r="T19" s="8" t="s">
        <v>818</v>
      </c>
      <c r="U19" s="8" t="s">
        <v>818</v>
      </c>
      <c r="V19" s="8" t="s">
        <v>818</v>
      </c>
      <c r="W19" s="183"/>
      <c r="X19" s="8" t="s">
        <v>818</v>
      </c>
      <c r="Y19" s="113" t="s">
        <v>818</v>
      </c>
      <c r="Z19" s="8" t="s">
        <v>818</v>
      </c>
      <c r="AA19" s="8" t="s">
        <v>818</v>
      </c>
      <c r="AB19" s="8" t="s">
        <v>818</v>
      </c>
      <c r="AC19" s="8" t="s">
        <v>818</v>
      </c>
      <c r="AD19" s="183"/>
      <c r="AE19" s="8" t="s">
        <v>818</v>
      </c>
      <c r="AF19" s="113" t="s">
        <v>818</v>
      </c>
      <c r="AG19" s="8"/>
      <c r="AH19" s="8"/>
      <c r="AI19" s="8"/>
      <c r="AJ19" s="8"/>
      <c r="AK19" s="5">
        <f t="shared" si="0"/>
        <v>22</v>
      </c>
      <c r="AL19" s="5">
        <f t="shared" si="1"/>
        <v>0</v>
      </c>
      <c r="AM19" s="158" t="s">
        <v>121</v>
      </c>
      <c r="AN19" s="159"/>
      <c r="AO19" s="159"/>
      <c r="AP19" s="160"/>
    </row>
    <row r="20" spans="1:42" ht="15.5" x14ac:dyDescent="0.35">
      <c r="A20" s="20">
        <v>16</v>
      </c>
      <c r="B20" s="20">
        <v>504</v>
      </c>
      <c r="C20" s="22" t="s">
        <v>517</v>
      </c>
      <c r="D20" s="23" t="s">
        <v>518</v>
      </c>
      <c r="E20" s="19" t="s">
        <v>725</v>
      </c>
      <c r="F20" s="180"/>
      <c r="G20" s="8" t="s">
        <v>818</v>
      </c>
      <c r="H20" s="8" t="s">
        <v>818</v>
      </c>
      <c r="I20" s="183"/>
      <c r="J20" s="8" t="s">
        <v>818</v>
      </c>
      <c r="K20" s="113" t="s">
        <v>818</v>
      </c>
      <c r="L20" s="8" t="s">
        <v>818</v>
      </c>
      <c r="M20" s="8" t="s">
        <v>818</v>
      </c>
      <c r="N20" s="8" t="s">
        <v>818</v>
      </c>
      <c r="O20" s="8" t="s">
        <v>818</v>
      </c>
      <c r="P20" s="186"/>
      <c r="Q20" s="8" t="s">
        <v>818</v>
      </c>
      <c r="R20" s="113" t="s">
        <v>818</v>
      </c>
      <c r="S20" s="8" t="s">
        <v>818</v>
      </c>
      <c r="T20" s="8" t="s">
        <v>818</v>
      </c>
      <c r="U20" s="8" t="s">
        <v>818</v>
      </c>
      <c r="V20" s="8" t="s">
        <v>818</v>
      </c>
      <c r="W20" s="183"/>
      <c r="X20" s="8" t="s">
        <v>818</v>
      </c>
      <c r="Y20" s="113" t="s">
        <v>818</v>
      </c>
      <c r="Z20" s="8" t="s">
        <v>818</v>
      </c>
      <c r="AA20" s="8" t="s">
        <v>818</v>
      </c>
      <c r="AB20" s="8" t="s">
        <v>818</v>
      </c>
      <c r="AC20" s="8" t="s">
        <v>818</v>
      </c>
      <c r="AD20" s="183"/>
      <c r="AE20" s="8" t="s">
        <v>818</v>
      </c>
      <c r="AF20" s="113" t="s">
        <v>818</v>
      </c>
      <c r="AG20" s="8"/>
      <c r="AH20" s="8"/>
      <c r="AI20" s="8"/>
      <c r="AJ20" s="8"/>
      <c r="AK20" s="5">
        <f t="shared" si="0"/>
        <v>22</v>
      </c>
      <c r="AL20" s="5">
        <f t="shared" si="1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5.5" x14ac:dyDescent="0.35">
      <c r="A21" s="20">
        <v>17</v>
      </c>
      <c r="B21" s="20">
        <v>705</v>
      </c>
      <c r="C21" s="24" t="s">
        <v>519</v>
      </c>
      <c r="D21" s="24" t="s">
        <v>96</v>
      </c>
      <c r="E21" s="19" t="s">
        <v>725</v>
      </c>
      <c r="F21" s="180"/>
      <c r="G21" s="8" t="s">
        <v>818</v>
      </c>
      <c r="H21" s="8" t="s">
        <v>818</v>
      </c>
      <c r="I21" s="183"/>
      <c r="J21" s="8" t="s">
        <v>818</v>
      </c>
      <c r="K21" s="113" t="s">
        <v>818</v>
      </c>
      <c r="L21" s="8" t="s">
        <v>818</v>
      </c>
      <c r="M21" s="8" t="s">
        <v>818</v>
      </c>
      <c r="N21" s="8" t="s">
        <v>818</v>
      </c>
      <c r="O21" s="8" t="s">
        <v>818</v>
      </c>
      <c r="P21" s="186"/>
      <c r="Q21" s="8" t="s">
        <v>818</v>
      </c>
      <c r="R21" s="113" t="s">
        <v>818</v>
      </c>
      <c r="S21" s="8" t="s">
        <v>818</v>
      </c>
      <c r="T21" s="8" t="s">
        <v>818</v>
      </c>
      <c r="U21" s="8" t="s">
        <v>818</v>
      </c>
      <c r="V21" s="8" t="s">
        <v>818</v>
      </c>
      <c r="W21" s="183"/>
      <c r="X21" s="8" t="s">
        <v>818</v>
      </c>
      <c r="Y21" s="113" t="s">
        <v>818</v>
      </c>
      <c r="Z21" s="8" t="s">
        <v>818</v>
      </c>
      <c r="AA21" s="8" t="s">
        <v>818</v>
      </c>
      <c r="AB21" s="8" t="s">
        <v>818</v>
      </c>
      <c r="AC21" s="8" t="s">
        <v>818</v>
      </c>
      <c r="AD21" s="183"/>
      <c r="AE21" s="8" t="s">
        <v>818</v>
      </c>
      <c r="AF21" s="113" t="s">
        <v>818</v>
      </c>
      <c r="AG21" s="8"/>
      <c r="AH21" s="8"/>
      <c r="AI21" s="8"/>
      <c r="AJ21" s="8"/>
      <c r="AK21" s="5">
        <f t="shared" si="0"/>
        <v>22</v>
      </c>
      <c r="AL21" s="5">
        <f t="shared" si="1"/>
        <v>0</v>
      </c>
      <c r="AM21" s="5" t="s">
        <v>14</v>
      </c>
      <c r="AN21" s="9">
        <f>23*$AN$5</f>
        <v>598</v>
      </c>
      <c r="AO21" s="9">
        <f>23*$AN$5</f>
        <v>598</v>
      </c>
      <c r="AP21" s="9">
        <f>AN21+AO21</f>
        <v>1196</v>
      </c>
    </row>
    <row r="22" spans="1:42" ht="15.5" x14ac:dyDescent="0.35">
      <c r="A22" s="20">
        <v>18</v>
      </c>
      <c r="B22" s="9">
        <v>868</v>
      </c>
      <c r="C22" s="24" t="s">
        <v>520</v>
      </c>
      <c r="D22" s="24" t="s">
        <v>521</v>
      </c>
      <c r="E22" s="19" t="s">
        <v>725</v>
      </c>
      <c r="F22" s="180"/>
      <c r="G22" s="8" t="s">
        <v>818</v>
      </c>
      <c r="H22" s="8" t="s">
        <v>818</v>
      </c>
      <c r="I22" s="183"/>
      <c r="J22" s="8" t="s">
        <v>818</v>
      </c>
      <c r="K22" s="113" t="s">
        <v>818</v>
      </c>
      <c r="L22" s="8" t="s">
        <v>818</v>
      </c>
      <c r="M22" s="8" t="s">
        <v>817</v>
      </c>
      <c r="N22" s="8" t="s">
        <v>818</v>
      </c>
      <c r="O22" s="8" t="s">
        <v>818</v>
      </c>
      <c r="P22" s="186"/>
      <c r="Q22" s="8" t="s">
        <v>818</v>
      </c>
      <c r="R22" s="113" t="s">
        <v>818</v>
      </c>
      <c r="S22" s="8" t="s">
        <v>818</v>
      </c>
      <c r="T22" s="8" t="s">
        <v>818</v>
      </c>
      <c r="U22" s="8" t="s">
        <v>818</v>
      </c>
      <c r="V22" s="8" t="s">
        <v>818</v>
      </c>
      <c r="W22" s="183"/>
      <c r="X22" s="8" t="s">
        <v>818</v>
      </c>
      <c r="Y22" s="113" t="s">
        <v>818</v>
      </c>
      <c r="Z22" s="8" t="s">
        <v>818</v>
      </c>
      <c r="AA22" s="8" t="s">
        <v>818</v>
      </c>
      <c r="AB22" s="8" t="s">
        <v>818</v>
      </c>
      <c r="AC22" s="8" t="s">
        <v>818</v>
      </c>
      <c r="AD22" s="183"/>
      <c r="AE22" s="8" t="s">
        <v>818</v>
      </c>
      <c r="AF22" s="113" t="s">
        <v>818</v>
      </c>
      <c r="AG22" s="8"/>
      <c r="AH22" s="8"/>
      <c r="AI22" s="8"/>
      <c r="AJ22" s="8"/>
      <c r="AK22" s="5">
        <f t="shared" si="0"/>
        <v>21</v>
      </c>
      <c r="AL22" s="5">
        <f t="shared" si="1"/>
        <v>1</v>
      </c>
      <c r="AM22" s="5" t="s">
        <v>17</v>
      </c>
      <c r="AN22" s="9">
        <f>AN21-AN14</f>
        <v>165</v>
      </c>
      <c r="AO22" s="9">
        <f>AO21-AO14</f>
        <v>214</v>
      </c>
      <c r="AP22" s="9">
        <f>AN22+AO22</f>
        <v>379</v>
      </c>
    </row>
    <row r="23" spans="1:42" ht="15.5" x14ac:dyDescent="0.35">
      <c r="A23" s="20">
        <v>19</v>
      </c>
      <c r="B23" s="20">
        <v>845</v>
      </c>
      <c r="C23" s="24" t="s">
        <v>522</v>
      </c>
      <c r="D23" s="24" t="s">
        <v>114</v>
      </c>
      <c r="E23" s="19" t="s">
        <v>725</v>
      </c>
      <c r="F23" s="180"/>
      <c r="G23" s="8" t="s">
        <v>818</v>
      </c>
      <c r="H23" s="8" t="s">
        <v>817</v>
      </c>
      <c r="I23" s="183"/>
      <c r="J23" s="8" t="s">
        <v>818</v>
      </c>
      <c r="K23" s="113" t="s">
        <v>817</v>
      </c>
      <c r="L23" s="8" t="s">
        <v>818</v>
      </c>
      <c r="M23" s="8" t="s">
        <v>818</v>
      </c>
      <c r="N23" s="8" t="s">
        <v>818</v>
      </c>
      <c r="O23" s="8" t="s">
        <v>818</v>
      </c>
      <c r="P23" s="186"/>
      <c r="Q23" s="8" t="s">
        <v>817</v>
      </c>
      <c r="R23" s="113" t="s">
        <v>818</v>
      </c>
      <c r="S23" s="8" t="s">
        <v>818</v>
      </c>
      <c r="T23" s="8" t="s">
        <v>818</v>
      </c>
      <c r="U23" s="8" t="s">
        <v>818</v>
      </c>
      <c r="V23" s="8" t="s">
        <v>818</v>
      </c>
      <c r="W23" s="183"/>
      <c r="X23" s="8" t="s">
        <v>818</v>
      </c>
      <c r="Y23" s="113" t="s">
        <v>818</v>
      </c>
      <c r="Z23" s="8" t="s">
        <v>818</v>
      </c>
      <c r="AA23" s="8" t="s">
        <v>817</v>
      </c>
      <c r="AB23" s="8" t="s">
        <v>817</v>
      </c>
      <c r="AC23" s="8" t="s">
        <v>817</v>
      </c>
      <c r="AD23" s="183"/>
      <c r="AE23" s="8" t="s">
        <v>817</v>
      </c>
      <c r="AF23" s="113" t="s">
        <v>817</v>
      </c>
      <c r="AG23" s="8"/>
      <c r="AH23" s="8"/>
      <c r="AI23" s="8"/>
      <c r="AJ23" s="8"/>
      <c r="AK23" s="5">
        <f t="shared" si="0"/>
        <v>14</v>
      </c>
      <c r="AL23" s="5">
        <f t="shared" si="1"/>
        <v>8</v>
      </c>
      <c r="AM23" s="5" t="s">
        <v>16</v>
      </c>
      <c r="AN23" s="12">
        <f>AN22/AN21</f>
        <v>0.27591973244147155</v>
      </c>
      <c r="AO23" s="12">
        <f>AO22/AO21</f>
        <v>0.35785953177257523</v>
      </c>
      <c r="AP23" s="12">
        <f>AP22/AP21</f>
        <v>0.31688963210702342</v>
      </c>
    </row>
    <row r="24" spans="1:42" ht="15.5" x14ac:dyDescent="0.35">
      <c r="A24" s="20">
        <v>20</v>
      </c>
      <c r="B24" s="9">
        <v>860</v>
      </c>
      <c r="C24" s="24" t="s">
        <v>523</v>
      </c>
      <c r="D24" s="24" t="s">
        <v>396</v>
      </c>
      <c r="E24" s="19" t="s">
        <v>725</v>
      </c>
      <c r="F24" s="180"/>
      <c r="G24" s="8" t="s">
        <v>818</v>
      </c>
      <c r="H24" s="8" t="s">
        <v>818</v>
      </c>
      <c r="I24" s="183"/>
      <c r="J24" s="8" t="s">
        <v>818</v>
      </c>
      <c r="K24" s="113" t="s">
        <v>818</v>
      </c>
      <c r="L24" s="8" t="s">
        <v>818</v>
      </c>
      <c r="M24" s="8" t="s">
        <v>818</v>
      </c>
      <c r="N24" s="8" t="s">
        <v>818</v>
      </c>
      <c r="O24" s="8" t="s">
        <v>818</v>
      </c>
      <c r="P24" s="186"/>
      <c r="Q24" s="8" t="s">
        <v>818</v>
      </c>
      <c r="R24" s="113" t="s">
        <v>818</v>
      </c>
      <c r="S24" s="8" t="s">
        <v>818</v>
      </c>
      <c r="T24" s="8" t="s">
        <v>818</v>
      </c>
      <c r="U24" s="8" t="s">
        <v>818</v>
      </c>
      <c r="V24" s="8" t="s">
        <v>818</v>
      </c>
      <c r="W24" s="183"/>
      <c r="X24" s="8" t="s">
        <v>818</v>
      </c>
      <c r="Y24" s="113" t="s">
        <v>818</v>
      </c>
      <c r="Z24" s="8" t="s">
        <v>818</v>
      </c>
      <c r="AA24" s="8" t="s">
        <v>818</v>
      </c>
      <c r="AB24" s="8" t="s">
        <v>818</v>
      </c>
      <c r="AC24" s="8" t="s">
        <v>817</v>
      </c>
      <c r="AD24" s="183"/>
      <c r="AE24" s="8" t="s">
        <v>818</v>
      </c>
      <c r="AF24" s="113" t="s">
        <v>818</v>
      </c>
      <c r="AG24" s="8"/>
      <c r="AH24" s="8"/>
      <c r="AI24" s="8"/>
      <c r="AJ24" s="8"/>
      <c r="AK24" s="5">
        <f t="shared" si="0"/>
        <v>21</v>
      </c>
      <c r="AL24" s="5">
        <f t="shared" si="1"/>
        <v>1</v>
      </c>
    </row>
    <row r="25" spans="1:42" ht="15.5" x14ac:dyDescent="0.35">
      <c r="A25" s="20">
        <v>21</v>
      </c>
      <c r="B25" s="20">
        <v>888</v>
      </c>
      <c r="C25" s="24" t="s">
        <v>524</v>
      </c>
      <c r="D25" s="24" t="s">
        <v>525</v>
      </c>
      <c r="E25" s="19" t="s">
        <v>725</v>
      </c>
      <c r="F25" s="180"/>
      <c r="G25" s="8" t="s">
        <v>818</v>
      </c>
      <c r="H25" s="8" t="s">
        <v>817</v>
      </c>
      <c r="I25" s="183"/>
      <c r="J25" s="8" t="s">
        <v>817</v>
      </c>
      <c r="K25" s="113" t="s">
        <v>817</v>
      </c>
      <c r="L25" s="8" t="s">
        <v>818</v>
      </c>
      <c r="M25" s="8" t="s">
        <v>818</v>
      </c>
      <c r="N25" s="8" t="s">
        <v>818</v>
      </c>
      <c r="O25" s="8" t="s">
        <v>818</v>
      </c>
      <c r="P25" s="186"/>
      <c r="Q25" s="8" t="s">
        <v>818</v>
      </c>
      <c r="R25" s="113" t="s">
        <v>818</v>
      </c>
      <c r="S25" s="8" t="s">
        <v>818</v>
      </c>
      <c r="T25" s="8" t="s">
        <v>818</v>
      </c>
      <c r="U25" s="8" t="s">
        <v>818</v>
      </c>
      <c r="V25" s="8" t="s">
        <v>818</v>
      </c>
      <c r="W25" s="183"/>
      <c r="X25" s="8" t="s">
        <v>818</v>
      </c>
      <c r="Y25" s="113" t="s">
        <v>818</v>
      </c>
      <c r="Z25" s="8" t="s">
        <v>818</v>
      </c>
      <c r="AA25" s="8" t="s">
        <v>818</v>
      </c>
      <c r="AB25" s="8" t="s">
        <v>818</v>
      </c>
      <c r="AC25" s="8" t="s">
        <v>818</v>
      </c>
      <c r="AD25" s="183"/>
      <c r="AE25" s="8" t="s">
        <v>818</v>
      </c>
      <c r="AF25" s="113" t="s">
        <v>818</v>
      </c>
      <c r="AG25" s="8"/>
      <c r="AH25" s="8"/>
      <c r="AI25" s="8"/>
      <c r="AJ25" s="8"/>
      <c r="AK25" s="5">
        <f t="shared" si="0"/>
        <v>19</v>
      </c>
      <c r="AL25" s="5">
        <f t="shared" si="1"/>
        <v>3</v>
      </c>
    </row>
    <row r="26" spans="1:42" ht="15.5" x14ac:dyDescent="0.35">
      <c r="A26" s="20">
        <v>22</v>
      </c>
      <c r="B26" s="20">
        <v>470</v>
      </c>
      <c r="C26" s="24" t="s">
        <v>756</v>
      </c>
      <c r="D26" s="24" t="s">
        <v>762</v>
      </c>
      <c r="E26" s="19" t="s">
        <v>725</v>
      </c>
      <c r="F26" s="180"/>
      <c r="G26" s="8" t="s">
        <v>818</v>
      </c>
      <c r="H26" s="8" t="s">
        <v>817</v>
      </c>
      <c r="I26" s="183"/>
      <c r="J26" s="8" t="s">
        <v>818</v>
      </c>
      <c r="K26" s="113" t="s">
        <v>818</v>
      </c>
      <c r="L26" s="8" t="s">
        <v>818</v>
      </c>
      <c r="M26" s="8" t="s">
        <v>818</v>
      </c>
      <c r="N26" s="8" t="s">
        <v>818</v>
      </c>
      <c r="O26" s="8" t="s">
        <v>818</v>
      </c>
      <c r="P26" s="186"/>
      <c r="Q26" s="8" t="s">
        <v>818</v>
      </c>
      <c r="R26" s="113" t="s">
        <v>818</v>
      </c>
      <c r="S26" s="8" t="s">
        <v>818</v>
      </c>
      <c r="T26" s="8" t="s">
        <v>818</v>
      </c>
      <c r="U26" s="8" t="s">
        <v>818</v>
      </c>
      <c r="V26" s="8" t="s">
        <v>818</v>
      </c>
      <c r="W26" s="183"/>
      <c r="X26" s="8" t="s">
        <v>818</v>
      </c>
      <c r="Y26" s="113" t="s">
        <v>818</v>
      </c>
      <c r="Z26" s="8" t="s">
        <v>818</v>
      </c>
      <c r="AA26" s="8" t="s">
        <v>818</v>
      </c>
      <c r="AB26" s="8" t="s">
        <v>818</v>
      </c>
      <c r="AC26" s="8" t="s">
        <v>817</v>
      </c>
      <c r="AD26" s="183"/>
      <c r="AE26" s="8" t="s">
        <v>817</v>
      </c>
      <c r="AF26" s="113" t="s">
        <v>817</v>
      </c>
      <c r="AG26" s="8"/>
      <c r="AH26" s="8"/>
      <c r="AI26" s="8"/>
      <c r="AJ26" s="8"/>
      <c r="AK26" s="5">
        <f t="shared" si="0"/>
        <v>18</v>
      </c>
      <c r="AL26" s="5">
        <f t="shared" si="1"/>
        <v>4</v>
      </c>
    </row>
    <row r="27" spans="1:42" ht="15.5" x14ac:dyDescent="0.35">
      <c r="A27" s="20">
        <v>23</v>
      </c>
      <c r="B27" s="20">
        <v>790</v>
      </c>
      <c r="C27" s="24" t="s">
        <v>566</v>
      </c>
      <c r="D27" s="24" t="s">
        <v>763</v>
      </c>
      <c r="E27" s="19" t="s">
        <v>725</v>
      </c>
      <c r="F27" s="180"/>
      <c r="G27" s="8" t="s">
        <v>817</v>
      </c>
      <c r="H27" s="8" t="s">
        <v>818</v>
      </c>
      <c r="I27" s="183"/>
      <c r="J27" s="8" t="s">
        <v>818</v>
      </c>
      <c r="K27" s="113" t="s">
        <v>818</v>
      </c>
      <c r="L27" s="8" t="s">
        <v>818</v>
      </c>
      <c r="M27" s="8" t="s">
        <v>818</v>
      </c>
      <c r="N27" s="8" t="s">
        <v>818</v>
      </c>
      <c r="O27" s="8" t="s">
        <v>818</v>
      </c>
      <c r="P27" s="186"/>
      <c r="Q27" s="8" t="s">
        <v>817</v>
      </c>
      <c r="R27" s="113" t="s">
        <v>818</v>
      </c>
      <c r="S27" s="8" t="s">
        <v>818</v>
      </c>
      <c r="T27" s="8" t="s">
        <v>818</v>
      </c>
      <c r="U27" s="8" t="s">
        <v>817</v>
      </c>
      <c r="V27" s="8" t="s">
        <v>818</v>
      </c>
      <c r="W27" s="183"/>
      <c r="X27" s="8" t="s">
        <v>818</v>
      </c>
      <c r="Y27" s="113" t="s">
        <v>818</v>
      </c>
      <c r="Z27" s="8" t="s">
        <v>818</v>
      </c>
      <c r="AA27" s="8" t="s">
        <v>818</v>
      </c>
      <c r="AB27" s="8" t="s">
        <v>817</v>
      </c>
      <c r="AC27" s="8" t="s">
        <v>818</v>
      </c>
      <c r="AD27" s="183"/>
      <c r="AE27" s="8" t="s">
        <v>818</v>
      </c>
      <c r="AF27" s="113" t="s">
        <v>818</v>
      </c>
      <c r="AG27" s="8"/>
      <c r="AH27" s="8"/>
      <c r="AI27" s="8"/>
      <c r="AJ27" s="8"/>
      <c r="AK27" s="5">
        <f t="shared" si="0"/>
        <v>18</v>
      </c>
      <c r="AL27" s="5">
        <f t="shared" si="1"/>
        <v>4</v>
      </c>
    </row>
    <row r="28" spans="1:42" ht="15.5" x14ac:dyDescent="0.35">
      <c r="A28" s="20">
        <v>24</v>
      </c>
      <c r="B28" s="20"/>
      <c r="C28" s="24" t="s">
        <v>757</v>
      </c>
      <c r="D28" s="24" t="s">
        <v>764</v>
      </c>
      <c r="E28" s="19" t="s">
        <v>725</v>
      </c>
      <c r="F28" s="180"/>
      <c r="G28" s="8" t="s">
        <v>818</v>
      </c>
      <c r="H28" s="8" t="s">
        <v>817</v>
      </c>
      <c r="I28" s="183"/>
      <c r="J28" s="8" t="s">
        <v>818</v>
      </c>
      <c r="K28" s="113" t="s">
        <v>818</v>
      </c>
      <c r="L28" s="8" t="s">
        <v>818</v>
      </c>
      <c r="M28" s="8" t="s">
        <v>818</v>
      </c>
      <c r="N28" s="8" t="s">
        <v>817</v>
      </c>
      <c r="O28" s="8" t="s">
        <v>818</v>
      </c>
      <c r="P28" s="186"/>
      <c r="Q28" s="8" t="s">
        <v>818</v>
      </c>
      <c r="R28" s="113" t="s">
        <v>818</v>
      </c>
      <c r="S28" s="8" t="s">
        <v>818</v>
      </c>
      <c r="T28" s="8" t="s">
        <v>818</v>
      </c>
      <c r="U28" s="8" t="s">
        <v>818</v>
      </c>
      <c r="V28" s="8" t="s">
        <v>818</v>
      </c>
      <c r="W28" s="183"/>
      <c r="X28" s="8" t="s">
        <v>818</v>
      </c>
      <c r="Y28" s="113" t="s">
        <v>817</v>
      </c>
      <c r="Z28" s="8" t="s">
        <v>818</v>
      </c>
      <c r="AA28" s="8" t="s">
        <v>818</v>
      </c>
      <c r="AB28" s="8" t="s">
        <v>818</v>
      </c>
      <c r="AC28" s="8" t="s">
        <v>818</v>
      </c>
      <c r="AD28" s="183"/>
      <c r="AE28" s="8" t="s">
        <v>817</v>
      </c>
      <c r="AF28" s="113" t="s">
        <v>817</v>
      </c>
      <c r="AG28" s="8"/>
      <c r="AH28" s="8"/>
      <c r="AI28" s="8"/>
      <c r="AJ28" s="8"/>
      <c r="AK28" s="5">
        <f t="shared" si="0"/>
        <v>17</v>
      </c>
      <c r="AL28" s="5">
        <f t="shared" si="1"/>
        <v>5</v>
      </c>
    </row>
    <row r="29" spans="1:42" ht="15.5" x14ac:dyDescent="0.35">
      <c r="A29" s="20">
        <v>25</v>
      </c>
      <c r="B29" s="20"/>
      <c r="C29" s="24" t="s">
        <v>859</v>
      </c>
      <c r="D29" s="24" t="s">
        <v>860</v>
      </c>
      <c r="E29" s="104" t="s">
        <v>725</v>
      </c>
      <c r="F29" s="180"/>
      <c r="G29" s="8" t="s">
        <v>818</v>
      </c>
      <c r="H29" s="8" t="s">
        <v>817</v>
      </c>
      <c r="I29" s="183"/>
      <c r="J29" s="8" t="s">
        <v>818</v>
      </c>
      <c r="K29" s="113" t="s">
        <v>817</v>
      </c>
      <c r="L29" s="8" t="s">
        <v>818</v>
      </c>
      <c r="M29" s="8" t="s">
        <v>818</v>
      </c>
      <c r="N29" s="8" t="s">
        <v>818</v>
      </c>
      <c r="O29" s="8" t="s">
        <v>818</v>
      </c>
      <c r="P29" s="186"/>
      <c r="Q29" s="8" t="s">
        <v>817</v>
      </c>
      <c r="R29" s="113" t="s">
        <v>817</v>
      </c>
      <c r="S29" s="8" t="s">
        <v>818</v>
      </c>
      <c r="T29" s="8" t="s">
        <v>818</v>
      </c>
      <c r="U29" s="8" t="s">
        <v>818</v>
      </c>
      <c r="V29" s="8" t="s">
        <v>818</v>
      </c>
      <c r="W29" s="183"/>
      <c r="X29" s="8" t="s">
        <v>818</v>
      </c>
      <c r="Y29" s="113" t="s">
        <v>818</v>
      </c>
      <c r="Z29" s="8" t="s">
        <v>817</v>
      </c>
      <c r="AA29" s="8" t="s">
        <v>817</v>
      </c>
      <c r="AB29" s="8" t="s">
        <v>817</v>
      </c>
      <c r="AC29" s="8" t="s">
        <v>818</v>
      </c>
      <c r="AD29" s="183"/>
      <c r="AE29" s="8" t="s">
        <v>818</v>
      </c>
      <c r="AF29" s="113" t="s">
        <v>818</v>
      </c>
      <c r="AG29" s="8"/>
      <c r="AH29" s="8"/>
      <c r="AI29" s="8"/>
      <c r="AJ29" s="8"/>
      <c r="AK29" s="5">
        <f t="shared" si="0"/>
        <v>15</v>
      </c>
      <c r="AL29" s="5">
        <f t="shared" si="1"/>
        <v>7</v>
      </c>
    </row>
    <row r="30" spans="1:42" ht="15.5" x14ac:dyDescent="0.35">
      <c r="A30" s="20">
        <v>25</v>
      </c>
      <c r="B30" s="20">
        <v>250</v>
      </c>
      <c r="C30" s="24" t="s">
        <v>758</v>
      </c>
      <c r="D30" s="24" t="s">
        <v>765</v>
      </c>
      <c r="E30" s="19" t="s">
        <v>725</v>
      </c>
      <c r="F30" s="180"/>
      <c r="G30" s="8" t="s">
        <v>817</v>
      </c>
      <c r="H30" s="8" t="s">
        <v>818</v>
      </c>
      <c r="I30" s="183"/>
      <c r="J30" s="8" t="s">
        <v>818</v>
      </c>
      <c r="K30" s="113" t="s">
        <v>817</v>
      </c>
      <c r="L30" s="8" t="s">
        <v>818</v>
      </c>
      <c r="M30" s="8" t="s">
        <v>818</v>
      </c>
      <c r="N30" s="8" t="s">
        <v>818</v>
      </c>
      <c r="O30" s="8" t="s">
        <v>817</v>
      </c>
      <c r="P30" s="186"/>
      <c r="Q30" s="8" t="s">
        <v>817</v>
      </c>
      <c r="R30" s="113" t="s">
        <v>818</v>
      </c>
      <c r="S30" s="8" t="s">
        <v>818</v>
      </c>
      <c r="T30" s="8" t="s">
        <v>818</v>
      </c>
      <c r="U30" s="8" t="s">
        <v>817</v>
      </c>
      <c r="V30" s="8" t="s">
        <v>818</v>
      </c>
      <c r="W30" s="183"/>
      <c r="X30" s="8" t="s">
        <v>817</v>
      </c>
      <c r="Y30" s="113" t="s">
        <v>818</v>
      </c>
      <c r="Z30" s="8" t="s">
        <v>818</v>
      </c>
      <c r="AA30" s="8" t="s">
        <v>818</v>
      </c>
      <c r="AB30" s="8" t="s">
        <v>817</v>
      </c>
      <c r="AC30" s="8" t="s">
        <v>818</v>
      </c>
      <c r="AD30" s="183"/>
      <c r="AE30" s="8" t="s">
        <v>817</v>
      </c>
      <c r="AF30" s="113" t="s">
        <v>817</v>
      </c>
      <c r="AG30" s="8"/>
      <c r="AH30" s="8"/>
      <c r="AI30" s="8"/>
      <c r="AJ30" s="8"/>
      <c r="AK30" s="5">
        <f t="shared" si="0"/>
        <v>13</v>
      </c>
      <c r="AL30" s="5">
        <f t="shared" si="1"/>
        <v>9</v>
      </c>
    </row>
    <row r="31" spans="1:42" ht="15.5" x14ac:dyDescent="0.35">
      <c r="A31" s="9">
        <v>1</v>
      </c>
      <c r="B31" s="9">
        <v>334</v>
      </c>
      <c r="C31" s="24" t="s">
        <v>526</v>
      </c>
      <c r="D31" s="24" t="s">
        <v>527</v>
      </c>
      <c r="E31" s="19" t="s">
        <v>725</v>
      </c>
      <c r="F31" s="180"/>
      <c r="G31" s="8" t="s">
        <v>818</v>
      </c>
      <c r="H31" s="8" t="s">
        <v>817</v>
      </c>
      <c r="I31" s="183"/>
      <c r="J31" s="8" t="s">
        <v>818</v>
      </c>
      <c r="K31" s="113" t="s">
        <v>817</v>
      </c>
      <c r="L31" s="8" t="s">
        <v>817</v>
      </c>
      <c r="M31" s="8" t="s">
        <v>818</v>
      </c>
      <c r="N31" s="8" t="s">
        <v>818</v>
      </c>
      <c r="O31" s="8" t="s">
        <v>818</v>
      </c>
      <c r="P31" s="186"/>
      <c r="Q31" s="8" t="s">
        <v>818</v>
      </c>
      <c r="R31" s="113" t="s">
        <v>818</v>
      </c>
      <c r="S31" s="8" t="s">
        <v>818</v>
      </c>
      <c r="T31" s="8" t="s">
        <v>818</v>
      </c>
      <c r="U31" s="8" t="s">
        <v>817</v>
      </c>
      <c r="V31" s="8" t="s">
        <v>818</v>
      </c>
      <c r="W31" s="183"/>
      <c r="X31" s="8" t="s">
        <v>818</v>
      </c>
      <c r="Y31" s="113" t="s">
        <v>818</v>
      </c>
      <c r="Z31" s="8" t="s">
        <v>818</v>
      </c>
      <c r="AA31" s="8" t="s">
        <v>817</v>
      </c>
      <c r="AB31" s="8" t="s">
        <v>818</v>
      </c>
      <c r="AC31" s="8" t="s">
        <v>818</v>
      </c>
      <c r="AD31" s="183"/>
      <c r="AE31" s="8" t="s">
        <v>818</v>
      </c>
      <c r="AF31" s="113" t="s">
        <v>818</v>
      </c>
      <c r="AG31" s="8"/>
      <c r="AH31" s="8"/>
      <c r="AI31" s="8"/>
      <c r="AJ31" s="8"/>
      <c r="AK31" s="5">
        <f t="shared" si="0"/>
        <v>17</v>
      </c>
      <c r="AL31" s="5">
        <f t="shared" si="1"/>
        <v>5</v>
      </c>
    </row>
    <row r="32" spans="1:42" ht="15.5" x14ac:dyDescent="0.35">
      <c r="A32" s="9">
        <v>2</v>
      </c>
      <c r="B32" s="20">
        <v>507</v>
      </c>
      <c r="C32" s="22" t="s">
        <v>528</v>
      </c>
      <c r="D32" s="23" t="s">
        <v>464</v>
      </c>
      <c r="E32" s="19" t="s">
        <v>725</v>
      </c>
      <c r="F32" s="180"/>
      <c r="G32" s="8" t="s">
        <v>817</v>
      </c>
      <c r="H32" s="8" t="s">
        <v>817</v>
      </c>
      <c r="I32" s="183"/>
      <c r="J32" s="8" t="s">
        <v>817</v>
      </c>
      <c r="K32" s="113" t="s">
        <v>817</v>
      </c>
      <c r="L32" s="8" t="s">
        <v>817</v>
      </c>
      <c r="M32" s="8" t="s">
        <v>817</v>
      </c>
      <c r="N32" s="8" t="s">
        <v>817</v>
      </c>
      <c r="O32" s="8" t="s">
        <v>817</v>
      </c>
      <c r="P32" s="186"/>
      <c r="Q32" s="8" t="s">
        <v>817</v>
      </c>
      <c r="R32" s="113" t="s">
        <v>817</v>
      </c>
      <c r="S32" s="8" t="s">
        <v>817</v>
      </c>
      <c r="T32" s="8" t="s">
        <v>817</v>
      </c>
      <c r="U32" s="8" t="s">
        <v>817</v>
      </c>
      <c r="V32" s="8" t="s">
        <v>817</v>
      </c>
      <c r="W32" s="183"/>
      <c r="X32" s="8" t="s">
        <v>817</v>
      </c>
      <c r="Y32" s="113" t="s">
        <v>818</v>
      </c>
      <c r="Z32" s="8" t="s">
        <v>818</v>
      </c>
      <c r="AA32" s="8" t="s">
        <v>817</v>
      </c>
      <c r="AB32" s="8" t="s">
        <v>818</v>
      </c>
      <c r="AC32" s="8" t="s">
        <v>817</v>
      </c>
      <c r="AD32" s="183"/>
      <c r="AE32" s="8" t="s">
        <v>817</v>
      </c>
      <c r="AF32" s="113" t="s">
        <v>817</v>
      </c>
      <c r="AG32" s="8"/>
      <c r="AH32" s="8"/>
      <c r="AI32" s="8"/>
      <c r="AJ32" s="8"/>
      <c r="AK32" s="5">
        <f t="shared" si="0"/>
        <v>3</v>
      </c>
      <c r="AL32" s="5">
        <f t="shared" si="1"/>
        <v>19</v>
      </c>
    </row>
    <row r="33" spans="1:38" ht="15.5" x14ac:dyDescent="0.35">
      <c r="A33" s="9">
        <v>3</v>
      </c>
      <c r="B33" s="20">
        <v>706</v>
      </c>
      <c r="C33" s="22" t="s">
        <v>529</v>
      </c>
      <c r="D33" s="23" t="s">
        <v>295</v>
      </c>
      <c r="E33" s="19" t="s">
        <v>725</v>
      </c>
      <c r="F33" s="180"/>
      <c r="G33" s="8" t="s">
        <v>817</v>
      </c>
      <c r="H33" s="8" t="s">
        <v>818</v>
      </c>
      <c r="I33" s="183"/>
      <c r="J33" s="8" t="s">
        <v>818</v>
      </c>
      <c r="K33" s="113" t="s">
        <v>817</v>
      </c>
      <c r="L33" s="8" t="s">
        <v>817</v>
      </c>
      <c r="M33" s="8" t="s">
        <v>818</v>
      </c>
      <c r="N33" s="8" t="s">
        <v>818</v>
      </c>
      <c r="O33" s="8" t="s">
        <v>818</v>
      </c>
      <c r="P33" s="186"/>
      <c r="Q33" s="8" t="s">
        <v>818</v>
      </c>
      <c r="R33" s="113" t="s">
        <v>818</v>
      </c>
      <c r="S33" s="8" t="s">
        <v>818</v>
      </c>
      <c r="T33" s="8" t="s">
        <v>818</v>
      </c>
      <c r="U33" s="8" t="s">
        <v>818</v>
      </c>
      <c r="V33" s="8" t="s">
        <v>818</v>
      </c>
      <c r="W33" s="183"/>
      <c r="X33" s="8" t="s">
        <v>818</v>
      </c>
      <c r="Y33" s="113" t="s">
        <v>818</v>
      </c>
      <c r="Z33" s="8" t="s">
        <v>818</v>
      </c>
      <c r="AA33" s="8" t="s">
        <v>818</v>
      </c>
      <c r="AB33" s="8" t="s">
        <v>818</v>
      </c>
      <c r="AC33" s="8" t="s">
        <v>818</v>
      </c>
      <c r="AD33" s="183"/>
      <c r="AE33" s="8" t="s">
        <v>818</v>
      </c>
      <c r="AF33" s="113" t="s">
        <v>818</v>
      </c>
      <c r="AG33" s="8"/>
      <c r="AH33" s="8"/>
      <c r="AI33" s="8"/>
      <c r="AJ33" s="8"/>
      <c r="AK33" s="5">
        <f t="shared" si="0"/>
        <v>19</v>
      </c>
      <c r="AL33" s="5">
        <f t="shared" si="1"/>
        <v>3</v>
      </c>
    </row>
    <row r="34" spans="1:38" ht="15.5" x14ac:dyDescent="0.35">
      <c r="A34" s="9">
        <v>4</v>
      </c>
      <c r="B34" s="20">
        <v>608</v>
      </c>
      <c r="C34" s="22" t="s">
        <v>530</v>
      </c>
      <c r="D34" s="23" t="s">
        <v>129</v>
      </c>
      <c r="E34" s="19" t="s">
        <v>725</v>
      </c>
      <c r="F34" s="180"/>
      <c r="G34" s="8" t="s">
        <v>817</v>
      </c>
      <c r="H34" s="8" t="s">
        <v>817</v>
      </c>
      <c r="I34" s="183"/>
      <c r="J34" s="8" t="s">
        <v>817</v>
      </c>
      <c r="K34" s="113" t="s">
        <v>817</v>
      </c>
      <c r="L34" s="8" t="s">
        <v>817</v>
      </c>
      <c r="M34" s="8" t="s">
        <v>817</v>
      </c>
      <c r="N34" s="8" t="s">
        <v>817</v>
      </c>
      <c r="O34" s="8" t="s">
        <v>817</v>
      </c>
      <c r="P34" s="186"/>
      <c r="Q34" s="8" t="s">
        <v>817</v>
      </c>
      <c r="R34" s="113" t="s">
        <v>817</v>
      </c>
      <c r="S34" s="8" t="s">
        <v>817</v>
      </c>
      <c r="T34" s="8" t="s">
        <v>817</v>
      </c>
      <c r="U34" s="8" t="s">
        <v>818</v>
      </c>
      <c r="V34" s="8" t="s">
        <v>817</v>
      </c>
      <c r="W34" s="183"/>
      <c r="X34" s="8" t="s">
        <v>818</v>
      </c>
      <c r="Y34" s="113" t="s">
        <v>818</v>
      </c>
      <c r="Z34" s="8" t="s">
        <v>818</v>
      </c>
      <c r="AA34" s="8" t="s">
        <v>817</v>
      </c>
      <c r="AB34" s="8" t="s">
        <v>818</v>
      </c>
      <c r="AC34" s="8" t="s">
        <v>818</v>
      </c>
      <c r="AD34" s="183"/>
      <c r="AE34" s="8" t="s">
        <v>817</v>
      </c>
      <c r="AF34" s="113" t="s">
        <v>818</v>
      </c>
      <c r="AG34" s="8"/>
      <c r="AH34" s="8"/>
      <c r="AI34" s="8"/>
      <c r="AJ34" s="8"/>
      <c r="AK34" s="5">
        <f t="shared" si="0"/>
        <v>7</v>
      </c>
      <c r="AL34" s="5">
        <f t="shared" si="1"/>
        <v>15</v>
      </c>
    </row>
    <row r="35" spans="1:38" ht="15.5" x14ac:dyDescent="0.35">
      <c r="A35" s="9">
        <v>5</v>
      </c>
      <c r="B35" s="20">
        <v>603</v>
      </c>
      <c r="C35" s="22" t="s">
        <v>365</v>
      </c>
      <c r="D35" s="23" t="s">
        <v>26</v>
      </c>
      <c r="E35" s="19" t="s">
        <v>725</v>
      </c>
      <c r="F35" s="180"/>
      <c r="G35" s="8" t="s">
        <v>818</v>
      </c>
      <c r="H35" s="8" t="s">
        <v>818</v>
      </c>
      <c r="I35" s="183"/>
      <c r="J35" s="8" t="s">
        <v>818</v>
      </c>
      <c r="K35" s="113" t="s">
        <v>818</v>
      </c>
      <c r="L35" s="8" t="s">
        <v>818</v>
      </c>
      <c r="M35" s="8" t="s">
        <v>818</v>
      </c>
      <c r="N35" s="8" t="s">
        <v>817</v>
      </c>
      <c r="O35" s="8" t="s">
        <v>817</v>
      </c>
      <c r="P35" s="186"/>
      <c r="Q35" s="8" t="s">
        <v>818</v>
      </c>
      <c r="R35" s="113" t="s">
        <v>818</v>
      </c>
      <c r="S35" s="8" t="s">
        <v>817</v>
      </c>
      <c r="T35" s="8" t="s">
        <v>818</v>
      </c>
      <c r="U35" s="8" t="s">
        <v>817</v>
      </c>
      <c r="V35" s="8" t="s">
        <v>818</v>
      </c>
      <c r="W35" s="183"/>
      <c r="X35" s="8" t="s">
        <v>817</v>
      </c>
      <c r="Y35" s="113" t="s">
        <v>818</v>
      </c>
      <c r="Z35" s="8" t="s">
        <v>817</v>
      </c>
      <c r="AA35" s="8" t="s">
        <v>818</v>
      </c>
      <c r="AB35" s="8" t="s">
        <v>818</v>
      </c>
      <c r="AC35" s="8" t="s">
        <v>818</v>
      </c>
      <c r="AD35" s="183"/>
      <c r="AE35" s="8" t="s">
        <v>818</v>
      </c>
      <c r="AF35" s="113" t="s">
        <v>818</v>
      </c>
      <c r="AG35" s="8"/>
      <c r="AH35" s="8"/>
      <c r="AI35" s="8"/>
      <c r="AJ35" s="8"/>
      <c r="AK35" s="5">
        <f t="shared" si="0"/>
        <v>16</v>
      </c>
      <c r="AL35" s="5">
        <f t="shared" si="1"/>
        <v>6</v>
      </c>
    </row>
    <row r="36" spans="1:38" ht="15.5" x14ac:dyDescent="0.35">
      <c r="A36" s="9">
        <v>6</v>
      </c>
      <c r="B36" s="20">
        <v>503</v>
      </c>
      <c r="C36" s="22" t="s">
        <v>531</v>
      </c>
      <c r="D36" s="23" t="s">
        <v>518</v>
      </c>
      <c r="E36" s="19" t="s">
        <v>725</v>
      </c>
      <c r="F36" s="180"/>
      <c r="G36" s="8" t="s">
        <v>818</v>
      </c>
      <c r="H36" s="8" t="s">
        <v>818</v>
      </c>
      <c r="I36" s="183"/>
      <c r="J36" s="8" t="s">
        <v>818</v>
      </c>
      <c r="K36" s="113" t="s">
        <v>818</v>
      </c>
      <c r="L36" s="8" t="s">
        <v>818</v>
      </c>
      <c r="M36" s="8" t="s">
        <v>818</v>
      </c>
      <c r="N36" s="8" t="s">
        <v>817</v>
      </c>
      <c r="O36" s="8" t="s">
        <v>818</v>
      </c>
      <c r="P36" s="186"/>
      <c r="Q36" s="8" t="s">
        <v>818</v>
      </c>
      <c r="R36" s="113" t="s">
        <v>818</v>
      </c>
      <c r="S36" s="8" t="s">
        <v>818</v>
      </c>
      <c r="T36" s="8" t="s">
        <v>818</v>
      </c>
      <c r="U36" s="8" t="s">
        <v>817</v>
      </c>
      <c r="V36" s="8" t="s">
        <v>818</v>
      </c>
      <c r="W36" s="183"/>
      <c r="X36" s="8" t="s">
        <v>818</v>
      </c>
      <c r="Y36" s="113" t="s">
        <v>818</v>
      </c>
      <c r="Z36" s="8" t="s">
        <v>818</v>
      </c>
      <c r="AA36" s="8" t="s">
        <v>818</v>
      </c>
      <c r="AB36" s="8" t="s">
        <v>818</v>
      </c>
      <c r="AC36" s="8" t="s">
        <v>818</v>
      </c>
      <c r="AD36" s="183"/>
      <c r="AE36" s="8" t="s">
        <v>818</v>
      </c>
      <c r="AF36" s="113" t="s">
        <v>818</v>
      </c>
      <c r="AG36" s="8"/>
      <c r="AH36" s="8"/>
      <c r="AI36" s="8"/>
      <c r="AJ36" s="8"/>
      <c r="AK36" s="5">
        <f t="shared" si="0"/>
        <v>20</v>
      </c>
      <c r="AL36" s="5">
        <f t="shared" si="1"/>
        <v>2</v>
      </c>
    </row>
    <row r="37" spans="1:38" ht="15.5" x14ac:dyDescent="0.35">
      <c r="A37" s="9">
        <v>7</v>
      </c>
      <c r="B37" s="20">
        <v>606</v>
      </c>
      <c r="C37" s="22" t="s">
        <v>532</v>
      </c>
      <c r="D37" s="23" t="s">
        <v>533</v>
      </c>
      <c r="E37" s="19" t="s">
        <v>725</v>
      </c>
      <c r="F37" s="180"/>
      <c r="G37" s="8" t="s">
        <v>818</v>
      </c>
      <c r="H37" s="8" t="s">
        <v>817</v>
      </c>
      <c r="I37" s="183"/>
      <c r="J37" s="8" t="s">
        <v>817</v>
      </c>
      <c r="K37" s="113" t="s">
        <v>817</v>
      </c>
      <c r="L37" s="8" t="s">
        <v>817</v>
      </c>
      <c r="M37" s="8" t="s">
        <v>817</v>
      </c>
      <c r="N37" s="8" t="s">
        <v>817</v>
      </c>
      <c r="O37" s="8" t="s">
        <v>817</v>
      </c>
      <c r="P37" s="186"/>
      <c r="Q37" s="8" t="s">
        <v>818</v>
      </c>
      <c r="R37" s="113" t="s">
        <v>817</v>
      </c>
      <c r="S37" s="8" t="s">
        <v>817</v>
      </c>
      <c r="T37" s="8" t="s">
        <v>817</v>
      </c>
      <c r="U37" s="8" t="s">
        <v>817</v>
      </c>
      <c r="V37" s="8" t="s">
        <v>817</v>
      </c>
      <c r="W37" s="183"/>
      <c r="X37" s="8" t="s">
        <v>818</v>
      </c>
      <c r="Y37" s="113" t="s">
        <v>818</v>
      </c>
      <c r="Z37" s="8" t="s">
        <v>818</v>
      </c>
      <c r="AA37" s="8" t="s">
        <v>818</v>
      </c>
      <c r="AB37" s="8" t="s">
        <v>818</v>
      </c>
      <c r="AC37" s="8" t="s">
        <v>818</v>
      </c>
      <c r="AD37" s="183"/>
      <c r="AE37" s="8" t="s">
        <v>818</v>
      </c>
      <c r="AF37" s="113" t="s">
        <v>818</v>
      </c>
      <c r="AG37" s="8"/>
      <c r="AH37" s="8"/>
      <c r="AI37" s="8"/>
      <c r="AJ37" s="8"/>
      <c r="AK37" s="5">
        <f t="shared" si="0"/>
        <v>10</v>
      </c>
      <c r="AL37" s="5">
        <f t="shared" si="1"/>
        <v>12</v>
      </c>
    </row>
    <row r="38" spans="1:38" ht="15.5" x14ac:dyDescent="0.35">
      <c r="A38" s="9">
        <v>8</v>
      </c>
      <c r="B38" s="20">
        <v>641</v>
      </c>
      <c r="C38" s="22" t="s">
        <v>845</v>
      </c>
      <c r="D38" s="23" t="s">
        <v>846</v>
      </c>
      <c r="E38" s="19" t="s">
        <v>725</v>
      </c>
      <c r="F38" s="180"/>
      <c r="G38" s="8" t="s">
        <v>817</v>
      </c>
      <c r="H38" s="8" t="s">
        <v>817</v>
      </c>
      <c r="I38" s="183"/>
      <c r="J38" s="8" t="s">
        <v>817</v>
      </c>
      <c r="K38" s="113" t="s">
        <v>817</v>
      </c>
      <c r="L38" s="8" t="s">
        <v>817</v>
      </c>
      <c r="M38" s="8" t="s">
        <v>817</v>
      </c>
      <c r="N38" s="8" t="s">
        <v>817</v>
      </c>
      <c r="O38" s="8" t="s">
        <v>817</v>
      </c>
      <c r="P38" s="186"/>
      <c r="Q38" s="8" t="s">
        <v>817</v>
      </c>
      <c r="R38" s="113" t="s">
        <v>817</v>
      </c>
      <c r="S38" s="8" t="s">
        <v>817</v>
      </c>
      <c r="T38" s="8" t="s">
        <v>817</v>
      </c>
      <c r="U38" s="8" t="s">
        <v>817</v>
      </c>
      <c r="V38" s="8" t="s">
        <v>817</v>
      </c>
      <c r="W38" s="183"/>
      <c r="X38" s="8" t="s">
        <v>818</v>
      </c>
      <c r="Y38" s="113" t="s">
        <v>817</v>
      </c>
      <c r="Z38" s="8" t="s">
        <v>817</v>
      </c>
      <c r="AA38" s="8" t="s">
        <v>817</v>
      </c>
      <c r="AB38" s="8" t="s">
        <v>817</v>
      </c>
      <c r="AC38" s="8" t="s">
        <v>817</v>
      </c>
      <c r="AD38" s="183"/>
      <c r="AE38" s="8" t="s">
        <v>817</v>
      </c>
      <c r="AF38" s="113" t="s">
        <v>817</v>
      </c>
      <c r="AG38" s="8"/>
      <c r="AH38" s="8"/>
      <c r="AI38" s="8"/>
      <c r="AJ38" s="8"/>
      <c r="AK38" s="5">
        <f t="shared" si="0"/>
        <v>1</v>
      </c>
      <c r="AL38" s="5">
        <f t="shared" si="1"/>
        <v>21</v>
      </c>
    </row>
    <row r="39" spans="1:38" ht="15.5" x14ac:dyDescent="0.35">
      <c r="A39" s="9">
        <v>9</v>
      </c>
      <c r="B39" s="20">
        <v>610</v>
      </c>
      <c r="C39" s="22" t="s">
        <v>535</v>
      </c>
      <c r="D39" s="23" t="s">
        <v>166</v>
      </c>
      <c r="E39" s="19" t="s">
        <v>725</v>
      </c>
      <c r="F39" s="180"/>
      <c r="G39" s="8" t="s">
        <v>817</v>
      </c>
      <c r="H39" s="8" t="s">
        <v>818</v>
      </c>
      <c r="I39" s="183"/>
      <c r="J39" s="8" t="s">
        <v>817</v>
      </c>
      <c r="K39" s="113" t="s">
        <v>817</v>
      </c>
      <c r="L39" s="8" t="s">
        <v>817</v>
      </c>
      <c r="M39" s="8" t="s">
        <v>818</v>
      </c>
      <c r="N39" s="8" t="s">
        <v>818</v>
      </c>
      <c r="O39" s="8" t="s">
        <v>818</v>
      </c>
      <c r="P39" s="186"/>
      <c r="Q39" s="8" t="s">
        <v>818</v>
      </c>
      <c r="R39" s="113" t="s">
        <v>818</v>
      </c>
      <c r="S39" s="8" t="s">
        <v>817</v>
      </c>
      <c r="T39" s="8" t="s">
        <v>818</v>
      </c>
      <c r="U39" s="8" t="s">
        <v>818</v>
      </c>
      <c r="V39" s="8" t="s">
        <v>818</v>
      </c>
      <c r="W39" s="183"/>
      <c r="X39" s="8" t="s">
        <v>818</v>
      </c>
      <c r="Y39" s="113" t="s">
        <v>818</v>
      </c>
      <c r="Z39" s="8" t="s">
        <v>817</v>
      </c>
      <c r="AA39" s="8" t="s">
        <v>818</v>
      </c>
      <c r="AB39" s="8" t="s">
        <v>818</v>
      </c>
      <c r="AC39" s="8" t="s">
        <v>818</v>
      </c>
      <c r="AD39" s="183"/>
      <c r="AE39" s="8" t="s">
        <v>818</v>
      </c>
      <c r="AF39" s="113" t="s">
        <v>818</v>
      </c>
      <c r="AG39" s="8"/>
      <c r="AH39" s="8"/>
      <c r="AI39" s="8"/>
      <c r="AJ39" s="8"/>
      <c r="AK39" s="5">
        <f t="shared" si="0"/>
        <v>16</v>
      </c>
      <c r="AL39" s="5">
        <f t="shared" si="1"/>
        <v>6</v>
      </c>
    </row>
    <row r="40" spans="1:38" ht="15.5" x14ac:dyDescent="0.35">
      <c r="A40" s="9">
        <v>10</v>
      </c>
      <c r="B40" s="20">
        <v>709</v>
      </c>
      <c r="C40" s="22" t="s">
        <v>536</v>
      </c>
      <c r="D40" s="23" t="s">
        <v>537</v>
      </c>
      <c r="E40" s="19" t="s">
        <v>725</v>
      </c>
      <c r="F40" s="180"/>
      <c r="G40" s="8" t="s">
        <v>818</v>
      </c>
      <c r="H40" s="8" t="s">
        <v>818</v>
      </c>
      <c r="I40" s="183"/>
      <c r="J40" s="8" t="s">
        <v>818</v>
      </c>
      <c r="K40" s="113" t="s">
        <v>818</v>
      </c>
      <c r="L40" s="8" t="s">
        <v>818</v>
      </c>
      <c r="M40" s="8" t="s">
        <v>818</v>
      </c>
      <c r="N40" s="8" t="s">
        <v>818</v>
      </c>
      <c r="O40" s="8" t="s">
        <v>818</v>
      </c>
      <c r="P40" s="186"/>
      <c r="Q40" s="8" t="s">
        <v>818</v>
      </c>
      <c r="R40" s="113" t="s">
        <v>818</v>
      </c>
      <c r="S40" s="8" t="s">
        <v>818</v>
      </c>
      <c r="T40" s="8" t="s">
        <v>818</v>
      </c>
      <c r="U40" s="8" t="s">
        <v>818</v>
      </c>
      <c r="V40" s="8" t="s">
        <v>818</v>
      </c>
      <c r="W40" s="183"/>
      <c r="X40" s="8" t="s">
        <v>818</v>
      </c>
      <c r="Y40" s="113" t="s">
        <v>818</v>
      </c>
      <c r="Z40" s="8" t="s">
        <v>818</v>
      </c>
      <c r="AA40" s="8" t="s">
        <v>818</v>
      </c>
      <c r="AB40" s="8" t="s">
        <v>818</v>
      </c>
      <c r="AC40" s="8" t="s">
        <v>818</v>
      </c>
      <c r="AD40" s="183"/>
      <c r="AE40" s="8" t="s">
        <v>818</v>
      </c>
      <c r="AF40" s="113" t="s">
        <v>818</v>
      </c>
      <c r="AG40" s="8"/>
      <c r="AH40" s="8"/>
      <c r="AI40" s="8"/>
      <c r="AJ40" s="8"/>
      <c r="AK40" s="5">
        <f t="shared" si="0"/>
        <v>22</v>
      </c>
      <c r="AL40" s="5">
        <f t="shared" si="1"/>
        <v>0</v>
      </c>
    </row>
    <row r="41" spans="1:38" ht="15.5" x14ac:dyDescent="0.35">
      <c r="A41" s="9">
        <v>11</v>
      </c>
      <c r="B41" s="20">
        <v>318</v>
      </c>
      <c r="C41" s="22" t="s">
        <v>538</v>
      </c>
      <c r="D41" s="23" t="s">
        <v>539</v>
      </c>
      <c r="E41" s="19" t="s">
        <v>725</v>
      </c>
      <c r="F41" s="180"/>
      <c r="G41" s="8" t="s">
        <v>817</v>
      </c>
      <c r="H41" s="8" t="s">
        <v>817</v>
      </c>
      <c r="I41" s="183"/>
      <c r="J41" s="8" t="s">
        <v>817</v>
      </c>
      <c r="K41" s="113" t="s">
        <v>817</v>
      </c>
      <c r="L41" s="8" t="s">
        <v>817</v>
      </c>
      <c r="M41" s="8" t="s">
        <v>817</v>
      </c>
      <c r="N41" s="8" t="s">
        <v>817</v>
      </c>
      <c r="O41" s="8" t="s">
        <v>817</v>
      </c>
      <c r="P41" s="186"/>
      <c r="Q41" s="8" t="s">
        <v>817</v>
      </c>
      <c r="R41" s="113" t="s">
        <v>817</v>
      </c>
      <c r="S41" s="8" t="s">
        <v>817</v>
      </c>
      <c r="T41" s="8" t="s">
        <v>817</v>
      </c>
      <c r="U41" s="8" t="s">
        <v>817</v>
      </c>
      <c r="V41" s="8" t="s">
        <v>817</v>
      </c>
      <c r="W41" s="183"/>
      <c r="X41" s="8" t="s">
        <v>818</v>
      </c>
      <c r="Y41" s="113" t="s">
        <v>818</v>
      </c>
      <c r="Z41" s="8" t="s">
        <v>818</v>
      </c>
      <c r="AA41" s="8" t="s">
        <v>818</v>
      </c>
      <c r="AB41" s="8" t="s">
        <v>818</v>
      </c>
      <c r="AC41" s="8" t="s">
        <v>818</v>
      </c>
      <c r="AD41" s="183"/>
      <c r="AE41" s="8" t="s">
        <v>817</v>
      </c>
      <c r="AF41" s="113" t="s">
        <v>818</v>
      </c>
      <c r="AG41" s="8"/>
      <c r="AH41" s="8"/>
      <c r="AI41" s="8"/>
      <c r="AJ41" s="8"/>
      <c r="AK41" s="5">
        <f t="shared" si="0"/>
        <v>7</v>
      </c>
      <c r="AL41" s="5">
        <f t="shared" si="1"/>
        <v>15</v>
      </c>
    </row>
    <row r="42" spans="1:38" ht="15.5" x14ac:dyDescent="0.35">
      <c r="A42" s="9">
        <v>12</v>
      </c>
      <c r="B42" s="20">
        <v>707</v>
      </c>
      <c r="C42" s="22" t="s">
        <v>540</v>
      </c>
      <c r="D42" s="23" t="s">
        <v>184</v>
      </c>
      <c r="E42" s="19" t="s">
        <v>725</v>
      </c>
      <c r="F42" s="180"/>
      <c r="G42" s="8" t="s">
        <v>818</v>
      </c>
      <c r="H42" s="8" t="s">
        <v>818</v>
      </c>
      <c r="I42" s="183"/>
      <c r="J42" s="8" t="s">
        <v>818</v>
      </c>
      <c r="K42" s="113" t="s">
        <v>818</v>
      </c>
      <c r="L42" s="8" t="s">
        <v>818</v>
      </c>
      <c r="M42" s="8" t="s">
        <v>818</v>
      </c>
      <c r="N42" s="8" t="s">
        <v>818</v>
      </c>
      <c r="O42" s="8" t="s">
        <v>818</v>
      </c>
      <c r="P42" s="186"/>
      <c r="Q42" s="8" t="s">
        <v>818</v>
      </c>
      <c r="R42" s="113" t="s">
        <v>818</v>
      </c>
      <c r="S42" s="8" t="s">
        <v>818</v>
      </c>
      <c r="T42" s="8" t="s">
        <v>818</v>
      </c>
      <c r="U42" s="8" t="s">
        <v>818</v>
      </c>
      <c r="V42" s="8" t="s">
        <v>818</v>
      </c>
      <c r="W42" s="183"/>
      <c r="X42" s="8" t="s">
        <v>818</v>
      </c>
      <c r="Y42" s="113" t="s">
        <v>818</v>
      </c>
      <c r="Z42" s="8" t="s">
        <v>817</v>
      </c>
      <c r="AA42" s="8" t="s">
        <v>818</v>
      </c>
      <c r="AB42" s="8" t="s">
        <v>818</v>
      </c>
      <c r="AC42" s="8" t="s">
        <v>818</v>
      </c>
      <c r="AD42" s="183"/>
      <c r="AE42" s="8" t="s">
        <v>818</v>
      </c>
      <c r="AF42" s="113" t="s">
        <v>817</v>
      </c>
      <c r="AG42" s="8"/>
      <c r="AH42" s="8"/>
      <c r="AI42" s="8"/>
      <c r="AJ42" s="8"/>
      <c r="AK42" s="5">
        <f t="shared" si="0"/>
        <v>20</v>
      </c>
      <c r="AL42" s="5">
        <f t="shared" si="1"/>
        <v>2</v>
      </c>
    </row>
    <row r="43" spans="1:38" ht="15.5" x14ac:dyDescent="0.35">
      <c r="A43" s="9">
        <v>13</v>
      </c>
      <c r="B43" s="20">
        <v>486</v>
      </c>
      <c r="C43" s="22" t="s">
        <v>541</v>
      </c>
      <c r="D43" s="23" t="s">
        <v>129</v>
      </c>
      <c r="E43" s="19" t="s">
        <v>725</v>
      </c>
      <c r="F43" s="180"/>
      <c r="G43" s="8" t="s">
        <v>818</v>
      </c>
      <c r="H43" s="8" t="s">
        <v>818</v>
      </c>
      <c r="I43" s="183"/>
      <c r="J43" s="8" t="s">
        <v>818</v>
      </c>
      <c r="K43" s="113" t="s">
        <v>818</v>
      </c>
      <c r="L43" s="8" t="s">
        <v>818</v>
      </c>
      <c r="M43" s="8" t="s">
        <v>818</v>
      </c>
      <c r="N43" s="8" t="s">
        <v>818</v>
      </c>
      <c r="O43" s="8" t="s">
        <v>818</v>
      </c>
      <c r="P43" s="186"/>
      <c r="Q43" s="8" t="s">
        <v>818</v>
      </c>
      <c r="R43" s="113" t="s">
        <v>818</v>
      </c>
      <c r="S43" s="8" t="s">
        <v>818</v>
      </c>
      <c r="T43" s="8" t="s">
        <v>818</v>
      </c>
      <c r="U43" s="8" t="s">
        <v>818</v>
      </c>
      <c r="V43" s="8" t="s">
        <v>818</v>
      </c>
      <c r="W43" s="183"/>
      <c r="X43" s="8" t="s">
        <v>818</v>
      </c>
      <c r="Y43" s="113" t="s">
        <v>818</v>
      </c>
      <c r="Z43" s="8" t="s">
        <v>818</v>
      </c>
      <c r="AA43" s="8" t="s">
        <v>818</v>
      </c>
      <c r="AB43" s="8" t="s">
        <v>818</v>
      </c>
      <c r="AC43" s="8" t="s">
        <v>818</v>
      </c>
      <c r="AD43" s="183"/>
      <c r="AE43" s="8" t="s">
        <v>818</v>
      </c>
      <c r="AF43" s="113" t="s">
        <v>818</v>
      </c>
      <c r="AG43" s="8"/>
      <c r="AH43" s="8"/>
      <c r="AI43" s="8"/>
      <c r="AJ43" s="8"/>
      <c r="AK43" s="5">
        <f t="shared" si="0"/>
        <v>22</v>
      </c>
      <c r="AL43" s="5">
        <f t="shared" si="1"/>
        <v>0</v>
      </c>
    </row>
    <row r="44" spans="1:38" ht="15.5" x14ac:dyDescent="0.35">
      <c r="A44" s="9">
        <v>14</v>
      </c>
      <c r="B44" s="20">
        <v>602</v>
      </c>
      <c r="C44" s="22" t="s">
        <v>542</v>
      </c>
      <c r="D44" s="23" t="s">
        <v>50</v>
      </c>
      <c r="E44" s="19" t="s">
        <v>725</v>
      </c>
      <c r="F44" s="180"/>
      <c r="G44" s="8" t="s">
        <v>818</v>
      </c>
      <c r="H44" s="8" t="s">
        <v>818</v>
      </c>
      <c r="I44" s="183"/>
      <c r="J44" s="8" t="s">
        <v>818</v>
      </c>
      <c r="K44" s="113" t="s">
        <v>818</v>
      </c>
      <c r="L44" s="8" t="s">
        <v>818</v>
      </c>
      <c r="M44" s="8" t="s">
        <v>818</v>
      </c>
      <c r="N44" s="8" t="s">
        <v>818</v>
      </c>
      <c r="O44" s="8" t="s">
        <v>818</v>
      </c>
      <c r="P44" s="186"/>
      <c r="Q44" s="8" t="s">
        <v>818</v>
      </c>
      <c r="R44" s="113" t="s">
        <v>818</v>
      </c>
      <c r="S44" s="8" t="s">
        <v>818</v>
      </c>
      <c r="T44" s="8" t="s">
        <v>818</v>
      </c>
      <c r="U44" s="8" t="s">
        <v>818</v>
      </c>
      <c r="V44" s="8" t="s">
        <v>818</v>
      </c>
      <c r="W44" s="183"/>
      <c r="X44" s="8" t="s">
        <v>818</v>
      </c>
      <c r="Y44" s="113" t="s">
        <v>818</v>
      </c>
      <c r="Z44" s="8" t="s">
        <v>817</v>
      </c>
      <c r="AA44" s="8" t="s">
        <v>818</v>
      </c>
      <c r="AB44" s="8" t="s">
        <v>818</v>
      </c>
      <c r="AC44" s="8" t="s">
        <v>818</v>
      </c>
      <c r="AD44" s="183"/>
      <c r="AE44" s="8" t="s">
        <v>818</v>
      </c>
      <c r="AF44" s="113" t="s">
        <v>817</v>
      </c>
      <c r="AG44" s="8"/>
      <c r="AH44" s="8"/>
      <c r="AI44" s="8"/>
      <c r="AJ44" s="8"/>
      <c r="AK44" s="5">
        <f t="shared" si="0"/>
        <v>20</v>
      </c>
      <c r="AL44" s="5">
        <f t="shared" si="1"/>
        <v>2</v>
      </c>
    </row>
    <row r="45" spans="1:38" ht="15.5" x14ac:dyDescent="0.35">
      <c r="A45" s="9">
        <v>15</v>
      </c>
      <c r="B45" s="20">
        <v>708</v>
      </c>
      <c r="C45" s="22" t="s">
        <v>543</v>
      </c>
      <c r="D45" s="23" t="s">
        <v>537</v>
      </c>
      <c r="E45" s="19" t="s">
        <v>725</v>
      </c>
      <c r="F45" s="180"/>
      <c r="G45" s="8" t="s">
        <v>818</v>
      </c>
      <c r="H45" s="8" t="s">
        <v>818</v>
      </c>
      <c r="I45" s="183"/>
      <c r="J45" s="8" t="s">
        <v>818</v>
      </c>
      <c r="K45" s="113" t="s">
        <v>818</v>
      </c>
      <c r="L45" s="8" t="s">
        <v>818</v>
      </c>
      <c r="M45" s="8" t="s">
        <v>818</v>
      </c>
      <c r="N45" s="8" t="s">
        <v>818</v>
      </c>
      <c r="O45" s="8" t="s">
        <v>818</v>
      </c>
      <c r="P45" s="186"/>
      <c r="Q45" s="8" t="s">
        <v>818</v>
      </c>
      <c r="R45" s="113" t="s">
        <v>818</v>
      </c>
      <c r="S45" s="8" t="s">
        <v>818</v>
      </c>
      <c r="T45" s="8" t="s">
        <v>818</v>
      </c>
      <c r="U45" s="8" t="s">
        <v>818</v>
      </c>
      <c r="V45" s="8" t="s">
        <v>818</v>
      </c>
      <c r="W45" s="183"/>
      <c r="X45" s="8" t="s">
        <v>818</v>
      </c>
      <c r="Y45" s="113" t="s">
        <v>818</v>
      </c>
      <c r="Z45" s="8" t="s">
        <v>818</v>
      </c>
      <c r="AA45" s="8" t="s">
        <v>818</v>
      </c>
      <c r="AB45" s="8" t="s">
        <v>818</v>
      </c>
      <c r="AC45" s="8" t="s">
        <v>818</v>
      </c>
      <c r="AD45" s="183"/>
      <c r="AE45" s="8" t="s">
        <v>818</v>
      </c>
      <c r="AF45" s="113" t="s">
        <v>818</v>
      </c>
      <c r="AG45" s="8"/>
      <c r="AH45" s="8"/>
      <c r="AI45" s="8"/>
      <c r="AJ45" s="8"/>
      <c r="AK45" s="5">
        <f t="shared" si="0"/>
        <v>22</v>
      </c>
      <c r="AL45" s="5">
        <f t="shared" si="1"/>
        <v>0</v>
      </c>
    </row>
    <row r="46" spans="1:38" ht="15.5" x14ac:dyDescent="0.35">
      <c r="A46" s="9">
        <v>16</v>
      </c>
      <c r="B46" s="20"/>
      <c r="C46" s="22" t="s">
        <v>759</v>
      </c>
      <c r="D46" s="23" t="s">
        <v>527</v>
      </c>
      <c r="E46" s="19" t="s">
        <v>725</v>
      </c>
      <c r="F46" s="180"/>
      <c r="G46" s="8" t="s">
        <v>818</v>
      </c>
      <c r="H46" s="8" t="s">
        <v>818</v>
      </c>
      <c r="I46" s="183"/>
      <c r="J46" s="8" t="s">
        <v>818</v>
      </c>
      <c r="K46" s="113" t="s">
        <v>818</v>
      </c>
      <c r="L46" s="8" t="s">
        <v>818</v>
      </c>
      <c r="M46" s="8" t="s">
        <v>818</v>
      </c>
      <c r="N46" s="8" t="s">
        <v>818</v>
      </c>
      <c r="O46" s="8" t="s">
        <v>818</v>
      </c>
      <c r="P46" s="186"/>
      <c r="Q46" s="8" t="s">
        <v>818</v>
      </c>
      <c r="R46" s="113" t="s">
        <v>818</v>
      </c>
      <c r="S46" s="8" t="s">
        <v>818</v>
      </c>
      <c r="T46" s="8" t="s">
        <v>818</v>
      </c>
      <c r="U46" s="8" t="s">
        <v>817</v>
      </c>
      <c r="V46" s="8" t="s">
        <v>818</v>
      </c>
      <c r="W46" s="183"/>
      <c r="X46" s="8" t="s">
        <v>818</v>
      </c>
      <c r="Y46" s="113" t="s">
        <v>818</v>
      </c>
      <c r="Z46" s="8" t="s">
        <v>818</v>
      </c>
      <c r="AA46" s="8" t="s">
        <v>818</v>
      </c>
      <c r="AB46" s="8" t="s">
        <v>818</v>
      </c>
      <c r="AC46" s="8" t="s">
        <v>818</v>
      </c>
      <c r="AD46" s="183"/>
      <c r="AE46" s="8" t="s">
        <v>818</v>
      </c>
      <c r="AF46" s="113" t="s">
        <v>818</v>
      </c>
      <c r="AG46" s="8"/>
      <c r="AH46" s="8"/>
      <c r="AI46" s="8"/>
      <c r="AJ46" s="8"/>
      <c r="AK46" s="5">
        <f t="shared" si="0"/>
        <v>21</v>
      </c>
      <c r="AL46" s="5">
        <f t="shared" si="1"/>
        <v>1</v>
      </c>
    </row>
    <row r="47" spans="1:38" ht="15.5" x14ac:dyDescent="0.35">
      <c r="A47" s="9">
        <v>17</v>
      </c>
      <c r="B47" s="9">
        <v>782</v>
      </c>
      <c r="C47" s="24" t="s">
        <v>544</v>
      </c>
      <c r="D47" s="24" t="s">
        <v>545</v>
      </c>
      <c r="E47" s="19" t="s">
        <v>725</v>
      </c>
      <c r="F47" s="180"/>
      <c r="G47" s="8" t="s">
        <v>818</v>
      </c>
      <c r="H47" s="8" t="s">
        <v>817</v>
      </c>
      <c r="I47" s="183"/>
      <c r="J47" s="8" t="s">
        <v>818</v>
      </c>
      <c r="K47" s="113" t="s">
        <v>818</v>
      </c>
      <c r="L47" s="8" t="s">
        <v>818</v>
      </c>
      <c r="M47" s="8" t="s">
        <v>818</v>
      </c>
      <c r="N47" s="8" t="s">
        <v>818</v>
      </c>
      <c r="O47" s="8" t="s">
        <v>818</v>
      </c>
      <c r="P47" s="186"/>
      <c r="Q47" s="8" t="s">
        <v>818</v>
      </c>
      <c r="R47" s="113" t="s">
        <v>818</v>
      </c>
      <c r="S47" s="8" t="s">
        <v>818</v>
      </c>
      <c r="T47" s="8" t="s">
        <v>817</v>
      </c>
      <c r="U47" s="8" t="s">
        <v>818</v>
      </c>
      <c r="V47" s="8" t="s">
        <v>817</v>
      </c>
      <c r="W47" s="183"/>
      <c r="X47" s="8" t="s">
        <v>818</v>
      </c>
      <c r="Y47" s="113" t="s">
        <v>818</v>
      </c>
      <c r="Z47" s="8" t="s">
        <v>818</v>
      </c>
      <c r="AA47" s="8" t="s">
        <v>818</v>
      </c>
      <c r="AB47" s="8" t="s">
        <v>818</v>
      </c>
      <c r="AC47" s="8" t="s">
        <v>818</v>
      </c>
      <c r="AD47" s="183"/>
      <c r="AE47" s="8" t="s">
        <v>818</v>
      </c>
      <c r="AF47" s="113" t="s">
        <v>818</v>
      </c>
      <c r="AG47" s="8"/>
      <c r="AH47" s="8"/>
      <c r="AI47" s="8"/>
      <c r="AJ47" s="8"/>
      <c r="AK47" s="5">
        <f t="shared" si="0"/>
        <v>19</v>
      </c>
      <c r="AL47" s="5">
        <f t="shared" si="1"/>
        <v>3</v>
      </c>
    </row>
    <row r="48" spans="1:38" ht="15.5" x14ac:dyDescent="0.35">
      <c r="A48" s="9">
        <v>18</v>
      </c>
      <c r="B48" s="20">
        <v>469</v>
      </c>
      <c r="C48" s="24" t="s">
        <v>546</v>
      </c>
      <c r="D48" s="24" t="s">
        <v>129</v>
      </c>
      <c r="E48" s="19" t="s">
        <v>725</v>
      </c>
      <c r="F48" s="180"/>
      <c r="G48" s="8" t="s">
        <v>818</v>
      </c>
      <c r="H48" s="8" t="s">
        <v>817</v>
      </c>
      <c r="I48" s="183"/>
      <c r="J48" s="8" t="s">
        <v>818</v>
      </c>
      <c r="K48" s="113" t="s">
        <v>818</v>
      </c>
      <c r="L48" s="8" t="s">
        <v>818</v>
      </c>
      <c r="M48" s="8" t="s">
        <v>818</v>
      </c>
      <c r="N48" s="8" t="s">
        <v>818</v>
      </c>
      <c r="O48" s="8" t="s">
        <v>818</v>
      </c>
      <c r="P48" s="186"/>
      <c r="Q48" s="8" t="s">
        <v>818</v>
      </c>
      <c r="R48" s="113" t="s">
        <v>818</v>
      </c>
      <c r="S48" s="8" t="s">
        <v>818</v>
      </c>
      <c r="T48" s="8" t="s">
        <v>817</v>
      </c>
      <c r="U48" s="8" t="s">
        <v>818</v>
      </c>
      <c r="V48" s="8" t="s">
        <v>818</v>
      </c>
      <c r="W48" s="183"/>
      <c r="X48" s="8" t="s">
        <v>818</v>
      </c>
      <c r="Y48" s="113" t="s">
        <v>818</v>
      </c>
      <c r="Z48" s="8" t="s">
        <v>818</v>
      </c>
      <c r="AA48" s="8" t="s">
        <v>818</v>
      </c>
      <c r="AB48" s="8" t="s">
        <v>818</v>
      </c>
      <c r="AC48" s="8" t="s">
        <v>818</v>
      </c>
      <c r="AD48" s="183"/>
      <c r="AE48" s="8" t="s">
        <v>818</v>
      </c>
      <c r="AF48" s="113" t="s">
        <v>818</v>
      </c>
      <c r="AG48" s="8"/>
      <c r="AH48" s="8"/>
      <c r="AI48" s="8"/>
      <c r="AJ48" s="8"/>
      <c r="AK48" s="5">
        <f t="shared" si="0"/>
        <v>20</v>
      </c>
      <c r="AL48" s="5">
        <f t="shared" si="1"/>
        <v>2</v>
      </c>
    </row>
    <row r="49" spans="1:38" ht="15.5" x14ac:dyDescent="0.35">
      <c r="A49" s="9">
        <v>19</v>
      </c>
      <c r="B49" s="9">
        <v>388</v>
      </c>
      <c r="C49" s="24" t="s">
        <v>547</v>
      </c>
      <c r="D49" s="24" t="s">
        <v>548</v>
      </c>
      <c r="E49" s="104" t="s">
        <v>725</v>
      </c>
      <c r="F49" s="180"/>
      <c r="G49" s="8" t="s">
        <v>818</v>
      </c>
      <c r="H49" s="8" t="s">
        <v>817</v>
      </c>
      <c r="I49" s="183"/>
      <c r="J49" s="8" t="s">
        <v>818</v>
      </c>
      <c r="K49" s="113" t="s">
        <v>818</v>
      </c>
      <c r="L49" s="8" t="s">
        <v>818</v>
      </c>
      <c r="M49" s="8" t="s">
        <v>818</v>
      </c>
      <c r="N49" s="8" t="s">
        <v>818</v>
      </c>
      <c r="O49" s="8" t="s">
        <v>818</v>
      </c>
      <c r="P49" s="186"/>
      <c r="Q49" s="8" t="s">
        <v>818</v>
      </c>
      <c r="R49" s="113" t="s">
        <v>818</v>
      </c>
      <c r="S49" s="8" t="s">
        <v>818</v>
      </c>
      <c r="T49" s="8" t="s">
        <v>817</v>
      </c>
      <c r="U49" s="8" t="s">
        <v>818</v>
      </c>
      <c r="V49" s="8" t="s">
        <v>818</v>
      </c>
      <c r="W49" s="183"/>
      <c r="X49" s="8" t="s">
        <v>818</v>
      </c>
      <c r="Y49" s="113" t="s">
        <v>818</v>
      </c>
      <c r="Z49" s="8" t="s">
        <v>818</v>
      </c>
      <c r="AA49" s="8" t="s">
        <v>818</v>
      </c>
      <c r="AB49" s="8" t="s">
        <v>818</v>
      </c>
      <c r="AC49" s="8" t="s">
        <v>818</v>
      </c>
      <c r="AD49" s="183"/>
      <c r="AE49" s="8" t="s">
        <v>818</v>
      </c>
      <c r="AF49" s="113" t="s">
        <v>818</v>
      </c>
      <c r="AG49" s="8"/>
      <c r="AH49" s="8"/>
      <c r="AI49" s="8"/>
      <c r="AJ49" s="8"/>
      <c r="AK49" s="5">
        <f t="shared" si="0"/>
        <v>20</v>
      </c>
      <c r="AL49" s="5">
        <f t="shared" si="1"/>
        <v>2</v>
      </c>
    </row>
    <row r="50" spans="1:38" ht="15.5" x14ac:dyDescent="0.35">
      <c r="A50" s="9">
        <v>20</v>
      </c>
      <c r="B50" s="20">
        <v>510</v>
      </c>
      <c r="C50" s="24" t="s">
        <v>549</v>
      </c>
      <c r="D50" s="24" t="s">
        <v>518</v>
      </c>
      <c r="E50" s="104" t="s">
        <v>725</v>
      </c>
      <c r="F50" s="180"/>
      <c r="G50" s="8" t="s">
        <v>818</v>
      </c>
      <c r="H50" s="8" t="s">
        <v>818</v>
      </c>
      <c r="I50" s="183"/>
      <c r="J50" s="8" t="s">
        <v>818</v>
      </c>
      <c r="K50" s="113" t="s">
        <v>818</v>
      </c>
      <c r="L50" s="8" t="s">
        <v>818</v>
      </c>
      <c r="M50" s="8" t="s">
        <v>818</v>
      </c>
      <c r="N50" s="8" t="s">
        <v>818</v>
      </c>
      <c r="O50" s="8" t="s">
        <v>818</v>
      </c>
      <c r="P50" s="186"/>
      <c r="Q50" s="8" t="s">
        <v>817</v>
      </c>
      <c r="R50" s="113" t="s">
        <v>818</v>
      </c>
      <c r="S50" s="8" t="s">
        <v>818</v>
      </c>
      <c r="T50" s="8" t="s">
        <v>818</v>
      </c>
      <c r="U50" s="8" t="s">
        <v>818</v>
      </c>
      <c r="V50" s="8" t="s">
        <v>818</v>
      </c>
      <c r="W50" s="183"/>
      <c r="X50" s="8" t="s">
        <v>818</v>
      </c>
      <c r="Y50" s="113" t="s">
        <v>818</v>
      </c>
      <c r="Z50" s="8" t="s">
        <v>818</v>
      </c>
      <c r="AA50" s="8" t="s">
        <v>818</v>
      </c>
      <c r="AB50" s="8" t="s">
        <v>818</v>
      </c>
      <c r="AC50" s="8" t="s">
        <v>818</v>
      </c>
      <c r="AD50" s="183"/>
      <c r="AE50" s="8" t="s">
        <v>818</v>
      </c>
      <c r="AF50" s="113" t="s">
        <v>818</v>
      </c>
      <c r="AG50" s="8"/>
      <c r="AH50" s="8"/>
      <c r="AI50" s="8"/>
      <c r="AJ50" s="8"/>
      <c r="AK50" s="5">
        <f t="shared" si="0"/>
        <v>21</v>
      </c>
      <c r="AL50" s="5">
        <f t="shared" si="1"/>
        <v>1</v>
      </c>
    </row>
    <row r="51" spans="1:38" ht="15.5" x14ac:dyDescent="0.35">
      <c r="A51" s="9">
        <v>21</v>
      </c>
      <c r="B51" s="9">
        <v>704</v>
      </c>
      <c r="C51" s="24" t="s">
        <v>550</v>
      </c>
      <c r="D51" s="24" t="s">
        <v>551</v>
      </c>
      <c r="E51" s="104" t="s">
        <v>725</v>
      </c>
      <c r="F51" s="180"/>
      <c r="G51" s="8" t="s">
        <v>818</v>
      </c>
      <c r="H51" s="8" t="s">
        <v>817</v>
      </c>
      <c r="I51" s="183"/>
      <c r="J51" s="8" t="s">
        <v>818</v>
      </c>
      <c r="K51" s="113" t="s">
        <v>818</v>
      </c>
      <c r="L51" s="8" t="s">
        <v>818</v>
      </c>
      <c r="M51" s="8" t="s">
        <v>818</v>
      </c>
      <c r="N51" s="8" t="s">
        <v>817</v>
      </c>
      <c r="O51" s="8" t="s">
        <v>817</v>
      </c>
      <c r="P51" s="186"/>
      <c r="Q51" s="8" t="s">
        <v>818</v>
      </c>
      <c r="R51" s="113" t="s">
        <v>818</v>
      </c>
      <c r="S51" s="8" t="s">
        <v>817</v>
      </c>
      <c r="T51" s="8" t="s">
        <v>818</v>
      </c>
      <c r="U51" s="8" t="s">
        <v>817</v>
      </c>
      <c r="V51" s="8" t="s">
        <v>818</v>
      </c>
      <c r="W51" s="183"/>
      <c r="X51" s="8" t="s">
        <v>818</v>
      </c>
      <c r="Y51" s="113" t="s">
        <v>818</v>
      </c>
      <c r="Z51" s="8" t="s">
        <v>818</v>
      </c>
      <c r="AA51" s="8" t="s">
        <v>817</v>
      </c>
      <c r="AB51" s="8" t="s">
        <v>818</v>
      </c>
      <c r="AC51" s="8" t="s">
        <v>818</v>
      </c>
      <c r="AD51" s="183"/>
      <c r="AE51" s="8" t="s">
        <v>818</v>
      </c>
      <c r="AF51" s="113" t="s">
        <v>818</v>
      </c>
      <c r="AG51" s="8"/>
      <c r="AH51" s="8"/>
      <c r="AI51" s="8"/>
      <c r="AJ51" s="8"/>
      <c r="AK51" s="5">
        <f t="shared" si="0"/>
        <v>16</v>
      </c>
      <c r="AL51" s="5">
        <f t="shared" si="1"/>
        <v>6</v>
      </c>
    </row>
    <row r="52" spans="1:38" ht="15.5" x14ac:dyDescent="0.35">
      <c r="A52" s="9">
        <v>22</v>
      </c>
      <c r="B52" s="20">
        <v>852</v>
      </c>
      <c r="C52" s="24" t="s">
        <v>552</v>
      </c>
      <c r="D52" s="24" t="s">
        <v>553</v>
      </c>
      <c r="E52" s="104" t="s">
        <v>725</v>
      </c>
      <c r="F52" s="180"/>
      <c r="G52" s="8" t="s">
        <v>818</v>
      </c>
      <c r="H52" s="8" t="s">
        <v>818</v>
      </c>
      <c r="I52" s="183"/>
      <c r="J52" s="8" t="s">
        <v>818</v>
      </c>
      <c r="K52" s="113" t="s">
        <v>818</v>
      </c>
      <c r="L52" s="8" t="s">
        <v>818</v>
      </c>
      <c r="M52" s="8" t="s">
        <v>818</v>
      </c>
      <c r="N52" s="8" t="s">
        <v>818</v>
      </c>
      <c r="O52" s="8" t="s">
        <v>818</v>
      </c>
      <c r="P52" s="186"/>
      <c r="Q52" s="8" t="s">
        <v>818</v>
      </c>
      <c r="R52" s="113" t="s">
        <v>818</v>
      </c>
      <c r="S52" s="8" t="s">
        <v>818</v>
      </c>
      <c r="T52" s="8" t="s">
        <v>818</v>
      </c>
      <c r="U52" s="8" t="s">
        <v>818</v>
      </c>
      <c r="V52" s="8" t="s">
        <v>818</v>
      </c>
      <c r="W52" s="183"/>
      <c r="X52" s="8" t="s">
        <v>818</v>
      </c>
      <c r="Y52" s="113" t="s">
        <v>818</v>
      </c>
      <c r="Z52" s="8" t="s">
        <v>818</v>
      </c>
      <c r="AA52" s="8" t="s">
        <v>818</v>
      </c>
      <c r="AB52" s="8" t="s">
        <v>818</v>
      </c>
      <c r="AC52" s="8" t="s">
        <v>818</v>
      </c>
      <c r="AD52" s="183"/>
      <c r="AE52" s="8" t="s">
        <v>818</v>
      </c>
      <c r="AF52" s="113" t="s">
        <v>818</v>
      </c>
      <c r="AG52" s="8"/>
      <c r="AH52" s="8"/>
      <c r="AI52" s="8"/>
      <c r="AJ52" s="8"/>
      <c r="AK52" s="5">
        <f t="shared" si="0"/>
        <v>22</v>
      </c>
      <c r="AL52" s="5">
        <f t="shared" si="1"/>
        <v>0</v>
      </c>
    </row>
    <row r="53" spans="1:38" ht="15.5" x14ac:dyDescent="0.35">
      <c r="A53" s="9">
        <v>23</v>
      </c>
      <c r="B53" s="20">
        <v>879</v>
      </c>
      <c r="C53" s="24" t="s">
        <v>591</v>
      </c>
      <c r="D53" s="24" t="s">
        <v>766</v>
      </c>
      <c r="E53" s="104" t="s">
        <v>725</v>
      </c>
      <c r="F53" s="180"/>
      <c r="G53" s="8" t="s">
        <v>817</v>
      </c>
      <c r="H53" s="8" t="s">
        <v>817</v>
      </c>
      <c r="I53" s="183"/>
      <c r="J53" s="8" t="s">
        <v>818</v>
      </c>
      <c r="K53" s="113" t="s">
        <v>818</v>
      </c>
      <c r="L53" s="8" t="s">
        <v>818</v>
      </c>
      <c r="M53" s="8" t="s">
        <v>818</v>
      </c>
      <c r="N53" s="8" t="s">
        <v>818</v>
      </c>
      <c r="O53" s="8" t="s">
        <v>818</v>
      </c>
      <c r="P53" s="186"/>
      <c r="Q53" s="8" t="s">
        <v>817</v>
      </c>
      <c r="R53" s="113" t="s">
        <v>818</v>
      </c>
      <c r="S53" s="8" t="s">
        <v>818</v>
      </c>
      <c r="T53" s="8" t="s">
        <v>818</v>
      </c>
      <c r="U53" s="8" t="s">
        <v>818</v>
      </c>
      <c r="V53" s="8" t="s">
        <v>818</v>
      </c>
      <c r="W53" s="183"/>
      <c r="X53" s="8" t="s">
        <v>818</v>
      </c>
      <c r="Y53" s="113" t="s">
        <v>818</v>
      </c>
      <c r="Z53" s="8" t="s">
        <v>818</v>
      </c>
      <c r="AA53" s="8" t="s">
        <v>817</v>
      </c>
      <c r="AB53" s="8" t="s">
        <v>818</v>
      </c>
      <c r="AC53" s="8" t="s">
        <v>818</v>
      </c>
      <c r="AD53" s="183"/>
      <c r="AE53" s="8" t="s">
        <v>818</v>
      </c>
      <c r="AF53" s="113" t="s">
        <v>817</v>
      </c>
      <c r="AG53" s="8"/>
      <c r="AH53" s="8"/>
      <c r="AI53" s="8"/>
      <c r="AJ53" s="8"/>
      <c r="AK53" s="5">
        <f t="shared" si="0"/>
        <v>17</v>
      </c>
      <c r="AL53" s="5">
        <f t="shared" si="1"/>
        <v>5</v>
      </c>
    </row>
    <row r="54" spans="1:38" ht="15.5" x14ac:dyDescent="0.35">
      <c r="A54" s="9">
        <v>24</v>
      </c>
      <c r="B54" s="20">
        <v>435</v>
      </c>
      <c r="C54" s="24" t="s">
        <v>760</v>
      </c>
      <c r="D54" s="24" t="s">
        <v>89</v>
      </c>
      <c r="E54" s="104" t="s">
        <v>725</v>
      </c>
      <c r="F54" s="180"/>
      <c r="G54" s="8" t="s">
        <v>817</v>
      </c>
      <c r="H54" s="8" t="s">
        <v>818</v>
      </c>
      <c r="I54" s="183"/>
      <c r="J54" s="8" t="s">
        <v>818</v>
      </c>
      <c r="K54" s="113" t="s">
        <v>817</v>
      </c>
      <c r="L54" s="8" t="s">
        <v>817</v>
      </c>
      <c r="M54" s="8" t="s">
        <v>817</v>
      </c>
      <c r="N54" s="8" t="s">
        <v>817</v>
      </c>
      <c r="O54" s="8" t="s">
        <v>817</v>
      </c>
      <c r="P54" s="186"/>
      <c r="Q54" s="8" t="s">
        <v>818</v>
      </c>
      <c r="R54" s="113" t="s">
        <v>818</v>
      </c>
      <c r="S54" s="8" t="s">
        <v>818</v>
      </c>
      <c r="T54" s="8" t="s">
        <v>818</v>
      </c>
      <c r="U54" s="8" t="s">
        <v>818</v>
      </c>
      <c r="V54" s="8" t="s">
        <v>817</v>
      </c>
      <c r="W54" s="183"/>
      <c r="X54" s="8" t="s">
        <v>818</v>
      </c>
      <c r="Y54" s="113" t="s">
        <v>818</v>
      </c>
      <c r="Z54" s="8" t="s">
        <v>818</v>
      </c>
      <c r="AA54" s="8" t="s">
        <v>818</v>
      </c>
      <c r="AB54" s="8" t="s">
        <v>818</v>
      </c>
      <c r="AC54" s="8" t="s">
        <v>818</v>
      </c>
      <c r="AD54" s="183"/>
      <c r="AE54" s="8" t="s">
        <v>817</v>
      </c>
      <c r="AF54" s="113" t="s">
        <v>818</v>
      </c>
      <c r="AG54" s="8"/>
      <c r="AH54" s="8"/>
      <c r="AI54" s="8"/>
      <c r="AJ54" s="8"/>
      <c r="AK54" s="5">
        <f t="shared" si="0"/>
        <v>14</v>
      </c>
      <c r="AL54" s="5">
        <f t="shared" si="1"/>
        <v>8</v>
      </c>
    </row>
    <row r="55" spans="1:38" ht="15.5" x14ac:dyDescent="0.35">
      <c r="A55" s="9">
        <v>25</v>
      </c>
      <c r="B55" s="9">
        <v>712</v>
      </c>
      <c r="C55" s="24" t="s">
        <v>554</v>
      </c>
      <c r="D55" s="24" t="s">
        <v>555</v>
      </c>
      <c r="E55" s="104" t="s">
        <v>725</v>
      </c>
      <c r="F55" s="180"/>
      <c r="G55" s="8" t="s">
        <v>818</v>
      </c>
      <c r="H55" s="8" t="s">
        <v>818</v>
      </c>
      <c r="I55" s="183"/>
      <c r="J55" s="8" t="s">
        <v>818</v>
      </c>
      <c r="K55" s="113" t="s">
        <v>818</v>
      </c>
      <c r="L55" s="8" t="s">
        <v>818</v>
      </c>
      <c r="M55" s="8" t="s">
        <v>817</v>
      </c>
      <c r="N55" s="8" t="s">
        <v>817</v>
      </c>
      <c r="O55" s="8" t="s">
        <v>817</v>
      </c>
      <c r="P55" s="186"/>
      <c r="Q55" s="8" t="s">
        <v>818</v>
      </c>
      <c r="R55" s="113" t="s">
        <v>818</v>
      </c>
      <c r="S55" s="8" t="s">
        <v>818</v>
      </c>
      <c r="T55" s="8" t="s">
        <v>818</v>
      </c>
      <c r="U55" s="8" t="s">
        <v>818</v>
      </c>
      <c r="V55" s="8" t="s">
        <v>818</v>
      </c>
      <c r="W55" s="183"/>
      <c r="X55" s="8" t="s">
        <v>818</v>
      </c>
      <c r="Y55" s="113" t="s">
        <v>818</v>
      </c>
      <c r="Z55" s="8" t="s">
        <v>818</v>
      </c>
      <c r="AA55" s="8" t="s">
        <v>818</v>
      </c>
      <c r="AB55" s="8" t="s">
        <v>818</v>
      </c>
      <c r="AC55" s="8" t="s">
        <v>818</v>
      </c>
      <c r="AD55" s="183"/>
      <c r="AE55" s="8" t="s">
        <v>817</v>
      </c>
      <c r="AF55" s="113" t="s">
        <v>818</v>
      </c>
      <c r="AG55" s="8"/>
      <c r="AH55" s="8"/>
      <c r="AI55" s="8"/>
      <c r="AJ55" s="8"/>
      <c r="AK55" s="5">
        <f t="shared" si="0"/>
        <v>18</v>
      </c>
      <c r="AL55" s="5">
        <f t="shared" si="1"/>
        <v>4</v>
      </c>
    </row>
  </sheetData>
  <mergeCells count="17">
    <mergeCell ref="AM3:AN3"/>
    <mergeCell ref="AM11:AP11"/>
    <mergeCell ref="AM19:AP19"/>
    <mergeCell ref="F5:F55"/>
    <mergeCell ref="P6:P55"/>
    <mergeCell ref="W5:W55"/>
    <mergeCell ref="AD5:AD55"/>
    <mergeCell ref="I5:I55"/>
    <mergeCell ref="A1:AL1"/>
    <mergeCell ref="A2:AL2"/>
    <mergeCell ref="A3:A4"/>
    <mergeCell ref="C3:C4"/>
    <mergeCell ref="D3:D4"/>
    <mergeCell ref="E3:E4"/>
    <mergeCell ref="AK3:AK4"/>
    <mergeCell ref="AL3:AL4"/>
    <mergeCell ref="B3:B4"/>
  </mergeCells>
  <conditionalFormatting sqref="F5:Y5 Z5:AB55 AI5:AJ55 F3:AJ4 G6:H55 Q6:V55 X6:Y55 J6:O55">
    <cfRule type="expression" dxfId="170" priority="32">
      <formula>F$3="Sun"</formula>
    </cfRule>
  </conditionalFormatting>
  <conditionalFormatting sqref="F5:Y5 Z5:AB55 AI5:AJ55 F4:AJ4 G6:H55 Q6:V55 X6:Y55 J6:O55">
    <cfRule type="expression" dxfId="169" priority="31">
      <formula>IF(F$4=TODAY(),TRUE,FALSE)</formula>
    </cfRule>
  </conditionalFormatting>
  <conditionalFormatting sqref="F5:Y5 Z5:AB55 AI5:AJ55 G6:H55 Q6:V55 X6:Y55 J6:O55">
    <cfRule type="cellIs" dxfId="168" priority="28" operator="equal">
      <formula>"L"</formula>
    </cfRule>
    <cfRule type="cellIs" dxfId="167" priority="29" operator="equal">
      <formula>"A"</formula>
    </cfRule>
    <cfRule type="cellIs" dxfId="166" priority="30" operator="equal">
      <formula>"P"</formula>
    </cfRule>
  </conditionalFormatting>
  <conditionalFormatting sqref="AC5:AE5 AG5:AH55 AC6:AC55 AE6:AE55">
    <cfRule type="cellIs" dxfId="165" priority="6" operator="equal">
      <formula>"L"</formula>
    </cfRule>
    <cfRule type="cellIs" dxfId="164" priority="7" operator="equal">
      <formula>"A"</formula>
    </cfRule>
    <cfRule type="cellIs" dxfId="163" priority="8" operator="equal">
      <formula>"P"</formula>
    </cfRule>
    <cfRule type="expression" dxfId="162" priority="9">
      <formula>IF(AC$4=TODAY(),TRUE,FALSE)</formula>
    </cfRule>
    <cfRule type="expression" dxfId="161" priority="10">
      <formula>AC$3="Sun"</formula>
    </cfRule>
  </conditionalFormatting>
  <conditionalFormatting sqref="AK3:AL3 AK5:AL55">
    <cfRule type="expression" dxfId="160" priority="33">
      <formula>#REF!="Sun"</formula>
    </cfRule>
  </conditionalFormatting>
  <conditionalFormatting sqref="AM5:AM9">
    <cfRule type="expression" dxfId="159" priority="19">
      <formula>AM$3="Sun"</formula>
    </cfRule>
  </conditionalFormatting>
  <conditionalFormatting sqref="AM12:AM15">
    <cfRule type="expression" dxfId="158" priority="17">
      <formula>AM$3="Sun"</formula>
    </cfRule>
  </conditionalFormatting>
  <conditionalFormatting sqref="AM20:AM23">
    <cfRule type="expression" dxfId="157" priority="16">
      <formula>AM$3="Sun"</formula>
    </cfRule>
  </conditionalFormatting>
  <conditionalFormatting sqref="AM4:AN4">
    <cfRule type="expression" dxfId="156" priority="20">
      <formula>AM$3="Sun"</formula>
    </cfRule>
  </conditionalFormatting>
  <conditionalFormatting sqref="AN12:AP12 AN20:AP20">
    <cfRule type="expression" dxfId="155" priority="21">
      <formula>AN$3="Sun"</formula>
    </cfRule>
  </conditionalFormatting>
  <conditionalFormatting sqref="AP21">
    <cfRule type="expression" dxfId="154" priority="18">
      <formula>AP$3="Sun"</formula>
    </cfRule>
  </conditionalFormatting>
  <conditionalFormatting sqref="AF5:AF55">
    <cfRule type="expression" dxfId="153" priority="5">
      <formula>AF$3="Sun"</formula>
    </cfRule>
  </conditionalFormatting>
  <conditionalFormatting sqref="AF5:AF55">
    <cfRule type="expression" dxfId="152" priority="4">
      <formula>IF(AF$4=TODAY(),TRUE,FALSE)</formula>
    </cfRule>
  </conditionalFormatting>
  <conditionalFormatting sqref="AF5:AF55">
    <cfRule type="cellIs" dxfId="151" priority="1" operator="equal">
      <formula>"L"</formula>
    </cfRule>
    <cfRule type="cellIs" dxfId="150" priority="2" operator="equal">
      <formula>"A"</formula>
    </cfRule>
    <cfRule type="cellIs" dxfId="149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zoomScaleNormal="100" workbookViewId="0">
      <selection activeCell="AB50" sqref="AB50"/>
    </sheetView>
  </sheetViews>
  <sheetFormatPr defaultColWidth="3.81640625" defaultRowHeight="14" x14ac:dyDescent="0.3"/>
  <cols>
    <col min="1" max="1" width="5.1796875" style="1" bestFit="1" customWidth="1"/>
    <col min="2" max="2" width="5.1796875" style="1" customWidth="1"/>
    <col min="3" max="3" width="19.26953125" style="1" bestFit="1" customWidth="1"/>
    <col min="4" max="4" width="19" style="1" bestFit="1" customWidth="1"/>
    <col min="5" max="5" width="6.453125" style="1" customWidth="1"/>
    <col min="6" max="6" width="3.7265625" style="1" bestFit="1" customWidth="1"/>
    <col min="7" max="7" width="3.81640625" style="1" bestFit="1" customWidth="1"/>
    <col min="8" max="8" width="4.54296875" style="1" bestFit="1" customWidth="1"/>
    <col min="9" max="9" width="3.81640625" style="1" bestFit="1" customWidth="1"/>
    <col min="10" max="10" width="4.7265625" style="1" bestFit="1" customWidth="1"/>
    <col min="11" max="11" width="3.81640625" style="1" bestFit="1" customWidth="1"/>
    <col min="12" max="13" width="3.7265625" style="1" bestFit="1" customWidth="1"/>
    <col min="14" max="14" width="3.81640625" style="1" bestFit="1" customWidth="1"/>
    <col min="15" max="15" width="4.54296875" style="1" bestFit="1" customWidth="1"/>
    <col min="16" max="16" width="3.81640625" style="1" bestFit="1" customWidth="1"/>
    <col min="17" max="17" width="4.7265625" style="1" bestFit="1" customWidth="1"/>
    <col min="18" max="18" width="3.81640625" style="1" bestFit="1" customWidth="1"/>
    <col min="19" max="20" width="3.7265625" style="1" bestFit="1" customWidth="1"/>
    <col min="21" max="21" width="3.81640625" style="1" bestFit="1" customWidth="1"/>
    <col min="22" max="22" width="4.54296875" style="1" bestFit="1" customWidth="1"/>
    <col min="23" max="23" width="3.81640625" style="1" bestFit="1" customWidth="1"/>
    <col min="24" max="24" width="4.7265625" style="1" bestFit="1" customWidth="1"/>
    <col min="25" max="25" width="3.81640625" style="1" bestFit="1" customWidth="1"/>
    <col min="26" max="27" width="3.7265625" style="1" bestFit="1" customWidth="1"/>
    <col min="28" max="28" width="3.36328125" style="1" bestFit="1" customWidth="1"/>
    <col min="29" max="29" width="4.54296875" style="1" bestFit="1" customWidth="1"/>
    <col min="30" max="30" width="3.81640625" style="1" bestFit="1" customWidth="1"/>
    <col min="31" max="31" width="4.36328125" style="1" bestFit="1" customWidth="1"/>
    <col min="32" max="32" width="3.81640625" style="1" bestFit="1" customWidth="1"/>
    <col min="33" max="34" width="3.7265625" style="1" bestFit="1" customWidth="1"/>
    <col min="35" max="35" width="3.81640625" style="1" bestFit="1" customWidth="1"/>
    <col min="36" max="36" width="3.81640625" style="1" customWidth="1"/>
    <col min="37" max="37" width="9.453125" style="1" bestFit="1" customWidth="1"/>
    <col min="38" max="38" width="8.54296875" style="1" bestFit="1" customWidth="1"/>
    <col min="39" max="39" width="18.54296875" style="1" bestFit="1" customWidth="1"/>
    <col min="40" max="40" width="5.81640625" style="1" bestFit="1" customWidth="1"/>
    <col min="41" max="41" width="14.26953125" style="1" bestFit="1" customWidth="1"/>
    <col min="42" max="42" width="6.7265625" style="1" bestFit="1" customWidth="1"/>
    <col min="43" max="16384" width="3.81640625" style="1"/>
  </cols>
  <sheetData>
    <row r="1" spans="1:42" ht="17" x14ac:dyDescent="0.3">
      <c r="A1" s="151" t="s">
        <v>18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4"/>
      <c r="AN1" s="14"/>
      <c r="AO1" s="14"/>
      <c r="AP1" s="14"/>
    </row>
    <row r="2" spans="1:42" ht="17" x14ac:dyDescent="0.4">
      <c r="A2" s="152" t="s">
        <v>732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4"/>
      <c r="AN2" s="14"/>
      <c r="AO2" s="14"/>
      <c r="AP2" s="14"/>
    </row>
    <row r="3" spans="1:42" ht="15.5" x14ac:dyDescent="0.3">
      <c r="A3" s="153" t="s">
        <v>0</v>
      </c>
      <c r="B3" s="153" t="s">
        <v>713</v>
      </c>
      <c r="C3" s="153" t="s">
        <v>1</v>
      </c>
      <c r="D3" s="153" t="s">
        <v>2</v>
      </c>
      <c r="E3" s="153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54" t="s">
        <v>4</v>
      </c>
      <c r="AL3" s="154" t="s">
        <v>5</v>
      </c>
      <c r="AM3" s="147" t="s">
        <v>119</v>
      </c>
      <c r="AN3" s="147"/>
      <c r="AO3" s="132"/>
      <c r="AP3" s="132"/>
    </row>
    <row r="4" spans="1:42" ht="38.5" x14ac:dyDescent="0.3">
      <c r="A4" s="153"/>
      <c r="B4" s="153"/>
      <c r="C4" s="153"/>
      <c r="D4" s="153"/>
      <c r="E4" s="153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54"/>
      <c r="AL4" s="154"/>
      <c r="AM4" s="5" t="s">
        <v>120</v>
      </c>
      <c r="AN4" s="5">
        <f>SUM(AN5:AN6)</f>
        <v>30</v>
      </c>
      <c r="AO4" s="132"/>
      <c r="AP4" s="132"/>
    </row>
    <row r="5" spans="1:42" ht="15" customHeight="1" x14ac:dyDescent="0.35">
      <c r="A5" s="9">
        <v>1</v>
      </c>
      <c r="B5" s="9">
        <v>474</v>
      </c>
      <c r="C5" s="24" t="s">
        <v>22</v>
      </c>
      <c r="D5" s="24" t="s">
        <v>95</v>
      </c>
      <c r="E5" s="8" t="s">
        <v>709</v>
      </c>
      <c r="F5" s="188" t="s">
        <v>847</v>
      </c>
      <c r="G5" s="8" t="s">
        <v>818</v>
      </c>
      <c r="H5" s="8" t="s">
        <v>818</v>
      </c>
      <c r="I5" s="190" t="s">
        <v>783</v>
      </c>
      <c r="J5" s="8" t="s">
        <v>818</v>
      </c>
      <c r="K5" s="125" t="s">
        <v>818</v>
      </c>
      <c r="L5" s="8" t="s">
        <v>818</v>
      </c>
      <c r="M5" s="8" t="s">
        <v>818</v>
      </c>
      <c r="N5" s="8" t="s">
        <v>817</v>
      </c>
      <c r="O5" s="8" t="s">
        <v>818</v>
      </c>
      <c r="P5" s="190" t="s">
        <v>783</v>
      </c>
      <c r="Q5" s="8" t="s">
        <v>817</v>
      </c>
      <c r="R5" s="125" t="s">
        <v>818</v>
      </c>
      <c r="S5" s="8" t="s">
        <v>818</v>
      </c>
      <c r="T5" s="8" t="s">
        <v>818</v>
      </c>
      <c r="U5" s="8" t="s">
        <v>818</v>
      </c>
      <c r="V5" s="8" t="s">
        <v>817</v>
      </c>
      <c r="W5" s="190" t="s">
        <v>783</v>
      </c>
      <c r="X5" s="8" t="s">
        <v>818</v>
      </c>
      <c r="Y5" s="125" t="s">
        <v>818</v>
      </c>
      <c r="Z5" s="8" t="s">
        <v>818</v>
      </c>
      <c r="AA5" s="8" t="s">
        <v>818</v>
      </c>
      <c r="AB5" s="8" t="s">
        <v>818</v>
      </c>
      <c r="AC5" s="8" t="s">
        <v>818</v>
      </c>
      <c r="AD5" s="190" t="s">
        <v>783</v>
      </c>
      <c r="AE5" s="8" t="s">
        <v>818</v>
      </c>
      <c r="AF5" s="125" t="s">
        <v>818</v>
      </c>
      <c r="AG5" s="8"/>
      <c r="AH5" s="8"/>
      <c r="AI5" s="8"/>
      <c r="AJ5" s="8"/>
      <c r="AK5" s="5">
        <f t="shared" ref="AK5:AK51" si="0">COUNTIF(F5:AI5,"P")</f>
        <v>19</v>
      </c>
      <c r="AL5" s="5">
        <f t="shared" ref="AL5:AL51" si="1">COUNTIF(F5:AI5,"A")</f>
        <v>3</v>
      </c>
      <c r="AM5" s="5" t="s">
        <v>7</v>
      </c>
      <c r="AN5" s="9">
        <v>26</v>
      </c>
      <c r="AO5" s="133"/>
      <c r="AP5" s="132"/>
    </row>
    <row r="6" spans="1:42" ht="15.5" x14ac:dyDescent="0.35">
      <c r="A6" s="9">
        <v>2</v>
      </c>
      <c r="B6" s="9">
        <v>615</v>
      </c>
      <c r="C6" s="24" t="s">
        <v>557</v>
      </c>
      <c r="D6" s="24" t="s">
        <v>270</v>
      </c>
      <c r="E6" s="8" t="s">
        <v>709</v>
      </c>
      <c r="F6" s="189"/>
      <c r="G6" s="8" t="s">
        <v>818</v>
      </c>
      <c r="H6" s="8" t="s">
        <v>818</v>
      </c>
      <c r="I6" s="191"/>
      <c r="J6" s="8" t="s">
        <v>818</v>
      </c>
      <c r="K6" s="125" t="s">
        <v>818</v>
      </c>
      <c r="L6" s="8" t="s">
        <v>818</v>
      </c>
      <c r="M6" s="8" t="s">
        <v>818</v>
      </c>
      <c r="N6" s="8" t="s">
        <v>818</v>
      </c>
      <c r="O6" s="8" t="s">
        <v>818</v>
      </c>
      <c r="P6" s="191"/>
      <c r="Q6" s="8" t="s">
        <v>818</v>
      </c>
      <c r="R6" s="125" t="s">
        <v>818</v>
      </c>
      <c r="S6" s="8" t="s">
        <v>818</v>
      </c>
      <c r="T6" s="8" t="s">
        <v>818</v>
      </c>
      <c r="U6" s="8" t="s">
        <v>818</v>
      </c>
      <c r="V6" s="8" t="s">
        <v>818</v>
      </c>
      <c r="W6" s="191"/>
      <c r="X6" s="8" t="s">
        <v>818</v>
      </c>
      <c r="Y6" s="125" t="s">
        <v>818</v>
      </c>
      <c r="Z6" s="8" t="s">
        <v>818</v>
      </c>
      <c r="AA6" s="8" t="s">
        <v>818</v>
      </c>
      <c r="AB6" s="8" t="s">
        <v>818</v>
      </c>
      <c r="AC6" s="8" t="s">
        <v>818</v>
      </c>
      <c r="AD6" s="191"/>
      <c r="AE6" s="8" t="s">
        <v>818</v>
      </c>
      <c r="AF6" s="125" t="s">
        <v>818</v>
      </c>
      <c r="AG6" s="8"/>
      <c r="AH6" s="8"/>
      <c r="AI6" s="8"/>
      <c r="AJ6" s="8"/>
      <c r="AK6" s="5">
        <f t="shared" si="0"/>
        <v>22</v>
      </c>
      <c r="AL6" s="5">
        <f t="shared" si="1"/>
        <v>0</v>
      </c>
      <c r="AM6" s="5" t="s">
        <v>8</v>
      </c>
      <c r="AN6" s="9">
        <v>4</v>
      </c>
      <c r="AO6" s="132"/>
      <c r="AP6" s="132"/>
    </row>
    <row r="7" spans="1:42" ht="15.5" x14ac:dyDescent="0.35">
      <c r="A7" s="9">
        <v>3</v>
      </c>
      <c r="B7" s="9">
        <v>635</v>
      </c>
      <c r="C7" s="24" t="s">
        <v>558</v>
      </c>
      <c r="D7" s="24" t="s">
        <v>559</v>
      </c>
      <c r="E7" s="8" t="s">
        <v>709</v>
      </c>
      <c r="F7" s="189"/>
      <c r="G7" s="8" t="s">
        <v>818</v>
      </c>
      <c r="H7" s="8" t="s">
        <v>818</v>
      </c>
      <c r="I7" s="191"/>
      <c r="J7" s="8" t="s">
        <v>817</v>
      </c>
      <c r="K7" s="125" t="s">
        <v>818</v>
      </c>
      <c r="L7" s="8" t="s">
        <v>817</v>
      </c>
      <c r="M7" s="8" t="s">
        <v>817</v>
      </c>
      <c r="N7" s="8" t="s">
        <v>818</v>
      </c>
      <c r="O7" s="8" t="s">
        <v>818</v>
      </c>
      <c r="P7" s="191"/>
      <c r="Q7" s="8" t="s">
        <v>818</v>
      </c>
      <c r="R7" s="125" t="s">
        <v>818</v>
      </c>
      <c r="S7" s="8" t="s">
        <v>818</v>
      </c>
      <c r="T7" s="8" t="s">
        <v>818</v>
      </c>
      <c r="U7" s="8" t="s">
        <v>818</v>
      </c>
      <c r="V7" s="8" t="s">
        <v>818</v>
      </c>
      <c r="W7" s="191"/>
      <c r="X7" s="8" t="s">
        <v>818</v>
      </c>
      <c r="Y7" s="125" t="s">
        <v>818</v>
      </c>
      <c r="Z7" s="8" t="s">
        <v>818</v>
      </c>
      <c r="AA7" s="8" t="s">
        <v>818</v>
      </c>
      <c r="AB7" s="8" t="s">
        <v>818</v>
      </c>
      <c r="AC7" s="8" t="s">
        <v>817</v>
      </c>
      <c r="AD7" s="191"/>
      <c r="AE7" s="8" t="s">
        <v>818</v>
      </c>
      <c r="AF7" s="125" t="s">
        <v>818</v>
      </c>
      <c r="AG7" s="8"/>
      <c r="AH7" s="8"/>
      <c r="AI7" s="8"/>
      <c r="AJ7" s="8"/>
      <c r="AK7" s="5">
        <f t="shared" si="0"/>
        <v>18</v>
      </c>
      <c r="AL7" s="5">
        <f t="shared" si="1"/>
        <v>4</v>
      </c>
      <c r="AM7" s="5"/>
      <c r="AN7" s="9"/>
      <c r="AO7" s="132"/>
      <c r="AP7" s="132"/>
    </row>
    <row r="8" spans="1:42" ht="15.5" x14ac:dyDescent="0.35">
      <c r="A8" s="9">
        <v>4</v>
      </c>
      <c r="B8" s="9">
        <v>475</v>
      </c>
      <c r="C8" s="24" t="s">
        <v>560</v>
      </c>
      <c r="D8" s="24" t="s">
        <v>95</v>
      </c>
      <c r="E8" s="8" t="s">
        <v>709</v>
      </c>
      <c r="F8" s="189"/>
      <c r="G8" s="8" t="s">
        <v>818</v>
      </c>
      <c r="H8" s="8" t="s">
        <v>818</v>
      </c>
      <c r="I8" s="191"/>
      <c r="J8" s="8" t="s">
        <v>818</v>
      </c>
      <c r="K8" s="125" t="s">
        <v>818</v>
      </c>
      <c r="L8" s="128" t="s">
        <v>818</v>
      </c>
      <c r="M8" s="8" t="s">
        <v>818</v>
      </c>
      <c r="N8" s="8" t="s">
        <v>817</v>
      </c>
      <c r="O8" s="8" t="s">
        <v>818</v>
      </c>
      <c r="P8" s="191"/>
      <c r="Q8" s="8" t="s">
        <v>818</v>
      </c>
      <c r="R8" s="125" t="s">
        <v>818</v>
      </c>
      <c r="S8" s="8" t="s">
        <v>818</v>
      </c>
      <c r="T8" s="8" t="s">
        <v>818</v>
      </c>
      <c r="U8" s="8" t="s">
        <v>818</v>
      </c>
      <c r="V8" s="8" t="s">
        <v>818</v>
      </c>
      <c r="W8" s="191"/>
      <c r="X8" s="8" t="s">
        <v>818</v>
      </c>
      <c r="Y8" s="125" t="s">
        <v>818</v>
      </c>
      <c r="Z8" s="8" t="s">
        <v>818</v>
      </c>
      <c r="AA8" s="8" t="s">
        <v>818</v>
      </c>
      <c r="AB8" s="8" t="s">
        <v>818</v>
      </c>
      <c r="AC8" s="8" t="s">
        <v>817</v>
      </c>
      <c r="AD8" s="191"/>
      <c r="AE8" s="8" t="s">
        <v>818</v>
      </c>
      <c r="AF8" s="125" t="s">
        <v>818</v>
      </c>
      <c r="AG8" s="8"/>
      <c r="AH8" s="8"/>
      <c r="AI8" s="8"/>
      <c r="AJ8" s="8"/>
      <c r="AK8" s="5">
        <f t="shared" si="0"/>
        <v>20</v>
      </c>
      <c r="AL8" s="5">
        <f t="shared" si="1"/>
        <v>2</v>
      </c>
      <c r="AM8" s="5"/>
      <c r="AN8" s="9"/>
      <c r="AO8" s="134"/>
      <c r="AP8" s="134"/>
    </row>
    <row r="9" spans="1:42" ht="15.5" x14ac:dyDescent="0.35">
      <c r="A9" s="9">
        <v>5</v>
      </c>
      <c r="B9" s="9"/>
      <c r="C9" s="24" t="s">
        <v>567</v>
      </c>
      <c r="D9" s="24" t="s">
        <v>781</v>
      </c>
      <c r="E9" s="8" t="s">
        <v>709</v>
      </c>
      <c r="F9" s="189"/>
      <c r="G9" s="8" t="s">
        <v>818</v>
      </c>
      <c r="H9" s="8" t="s">
        <v>817</v>
      </c>
      <c r="I9" s="191"/>
      <c r="J9" s="8" t="s">
        <v>818</v>
      </c>
      <c r="K9" s="125" t="s">
        <v>818</v>
      </c>
      <c r="L9" s="8" t="s">
        <v>818</v>
      </c>
      <c r="M9" s="8" t="s">
        <v>818</v>
      </c>
      <c r="N9" s="8" t="s">
        <v>817</v>
      </c>
      <c r="O9" s="8" t="s">
        <v>817</v>
      </c>
      <c r="P9" s="191"/>
      <c r="Q9" s="8" t="s">
        <v>818</v>
      </c>
      <c r="R9" s="125" t="s">
        <v>817</v>
      </c>
      <c r="S9" s="8" t="s">
        <v>818</v>
      </c>
      <c r="T9" s="8" t="s">
        <v>818</v>
      </c>
      <c r="U9" s="8" t="s">
        <v>818</v>
      </c>
      <c r="V9" s="8" t="s">
        <v>818</v>
      </c>
      <c r="W9" s="191"/>
      <c r="X9" s="8" t="s">
        <v>818</v>
      </c>
      <c r="Y9" s="125" t="s">
        <v>818</v>
      </c>
      <c r="Z9" s="8" t="s">
        <v>818</v>
      </c>
      <c r="AA9" s="8" t="s">
        <v>818</v>
      </c>
      <c r="AB9" s="8" t="s">
        <v>818</v>
      </c>
      <c r="AC9" s="8" t="s">
        <v>817</v>
      </c>
      <c r="AD9" s="191"/>
      <c r="AE9" s="8" t="s">
        <v>818</v>
      </c>
      <c r="AF9" s="125" t="s">
        <v>818</v>
      </c>
      <c r="AG9" s="8"/>
      <c r="AH9" s="8"/>
      <c r="AI9" s="8"/>
      <c r="AJ9" s="8"/>
      <c r="AK9" s="5">
        <f t="shared" si="0"/>
        <v>17</v>
      </c>
      <c r="AL9" s="5">
        <f t="shared" si="1"/>
        <v>5</v>
      </c>
      <c r="AM9" s="5"/>
      <c r="AN9" s="9"/>
      <c r="AO9" s="14"/>
      <c r="AP9" s="14"/>
    </row>
    <row r="10" spans="1:42" ht="15.5" x14ac:dyDescent="0.35">
      <c r="A10" s="9">
        <v>6</v>
      </c>
      <c r="B10" s="9">
        <v>343</v>
      </c>
      <c r="C10" s="24" t="s">
        <v>770</v>
      </c>
      <c r="D10" s="24" t="s">
        <v>434</v>
      </c>
      <c r="E10" s="8" t="s">
        <v>709</v>
      </c>
      <c r="F10" s="189"/>
      <c r="G10" s="8" t="s">
        <v>818</v>
      </c>
      <c r="H10" s="8" t="s">
        <v>818</v>
      </c>
      <c r="I10" s="191"/>
      <c r="J10" s="8" t="s">
        <v>818</v>
      </c>
      <c r="K10" s="125" t="s">
        <v>818</v>
      </c>
      <c r="L10" s="8" t="s">
        <v>818</v>
      </c>
      <c r="M10" s="8" t="s">
        <v>818</v>
      </c>
      <c r="N10" s="8" t="s">
        <v>817</v>
      </c>
      <c r="O10" s="8" t="s">
        <v>818</v>
      </c>
      <c r="P10" s="191"/>
      <c r="Q10" s="8" t="s">
        <v>818</v>
      </c>
      <c r="R10" s="125" t="s">
        <v>818</v>
      </c>
      <c r="S10" s="8" t="s">
        <v>817</v>
      </c>
      <c r="T10" s="8" t="s">
        <v>817</v>
      </c>
      <c r="U10" s="8" t="s">
        <v>818</v>
      </c>
      <c r="V10" s="8" t="s">
        <v>818</v>
      </c>
      <c r="W10" s="191"/>
      <c r="X10" s="8" t="s">
        <v>818</v>
      </c>
      <c r="Y10" s="125" t="s">
        <v>818</v>
      </c>
      <c r="Z10" s="8" t="s">
        <v>818</v>
      </c>
      <c r="AA10" s="8" t="s">
        <v>818</v>
      </c>
      <c r="AB10" s="8" t="s">
        <v>818</v>
      </c>
      <c r="AC10" s="8" t="s">
        <v>818</v>
      </c>
      <c r="AD10" s="191"/>
      <c r="AE10" s="8" t="s">
        <v>818</v>
      </c>
      <c r="AF10" s="125" t="s">
        <v>818</v>
      </c>
      <c r="AG10" s="8"/>
      <c r="AH10" s="8"/>
      <c r="AI10" s="8"/>
      <c r="AJ10" s="8"/>
      <c r="AK10" s="5">
        <f t="shared" si="0"/>
        <v>19</v>
      </c>
      <c r="AL10" s="5">
        <f t="shared" si="1"/>
        <v>3</v>
      </c>
      <c r="AM10" s="14"/>
      <c r="AN10" s="14"/>
      <c r="AO10" s="14"/>
      <c r="AP10" s="14"/>
    </row>
    <row r="11" spans="1:42" ht="15.5" x14ac:dyDescent="0.35">
      <c r="A11" s="9">
        <v>7</v>
      </c>
      <c r="B11" s="9">
        <v>565</v>
      </c>
      <c r="C11" s="24" t="s">
        <v>771</v>
      </c>
      <c r="D11" s="24" t="s">
        <v>468</v>
      </c>
      <c r="E11" s="8" t="s">
        <v>709</v>
      </c>
      <c r="F11" s="189"/>
      <c r="G11" s="8" t="s">
        <v>818</v>
      </c>
      <c r="H11" s="8" t="s">
        <v>818</v>
      </c>
      <c r="I11" s="191"/>
      <c r="J11" s="8" t="s">
        <v>818</v>
      </c>
      <c r="K11" s="125" t="s">
        <v>818</v>
      </c>
      <c r="L11" s="8" t="s">
        <v>818</v>
      </c>
      <c r="M11" s="8" t="s">
        <v>818</v>
      </c>
      <c r="N11" s="8" t="s">
        <v>818</v>
      </c>
      <c r="O11" s="8" t="s">
        <v>818</v>
      </c>
      <c r="P11" s="191"/>
      <c r="Q11" s="8" t="s">
        <v>818</v>
      </c>
      <c r="R11" s="125" t="s">
        <v>818</v>
      </c>
      <c r="S11" s="8" t="s">
        <v>818</v>
      </c>
      <c r="T11" s="8" t="s">
        <v>818</v>
      </c>
      <c r="U11" s="8" t="s">
        <v>818</v>
      </c>
      <c r="V11" s="8" t="s">
        <v>818</v>
      </c>
      <c r="W11" s="191"/>
      <c r="X11" s="8" t="s">
        <v>818</v>
      </c>
      <c r="Y11" s="125" t="s">
        <v>818</v>
      </c>
      <c r="Z11" s="8" t="s">
        <v>818</v>
      </c>
      <c r="AA11" s="8" t="s">
        <v>818</v>
      </c>
      <c r="AB11" s="8" t="s">
        <v>818</v>
      </c>
      <c r="AC11" s="8" t="s">
        <v>818</v>
      </c>
      <c r="AD11" s="191"/>
      <c r="AE11" s="8" t="s">
        <v>818</v>
      </c>
      <c r="AF11" s="125" t="s">
        <v>818</v>
      </c>
      <c r="AG11" s="8"/>
      <c r="AH11" s="8"/>
      <c r="AI11" s="8"/>
      <c r="AJ11" s="8"/>
      <c r="AK11" s="5">
        <f t="shared" si="0"/>
        <v>22</v>
      </c>
      <c r="AL11" s="5">
        <f t="shared" si="1"/>
        <v>0</v>
      </c>
      <c r="AM11" s="147" t="s">
        <v>9</v>
      </c>
      <c r="AN11" s="147"/>
      <c r="AO11" s="147"/>
      <c r="AP11" s="147"/>
    </row>
    <row r="12" spans="1:42" ht="15.5" x14ac:dyDescent="0.35">
      <c r="A12" s="9">
        <v>8</v>
      </c>
      <c r="B12" s="9">
        <v>616</v>
      </c>
      <c r="C12" s="24" t="s">
        <v>772</v>
      </c>
      <c r="D12" s="24" t="s">
        <v>782</v>
      </c>
      <c r="E12" s="8" t="s">
        <v>709</v>
      </c>
      <c r="F12" s="189"/>
      <c r="G12" s="8" t="s">
        <v>818</v>
      </c>
      <c r="H12" s="8" t="s">
        <v>818</v>
      </c>
      <c r="I12" s="191"/>
      <c r="J12" s="8" t="s">
        <v>818</v>
      </c>
      <c r="K12" s="125" t="s">
        <v>818</v>
      </c>
      <c r="L12" s="8" t="s">
        <v>818</v>
      </c>
      <c r="M12" s="8" t="s">
        <v>818</v>
      </c>
      <c r="N12" s="8" t="s">
        <v>818</v>
      </c>
      <c r="O12" s="8" t="s">
        <v>818</v>
      </c>
      <c r="P12" s="191"/>
      <c r="Q12" s="8" t="s">
        <v>818</v>
      </c>
      <c r="R12" s="125" t="s">
        <v>818</v>
      </c>
      <c r="S12" s="8" t="s">
        <v>818</v>
      </c>
      <c r="T12" s="8" t="s">
        <v>818</v>
      </c>
      <c r="U12" s="8" t="s">
        <v>818</v>
      </c>
      <c r="V12" s="8" t="s">
        <v>818</v>
      </c>
      <c r="W12" s="191"/>
      <c r="X12" s="8" t="s">
        <v>818</v>
      </c>
      <c r="Y12" s="125" t="s">
        <v>818</v>
      </c>
      <c r="Z12" s="8" t="s">
        <v>818</v>
      </c>
      <c r="AA12" s="8" t="s">
        <v>818</v>
      </c>
      <c r="AB12" s="8" t="s">
        <v>818</v>
      </c>
      <c r="AC12" s="8" t="s">
        <v>818</v>
      </c>
      <c r="AD12" s="191"/>
      <c r="AE12" s="8" t="s">
        <v>818</v>
      </c>
      <c r="AF12" s="125" t="s">
        <v>818</v>
      </c>
      <c r="AG12" s="8"/>
      <c r="AH12" s="8"/>
      <c r="AI12" s="8"/>
      <c r="AJ12" s="8"/>
      <c r="AK12" s="5">
        <f t="shared" si="0"/>
        <v>22</v>
      </c>
      <c r="AL12" s="5">
        <f t="shared" si="1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5.5" x14ac:dyDescent="0.35">
      <c r="A13" s="9">
        <v>9</v>
      </c>
      <c r="B13" s="9"/>
      <c r="C13" s="24" t="s">
        <v>561</v>
      </c>
      <c r="D13" s="24" t="s">
        <v>562</v>
      </c>
      <c r="E13" s="8" t="s">
        <v>709</v>
      </c>
      <c r="F13" s="189"/>
      <c r="G13" s="8" t="s">
        <v>818</v>
      </c>
      <c r="H13" s="8" t="s">
        <v>817</v>
      </c>
      <c r="I13" s="191"/>
      <c r="J13" s="8" t="s">
        <v>817</v>
      </c>
      <c r="K13" s="125" t="s">
        <v>817</v>
      </c>
      <c r="L13" s="8" t="s">
        <v>817</v>
      </c>
      <c r="M13" s="8" t="s">
        <v>817</v>
      </c>
      <c r="N13" s="8" t="s">
        <v>817</v>
      </c>
      <c r="O13" s="8" t="s">
        <v>817</v>
      </c>
      <c r="P13" s="191"/>
      <c r="Q13" s="8" t="s">
        <v>817</v>
      </c>
      <c r="R13" s="125" t="s">
        <v>817</v>
      </c>
      <c r="S13" s="8" t="s">
        <v>817</v>
      </c>
      <c r="T13" s="8" t="s">
        <v>817</v>
      </c>
      <c r="U13" s="8" t="s">
        <v>817</v>
      </c>
      <c r="V13" s="8" t="s">
        <v>817</v>
      </c>
      <c r="W13" s="191"/>
      <c r="X13" s="8" t="s">
        <v>817</v>
      </c>
      <c r="Y13" s="125" t="s">
        <v>818</v>
      </c>
      <c r="Z13" s="8" t="s">
        <v>818</v>
      </c>
      <c r="AA13" s="8" t="s">
        <v>818</v>
      </c>
      <c r="AB13" s="8" t="s">
        <v>818</v>
      </c>
      <c r="AC13" s="8" t="s">
        <v>817</v>
      </c>
      <c r="AD13" s="191"/>
      <c r="AE13" s="8" t="s">
        <v>818</v>
      </c>
      <c r="AF13" s="125" t="s">
        <v>818</v>
      </c>
      <c r="AG13" s="8"/>
      <c r="AH13" s="8"/>
      <c r="AI13" s="8"/>
      <c r="AJ13" s="8"/>
      <c r="AK13" s="5">
        <f t="shared" si="0"/>
        <v>7</v>
      </c>
      <c r="AL13" s="5">
        <f t="shared" si="1"/>
        <v>15</v>
      </c>
      <c r="AM13" s="5" t="s">
        <v>14</v>
      </c>
      <c r="AN13" s="9">
        <f>17*$AN$5</f>
        <v>442</v>
      </c>
      <c r="AO13" s="9">
        <f>28*$AN$5</f>
        <v>728</v>
      </c>
      <c r="AP13" s="9">
        <f>SUM(AN13:AO13)</f>
        <v>1170</v>
      </c>
    </row>
    <row r="14" spans="1:42" ht="15.5" x14ac:dyDescent="0.35">
      <c r="A14" s="9">
        <v>10</v>
      </c>
      <c r="B14" s="9">
        <v>715</v>
      </c>
      <c r="C14" s="24" t="s">
        <v>563</v>
      </c>
      <c r="D14" s="24" t="s">
        <v>506</v>
      </c>
      <c r="E14" s="8" t="s">
        <v>709</v>
      </c>
      <c r="F14" s="189"/>
      <c r="G14" s="8" t="s">
        <v>818</v>
      </c>
      <c r="H14" s="8" t="s">
        <v>818</v>
      </c>
      <c r="I14" s="191"/>
      <c r="J14" s="8" t="s">
        <v>818</v>
      </c>
      <c r="K14" s="125" t="s">
        <v>818</v>
      </c>
      <c r="L14" s="8" t="s">
        <v>818</v>
      </c>
      <c r="M14" s="8" t="s">
        <v>818</v>
      </c>
      <c r="N14" s="8" t="s">
        <v>818</v>
      </c>
      <c r="O14" s="8" t="s">
        <v>818</v>
      </c>
      <c r="P14" s="191"/>
      <c r="Q14" s="8" t="s">
        <v>818</v>
      </c>
      <c r="R14" s="125" t="s">
        <v>818</v>
      </c>
      <c r="S14" s="8" t="s">
        <v>818</v>
      </c>
      <c r="T14" s="8" t="s">
        <v>818</v>
      </c>
      <c r="U14" s="8" t="s">
        <v>818</v>
      </c>
      <c r="V14" s="8" t="s">
        <v>818</v>
      </c>
      <c r="W14" s="191"/>
      <c r="X14" s="8" t="s">
        <v>818</v>
      </c>
      <c r="Y14" s="125" t="s">
        <v>818</v>
      </c>
      <c r="Z14" s="8" t="s">
        <v>818</v>
      </c>
      <c r="AA14" s="8" t="s">
        <v>818</v>
      </c>
      <c r="AB14" s="8" t="s">
        <v>818</v>
      </c>
      <c r="AC14" s="8" t="s">
        <v>818</v>
      </c>
      <c r="AD14" s="191"/>
      <c r="AE14" s="8" t="s">
        <v>818</v>
      </c>
      <c r="AF14" s="125" t="s">
        <v>818</v>
      </c>
      <c r="AG14" s="8"/>
      <c r="AH14" s="8"/>
      <c r="AI14" s="8"/>
      <c r="AJ14" s="8"/>
      <c r="AK14" s="5">
        <f t="shared" si="0"/>
        <v>22</v>
      </c>
      <c r="AL14" s="5">
        <f t="shared" si="1"/>
        <v>0</v>
      </c>
      <c r="AM14" s="5" t="s">
        <v>15</v>
      </c>
      <c r="AN14" s="9">
        <f>SUM(AK5:AK21)</f>
        <v>294</v>
      </c>
      <c r="AO14" s="9">
        <f>SUM(AK22:AK48)</f>
        <v>548</v>
      </c>
      <c r="AP14" s="9">
        <f>AN14+AO14</f>
        <v>842</v>
      </c>
    </row>
    <row r="15" spans="1:42" ht="15.5" x14ac:dyDescent="0.35">
      <c r="A15" s="9">
        <v>11</v>
      </c>
      <c r="B15" s="9">
        <v>568</v>
      </c>
      <c r="C15" s="24" t="s">
        <v>564</v>
      </c>
      <c r="D15" s="24" t="s">
        <v>565</v>
      </c>
      <c r="E15" s="8" t="s">
        <v>709</v>
      </c>
      <c r="F15" s="189"/>
      <c r="G15" s="8" t="s">
        <v>817</v>
      </c>
      <c r="H15" s="8" t="s">
        <v>817</v>
      </c>
      <c r="I15" s="191"/>
      <c r="J15" s="8" t="s">
        <v>817</v>
      </c>
      <c r="K15" s="125" t="s">
        <v>817</v>
      </c>
      <c r="L15" s="8" t="s">
        <v>817</v>
      </c>
      <c r="M15" s="8" t="s">
        <v>817</v>
      </c>
      <c r="N15" s="8" t="s">
        <v>817</v>
      </c>
      <c r="O15" s="8" t="s">
        <v>817</v>
      </c>
      <c r="P15" s="191"/>
      <c r="Q15" s="8" t="s">
        <v>817</v>
      </c>
      <c r="R15" s="125" t="s">
        <v>818</v>
      </c>
      <c r="S15" s="8" t="s">
        <v>817</v>
      </c>
      <c r="T15" s="8" t="s">
        <v>818</v>
      </c>
      <c r="U15" s="8" t="s">
        <v>818</v>
      </c>
      <c r="V15" s="8" t="s">
        <v>818</v>
      </c>
      <c r="W15" s="191"/>
      <c r="X15" s="8" t="s">
        <v>818</v>
      </c>
      <c r="Y15" s="125" t="s">
        <v>818</v>
      </c>
      <c r="Z15" s="8" t="s">
        <v>818</v>
      </c>
      <c r="AA15" s="8" t="s">
        <v>818</v>
      </c>
      <c r="AB15" s="8" t="s">
        <v>818</v>
      </c>
      <c r="AC15" s="8" t="s">
        <v>818</v>
      </c>
      <c r="AD15" s="191"/>
      <c r="AE15" s="8" t="s">
        <v>818</v>
      </c>
      <c r="AF15" s="125" t="s">
        <v>818</v>
      </c>
      <c r="AG15" s="8"/>
      <c r="AH15" s="8"/>
      <c r="AI15" s="8"/>
      <c r="AJ15" s="8"/>
      <c r="AK15" s="5">
        <f t="shared" si="0"/>
        <v>12</v>
      </c>
      <c r="AL15" s="5">
        <f t="shared" si="1"/>
        <v>10</v>
      </c>
      <c r="AM15" s="5" t="s">
        <v>16</v>
      </c>
      <c r="AN15" s="12">
        <f>AN14/AN13</f>
        <v>0.66515837104072395</v>
      </c>
      <c r="AO15" s="12">
        <f>AO14/AO13</f>
        <v>0.75274725274725274</v>
      </c>
      <c r="AP15" s="12">
        <f>AP14/AP13</f>
        <v>0.71965811965811965</v>
      </c>
    </row>
    <row r="16" spans="1:42" ht="15.5" x14ac:dyDescent="0.35">
      <c r="A16" s="9">
        <v>12</v>
      </c>
      <c r="B16" s="9">
        <v>620</v>
      </c>
      <c r="C16" s="24" t="s">
        <v>773</v>
      </c>
      <c r="D16" s="24" t="s">
        <v>166</v>
      </c>
      <c r="E16" s="8" t="s">
        <v>709</v>
      </c>
      <c r="F16" s="189"/>
      <c r="G16" s="8" t="s">
        <v>817</v>
      </c>
      <c r="H16" s="8" t="s">
        <v>818</v>
      </c>
      <c r="I16" s="191"/>
      <c r="J16" s="8" t="s">
        <v>818</v>
      </c>
      <c r="K16" s="125" t="s">
        <v>818</v>
      </c>
      <c r="L16" s="8" t="s">
        <v>818</v>
      </c>
      <c r="M16" s="8" t="s">
        <v>817</v>
      </c>
      <c r="N16" s="8" t="s">
        <v>818</v>
      </c>
      <c r="O16" s="8" t="s">
        <v>818</v>
      </c>
      <c r="P16" s="191"/>
      <c r="Q16" s="8" t="s">
        <v>817</v>
      </c>
      <c r="R16" s="125" t="s">
        <v>818</v>
      </c>
      <c r="S16" s="8" t="s">
        <v>817</v>
      </c>
      <c r="T16" s="8" t="s">
        <v>818</v>
      </c>
      <c r="U16" s="8" t="s">
        <v>818</v>
      </c>
      <c r="V16" s="8" t="s">
        <v>818</v>
      </c>
      <c r="W16" s="191"/>
      <c r="X16" s="8" t="s">
        <v>818</v>
      </c>
      <c r="Y16" s="125" t="s">
        <v>818</v>
      </c>
      <c r="Z16" s="8" t="s">
        <v>818</v>
      </c>
      <c r="AA16" s="8" t="s">
        <v>818</v>
      </c>
      <c r="AB16" s="8" t="s">
        <v>818</v>
      </c>
      <c r="AC16" s="8" t="s">
        <v>817</v>
      </c>
      <c r="AD16" s="191"/>
      <c r="AE16" s="8" t="s">
        <v>818</v>
      </c>
      <c r="AF16" s="125" t="s">
        <v>818</v>
      </c>
      <c r="AG16" s="8"/>
      <c r="AH16" s="8"/>
      <c r="AI16" s="8"/>
      <c r="AJ16" s="8"/>
      <c r="AK16" s="5">
        <f t="shared" si="0"/>
        <v>17</v>
      </c>
      <c r="AL16" s="5">
        <f t="shared" si="1"/>
        <v>5</v>
      </c>
      <c r="AM16" s="134"/>
      <c r="AN16" s="134"/>
      <c r="AO16" s="134"/>
      <c r="AP16" s="134"/>
    </row>
    <row r="17" spans="1:42" ht="15.5" x14ac:dyDescent="0.35">
      <c r="A17" s="9">
        <v>13</v>
      </c>
      <c r="B17" s="9"/>
      <c r="C17" s="24" t="s">
        <v>593</v>
      </c>
      <c r="D17" s="24"/>
      <c r="E17" s="8" t="s">
        <v>709</v>
      </c>
      <c r="F17" s="189"/>
      <c r="G17" s="8" t="s">
        <v>818</v>
      </c>
      <c r="H17" s="8" t="s">
        <v>818</v>
      </c>
      <c r="I17" s="191"/>
      <c r="J17" s="8" t="s">
        <v>818</v>
      </c>
      <c r="K17" s="125" t="s">
        <v>818</v>
      </c>
      <c r="L17" s="8" t="s">
        <v>818</v>
      </c>
      <c r="M17" s="8" t="s">
        <v>818</v>
      </c>
      <c r="N17" s="8" t="s">
        <v>818</v>
      </c>
      <c r="O17" s="8" t="s">
        <v>818</v>
      </c>
      <c r="P17" s="191"/>
      <c r="Q17" s="8" t="s">
        <v>818</v>
      </c>
      <c r="R17" s="125" t="s">
        <v>818</v>
      </c>
      <c r="S17" s="8" t="s">
        <v>818</v>
      </c>
      <c r="T17" s="8" t="s">
        <v>818</v>
      </c>
      <c r="U17" s="8" t="s">
        <v>818</v>
      </c>
      <c r="V17" s="8" t="s">
        <v>817</v>
      </c>
      <c r="W17" s="191"/>
      <c r="X17" s="8" t="s">
        <v>818</v>
      </c>
      <c r="Y17" s="125" t="s">
        <v>818</v>
      </c>
      <c r="Z17" s="8" t="s">
        <v>818</v>
      </c>
      <c r="AA17" s="8" t="s">
        <v>818</v>
      </c>
      <c r="AB17" s="8" t="s">
        <v>817</v>
      </c>
      <c r="AC17" s="8" t="s">
        <v>818</v>
      </c>
      <c r="AD17" s="191"/>
      <c r="AE17" s="8" t="s">
        <v>818</v>
      </c>
      <c r="AF17" s="125" t="s">
        <v>818</v>
      </c>
      <c r="AG17" s="8"/>
      <c r="AH17" s="8"/>
      <c r="AI17" s="8"/>
      <c r="AJ17" s="8"/>
      <c r="AK17" s="5">
        <f t="shared" si="0"/>
        <v>20</v>
      </c>
      <c r="AL17" s="5">
        <f t="shared" si="1"/>
        <v>2</v>
      </c>
      <c r="AM17" s="134"/>
      <c r="AN17" s="134"/>
      <c r="AO17" s="134"/>
      <c r="AP17" s="134"/>
    </row>
    <row r="18" spans="1:42" ht="15.5" x14ac:dyDescent="0.35">
      <c r="A18" s="9">
        <v>14</v>
      </c>
      <c r="B18" s="9"/>
      <c r="C18" s="24" t="s">
        <v>594</v>
      </c>
      <c r="D18" s="24"/>
      <c r="E18" s="8" t="s">
        <v>709</v>
      </c>
      <c r="F18" s="189"/>
      <c r="G18" s="8" t="s">
        <v>818</v>
      </c>
      <c r="H18" s="8" t="s">
        <v>817</v>
      </c>
      <c r="I18" s="191"/>
      <c r="J18" s="8" t="s">
        <v>818</v>
      </c>
      <c r="K18" s="125" t="s">
        <v>818</v>
      </c>
      <c r="L18" s="8" t="s">
        <v>818</v>
      </c>
      <c r="M18" s="8" t="s">
        <v>819</v>
      </c>
      <c r="N18" s="8" t="s">
        <v>817</v>
      </c>
      <c r="O18" s="8" t="s">
        <v>818</v>
      </c>
      <c r="P18" s="191"/>
      <c r="Q18" s="8" t="s">
        <v>818</v>
      </c>
      <c r="R18" s="125" t="s">
        <v>818</v>
      </c>
      <c r="S18" s="8" t="s">
        <v>818</v>
      </c>
      <c r="T18" s="8" t="s">
        <v>818</v>
      </c>
      <c r="U18" s="8" t="s">
        <v>818</v>
      </c>
      <c r="V18" s="8" t="s">
        <v>818</v>
      </c>
      <c r="W18" s="191"/>
      <c r="X18" s="8" t="s">
        <v>818</v>
      </c>
      <c r="Y18" s="125" t="s">
        <v>818</v>
      </c>
      <c r="Z18" s="8" t="s">
        <v>818</v>
      </c>
      <c r="AA18" s="8" t="s">
        <v>818</v>
      </c>
      <c r="AB18" s="8" t="s">
        <v>817</v>
      </c>
      <c r="AC18" s="8" t="s">
        <v>818</v>
      </c>
      <c r="AD18" s="191"/>
      <c r="AE18" s="8" t="s">
        <v>818</v>
      </c>
      <c r="AF18" s="125" t="s">
        <v>818</v>
      </c>
      <c r="AG18" s="8"/>
      <c r="AH18" s="8"/>
      <c r="AI18" s="8"/>
      <c r="AJ18" s="8"/>
      <c r="AK18" s="5">
        <f t="shared" si="0"/>
        <v>18</v>
      </c>
      <c r="AL18" s="5">
        <f t="shared" si="1"/>
        <v>3</v>
      </c>
      <c r="AM18" s="134"/>
      <c r="AN18" s="134"/>
      <c r="AO18" s="134"/>
      <c r="AP18" s="134"/>
    </row>
    <row r="19" spans="1:42" ht="15.5" x14ac:dyDescent="0.35">
      <c r="A19" s="9">
        <v>15</v>
      </c>
      <c r="B19" s="9"/>
      <c r="C19" s="24" t="s">
        <v>774</v>
      </c>
      <c r="D19" s="24"/>
      <c r="E19" s="8" t="s">
        <v>709</v>
      </c>
      <c r="F19" s="189"/>
      <c r="G19" s="8" t="s">
        <v>817</v>
      </c>
      <c r="H19" s="8" t="s">
        <v>817</v>
      </c>
      <c r="I19" s="191"/>
      <c r="J19" s="8" t="s">
        <v>817</v>
      </c>
      <c r="K19" s="125" t="s">
        <v>817</v>
      </c>
      <c r="L19" s="8" t="s">
        <v>817</v>
      </c>
      <c r="M19" s="8" t="s">
        <v>817</v>
      </c>
      <c r="N19" s="8" t="s">
        <v>817</v>
      </c>
      <c r="O19" s="8" t="s">
        <v>817</v>
      </c>
      <c r="P19" s="191"/>
      <c r="Q19" s="8" t="s">
        <v>818</v>
      </c>
      <c r="R19" s="125" t="s">
        <v>817</v>
      </c>
      <c r="S19" s="8" t="s">
        <v>817</v>
      </c>
      <c r="T19" s="8" t="s">
        <v>818</v>
      </c>
      <c r="U19" s="8" t="s">
        <v>818</v>
      </c>
      <c r="V19" s="8" t="s">
        <v>817</v>
      </c>
      <c r="W19" s="191"/>
      <c r="X19" s="8" t="s">
        <v>818</v>
      </c>
      <c r="Y19" s="125" t="s">
        <v>818</v>
      </c>
      <c r="Z19" s="8" t="s">
        <v>818</v>
      </c>
      <c r="AA19" s="8" t="s">
        <v>818</v>
      </c>
      <c r="AB19" s="8" t="s">
        <v>817</v>
      </c>
      <c r="AC19" s="8" t="s">
        <v>818</v>
      </c>
      <c r="AD19" s="191"/>
      <c r="AE19" s="8" t="s">
        <v>818</v>
      </c>
      <c r="AF19" s="125" t="s">
        <v>818</v>
      </c>
      <c r="AG19" s="8"/>
      <c r="AH19" s="8"/>
      <c r="AI19" s="8"/>
      <c r="AJ19" s="8"/>
      <c r="AK19" s="5">
        <f t="shared" si="0"/>
        <v>10</v>
      </c>
      <c r="AL19" s="5">
        <f t="shared" si="1"/>
        <v>12</v>
      </c>
      <c r="AM19" s="147" t="s">
        <v>121</v>
      </c>
      <c r="AN19" s="147"/>
      <c r="AO19" s="147"/>
      <c r="AP19" s="147"/>
    </row>
    <row r="20" spans="1:42" ht="15.5" x14ac:dyDescent="0.35">
      <c r="A20" s="9">
        <v>16</v>
      </c>
      <c r="B20" s="9"/>
      <c r="C20" s="24" t="s">
        <v>775</v>
      </c>
      <c r="D20" s="24"/>
      <c r="E20" s="8" t="s">
        <v>709</v>
      </c>
      <c r="F20" s="189"/>
      <c r="G20" s="8" t="s">
        <v>817</v>
      </c>
      <c r="H20" s="8" t="s">
        <v>817</v>
      </c>
      <c r="I20" s="191"/>
      <c r="J20" s="8" t="s">
        <v>817</v>
      </c>
      <c r="K20" s="125" t="s">
        <v>817</v>
      </c>
      <c r="L20" s="8" t="s">
        <v>817</v>
      </c>
      <c r="M20" s="8" t="s">
        <v>817</v>
      </c>
      <c r="N20" s="8" t="s">
        <v>817</v>
      </c>
      <c r="O20" s="8" t="s">
        <v>817</v>
      </c>
      <c r="P20" s="191"/>
      <c r="Q20" s="8" t="s">
        <v>818</v>
      </c>
      <c r="R20" s="125" t="s">
        <v>817</v>
      </c>
      <c r="S20" s="8" t="s">
        <v>817</v>
      </c>
      <c r="T20" s="8" t="s">
        <v>818</v>
      </c>
      <c r="U20" s="8" t="s">
        <v>817</v>
      </c>
      <c r="V20" s="8" t="s">
        <v>817</v>
      </c>
      <c r="W20" s="191"/>
      <c r="X20" s="8" t="s">
        <v>818</v>
      </c>
      <c r="Y20" s="125" t="s">
        <v>818</v>
      </c>
      <c r="Z20" s="8" t="s">
        <v>818</v>
      </c>
      <c r="AA20" s="8" t="s">
        <v>818</v>
      </c>
      <c r="AB20" s="8" t="s">
        <v>817</v>
      </c>
      <c r="AC20" s="8" t="s">
        <v>818</v>
      </c>
      <c r="AD20" s="191"/>
      <c r="AE20" s="8" t="s">
        <v>818</v>
      </c>
      <c r="AF20" s="125" t="s">
        <v>818</v>
      </c>
      <c r="AG20" s="8"/>
      <c r="AH20" s="8"/>
      <c r="AI20" s="8"/>
      <c r="AJ20" s="8"/>
      <c r="AK20" s="5">
        <f t="shared" si="0"/>
        <v>9</v>
      </c>
      <c r="AL20" s="5">
        <f t="shared" si="1"/>
        <v>13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5.5" x14ac:dyDescent="0.35">
      <c r="A21" s="9">
        <v>17</v>
      </c>
      <c r="B21" s="9"/>
      <c r="C21" s="24" t="s">
        <v>605</v>
      </c>
      <c r="D21" s="24"/>
      <c r="E21" s="8" t="s">
        <v>709</v>
      </c>
      <c r="F21" s="189"/>
      <c r="G21" s="8" t="s">
        <v>818</v>
      </c>
      <c r="H21" s="8" t="s">
        <v>818</v>
      </c>
      <c r="I21" s="191"/>
      <c r="J21" s="8" t="s">
        <v>818</v>
      </c>
      <c r="K21" s="125" t="s">
        <v>818</v>
      </c>
      <c r="L21" s="8" t="s">
        <v>818</v>
      </c>
      <c r="M21" s="8" t="s">
        <v>818</v>
      </c>
      <c r="N21" s="8" t="s">
        <v>818</v>
      </c>
      <c r="O21" s="8" t="s">
        <v>818</v>
      </c>
      <c r="P21" s="191"/>
      <c r="Q21" s="8" t="s">
        <v>817</v>
      </c>
      <c r="R21" s="125" t="s">
        <v>818</v>
      </c>
      <c r="S21" s="8" t="s">
        <v>818</v>
      </c>
      <c r="T21" s="8" t="s">
        <v>818</v>
      </c>
      <c r="U21" s="8" t="s">
        <v>818</v>
      </c>
      <c r="V21" s="8" t="s">
        <v>818</v>
      </c>
      <c r="W21" s="191"/>
      <c r="X21" s="8" t="s">
        <v>818</v>
      </c>
      <c r="Y21" s="125" t="s">
        <v>818</v>
      </c>
      <c r="Z21" s="8" t="s">
        <v>818</v>
      </c>
      <c r="AA21" s="8" t="s">
        <v>818</v>
      </c>
      <c r="AB21" s="8" t="s">
        <v>817</v>
      </c>
      <c r="AC21" s="8" t="s">
        <v>818</v>
      </c>
      <c r="AD21" s="191"/>
      <c r="AE21" s="8" t="s">
        <v>818</v>
      </c>
      <c r="AF21" s="125" t="s">
        <v>818</v>
      </c>
      <c r="AG21" s="8"/>
      <c r="AH21" s="8"/>
      <c r="AI21" s="8"/>
      <c r="AJ21" s="8"/>
      <c r="AK21" s="5">
        <f t="shared" si="0"/>
        <v>20</v>
      </c>
      <c r="AL21" s="5">
        <f t="shared" si="1"/>
        <v>2</v>
      </c>
      <c r="AM21" s="5" t="s">
        <v>14</v>
      </c>
      <c r="AN21" s="9">
        <f>17*$AN$5</f>
        <v>442</v>
      </c>
      <c r="AO21" s="9">
        <f>28*$AN$5</f>
        <v>728</v>
      </c>
      <c r="AP21" s="9">
        <f>AN21+AO21</f>
        <v>1170</v>
      </c>
    </row>
    <row r="22" spans="1:42" ht="15.5" x14ac:dyDescent="0.35">
      <c r="A22" s="9">
        <v>18</v>
      </c>
      <c r="B22" s="9"/>
      <c r="C22" s="24" t="s">
        <v>776</v>
      </c>
      <c r="D22" s="24"/>
      <c r="E22" s="8" t="s">
        <v>709</v>
      </c>
      <c r="F22" s="189"/>
      <c r="G22" s="8" t="s">
        <v>817</v>
      </c>
      <c r="H22" s="8" t="s">
        <v>817</v>
      </c>
      <c r="I22" s="191"/>
      <c r="J22" s="8" t="s">
        <v>817</v>
      </c>
      <c r="K22" s="125" t="s">
        <v>817</v>
      </c>
      <c r="L22" s="8" t="s">
        <v>817</v>
      </c>
      <c r="M22" s="8" t="s">
        <v>817</v>
      </c>
      <c r="N22" s="8" t="s">
        <v>817</v>
      </c>
      <c r="O22" s="8" t="s">
        <v>817</v>
      </c>
      <c r="P22" s="191"/>
      <c r="Q22" s="8" t="s">
        <v>817</v>
      </c>
      <c r="R22" s="125" t="s">
        <v>817</v>
      </c>
      <c r="S22" s="8" t="s">
        <v>817</v>
      </c>
      <c r="T22" s="8" t="s">
        <v>817</v>
      </c>
      <c r="U22" s="8" t="s">
        <v>817</v>
      </c>
      <c r="V22" s="8" t="s">
        <v>817</v>
      </c>
      <c r="W22" s="191"/>
      <c r="X22" s="8" t="s">
        <v>818</v>
      </c>
      <c r="Y22" s="125" t="s">
        <v>818</v>
      </c>
      <c r="Z22" s="8" t="s">
        <v>818</v>
      </c>
      <c r="AA22" s="8" t="s">
        <v>818</v>
      </c>
      <c r="AB22" s="8" t="s">
        <v>817</v>
      </c>
      <c r="AC22" s="8" t="s">
        <v>818</v>
      </c>
      <c r="AD22" s="191"/>
      <c r="AE22" s="8" t="s">
        <v>817</v>
      </c>
      <c r="AF22" s="125" t="s">
        <v>818</v>
      </c>
      <c r="AG22" s="8"/>
      <c r="AH22" s="8"/>
      <c r="AI22" s="8"/>
      <c r="AJ22" s="8"/>
      <c r="AK22" s="5">
        <f t="shared" si="0"/>
        <v>6</v>
      </c>
      <c r="AL22" s="5">
        <f t="shared" si="1"/>
        <v>16</v>
      </c>
      <c r="AM22" s="5" t="s">
        <v>17</v>
      </c>
      <c r="AN22" s="9">
        <f>AN21-AN14</f>
        <v>148</v>
      </c>
      <c r="AO22" s="9">
        <f>AO21-AO14</f>
        <v>180</v>
      </c>
      <c r="AP22" s="9">
        <f>AN22+AO22</f>
        <v>328</v>
      </c>
    </row>
    <row r="23" spans="1:42" ht="15.5" x14ac:dyDescent="0.35">
      <c r="A23" s="9">
        <v>19</v>
      </c>
      <c r="B23" s="9"/>
      <c r="C23" s="24" t="s">
        <v>595</v>
      </c>
      <c r="D23" s="24"/>
      <c r="E23" s="8" t="s">
        <v>709</v>
      </c>
      <c r="F23" s="189"/>
      <c r="G23" s="8" t="s">
        <v>818</v>
      </c>
      <c r="H23" s="8" t="s">
        <v>818</v>
      </c>
      <c r="I23" s="191"/>
      <c r="J23" s="8" t="s">
        <v>818</v>
      </c>
      <c r="K23" s="125" t="s">
        <v>818</v>
      </c>
      <c r="L23" s="8" t="s">
        <v>818</v>
      </c>
      <c r="M23" s="8" t="s">
        <v>818</v>
      </c>
      <c r="N23" s="8" t="s">
        <v>817</v>
      </c>
      <c r="O23" s="8" t="s">
        <v>818</v>
      </c>
      <c r="P23" s="191"/>
      <c r="Q23" s="8" t="s">
        <v>818</v>
      </c>
      <c r="R23" s="125" t="s">
        <v>818</v>
      </c>
      <c r="S23" s="8" t="s">
        <v>818</v>
      </c>
      <c r="T23" s="8" t="s">
        <v>818</v>
      </c>
      <c r="U23" s="8" t="s">
        <v>818</v>
      </c>
      <c r="V23" s="8" t="s">
        <v>817</v>
      </c>
      <c r="W23" s="191"/>
      <c r="X23" s="8" t="s">
        <v>818</v>
      </c>
      <c r="Y23" s="125" t="s">
        <v>818</v>
      </c>
      <c r="Z23" s="8" t="s">
        <v>818</v>
      </c>
      <c r="AA23" s="8" t="s">
        <v>818</v>
      </c>
      <c r="AB23" s="8" t="s">
        <v>818</v>
      </c>
      <c r="AC23" s="8" t="s">
        <v>817</v>
      </c>
      <c r="AD23" s="191"/>
      <c r="AE23" s="8" t="s">
        <v>818</v>
      </c>
      <c r="AF23" s="125" t="s">
        <v>818</v>
      </c>
      <c r="AG23" s="8"/>
      <c r="AH23" s="8"/>
      <c r="AI23" s="8"/>
      <c r="AJ23" s="8"/>
      <c r="AK23" s="5">
        <f t="shared" si="0"/>
        <v>19</v>
      </c>
      <c r="AL23" s="5">
        <f t="shared" si="1"/>
        <v>3</v>
      </c>
      <c r="AM23" s="5" t="s">
        <v>16</v>
      </c>
      <c r="AN23" s="12">
        <f>AN22/AN21</f>
        <v>0.33484162895927599</v>
      </c>
      <c r="AO23" s="12">
        <f>AO22/AO21</f>
        <v>0.24725274725274726</v>
      </c>
      <c r="AP23" s="12">
        <f>AP22/AP21</f>
        <v>0.28034188034188035</v>
      </c>
    </row>
    <row r="24" spans="1:42" ht="15.5" x14ac:dyDescent="0.35">
      <c r="A24" s="9">
        <v>20</v>
      </c>
      <c r="B24" s="9"/>
      <c r="C24" s="24" t="s">
        <v>777</v>
      </c>
      <c r="D24" s="24"/>
      <c r="E24" s="8" t="s">
        <v>709</v>
      </c>
      <c r="F24" s="189"/>
      <c r="G24" s="8" t="s">
        <v>818</v>
      </c>
      <c r="H24" s="8" t="s">
        <v>818</v>
      </c>
      <c r="I24" s="191"/>
      <c r="J24" s="8" t="s">
        <v>818</v>
      </c>
      <c r="K24" s="125" t="s">
        <v>818</v>
      </c>
      <c r="L24" s="8" t="s">
        <v>818</v>
      </c>
      <c r="M24" s="8" t="s">
        <v>818</v>
      </c>
      <c r="N24" s="8" t="s">
        <v>818</v>
      </c>
      <c r="O24" s="8" t="s">
        <v>818</v>
      </c>
      <c r="P24" s="191"/>
      <c r="Q24" s="8" t="s">
        <v>818</v>
      </c>
      <c r="R24" s="125" t="s">
        <v>818</v>
      </c>
      <c r="S24" s="8" t="s">
        <v>818</v>
      </c>
      <c r="T24" s="8" t="s">
        <v>818</v>
      </c>
      <c r="U24" s="8" t="s">
        <v>818</v>
      </c>
      <c r="V24" s="8" t="s">
        <v>818</v>
      </c>
      <c r="W24" s="191"/>
      <c r="X24" s="8" t="s">
        <v>818</v>
      </c>
      <c r="Y24" s="125" t="s">
        <v>818</v>
      </c>
      <c r="Z24" s="8" t="s">
        <v>818</v>
      </c>
      <c r="AA24" s="8" t="s">
        <v>818</v>
      </c>
      <c r="AB24" s="8" t="s">
        <v>818</v>
      </c>
      <c r="AC24" s="8" t="s">
        <v>818</v>
      </c>
      <c r="AD24" s="191"/>
      <c r="AE24" s="8" t="s">
        <v>818</v>
      </c>
      <c r="AF24" s="125" t="s">
        <v>818</v>
      </c>
      <c r="AG24" s="8"/>
      <c r="AH24" s="8"/>
      <c r="AI24" s="8"/>
      <c r="AJ24" s="8"/>
      <c r="AK24" s="5">
        <f t="shared" si="0"/>
        <v>22</v>
      </c>
      <c r="AL24" s="5">
        <f t="shared" si="1"/>
        <v>0</v>
      </c>
      <c r="AM24" s="14"/>
      <c r="AN24" s="14"/>
      <c r="AO24" s="14"/>
      <c r="AP24" s="14"/>
    </row>
    <row r="25" spans="1:42" ht="15.5" x14ac:dyDescent="0.35">
      <c r="A25" s="9">
        <v>21</v>
      </c>
      <c r="B25" s="9"/>
      <c r="C25" s="24" t="s">
        <v>405</v>
      </c>
      <c r="D25" s="24"/>
      <c r="E25" s="8" t="s">
        <v>709</v>
      </c>
      <c r="F25" s="189"/>
      <c r="G25" s="8" t="s">
        <v>818</v>
      </c>
      <c r="H25" s="8" t="s">
        <v>818</v>
      </c>
      <c r="I25" s="191"/>
      <c r="J25" s="8" t="s">
        <v>818</v>
      </c>
      <c r="K25" s="125" t="s">
        <v>818</v>
      </c>
      <c r="L25" s="8" t="s">
        <v>818</v>
      </c>
      <c r="M25" s="8" t="s">
        <v>818</v>
      </c>
      <c r="N25" s="8" t="s">
        <v>818</v>
      </c>
      <c r="O25" s="8" t="s">
        <v>818</v>
      </c>
      <c r="P25" s="191"/>
      <c r="Q25" s="8" t="s">
        <v>818</v>
      </c>
      <c r="R25" s="125" t="s">
        <v>818</v>
      </c>
      <c r="S25" s="8" t="s">
        <v>818</v>
      </c>
      <c r="T25" s="8" t="s">
        <v>818</v>
      </c>
      <c r="U25" s="8" t="s">
        <v>818</v>
      </c>
      <c r="V25" s="8" t="s">
        <v>818</v>
      </c>
      <c r="W25" s="191"/>
      <c r="X25" s="8" t="s">
        <v>818</v>
      </c>
      <c r="Y25" s="125" t="s">
        <v>818</v>
      </c>
      <c r="Z25" s="8" t="s">
        <v>818</v>
      </c>
      <c r="AA25" s="8" t="s">
        <v>818</v>
      </c>
      <c r="AB25" s="8" t="s">
        <v>818</v>
      </c>
      <c r="AC25" s="8" t="s">
        <v>818</v>
      </c>
      <c r="AD25" s="191"/>
      <c r="AE25" s="8" t="s">
        <v>818</v>
      </c>
      <c r="AF25" s="125" t="s">
        <v>818</v>
      </c>
      <c r="AG25" s="8"/>
      <c r="AH25" s="8"/>
      <c r="AI25" s="8"/>
      <c r="AJ25" s="8"/>
      <c r="AK25" s="5">
        <f t="shared" si="0"/>
        <v>22</v>
      </c>
      <c r="AL25" s="5">
        <f t="shared" si="1"/>
        <v>0</v>
      </c>
      <c r="AM25" s="14"/>
      <c r="AN25" s="14"/>
      <c r="AO25" s="14"/>
      <c r="AP25" s="14"/>
    </row>
    <row r="26" spans="1:42" ht="15.5" x14ac:dyDescent="0.35">
      <c r="A26" s="9">
        <v>22</v>
      </c>
      <c r="B26" s="9"/>
      <c r="C26" s="24" t="s">
        <v>778</v>
      </c>
      <c r="D26" s="24"/>
      <c r="E26" s="8" t="s">
        <v>709</v>
      </c>
      <c r="F26" s="189"/>
      <c r="G26" s="8" t="s">
        <v>818</v>
      </c>
      <c r="H26" s="8" t="s">
        <v>818</v>
      </c>
      <c r="I26" s="191"/>
      <c r="J26" s="8" t="s">
        <v>818</v>
      </c>
      <c r="K26" s="125" t="s">
        <v>818</v>
      </c>
      <c r="L26" s="8" t="s">
        <v>818</v>
      </c>
      <c r="M26" s="8" t="s">
        <v>818</v>
      </c>
      <c r="N26" s="8" t="s">
        <v>818</v>
      </c>
      <c r="O26" s="8" t="s">
        <v>818</v>
      </c>
      <c r="P26" s="191"/>
      <c r="Q26" s="8" t="s">
        <v>818</v>
      </c>
      <c r="R26" s="125" t="s">
        <v>818</v>
      </c>
      <c r="S26" s="8" t="s">
        <v>818</v>
      </c>
      <c r="T26" s="8" t="s">
        <v>818</v>
      </c>
      <c r="U26" s="8" t="s">
        <v>818</v>
      </c>
      <c r="V26" s="8" t="s">
        <v>817</v>
      </c>
      <c r="W26" s="191"/>
      <c r="X26" s="8" t="s">
        <v>818</v>
      </c>
      <c r="Y26" s="125" t="s">
        <v>818</v>
      </c>
      <c r="Z26" s="8" t="s">
        <v>818</v>
      </c>
      <c r="AA26" s="8" t="s">
        <v>818</v>
      </c>
      <c r="AB26" s="8" t="s">
        <v>817</v>
      </c>
      <c r="AC26" s="8" t="s">
        <v>817</v>
      </c>
      <c r="AD26" s="191"/>
      <c r="AE26" s="8" t="s">
        <v>818</v>
      </c>
      <c r="AF26" s="125" t="s">
        <v>818</v>
      </c>
      <c r="AG26" s="8"/>
      <c r="AH26" s="8"/>
      <c r="AI26" s="8"/>
      <c r="AJ26" s="8"/>
      <c r="AK26" s="5">
        <f t="shared" si="0"/>
        <v>19</v>
      </c>
      <c r="AL26" s="5">
        <f t="shared" si="1"/>
        <v>3</v>
      </c>
      <c r="AM26" s="14"/>
      <c r="AN26" s="14"/>
      <c r="AO26" s="14"/>
      <c r="AP26" s="14"/>
    </row>
    <row r="27" spans="1:42" ht="15.5" x14ac:dyDescent="0.35">
      <c r="A27" s="9">
        <v>23</v>
      </c>
      <c r="B27" s="9"/>
      <c r="C27" s="24" t="s">
        <v>301</v>
      </c>
      <c r="D27" s="24"/>
      <c r="E27" s="8"/>
      <c r="F27" s="189"/>
      <c r="G27" s="8" t="s">
        <v>848</v>
      </c>
      <c r="H27" s="8" t="s">
        <v>848</v>
      </c>
      <c r="I27" s="191"/>
      <c r="J27" s="8" t="s">
        <v>730</v>
      </c>
      <c r="K27" s="125" t="s">
        <v>730</v>
      </c>
      <c r="L27" s="8" t="s">
        <v>730</v>
      </c>
      <c r="M27" s="8" t="s">
        <v>730</v>
      </c>
      <c r="N27" s="8" t="s">
        <v>730</v>
      </c>
      <c r="O27" s="8" t="s">
        <v>730</v>
      </c>
      <c r="P27" s="191"/>
      <c r="Q27" s="8" t="s">
        <v>730</v>
      </c>
      <c r="R27" s="125" t="s">
        <v>730</v>
      </c>
      <c r="S27" s="8" t="s">
        <v>730</v>
      </c>
      <c r="T27" s="8" t="s">
        <v>730</v>
      </c>
      <c r="U27" s="8" t="s">
        <v>730</v>
      </c>
      <c r="V27" s="8" t="s">
        <v>730</v>
      </c>
      <c r="W27" s="191"/>
      <c r="X27" s="8" t="s">
        <v>730</v>
      </c>
      <c r="Y27" s="125" t="s">
        <v>730</v>
      </c>
      <c r="Z27" s="8" t="s">
        <v>818</v>
      </c>
      <c r="AA27" s="8" t="s">
        <v>818</v>
      </c>
      <c r="AB27" s="8" t="s">
        <v>818</v>
      </c>
      <c r="AC27" s="8" t="s">
        <v>817</v>
      </c>
      <c r="AD27" s="191"/>
      <c r="AE27" s="8" t="s">
        <v>818</v>
      </c>
      <c r="AF27" s="125" t="s">
        <v>818</v>
      </c>
      <c r="AG27" s="8"/>
      <c r="AH27" s="8"/>
      <c r="AI27" s="8"/>
      <c r="AJ27" s="8"/>
      <c r="AK27" s="5">
        <f t="shared" si="0"/>
        <v>19</v>
      </c>
      <c r="AL27" s="5">
        <f t="shared" si="1"/>
        <v>1</v>
      </c>
      <c r="AM27" s="14"/>
      <c r="AN27" s="14"/>
      <c r="AO27" s="14"/>
      <c r="AP27" s="14"/>
    </row>
    <row r="28" spans="1:42" ht="13.5" customHeight="1" x14ac:dyDescent="0.35">
      <c r="A28" s="9">
        <v>1</v>
      </c>
      <c r="B28" s="9">
        <v>713</v>
      </c>
      <c r="C28" s="24" t="s">
        <v>125</v>
      </c>
      <c r="D28" s="24" t="s">
        <v>96</v>
      </c>
      <c r="E28" s="8" t="s">
        <v>709</v>
      </c>
      <c r="F28" s="189"/>
      <c r="G28" s="8" t="s">
        <v>730</v>
      </c>
      <c r="H28" s="8" t="s">
        <v>730</v>
      </c>
      <c r="I28" s="191"/>
      <c r="J28" s="8" t="s">
        <v>730</v>
      </c>
      <c r="K28" s="125" t="s">
        <v>730</v>
      </c>
      <c r="L28" s="8" t="s">
        <v>730</v>
      </c>
      <c r="M28" s="8" t="s">
        <v>730</v>
      </c>
      <c r="N28" s="8" t="s">
        <v>730</v>
      </c>
      <c r="O28" s="8" t="s">
        <v>730</v>
      </c>
      <c r="P28" s="191"/>
      <c r="Q28" s="8" t="s">
        <v>730</v>
      </c>
      <c r="R28" s="125" t="s">
        <v>730</v>
      </c>
      <c r="S28" s="8" t="s">
        <v>730</v>
      </c>
      <c r="T28" s="8" t="s">
        <v>730</v>
      </c>
      <c r="U28" s="8" t="s">
        <v>730</v>
      </c>
      <c r="V28" s="8" t="s">
        <v>730</v>
      </c>
      <c r="W28" s="191"/>
      <c r="X28" s="8" t="s">
        <v>730</v>
      </c>
      <c r="Y28" s="125" t="s">
        <v>730</v>
      </c>
      <c r="Z28" s="8" t="s">
        <v>818</v>
      </c>
      <c r="AA28" s="8" t="s">
        <v>818</v>
      </c>
      <c r="AB28" s="8" t="s">
        <v>818</v>
      </c>
      <c r="AC28" s="8" t="s">
        <v>818</v>
      </c>
      <c r="AD28" s="191"/>
      <c r="AE28" s="8" t="s">
        <v>818</v>
      </c>
      <c r="AF28" s="125" t="s">
        <v>818</v>
      </c>
      <c r="AG28" s="8"/>
      <c r="AH28" s="8"/>
      <c r="AI28" s="8"/>
      <c r="AJ28" s="8"/>
      <c r="AK28" s="5">
        <f t="shared" si="0"/>
        <v>22</v>
      </c>
      <c r="AL28" s="5">
        <f t="shared" si="1"/>
        <v>0</v>
      </c>
      <c r="AM28" s="14"/>
      <c r="AN28" s="14"/>
      <c r="AO28" s="14"/>
      <c r="AP28" s="14"/>
    </row>
    <row r="29" spans="1:42" ht="15.5" x14ac:dyDescent="0.35">
      <c r="A29" s="9">
        <v>2</v>
      </c>
      <c r="B29" s="9">
        <v>354</v>
      </c>
      <c r="C29" s="24" t="s">
        <v>130</v>
      </c>
      <c r="D29" s="24" t="s">
        <v>219</v>
      </c>
      <c r="E29" s="8" t="s">
        <v>709</v>
      </c>
      <c r="F29" s="189"/>
      <c r="G29" s="8" t="s">
        <v>730</v>
      </c>
      <c r="H29" s="8" t="s">
        <v>730</v>
      </c>
      <c r="I29" s="191"/>
      <c r="J29" s="8" t="s">
        <v>730</v>
      </c>
      <c r="K29" s="125" t="s">
        <v>730</v>
      </c>
      <c r="L29" s="8" t="s">
        <v>730</v>
      </c>
      <c r="M29" s="8" t="s">
        <v>730</v>
      </c>
      <c r="N29" s="8" t="s">
        <v>730</v>
      </c>
      <c r="O29" s="8" t="s">
        <v>730</v>
      </c>
      <c r="P29" s="191"/>
      <c r="Q29" s="8" t="s">
        <v>730</v>
      </c>
      <c r="R29" s="125" t="s">
        <v>730</v>
      </c>
      <c r="S29" s="8" t="s">
        <v>730</v>
      </c>
      <c r="T29" s="8" t="s">
        <v>730</v>
      </c>
      <c r="U29" s="8" t="s">
        <v>730</v>
      </c>
      <c r="V29" s="8" t="s">
        <v>730</v>
      </c>
      <c r="W29" s="191"/>
      <c r="X29" s="8" t="s">
        <v>730</v>
      </c>
      <c r="Y29" s="125" t="s">
        <v>730</v>
      </c>
      <c r="Z29" s="8" t="s">
        <v>818</v>
      </c>
      <c r="AA29" s="8" t="s">
        <v>818</v>
      </c>
      <c r="AB29" s="8" t="s">
        <v>818</v>
      </c>
      <c r="AC29" s="8" t="s">
        <v>818</v>
      </c>
      <c r="AD29" s="191"/>
      <c r="AE29" s="8" t="s">
        <v>818</v>
      </c>
      <c r="AF29" s="125" t="s">
        <v>818</v>
      </c>
      <c r="AG29" s="8"/>
      <c r="AH29" s="8"/>
      <c r="AI29" s="8"/>
      <c r="AJ29" s="8"/>
      <c r="AK29" s="5">
        <f t="shared" si="0"/>
        <v>22</v>
      </c>
      <c r="AL29" s="5">
        <f t="shared" si="1"/>
        <v>0</v>
      </c>
      <c r="AM29" s="14"/>
      <c r="AN29" s="14"/>
      <c r="AO29" s="14"/>
      <c r="AP29" s="14"/>
    </row>
    <row r="30" spans="1:42" ht="15.5" x14ac:dyDescent="0.35">
      <c r="A30" s="9">
        <v>3</v>
      </c>
      <c r="B30" s="9">
        <v>716</v>
      </c>
      <c r="C30" s="24" t="s">
        <v>134</v>
      </c>
      <c r="D30" s="24" t="s">
        <v>440</v>
      </c>
      <c r="E30" s="8" t="s">
        <v>709</v>
      </c>
      <c r="F30" s="189"/>
      <c r="G30" s="8" t="s">
        <v>730</v>
      </c>
      <c r="H30" s="8" t="s">
        <v>817</v>
      </c>
      <c r="I30" s="191"/>
      <c r="J30" s="8" t="s">
        <v>818</v>
      </c>
      <c r="K30" s="125" t="s">
        <v>818</v>
      </c>
      <c r="L30" s="8" t="s">
        <v>818</v>
      </c>
      <c r="M30" s="8" t="s">
        <v>818</v>
      </c>
      <c r="N30" s="8" t="s">
        <v>817</v>
      </c>
      <c r="O30" s="8" t="s">
        <v>818</v>
      </c>
      <c r="P30" s="191"/>
      <c r="Q30" s="8" t="s">
        <v>818</v>
      </c>
      <c r="R30" s="125" t="s">
        <v>818</v>
      </c>
      <c r="S30" s="8" t="s">
        <v>818</v>
      </c>
      <c r="T30" s="8" t="s">
        <v>818</v>
      </c>
      <c r="U30" s="8" t="s">
        <v>818</v>
      </c>
      <c r="V30" s="8" t="s">
        <v>818</v>
      </c>
      <c r="W30" s="191"/>
      <c r="X30" s="8" t="s">
        <v>818</v>
      </c>
      <c r="Y30" s="125" t="s">
        <v>818</v>
      </c>
      <c r="Z30" s="8" t="s">
        <v>818</v>
      </c>
      <c r="AA30" s="8" t="s">
        <v>818</v>
      </c>
      <c r="AB30" s="8" t="s">
        <v>818</v>
      </c>
      <c r="AC30" s="8" t="s">
        <v>818</v>
      </c>
      <c r="AD30" s="191"/>
      <c r="AE30" s="8" t="s">
        <v>818</v>
      </c>
      <c r="AF30" s="125" t="s">
        <v>818</v>
      </c>
      <c r="AG30" s="8"/>
      <c r="AH30" s="8"/>
      <c r="AI30" s="8"/>
      <c r="AJ30" s="8"/>
      <c r="AK30" s="5">
        <f t="shared" si="0"/>
        <v>20</v>
      </c>
      <c r="AL30" s="5">
        <f t="shared" si="1"/>
        <v>2</v>
      </c>
      <c r="AM30" s="14"/>
      <c r="AN30" s="14"/>
      <c r="AO30" s="14"/>
      <c r="AP30" s="14"/>
    </row>
    <row r="31" spans="1:42" ht="15.5" x14ac:dyDescent="0.35">
      <c r="A31" s="9">
        <v>4</v>
      </c>
      <c r="B31" s="9">
        <v>566</v>
      </c>
      <c r="C31" s="24" t="s">
        <v>136</v>
      </c>
      <c r="D31" s="24" t="s">
        <v>518</v>
      </c>
      <c r="E31" s="8" t="s">
        <v>709</v>
      </c>
      <c r="F31" s="189"/>
      <c r="G31" s="8" t="s">
        <v>818</v>
      </c>
      <c r="H31" s="8" t="s">
        <v>818</v>
      </c>
      <c r="I31" s="191"/>
      <c r="J31" s="8" t="s">
        <v>818</v>
      </c>
      <c r="K31" s="125" t="s">
        <v>818</v>
      </c>
      <c r="L31" s="8" t="s">
        <v>818</v>
      </c>
      <c r="M31" s="8" t="s">
        <v>818</v>
      </c>
      <c r="N31" s="8" t="s">
        <v>818</v>
      </c>
      <c r="O31" s="8" t="s">
        <v>818</v>
      </c>
      <c r="P31" s="191"/>
      <c r="Q31" s="8" t="s">
        <v>818</v>
      </c>
      <c r="R31" s="125" t="s">
        <v>818</v>
      </c>
      <c r="S31" s="8" t="s">
        <v>818</v>
      </c>
      <c r="T31" s="8" t="s">
        <v>818</v>
      </c>
      <c r="U31" s="8" t="s">
        <v>818</v>
      </c>
      <c r="V31" s="8" t="s">
        <v>818</v>
      </c>
      <c r="W31" s="191"/>
      <c r="X31" s="8" t="s">
        <v>818</v>
      </c>
      <c r="Y31" s="125" t="s">
        <v>818</v>
      </c>
      <c r="Z31" s="8" t="s">
        <v>818</v>
      </c>
      <c r="AA31" s="8" t="s">
        <v>818</v>
      </c>
      <c r="AB31" s="8" t="s">
        <v>818</v>
      </c>
      <c r="AC31" s="8" t="s">
        <v>818</v>
      </c>
      <c r="AD31" s="191"/>
      <c r="AE31" s="8" t="s">
        <v>818</v>
      </c>
      <c r="AF31" s="125" t="s">
        <v>818</v>
      </c>
      <c r="AG31" s="8"/>
      <c r="AH31" s="8"/>
      <c r="AI31" s="8"/>
      <c r="AJ31" s="8"/>
      <c r="AK31" s="5">
        <f t="shared" si="0"/>
        <v>22</v>
      </c>
      <c r="AL31" s="5">
        <f t="shared" si="1"/>
        <v>0</v>
      </c>
      <c r="AM31" s="14"/>
      <c r="AN31" s="14"/>
      <c r="AO31" s="14"/>
      <c r="AP31" s="14"/>
    </row>
    <row r="32" spans="1:42" ht="15.5" x14ac:dyDescent="0.35">
      <c r="A32" s="9">
        <v>5</v>
      </c>
      <c r="B32" s="9">
        <v>348</v>
      </c>
      <c r="C32" s="24" t="s">
        <v>568</v>
      </c>
      <c r="D32" s="24" t="s">
        <v>569</v>
      </c>
      <c r="E32" s="8" t="s">
        <v>709</v>
      </c>
      <c r="F32" s="189"/>
      <c r="G32" s="8" t="s">
        <v>818</v>
      </c>
      <c r="H32" s="8" t="s">
        <v>818</v>
      </c>
      <c r="I32" s="191"/>
      <c r="J32" s="8" t="s">
        <v>818</v>
      </c>
      <c r="K32" s="125" t="s">
        <v>818</v>
      </c>
      <c r="L32" s="8" t="s">
        <v>818</v>
      </c>
      <c r="M32" s="8" t="s">
        <v>818</v>
      </c>
      <c r="N32" s="8" t="s">
        <v>818</v>
      </c>
      <c r="O32" s="8" t="s">
        <v>818</v>
      </c>
      <c r="P32" s="191"/>
      <c r="Q32" s="8" t="s">
        <v>818</v>
      </c>
      <c r="R32" s="125" t="s">
        <v>818</v>
      </c>
      <c r="S32" s="8" t="s">
        <v>818</v>
      </c>
      <c r="T32" s="8" t="s">
        <v>818</v>
      </c>
      <c r="U32" s="8" t="s">
        <v>818</v>
      </c>
      <c r="V32" s="8" t="s">
        <v>818</v>
      </c>
      <c r="W32" s="191"/>
      <c r="X32" s="8" t="s">
        <v>818</v>
      </c>
      <c r="Y32" s="125" t="s">
        <v>818</v>
      </c>
      <c r="Z32" s="8" t="s">
        <v>818</v>
      </c>
      <c r="AA32" s="8" t="s">
        <v>818</v>
      </c>
      <c r="AB32" s="8" t="s">
        <v>818</v>
      </c>
      <c r="AC32" s="8" t="s">
        <v>818</v>
      </c>
      <c r="AD32" s="191"/>
      <c r="AE32" s="8" t="s">
        <v>818</v>
      </c>
      <c r="AF32" s="125" t="s">
        <v>818</v>
      </c>
      <c r="AG32" s="8"/>
      <c r="AH32" s="8"/>
      <c r="AI32" s="8"/>
      <c r="AJ32" s="8"/>
      <c r="AK32" s="5">
        <f t="shared" si="0"/>
        <v>22</v>
      </c>
      <c r="AL32" s="5">
        <f t="shared" si="1"/>
        <v>0</v>
      </c>
      <c r="AM32" s="14"/>
      <c r="AN32" s="14"/>
      <c r="AO32" s="14"/>
      <c r="AP32" s="14"/>
    </row>
    <row r="33" spans="1:42" ht="15.5" x14ac:dyDescent="0.35">
      <c r="A33" s="9">
        <v>6</v>
      </c>
      <c r="B33" s="9">
        <v>618</v>
      </c>
      <c r="C33" s="27" t="s">
        <v>570</v>
      </c>
      <c r="D33" s="27" t="s">
        <v>571</v>
      </c>
      <c r="E33" s="8" t="s">
        <v>709</v>
      </c>
      <c r="F33" s="189"/>
      <c r="G33" s="8" t="s">
        <v>818</v>
      </c>
      <c r="H33" s="8" t="s">
        <v>818</v>
      </c>
      <c r="I33" s="191"/>
      <c r="J33" s="8" t="s">
        <v>818</v>
      </c>
      <c r="K33" s="125" t="s">
        <v>818</v>
      </c>
      <c r="L33" s="8" t="s">
        <v>818</v>
      </c>
      <c r="M33" s="8" t="s">
        <v>818</v>
      </c>
      <c r="N33" s="8" t="s">
        <v>818</v>
      </c>
      <c r="O33" s="8" t="s">
        <v>818</v>
      </c>
      <c r="P33" s="191"/>
      <c r="Q33" s="8" t="s">
        <v>818</v>
      </c>
      <c r="R33" s="125" t="s">
        <v>818</v>
      </c>
      <c r="S33" s="8" t="s">
        <v>818</v>
      </c>
      <c r="T33" s="8" t="s">
        <v>818</v>
      </c>
      <c r="U33" s="8" t="s">
        <v>818</v>
      </c>
      <c r="V33" s="8" t="s">
        <v>818</v>
      </c>
      <c r="W33" s="191"/>
      <c r="X33" s="8" t="s">
        <v>818</v>
      </c>
      <c r="Y33" s="125" t="s">
        <v>818</v>
      </c>
      <c r="Z33" s="8" t="s">
        <v>818</v>
      </c>
      <c r="AA33" s="8" t="s">
        <v>818</v>
      </c>
      <c r="AB33" s="8" t="s">
        <v>818</v>
      </c>
      <c r="AC33" s="8" t="s">
        <v>818</v>
      </c>
      <c r="AD33" s="191"/>
      <c r="AE33" s="8" t="s">
        <v>818</v>
      </c>
      <c r="AF33" s="125" t="s">
        <v>818</v>
      </c>
      <c r="AG33" s="8"/>
      <c r="AH33" s="8"/>
      <c r="AI33" s="8"/>
      <c r="AJ33" s="8"/>
      <c r="AK33" s="5">
        <f t="shared" si="0"/>
        <v>22</v>
      </c>
      <c r="AL33" s="5">
        <f t="shared" si="1"/>
        <v>0</v>
      </c>
      <c r="AM33" s="14"/>
      <c r="AN33" s="14"/>
      <c r="AO33" s="14"/>
      <c r="AP33" s="14"/>
    </row>
    <row r="34" spans="1:42" ht="15.5" x14ac:dyDescent="0.35">
      <c r="A34" s="9">
        <v>7</v>
      </c>
      <c r="B34" s="9">
        <v>443</v>
      </c>
      <c r="C34" s="27" t="s">
        <v>476</v>
      </c>
      <c r="D34" s="27" t="s">
        <v>270</v>
      </c>
      <c r="E34" s="8" t="s">
        <v>709</v>
      </c>
      <c r="F34" s="189"/>
      <c r="G34" s="8" t="s">
        <v>818</v>
      </c>
      <c r="H34" s="8" t="s">
        <v>818</v>
      </c>
      <c r="I34" s="191"/>
      <c r="J34" s="8" t="s">
        <v>818</v>
      </c>
      <c r="K34" s="125" t="s">
        <v>818</v>
      </c>
      <c r="L34" s="8" t="s">
        <v>818</v>
      </c>
      <c r="M34" s="8" t="s">
        <v>818</v>
      </c>
      <c r="N34" s="8" t="s">
        <v>818</v>
      </c>
      <c r="O34" s="8" t="s">
        <v>818</v>
      </c>
      <c r="P34" s="191"/>
      <c r="Q34" s="8" t="s">
        <v>818</v>
      </c>
      <c r="R34" s="125" t="s">
        <v>818</v>
      </c>
      <c r="S34" s="8" t="s">
        <v>818</v>
      </c>
      <c r="T34" s="8" t="s">
        <v>818</v>
      </c>
      <c r="U34" s="8" t="s">
        <v>818</v>
      </c>
      <c r="V34" s="8" t="s">
        <v>818</v>
      </c>
      <c r="W34" s="191"/>
      <c r="X34" s="8" t="s">
        <v>818</v>
      </c>
      <c r="Y34" s="125" t="s">
        <v>818</v>
      </c>
      <c r="Z34" s="8" t="s">
        <v>818</v>
      </c>
      <c r="AA34" s="8" t="s">
        <v>818</v>
      </c>
      <c r="AB34" s="8" t="s">
        <v>818</v>
      </c>
      <c r="AC34" s="8" t="s">
        <v>818</v>
      </c>
      <c r="AD34" s="191"/>
      <c r="AE34" s="8" t="s">
        <v>818</v>
      </c>
      <c r="AF34" s="125" t="s">
        <v>818</v>
      </c>
      <c r="AG34" s="8"/>
      <c r="AH34" s="8"/>
      <c r="AI34" s="8"/>
      <c r="AJ34" s="8"/>
      <c r="AK34" s="5">
        <f t="shared" si="0"/>
        <v>22</v>
      </c>
      <c r="AL34" s="5">
        <f t="shared" si="1"/>
        <v>0</v>
      </c>
      <c r="AM34" s="14"/>
      <c r="AN34" s="14"/>
      <c r="AO34" s="14"/>
      <c r="AP34" s="14"/>
    </row>
    <row r="35" spans="1:42" ht="15.5" x14ac:dyDescent="0.35">
      <c r="A35" s="9">
        <v>8</v>
      </c>
      <c r="B35" s="9">
        <v>614</v>
      </c>
      <c r="C35" s="27" t="s">
        <v>476</v>
      </c>
      <c r="D35" s="27" t="s">
        <v>572</v>
      </c>
      <c r="E35" s="8" t="s">
        <v>709</v>
      </c>
      <c r="F35" s="189"/>
      <c r="G35" s="8" t="s">
        <v>818</v>
      </c>
      <c r="H35" s="8" t="s">
        <v>818</v>
      </c>
      <c r="I35" s="191"/>
      <c r="J35" s="8" t="s">
        <v>818</v>
      </c>
      <c r="K35" s="125" t="s">
        <v>818</v>
      </c>
      <c r="L35" s="8" t="s">
        <v>818</v>
      </c>
      <c r="M35" s="8" t="s">
        <v>818</v>
      </c>
      <c r="N35" s="8" t="s">
        <v>818</v>
      </c>
      <c r="O35" s="8" t="s">
        <v>818</v>
      </c>
      <c r="P35" s="191"/>
      <c r="Q35" s="8" t="s">
        <v>818</v>
      </c>
      <c r="R35" s="125" t="s">
        <v>818</v>
      </c>
      <c r="S35" s="8" t="s">
        <v>818</v>
      </c>
      <c r="T35" s="8" t="s">
        <v>818</v>
      </c>
      <c r="U35" s="8" t="s">
        <v>818</v>
      </c>
      <c r="V35" s="8" t="s">
        <v>818</v>
      </c>
      <c r="W35" s="191"/>
      <c r="X35" s="8" t="s">
        <v>818</v>
      </c>
      <c r="Y35" s="125" t="s">
        <v>818</v>
      </c>
      <c r="Z35" s="8" t="s">
        <v>818</v>
      </c>
      <c r="AA35" s="8" t="s">
        <v>818</v>
      </c>
      <c r="AB35" s="8" t="s">
        <v>818</v>
      </c>
      <c r="AC35" s="8" t="s">
        <v>818</v>
      </c>
      <c r="AD35" s="191"/>
      <c r="AE35" s="8" t="s">
        <v>818</v>
      </c>
      <c r="AF35" s="125" t="s">
        <v>818</v>
      </c>
      <c r="AG35" s="8"/>
      <c r="AH35" s="8"/>
      <c r="AI35" s="8"/>
      <c r="AJ35" s="8"/>
      <c r="AK35" s="5">
        <f t="shared" si="0"/>
        <v>22</v>
      </c>
      <c r="AL35" s="5">
        <f t="shared" si="1"/>
        <v>0</v>
      </c>
      <c r="AM35" s="14"/>
      <c r="AN35" s="14"/>
      <c r="AO35" s="14"/>
      <c r="AP35" s="14"/>
    </row>
    <row r="36" spans="1:42" ht="15.5" x14ac:dyDescent="0.35">
      <c r="A36" s="9">
        <v>9</v>
      </c>
      <c r="B36" s="9">
        <v>778</v>
      </c>
      <c r="C36" s="27" t="s">
        <v>573</v>
      </c>
      <c r="D36" s="27" t="s">
        <v>574</v>
      </c>
      <c r="E36" s="8" t="s">
        <v>709</v>
      </c>
      <c r="F36" s="189"/>
      <c r="G36" s="8" t="s">
        <v>818</v>
      </c>
      <c r="H36" s="8" t="s">
        <v>818</v>
      </c>
      <c r="I36" s="191"/>
      <c r="J36" s="8" t="s">
        <v>818</v>
      </c>
      <c r="K36" s="125" t="s">
        <v>818</v>
      </c>
      <c r="L36" s="8" t="s">
        <v>818</v>
      </c>
      <c r="M36" s="8" t="s">
        <v>818</v>
      </c>
      <c r="N36" s="8" t="s">
        <v>818</v>
      </c>
      <c r="O36" s="8" t="s">
        <v>818</v>
      </c>
      <c r="P36" s="191"/>
      <c r="Q36" s="8" t="s">
        <v>818</v>
      </c>
      <c r="R36" s="125" t="s">
        <v>818</v>
      </c>
      <c r="S36" s="8" t="s">
        <v>818</v>
      </c>
      <c r="T36" s="8" t="s">
        <v>818</v>
      </c>
      <c r="U36" s="8" t="s">
        <v>818</v>
      </c>
      <c r="V36" s="8" t="s">
        <v>818</v>
      </c>
      <c r="W36" s="191"/>
      <c r="X36" s="8" t="s">
        <v>818</v>
      </c>
      <c r="Y36" s="125" t="s">
        <v>818</v>
      </c>
      <c r="Z36" s="8" t="s">
        <v>818</v>
      </c>
      <c r="AA36" s="8" t="s">
        <v>818</v>
      </c>
      <c r="AB36" s="8" t="s">
        <v>818</v>
      </c>
      <c r="AC36" s="8" t="s">
        <v>818</v>
      </c>
      <c r="AD36" s="191"/>
      <c r="AE36" s="8" t="s">
        <v>818</v>
      </c>
      <c r="AF36" s="125" t="s">
        <v>818</v>
      </c>
      <c r="AG36" s="8"/>
      <c r="AH36" s="8"/>
      <c r="AI36" s="8"/>
      <c r="AJ36" s="8"/>
      <c r="AK36" s="5">
        <f t="shared" si="0"/>
        <v>22</v>
      </c>
      <c r="AL36" s="5">
        <f t="shared" si="1"/>
        <v>0</v>
      </c>
      <c r="AM36" s="14"/>
      <c r="AN36" s="14"/>
      <c r="AO36" s="14"/>
      <c r="AP36" s="14"/>
    </row>
    <row r="37" spans="1:42" ht="15.5" x14ac:dyDescent="0.35">
      <c r="A37" s="9">
        <v>10</v>
      </c>
      <c r="B37" s="9"/>
      <c r="C37" s="24" t="s">
        <v>575</v>
      </c>
      <c r="D37" s="24" t="s">
        <v>576</v>
      </c>
      <c r="E37" s="8" t="s">
        <v>709</v>
      </c>
      <c r="F37" s="189"/>
      <c r="G37" s="8" t="s">
        <v>818</v>
      </c>
      <c r="H37" s="8" t="s">
        <v>818</v>
      </c>
      <c r="I37" s="191"/>
      <c r="J37" s="8" t="s">
        <v>818</v>
      </c>
      <c r="K37" s="125" t="s">
        <v>818</v>
      </c>
      <c r="L37" s="8" t="s">
        <v>818</v>
      </c>
      <c r="M37" s="8" t="s">
        <v>818</v>
      </c>
      <c r="N37" s="8" t="s">
        <v>818</v>
      </c>
      <c r="O37" s="8" t="s">
        <v>818</v>
      </c>
      <c r="P37" s="191"/>
      <c r="Q37" s="8" t="s">
        <v>818</v>
      </c>
      <c r="R37" s="125" t="s">
        <v>818</v>
      </c>
      <c r="S37" s="8" t="s">
        <v>818</v>
      </c>
      <c r="T37" s="8" t="s">
        <v>818</v>
      </c>
      <c r="U37" s="8" t="s">
        <v>818</v>
      </c>
      <c r="V37" s="8" t="s">
        <v>817</v>
      </c>
      <c r="W37" s="191"/>
      <c r="X37" s="8" t="s">
        <v>818</v>
      </c>
      <c r="Y37" s="125" t="s">
        <v>818</v>
      </c>
      <c r="Z37" s="8" t="s">
        <v>818</v>
      </c>
      <c r="AA37" s="8" t="s">
        <v>818</v>
      </c>
      <c r="AB37" s="8" t="s">
        <v>819</v>
      </c>
      <c r="AC37" s="8" t="s">
        <v>819</v>
      </c>
      <c r="AD37" s="191"/>
      <c r="AE37" s="8" t="s">
        <v>818</v>
      </c>
      <c r="AF37" s="125" t="s">
        <v>818</v>
      </c>
      <c r="AG37" s="8"/>
      <c r="AH37" s="8"/>
      <c r="AI37" s="8"/>
      <c r="AJ37" s="8"/>
      <c r="AK37" s="5">
        <f t="shared" si="0"/>
        <v>19</v>
      </c>
      <c r="AL37" s="5">
        <f t="shared" si="1"/>
        <v>1</v>
      </c>
      <c r="AM37" s="14"/>
      <c r="AN37" s="14"/>
      <c r="AO37" s="14"/>
      <c r="AP37" s="14"/>
    </row>
    <row r="38" spans="1:42" ht="15.5" x14ac:dyDescent="0.35">
      <c r="A38" s="9">
        <v>11</v>
      </c>
      <c r="B38" s="9"/>
      <c r="C38" s="24" t="s">
        <v>577</v>
      </c>
      <c r="D38" s="24" t="s">
        <v>572</v>
      </c>
      <c r="E38" s="8" t="s">
        <v>709</v>
      </c>
      <c r="F38" s="189"/>
      <c r="G38" s="8" t="s">
        <v>818</v>
      </c>
      <c r="H38" s="8" t="s">
        <v>818</v>
      </c>
      <c r="I38" s="191"/>
      <c r="J38" s="8" t="s">
        <v>818</v>
      </c>
      <c r="K38" s="125" t="s">
        <v>818</v>
      </c>
      <c r="L38" s="8" t="s">
        <v>818</v>
      </c>
      <c r="M38" s="8" t="s">
        <v>818</v>
      </c>
      <c r="N38" s="8" t="s">
        <v>818</v>
      </c>
      <c r="O38" s="8" t="s">
        <v>818</v>
      </c>
      <c r="P38" s="191"/>
      <c r="Q38" s="8" t="s">
        <v>818</v>
      </c>
      <c r="R38" s="125" t="s">
        <v>818</v>
      </c>
      <c r="S38" s="8" t="s">
        <v>818</v>
      </c>
      <c r="T38" s="8" t="s">
        <v>818</v>
      </c>
      <c r="U38" s="8" t="s">
        <v>818</v>
      </c>
      <c r="V38" s="8" t="s">
        <v>818</v>
      </c>
      <c r="W38" s="191"/>
      <c r="X38" s="8" t="s">
        <v>818</v>
      </c>
      <c r="Y38" s="125" t="s">
        <v>818</v>
      </c>
      <c r="Z38" s="8" t="s">
        <v>818</v>
      </c>
      <c r="AA38" s="8" t="s">
        <v>818</v>
      </c>
      <c r="AB38" s="8" t="s">
        <v>818</v>
      </c>
      <c r="AC38" s="8" t="s">
        <v>818</v>
      </c>
      <c r="AD38" s="191"/>
      <c r="AE38" s="8" t="s">
        <v>818</v>
      </c>
      <c r="AF38" s="125" t="s">
        <v>818</v>
      </c>
      <c r="AG38" s="8"/>
      <c r="AH38" s="8"/>
      <c r="AI38" s="8"/>
      <c r="AJ38" s="8"/>
      <c r="AK38" s="5">
        <f t="shared" si="0"/>
        <v>22</v>
      </c>
      <c r="AL38" s="5">
        <f t="shared" si="1"/>
        <v>0</v>
      </c>
      <c r="AM38" s="14"/>
      <c r="AN38" s="14"/>
      <c r="AO38" s="14"/>
      <c r="AP38" s="14"/>
    </row>
    <row r="39" spans="1:42" ht="15.5" x14ac:dyDescent="0.3">
      <c r="A39" s="9">
        <v>12</v>
      </c>
      <c r="B39" s="9"/>
      <c r="C39" s="14" t="s">
        <v>578</v>
      </c>
      <c r="D39" s="14" t="s">
        <v>270</v>
      </c>
      <c r="E39" s="8" t="s">
        <v>709</v>
      </c>
      <c r="F39" s="189"/>
      <c r="G39" s="8" t="s">
        <v>818</v>
      </c>
      <c r="H39" s="8" t="s">
        <v>818</v>
      </c>
      <c r="I39" s="191"/>
      <c r="J39" s="8" t="s">
        <v>818</v>
      </c>
      <c r="K39" s="125" t="s">
        <v>818</v>
      </c>
      <c r="L39" s="8" t="s">
        <v>818</v>
      </c>
      <c r="M39" s="8" t="s">
        <v>818</v>
      </c>
      <c r="N39" s="8" t="s">
        <v>818</v>
      </c>
      <c r="O39" s="8" t="s">
        <v>818</v>
      </c>
      <c r="P39" s="191"/>
      <c r="Q39" s="8" t="s">
        <v>818</v>
      </c>
      <c r="R39" s="125" t="s">
        <v>818</v>
      </c>
      <c r="S39" s="8" t="s">
        <v>818</v>
      </c>
      <c r="T39" s="8" t="s">
        <v>818</v>
      </c>
      <c r="U39" s="8" t="s">
        <v>818</v>
      </c>
      <c r="V39" s="8" t="s">
        <v>818</v>
      </c>
      <c r="W39" s="191"/>
      <c r="X39" s="8" t="s">
        <v>818</v>
      </c>
      <c r="Y39" s="125" t="s">
        <v>818</v>
      </c>
      <c r="Z39" s="8" t="s">
        <v>818</v>
      </c>
      <c r="AA39" s="8" t="s">
        <v>818</v>
      </c>
      <c r="AB39" s="8" t="s">
        <v>818</v>
      </c>
      <c r="AC39" s="8" t="s">
        <v>818</v>
      </c>
      <c r="AD39" s="191"/>
      <c r="AE39" s="8" t="s">
        <v>818</v>
      </c>
      <c r="AF39" s="125" t="s">
        <v>818</v>
      </c>
      <c r="AG39" s="8"/>
      <c r="AH39" s="8"/>
      <c r="AI39" s="8"/>
      <c r="AJ39" s="8"/>
      <c r="AK39" s="5">
        <f t="shared" si="0"/>
        <v>22</v>
      </c>
      <c r="AL39" s="5">
        <f t="shared" si="1"/>
        <v>0</v>
      </c>
      <c r="AM39" s="14"/>
      <c r="AN39" s="14"/>
      <c r="AO39" s="14"/>
      <c r="AP39" s="14"/>
    </row>
    <row r="40" spans="1:42" ht="15.5" x14ac:dyDescent="0.3">
      <c r="A40" s="9">
        <v>13</v>
      </c>
      <c r="B40" s="9"/>
      <c r="C40" s="14" t="s">
        <v>579</v>
      </c>
      <c r="D40" s="14" t="s">
        <v>580</v>
      </c>
      <c r="E40" s="8" t="s">
        <v>709</v>
      </c>
      <c r="F40" s="189"/>
      <c r="G40" s="8" t="s">
        <v>818</v>
      </c>
      <c r="H40" s="8" t="s">
        <v>818</v>
      </c>
      <c r="I40" s="191"/>
      <c r="J40" s="8" t="s">
        <v>818</v>
      </c>
      <c r="K40" s="125" t="s">
        <v>818</v>
      </c>
      <c r="L40" s="8" t="s">
        <v>818</v>
      </c>
      <c r="M40" s="8" t="s">
        <v>818</v>
      </c>
      <c r="N40" s="8" t="s">
        <v>818</v>
      </c>
      <c r="O40" s="8" t="s">
        <v>818</v>
      </c>
      <c r="P40" s="191"/>
      <c r="Q40" s="8" t="s">
        <v>818</v>
      </c>
      <c r="R40" s="125" t="s">
        <v>818</v>
      </c>
      <c r="S40" s="8" t="s">
        <v>818</v>
      </c>
      <c r="T40" s="8" t="s">
        <v>818</v>
      </c>
      <c r="U40" s="8" t="s">
        <v>818</v>
      </c>
      <c r="V40" s="8" t="s">
        <v>818</v>
      </c>
      <c r="W40" s="191"/>
      <c r="X40" s="8" t="s">
        <v>818</v>
      </c>
      <c r="Y40" s="125" t="s">
        <v>818</v>
      </c>
      <c r="Z40" s="8" t="s">
        <v>818</v>
      </c>
      <c r="AA40" s="8" t="s">
        <v>818</v>
      </c>
      <c r="AB40" s="8" t="s">
        <v>817</v>
      </c>
      <c r="AC40" s="8" t="s">
        <v>818</v>
      </c>
      <c r="AD40" s="191"/>
      <c r="AE40" s="8" t="s">
        <v>818</v>
      </c>
      <c r="AF40" s="125" t="s">
        <v>818</v>
      </c>
      <c r="AG40" s="8"/>
      <c r="AH40" s="8"/>
      <c r="AI40" s="8"/>
      <c r="AJ40" s="8"/>
      <c r="AK40" s="5">
        <f t="shared" si="0"/>
        <v>21</v>
      </c>
      <c r="AL40" s="5">
        <f t="shared" si="1"/>
        <v>1</v>
      </c>
      <c r="AM40" s="14"/>
      <c r="AN40" s="14"/>
      <c r="AO40" s="14"/>
      <c r="AP40" s="14"/>
    </row>
    <row r="41" spans="1:42" ht="15.5" x14ac:dyDescent="0.3">
      <c r="A41" s="9">
        <v>14</v>
      </c>
      <c r="B41" s="9"/>
      <c r="C41" s="14" t="s">
        <v>581</v>
      </c>
      <c r="D41" s="14" t="s">
        <v>98</v>
      </c>
      <c r="E41" s="8" t="s">
        <v>709</v>
      </c>
      <c r="F41" s="189"/>
      <c r="G41" s="8" t="s">
        <v>818</v>
      </c>
      <c r="H41" s="8" t="s">
        <v>818</v>
      </c>
      <c r="I41" s="191"/>
      <c r="J41" s="8" t="s">
        <v>818</v>
      </c>
      <c r="K41" s="125" t="s">
        <v>818</v>
      </c>
      <c r="L41" s="8" t="s">
        <v>818</v>
      </c>
      <c r="M41" s="8" t="s">
        <v>818</v>
      </c>
      <c r="N41" s="8" t="s">
        <v>818</v>
      </c>
      <c r="O41" s="8" t="s">
        <v>818</v>
      </c>
      <c r="P41" s="191"/>
      <c r="Q41" s="8" t="s">
        <v>818</v>
      </c>
      <c r="R41" s="125" t="s">
        <v>818</v>
      </c>
      <c r="S41" s="8" t="s">
        <v>818</v>
      </c>
      <c r="T41" s="8" t="s">
        <v>818</v>
      </c>
      <c r="U41" s="8" t="s">
        <v>818</v>
      </c>
      <c r="V41" s="8" t="s">
        <v>818</v>
      </c>
      <c r="W41" s="191"/>
      <c r="X41" s="8" t="s">
        <v>818</v>
      </c>
      <c r="Y41" s="125" t="s">
        <v>818</v>
      </c>
      <c r="Z41" s="8" t="s">
        <v>818</v>
      </c>
      <c r="AA41" s="8" t="s">
        <v>818</v>
      </c>
      <c r="AB41" s="8" t="s">
        <v>818</v>
      </c>
      <c r="AC41" s="8" t="s">
        <v>818</v>
      </c>
      <c r="AD41" s="191"/>
      <c r="AE41" s="8" t="s">
        <v>818</v>
      </c>
      <c r="AF41" s="125" t="s">
        <v>818</v>
      </c>
      <c r="AG41" s="8"/>
      <c r="AH41" s="8"/>
      <c r="AI41" s="8"/>
      <c r="AJ41" s="8"/>
      <c r="AK41" s="5">
        <f t="shared" si="0"/>
        <v>22</v>
      </c>
      <c r="AL41" s="5">
        <f t="shared" si="1"/>
        <v>0</v>
      </c>
      <c r="AM41" s="14"/>
      <c r="AN41" s="14"/>
      <c r="AO41" s="14"/>
      <c r="AP41" s="14"/>
    </row>
    <row r="42" spans="1:42" ht="15.5" x14ac:dyDescent="0.3">
      <c r="A42" s="9">
        <v>15</v>
      </c>
      <c r="B42" s="9"/>
      <c r="C42" s="14" t="s">
        <v>582</v>
      </c>
      <c r="D42" s="14" t="s">
        <v>583</v>
      </c>
      <c r="E42" s="8" t="s">
        <v>709</v>
      </c>
      <c r="F42" s="189"/>
      <c r="G42" s="8" t="s">
        <v>818</v>
      </c>
      <c r="H42" s="8" t="s">
        <v>817</v>
      </c>
      <c r="I42" s="191"/>
      <c r="J42" s="8" t="s">
        <v>818</v>
      </c>
      <c r="K42" s="125" t="s">
        <v>818</v>
      </c>
      <c r="L42" s="8" t="s">
        <v>818</v>
      </c>
      <c r="M42" s="8" t="s">
        <v>817</v>
      </c>
      <c r="N42" s="8" t="s">
        <v>818</v>
      </c>
      <c r="O42" s="8" t="s">
        <v>817</v>
      </c>
      <c r="P42" s="191"/>
      <c r="Q42" s="8" t="s">
        <v>818</v>
      </c>
      <c r="R42" s="125" t="s">
        <v>818</v>
      </c>
      <c r="S42" s="8" t="s">
        <v>818</v>
      </c>
      <c r="T42" s="8" t="s">
        <v>818</v>
      </c>
      <c r="U42" s="8" t="s">
        <v>818</v>
      </c>
      <c r="V42" s="8" t="s">
        <v>818</v>
      </c>
      <c r="W42" s="191"/>
      <c r="X42" s="8" t="s">
        <v>818</v>
      </c>
      <c r="Y42" s="125" t="s">
        <v>818</v>
      </c>
      <c r="Z42" s="8" t="s">
        <v>818</v>
      </c>
      <c r="AA42" s="8" t="s">
        <v>818</v>
      </c>
      <c r="AB42" s="8" t="s">
        <v>818</v>
      </c>
      <c r="AC42" s="8" t="s">
        <v>818</v>
      </c>
      <c r="AD42" s="191"/>
      <c r="AE42" s="8" t="s">
        <v>818</v>
      </c>
      <c r="AF42" s="125" t="s">
        <v>818</v>
      </c>
      <c r="AG42" s="8"/>
      <c r="AH42" s="8"/>
      <c r="AI42" s="8"/>
      <c r="AJ42" s="8"/>
      <c r="AK42" s="5">
        <f t="shared" si="0"/>
        <v>19</v>
      </c>
      <c r="AL42" s="5">
        <f t="shared" si="1"/>
        <v>3</v>
      </c>
      <c r="AM42" s="14"/>
      <c r="AN42" s="14"/>
      <c r="AO42" s="14"/>
      <c r="AP42" s="14"/>
    </row>
    <row r="43" spans="1:42" ht="15.5" x14ac:dyDescent="0.3">
      <c r="A43" s="9">
        <v>16</v>
      </c>
      <c r="B43" s="9"/>
      <c r="C43" s="14" t="s">
        <v>584</v>
      </c>
      <c r="D43" s="14" t="s">
        <v>442</v>
      </c>
      <c r="E43" s="8" t="s">
        <v>709</v>
      </c>
      <c r="F43" s="189"/>
      <c r="G43" s="8" t="s">
        <v>818</v>
      </c>
      <c r="H43" s="8" t="s">
        <v>818</v>
      </c>
      <c r="I43" s="191"/>
      <c r="J43" s="8" t="s">
        <v>818</v>
      </c>
      <c r="K43" s="125" t="s">
        <v>818</v>
      </c>
      <c r="L43" s="8" t="s">
        <v>818</v>
      </c>
      <c r="M43" s="8" t="s">
        <v>818</v>
      </c>
      <c r="N43" s="8" t="s">
        <v>818</v>
      </c>
      <c r="O43" s="8" t="s">
        <v>818</v>
      </c>
      <c r="P43" s="191"/>
      <c r="Q43" s="8" t="s">
        <v>818</v>
      </c>
      <c r="R43" s="125" t="s">
        <v>818</v>
      </c>
      <c r="S43" s="8" t="s">
        <v>818</v>
      </c>
      <c r="T43" s="8" t="s">
        <v>818</v>
      </c>
      <c r="U43" s="8" t="s">
        <v>818</v>
      </c>
      <c r="V43" s="8" t="s">
        <v>818</v>
      </c>
      <c r="W43" s="191"/>
      <c r="X43" s="8" t="s">
        <v>818</v>
      </c>
      <c r="Y43" s="125" t="s">
        <v>818</v>
      </c>
      <c r="Z43" s="8" t="s">
        <v>818</v>
      </c>
      <c r="AA43" s="8" t="s">
        <v>818</v>
      </c>
      <c r="AB43" s="8" t="s">
        <v>818</v>
      </c>
      <c r="AC43" s="8" t="s">
        <v>818</v>
      </c>
      <c r="AD43" s="191"/>
      <c r="AE43" s="8" t="s">
        <v>818</v>
      </c>
      <c r="AF43" s="125" t="s">
        <v>818</v>
      </c>
      <c r="AG43" s="8"/>
      <c r="AH43" s="8"/>
      <c r="AI43" s="8"/>
      <c r="AJ43" s="8"/>
      <c r="AK43" s="5">
        <f t="shared" si="0"/>
        <v>22</v>
      </c>
      <c r="AL43" s="5">
        <f t="shared" si="1"/>
        <v>0</v>
      </c>
      <c r="AM43" s="14"/>
      <c r="AN43" s="14"/>
      <c r="AO43" s="14"/>
      <c r="AP43" s="14"/>
    </row>
    <row r="44" spans="1:42" ht="15.5" x14ac:dyDescent="0.3">
      <c r="A44" s="9">
        <v>17</v>
      </c>
      <c r="B44" s="9"/>
      <c r="C44" s="14" t="s">
        <v>585</v>
      </c>
      <c r="D44" s="14" t="s">
        <v>586</v>
      </c>
      <c r="E44" s="8" t="s">
        <v>709</v>
      </c>
      <c r="F44" s="189"/>
      <c r="G44" s="8" t="s">
        <v>818</v>
      </c>
      <c r="H44" s="8" t="s">
        <v>818</v>
      </c>
      <c r="I44" s="191"/>
      <c r="J44" s="8" t="s">
        <v>818</v>
      </c>
      <c r="K44" s="125" t="s">
        <v>818</v>
      </c>
      <c r="L44" s="8" t="s">
        <v>818</v>
      </c>
      <c r="M44" s="8" t="s">
        <v>818</v>
      </c>
      <c r="N44" s="8" t="s">
        <v>818</v>
      </c>
      <c r="O44" s="8" t="s">
        <v>818</v>
      </c>
      <c r="P44" s="191"/>
      <c r="Q44" s="8" t="s">
        <v>818</v>
      </c>
      <c r="R44" s="125" t="s">
        <v>818</v>
      </c>
      <c r="S44" s="8" t="s">
        <v>818</v>
      </c>
      <c r="T44" s="8" t="s">
        <v>818</v>
      </c>
      <c r="U44" s="8" t="s">
        <v>818</v>
      </c>
      <c r="V44" s="8" t="s">
        <v>818</v>
      </c>
      <c r="W44" s="191"/>
      <c r="X44" s="8" t="s">
        <v>818</v>
      </c>
      <c r="Y44" s="125" t="s">
        <v>818</v>
      </c>
      <c r="Z44" s="8" t="s">
        <v>818</v>
      </c>
      <c r="AA44" s="8" t="s">
        <v>818</v>
      </c>
      <c r="AB44" s="8" t="s">
        <v>818</v>
      </c>
      <c r="AC44" s="8" t="s">
        <v>818</v>
      </c>
      <c r="AD44" s="191"/>
      <c r="AE44" s="8" t="s">
        <v>818</v>
      </c>
      <c r="AF44" s="125" t="s">
        <v>818</v>
      </c>
      <c r="AG44" s="8"/>
      <c r="AH44" s="8"/>
      <c r="AI44" s="8"/>
      <c r="AJ44" s="8"/>
      <c r="AK44" s="5">
        <f t="shared" si="0"/>
        <v>22</v>
      </c>
      <c r="AL44" s="5">
        <f t="shared" si="1"/>
        <v>0</v>
      </c>
      <c r="AM44" s="14"/>
      <c r="AN44" s="14"/>
      <c r="AO44" s="14"/>
      <c r="AP44" s="14"/>
    </row>
    <row r="45" spans="1:42" ht="15.5" x14ac:dyDescent="0.3">
      <c r="A45" s="9">
        <v>18</v>
      </c>
      <c r="B45" s="9"/>
      <c r="C45" s="14" t="s">
        <v>587</v>
      </c>
      <c r="D45" s="14" t="s">
        <v>352</v>
      </c>
      <c r="E45" s="8" t="s">
        <v>709</v>
      </c>
      <c r="F45" s="189"/>
      <c r="G45" s="8" t="s">
        <v>817</v>
      </c>
      <c r="H45" s="8" t="s">
        <v>818</v>
      </c>
      <c r="I45" s="191"/>
      <c r="J45" s="8" t="s">
        <v>818</v>
      </c>
      <c r="K45" s="125" t="s">
        <v>818</v>
      </c>
      <c r="L45" s="8" t="s">
        <v>818</v>
      </c>
      <c r="M45" s="8" t="s">
        <v>818</v>
      </c>
      <c r="N45" s="8" t="s">
        <v>818</v>
      </c>
      <c r="O45" s="8" t="s">
        <v>818</v>
      </c>
      <c r="P45" s="191"/>
      <c r="Q45" s="8" t="s">
        <v>818</v>
      </c>
      <c r="R45" s="125" t="s">
        <v>818</v>
      </c>
      <c r="S45" s="8" t="s">
        <v>818</v>
      </c>
      <c r="T45" s="8" t="s">
        <v>818</v>
      </c>
      <c r="U45" s="8" t="s">
        <v>818</v>
      </c>
      <c r="V45" s="8" t="s">
        <v>818</v>
      </c>
      <c r="W45" s="191"/>
      <c r="X45" s="8" t="s">
        <v>818</v>
      </c>
      <c r="Y45" s="125" t="s">
        <v>818</v>
      </c>
      <c r="Z45" s="8" t="s">
        <v>818</v>
      </c>
      <c r="AA45" s="8" t="s">
        <v>818</v>
      </c>
      <c r="AB45" s="8" t="s">
        <v>818</v>
      </c>
      <c r="AC45" s="8" t="s">
        <v>818</v>
      </c>
      <c r="AD45" s="191"/>
      <c r="AE45" s="8" t="s">
        <v>818</v>
      </c>
      <c r="AF45" s="125" t="s">
        <v>818</v>
      </c>
      <c r="AG45" s="8"/>
      <c r="AH45" s="8"/>
      <c r="AI45" s="8"/>
      <c r="AJ45" s="8"/>
      <c r="AK45" s="5">
        <f t="shared" si="0"/>
        <v>21</v>
      </c>
      <c r="AL45" s="5">
        <f t="shared" si="1"/>
        <v>1</v>
      </c>
      <c r="AM45" s="14"/>
      <c r="AN45" s="14"/>
      <c r="AO45" s="14"/>
      <c r="AP45" s="14"/>
    </row>
    <row r="46" spans="1:42" ht="15.5" x14ac:dyDescent="0.3">
      <c r="A46" s="9">
        <v>19</v>
      </c>
      <c r="B46" s="9"/>
      <c r="C46" s="14" t="s">
        <v>588</v>
      </c>
      <c r="D46" s="14" t="s">
        <v>589</v>
      </c>
      <c r="E46" s="8" t="s">
        <v>709</v>
      </c>
      <c r="F46" s="189"/>
      <c r="G46" s="8" t="s">
        <v>818</v>
      </c>
      <c r="H46" s="8" t="s">
        <v>818</v>
      </c>
      <c r="I46" s="191"/>
      <c r="J46" s="8" t="s">
        <v>818</v>
      </c>
      <c r="K46" s="125" t="s">
        <v>818</v>
      </c>
      <c r="L46" s="8" t="s">
        <v>818</v>
      </c>
      <c r="M46" s="8" t="s">
        <v>818</v>
      </c>
      <c r="N46" s="8" t="s">
        <v>818</v>
      </c>
      <c r="O46" s="8" t="s">
        <v>818</v>
      </c>
      <c r="P46" s="191"/>
      <c r="Q46" s="8" t="s">
        <v>818</v>
      </c>
      <c r="R46" s="125" t="s">
        <v>818</v>
      </c>
      <c r="S46" s="8" t="s">
        <v>818</v>
      </c>
      <c r="T46" s="8" t="s">
        <v>818</v>
      </c>
      <c r="U46" s="8" t="s">
        <v>818</v>
      </c>
      <c r="V46" s="8" t="s">
        <v>818</v>
      </c>
      <c r="W46" s="191"/>
      <c r="X46" s="8" t="s">
        <v>818</v>
      </c>
      <c r="Y46" s="125" t="s">
        <v>818</v>
      </c>
      <c r="Z46" s="8" t="s">
        <v>818</v>
      </c>
      <c r="AA46" s="8" t="s">
        <v>818</v>
      </c>
      <c r="AB46" s="8" t="s">
        <v>818</v>
      </c>
      <c r="AC46" s="8" t="s">
        <v>818</v>
      </c>
      <c r="AD46" s="191"/>
      <c r="AE46" s="8" t="s">
        <v>818</v>
      </c>
      <c r="AF46" s="125" t="s">
        <v>818</v>
      </c>
      <c r="AG46" s="8"/>
      <c r="AH46" s="8"/>
      <c r="AI46" s="8"/>
      <c r="AJ46" s="8"/>
      <c r="AK46" s="5">
        <f t="shared" si="0"/>
        <v>22</v>
      </c>
      <c r="AL46" s="5">
        <f t="shared" si="1"/>
        <v>0</v>
      </c>
      <c r="AM46" s="14"/>
      <c r="AN46" s="14"/>
      <c r="AO46" s="14"/>
      <c r="AP46" s="14"/>
    </row>
    <row r="47" spans="1:42" ht="15.5" x14ac:dyDescent="0.3">
      <c r="A47" s="9">
        <v>20</v>
      </c>
      <c r="B47" s="9"/>
      <c r="C47" s="14" t="s">
        <v>615</v>
      </c>
      <c r="D47" s="14"/>
      <c r="E47" s="8" t="s">
        <v>709</v>
      </c>
      <c r="F47" s="189"/>
      <c r="G47" s="8" t="s">
        <v>817</v>
      </c>
      <c r="H47" s="8" t="s">
        <v>817</v>
      </c>
      <c r="I47" s="191"/>
      <c r="J47" s="8" t="s">
        <v>817</v>
      </c>
      <c r="K47" s="125" t="s">
        <v>817</v>
      </c>
      <c r="L47" s="8" t="s">
        <v>817</v>
      </c>
      <c r="M47" s="8" t="s">
        <v>817</v>
      </c>
      <c r="N47" s="8" t="s">
        <v>817</v>
      </c>
      <c r="O47" s="8" t="s">
        <v>817</v>
      </c>
      <c r="P47" s="191"/>
      <c r="Q47" s="8" t="s">
        <v>818</v>
      </c>
      <c r="R47" s="125" t="s">
        <v>817</v>
      </c>
      <c r="S47" s="8" t="s">
        <v>817</v>
      </c>
      <c r="T47" s="8" t="s">
        <v>818</v>
      </c>
      <c r="U47" s="8" t="s">
        <v>818</v>
      </c>
      <c r="V47" s="8" t="s">
        <v>818</v>
      </c>
      <c r="W47" s="191"/>
      <c r="X47" s="8" t="s">
        <v>818</v>
      </c>
      <c r="Y47" s="125" t="s">
        <v>818</v>
      </c>
      <c r="Z47" s="8" t="s">
        <v>818</v>
      </c>
      <c r="AA47" s="8" t="s">
        <v>818</v>
      </c>
      <c r="AB47" s="8" t="s">
        <v>818</v>
      </c>
      <c r="AC47" s="8" t="s">
        <v>818</v>
      </c>
      <c r="AD47" s="191"/>
      <c r="AE47" s="8" t="s">
        <v>818</v>
      </c>
      <c r="AF47" s="125" t="s">
        <v>818</v>
      </c>
      <c r="AG47" s="8"/>
      <c r="AH47" s="8"/>
      <c r="AI47" s="8"/>
      <c r="AJ47" s="8"/>
      <c r="AK47" s="5">
        <f t="shared" si="0"/>
        <v>12</v>
      </c>
      <c r="AL47" s="5">
        <f t="shared" si="1"/>
        <v>10</v>
      </c>
      <c r="AM47" s="14"/>
      <c r="AN47" s="14"/>
      <c r="AO47" s="14"/>
      <c r="AP47" s="14"/>
    </row>
    <row r="48" spans="1:42" ht="15.5" x14ac:dyDescent="0.3">
      <c r="A48" s="9">
        <v>21</v>
      </c>
      <c r="B48" s="9"/>
      <c r="C48" s="14" t="s">
        <v>779</v>
      </c>
      <c r="D48" s="14"/>
      <c r="E48" s="8" t="s">
        <v>709</v>
      </c>
      <c r="F48" s="189"/>
      <c r="G48" s="8" t="s">
        <v>818</v>
      </c>
      <c r="H48" s="8" t="s">
        <v>818</v>
      </c>
      <c r="I48" s="191"/>
      <c r="J48" s="8" t="s">
        <v>818</v>
      </c>
      <c r="K48" s="125" t="s">
        <v>818</v>
      </c>
      <c r="L48" s="8" t="s">
        <v>818</v>
      </c>
      <c r="M48" s="8" t="s">
        <v>818</v>
      </c>
      <c r="N48" s="8" t="s">
        <v>818</v>
      </c>
      <c r="O48" s="8" t="s">
        <v>818</v>
      </c>
      <c r="P48" s="191"/>
      <c r="Q48" s="8" t="s">
        <v>818</v>
      </c>
      <c r="R48" s="125" t="s">
        <v>818</v>
      </c>
      <c r="S48" s="8" t="s">
        <v>818</v>
      </c>
      <c r="T48" s="8" t="s">
        <v>818</v>
      </c>
      <c r="U48" s="8" t="s">
        <v>818</v>
      </c>
      <c r="V48" s="8" t="s">
        <v>818</v>
      </c>
      <c r="W48" s="191"/>
      <c r="X48" s="8" t="s">
        <v>818</v>
      </c>
      <c r="Y48" s="125" t="s">
        <v>818</v>
      </c>
      <c r="Z48" s="8" t="s">
        <v>818</v>
      </c>
      <c r="AA48" s="8" t="s">
        <v>818</v>
      </c>
      <c r="AB48" s="8" t="s">
        <v>817</v>
      </c>
      <c r="AC48" s="8" t="s">
        <v>818</v>
      </c>
      <c r="AD48" s="191"/>
      <c r="AE48" s="8" t="s">
        <v>818</v>
      </c>
      <c r="AF48" s="125" t="s">
        <v>818</v>
      </c>
      <c r="AG48" s="8"/>
      <c r="AH48" s="8"/>
      <c r="AI48" s="8"/>
      <c r="AJ48" s="8"/>
      <c r="AK48" s="5">
        <f t="shared" si="0"/>
        <v>21</v>
      </c>
      <c r="AL48" s="5">
        <f t="shared" si="1"/>
        <v>1</v>
      </c>
      <c r="AM48" s="14"/>
      <c r="AN48" s="14"/>
      <c r="AO48" s="14"/>
      <c r="AP48" s="14"/>
    </row>
    <row r="49" spans="1:42" ht="15.5" x14ac:dyDescent="0.3">
      <c r="A49" s="9">
        <v>22</v>
      </c>
      <c r="B49" s="14"/>
      <c r="C49" s="14" t="s">
        <v>780</v>
      </c>
      <c r="D49" s="14" t="s">
        <v>56</v>
      </c>
      <c r="E49" s="8" t="s">
        <v>709</v>
      </c>
      <c r="F49" s="189"/>
      <c r="G49" s="8" t="s">
        <v>818</v>
      </c>
      <c r="H49" s="8" t="s">
        <v>818</v>
      </c>
      <c r="I49" s="191"/>
      <c r="J49" s="125" t="s">
        <v>818</v>
      </c>
      <c r="K49" s="125" t="s">
        <v>818</v>
      </c>
      <c r="L49" s="125" t="s">
        <v>818</v>
      </c>
      <c r="M49" s="125" t="s">
        <v>818</v>
      </c>
      <c r="N49" s="125" t="s">
        <v>818</v>
      </c>
      <c r="O49" s="125" t="s">
        <v>818</v>
      </c>
      <c r="P49" s="191"/>
      <c r="Q49" s="125" t="s">
        <v>818</v>
      </c>
      <c r="R49" s="125" t="s">
        <v>818</v>
      </c>
      <c r="S49" s="8" t="s">
        <v>818</v>
      </c>
      <c r="T49" s="8" t="s">
        <v>818</v>
      </c>
      <c r="U49" s="8" t="s">
        <v>818</v>
      </c>
      <c r="V49" s="8" t="s">
        <v>818</v>
      </c>
      <c r="W49" s="191"/>
      <c r="X49" s="8" t="s">
        <v>818</v>
      </c>
      <c r="Y49" s="125" t="s">
        <v>818</v>
      </c>
      <c r="Z49" s="8" t="s">
        <v>818</v>
      </c>
      <c r="AA49" s="8" t="s">
        <v>818</v>
      </c>
      <c r="AB49" s="8" t="s">
        <v>819</v>
      </c>
      <c r="AC49" s="8" t="s">
        <v>818</v>
      </c>
      <c r="AD49" s="191"/>
      <c r="AE49" s="8" t="s">
        <v>818</v>
      </c>
      <c r="AF49" s="125" t="s">
        <v>818</v>
      </c>
      <c r="AG49" s="14"/>
      <c r="AH49" s="14"/>
      <c r="AI49" s="14"/>
      <c r="AJ49" s="14"/>
      <c r="AK49" s="14">
        <f t="shared" si="0"/>
        <v>21</v>
      </c>
      <c r="AL49" s="14">
        <f t="shared" si="1"/>
        <v>0</v>
      </c>
      <c r="AM49" s="14"/>
      <c r="AN49" s="14"/>
      <c r="AO49" s="14"/>
      <c r="AP49" s="14"/>
    </row>
    <row r="50" spans="1:42" ht="15.5" x14ac:dyDescent="0.3">
      <c r="A50" s="9">
        <v>23</v>
      </c>
      <c r="B50" s="14"/>
      <c r="C50" s="14" t="s">
        <v>717</v>
      </c>
      <c r="D50" s="14" t="s">
        <v>590</v>
      </c>
      <c r="E50" s="8" t="s">
        <v>709</v>
      </c>
      <c r="F50" s="189"/>
      <c r="G50" s="8" t="s">
        <v>818</v>
      </c>
      <c r="H50" s="8" t="s">
        <v>818</v>
      </c>
      <c r="I50" s="191"/>
      <c r="J50" s="125" t="s">
        <v>818</v>
      </c>
      <c r="K50" s="125" t="s">
        <v>817</v>
      </c>
      <c r="L50" s="125" t="s">
        <v>818</v>
      </c>
      <c r="M50" s="125" t="s">
        <v>818</v>
      </c>
      <c r="N50" s="125" t="s">
        <v>818</v>
      </c>
      <c r="O50" s="125" t="s">
        <v>818</v>
      </c>
      <c r="P50" s="191"/>
      <c r="Q50" s="125" t="s">
        <v>818</v>
      </c>
      <c r="R50" s="125" t="s">
        <v>818</v>
      </c>
      <c r="S50" s="8" t="s">
        <v>818</v>
      </c>
      <c r="T50" s="8" t="s">
        <v>818</v>
      </c>
      <c r="U50" s="8" t="s">
        <v>818</v>
      </c>
      <c r="V50" s="8" t="s">
        <v>818</v>
      </c>
      <c r="W50" s="191"/>
      <c r="X50" s="8" t="s">
        <v>818</v>
      </c>
      <c r="Y50" s="125" t="s">
        <v>818</v>
      </c>
      <c r="Z50" s="8" t="s">
        <v>818</v>
      </c>
      <c r="AA50" s="8" t="s">
        <v>818</v>
      </c>
      <c r="AB50" s="8" t="s">
        <v>818</v>
      </c>
      <c r="AC50" s="8" t="s">
        <v>818</v>
      </c>
      <c r="AD50" s="191"/>
      <c r="AE50" s="8" t="s">
        <v>818</v>
      </c>
      <c r="AF50" s="125" t="s">
        <v>818</v>
      </c>
      <c r="AG50" s="14"/>
      <c r="AH50" s="14"/>
      <c r="AI50" s="14"/>
      <c r="AJ50" s="14"/>
      <c r="AK50" s="14">
        <f t="shared" si="0"/>
        <v>21</v>
      </c>
      <c r="AL50" s="14">
        <f t="shared" si="1"/>
        <v>1</v>
      </c>
      <c r="AM50" s="14"/>
      <c r="AN50" s="14"/>
      <c r="AO50" s="14"/>
      <c r="AP50" s="14"/>
    </row>
    <row r="51" spans="1:42" ht="15.5" x14ac:dyDescent="0.3">
      <c r="A51" s="9">
        <v>24</v>
      </c>
      <c r="B51" s="14"/>
      <c r="C51" s="14" t="s">
        <v>479</v>
      </c>
      <c r="D51" s="14" t="s">
        <v>456</v>
      </c>
      <c r="E51" s="8" t="s">
        <v>709</v>
      </c>
      <c r="F51" s="189"/>
      <c r="G51" s="8" t="s">
        <v>817</v>
      </c>
      <c r="H51" s="8" t="s">
        <v>817</v>
      </c>
      <c r="I51" s="191"/>
      <c r="J51" s="125" t="s">
        <v>818</v>
      </c>
      <c r="K51" s="125" t="s">
        <v>818</v>
      </c>
      <c r="L51" s="125" t="s">
        <v>817</v>
      </c>
      <c r="M51" s="125" t="s">
        <v>818</v>
      </c>
      <c r="N51" s="125" t="s">
        <v>818</v>
      </c>
      <c r="O51" s="125" t="s">
        <v>818</v>
      </c>
      <c r="P51" s="191"/>
      <c r="Q51" s="125" t="s">
        <v>818</v>
      </c>
      <c r="R51" s="125" t="s">
        <v>818</v>
      </c>
      <c r="S51" s="8" t="s">
        <v>818</v>
      </c>
      <c r="T51" s="8" t="s">
        <v>818</v>
      </c>
      <c r="U51" s="8" t="s">
        <v>818</v>
      </c>
      <c r="V51" s="8" t="s">
        <v>818</v>
      </c>
      <c r="W51" s="191"/>
      <c r="X51" s="8" t="s">
        <v>818</v>
      </c>
      <c r="Y51" s="125" t="s">
        <v>818</v>
      </c>
      <c r="Z51" s="8" t="s">
        <v>818</v>
      </c>
      <c r="AA51" s="8" t="s">
        <v>818</v>
      </c>
      <c r="AB51" s="8" t="s">
        <v>818</v>
      </c>
      <c r="AC51" s="8" t="s">
        <v>818</v>
      </c>
      <c r="AD51" s="191"/>
      <c r="AE51" s="8" t="s">
        <v>818</v>
      </c>
      <c r="AF51" s="125" t="s">
        <v>818</v>
      </c>
      <c r="AG51" s="14"/>
      <c r="AH51" s="14"/>
      <c r="AI51" s="14"/>
      <c r="AJ51" s="14"/>
      <c r="AK51" s="14">
        <f t="shared" si="0"/>
        <v>19</v>
      </c>
      <c r="AL51" s="14">
        <f t="shared" si="1"/>
        <v>3</v>
      </c>
      <c r="AM51" s="14"/>
      <c r="AN51" s="14"/>
      <c r="AO51" s="14"/>
      <c r="AP51" s="14"/>
    </row>
  </sheetData>
  <mergeCells count="17">
    <mergeCell ref="AM3:AN3"/>
    <mergeCell ref="AM11:AP11"/>
    <mergeCell ref="AM19:AP19"/>
    <mergeCell ref="F5:F51"/>
    <mergeCell ref="I5:I51"/>
    <mergeCell ref="P5:P51"/>
    <mergeCell ref="W5:W51"/>
    <mergeCell ref="AD5:AD51"/>
    <mergeCell ref="A1:AL1"/>
    <mergeCell ref="A2:AL2"/>
    <mergeCell ref="A3:A4"/>
    <mergeCell ref="C3:C4"/>
    <mergeCell ref="D3:D4"/>
    <mergeCell ref="E3:E4"/>
    <mergeCell ref="AK3:AK4"/>
    <mergeCell ref="AL3:AL4"/>
    <mergeCell ref="B3:B4"/>
  </mergeCells>
  <conditionalFormatting sqref="F3:AJ4">
    <cfRule type="expression" dxfId="148" priority="52">
      <formula>F$3="Sun"</formula>
    </cfRule>
  </conditionalFormatting>
  <conditionalFormatting sqref="F4:AJ4">
    <cfRule type="expression" dxfId="147" priority="51">
      <formula>IF(F$4=TODAY(),TRUE,FALSE)</formula>
    </cfRule>
  </conditionalFormatting>
  <conditionalFormatting sqref="F5:O5 AI5:AJ48 Q6:Q48 Q5:V5 J6:K48 R6:V51 L6:O50 K49:K50 O51 G6:H51 X5:AB51">
    <cfRule type="cellIs" dxfId="146" priority="66" operator="equal">
      <formula>"L"</formula>
    </cfRule>
    <cfRule type="cellIs" dxfId="145" priority="67" operator="equal">
      <formula>"A"</formula>
    </cfRule>
    <cfRule type="cellIs" dxfId="144" priority="68" operator="equal">
      <formula>"P"</formula>
    </cfRule>
    <cfRule type="expression" dxfId="143" priority="69">
      <formula>IF(F$4=TODAY(),TRUE,FALSE)</formula>
    </cfRule>
    <cfRule type="expression" dxfId="142" priority="70">
      <formula>F$3="Sun"</formula>
    </cfRule>
  </conditionalFormatting>
  <conditionalFormatting sqref="AG5:AH48 AC5:AC51 AE5:AE51">
    <cfRule type="cellIs" dxfId="141" priority="31" operator="equal">
      <formula>"L"</formula>
    </cfRule>
    <cfRule type="cellIs" dxfId="140" priority="32" operator="equal">
      <formula>"A"</formula>
    </cfRule>
    <cfRule type="cellIs" dxfId="139" priority="33" operator="equal">
      <formula>"P"</formula>
    </cfRule>
    <cfRule type="expression" dxfId="138" priority="34">
      <formula>IF(AC$4=TODAY(),TRUE,FALSE)</formula>
    </cfRule>
    <cfRule type="expression" dxfId="137" priority="35">
      <formula>AC$3="Sun"</formula>
    </cfRule>
  </conditionalFormatting>
  <conditionalFormatting sqref="AK3:AL3 AK5:AL48">
    <cfRule type="expression" dxfId="136" priority="71">
      <formula>#REF!="Sun"</formula>
    </cfRule>
  </conditionalFormatting>
  <conditionalFormatting sqref="AM5:AM9">
    <cfRule type="expression" dxfId="135" priority="56">
      <formula>AM$3="Sun"</formula>
    </cfRule>
  </conditionalFormatting>
  <conditionalFormatting sqref="AM12:AM15">
    <cfRule type="expression" dxfId="134" priority="54">
      <formula>AM$3="Sun"</formula>
    </cfRule>
  </conditionalFormatting>
  <conditionalFormatting sqref="AM20:AM23">
    <cfRule type="expression" dxfId="133" priority="53">
      <formula>AM$3="Sun"</formula>
    </cfRule>
  </conditionalFormatting>
  <conditionalFormatting sqref="AM4:AN4">
    <cfRule type="expression" dxfId="132" priority="57">
      <formula>AM$3="Sun"</formula>
    </cfRule>
  </conditionalFormatting>
  <conditionalFormatting sqref="AN12:AP12 AN20:AP20">
    <cfRule type="expression" dxfId="131" priority="58">
      <formula>AN$3="Sun"</formula>
    </cfRule>
  </conditionalFormatting>
  <conditionalFormatting sqref="AP21">
    <cfRule type="expression" dxfId="130" priority="55">
      <formula>AP$3="Sun"</formula>
    </cfRule>
  </conditionalFormatting>
  <conditionalFormatting sqref="AF5:AF51">
    <cfRule type="cellIs" dxfId="129" priority="26" operator="equal">
      <formula>"L"</formula>
    </cfRule>
    <cfRule type="cellIs" dxfId="128" priority="27" operator="equal">
      <formula>"A"</formula>
    </cfRule>
    <cfRule type="cellIs" dxfId="127" priority="28" operator="equal">
      <formula>"P"</formula>
    </cfRule>
    <cfRule type="expression" dxfId="126" priority="29">
      <formula>IF(AF$4=TODAY(),TRUE,FALSE)</formula>
    </cfRule>
    <cfRule type="expression" dxfId="125" priority="30">
      <formula>AF$3="Sun"</formula>
    </cfRule>
  </conditionalFormatting>
  <conditionalFormatting sqref="P5">
    <cfRule type="cellIs" dxfId="124" priority="21" operator="equal">
      <formula>"L"</formula>
    </cfRule>
    <cfRule type="cellIs" dxfId="123" priority="22" operator="equal">
      <formula>"A"</formula>
    </cfRule>
    <cfRule type="cellIs" dxfId="122" priority="23" operator="equal">
      <formula>"P"</formula>
    </cfRule>
    <cfRule type="expression" dxfId="121" priority="24">
      <formula>IF(P$4=TODAY(),TRUE,FALSE)</formula>
    </cfRule>
    <cfRule type="expression" dxfId="120" priority="25">
      <formula>P$3="Sun"</formula>
    </cfRule>
  </conditionalFormatting>
  <conditionalFormatting sqref="W5">
    <cfRule type="cellIs" dxfId="119" priority="16" operator="equal">
      <formula>"L"</formula>
    </cfRule>
    <cfRule type="cellIs" dxfId="118" priority="17" operator="equal">
      <formula>"A"</formula>
    </cfRule>
    <cfRule type="cellIs" dxfId="117" priority="18" operator="equal">
      <formula>"P"</formula>
    </cfRule>
    <cfRule type="expression" dxfId="116" priority="19">
      <formula>IF(W$4=TODAY(),TRUE,FALSE)</formula>
    </cfRule>
    <cfRule type="expression" dxfId="115" priority="20">
      <formula>W$3="Sun"</formula>
    </cfRule>
  </conditionalFormatting>
  <conditionalFormatting sqref="AD5">
    <cfRule type="cellIs" dxfId="114" priority="11" operator="equal">
      <formula>"L"</formula>
    </cfRule>
    <cfRule type="cellIs" dxfId="113" priority="12" operator="equal">
      <formula>"A"</formula>
    </cfRule>
    <cfRule type="cellIs" dxfId="112" priority="13" operator="equal">
      <formula>"P"</formula>
    </cfRule>
    <cfRule type="expression" dxfId="111" priority="14">
      <formula>IF(AD$4=TODAY(),TRUE,FALSE)</formula>
    </cfRule>
    <cfRule type="expression" dxfId="110" priority="15">
      <formula>AD$3="Sun"</formula>
    </cfRule>
  </conditionalFormatting>
  <conditionalFormatting sqref="J49:J51 K51:N51">
    <cfRule type="cellIs" dxfId="109" priority="6" operator="equal">
      <formula>"L"</formula>
    </cfRule>
    <cfRule type="cellIs" dxfId="108" priority="7" operator="equal">
      <formula>"A"</formula>
    </cfRule>
    <cfRule type="cellIs" dxfId="107" priority="8" operator="equal">
      <formula>"P"</formula>
    </cfRule>
    <cfRule type="expression" dxfId="106" priority="9">
      <formula>IF(J$4=TODAY(),TRUE,FALSE)</formula>
    </cfRule>
    <cfRule type="expression" dxfId="105" priority="10">
      <formula>J$3="Sun"</formula>
    </cfRule>
  </conditionalFormatting>
  <conditionalFormatting sqref="Q49:Q51">
    <cfRule type="cellIs" dxfId="104" priority="1" operator="equal">
      <formula>"L"</formula>
    </cfRule>
    <cfRule type="cellIs" dxfId="103" priority="2" operator="equal">
      <formula>"A"</formula>
    </cfRule>
    <cfRule type="cellIs" dxfId="102" priority="3" operator="equal">
      <formula>"P"</formula>
    </cfRule>
    <cfRule type="expression" dxfId="101" priority="4">
      <formula>IF(Q$4=TODAY(),TRUE,FALSE)</formula>
    </cfRule>
    <cfRule type="expression" dxfId="100" priority="5">
      <formula>Q$3="Sun"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6"/>
  <sheetViews>
    <sheetView workbookViewId="0">
      <selection activeCell="AF47" sqref="AF47"/>
    </sheetView>
  </sheetViews>
  <sheetFormatPr defaultColWidth="3.81640625" defaultRowHeight="14" x14ac:dyDescent="0.3"/>
  <cols>
    <col min="1" max="1" width="5.1796875" style="1" bestFit="1" customWidth="1"/>
    <col min="2" max="2" width="5.1796875" style="1" customWidth="1"/>
    <col min="3" max="3" width="19.26953125" style="1" bestFit="1" customWidth="1"/>
    <col min="4" max="4" width="16.453125" style="1" customWidth="1"/>
    <col min="5" max="5" width="5.81640625" style="1" customWidth="1"/>
    <col min="6" max="6" width="3.81640625" style="1" bestFit="1"/>
    <col min="7" max="7" width="4.7265625" style="1" bestFit="1" customWidth="1"/>
    <col min="8" max="8" width="3.81640625" style="1" bestFit="1" customWidth="1"/>
    <col min="9" max="10" width="3.7265625" style="1" bestFit="1" customWidth="1"/>
    <col min="11" max="11" width="3.81640625" style="1" bestFit="1" customWidth="1"/>
    <col min="12" max="12" width="4.54296875" style="1" customWidth="1"/>
    <col min="13" max="13" width="3.81640625" style="1" bestFit="1" customWidth="1"/>
    <col min="14" max="14" width="4.7265625" style="1" bestFit="1" customWidth="1"/>
    <col min="15" max="15" width="3.81640625" style="1" bestFit="1" customWidth="1"/>
    <col min="16" max="17" width="3.7265625" style="1" bestFit="1" customWidth="1"/>
    <col min="18" max="18" width="3.81640625" style="1" bestFit="1" customWidth="1"/>
    <col min="19" max="19" width="4.54296875" style="1" customWidth="1"/>
    <col min="20" max="20" width="3.81640625" style="1" bestFit="1" customWidth="1"/>
    <col min="21" max="21" width="4.7265625" style="1" bestFit="1" customWidth="1"/>
    <col min="22" max="22" width="3.81640625" style="1" bestFit="1" customWidth="1"/>
    <col min="23" max="24" width="3.7265625" style="1" bestFit="1" customWidth="1"/>
    <col min="25" max="25" width="3.81640625" style="1" bestFit="1"/>
    <col min="26" max="26" width="4.54296875" style="1" bestFit="1" customWidth="1"/>
    <col min="27" max="27" width="3.81640625" style="1" bestFit="1" customWidth="1"/>
    <col min="28" max="28" width="4.7265625" style="1" bestFit="1" customWidth="1"/>
    <col min="29" max="29" width="3.81640625" style="1" bestFit="1" customWidth="1"/>
    <col min="30" max="31" width="3.7265625" style="1" bestFit="1" customWidth="1"/>
    <col min="32" max="32" width="3.81640625" style="1" bestFit="1"/>
    <col min="33" max="33" width="4.54296875" style="1" bestFit="1" customWidth="1"/>
    <col min="34" max="34" width="3.81640625" style="1" bestFit="1" customWidth="1"/>
    <col min="35" max="35" width="4.7265625" style="1" bestFit="1" customWidth="1"/>
    <col min="36" max="36" width="4.7265625" style="1" customWidth="1"/>
    <col min="37" max="37" width="6.54296875" style="1" bestFit="1" customWidth="1"/>
    <col min="38" max="38" width="6.1796875" style="1" bestFit="1" customWidth="1"/>
    <col min="39" max="39" width="18.54296875" style="1" bestFit="1" customWidth="1"/>
    <col min="40" max="40" width="5.81640625" style="1" bestFit="1" customWidth="1"/>
    <col min="41" max="41" width="14.26953125" style="1" bestFit="1" customWidth="1"/>
    <col min="42" max="42" width="6.7265625" style="1" bestFit="1" customWidth="1"/>
    <col min="43" max="16384" width="3.81640625" style="1"/>
  </cols>
  <sheetData>
    <row r="1" spans="1:42" ht="17" x14ac:dyDescent="0.3">
      <c r="A1" s="164" t="s">
        <v>18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</row>
    <row r="2" spans="1:42" ht="17" x14ac:dyDescent="0.4">
      <c r="A2" s="167" t="s">
        <v>732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</row>
    <row r="3" spans="1:42" ht="15.5" x14ac:dyDescent="0.3">
      <c r="A3" s="177" t="s">
        <v>0</v>
      </c>
      <c r="B3" s="177" t="s">
        <v>713</v>
      </c>
      <c r="C3" s="177" t="s">
        <v>1</v>
      </c>
      <c r="D3" s="177" t="s">
        <v>726</v>
      </c>
      <c r="E3" s="177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54" t="s">
        <v>4</v>
      </c>
      <c r="AL3" s="154" t="s">
        <v>5</v>
      </c>
      <c r="AM3" s="158" t="s">
        <v>119</v>
      </c>
      <c r="AN3" s="159"/>
      <c r="AO3" s="3"/>
      <c r="AP3" s="3"/>
    </row>
    <row r="4" spans="1:42" ht="38.5" x14ac:dyDescent="0.3">
      <c r="A4" s="178"/>
      <c r="B4" s="178"/>
      <c r="C4" s="178"/>
      <c r="D4" s="178"/>
      <c r="E4" s="178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54"/>
      <c r="AL4" s="154"/>
      <c r="AM4" s="5" t="s">
        <v>120</v>
      </c>
      <c r="AN4" s="5">
        <f>SUM(AN5:AN8)</f>
        <v>30</v>
      </c>
      <c r="AO4" s="3"/>
      <c r="AP4" s="3"/>
    </row>
    <row r="5" spans="1:42" ht="15" customHeight="1" x14ac:dyDescent="0.35">
      <c r="A5" s="20">
        <v>1</v>
      </c>
      <c r="B5" s="20">
        <v>885</v>
      </c>
      <c r="C5" s="22" t="s">
        <v>111</v>
      </c>
      <c r="D5" s="22" t="s">
        <v>786</v>
      </c>
      <c r="E5" s="19" t="s">
        <v>710</v>
      </c>
      <c r="F5" s="184" t="s">
        <v>849</v>
      </c>
      <c r="G5" s="8" t="s">
        <v>818</v>
      </c>
      <c r="H5" s="8" t="s">
        <v>818</v>
      </c>
      <c r="I5" s="182" t="s">
        <v>808</v>
      </c>
      <c r="J5" s="8" t="s">
        <v>818</v>
      </c>
      <c r="K5" s="113" t="s">
        <v>818</v>
      </c>
      <c r="L5" s="8" t="s">
        <v>818</v>
      </c>
      <c r="M5" s="8" t="s">
        <v>817</v>
      </c>
      <c r="N5" s="8" t="s">
        <v>818</v>
      </c>
      <c r="O5" s="8" t="s">
        <v>818</v>
      </c>
      <c r="P5" s="182" t="s">
        <v>808</v>
      </c>
      <c r="Q5" s="8" t="s">
        <v>818</v>
      </c>
      <c r="R5" s="113" t="s">
        <v>818</v>
      </c>
      <c r="S5" s="8" t="s">
        <v>818</v>
      </c>
      <c r="T5" s="8" t="s">
        <v>818</v>
      </c>
      <c r="U5" s="8" t="s">
        <v>818</v>
      </c>
      <c r="V5" s="8" t="s">
        <v>818</v>
      </c>
      <c r="W5" s="182" t="s">
        <v>808</v>
      </c>
      <c r="X5" s="8" t="s">
        <v>818</v>
      </c>
      <c r="Y5" s="113" t="s">
        <v>818</v>
      </c>
      <c r="Z5" s="8" t="s">
        <v>818</v>
      </c>
      <c r="AA5" s="8" t="s">
        <v>818</v>
      </c>
      <c r="AB5" s="8" t="s">
        <v>818</v>
      </c>
      <c r="AC5" s="8" t="s">
        <v>818</v>
      </c>
      <c r="AD5" s="182" t="s">
        <v>808</v>
      </c>
      <c r="AE5" s="8" t="s">
        <v>818</v>
      </c>
      <c r="AF5" s="113" t="s">
        <v>818</v>
      </c>
      <c r="AG5" s="8"/>
      <c r="AH5" s="8"/>
      <c r="AI5" s="8"/>
      <c r="AJ5" s="8"/>
      <c r="AK5" s="5">
        <f t="shared" ref="AK5:AK46" si="0">COUNTIF(F5:AI5,"P")</f>
        <v>21</v>
      </c>
      <c r="AL5" s="5">
        <f t="shared" ref="AL5:AL46" si="1">COUNTIF(F5:AI5,"A")</f>
        <v>1</v>
      </c>
      <c r="AM5" s="5" t="s">
        <v>7</v>
      </c>
      <c r="AN5" s="9">
        <v>26</v>
      </c>
      <c r="AO5" s="10"/>
      <c r="AP5" s="3"/>
    </row>
    <row r="6" spans="1:42" ht="15.5" x14ac:dyDescent="0.35">
      <c r="A6" s="20">
        <v>2</v>
      </c>
      <c r="B6" s="20">
        <v>482</v>
      </c>
      <c r="C6" s="22" t="s">
        <v>592</v>
      </c>
      <c r="D6" s="22" t="s">
        <v>787</v>
      </c>
      <c r="E6" s="19" t="s">
        <v>710</v>
      </c>
      <c r="F6" s="180"/>
      <c r="G6" s="8" t="s">
        <v>818</v>
      </c>
      <c r="H6" s="8" t="s">
        <v>818</v>
      </c>
      <c r="I6" s="183"/>
      <c r="J6" s="8" t="s">
        <v>818</v>
      </c>
      <c r="K6" s="113" t="s">
        <v>818</v>
      </c>
      <c r="L6" s="8" t="s">
        <v>817</v>
      </c>
      <c r="M6" s="8" t="s">
        <v>818</v>
      </c>
      <c r="N6" s="8" t="s">
        <v>817</v>
      </c>
      <c r="O6" s="8" t="s">
        <v>817</v>
      </c>
      <c r="P6" s="183"/>
      <c r="Q6" s="8" t="s">
        <v>817</v>
      </c>
      <c r="R6" s="113" t="s">
        <v>817</v>
      </c>
      <c r="S6" s="8" t="s">
        <v>818</v>
      </c>
      <c r="T6" s="8" t="s">
        <v>817</v>
      </c>
      <c r="U6" s="8" t="s">
        <v>818</v>
      </c>
      <c r="V6" s="8" t="s">
        <v>817</v>
      </c>
      <c r="W6" s="183"/>
      <c r="X6" s="8" t="s">
        <v>818</v>
      </c>
      <c r="Y6" s="113" t="s">
        <v>818</v>
      </c>
      <c r="Z6" s="8" t="s">
        <v>817</v>
      </c>
      <c r="AA6" s="8" t="s">
        <v>817</v>
      </c>
      <c r="AB6" s="8" t="s">
        <v>817</v>
      </c>
      <c r="AC6" s="8" t="s">
        <v>817</v>
      </c>
      <c r="AD6" s="183"/>
      <c r="AE6" s="8" t="s">
        <v>818</v>
      </c>
      <c r="AF6" s="113" t="s">
        <v>818</v>
      </c>
      <c r="AG6" s="8"/>
      <c r="AH6" s="8"/>
      <c r="AI6" s="8"/>
      <c r="AJ6" s="8"/>
      <c r="AK6" s="5">
        <f t="shared" si="0"/>
        <v>11</v>
      </c>
      <c r="AL6" s="5">
        <f t="shared" si="1"/>
        <v>11</v>
      </c>
      <c r="AM6" s="5" t="s">
        <v>8</v>
      </c>
      <c r="AN6" s="9">
        <v>4</v>
      </c>
      <c r="AO6" s="3"/>
      <c r="AP6" s="3"/>
    </row>
    <row r="7" spans="1:42" ht="15.5" x14ac:dyDescent="0.35">
      <c r="A7" s="20">
        <v>3</v>
      </c>
      <c r="B7" s="20">
        <v>721</v>
      </c>
      <c r="C7" s="22" t="s">
        <v>57</v>
      </c>
      <c r="D7" s="22" t="s">
        <v>788</v>
      </c>
      <c r="E7" s="19" t="s">
        <v>710</v>
      </c>
      <c r="F7" s="180"/>
      <c r="G7" s="8" t="s">
        <v>818</v>
      </c>
      <c r="H7" s="8" t="s">
        <v>818</v>
      </c>
      <c r="I7" s="183"/>
      <c r="J7" s="8" t="s">
        <v>818</v>
      </c>
      <c r="K7" s="113" t="s">
        <v>818</v>
      </c>
      <c r="L7" s="8" t="s">
        <v>818</v>
      </c>
      <c r="M7" s="8" t="s">
        <v>818</v>
      </c>
      <c r="N7" s="8" t="s">
        <v>818</v>
      </c>
      <c r="O7" s="8" t="s">
        <v>818</v>
      </c>
      <c r="P7" s="183"/>
      <c r="Q7" s="8" t="s">
        <v>818</v>
      </c>
      <c r="R7" s="113" t="s">
        <v>818</v>
      </c>
      <c r="S7" s="8" t="s">
        <v>818</v>
      </c>
      <c r="T7" s="8" t="s">
        <v>818</v>
      </c>
      <c r="U7" s="8" t="s">
        <v>818</v>
      </c>
      <c r="V7" s="8" t="s">
        <v>818</v>
      </c>
      <c r="W7" s="183"/>
      <c r="X7" s="8" t="s">
        <v>818</v>
      </c>
      <c r="Y7" s="113" t="s">
        <v>818</v>
      </c>
      <c r="Z7" s="8" t="s">
        <v>818</v>
      </c>
      <c r="AA7" s="8" t="s">
        <v>818</v>
      </c>
      <c r="AB7" s="8" t="s">
        <v>818</v>
      </c>
      <c r="AC7" s="8" t="s">
        <v>818</v>
      </c>
      <c r="AD7" s="183"/>
      <c r="AE7" s="8" t="s">
        <v>818</v>
      </c>
      <c r="AF7" s="113" t="s">
        <v>818</v>
      </c>
      <c r="AG7" s="8"/>
      <c r="AH7" s="8"/>
      <c r="AI7" s="8"/>
      <c r="AJ7" s="8"/>
      <c r="AK7" s="5">
        <f t="shared" si="0"/>
        <v>22</v>
      </c>
      <c r="AL7" s="5">
        <f t="shared" si="1"/>
        <v>0</v>
      </c>
      <c r="AM7" s="5"/>
      <c r="AN7" s="9"/>
      <c r="AO7" s="3"/>
      <c r="AP7" s="3"/>
    </row>
    <row r="8" spans="1:42" ht="15.5" x14ac:dyDescent="0.35">
      <c r="A8" s="20">
        <v>4</v>
      </c>
      <c r="B8" s="20">
        <v>342</v>
      </c>
      <c r="C8" s="22" t="s">
        <v>596</v>
      </c>
      <c r="D8" s="22" t="s">
        <v>434</v>
      </c>
      <c r="E8" s="19" t="s">
        <v>710</v>
      </c>
      <c r="F8" s="180"/>
      <c r="G8" s="8" t="s">
        <v>818</v>
      </c>
      <c r="H8" s="8" t="s">
        <v>818</v>
      </c>
      <c r="I8" s="183"/>
      <c r="J8" s="8" t="s">
        <v>818</v>
      </c>
      <c r="K8" s="113" t="s">
        <v>818</v>
      </c>
      <c r="L8" s="8" t="s">
        <v>818</v>
      </c>
      <c r="M8" s="8" t="s">
        <v>818</v>
      </c>
      <c r="N8" s="8" t="s">
        <v>818</v>
      </c>
      <c r="O8" s="8" t="s">
        <v>818</v>
      </c>
      <c r="P8" s="183"/>
      <c r="Q8" s="8" t="s">
        <v>817</v>
      </c>
      <c r="R8" s="113" t="s">
        <v>818</v>
      </c>
      <c r="S8" s="8" t="s">
        <v>818</v>
      </c>
      <c r="T8" s="8" t="s">
        <v>818</v>
      </c>
      <c r="U8" s="8" t="s">
        <v>818</v>
      </c>
      <c r="V8" s="8" t="s">
        <v>818</v>
      </c>
      <c r="W8" s="183"/>
      <c r="X8" s="8" t="s">
        <v>818</v>
      </c>
      <c r="Y8" s="113" t="s">
        <v>818</v>
      </c>
      <c r="Z8" s="8" t="s">
        <v>818</v>
      </c>
      <c r="AA8" s="8" t="s">
        <v>818</v>
      </c>
      <c r="AB8" s="8" t="s">
        <v>818</v>
      </c>
      <c r="AC8" s="8" t="s">
        <v>818</v>
      </c>
      <c r="AD8" s="183"/>
      <c r="AE8" s="8" t="s">
        <v>818</v>
      </c>
      <c r="AF8" s="113" t="s">
        <v>818</v>
      </c>
      <c r="AG8" s="8"/>
      <c r="AH8" s="8"/>
      <c r="AI8" s="8"/>
      <c r="AJ8" s="8"/>
      <c r="AK8" s="5">
        <f t="shared" si="0"/>
        <v>21</v>
      </c>
      <c r="AL8" s="5">
        <f t="shared" si="1"/>
        <v>1</v>
      </c>
      <c r="AM8" s="5"/>
      <c r="AN8" s="9"/>
      <c r="AO8"/>
      <c r="AP8"/>
    </row>
    <row r="9" spans="1:42" ht="15.5" x14ac:dyDescent="0.35">
      <c r="A9" s="20">
        <v>5</v>
      </c>
      <c r="B9" s="20">
        <v>625</v>
      </c>
      <c r="C9" s="22" t="s">
        <v>597</v>
      </c>
      <c r="D9" s="107" t="s">
        <v>789</v>
      </c>
      <c r="E9" s="19" t="s">
        <v>710</v>
      </c>
      <c r="F9" s="180"/>
      <c r="G9" s="128" t="s">
        <v>817</v>
      </c>
      <c r="H9" s="8" t="s">
        <v>818</v>
      </c>
      <c r="I9" s="183"/>
      <c r="J9" s="8" t="s">
        <v>817</v>
      </c>
      <c r="K9" s="113" t="s">
        <v>818</v>
      </c>
      <c r="L9" s="8" t="s">
        <v>818</v>
      </c>
      <c r="M9" s="8" t="s">
        <v>818</v>
      </c>
      <c r="N9" s="8" t="s">
        <v>818</v>
      </c>
      <c r="O9" s="8" t="s">
        <v>817</v>
      </c>
      <c r="P9" s="183"/>
      <c r="Q9" s="8" t="s">
        <v>817</v>
      </c>
      <c r="R9" s="113" t="s">
        <v>818</v>
      </c>
      <c r="S9" s="8" t="s">
        <v>818</v>
      </c>
      <c r="T9" s="8" t="s">
        <v>817</v>
      </c>
      <c r="U9" s="8" t="s">
        <v>818</v>
      </c>
      <c r="V9" s="8" t="s">
        <v>818</v>
      </c>
      <c r="W9" s="183"/>
      <c r="X9" s="8" t="s">
        <v>818</v>
      </c>
      <c r="Y9" s="113" t="s">
        <v>818</v>
      </c>
      <c r="Z9" s="8" t="s">
        <v>818</v>
      </c>
      <c r="AA9" s="8" t="s">
        <v>817</v>
      </c>
      <c r="AB9" s="8" t="s">
        <v>817</v>
      </c>
      <c r="AC9" s="8" t="s">
        <v>817</v>
      </c>
      <c r="AD9" s="183"/>
      <c r="AE9" s="8" t="s">
        <v>818</v>
      </c>
      <c r="AF9" s="113" t="s">
        <v>818</v>
      </c>
      <c r="AG9" s="8"/>
      <c r="AH9" s="8"/>
      <c r="AI9" s="8"/>
      <c r="AJ9" s="8"/>
      <c r="AK9" s="5">
        <f t="shared" si="0"/>
        <v>14</v>
      </c>
      <c r="AL9" s="5">
        <f t="shared" si="1"/>
        <v>8</v>
      </c>
      <c r="AM9" s="5"/>
      <c r="AN9" s="9"/>
    </row>
    <row r="10" spans="1:42" ht="15.5" x14ac:dyDescent="0.35">
      <c r="A10" s="20">
        <v>6</v>
      </c>
      <c r="B10" s="20">
        <v>627</v>
      </c>
      <c r="C10" s="22" t="s">
        <v>598</v>
      </c>
      <c r="D10" s="22" t="s">
        <v>496</v>
      </c>
      <c r="E10" s="19" t="s">
        <v>710</v>
      </c>
      <c r="F10" s="180"/>
      <c r="G10" s="8" t="s">
        <v>818</v>
      </c>
      <c r="H10" s="8" t="s">
        <v>818</v>
      </c>
      <c r="I10" s="183"/>
      <c r="J10" s="8" t="s">
        <v>818</v>
      </c>
      <c r="K10" s="113" t="s">
        <v>818</v>
      </c>
      <c r="L10" s="8" t="s">
        <v>818</v>
      </c>
      <c r="M10" s="8" t="s">
        <v>818</v>
      </c>
      <c r="N10" s="8" t="s">
        <v>818</v>
      </c>
      <c r="O10" s="8" t="s">
        <v>817</v>
      </c>
      <c r="P10" s="183"/>
      <c r="Q10" s="8" t="s">
        <v>818</v>
      </c>
      <c r="R10" s="113" t="s">
        <v>818</v>
      </c>
      <c r="S10" s="8" t="s">
        <v>818</v>
      </c>
      <c r="T10" s="8" t="s">
        <v>818</v>
      </c>
      <c r="U10" s="8" t="s">
        <v>818</v>
      </c>
      <c r="V10" s="8" t="s">
        <v>818</v>
      </c>
      <c r="W10" s="183"/>
      <c r="X10" s="8" t="s">
        <v>818</v>
      </c>
      <c r="Y10" s="113" t="s">
        <v>818</v>
      </c>
      <c r="Z10" s="8" t="s">
        <v>818</v>
      </c>
      <c r="AA10" s="8" t="s">
        <v>818</v>
      </c>
      <c r="AB10" s="8" t="s">
        <v>818</v>
      </c>
      <c r="AC10" s="8" t="s">
        <v>817</v>
      </c>
      <c r="AD10" s="183"/>
      <c r="AE10" s="8" t="s">
        <v>818</v>
      </c>
      <c r="AF10" s="113" t="s">
        <v>818</v>
      </c>
      <c r="AG10" s="8"/>
      <c r="AH10" s="8"/>
      <c r="AI10" s="8"/>
      <c r="AJ10" s="8"/>
      <c r="AK10" s="5">
        <f t="shared" si="0"/>
        <v>20</v>
      </c>
      <c r="AL10" s="5">
        <f t="shared" si="1"/>
        <v>2</v>
      </c>
    </row>
    <row r="11" spans="1:42" ht="15.5" x14ac:dyDescent="0.35">
      <c r="A11" s="20">
        <v>7</v>
      </c>
      <c r="B11" s="20">
        <v>723</v>
      </c>
      <c r="C11" s="22" t="s">
        <v>599</v>
      </c>
      <c r="D11" s="22" t="s">
        <v>790</v>
      </c>
      <c r="E11" s="19" t="s">
        <v>710</v>
      </c>
      <c r="F11" s="180"/>
      <c r="G11" s="8" t="s">
        <v>818</v>
      </c>
      <c r="H11" s="8" t="s">
        <v>818</v>
      </c>
      <c r="I11" s="183"/>
      <c r="J11" s="8" t="s">
        <v>818</v>
      </c>
      <c r="K11" s="113" t="s">
        <v>818</v>
      </c>
      <c r="L11" s="8" t="s">
        <v>818</v>
      </c>
      <c r="M11" s="8" t="s">
        <v>818</v>
      </c>
      <c r="N11" s="8" t="s">
        <v>818</v>
      </c>
      <c r="O11" s="8" t="s">
        <v>818</v>
      </c>
      <c r="P11" s="183"/>
      <c r="Q11" s="8" t="s">
        <v>818</v>
      </c>
      <c r="R11" s="113" t="s">
        <v>818</v>
      </c>
      <c r="S11" s="8" t="s">
        <v>818</v>
      </c>
      <c r="T11" s="8" t="s">
        <v>818</v>
      </c>
      <c r="U11" s="8" t="s">
        <v>818</v>
      </c>
      <c r="V11" s="8" t="s">
        <v>818</v>
      </c>
      <c r="W11" s="183"/>
      <c r="X11" s="8" t="s">
        <v>818</v>
      </c>
      <c r="Y11" s="113" t="s">
        <v>818</v>
      </c>
      <c r="Z11" s="8" t="s">
        <v>818</v>
      </c>
      <c r="AA11" s="8" t="s">
        <v>818</v>
      </c>
      <c r="AB11" s="8" t="s">
        <v>818</v>
      </c>
      <c r="AC11" s="8" t="s">
        <v>818</v>
      </c>
      <c r="AD11" s="183"/>
      <c r="AE11" s="8" t="s">
        <v>818</v>
      </c>
      <c r="AF11" s="113" t="s">
        <v>818</v>
      </c>
      <c r="AG11" s="8"/>
      <c r="AH11" s="8"/>
      <c r="AI11" s="8"/>
      <c r="AJ11" s="8"/>
      <c r="AK11" s="5">
        <f t="shared" si="0"/>
        <v>22</v>
      </c>
      <c r="AL11" s="5">
        <f t="shared" si="1"/>
        <v>0</v>
      </c>
      <c r="AM11" s="158" t="s">
        <v>9</v>
      </c>
      <c r="AN11" s="159"/>
      <c r="AO11" s="159"/>
      <c r="AP11" s="160"/>
    </row>
    <row r="12" spans="1:42" ht="15.5" x14ac:dyDescent="0.35">
      <c r="A12" s="20">
        <v>8</v>
      </c>
      <c r="B12" s="20">
        <v>624</v>
      </c>
      <c r="C12" s="22" t="s">
        <v>600</v>
      </c>
      <c r="D12" s="22" t="s">
        <v>95</v>
      </c>
      <c r="E12" s="19" t="s">
        <v>710</v>
      </c>
      <c r="F12" s="180"/>
      <c r="G12" s="8" t="s">
        <v>818</v>
      </c>
      <c r="H12" s="8" t="s">
        <v>818</v>
      </c>
      <c r="I12" s="183"/>
      <c r="J12" s="8" t="s">
        <v>818</v>
      </c>
      <c r="K12" s="113" t="s">
        <v>818</v>
      </c>
      <c r="L12" s="8" t="s">
        <v>818</v>
      </c>
      <c r="M12" s="8" t="s">
        <v>818</v>
      </c>
      <c r="N12" s="8" t="s">
        <v>818</v>
      </c>
      <c r="O12" s="8" t="s">
        <v>818</v>
      </c>
      <c r="P12" s="183"/>
      <c r="Q12" s="8" t="s">
        <v>818</v>
      </c>
      <c r="R12" s="113" t="s">
        <v>818</v>
      </c>
      <c r="S12" s="8" t="s">
        <v>818</v>
      </c>
      <c r="T12" s="8" t="s">
        <v>818</v>
      </c>
      <c r="U12" s="8" t="s">
        <v>818</v>
      </c>
      <c r="V12" s="8" t="s">
        <v>818</v>
      </c>
      <c r="W12" s="183"/>
      <c r="X12" s="8" t="s">
        <v>818</v>
      </c>
      <c r="Y12" s="113" t="s">
        <v>818</v>
      </c>
      <c r="Z12" s="8" t="s">
        <v>818</v>
      </c>
      <c r="AA12" s="8" t="s">
        <v>818</v>
      </c>
      <c r="AB12" s="8" t="s">
        <v>818</v>
      </c>
      <c r="AC12" s="8" t="s">
        <v>818</v>
      </c>
      <c r="AD12" s="183"/>
      <c r="AE12" s="8" t="s">
        <v>818</v>
      </c>
      <c r="AF12" s="113" t="s">
        <v>818</v>
      </c>
      <c r="AG12" s="8"/>
      <c r="AH12" s="8"/>
      <c r="AI12" s="8"/>
      <c r="AJ12" s="8"/>
      <c r="AK12" s="5">
        <f t="shared" si="0"/>
        <v>22</v>
      </c>
      <c r="AL12" s="5">
        <f t="shared" si="1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5.5" x14ac:dyDescent="0.35">
      <c r="A13" s="20">
        <v>9</v>
      </c>
      <c r="B13" s="20">
        <v>718</v>
      </c>
      <c r="C13" s="22" t="s">
        <v>601</v>
      </c>
      <c r="D13" s="22" t="s">
        <v>240</v>
      </c>
      <c r="E13" s="19" t="s">
        <v>710</v>
      </c>
      <c r="F13" s="180"/>
      <c r="G13" s="8" t="s">
        <v>817</v>
      </c>
      <c r="H13" s="8" t="s">
        <v>817</v>
      </c>
      <c r="I13" s="183"/>
      <c r="J13" s="8" t="s">
        <v>818</v>
      </c>
      <c r="K13" s="113" t="s">
        <v>818</v>
      </c>
      <c r="L13" s="8" t="s">
        <v>818</v>
      </c>
      <c r="M13" s="8" t="s">
        <v>818</v>
      </c>
      <c r="N13" s="8" t="s">
        <v>818</v>
      </c>
      <c r="O13" s="8" t="s">
        <v>818</v>
      </c>
      <c r="P13" s="183"/>
      <c r="Q13" s="8" t="s">
        <v>818</v>
      </c>
      <c r="R13" s="113" t="s">
        <v>818</v>
      </c>
      <c r="S13" s="8" t="s">
        <v>818</v>
      </c>
      <c r="T13" s="8" t="s">
        <v>818</v>
      </c>
      <c r="U13" s="8" t="s">
        <v>818</v>
      </c>
      <c r="V13" s="8" t="s">
        <v>818</v>
      </c>
      <c r="W13" s="183"/>
      <c r="X13" s="8" t="s">
        <v>818</v>
      </c>
      <c r="Y13" s="113" t="s">
        <v>818</v>
      </c>
      <c r="Z13" s="8" t="s">
        <v>818</v>
      </c>
      <c r="AA13" s="8" t="s">
        <v>818</v>
      </c>
      <c r="AB13" s="8" t="s">
        <v>818</v>
      </c>
      <c r="AC13" s="8" t="s">
        <v>818</v>
      </c>
      <c r="AD13" s="183"/>
      <c r="AE13" s="8" t="s">
        <v>818</v>
      </c>
      <c r="AF13" s="113" t="s">
        <v>818</v>
      </c>
      <c r="AG13" s="8"/>
      <c r="AH13" s="8"/>
      <c r="AI13" s="8"/>
      <c r="AJ13" s="8"/>
      <c r="AK13" s="5">
        <f t="shared" si="0"/>
        <v>20</v>
      </c>
      <c r="AL13" s="5">
        <f t="shared" si="1"/>
        <v>2</v>
      </c>
      <c r="AM13" s="5" t="s">
        <v>14</v>
      </c>
      <c r="AN13" s="9">
        <f>29*$AN$5</f>
        <v>754</v>
      </c>
      <c r="AO13" s="9">
        <f>19*$AN$5</f>
        <v>494</v>
      </c>
      <c r="AP13" s="9">
        <f>SUM(AN13:AO13)</f>
        <v>1248</v>
      </c>
    </row>
    <row r="14" spans="1:42" ht="15.5" x14ac:dyDescent="0.35">
      <c r="A14" s="20">
        <v>10</v>
      </c>
      <c r="B14" s="20">
        <v>628</v>
      </c>
      <c r="C14" s="22" t="s">
        <v>124</v>
      </c>
      <c r="D14" s="22" t="s">
        <v>791</v>
      </c>
      <c r="E14" s="19" t="s">
        <v>710</v>
      </c>
      <c r="F14" s="180"/>
      <c r="G14" s="8" t="s">
        <v>818</v>
      </c>
      <c r="H14" s="8" t="s">
        <v>818</v>
      </c>
      <c r="I14" s="183"/>
      <c r="J14" s="8" t="s">
        <v>818</v>
      </c>
      <c r="K14" s="113" t="s">
        <v>818</v>
      </c>
      <c r="L14" s="8" t="s">
        <v>818</v>
      </c>
      <c r="M14" s="8" t="s">
        <v>819</v>
      </c>
      <c r="N14" s="8" t="s">
        <v>819</v>
      </c>
      <c r="O14" s="8" t="s">
        <v>819</v>
      </c>
      <c r="P14" s="183"/>
      <c r="Q14" s="8" t="s">
        <v>818</v>
      </c>
      <c r="R14" s="113" t="s">
        <v>818</v>
      </c>
      <c r="S14" s="8" t="s">
        <v>818</v>
      </c>
      <c r="T14" s="8" t="s">
        <v>818</v>
      </c>
      <c r="U14" s="8" t="s">
        <v>818</v>
      </c>
      <c r="V14" s="8" t="s">
        <v>818</v>
      </c>
      <c r="W14" s="183"/>
      <c r="X14" s="8" t="s">
        <v>818</v>
      </c>
      <c r="Y14" s="113" t="s">
        <v>818</v>
      </c>
      <c r="Z14" s="8" t="s">
        <v>818</v>
      </c>
      <c r="AA14" s="8" t="s">
        <v>818</v>
      </c>
      <c r="AB14" s="8" t="s">
        <v>818</v>
      </c>
      <c r="AC14" s="8" t="s">
        <v>818</v>
      </c>
      <c r="AD14" s="183"/>
      <c r="AE14" s="8" t="s">
        <v>818</v>
      </c>
      <c r="AF14" s="113" t="s">
        <v>818</v>
      </c>
      <c r="AG14" s="8"/>
      <c r="AH14" s="8"/>
      <c r="AI14" s="8"/>
      <c r="AJ14" s="8"/>
      <c r="AK14" s="5">
        <f t="shared" si="0"/>
        <v>19</v>
      </c>
      <c r="AL14" s="5">
        <f t="shared" si="1"/>
        <v>0</v>
      </c>
      <c r="AM14" s="5" t="s">
        <v>15</v>
      </c>
      <c r="AN14" s="9">
        <f>SUM(AK5:AK32)</f>
        <v>527</v>
      </c>
      <c r="AO14" s="9">
        <f>SUM(AK33:AK46)</f>
        <v>247</v>
      </c>
      <c r="AP14" s="9">
        <f>AN14+AO14</f>
        <v>774</v>
      </c>
    </row>
    <row r="15" spans="1:42" ht="15.5" x14ac:dyDescent="0.35">
      <c r="A15" s="20">
        <v>11</v>
      </c>
      <c r="B15" s="20">
        <v>621</v>
      </c>
      <c r="C15" s="22" t="s">
        <v>602</v>
      </c>
      <c r="D15" s="22" t="s">
        <v>648</v>
      </c>
      <c r="E15" s="19" t="s">
        <v>710</v>
      </c>
      <c r="F15" s="180"/>
      <c r="G15" s="8" t="s">
        <v>818</v>
      </c>
      <c r="H15" s="8" t="s">
        <v>818</v>
      </c>
      <c r="I15" s="183"/>
      <c r="J15" s="8" t="s">
        <v>818</v>
      </c>
      <c r="K15" s="113" t="s">
        <v>818</v>
      </c>
      <c r="L15" s="8" t="s">
        <v>818</v>
      </c>
      <c r="M15" s="8" t="s">
        <v>818</v>
      </c>
      <c r="N15" s="8" t="s">
        <v>818</v>
      </c>
      <c r="O15" s="8" t="s">
        <v>818</v>
      </c>
      <c r="P15" s="183"/>
      <c r="Q15" s="8" t="s">
        <v>818</v>
      </c>
      <c r="R15" s="113" t="s">
        <v>818</v>
      </c>
      <c r="S15" s="8" t="s">
        <v>818</v>
      </c>
      <c r="T15" s="8" t="s">
        <v>818</v>
      </c>
      <c r="U15" s="8" t="s">
        <v>818</v>
      </c>
      <c r="V15" s="8" t="s">
        <v>818</v>
      </c>
      <c r="W15" s="183"/>
      <c r="X15" s="8" t="s">
        <v>818</v>
      </c>
      <c r="Y15" s="113" t="s">
        <v>818</v>
      </c>
      <c r="Z15" s="8" t="s">
        <v>818</v>
      </c>
      <c r="AA15" s="8" t="s">
        <v>818</v>
      </c>
      <c r="AB15" s="8" t="s">
        <v>818</v>
      </c>
      <c r="AC15" s="8" t="s">
        <v>818</v>
      </c>
      <c r="AD15" s="183"/>
      <c r="AE15" s="8" t="s">
        <v>818</v>
      </c>
      <c r="AF15" s="113" t="s">
        <v>818</v>
      </c>
      <c r="AG15" s="8"/>
      <c r="AH15" s="8"/>
      <c r="AI15" s="8"/>
      <c r="AJ15" s="8"/>
      <c r="AK15" s="5">
        <f t="shared" si="0"/>
        <v>22</v>
      </c>
      <c r="AL15" s="5">
        <f t="shared" si="1"/>
        <v>0</v>
      </c>
      <c r="AM15" s="5" t="s">
        <v>16</v>
      </c>
      <c r="AN15" s="12">
        <f>AN14/AN13</f>
        <v>0.69893899204244037</v>
      </c>
      <c r="AO15" s="12">
        <f>AO14/AO13</f>
        <v>0.5</v>
      </c>
      <c r="AP15" s="12">
        <f>AP14/AP13</f>
        <v>0.62019230769230771</v>
      </c>
    </row>
    <row r="16" spans="1:42" ht="15.5" x14ac:dyDescent="0.35">
      <c r="A16" s="20">
        <v>12</v>
      </c>
      <c r="B16" s="20">
        <v>639</v>
      </c>
      <c r="C16" s="22" t="s">
        <v>603</v>
      </c>
      <c r="D16" s="22" t="s">
        <v>792</v>
      </c>
      <c r="E16" s="19" t="s">
        <v>710</v>
      </c>
      <c r="F16" s="180"/>
      <c r="G16" s="8" t="s">
        <v>818</v>
      </c>
      <c r="H16" s="8" t="s">
        <v>818</v>
      </c>
      <c r="I16" s="183"/>
      <c r="J16" s="8" t="s">
        <v>818</v>
      </c>
      <c r="K16" s="113" t="s">
        <v>818</v>
      </c>
      <c r="L16" s="8" t="s">
        <v>818</v>
      </c>
      <c r="M16" s="8" t="s">
        <v>818</v>
      </c>
      <c r="N16" s="8" t="s">
        <v>818</v>
      </c>
      <c r="O16" s="8" t="s">
        <v>819</v>
      </c>
      <c r="P16" s="183"/>
      <c r="Q16" s="8" t="s">
        <v>818</v>
      </c>
      <c r="R16" s="113" t="s">
        <v>818</v>
      </c>
      <c r="S16" s="8" t="s">
        <v>818</v>
      </c>
      <c r="T16" s="8" t="s">
        <v>818</v>
      </c>
      <c r="U16" s="8" t="s">
        <v>818</v>
      </c>
      <c r="V16" s="8" t="s">
        <v>818</v>
      </c>
      <c r="W16" s="183"/>
      <c r="X16" s="8" t="s">
        <v>818</v>
      </c>
      <c r="Y16" s="113" t="s">
        <v>818</v>
      </c>
      <c r="Z16" s="8" t="s">
        <v>818</v>
      </c>
      <c r="AA16" s="8" t="s">
        <v>818</v>
      </c>
      <c r="AB16" s="8" t="s">
        <v>818</v>
      </c>
      <c r="AC16" s="8" t="s">
        <v>818</v>
      </c>
      <c r="AD16" s="183"/>
      <c r="AE16" s="8" t="s">
        <v>818</v>
      </c>
      <c r="AF16" s="113" t="s">
        <v>818</v>
      </c>
      <c r="AG16" s="8"/>
      <c r="AH16" s="8"/>
      <c r="AI16" s="8"/>
      <c r="AJ16" s="8"/>
      <c r="AK16" s="5">
        <f t="shared" si="0"/>
        <v>21</v>
      </c>
      <c r="AL16" s="5">
        <f t="shared" si="1"/>
        <v>0</v>
      </c>
      <c r="AM16"/>
      <c r="AN16"/>
      <c r="AO16"/>
      <c r="AP16"/>
    </row>
    <row r="17" spans="1:42" ht="15.5" x14ac:dyDescent="0.35">
      <c r="A17" s="20">
        <v>13</v>
      </c>
      <c r="B17" s="20">
        <v>762</v>
      </c>
      <c r="C17" s="22" t="s">
        <v>282</v>
      </c>
      <c r="D17" s="22" t="s">
        <v>793</v>
      </c>
      <c r="E17" s="19" t="s">
        <v>710</v>
      </c>
      <c r="F17" s="180"/>
      <c r="G17" s="8" t="s">
        <v>818</v>
      </c>
      <c r="H17" s="8" t="s">
        <v>818</v>
      </c>
      <c r="I17" s="183"/>
      <c r="J17" s="8" t="s">
        <v>818</v>
      </c>
      <c r="K17" s="113" t="s">
        <v>818</v>
      </c>
      <c r="L17" s="8" t="s">
        <v>818</v>
      </c>
      <c r="M17" s="8" t="s">
        <v>818</v>
      </c>
      <c r="N17" s="8" t="s">
        <v>818</v>
      </c>
      <c r="O17" s="8" t="s">
        <v>818</v>
      </c>
      <c r="P17" s="183"/>
      <c r="Q17" s="8" t="s">
        <v>818</v>
      </c>
      <c r="R17" s="113" t="s">
        <v>818</v>
      </c>
      <c r="S17" s="8" t="s">
        <v>818</v>
      </c>
      <c r="T17" s="8" t="s">
        <v>818</v>
      </c>
      <c r="U17" s="8" t="s">
        <v>818</v>
      </c>
      <c r="V17" s="8" t="s">
        <v>818</v>
      </c>
      <c r="W17" s="183"/>
      <c r="X17" s="8" t="s">
        <v>818</v>
      </c>
      <c r="Y17" s="113" t="s">
        <v>818</v>
      </c>
      <c r="Z17" s="8" t="s">
        <v>818</v>
      </c>
      <c r="AA17" s="8" t="s">
        <v>818</v>
      </c>
      <c r="AB17" s="8" t="s">
        <v>818</v>
      </c>
      <c r="AC17" s="8" t="s">
        <v>818</v>
      </c>
      <c r="AD17" s="183"/>
      <c r="AE17" s="8" t="s">
        <v>818</v>
      </c>
      <c r="AF17" s="113" t="s">
        <v>818</v>
      </c>
      <c r="AG17" s="8"/>
      <c r="AH17" s="8"/>
      <c r="AI17" s="8"/>
      <c r="AJ17" s="8"/>
      <c r="AK17" s="5">
        <f t="shared" si="0"/>
        <v>22</v>
      </c>
      <c r="AL17" s="5">
        <f t="shared" si="1"/>
        <v>0</v>
      </c>
      <c r="AM17"/>
      <c r="AN17"/>
      <c r="AO17"/>
      <c r="AP17"/>
    </row>
    <row r="18" spans="1:42" ht="15.5" x14ac:dyDescent="0.35">
      <c r="A18" s="20">
        <v>14</v>
      </c>
      <c r="B18" s="20">
        <v>719</v>
      </c>
      <c r="C18" s="22" t="s">
        <v>286</v>
      </c>
      <c r="D18" s="22" t="s">
        <v>648</v>
      </c>
      <c r="E18" s="19" t="s">
        <v>710</v>
      </c>
      <c r="F18" s="180"/>
      <c r="G18" s="8" t="s">
        <v>817</v>
      </c>
      <c r="H18" s="8" t="s">
        <v>817</v>
      </c>
      <c r="I18" s="183"/>
      <c r="J18" s="8" t="s">
        <v>817</v>
      </c>
      <c r="K18" s="113" t="s">
        <v>817</v>
      </c>
      <c r="L18" s="8" t="s">
        <v>817</v>
      </c>
      <c r="M18" s="8" t="s">
        <v>817</v>
      </c>
      <c r="N18" s="8" t="s">
        <v>817</v>
      </c>
      <c r="O18" s="8" t="s">
        <v>817</v>
      </c>
      <c r="P18" s="183"/>
      <c r="Q18" s="8" t="s">
        <v>817</v>
      </c>
      <c r="R18" s="113" t="s">
        <v>817</v>
      </c>
      <c r="S18" s="8" t="s">
        <v>817</v>
      </c>
      <c r="T18" s="8" t="s">
        <v>817</v>
      </c>
      <c r="U18" s="8" t="s">
        <v>817</v>
      </c>
      <c r="V18" s="8" t="s">
        <v>817</v>
      </c>
      <c r="W18" s="183"/>
      <c r="X18" s="8" t="s">
        <v>818</v>
      </c>
      <c r="Y18" s="113" t="s">
        <v>818</v>
      </c>
      <c r="Z18" s="8" t="s">
        <v>817</v>
      </c>
      <c r="AA18" s="8" t="s">
        <v>817</v>
      </c>
      <c r="AB18" s="8" t="s">
        <v>817</v>
      </c>
      <c r="AC18" s="8" t="s">
        <v>818</v>
      </c>
      <c r="AD18" s="183"/>
      <c r="AE18" s="8" t="s">
        <v>817</v>
      </c>
      <c r="AF18" s="113" t="s">
        <v>817</v>
      </c>
      <c r="AG18" s="8"/>
      <c r="AH18" s="8"/>
      <c r="AI18" s="8"/>
      <c r="AJ18" s="8"/>
      <c r="AK18" s="5">
        <f t="shared" si="0"/>
        <v>3</v>
      </c>
      <c r="AL18" s="5">
        <f t="shared" si="1"/>
        <v>19</v>
      </c>
      <c r="AM18" s="158" t="s">
        <v>121</v>
      </c>
      <c r="AN18" s="159"/>
      <c r="AO18" s="159"/>
      <c r="AP18" s="160"/>
    </row>
    <row r="19" spans="1:42" ht="15.5" x14ac:dyDescent="0.35">
      <c r="A19" s="20">
        <v>15</v>
      </c>
      <c r="B19" s="20">
        <v>725</v>
      </c>
      <c r="C19" s="22" t="s">
        <v>604</v>
      </c>
      <c r="D19" s="22" t="s">
        <v>794</v>
      </c>
      <c r="E19" s="19" t="s">
        <v>710</v>
      </c>
      <c r="F19" s="180"/>
      <c r="G19" s="8" t="s">
        <v>817</v>
      </c>
      <c r="H19" s="8" t="s">
        <v>818</v>
      </c>
      <c r="I19" s="183"/>
      <c r="J19" s="8" t="s">
        <v>818</v>
      </c>
      <c r="K19" s="113" t="s">
        <v>818</v>
      </c>
      <c r="L19" s="8" t="s">
        <v>818</v>
      </c>
      <c r="M19" s="8" t="s">
        <v>818</v>
      </c>
      <c r="N19" s="8" t="s">
        <v>818</v>
      </c>
      <c r="O19" s="8" t="s">
        <v>818</v>
      </c>
      <c r="P19" s="183"/>
      <c r="Q19" s="8" t="s">
        <v>818</v>
      </c>
      <c r="R19" s="113" t="s">
        <v>818</v>
      </c>
      <c r="S19" s="8" t="s">
        <v>818</v>
      </c>
      <c r="T19" s="8" t="s">
        <v>818</v>
      </c>
      <c r="U19" s="8" t="s">
        <v>818</v>
      </c>
      <c r="V19" s="8" t="s">
        <v>818</v>
      </c>
      <c r="W19" s="183"/>
      <c r="X19" s="8" t="s">
        <v>818</v>
      </c>
      <c r="Y19" s="113" t="s">
        <v>818</v>
      </c>
      <c r="Z19" s="8" t="s">
        <v>818</v>
      </c>
      <c r="AA19" s="8" t="s">
        <v>818</v>
      </c>
      <c r="AB19" s="8" t="s">
        <v>818</v>
      </c>
      <c r="AC19" s="8" t="s">
        <v>818</v>
      </c>
      <c r="AD19" s="183"/>
      <c r="AE19" s="8" t="s">
        <v>818</v>
      </c>
      <c r="AF19" s="113" t="s">
        <v>818</v>
      </c>
      <c r="AG19" s="8"/>
      <c r="AH19" s="8"/>
      <c r="AI19" s="8"/>
      <c r="AJ19" s="8"/>
      <c r="AK19" s="5">
        <f t="shared" si="0"/>
        <v>21</v>
      </c>
      <c r="AL19" s="5">
        <f t="shared" si="1"/>
        <v>1</v>
      </c>
      <c r="AM19" s="5" t="s">
        <v>10</v>
      </c>
      <c r="AN19" s="5" t="s">
        <v>11</v>
      </c>
      <c r="AO19" s="5" t="s">
        <v>12</v>
      </c>
      <c r="AP19" s="5" t="s">
        <v>13</v>
      </c>
    </row>
    <row r="20" spans="1:42" ht="15.5" x14ac:dyDescent="0.35">
      <c r="A20" s="20">
        <v>16</v>
      </c>
      <c r="B20" s="20">
        <v>724</v>
      </c>
      <c r="C20" s="22" t="s">
        <v>433</v>
      </c>
      <c r="D20" s="22" t="s">
        <v>794</v>
      </c>
      <c r="E20" s="19" t="s">
        <v>710</v>
      </c>
      <c r="F20" s="180"/>
      <c r="G20" s="8" t="s">
        <v>817</v>
      </c>
      <c r="H20" s="8" t="s">
        <v>818</v>
      </c>
      <c r="I20" s="183"/>
      <c r="J20" s="8" t="s">
        <v>818</v>
      </c>
      <c r="K20" s="113" t="s">
        <v>818</v>
      </c>
      <c r="L20" s="8" t="s">
        <v>818</v>
      </c>
      <c r="M20" s="8" t="s">
        <v>818</v>
      </c>
      <c r="N20" s="8" t="s">
        <v>818</v>
      </c>
      <c r="O20" s="8" t="s">
        <v>818</v>
      </c>
      <c r="P20" s="183"/>
      <c r="Q20" s="8" t="s">
        <v>818</v>
      </c>
      <c r="R20" s="113" t="s">
        <v>818</v>
      </c>
      <c r="S20" s="8" t="s">
        <v>818</v>
      </c>
      <c r="T20" s="8" t="s">
        <v>818</v>
      </c>
      <c r="U20" s="8" t="s">
        <v>818</v>
      </c>
      <c r="V20" s="8" t="s">
        <v>818</v>
      </c>
      <c r="W20" s="183"/>
      <c r="X20" s="8" t="s">
        <v>818</v>
      </c>
      <c r="Y20" s="113" t="s">
        <v>818</v>
      </c>
      <c r="Z20" s="8" t="s">
        <v>818</v>
      </c>
      <c r="AA20" s="8" t="s">
        <v>818</v>
      </c>
      <c r="AB20" s="8" t="s">
        <v>818</v>
      </c>
      <c r="AC20" s="8" t="s">
        <v>818</v>
      </c>
      <c r="AD20" s="183"/>
      <c r="AE20" s="8" t="s">
        <v>818</v>
      </c>
      <c r="AF20" s="113" t="s">
        <v>818</v>
      </c>
      <c r="AG20" s="8"/>
      <c r="AH20" s="8"/>
      <c r="AI20" s="8"/>
      <c r="AJ20" s="8"/>
      <c r="AK20" s="5">
        <f t="shared" si="0"/>
        <v>21</v>
      </c>
      <c r="AL20" s="5">
        <f t="shared" si="1"/>
        <v>1</v>
      </c>
      <c r="AM20" s="5" t="s">
        <v>14</v>
      </c>
      <c r="AN20" s="9">
        <f>29*$AN$5</f>
        <v>754</v>
      </c>
      <c r="AO20" s="9">
        <f>19*$AN$5</f>
        <v>494</v>
      </c>
      <c r="AP20" s="9">
        <f>AN20+AO20</f>
        <v>1248</v>
      </c>
    </row>
    <row r="21" spans="1:42" ht="15.5" x14ac:dyDescent="0.35">
      <c r="A21" s="20">
        <v>17</v>
      </c>
      <c r="B21" s="20">
        <v>406</v>
      </c>
      <c r="C21" s="106" t="s">
        <v>569</v>
      </c>
      <c r="D21" s="108" t="s">
        <v>238</v>
      </c>
      <c r="E21" s="19" t="s">
        <v>710</v>
      </c>
      <c r="F21" s="180"/>
      <c r="G21" s="8" t="s">
        <v>818</v>
      </c>
      <c r="H21" s="8" t="s">
        <v>818</v>
      </c>
      <c r="I21" s="183"/>
      <c r="J21" s="8" t="s">
        <v>819</v>
      </c>
      <c r="K21" s="113" t="s">
        <v>818</v>
      </c>
      <c r="L21" s="8" t="s">
        <v>818</v>
      </c>
      <c r="M21" s="8" t="s">
        <v>818</v>
      </c>
      <c r="N21" s="8" t="s">
        <v>818</v>
      </c>
      <c r="O21" s="8" t="s">
        <v>818</v>
      </c>
      <c r="P21" s="183"/>
      <c r="Q21" s="8" t="s">
        <v>818</v>
      </c>
      <c r="R21" s="113" t="s">
        <v>818</v>
      </c>
      <c r="S21" s="8" t="s">
        <v>818</v>
      </c>
      <c r="T21" s="8" t="s">
        <v>818</v>
      </c>
      <c r="U21" s="8" t="s">
        <v>818</v>
      </c>
      <c r="V21" s="8" t="s">
        <v>818</v>
      </c>
      <c r="W21" s="183"/>
      <c r="X21" s="8" t="s">
        <v>818</v>
      </c>
      <c r="Y21" s="113" t="s">
        <v>818</v>
      </c>
      <c r="Z21" s="8" t="s">
        <v>818</v>
      </c>
      <c r="AA21" s="8" t="s">
        <v>818</v>
      </c>
      <c r="AB21" s="8" t="s">
        <v>818</v>
      </c>
      <c r="AC21" s="8" t="s">
        <v>818</v>
      </c>
      <c r="AD21" s="183"/>
      <c r="AE21" s="8" t="s">
        <v>818</v>
      </c>
      <c r="AF21" s="113" t="s">
        <v>818</v>
      </c>
      <c r="AG21" s="8"/>
      <c r="AH21" s="8"/>
      <c r="AI21" s="8"/>
      <c r="AJ21" s="8"/>
      <c r="AK21" s="5">
        <f t="shared" si="0"/>
        <v>21</v>
      </c>
      <c r="AL21" s="5">
        <f t="shared" si="1"/>
        <v>0</v>
      </c>
      <c r="AM21" s="5" t="s">
        <v>17</v>
      </c>
      <c r="AN21" s="9">
        <f>AN20-AN14</f>
        <v>227</v>
      </c>
      <c r="AO21" s="9">
        <f>AO20-AO14</f>
        <v>247</v>
      </c>
      <c r="AP21" s="9">
        <f>AN21+AO21</f>
        <v>474</v>
      </c>
    </row>
    <row r="22" spans="1:42" ht="15.5" x14ac:dyDescent="0.35">
      <c r="A22" s="20">
        <v>18</v>
      </c>
      <c r="B22" s="20">
        <v>849</v>
      </c>
      <c r="C22" s="27" t="s">
        <v>606</v>
      </c>
      <c r="D22" s="108" t="s">
        <v>795</v>
      </c>
      <c r="E22" s="19" t="s">
        <v>710</v>
      </c>
      <c r="F22" s="180"/>
      <c r="G22" s="8" t="s">
        <v>817</v>
      </c>
      <c r="H22" s="8" t="s">
        <v>817</v>
      </c>
      <c r="I22" s="183"/>
      <c r="J22" s="8" t="s">
        <v>818</v>
      </c>
      <c r="K22" s="113" t="s">
        <v>817</v>
      </c>
      <c r="L22" s="8" t="s">
        <v>818</v>
      </c>
      <c r="M22" s="8" t="s">
        <v>818</v>
      </c>
      <c r="N22" s="8" t="s">
        <v>818</v>
      </c>
      <c r="O22" s="8" t="s">
        <v>818</v>
      </c>
      <c r="P22" s="183"/>
      <c r="Q22" s="8" t="s">
        <v>818</v>
      </c>
      <c r="R22" s="113" t="s">
        <v>818</v>
      </c>
      <c r="S22" s="8" t="s">
        <v>818</v>
      </c>
      <c r="T22" s="8" t="s">
        <v>818</v>
      </c>
      <c r="U22" s="8" t="s">
        <v>818</v>
      </c>
      <c r="V22" s="8" t="s">
        <v>818</v>
      </c>
      <c r="W22" s="183"/>
      <c r="X22" s="8" t="s">
        <v>818</v>
      </c>
      <c r="Y22" s="113" t="s">
        <v>818</v>
      </c>
      <c r="Z22" s="8" t="s">
        <v>818</v>
      </c>
      <c r="AA22" s="8" t="s">
        <v>818</v>
      </c>
      <c r="AB22" s="8" t="s">
        <v>818</v>
      </c>
      <c r="AC22" s="8" t="s">
        <v>818</v>
      </c>
      <c r="AD22" s="183"/>
      <c r="AE22" s="8" t="s">
        <v>818</v>
      </c>
      <c r="AF22" s="113" t="s">
        <v>818</v>
      </c>
      <c r="AG22" s="8"/>
      <c r="AH22" s="8"/>
      <c r="AI22" s="8"/>
      <c r="AJ22" s="8"/>
      <c r="AK22" s="5">
        <f t="shared" si="0"/>
        <v>19</v>
      </c>
      <c r="AL22" s="5">
        <f t="shared" si="1"/>
        <v>3</v>
      </c>
      <c r="AM22" s="5" t="s">
        <v>16</v>
      </c>
      <c r="AN22" s="12">
        <f>AN21/AN20</f>
        <v>0.30106100795755969</v>
      </c>
      <c r="AO22" s="12">
        <f>AO21/AO20</f>
        <v>0.5</v>
      </c>
      <c r="AP22" s="12">
        <f>AP21/AP20</f>
        <v>0.37980769230769229</v>
      </c>
    </row>
    <row r="23" spans="1:42" ht="15.5" x14ac:dyDescent="0.35">
      <c r="A23" s="20">
        <v>19</v>
      </c>
      <c r="B23" s="20">
        <v>514</v>
      </c>
      <c r="C23" s="27" t="s">
        <v>475</v>
      </c>
      <c r="D23" s="108" t="s">
        <v>95</v>
      </c>
      <c r="E23" s="19" t="s">
        <v>710</v>
      </c>
      <c r="F23" s="180"/>
      <c r="G23" s="8" t="s">
        <v>817</v>
      </c>
      <c r="H23" s="8" t="s">
        <v>818</v>
      </c>
      <c r="I23" s="183"/>
      <c r="J23" s="8" t="s">
        <v>818</v>
      </c>
      <c r="K23" s="113" t="s">
        <v>818</v>
      </c>
      <c r="L23" s="8" t="s">
        <v>817</v>
      </c>
      <c r="M23" s="8" t="s">
        <v>818</v>
      </c>
      <c r="N23" s="8" t="s">
        <v>817</v>
      </c>
      <c r="O23" s="8" t="s">
        <v>818</v>
      </c>
      <c r="P23" s="183"/>
      <c r="Q23" s="8" t="s">
        <v>817</v>
      </c>
      <c r="R23" s="113" t="s">
        <v>818</v>
      </c>
      <c r="S23" s="8" t="s">
        <v>818</v>
      </c>
      <c r="T23" s="8" t="s">
        <v>818</v>
      </c>
      <c r="U23" s="8" t="s">
        <v>818</v>
      </c>
      <c r="V23" s="8" t="s">
        <v>818</v>
      </c>
      <c r="W23" s="183"/>
      <c r="X23" s="8" t="s">
        <v>818</v>
      </c>
      <c r="Y23" s="113" t="s">
        <v>818</v>
      </c>
      <c r="Z23" s="8" t="s">
        <v>818</v>
      </c>
      <c r="AA23" s="8" t="s">
        <v>818</v>
      </c>
      <c r="AB23" s="8" t="s">
        <v>818</v>
      </c>
      <c r="AC23" s="8" t="s">
        <v>818</v>
      </c>
      <c r="AD23" s="183"/>
      <c r="AE23" s="8" t="s">
        <v>818</v>
      </c>
      <c r="AF23" s="113" t="s">
        <v>818</v>
      </c>
      <c r="AG23" s="8"/>
      <c r="AH23" s="8"/>
      <c r="AI23" s="8"/>
      <c r="AJ23" s="8"/>
      <c r="AK23" s="5">
        <f t="shared" si="0"/>
        <v>18</v>
      </c>
      <c r="AL23" s="5">
        <f t="shared" si="1"/>
        <v>4</v>
      </c>
    </row>
    <row r="24" spans="1:42" ht="15.5" x14ac:dyDescent="0.35">
      <c r="A24" s="20">
        <v>20</v>
      </c>
      <c r="B24" s="20">
        <v>863</v>
      </c>
      <c r="C24" s="106" t="s">
        <v>657</v>
      </c>
      <c r="D24" s="108" t="s">
        <v>796</v>
      </c>
      <c r="E24" s="19" t="s">
        <v>710</v>
      </c>
      <c r="F24" s="180"/>
      <c r="G24" s="8" t="s">
        <v>818</v>
      </c>
      <c r="H24" s="8" t="s">
        <v>818</v>
      </c>
      <c r="I24" s="183"/>
      <c r="J24" s="8" t="s">
        <v>818</v>
      </c>
      <c r="K24" s="113" t="s">
        <v>818</v>
      </c>
      <c r="L24" s="8" t="s">
        <v>818</v>
      </c>
      <c r="M24" s="8" t="s">
        <v>817</v>
      </c>
      <c r="N24" s="8" t="s">
        <v>817</v>
      </c>
      <c r="O24" s="8" t="s">
        <v>819</v>
      </c>
      <c r="P24" s="183"/>
      <c r="Q24" s="8" t="s">
        <v>818</v>
      </c>
      <c r="R24" s="113" t="s">
        <v>818</v>
      </c>
      <c r="S24" s="8" t="s">
        <v>818</v>
      </c>
      <c r="T24" s="8" t="s">
        <v>818</v>
      </c>
      <c r="U24" s="8" t="s">
        <v>818</v>
      </c>
      <c r="V24" s="8" t="s">
        <v>818</v>
      </c>
      <c r="W24" s="183"/>
      <c r="X24" s="8" t="s">
        <v>818</v>
      </c>
      <c r="Y24" s="113" t="s">
        <v>818</v>
      </c>
      <c r="Z24" s="8" t="s">
        <v>818</v>
      </c>
      <c r="AA24" s="8" t="s">
        <v>818</v>
      </c>
      <c r="AB24" s="8" t="s">
        <v>818</v>
      </c>
      <c r="AC24" s="8" t="s">
        <v>818</v>
      </c>
      <c r="AD24" s="183"/>
      <c r="AE24" s="8" t="s">
        <v>818</v>
      </c>
      <c r="AF24" s="113" t="s">
        <v>818</v>
      </c>
      <c r="AG24" s="8"/>
      <c r="AH24" s="8"/>
      <c r="AI24" s="8"/>
      <c r="AJ24" s="8"/>
      <c r="AK24" s="5">
        <f t="shared" si="0"/>
        <v>19</v>
      </c>
      <c r="AL24" s="5">
        <f t="shared" si="1"/>
        <v>2</v>
      </c>
    </row>
    <row r="25" spans="1:42" ht="15.5" x14ac:dyDescent="0.35">
      <c r="A25" s="20">
        <v>21</v>
      </c>
      <c r="B25" s="20"/>
      <c r="C25" s="106" t="s">
        <v>784</v>
      </c>
      <c r="D25" s="108" t="s">
        <v>797</v>
      </c>
      <c r="E25" s="19" t="s">
        <v>710</v>
      </c>
      <c r="F25" s="180"/>
      <c r="G25" s="8" t="s">
        <v>818</v>
      </c>
      <c r="H25" s="8" t="s">
        <v>818</v>
      </c>
      <c r="I25" s="183"/>
      <c r="J25" s="8" t="s">
        <v>818</v>
      </c>
      <c r="K25" s="113" t="s">
        <v>818</v>
      </c>
      <c r="L25" s="8" t="s">
        <v>818</v>
      </c>
      <c r="M25" s="8" t="s">
        <v>818</v>
      </c>
      <c r="N25" s="8" t="s">
        <v>818</v>
      </c>
      <c r="O25" s="8" t="s">
        <v>818</v>
      </c>
      <c r="P25" s="183"/>
      <c r="Q25" s="8" t="s">
        <v>819</v>
      </c>
      <c r="R25" s="113" t="s">
        <v>819</v>
      </c>
      <c r="S25" s="8" t="s">
        <v>819</v>
      </c>
      <c r="T25" s="8" t="s">
        <v>819</v>
      </c>
      <c r="U25" s="8" t="s">
        <v>819</v>
      </c>
      <c r="V25" s="8" t="s">
        <v>819</v>
      </c>
      <c r="W25" s="183"/>
      <c r="X25" s="8" t="s">
        <v>819</v>
      </c>
      <c r="Y25" s="113" t="s">
        <v>818</v>
      </c>
      <c r="Z25" s="8" t="s">
        <v>818</v>
      </c>
      <c r="AA25" s="8" t="s">
        <v>818</v>
      </c>
      <c r="AB25" s="8" t="s">
        <v>818</v>
      </c>
      <c r="AC25" s="8" t="s">
        <v>818</v>
      </c>
      <c r="AD25" s="183"/>
      <c r="AE25" s="8" t="s">
        <v>818</v>
      </c>
      <c r="AF25" s="113" t="s">
        <v>818</v>
      </c>
      <c r="AG25" s="8"/>
      <c r="AH25" s="8"/>
      <c r="AI25" s="8"/>
      <c r="AJ25" s="8"/>
      <c r="AK25" s="5">
        <f t="shared" si="0"/>
        <v>15</v>
      </c>
      <c r="AL25" s="5">
        <f t="shared" si="1"/>
        <v>0</v>
      </c>
    </row>
    <row r="26" spans="1:42" ht="15.5" x14ac:dyDescent="0.35">
      <c r="A26" s="20">
        <v>22</v>
      </c>
      <c r="B26" s="20">
        <v>454</v>
      </c>
      <c r="C26" s="24" t="s">
        <v>518</v>
      </c>
      <c r="D26" s="22" t="s">
        <v>89</v>
      </c>
      <c r="E26" s="104" t="s">
        <v>710</v>
      </c>
      <c r="F26" s="180"/>
      <c r="G26" s="8" t="s">
        <v>818</v>
      </c>
      <c r="H26" s="8" t="s">
        <v>818</v>
      </c>
      <c r="I26" s="183"/>
      <c r="J26" s="8" t="s">
        <v>818</v>
      </c>
      <c r="K26" s="113" t="s">
        <v>818</v>
      </c>
      <c r="L26" s="8" t="s">
        <v>817</v>
      </c>
      <c r="M26" s="8" t="s">
        <v>818</v>
      </c>
      <c r="N26" s="8" t="s">
        <v>818</v>
      </c>
      <c r="O26" s="8" t="s">
        <v>818</v>
      </c>
      <c r="P26" s="183"/>
      <c r="Q26" s="8" t="s">
        <v>818</v>
      </c>
      <c r="R26" s="113" t="s">
        <v>818</v>
      </c>
      <c r="S26" s="8" t="s">
        <v>818</v>
      </c>
      <c r="T26" s="8" t="s">
        <v>818</v>
      </c>
      <c r="U26" s="8" t="s">
        <v>818</v>
      </c>
      <c r="V26" s="8" t="s">
        <v>818</v>
      </c>
      <c r="W26" s="183"/>
      <c r="X26" s="8" t="s">
        <v>818</v>
      </c>
      <c r="Y26" s="113" t="s">
        <v>818</v>
      </c>
      <c r="Z26" s="8" t="s">
        <v>818</v>
      </c>
      <c r="AA26" s="8" t="s">
        <v>818</v>
      </c>
      <c r="AB26" s="8" t="s">
        <v>818</v>
      </c>
      <c r="AC26" s="8" t="s">
        <v>818</v>
      </c>
      <c r="AD26" s="183"/>
      <c r="AE26" s="8" t="s">
        <v>818</v>
      </c>
      <c r="AF26" s="113" t="s">
        <v>818</v>
      </c>
      <c r="AG26" s="8"/>
      <c r="AH26" s="8"/>
      <c r="AI26" s="8"/>
      <c r="AJ26" s="8"/>
      <c r="AK26" s="5">
        <f t="shared" si="0"/>
        <v>21</v>
      </c>
      <c r="AL26" s="5">
        <f t="shared" si="1"/>
        <v>1</v>
      </c>
    </row>
    <row r="27" spans="1:42" ht="15.5" x14ac:dyDescent="0.35">
      <c r="A27" s="20">
        <v>23</v>
      </c>
      <c r="B27" s="20"/>
      <c r="C27" s="22" t="s">
        <v>861</v>
      </c>
      <c r="D27" s="22"/>
      <c r="E27" s="104" t="s">
        <v>710</v>
      </c>
      <c r="F27" s="180"/>
      <c r="G27" s="8" t="s">
        <v>730</v>
      </c>
      <c r="H27" s="8" t="s">
        <v>730</v>
      </c>
      <c r="I27" s="183"/>
      <c r="J27" s="8" t="s">
        <v>730</v>
      </c>
      <c r="K27" s="113" t="s">
        <v>730</v>
      </c>
      <c r="L27" s="8" t="s">
        <v>730</v>
      </c>
      <c r="M27" s="8" t="s">
        <v>730</v>
      </c>
      <c r="N27" s="8" t="s">
        <v>730</v>
      </c>
      <c r="O27" s="8" t="s">
        <v>817</v>
      </c>
      <c r="P27" s="183"/>
      <c r="Q27" s="8" t="s">
        <v>818</v>
      </c>
      <c r="R27" s="113" t="s">
        <v>818</v>
      </c>
      <c r="S27" s="8" t="s">
        <v>818</v>
      </c>
      <c r="T27" s="8" t="s">
        <v>818</v>
      </c>
      <c r="U27" s="8" t="s">
        <v>818</v>
      </c>
      <c r="V27" s="8" t="s">
        <v>818</v>
      </c>
      <c r="W27" s="183"/>
      <c r="X27" s="8" t="s">
        <v>818</v>
      </c>
      <c r="Y27" s="113" t="s">
        <v>817</v>
      </c>
      <c r="Z27" s="8" t="s">
        <v>818</v>
      </c>
      <c r="AA27" s="8" t="s">
        <v>817</v>
      </c>
      <c r="AB27" s="8" t="s">
        <v>817</v>
      </c>
      <c r="AC27" s="8" t="s">
        <v>817</v>
      </c>
      <c r="AD27" s="183"/>
      <c r="AE27" s="8" t="s">
        <v>817</v>
      </c>
      <c r="AF27" s="113" t="s">
        <v>817</v>
      </c>
      <c r="AG27" s="8"/>
      <c r="AH27" s="8"/>
      <c r="AI27" s="8"/>
      <c r="AJ27" s="8"/>
      <c r="AK27" s="5">
        <f t="shared" si="0"/>
        <v>15</v>
      </c>
      <c r="AL27" s="5">
        <f t="shared" si="1"/>
        <v>7</v>
      </c>
    </row>
    <row r="28" spans="1:42" ht="15.5" x14ac:dyDescent="0.35">
      <c r="A28" s="20">
        <v>1</v>
      </c>
      <c r="B28" s="20">
        <v>636</v>
      </c>
      <c r="C28" s="22" t="s">
        <v>607</v>
      </c>
      <c r="D28" s="22" t="s">
        <v>403</v>
      </c>
      <c r="E28" s="19" t="s">
        <v>710</v>
      </c>
      <c r="F28" s="180"/>
      <c r="G28" s="8" t="s">
        <v>818</v>
      </c>
      <c r="H28" s="8" t="s">
        <v>818</v>
      </c>
      <c r="I28" s="183"/>
      <c r="J28" s="8" t="s">
        <v>818</v>
      </c>
      <c r="K28" s="113" t="s">
        <v>818</v>
      </c>
      <c r="L28" s="8" t="s">
        <v>818</v>
      </c>
      <c r="M28" s="8" t="s">
        <v>818</v>
      </c>
      <c r="N28" s="8" t="s">
        <v>818</v>
      </c>
      <c r="O28" s="8" t="s">
        <v>818</v>
      </c>
      <c r="P28" s="183"/>
      <c r="Q28" s="8" t="s">
        <v>818</v>
      </c>
      <c r="R28" s="113" t="s">
        <v>818</v>
      </c>
      <c r="S28" s="8" t="s">
        <v>818</v>
      </c>
      <c r="T28" s="8" t="s">
        <v>818</v>
      </c>
      <c r="U28" s="8" t="s">
        <v>818</v>
      </c>
      <c r="V28" s="8" t="s">
        <v>818</v>
      </c>
      <c r="W28" s="183"/>
      <c r="X28" s="8" t="s">
        <v>818</v>
      </c>
      <c r="Y28" s="113" t="s">
        <v>818</v>
      </c>
      <c r="Z28" s="8" t="s">
        <v>818</v>
      </c>
      <c r="AA28" s="8" t="s">
        <v>818</v>
      </c>
      <c r="AB28" s="8" t="s">
        <v>818</v>
      </c>
      <c r="AC28" s="8" t="s">
        <v>818</v>
      </c>
      <c r="AD28" s="183"/>
      <c r="AE28" s="8" t="s">
        <v>818</v>
      </c>
      <c r="AF28" s="113" t="s">
        <v>818</v>
      </c>
      <c r="AG28" s="8"/>
      <c r="AH28" s="8"/>
      <c r="AI28" s="8"/>
      <c r="AJ28" s="8"/>
      <c r="AK28" s="5">
        <f t="shared" si="0"/>
        <v>22</v>
      </c>
      <c r="AL28" s="5">
        <f t="shared" si="1"/>
        <v>0</v>
      </c>
    </row>
    <row r="29" spans="1:42" ht="15.5" x14ac:dyDescent="0.35">
      <c r="A29" s="20">
        <v>2</v>
      </c>
      <c r="B29" s="20">
        <v>862</v>
      </c>
      <c r="C29" s="22" t="s">
        <v>608</v>
      </c>
      <c r="D29" s="22" t="s">
        <v>798</v>
      </c>
      <c r="E29" s="19" t="s">
        <v>710</v>
      </c>
      <c r="F29" s="180"/>
      <c r="G29" s="8" t="s">
        <v>818</v>
      </c>
      <c r="H29" s="8" t="s">
        <v>818</v>
      </c>
      <c r="I29" s="183"/>
      <c r="J29" s="8" t="s">
        <v>818</v>
      </c>
      <c r="K29" s="113" t="s">
        <v>818</v>
      </c>
      <c r="L29" s="8" t="s">
        <v>817</v>
      </c>
      <c r="M29" s="8" t="s">
        <v>817</v>
      </c>
      <c r="N29" s="8" t="s">
        <v>817</v>
      </c>
      <c r="O29" s="8" t="s">
        <v>817</v>
      </c>
      <c r="P29" s="183"/>
      <c r="Q29" s="8" t="s">
        <v>818</v>
      </c>
      <c r="R29" s="113" t="s">
        <v>818</v>
      </c>
      <c r="S29" s="8" t="s">
        <v>818</v>
      </c>
      <c r="T29" s="8" t="s">
        <v>818</v>
      </c>
      <c r="U29" s="8" t="s">
        <v>817</v>
      </c>
      <c r="V29" s="8" t="s">
        <v>818</v>
      </c>
      <c r="W29" s="183"/>
      <c r="X29" s="8" t="s">
        <v>817</v>
      </c>
      <c r="Y29" s="113" t="s">
        <v>818</v>
      </c>
      <c r="Z29" s="8" t="s">
        <v>819</v>
      </c>
      <c r="AA29" s="8" t="s">
        <v>819</v>
      </c>
      <c r="AB29" s="8" t="s">
        <v>817</v>
      </c>
      <c r="AC29" s="8" t="s">
        <v>818</v>
      </c>
      <c r="AD29" s="183"/>
      <c r="AE29" s="8" t="s">
        <v>818</v>
      </c>
      <c r="AF29" s="113" t="s">
        <v>818</v>
      </c>
      <c r="AG29" s="8"/>
      <c r="AH29" s="8"/>
      <c r="AI29" s="8"/>
      <c r="AJ29" s="8"/>
      <c r="AK29" s="5">
        <f t="shared" si="0"/>
        <v>13</v>
      </c>
      <c r="AL29" s="5">
        <f t="shared" si="1"/>
        <v>7</v>
      </c>
    </row>
    <row r="30" spans="1:42" ht="15.5" x14ac:dyDescent="0.3">
      <c r="A30" s="20">
        <v>3</v>
      </c>
      <c r="B30" s="20">
        <v>870</v>
      </c>
      <c r="C30" s="14" t="s">
        <v>609</v>
      </c>
      <c r="D30" s="101" t="s">
        <v>799</v>
      </c>
      <c r="E30" s="19" t="s">
        <v>710</v>
      </c>
      <c r="F30" s="180"/>
      <c r="G30" s="8" t="s">
        <v>818</v>
      </c>
      <c r="H30" s="8" t="s">
        <v>818</v>
      </c>
      <c r="I30" s="183"/>
      <c r="J30" s="8" t="s">
        <v>818</v>
      </c>
      <c r="K30" s="113" t="s">
        <v>818</v>
      </c>
      <c r="L30" s="8" t="s">
        <v>818</v>
      </c>
      <c r="M30" s="8" t="s">
        <v>819</v>
      </c>
      <c r="N30" s="8" t="s">
        <v>818</v>
      </c>
      <c r="O30" s="8" t="s">
        <v>818</v>
      </c>
      <c r="P30" s="183"/>
      <c r="Q30" s="8" t="s">
        <v>818</v>
      </c>
      <c r="R30" s="113" t="s">
        <v>818</v>
      </c>
      <c r="S30" s="8" t="s">
        <v>818</v>
      </c>
      <c r="T30" s="8" t="s">
        <v>817</v>
      </c>
      <c r="U30" s="8" t="s">
        <v>818</v>
      </c>
      <c r="V30" s="8" t="s">
        <v>818</v>
      </c>
      <c r="W30" s="183"/>
      <c r="X30" s="8" t="s">
        <v>818</v>
      </c>
      <c r="Y30" s="113" t="s">
        <v>818</v>
      </c>
      <c r="Z30" s="8" t="s">
        <v>817</v>
      </c>
      <c r="AA30" s="8" t="s">
        <v>818</v>
      </c>
      <c r="AB30" s="8" t="s">
        <v>818</v>
      </c>
      <c r="AC30" s="8" t="s">
        <v>818</v>
      </c>
      <c r="AD30" s="183"/>
      <c r="AE30" s="8" t="s">
        <v>818</v>
      </c>
      <c r="AF30" s="113" t="s">
        <v>818</v>
      </c>
      <c r="AG30" s="8"/>
      <c r="AH30" s="8"/>
      <c r="AI30" s="8"/>
      <c r="AJ30" s="8"/>
      <c r="AK30" s="5">
        <f t="shared" si="0"/>
        <v>19</v>
      </c>
      <c r="AL30" s="5">
        <f t="shared" si="1"/>
        <v>2</v>
      </c>
    </row>
    <row r="31" spans="1:42" ht="15.5" x14ac:dyDescent="0.3">
      <c r="A31" s="20">
        <v>4</v>
      </c>
      <c r="B31" s="20">
        <v>626</v>
      </c>
      <c r="C31" s="14" t="s">
        <v>49</v>
      </c>
      <c r="D31" s="101" t="s">
        <v>141</v>
      </c>
      <c r="E31" s="19" t="s">
        <v>710</v>
      </c>
      <c r="F31" s="180"/>
      <c r="G31" s="8" t="s">
        <v>817</v>
      </c>
      <c r="H31" s="8" t="s">
        <v>818</v>
      </c>
      <c r="I31" s="183"/>
      <c r="J31" s="8" t="s">
        <v>818</v>
      </c>
      <c r="K31" s="113" t="s">
        <v>818</v>
      </c>
      <c r="L31" s="8" t="s">
        <v>818</v>
      </c>
      <c r="M31" s="8" t="s">
        <v>818</v>
      </c>
      <c r="N31" s="8" t="s">
        <v>818</v>
      </c>
      <c r="O31" s="8" t="s">
        <v>818</v>
      </c>
      <c r="P31" s="183"/>
      <c r="Q31" s="8" t="s">
        <v>818</v>
      </c>
      <c r="R31" s="113" t="s">
        <v>818</v>
      </c>
      <c r="S31" s="8" t="s">
        <v>818</v>
      </c>
      <c r="T31" s="8" t="s">
        <v>818</v>
      </c>
      <c r="U31" s="8" t="s">
        <v>818</v>
      </c>
      <c r="V31" s="8" t="s">
        <v>818</v>
      </c>
      <c r="W31" s="183"/>
      <c r="X31" s="8" t="s">
        <v>818</v>
      </c>
      <c r="Y31" s="113" t="s">
        <v>818</v>
      </c>
      <c r="Z31" s="8" t="s">
        <v>818</v>
      </c>
      <c r="AA31" s="8" t="s">
        <v>818</v>
      </c>
      <c r="AB31" s="8" t="s">
        <v>818</v>
      </c>
      <c r="AC31" s="8" t="s">
        <v>818</v>
      </c>
      <c r="AD31" s="183"/>
      <c r="AE31" s="8" t="s">
        <v>818</v>
      </c>
      <c r="AF31" s="113" t="s">
        <v>818</v>
      </c>
      <c r="AG31" s="8"/>
      <c r="AH31" s="8"/>
      <c r="AI31" s="8"/>
      <c r="AJ31" s="8"/>
      <c r="AK31" s="5">
        <f t="shared" si="0"/>
        <v>21</v>
      </c>
      <c r="AL31" s="5">
        <f t="shared" si="1"/>
        <v>1</v>
      </c>
    </row>
    <row r="32" spans="1:42" ht="15.5" x14ac:dyDescent="0.3">
      <c r="A32" s="20">
        <v>5</v>
      </c>
      <c r="B32" s="20">
        <v>871</v>
      </c>
      <c r="C32" s="14" t="s">
        <v>610</v>
      </c>
      <c r="D32" s="101" t="s">
        <v>396</v>
      </c>
      <c r="E32" s="19" t="s">
        <v>710</v>
      </c>
      <c r="F32" s="180"/>
      <c r="G32" s="8" t="s">
        <v>818</v>
      </c>
      <c r="H32" s="8" t="s">
        <v>818</v>
      </c>
      <c r="I32" s="183"/>
      <c r="J32" s="8" t="s">
        <v>818</v>
      </c>
      <c r="K32" s="113" t="s">
        <v>818</v>
      </c>
      <c r="L32" s="8" t="s">
        <v>818</v>
      </c>
      <c r="M32" s="8" t="s">
        <v>818</v>
      </c>
      <c r="N32" s="8" t="s">
        <v>818</v>
      </c>
      <c r="O32" s="8" t="s">
        <v>818</v>
      </c>
      <c r="P32" s="183"/>
      <c r="Q32" s="8" t="s">
        <v>818</v>
      </c>
      <c r="R32" s="113" t="s">
        <v>818</v>
      </c>
      <c r="S32" s="8" t="s">
        <v>818</v>
      </c>
      <c r="T32" s="8" t="s">
        <v>818</v>
      </c>
      <c r="U32" s="8" t="s">
        <v>818</v>
      </c>
      <c r="V32" s="8" t="s">
        <v>818</v>
      </c>
      <c r="W32" s="183"/>
      <c r="X32" s="8" t="s">
        <v>818</v>
      </c>
      <c r="Y32" s="113" t="s">
        <v>818</v>
      </c>
      <c r="Z32" s="8" t="s">
        <v>818</v>
      </c>
      <c r="AA32" s="8" t="s">
        <v>818</v>
      </c>
      <c r="AB32" s="8" t="s">
        <v>818</v>
      </c>
      <c r="AC32" s="8" t="s">
        <v>818</v>
      </c>
      <c r="AD32" s="183"/>
      <c r="AE32" s="8" t="s">
        <v>818</v>
      </c>
      <c r="AF32" s="113" t="s">
        <v>818</v>
      </c>
      <c r="AG32" s="8"/>
      <c r="AH32" s="8"/>
      <c r="AI32" s="8"/>
      <c r="AJ32" s="8"/>
      <c r="AK32" s="5">
        <f t="shared" si="0"/>
        <v>22</v>
      </c>
      <c r="AL32" s="5">
        <f t="shared" si="1"/>
        <v>0</v>
      </c>
    </row>
    <row r="33" spans="1:38" ht="15.5" x14ac:dyDescent="0.3">
      <c r="A33" s="20">
        <v>6</v>
      </c>
      <c r="B33" s="20">
        <v>637</v>
      </c>
      <c r="C33" s="14" t="s">
        <v>611</v>
      </c>
      <c r="D33" s="101" t="s">
        <v>234</v>
      </c>
      <c r="E33" s="19" t="s">
        <v>710</v>
      </c>
      <c r="F33" s="180"/>
      <c r="G33" s="8" t="s">
        <v>818</v>
      </c>
      <c r="H33" s="8" t="s">
        <v>818</v>
      </c>
      <c r="I33" s="183"/>
      <c r="J33" s="8" t="s">
        <v>818</v>
      </c>
      <c r="K33" s="113" t="s">
        <v>818</v>
      </c>
      <c r="L33" s="8" t="s">
        <v>818</v>
      </c>
      <c r="M33" s="8" t="s">
        <v>818</v>
      </c>
      <c r="N33" s="8" t="s">
        <v>818</v>
      </c>
      <c r="O33" s="8" t="s">
        <v>818</v>
      </c>
      <c r="P33" s="183"/>
      <c r="Q33" s="8" t="s">
        <v>818</v>
      </c>
      <c r="R33" s="113" t="s">
        <v>818</v>
      </c>
      <c r="S33" s="8" t="s">
        <v>818</v>
      </c>
      <c r="T33" s="8" t="s">
        <v>818</v>
      </c>
      <c r="U33" s="8" t="s">
        <v>818</v>
      </c>
      <c r="V33" s="8" t="s">
        <v>818</v>
      </c>
      <c r="W33" s="183"/>
      <c r="X33" s="8" t="s">
        <v>818</v>
      </c>
      <c r="Y33" s="113" t="s">
        <v>818</v>
      </c>
      <c r="Z33" s="8" t="s">
        <v>818</v>
      </c>
      <c r="AA33" s="8" t="s">
        <v>818</v>
      </c>
      <c r="AB33" s="8" t="s">
        <v>818</v>
      </c>
      <c r="AC33" s="8" t="s">
        <v>818</v>
      </c>
      <c r="AD33" s="183"/>
      <c r="AE33" s="8" t="s">
        <v>818</v>
      </c>
      <c r="AF33" s="113" t="s">
        <v>818</v>
      </c>
      <c r="AG33" s="8"/>
      <c r="AH33" s="8"/>
      <c r="AI33" s="8"/>
      <c r="AJ33" s="8"/>
      <c r="AK33" s="5">
        <f t="shared" si="0"/>
        <v>22</v>
      </c>
      <c r="AL33" s="5">
        <f t="shared" si="1"/>
        <v>0</v>
      </c>
    </row>
    <row r="34" spans="1:38" ht="15.5" x14ac:dyDescent="0.3">
      <c r="A34" s="20">
        <v>7</v>
      </c>
      <c r="B34" s="20">
        <v>720</v>
      </c>
      <c r="C34" s="14" t="s">
        <v>612</v>
      </c>
      <c r="D34" s="101" t="s">
        <v>800</v>
      </c>
      <c r="E34" s="19" t="s">
        <v>710</v>
      </c>
      <c r="F34" s="180"/>
      <c r="G34" s="8" t="s">
        <v>817</v>
      </c>
      <c r="H34" s="8" t="s">
        <v>818</v>
      </c>
      <c r="I34" s="183"/>
      <c r="J34" s="8" t="s">
        <v>818</v>
      </c>
      <c r="K34" s="113" t="s">
        <v>818</v>
      </c>
      <c r="L34" s="8" t="s">
        <v>818</v>
      </c>
      <c r="M34" s="8" t="s">
        <v>818</v>
      </c>
      <c r="N34" s="8" t="s">
        <v>818</v>
      </c>
      <c r="O34" s="8" t="s">
        <v>818</v>
      </c>
      <c r="P34" s="183"/>
      <c r="Q34" s="8" t="s">
        <v>817</v>
      </c>
      <c r="R34" s="113" t="s">
        <v>818</v>
      </c>
      <c r="S34" s="8" t="s">
        <v>818</v>
      </c>
      <c r="T34" s="8" t="s">
        <v>818</v>
      </c>
      <c r="U34" s="8" t="s">
        <v>818</v>
      </c>
      <c r="V34" s="8" t="s">
        <v>818</v>
      </c>
      <c r="W34" s="183"/>
      <c r="X34" s="8" t="s">
        <v>818</v>
      </c>
      <c r="Y34" s="113" t="s">
        <v>818</v>
      </c>
      <c r="Z34" s="8" t="s">
        <v>817</v>
      </c>
      <c r="AA34" s="8" t="s">
        <v>817</v>
      </c>
      <c r="AB34" s="8" t="s">
        <v>818</v>
      </c>
      <c r="AC34" s="8" t="s">
        <v>817</v>
      </c>
      <c r="AD34" s="183"/>
      <c r="AE34" s="8" t="s">
        <v>818</v>
      </c>
      <c r="AF34" s="113" t="s">
        <v>818</v>
      </c>
      <c r="AG34" s="8"/>
      <c r="AH34" s="8"/>
      <c r="AI34" s="8"/>
      <c r="AJ34" s="8"/>
      <c r="AK34" s="5">
        <f t="shared" si="0"/>
        <v>17</v>
      </c>
      <c r="AL34" s="5">
        <f t="shared" si="1"/>
        <v>5</v>
      </c>
    </row>
    <row r="35" spans="1:38" ht="15.5" x14ac:dyDescent="0.3">
      <c r="A35" s="20">
        <v>8</v>
      </c>
      <c r="B35" s="20">
        <v>722</v>
      </c>
      <c r="C35" s="14" t="s">
        <v>91</v>
      </c>
      <c r="D35" s="101" t="s">
        <v>801</v>
      </c>
      <c r="E35" s="19" t="s">
        <v>710</v>
      </c>
      <c r="F35" s="180"/>
      <c r="G35" s="8" t="s">
        <v>818</v>
      </c>
      <c r="H35" s="8" t="s">
        <v>818</v>
      </c>
      <c r="I35" s="183"/>
      <c r="J35" s="8" t="s">
        <v>818</v>
      </c>
      <c r="K35" s="113" t="s">
        <v>818</v>
      </c>
      <c r="L35" s="8" t="s">
        <v>818</v>
      </c>
      <c r="M35" s="8" t="s">
        <v>818</v>
      </c>
      <c r="N35" s="8" t="s">
        <v>818</v>
      </c>
      <c r="O35" s="8" t="s">
        <v>818</v>
      </c>
      <c r="P35" s="183"/>
      <c r="Q35" s="8" t="s">
        <v>818</v>
      </c>
      <c r="R35" s="113" t="s">
        <v>818</v>
      </c>
      <c r="S35" s="8" t="s">
        <v>818</v>
      </c>
      <c r="T35" s="8" t="s">
        <v>818</v>
      </c>
      <c r="U35" s="8" t="s">
        <v>818</v>
      </c>
      <c r="V35" s="8" t="s">
        <v>818</v>
      </c>
      <c r="W35" s="183"/>
      <c r="X35" s="8" t="s">
        <v>818</v>
      </c>
      <c r="Y35" s="113" t="s">
        <v>818</v>
      </c>
      <c r="Z35" s="8" t="s">
        <v>818</v>
      </c>
      <c r="AA35" s="8" t="s">
        <v>818</v>
      </c>
      <c r="AB35" s="8" t="s">
        <v>818</v>
      </c>
      <c r="AC35" s="8" t="s">
        <v>818</v>
      </c>
      <c r="AD35" s="183"/>
      <c r="AE35" s="8" t="s">
        <v>818</v>
      </c>
      <c r="AF35" s="113" t="s">
        <v>818</v>
      </c>
      <c r="AG35" s="8"/>
      <c r="AH35" s="8"/>
      <c r="AI35" s="8"/>
      <c r="AJ35" s="8"/>
      <c r="AK35" s="5">
        <f t="shared" si="0"/>
        <v>22</v>
      </c>
      <c r="AL35" s="5">
        <f t="shared" si="1"/>
        <v>0</v>
      </c>
    </row>
    <row r="36" spans="1:38" ht="15.5" x14ac:dyDescent="0.3">
      <c r="A36" s="20">
        <v>9</v>
      </c>
      <c r="B36" s="20">
        <v>352</v>
      </c>
      <c r="C36" s="14" t="s">
        <v>613</v>
      </c>
      <c r="D36" s="101" t="s">
        <v>802</v>
      </c>
      <c r="E36" s="19" t="s">
        <v>710</v>
      </c>
      <c r="F36" s="180"/>
      <c r="G36" s="8" t="s">
        <v>818</v>
      </c>
      <c r="H36" s="8" t="s">
        <v>818</v>
      </c>
      <c r="I36" s="183"/>
      <c r="J36" s="8" t="s">
        <v>818</v>
      </c>
      <c r="K36" s="113" t="s">
        <v>818</v>
      </c>
      <c r="L36" s="8" t="s">
        <v>818</v>
      </c>
      <c r="M36" s="8" t="s">
        <v>818</v>
      </c>
      <c r="N36" s="8" t="s">
        <v>818</v>
      </c>
      <c r="O36" s="8" t="s">
        <v>818</v>
      </c>
      <c r="P36" s="183"/>
      <c r="Q36" s="8" t="s">
        <v>818</v>
      </c>
      <c r="R36" s="113" t="s">
        <v>817</v>
      </c>
      <c r="S36" s="8" t="s">
        <v>818</v>
      </c>
      <c r="T36" s="8" t="s">
        <v>818</v>
      </c>
      <c r="U36" s="8" t="s">
        <v>818</v>
      </c>
      <c r="V36" s="8" t="s">
        <v>817</v>
      </c>
      <c r="W36" s="183"/>
      <c r="X36" s="8" t="s">
        <v>817</v>
      </c>
      <c r="Y36" s="113" t="s">
        <v>818</v>
      </c>
      <c r="Z36" s="8" t="s">
        <v>818</v>
      </c>
      <c r="AA36" s="8" t="s">
        <v>818</v>
      </c>
      <c r="AB36" s="8" t="s">
        <v>818</v>
      </c>
      <c r="AC36" s="8" t="s">
        <v>818</v>
      </c>
      <c r="AD36" s="183"/>
      <c r="AE36" s="8" t="s">
        <v>818</v>
      </c>
      <c r="AF36" s="113" t="s">
        <v>818</v>
      </c>
      <c r="AG36" s="8"/>
      <c r="AH36" s="8"/>
      <c r="AI36" s="8"/>
      <c r="AJ36" s="8"/>
      <c r="AK36" s="5">
        <f t="shared" si="0"/>
        <v>19</v>
      </c>
      <c r="AL36" s="5">
        <f t="shared" si="1"/>
        <v>3</v>
      </c>
    </row>
    <row r="37" spans="1:38" ht="15.5" x14ac:dyDescent="0.3">
      <c r="A37" s="20">
        <v>10</v>
      </c>
      <c r="B37" s="20">
        <v>350</v>
      </c>
      <c r="C37" s="14" t="s">
        <v>474</v>
      </c>
      <c r="D37" s="101" t="s">
        <v>238</v>
      </c>
      <c r="E37" s="19" t="s">
        <v>710</v>
      </c>
      <c r="F37" s="180"/>
      <c r="G37" s="8" t="s">
        <v>818</v>
      </c>
      <c r="H37" s="8" t="s">
        <v>818</v>
      </c>
      <c r="I37" s="183"/>
      <c r="J37" s="8" t="s">
        <v>817</v>
      </c>
      <c r="K37" s="113" t="s">
        <v>818</v>
      </c>
      <c r="L37" s="8" t="s">
        <v>818</v>
      </c>
      <c r="M37" s="8" t="s">
        <v>817</v>
      </c>
      <c r="N37" s="8" t="s">
        <v>817</v>
      </c>
      <c r="O37" s="8" t="s">
        <v>818</v>
      </c>
      <c r="P37" s="183"/>
      <c r="Q37" s="8" t="s">
        <v>818</v>
      </c>
      <c r="R37" s="113" t="s">
        <v>818</v>
      </c>
      <c r="S37" s="8" t="s">
        <v>818</v>
      </c>
      <c r="T37" s="8" t="s">
        <v>818</v>
      </c>
      <c r="U37" s="8" t="s">
        <v>818</v>
      </c>
      <c r="V37" s="8" t="s">
        <v>818</v>
      </c>
      <c r="W37" s="183"/>
      <c r="X37" s="8" t="s">
        <v>818</v>
      </c>
      <c r="Y37" s="113" t="s">
        <v>818</v>
      </c>
      <c r="Z37" s="8" t="s">
        <v>818</v>
      </c>
      <c r="AA37" s="8" t="s">
        <v>818</v>
      </c>
      <c r="AB37" s="8" t="s">
        <v>818</v>
      </c>
      <c r="AC37" s="8" t="s">
        <v>818</v>
      </c>
      <c r="AD37" s="183"/>
      <c r="AE37" s="8" t="s">
        <v>818</v>
      </c>
      <c r="AF37" s="113" t="s">
        <v>818</v>
      </c>
      <c r="AG37" s="8"/>
      <c r="AH37" s="8"/>
      <c r="AI37" s="8"/>
      <c r="AJ37" s="8"/>
      <c r="AK37" s="5">
        <f t="shared" si="0"/>
        <v>19</v>
      </c>
      <c r="AL37" s="5">
        <f t="shared" si="1"/>
        <v>3</v>
      </c>
    </row>
    <row r="38" spans="1:38" ht="15.5" x14ac:dyDescent="0.3">
      <c r="A38" s="20">
        <v>11</v>
      </c>
      <c r="B38" s="20">
        <v>629</v>
      </c>
      <c r="C38" s="14" t="s">
        <v>587</v>
      </c>
      <c r="D38" s="14" t="s">
        <v>803</v>
      </c>
      <c r="E38" s="19" t="s">
        <v>710</v>
      </c>
      <c r="F38" s="180"/>
      <c r="G38" s="8" t="s">
        <v>817</v>
      </c>
      <c r="H38" s="8" t="s">
        <v>817</v>
      </c>
      <c r="I38" s="183"/>
      <c r="J38" s="8" t="s">
        <v>817</v>
      </c>
      <c r="K38" s="113" t="s">
        <v>817</v>
      </c>
      <c r="L38" s="8" t="s">
        <v>817</v>
      </c>
      <c r="M38" s="8" t="s">
        <v>817</v>
      </c>
      <c r="N38" s="8" t="s">
        <v>817</v>
      </c>
      <c r="O38" s="8" t="s">
        <v>817</v>
      </c>
      <c r="P38" s="183"/>
      <c r="Q38" s="8" t="s">
        <v>817</v>
      </c>
      <c r="R38" s="113" t="s">
        <v>817</v>
      </c>
      <c r="S38" s="8" t="s">
        <v>817</v>
      </c>
      <c r="T38" s="8" t="s">
        <v>817</v>
      </c>
      <c r="U38" s="8" t="s">
        <v>818</v>
      </c>
      <c r="V38" s="8" t="s">
        <v>817</v>
      </c>
      <c r="W38" s="183"/>
      <c r="X38" s="8" t="s">
        <v>817</v>
      </c>
      <c r="Y38" s="113" t="s">
        <v>818</v>
      </c>
      <c r="Z38" s="8" t="s">
        <v>817</v>
      </c>
      <c r="AA38" s="8" t="s">
        <v>817</v>
      </c>
      <c r="AB38" s="8" t="s">
        <v>817</v>
      </c>
      <c r="AC38" s="8" t="s">
        <v>817</v>
      </c>
      <c r="AD38" s="183"/>
      <c r="AE38" s="8" t="s">
        <v>818</v>
      </c>
      <c r="AF38" s="113" t="s">
        <v>818</v>
      </c>
      <c r="AG38" s="8"/>
      <c r="AH38" s="8"/>
      <c r="AI38" s="8"/>
      <c r="AJ38" s="8"/>
      <c r="AK38" s="5">
        <f t="shared" si="0"/>
        <v>4</v>
      </c>
      <c r="AL38" s="5">
        <f t="shared" si="1"/>
        <v>18</v>
      </c>
    </row>
    <row r="39" spans="1:38" ht="15.5" x14ac:dyDescent="0.3">
      <c r="A39" s="20">
        <v>12</v>
      </c>
      <c r="B39" s="20">
        <v>869</v>
      </c>
      <c r="C39" s="14" t="s">
        <v>614</v>
      </c>
      <c r="D39" s="14" t="s">
        <v>103</v>
      </c>
      <c r="E39" s="19" t="s">
        <v>710</v>
      </c>
      <c r="F39" s="180"/>
      <c r="G39" s="8" t="s">
        <v>818</v>
      </c>
      <c r="H39" s="8" t="s">
        <v>818</v>
      </c>
      <c r="I39" s="183"/>
      <c r="J39" s="8" t="s">
        <v>818</v>
      </c>
      <c r="K39" s="113" t="s">
        <v>818</v>
      </c>
      <c r="L39" s="8" t="s">
        <v>818</v>
      </c>
      <c r="M39" s="8" t="s">
        <v>818</v>
      </c>
      <c r="N39" s="8" t="s">
        <v>818</v>
      </c>
      <c r="O39" s="8" t="s">
        <v>818</v>
      </c>
      <c r="P39" s="183"/>
      <c r="Q39" s="8" t="s">
        <v>818</v>
      </c>
      <c r="R39" s="113" t="s">
        <v>818</v>
      </c>
      <c r="S39" s="8" t="s">
        <v>818</v>
      </c>
      <c r="T39" s="8" t="s">
        <v>818</v>
      </c>
      <c r="U39" s="8" t="s">
        <v>818</v>
      </c>
      <c r="V39" s="8" t="s">
        <v>818</v>
      </c>
      <c r="W39" s="183"/>
      <c r="X39" s="8" t="s">
        <v>818</v>
      </c>
      <c r="Y39" s="113" t="s">
        <v>818</v>
      </c>
      <c r="Z39" s="8" t="s">
        <v>818</v>
      </c>
      <c r="AA39" s="8" t="s">
        <v>818</v>
      </c>
      <c r="AB39" s="8" t="s">
        <v>818</v>
      </c>
      <c r="AC39" s="8" t="s">
        <v>818</v>
      </c>
      <c r="AD39" s="183"/>
      <c r="AE39" s="8" t="s">
        <v>818</v>
      </c>
      <c r="AF39" s="113" t="s">
        <v>818</v>
      </c>
      <c r="AG39" s="8"/>
      <c r="AH39" s="8"/>
      <c r="AI39" s="8"/>
      <c r="AJ39" s="8"/>
      <c r="AK39" s="5">
        <f t="shared" si="0"/>
        <v>22</v>
      </c>
      <c r="AL39" s="5">
        <f t="shared" si="1"/>
        <v>0</v>
      </c>
    </row>
    <row r="40" spans="1:38" ht="15.5" x14ac:dyDescent="0.3">
      <c r="A40" s="20">
        <v>13</v>
      </c>
      <c r="B40" s="20">
        <v>390</v>
      </c>
      <c r="C40" s="14" t="s">
        <v>616</v>
      </c>
      <c r="D40" s="14" t="s">
        <v>322</v>
      </c>
      <c r="E40" s="19" t="s">
        <v>710</v>
      </c>
      <c r="F40" s="180"/>
      <c r="G40" s="8" t="s">
        <v>818</v>
      </c>
      <c r="H40" s="8" t="s">
        <v>818</v>
      </c>
      <c r="I40" s="183"/>
      <c r="J40" s="8" t="s">
        <v>818</v>
      </c>
      <c r="K40" s="113" t="s">
        <v>818</v>
      </c>
      <c r="L40" s="8" t="s">
        <v>818</v>
      </c>
      <c r="M40" s="8" t="s">
        <v>818</v>
      </c>
      <c r="N40" s="8" t="s">
        <v>818</v>
      </c>
      <c r="O40" s="8" t="s">
        <v>818</v>
      </c>
      <c r="P40" s="183"/>
      <c r="Q40" s="8" t="s">
        <v>818</v>
      </c>
      <c r="R40" s="113" t="s">
        <v>818</v>
      </c>
      <c r="S40" s="8" t="s">
        <v>818</v>
      </c>
      <c r="T40" s="8" t="s">
        <v>818</v>
      </c>
      <c r="U40" s="8" t="s">
        <v>818</v>
      </c>
      <c r="V40" s="8" t="s">
        <v>818</v>
      </c>
      <c r="W40" s="183"/>
      <c r="X40" s="8" t="s">
        <v>818</v>
      </c>
      <c r="Y40" s="113" t="s">
        <v>818</v>
      </c>
      <c r="Z40" s="8" t="s">
        <v>818</v>
      </c>
      <c r="AA40" s="8" t="s">
        <v>817</v>
      </c>
      <c r="AB40" s="8" t="s">
        <v>818</v>
      </c>
      <c r="AC40" s="8" t="s">
        <v>818</v>
      </c>
      <c r="AD40" s="183"/>
      <c r="AE40" s="8" t="s">
        <v>818</v>
      </c>
      <c r="AF40" s="113" t="s">
        <v>818</v>
      </c>
      <c r="AG40" s="8"/>
      <c r="AH40" s="8"/>
      <c r="AI40" s="8"/>
      <c r="AJ40" s="8"/>
      <c r="AK40" s="5">
        <f t="shared" si="0"/>
        <v>21</v>
      </c>
      <c r="AL40" s="5">
        <f t="shared" si="1"/>
        <v>1</v>
      </c>
    </row>
    <row r="41" spans="1:38" ht="15.5" x14ac:dyDescent="0.3">
      <c r="A41" s="20">
        <v>14</v>
      </c>
      <c r="B41" s="20">
        <v>357</v>
      </c>
      <c r="C41" s="14" t="s">
        <v>617</v>
      </c>
      <c r="D41" s="14" t="s">
        <v>400</v>
      </c>
      <c r="E41" s="19" t="s">
        <v>710</v>
      </c>
      <c r="F41" s="180"/>
      <c r="G41" s="8" t="s">
        <v>817</v>
      </c>
      <c r="H41" s="8" t="s">
        <v>818</v>
      </c>
      <c r="I41" s="183"/>
      <c r="J41" s="8" t="s">
        <v>818</v>
      </c>
      <c r="K41" s="113" t="s">
        <v>818</v>
      </c>
      <c r="L41" s="8" t="s">
        <v>818</v>
      </c>
      <c r="M41" s="8" t="s">
        <v>817</v>
      </c>
      <c r="N41" s="8" t="s">
        <v>818</v>
      </c>
      <c r="O41" s="8" t="s">
        <v>818</v>
      </c>
      <c r="P41" s="183"/>
      <c r="Q41" s="8" t="s">
        <v>818</v>
      </c>
      <c r="R41" s="113" t="s">
        <v>818</v>
      </c>
      <c r="S41" s="8" t="s">
        <v>818</v>
      </c>
      <c r="T41" s="8" t="s">
        <v>818</v>
      </c>
      <c r="U41" s="8" t="s">
        <v>818</v>
      </c>
      <c r="V41" s="8" t="s">
        <v>817</v>
      </c>
      <c r="W41" s="183"/>
      <c r="X41" s="8" t="s">
        <v>818</v>
      </c>
      <c r="Y41" s="113" t="s">
        <v>818</v>
      </c>
      <c r="Z41" s="8" t="s">
        <v>817</v>
      </c>
      <c r="AA41" s="8" t="s">
        <v>818</v>
      </c>
      <c r="AB41" s="8" t="s">
        <v>817</v>
      </c>
      <c r="AC41" s="8" t="s">
        <v>818</v>
      </c>
      <c r="AD41" s="183"/>
      <c r="AE41" s="8" t="s">
        <v>818</v>
      </c>
      <c r="AF41" s="113" t="s">
        <v>818</v>
      </c>
      <c r="AG41" s="8"/>
      <c r="AH41" s="8"/>
      <c r="AI41" s="8"/>
      <c r="AJ41" s="8"/>
      <c r="AK41" s="5">
        <f t="shared" si="0"/>
        <v>17</v>
      </c>
      <c r="AL41" s="5">
        <f t="shared" si="1"/>
        <v>5</v>
      </c>
    </row>
    <row r="42" spans="1:38" ht="15.5" x14ac:dyDescent="0.3">
      <c r="A42" s="20">
        <v>15</v>
      </c>
      <c r="B42" s="20">
        <v>623</v>
      </c>
      <c r="C42" s="14" t="s">
        <v>618</v>
      </c>
      <c r="D42" s="14" t="s">
        <v>804</v>
      </c>
      <c r="E42" s="19" t="s">
        <v>710</v>
      </c>
      <c r="F42" s="180"/>
      <c r="G42" s="8" t="s">
        <v>818</v>
      </c>
      <c r="H42" s="8" t="s">
        <v>818</v>
      </c>
      <c r="I42" s="183"/>
      <c r="J42" s="8" t="s">
        <v>818</v>
      </c>
      <c r="K42" s="113" t="s">
        <v>818</v>
      </c>
      <c r="L42" s="8" t="s">
        <v>818</v>
      </c>
      <c r="M42" s="8" t="s">
        <v>818</v>
      </c>
      <c r="N42" s="8" t="s">
        <v>818</v>
      </c>
      <c r="O42" s="8" t="s">
        <v>819</v>
      </c>
      <c r="P42" s="183"/>
      <c r="Q42" s="8" t="s">
        <v>818</v>
      </c>
      <c r="R42" s="113" t="s">
        <v>818</v>
      </c>
      <c r="S42" s="8" t="s">
        <v>818</v>
      </c>
      <c r="T42" s="8" t="s">
        <v>818</v>
      </c>
      <c r="U42" s="8" t="s">
        <v>818</v>
      </c>
      <c r="V42" s="8" t="s">
        <v>818</v>
      </c>
      <c r="W42" s="183"/>
      <c r="X42" s="8" t="s">
        <v>818</v>
      </c>
      <c r="Y42" s="113" t="s">
        <v>818</v>
      </c>
      <c r="Z42" s="8" t="s">
        <v>818</v>
      </c>
      <c r="AA42" s="8" t="s">
        <v>818</v>
      </c>
      <c r="AB42" s="8" t="s">
        <v>818</v>
      </c>
      <c r="AC42" s="8" t="s">
        <v>817</v>
      </c>
      <c r="AD42" s="183"/>
      <c r="AE42" s="8" t="s">
        <v>818</v>
      </c>
      <c r="AF42" s="113" t="s">
        <v>818</v>
      </c>
      <c r="AG42" s="8"/>
      <c r="AH42" s="8"/>
      <c r="AI42" s="8"/>
      <c r="AJ42" s="8"/>
      <c r="AK42" s="5">
        <f t="shared" si="0"/>
        <v>20</v>
      </c>
      <c r="AL42" s="5">
        <f t="shared" si="1"/>
        <v>1</v>
      </c>
    </row>
    <row r="43" spans="1:38" ht="15.5" x14ac:dyDescent="0.3">
      <c r="A43" s="20">
        <v>16</v>
      </c>
      <c r="B43" s="20">
        <v>738</v>
      </c>
      <c r="C43" s="14" t="s">
        <v>623</v>
      </c>
      <c r="D43" s="14" t="s">
        <v>805</v>
      </c>
      <c r="E43" s="19" t="s">
        <v>710</v>
      </c>
      <c r="F43" s="180"/>
      <c r="G43" s="8" t="s">
        <v>817</v>
      </c>
      <c r="H43" s="8" t="s">
        <v>817</v>
      </c>
      <c r="I43" s="183"/>
      <c r="J43" s="8" t="s">
        <v>818</v>
      </c>
      <c r="K43" s="113" t="s">
        <v>818</v>
      </c>
      <c r="L43" s="8" t="s">
        <v>818</v>
      </c>
      <c r="M43" s="8" t="s">
        <v>817</v>
      </c>
      <c r="N43" s="8" t="s">
        <v>817</v>
      </c>
      <c r="O43" s="8" t="s">
        <v>817</v>
      </c>
      <c r="P43" s="183"/>
      <c r="Q43" s="8" t="s">
        <v>817</v>
      </c>
      <c r="R43" s="113" t="s">
        <v>817</v>
      </c>
      <c r="S43" s="8" t="s">
        <v>817</v>
      </c>
      <c r="T43" s="8" t="s">
        <v>818</v>
      </c>
      <c r="U43" s="8" t="s">
        <v>818</v>
      </c>
      <c r="V43" s="8" t="s">
        <v>818</v>
      </c>
      <c r="W43" s="183"/>
      <c r="X43" s="8" t="s">
        <v>818</v>
      </c>
      <c r="Y43" s="113" t="s">
        <v>818</v>
      </c>
      <c r="Z43" s="8" t="s">
        <v>817</v>
      </c>
      <c r="AA43" s="8" t="s">
        <v>817</v>
      </c>
      <c r="AB43" s="8" t="s">
        <v>817</v>
      </c>
      <c r="AC43" s="8" t="s">
        <v>817</v>
      </c>
      <c r="AD43" s="183"/>
      <c r="AE43" s="8" t="s">
        <v>818</v>
      </c>
      <c r="AF43" s="113" t="s">
        <v>818</v>
      </c>
      <c r="AG43" s="8"/>
      <c r="AH43" s="8"/>
      <c r="AI43" s="8"/>
      <c r="AJ43" s="8"/>
      <c r="AK43" s="5">
        <f t="shared" si="0"/>
        <v>10</v>
      </c>
      <c r="AL43" s="5">
        <f t="shared" si="1"/>
        <v>12</v>
      </c>
    </row>
    <row r="44" spans="1:38" ht="15.5" x14ac:dyDescent="0.3">
      <c r="A44" s="20">
        <v>18</v>
      </c>
      <c r="B44" s="20">
        <v>866</v>
      </c>
      <c r="C44" s="14" t="s">
        <v>587</v>
      </c>
      <c r="D44" s="14" t="s">
        <v>806</v>
      </c>
      <c r="E44" s="19" t="s">
        <v>710</v>
      </c>
      <c r="F44" s="180"/>
      <c r="G44" s="8" t="s">
        <v>818</v>
      </c>
      <c r="H44" s="8" t="s">
        <v>818</v>
      </c>
      <c r="I44" s="183"/>
      <c r="J44" s="8" t="s">
        <v>818</v>
      </c>
      <c r="K44" s="113" t="s">
        <v>818</v>
      </c>
      <c r="L44" s="8" t="s">
        <v>818</v>
      </c>
      <c r="M44" s="8" t="s">
        <v>818</v>
      </c>
      <c r="N44" s="8" t="s">
        <v>818</v>
      </c>
      <c r="O44" s="8" t="s">
        <v>818</v>
      </c>
      <c r="P44" s="183"/>
      <c r="Q44" s="8" t="s">
        <v>818</v>
      </c>
      <c r="R44" s="113" t="s">
        <v>818</v>
      </c>
      <c r="S44" s="8" t="s">
        <v>818</v>
      </c>
      <c r="T44" s="8" t="s">
        <v>818</v>
      </c>
      <c r="U44" s="8" t="s">
        <v>818</v>
      </c>
      <c r="V44" s="8" t="s">
        <v>818</v>
      </c>
      <c r="W44" s="183"/>
      <c r="X44" s="8" t="s">
        <v>817</v>
      </c>
      <c r="Y44" s="113" t="s">
        <v>818</v>
      </c>
      <c r="Z44" s="8" t="s">
        <v>818</v>
      </c>
      <c r="AA44" s="8" t="s">
        <v>818</v>
      </c>
      <c r="AB44" s="8" t="s">
        <v>818</v>
      </c>
      <c r="AC44" s="8" t="s">
        <v>818</v>
      </c>
      <c r="AD44" s="183"/>
      <c r="AE44" s="8" t="s">
        <v>818</v>
      </c>
      <c r="AF44" s="113" t="s">
        <v>818</v>
      </c>
      <c r="AG44" s="8"/>
      <c r="AH44" s="8"/>
      <c r="AI44" s="8"/>
      <c r="AJ44" s="8"/>
      <c r="AK44" s="5">
        <f t="shared" si="0"/>
        <v>21</v>
      </c>
      <c r="AL44" s="5">
        <f t="shared" si="1"/>
        <v>1</v>
      </c>
    </row>
    <row r="45" spans="1:38" ht="15.5" x14ac:dyDescent="0.3">
      <c r="A45" s="20">
        <v>19</v>
      </c>
      <c r="B45" s="20"/>
      <c r="C45" s="14" t="s">
        <v>785</v>
      </c>
      <c r="D45" s="14"/>
      <c r="E45" s="19" t="s">
        <v>710</v>
      </c>
      <c r="F45" s="180"/>
      <c r="G45" s="8" t="s">
        <v>818</v>
      </c>
      <c r="H45" s="8" t="s">
        <v>818</v>
      </c>
      <c r="I45" s="183"/>
      <c r="J45" s="8" t="s">
        <v>818</v>
      </c>
      <c r="K45" s="113" t="s">
        <v>817</v>
      </c>
      <c r="L45" s="8" t="s">
        <v>818</v>
      </c>
      <c r="M45" s="8" t="s">
        <v>818</v>
      </c>
      <c r="N45" s="8" t="s">
        <v>818</v>
      </c>
      <c r="O45" s="8" t="s">
        <v>818</v>
      </c>
      <c r="P45" s="183"/>
      <c r="Q45" s="8" t="s">
        <v>819</v>
      </c>
      <c r="R45" s="113" t="s">
        <v>819</v>
      </c>
      <c r="S45" s="8" t="s">
        <v>818</v>
      </c>
      <c r="T45" s="8" t="s">
        <v>819</v>
      </c>
      <c r="U45" s="8" t="s">
        <v>819</v>
      </c>
      <c r="V45" s="8" t="s">
        <v>819</v>
      </c>
      <c r="W45" s="183"/>
      <c r="X45" s="8" t="s">
        <v>817</v>
      </c>
      <c r="Y45" s="113" t="s">
        <v>818</v>
      </c>
      <c r="Z45" s="8" t="s">
        <v>817</v>
      </c>
      <c r="AA45" s="8" t="s">
        <v>817</v>
      </c>
      <c r="AB45" s="8" t="s">
        <v>818</v>
      </c>
      <c r="AC45" s="8" t="s">
        <v>818</v>
      </c>
      <c r="AD45" s="183"/>
      <c r="AE45" s="8" t="s">
        <v>818</v>
      </c>
      <c r="AF45" s="113" t="s">
        <v>818</v>
      </c>
      <c r="AG45" s="8"/>
      <c r="AH45" s="8"/>
      <c r="AI45" s="8"/>
      <c r="AJ45" s="8"/>
      <c r="AK45" s="5">
        <f t="shared" si="0"/>
        <v>13</v>
      </c>
      <c r="AL45" s="5">
        <f t="shared" si="1"/>
        <v>4</v>
      </c>
    </row>
    <row r="46" spans="1:38" ht="15.5" x14ac:dyDescent="0.3">
      <c r="A46" s="20">
        <v>20</v>
      </c>
      <c r="B46" s="20">
        <v>905</v>
      </c>
      <c r="C46" s="14" t="s">
        <v>619</v>
      </c>
      <c r="D46" s="14" t="s">
        <v>807</v>
      </c>
      <c r="E46" s="19" t="s">
        <v>710</v>
      </c>
      <c r="F46" s="181"/>
      <c r="G46" s="8" t="s">
        <v>818</v>
      </c>
      <c r="H46" s="8" t="s">
        <v>817</v>
      </c>
      <c r="I46" s="192"/>
      <c r="J46" s="8" t="s">
        <v>818</v>
      </c>
      <c r="K46" s="113" t="s">
        <v>818</v>
      </c>
      <c r="L46" s="8" t="s">
        <v>818</v>
      </c>
      <c r="M46" s="8" t="s">
        <v>818</v>
      </c>
      <c r="N46" s="8" t="s">
        <v>818</v>
      </c>
      <c r="O46" s="8" t="s">
        <v>818</v>
      </c>
      <c r="P46" s="192"/>
      <c r="Q46" s="8" t="s">
        <v>818</v>
      </c>
      <c r="R46" s="113" t="s">
        <v>818</v>
      </c>
      <c r="S46" s="8" t="s">
        <v>818</v>
      </c>
      <c r="T46" s="8" t="s">
        <v>818</v>
      </c>
      <c r="U46" s="8" t="s">
        <v>818</v>
      </c>
      <c r="V46" s="8" t="s">
        <v>818</v>
      </c>
      <c r="W46" s="192"/>
      <c r="X46" s="8" t="s">
        <v>818</v>
      </c>
      <c r="Y46" s="113" t="s">
        <v>818</v>
      </c>
      <c r="Z46" s="8" t="s">
        <v>817</v>
      </c>
      <c r="AA46" s="8" t="s">
        <v>818</v>
      </c>
      <c r="AB46" s="8" t="s">
        <v>818</v>
      </c>
      <c r="AC46" s="8" t="s">
        <v>818</v>
      </c>
      <c r="AD46" s="192"/>
      <c r="AE46" s="8" t="s">
        <v>818</v>
      </c>
      <c r="AF46" s="113" t="s">
        <v>818</v>
      </c>
      <c r="AG46" s="8"/>
      <c r="AH46" s="8"/>
      <c r="AI46" s="8"/>
      <c r="AJ46" s="8"/>
      <c r="AK46" s="5">
        <f t="shared" si="0"/>
        <v>20</v>
      </c>
      <c r="AL46" s="5">
        <f t="shared" si="1"/>
        <v>2</v>
      </c>
    </row>
  </sheetData>
  <mergeCells count="17">
    <mergeCell ref="A1:AL1"/>
    <mergeCell ref="A2:AL2"/>
    <mergeCell ref="A3:A4"/>
    <mergeCell ref="C3:C4"/>
    <mergeCell ref="E3:E4"/>
    <mergeCell ref="AK3:AK4"/>
    <mergeCell ref="AL3:AL4"/>
    <mergeCell ref="D3:D4"/>
    <mergeCell ref="B3:B4"/>
    <mergeCell ref="AD5:AD46"/>
    <mergeCell ref="AM3:AN3"/>
    <mergeCell ref="AM11:AP11"/>
    <mergeCell ref="AM18:AP18"/>
    <mergeCell ref="F5:F46"/>
    <mergeCell ref="I5:I46"/>
    <mergeCell ref="P5:P46"/>
    <mergeCell ref="W5:W46"/>
  </mergeCells>
  <conditionalFormatting sqref="AK3:AL3 AK5:AL46">
    <cfRule type="expression" dxfId="99" priority="228">
      <formula>#REF!="Sun"</formula>
    </cfRule>
  </conditionalFormatting>
  <conditionalFormatting sqref="AM5:AM9">
    <cfRule type="expression" dxfId="98" priority="191">
      <formula>AM$3="Sun"</formula>
    </cfRule>
  </conditionalFormatting>
  <conditionalFormatting sqref="AM12:AM15">
    <cfRule type="expression" dxfId="97" priority="189">
      <formula>AM$3="Sun"</formula>
    </cfRule>
  </conditionalFormatting>
  <conditionalFormatting sqref="AM19:AM22">
    <cfRule type="expression" dxfId="96" priority="188">
      <formula>AM$3="Sun"</formula>
    </cfRule>
  </conditionalFormatting>
  <conditionalFormatting sqref="AM4:AN4">
    <cfRule type="expression" dxfId="95" priority="192">
      <formula>AM$3="Sun"</formula>
    </cfRule>
  </conditionalFormatting>
  <conditionalFormatting sqref="AN12:AP12 AN19:AP19">
    <cfRule type="expression" dxfId="94" priority="193">
      <formula>AN$3="Sun"</formula>
    </cfRule>
  </conditionalFormatting>
  <conditionalFormatting sqref="AP20">
    <cfRule type="expression" dxfId="93" priority="190">
      <formula>AP$3="Sun"</formula>
    </cfRule>
  </conditionalFormatting>
  <conditionalFormatting sqref="F3:AJ4 F5:O5 G6:H46 J6:O46 Q5:V46 X5:AC46 AE5:AJ46">
    <cfRule type="expression" dxfId="92" priority="21">
      <formula>F$3="SUN"</formula>
    </cfRule>
    <cfRule type="expression" dxfId="91" priority="22">
      <formula>F$4=TODAY()</formula>
    </cfRule>
  </conditionalFormatting>
  <conditionalFormatting sqref="F5:O5 G6:H46 J6:O46 Q5:V46 X5:AC46 AE5:AJ46">
    <cfRule type="cellIs" dxfId="90" priority="18" operator="equal">
      <formula>"L"</formula>
    </cfRule>
    <cfRule type="cellIs" dxfId="89" priority="19" operator="equal">
      <formula>"A"</formula>
    </cfRule>
    <cfRule type="cellIs" dxfId="88" priority="20" operator="equal">
      <formula>"P"</formula>
    </cfRule>
  </conditionalFormatting>
  <conditionalFormatting sqref="C5:C27">
    <cfRule type="duplicateValues" dxfId="87" priority="17"/>
  </conditionalFormatting>
  <conditionalFormatting sqref="D5:D27">
    <cfRule type="duplicateValues" dxfId="86" priority="16"/>
  </conditionalFormatting>
  <conditionalFormatting sqref="P5">
    <cfRule type="expression" dxfId="85" priority="14">
      <formula>P$3="SUN"</formula>
    </cfRule>
    <cfRule type="expression" dxfId="84" priority="15">
      <formula>P$4=TODAY()</formula>
    </cfRule>
  </conditionalFormatting>
  <conditionalFormatting sqref="P5">
    <cfRule type="cellIs" dxfId="83" priority="11" operator="equal">
      <formula>"L"</formula>
    </cfRule>
    <cfRule type="cellIs" dxfId="82" priority="12" operator="equal">
      <formula>"A"</formula>
    </cfRule>
    <cfRule type="cellIs" dxfId="81" priority="13" operator="equal">
      <formula>"P"</formula>
    </cfRule>
  </conditionalFormatting>
  <conditionalFormatting sqref="W5">
    <cfRule type="expression" dxfId="80" priority="9">
      <formula>W$3="SUN"</formula>
    </cfRule>
    <cfRule type="expression" dxfId="79" priority="10">
      <formula>W$4=TODAY()</formula>
    </cfRule>
  </conditionalFormatting>
  <conditionalFormatting sqref="W5">
    <cfRule type="cellIs" dxfId="78" priority="6" operator="equal">
      <formula>"L"</formula>
    </cfRule>
    <cfRule type="cellIs" dxfId="77" priority="7" operator="equal">
      <formula>"A"</formula>
    </cfRule>
    <cfRule type="cellIs" dxfId="76" priority="8" operator="equal">
      <formula>"P"</formula>
    </cfRule>
  </conditionalFormatting>
  <conditionalFormatting sqref="AD5">
    <cfRule type="expression" dxfId="75" priority="4">
      <formula>AD$3="SUN"</formula>
    </cfRule>
    <cfRule type="expression" dxfId="74" priority="5">
      <formula>AD$4=TODAY()</formula>
    </cfRule>
  </conditionalFormatting>
  <conditionalFormatting sqref="AD5">
    <cfRule type="cellIs" dxfId="73" priority="1" operator="equal">
      <formula>"L"</formula>
    </cfRule>
    <cfRule type="cellIs" dxfId="72" priority="2" operator="equal">
      <formula>"A"</formula>
    </cfRule>
    <cfRule type="cellIs" dxfId="71" priority="3" operator="equal">
      <formula>"P"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0"/>
  <sheetViews>
    <sheetView workbookViewId="0">
      <selection activeCell="AF5" sqref="AF5"/>
    </sheetView>
  </sheetViews>
  <sheetFormatPr defaultColWidth="3.81640625" defaultRowHeight="14" x14ac:dyDescent="0.3"/>
  <cols>
    <col min="1" max="1" width="5.1796875" style="1" bestFit="1" customWidth="1"/>
    <col min="2" max="2" width="5.1796875" style="1" customWidth="1"/>
    <col min="3" max="3" width="19.26953125" style="1" bestFit="1" customWidth="1"/>
    <col min="4" max="4" width="19" style="1" bestFit="1" customWidth="1"/>
    <col min="5" max="5" width="6.453125" style="1" customWidth="1"/>
    <col min="6" max="6" width="3.81640625" style="1" bestFit="1" customWidth="1"/>
    <col min="7" max="7" width="4.7265625" style="1" bestFit="1" customWidth="1"/>
    <col min="8" max="8" width="3.81640625" style="1" bestFit="1" customWidth="1"/>
    <col min="9" max="10" width="3.7265625" style="1" customWidth="1"/>
    <col min="11" max="11" width="3.81640625" style="1" bestFit="1" customWidth="1"/>
    <col min="12" max="12" width="4.54296875" style="1" bestFit="1" customWidth="1"/>
    <col min="13" max="13" width="3.81640625" style="1" bestFit="1" customWidth="1"/>
    <col min="14" max="14" width="4.7265625" style="1" bestFit="1" customWidth="1"/>
    <col min="15" max="15" width="3.81640625" style="1" bestFit="1" customWidth="1"/>
    <col min="16" max="17" width="3.7265625" style="1" customWidth="1"/>
    <col min="18" max="18" width="3.81640625" style="1" bestFit="1" customWidth="1"/>
    <col min="19" max="19" width="4.54296875" style="1" bestFit="1" customWidth="1"/>
    <col min="20" max="20" width="3.81640625" style="1" bestFit="1" customWidth="1"/>
    <col min="21" max="21" width="4.7265625" style="1" bestFit="1" customWidth="1"/>
    <col min="22" max="22" width="3.81640625" style="1" bestFit="1" customWidth="1"/>
    <col min="23" max="24" width="3.7265625" style="1" customWidth="1"/>
    <col min="25" max="25" width="3.81640625" style="1" bestFit="1" customWidth="1"/>
    <col min="26" max="26" width="4.54296875" style="1" bestFit="1" customWidth="1"/>
    <col min="27" max="27" width="3.81640625" style="1" bestFit="1" customWidth="1"/>
    <col min="28" max="28" width="4.7265625" style="1" bestFit="1" customWidth="1"/>
    <col min="29" max="29" width="3.81640625" style="1" bestFit="1" customWidth="1"/>
    <col min="30" max="31" width="3.7265625" style="1" customWidth="1"/>
    <col min="32" max="32" width="3.81640625" style="1" bestFit="1" customWidth="1"/>
    <col min="33" max="33" width="4.54296875" style="1" bestFit="1" customWidth="1"/>
    <col min="34" max="34" width="3.81640625" style="1" bestFit="1" customWidth="1"/>
    <col min="35" max="35" width="4.7265625" style="1" bestFit="1" customWidth="1"/>
    <col min="36" max="36" width="4.7265625" style="1" customWidth="1"/>
    <col min="37" max="37" width="9.453125" style="1" bestFit="1" customWidth="1"/>
    <col min="38" max="38" width="8.54296875" style="1" bestFit="1" customWidth="1"/>
    <col min="39" max="39" width="18.54296875" style="1" bestFit="1" customWidth="1"/>
    <col min="40" max="40" width="5.81640625" style="1" bestFit="1" customWidth="1"/>
    <col min="41" max="41" width="14.26953125" style="1" bestFit="1" customWidth="1"/>
    <col min="42" max="42" width="6.7265625" style="1" bestFit="1" customWidth="1"/>
    <col min="43" max="16384" width="3.81640625" style="1"/>
  </cols>
  <sheetData>
    <row r="1" spans="1:42" ht="17" x14ac:dyDescent="0.3">
      <c r="A1" s="151" t="s">
        <v>18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4"/>
      <c r="AN1" s="14"/>
      <c r="AO1" s="14"/>
      <c r="AP1" s="14"/>
    </row>
    <row r="2" spans="1:42" ht="17" x14ac:dyDescent="0.4">
      <c r="A2" s="152" t="s">
        <v>732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4"/>
      <c r="AN2" s="14"/>
      <c r="AO2" s="14"/>
      <c r="AP2" s="14"/>
    </row>
    <row r="3" spans="1:42" ht="15.5" x14ac:dyDescent="0.3">
      <c r="A3" s="153" t="s">
        <v>0</v>
      </c>
      <c r="B3" s="153" t="s">
        <v>713</v>
      </c>
      <c r="C3" s="153" t="s">
        <v>1</v>
      </c>
      <c r="D3" s="153" t="s">
        <v>2</v>
      </c>
      <c r="E3" s="153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54" t="s">
        <v>4</v>
      </c>
      <c r="AL3" s="154" t="s">
        <v>5</v>
      </c>
      <c r="AM3" s="147" t="s">
        <v>119</v>
      </c>
      <c r="AN3" s="147"/>
      <c r="AO3" s="132"/>
      <c r="AP3" s="132"/>
    </row>
    <row r="4" spans="1:42" ht="38.5" x14ac:dyDescent="0.3">
      <c r="A4" s="153"/>
      <c r="B4" s="153"/>
      <c r="C4" s="153"/>
      <c r="D4" s="153"/>
      <c r="E4" s="153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54"/>
      <c r="AL4" s="154"/>
      <c r="AM4" s="5" t="s">
        <v>120</v>
      </c>
      <c r="AN4" s="5">
        <f>SUM(AN5:AN8)</f>
        <v>30</v>
      </c>
      <c r="AO4" s="132"/>
      <c r="AP4" s="132"/>
    </row>
    <row r="5" spans="1:42" ht="15" customHeight="1" x14ac:dyDescent="0.35">
      <c r="A5" s="9">
        <v>1</v>
      </c>
      <c r="B5" s="9">
        <v>737</v>
      </c>
      <c r="C5" s="24" t="s">
        <v>620</v>
      </c>
      <c r="D5" s="24" t="s">
        <v>621</v>
      </c>
      <c r="E5" s="8" t="s">
        <v>727</v>
      </c>
      <c r="F5" s="193" t="s">
        <v>850</v>
      </c>
      <c r="G5" s="8" t="s">
        <v>818</v>
      </c>
      <c r="H5" s="8" t="s">
        <v>818</v>
      </c>
      <c r="I5" s="190" t="s">
        <v>812</v>
      </c>
      <c r="J5" s="8" t="s">
        <v>818</v>
      </c>
      <c r="K5" s="125" t="s">
        <v>818</v>
      </c>
      <c r="L5" s="8" t="s">
        <v>818</v>
      </c>
      <c r="M5" s="8" t="s">
        <v>818</v>
      </c>
      <c r="N5" s="8" t="s">
        <v>818</v>
      </c>
      <c r="O5" s="8" t="s">
        <v>818</v>
      </c>
      <c r="P5" s="190" t="s">
        <v>812</v>
      </c>
      <c r="Q5" s="8" t="s">
        <v>818</v>
      </c>
      <c r="R5" s="125" t="s">
        <v>818</v>
      </c>
      <c r="S5" s="8" t="s">
        <v>818</v>
      </c>
      <c r="T5" s="8" t="s">
        <v>818</v>
      </c>
      <c r="U5" s="8" t="s">
        <v>818</v>
      </c>
      <c r="V5" s="8" t="s">
        <v>818</v>
      </c>
      <c r="W5" s="190" t="s">
        <v>812</v>
      </c>
      <c r="X5" s="8" t="s">
        <v>818</v>
      </c>
      <c r="Y5" s="125" t="s">
        <v>818</v>
      </c>
      <c r="Z5" s="8" t="s">
        <v>818</v>
      </c>
      <c r="AA5" s="8" t="s">
        <v>818</v>
      </c>
      <c r="AB5" s="8" t="s">
        <v>818</v>
      </c>
      <c r="AC5" s="8" t="s">
        <v>818</v>
      </c>
      <c r="AD5" s="190" t="s">
        <v>812</v>
      </c>
      <c r="AE5" s="8" t="s">
        <v>818</v>
      </c>
      <c r="AF5" s="125" t="s">
        <v>818</v>
      </c>
      <c r="AG5" s="8"/>
      <c r="AH5" s="8"/>
      <c r="AI5" s="8"/>
      <c r="AJ5" s="8"/>
      <c r="AK5" s="5">
        <f t="shared" ref="AK5:AK39" si="0">COUNTIF(F5:AI5,"P")</f>
        <v>22</v>
      </c>
      <c r="AL5" s="5">
        <f t="shared" ref="AL5:AL39" si="1">COUNTIF(F5:AI5,"A")</f>
        <v>0</v>
      </c>
      <c r="AM5" s="5" t="s">
        <v>7</v>
      </c>
      <c r="AN5" s="9">
        <v>25</v>
      </c>
      <c r="AO5" s="133"/>
      <c r="AP5" s="132"/>
    </row>
    <row r="6" spans="1:42" ht="15.5" x14ac:dyDescent="0.35">
      <c r="A6" s="9">
        <v>2</v>
      </c>
      <c r="B6" s="9">
        <v>734</v>
      </c>
      <c r="C6" s="24" t="s">
        <v>489</v>
      </c>
      <c r="D6" s="24" t="s">
        <v>406</v>
      </c>
      <c r="E6" s="8" t="s">
        <v>727</v>
      </c>
      <c r="F6" s="149"/>
      <c r="G6" s="8" t="s">
        <v>817</v>
      </c>
      <c r="H6" s="8" t="s">
        <v>817</v>
      </c>
      <c r="I6" s="191"/>
      <c r="J6" s="8" t="s">
        <v>817</v>
      </c>
      <c r="K6" s="125" t="s">
        <v>818</v>
      </c>
      <c r="L6" s="8" t="s">
        <v>818</v>
      </c>
      <c r="M6" s="8" t="s">
        <v>818</v>
      </c>
      <c r="N6" s="8" t="s">
        <v>818</v>
      </c>
      <c r="O6" s="8" t="s">
        <v>818</v>
      </c>
      <c r="P6" s="191"/>
      <c r="Q6" s="8" t="s">
        <v>817</v>
      </c>
      <c r="R6" s="125" t="s">
        <v>818</v>
      </c>
      <c r="S6" s="8" t="s">
        <v>818</v>
      </c>
      <c r="T6" s="8" t="s">
        <v>818</v>
      </c>
      <c r="U6" s="8" t="s">
        <v>818</v>
      </c>
      <c r="V6" s="8" t="s">
        <v>818</v>
      </c>
      <c r="W6" s="191"/>
      <c r="X6" s="8" t="s">
        <v>818</v>
      </c>
      <c r="Y6" s="125" t="s">
        <v>818</v>
      </c>
      <c r="Z6" s="8" t="s">
        <v>818</v>
      </c>
      <c r="AA6" s="8" t="s">
        <v>817</v>
      </c>
      <c r="AB6" s="8" t="s">
        <v>817</v>
      </c>
      <c r="AC6" s="8" t="s">
        <v>818</v>
      </c>
      <c r="AD6" s="191"/>
      <c r="AE6" s="8" t="s">
        <v>817</v>
      </c>
      <c r="AF6" s="125" t="s">
        <v>818</v>
      </c>
      <c r="AG6" s="8"/>
      <c r="AH6" s="8"/>
      <c r="AI6" s="8"/>
      <c r="AJ6" s="8"/>
      <c r="AK6" s="5">
        <f t="shared" si="0"/>
        <v>15</v>
      </c>
      <c r="AL6" s="5">
        <f t="shared" si="1"/>
        <v>7</v>
      </c>
      <c r="AM6" s="5" t="s">
        <v>8</v>
      </c>
      <c r="AN6" s="9">
        <v>4</v>
      </c>
      <c r="AO6" s="132"/>
      <c r="AP6" s="132"/>
    </row>
    <row r="7" spans="1:42" ht="15.5" x14ac:dyDescent="0.35">
      <c r="A7" s="9">
        <v>3</v>
      </c>
      <c r="B7" s="9">
        <v>787</v>
      </c>
      <c r="C7" s="24" t="s">
        <v>125</v>
      </c>
      <c r="D7" s="24" t="s">
        <v>166</v>
      </c>
      <c r="E7" s="8" t="s">
        <v>727</v>
      </c>
      <c r="F7" s="149"/>
      <c r="G7" s="8" t="s">
        <v>818</v>
      </c>
      <c r="H7" s="8" t="s">
        <v>818</v>
      </c>
      <c r="I7" s="191"/>
      <c r="J7" s="8" t="s">
        <v>818</v>
      </c>
      <c r="K7" s="125" t="s">
        <v>818</v>
      </c>
      <c r="L7" s="8" t="s">
        <v>818</v>
      </c>
      <c r="M7" s="8" t="s">
        <v>818</v>
      </c>
      <c r="N7" s="8" t="s">
        <v>818</v>
      </c>
      <c r="O7" s="8" t="s">
        <v>818</v>
      </c>
      <c r="P7" s="191"/>
      <c r="Q7" s="8" t="s">
        <v>818</v>
      </c>
      <c r="R7" s="125" t="s">
        <v>818</v>
      </c>
      <c r="S7" s="8" t="s">
        <v>818</v>
      </c>
      <c r="T7" s="8" t="s">
        <v>818</v>
      </c>
      <c r="U7" s="8" t="s">
        <v>818</v>
      </c>
      <c r="V7" s="8" t="s">
        <v>818</v>
      </c>
      <c r="W7" s="191"/>
      <c r="X7" s="8" t="s">
        <v>818</v>
      </c>
      <c r="Y7" s="125" t="s">
        <v>818</v>
      </c>
      <c r="Z7" s="8" t="s">
        <v>818</v>
      </c>
      <c r="AA7" s="8" t="s">
        <v>818</v>
      </c>
      <c r="AB7" s="8" t="s">
        <v>818</v>
      </c>
      <c r="AC7" s="8" t="s">
        <v>818</v>
      </c>
      <c r="AD7" s="191"/>
      <c r="AE7" s="8" t="s">
        <v>818</v>
      </c>
      <c r="AF7" s="125" t="s">
        <v>818</v>
      </c>
      <c r="AG7" s="8"/>
      <c r="AH7" s="8"/>
      <c r="AI7" s="8"/>
      <c r="AJ7" s="8"/>
      <c r="AK7" s="5">
        <f t="shared" si="0"/>
        <v>22</v>
      </c>
      <c r="AL7" s="5">
        <f t="shared" si="1"/>
        <v>0</v>
      </c>
      <c r="AM7" s="5" t="s">
        <v>122</v>
      </c>
      <c r="AN7" s="9">
        <v>1</v>
      </c>
      <c r="AO7" s="132"/>
      <c r="AP7" s="132"/>
    </row>
    <row r="8" spans="1:42" ht="15.5" x14ac:dyDescent="0.35">
      <c r="A8" s="9">
        <v>4</v>
      </c>
      <c r="B8" s="9">
        <v>742</v>
      </c>
      <c r="C8" s="24" t="s">
        <v>622</v>
      </c>
      <c r="D8" s="24" t="s">
        <v>101</v>
      </c>
      <c r="E8" s="8" t="s">
        <v>727</v>
      </c>
      <c r="F8" s="149"/>
      <c r="G8" s="8" t="s">
        <v>818</v>
      </c>
      <c r="H8" s="8" t="s">
        <v>818</v>
      </c>
      <c r="I8" s="191"/>
      <c r="J8" s="8" t="s">
        <v>818</v>
      </c>
      <c r="K8" s="125" t="s">
        <v>818</v>
      </c>
      <c r="L8" s="8" t="s">
        <v>818</v>
      </c>
      <c r="M8" s="8" t="s">
        <v>818</v>
      </c>
      <c r="N8" s="8" t="s">
        <v>818</v>
      </c>
      <c r="O8" s="8" t="s">
        <v>818</v>
      </c>
      <c r="P8" s="191"/>
      <c r="Q8" s="8" t="s">
        <v>818</v>
      </c>
      <c r="R8" s="125" t="s">
        <v>817</v>
      </c>
      <c r="S8" s="8" t="s">
        <v>817</v>
      </c>
      <c r="T8" s="8" t="s">
        <v>818</v>
      </c>
      <c r="U8" s="8" t="s">
        <v>818</v>
      </c>
      <c r="V8" s="8" t="s">
        <v>817</v>
      </c>
      <c r="W8" s="191"/>
      <c r="X8" s="8" t="s">
        <v>817</v>
      </c>
      <c r="Y8" s="125" t="s">
        <v>818</v>
      </c>
      <c r="Z8" s="8" t="s">
        <v>818</v>
      </c>
      <c r="AA8" s="8" t="s">
        <v>818</v>
      </c>
      <c r="AB8" s="8" t="s">
        <v>818</v>
      </c>
      <c r="AC8" s="8" t="s">
        <v>818</v>
      </c>
      <c r="AD8" s="191"/>
      <c r="AE8" s="8" t="s">
        <v>818</v>
      </c>
      <c r="AF8" s="125" t="s">
        <v>818</v>
      </c>
      <c r="AG8" s="8"/>
      <c r="AH8" s="8"/>
      <c r="AI8" s="8"/>
      <c r="AJ8" s="8"/>
      <c r="AK8" s="5">
        <f t="shared" si="0"/>
        <v>18</v>
      </c>
      <c r="AL8" s="5">
        <f t="shared" si="1"/>
        <v>4</v>
      </c>
      <c r="AM8" s="5"/>
      <c r="AN8" s="9"/>
      <c r="AO8" s="134"/>
      <c r="AP8" s="134"/>
    </row>
    <row r="9" spans="1:42" ht="15.5" x14ac:dyDescent="0.35">
      <c r="A9" s="9">
        <v>5</v>
      </c>
      <c r="B9" s="9">
        <v>740</v>
      </c>
      <c r="C9" s="24" t="s">
        <v>534</v>
      </c>
      <c r="D9" s="24" t="s">
        <v>174</v>
      </c>
      <c r="E9" s="8" t="s">
        <v>727</v>
      </c>
      <c r="F9" s="149"/>
      <c r="G9" s="8" t="s">
        <v>818</v>
      </c>
      <c r="H9" s="8" t="s">
        <v>818</v>
      </c>
      <c r="I9" s="191"/>
      <c r="J9" s="8" t="s">
        <v>818</v>
      </c>
      <c r="K9" s="125" t="s">
        <v>818</v>
      </c>
      <c r="L9" s="8" t="s">
        <v>818</v>
      </c>
      <c r="M9" s="8" t="s">
        <v>818</v>
      </c>
      <c r="N9" s="8" t="s">
        <v>818</v>
      </c>
      <c r="O9" s="8" t="s">
        <v>818</v>
      </c>
      <c r="P9" s="191"/>
      <c r="Q9" s="8" t="s">
        <v>818</v>
      </c>
      <c r="R9" s="125" t="s">
        <v>818</v>
      </c>
      <c r="S9" s="8" t="s">
        <v>818</v>
      </c>
      <c r="T9" s="8" t="s">
        <v>819</v>
      </c>
      <c r="U9" s="8" t="s">
        <v>819</v>
      </c>
      <c r="V9" s="8" t="s">
        <v>818</v>
      </c>
      <c r="W9" s="191"/>
      <c r="X9" s="8" t="s">
        <v>818</v>
      </c>
      <c r="Y9" s="125" t="s">
        <v>818</v>
      </c>
      <c r="Z9" s="8" t="s">
        <v>818</v>
      </c>
      <c r="AA9" s="8" t="s">
        <v>818</v>
      </c>
      <c r="AB9" s="8" t="s">
        <v>818</v>
      </c>
      <c r="AC9" s="8" t="s">
        <v>818</v>
      </c>
      <c r="AD9" s="191"/>
      <c r="AE9" s="8" t="s">
        <v>818</v>
      </c>
      <c r="AF9" s="125" t="s">
        <v>818</v>
      </c>
      <c r="AG9" s="8"/>
      <c r="AH9" s="8"/>
      <c r="AI9" s="8"/>
      <c r="AJ9" s="8"/>
      <c r="AK9" s="5">
        <f t="shared" si="0"/>
        <v>20</v>
      </c>
      <c r="AL9" s="5">
        <f t="shared" si="1"/>
        <v>0</v>
      </c>
      <c r="AM9" s="5"/>
      <c r="AN9" s="9"/>
      <c r="AO9" s="14"/>
      <c r="AP9" s="14"/>
    </row>
    <row r="10" spans="1:42" ht="15.5" x14ac:dyDescent="0.35">
      <c r="A10" s="9">
        <v>6</v>
      </c>
      <c r="B10" s="9">
        <v>738</v>
      </c>
      <c r="C10" s="24" t="s">
        <v>623</v>
      </c>
      <c r="D10" s="24" t="s">
        <v>621</v>
      </c>
      <c r="E10" s="8" t="s">
        <v>727</v>
      </c>
      <c r="F10" s="149"/>
      <c r="G10" s="8" t="s">
        <v>818</v>
      </c>
      <c r="H10" s="8" t="s">
        <v>818</v>
      </c>
      <c r="I10" s="191"/>
      <c r="J10" s="8" t="s">
        <v>817</v>
      </c>
      <c r="K10" s="125" t="s">
        <v>817</v>
      </c>
      <c r="L10" s="8" t="s">
        <v>818</v>
      </c>
      <c r="M10" s="8" t="s">
        <v>817</v>
      </c>
      <c r="N10" s="8" t="s">
        <v>818</v>
      </c>
      <c r="O10" s="8" t="s">
        <v>818</v>
      </c>
      <c r="P10" s="191"/>
      <c r="Q10" s="8" t="s">
        <v>818</v>
      </c>
      <c r="R10" s="125" t="s">
        <v>818</v>
      </c>
      <c r="S10" s="8" t="s">
        <v>817</v>
      </c>
      <c r="T10" s="8" t="s">
        <v>818</v>
      </c>
      <c r="U10" s="8" t="s">
        <v>818</v>
      </c>
      <c r="V10" s="8" t="s">
        <v>818</v>
      </c>
      <c r="W10" s="191"/>
      <c r="X10" s="8" t="s">
        <v>818</v>
      </c>
      <c r="Y10" s="125" t="s">
        <v>817</v>
      </c>
      <c r="Z10" s="8" t="s">
        <v>818</v>
      </c>
      <c r="AA10" s="8" t="s">
        <v>818</v>
      </c>
      <c r="AB10" s="8" t="s">
        <v>818</v>
      </c>
      <c r="AC10" s="8" t="s">
        <v>817</v>
      </c>
      <c r="AD10" s="191"/>
      <c r="AE10" s="8" t="s">
        <v>818</v>
      </c>
      <c r="AF10" s="125" t="s">
        <v>818</v>
      </c>
      <c r="AG10" s="8"/>
      <c r="AH10" s="8"/>
      <c r="AI10" s="8"/>
      <c r="AJ10" s="8"/>
      <c r="AK10" s="5">
        <f t="shared" si="0"/>
        <v>16</v>
      </c>
      <c r="AL10" s="5">
        <f t="shared" si="1"/>
        <v>6</v>
      </c>
      <c r="AM10" s="14"/>
      <c r="AN10" s="14"/>
      <c r="AO10" s="14"/>
      <c r="AP10" s="14"/>
    </row>
    <row r="11" spans="1:42" ht="15.5" x14ac:dyDescent="0.35">
      <c r="A11" s="9">
        <v>7</v>
      </c>
      <c r="B11" s="9">
        <v>739</v>
      </c>
      <c r="C11" s="24" t="s">
        <v>624</v>
      </c>
      <c r="D11" s="24" t="s">
        <v>518</v>
      </c>
      <c r="E11" s="8" t="s">
        <v>727</v>
      </c>
      <c r="F11" s="149"/>
      <c r="G11" s="8" t="s">
        <v>818</v>
      </c>
      <c r="H11" s="8" t="s">
        <v>818</v>
      </c>
      <c r="I11" s="191"/>
      <c r="J11" s="8" t="s">
        <v>818</v>
      </c>
      <c r="K11" s="125" t="s">
        <v>818</v>
      </c>
      <c r="L11" s="8" t="s">
        <v>818</v>
      </c>
      <c r="M11" s="8" t="s">
        <v>818</v>
      </c>
      <c r="N11" s="8" t="s">
        <v>818</v>
      </c>
      <c r="O11" s="8" t="s">
        <v>818</v>
      </c>
      <c r="P11" s="191"/>
      <c r="Q11" s="8" t="s">
        <v>818</v>
      </c>
      <c r="R11" s="125" t="s">
        <v>819</v>
      </c>
      <c r="S11" s="8" t="s">
        <v>819</v>
      </c>
      <c r="T11" s="8" t="s">
        <v>818</v>
      </c>
      <c r="U11" s="8" t="s">
        <v>818</v>
      </c>
      <c r="V11" s="8" t="s">
        <v>818</v>
      </c>
      <c r="W11" s="191"/>
      <c r="X11" s="8" t="s">
        <v>818</v>
      </c>
      <c r="Y11" s="125" t="s">
        <v>818</v>
      </c>
      <c r="Z11" s="8" t="s">
        <v>818</v>
      </c>
      <c r="AA11" s="8" t="s">
        <v>818</v>
      </c>
      <c r="AB11" s="8" t="s">
        <v>818</v>
      </c>
      <c r="AC11" s="8" t="s">
        <v>818</v>
      </c>
      <c r="AD11" s="191"/>
      <c r="AE11" s="8" t="s">
        <v>818</v>
      </c>
      <c r="AF11" s="125" t="s">
        <v>818</v>
      </c>
      <c r="AG11" s="8"/>
      <c r="AH11" s="8"/>
      <c r="AI11" s="8"/>
      <c r="AJ11" s="8"/>
      <c r="AK11" s="5">
        <f t="shared" si="0"/>
        <v>20</v>
      </c>
      <c r="AL11" s="5">
        <f t="shared" si="1"/>
        <v>0</v>
      </c>
      <c r="AM11" s="147" t="s">
        <v>9</v>
      </c>
      <c r="AN11" s="147"/>
      <c r="AO11" s="147"/>
      <c r="AP11" s="147"/>
    </row>
    <row r="12" spans="1:42" ht="15.5" x14ac:dyDescent="0.35">
      <c r="A12" s="9">
        <v>8</v>
      </c>
      <c r="B12" s="9">
        <v>743</v>
      </c>
      <c r="C12" s="24" t="s">
        <v>235</v>
      </c>
      <c r="D12" s="24" t="s">
        <v>625</v>
      </c>
      <c r="E12" s="8" t="s">
        <v>727</v>
      </c>
      <c r="F12" s="149"/>
      <c r="G12" s="8" t="s">
        <v>818</v>
      </c>
      <c r="H12" s="8" t="s">
        <v>818</v>
      </c>
      <c r="I12" s="191"/>
      <c r="J12" s="8" t="s">
        <v>818</v>
      </c>
      <c r="K12" s="125" t="s">
        <v>818</v>
      </c>
      <c r="L12" s="8" t="s">
        <v>818</v>
      </c>
      <c r="M12" s="8" t="s">
        <v>818</v>
      </c>
      <c r="N12" s="8" t="s">
        <v>818</v>
      </c>
      <c r="O12" s="8" t="s">
        <v>818</v>
      </c>
      <c r="P12" s="191"/>
      <c r="Q12" s="8" t="s">
        <v>818</v>
      </c>
      <c r="R12" s="125" t="s">
        <v>818</v>
      </c>
      <c r="S12" s="8" t="s">
        <v>818</v>
      </c>
      <c r="T12" s="8" t="s">
        <v>818</v>
      </c>
      <c r="U12" s="8" t="s">
        <v>818</v>
      </c>
      <c r="V12" s="8" t="s">
        <v>818</v>
      </c>
      <c r="W12" s="191"/>
      <c r="X12" s="8" t="s">
        <v>818</v>
      </c>
      <c r="Y12" s="125" t="s">
        <v>818</v>
      </c>
      <c r="Z12" s="8" t="s">
        <v>818</v>
      </c>
      <c r="AA12" s="8" t="s">
        <v>818</v>
      </c>
      <c r="AB12" s="8" t="s">
        <v>818</v>
      </c>
      <c r="AC12" s="8" t="s">
        <v>818</v>
      </c>
      <c r="AD12" s="191"/>
      <c r="AE12" s="8" t="s">
        <v>818</v>
      </c>
      <c r="AF12" s="125" t="s">
        <v>818</v>
      </c>
      <c r="AG12" s="8"/>
      <c r="AH12" s="8"/>
      <c r="AI12" s="8"/>
      <c r="AJ12" s="8"/>
      <c r="AK12" s="5">
        <f t="shared" si="0"/>
        <v>22</v>
      </c>
      <c r="AL12" s="5">
        <f t="shared" si="1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5.5" x14ac:dyDescent="0.35">
      <c r="A13" s="9">
        <v>9</v>
      </c>
      <c r="B13" s="9">
        <v>729</v>
      </c>
      <c r="C13" s="24" t="s">
        <v>626</v>
      </c>
      <c r="D13" s="24" t="s">
        <v>293</v>
      </c>
      <c r="E13" s="8" t="s">
        <v>727</v>
      </c>
      <c r="F13" s="149"/>
      <c r="G13" s="8" t="s">
        <v>818</v>
      </c>
      <c r="H13" s="8" t="s">
        <v>818</v>
      </c>
      <c r="I13" s="191"/>
      <c r="J13" s="8" t="s">
        <v>818</v>
      </c>
      <c r="K13" s="125" t="s">
        <v>818</v>
      </c>
      <c r="L13" s="8" t="s">
        <v>818</v>
      </c>
      <c r="M13" s="8" t="s">
        <v>818</v>
      </c>
      <c r="N13" s="8" t="s">
        <v>818</v>
      </c>
      <c r="O13" s="8" t="s">
        <v>818</v>
      </c>
      <c r="P13" s="191"/>
      <c r="Q13" s="8" t="s">
        <v>818</v>
      </c>
      <c r="R13" s="125" t="s">
        <v>818</v>
      </c>
      <c r="S13" s="8" t="s">
        <v>818</v>
      </c>
      <c r="T13" s="8" t="s">
        <v>818</v>
      </c>
      <c r="U13" s="8" t="s">
        <v>818</v>
      </c>
      <c r="V13" s="8" t="s">
        <v>818</v>
      </c>
      <c r="W13" s="191"/>
      <c r="X13" s="8" t="s">
        <v>818</v>
      </c>
      <c r="Y13" s="125" t="s">
        <v>818</v>
      </c>
      <c r="Z13" s="8" t="s">
        <v>818</v>
      </c>
      <c r="AA13" s="8" t="s">
        <v>818</v>
      </c>
      <c r="AB13" s="8" t="s">
        <v>818</v>
      </c>
      <c r="AC13" s="8" t="s">
        <v>818</v>
      </c>
      <c r="AD13" s="191"/>
      <c r="AE13" s="8" t="s">
        <v>818</v>
      </c>
      <c r="AF13" s="125" t="s">
        <v>818</v>
      </c>
      <c r="AG13" s="8"/>
      <c r="AH13" s="8"/>
      <c r="AI13" s="8"/>
      <c r="AJ13" s="8"/>
      <c r="AK13" s="5">
        <f t="shared" si="0"/>
        <v>22</v>
      </c>
      <c r="AL13" s="5">
        <f t="shared" si="1"/>
        <v>0</v>
      </c>
      <c r="AM13" s="5" t="s">
        <v>14</v>
      </c>
      <c r="AN13" s="9">
        <f>19*$AN$5</f>
        <v>475</v>
      </c>
      <c r="AO13" s="9">
        <f>23*$AN$5</f>
        <v>575</v>
      </c>
      <c r="AP13" s="9">
        <f>SUM(AN13:AO13)</f>
        <v>1050</v>
      </c>
    </row>
    <row r="14" spans="1:42" ht="15.5" x14ac:dyDescent="0.35">
      <c r="A14" s="9">
        <v>10</v>
      </c>
      <c r="B14" s="9">
        <v>736</v>
      </c>
      <c r="C14" s="24" t="s">
        <v>627</v>
      </c>
      <c r="D14" s="24" t="s">
        <v>322</v>
      </c>
      <c r="E14" s="8" t="s">
        <v>727</v>
      </c>
      <c r="F14" s="149"/>
      <c r="G14" s="8" t="s">
        <v>817</v>
      </c>
      <c r="H14" s="8" t="s">
        <v>818</v>
      </c>
      <c r="I14" s="191"/>
      <c r="J14" s="8" t="s">
        <v>818</v>
      </c>
      <c r="K14" s="125" t="s">
        <v>818</v>
      </c>
      <c r="L14" s="8" t="s">
        <v>818</v>
      </c>
      <c r="M14" s="8" t="s">
        <v>818</v>
      </c>
      <c r="N14" s="8" t="s">
        <v>818</v>
      </c>
      <c r="O14" s="8" t="s">
        <v>818</v>
      </c>
      <c r="P14" s="191"/>
      <c r="Q14" s="8" t="s">
        <v>818</v>
      </c>
      <c r="R14" s="125" t="s">
        <v>818</v>
      </c>
      <c r="S14" s="8" t="s">
        <v>818</v>
      </c>
      <c r="T14" s="8" t="s">
        <v>818</v>
      </c>
      <c r="U14" s="8" t="s">
        <v>818</v>
      </c>
      <c r="V14" s="8" t="s">
        <v>818</v>
      </c>
      <c r="W14" s="191"/>
      <c r="X14" s="8" t="s">
        <v>818</v>
      </c>
      <c r="Y14" s="125" t="s">
        <v>818</v>
      </c>
      <c r="Z14" s="8" t="s">
        <v>818</v>
      </c>
      <c r="AA14" s="8" t="s">
        <v>818</v>
      </c>
      <c r="AB14" s="8" t="s">
        <v>818</v>
      </c>
      <c r="AC14" s="8" t="s">
        <v>818</v>
      </c>
      <c r="AD14" s="191"/>
      <c r="AE14" s="8" t="s">
        <v>818</v>
      </c>
      <c r="AF14" s="125" t="s">
        <v>818</v>
      </c>
      <c r="AG14" s="8"/>
      <c r="AH14" s="8"/>
      <c r="AI14" s="8"/>
      <c r="AJ14" s="8"/>
      <c r="AK14" s="5">
        <f t="shared" si="0"/>
        <v>21</v>
      </c>
      <c r="AL14" s="5">
        <f t="shared" si="1"/>
        <v>1</v>
      </c>
      <c r="AM14" s="5" t="s">
        <v>15</v>
      </c>
      <c r="AN14" s="9">
        <f>SUM(AK25:AK37)</f>
        <v>232</v>
      </c>
      <c r="AO14" s="9">
        <f>SUM(AK5:AK24)</f>
        <v>377</v>
      </c>
      <c r="AP14" s="9">
        <f>AN14+AO14</f>
        <v>609</v>
      </c>
    </row>
    <row r="15" spans="1:42" ht="15.5" x14ac:dyDescent="0.35">
      <c r="A15" s="9">
        <v>11</v>
      </c>
      <c r="B15" s="9">
        <v>746</v>
      </c>
      <c r="C15" s="24" t="s">
        <v>628</v>
      </c>
      <c r="D15" s="24" t="s">
        <v>629</v>
      </c>
      <c r="E15" s="8" t="s">
        <v>727</v>
      </c>
      <c r="F15" s="149"/>
      <c r="G15" s="8" t="s">
        <v>817</v>
      </c>
      <c r="H15" s="8" t="s">
        <v>818</v>
      </c>
      <c r="I15" s="191"/>
      <c r="J15" s="8" t="s">
        <v>818</v>
      </c>
      <c r="K15" s="125" t="s">
        <v>818</v>
      </c>
      <c r="L15" s="8" t="s">
        <v>818</v>
      </c>
      <c r="M15" s="8" t="s">
        <v>818</v>
      </c>
      <c r="N15" s="8" t="s">
        <v>818</v>
      </c>
      <c r="O15" s="8" t="s">
        <v>818</v>
      </c>
      <c r="P15" s="191"/>
      <c r="Q15" s="8" t="s">
        <v>818</v>
      </c>
      <c r="R15" s="125" t="s">
        <v>818</v>
      </c>
      <c r="S15" s="8" t="s">
        <v>818</v>
      </c>
      <c r="T15" s="8" t="s">
        <v>818</v>
      </c>
      <c r="U15" s="8" t="s">
        <v>818</v>
      </c>
      <c r="V15" s="8" t="s">
        <v>818</v>
      </c>
      <c r="W15" s="191"/>
      <c r="X15" s="8" t="s">
        <v>818</v>
      </c>
      <c r="Y15" s="125" t="s">
        <v>818</v>
      </c>
      <c r="Z15" s="8" t="s">
        <v>818</v>
      </c>
      <c r="AA15" s="8" t="s">
        <v>818</v>
      </c>
      <c r="AB15" s="8" t="s">
        <v>818</v>
      </c>
      <c r="AC15" s="8" t="s">
        <v>818</v>
      </c>
      <c r="AD15" s="191"/>
      <c r="AE15" s="8" t="s">
        <v>818</v>
      </c>
      <c r="AF15" s="125" t="s">
        <v>818</v>
      </c>
      <c r="AG15" s="8"/>
      <c r="AH15" s="8"/>
      <c r="AI15" s="8"/>
      <c r="AJ15" s="8"/>
      <c r="AK15" s="5">
        <f t="shared" si="0"/>
        <v>21</v>
      </c>
      <c r="AL15" s="5">
        <f t="shared" si="1"/>
        <v>1</v>
      </c>
      <c r="AM15" s="134"/>
      <c r="AN15" s="134"/>
      <c r="AO15" s="134"/>
      <c r="AP15" s="134"/>
    </row>
    <row r="16" spans="1:42" ht="15.5" x14ac:dyDescent="0.35">
      <c r="A16" s="9">
        <v>12</v>
      </c>
      <c r="B16" s="9">
        <v>745</v>
      </c>
      <c r="C16" s="24" t="s">
        <v>630</v>
      </c>
      <c r="D16" s="24" t="s">
        <v>629</v>
      </c>
      <c r="E16" s="8" t="s">
        <v>727</v>
      </c>
      <c r="F16" s="149"/>
      <c r="G16" s="8" t="s">
        <v>817</v>
      </c>
      <c r="H16" s="8" t="s">
        <v>817</v>
      </c>
      <c r="I16" s="191"/>
      <c r="J16" s="8" t="s">
        <v>817</v>
      </c>
      <c r="K16" s="125" t="s">
        <v>817</v>
      </c>
      <c r="L16" s="8" t="s">
        <v>817</v>
      </c>
      <c r="M16" s="8" t="s">
        <v>817</v>
      </c>
      <c r="N16" s="8" t="s">
        <v>817</v>
      </c>
      <c r="O16" s="8" t="s">
        <v>817</v>
      </c>
      <c r="P16" s="191"/>
      <c r="Q16" s="8" t="s">
        <v>817</v>
      </c>
      <c r="R16" s="125" t="s">
        <v>817</v>
      </c>
      <c r="S16" s="8" t="s">
        <v>817</v>
      </c>
      <c r="T16" s="8" t="s">
        <v>817</v>
      </c>
      <c r="U16" s="8" t="s">
        <v>817</v>
      </c>
      <c r="V16" s="8" t="s">
        <v>817</v>
      </c>
      <c r="W16" s="191"/>
      <c r="X16" s="8" t="s">
        <v>817</v>
      </c>
      <c r="Y16" s="125" t="s">
        <v>817</v>
      </c>
      <c r="Z16" s="8" t="s">
        <v>817</v>
      </c>
      <c r="AA16" s="8" t="s">
        <v>817</v>
      </c>
      <c r="AB16" s="8" t="s">
        <v>817</v>
      </c>
      <c r="AC16" s="8" t="s">
        <v>817</v>
      </c>
      <c r="AD16" s="191"/>
      <c r="AE16" s="8" t="s">
        <v>817</v>
      </c>
      <c r="AF16" s="125" t="s">
        <v>817</v>
      </c>
      <c r="AG16" s="8"/>
      <c r="AH16" s="8"/>
      <c r="AI16" s="8"/>
      <c r="AJ16" s="8"/>
      <c r="AK16" s="5">
        <f t="shared" si="0"/>
        <v>0</v>
      </c>
      <c r="AL16" s="5">
        <f t="shared" si="1"/>
        <v>22</v>
      </c>
      <c r="AM16" s="134"/>
      <c r="AN16" s="134"/>
      <c r="AO16" s="134"/>
      <c r="AP16" s="134"/>
    </row>
    <row r="17" spans="1:42" ht="15.5" x14ac:dyDescent="0.35">
      <c r="A17" s="9">
        <v>13</v>
      </c>
      <c r="B17" s="9">
        <v>731</v>
      </c>
      <c r="C17" s="24" t="s">
        <v>631</v>
      </c>
      <c r="D17" s="24" t="s">
        <v>632</v>
      </c>
      <c r="E17" s="8" t="s">
        <v>727</v>
      </c>
      <c r="F17" s="149"/>
      <c r="G17" s="8" t="s">
        <v>818</v>
      </c>
      <c r="H17" s="8" t="s">
        <v>818</v>
      </c>
      <c r="I17" s="191"/>
      <c r="J17" s="8" t="s">
        <v>818</v>
      </c>
      <c r="K17" s="125" t="s">
        <v>818</v>
      </c>
      <c r="L17" s="8" t="s">
        <v>818</v>
      </c>
      <c r="M17" s="8" t="s">
        <v>817</v>
      </c>
      <c r="N17" s="8" t="s">
        <v>817</v>
      </c>
      <c r="O17" s="8" t="s">
        <v>817</v>
      </c>
      <c r="P17" s="191"/>
      <c r="Q17" s="8" t="s">
        <v>817</v>
      </c>
      <c r="R17" s="125" t="s">
        <v>817</v>
      </c>
      <c r="S17" s="8" t="s">
        <v>818</v>
      </c>
      <c r="T17" s="8" t="s">
        <v>818</v>
      </c>
      <c r="U17" s="8" t="s">
        <v>817</v>
      </c>
      <c r="V17" s="8" t="s">
        <v>817</v>
      </c>
      <c r="W17" s="191"/>
      <c r="X17" s="8" t="s">
        <v>818</v>
      </c>
      <c r="Y17" s="125" t="s">
        <v>818</v>
      </c>
      <c r="Z17" s="8" t="s">
        <v>818</v>
      </c>
      <c r="AA17" s="8" t="s">
        <v>817</v>
      </c>
      <c r="AB17" s="8" t="s">
        <v>818</v>
      </c>
      <c r="AC17" s="8" t="s">
        <v>818</v>
      </c>
      <c r="AD17" s="191"/>
      <c r="AE17" s="8" t="s">
        <v>817</v>
      </c>
      <c r="AF17" s="125" t="s">
        <v>818</v>
      </c>
      <c r="AG17" s="8"/>
      <c r="AH17" s="8"/>
      <c r="AI17" s="8"/>
      <c r="AJ17" s="8"/>
      <c r="AK17" s="5">
        <f t="shared" si="0"/>
        <v>13</v>
      </c>
      <c r="AL17" s="5">
        <f t="shared" si="1"/>
        <v>9</v>
      </c>
      <c r="AM17" s="134"/>
      <c r="AN17" s="134"/>
      <c r="AO17" s="134"/>
      <c r="AP17" s="134"/>
    </row>
    <row r="18" spans="1:42" ht="15.5" x14ac:dyDescent="0.35">
      <c r="A18" s="9">
        <v>14</v>
      </c>
      <c r="B18" s="9">
        <v>856</v>
      </c>
      <c r="C18" s="24" t="s">
        <v>633</v>
      </c>
      <c r="D18" s="24" t="s">
        <v>518</v>
      </c>
      <c r="E18" s="8" t="s">
        <v>727</v>
      </c>
      <c r="F18" s="149"/>
      <c r="G18" s="8" t="s">
        <v>818</v>
      </c>
      <c r="H18" s="8" t="s">
        <v>818</v>
      </c>
      <c r="I18" s="191"/>
      <c r="J18" s="8" t="s">
        <v>818</v>
      </c>
      <c r="K18" s="125" t="s">
        <v>818</v>
      </c>
      <c r="L18" s="8" t="s">
        <v>818</v>
      </c>
      <c r="M18" s="8" t="s">
        <v>818</v>
      </c>
      <c r="N18" s="8" t="s">
        <v>818</v>
      </c>
      <c r="O18" s="8" t="s">
        <v>818</v>
      </c>
      <c r="P18" s="191"/>
      <c r="Q18" s="8" t="s">
        <v>818</v>
      </c>
      <c r="R18" s="125" t="s">
        <v>818</v>
      </c>
      <c r="S18" s="8" t="s">
        <v>818</v>
      </c>
      <c r="T18" s="8" t="s">
        <v>818</v>
      </c>
      <c r="U18" s="8" t="s">
        <v>818</v>
      </c>
      <c r="V18" s="8" t="s">
        <v>818</v>
      </c>
      <c r="W18" s="191"/>
      <c r="X18" s="8" t="s">
        <v>818</v>
      </c>
      <c r="Y18" s="125" t="s">
        <v>818</v>
      </c>
      <c r="Z18" s="8" t="s">
        <v>818</v>
      </c>
      <c r="AA18" s="8" t="s">
        <v>818</v>
      </c>
      <c r="AB18" s="8" t="s">
        <v>818</v>
      </c>
      <c r="AC18" s="8" t="s">
        <v>818</v>
      </c>
      <c r="AD18" s="191"/>
      <c r="AE18" s="8" t="s">
        <v>818</v>
      </c>
      <c r="AF18" s="125" t="s">
        <v>818</v>
      </c>
      <c r="AG18" s="8"/>
      <c r="AH18" s="8"/>
      <c r="AI18" s="8"/>
      <c r="AJ18" s="8"/>
      <c r="AK18" s="5">
        <f t="shared" si="0"/>
        <v>22</v>
      </c>
      <c r="AL18" s="5">
        <f t="shared" si="1"/>
        <v>0</v>
      </c>
      <c r="AM18" s="5" t="s">
        <v>10</v>
      </c>
      <c r="AN18" s="5" t="s">
        <v>11</v>
      </c>
      <c r="AO18" s="5" t="s">
        <v>12</v>
      </c>
      <c r="AP18" s="5" t="s">
        <v>13</v>
      </c>
    </row>
    <row r="19" spans="1:42" ht="15.5" x14ac:dyDescent="0.35">
      <c r="A19" s="9">
        <v>15</v>
      </c>
      <c r="B19" s="9">
        <v>906</v>
      </c>
      <c r="C19" s="24" t="s">
        <v>809</v>
      </c>
      <c r="D19" s="24" t="s">
        <v>810</v>
      </c>
      <c r="E19" s="8" t="s">
        <v>727</v>
      </c>
      <c r="F19" s="149"/>
      <c r="G19" s="8" t="s">
        <v>818</v>
      </c>
      <c r="H19" s="8" t="s">
        <v>818</v>
      </c>
      <c r="I19" s="191"/>
      <c r="J19" s="8" t="s">
        <v>818</v>
      </c>
      <c r="K19" s="125" t="s">
        <v>818</v>
      </c>
      <c r="L19" s="8" t="s">
        <v>818</v>
      </c>
      <c r="M19" s="8" t="s">
        <v>818</v>
      </c>
      <c r="N19" s="8" t="s">
        <v>818</v>
      </c>
      <c r="O19" s="8" t="s">
        <v>818</v>
      </c>
      <c r="P19" s="191"/>
      <c r="Q19" s="8" t="s">
        <v>818</v>
      </c>
      <c r="R19" s="125" t="s">
        <v>818</v>
      </c>
      <c r="S19" s="8" t="s">
        <v>818</v>
      </c>
      <c r="T19" s="8" t="s">
        <v>818</v>
      </c>
      <c r="U19" s="8" t="s">
        <v>818</v>
      </c>
      <c r="V19" s="8" t="s">
        <v>818</v>
      </c>
      <c r="W19" s="191"/>
      <c r="X19" s="8" t="s">
        <v>818</v>
      </c>
      <c r="Y19" s="125" t="s">
        <v>818</v>
      </c>
      <c r="Z19" s="8" t="s">
        <v>818</v>
      </c>
      <c r="AA19" s="8" t="s">
        <v>818</v>
      </c>
      <c r="AB19" s="8" t="s">
        <v>818</v>
      </c>
      <c r="AC19" s="8" t="s">
        <v>818</v>
      </c>
      <c r="AD19" s="191"/>
      <c r="AE19" s="8" t="s">
        <v>818</v>
      </c>
      <c r="AF19" s="125" t="s">
        <v>818</v>
      </c>
      <c r="AG19" s="8"/>
      <c r="AH19" s="8"/>
      <c r="AI19" s="8"/>
      <c r="AJ19" s="8"/>
      <c r="AK19" s="5">
        <f t="shared" si="0"/>
        <v>22</v>
      </c>
      <c r="AL19" s="5">
        <f t="shared" si="1"/>
        <v>0</v>
      </c>
      <c r="AM19" s="5" t="s">
        <v>14</v>
      </c>
      <c r="AN19" s="9">
        <f>19*$AN$5</f>
        <v>475</v>
      </c>
      <c r="AO19" s="9">
        <f>23*$AN$5</f>
        <v>575</v>
      </c>
      <c r="AP19" s="9">
        <f>AN19+AO19</f>
        <v>1050</v>
      </c>
    </row>
    <row r="20" spans="1:42" ht="15.5" x14ac:dyDescent="0.35">
      <c r="A20" s="9">
        <v>16</v>
      </c>
      <c r="B20" s="9"/>
      <c r="C20" s="24" t="s">
        <v>851</v>
      </c>
      <c r="D20" s="24" t="s">
        <v>852</v>
      </c>
      <c r="E20" s="8" t="s">
        <v>727</v>
      </c>
      <c r="F20" s="149"/>
      <c r="G20" s="8" t="s">
        <v>730</v>
      </c>
      <c r="H20" s="8" t="s">
        <v>730</v>
      </c>
      <c r="I20" s="191"/>
      <c r="J20" s="8" t="s">
        <v>730</v>
      </c>
      <c r="K20" s="125" t="s">
        <v>730</v>
      </c>
      <c r="L20" s="8" t="s">
        <v>730</v>
      </c>
      <c r="M20" s="8" t="s">
        <v>730</v>
      </c>
      <c r="N20" s="8" t="s">
        <v>730</v>
      </c>
      <c r="O20" s="8" t="s">
        <v>730</v>
      </c>
      <c r="P20" s="191"/>
      <c r="Q20" s="8" t="s">
        <v>730</v>
      </c>
      <c r="R20" s="125" t="s">
        <v>730</v>
      </c>
      <c r="S20" s="8" t="s">
        <v>730</v>
      </c>
      <c r="T20" s="8" t="s">
        <v>730</v>
      </c>
      <c r="U20" s="8" t="s">
        <v>730</v>
      </c>
      <c r="V20" s="8" t="s">
        <v>730</v>
      </c>
      <c r="W20" s="191"/>
      <c r="X20" s="8" t="s">
        <v>730</v>
      </c>
      <c r="Y20" s="125" t="s">
        <v>730</v>
      </c>
      <c r="Z20" s="8" t="s">
        <v>818</v>
      </c>
      <c r="AA20" s="8" t="s">
        <v>818</v>
      </c>
      <c r="AB20" s="8" t="s">
        <v>818</v>
      </c>
      <c r="AC20" s="8" t="s">
        <v>818</v>
      </c>
      <c r="AD20" s="191"/>
      <c r="AE20" s="8" t="s">
        <v>818</v>
      </c>
      <c r="AF20" s="125" t="s">
        <v>818</v>
      </c>
      <c r="AG20" s="8"/>
      <c r="AH20" s="8"/>
      <c r="AI20" s="8"/>
      <c r="AJ20" s="8"/>
      <c r="AK20" s="5">
        <f t="shared" si="0"/>
        <v>22</v>
      </c>
      <c r="AL20" s="5">
        <f t="shared" si="1"/>
        <v>0</v>
      </c>
      <c r="AM20" s="5" t="s">
        <v>17</v>
      </c>
      <c r="AN20" s="9">
        <f>AN19-AN14</f>
        <v>243</v>
      </c>
      <c r="AO20" s="9">
        <f>AO19-AO14</f>
        <v>198</v>
      </c>
      <c r="AP20" s="9">
        <f>AN20+AO20</f>
        <v>441</v>
      </c>
    </row>
    <row r="21" spans="1:42" ht="15.5" x14ac:dyDescent="0.35">
      <c r="A21" s="9">
        <v>17</v>
      </c>
      <c r="B21" s="9"/>
      <c r="C21" s="24" t="s">
        <v>151</v>
      </c>
      <c r="D21" s="24" t="s">
        <v>853</v>
      </c>
      <c r="E21" s="8" t="s">
        <v>727</v>
      </c>
      <c r="F21" s="149"/>
      <c r="G21" s="8" t="s">
        <v>730</v>
      </c>
      <c r="H21" s="8" t="s">
        <v>730</v>
      </c>
      <c r="I21" s="191"/>
      <c r="J21" s="8" t="s">
        <v>730</v>
      </c>
      <c r="K21" s="125" t="s">
        <v>817</v>
      </c>
      <c r="L21" s="8" t="s">
        <v>818</v>
      </c>
      <c r="M21" s="8" t="s">
        <v>817</v>
      </c>
      <c r="N21" s="8" t="s">
        <v>818</v>
      </c>
      <c r="O21" s="8" t="s">
        <v>818</v>
      </c>
      <c r="P21" s="191"/>
      <c r="Q21" s="8" t="s">
        <v>818</v>
      </c>
      <c r="R21" s="125" t="s">
        <v>818</v>
      </c>
      <c r="S21" s="8" t="s">
        <v>818</v>
      </c>
      <c r="T21" s="8" t="s">
        <v>818</v>
      </c>
      <c r="U21" s="8" t="s">
        <v>818</v>
      </c>
      <c r="V21" s="8" t="s">
        <v>818</v>
      </c>
      <c r="W21" s="191"/>
      <c r="X21" s="8" t="s">
        <v>818</v>
      </c>
      <c r="Y21" s="125" t="s">
        <v>818</v>
      </c>
      <c r="Z21" s="8" t="s">
        <v>818</v>
      </c>
      <c r="AA21" s="8" t="s">
        <v>818</v>
      </c>
      <c r="AB21" s="8" t="s">
        <v>818</v>
      </c>
      <c r="AC21" s="8" t="s">
        <v>818</v>
      </c>
      <c r="AD21" s="191"/>
      <c r="AE21" s="8" t="s">
        <v>818</v>
      </c>
      <c r="AF21" s="125" t="s">
        <v>818</v>
      </c>
      <c r="AG21" s="8"/>
      <c r="AH21" s="8"/>
      <c r="AI21" s="8"/>
      <c r="AJ21" s="8"/>
      <c r="AK21" s="5">
        <f t="shared" si="0"/>
        <v>20</v>
      </c>
      <c r="AL21" s="5">
        <f t="shared" si="1"/>
        <v>2</v>
      </c>
      <c r="AM21" s="14"/>
      <c r="AN21" s="14"/>
      <c r="AO21" s="14"/>
      <c r="AP21" s="14"/>
    </row>
    <row r="22" spans="1:42" ht="15.5" x14ac:dyDescent="0.35">
      <c r="A22" s="9">
        <v>18</v>
      </c>
      <c r="B22" s="9">
        <v>846</v>
      </c>
      <c r="C22" s="24" t="s">
        <v>635</v>
      </c>
      <c r="D22" s="24" t="s">
        <v>636</v>
      </c>
      <c r="E22" s="8" t="s">
        <v>727</v>
      </c>
      <c r="F22" s="149"/>
      <c r="G22" s="8" t="s">
        <v>818</v>
      </c>
      <c r="H22" s="8" t="s">
        <v>818</v>
      </c>
      <c r="I22" s="191"/>
      <c r="J22" s="8" t="s">
        <v>818</v>
      </c>
      <c r="K22" s="125" t="s">
        <v>818</v>
      </c>
      <c r="L22" s="8" t="s">
        <v>818</v>
      </c>
      <c r="M22" s="8" t="s">
        <v>818</v>
      </c>
      <c r="N22" s="8" t="s">
        <v>818</v>
      </c>
      <c r="O22" s="8" t="s">
        <v>818</v>
      </c>
      <c r="P22" s="191"/>
      <c r="Q22" s="8" t="s">
        <v>818</v>
      </c>
      <c r="R22" s="125" t="s">
        <v>818</v>
      </c>
      <c r="S22" s="8" t="s">
        <v>818</v>
      </c>
      <c r="T22" s="8" t="s">
        <v>818</v>
      </c>
      <c r="U22" s="8" t="s">
        <v>818</v>
      </c>
      <c r="V22" s="8" t="s">
        <v>818</v>
      </c>
      <c r="W22" s="191"/>
      <c r="X22" s="8" t="s">
        <v>818</v>
      </c>
      <c r="Y22" s="125" t="s">
        <v>818</v>
      </c>
      <c r="Z22" s="8" t="s">
        <v>818</v>
      </c>
      <c r="AA22" s="8" t="s">
        <v>818</v>
      </c>
      <c r="AB22" s="8" t="s">
        <v>818</v>
      </c>
      <c r="AC22" s="8" t="s">
        <v>818</v>
      </c>
      <c r="AD22" s="191"/>
      <c r="AE22" s="8" t="s">
        <v>818</v>
      </c>
      <c r="AF22" s="125" t="s">
        <v>818</v>
      </c>
      <c r="AG22" s="8"/>
      <c r="AH22" s="8"/>
      <c r="AI22" s="8"/>
      <c r="AJ22" s="8"/>
      <c r="AK22" s="5">
        <f t="shared" si="0"/>
        <v>22</v>
      </c>
      <c r="AL22" s="5">
        <f t="shared" si="1"/>
        <v>0</v>
      </c>
      <c r="AM22" s="14"/>
      <c r="AN22" s="14"/>
      <c r="AO22" s="14"/>
      <c r="AP22" s="14"/>
    </row>
    <row r="23" spans="1:42" ht="15.5" x14ac:dyDescent="0.35">
      <c r="A23" s="9">
        <v>19</v>
      </c>
      <c r="B23" s="9">
        <v>857</v>
      </c>
      <c r="C23" s="24" t="s">
        <v>634</v>
      </c>
      <c r="D23" s="24" t="s">
        <v>301</v>
      </c>
      <c r="E23" s="8" t="s">
        <v>727</v>
      </c>
      <c r="F23" s="149"/>
      <c r="G23" s="8" t="s">
        <v>818</v>
      </c>
      <c r="H23" s="8" t="s">
        <v>818</v>
      </c>
      <c r="I23" s="191"/>
      <c r="J23" s="8" t="s">
        <v>818</v>
      </c>
      <c r="K23" s="125" t="s">
        <v>818</v>
      </c>
      <c r="L23" s="8" t="s">
        <v>818</v>
      </c>
      <c r="M23" s="8" t="s">
        <v>818</v>
      </c>
      <c r="N23" s="8" t="s">
        <v>818</v>
      </c>
      <c r="O23" s="8" t="s">
        <v>818</v>
      </c>
      <c r="P23" s="191"/>
      <c r="Q23" s="8" t="s">
        <v>818</v>
      </c>
      <c r="R23" s="125" t="s">
        <v>818</v>
      </c>
      <c r="S23" s="8" t="s">
        <v>818</v>
      </c>
      <c r="T23" s="8" t="s">
        <v>818</v>
      </c>
      <c r="U23" s="8" t="s">
        <v>818</v>
      </c>
      <c r="V23" s="8" t="s">
        <v>818</v>
      </c>
      <c r="W23" s="191"/>
      <c r="X23" s="8" t="s">
        <v>818</v>
      </c>
      <c r="Y23" s="125" t="s">
        <v>818</v>
      </c>
      <c r="Z23" s="8" t="s">
        <v>818</v>
      </c>
      <c r="AA23" s="8" t="s">
        <v>818</v>
      </c>
      <c r="AB23" s="8" t="s">
        <v>818</v>
      </c>
      <c r="AC23" s="8" t="s">
        <v>818</v>
      </c>
      <c r="AD23" s="191"/>
      <c r="AE23" s="8" t="s">
        <v>818</v>
      </c>
      <c r="AF23" s="125" t="s">
        <v>818</v>
      </c>
      <c r="AG23" s="8"/>
      <c r="AH23" s="8"/>
      <c r="AI23" s="8"/>
      <c r="AJ23" s="8"/>
      <c r="AK23" s="5">
        <f t="shared" si="0"/>
        <v>22</v>
      </c>
      <c r="AL23" s="5">
        <f t="shared" si="1"/>
        <v>0</v>
      </c>
      <c r="AM23" s="14"/>
      <c r="AN23" s="14"/>
      <c r="AO23" s="14"/>
      <c r="AP23" s="14"/>
    </row>
    <row r="24" spans="1:42" ht="15.5" x14ac:dyDescent="0.35">
      <c r="A24" s="9">
        <v>1</v>
      </c>
      <c r="B24" s="9">
        <v>730</v>
      </c>
      <c r="C24" s="24" t="s">
        <v>637</v>
      </c>
      <c r="D24" s="24" t="s">
        <v>22</v>
      </c>
      <c r="E24" s="8" t="s">
        <v>727</v>
      </c>
      <c r="F24" s="149"/>
      <c r="G24" s="8" t="s">
        <v>818</v>
      </c>
      <c r="H24" s="8" t="s">
        <v>818</v>
      </c>
      <c r="I24" s="191"/>
      <c r="J24" s="8" t="s">
        <v>817</v>
      </c>
      <c r="K24" s="125" t="s">
        <v>818</v>
      </c>
      <c r="L24" s="8" t="s">
        <v>818</v>
      </c>
      <c r="M24" s="8" t="s">
        <v>817</v>
      </c>
      <c r="N24" s="8" t="s">
        <v>817</v>
      </c>
      <c r="O24" s="8" t="s">
        <v>817</v>
      </c>
      <c r="P24" s="191"/>
      <c r="Q24" s="8" t="s">
        <v>818</v>
      </c>
      <c r="R24" s="125" t="s">
        <v>817</v>
      </c>
      <c r="S24" s="8" t="s">
        <v>818</v>
      </c>
      <c r="T24" s="8" t="s">
        <v>818</v>
      </c>
      <c r="U24" s="8" t="s">
        <v>818</v>
      </c>
      <c r="V24" s="8" t="s">
        <v>817</v>
      </c>
      <c r="W24" s="191"/>
      <c r="X24" s="8" t="s">
        <v>818</v>
      </c>
      <c r="Y24" s="125" t="s">
        <v>818</v>
      </c>
      <c r="Z24" s="8" t="s">
        <v>818</v>
      </c>
      <c r="AA24" s="8" t="s">
        <v>817</v>
      </c>
      <c r="AB24" s="8" t="s">
        <v>818</v>
      </c>
      <c r="AC24" s="8" t="s">
        <v>818</v>
      </c>
      <c r="AD24" s="191"/>
      <c r="AE24" s="8" t="s">
        <v>818</v>
      </c>
      <c r="AF24" s="125" t="s">
        <v>818</v>
      </c>
      <c r="AG24" s="8"/>
      <c r="AH24" s="8"/>
      <c r="AI24" s="8"/>
      <c r="AJ24" s="8"/>
      <c r="AK24" s="5">
        <f t="shared" si="0"/>
        <v>15</v>
      </c>
      <c r="AL24" s="5">
        <f t="shared" si="1"/>
        <v>7</v>
      </c>
      <c r="AM24" s="14"/>
      <c r="AN24" s="14"/>
      <c r="AO24" s="14"/>
      <c r="AP24" s="14"/>
    </row>
    <row r="25" spans="1:42" ht="15.5" x14ac:dyDescent="0.35">
      <c r="A25" s="9">
        <v>2</v>
      </c>
      <c r="B25" s="9">
        <v>732</v>
      </c>
      <c r="C25" s="24" t="s">
        <v>638</v>
      </c>
      <c r="D25" s="24" t="s">
        <v>446</v>
      </c>
      <c r="E25" s="8" t="s">
        <v>727</v>
      </c>
      <c r="F25" s="149"/>
      <c r="G25" s="8" t="s">
        <v>818</v>
      </c>
      <c r="H25" s="8" t="s">
        <v>818</v>
      </c>
      <c r="I25" s="191"/>
      <c r="J25" s="8" t="s">
        <v>818</v>
      </c>
      <c r="K25" s="125" t="s">
        <v>818</v>
      </c>
      <c r="L25" s="8" t="s">
        <v>818</v>
      </c>
      <c r="M25" s="8" t="s">
        <v>818</v>
      </c>
      <c r="N25" s="8" t="s">
        <v>817</v>
      </c>
      <c r="O25" s="8" t="s">
        <v>817</v>
      </c>
      <c r="P25" s="191"/>
      <c r="Q25" s="8" t="s">
        <v>817</v>
      </c>
      <c r="R25" s="125" t="s">
        <v>817</v>
      </c>
      <c r="S25" s="8" t="s">
        <v>818</v>
      </c>
      <c r="T25" s="8" t="s">
        <v>818</v>
      </c>
      <c r="U25" s="8" t="s">
        <v>817</v>
      </c>
      <c r="V25" s="8" t="s">
        <v>818</v>
      </c>
      <c r="W25" s="191"/>
      <c r="X25" s="8" t="s">
        <v>818</v>
      </c>
      <c r="Y25" s="125" t="s">
        <v>818</v>
      </c>
      <c r="Z25" s="8" t="s">
        <v>818</v>
      </c>
      <c r="AA25" s="8" t="s">
        <v>818</v>
      </c>
      <c r="AB25" s="8" t="s">
        <v>817</v>
      </c>
      <c r="AC25" s="8" t="s">
        <v>818</v>
      </c>
      <c r="AD25" s="191"/>
      <c r="AE25" s="8" t="s">
        <v>818</v>
      </c>
      <c r="AF25" s="125" t="s">
        <v>818</v>
      </c>
      <c r="AG25" s="8"/>
      <c r="AH25" s="8"/>
      <c r="AI25" s="8"/>
      <c r="AJ25" s="8"/>
      <c r="AK25" s="5">
        <f t="shared" si="0"/>
        <v>16</v>
      </c>
      <c r="AL25" s="5">
        <f t="shared" si="1"/>
        <v>6</v>
      </c>
      <c r="AM25" s="14"/>
      <c r="AN25" s="14"/>
      <c r="AO25" s="14"/>
      <c r="AP25" s="14"/>
    </row>
    <row r="26" spans="1:42" ht="15.5" x14ac:dyDescent="0.35">
      <c r="A26" s="9">
        <v>3</v>
      </c>
      <c r="B26" s="9">
        <v>728</v>
      </c>
      <c r="C26" s="24" t="s">
        <v>639</v>
      </c>
      <c r="D26" s="24" t="s">
        <v>475</v>
      </c>
      <c r="E26" s="8" t="s">
        <v>727</v>
      </c>
      <c r="F26" s="149"/>
      <c r="G26" s="8" t="s">
        <v>818</v>
      </c>
      <c r="H26" s="8" t="s">
        <v>818</v>
      </c>
      <c r="I26" s="191"/>
      <c r="J26" s="8" t="s">
        <v>818</v>
      </c>
      <c r="K26" s="125" t="s">
        <v>818</v>
      </c>
      <c r="L26" s="8" t="s">
        <v>818</v>
      </c>
      <c r="M26" s="8" t="s">
        <v>818</v>
      </c>
      <c r="N26" s="8" t="s">
        <v>818</v>
      </c>
      <c r="O26" s="8" t="s">
        <v>818</v>
      </c>
      <c r="P26" s="191"/>
      <c r="Q26" s="8" t="s">
        <v>818</v>
      </c>
      <c r="R26" s="125" t="s">
        <v>818</v>
      </c>
      <c r="S26" s="8" t="s">
        <v>818</v>
      </c>
      <c r="T26" s="8" t="s">
        <v>818</v>
      </c>
      <c r="U26" s="8" t="s">
        <v>818</v>
      </c>
      <c r="V26" s="8" t="s">
        <v>818</v>
      </c>
      <c r="W26" s="191"/>
      <c r="X26" s="8" t="s">
        <v>817</v>
      </c>
      <c r="Y26" s="125" t="s">
        <v>817</v>
      </c>
      <c r="Z26" s="8" t="s">
        <v>818</v>
      </c>
      <c r="AA26" s="8" t="s">
        <v>818</v>
      </c>
      <c r="AB26" s="8" t="s">
        <v>818</v>
      </c>
      <c r="AC26" s="8" t="s">
        <v>818</v>
      </c>
      <c r="AD26" s="191"/>
      <c r="AE26" s="8" t="s">
        <v>818</v>
      </c>
      <c r="AF26" s="125" t="s">
        <v>818</v>
      </c>
      <c r="AG26" s="8"/>
      <c r="AH26" s="8"/>
      <c r="AI26" s="8"/>
      <c r="AJ26" s="8"/>
      <c r="AK26" s="5">
        <f t="shared" si="0"/>
        <v>20</v>
      </c>
      <c r="AL26" s="5">
        <f t="shared" si="1"/>
        <v>2</v>
      </c>
      <c r="AM26" s="14"/>
      <c r="AN26" s="14"/>
      <c r="AO26" s="14"/>
      <c r="AP26" s="14"/>
    </row>
    <row r="27" spans="1:42" ht="15.5" x14ac:dyDescent="0.35">
      <c r="A27" s="9">
        <v>4</v>
      </c>
      <c r="B27" s="9">
        <v>760</v>
      </c>
      <c r="C27" s="24" t="s">
        <v>640</v>
      </c>
      <c r="D27" s="24" t="s">
        <v>565</v>
      </c>
      <c r="E27" s="8" t="s">
        <v>727</v>
      </c>
      <c r="F27" s="149"/>
      <c r="G27" s="8" t="s">
        <v>818</v>
      </c>
      <c r="H27" s="8" t="s">
        <v>818</v>
      </c>
      <c r="I27" s="191"/>
      <c r="J27" s="8" t="s">
        <v>818</v>
      </c>
      <c r="K27" s="125" t="s">
        <v>818</v>
      </c>
      <c r="L27" s="8" t="s">
        <v>818</v>
      </c>
      <c r="M27" s="8" t="s">
        <v>818</v>
      </c>
      <c r="N27" s="8" t="s">
        <v>818</v>
      </c>
      <c r="O27" s="8" t="s">
        <v>818</v>
      </c>
      <c r="P27" s="191"/>
      <c r="Q27" s="8" t="s">
        <v>817</v>
      </c>
      <c r="R27" s="125" t="s">
        <v>818</v>
      </c>
      <c r="S27" s="8" t="s">
        <v>818</v>
      </c>
      <c r="T27" s="8" t="s">
        <v>818</v>
      </c>
      <c r="U27" s="8" t="s">
        <v>818</v>
      </c>
      <c r="V27" s="8" t="s">
        <v>817</v>
      </c>
      <c r="W27" s="191"/>
      <c r="X27" s="8" t="s">
        <v>818</v>
      </c>
      <c r="Y27" s="125" t="s">
        <v>818</v>
      </c>
      <c r="Z27" s="8" t="s">
        <v>818</v>
      </c>
      <c r="AA27" s="8" t="s">
        <v>818</v>
      </c>
      <c r="AB27" s="8" t="s">
        <v>818</v>
      </c>
      <c r="AC27" s="8" t="s">
        <v>817</v>
      </c>
      <c r="AD27" s="191"/>
      <c r="AE27" s="8" t="s">
        <v>818</v>
      </c>
      <c r="AF27" s="125" t="s">
        <v>818</v>
      </c>
      <c r="AG27" s="8"/>
      <c r="AH27" s="8"/>
      <c r="AI27" s="8"/>
      <c r="AJ27" s="8"/>
      <c r="AK27" s="5">
        <f t="shared" si="0"/>
        <v>19</v>
      </c>
      <c r="AL27" s="5">
        <f t="shared" si="1"/>
        <v>3</v>
      </c>
      <c r="AM27" s="14"/>
      <c r="AN27" s="14"/>
      <c r="AO27" s="14"/>
      <c r="AP27" s="14"/>
    </row>
    <row r="28" spans="1:42" ht="15.5" x14ac:dyDescent="0.35">
      <c r="A28" s="9">
        <v>5</v>
      </c>
      <c r="B28" s="9">
        <v>741</v>
      </c>
      <c r="C28" s="24" t="s">
        <v>641</v>
      </c>
      <c r="D28" s="24" t="s">
        <v>533</v>
      </c>
      <c r="E28" s="8" t="s">
        <v>727</v>
      </c>
      <c r="F28" s="149"/>
      <c r="G28" s="8" t="s">
        <v>817</v>
      </c>
      <c r="H28" s="8" t="s">
        <v>817</v>
      </c>
      <c r="I28" s="191"/>
      <c r="J28" s="8" t="s">
        <v>817</v>
      </c>
      <c r="K28" s="125" t="s">
        <v>817</v>
      </c>
      <c r="L28" s="8" t="s">
        <v>817</v>
      </c>
      <c r="M28" s="8" t="s">
        <v>817</v>
      </c>
      <c r="N28" s="8" t="s">
        <v>817</v>
      </c>
      <c r="O28" s="8" t="s">
        <v>817</v>
      </c>
      <c r="P28" s="191"/>
      <c r="Q28" s="8" t="s">
        <v>817</v>
      </c>
      <c r="R28" s="125" t="s">
        <v>817</v>
      </c>
      <c r="S28" s="8" t="s">
        <v>817</v>
      </c>
      <c r="T28" s="8" t="s">
        <v>818</v>
      </c>
      <c r="U28" s="8" t="s">
        <v>818</v>
      </c>
      <c r="V28" s="8" t="s">
        <v>817</v>
      </c>
      <c r="W28" s="191"/>
      <c r="X28" s="8" t="s">
        <v>818</v>
      </c>
      <c r="Y28" s="125" t="s">
        <v>818</v>
      </c>
      <c r="Z28" s="8" t="s">
        <v>818</v>
      </c>
      <c r="AA28" s="8" t="s">
        <v>817</v>
      </c>
      <c r="AB28" s="8" t="s">
        <v>818</v>
      </c>
      <c r="AC28" s="8" t="s">
        <v>817</v>
      </c>
      <c r="AD28" s="191"/>
      <c r="AE28" s="8" t="s">
        <v>818</v>
      </c>
      <c r="AF28" s="125" t="s">
        <v>818</v>
      </c>
      <c r="AG28" s="8"/>
      <c r="AH28" s="8"/>
      <c r="AI28" s="8"/>
      <c r="AJ28" s="8"/>
      <c r="AK28" s="5">
        <f t="shared" si="0"/>
        <v>8</v>
      </c>
      <c r="AL28" s="5">
        <f t="shared" si="1"/>
        <v>14</v>
      </c>
      <c r="AM28" s="14"/>
      <c r="AN28" s="14"/>
      <c r="AO28" s="14"/>
      <c r="AP28" s="14"/>
    </row>
    <row r="29" spans="1:42" ht="15.5" x14ac:dyDescent="0.35">
      <c r="A29" s="9">
        <v>6</v>
      </c>
      <c r="B29" s="9">
        <v>744</v>
      </c>
      <c r="C29" s="27" t="s">
        <v>642</v>
      </c>
      <c r="D29" s="27" t="s">
        <v>133</v>
      </c>
      <c r="E29" s="8" t="s">
        <v>727</v>
      </c>
      <c r="F29" s="149"/>
      <c r="G29" s="8" t="s">
        <v>818</v>
      </c>
      <c r="H29" s="8" t="s">
        <v>818</v>
      </c>
      <c r="I29" s="191"/>
      <c r="J29" s="8" t="s">
        <v>818</v>
      </c>
      <c r="K29" s="125" t="s">
        <v>818</v>
      </c>
      <c r="L29" s="8" t="s">
        <v>818</v>
      </c>
      <c r="M29" s="8" t="s">
        <v>818</v>
      </c>
      <c r="N29" s="8" t="s">
        <v>818</v>
      </c>
      <c r="O29" s="8" t="s">
        <v>818</v>
      </c>
      <c r="P29" s="191"/>
      <c r="Q29" s="8" t="s">
        <v>818</v>
      </c>
      <c r="R29" s="125" t="s">
        <v>818</v>
      </c>
      <c r="S29" s="8" t="s">
        <v>818</v>
      </c>
      <c r="T29" s="8" t="s">
        <v>818</v>
      </c>
      <c r="U29" s="8" t="s">
        <v>818</v>
      </c>
      <c r="V29" s="8" t="s">
        <v>818</v>
      </c>
      <c r="W29" s="191"/>
      <c r="X29" s="8" t="s">
        <v>818</v>
      </c>
      <c r="Y29" s="125" t="s">
        <v>818</v>
      </c>
      <c r="Z29" s="8" t="s">
        <v>817</v>
      </c>
      <c r="AA29" s="8" t="s">
        <v>817</v>
      </c>
      <c r="AB29" s="8" t="s">
        <v>817</v>
      </c>
      <c r="AC29" s="8" t="s">
        <v>817</v>
      </c>
      <c r="AD29" s="191"/>
      <c r="AE29" s="8" t="s">
        <v>818</v>
      </c>
      <c r="AF29" s="125" t="s">
        <v>818</v>
      </c>
      <c r="AG29" s="8"/>
      <c r="AH29" s="8"/>
      <c r="AI29" s="8"/>
      <c r="AJ29" s="8"/>
      <c r="AK29" s="5">
        <f t="shared" si="0"/>
        <v>18</v>
      </c>
      <c r="AL29" s="5">
        <f t="shared" si="1"/>
        <v>4</v>
      </c>
      <c r="AM29" s="14"/>
      <c r="AN29" s="14"/>
      <c r="AO29" s="14"/>
      <c r="AP29" s="14"/>
    </row>
    <row r="30" spans="1:42" ht="15.5" x14ac:dyDescent="0.35">
      <c r="A30" s="9">
        <v>7</v>
      </c>
      <c r="B30" s="9">
        <v>850</v>
      </c>
      <c r="C30" s="24" t="s">
        <v>643</v>
      </c>
      <c r="D30" s="24" t="s">
        <v>644</v>
      </c>
      <c r="E30" s="8" t="s">
        <v>727</v>
      </c>
      <c r="F30" s="149"/>
      <c r="G30" s="8" t="s">
        <v>818</v>
      </c>
      <c r="H30" s="8" t="s">
        <v>818</v>
      </c>
      <c r="I30" s="191"/>
      <c r="J30" s="8" t="s">
        <v>818</v>
      </c>
      <c r="K30" s="125" t="s">
        <v>818</v>
      </c>
      <c r="L30" s="8" t="s">
        <v>818</v>
      </c>
      <c r="M30" s="8" t="s">
        <v>818</v>
      </c>
      <c r="N30" s="8" t="s">
        <v>818</v>
      </c>
      <c r="O30" s="8" t="s">
        <v>818</v>
      </c>
      <c r="P30" s="191"/>
      <c r="Q30" s="8" t="s">
        <v>818</v>
      </c>
      <c r="R30" s="125" t="s">
        <v>818</v>
      </c>
      <c r="S30" s="8" t="s">
        <v>818</v>
      </c>
      <c r="T30" s="8" t="s">
        <v>818</v>
      </c>
      <c r="U30" s="8" t="s">
        <v>818</v>
      </c>
      <c r="V30" s="8" t="s">
        <v>818</v>
      </c>
      <c r="W30" s="191"/>
      <c r="X30" s="8" t="s">
        <v>818</v>
      </c>
      <c r="Y30" s="125" t="s">
        <v>818</v>
      </c>
      <c r="Z30" s="8" t="s">
        <v>817</v>
      </c>
      <c r="AA30" s="8" t="s">
        <v>818</v>
      </c>
      <c r="AB30" s="8" t="s">
        <v>818</v>
      </c>
      <c r="AC30" s="8" t="s">
        <v>818</v>
      </c>
      <c r="AD30" s="191"/>
      <c r="AE30" s="8" t="s">
        <v>818</v>
      </c>
      <c r="AF30" s="125" t="s">
        <v>818</v>
      </c>
      <c r="AG30" s="8"/>
      <c r="AH30" s="8"/>
      <c r="AI30" s="8"/>
      <c r="AJ30" s="8"/>
      <c r="AK30" s="5">
        <f t="shared" si="0"/>
        <v>21</v>
      </c>
      <c r="AL30" s="5">
        <f t="shared" si="1"/>
        <v>1</v>
      </c>
      <c r="AM30" s="14"/>
      <c r="AN30" s="14"/>
      <c r="AO30" s="14"/>
      <c r="AP30" s="14"/>
    </row>
    <row r="31" spans="1:42" ht="15.5" x14ac:dyDescent="0.3">
      <c r="A31" s="9">
        <v>8</v>
      </c>
      <c r="B31" s="9">
        <v>875</v>
      </c>
      <c r="C31" s="14" t="s">
        <v>645</v>
      </c>
      <c r="D31" s="14" t="s">
        <v>646</v>
      </c>
      <c r="E31" s="8" t="s">
        <v>727</v>
      </c>
      <c r="F31" s="149"/>
      <c r="G31" s="8" t="s">
        <v>818</v>
      </c>
      <c r="H31" s="8" t="s">
        <v>818</v>
      </c>
      <c r="I31" s="191"/>
      <c r="J31" s="8" t="s">
        <v>818</v>
      </c>
      <c r="K31" s="125" t="s">
        <v>818</v>
      </c>
      <c r="L31" s="8" t="s">
        <v>818</v>
      </c>
      <c r="M31" s="8" t="s">
        <v>818</v>
      </c>
      <c r="N31" s="8" t="s">
        <v>818</v>
      </c>
      <c r="O31" s="8" t="s">
        <v>818</v>
      </c>
      <c r="P31" s="191"/>
      <c r="Q31" s="8" t="s">
        <v>818</v>
      </c>
      <c r="R31" s="125" t="s">
        <v>818</v>
      </c>
      <c r="S31" s="8" t="s">
        <v>818</v>
      </c>
      <c r="T31" s="8" t="s">
        <v>818</v>
      </c>
      <c r="U31" s="8" t="s">
        <v>818</v>
      </c>
      <c r="V31" s="8" t="s">
        <v>818</v>
      </c>
      <c r="W31" s="191"/>
      <c r="X31" s="8" t="s">
        <v>818</v>
      </c>
      <c r="Y31" s="125" t="s">
        <v>818</v>
      </c>
      <c r="Z31" s="8" t="s">
        <v>818</v>
      </c>
      <c r="AA31" s="8" t="s">
        <v>818</v>
      </c>
      <c r="AB31" s="8" t="s">
        <v>818</v>
      </c>
      <c r="AC31" s="8" t="s">
        <v>818</v>
      </c>
      <c r="AD31" s="191"/>
      <c r="AE31" s="8" t="s">
        <v>818</v>
      </c>
      <c r="AF31" s="125" t="s">
        <v>818</v>
      </c>
      <c r="AG31" s="8"/>
      <c r="AH31" s="8"/>
      <c r="AI31" s="8"/>
      <c r="AJ31" s="8"/>
      <c r="AK31" s="5">
        <f t="shared" si="0"/>
        <v>22</v>
      </c>
      <c r="AL31" s="5">
        <f t="shared" si="1"/>
        <v>0</v>
      </c>
      <c r="AM31" s="14"/>
      <c r="AN31" s="14"/>
      <c r="AO31" s="14"/>
      <c r="AP31" s="14"/>
    </row>
    <row r="32" spans="1:42" ht="15.5" x14ac:dyDescent="0.3">
      <c r="A32" s="9">
        <v>9</v>
      </c>
      <c r="B32" s="9">
        <v>727</v>
      </c>
      <c r="C32" s="14" t="s">
        <v>647</v>
      </c>
      <c r="D32" s="14" t="s">
        <v>648</v>
      </c>
      <c r="E32" s="8" t="s">
        <v>727</v>
      </c>
      <c r="F32" s="149"/>
      <c r="G32" s="8" t="s">
        <v>818</v>
      </c>
      <c r="H32" s="8" t="s">
        <v>818</v>
      </c>
      <c r="I32" s="191"/>
      <c r="J32" s="8" t="s">
        <v>818</v>
      </c>
      <c r="K32" s="125" t="s">
        <v>818</v>
      </c>
      <c r="L32" s="8" t="s">
        <v>818</v>
      </c>
      <c r="M32" s="8" t="s">
        <v>818</v>
      </c>
      <c r="N32" s="8" t="s">
        <v>818</v>
      </c>
      <c r="O32" s="8" t="s">
        <v>818</v>
      </c>
      <c r="P32" s="191"/>
      <c r="Q32" s="8" t="s">
        <v>818</v>
      </c>
      <c r="R32" s="125" t="s">
        <v>818</v>
      </c>
      <c r="S32" s="8" t="s">
        <v>818</v>
      </c>
      <c r="T32" s="8" t="s">
        <v>818</v>
      </c>
      <c r="U32" s="8" t="s">
        <v>818</v>
      </c>
      <c r="V32" s="8" t="s">
        <v>818</v>
      </c>
      <c r="W32" s="191"/>
      <c r="X32" s="8" t="s">
        <v>818</v>
      </c>
      <c r="Y32" s="125" t="s">
        <v>818</v>
      </c>
      <c r="Z32" s="8" t="s">
        <v>817</v>
      </c>
      <c r="AA32" s="8" t="s">
        <v>818</v>
      </c>
      <c r="AB32" s="8" t="s">
        <v>818</v>
      </c>
      <c r="AC32" s="8" t="s">
        <v>818</v>
      </c>
      <c r="AD32" s="191"/>
      <c r="AE32" s="8" t="s">
        <v>818</v>
      </c>
      <c r="AF32" s="125" t="s">
        <v>818</v>
      </c>
      <c r="AG32" s="8"/>
      <c r="AH32" s="8"/>
      <c r="AI32" s="8"/>
      <c r="AJ32" s="8"/>
      <c r="AK32" s="5">
        <f t="shared" si="0"/>
        <v>21</v>
      </c>
      <c r="AL32" s="5">
        <f t="shared" si="1"/>
        <v>1</v>
      </c>
      <c r="AM32" s="14"/>
      <c r="AN32" s="14"/>
      <c r="AO32" s="14"/>
      <c r="AP32" s="14"/>
    </row>
    <row r="33" spans="1:42" ht="15.5" x14ac:dyDescent="0.3">
      <c r="A33" s="9">
        <v>10</v>
      </c>
      <c r="B33" s="9">
        <v>880</v>
      </c>
      <c r="C33" s="14" t="s">
        <v>649</v>
      </c>
      <c r="D33" s="14" t="s">
        <v>650</v>
      </c>
      <c r="E33" s="8" t="s">
        <v>727</v>
      </c>
      <c r="F33" s="149"/>
      <c r="G33" s="8" t="s">
        <v>817</v>
      </c>
      <c r="H33" s="8" t="s">
        <v>817</v>
      </c>
      <c r="I33" s="191"/>
      <c r="J33" s="8" t="s">
        <v>818</v>
      </c>
      <c r="K33" s="125" t="s">
        <v>818</v>
      </c>
      <c r="L33" s="8" t="s">
        <v>818</v>
      </c>
      <c r="M33" s="8" t="s">
        <v>818</v>
      </c>
      <c r="N33" s="8" t="s">
        <v>818</v>
      </c>
      <c r="O33" s="8" t="s">
        <v>818</v>
      </c>
      <c r="P33" s="191"/>
      <c r="Q33" s="8" t="s">
        <v>818</v>
      </c>
      <c r="R33" s="125" t="s">
        <v>818</v>
      </c>
      <c r="S33" s="8" t="s">
        <v>818</v>
      </c>
      <c r="T33" s="8" t="s">
        <v>818</v>
      </c>
      <c r="U33" s="8" t="s">
        <v>818</v>
      </c>
      <c r="V33" s="8" t="s">
        <v>818</v>
      </c>
      <c r="W33" s="191"/>
      <c r="X33" s="8" t="s">
        <v>818</v>
      </c>
      <c r="Y33" s="125" t="s">
        <v>818</v>
      </c>
      <c r="Z33" s="8" t="s">
        <v>817</v>
      </c>
      <c r="AA33" s="8" t="s">
        <v>818</v>
      </c>
      <c r="AB33" s="8" t="s">
        <v>818</v>
      </c>
      <c r="AC33" s="8" t="s">
        <v>817</v>
      </c>
      <c r="AD33" s="191"/>
      <c r="AE33" s="8" t="s">
        <v>818</v>
      </c>
      <c r="AF33" s="125" t="s">
        <v>818</v>
      </c>
      <c r="AG33" s="8"/>
      <c r="AH33" s="8"/>
      <c r="AI33" s="8"/>
      <c r="AJ33" s="8"/>
      <c r="AK33" s="5">
        <f t="shared" si="0"/>
        <v>18</v>
      </c>
      <c r="AL33" s="5">
        <f t="shared" si="1"/>
        <v>4</v>
      </c>
      <c r="AM33" s="14"/>
      <c r="AN33" s="14"/>
      <c r="AO33" s="14"/>
      <c r="AP33" s="14"/>
    </row>
    <row r="34" spans="1:42" ht="15.5" x14ac:dyDescent="0.3">
      <c r="A34" s="9">
        <v>11</v>
      </c>
      <c r="B34" s="9">
        <v>777</v>
      </c>
      <c r="C34" s="14" t="s">
        <v>651</v>
      </c>
      <c r="D34" s="14" t="s">
        <v>652</v>
      </c>
      <c r="E34" s="8" t="s">
        <v>727</v>
      </c>
      <c r="F34" s="149"/>
      <c r="G34" s="8" t="s">
        <v>818</v>
      </c>
      <c r="H34" s="8" t="s">
        <v>818</v>
      </c>
      <c r="I34" s="191"/>
      <c r="J34" s="8" t="s">
        <v>818</v>
      </c>
      <c r="K34" s="125" t="s">
        <v>818</v>
      </c>
      <c r="L34" s="8" t="s">
        <v>818</v>
      </c>
      <c r="M34" s="8" t="s">
        <v>818</v>
      </c>
      <c r="N34" s="8" t="s">
        <v>818</v>
      </c>
      <c r="O34" s="8" t="s">
        <v>818</v>
      </c>
      <c r="P34" s="191"/>
      <c r="Q34" s="8" t="s">
        <v>818</v>
      </c>
      <c r="R34" s="125" t="s">
        <v>818</v>
      </c>
      <c r="S34" s="8" t="s">
        <v>818</v>
      </c>
      <c r="T34" s="8" t="s">
        <v>818</v>
      </c>
      <c r="U34" s="8" t="s">
        <v>818</v>
      </c>
      <c r="V34" s="8" t="s">
        <v>818</v>
      </c>
      <c r="W34" s="191"/>
      <c r="X34" s="8" t="s">
        <v>818</v>
      </c>
      <c r="Y34" s="125" t="s">
        <v>818</v>
      </c>
      <c r="Z34" s="8" t="s">
        <v>818</v>
      </c>
      <c r="AA34" s="8" t="s">
        <v>818</v>
      </c>
      <c r="AB34" s="8" t="s">
        <v>818</v>
      </c>
      <c r="AC34" s="8" t="s">
        <v>818</v>
      </c>
      <c r="AD34" s="191"/>
      <c r="AE34" s="8" t="s">
        <v>818</v>
      </c>
      <c r="AF34" s="125" t="s">
        <v>817</v>
      </c>
      <c r="AG34" s="8"/>
      <c r="AH34" s="8"/>
      <c r="AI34" s="8"/>
      <c r="AJ34" s="8"/>
      <c r="AK34" s="5">
        <f t="shared" si="0"/>
        <v>21</v>
      </c>
      <c r="AL34" s="5">
        <f t="shared" si="1"/>
        <v>1</v>
      </c>
      <c r="AM34" s="14"/>
      <c r="AN34" s="14"/>
      <c r="AO34" s="14"/>
      <c r="AP34" s="14"/>
    </row>
    <row r="35" spans="1:42" ht="15.5" x14ac:dyDescent="0.3">
      <c r="A35" s="9">
        <v>12</v>
      </c>
      <c r="B35" s="9">
        <v>873</v>
      </c>
      <c r="C35" s="14" t="s">
        <v>653</v>
      </c>
      <c r="D35" s="14" t="s">
        <v>34</v>
      </c>
      <c r="E35" s="8" t="s">
        <v>727</v>
      </c>
      <c r="F35" s="149"/>
      <c r="G35" s="8" t="s">
        <v>817</v>
      </c>
      <c r="H35" s="8" t="s">
        <v>817</v>
      </c>
      <c r="I35" s="191"/>
      <c r="J35" s="8" t="s">
        <v>818</v>
      </c>
      <c r="K35" s="125" t="s">
        <v>818</v>
      </c>
      <c r="L35" s="8" t="s">
        <v>818</v>
      </c>
      <c r="M35" s="8" t="s">
        <v>817</v>
      </c>
      <c r="N35" s="8" t="s">
        <v>818</v>
      </c>
      <c r="O35" s="8" t="s">
        <v>817</v>
      </c>
      <c r="P35" s="191"/>
      <c r="Q35" s="8" t="s">
        <v>818</v>
      </c>
      <c r="R35" s="125" t="s">
        <v>818</v>
      </c>
      <c r="S35" s="8" t="s">
        <v>818</v>
      </c>
      <c r="T35" s="8" t="s">
        <v>818</v>
      </c>
      <c r="U35" s="8" t="s">
        <v>818</v>
      </c>
      <c r="V35" s="8" t="s">
        <v>817</v>
      </c>
      <c r="W35" s="191"/>
      <c r="X35" s="8" t="s">
        <v>818</v>
      </c>
      <c r="Y35" s="125" t="s">
        <v>818</v>
      </c>
      <c r="Z35" s="8" t="s">
        <v>818</v>
      </c>
      <c r="AA35" s="8" t="s">
        <v>818</v>
      </c>
      <c r="AB35" s="8" t="s">
        <v>818</v>
      </c>
      <c r="AC35" s="8" t="s">
        <v>817</v>
      </c>
      <c r="AD35" s="191"/>
      <c r="AE35" s="8" t="s">
        <v>817</v>
      </c>
      <c r="AF35" s="125" t="s">
        <v>817</v>
      </c>
      <c r="AG35" s="8"/>
      <c r="AH35" s="8"/>
      <c r="AI35" s="8"/>
      <c r="AJ35" s="8"/>
      <c r="AK35" s="5">
        <f t="shared" si="0"/>
        <v>14</v>
      </c>
      <c r="AL35" s="5">
        <f t="shared" si="1"/>
        <v>8</v>
      </c>
      <c r="AM35" s="14"/>
      <c r="AN35" s="14"/>
      <c r="AO35" s="14"/>
      <c r="AP35" s="14"/>
    </row>
    <row r="36" spans="1:42" ht="15.5" x14ac:dyDescent="0.3">
      <c r="A36" s="9">
        <v>13</v>
      </c>
      <c r="B36" s="9">
        <v>909</v>
      </c>
      <c r="C36" s="14" t="s">
        <v>654</v>
      </c>
      <c r="D36" s="14" t="s">
        <v>655</v>
      </c>
      <c r="E36" s="8" t="s">
        <v>727</v>
      </c>
      <c r="F36" s="149"/>
      <c r="G36" s="8" t="s">
        <v>818</v>
      </c>
      <c r="H36" s="8" t="s">
        <v>818</v>
      </c>
      <c r="I36" s="191"/>
      <c r="J36" s="8" t="s">
        <v>818</v>
      </c>
      <c r="K36" s="125" t="s">
        <v>818</v>
      </c>
      <c r="L36" s="8" t="s">
        <v>818</v>
      </c>
      <c r="M36" s="8" t="s">
        <v>818</v>
      </c>
      <c r="N36" s="8" t="s">
        <v>818</v>
      </c>
      <c r="O36" s="8" t="s">
        <v>818</v>
      </c>
      <c r="P36" s="191"/>
      <c r="Q36" s="8" t="s">
        <v>818</v>
      </c>
      <c r="R36" s="125" t="s">
        <v>818</v>
      </c>
      <c r="S36" s="8" t="s">
        <v>818</v>
      </c>
      <c r="T36" s="8" t="s">
        <v>818</v>
      </c>
      <c r="U36" s="8" t="s">
        <v>818</v>
      </c>
      <c r="V36" s="8" t="s">
        <v>818</v>
      </c>
      <c r="W36" s="191"/>
      <c r="X36" s="8" t="s">
        <v>818</v>
      </c>
      <c r="Y36" s="125" t="s">
        <v>818</v>
      </c>
      <c r="Z36" s="8" t="s">
        <v>818</v>
      </c>
      <c r="AA36" s="8" t="s">
        <v>818</v>
      </c>
      <c r="AB36" s="8" t="s">
        <v>818</v>
      </c>
      <c r="AC36" s="8" t="s">
        <v>818</v>
      </c>
      <c r="AD36" s="191"/>
      <c r="AE36" s="8" t="s">
        <v>818</v>
      </c>
      <c r="AF36" s="125" t="s">
        <v>818</v>
      </c>
      <c r="AG36" s="8"/>
      <c r="AH36" s="8"/>
      <c r="AI36" s="8"/>
      <c r="AJ36" s="8"/>
      <c r="AK36" s="5">
        <f t="shared" si="0"/>
        <v>22</v>
      </c>
      <c r="AL36" s="5">
        <f t="shared" si="1"/>
        <v>0</v>
      </c>
      <c r="AM36" s="14"/>
      <c r="AN36" s="14"/>
      <c r="AO36" s="14"/>
      <c r="AP36" s="14"/>
    </row>
    <row r="37" spans="1:42" ht="15.5" x14ac:dyDescent="0.3">
      <c r="A37" s="9">
        <v>14</v>
      </c>
      <c r="B37" s="9">
        <v>854</v>
      </c>
      <c r="C37" s="14" t="s">
        <v>656</v>
      </c>
      <c r="D37" s="14" t="s">
        <v>854</v>
      </c>
      <c r="E37" s="8" t="s">
        <v>727</v>
      </c>
      <c r="F37" s="149"/>
      <c r="G37" s="8" t="s">
        <v>848</v>
      </c>
      <c r="H37" s="8" t="s">
        <v>848</v>
      </c>
      <c r="I37" s="191"/>
      <c r="J37" s="8" t="s">
        <v>848</v>
      </c>
      <c r="K37" s="125" t="s">
        <v>848</v>
      </c>
      <c r="L37" s="8" t="s">
        <v>848</v>
      </c>
      <c r="M37" s="8" t="s">
        <v>848</v>
      </c>
      <c r="N37" s="8" t="s">
        <v>848</v>
      </c>
      <c r="O37" s="8" t="s">
        <v>848</v>
      </c>
      <c r="P37" s="191"/>
      <c r="Q37" s="8" t="s">
        <v>818</v>
      </c>
      <c r="R37" s="125" t="s">
        <v>818</v>
      </c>
      <c r="S37" s="8" t="s">
        <v>818</v>
      </c>
      <c r="T37" s="8" t="s">
        <v>818</v>
      </c>
      <c r="U37" s="8" t="s">
        <v>818</v>
      </c>
      <c r="V37" s="8" t="s">
        <v>818</v>
      </c>
      <c r="W37" s="191"/>
      <c r="X37" s="8" t="s">
        <v>818</v>
      </c>
      <c r="Y37" s="125" t="s">
        <v>818</v>
      </c>
      <c r="Z37" s="8" t="s">
        <v>818</v>
      </c>
      <c r="AA37" s="8" t="s">
        <v>818</v>
      </c>
      <c r="AB37" s="8" t="s">
        <v>818</v>
      </c>
      <c r="AC37" s="8" t="s">
        <v>817</v>
      </c>
      <c r="AD37" s="191"/>
      <c r="AE37" s="8" t="s">
        <v>818</v>
      </c>
      <c r="AF37" s="125" t="s">
        <v>817</v>
      </c>
      <c r="AG37" s="8"/>
      <c r="AH37" s="8"/>
      <c r="AI37" s="8"/>
      <c r="AJ37" s="8"/>
      <c r="AK37" s="5">
        <f t="shared" si="0"/>
        <v>12</v>
      </c>
      <c r="AL37" s="5">
        <f t="shared" si="1"/>
        <v>2</v>
      </c>
      <c r="AM37" s="14"/>
      <c r="AN37" s="14"/>
      <c r="AO37" s="14"/>
      <c r="AP37" s="14"/>
    </row>
    <row r="38" spans="1:42" ht="15.5" x14ac:dyDescent="0.3">
      <c r="A38" s="9">
        <v>15</v>
      </c>
      <c r="B38" s="9"/>
      <c r="C38" s="14" t="s">
        <v>855</v>
      </c>
      <c r="D38" s="14" t="s">
        <v>490</v>
      </c>
      <c r="E38" s="8" t="s">
        <v>727</v>
      </c>
      <c r="F38" s="149"/>
      <c r="G38" s="8" t="s">
        <v>730</v>
      </c>
      <c r="H38" s="8" t="s">
        <v>730</v>
      </c>
      <c r="I38" s="191"/>
      <c r="J38" s="8" t="s">
        <v>730</v>
      </c>
      <c r="K38" s="125" t="s">
        <v>730</v>
      </c>
      <c r="L38" s="8" t="s">
        <v>730</v>
      </c>
      <c r="M38" s="8" t="s">
        <v>730</v>
      </c>
      <c r="N38" s="8" t="s">
        <v>730</v>
      </c>
      <c r="O38" s="8" t="s">
        <v>730</v>
      </c>
      <c r="P38" s="191"/>
      <c r="Q38" s="8" t="s">
        <v>818</v>
      </c>
      <c r="R38" s="125" t="s">
        <v>730</v>
      </c>
      <c r="S38" s="8" t="s">
        <v>818</v>
      </c>
      <c r="T38" s="8" t="s">
        <v>818</v>
      </c>
      <c r="U38" s="8" t="s">
        <v>818</v>
      </c>
      <c r="V38" s="8" t="s">
        <v>818</v>
      </c>
      <c r="W38" s="191"/>
      <c r="X38" s="8" t="s">
        <v>818</v>
      </c>
      <c r="Y38" s="125" t="s">
        <v>730</v>
      </c>
      <c r="Z38" s="8" t="s">
        <v>818</v>
      </c>
      <c r="AA38" s="8" t="s">
        <v>818</v>
      </c>
      <c r="AB38" s="8" t="s">
        <v>818</v>
      </c>
      <c r="AC38" s="8" t="s">
        <v>818</v>
      </c>
      <c r="AD38" s="191"/>
      <c r="AE38" s="8" t="s">
        <v>818</v>
      </c>
      <c r="AF38" s="125" t="s">
        <v>818</v>
      </c>
      <c r="AG38" s="8"/>
      <c r="AH38" s="8"/>
      <c r="AI38" s="8"/>
      <c r="AJ38" s="8"/>
      <c r="AK38" s="5">
        <f t="shared" si="0"/>
        <v>22</v>
      </c>
      <c r="AL38" s="5">
        <f t="shared" si="1"/>
        <v>0</v>
      </c>
      <c r="AM38" s="14"/>
      <c r="AN38" s="14"/>
      <c r="AO38" s="14"/>
      <c r="AP38" s="14"/>
    </row>
    <row r="39" spans="1:42" ht="14" customHeight="1" x14ac:dyDescent="0.3">
      <c r="A39" s="9">
        <v>16</v>
      </c>
      <c r="B39" s="9">
        <v>902</v>
      </c>
      <c r="C39" s="14" t="s">
        <v>811</v>
      </c>
      <c r="D39" s="14" t="s">
        <v>658</v>
      </c>
      <c r="E39" s="8" t="s">
        <v>727</v>
      </c>
      <c r="F39" s="149"/>
      <c r="G39" s="8" t="s">
        <v>817</v>
      </c>
      <c r="H39" s="8" t="s">
        <v>730</v>
      </c>
      <c r="I39" s="191"/>
      <c r="J39" s="8" t="s">
        <v>817</v>
      </c>
      <c r="K39" s="125" t="s">
        <v>818</v>
      </c>
      <c r="L39" s="125" t="s">
        <v>818</v>
      </c>
      <c r="M39" s="125" t="s">
        <v>818</v>
      </c>
      <c r="N39" s="125" t="s">
        <v>818</v>
      </c>
      <c r="O39" s="125" t="s">
        <v>818</v>
      </c>
      <c r="P39" s="191"/>
      <c r="Q39" s="8" t="s">
        <v>817</v>
      </c>
      <c r="R39" s="125" t="s">
        <v>818</v>
      </c>
      <c r="S39" s="8" t="s">
        <v>818</v>
      </c>
      <c r="T39" s="8" t="s">
        <v>818</v>
      </c>
      <c r="U39" s="8" t="s">
        <v>818</v>
      </c>
      <c r="V39" s="8" t="s">
        <v>817</v>
      </c>
      <c r="W39" s="191"/>
      <c r="X39" s="8" t="s">
        <v>818</v>
      </c>
      <c r="Y39" s="125" t="s">
        <v>818</v>
      </c>
      <c r="Z39" s="8" t="s">
        <v>818</v>
      </c>
      <c r="AA39" s="8" t="s">
        <v>817</v>
      </c>
      <c r="AB39" s="8" t="s">
        <v>818</v>
      </c>
      <c r="AC39" s="8" t="s">
        <v>817</v>
      </c>
      <c r="AD39" s="191"/>
      <c r="AE39" s="8" t="s">
        <v>818</v>
      </c>
      <c r="AF39" s="125" t="s">
        <v>817</v>
      </c>
      <c r="AG39" s="14"/>
      <c r="AH39" s="14"/>
      <c r="AI39" s="14"/>
      <c r="AJ39" s="14"/>
      <c r="AK39" s="14">
        <f t="shared" si="0"/>
        <v>15</v>
      </c>
      <c r="AL39" s="14">
        <f t="shared" si="1"/>
        <v>7</v>
      </c>
      <c r="AM39" s="14"/>
      <c r="AN39" s="14"/>
      <c r="AO39" s="14"/>
      <c r="AP39" s="14"/>
    </row>
    <row r="40" spans="1:42" ht="14.5" x14ac:dyDescent="0.3">
      <c r="J40" s="8"/>
    </row>
  </sheetData>
  <mergeCells count="16">
    <mergeCell ref="A1:AL1"/>
    <mergeCell ref="A2:AL2"/>
    <mergeCell ref="A3:A4"/>
    <mergeCell ref="C3:C4"/>
    <mergeCell ref="D3:D4"/>
    <mergeCell ref="E3:E4"/>
    <mergeCell ref="AK3:AK4"/>
    <mergeCell ref="AL3:AL4"/>
    <mergeCell ref="B3:B4"/>
    <mergeCell ref="F5:F39"/>
    <mergeCell ref="AM3:AN3"/>
    <mergeCell ref="AM11:AP11"/>
    <mergeCell ref="I5:I39"/>
    <mergeCell ref="P5:P39"/>
    <mergeCell ref="W5:W39"/>
    <mergeCell ref="AD5:AD39"/>
  </mergeCells>
  <conditionalFormatting sqref="AK3:AL3 AK5:AL38">
    <cfRule type="expression" dxfId="70" priority="227">
      <formula>#REF!="Sun"</formula>
    </cfRule>
  </conditionalFormatting>
  <conditionalFormatting sqref="AM5:AM9">
    <cfRule type="expression" dxfId="69" priority="184">
      <formula>AM$3="Sun"</formula>
    </cfRule>
  </conditionalFormatting>
  <conditionalFormatting sqref="AM12:AM14">
    <cfRule type="expression" dxfId="68" priority="182">
      <formula>AM$3="Sun"</formula>
    </cfRule>
  </conditionalFormatting>
  <conditionalFormatting sqref="AM18:AM20">
    <cfRule type="expression" dxfId="67" priority="181">
      <formula>AM$3="Sun"</formula>
    </cfRule>
  </conditionalFormatting>
  <conditionalFormatting sqref="AM4:AN4">
    <cfRule type="expression" dxfId="66" priority="185">
      <formula>AM$3="Sun"</formula>
    </cfRule>
  </conditionalFormatting>
  <conditionalFormatting sqref="AN12:AP12 AN18:AP18">
    <cfRule type="expression" dxfId="65" priority="186">
      <formula>AN$3="Sun"</formula>
    </cfRule>
  </conditionalFormatting>
  <conditionalFormatting sqref="AP19">
    <cfRule type="expression" dxfId="64" priority="183">
      <formula>AP$3="Sun"</formula>
    </cfRule>
  </conditionalFormatting>
  <conditionalFormatting sqref="F3:AJ4 F5:O5 X5:AC5 AE5:AJ5 Z6:AC36 AG6:AJ38 X6:Y39 AA37:AA38 Z37:Z39 K6:O39 AC37:AC38 AB37:AB39 AE6:AF39 Q5:V39 J6:J40 G6:H39">
    <cfRule type="expression" dxfId="63" priority="29">
      <formula>F$3="SUN"</formula>
    </cfRule>
    <cfRule type="expression" dxfId="62" priority="30">
      <formula>F$4=TODAY()</formula>
    </cfRule>
  </conditionalFormatting>
  <conditionalFormatting sqref="F5:O5 X5:AC5 AE5:AJ5 Z6:AC36 AG6:AJ38 X6:Y39 AA37:AA38 Z37:Z39 K6:O39 AC37:AC38 AB37:AB39 AE6:AF39 Q5:V39 J6:J40 G6:H39">
    <cfRule type="cellIs" dxfId="61" priority="26" operator="equal">
      <formula>"L"</formula>
    </cfRule>
    <cfRule type="cellIs" dxfId="60" priority="27" operator="equal">
      <formula>"A"</formula>
    </cfRule>
    <cfRule type="cellIs" dxfId="59" priority="28" operator="equal">
      <formula>"P"</formula>
    </cfRule>
  </conditionalFormatting>
  <conditionalFormatting sqref="P5">
    <cfRule type="expression" dxfId="58" priority="24">
      <formula>P$3="SUN"</formula>
    </cfRule>
    <cfRule type="expression" dxfId="57" priority="25">
      <formula>P$4=TODAY()</formula>
    </cfRule>
  </conditionalFormatting>
  <conditionalFormatting sqref="P5">
    <cfRule type="cellIs" dxfId="56" priority="21" operator="equal">
      <formula>"L"</formula>
    </cfRule>
    <cfRule type="cellIs" dxfId="55" priority="22" operator="equal">
      <formula>"A"</formula>
    </cfRule>
    <cfRule type="cellIs" dxfId="54" priority="23" operator="equal">
      <formula>"P"</formula>
    </cfRule>
  </conditionalFormatting>
  <conditionalFormatting sqref="W5">
    <cfRule type="expression" dxfId="53" priority="19">
      <formula>W$3="SUN"</formula>
    </cfRule>
    <cfRule type="expression" dxfId="52" priority="20">
      <formula>W$4=TODAY()</formula>
    </cfRule>
  </conditionalFormatting>
  <conditionalFormatting sqref="W5">
    <cfRule type="cellIs" dxfId="51" priority="16" operator="equal">
      <formula>"L"</formula>
    </cfRule>
    <cfRule type="cellIs" dxfId="50" priority="17" operator="equal">
      <formula>"A"</formula>
    </cfRule>
    <cfRule type="cellIs" dxfId="49" priority="18" operator="equal">
      <formula>"P"</formula>
    </cfRule>
  </conditionalFormatting>
  <conditionalFormatting sqref="AD5">
    <cfRule type="expression" dxfId="48" priority="14">
      <formula>AD$3="SUN"</formula>
    </cfRule>
    <cfRule type="expression" dxfId="47" priority="15">
      <formula>AD$4=TODAY()</formula>
    </cfRule>
  </conditionalFormatting>
  <conditionalFormatting sqref="AD5">
    <cfRule type="cellIs" dxfId="46" priority="11" operator="equal">
      <formula>"L"</formula>
    </cfRule>
    <cfRule type="cellIs" dxfId="45" priority="12" operator="equal">
      <formula>"A"</formula>
    </cfRule>
    <cfRule type="cellIs" dxfId="44" priority="13" operator="equal">
      <formula>"P"</formula>
    </cfRule>
  </conditionalFormatting>
  <conditionalFormatting sqref="AC39">
    <cfRule type="expression" dxfId="43" priority="9">
      <formula>AC$3="SUN"</formula>
    </cfRule>
    <cfRule type="expression" dxfId="42" priority="10">
      <formula>AC$4=TODAY()</formula>
    </cfRule>
  </conditionalFormatting>
  <conditionalFormatting sqref="AC39">
    <cfRule type="cellIs" dxfId="41" priority="6" operator="equal">
      <formula>"L"</formula>
    </cfRule>
    <cfRule type="cellIs" dxfId="40" priority="7" operator="equal">
      <formula>"A"</formula>
    </cfRule>
    <cfRule type="cellIs" dxfId="39" priority="8" operator="equal">
      <formula>"P"</formula>
    </cfRule>
  </conditionalFormatting>
  <conditionalFormatting sqref="AA39">
    <cfRule type="expression" dxfId="38" priority="4">
      <formula>AA$3="SUN"</formula>
    </cfRule>
    <cfRule type="expression" dxfId="37" priority="5">
      <formula>AA$4=TODAY()</formula>
    </cfRule>
  </conditionalFormatting>
  <conditionalFormatting sqref="AA39">
    <cfRule type="cellIs" dxfId="36" priority="1" operator="equal">
      <formula>"L"</formula>
    </cfRule>
    <cfRule type="cellIs" dxfId="35" priority="2" operator="equal">
      <formula>"A"</formula>
    </cfRule>
    <cfRule type="cellIs" dxfId="34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6"/>
  <sheetViews>
    <sheetView tabSelected="1" workbookViewId="0">
      <selection activeCell="AD5" sqref="AD5:AD36"/>
    </sheetView>
  </sheetViews>
  <sheetFormatPr defaultColWidth="3.81640625" defaultRowHeight="14" x14ac:dyDescent="0.3"/>
  <cols>
    <col min="1" max="1" width="5.1796875" style="1" bestFit="1" customWidth="1"/>
    <col min="2" max="2" width="5.1796875" style="1" customWidth="1"/>
    <col min="3" max="3" width="19.26953125" style="1" bestFit="1" customWidth="1"/>
    <col min="4" max="4" width="19" style="1" bestFit="1" customWidth="1"/>
    <col min="5" max="5" width="6.453125" style="1" customWidth="1"/>
    <col min="6" max="6" width="3.81640625" style="1" bestFit="1" customWidth="1"/>
    <col min="7" max="7" width="4.7265625" style="1" bestFit="1" customWidth="1"/>
    <col min="8" max="8" width="3.81640625" style="1" bestFit="1" customWidth="1"/>
    <col min="9" max="10" width="3.7265625" style="1" bestFit="1" customWidth="1"/>
    <col min="11" max="11" width="3.81640625" style="1" bestFit="1" customWidth="1"/>
    <col min="12" max="12" width="4.54296875" style="1" bestFit="1" customWidth="1"/>
    <col min="13" max="13" width="3.81640625" style="1" bestFit="1" customWidth="1"/>
    <col min="14" max="14" width="4.7265625" style="1" bestFit="1" customWidth="1"/>
    <col min="15" max="15" width="3.81640625" style="1" bestFit="1" customWidth="1"/>
    <col min="16" max="17" width="3.7265625" style="1" bestFit="1" customWidth="1"/>
    <col min="18" max="18" width="3.81640625" style="1" bestFit="1" customWidth="1"/>
    <col min="19" max="19" width="4.54296875" style="1" bestFit="1" customWidth="1"/>
    <col min="20" max="20" width="3.81640625" style="1" bestFit="1" customWidth="1"/>
    <col min="21" max="21" width="4.7265625" style="1" bestFit="1" customWidth="1"/>
    <col min="22" max="22" width="3.81640625" style="1" bestFit="1" customWidth="1"/>
    <col min="23" max="24" width="3.7265625" style="1" bestFit="1" customWidth="1"/>
    <col min="25" max="25" width="3.81640625" style="1" bestFit="1" customWidth="1"/>
    <col min="26" max="26" width="4.54296875" style="1" bestFit="1" customWidth="1"/>
    <col min="27" max="27" width="3.81640625" style="1" bestFit="1" customWidth="1"/>
    <col min="28" max="28" width="4.7265625" style="1" bestFit="1" customWidth="1"/>
    <col min="29" max="29" width="3.81640625" style="1" bestFit="1" customWidth="1"/>
    <col min="30" max="31" width="3.7265625" style="1" bestFit="1" customWidth="1"/>
    <col min="32" max="32" width="3.81640625" style="1" bestFit="1" customWidth="1"/>
    <col min="33" max="33" width="4.54296875" style="1" bestFit="1" customWidth="1"/>
    <col min="34" max="34" width="3.81640625" style="1" bestFit="1" customWidth="1"/>
    <col min="35" max="35" width="4.7265625" style="1" bestFit="1" customWidth="1"/>
    <col min="36" max="36" width="4.7265625" style="1" customWidth="1"/>
    <col min="37" max="37" width="9.453125" style="1" bestFit="1" customWidth="1"/>
    <col min="38" max="38" width="8.54296875" style="1" bestFit="1" customWidth="1"/>
    <col min="39" max="39" width="18.54296875" style="1" bestFit="1" customWidth="1"/>
    <col min="40" max="40" width="5.81640625" style="1" bestFit="1" customWidth="1"/>
    <col min="41" max="41" width="14.26953125" style="1" bestFit="1" customWidth="1"/>
    <col min="42" max="42" width="6.7265625" style="1" bestFit="1" customWidth="1"/>
    <col min="43" max="16384" width="3.81640625" style="1"/>
  </cols>
  <sheetData>
    <row r="1" spans="1:42" ht="17" x14ac:dyDescent="0.3">
      <c r="A1" s="164" t="s">
        <v>18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</row>
    <row r="2" spans="1:42" ht="17" x14ac:dyDescent="0.4">
      <c r="A2" s="167" t="s">
        <v>732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</row>
    <row r="3" spans="1:42" ht="15.5" x14ac:dyDescent="0.3">
      <c r="A3" s="177" t="s">
        <v>0</v>
      </c>
      <c r="B3" s="177" t="s">
        <v>713</v>
      </c>
      <c r="C3" s="177" t="s">
        <v>1</v>
      </c>
      <c r="D3" s="177" t="s">
        <v>2</v>
      </c>
      <c r="E3" s="177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54" t="s">
        <v>4</v>
      </c>
      <c r="AL3" s="154" t="s">
        <v>5</v>
      </c>
      <c r="AM3" s="158" t="s">
        <v>119</v>
      </c>
      <c r="AN3" s="159"/>
      <c r="AO3" s="3"/>
      <c r="AP3" s="3"/>
    </row>
    <row r="4" spans="1:42" ht="38.5" x14ac:dyDescent="0.3">
      <c r="A4" s="178"/>
      <c r="B4" s="178"/>
      <c r="C4" s="178"/>
      <c r="D4" s="178"/>
      <c r="E4" s="178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54"/>
      <c r="AL4" s="154"/>
      <c r="AM4" s="5" t="s">
        <v>120</v>
      </c>
      <c r="AN4" s="5">
        <f>SUM(AN5:AN8)</f>
        <v>30</v>
      </c>
      <c r="AO4" s="3"/>
      <c r="AP4" s="3"/>
    </row>
    <row r="5" spans="1:42" ht="15" customHeight="1" x14ac:dyDescent="0.35">
      <c r="A5" s="20">
        <v>1</v>
      </c>
      <c r="B5" s="20">
        <v>750</v>
      </c>
      <c r="C5" s="22" t="s">
        <v>659</v>
      </c>
      <c r="D5" s="23" t="s">
        <v>660</v>
      </c>
      <c r="E5" s="19" t="s">
        <v>728</v>
      </c>
      <c r="F5" s="194" t="s">
        <v>856</v>
      </c>
      <c r="G5" s="8"/>
      <c r="H5" s="8"/>
      <c r="I5" s="195" t="s">
        <v>815</v>
      </c>
      <c r="J5" s="8" t="s">
        <v>818</v>
      </c>
      <c r="K5" s="113" t="s">
        <v>818</v>
      </c>
      <c r="L5" s="8" t="s">
        <v>817</v>
      </c>
      <c r="M5" s="8" t="s">
        <v>817</v>
      </c>
      <c r="N5" s="8" t="s">
        <v>818</v>
      </c>
      <c r="O5" s="8" t="s">
        <v>817</v>
      </c>
      <c r="P5" s="195" t="s">
        <v>815</v>
      </c>
      <c r="Q5" s="8" t="s">
        <v>818</v>
      </c>
      <c r="R5" s="113" t="s">
        <v>818</v>
      </c>
      <c r="S5" s="8" t="s">
        <v>818</v>
      </c>
      <c r="T5" s="8" t="s">
        <v>818</v>
      </c>
      <c r="U5" s="8" t="s">
        <v>818</v>
      </c>
      <c r="V5" s="8" t="s">
        <v>817</v>
      </c>
      <c r="W5" s="195" t="s">
        <v>815</v>
      </c>
      <c r="X5" s="8" t="s">
        <v>818</v>
      </c>
      <c r="Y5" s="113" t="s">
        <v>818</v>
      </c>
      <c r="Z5" s="8" t="s">
        <v>818</v>
      </c>
      <c r="AA5" s="8" t="s">
        <v>818</v>
      </c>
      <c r="AB5" s="8" t="s">
        <v>819</v>
      </c>
      <c r="AC5" s="8" t="s">
        <v>818</v>
      </c>
      <c r="AD5" s="195" t="s">
        <v>815</v>
      </c>
      <c r="AE5" s="8" t="s">
        <v>818</v>
      </c>
      <c r="AF5" s="113" t="s">
        <v>817</v>
      </c>
      <c r="AG5" s="8"/>
      <c r="AH5" s="8"/>
      <c r="AI5" s="8"/>
      <c r="AJ5" s="8"/>
      <c r="AK5" s="5">
        <f t="shared" ref="AK5:AK36" si="0">COUNTIF(F5:AI5,"P")</f>
        <v>14</v>
      </c>
      <c r="AL5" s="5">
        <f t="shared" ref="AL5:AL36" si="1">COUNTIF(F5:AI5,"A")</f>
        <v>5</v>
      </c>
      <c r="AM5" s="5" t="s">
        <v>7</v>
      </c>
      <c r="AN5" s="9">
        <v>25</v>
      </c>
      <c r="AO5" s="10"/>
      <c r="AP5" s="3"/>
    </row>
    <row r="6" spans="1:42" ht="15.5" x14ac:dyDescent="0.35">
      <c r="A6" s="20">
        <v>2</v>
      </c>
      <c r="B6" s="20">
        <v>867</v>
      </c>
      <c r="C6" s="22" t="s">
        <v>661</v>
      </c>
      <c r="D6" s="23" t="s">
        <v>662</v>
      </c>
      <c r="E6" s="19" t="s">
        <v>728</v>
      </c>
      <c r="F6" s="156"/>
      <c r="G6" s="8"/>
      <c r="H6" s="8"/>
      <c r="I6" s="183"/>
      <c r="J6" s="8" t="s">
        <v>818</v>
      </c>
      <c r="K6" s="113" t="s">
        <v>818</v>
      </c>
      <c r="L6" s="8" t="s">
        <v>818</v>
      </c>
      <c r="M6" s="8" t="s">
        <v>818</v>
      </c>
      <c r="N6" s="8" t="s">
        <v>818</v>
      </c>
      <c r="O6" s="8" t="s">
        <v>818</v>
      </c>
      <c r="P6" s="183"/>
      <c r="Q6" s="8" t="s">
        <v>818</v>
      </c>
      <c r="R6" s="113" t="s">
        <v>818</v>
      </c>
      <c r="S6" s="8" t="s">
        <v>818</v>
      </c>
      <c r="T6" s="8" t="s">
        <v>818</v>
      </c>
      <c r="U6" s="8" t="s">
        <v>819</v>
      </c>
      <c r="V6" s="8" t="s">
        <v>818</v>
      </c>
      <c r="W6" s="183"/>
      <c r="X6" s="8" t="s">
        <v>819</v>
      </c>
      <c r="Y6" s="113" t="s">
        <v>819</v>
      </c>
      <c r="Z6" s="8" t="s">
        <v>817</v>
      </c>
      <c r="AA6" s="8" t="s">
        <v>817</v>
      </c>
      <c r="AB6" s="8" t="s">
        <v>819</v>
      </c>
      <c r="AC6" s="8" t="s">
        <v>817</v>
      </c>
      <c r="AD6" s="183"/>
      <c r="AE6" s="8" t="s">
        <v>817</v>
      </c>
      <c r="AF6" s="113" t="s">
        <v>817</v>
      </c>
      <c r="AG6" s="8"/>
      <c r="AH6" s="8"/>
      <c r="AI6" s="8"/>
      <c r="AJ6" s="8"/>
      <c r="AK6" s="5">
        <f t="shared" si="0"/>
        <v>11</v>
      </c>
      <c r="AL6" s="5">
        <f t="shared" si="1"/>
        <v>5</v>
      </c>
      <c r="AM6" s="5" t="s">
        <v>8</v>
      </c>
      <c r="AN6" s="9">
        <v>4</v>
      </c>
      <c r="AO6" s="3"/>
      <c r="AP6" s="3"/>
    </row>
    <row r="7" spans="1:42" ht="15.5" x14ac:dyDescent="0.35">
      <c r="A7" s="20">
        <v>3</v>
      </c>
      <c r="B7" s="20">
        <v>754</v>
      </c>
      <c r="C7" s="22" t="s">
        <v>663</v>
      </c>
      <c r="D7" s="23" t="s">
        <v>664</v>
      </c>
      <c r="E7" s="19" t="s">
        <v>728</v>
      </c>
      <c r="F7" s="156"/>
      <c r="G7" s="8"/>
      <c r="H7" s="8"/>
      <c r="I7" s="183"/>
      <c r="J7" s="8" t="s">
        <v>818</v>
      </c>
      <c r="K7" s="113" t="s">
        <v>817</v>
      </c>
      <c r="L7" s="8" t="s">
        <v>818</v>
      </c>
      <c r="M7" s="8" t="s">
        <v>818</v>
      </c>
      <c r="N7" s="8" t="s">
        <v>818</v>
      </c>
      <c r="O7" s="8" t="s">
        <v>818</v>
      </c>
      <c r="P7" s="183"/>
      <c r="Q7" s="8" t="s">
        <v>818</v>
      </c>
      <c r="R7" s="113" t="s">
        <v>818</v>
      </c>
      <c r="S7" s="8" t="s">
        <v>818</v>
      </c>
      <c r="T7" s="8" t="s">
        <v>818</v>
      </c>
      <c r="U7" s="8" t="s">
        <v>818</v>
      </c>
      <c r="V7" s="8" t="s">
        <v>818</v>
      </c>
      <c r="W7" s="183"/>
      <c r="X7" s="8" t="s">
        <v>818</v>
      </c>
      <c r="Y7" s="113" t="s">
        <v>817</v>
      </c>
      <c r="Z7" s="8" t="s">
        <v>818</v>
      </c>
      <c r="AA7" s="8" t="s">
        <v>818</v>
      </c>
      <c r="AB7" s="8" t="s">
        <v>818</v>
      </c>
      <c r="AC7" s="8" t="s">
        <v>818</v>
      </c>
      <c r="AD7" s="183"/>
      <c r="AE7" s="8" t="s">
        <v>817</v>
      </c>
      <c r="AF7" s="113" t="s">
        <v>818</v>
      </c>
      <c r="AG7" s="8"/>
      <c r="AH7" s="8"/>
      <c r="AI7" s="8"/>
      <c r="AJ7" s="8"/>
      <c r="AK7" s="5">
        <f t="shared" si="0"/>
        <v>17</v>
      </c>
      <c r="AL7" s="5">
        <f t="shared" si="1"/>
        <v>3</v>
      </c>
      <c r="AM7" s="5" t="s">
        <v>122</v>
      </c>
      <c r="AN7" s="9">
        <v>1</v>
      </c>
      <c r="AO7" s="3"/>
      <c r="AP7" s="3"/>
    </row>
    <row r="8" spans="1:42" ht="15.5" x14ac:dyDescent="0.35">
      <c r="A8" s="20">
        <v>4</v>
      </c>
      <c r="B8" s="20">
        <v>747</v>
      </c>
      <c r="C8" s="22" t="s">
        <v>665</v>
      </c>
      <c r="D8" s="23" t="s">
        <v>648</v>
      </c>
      <c r="E8" s="19" t="s">
        <v>728</v>
      </c>
      <c r="F8" s="156"/>
      <c r="G8" s="8"/>
      <c r="H8" s="8"/>
      <c r="I8" s="183"/>
      <c r="J8" s="8" t="s">
        <v>818</v>
      </c>
      <c r="K8" s="113" t="s">
        <v>818</v>
      </c>
      <c r="L8" s="8" t="s">
        <v>818</v>
      </c>
      <c r="M8" s="8" t="s">
        <v>818</v>
      </c>
      <c r="N8" s="8" t="s">
        <v>818</v>
      </c>
      <c r="O8" s="8" t="s">
        <v>818</v>
      </c>
      <c r="P8" s="183"/>
      <c r="Q8" s="8" t="s">
        <v>818</v>
      </c>
      <c r="R8" s="113" t="s">
        <v>818</v>
      </c>
      <c r="S8" s="8" t="s">
        <v>818</v>
      </c>
      <c r="T8" s="8" t="s">
        <v>818</v>
      </c>
      <c r="U8" s="8" t="s">
        <v>818</v>
      </c>
      <c r="V8" s="8" t="s">
        <v>818</v>
      </c>
      <c r="W8" s="183"/>
      <c r="X8" s="8" t="s">
        <v>818</v>
      </c>
      <c r="Y8" s="113" t="s">
        <v>818</v>
      </c>
      <c r="Z8" s="8" t="s">
        <v>818</v>
      </c>
      <c r="AA8" s="8" t="s">
        <v>818</v>
      </c>
      <c r="AB8" s="8" t="s">
        <v>818</v>
      </c>
      <c r="AC8" s="8" t="s">
        <v>818</v>
      </c>
      <c r="AD8" s="183"/>
      <c r="AE8" s="8" t="s">
        <v>818</v>
      </c>
      <c r="AF8" s="113" t="s">
        <v>818</v>
      </c>
      <c r="AG8" s="8"/>
      <c r="AH8" s="8"/>
      <c r="AI8" s="8"/>
      <c r="AJ8" s="8"/>
      <c r="AK8" s="5">
        <f t="shared" si="0"/>
        <v>20</v>
      </c>
      <c r="AL8" s="5">
        <f t="shared" si="1"/>
        <v>0</v>
      </c>
      <c r="AM8" s="5"/>
      <c r="AN8" s="9"/>
      <c r="AO8"/>
      <c r="AP8"/>
    </row>
    <row r="9" spans="1:42" ht="15.5" x14ac:dyDescent="0.35">
      <c r="A9" s="20">
        <v>5</v>
      </c>
      <c r="B9" s="20">
        <v>765</v>
      </c>
      <c r="C9" s="22" t="s">
        <v>204</v>
      </c>
      <c r="D9" s="23" t="s">
        <v>406</v>
      </c>
      <c r="E9" s="19" t="s">
        <v>728</v>
      </c>
      <c r="F9" s="156"/>
      <c r="G9" s="8"/>
      <c r="H9" s="8"/>
      <c r="I9" s="183"/>
      <c r="J9" s="8" t="s">
        <v>818</v>
      </c>
      <c r="K9" s="113" t="s">
        <v>818</v>
      </c>
      <c r="L9" s="8" t="s">
        <v>818</v>
      </c>
      <c r="M9" s="8" t="s">
        <v>818</v>
      </c>
      <c r="N9" s="8" t="s">
        <v>818</v>
      </c>
      <c r="O9" s="8" t="s">
        <v>818</v>
      </c>
      <c r="P9" s="183"/>
      <c r="Q9" s="8" t="s">
        <v>818</v>
      </c>
      <c r="R9" s="113" t="s">
        <v>818</v>
      </c>
      <c r="S9" s="8" t="s">
        <v>818</v>
      </c>
      <c r="T9" s="8" t="s">
        <v>818</v>
      </c>
      <c r="U9" s="8" t="s">
        <v>818</v>
      </c>
      <c r="V9" s="8" t="s">
        <v>818</v>
      </c>
      <c r="W9" s="183"/>
      <c r="X9" s="8" t="s">
        <v>818</v>
      </c>
      <c r="Y9" s="113" t="s">
        <v>818</v>
      </c>
      <c r="Z9" s="8" t="s">
        <v>818</v>
      </c>
      <c r="AA9" s="8" t="s">
        <v>817</v>
      </c>
      <c r="AB9" s="8" t="s">
        <v>818</v>
      </c>
      <c r="AC9" s="8" t="s">
        <v>817</v>
      </c>
      <c r="AD9" s="183"/>
      <c r="AE9" s="8" t="s">
        <v>817</v>
      </c>
      <c r="AF9" s="113" t="s">
        <v>818</v>
      </c>
      <c r="AG9" s="8"/>
      <c r="AH9" s="8"/>
      <c r="AI9" s="8"/>
      <c r="AJ9" s="8"/>
      <c r="AK9" s="5">
        <f t="shared" si="0"/>
        <v>17</v>
      </c>
      <c r="AL9" s="5">
        <f t="shared" si="1"/>
        <v>3</v>
      </c>
      <c r="AM9" s="5"/>
      <c r="AN9" s="9"/>
    </row>
    <row r="10" spans="1:42" ht="15.5" x14ac:dyDescent="0.35">
      <c r="A10" s="20">
        <v>6</v>
      </c>
      <c r="B10" s="20">
        <v>877</v>
      </c>
      <c r="C10" s="22" t="s">
        <v>666</v>
      </c>
      <c r="D10" s="23" t="s">
        <v>667</v>
      </c>
      <c r="E10" s="19" t="s">
        <v>728</v>
      </c>
      <c r="F10" s="156"/>
      <c r="G10" s="8"/>
      <c r="H10" s="8"/>
      <c r="I10" s="183"/>
      <c r="J10" s="8" t="s">
        <v>817</v>
      </c>
      <c r="K10" s="113" t="s">
        <v>818</v>
      </c>
      <c r="L10" s="8" t="s">
        <v>818</v>
      </c>
      <c r="M10" s="8" t="s">
        <v>818</v>
      </c>
      <c r="N10" s="8" t="s">
        <v>818</v>
      </c>
      <c r="O10" s="8" t="s">
        <v>818</v>
      </c>
      <c r="P10" s="183"/>
      <c r="Q10" s="8" t="s">
        <v>817</v>
      </c>
      <c r="R10" s="113" t="s">
        <v>818</v>
      </c>
      <c r="S10" s="8" t="s">
        <v>818</v>
      </c>
      <c r="T10" s="8" t="s">
        <v>817</v>
      </c>
      <c r="U10" s="8" t="s">
        <v>818</v>
      </c>
      <c r="V10" s="8" t="s">
        <v>817</v>
      </c>
      <c r="W10" s="183"/>
      <c r="X10" s="8" t="s">
        <v>818</v>
      </c>
      <c r="Y10" s="113" t="s">
        <v>818</v>
      </c>
      <c r="Z10" s="8" t="s">
        <v>818</v>
      </c>
      <c r="AA10" s="8" t="s">
        <v>818</v>
      </c>
      <c r="AB10" s="8" t="s">
        <v>818</v>
      </c>
      <c r="AC10" s="8" t="s">
        <v>818</v>
      </c>
      <c r="AD10" s="183"/>
      <c r="AE10" s="8" t="s">
        <v>818</v>
      </c>
      <c r="AF10" s="113" t="s">
        <v>818</v>
      </c>
      <c r="AG10" s="8"/>
      <c r="AH10" s="8"/>
      <c r="AI10" s="8"/>
      <c r="AJ10" s="8"/>
      <c r="AK10" s="5">
        <f t="shared" si="0"/>
        <v>16</v>
      </c>
      <c r="AL10" s="5">
        <f t="shared" si="1"/>
        <v>4</v>
      </c>
    </row>
    <row r="11" spans="1:42" ht="15.5" x14ac:dyDescent="0.35">
      <c r="A11" s="20">
        <v>7</v>
      </c>
      <c r="B11" s="20">
        <v>878</v>
      </c>
      <c r="C11" s="22" t="s">
        <v>668</v>
      </c>
      <c r="D11" s="23" t="s">
        <v>669</v>
      </c>
      <c r="E11" s="19" t="s">
        <v>728</v>
      </c>
      <c r="F11" s="156"/>
      <c r="G11" s="8"/>
      <c r="H11" s="8"/>
      <c r="I11" s="183"/>
      <c r="J11" s="8" t="s">
        <v>817</v>
      </c>
      <c r="K11" s="113" t="s">
        <v>817</v>
      </c>
      <c r="L11" s="8" t="s">
        <v>817</v>
      </c>
      <c r="M11" s="8" t="s">
        <v>817</v>
      </c>
      <c r="N11" s="8" t="s">
        <v>818</v>
      </c>
      <c r="O11" s="8" t="s">
        <v>817</v>
      </c>
      <c r="P11" s="183"/>
      <c r="Q11" s="8" t="s">
        <v>817</v>
      </c>
      <c r="R11" s="113" t="s">
        <v>817</v>
      </c>
      <c r="S11" s="8" t="s">
        <v>817</v>
      </c>
      <c r="T11" s="8" t="s">
        <v>817</v>
      </c>
      <c r="U11" s="8" t="s">
        <v>817</v>
      </c>
      <c r="V11" s="8" t="s">
        <v>817</v>
      </c>
      <c r="W11" s="183"/>
      <c r="X11" s="8" t="s">
        <v>817</v>
      </c>
      <c r="Y11" s="113" t="s">
        <v>817</v>
      </c>
      <c r="Z11" s="8" t="s">
        <v>817</v>
      </c>
      <c r="AA11" s="8" t="s">
        <v>817</v>
      </c>
      <c r="AB11" s="8" t="s">
        <v>817</v>
      </c>
      <c r="AC11" s="8" t="s">
        <v>817</v>
      </c>
      <c r="AD11" s="183"/>
      <c r="AE11" s="8" t="s">
        <v>817</v>
      </c>
      <c r="AF11" s="113" t="s">
        <v>817</v>
      </c>
      <c r="AG11" s="8"/>
      <c r="AH11" s="8"/>
      <c r="AI11" s="8"/>
      <c r="AJ11" s="8"/>
      <c r="AK11" s="5">
        <f t="shared" si="0"/>
        <v>1</v>
      </c>
      <c r="AL11" s="5">
        <f t="shared" si="1"/>
        <v>19</v>
      </c>
      <c r="AM11" s="158" t="s">
        <v>9</v>
      </c>
      <c r="AN11" s="159"/>
      <c r="AO11" s="159"/>
      <c r="AP11" s="160"/>
    </row>
    <row r="12" spans="1:42" ht="15.5" x14ac:dyDescent="0.35">
      <c r="A12" s="20">
        <v>8</v>
      </c>
      <c r="B12" s="20">
        <v>851</v>
      </c>
      <c r="C12" s="22" t="s">
        <v>670</v>
      </c>
      <c r="D12" s="23" t="s">
        <v>64</v>
      </c>
      <c r="E12" s="19" t="s">
        <v>728</v>
      </c>
      <c r="F12" s="156"/>
      <c r="G12" s="8"/>
      <c r="H12" s="8"/>
      <c r="I12" s="183"/>
      <c r="J12" s="8" t="s">
        <v>817</v>
      </c>
      <c r="K12" s="113" t="s">
        <v>817</v>
      </c>
      <c r="L12" s="8" t="s">
        <v>817</v>
      </c>
      <c r="M12" s="8" t="s">
        <v>817</v>
      </c>
      <c r="N12" s="8" t="s">
        <v>817</v>
      </c>
      <c r="O12" s="8" t="s">
        <v>817</v>
      </c>
      <c r="P12" s="183"/>
      <c r="Q12" s="8" t="s">
        <v>817</v>
      </c>
      <c r="R12" s="113" t="s">
        <v>817</v>
      </c>
      <c r="S12" s="8" t="s">
        <v>817</v>
      </c>
      <c r="T12" s="8" t="s">
        <v>817</v>
      </c>
      <c r="U12" s="8" t="s">
        <v>817</v>
      </c>
      <c r="V12" s="8" t="s">
        <v>817</v>
      </c>
      <c r="W12" s="183"/>
      <c r="X12" s="8" t="s">
        <v>818</v>
      </c>
      <c r="Y12" s="113" t="s">
        <v>818</v>
      </c>
      <c r="Z12" s="8" t="s">
        <v>818</v>
      </c>
      <c r="AA12" s="8" t="s">
        <v>817</v>
      </c>
      <c r="AB12" s="8" t="s">
        <v>817</v>
      </c>
      <c r="AC12" s="8" t="s">
        <v>817</v>
      </c>
      <c r="AD12" s="183"/>
      <c r="AE12" s="8" t="s">
        <v>817</v>
      </c>
      <c r="AF12" s="113" t="s">
        <v>817</v>
      </c>
      <c r="AG12" s="8"/>
      <c r="AH12" s="8"/>
      <c r="AI12" s="8"/>
      <c r="AJ12" s="8"/>
      <c r="AK12" s="5">
        <f t="shared" si="0"/>
        <v>3</v>
      </c>
      <c r="AL12" s="5">
        <f t="shared" si="1"/>
        <v>17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5.5" x14ac:dyDescent="0.35">
      <c r="A13" s="20">
        <v>9</v>
      </c>
      <c r="B13" s="20">
        <v>882</v>
      </c>
      <c r="C13" s="27" t="s">
        <v>671</v>
      </c>
      <c r="D13" s="28" t="s">
        <v>644</v>
      </c>
      <c r="E13" s="19" t="s">
        <v>728</v>
      </c>
      <c r="F13" s="156"/>
      <c r="G13" s="8"/>
      <c r="H13" s="8"/>
      <c r="I13" s="183"/>
      <c r="J13" s="8" t="s">
        <v>818</v>
      </c>
      <c r="K13" s="113" t="s">
        <v>818</v>
      </c>
      <c r="L13" s="8" t="s">
        <v>818</v>
      </c>
      <c r="M13" s="8" t="s">
        <v>818</v>
      </c>
      <c r="N13" s="8" t="s">
        <v>818</v>
      </c>
      <c r="O13" s="8" t="s">
        <v>818</v>
      </c>
      <c r="P13" s="183"/>
      <c r="Q13" s="8" t="s">
        <v>818</v>
      </c>
      <c r="R13" s="113" t="s">
        <v>818</v>
      </c>
      <c r="S13" s="8" t="s">
        <v>818</v>
      </c>
      <c r="T13" s="8" t="s">
        <v>818</v>
      </c>
      <c r="U13" s="8" t="s">
        <v>817</v>
      </c>
      <c r="V13" s="8" t="s">
        <v>817</v>
      </c>
      <c r="W13" s="183"/>
      <c r="X13" s="8" t="s">
        <v>818</v>
      </c>
      <c r="Y13" s="113" t="s">
        <v>818</v>
      </c>
      <c r="Z13" s="8" t="s">
        <v>818</v>
      </c>
      <c r="AA13" s="8" t="s">
        <v>818</v>
      </c>
      <c r="AB13" s="8" t="s">
        <v>817</v>
      </c>
      <c r="AC13" s="8" t="s">
        <v>818</v>
      </c>
      <c r="AD13" s="183"/>
      <c r="AE13" s="8" t="s">
        <v>818</v>
      </c>
      <c r="AF13" s="113" t="s">
        <v>818</v>
      </c>
      <c r="AG13" s="8"/>
      <c r="AH13" s="8"/>
      <c r="AI13" s="8"/>
      <c r="AJ13" s="8"/>
      <c r="AK13" s="5">
        <f t="shared" si="0"/>
        <v>17</v>
      </c>
      <c r="AL13" s="5">
        <f t="shared" si="1"/>
        <v>3</v>
      </c>
      <c r="AM13" s="5" t="s">
        <v>14</v>
      </c>
      <c r="AN13" s="9">
        <f>16*$AN$5</f>
        <v>400</v>
      </c>
      <c r="AO13" s="9">
        <f>19*$AN$5</f>
        <v>475</v>
      </c>
      <c r="AP13" s="9">
        <f>SUM(AN13:AO13)</f>
        <v>875</v>
      </c>
    </row>
    <row r="14" spans="1:42" ht="15.5" x14ac:dyDescent="0.35">
      <c r="A14" s="20">
        <v>10</v>
      </c>
      <c r="B14" s="20">
        <v>896</v>
      </c>
      <c r="C14" s="24" t="s">
        <v>672</v>
      </c>
      <c r="D14" s="29" t="s">
        <v>673</v>
      </c>
      <c r="E14" s="19" t="s">
        <v>728</v>
      </c>
      <c r="F14" s="156"/>
      <c r="G14" s="8"/>
      <c r="H14" s="8"/>
      <c r="I14" s="183"/>
      <c r="J14" s="8" t="s">
        <v>818</v>
      </c>
      <c r="K14" s="113" t="s">
        <v>817</v>
      </c>
      <c r="L14" s="8" t="s">
        <v>818</v>
      </c>
      <c r="M14" s="8" t="s">
        <v>817</v>
      </c>
      <c r="N14" s="8" t="s">
        <v>818</v>
      </c>
      <c r="O14" s="8" t="s">
        <v>818</v>
      </c>
      <c r="P14" s="183"/>
      <c r="Q14" s="8" t="s">
        <v>818</v>
      </c>
      <c r="R14" s="113" t="s">
        <v>818</v>
      </c>
      <c r="S14" s="8" t="s">
        <v>818</v>
      </c>
      <c r="T14" s="8" t="s">
        <v>818</v>
      </c>
      <c r="U14" s="8" t="s">
        <v>818</v>
      </c>
      <c r="V14" s="8" t="s">
        <v>818</v>
      </c>
      <c r="W14" s="183"/>
      <c r="X14" s="8" t="s">
        <v>818</v>
      </c>
      <c r="Y14" s="113" t="s">
        <v>818</v>
      </c>
      <c r="Z14" s="8" t="s">
        <v>818</v>
      </c>
      <c r="AA14" s="8" t="s">
        <v>818</v>
      </c>
      <c r="AB14" s="8" t="s">
        <v>818</v>
      </c>
      <c r="AC14" s="8" t="s">
        <v>818</v>
      </c>
      <c r="AD14" s="183"/>
      <c r="AE14" s="8" t="s">
        <v>818</v>
      </c>
      <c r="AF14" s="113" t="s">
        <v>818</v>
      </c>
      <c r="AG14" s="8"/>
      <c r="AH14" s="8"/>
      <c r="AI14" s="8"/>
      <c r="AJ14" s="8"/>
      <c r="AK14" s="5">
        <f t="shared" si="0"/>
        <v>18</v>
      </c>
      <c r="AL14" s="5">
        <f t="shared" si="1"/>
        <v>2</v>
      </c>
      <c r="AM14" s="5" t="s">
        <v>15</v>
      </c>
      <c r="AN14" s="9">
        <f>SUM(AK5:AK20)</f>
        <v>207</v>
      </c>
      <c r="AO14" s="9">
        <f>SUM(AK21:AK36)</f>
        <v>212</v>
      </c>
      <c r="AP14" s="9">
        <f>AN14+AO14</f>
        <v>419</v>
      </c>
    </row>
    <row r="15" spans="1:42" ht="15.5" x14ac:dyDescent="0.35">
      <c r="A15" s="20">
        <v>11</v>
      </c>
      <c r="B15" s="20">
        <v>891</v>
      </c>
      <c r="C15" s="22" t="s">
        <v>674</v>
      </c>
      <c r="D15" s="23" t="s">
        <v>675</v>
      </c>
      <c r="E15" s="19" t="s">
        <v>728</v>
      </c>
      <c r="F15" s="156"/>
      <c r="G15" s="8"/>
      <c r="H15" s="8"/>
      <c r="I15" s="183"/>
      <c r="J15" s="8" t="s">
        <v>817</v>
      </c>
      <c r="K15" s="113" t="s">
        <v>818</v>
      </c>
      <c r="L15" s="8" t="s">
        <v>817</v>
      </c>
      <c r="M15" s="8" t="s">
        <v>817</v>
      </c>
      <c r="N15" s="8" t="s">
        <v>817</v>
      </c>
      <c r="O15" s="8" t="s">
        <v>817</v>
      </c>
      <c r="P15" s="183"/>
      <c r="Q15" s="8" t="s">
        <v>817</v>
      </c>
      <c r="R15" s="113" t="s">
        <v>817</v>
      </c>
      <c r="S15" s="8" t="s">
        <v>818</v>
      </c>
      <c r="T15" s="8" t="s">
        <v>817</v>
      </c>
      <c r="U15" s="8" t="s">
        <v>818</v>
      </c>
      <c r="V15" s="8" t="s">
        <v>818</v>
      </c>
      <c r="W15" s="183"/>
      <c r="X15" s="8" t="s">
        <v>818</v>
      </c>
      <c r="Y15" s="113" t="s">
        <v>818</v>
      </c>
      <c r="Z15" s="8" t="s">
        <v>818</v>
      </c>
      <c r="AA15" s="8" t="s">
        <v>818</v>
      </c>
      <c r="AB15" s="8" t="s">
        <v>818</v>
      </c>
      <c r="AC15" s="8" t="s">
        <v>818</v>
      </c>
      <c r="AD15" s="183"/>
      <c r="AE15" s="8" t="s">
        <v>818</v>
      </c>
      <c r="AF15" s="113" t="s">
        <v>818</v>
      </c>
      <c r="AG15" s="8"/>
      <c r="AH15" s="8"/>
      <c r="AI15" s="8"/>
      <c r="AJ15" s="8"/>
      <c r="AK15" s="5">
        <f t="shared" si="0"/>
        <v>12</v>
      </c>
      <c r="AL15" s="5">
        <f t="shared" si="1"/>
        <v>8</v>
      </c>
      <c r="AM15" s="5" t="s">
        <v>16</v>
      </c>
      <c r="AN15" s="12">
        <f>AN14/AN13</f>
        <v>0.51749999999999996</v>
      </c>
      <c r="AO15" s="12">
        <f>AO14/AO13</f>
        <v>0.44631578947368422</v>
      </c>
      <c r="AP15" s="12">
        <f>AP14/AP13</f>
        <v>0.47885714285714287</v>
      </c>
    </row>
    <row r="16" spans="1:42" ht="15.5" x14ac:dyDescent="0.35">
      <c r="A16" s="20">
        <v>12</v>
      </c>
      <c r="B16" s="20">
        <v>847</v>
      </c>
      <c r="C16" s="22" t="s">
        <v>676</v>
      </c>
      <c r="D16" s="23" t="s">
        <v>677</v>
      </c>
      <c r="E16" s="19" t="s">
        <v>728</v>
      </c>
      <c r="F16" s="156"/>
      <c r="G16" s="8"/>
      <c r="H16" s="8"/>
      <c r="I16" s="183"/>
      <c r="J16" s="8" t="s">
        <v>817</v>
      </c>
      <c r="K16" s="113" t="s">
        <v>817</v>
      </c>
      <c r="L16" s="8" t="s">
        <v>818</v>
      </c>
      <c r="M16" s="8" t="s">
        <v>818</v>
      </c>
      <c r="N16" s="8" t="s">
        <v>818</v>
      </c>
      <c r="O16" s="8" t="s">
        <v>817</v>
      </c>
      <c r="P16" s="183"/>
      <c r="Q16" s="8" t="s">
        <v>818</v>
      </c>
      <c r="R16" s="113" t="s">
        <v>818</v>
      </c>
      <c r="S16" s="8" t="s">
        <v>818</v>
      </c>
      <c r="T16" s="8" t="s">
        <v>817</v>
      </c>
      <c r="U16" s="8" t="s">
        <v>818</v>
      </c>
      <c r="V16" s="8" t="s">
        <v>818</v>
      </c>
      <c r="W16" s="183"/>
      <c r="X16" s="8" t="s">
        <v>818</v>
      </c>
      <c r="Y16" s="113" t="s">
        <v>818</v>
      </c>
      <c r="Z16" s="8" t="s">
        <v>818</v>
      </c>
      <c r="AA16" s="8" t="s">
        <v>818</v>
      </c>
      <c r="AB16" s="8" t="s">
        <v>818</v>
      </c>
      <c r="AC16" s="8" t="s">
        <v>818</v>
      </c>
      <c r="AD16" s="183"/>
      <c r="AE16" s="8" t="s">
        <v>818</v>
      </c>
      <c r="AF16" s="113" t="s">
        <v>818</v>
      </c>
      <c r="AG16" s="8"/>
      <c r="AH16" s="8"/>
      <c r="AI16" s="8"/>
      <c r="AJ16" s="8"/>
      <c r="AK16" s="5">
        <f t="shared" si="0"/>
        <v>16</v>
      </c>
      <c r="AL16" s="5">
        <f t="shared" si="1"/>
        <v>4</v>
      </c>
      <c r="AM16"/>
      <c r="AN16"/>
      <c r="AO16"/>
      <c r="AP16"/>
    </row>
    <row r="17" spans="1:42" ht="15.5" x14ac:dyDescent="0.35">
      <c r="A17" s="20">
        <v>13</v>
      </c>
      <c r="B17" s="20">
        <v>881</v>
      </c>
      <c r="C17" s="22" t="s">
        <v>678</v>
      </c>
      <c r="D17" s="23" t="s">
        <v>679</v>
      </c>
      <c r="E17" s="19" t="s">
        <v>728</v>
      </c>
      <c r="F17" s="156"/>
      <c r="G17" s="8"/>
      <c r="H17" s="8"/>
      <c r="I17" s="183"/>
      <c r="J17" s="8" t="s">
        <v>817</v>
      </c>
      <c r="K17" s="113" t="s">
        <v>817</v>
      </c>
      <c r="L17" s="8" t="s">
        <v>818</v>
      </c>
      <c r="M17" s="8" t="s">
        <v>818</v>
      </c>
      <c r="N17" s="8" t="s">
        <v>818</v>
      </c>
      <c r="O17" s="8" t="s">
        <v>818</v>
      </c>
      <c r="P17" s="183"/>
      <c r="Q17" s="8" t="s">
        <v>818</v>
      </c>
      <c r="R17" s="113" t="s">
        <v>818</v>
      </c>
      <c r="S17" s="8" t="s">
        <v>818</v>
      </c>
      <c r="T17" s="8" t="s">
        <v>817</v>
      </c>
      <c r="U17" s="8" t="s">
        <v>818</v>
      </c>
      <c r="V17" s="8" t="s">
        <v>818</v>
      </c>
      <c r="W17" s="183"/>
      <c r="X17" s="8" t="s">
        <v>818</v>
      </c>
      <c r="Y17" s="113" t="s">
        <v>818</v>
      </c>
      <c r="Z17" s="8" t="s">
        <v>818</v>
      </c>
      <c r="AA17" s="8" t="s">
        <v>818</v>
      </c>
      <c r="AB17" s="8" t="s">
        <v>818</v>
      </c>
      <c r="AC17" s="8" t="s">
        <v>817</v>
      </c>
      <c r="AD17" s="183"/>
      <c r="AE17" s="8" t="s">
        <v>818</v>
      </c>
      <c r="AF17" s="113" t="s">
        <v>818</v>
      </c>
      <c r="AG17" s="8"/>
      <c r="AH17" s="8"/>
      <c r="AI17" s="8"/>
      <c r="AJ17" s="8"/>
      <c r="AK17" s="5">
        <f t="shared" si="0"/>
        <v>16</v>
      </c>
      <c r="AL17" s="5">
        <f t="shared" si="1"/>
        <v>4</v>
      </c>
      <c r="AM17"/>
      <c r="AN17"/>
      <c r="AO17"/>
      <c r="AP17"/>
    </row>
    <row r="18" spans="1:42" ht="15.5" x14ac:dyDescent="0.35">
      <c r="A18" s="20">
        <v>14</v>
      </c>
      <c r="B18" s="20">
        <v>859</v>
      </c>
      <c r="C18" s="22" t="s">
        <v>410</v>
      </c>
      <c r="D18" s="23" t="s">
        <v>655</v>
      </c>
      <c r="E18" s="19" t="s">
        <v>728</v>
      </c>
      <c r="F18" s="156"/>
      <c r="G18" s="8"/>
      <c r="H18" s="8"/>
      <c r="I18" s="183"/>
      <c r="J18" s="8" t="s">
        <v>818</v>
      </c>
      <c r="K18" s="113" t="s">
        <v>818</v>
      </c>
      <c r="L18" s="8" t="s">
        <v>818</v>
      </c>
      <c r="M18" s="8" t="s">
        <v>818</v>
      </c>
      <c r="N18" s="8" t="s">
        <v>818</v>
      </c>
      <c r="O18" s="8" t="s">
        <v>818</v>
      </c>
      <c r="P18" s="183"/>
      <c r="Q18" s="8" t="s">
        <v>818</v>
      </c>
      <c r="R18" s="113" t="s">
        <v>817</v>
      </c>
      <c r="S18" s="8" t="s">
        <v>818</v>
      </c>
      <c r="T18" s="8" t="s">
        <v>817</v>
      </c>
      <c r="U18" s="8" t="s">
        <v>818</v>
      </c>
      <c r="V18" s="8" t="s">
        <v>818</v>
      </c>
      <c r="W18" s="183"/>
      <c r="X18" s="8" t="s">
        <v>818</v>
      </c>
      <c r="Y18" s="113" t="s">
        <v>818</v>
      </c>
      <c r="Z18" s="8" t="s">
        <v>818</v>
      </c>
      <c r="AA18" s="8" t="s">
        <v>818</v>
      </c>
      <c r="AB18" s="8" t="s">
        <v>818</v>
      </c>
      <c r="AC18" s="8" t="s">
        <v>817</v>
      </c>
      <c r="AD18" s="183"/>
      <c r="AE18" s="8" t="s">
        <v>818</v>
      </c>
      <c r="AF18" s="113" t="s">
        <v>818</v>
      </c>
      <c r="AG18" s="8"/>
      <c r="AH18" s="8"/>
      <c r="AI18" s="8"/>
      <c r="AJ18" s="8"/>
      <c r="AK18" s="5">
        <f t="shared" si="0"/>
        <v>17</v>
      </c>
      <c r="AL18" s="5">
        <f t="shared" si="1"/>
        <v>3</v>
      </c>
      <c r="AM18"/>
      <c r="AN18"/>
      <c r="AO18"/>
      <c r="AP18"/>
    </row>
    <row r="19" spans="1:42" ht="15.5" x14ac:dyDescent="0.35">
      <c r="A19" s="20">
        <v>15</v>
      </c>
      <c r="B19" s="20">
        <v>849</v>
      </c>
      <c r="C19" s="22" t="s">
        <v>813</v>
      </c>
      <c r="D19" s="23"/>
      <c r="E19" s="19" t="s">
        <v>728</v>
      </c>
      <c r="F19" s="156"/>
      <c r="G19" s="8"/>
      <c r="H19" s="8"/>
      <c r="I19" s="183"/>
      <c r="J19" s="8" t="s">
        <v>817</v>
      </c>
      <c r="K19" s="113" t="s">
        <v>818</v>
      </c>
      <c r="L19" s="8" t="s">
        <v>817</v>
      </c>
      <c r="M19" s="8" t="s">
        <v>817</v>
      </c>
      <c r="N19" s="8" t="s">
        <v>817</v>
      </c>
      <c r="O19" s="8" t="s">
        <v>817</v>
      </c>
      <c r="P19" s="183"/>
      <c r="Q19" s="8" t="s">
        <v>817</v>
      </c>
      <c r="R19" s="113" t="s">
        <v>817</v>
      </c>
      <c r="S19" s="8" t="s">
        <v>818</v>
      </c>
      <c r="T19" s="8" t="s">
        <v>817</v>
      </c>
      <c r="U19" s="8" t="s">
        <v>817</v>
      </c>
      <c r="V19" s="8" t="s">
        <v>817</v>
      </c>
      <c r="W19" s="183"/>
      <c r="X19" s="8" t="s">
        <v>817</v>
      </c>
      <c r="Y19" s="113" t="s">
        <v>817</v>
      </c>
      <c r="Z19" s="8" t="s">
        <v>817</v>
      </c>
      <c r="AA19" s="8" t="s">
        <v>817</v>
      </c>
      <c r="AB19" s="8" t="s">
        <v>817</v>
      </c>
      <c r="AC19" s="8" t="s">
        <v>817</v>
      </c>
      <c r="AD19" s="183"/>
      <c r="AE19" s="8" t="s">
        <v>817</v>
      </c>
      <c r="AF19" s="113" t="s">
        <v>817</v>
      </c>
      <c r="AG19" s="8"/>
      <c r="AH19" s="8"/>
      <c r="AI19" s="8"/>
      <c r="AJ19" s="8"/>
      <c r="AK19" s="5">
        <f t="shared" si="0"/>
        <v>2</v>
      </c>
      <c r="AL19" s="5">
        <f t="shared" si="1"/>
        <v>18</v>
      </c>
      <c r="AM19" s="158" t="s">
        <v>121</v>
      </c>
      <c r="AN19" s="159"/>
      <c r="AO19" s="159"/>
      <c r="AP19" s="160"/>
    </row>
    <row r="20" spans="1:42" ht="15.5" x14ac:dyDescent="0.35">
      <c r="A20" s="20">
        <v>1</v>
      </c>
      <c r="B20" s="20">
        <v>752</v>
      </c>
      <c r="C20" s="22" t="s">
        <v>680</v>
      </c>
      <c r="D20" s="23" t="s">
        <v>681</v>
      </c>
      <c r="E20" s="19" t="s">
        <v>728</v>
      </c>
      <c r="F20" s="156"/>
      <c r="G20" s="8"/>
      <c r="H20" s="8"/>
      <c r="I20" s="183"/>
      <c r="J20" s="8" t="s">
        <v>817</v>
      </c>
      <c r="K20" s="113" t="s">
        <v>817</v>
      </c>
      <c r="L20" s="8" t="s">
        <v>817</v>
      </c>
      <c r="M20" s="8" t="s">
        <v>818</v>
      </c>
      <c r="N20" s="8" t="s">
        <v>818</v>
      </c>
      <c r="O20" s="8" t="s">
        <v>817</v>
      </c>
      <c r="P20" s="183"/>
      <c r="Q20" s="8" t="s">
        <v>817</v>
      </c>
      <c r="R20" s="113" t="s">
        <v>818</v>
      </c>
      <c r="S20" s="8" t="s">
        <v>818</v>
      </c>
      <c r="T20" s="8" t="s">
        <v>817</v>
      </c>
      <c r="U20" s="8" t="s">
        <v>818</v>
      </c>
      <c r="V20" s="8" t="s">
        <v>818</v>
      </c>
      <c r="W20" s="183"/>
      <c r="X20" s="8" t="s">
        <v>818</v>
      </c>
      <c r="Y20" s="113" t="s">
        <v>818</v>
      </c>
      <c r="Z20" s="8" t="s">
        <v>817</v>
      </c>
      <c r="AA20" s="8" t="s">
        <v>818</v>
      </c>
      <c r="AB20" s="8" t="s">
        <v>817</v>
      </c>
      <c r="AC20" s="8" t="s">
        <v>817</v>
      </c>
      <c r="AD20" s="183"/>
      <c r="AE20" s="8" t="s">
        <v>818</v>
      </c>
      <c r="AF20" s="113" t="s">
        <v>817</v>
      </c>
      <c r="AG20" s="8"/>
      <c r="AH20" s="8"/>
      <c r="AI20" s="8"/>
      <c r="AJ20" s="8"/>
      <c r="AK20" s="5">
        <f t="shared" si="0"/>
        <v>10</v>
      </c>
      <c r="AL20" s="5">
        <f t="shared" si="1"/>
        <v>10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5.5" x14ac:dyDescent="0.35">
      <c r="A21" s="20">
        <v>2</v>
      </c>
      <c r="B21" s="20">
        <v>751</v>
      </c>
      <c r="C21" s="22" t="s">
        <v>682</v>
      </c>
      <c r="D21" s="23" t="s">
        <v>114</v>
      </c>
      <c r="E21" s="19" t="s">
        <v>728</v>
      </c>
      <c r="F21" s="156"/>
      <c r="G21" s="8"/>
      <c r="H21" s="8"/>
      <c r="I21" s="183"/>
      <c r="J21" s="8" t="s">
        <v>817</v>
      </c>
      <c r="K21" s="113" t="s">
        <v>817</v>
      </c>
      <c r="L21" s="8" t="s">
        <v>817</v>
      </c>
      <c r="M21" s="8" t="s">
        <v>818</v>
      </c>
      <c r="N21" s="8" t="s">
        <v>818</v>
      </c>
      <c r="O21" s="8" t="s">
        <v>817</v>
      </c>
      <c r="P21" s="183"/>
      <c r="Q21" s="8" t="s">
        <v>818</v>
      </c>
      <c r="R21" s="113" t="s">
        <v>818</v>
      </c>
      <c r="S21" s="8" t="s">
        <v>818</v>
      </c>
      <c r="T21" s="8" t="s">
        <v>817</v>
      </c>
      <c r="U21" s="8" t="s">
        <v>818</v>
      </c>
      <c r="V21" s="8" t="s">
        <v>818</v>
      </c>
      <c r="W21" s="183"/>
      <c r="X21" s="8" t="s">
        <v>818</v>
      </c>
      <c r="Y21" s="113" t="s">
        <v>818</v>
      </c>
      <c r="Z21" s="8" t="s">
        <v>817</v>
      </c>
      <c r="AA21" s="8" t="s">
        <v>817</v>
      </c>
      <c r="AB21" s="8" t="s">
        <v>817</v>
      </c>
      <c r="AC21" s="8" t="s">
        <v>817</v>
      </c>
      <c r="AD21" s="183"/>
      <c r="AE21" s="8" t="s">
        <v>818</v>
      </c>
      <c r="AF21" s="113" t="s">
        <v>818</v>
      </c>
      <c r="AG21" s="8"/>
      <c r="AH21" s="8"/>
      <c r="AI21" s="8"/>
      <c r="AJ21" s="8"/>
      <c r="AK21" s="5">
        <f t="shared" si="0"/>
        <v>11</v>
      </c>
      <c r="AL21" s="5">
        <f t="shared" si="1"/>
        <v>9</v>
      </c>
      <c r="AM21" s="5" t="s">
        <v>14</v>
      </c>
      <c r="AN21" s="9">
        <f>16*$AN$5</f>
        <v>400</v>
      </c>
      <c r="AO21" s="9">
        <f>19*$AN$5</f>
        <v>475</v>
      </c>
      <c r="AP21" s="9">
        <f>AN21+AO21</f>
        <v>875</v>
      </c>
    </row>
    <row r="22" spans="1:42" ht="15.5" x14ac:dyDescent="0.35">
      <c r="A22" s="20">
        <v>3</v>
      </c>
      <c r="B22" s="20">
        <v>763</v>
      </c>
      <c r="C22" s="22" t="s">
        <v>683</v>
      </c>
      <c r="D22" s="23" t="s">
        <v>684</v>
      </c>
      <c r="E22" s="19" t="s">
        <v>728</v>
      </c>
      <c r="F22" s="156"/>
      <c r="G22" s="8"/>
      <c r="H22" s="8"/>
      <c r="I22" s="183"/>
      <c r="J22" s="8" t="s">
        <v>817</v>
      </c>
      <c r="K22" s="113" t="s">
        <v>817</v>
      </c>
      <c r="L22" s="8" t="s">
        <v>817</v>
      </c>
      <c r="M22" s="8" t="s">
        <v>817</v>
      </c>
      <c r="N22" s="8" t="s">
        <v>817</v>
      </c>
      <c r="O22" s="8" t="s">
        <v>817</v>
      </c>
      <c r="P22" s="183"/>
      <c r="Q22" s="8" t="s">
        <v>817</v>
      </c>
      <c r="R22" s="113" t="s">
        <v>817</v>
      </c>
      <c r="S22" s="8" t="s">
        <v>817</v>
      </c>
      <c r="T22" s="8" t="s">
        <v>817</v>
      </c>
      <c r="U22" s="8" t="s">
        <v>817</v>
      </c>
      <c r="V22" s="8" t="s">
        <v>817</v>
      </c>
      <c r="W22" s="183"/>
      <c r="X22" s="8" t="s">
        <v>817</v>
      </c>
      <c r="Y22" s="113" t="s">
        <v>817</v>
      </c>
      <c r="Z22" s="8" t="s">
        <v>817</v>
      </c>
      <c r="AA22" s="8" t="s">
        <v>817</v>
      </c>
      <c r="AB22" s="8" t="s">
        <v>817</v>
      </c>
      <c r="AC22" s="8" t="s">
        <v>817</v>
      </c>
      <c r="AD22" s="183"/>
      <c r="AE22" s="8" t="s">
        <v>817</v>
      </c>
      <c r="AF22" s="113" t="s">
        <v>817</v>
      </c>
      <c r="AG22" s="8"/>
      <c r="AH22" s="8"/>
      <c r="AI22" s="8"/>
      <c r="AJ22" s="8"/>
      <c r="AK22" s="5">
        <f t="shared" si="0"/>
        <v>0</v>
      </c>
      <c r="AL22" s="5">
        <f t="shared" si="1"/>
        <v>20</v>
      </c>
      <c r="AM22" s="5" t="s">
        <v>17</v>
      </c>
      <c r="AN22" s="9">
        <f>AN21-AN14</f>
        <v>193</v>
      </c>
      <c r="AO22" s="9">
        <f>AO21-AO14</f>
        <v>263</v>
      </c>
      <c r="AP22" s="9">
        <f>AN22+AO22</f>
        <v>456</v>
      </c>
    </row>
    <row r="23" spans="1:42" ht="15.5" x14ac:dyDescent="0.35">
      <c r="A23" s="20">
        <v>4</v>
      </c>
      <c r="B23" s="20">
        <v>749</v>
      </c>
      <c r="C23" s="22" t="s">
        <v>685</v>
      </c>
      <c r="D23" s="23" t="s">
        <v>371</v>
      </c>
      <c r="E23" s="19" t="s">
        <v>728</v>
      </c>
      <c r="F23" s="156"/>
      <c r="G23" s="8"/>
      <c r="H23" s="8"/>
      <c r="I23" s="183"/>
      <c r="J23" s="8" t="s">
        <v>817</v>
      </c>
      <c r="K23" s="113" t="s">
        <v>817</v>
      </c>
      <c r="L23" s="8" t="s">
        <v>817</v>
      </c>
      <c r="M23" s="8" t="s">
        <v>817</v>
      </c>
      <c r="N23" s="8" t="s">
        <v>817</v>
      </c>
      <c r="O23" s="8" t="s">
        <v>817</v>
      </c>
      <c r="P23" s="183"/>
      <c r="Q23" s="8" t="s">
        <v>817</v>
      </c>
      <c r="R23" s="113" t="s">
        <v>817</v>
      </c>
      <c r="S23" s="8" t="s">
        <v>817</v>
      </c>
      <c r="T23" s="8" t="s">
        <v>817</v>
      </c>
      <c r="U23" s="8" t="s">
        <v>817</v>
      </c>
      <c r="V23" s="8" t="s">
        <v>817</v>
      </c>
      <c r="W23" s="183"/>
      <c r="X23" s="8" t="s">
        <v>818</v>
      </c>
      <c r="Y23" s="113" t="s">
        <v>818</v>
      </c>
      <c r="Z23" s="8" t="s">
        <v>818</v>
      </c>
      <c r="AA23" s="8" t="s">
        <v>818</v>
      </c>
      <c r="AB23" s="8" t="s">
        <v>818</v>
      </c>
      <c r="AC23" s="8" t="s">
        <v>818</v>
      </c>
      <c r="AD23" s="183"/>
      <c r="AE23" s="8" t="s">
        <v>818</v>
      </c>
      <c r="AF23" s="113" t="s">
        <v>818</v>
      </c>
      <c r="AG23" s="8"/>
      <c r="AH23" s="8"/>
      <c r="AI23" s="8"/>
      <c r="AJ23" s="8"/>
      <c r="AK23" s="5">
        <f t="shared" si="0"/>
        <v>8</v>
      </c>
      <c r="AL23" s="5">
        <f t="shared" si="1"/>
        <v>12</v>
      </c>
      <c r="AM23" s="5" t="s">
        <v>16</v>
      </c>
      <c r="AN23" s="12">
        <f>AN22/AN21</f>
        <v>0.48249999999999998</v>
      </c>
      <c r="AO23" s="12">
        <f>AO22/AO21</f>
        <v>0.55368421052631578</v>
      </c>
      <c r="AP23" s="12">
        <f>AP22/AP21</f>
        <v>0.52114285714285713</v>
      </c>
    </row>
    <row r="24" spans="1:42" ht="15.5" x14ac:dyDescent="0.35">
      <c r="A24" s="20">
        <v>5</v>
      </c>
      <c r="B24" s="20">
        <v>756</v>
      </c>
      <c r="C24" s="22" t="s">
        <v>249</v>
      </c>
      <c r="D24" s="23" t="s">
        <v>686</v>
      </c>
      <c r="E24" s="19" t="s">
        <v>728</v>
      </c>
      <c r="F24" s="156"/>
      <c r="G24" s="8"/>
      <c r="H24" s="8"/>
      <c r="I24" s="183"/>
      <c r="J24" s="8" t="s">
        <v>817</v>
      </c>
      <c r="K24" s="113" t="s">
        <v>817</v>
      </c>
      <c r="L24" s="8" t="s">
        <v>817</v>
      </c>
      <c r="M24" s="8" t="s">
        <v>817</v>
      </c>
      <c r="N24" s="8" t="s">
        <v>817</v>
      </c>
      <c r="O24" s="8" t="s">
        <v>817</v>
      </c>
      <c r="P24" s="183"/>
      <c r="Q24" s="8" t="s">
        <v>817</v>
      </c>
      <c r="R24" s="113" t="s">
        <v>818</v>
      </c>
      <c r="S24" s="8" t="s">
        <v>818</v>
      </c>
      <c r="T24" s="8" t="s">
        <v>818</v>
      </c>
      <c r="U24" s="8" t="s">
        <v>818</v>
      </c>
      <c r="V24" s="8" t="s">
        <v>818</v>
      </c>
      <c r="W24" s="183"/>
      <c r="X24" s="8" t="s">
        <v>818</v>
      </c>
      <c r="Y24" s="113" t="s">
        <v>818</v>
      </c>
      <c r="Z24" s="8" t="s">
        <v>818</v>
      </c>
      <c r="AA24" s="8" t="s">
        <v>818</v>
      </c>
      <c r="AB24" s="8" t="s">
        <v>818</v>
      </c>
      <c r="AC24" s="8" t="s">
        <v>818</v>
      </c>
      <c r="AD24" s="183"/>
      <c r="AE24" s="8" t="s">
        <v>818</v>
      </c>
      <c r="AF24" s="113" t="s">
        <v>818</v>
      </c>
      <c r="AG24" s="8"/>
      <c r="AH24" s="8"/>
      <c r="AI24" s="8"/>
      <c r="AJ24" s="8"/>
      <c r="AK24" s="5">
        <f t="shared" si="0"/>
        <v>13</v>
      </c>
      <c r="AL24" s="5">
        <f t="shared" si="1"/>
        <v>7</v>
      </c>
    </row>
    <row r="25" spans="1:42" ht="15.5" x14ac:dyDescent="0.35">
      <c r="A25" s="20">
        <v>6</v>
      </c>
      <c r="B25" s="20">
        <v>876</v>
      </c>
      <c r="C25" s="22" t="s">
        <v>687</v>
      </c>
      <c r="D25" s="23" t="s">
        <v>667</v>
      </c>
      <c r="E25" s="19" t="s">
        <v>728</v>
      </c>
      <c r="F25" s="156"/>
      <c r="G25" s="8"/>
      <c r="H25" s="8"/>
      <c r="I25" s="183"/>
      <c r="J25" s="8" t="s">
        <v>817</v>
      </c>
      <c r="K25" s="113" t="s">
        <v>818</v>
      </c>
      <c r="L25" s="8" t="s">
        <v>818</v>
      </c>
      <c r="M25" s="8" t="s">
        <v>818</v>
      </c>
      <c r="N25" s="8" t="s">
        <v>817</v>
      </c>
      <c r="O25" s="8" t="s">
        <v>817</v>
      </c>
      <c r="P25" s="183"/>
      <c r="Q25" s="8" t="s">
        <v>817</v>
      </c>
      <c r="R25" s="113" t="s">
        <v>818</v>
      </c>
      <c r="S25" s="8" t="s">
        <v>818</v>
      </c>
      <c r="T25" s="8" t="s">
        <v>818</v>
      </c>
      <c r="U25" s="8" t="s">
        <v>818</v>
      </c>
      <c r="V25" s="8" t="s">
        <v>818</v>
      </c>
      <c r="W25" s="183"/>
      <c r="X25" s="8" t="s">
        <v>818</v>
      </c>
      <c r="Y25" s="113" t="s">
        <v>818</v>
      </c>
      <c r="Z25" s="8" t="s">
        <v>818</v>
      </c>
      <c r="AA25" s="8" t="s">
        <v>818</v>
      </c>
      <c r="AB25" s="8" t="s">
        <v>818</v>
      </c>
      <c r="AC25" s="8" t="s">
        <v>818</v>
      </c>
      <c r="AD25" s="183"/>
      <c r="AE25" s="8" t="s">
        <v>817</v>
      </c>
      <c r="AF25" s="113" t="s">
        <v>817</v>
      </c>
      <c r="AG25" s="8"/>
      <c r="AH25" s="8"/>
      <c r="AI25" s="8"/>
      <c r="AJ25" s="8"/>
      <c r="AK25" s="5">
        <f t="shared" si="0"/>
        <v>14</v>
      </c>
      <c r="AL25" s="5">
        <f t="shared" si="1"/>
        <v>6</v>
      </c>
    </row>
    <row r="26" spans="1:42" ht="15.5" x14ac:dyDescent="0.35">
      <c r="A26" s="20">
        <v>7</v>
      </c>
      <c r="B26" s="20">
        <v>900</v>
      </c>
      <c r="C26" s="22" t="s">
        <v>688</v>
      </c>
      <c r="D26" s="23" t="s">
        <v>240</v>
      </c>
      <c r="E26" s="19" t="s">
        <v>728</v>
      </c>
      <c r="F26" s="156"/>
      <c r="G26" s="8"/>
      <c r="H26" s="8"/>
      <c r="I26" s="183"/>
      <c r="J26" s="8" t="s">
        <v>818</v>
      </c>
      <c r="K26" s="113" t="s">
        <v>818</v>
      </c>
      <c r="L26" s="8" t="s">
        <v>818</v>
      </c>
      <c r="M26" s="8" t="s">
        <v>818</v>
      </c>
      <c r="N26" s="8" t="s">
        <v>818</v>
      </c>
      <c r="O26" s="8" t="s">
        <v>818</v>
      </c>
      <c r="P26" s="183"/>
      <c r="Q26" s="8" t="s">
        <v>818</v>
      </c>
      <c r="R26" s="113" t="s">
        <v>818</v>
      </c>
      <c r="S26" s="8" t="s">
        <v>818</v>
      </c>
      <c r="T26" s="8" t="s">
        <v>818</v>
      </c>
      <c r="U26" s="8" t="s">
        <v>818</v>
      </c>
      <c r="V26" s="8" t="s">
        <v>818</v>
      </c>
      <c r="W26" s="183"/>
      <c r="X26" s="8" t="s">
        <v>818</v>
      </c>
      <c r="Y26" s="113" t="s">
        <v>818</v>
      </c>
      <c r="Z26" s="8" t="s">
        <v>818</v>
      </c>
      <c r="AA26" s="8" t="s">
        <v>818</v>
      </c>
      <c r="AB26" s="8" t="s">
        <v>818</v>
      </c>
      <c r="AC26" s="8" t="s">
        <v>818</v>
      </c>
      <c r="AD26" s="183"/>
      <c r="AE26" s="8" t="s">
        <v>818</v>
      </c>
      <c r="AF26" s="113" t="s">
        <v>818</v>
      </c>
      <c r="AG26" s="8"/>
      <c r="AH26" s="8"/>
      <c r="AI26" s="8"/>
      <c r="AJ26" s="8"/>
      <c r="AK26" s="5">
        <f t="shared" si="0"/>
        <v>20</v>
      </c>
      <c r="AL26" s="5">
        <f t="shared" si="1"/>
        <v>0</v>
      </c>
    </row>
    <row r="27" spans="1:42" ht="15.5" x14ac:dyDescent="0.35">
      <c r="A27" s="20">
        <v>8</v>
      </c>
      <c r="B27" s="20">
        <v>888</v>
      </c>
      <c r="C27" s="22" t="s">
        <v>689</v>
      </c>
      <c r="D27" s="23" t="s">
        <v>396</v>
      </c>
      <c r="E27" s="19" t="s">
        <v>728</v>
      </c>
      <c r="F27" s="156"/>
      <c r="G27" s="8"/>
      <c r="H27" s="8"/>
      <c r="I27" s="183"/>
      <c r="J27" s="8" t="s">
        <v>817</v>
      </c>
      <c r="K27" s="113" t="s">
        <v>817</v>
      </c>
      <c r="L27" s="8" t="s">
        <v>817</v>
      </c>
      <c r="M27" s="8" t="s">
        <v>817</v>
      </c>
      <c r="N27" s="8" t="s">
        <v>817</v>
      </c>
      <c r="O27" s="8" t="s">
        <v>817</v>
      </c>
      <c r="P27" s="183"/>
      <c r="Q27" s="8" t="s">
        <v>817</v>
      </c>
      <c r="R27" s="113" t="s">
        <v>817</v>
      </c>
      <c r="S27" s="8" t="s">
        <v>817</v>
      </c>
      <c r="T27" s="8" t="s">
        <v>817</v>
      </c>
      <c r="U27" s="8" t="s">
        <v>817</v>
      </c>
      <c r="V27" s="8" t="s">
        <v>817</v>
      </c>
      <c r="W27" s="183"/>
      <c r="X27" s="8" t="s">
        <v>817</v>
      </c>
      <c r="Y27" s="113" t="s">
        <v>817</v>
      </c>
      <c r="Z27" s="8" t="s">
        <v>817</v>
      </c>
      <c r="AA27" s="8" t="s">
        <v>817</v>
      </c>
      <c r="AB27" s="8" t="s">
        <v>817</v>
      </c>
      <c r="AC27" s="8" t="s">
        <v>817</v>
      </c>
      <c r="AD27" s="183"/>
      <c r="AE27" s="8" t="s">
        <v>817</v>
      </c>
      <c r="AF27" s="113" t="s">
        <v>817</v>
      </c>
      <c r="AG27" s="8"/>
      <c r="AH27" s="8"/>
      <c r="AI27" s="8"/>
      <c r="AJ27" s="8"/>
      <c r="AK27" s="5">
        <f t="shared" si="0"/>
        <v>0</v>
      </c>
      <c r="AL27" s="5">
        <f t="shared" si="1"/>
        <v>20</v>
      </c>
    </row>
    <row r="28" spans="1:42" ht="15.5" x14ac:dyDescent="0.35">
      <c r="A28" s="20">
        <v>9</v>
      </c>
      <c r="B28" s="20">
        <v>901</v>
      </c>
      <c r="C28" s="22" t="s">
        <v>690</v>
      </c>
      <c r="D28" s="23" t="s">
        <v>396</v>
      </c>
      <c r="E28" s="19" t="s">
        <v>728</v>
      </c>
      <c r="F28" s="156"/>
      <c r="G28" s="8"/>
      <c r="H28" s="8"/>
      <c r="I28" s="183"/>
      <c r="J28" s="8" t="s">
        <v>817</v>
      </c>
      <c r="K28" s="113" t="s">
        <v>817</v>
      </c>
      <c r="L28" s="8" t="s">
        <v>817</v>
      </c>
      <c r="M28" s="8" t="s">
        <v>817</v>
      </c>
      <c r="N28" s="8" t="s">
        <v>817</v>
      </c>
      <c r="O28" s="8" t="s">
        <v>817</v>
      </c>
      <c r="P28" s="183"/>
      <c r="Q28" s="8" t="s">
        <v>818</v>
      </c>
      <c r="R28" s="113" t="s">
        <v>818</v>
      </c>
      <c r="S28" s="8" t="s">
        <v>818</v>
      </c>
      <c r="T28" s="8" t="s">
        <v>818</v>
      </c>
      <c r="U28" s="8" t="s">
        <v>818</v>
      </c>
      <c r="V28" s="8" t="s">
        <v>818</v>
      </c>
      <c r="W28" s="183"/>
      <c r="X28" s="8" t="s">
        <v>818</v>
      </c>
      <c r="Y28" s="113" t="s">
        <v>818</v>
      </c>
      <c r="Z28" s="8" t="s">
        <v>818</v>
      </c>
      <c r="AA28" s="8" t="s">
        <v>818</v>
      </c>
      <c r="AB28" s="8" t="s">
        <v>818</v>
      </c>
      <c r="AC28" s="8" t="s">
        <v>818</v>
      </c>
      <c r="AD28" s="183"/>
      <c r="AE28" s="8" t="s">
        <v>818</v>
      </c>
      <c r="AF28" s="113" t="s">
        <v>818</v>
      </c>
      <c r="AG28" s="8"/>
      <c r="AH28" s="8"/>
      <c r="AI28" s="8"/>
      <c r="AJ28" s="8"/>
      <c r="AK28" s="5">
        <f t="shared" si="0"/>
        <v>14</v>
      </c>
      <c r="AL28" s="5">
        <f t="shared" si="1"/>
        <v>6</v>
      </c>
    </row>
    <row r="29" spans="1:42" ht="15.5" x14ac:dyDescent="0.35">
      <c r="A29" s="20">
        <v>10</v>
      </c>
      <c r="B29" s="20">
        <v>887</v>
      </c>
      <c r="C29" s="22" t="s">
        <v>691</v>
      </c>
      <c r="D29" s="23" t="s">
        <v>692</v>
      </c>
      <c r="E29" s="19" t="s">
        <v>728</v>
      </c>
      <c r="F29" s="156"/>
      <c r="G29" s="8"/>
      <c r="H29" s="8"/>
      <c r="I29" s="183"/>
      <c r="J29" s="8" t="s">
        <v>817</v>
      </c>
      <c r="K29" s="113" t="s">
        <v>817</v>
      </c>
      <c r="L29" s="8" t="s">
        <v>817</v>
      </c>
      <c r="M29" s="8" t="s">
        <v>818</v>
      </c>
      <c r="N29" s="8" t="s">
        <v>818</v>
      </c>
      <c r="O29" s="8" t="s">
        <v>818</v>
      </c>
      <c r="P29" s="183"/>
      <c r="Q29" s="8" t="s">
        <v>817</v>
      </c>
      <c r="R29" s="113" t="s">
        <v>817</v>
      </c>
      <c r="S29" s="8" t="s">
        <v>818</v>
      </c>
      <c r="T29" s="8" t="s">
        <v>818</v>
      </c>
      <c r="U29" s="8" t="s">
        <v>818</v>
      </c>
      <c r="V29" s="8" t="s">
        <v>818</v>
      </c>
      <c r="W29" s="183"/>
      <c r="X29" s="8" t="s">
        <v>818</v>
      </c>
      <c r="Y29" s="113" t="s">
        <v>818</v>
      </c>
      <c r="Z29" s="8" t="s">
        <v>818</v>
      </c>
      <c r="AA29" s="8" t="s">
        <v>818</v>
      </c>
      <c r="AB29" s="8" t="s">
        <v>818</v>
      </c>
      <c r="AC29" s="8" t="s">
        <v>818</v>
      </c>
      <c r="AD29" s="183"/>
      <c r="AE29" s="8" t="s">
        <v>818</v>
      </c>
      <c r="AF29" s="113" t="s">
        <v>818</v>
      </c>
      <c r="AG29" s="8"/>
      <c r="AH29" s="8"/>
      <c r="AI29" s="8"/>
      <c r="AJ29" s="8"/>
      <c r="AK29" s="5">
        <f t="shared" si="0"/>
        <v>15</v>
      </c>
      <c r="AL29" s="5">
        <f t="shared" si="1"/>
        <v>5</v>
      </c>
    </row>
    <row r="30" spans="1:42" ht="15.5" x14ac:dyDescent="0.35">
      <c r="A30" s="20">
        <v>11</v>
      </c>
      <c r="B30" s="100">
        <v>884</v>
      </c>
      <c r="C30" s="25" t="s">
        <v>814</v>
      </c>
      <c r="D30" s="26" t="s">
        <v>333</v>
      </c>
      <c r="E30" s="19" t="s">
        <v>728</v>
      </c>
      <c r="F30" s="156"/>
      <c r="G30" s="8"/>
      <c r="H30" s="8"/>
      <c r="I30" s="183"/>
      <c r="J30" s="8" t="s">
        <v>818</v>
      </c>
      <c r="K30" s="113" t="s">
        <v>818</v>
      </c>
      <c r="L30" s="8" t="s">
        <v>818</v>
      </c>
      <c r="M30" s="8" t="s">
        <v>818</v>
      </c>
      <c r="N30" s="8" t="s">
        <v>818</v>
      </c>
      <c r="O30" s="8" t="s">
        <v>818</v>
      </c>
      <c r="P30" s="183"/>
      <c r="Q30" s="8" t="s">
        <v>818</v>
      </c>
      <c r="R30" s="113" t="s">
        <v>818</v>
      </c>
      <c r="S30" s="8" t="s">
        <v>818</v>
      </c>
      <c r="T30" s="8" t="s">
        <v>818</v>
      </c>
      <c r="U30" s="8" t="s">
        <v>818</v>
      </c>
      <c r="V30" s="8" t="s">
        <v>818</v>
      </c>
      <c r="W30" s="183"/>
      <c r="X30" s="8" t="s">
        <v>818</v>
      </c>
      <c r="Y30" s="113" t="s">
        <v>818</v>
      </c>
      <c r="Z30" s="8" t="s">
        <v>818</v>
      </c>
      <c r="AA30" s="8" t="s">
        <v>818</v>
      </c>
      <c r="AB30" s="8" t="s">
        <v>818</v>
      </c>
      <c r="AC30" s="8" t="s">
        <v>818</v>
      </c>
      <c r="AD30" s="183"/>
      <c r="AE30" s="8" t="s">
        <v>818</v>
      </c>
      <c r="AF30" s="113" t="s">
        <v>818</v>
      </c>
      <c r="AG30" s="8"/>
      <c r="AH30" s="8"/>
      <c r="AI30" s="8"/>
      <c r="AJ30" s="8"/>
      <c r="AK30" s="5">
        <f t="shared" si="0"/>
        <v>20</v>
      </c>
      <c r="AL30" s="5">
        <f t="shared" si="1"/>
        <v>0</v>
      </c>
    </row>
    <row r="31" spans="1:42" ht="15.5" x14ac:dyDescent="0.35">
      <c r="A31" s="20">
        <v>12</v>
      </c>
      <c r="B31" s="20">
        <v>898</v>
      </c>
      <c r="C31" s="27" t="s">
        <v>693</v>
      </c>
      <c r="D31" s="27" t="s">
        <v>673</v>
      </c>
      <c r="E31" s="19" t="s">
        <v>728</v>
      </c>
      <c r="F31" s="156"/>
      <c r="G31" s="8"/>
      <c r="H31" s="8"/>
      <c r="I31" s="183"/>
      <c r="J31" s="8" t="s">
        <v>818</v>
      </c>
      <c r="K31" s="113" t="s">
        <v>818</v>
      </c>
      <c r="L31" s="8" t="s">
        <v>818</v>
      </c>
      <c r="M31" s="8" t="s">
        <v>818</v>
      </c>
      <c r="N31" s="8" t="s">
        <v>818</v>
      </c>
      <c r="O31" s="8" t="s">
        <v>817</v>
      </c>
      <c r="P31" s="183"/>
      <c r="Q31" s="8" t="s">
        <v>818</v>
      </c>
      <c r="R31" s="113" t="s">
        <v>818</v>
      </c>
      <c r="S31" s="8" t="s">
        <v>818</v>
      </c>
      <c r="T31" s="8" t="s">
        <v>817</v>
      </c>
      <c r="U31" s="8" t="s">
        <v>818</v>
      </c>
      <c r="V31" s="8" t="s">
        <v>818</v>
      </c>
      <c r="W31" s="183"/>
      <c r="X31" s="8" t="s">
        <v>818</v>
      </c>
      <c r="Y31" s="113" t="s">
        <v>818</v>
      </c>
      <c r="Z31" s="8" t="s">
        <v>818</v>
      </c>
      <c r="AA31" s="8" t="s">
        <v>818</v>
      </c>
      <c r="AB31" s="8" t="s">
        <v>818</v>
      </c>
      <c r="AC31" s="8" t="s">
        <v>818</v>
      </c>
      <c r="AD31" s="183"/>
      <c r="AE31" s="8" t="s">
        <v>818</v>
      </c>
      <c r="AF31" s="113" t="s">
        <v>818</v>
      </c>
      <c r="AG31" s="8"/>
      <c r="AH31" s="8"/>
      <c r="AI31" s="8"/>
      <c r="AJ31" s="8"/>
      <c r="AK31" s="5">
        <f t="shared" si="0"/>
        <v>18</v>
      </c>
      <c r="AL31" s="5">
        <f t="shared" si="1"/>
        <v>2</v>
      </c>
    </row>
    <row r="32" spans="1:42" ht="15.5" x14ac:dyDescent="0.3">
      <c r="A32" s="20">
        <v>13</v>
      </c>
      <c r="B32" s="20">
        <v>899</v>
      </c>
      <c r="C32" s="14" t="s">
        <v>388</v>
      </c>
      <c r="D32" s="14" t="s">
        <v>139</v>
      </c>
      <c r="E32" s="19" t="s">
        <v>728</v>
      </c>
      <c r="F32" s="156"/>
      <c r="G32" s="8"/>
      <c r="H32" s="8"/>
      <c r="I32" s="183"/>
      <c r="J32" s="8" t="s">
        <v>817</v>
      </c>
      <c r="K32" s="113" t="s">
        <v>817</v>
      </c>
      <c r="L32" s="8" t="s">
        <v>818</v>
      </c>
      <c r="M32" s="8" t="s">
        <v>818</v>
      </c>
      <c r="N32" s="8" t="s">
        <v>818</v>
      </c>
      <c r="O32" s="8" t="s">
        <v>818</v>
      </c>
      <c r="P32" s="183"/>
      <c r="Q32" s="8" t="s">
        <v>818</v>
      </c>
      <c r="R32" s="113" t="s">
        <v>819</v>
      </c>
      <c r="S32" s="8" t="s">
        <v>818</v>
      </c>
      <c r="T32" s="8" t="s">
        <v>818</v>
      </c>
      <c r="U32" s="8" t="s">
        <v>818</v>
      </c>
      <c r="V32" s="8" t="s">
        <v>818</v>
      </c>
      <c r="W32" s="183"/>
      <c r="X32" s="8" t="s">
        <v>818</v>
      </c>
      <c r="Y32" s="113" t="s">
        <v>818</v>
      </c>
      <c r="Z32" s="8" t="s">
        <v>818</v>
      </c>
      <c r="AA32" s="8" t="s">
        <v>818</v>
      </c>
      <c r="AB32" s="8" t="s">
        <v>818</v>
      </c>
      <c r="AC32" s="8" t="s">
        <v>818</v>
      </c>
      <c r="AD32" s="183"/>
      <c r="AE32" s="8" t="s">
        <v>818</v>
      </c>
      <c r="AF32" s="113" t="s">
        <v>818</v>
      </c>
      <c r="AG32" s="8"/>
      <c r="AH32" s="8"/>
      <c r="AI32" s="8"/>
      <c r="AJ32" s="8"/>
      <c r="AK32" s="5">
        <f t="shared" si="0"/>
        <v>17</v>
      </c>
      <c r="AL32" s="5">
        <f t="shared" si="1"/>
        <v>2</v>
      </c>
    </row>
    <row r="33" spans="1:38" ht="15.5" x14ac:dyDescent="0.3">
      <c r="A33" s="20">
        <v>14</v>
      </c>
      <c r="B33" s="20">
        <v>888</v>
      </c>
      <c r="C33" s="14" t="s">
        <v>254</v>
      </c>
      <c r="D33" s="14"/>
      <c r="E33" s="19" t="s">
        <v>728</v>
      </c>
      <c r="F33" s="156"/>
      <c r="G33" s="8"/>
      <c r="H33" s="8"/>
      <c r="I33" s="183"/>
      <c r="J33" s="8" t="s">
        <v>817</v>
      </c>
      <c r="K33" s="113" t="s">
        <v>817</v>
      </c>
      <c r="L33" s="8" t="s">
        <v>817</v>
      </c>
      <c r="M33" s="8" t="s">
        <v>817</v>
      </c>
      <c r="N33" s="8" t="s">
        <v>817</v>
      </c>
      <c r="O33" s="8" t="s">
        <v>817</v>
      </c>
      <c r="P33" s="183"/>
      <c r="Q33" s="8" t="s">
        <v>818</v>
      </c>
      <c r="R33" s="113" t="s">
        <v>818</v>
      </c>
      <c r="S33" s="8" t="s">
        <v>818</v>
      </c>
      <c r="T33" s="8" t="s">
        <v>818</v>
      </c>
      <c r="U33" s="8" t="s">
        <v>818</v>
      </c>
      <c r="V33" s="8" t="s">
        <v>818</v>
      </c>
      <c r="W33" s="183"/>
      <c r="X33" s="8" t="s">
        <v>818</v>
      </c>
      <c r="Y33" s="113" t="s">
        <v>818</v>
      </c>
      <c r="Z33" s="8" t="s">
        <v>818</v>
      </c>
      <c r="AA33" s="8" t="s">
        <v>818</v>
      </c>
      <c r="AB33" s="8" t="s">
        <v>818</v>
      </c>
      <c r="AC33" s="8" t="s">
        <v>817</v>
      </c>
      <c r="AD33" s="183"/>
      <c r="AE33" s="8" t="s">
        <v>817</v>
      </c>
      <c r="AF33" s="113" t="s">
        <v>818</v>
      </c>
      <c r="AG33" s="8"/>
      <c r="AH33" s="8"/>
      <c r="AI33" s="8"/>
      <c r="AJ33" s="8"/>
      <c r="AK33" s="5">
        <f t="shared" si="0"/>
        <v>12</v>
      </c>
      <c r="AL33" s="5">
        <f t="shared" si="1"/>
        <v>8</v>
      </c>
    </row>
    <row r="34" spans="1:38" ht="15.5" x14ac:dyDescent="0.3">
      <c r="A34" s="20">
        <v>15</v>
      </c>
      <c r="B34" s="20">
        <v>893</v>
      </c>
      <c r="C34" s="14" t="s">
        <v>694</v>
      </c>
      <c r="D34" s="14"/>
      <c r="E34" s="19" t="s">
        <v>728</v>
      </c>
      <c r="F34" s="156"/>
      <c r="G34" s="8"/>
      <c r="H34" s="8"/>
      <c r="I34" s="183"/>
      <c r="J34" s="8" t="s">
        <v>817</v>
      </c>
      <c r="K34" s="113" t="s">
        <v>818</v>
      </c>
      <c r="L34" s="8" t="s">
        <v>818</v>
      </c>
      <c r="M34" s="8" t="s">
        <v>818</v>
      </c>
      <c r="N34" s="8" t="s">
        <v>818</v>
      </c>
      <c r="O34" s="8" t="s">
        <v>817</v>
      </c>
      <c r="P34" s="183"/>
      <c r="Q34" s="8" t="s">
        <v>818</v>
      </c>
      <c r="R34" s="113" t="s">
        <v>818</v>
      </c>
      <c r="S34" s="8" t="s">
        <v>818</v>
      </c>
      <c r="T34" s="8" t="s">
        <v>818</v>
      </c>
      <c r="U34" s="8" t="s">
        <v>818</v>
      </c>
      <c r="V34" s="8" t="s">
        <v>818</v>
      </c>
      <c r="W34" s="183"/>
      <c r="X34" s="8" t="s">
        <v>818</v>
      </c>
      <c r="Y34" s="113" t="s">
        <v>818</v>
      </c>
      <c r="Z34" s="8" t="s">
        <v>818</v>
      </c>
      <c r="AA34" s="8" t="s">
        <v>818</v>
      </c>
      <c r="AB34" s="8" t="s">
        <v>818</v>
      </c>
      <c r="AC34" s="8" t="s">
        <v>818</v>
      </c>
      <c r="AD34" s="183"/>
      <c r="AE34" s="8" t="s">
        <v>818</v>
      </c>
      <c r="AF34" s="113" t="s">
        <v>818</v>
      </c>
      <c r="AG34" s="8"/>
      <c r="AH34" s="8"/>
      <c r="AI34" s="8"/>
      <c r="AJ34" s="8"/>
      <c r="AK34" s="5">
        <f t="shared" si="0"/>
        <v>18</v>
      </c>
      <c r="AL34" s="5">
        <f t="shared" si="1"/>
        <v>2</v>
      </c>
    </row>
    <row r="35" spans="1:38" ht="15.5" x14ac:dyDescent="0.3">
      <c r="A35" s="20">
        <v>16</v>
      </c>
      <c r="B35" s="20">
        <v>890</v>
      </c>
      <c r="C35" s="14" t="s">
        <v>151</v>
      </c>
      <c r="D35" s="14" t="s">
        <v>328</v>
      </c>
      <c r="E35" s="19" t="s">
        <v>728</v>
      </c>
      <c r="F35" s="156"/>
      <c r="G35" s="8"/>
      <c r="H35" s="8"/>
      <c r="I35" s="183"/>
      <c r="J35" s="8" t="s">
        <v>817</v>
      </c>
      <c r="K35" s="113" t="s">
        <v>818</v>
      </c>
      <c r="L35" s="8" t="s">
        <v>818</v>
      </c>
      <c r="M35" s="8" t="s">
        <v>818</v>
      </c>
      <c r="N35" s="8" t="s">
        <v>818</v>
      </c>
      <c r="O35" s="8" t="s">
        <v>818</v>
      </c>
      <c r="P35" s="183"/>
      <c r="Q35" s="8" t="s">
        <v>817</v>
      </c>
      <c r="R35" s="113" t="s">
        <v>818</v>
      </c>
      <c r="S35" s="8" t="s">
        <v>818</v>
      </c>
      <c r="T35" s="8" t="s">
        <v>818</v>
      </c>
      <c r="U35" s="8" t="s">
        <v>818</v>
      </c>
      <c r="V35" s="8" t="s">
        <v>818</v>
      </c>
      <c r="W35" s="183"/>
      <c r="X35" s="8" t="s">
        <v>817</v>
      </c>
      <c r="Y35" s="113" t="s">
        <v>818</v>
      </c>
      <c r="Z35" s="8" t="s">
        <v>818</v>
      </c>
      <c r="AA35" s="8" t="s">
        <v>818</v>
      </c>
      <c r="AB35" s="8" t="s">
        <v>818</v>
      </c>
      <c r="AC35" s="8" t="s">
        <v>818</v>
      </c>
      <c r="AD35" s="183"/>
      <c r="AE35" s="8" t="s">
        <v>818</v>
      </c>
      <c r="AF35" s="113" t="s">
        <v>817</v>
      </c>
      <c r="AG35" s="8"/>
      <c r="AH35" s="8"/>
      <c r="AI35" s="8"/>
      <c r="AJ35" s="8"/>
      <c r="AK35" s="5">
        <f t="shared" si="0"/>
        <v>16</v>
      </c>
      <c r="AL35" s="5">
        <f t="shared" si="1"/>
        <v>4</v>
      </c>
    </row>
    <row r="36" spans="1:38" ht="15.5" x14ac:dyDescent="0.3">
      <c r="A36" s="20">
        <v>17</v>
      </c>
      <c r="B36" s="20">
        <v>889</v>
      </c>
      <c r="C36" s="14" t="s">
        <v>695</v>
      </c>
      <c r="D36" s="14" t="s">
        <v>436</v>
      </c>
      <c r="E36" s="19" t="s">
        <v>728</v>
      </c>
      <c r="F36" s="157"/>
      <c r="G36" s="8"/>
      <c r="H36" s="8"/>
      <c r="I36" s="192"/>
      <c r="J36" s="8" t="s">
        <v>818</v>
      </c>
      <c r="K36" s="113" t="s">
        <v>818</v>
      </c>
      <c r="L36" s="8" t="s">
        <v>818</v>
      </c>
      <c r="M36" s="8" t="s">
        <v>818</v>
      </c>
      <c r="N36" s="113" t="s">
        <v>819</v>
      </c>
      <c r="O36" s="8" t="s">
        <v>819</v>
      </c>
      <c r="P36" s="192"/>
      <c r="Q36" s="8" t="s">
        <v>819</v>
      </c>
      <c r="R36" s="113" t="s">
        <v>818</v>
      </c>
      <c r="S36" s="8" t="s">
        <v>818</v>
      </c>
      <c r="T36" s="8" t="s">
        <v>818</v>
      </c>
      <c r="U36" s="8" t="s">
        <v>818</v>
      </c>
      <c r="V36" s="8" t="s">
        <v>818</v>
      </c>
      <c r="W36" s="192"/>
      <c r="X36" s="8" t="s">
        <v>818</v>
      </c>
      <c r="Y36" s="113" t="s">
        <v>819</v>
      </c>
      <c r="Z36" s="8" t="s">
        <v>818</v>
      </c>
      <c r="AA36" s="8" t="s">
        <v>818</v>
      </c>
      <c r="AB36" s="8" t="s">
        <v>818</v>
      </c>
      <c r="AC36" s="8" t="s">
        <v>818</v>
      </c>
      <c r="AD36" s="192"/>
      <c r="AE36" s="8" t="s">
        <v>818</v>
      </c>
      <c r="AF36" s="113" t="s">
        <v>818</v>
      </c>
      <c r="AG36" s="8"/>
      <c r="AH36" s="8"/>
      <c r="AI36" s="8"/>
      <c r="AJ36" s="8"/>
      <c r="AK36" s="5">
        <f t="shared" si="0"/>
        <v>16</v>
      </c>
      <c r="AL36" s="5">
        <f t="shared" si="1"/>
        <v>0</v>
      </c>
    </row>
  </sheetData>
  <mergeCells count="17">
    <mergeCell ref="A1:AL1"/>
    <mergeCell ref="A2:AL2"/>
    <mergeCell ref="A3:A4"/>
    <mergeCell ref="C3:C4"/>
    <mergeCell ref="D3:D4"/>
    <mergeCell ref="E3:E4"/>
    <mergeCell ref="AK3:AK4"/>
    <mergeCell ref="AL3:AL4"/>
    <mergeCell ref="B3:B4"/>
    <mergeCell ref="F5:F36"/>
    <mergeCell ref="AM3:AN3"/>
    <mergeCell ref="AM11:AP11"/>
    <mergeCell ref="AM19:AP19"/>
    <mergeCell ref="I5:I36"/>
    <mergeCell ref="P5:P36"/>
    <mergeCell ref="W5:W36"/>
    <mergeCell ref="AD5:AD36"/>
  </mergeCells>
  <phoneticPr fontId="11" type="noConversion"/>
  <conditionalFormatting sqref="AK3:AL3 AK5:AL36">
    <cfRule type="expression" dxfId="33" priority="217">
      <formula>#REF!="Sun"</formula>
    </cfRule>
  </conditionalFormatting>
  <conditionalFormatting sqref="AM5:AM9">
    <cfRule type="expression" dxfId="32" priority="174">
      <formula>AM$3="Sun"</formula>
    </cfRule>
  </conditionalFormatting>
  <conditionalFormatting sqref="AM12:AM15">
    <cfRule type="expression" dxfId="31" priority="172">
      <formula>AM$3="Sun"</formula>
    </cfRule>
  </conditionalFormatting>
  <conditionalFormatting sqref="AM20:AM23">
    <cfRule type="expression" dxfId="30" priority="171">
      <formula>AM$3="Sun"</formula>
    </cfRule>
  </conditionalFormatting>
  <conditionalFormatting sqref="AM4:AN4">
    <cfRule type="expression" dxfId="29" priority="175">
      <formula>AM$3="Sun"</formula>
    </cfRule>
  </conditionalFormatting>
  <conditionalFormatting sqref="AN12:AP12 AN20:AP20">
    <cfRule type="expression" dxfId="28" priority="176">
      <formula>AN$3="Sun"</formula>
    </cfRule>
  </conditionalFormatting>
  <conditionalFormatting sqref="AP21">
    <cfRule type="expression" dxfId="27" priority="173">
      <formula>AP$3="Sun"</formula>
    </cfRule>
  </conditionalFormatting>
  <conditionalFormatting sqref="F3:AJ4 F5:O5 J6:O35 Q5:V36 X5:AC36 AE5:AJ36 O36 J36:M36 G6:H36">
    <cfRule type="expression" dxfId="26" priority="19">
      <formula>F$3="SUN"</formula>
    </cfRule>
    <cfRule type="expression" dxfId="25" priority="20">
      <formula>F$4=TODAY()</formula>
    </cfRule>
  </conditionalFormatting>
  <conditionalFormatting sqref="F5:O5 Q5:V36 X5:AC36 AE5:AJ36 J6:O36 G6:H36">
    <cfRule type="cellIs" dxfId="24" priority="16" operator="equal">
      <formula>"L"</formula>
    </cfRule>
    <cfRule type="cellIs" dxfId="23" priority="17" operator="equal">
      <formula>"A"</formula>
    </cfRule>
    <cfRule type="cellIs" dxfId="22" priority="18" operator="equal">
      <formula>"P"</formula>
    </cfRule>
  </conditionalFormatting>
  <conditionalFormatting sqref="P5">
    <cfRule type="expression" dxfId="21" priority="14">
      <formula>P$3="SUN"</formula>
    </cfRule>
    <cfRule type="expression" dxfId="20" priority="15">
      <formula>P$4=TODAY()</formula>
    </cfRule>
  </conditionalFormatting>
  <conditionalFormatting sqref="P5">
    <cfRule type="cellIs" dxfId="19" priority="11" operator="equal">
      <formula>"L"</formula>
    </cfRule>
    <cfRule type="cellIs" dxfId="18" priority="12" operator="equal">
      <formula>"A"</formula>
    </cfRule>
    <cfRule type="cellIs" dxfId="17" priority="13" operator="equal">
      <formula>"P"</formula>
    </cfRule>
  </conditionalFormatting>
  <conditionalFormatting sqref="W5">
    <cfRule type="expression" dxfId="16" priority="9">
      <formula>W$3="SUN"</formula>
    </cfRule>
    <cfRule type="expression" dxfId="15" priority="10">
      <formula>W$4=TODAY()</formula>
    </cfRule>
  </conditionalFormatting>
  <conditionalFormatting sqref="W5">
    <cfRule type="cellIs" dxfId="14" priority="6" operator="equal">
      <formula>"L"</formula>
    </cfRule>
    <cfRule type="cellIs" dxfId="13" priority="7" operator="equal">
      <formula>"A"</formula>
    </cfRule>
    <cfRule type="cellIs" dxfId="12" priority="8" operator="equal">
      <formula>"P"</formula>
    </cfRule>
  </conditionalFormatting>
  <conditionalFormatting sqref="AD5">
    <cfRule type="expression" dxfId="11" priority="4">
      <formula>AD$3="SUN"</formula>
    </cfRule>
    <cfRule type="expression" dxfId="10" priority="5">
      <formula>AD$4=TODAY()</formula>
    </cfRule>
  </conditionalFormatting>
  <conditionalFormatting sqref="AD5">
    <cfRule type="cellIs" dxfId="9" priority="1" operator="equal">
      <formula>"L"</formula>
    </cfRule>
    <cfRule type="cellIs" dxfId="8" priority="2" operator="equal">
      <formula>"A"</formula>
    </cfRule>
    <cfRule type="cellIs" dxfId="7" priority="3" operator="equal">
      <formula>"P"</formula>
    </cfRule>
  </conditionalFormatting>
  <conditionalFormatting sqref="N36">
    <cfRule type="expression" dxfId="6" priority="402">
      <formula>K$3="SUN"</formula>
    </cfRule>
    <cfRule type="expression" dxfId="5" priority="403">
      <formula>K$4=TODAY()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Compile Sheet-November-2024</vt:lpstr>
      <vt:lpstr>ECE ROSE</vt:lpstr>
      <vt:lpstr>ECE (Daffodils)</vt:lpstr>
      <vt:lpstr>Class-1</vt:lpstr>
      <vt:lpstr>Class-2</vt:lpstr>
      <vt:lpstr>Class-3</vt:lpstr>
      <vt:lpstr>Class-4</vt:lpstr>
      <vt:lpstr>Class-5</vt:lpstr>
      <vt:lpstr>Class-6</vt:lpstr>
      <vt:lpstr>Class-7</vt:lpstr>
      <vt:lpstr>class-8</vt:lpstr>
      <vt:lpstr>class-9</vt:lpstr>
      <vt:lpstr>class-10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HAROON TRADERS</cp:lastModifiedBy>
  <cp:lastPrinted>2025-05-13T05:05:56Z</cp:lastPrinted>
  <dcterms:created xsi:type="dcterms:W3CDTF">2015-06-05T18:17:20Z</dcterms:created>
  <dcterms:modified xsi:type="dcterms:W3CDTF">2025-06-18T06:34:22Z</dcterms:modified>
</cp:coreProperties>
</file>