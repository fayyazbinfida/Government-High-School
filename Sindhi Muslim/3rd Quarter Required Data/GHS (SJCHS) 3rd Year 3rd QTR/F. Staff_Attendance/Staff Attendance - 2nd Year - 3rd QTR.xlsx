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591EEDB4-7145-455E-86AB-FAC5F12392B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FEBRUARY-2025" sheetId="11" r:id="rId1"/>
    <sheet name="MARCH-2025" sheetId="12" r:id="rId2"/>
    <sheet name="APRIL-2025" sheetId="13" r:id="rId3"/>
    <sheet name="MAY-2025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" i="14" l="1"/>
  <c r="V25" i="14"/>
  <c r="U25" i="14"/>
  <c r="T25" i="14"/>
  <c r="AM25" i="13"/>
  <c r="AJ25" i="13"/>
  <c r="AI25" i="13"/>
  <c r="AH25" i="13"/>
  <c r="U12" i="11"/>
  <c r="R12" i="11"/>
  <c r="Q12" i="11"/>
  <c r="P12" i="11"/>
  <c r="V12" i="14"/>
  <c r="U12" i="14"/>
  <c r="T12" i="14"/>
  <c r="AJ12" i="13"/>
  <c r="AI12" i="13"/>
  <c r="AH12" i="13"/>
  <c r="AM12" i="13" s="1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V26" i="14"/>
  <c r="U26" i="14"/>
  <c r="T26" i="14"/>
  <c r="V24" i="14"/>
  <c r="U24" i="14"/>
  <c r="T24" i="14"/>
  <c r="V23" i="14"/>
  <c r="U23" i="14"/>
  <c r="T23" i="14"/>
  <c r="V22" i="14"/>
  <c r="U22" i="14"/>
  <c r="T22" i="14"/>
  <c r="V21" i="14"/>
  <c r="U21" i="14"/>
  <c r="T21" i="14"/>
  <c r="V20" i="14"/>
  <c r="U20" i="14"/>
  <c r="T20" i="14"/>
  <c r="V19" i="14"/>
  <c r="U19" i="14"/>
  <c r="T19" i="14"/>
  <c r="V18" i="14"/>
  <c r="U18" i="14"/>
  <c r="T18" i="14"/>
  <c r="A18" i="14"/>
  <c r="A19" i="14" s="1"/>
  <c r="A20" i="14" s="1"/>
  <c r="A21" i="14" s="1"/>
  <c r="A22" i="14" s="1"/>
  <c r="A23" i="14" s="1"/>
  <c r="A24" i="14" s="1"/>
  <c r="D16" i="14"/>
  <c r="V13" i="14"/>
  <c r="U13" i="14"/>
  <c r="T13" i="14"/>
  <c r="Y13" i="14" s="1"/>
  <c r="V11" i="14"/>
  <c r="U11" i="14"/>
  <c r="T11" i="14"/>
  <c r="V10" i="14"/>
  <c r="U10" i="14"/>
  <c r="T10" i="14"/>
  <c r="V9" i="14"/>
  <c r="U9" i="14"/>
  <c r="T9" i="14"/>
  <c r="Y9" i="14" s="1"/>
  <c r="V8" i="14"/>
  <c r="U8" i="14"/>
  <c r="T8" i="14"/>
  <c r="Y8" i="14" s="1"/>
  <c r="V7" i="14"/>
  <c r="U7" i="14"/>
  <c r="T7" i="14"/>
  <c r="Y7" i="14" s="1"/>
  <c r="V6" i="14"/>
  <c r="U6" i="14"/>
  <c r="T6" i="14"/>
  <c r="V5" i="14"/>
  <c r="U5" i="14"/>
  <c r="T5" i="14"/>
  <c r="Y5" i="14" s="1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AJ26" i="13"/>
  <c r="AI26" i="13"/>
  <c r="AH26" i="13"/>
  <c r="AJ24" i="13"/>
  <c r="AI24" i="13"/>
  <c r="AH24" i="13"/>
  <c r="AJ23" i="13"/>
  <c r="AI23" i="13"/>
  <c r="AH23" i="13"/>
  <c r="AJ22" i="13"/>
  <c r="AI22" i="13"/>
  <c r="AH22" i="13"/>
  <c r="AM22" i="13" s="1"/>
  <c r="AJ21" i="13"/>
  <c r="AI21" i="13"/>
  <c r="AH21" i="13"/>
  <c r="AJ20" i="13"/>
  <c r="AI20" i="13"/>
  <c r="AH20" i="13"/>
  <c r="AJ19" i="13"/>
  <c r="AI19" i="13"/>
  <c r="AH19" i="13"/>
  <c r="AJ18" i="13"/>
  <c r="AI18" i="13"/>
  <c r="AH18" i="13"/>
  <c r="A18" i="13"/>
  <c r="A19" i="13" s="1"/>
  <c r="A20" i="13" s="1"/>
  <c r="A21" i="13" s="1"/>
  <c r="A22" i="13" s="1"/>
  <c r="A23" i="13" s="1"/>
  <c r="A24" i="13" s="1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AJ13" i="13"/>
  <c r="AI13" i="13"/>
  <c r="AH13" i="13"/>
  <c r="AJ11" i="13"/>
  <c r="AI11" i="13"/>
  <c r="AH11" i="13"/>
  <c r="AM11" i="13" s="1"/>
  <c r="AJ10" i="13"/>
  <c r="AI10" i="13"/>
  <c r="AH10" i="13"/>
  <c r="AM10" i="13" s="1"/>
  <c r="AJ9" i="13"/>
  <c r="AI9" i="13"/>
  <c r="AH9" i="13"/>
  <c r="AM9" i="13" s="1"/>
  <c r="AJ8" i="13"/>
  <c r="AI8" i="13"/>
  <c r="AH8" i="13"/>
  <c r="AM8" i="13" s="1"/>
  <c r="AJ7" i="13"/>
  <c r="AI7" i="13"/>
  <c r="AH7" i="13"/>
  <c r="AM7" i="13" s="1"/>
  <c r="AJ6" i="13"/>
  <c r="AI6" i="13"/>
  <c r="AH6" i="13"/>
  <c r="AM6" i="13" s="1"/>
  <c r="AJ5" i="13"/>
  <c r="AI5" i="13"/>
  <c r="AH5" i="13"/>
  <c r="AM5" i="13" s="1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AI12" i="12"/>
  <c r="AJ12" i="12"/>
  <c r="AK12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K25" i="12"/>
  <c r="AJ25" i="12"/>
  <c r="AI25" i="12"/>
  <c r="AK24" i="12"/>
  <c r="AJ24" i="12"/>
  <c r="AI24" i="12"/>
  <c r="AK23" i="12"/>
  <c r="AJ23" i="12"/>
  <c r="AI23" i="12"/>
  <c r="AK22" i="12"/>
  <c r="AJ22" i="12"/>
  <c r="AI22" i="12"/>
  <c r="AN22" i="12" s="1"/>
  <c r="AK21" i="12"/>
  <c r="AJ21" i="12"/>
  <c r="AI21" i="12"/>
  <c r="AK20" i="12"/>
  <c r="AJ20" i="12"/>
  <c r="AI20" i="12"/>
  <c r="AK19" i="12"/>
  <c r="AJ19" i="12"/>
  <c r="AI19" i="12"/>
  <c r="AK18" i="12"/>
  <c r="AJ18" i="12"/>
  <c r="AI18" i="12"/>
  <c r="A18" i="12"/>
  <c r="A19" i="12" s="1"/>
  <c r="A20" i="12" s="1"/>
  <c r="A21" i="12" s="1"/>
  <c r="A22" i="12" s="1"/>
  <c r="A23" i="12" s="1"/>
  <c r="A24" i="12" s="1"/>
  <c r="A25" i="12" s="1"/>
  <c r="D16" i="12"/>
  <c r="AK13" i="12"/>
  <c r="AJ13" i="12"/>
  <c r="AI13" i="12"/>
  <c r="AN13" i="12" s="1"/>
  <c r="AK11" i="12"/>
  <c r="AJ11" i="12"/>
  <c r="AI11" i="12"/>
  <c r="AK10" i="12"/>
  <c r="AJ10" i="12"/>
  <c r="AI10" i="12"/>
  <c r="AN10" i="12" s="1"/>
  <c r="AK9" i="12"/>
  <c r="AJ9" i="12"/>
  <c r="AI9" i="12"/>
  <c r="AK8" i="12"/>
  <c r="AJ8" i="12"/>
  <c r="AI8" i="12"/>
  <c r="AK7" i="12"/>
  <c r="AJ7" i="12"/>
  <c r="AI7" i="12"/>
  <c r="AK6" i="12"/>
  <c r="AJ6" i="12"/>
  <c r="AI6" i="12"/>
  <c r="AN6" i="12" s="1"/>
  <c r="AK5" i="12"/>
  <c r="AJ5" i="12"/>
  <c r="AI5" i="12"/>
  <c r="AN5" i="12" s="1"/>
  <c r="D3" i="12"/>
  <c r="R23" i="11"/>
  <c r="Q23" i="11"/>
  <c r="P23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D3" i="11"/>
  <c r="E3" i="11"/>
  <c r="F3" i="11"/>
  <c r="G3" i="11"/>
  <c r="H3" i="11"/>
  <c r="I3" i="11"/>
  <c r="J3" i="11"/>
  <c r="K3" i="11"/>
  <c r="L3" i="11"/>
  <c r="M3" i="11"/>
  <c r="N3" i="11"/>
  <c r="O3" i="11"/>
  <c r="R25" i="11"/>
  <c r="Q25" i="11"/>
  <c r="P25" i="11"/>
  <c r="R24" i="11"/>
  <c r="Q24" i="11"/>
  <c r="P24" i="11"/>
  <c r="U24" i="11" s="1"/>
  <c r="R22" i="11"/>
  <c r="Q22" i="11"/>
  <c r="P22" i="11"/>
  <c r="U22" i="11" s="1"/>
  <c r="R21" i="11"/>
  <c r="Q21" i="11"/>
  <c r="P21" i="11"/>
  <c r="R20" i="11"/>
  <c r="Q20" i="11"/>
  <c r="P20" i="11"/>
  <c r="R19" i="11"/>
  <c r="Q19" i="11"/>
  <c r="P19" i="11"/>
  <c r="U19" i="11" s="1"/>
  <c r="R18" i="11"/>
  <c r="Q18" i="11"/>
  <c r="P18" i="11"/>
  <c r="U18" i="11" s="1"/>
  <c r="A18" i="11"/>
  <c r="A19" i="11" s="1"/>
  <c r="A20" i="11" s="1"/>
  <c r="A21" i="11" s="1"/>
  <c r="A22" i="11" s="1"/>
  <c r="A23" i="11" s="1"/>
  <c r="A24" i="11" s="1"/>
  <c r="A25" i="11" s="1"/>
  <c r="R13" i="11"/>
  <c r="Q13" i="11"/>
  <c r="P13" i="11"/>
  <c r="R11" i="11"/>
  <c r="Q11" i="11"/>
  <c r="P11" i="11"/>
  <c r="R10" i="11"/>
  <c r="Q10" i="11"/>
  <c r="P10" i="11"/>
  <c r="R9" i="11"/>
  <c r="Q9" i="11"/>
  <c r="P9" i="11"/>
  <c r="U9" i="11" s="1"/>
  <c r="R8" i="11"/>
  <c r="Q8" i="11"/>
  <c r="P8" i="11"/>
  <c r="U8" i="11" s="1"/>
  <c r="R7" i="11"/>
  <c r="Q7" i="11"/>
  <c r="P7" i="11"/>
  <c r="R6" i="11"/>
  <c r="Q6" i="11"/>
  <c r="P6" i="11"/>
  <c r="R5" i="11"/>
  <c r="Q5" i="11"/>
  <c r="P5" i="11"/>
  <c r="U5" i="11" s="1"/>
  <c r="Y6" i="14" l="1"/>
  <c r="Y12" i="14"/>
  <c r="Y10" i="14"/>
  <c r="Y18" i="14"/>
  <c r="Y22" i="14"/>
  <c r="Y11" i="14"/>
  <c r="U7" i="11"/>
  <c r="U11" i="11"/>
  <c r="U21" i="11"/>
  <c r="U23" i="11"/>
  <c r="U6" i="11"/>
  <c r="U10" i="11"/>
  <c r="U20" i="11"/>
  <c r="U25" i="11"/>
  <c r="Y24" i="14"/>
  <c r="Y23" i="14"/>
  <c r="Y21" i="14"/>
  <c r="Y20" i="14"/>
  <c r="Y26" i="14"/>
  <c r="Y19" i="14"/>
  <c r="AM21" i="13"/>
  <c r="AM26" i="13"/>
  <c r="AM19" i="13"/>
  <c r="AM20" i="13"/>
  <c r="AM18" i="13"/>
  <c r="AM23" i="13"/>
  <c r="AM24" i="13"/>
  <c r="AN24" i="12"/>
  <c r="AN25" i="12"/>
  <c r="AN18" i="12"/>
  <c r="AN19" i="12"/>
  <c r="AN21" i="12"/>
  <c r="AN7" i="12"/>
  <c r="AN11" i="12"/>
  <c r="AN23" i="12"/>
  <c r="AN9" i="12"/>
  <c r="AN20" i="12"/>
  <c r="AN8" i="12"/>
</calcChain>
</file>

<file path=xl/sharedStrings.xml><?xml version="1.0" encoding="utf-8"?>
<sst xmlns="http://schemas.openxmlformats.org/spreadsheetml/2006/main" count="1500" uniqueCount="50">
  <si>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</si>
  <si>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</si>
  <si>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</si>
  <si>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</si>
  <si>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</si>
  <si>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</si>
  <si>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</si>
  <si>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</si>
  <si>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</si>
  <si>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Tooba</t>
  </si>
  <si>
    <t>Miss Parwish Fatima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</si>
  <si>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</si>
  <si>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</si>
  <si>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</si>
  <si>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</si>
  <si>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</si>
  <si>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</si>
  <si>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</si>
  <si>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</si>
  <si>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</si>
  <si>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Maid</t>
  </si>
  <si>
    <t>Tahira Bibi</t>
  </si>
  <si>
    <t>Rimsha Bibi</t>
  </si>
  <si>
    <t>Cleaner</t>
  </si>
  <si>
    <t>-</t>
  </si>
  <si>
    <t>SUN</t>
  </si>
  <si>
    <t>SUNDAY</t>
  </si>
  <si>
    <t>Miss Saiqa</t>
  </si>
  <si>
    <t>Sir Fayyaz</t>
  </si>
  <si>
    <t>IT Teacher</t>
  </si>
  <si>
    <t>Haleema</t>
  </si>
  <si>
    <t>Nusrat</t>
  </si>
  <si>
    <t>TEACHING STAFF</t>
  </si>
  <si>
    <t>NON-TEACHING STAFF</t>
  </si>
  <si>
    <t>LHV</t>
  </si>
  <si>
    <t>Miss Hussan Bano</t>
  </si>
  <si>
    <t>Directress</t>
  </si>
  <si>
    <t>Miss Mehak</t>
  </si>
  <si>
    <t>Librarion</t>
  </si>
  <si>
    <t>Shumaila Habib</t>
  </si>
  <si>
    <t>Urs (Lal Shahbaz Qalandar)</t>
  </si>
  <si>
    <t>O.Off</t>
  </si>
  <si>
    <t>Miss Tasneem</t>
  </si>
  <si>
    <t>Shab-E-Qadar</t>
  </si>
  <si>
    <t>Eid Ul Fitar</t>
  </si>
  <si>
    <t>Death Anniversory (SZAB)</t>
  </si>
  <si>
    <t>Labour Day</t>
  </si>
  <si>
    <t>Miss Shagufta</t>
  </si>
  <si>
    <t>Miss Tania</t>
  </si>
  <si>
    <t>Sameena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</si>
</sst>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textRotation="90"/>
    </xf>
    <xf numFmtId="164" fontId="0" fillId="3" borderId="1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" xfId="0" applyFill="1" applyBorder="1"/>
    <xf numFmtId="0" fontId="0" fillId="3" borderId="12" xfId="0" applyFill="1" applyBorder="1"/>
    <xf numFmtId="0" fontId="0" fillId="3" borderId="7" xfId="0" applyFill="1" applyBorder="1"/>
    <xf numFmtId="0" fontId="0" fillId="3" borderId="4" xfId="0" applyFill="1" applyBorder="1" applyAlignment="1">
      <alignment horizontal="center" vertical="center" textRotation="90"/>
    </xf>
    <xf numFmtId="164" fontId="0" fillId="3" borderId="6" xfId="0" applyNumberForma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textRotation="90"/>
    </xf>
    <xf numFmtId="164" fontId="0" fillId="3" borderId="5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textRotation="90"/>
    </xf>
    <xf numFmtId="164" fontId="0" fillId="3" borderId="23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3" borderId="13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180"/>
    </xf>
    <xf numFmtId="0" fontId="2" fillId="4" borderId="10" xfId="0" applyFont="1" applyFill="1" applyBorder="1" applyAlignment="1">
      <alignment horizontal="center" vertical="center" textRotation="180"/>
    </xf>
    <xf numFmtId="0" fontId="2" fillId="4" borderId="8" xfId="0" applyFont="1" applyFill="1" applyBorder="1" applyAlignment="1">
      <alignment horizontal="center" vertical="center" textRotation="180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6" borderId="1" xfId="0" applyFont="1" applyFill="1" applyBorder="1" applyAlignment="1">
      <alignment horizontal="center" vertical="center" textRotation="180"/>
    </xf>
    <xf numFmtId="0" fontId="2" fillId="6" borderId="10" xfId="0" applyFont="1" applyFill="1" applyBorder="1" applyAlignment="1">
      <alignment horizontal="center" vertical="center" textRotation="180"/>
    </xf>
    <xf numFmtId="0" fontId="2" fillId="6" borderId="8" xfId="0" applyFont="1" applyFill="1" applyBorder="1" applyAlignment="1">
      <alignment horizontal="center" vertical="center" textRotation="180"/>
    </xf>
    <xf numFmtId="0" fontId="2" fillId="6" borderId="11" xfId="0" applyFont="1" applyFill="1" applyBorder="1" applyAlignment="1">
      <alignment horizontal="center" vertical="center" textRotation="180"/>
    </xf>
    <xf numFmtId="0" fontId="2" fillId="6" borderId="13" xfId="0" applyFont="1" applyFill="1" applyBorder="1" applyAlignment="1">
      <alignment horizontal="center" vertical="center" textRotation="180"/>
    </xf>
    <xf numFmtId="0" fontId="2" fillId="7" borderId="10" xfId="0" applyFont="1" applyFill="1" applyBorder="1" applyAlignment="1">
      <alignment horizontal="center" vertical="center" textRotation="180"/>
    </xf>
    <xf numFmtId="0" fontId="2" fillId="7" borderId="11" xfId="0" applyFont="1" applyFill="1" applyBorder="1" applyAlignment="1">
      <alignment horizontal="center" vertical="center" textRotation="180"/>
    </xf>
    <xf numFmtId="0" fontId="2" fillId="7" borderId="13" xfId="0" applyFont="1" applyFill="1" applyBorder="1" applyAlignment="1">
      <alignment horizontal="center" vertical="center" textRotation="180"/>
    </xf>
    <xf numFmtId="0" fontId="2" fillId="7" borderId="1" xfId="0" applyFont="1" applyFill="1" applyBorder="1" applyAlignment="1">
      <alignment horizontal="center" vertical="center" textRotation="180"/>
    </xf>
    <xf numFmtId="0" fontId="2" fillId="7" borderId="8" xfId="0" applyFont="1" applyFill="1" applyBorder="1" applyAlignment="1">
      <alignment horizontal="center" vertical="center" textRotation="180"/>
    </xf>
    <xf numFmtId="0" fontId="2" fillId="8" borderId="1" xfId="0" applyFont="1" applyFill="1" applyBorder="1" applyAlignment="1">
      <alignment horizontal="center" vertical="center" textRotation="180"/>
    </xf>
    <xf numFmtId="0" fontId="2" fillId="8" borderId="8" xfId="0" applyFont="1" applyFill="1" applyBorder="1" applyAlignment="1">
      <alignment horizontal="center" vertical="center" textRotation="180"/>
    </xf>
    <xf numFmtId="0" fontId="2" fillId="8" borderId="10" xfId="0" applyFont="1" applyFill="1" applyBorder="1" applyAlignment="1">
      <alignment horizontal="center" vertical="center" textRotation="180"/>
    </xf>
    <xf numFmtId="0" fontId="2" fillId="8" borderId="5" xfId="0" applyFont="1" applyFill="1" applyBorder="1" applyAlignment="1">
      <alignment horizontal="center" vertical="center" textRotation="180"/>
    </xf>
    <xf numFmtId="0" fontId="2" fillId="8" borderId="12" xfId="0" applyFont="1" applyFill="1" applyBorder="1" applyAlignment="1">
      <alignment horizontal="center" vertical="center" textRotation="180"/>
    </xf>
    <xf numFmtId="0" fontId="2" fillId="8" borderId="7" xfId="0" applyFont="1" applyFill="1" applyBorder="1" applyAlignment="1">
      <alignment horizontal="center" vertical="center" textRotation="180"/>
    </xf>
    <xf numFmtId="0" fontId="1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17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6B6-F721-45FE-A56A-F79E8ECB6487}">
  <dimension ref="A1:U25"/>
  <sheetViews>
    <sheetView topLeftCell="A22" workbookViewId="0">
      <selection activeCell="H6" sqref="H6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.7109375" customWidth="1"/>
    <col min="5" max="15" width="3.7109375" bestFit="1" customWidth="1"/>
    <col min="16" max="20" width="5.7109375" customWidth="1"/>
    <col min="21" max="21" width="7.42578125" bestFit="1" customWidth="1"/>
  </cols>
  <sheetData>
    <row r="1" spans="1:21" ht="15.75" thickBot="1" x14ac:dyDescent="0.3"/>
    <row r="2" spans="1:21" ht="32.25" thickBot="1" x14ac:dyDescent="0.55000000000000004">
      <c r="A2" s="45" t="s">
        <v>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7"/>
    </row>
    <row r="3" spans="1:21" ht="27" x14ac:dyDescent="0.25">
      <c r="A3" s="48" t="s">
        <v>0</v>
      </c>
      <c r="B3" s="49"/>
      <c r="C3" s="50"/>
      <c r="D3" s="34" t="str">
        <f t="shared" ref="D3:O3" si="0">TEXT(D4,"ddd")</f>
        <v>Mon</v>
      </c>
      <c r="E3" s="15" t="str">
        <f t="shared" si="0"/>
        <v>Tue</v>
      </c>
      <c r="F3" s="15" t="str">
        <f t="shared" si="0"/>
        <v>Wed</v>
      </c>
      <c r="G3" s="15" t="str">
        <f t="shared" si="0"/>
        <v>Thu</v>
      </c>
      <c r="H3" s="15" t="str">
        <f t="shared" si="0"/>
        <v>Fri</v>
      </c>
      <c r="I3" s="15" t="str">
        <f t="shared" si="0"/>
        <v>Sat</v>
      </c>
      <c r="J3" s="15" t="str">
        <f t="shared" si="0"/>
        <v>Sun</v>
      </c>
      <c r="K3" s="15" t="str">
        <f t="shared" si="0"/>
        <v>Mon</v>
      </c>
      <c r="L3" s="15" t="str">
        <f t="shared" si="0"/>
        <v>Tue</v>
      </c>
      <c r="M3" s="15" t="str">
        <f t="shared" si="0"/>
        <v>Wed</v>
      </c>
      <c r="N3" s="15" t="str">
        <f t="shared" si="0"/>
        <v>Thu</v>
      </c>
      <c r="O3" s="18" t="str">
        <f t="shared" si="0"/>
        <v>Fri</v>
      </c>
      <c r="P3" s="51" t="s">
        <v>1</v>
      </c>
      <c r="Q3" s="52"/>
      <c r="R3" s="52"/>
      <c r="S3" s="52"/>
      <c r="T3" s="52"/>
      <c r="U3" s="53"/>
    </row>
    <row r="4" spans="1:21" x14ac:dyDescent="0.25">
      <c r="A4" s="1" t="s">
        <v>2</v>
      </c>
      <c r="B4" s="2" t="s">
        <v>3</v>
      </c>
      <c r="C4" s="33" t="s">
        <v>4</v>
      </c>
      <c r="D4" s="35">
        <v>45705</v>
      </c>
      <c r="E4" s="7">
        <v>45706</v>
      </c>
      <c r="F4" s="7">
        <v>45707</v>
      </c>
      <c r="G4" s="7">
        <v>45708</v>
      </c>
      <c r="H4" s="7">
        <v>45709</v>
      </c>
      <c r="I4" s="7">
        <v>45710</v>
      </c>
      <c r="J4" s="7">
        <v>45711</v>
      </c>
      <c r="K4" s="7">
        <v>45712</v>
      </c>
      <c r="L4" s="7">
        <v>45713</v>
      </c>
      <c r="M4" s="7">
        <v>45714</v>
      </c>
      <c r="N4" s="7">
        <v>45715</v>
      </c>
      <c r="O4" s="19">
        <v>45716</v>
      </c>
      <c r="P4" s="22" t="s">
        <v>6</v>
      </c>
      <c r="Q4" s="13" t="s">
        <v>7</v>
      </c>
      <c r="R4" s="13" t="s">
        <v>13</v>
      </c>
      <c r="S4" s="13" t="s">
        <v>41</v>
      </c>
      <c r="T4" s="13" t="s">
        <v>25</v>
      </c>
      <c r="U4" s="14" t="s">
        <v>5</v>
      </c>
    </row>
    <row r="5" spans="1:21" ht="15" customHeight="1" x14ac:dyDescent="0.25">
      <c r="A5" s="3">
        <v>1</v>
      </c>
      <c r="B5" s="4" t="s">
        <v>27</v>
      </c>
      <c r="C5" s="16" t="s">
        <v>8</v>
      </c>
      <c r="D5" s="36" t="s">
        <v>6</v>
      </c>
      <c r="E5" s="4" t="s">
        <v>6</v>
      </c>
      <c r="F5" s="42" t="s">
        <v>40</v>
      </c>
      <c r="G5" s="4" t="s">
        <v>6</v>
      </c>
      <c r="H5" s="4" t="s">
        <v>6</v>
      </c>
      <c r="I5" s="4" t="s">
        <v>6</v>
      </c>
      <c r="J5" s="54" t="s">
        <v>26</v>
      </c>
      <c r="K5" s="4" t="s">
        <v>6</v>
      </c>
      <c r="L5" s="4" t="s">
        <v>6</v>
      </c>
      <c r="M5" s="4" t="s">
        <v>6</v>
      </c>
      <c r="N5" s="4" t="s">
        <v>6</v>
      </c>
      <c r="O5" s="20" t="s">
        <v>6</v>
      </c>
      <c r="P5" s="3">
        <f t="shared" ref="P5:P13" si="1">COUNTIF(D5:O5,"P")</f>
        <v>10</v>
      </c>
      <c r="Q5" s="4">
        <f t="shared" ref="Q5:Q13" si="2">COUNTIF(D5:O5,"A")</f>
        <v>0</v>
      </c>
      <c r="R5" s="4">
        <f t="shared" ref="R5:R13" si="3">COUNTIF(D5:O5,"L")</f>
        <v>0</v>
      </c>
      <c r="S5" s="4">
        <v>1</v>
      </c>
      <c r="T5" s="4">
        <v>1</v>
      </c>
      <c r="U5" s="16">
        <f>P5+R5+S5+T5</f>
        <v>12</v>
      </c>
    </row>
    <row r="6" spans="1:21" x14ac:dyDescent="0.25">
      <c r="A6" s="3">
        <v>2</v>
      </c>
      <c r="B6" s="4" t="s">
        <v>11</v>
      </c>
      <c r="C6" s="16" t="s">
        <v>8</v>
      </c>
      <c r="D6" s="36" t="s">
        <v>6</v>
      </c>
      <c r="E6" s="4" t="s">
        <v>6</v>
      </c>
      <c r="F6" s="42"/>
      <c r="G6" s="4" t="s">
        <v>6</v>
      </c>
      <c r="H6" s="4" t="s">
        <v>13</v>
      </c>
      <c r="I6" s="4" t="s">
        <v>6</v>
      </c>
      <c r="J6" s="54"/>
      <c r="K6" s="4" t="s">
        <v>6</v>
      </c>
      <c r="L6" s="4" t="s">
        <v>6</v>
      </c>
      <c r="M6" s="4" t="s">
        <v>6</v>
      </c>
      <c r="N6" s="4" t="s">
        <v>6</v>
      </c>
      <c r="O6" s="20" t="s">
        <v>6</v>
      </c>
      <c r="P6" s="3">
        <f t="shared" si="1"/>
        <v>9</v>
      </c>
      <c r="Q6" s="4">
        <f t="shared" si="2"/>
        <v>0</v>
      </c>
      <c r="R6" s="4">
        <f t="shared" si="3"/>
        <v>1</v>
      </c>
      <c r="S6" s="4">
        <v>1</v>
      </c>
      <c r="T6" s="4">
        <v>1</v>
      </c>
      <c r="U6" s="16">
        <f t="shared" ref="U6:U12" si="4">P6+R6+S6+T6</f>
        <v>12</v>
      </c>
    </row>
    <row r="7" spans="1:21" x14ac:dyDescent="0.25">
      <c r="A7" s="3">
        <v>3</v>
      </c>
      <c r="B7" s="4" t="s">
        <v>10</v>
      </c>
      <c r="C7" s="16" t="s">
        <v>8</v>
      </c>
      <c r="D7" s="36" t="s">
        <v>6</v>
      </c>
      <c r="E7" s="4" t="s">
        <v>6</v>
      </c>
      <c r="F7" s="42"/>
      <c r="G7" s="4" t="s">
        <v>6</v>
      </c>
      <c r="H7" s="4" t="s">
        <v>6</v>
      </c>
      <c r="I7" s="4" t="s">
        <v>6</v>
      </c>
      <c r="J7" s="54"/>
      <c r="K7" s="4" t="s">
        <v>6</v>
      </c>
      <c r="L7" s="4" t="s">
        <v>6</v>
      </c>
      <c r="M7" s="4" t="s">
        <v>6</v>
      </c>
      <c r="N7" s="4" t="s">
        <v>6</v>
      </c>
      <c r="O7" s="20" t="s">
        <v>6</v>
      </c>
      <c r="P7" s="3">
        <f t="shared" si="1"/>
        <v>10</v>
      </c>
      <c r="Q7" s="4">
        <f t="shared" si="2"/>
        <v>0</v>
      </c>
      <c r="R7" s="4">
        <f t="shared" si="3"/>
        <v>0</v>
      </c>
      <c r="S7" s="4">
        <v>1</v>
      </c>
      <c r="T7" s="4">
        <v>1</v>
      </c>
      <c r="U7" s="16">
        <f t="shared" si="4"/>
        <v>12</v>
      </c>
    </row>
    <row r="8" spans="1:21" x14ac:dyDescent="0.25">
      <c r="A8" s="3">
        <v>4</v>
      </c>
      <c r="B8" s="4" t="s">
        <v>12</v>
      </c>
      <c r="C8" s="16" t="s">
        <v>38</v>
      </c>
      <c r="D8" s="36" t="s">
        <v>6</v>
      </c>
      <c r="E8" s="4" t="s">
        <v>6</v>
      </c>
      <c r="F8" s="42"/>
      <c r="G8" s="4" t="s">
        <v>6</v>
      </c>
      <c r="H8" s="4" t="s">
        <v>6</v>
      </c>
      <c r="I8" s="4" t="s">
        <v>6</v>
      </c>
      <c r="J8" s="54"/>
      <c r="K8" s="4" t="s">
        <v>6</v>
      </c>
      <c r="L8" s="4" t="s">
        <v>6</v>
      </c>
      <c r="M8" s="4" t="s">
        <v>6</v>
      </c>
      <c r="N8" s="4" t="s">
        <v>6</v>
      </c>
      <c r="O8" s="20" t="s">
        <v>6</v>
      </c>
      <c r="P8" s="3">
        <f t="shared" si="1"/>
        <v>10</v>
      </c>
      <c r="Q8" s="4">
        <f t="shared" si="2"/>
        <v>0</v>
      </c>
      <c r="R8" s="4">
        <f t="shared" si="3"/>
        <v>0</v>
      </c>
      <c r="S8" s="4">
        <v>1</v>
      </c>
      <c r="T8" s="4">
        <v>1</v>
      </c>
      <c r="U8" s="16">
        <f t="shared" si="4"/>
        <v>12</v>
      </c>
    </row>
    <row r="9" spans="1:21" x14ac:dyDescent="0.25">
      <c r="A9" s="3">
        <v>5</v>
      </c>
      <c r="B9" s="4" t="s">
        <v>28</v>
      </c>
      <c r="C9" s="16" t="s">
        <v>29</v>
      </c>
      <c r="D9" s="36" t="s">
        <v>6</v>
      </c>
      <c r="E9" s="4" t="s">
        <v>6</v>
      </c>
      <c r="F9" s="42"/>
      <c r="G9" s="4" t="s">
        <v>6</v>
      </c>
      <c r="H9" s="4" t="s">
        <v>6</v>
      </c>
      <c r="I9" s="4" t="s">
        <v>6</v>
      </c>
      <c r="J9" s="54"/>
      <c r="K9" s="4" t="s">
        <v>6</v>
      </c>
      <c r="L9" s="4" t="s">
        <v>6</v>
      </c>
      <c r="M9" s="4" t="s">
        <v>6</v>
      </c>
      <c r="N9" s="4" t="s">
        <v>6</v>
      </c>
      <c r="O9" s="20" t="s">
        <v>6</v>
      </c>
      <c r="P9" s="3">
        <f t="shared" si="1"/>
        <v>10</v>
      </c>
      <c r="Q9" s="4">
        <f t="shared" si="2"/>
        <v>0</v>
      </c>
      <c r="R9" s="4">
        <f t="shared" si="3"/>
        <v>0</v>
      </c>
      <c r="S9" s="4">
        <v>1</v>
      </c>
      <c r="T9" s="4">
        <v>1</v>
      </c>
      <c r="U9" s="16">
        <f t="shared" si="4"/>
        <v>12</v>
      </c>
    </row>
    <row r="10" spans="1:21" x14ac:dyDescent="0.25">
      <c r="A10" s="3">
        <v>6</v>
      </c>
      <c r="B10" s="4" t="s">
        <v>35</v>
      </c>
      <c r="C10" s="16" t="s">
        <v>36</v>
      </c>
      <c r="D10" s="36" t="s">
        <v>6</v>
      </c>
      <c r="E10" s="4" t="s">
        <v>6</v>
      </c>
      <c r="F10" s="42"/>
      <c r="G10" s="4" t="s">
        <v>6</v>
      </c>
      <c r="H10" s="4" t="s">
        <v>6</v>
      </c>
      <c r="I10" s="4" t="s">
        <v>6</v>
      </c>
      <c r="J10" s="54"/>
      <c r="K10" s="4" t="s">
        <v>6</v>
      </c>
      <c r="L10" s="4" t="s">
        <v>6</v>
      </c>
      <c r="M10" s="4" t="s">
        <v>6</v>
      </c>
      <c r="N10" s="4" t="s">
        <v>6</v>
      </c>
      <c r="O10" s="20" t="s">
        <v>6</v>
      </c>
      <c r="P10" s="3">
        <f t="shared" si="1"/>
        <v>10</v>
      </c>
      <c r="Q10" s="4">
        <f t="shared" si="2"/>
        <v>0</v>
      </c>
      <c r="R10" s="4">
        <f t="shared" si="3"/>
        <v>0</v>
      </c>
      <c r="S10" s="4">
        <v>1</v>
      </c>
      <c r="T10" s="4">
        <v>1</v>
      </c>
      <c r="U10" s="16">
        <f t="shared" si="4"/>
        <v>12</v>
      </c>
    </row>
    <row r="11" spans="1:21" x14ac:dyDescent="0.25">
      <c r="A11" s="3">
        <v>7</v>
      </c>
      <c r="B11" s="4" t="s">
        <v>9</v>
      </c>
      <c r="C11" s="16" t="s">
        <v>8</v>
      </c>
      <c r="D11" s="36" t="s">
        <v>6</v>
      </c>
      <c r="E11" s="4" t="s">
        <v>6</v>
      </c>
      <c r="F11" s="42"/>
      <c r="G11" s="4" t="s">
        <v>6</v>
      </c>
      <c r="H11" s="4" t="s">
        <v>6</v>
      </c>
      <c r="I11" s="4" t="s">
        <v>6</v>
      </c>
      <c r="J11" s="54"/>
      <c r="K11" s="4" t="s">
        <v>6</v>
      </c>
      <c r="L11" s="4" t="s">
        <v>6</v>
      </c>
      <c r="M11" s="4" t="s">
        <v>6</v>
      </c>
      <c r="N11" s="4" t="s">
        <v>6</v>
      </c>
      <c r="O11" s="20" t="s">
        <v>6</v>
      </c>
      <c r="P11" s="3">
        <f t="shared" si="1"/>
        <v>10</v>
      </c>
      <c r="Q11" s="4">
        <f t="shared" si="2"/>
        <v>0</v>
      </c>
      <c r="R11" s="4">
        <f t="shared" si="3"/>
        <v>0</v>
      </c>
      <c r="S11" s="4">
        <v>1</v>
      </c>
      <c r="T11" s="4">
        <v>1</v>
      </c>
      <c r="U11" s="16">
        <f t="shared" si="4"/>
        <v>12</v>
      </c>
    </row>
    <row r="12" spans="1:21" x14ac:dyDescent="0.25">
      <c r="A12" s="3">
        <v>8</v>
      </c>
      <c r="B12" s="11" t="s">
        <v>37</v>
      </c>
      <c r="C12" s="16" t="s">
        <v>8</v>
      </c>
      <c r="D12" s="36" t="s">
        <v>6</v>
      </c>
      <c r="E12" s="4" t="s">
        <v>6</v>
      </c>
      <c r="F12" s="43"/>
      <c r="G12" s="4" t="s">
        <v>6</v>
      </c>
      <c r="H12" s="4" t="s">
        <v>6</v>
      </c>
      <c r="I12" s="4" t="s">
        <v>6</v>
      </c>
      <c r="J12" s="39"/>
      <c r="K12" s="4" t="s">
        <v>6</v>
      </c>
      <c r="L12" s="4" t="s">
        <v>6</v>
      </c>
      <c r="M12" s="4" t="s">
        <v>6</v>
      </c>
      <c r="N12" s="4" t="s">
        <v>6</v>
      </c>
      <c r="O12" s="20" t="s">
        <v>6</v>
      </c>
      <c r="P12" s="3">
        <f t="shared" si="1"/>
        <v>10</v>
      </c>
      <c r="Q12" s="4">
        <f t="shared" si="2"/>
        <v>0</v>
      </c>
      <c r="R12" s="4">
        <f t="shared" si="3"/>
        <v>0</v>
      </c>
      <c r="S12" s="4">
        <v>1</v>
      </c>
      <c r="T12" s="4">
        <v>1</v>
      </c>
      <c r="U12" s="16">
        <f t="shared" si="4"/>
        <v>12</v>
      </c>
    </row>
    <row r="13" spans="1:21" ht="15.75" thickBot="1" x14ac:dyDescent="0.3">
      <c r="A13" s="5">
        <v>9</v>
      </c>
      <c r="B13" s="6" t="s">
        <v>42</v>
      </c>
      <c r="C13" s="17" t="s">
        <v>8</v>
      </c>
      <c r="D13" s="38" t="s">
        <v>24</v>
      </c>
      <c r="E13" s="6" t="s">
        <v>24</v>
      </c>
      <c r="F13" s="44"/>
      <c r="G13" s="6" t="s">
        <v>24</v>
      </c>
      <c r="H13" s="6" t="s">
        <v>24</v>
      </c>
      <c r="I13" s="6" t="s">
        <v>24</v>
      </c>
      <c r="J13" s="55"/>
      <c r="K13" s="6" t="s">
        <v>6</v>
      </c>
      <c r="L13" s="6" t="s">
        <v>6</v>
      </c>
      <c r="M13" s="6" t="s">
        <v>6</v>
      </c>
      <c r="N13" s="6" t="s">
        <v>6</v>
      </c>
      <c r="O13" s="21" t="s">
        <v>6</v>
      </c>
      <c r="P13" s="5">
        <f t="shared" si="1"/>
        <v>5</v>
      </c>
      <c r="Q13" s="6">
        <f t="shared" si="2"/>
        <v>0</v>
      </c>
      <c r="R13" s="6">
        <f t="shared" si="3"/>
        <v>0</v>
      </c>
      <c r="S13" s="6">
        <v>1</v>
      </c>
      <c r="T13" s="6">
        <v>1</v>
      </c>
      <c r="U13" s="17">
        <v>5</v>
      </c>
    </row>
    <row r="14" spans="1:21" ht="15.75" thickBot="1" x14ac:dyDescent="0.3"/>
    <row r="15" spans="1:21" ht="32.25" thickBot="1" x14ac:dyDescent="0.55000000000000004">
      <c r="A15" s="45" t="s">
        <v>33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7"/>
    </row>
    <row r="16" spans="1:21" ht="27" x14ac:dyDescent="0.25">
      <c r="A16" s="48" t="s">
        <v>0</v>
      </c>
      <c r="B16" s="49"/>
      <c r="C16" s="50"/>
      <c r="D16" s="34" t="str">
        <f t="shared" ref="D16:O16" si="5">TEXT(D17,"ddd")</f>
        <v>Mon</v>
      </c>
      <c r="E16" s="15" t="str">
        <f t="shared" si="5"/>
        <v>Tue</v>
      </c>
      <c r="F16" s="15" t="str">
        <f t="shared" si="5"/>
        <v>Wed</v>
      </c>
      <c r="G16" s="15" t="str">
        <f t="shared" si="5"/>
        <v>Thu</v>
      </c>
      <c r="H16" s="15" t="str">
        <f t="shared" si="5"/>
        <v>Fri</v>
      </c>
      <c r="I16" s="15" t="str">
        <f t="shared" si="5"/>
        <v>Sat</v>
      </c>
      <c r="J16" s="15" t="str">
        <f t="shared" si="5"/>
        <v>Sun</v>
      </c>
      <c r="K16" s="15" t="str">
        <f t="shared" si="5"/>
        <v>Mon</v>
      </c>
      <c r="L16" s="15" t="str">
        <f t="shared" si="5"/>
        <v>Tue</v>
      </c>
      <c r="M16" s="15" t="str">
        <f t="shared" si="5"/>
        <v>Wed</v>
      </c>
      <c r="N16" s="15" t="str">
        <f t="shared" si="5"/>
        <v>Thu</v>
      </c>
      <c r="O16" s="18" t="str">
        <f t="shared" si="5"/>
        <v>Fri</v>
      </c>
      <c r="P16" s="51" t="s">
        <v>1</v>
      </c>
      <c r="Q16" s="52"/>
      <c r="R16" s="52"/>
      <c r="S16" s="52"/>
      <c r="T16" s="52"/>
      <c r="U16" s="53"/>
    </row>
    <row r="17" spans="1:21" x14ac:dyDescent="0.25">
      <c r="A17" s="1" t="s">
        <v>2</v>
      </c>
      <c r="B17" s="2" t="s">
        <v>3</v>
      </c>
      <c r="C17" s="33" t="s">
        <v>4</v>
      </c>
      <c r="D17" s="35">
        <v>45705</v>
      </c>
      <c r="E17" s="7">
        <v>45706</v>
      </c>
      <c r="F17" s="7">
        <v>45707</v>
      </c>
      <c r="G17" s="7">
        <v>45708</v>
      </c>
      <c r="H17" s="7">
        <v>45709</v>
      </c>
      <c r="I17" s="7">
        <v>45710</v>
      </c>
      <c r="J17" s="7">
        <v>45711</v>
      </c>
      <c r="K17" s="7">
        <v>45712</v>
      </c>
      <c r="L17" s="7">
        <v>45713</v>
      </c>
      <c r="M17" s="7">
        <v>45714</v>
      </c>
      <c r="N17" s="7">
        <v>45715</v>
      </c>
      <c r="O17" s="19">
        <v>45716</v>
      </c>
      <c r="P17" s="22" t="s">
        <v>6</v>
      </c>
      <c r="Q17" s="13" t="s">
        <v>7</v>
      </c>
      <c r="R17" s="13" t="s">
        <v>13</v>
      </c>
      <c r="S17" s="13" t="s">
        <v>41</v>
      </c>
      <c r="T17" s="13" t="s">
        <v>25</v>
      </c>
      <c r="U17" s="14" t="s">
        <v>5</v>
      </c>
    </row>
    <row r="18" spans="1:21" ht="15" customHeight="1" x14ac:dyDescent="0.25">
      <c r="A18" s="3">
        <f>IF(B18="","",1)</f>
        <v>1</v>
      </c>
      <c r="B18" s="4" t="s">
        <v>14</v>
      </c>
      <c r="C18" s="16" t="s">
        <v>15</v>
      </c>
      <c r="D18" s="36" t="s">
        <v>6</v>
      </c>
      <c r="E18" s="4" t="s">
        <v>6</v>
      </c>
      <c r="F18" s="42" t="s">
        <v>40</v>
      </c>
      <c r="G18" s="4" t="s">
        <v>6</v>
      </c>
      <c r="H18" s="4" t="s">
        <v>6</v>
      </c>
      <c r="I18" s="4" t="s">
        <v>6</v>
      </c>
      <c r="J18" s="39" t="s">
        <v>26</v>
      </c>
      <c r="K18" s="4" t="s">
        <v>6</v>
      </c>
      <c r="L18" s="4" t="s">
        <v>6</v>
      </c>
      <c r="M18" s="4" t="s">
        <v>6</v>
      </c>
      <c r="N18" s="4" t="s">
        <v>6</v>
      </c>
      <c r="O18" s="20" t="s">
        <v>6</v>
      </c>
      <c r="P18" s="24">
        <f t="shared" ref="P18:P25" si="6">COUNTIF(D18:O18,"P")</f>
        <v>10</v>
      </c>
      <c r="Q18" s="8">
        <f t="shared" ref="Q18:Q25" si="7">COUNTIF(D18:O18,"A")</f>
        <v>0</v>
      </c>
      <c r="R18" s="8">
        <f t="shared" ref="R18:R25" si="8">COUNTIF(D18:O18,"L")</f>
        <v>0</v>
      </c>
      <c r="S18" s="4">
        <v>1</v>
      </c>
      <c r="T18" s="8">
        <v>1</v>
      </c>
      <c r="U18" s="16">
        <f>P18+R18+S18+T18</f>
        <v>12</v>
      </c>
    </row>
    <row r="19" spans="1:21" x14ac:dyDescent="0.25">
      <c r="A19" s="3">
        <f>IF(B19="","",A18+1)</f>
        <v>2</v>
      </c>
      <c r="B19" s="4" t="s">
        <v>16</v>
      </c>
      <c r="C19" s="16" t="s">
        <v>17</v>
      </c>
      <c r="D19" s="36" t="s">
        <v>6</v>
      </c>
      <c r="E19" s="4" t="s">
        <v>6</v>
      </c>
      <c r="F19" s="42"/>
      <c r="G19" s="4" t="s">
        <v>6</v>
      </c>
      <c r="H19" s="4" t="s">
        <v>6</v>
      </c>
      <c r="I19" s="4" t="s">
        <v>6</v>
      </c>
      <c r="J19" s="40"/>
      <c r="K19" s="4" t="s">
        <v>6</v>
      </c>
      <c r="L19" s="4" t="s">
        <v>6</v>
      </c>
      <c r="M19" s="4" t="s">
        <v>6</v>
      </c>
      <c r="N19" s="4" t="s">
        <v>6</v>
      </c>
      <c r="O19" s="20" t="s">
        <v>6</v>
      </c>
      <c r="P19" s="24">
        <f t="shared" si="6"/>
        <v>10</v>
      </c>
      <c r="Q19" s="8">
        <f t="shared" si="7"/>
        <v>0</v>
      </c>
      <c r="R19" s="8">
        <f t="shared" si="8"/>
        <v>0</v>
      </c>
      <c r="S19" s="4">
        <v>1</v>
      </c>
      <c r="T19" s="8">
        <v>1</v>
      </c>
      <c r="U19" s="16">
        <f t="shared" ref="U19:U25" si="9">P19+R19+S19+T19</f>
        <v>12</v>
      </c>
    </row>
    <row r="20" spans="1:21" x14ac:dyDescent="0.25">
      <c r="A20" s="3">
        <f t="shared" ref="A20:A25" si="10">IF(B20="","",A19+1)</f>
        <v>3</v>
      </c>
      <c r="B20" s="4" t="s">
        <v>18</v>
      </c>
      <c r="C20" s="16" t="s">
        <v>19</v>
      </c>
      <c r="D20" s="36" t="s">
        <v>6</v>
      </c>
      <c r="E20" s="4" t="s">
        <v>6</v>
      </c>
      <c r="F20" s="42"/>
      <c r="G20" s="4" t="s">
        <v>6</v>
      </c>
      <c r="H20" s="4" t="s">
        <v>6</v>
      </c>
      <c r="I20" s="4" t="s">
        <v>6</v>
      </c>
      <c r="J20" s="40"/>
      <c r="K20" s="4" t="s">
        <v>6</v>
      </c>
      <c r="L20" s="4" t="s">
        <v>6</v>
      </c>
      <c r="M20" s="4" t="s">
        <v>6</v>
      </c>
      <c r="N20" s="4" t="s">
        <v>6</v>
      </c>
      <c r="O20" s="20" t="s">
        <v>6</v>
      </c>
      <c r="P20" s="24">
        <f t="shared" si="6"/>
        <v>10</v>
      </c>
      <c r="Q20" s="8">
        <f t="shared" si="7"/>
        <v>0</v>
      </c>
      <c r="R20" s="8">
        <f t="shared" si="8"/>
        <v>0</v>
      </c>
      <c r="S20" s="4">
        <v>1</v>
      </c>
      <c r="T20" s="8">
        <v>1</v>
      </c>
      <c r="U20" s="16">
        <f t="shared" si="9"/>
        <v>12</v>
      </c>
    </row>
    <row r="21" spans="1:21" x14ac:dyDescent="0.25">
      <c r="A21" s="3">
        <f t="shared" si="10"/>
        <v>4</v>
      </c>
      <c r="B21" s="4" t="s">
        <v>21</v>
      </c>
      <c r="C21" s="16" t="s">
        <v>20</v>
      </c>
      <c r="D21" s="36" t="s">
        <v>6</v>
      </c>
      <c r="E21" s="4" t="s">
        <v>6</v>
      </c>
      <c r="F21" s="42"/>
      <c r="G21" s="4" t="s">
        <v>6</v>
      </c>
      <c r="H21" s="4" t="s">
        <v>6</v>
      </c>
      <c r="I21" s="4" t="s">
        <v>6</v>
      </c>
      <c r="J21" s="40"/>
      <c r="K21" s="4" t="s">
        <v>6</v>
      </c>
      <c r="L21" s="4" t="s">
        <v>6</v>
      </c>
      <c r="M21" s="4" t="s">
        <v>6</v>
      </c>
      <c r="N21" s="4" t="s">
        <v>6</v>
      </c>
      <c r="O21" s="20" t="s">
        <v>6</v>
      </c>
      <c r="P21" s="24">
        <f t="shared" si="6"/>
        <v>10</v>
      </c>
      <c r="Q21" s="8">
        <f t="shared" si="7"/>
        <v>0</v>
      </c>
      <c r="R21" s="8">
        <f t="shared" si="8"/>
        <v>0</v>
      </c>
      <c r="S21" s="4">
        <v>1</v>
      </c>
      <c r="T21" s="8">
        <v>1</v>
      </c>
      <c r="U21" s="16">
        <f t="shared" si="9"/>
        <v>12</v>
      </c>
    </row>
    <row r="22" spans="1:21" x14ac:dyDescent="0.25">
      <c r="A22" s="3">
        <f t="shared" si="10"/>
        <v>5</v>
      </c>
      <c r="B22" s="4" t="s">
        <v>22</v>
      </c>
      <c r="C22" s="16" t="s">
        <v>23</v>
      </c>
      <c r="D22" s="36" t="s">
        <v>6</v>
      </c>
      <c r="E22" s="4" t="s">
        <v>6</v>
      </c>
      <c r="F22" s="42"/>
      <c r="G22" s="4" t="s">
        <v>6</v>
      </c>
      <c r="H22" s="4" t="s">
        <v>6</v>
      </c>
      <c r="I22" s="4" t="s">
        <v>6</v>
      </c>
      <c r="J22" s="40"/>
      <c r="K22" s="4" t="s">
        <v>6</v>
      </c>
      <c r="L22" s="4" t="s">
        <v>6</v>
      </c>
      <c r="M22" s="4" t="s">
        <v>6</v>
      </c>
      <c r="N22" s="4" t="s">
        <v>6</v>
      </c>
      <c r="O22" s="20" t="s">
        <v>6</v>
      </c>
      <c r="P22" s="24">
        <f t="shared" si="6"/>
        <v>10</v>
      </c>
      <c r="Q22" s="8">
        <f t="shared" si="7"/>
        <v>0</v>
      </c>
      <c r="R22" s="8">
        <f t="shared" si="8"/>
        <v>0</v>
      </c>
      <c r="S22" s="4">
        <v>1</v>
      </c>
      <c r="T22" s="8">
        <v>1</v>
      </c>
      <c r="U22" s="16">
        <f t="shared" si="9"/>
        <v>12</v>
      </c>
    </row>
    <row r="23" spans="1:21" x14ac:dyDescent="0.25">
      <c r="A23" s="3">
        <f t="shared" si="10"/>
        <v>6</v>
      </c>
      <c r="B23" s="11" t="s">
        <v>30</v>
      </c>
      <c r="C23" s="16" t="s">
        <v>20</v>
      </c>
      <c r="D23" s="36" t="s">
        <v>6</v>
      </c>
      <c r="E23" s="4" t="s">
        <v>13</v>
      </c>
      <c r="F23" s="42"/>
      <c r="G23" s="4" t="s">
        <v>6</v>
      </c>
      <c r="H23" s="4" t="s">
        <v>6</v>
      </c>
      <c r="I23" s="4" t="s">
        <v>6</v>
      </c>
      <c r="J23" s="40"/>
      <c r="K23" s="4" t="s">
        <v>6</v>
      </c>
      <c r="L23" s="4" t="s">
        <v>6</v>
      </c>
      <c r="M23" s="4" t="s">
        <v>6</v>
      </c>
      <c r="N23" s="4" t="s">
        <v>6</v>
      </c>
      <c r="O23" s="20" t="s">
        <v>6</v>
      </c>
      <c r="P23" s="24">
        <f t="shared" si="6"/>
        <v>9</v>
      </c>
      <c r="Q23" s="8">
        <f t="shared" si="7"/>
        <v>0</v>
      </c>
      <c r="R23" s="8">
        <f t="shared" si="8"/>
        <v>1</v>
      </c>
      <c r="S23" s="4">
        <v>1</v>
      </c>
      <c r="T23" s="8">
        <v>1</v>
      </c>
      <c r="U23" s="16">
        <f t="shared" si="9"/>
        <v>12</v>
      </c>
    </row>
    <row r="24" spans="1:21" x14ac:dyDescent="0.25">
      <c r="A24" s="3">
        <f t="shared" si="10"/>
        <v>7</v>
      </c>
      <c r="B24" s="11" t="s">
        <v>31</v>
      </c>
      <c r="C24" s="16" t="s">
        <v>20</v>
      </c>
      <c r="D24" s="37" t="s">
        <v>6</v>
      </c>
      <c r="E24" s="11" t="s">
        <v>13</v>
      </c>
      <c r="F24" s="42"/>
      <c r="G24" s="11" t="s">
        <v>6</v>
      </c>
      <c r="H24" s="11" t="s">
        <v>6</v>
      </c>
      <c r="I24" s="11" t="s">
        <v>6</v>
      </c>
      <c r="J24" s="40"/>
      <c r="K24" s="11" t="s">
        <v>6</v>
      </c>
      <c r="L24" s="11" t="s">
        <v>6</v>
      </c>
      <c r="M24" s="11" t="s">
        <v>6</v>
      </c>
      <c r="N24" s="11" t="s">
        <v>6</v>
      </c>
      <c r="O24" s="23" t="s">
        <v>6</v>
      </c>
      <c r="P24" s="25">
        <f t="shared" si="6"/>
        <v>9</v>
      </c>
      <c r="Q24" s="12">
        <f t="shared" si="7"/>
        <v>0</v>
      </c>
      <c r="R24" s="8">
        <f t="shared" si="8"/>
        <v>1</v>
      </c>
      <c r="S24" s="11">
        <v>1</v>
      </c>
      <c r="T24" s="12">
        <v>1</v>
      </c>
      <c r="U24" s="16">
        <f t="shared" si="9"/>
        <v>12</v>
      </c>
    </row>
    <row r="25" spans="1:21" ht="15.75" thickBot="1" x14ac:dyDescent="0.3">
      <c r="A25" s="5">
        <f t="shared" si="10"/>
        <v>8</v>
      </c>
      <c r="B25" s="6" t="s">
        <v>39</v>
      </c>
      <c r="C25" s="17" t="s">
        <v>34</v>
      </c>
      <c r="D25" s="38" t="s">
        <v>6</v>
      </c>
      <c r="E25" s="6" t="s">
        <v>6</v>
      </c>
      <c r="F25" s="44"/>
      <c r="G25" s="6" t="s">
        <v>6</v>
      </c>
      <c r="H25" s="6" t="s">
        <v>6</v>
      </c>
      <c r="I25" s="6" t="s">
        <v>6</v>
      </c>
      <c r="J25" s="41"/>
      <c r="K25" s="6" t="s">
        <v>6</v>
      </c>
      <c r="L25" s="6" t="s">
        <v>6</v>
      </c>
      <c r="M25" s="6" t="s">
        <v>6</v>
      </c>
      <c r="N25" s="6" t="s">
        <v>6</v>
      </c>
      <c r="O25" s="21" t="s">
        <v>6</v>
      </c>
      <c r="P25" s="26">
        <f t="shared" si="6"/>
        <v>10</v>
      </c>
      <c r="Q25" s="9">
        <f t="shared" si="7"/>
        <v>0</v>
      </c>
      <c r="R25" s="9">
        <f t="shared" si="8"/>
        <v>0</v>
      </c>
      <c r="S25" s="6">
        <v>1</v>
      </c>
      <c r="T25" s="9">
        <v>1</v>
      </c>
      <c r="U25" s="17">
        <f t="shared" si="9"/>
        <v>12</v>
      </c>
    </row>
  </sheetData>
  <mergeCells count="10">
    <mergeCell ref="J18:J25"/>
    <mergeCell ref="F5:F13"/>
    <mergeCell ref="F18:F25"/>
    <mergeCell ref="A2:U2"/>
    <mergeCell ref="A3:C3"/>
    <mergeCell ref="P3:U3"/>
    <mergeCell ref="A15:U15"/>
    <mergeCell ref="A16:C16"/>
    <mergeCell ref="P16:U16"/>
    <mergeCell ref="J5:J13"/>
  </mergeCells>
  <conditionalFormatting sqref="D18:E25">
    <cfRule type="expression" dxfId="175" priority="28">
      <formula>D$3="SUN"</formula>
    </cfRule>
    <cfRule type="cellIs" dxfId="174" priority="29" operator="equal">
      <formula>"A"</formula>
    </cfRule>
    <cfRule type="cellIs" dxfId="173" priority="30" operator="equal">
      <formula>"P"</formula>
    </cfRule>
  </conditionalFormatting>
  <conditionalFormatting sqref="D3:O4 F5 J5 D5:E13 G5:I13 K5:O13 D16:O17">
    <cfRule type="expression" dxfId="172" priority="217">
      <formula>D$3="SUN"</formula>
    </cfRule>
  </conditionalFormatting>
  <conditionalFormatting sqref="F5 J5 D5:E13 G5:I13 K5:O13">
    <cfRule type="cellIs" dxfId="171" priority="218" operator="equal">
      <formula>"A"</formula>
    </cfRule>
    <cfRule type="cellIs" dxfId="170" priority="219" operator="equal">
      <formula>"P"</formula>
    </cfRule>
  </conditionalFormatting>
  <conditionalFormatting sqref="F18">
    <cfRule type="expression" dxfId="169" priority="4">
      <formula>F$3="SUN"</formula>
    </cfRule>
    <cfRule type="cellIs" dxfId="168" priority="5" operator="equal">
      <formula>"A"</formula>
    </cfRule>
    <cfRule type="cellIs" dxfId="167" priority="6" operator="equal">
      <formula>"P"</formula>
    </cfRule>
  </conditionalFormatting>
  <conditionalFormatting sqref="G18:I25">
    <cfRule type="expression" dxfId="166" priority="22">
      <formula>G$3="SUN"</formula>
    </cfRule>
    <cfRule type="cellIs" dxfId="165" priority="23" operator="equal">
      <formula>"A"</formula>
    </cfRule>
    <cfRule type="cellIs" dxfId="164" priority="24" operator="equal">
      <formula>"P"</formula>
    </cfRule>
  </conditionalFormatting>
  <conditionalFormatting sqref="J18">
    <cfRule type="expression" dxfId="163" priority="7">
      <formula>J$3="SUN"</formula>
    </cfRule>
    <cfRule type="cellIs" dxfId="162" priority="8" operator="equal">
      <formula>"A"</formula>
    </cfRule>
    <cfRule type="cellIs" dxfId="161" priority="9" operator="equal">
      <formula>"P"</formula>
    </cfRule>
  </conditionalFormatting>
  <conditionalFormatting sqref="K18:O25">
    <cfRule type="expression" dxfId="160" priority="10">
      <formula>K$3="SUN"</formula>
    </cfRule>
    <cfRule type="cellIs" dxfId="159" priority="11" operator="equal">
      <formula>"A"</formula>
    </cfRule>
    <cfRule type="cellIs" dxfId="158" priority="12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A094-6578-4F33-B8F4-E9CC2E6FE694}">
  <dimension ref="A1:AN25"/>
  <sheetViews>
    <sheetView topLeftCell="A13" workbookViewId="0">
      <selection activeCell="AH18" sqref="AH18:AH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9" width="3.7109375" bestFit="1" customWidth="1"/>
    <col min="10" max="20" width="3.7109375" customWidth="1"/>
    <col min="21" max="27" width="3.7109375" bestFit="1" customWidth="1"/>
    <col min="28" max="30" width="3.7109375" customWidth="1"/>
    <col min="31" max="34" width="3.7109375" bestFit="1" customWidth="1"/>
    <col min="35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45" t="s">
        <v>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7"/>
    </row>
    <row r="3" spans="1:40" ht="27" x14ac:dyDescent="0.25">
      <c r="A3" s="48" t="s">
        <v>0</v>
      </c>
      <c r="B3" s="49"/>
      <c r="C3" s="49"/>
      <c r="D3" s="15" t="str">
        <f>TEXT(D4,"ddd")</f>
        <v>Sat</v>
      </c>
      <c r="E3" s="15" t="str">
        <f t="shared" ref="E3:AH3" si="0">TEXT(E4,"ddd")</f>
        <v>Sun</v>
      </c>
      <c r="F3" s="15" t="str">
        <f t="shared" si="0"/>
        <v>Mon</v>
      </c>
      <c r="G3" s="15" t="str">
        <f t="shared" si="0"/>
        <v>Tue</v>
      </c>
      <c r="H3" s="15" t="str">
        <f t="shared" si="0"/>
        <v>Wed</v>
      </c>
      <c r="I3" s="15" t="str">
        <f t="shared" si="0"/>
        <v>Thu</v>
      </c>
      <c r="J3" s="15" t="str">
        <f t="shared" si="0"/>
        <v>Fri</v>
      </c>
      <c r="K3" s="15" t="str">
        <f t="shared" si="0"/>
        <v>Sat</v>
      </c>
      <c r="L3" s="15" t="str">
        <f t="shared" si="0"/>
        <v>Sun</v>
      </c>
      <c r="M3" s="15" t="str">
        <f t="shared" si="0"/>
        <v>Mon</v>
      </c>
      <c r="N3" s="15" t="str">
        <f t="shared" si="0"/>
        <v>Tue</v>
      </c>
      <c r="O3" s="15" t="str">
        <f t="shared" si="0"/>
        <v>Wed</v>
      </c>
      <c r="P3" s="15" t="str">
        <f t="shared" si="0"/>
        <v>Thu</v>
      </c>
      <c r="Q3" s="15" t="str">
        <f t="shared" si="0"/>
        <v>Fri</v>
      </c>
      <c r="R3" s="15" t="str">
        <f t="shared" si="0"/>
        <v>Sat</v>
      </c>
      <c r="S3" s="15" t="str">
        <f t="shared" si="0"/>
        <v>Sun</v>
      </c>
      <c r="T3" s="15" t="str">
        <f t="shared" si="0"/>
        <v>Mon</v>
      </c>
      <c r="U3" s="15" t="str">
        <f t="shared" si="0"/>
        <v>Tue</v>
      </c>
      <c r="V3" s="15" t="str">
        <f t="shared" si="0"/>
        <v>Wed</v>
      </c>
      <c r="W3" s="15" t="str">
        <f t="shared" si="0"/>
        <v>Thu</v>
      </c>
      <c r="X3" s="15" t="str">
        <f t="shared" si="0"/>
        <v>Fri</v>
      </c>
      <c r="Y3" s="15" t="str">
        <f t="shared" si="0"/>
        <v>Sat</v>
      </c>
      <c r="Z3" s="15" t="str">
        <f t="shared" si="0"/>
        <v>Sun</v>
      </c>
      <c r="AA3" s="15" t="str">
        <f t="shared" si="0"/>
        <v>Mon</v>
      </c>
      <c r="AB3" s="15" t="str">
        <f t="shared" si="0"/>
        <v>Tue</v>
      </c>
      <c r="AC3" s="15" t="str">
        <f t="shared" si="0"/>
        <v>Wed</v>
      </c>
      <c r="AD3" s="15" t="str">
        <f t="shared" si="0"/>
        <v>Thu</v>
      </c>
      <c r="AE3" s="15" t="str">
        <f t="shared" si="0"/>
        <v>Fri</v>
      </c>
      <c r="AF3" s="15" t="str">
        <f t="shared" si="0"/>
        <v>Sat</v>
      </c>
      <c r="AG3" s="15" t="str">
        <f t="shared" si="0"/>
        <v>Sun</v>
      </c>
      <c r="AH3" s="15" t="str">
        <f t="shared" si="0"/>
        <v>Mon</v>
      </c>
      <c r="AI3" s="51" t="s">
        <v>1</v>
      </c>
      <c r="AJ3" s="52"/>
      <c r="AK3" s="52"/>
      <c r="AL3" s="52"/>
      <c r="AM3" s="52"/>
      <c r="AN3" s="53"/>
    </row>
    <row r="4" spans="1:40" x14ac:dyDescent="0.25">
      <c r="A4" s="1" t="s">
        <v>2</v>
      </c>
      <c r="B4" s="2" t="s">
        <v>3</v>
      </c>
      <c r="C4" s="2" t="s">
        <v>4</v>
      </c>
      <c r="D4" s="7">
        <v>45717</v>
      </c>
      <c r="E4" s="7">
        <v>45718</v>
      </c>
      <c r="F4" s="7">
        <v>45719</v>
      </c>
      <c r="G4" s="7">
        <v>45720</v>
      </c>
      <c r="H4" s="7">
        <v>45721</v>
      </c>
      <c r="I4" s="7">
        <v>45722</v>
      </c>
      <c r="J4" s="7">
        <v>45723</v>
      </c>
      <c r="K4" s="7">
        <v>45724</v>
      </c>
      <c r="L4" s="7">
        <v>45725</v>
      </c>
      <c r="M4" s="7">
        <v>45726</v>
      </c>
      <c r="N4" s="7">
        <v>45727</v>
      </c>
      <c r="O4" s="7">
        <v>45728</v>
      </c>
      <c r="P4" s="7">
        <v>45729</v>
      </c>
      <c r="Q4" s="7">
        <v>45730</v>
      </c>
      <c r="R4" s="7">
        <v>45731</v>
      </c>
      <c r="S4" s="7">
        <v>45732</v>
      </c>
      <c r="T4" s="7">
        <v>45733</v>
      </c>
      <c r="U4" s="7">
        <v>45734</v>
      </c>
      <c r="V4" s="7">
        <v>45735</v>
      </c>
      <c r="W4" s="7">
        <v>45736</v>
      </c>
      <c r="X4" s="7">
        <v>45737</v>
      </c>
      <c r="Y4" s="7">
        <v>45738</v>
      </c>
      <c r="Z4" s="7">
        <v>45739</v>
      </c>
      <c r="AA4" s="7">
        <v>45740</v>
      </c>
      <c r="AB4" s="7">
        <v>45741</v>
      </c>
      <c r="AC4" s="7">
        <v>45742</v>
      </c>
      <c r="AD4" s="7">
        <v>45743</v>
      </c>
      <c r="AE4" s="7">
        <v>45744</v>
      </c>
      <c r="AF4" s="7">
        <v>45745</v>
      </c>
      <c r="AG4" s="7">
        <v>45746</v>
      </c>
      <c r="AH4" s="7">
        <v>45747</v>
      </c>
      <c r="AI4" s="22" t="s">
        <v>6</v>
      </c>
      <c r="AJ4" s="13" t="s">
        <v>7</v>
      </c>
      <c r="AK4" s="13" t="s">
        <v>13</v>
      </c>
      <c r="AL4" s="13" t="s">
        <v>41</v>
      </c>
      <c r="AM4" s="13" t="s">
        <v>25</v>
      </c>
      <c r="AN4" s="14" t="s">
        <v>5</v>
      </c>
    </row>
    <row r="5" spans="1:40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54" t="s">
        <v>26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54" t="s">
        <v>26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13</v>
      </c>
      <c r="S5" s="54" t="s">
        <v>26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4" t="s">
        <v>6</v>
      </c>
      <c r="Z5" s="54" t="s">
        <v>26</v>
      </c>
      <c r="AA5" s="4" t="s">
        <v>6</v>
      </c>
      <c r="AB5" s="4" t="s">
        <v>6</v>
      </c>
      <c r="AC5" s="4" t="s">
        <v>6</v>
      </c>
      <c r="AD5" s="4" t="s">
        <v>6</v>
      </c>
      <c r="AE5" s="56" t="s">
        <v>43</v>
      </c>
      <c r="AF5" s="4" t="s">
        <v>6</v>
      </c>
      <c r="AG5" s="54" t="s">
        <v>26</v>
      </c>
      <c r="AH5" s="64" t="s">
        <v>44</v>
      </c>
      <c r="AI5" s="3">
        <f t="shared" ref="AI5:AI13" si="1">COUNTIF(D5:AH5,"P")</f>
        <v>23</v>
      </c>
      <c r="AJ5" s="4">
        <f t="shared" ref="AJ5:AJ13" si="2">COUNTIF(D5:AH5,"A")</f>
        <v>0</v>
      </c>
      <c r="AK5" s="4">
        <f t="shared" ref="AK5:AK13" si="3">COUNTIF(D5:AH5,"L")</f>
        <v>1</v>
      </c>
      <c r="AL5" s="4">
        <v>2</v>
      </c>
      <c r="AM5" s="4">
        <v>5</v>
      </c>
      <c r="AN5" s="16">
        <f>AI5+AK5+AL5+AM5</f>
        <v>31</v>
      </c>
    </row>
    <row r="6" spans="1:40" x14ac:dyDescent="0.25">
      <c r="A6" s="3">
        <v>2</v>
      </c>
      <c r="B6" s="4" t="s">
        <v>11</v>
      </c>
      <c r="C6" s="4" t="s">
        <v>8</v>
      </c>
      <c r="D6" s="4" t="s">
        <v>6</v>
      </c>
      <c r="E6" s="54"/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54"/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54"/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4" t="s">
        <v>6</v>
      </c>
      <c r="Z6" s="54"/>
      <c r="AA6" s="4" t="s">
        <v>6</v>
      </c>
      <c r="AB6" s="4" t="s">
        <v>6</v>
      </c>
      <c r="AC6" s="4" t="s">
        <v>6</v>
      </c>
      <c r="AD6" s="4" t="s">
        <v>6</v>
      </c>
      <c r="AE6" s="56"/>
      <c r="AF6" s="4" t="s">
        <v>6</v>
      </c>
      <c r="AG6" s="54"/>
      <c r="AH6" s="64"/>
      <c r="AI6" s="3">
        <f t="shared" si="1"/>
        <v>24</v>
      </c>
      <c r="AJ6" s="4">
        <f t="shared" si="2"/>
        <v>0</v>
      </c>
      <c r="AK6" s="4">
        <f t="shared" si="3"/>
        <v>0</v>
      </c>
      <c r="AL6" s="4">
        <v>2</v>
      </c>
      <c r="AM6" s="4">
        <v>5</v>
      </c>
      <c r="AN6" s="16">
        <f t="shared" ref="AN6:AN13" si="4">AI6+AK6+AL6+AM6</f>
        <v>31</v>
      </c>
    </row>
    <row r="7" spans="1:40" x14ac:dyDescent="0.25">
      <c r="A7" s="3">
        <v>3</v>
      </c>
      <c r="B7" s="4" t="s">
        <v>10</v>
      </c>
      <c r="C7" s="4" t="s">
        <v>8</v>
      </c>
      <c r="D7" s="4" t="s">
        <v>6</v>
      </c>
      <c r="E7" s="54"/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54"/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54"/>
      <c r="T7" s="4" t="s">
        <v>6</v>
      </c>
      <c r="U7" s="4" t="s">
        <v>6</v>
      </c>
      <c r="V7" s="4" t="s">
        <v>6</v>
      </c>
      <c r="W7" s="4" t="s">
        <v>6</v>
      </c>
      <c r="X7" s="4" t="s">
        <v>6</v>
      </c>
      <c r="Y7" s="4" t="s">
        <v>6</v>
      </c>
      <c r="Z7" s="54"/>
      <c r="AA7" s="4" t="s">
        <v>6</v>
      </c>
      <c r="AB7" s="4" t="s">
        <v>6</v>
      </c>
      <c r="AC7" s="4" t="s">
        <v>6</v>
      </c>
      <c r="AD7" s="4" t="s">
        <v>6</v>
      </c>
      <c r="AE7" s="56"/>
      <c r="AF7" s="4" t="s">
        <v>6</v>
      </c>
      <c r="AG7" s="54"/>
      <c r="AH7" s="64"/>
      <c r="AI7" s="3">
        <f t="shared" si="1"/>
        <v>24</v>
      </c>
      <c r="AJ7" s="4">
        <f t="shared" si="2"/>
        <v>0</v>
      </c>
      <c r="AK7" s="4">
        <f t="shared" si="3"/>
        <v>0</v>
      </c>
      <c r="AL7" s="4">
        <v>2</v>
      </c>
      <c r="AM7" s="4">
        <v>5</v>
      </c>
      <c r="AN7" s="16">
        <f t="shared" si="4"/>
        <v>31</v>
      </c>
    </row>
    <row r="8" spans="1:40" x14ac:dyDescent="0.25">
      <c r="A8" s="3">
        <v>4</v>
      </c>
      <c r="B8" s="4" t="s">
        <v>12</v>
      </c>
      <c r="C8" s="4" t="s">
        <v>38</v>
      </c>
      <c r="D8" s="4" t="s">
        <v>6</v>
      </c>
      <c r="E8" s="54"/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54"/>
      <c r="M8" s="4" t="s">
        <v>6</v>
      </c>
      <c r="N8" s="4" t="s">
        <v>6</v>
      </c>
      <c r="O8" s="4" t="s">
        <v>6</v>
      </c>
      <c r="P8" s="4" t="s">
        <v>6</v>
      </c>
      <c r="Q8" s="4" t="s">
        <v>13</v>
      </c>
      <c r="R8" s="4" t="s">
        <v>6</v>
      </c>
      <c r="S8" s="54"/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  <c r="Y8" s="4" t="s">
        <v>6</v>
      </c>
      <c r="Z8" s="54"/>
      <c r="AA8" s="4" t="s">
        <v>6</v>
      </c>
      <c r="AB8" s="4" t="s">
        <v>6</v>
      </c>
      <c r="AC8" s="4" t="s">
        <v>6</v>
      </c>
      <c r="AD8" s="4" t="s">
        <v>6</v>
      </c>
      <c r="AE8" s="56"/>
      <c r="AF8" s="4" t="s">
        <v>6</v>
      </c>
      <c r="AG8" s="54"/>
      <c r="AH8" s="64"/>
      <c r="AI8" s="3">
        <f t="shared" si="1"/>
        <v>23</v>
      </c>
      <c r="AJ8" s="4">
        <f t="shared" si="2"/>
        <v>0</v>
      </c>
      <c r="AK8" s="4">
        <f t="shared" si="3"/>
        <v>1</v>
      </c>
      <c r="AL8" s="4">
        <v>2</v>
      </c>
      <c r="AM8" s="4">
        <v>5</v>
      </c>
      <c r="AN8" s="16">
        <f t="shared" si="4"/>
        <v>31</v>
      </c>
    </row>
    <row r="9" spans="1:40" x14ac:dyDescent="0.25">
      <c r="A9" s="3">
        <v>5</v>
      </c>
      <c r="B9" s="4" t="s">
        <v>28</v>
      </c>
      <c r="C9" s="4" t="s">
        <v>29</v>
      </c>
      <c r="D9" s="4" t="s">
        <v>13</v>
      </c>
      <c r="E9" s="54"/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54"/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54"/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4" t="s">
        <v>6</v>
      </c>
      <c r="Z9" s="54"/>
      <c r="AA9" s="4" t="s">
        <v>6</v>
      </c>
      <c r="AB9" s="4" t="s">
        <v>6</v>
      </c>
      <c r="AC9" s="4" t="s">
        <v>6</v>
      </c>
      <c r="AD9" s="4" t="s">
        <v>6</v>
      </c>
      <c r="AE9" s="56"/>
      <c r="AF9" s="4" t="s">
        <v>6</v>
      </c>
      <c r="AG9" s="54"/>
      <c r="AH9" s="64"/>
      <c r="AI9" s="3">
        <f t="shared" si="1"/>
        <v>23</v>
      </c>
      <c r="AJ9" s="4">
        <f t="shared" si="2"/>
        <v>0</v>
      </c>
      <c r="AK9" s="4">
        <f t="shared" si="3"/>
        <v>1</v>
      </c>
      <c r="AL9" s="4">
        <v>2</v>
      </c>
      <c r="AM9" s="4">
        <v>5</v>
      </c>
      <c r="AN9" s="16">
        <f t="shared" si="4"/>
        <v>31</v>
      </c>
    </row>
    <row r="10" spans="1:40" x14ac:dyDescent="0.25">
      <c r="A10" s="3">
        <v>6</v>
      </c>
      <c r="B10" s="4" t="s">
        <v>35</v>
      </c>
      <c r="C10" s="4" t="s">
        <v>36</v>
      </c>
      <c r="D10" s="4" t="s">
        <v>6</v>
      </c>
      <c r="E10" s="54"/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54"/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54"/>
      <c r="T10" s="4" t="s">
        <v>6</v>
      </c>
      <c r="U10" s="4" t="s">
        <v>6</v>
      </c>
      <c r="V10" s="4" t="s">
        <v>6</v>
      </c>
      <c r="W10" s="4" t="s">
        <v>6</v>
      </c>
      <c r="X10" s="4" t="s">
        <v>6</v>
      </c>
      <c r="Y10" s="4" t="s">
        <v>6</v>
      </c>
      <c r="Z10" s="54"/>
      <c r="AA10" s="4" t="s">
        <v>6</v>
      </c>
      <c r="AB10" s="4" t="s">
        <v>6</v>
      </c>
      <c r="AC10" s="4" t="s">
        <v>6</v>
      </c>
      <c r="AD10" s="4" t="s">
        <v>6</v>
      </c>
      <c r="AE10" s="56"/>
      <c r="AF10" s="4" t="s">
        <v>6</v>
      </c>
      <c r="AG10" s="54"/>
      <c r="AH10" s="64"/>
      <c r="AI10" s="3">
        <f t="shared" si="1"/>
        <v>24</v>
      </c>
      <c r="AJ10" s="4">
        <f t="shared" si="2"/>
        <v>0</v>
      </c>
      <c r="AK10" s="4">
        <f t="shared" si="3"/>
        <v>0</v>
      </c>
      <c r="AL10" s="4">
        <v>2</v>
      </c>
      <c r="AM10" s="4">
        <v>5</v>
      </c>
      <c r="AN10" s="16">
        <f t="shared" si="4"/>
        <v>31</v>
      </c>
    </row>
    <row r="11" spans="1:40" x14ac:dyDescent="0.25">
      <c r="A11" s="3">
        <v>7</v>
      </c>
      <c r="B11" s="4" t="s">
        <v>9</v>
      </c>
      <c r="C11" s="4" t="s">
        <v>8</v>
      </c>
      <c r="D11" s="4" t="s">
        <v>6</v>
      </c>
      <c r="E11" s="54"/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13</v>
      </c>
      <c r="L11" s="54"/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54"/>
      <c r="T11" s="4" t="s">
        <v>6</v>
      </c>
      <c r="U11" s="4" t="s">
        <v>6</v>
      </c>
      <c r="V11" s="4" t="s">
        <v>6</v>
      </c>
      <c r="W11" s="4" t="s">
        <v>6</v>
      </c>
      <c r="X11" s="4" t="s">
        <v>6</v>
      </c>
      <c r="Y11" s="4" t="s">
        <v>6</v>
      </c>
      <c r="Z11" s="54"/>
      <c r="AA11" s="4" t="s">
        <v>6</v>
      </c>
      <c r="AB11" s="4" t="s">
        <v>6</v>
      </c>
      <c r="AC11" s="4" t="s">
        <v>6</v>
      </c>
      <c r="AD11" s="4" t="s">
        <v>6</v>
      </c>
      <c r="AE11" s="56"/>
      <c r="AF11" s="4" t="s">
        <v>6</v>
      </c>
      <c r="AG11" s="54"/>
      <c r="AH11" s="64"/>
      <c r="AI11" s="3">
        <f t="shared" si="1"/>
        <v>23</v>
      </c>
      <c r="AJ11" s="4">
        <f t="shared" si="2"/>
        <v>0</v>
      </c>
      <c r="AK11" s="4">
        <f t="shared" si="3"/>
        <v>1</v>
      </c>
      <c r="AL11" s="4">
        <v>2</v>
      </c>
      <c r="AM11" s="4">
        <v>5</v>
      </c>
      <c r="AN11" s="16">
        <f t="shared" si="4"/>
        <v>31</v>
      </c>
    </row>
    <row r="12" spans="1:40" x14ac:dyDescent="0.25">
      <c r="A12" s="3">
        <v>8</v>
      </c>
      <c r="B12" s="11" t="s">
        <v>37</v>
      </c>
      <c r="C12" s="4" t="s">
        <v>8</v>
      </c>
      <c r="D12" s="4" t="s">
        <v>6</v>
      </c>
      <c r="E12" s="39"/>
      <c r="F12" s="4" t="s">
        <v>6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39"/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39"/>
      <c r="T12" s="4" t="s">
        <v>24</v>
      </c>
      <c r="U12" s="4" t="s">
        <v>24</v>
      </c>
      <c r="V12" s="4" t="s">
        <v>24</v>
      </c>
      <c r="W12" s="4" t="s">
        <v>24</v>
      </c>
      <c r="X12" s="4" t="s">
        <v>24</v>
      </c>
      <c r="Y12" s="4" t="s">
        <v>24</v>
      </c>
      <c r="Z12" s="39"/>
      <c r="AA12" s="4" t="s">
        <v>24</v>
      </c>
      <c r="AB12" s="4" t="s">
        <v>24</v>
      </c>
      <c r="AC12" s="4" t="s">
        <v>24</v>
      </c>
      <c r="AD12" s="4" t="s">
        <v>24</v>
      </c>
      <c r="AE12" s="57"/>
      <c r="AF12" s="4" t="s">
        <v>24</v>
      </c>
      <c r="AG12" s="39"/>
      <c r="AH12" s="61"/>
      <c r="AI12" s="3">
        <f t="shared" ref="AI12" si="5">COUNTIF(D12:AH12,"P")</f>
        <v>2</v>
      </c>
      <c r="AJ12" s="4">
        <f t="shared" ref="AJ12" si="6">COUNTIF(D12:AH12,"A")</f>
        <v>0</v>
      </c>
      <c r="AK12" s="4">
        <f t="shared" ref="AK12" si="7">COUNTIF(D12:AH12,"L")</f>
        <v>0</v>
      </c>
      <c r="AL12" s="4">
        <v>2</v>
      </c>
      <c r="AM12" s="4">
        <v>5</v>
      </c>
      <c r="AN12" s="16">
        <v>2</v>
      </c>
    </row>
    <row r="13" spans="1:40" ht="15.75" thickBot="1" x14ac:dyDescent="0.3">
      <c r="A13" s="5">
        <v>9</v>
      </c>
      <c r="B13" s="6" t="s">
        <v>42</v>
      </c>
      <c r="C13" s="6" t="s">
        <v>8</v>
      </c>
      <c r="D13" s="6" t="s">
        <v>6</v>
      </c>
      <c r="E13" s="55"/>
      <c r="F13" s="6" t="s">
        <v>6</v>
      </c>
      <c r="G13" s="6" t="s">
        <v>6</v>
      </c>
      <c r="H13" s="6" t="s">
        <v>6</v>
      </c>
      <c r="I13" s="6" t="s">
        <v>6</v>
      </c>
      <c r="J13" s="6" t="s">
        <v>6</v>
      </c>
      <c r="K13" s="6" t="s">
        <v>6</v>
      </c>
      <c r="L13" s="55"/>
      <c r="M13" s="6" t="s">
        <v>6</v>
      </c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55"/>
      <c r="T13" s="6" t="s">
        <v>6</v>
      </c>
      <c r="U13" s="6" t="s">
        <v>6</v>
      </c>
      <c r="V13" s="6" t="s">
        <v>6</v>
      </c>
      <c r="W13" s="6" t="s">
        <v>6</v>
      </c>
      <c r="X13" s="6" t="s">
        <v>6</v>
      </c>
      <c r="Y13" s="6" t="s">
        <v>6</v>
      </c>
      <c r="Z13" s="55"/>
      <c r="AA13" s="6" t="s">
        <v>6</v>
      </c>
      <c r="AB13" s="6" t="s">
        <v>6</v>
      </c>
      <c r="AC13" s="6" t="s">
        <v>6</v>
      </c>
      <c r="AD13" s="6" t="s">
        <v>6</v>
      </c>
      <c r="AE13" s="58"/>
      <c r="AF13" s="6" t="s">
        <v>6</v>
      </c>
      <c r="AG13" s="55"/>
      <c r="AH13" s="65"/>
      <c r="AI13" s="5">
        <f t="shared" si="1"/>
        <v>24</v>
      </c>
      <c r="AJ13" s="6">
        <f t="shared" si="2"/>
        <v>0</v>
      </c>
      <c r="AK13" s="6">
        <f t="shared" si="3"/>
        <v>0</v>
      </c>
      <c r="AL13" s="6">
        <v>2</v>
      </c>
      <c r="AM13" s="6">
        <v>5</v>
      </c>
      <c r="AN13" s="17">
        <f t="shared" si="4"/>
        <v>31</v>
      </c>
    </row>
    <row r="14" spans="1:40" ht="15.75" thickBot="1" x14ac:dyDescent="0.3"/>
    <row r="15" spans="1:40" ht="32.25" thickBot="1" x14ac:dyDescent="0.55000000000000004">
      <c r="A15" s="45" t="s">
        <v>33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7"/>
    </row>
    <row r="16" spans="1:40" ht="27" x14ac:dyDescent="0.25">
      <c r="A16" s="48" t="s">
        <v>0</v>
      </c>
      <c r="B16" s="49"/>
      <c r="C16" s="49"/>
      <c r="D16" s="15" t="str">
        <f>TEXT(D17,"ddd")</f>
        <v>Sat</v>
      </c>
      <c r="E16" s="15" t="str">
        <f t="shared" ref="E16:AH16" si="8">TEXT(E17,"ddd")</f>
        <v>Sun</v>
      </c>
      <c r="F16" s="15" t="str">
        <f t="shared" si="8"/>
        <v>Mon</v>
      </c>
      <c r="G16" s="15" t="str">
        <f t="shared" si="8"/>
        <v>Tue</v>
      </c>
      <c r="H16" s="15" t="str">
        <f t="shared" si="8"/>
        <v>Wed</v>
      </c>
      <c r="I16" s="15" t="str">
        <f t="shared" si="8"/>
        <v>Thu</v>
      </c>
      <c r="J16" s="15" t="str">
        <f t="shared" si="8"/>
        <v>Fri</v>
      </c>
      <c r="K16" s="15" t="str">
        <f t="shared" si="8"/>
        <v>Sat</v>
      </c>
      <c r="L16" s="15" t="str">
        <f t="shared" si="8"/>
        <v>Sun</v>
      </c>
      <c r="M16" s="15" t="str">
        <f t="shared" si="8"/>
        <v>Mon</v>
      </c>
      <c r="N16" s="15" t="str">
        <f t="shared" si="8"/>
        <v>Tue</v>
      </c>
      <c r="O16" s="15" t="str">
        <f t="shared" si="8"/>
        <v>Wed</v>
      </c>
      <c r="P16" s="15" t="str">
        <f t="shared" si="8"/>
        <v>Thu</v>
      </c>
      <c r="Q16" s="15" t="str">
        <f t="shared" si="8"/>
        <v>Fri</v>
      </c>
      <c r="R16" s="15" t="str">
        <f t="shared" si="8"/>
        <v>Sat</v>
      </c>
      <c r="S16" s="15" t="str">
        <f t="shared" si="8"/>
        <v>Sun</v>
      </c>
      <c r="T16" s="15" t="str">
        <f t="shared" si="8"/>
        <v>Mon</v>
      </c>
      <c r="U16" s="15" t="str">
        <f t="shared" si="8"/>
        <v>Tue</v>
      </c>
      <c r="V16" s="15" t="str">
        <f t="shared" si="8"/>
        <v>Wed</v>
      </c>
      <c r="W16" s="15" t="str">
        <f t="shared" si="8"/>
        <v>Thu</v>
      </c>
      <c r="X16" s="15" t="str">
        <f t="shared" si="8"/>
        <v>Fri</v>
      </c>
      <c r="Y16" s="15" t="str">
        <f t="shared" si="8"/>
        <v>Sat</v>
      </c>
      <c r="Z16" s="15" t="str">
        <f t="shared" si="8"/>
        <v>Sun</v>
      </c>
      <c r="AA16" s="15" t="str">
        <f t="shared" si="8"/>
        <v>Mon</v>
      </c>
      <c r="AB16" s="15" t="str">
        <f t="shared" si="8"/>
        <v>Tue</v>
      </c>
      <c r="AC16" s="15" t="str">
        <f t="shared" si="8"/>
        <v>Wed</v>
      </c>
      <c r="AD16" s="15" t="str">
        <f t="shared" si="8"/>
        <v>Thu</v>
      </c>
      <c r="AE16" s="15" t="str">
        <f t="shared" si="8"/>
        <v>Fri</v>
      </c>
      <c r="AF16" s="15" t="str">
        <f t="shared" si="8"/>
        <v>Sat</v>
      </c>
      <c r="AG16" s="15" t="str">
        <f t="shared" si="8"/>
        <v>Sun</v>
      </c>
      <c r="AH16" s="27" t="str">
        <f t="shared" si="8"/>
        <v>Mon</v>
      </c>
      <c r="AI16" s="51" t="s">
        <v>1</v>
      </c>
      <c r="AJ16" s="52"/>
      <c r="AK16" s="52"/>
      <c r="AL16" s="52"/>
      <c r="AM16" s="52"/>
      <c r="AN16" s="53"/>
    </row>
    <row r="17" spans="1:40" x14ac:dyDescent="0.25">
      <c r="A17" s="1" t="s">
        <v>2</v>
      </c>
      <c r="B17" s="2" t="s">
        <v>3</v>
      </c>
      <c r="C17" s="2" t="s">
        <v>4</v>
      </c>
      <c r="D17" s="7">
        <v>45717</v>
      </c>
      <c r="E17" s="7">
        <v>45718</v>
      </c>
      <c r="F17" s="7">
        <v>45719</v>
      </c>
      <c r="G17" s="7">
        <v>45720</v>
      </c>
      <c r="H17" s="7">
        <v>45721</v>
      </c>
      <c r="I17" s="7">
        <v>45722</v>
      </c>
      <c r="J17" s="7">
        <v>45723</v>
      </c>
      <c r="K17" s="7">
        <v>45724</v>
      </c>
      <c r="L17" s="7">
        <v>45725</v>
      </c>
      <c r="M17" s="7">
        <v>45726</v>
      </c>
      <c r="N17" s="7">
        <v>45727</v>
      </c>
      <c r="O17" s="7">
        <v>45728</v>
      </c>
      <c r="P17" s="7">
        <v>45729</v>
      </c>
      <c r="Q17" s="7">
        <v>45730</v>
      </c>
      <c r="R17" s="7">
        <v>45731</v>
      </c>
      <c r="S17" s="7">
        <v>45732</v>
      </c>
      <c r="T17" s="7">
        <v>45733</v>
      </c>
      <c r="U17" s="7">
        <v>45734</v>
      </c>
      <c r="V17" s="7">
        <v>45735</v>
      </c>
      <c r="W17" s="7">
        <v>45736</v>
      </c>
      <c r="X17" s="7">
        <v>45737</v>
      </c>
      <c r="Y17" s="7">
        <v>45738</v>
      </c>
      <c r="Z17" s="7">
        <v>45739</v>
      </c>
      <c r="AA17" s="7">
        <v>45740</v>
      </c>
      <c r="AB17" s="7">
        <v>45741</v>
      </c>
      <c r="AC17" s="7">
        <v>45742</v>
      </c>
      <c r="AD17" s="7">
        <v>45743</v>
      </c>
      <c r="AE17" s="7">
        <v>45744</v>
      </c>
      <c r="AF17" s="7">
        <v>45745</v>
      </c>
      <c r="AG17" s="7">
        <v>45746</v>
      </c>
      <c r="AH17" s="28">
        <v>45747</v>
      </c>
      <c r="AI17" s="22" t="s">
        <v>6</v>
      </c>
      <c r="AJ17" s="13" t="s">
        <v>7</v>
      </c>
      <c r="AK17" s="13" t="s">
        <v>13</v>
      </c>
      <c r="AL17" s="13" t="s">
        <v>41</v>
      </c>
      <c r="AM17" s="13" t="s">
        <v>25</v>
      </c>
      <c r="AN17" s="14" t="s">
        <v>5</v>
      </c>
    </row>
    <row r="18" spans="1:40" ht="15" customHeight="1" x14ac:dyDescent="0.25">
      <c r="A18" s="3">
        <f>IF(B18="","",1)</f>
        <v>1</v>
      </c>
      <c r="B18" s="4" t="s">
        <v>14</v>
      </c>
      <c r="C18" s="4" t="s">
        <v>15</v>
      </c>
      <c r="D18" s="4" t="s">
        <v>6</v>
      </c>
      <c r="E18" s="39" t="s">
        <v>26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 t="s">
        <v>6</v>
      </c>
      <c r="L18" s="39" t="s">
        <v>26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 t="s">
        <v>6</v>
      </c>
      <c r="S18" s="39" t="s">
        <v>26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4" t="s">
        <v>6</v>
      </c>
      <c r="Z18" s="39" t="s">
        <v>26</v>
      </c>
      <c r="AA18" s="4" t="s">
        <v>6</v>
      </c>
      <c r="AB18" s="4" t="s">
        <v>6</v>
      </c>
      <c r="AC18" s="4" t="s">
        <v>6</v>
      </c>
      <c r="AD18" s="4" t="s">
        <v>6</v>
      </c>
      <c r="AE18" s="57" t="s">
        <v>43</v>
      </c>
      <c r="AF18" s="4" t="s">
        <v>6</v>
      </c>
      <c r="AG18" s="39" t="s">
        <v>26</v>
      </c>
      <c r="AH18" s="61" t="s">
        <v>44</v>
      </c>
      <c r="AI18" s="24">
        <f t="shared" ref="AI18:AI25" si="9">COUNTIF(D18:AH18,"P")</f>
        <v>24</v>
      </c>
      <c r="AJ18" s="8">
        <f t="shared" ref="AJ18:AJ25" si="10">COUNTIF(D18:AH18,"A")</f>
        <v>0</v>
      </c>
      <c r="AK18" s="8">
        <f t="shared" ref="AK18:AK25" si="11">COUNTIF(D18:AH18,"L")</f>
        <v>0</v>
      </c>
      <c r="AL18" s="4">
        <v>2</v>
      </c>
      <c r="AM18" s="8">
        <v>5</v>
      </c>
      <c r="AN18" s="16">
        <f>AI18+AK18+AL18+AM18</f>
        <v>31</v>
      </c>
    </row>
    <row r="19" spans="1:40" x14ac:dyDescent="0.25">
      <c r="A19" s="3">
        <f>IF(B19="","",A18+1)</f>
        <v>2</v>
      </c>
      <c r="B19" s="4" t="s">
        <v>16</v>
      </c>
      <c r="C19" s="4" t="s">
        <v>17</v>
      </c>
      <c r="D19" s="4" t="s">
        <v>6</v>
      </c>
      <c r="E19" s="40"/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40"/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0"/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4" t="s">
        <v>6</v>
      </c>
      <c r="Z19" s="40"/>
      <c r="AA19" s="4" t="s">
        <v>6</v>
      </c>
      <c r="AB19" s="4" t="s">
        <v>6</v>
      </c>
      <c r="AC19" s="4" t="s">
        <v>6</v>
      </c>
      <c r="AD19" s="4" t="s">
        <v>6</v>
      </c>
      <c r="AE19" s="59"/>
      <c r="AF19" s="4" t="s">
        <v>6</v>
      </c>
      <c r="AG19" s="40"/>
      <c r="AH19" s="62"/>
      <c r="AI19" s="24">
        <f t="shared" si="9"/>
        <v>24</v>
      </c>
      <c r="AJ19" s="8">
        <f t="shared" si="10"/>
        <v>0</v>
      </c>
      <c r="AK19" s="8">
        <f t="shared" si="11"/>
        <v>0</v>
      </c>
      <c r="AL19" s="4">
        <v>2</v>
      </c>
      <c r="AM19" s="8">
        <v>5</v>
      </c>
      <c r="AN19" s="16">
        <f t="shared" ref="AN19:AN25" si="12">AI19+AK19+AL19+AM19</f>
        <v>31</v>
      </c>
    </row>
    <row r="20" spans="1:40" x14ac:dyDescent="0.25">
      <c r="A20" s="3">
        <f t="shared" ref="A20:A25" si="13">IF(B20="","",A19+1)</f>
        <v>3</v>
      </c>
      <c r="B20" s="4" t="s">
        <v>18</v>
      </c>
      <c r="C20" s="4" t="s">
        <v>19</v>
      </c>
      <c r="D20" s="4" t="s">
        <v>6</v>
      </c>
      <c r="E20" s="40"/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0"/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0"/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4" t="s">
        <v>6</v>
      </c>
      <c r="Z20" s="40"/>
      <c r="AA20" s="4" t="s">
        <v>6</v>
      </c>
      <c r="AB20" s="4" t="s">
        <v>6</v>
      </c>
      <c r="AC20" s="4" t="s">
        <v>6</v>
      </c>
      <c r="AD20" s="4" t="s">
        <v>6</v>
      </c>
      <c r="AE20" s="59"/>
      <c r="AF20" s="4" t="s">
        <v>6</v>
      </c>
      <c r="AG20" s="40"/>
      <c r="AH20" s="62"/>
      <c r="AI20" s="24">
        <f t="shared" si="9"/>
        <v>24</v>
      </c>
      <c r="AJ20" s="8">
        <f t="shared" si="10"/>
        <v>0</v>
      </c>
      <c r="AK20" s="8">
        <f t="shared" si="11"/>
        <v>0</v>
      </c>
      <c r="AL20" s="4">
        <v>2</v>
      </c>
      <c r="AM20" s="8">
        <v>5</v>
      </c>
      <c r="AN20" s="16">
        <f t="shared" si="12"/>
        <v>31</v>
      </c>
    </row>
    <row r="21" spans="1:40" x14ac:dyDescent="0.25">
      <c r="A21" s="3">
        <f t="shared" si="13"/>
        <v>4</v>
      </c>
      <c r="B21" s="4" t="s">
        <v>21</v>
      </c>
      <c r="C21" s="4" t="s">
        <v>20</v>
      </c>
      <c r="D21" s="4" t="s">
        <v>6</v>
      </c>
      <c r="E21" s="40"/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0"/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0"/>
      <c r="T21" s="4" t="s">
        <v>6</v>
      </c>
      <c r="U21" s="4" t="s">
        <v>6</v>
      </c>
      <c r="V21" s="4" t="s">
        <v>6</v>
      </c>
      <c r="W21" s="4" t="s">
        <v>6</v>
      </c>
      <c r="X21" s="4" t="s">
        <v>6</v>
      </c>
      <c r="Y21" s="4" t="s">
        <v>6</v>
      </c>
      <c r="Z21" s="40"/>
      <c r="AA21" s="4" t="s">
        <v>6</v>
      </c>
      <c r="AB21" s="4" t="s">
        <v>6</v>
      </c>
      <c r="AC21" s="4" t="s">
        <v>6</v>
      </c>
      <c r="AD21" s="4" t="s">
        <v>6</v>
      </c>
      <c r="AE21" s="59"/>
      <c r="AF21" s="4" t="s">
        <v>6</v>
      </c>
      <c r="AG21" s="40"/>
      <c r="AH21" s="62"/>
      <c r="AI21" s="24">
        <f t="shared" si="9"/>
        <v>24</v>
      </c>
      <c r="AJ21" s="8">
        <f t="shared" si="10"/>
        <v>0</v>
      </c>
      <c r="AK21" s="8">
        <f t="shared" si="11"/>
        <v>0</v>
      </c>
      <c r="AL21" s="4">
        <v>2</v>
      </c>
      <c r="AM21" s="8">
        <v>5</v>
      </c>
      <c r="AN21" s="16">
        <f t="shared" si="12"/>
        <v>31</v>
      </c>
    </row>
    <row r="22" spans="1:40" x14ac:dyDescent="0.25">
      <c r="A22" s="3">
        <f t="shared" si="13"/>
        <v>5</v>
      </c>
      <c r="B22" s="4" t="s">
        <v>22</v>
      </c>
      <c r="C22" s="4" t="s">
        <v>23</v>
      </c>
      <c r="D22" s="4" t="s">
        <v>6</v>
      </c>
      <c r="E22" s="40"/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0"/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0"/>
      <c r="T22" s="4" t="s">
        <v>6</v>
      </c>
      <c r="U22" s="4" t="s">
        <v>6</v>
      </c>
      <c r="V22" s="4" t="s">
        <v>6</v>
      </c>
      <c r="W22" s="4" t="s">
        <v>6</v>
      </c>
      <c r="X22" s="4" t="s">
        <v>6</v>
      </c>
      <c r="Y22" s="4" t="s">
        <v>6</v>
      </c>
      <c r="Z22" s="40"/>
      <c r="AA22" s="4" t="s">
        <v>6</v>
      </c>
      <c r="AB22" s="4" t="s">
        <v>6</v>
      </c>
      <c r="AC22" s="4" t="s">
        <v>6</v>
      </c>
      <c r="AD22" s="4" t="s">
        <v>6</v>
      </c>
      <c r="AE22" s="59"/>
      <c r="AF22" s="4" t="s">
        <v>6</v>
      </c>
      <c r="AG22" s="40"/>
      <c r="AH22" s="62"/>
      <c r="AI22" s="24">
        <f t="shared" si="9"/>
        <v>24</v>
      </c>
      <c r="AJ22" s="8">
        <f t="shared" si="10"/>
        <v>0</v>
      </c>
      <c r="AK22" s="8">
        <f t="shared" si="11"/>
        <v>0</v>
      </c>
      <c r="AL22" s="4">
        <v>2</v>
      </c>
      <c r="AM22" s="8">
        <v>5</v>
      </c>
      <c r="AN22" s="16">
        <f t="shared" si="12"/>
        <v>31</v>
      </c>
    </row>
    <row r="23" spans="1:40" x14ac:dyDescent="0.25">
      <c r="A23" s="3">
        <f t="shared" si="13"/>
        <v>6</v>
      </c>
      <c r="B23" s="11" t="s">
        <v>30</v>
      </c>
      <c r="C23" s="4" t="s">
        <v>20</v>
      </c>
      <c r="D23" s="4" t="s">
        <v>6</v>
      </c>
      <c r="E23" s="40"/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0"/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0"/>
      <c r="T23" s="4" t="s">
        <v>6</v>
      </c>
      <c r="U23" s="4" t="s">
        <v>6</v>
      </c>
      <c r="V23" s="4" t="s">
        <v>6</v>
      </c>
      <c r="W23" s="4" t="s">
        <v>6</v>
      </c>
      <c r="X23" s="4" t="s">
        <v>6</v>
      </c>
      <c r="Y23" s="4" t="s">
        <v>6</v>
      </c>
      <c r="Z23" s="40"/>
      <c r="AA23" s="4" t="s">
        <v>6</v>
      </c>
      <c r="AB23" s="4" t="s">
        <v>6</v>
      </c>
      <c r="AC23" s="4" t="s">
        <v>6</v>
      </c>
      <c r="AD23" s="4" t="s">
        <v>6</v>
      </c>
      <c r="AE23" s="59"/>
      <c r="AF23" s="4" t="s">
        <v>6</v>
      </c>
      <c r="AG23" s="40"/>
      <c r="AH23" s="62"/>
      <c r="AI23" s="24">
        <f t="shared" si="9"/>
        <v>24</v>
      </c>
      <c r="AJ23" s="8">
        <f t="shared" si="10"/>
        <v>0</v>
      </c>
      <c r="AK23" s="8">
        <f t="shared" si="11"/>
        <v>0</v>
      </c>
      <c r="AL23" s="4">
        <v>2</v>
      </c>
      <c r="AM23" s="8">
        <v>5</v>
      </c>
      <c r="AN23" s="16">
        <f t="shared" si="12"/>
        <v>31</v>
      </c>
    </row>
    <row r="24" spans="1:40" x14ac:dyDescent="0.25">
      <c r="A24" s="3">
        <f t="shared" si="13"/>
        <v>7</v>
      </c>
      <c r="B24" s="11" t="s">
        <v>31</v>
      </c>
      <c r="C24" s="4" t="s">
        <v>20</v>
      </c>
      <c r="D24" s="11" t="s">
        <v>6</v>
      </c>
      <c r="E24" s="40"/>
      <c r="F24" s="11" t="s">
        <v>6</v>
      </c>
      <c r="G24" s="11" t="s">
        <v>6</v>
      </c>
      <c r="H24" s="11" t="s">
        <v>6</v>
      </c>
      <c r="I24" s="11" t="s">
        <v>6</v>
      </c>
      <c r="J24" s="11" t="s">
        <v>6</v>
      </c>
      <c r="K24" s="11" t="s">
        <v>6</v>
      </c>
      <c r="L24" s="40"/>
      <c r="M24" s="11" t="s">
        <v>6</v>
      </c>
      <c r="N24" s="11" t="s">
        <v>6</v>
      </c>
      <c r="O24" s="11" t="s">
        <v>6</v>
      </c>
      <c r="P24" s="11" t="s">
        <v>6</v>
      </c>
      <c r="Q24" s="11" t="s">
        <v>6</v>
      </c>
      <c r="R24" s="11" t="s">
        <v>6</v>
      </c>
      <c r="S24" s="40"/>
      <c r="T24" s="11" t="s">
        <v>6</v>
      </c>
      <c r="U24" s="11" t="s">
        <v>6</v>
      </c>
      <c r="V24" s="11" t="s">
        <v>6</v>
      </c>
      <c r="W24" s="11" t="s">
        <v>6</v>
      </c>
      <c r="X24" s="11" t="s">
        <v>6</v>
      </c>
      <c r="Y24" s="11" t="s">
        <v>6</v>
      </c>
      <c r="Z24" s="40"/>
      <c r="AA24" s="11" t="s">
        <v>6</v>
      </c>
      <c r="AB24" s="11" t="s">
        <v>6</v>
      </c>
      <c r="AC24" s="11" t="s">
        <v>6</v>
      </c>
      <c r="AD24" s="11" t="s">
        <v>6</v>
      </c>
      <c r="AE24" s="59"/>
      <c r="AF24" s="11" t="s">
        <v>6</v>
      </c>
      <c r="AG24" s="40"/>
      <c r="AH24" s="62"/>
      <c r="AI24" s="25">
        <f t="shared" si="9"/>
        <v>24</v>
      </c>
      <c r="AJ24" s="12">
        <f t="shared" si="10"/>
        <v>0</v>
      </c>
      <c r="AK24" s="8">
        <f t="shared" si="11"/>
        <v>0</v>
      </c>
      <c r="AL24" s="11">
        <v>2</v>
      </c>
      <c r="AM24" s="12">
        <v>5</v>
      </c>
      <c r="AN24" s="16">
        <f t="shared" si="12"/>
        <v>31</v>
      </c>
    </row>
    <row r="25" spans="1:40" ht="15.75" thickBot="1" x14ac:dyDescent="0.3">
      <c r="A25" s="5">
        <f t="shared" si="13"/>
        <v>8</v>
      </c>
      <c r="B25" s="6" t="s">
        <v>39</v>
      </c>
      <c r="C25" s="6" t="s">
        <v>34</v>
      </c>
      <c r="D25" s="6" t="s">
        <v>13</v>
      </c>
      <c r="E25" s="41"/>
      <c r="F25" s="6" t="s">
        <v>6</v>
      </c>
      <c r="G25" s="6" t="s">
        <v>6</v>
      </c>
      <c r="H25" s="6" t="s">
        <v>6</v>
      </c>
      <c r="I25" s="6" t="s">
        <v>6</v>
      </c>
      <c r="J25" s="6" t="s">
        <v>6</v>
      </c>
      <c r="K25" s="6" t="s">
        <v>6</v>
      </c>
      <c r="L25" s="41"/>
      <c r="M25" s="6" t="s">
        <v>6</v>
      </c>
      <c r="N25" s="6" t="s">
        <v>6</v>
      </c>
      <c r="O25" s="6" t="s">
        <v>6</v>
      </c>
      <c r="P25" s="6" t="s">
        <v>6</v>
      </c>
      <c r="Q25" s="6" t="s">
        <v>6</v>
      </c>
      <c r="R25" s="6" t="s">
        <v>6</v>
      </c>
      <c r="S25" s="41"/>
      <c r="T25" s="6" t="s">
        <v>6</v>
      </c>
      <c r="U25" s="6" t="s">
        <v>6</v>
      </c>
      <c r="V25" s="6" t="s">
        <v>6</v>
      </c>
      <c r="W25" s="6" t="s">
        <v>6</v>
      </c>
      <c r="X25" s="6" t="s">
        <v>6</v>
      </c>
      <c r="Y25" s="6" t="s">
        <v>6</v>
      </c>
      <c r="Z25" s="41"/>
      <c r="AA25" s="6" t="s">
        <v>6</v>
      </c>
      <c r="AB25" s="6" t="s">
        <v>6</v>
      </c>
      <c r="AC25" s="6" t="s">
        <v>6</v>
      </c>
      <c r="AD25" s="6" t="s">
        <v>6</v>
      </c>
      <c r="AE25" s="60"/>
      <c r="AF25" s="6" t="s">
        <v>6</v>
      </c>
      <c r="AG25" s="41"/>
      <c r="AH25" s="63"/>
      <c r="AI25" s="26">
        <f t="shared" si="9"/>
        <v>23</v>
      </c>
      <c r="AJ25" s="9">
        <f t="shared" si="10"/>
        <v>0</v>
      </c>
      <c r="AK25" s="9">
        <f t="shared" si="11"/>
        <v>1</v>
      </c>
      <c r="AL25" s="6">
        <v>2</v>
      </c>
      <c r="AM25" s="9">
        <v>5</v>
      </c>
      <c r="AN25" s="17">
        <f t="shared" si="12"/>
        <v>31</v>
      </c>
    </row>
  </sheetData>
  <mergeCells count="20">
    <mergeCell ref="AG18:AG25"/>
    <mergeCell ref="AG5:AG13"/>
    <mergeCell ref="AE5:AE13"/>
    <mergeCell ref="AE18:AE25"/>
    <mergeCell ref="AH18:AH25"/>
    <mergeCell ref="AH5:AH13"/>
    <mergeCell ref="A15:AN15"/>
    <mergeCell ref="A16:C16"/>
    <mergeCell ref="AI16:AN16"/>
    <mergeCell ref="E18:E25"/>
    <mergeCell ref="L18:L25"/>
    <mergeCell ref="S18:S25"/>
    <mergeCell ref="Z18:Z25"/>
    <mergeCell ref="A2:AN2"/>
    <mergeCell ref="A3:C3"/>
    <mergeCell ref="AI3:AN3"/>
    <mergeCell ref="E5:E13"/>
    <mergeCell ref="L5:L13"/>
    <mergeCell ref="S5:S13"/>
    <mergeCell ref="Z5:Z13"/>
  </mergeCells>
  <conditionalFormatting sqref="D18:D25">
    <cfRule type="expression" dxfId="157" priority="123">
      <formula>D$3="SUN"</formula>
    </cfRule>
    <cfRule type="cellIs" dxfId="156" priority="124" operator="equal">
      <formula>"A"</formula>
    </cfRule>
    <cfRule type="cellIs" dxfId="155" priority="125" operator="equal">
      <formula>"P"</formula>
    </cfRule>
  </conditionalFormatting>
  <conditionalFormatting sqref="D5:AH13">
    <cfRule type="cellIs" dxfId="154" priority="8" operator="equal">
      <formula>"L"</formula>
    </cfRule>
  </conditionalFormatting>
  <conditionalFormatting sqref="D18:AH25">
    <cfRule type="cellIs" dxfId="153" priority="1" operator="equal">
      <formula>"L"</formula>
    </cfRule>
  </conditionalFormatting>
  <conditionalFormatting sqref="E5 L5 S5 Z5 AG5 D5:D13 F5:K13 M5:R13 T5:Y13 AA5:AF13 AH5:AH13 D3:AH4 D16:AH17">
    <cfRule type="expression" dxfId="152" priority="126">
      <formula>D$3="SUN"</formula>
    </cfRule>
  </conditionalFormatting>
  <conditionalFormatting sqref="E5 L5 S5 Z5 AG5 D5:D13 F5:K13 M5:R13 T5:Y13 AA5:AF13 AH5:AH13">
    <cfRule type="cellIs" dxfId="151" priority="127" operator="equal">
      <formula>"A"</formula>
    </cfRule>
    <cfRule type="cellIs" dxfId="150" priority="128" operator="equal">
      <formula>"P"</formula>
    </cfRule>
  </conditionalFormatting>
  <conditionalFormatting sqref="E18">
    <cfRule type="expression" dxfId="149" priority="120">
      <formula>E$3="SUN"</formula>
    </cfRule>
    <cfRule type="cellIs" dxfId="148" priority="121" operator="equal">
      <formula>"A"</formula>
    </cfRule>
    <cfRule type="cellIs" dxfId="147" priority="122" operator="equal">
      <formula>"P"</formula>
    </cfRule>
  </conditionalFormatting>
  <conditionalFormatting sqref="F18:K25">
    <cfRule type="expression" dxfId="146" priority="66">
      <formula>F$3="SUN"</formula>
    </cfRule>
    <cfRule type="cellIs" dxfId="145" priority="67" operator="equal">
      <formula>"A"</formula>
    </cfRule>
    <cfRule type="cellIs" dxfId="144" priority="68" operator="equal">
      <formula>"P"</formula>
    </cfRule>
  </conditionalFormatting>
  <conditionalFormatting sqref="L18">
    <cfRule type="expression" dxfId="143" priority="114">
      <formula>L$3="SUN"</formula>
    </cfRule>
    <cfRule type="cellIs" dxfId="142" priority="115" operator="equal">
      <formula>"A"</formula>
    </cfRule>
    <cfRule type="cellIs" dxfId="141" priority="116" operator="equal">
      <formula>"P"</formula>
    </cfRule>
  </conditionalFormatting>
  <conditionalFormatting sqref="M18:R25">
    <cfRule type="expression" dxfId="140" priority="48">
      <formula>M$3="SUN"</formula>
    </cfRule>
    <cfRule type="cellIs" dxfId="139" priority="49" operator="equal">
      <formula>"A"</formula>
    </cfRule>
    <cfRule type="cellIs" dxfId="138" priority="50" operator="equal">
      <formula>"P"</formula>
    </cfRule>
  </conditionalFormatting>
  <conditionalFormatting sqref="S18">
    <cfRule type="expression" dxfId="137" priority="111">
      <formula>S$3="SUN"</formula>
    </cfRule>
    <cfRule type="cellIs" dxfId="136" priority="112" operator="equal">
      <formula>"A"</formula>
    </cfRule>
    <cfRule type="cellIs" dxfId="135" priority="113" operator="equal">
      <formula>"P"</formula>
    </cfRule>
  </conditionalFormatting>
  <conditionalFormatting sqref="T18:Y25">
    <cfRule type="expression" dxfId="134" priority="30">
      <formula>T$3="SUN"</formula>
    </cfRule>
    <cfRule type="cellIs" dxfId="133" priority="31" operator="equal">
      <formula>"A"</formula>
    </cfRule>
    <cfRule type="cellIs" dxfId="132" priority="32" operator="equal">
      <formula>"P"</formula>
    </cfRule>
  </conditionalFormatting>
  <conditionalFormatting sqref="Z18">
    <cfRule type="expression" dxfId="131" priority="90">
      <formula>Z$3="SUN"</formula>
    </cfRule>
    <cfRule type="cellIs" dxfId="130" priority="91" operator="equal">
      <formula>"A"</formula>
    </cfRule>
    <cfRule type="cellIs" dxfId="129" priority="92" operator="equal">
      <formula>"P"</formula>
    </cfRule>
  </conditionalFormatting>
  <conditionalFormatting sqref="AA18:AD25">
    <cfRule type="expression" dxfId="128" priority="18">
      <formula>AA$3="SUN"</formula>
    </cfRule>
    <cfRule type="cellIs" dxfId="127" priority="19" operator="equal">
      <formula>"A"</formula>
    </cfRule>
    <cfRule type="cellIs" dxfId="126" priority="20" operator="equal">
      <formula>"P"</formula>
    </cfRule>
  </conditionalFormatting>
  <conditionalFormatting sqref="AE18">
    <cfRule type="expression" dxfId="125" priority="5">
      <formula>AE$3="SUN"</formula>
    </cfRule>
    <cfRule type="cellIs" dxfId="124" priority="6" operator="equal">
      <formula>"A"</formula>
    </cfRule>
    <cfRule type="cellIs" dxfId="123" priority="7" operator="equal">
      <formula>"P"</formula>
    </cfRule>
  </conditionalFormatting>
  <conditionalFormatting sqref="AF18:AF25">
    <cfRule type="expression" dxfId="122" priority="12">
      <formula>AF$3="SUN"</formula>
    </cfRule>
    <cfRule type="cellIs" dxfId="121" priority="13" operator="equal">
      <formula>"A"</formula>
    </cfRule>
    <cfRule type="cellIs" dxfId="120" priority="14" operator="equal">
      <formula>"P"</formula>
    </cfRule>
  </conditionalFormatting>
  <conditionalFormatting sqref="AG18:AH18">
    <cfRule type="expression" dxfId="119" priority="2">
      <formula>AG$3="SUN"</formula>
    </cfRule>
    <cfRule type="cellIs" dxfId="118" priority="3" operator="equal">
      <formula>"A"</formula>
    </cfRule>
    <cfRule type="cellIs" dxfId="117" priority="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BE97-ACBE-4055-9644-AAA1AFC29BD9}">
  <dimension ref="A1:AM26"/>
  <sheetViews>
    <sheetView topLeftCell="A19" workbookViewId="0">
      <selection activeCell="AE26" sqref="AE26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9" width="3.7109375" bestFit="1" customWidth="1"/>
    <col min="10" max="20" width="3.7109375" customWidth="1"/>
    <col min="21" max="27" width="3.7109375" bestFit="1" customWidth="1"/>
    <col min="28" max="30" width="3.7109375" customWidth="1"/>
    <col min="31" max="33" width="3.7109375" bestFit="1" customWidth="1"/>
    <col min="34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45" t="s">
        <v>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7"/>
    </row>
    <row r="3" spans="1:39" ht="27" x14ac:dyDescent="0.25">
      <c r="A3" s="48" t="s">
        <v>0</v>
      </c>
      <c r="B3" s="49"/>
      <c r="C3" s="49"/>
      <c r="D3" s="15" t="str">
        <f>TEXT(D4,"ddd")</f>
        <v>Tue</v>
      </c>
      <c r="E3" s="15" t="str">
        <f t="shared" ref="E3:AG3" si="0">TEXT(E4,"ddd")</f>
        <v>Wed</v>
      </c>
      <c r="F3" s="15" t="str">
        <f t="shared" si="0"/>
        <v>Thu</v>
      </c>
      <c r="G3" s="15" t="str">
        <f t="shared" si="0"/>
        <v>Fri</v>
      </c>
      <c r="H3" s="15" t="str">
        <f t="shared" si="0"/>
        <v>Sat</v>
      </c>
      <c r="I3" s="15" t="str">
        <f t="shared" si="0"/>
        <v>Sun</v>
      </c>
      <c r="J3" s="15" t="str">
        <f t="shared" si="0"/>
        <v>Mon</v>
      </c>
      <c r="K3" s="15" t="str">
        <f t="shared" si="0"/>
        <v>Tue</v>
      </c>
      <c r="L3" s="15" t="str">
        <f t="shared" si="0"/>
        <v>Wed</v>
      </c>
      <c r="M3" s="15" t="str">
        <f t="shared" si="0"/>
        <v>Thu</v>
      </c>
      <c r="N3" s="15" t="str">
        <f t="shared" si="0"/>
        <v>Fri</v>
      </c>
      <c r="O3" s="15" t="str">
        <f t="shared" si="0"/>
        <v>Sat</v>
      </c>
      <c r="P3" s="15" t="str">
        <f t="shared" si="0"/>
        <v>Sun</v>
      </c>
      <c r="Q3" s="15" t="str">
        <f t="shared" si="0"/>
        <v>Mon</v>
      </c>
      <c r="R3" s="15" t="str">
        <f t="shared" si="0"/>
        <v>Tue</v>
      </c>
      <c r="S3" s="15" t="str">
        <f t="shared" si="0"/>
        <v>Wed</v>
      </c>
      <c r="T3" s="15" t="str">
        <f t="shared" si="0"/>
        <v>Thu</v>
      </c>
      <c r="U3" s="15" t="str">
        <f t="shared" si="0"/>
        <v>Fri</v>
      </c>
      <c r="V3" s="15" t="str">
        <f t="shared" si="0"/>
        <v>Sat</v>
      </c>
      <c r="W3" s="15" t="str">
        <f t="shared" si="0"/>
        <v>Sun</v>
      </c>
      <c r="X3" s="15" t="str">
        <f t="shared" si="0"/>
        <v>Mon</v>
      </c>
      <c r="Y3" s="15" t="str">
        <f t="shared" si="0"/>
        <v>Tue</v>
      </c>
      <c r="Z3" s="15" t="str">
        <f t="shared" si="0"/>
        <v>Wed</v>
      </c>
      <c r="AA3" s="15" t="str">
        <f t="shared" si="0"/>
        <v>Thu</v>
      </c>
      <c r="AB3" s="15" t="str">
        <f t="shared" si="0"/>
        <v>Fri</v>
      </c>
      <c r="AC3" s="15" t="str">
        <f t="shared" si="0"/>
        <v>Sat</v>
      </c>
      <c r="AD3" s="15" t="str">
        <f t="shared" si="0"/>
        <v>Sun</v>
      </c>
      <c r="AE3" s="15" t="str">
        <f t="shared" si="0"/>
        <v>Mon</v>
      </c>
      <c r="AF3" s="15" t="str">
        <f t="shared" si="0"/>
        <v>Tue</v>
      </c>
      <c r="AG3" s="15" t="str">
        <f t="shared" si="0"/>
        <v>Wed</v>
      </c>
      <c r="AH3" s="51" t="s">
        <v>1</v>
      </c>
      <c r="AI3" s="52"/>
      <c r="AJ3" s="52"/>
      <c r="AK3" s="52"/>
      <c r="AL3" s="52"/>
      <c r="AM3" s="53"/>
    </row>
    <row r="4" spans="1:39" x14ac:dyDescent="0.25">
      <c r="A4" s="1" t="s">
        <v>2</v>
      </c>
      <c r="B4" s="2" t="s">
        <v>3</v>
      </c>
      <c r="C4" s="2" t="s">
        <v>4</v>
      </c>
      <c r="D4" s="7">
        <v>45748</v>
      </c>
      <c r="E4" s="7">
        <v>45749</v>
      </c>
      <c r="F4" s="7">
        <v>45750</v>
      </c>
      <c r="G4" s="7">
        <v>45751</v>
      </c>
      <c r="H4" s="7">
        <v>45752</v>
      </c>
      <c r="I4" s="7">
        <v>45753</v>
      </c>
      <c r="J4" s="7">
        <v>45754</v>
      </c>
      <c r="K4" s="7">
        <v>45755</v>
      </c>
      <c r="L4" s="7">
        <v>45756</v>
      </c>
      <c r="M4" s="7">
        <v>45757</v>
      </c>
      <c r="N4" s="7">
        <v>45758</v>
      </c>
      <c r="O4" s="7">
        <v>45759</v>
      </c>
      <c r="P4" s="7">
        <v>45760</v>
      </c>
      <c r="Q4" s="7">
        <v>45761</v>
      </c>
      <c r="R4" s="7">
        <v>45762</v>
      </c>
      <c r="S4" s="7">
        <v>45763</v>
      </c>
      <c r="T4" s="7">
        <v>45764</v>
      </c>
      <c r="U4" s="7">
        <v>45765</v>
      </c>
      <c r="V4" s="7">
        <v>45766</v>
      </c>
      <c r="W4" s="7">
        <v>45767</v>
      </c>
      <c r="X4" s="7">
        <v>45768</v>
      </c>
      <c r="Y4" s="7">
        <v>45769</v>
      </c>
      <c r="Z4" s="7">
        <v>45770</v>
      </c>
      <c r="AA4" s="7">
        <v>45771</v>
      </c>
      <c r="AB4" s="7">
        <v>45772</v>
      </c>
      <c r="AC4" s="7">
        <v>45773</v>
      </c>
      <c r="AD4" s="7">
        <v>45774</v>
      </c>
      <c r="AE4" s="7">
        <v>45775</v>
      </c>
      <c r="AF4" s="7">
        <v>45776</v>
      </c>
      <c r="AG4" s="7">
        <v>45777</v>
      </c>
      <c r="AH4" s="22" t="s">
        <v>6</v>
      </c>
      <c r="AI4" s="13" t="s">
        <v>7</v>
      </c>
      <c r="AJ4" s="13" t="s">
        <v>13</v>
      </c>
      <c r="AK4" s="13" t="s">
        <v>41</v>
      </c>
      <c r="AL4" s="13" t="s">
        <v>25</v>
      </c>
      <c r="AM4" s="14" t="s">
        <v>5</v>
      </c>
    </row>
    <row r="5" spans="1:39" ht="15" customHeight="1" x14ac:dyDescent="0.25">
      <c r="A5" s="3">
        <v>1</v>
      </c>
      <c r="B5" s="4" t="s">
        <v>27</v>
      </c>
      <c r="C5" s="4" t="s">
        <v>8</v>
      </c>
      <c r="D5" s="64" t="s">
        <v>44</v>
      </c>
      <c r="E5" s="64" t="s">
        <v>44</v>
      </c>
      <c r="F5" s="4" t="s">
        <v>6</v>
      </c>
      <c r="G5" s="66" t="s">
        <v>45</v>
      </c>
      <c r="H5" s="4" t="s">
        <v>6</v>
      </c>
      <c r="I5" s="54" t="s">
        <v>26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54" t="s">
        <v>26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54" t="s">
        <v>26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13</v>
      </c>
      <c r="AD5" s="54" t="s">
        <v>26</v>
      </c>
      <c r="AE5" s="4" t="s">
        <v>6</v>
      </c>
      <c r="AF5" s="4" t="s">
        <v>6</v>
      </c>
      <c r="AG5" s="4" t="s">
        <v>6</v>
      </c>
      <c r="AH5" s="3">
        <f t="shared" ref="AH5:AH13" si="1">COUNTIF(D5:AG5,"P")</f>
        <v>22</v>
      </c>
      <c r="AI5" s="4">
        <f t="shared" ref="AI5:AI13" si="2">COUNTIF(D5:AG5,"A")</f>
        <v>0</v>
      </c>
      <c r="AJ5" s="4">
        <f t="shared" ref="AJ5:AJ13" si="3">COUNTIF(D5:AG5,"L")</f>
        <v>1</v>
      </c>
      <c r="AK5" s="4">
        <v>3</v>
      </c>
      <c r="AL5" s="4">
        <v>4</v>
      </c>
      <c r="AM5" s="16">
        <f t="shared" ref="AM5:AM12" si="4">AH5+AJ5+AK5+AL5</f>
        <v>30</v>
      </c>
    </row>
    <row r="6" spans="1:39" x14ac:dyDescent="0.25">
      <c r="A6" s="3">
        <v>2</v>
      </c>
      <c r="B6" s="4" t="s">
        <v>11</v>
      </c>
      <c r="C6" s="4" t="s">
        <v>8</v>
      </c>
      <c r="D6" s="64"/>
      <c r="E6" s="64"/>
      <c r="F6" s="4" t="s">
        <v>6</v>
      </c>
      <c r="G6" s="66"/>
      <c r="H6" s="4" t="s">
        <v>6</v>
      </c>
      <c r="I6" s="54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54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5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54"/>
      <c r="AE6" s="4" t="s">
        <v>6</v>
      </c>
      <c r="AF6" s="4" t="s">
        <v>6</v>
      </c>
      <c r="AG6" s="4" t="s">
        <v>6</v>
      </c>
      <c r="AH6" s="3">
        <f t="shared" si="1"/>
        <v>23</v>
      </c>
      <c r="AI6" s="4">
        <f t="shared" si="2"/>
        <v>0</v>
      </c>
      <c r="AJ6" s="4">
        <f t="shared" si="3"/>
        <v>0</v>
      </c>
      <c r="AK6" s="4">
        <v>3</v>
      </c>
      <c r="AL6" s="4">
        <v>4</v>
      </c>
      <c r="AM6" s="16">
        <f t="shared" si="4"/>
        <v>30</v>
      </c>
    </row>
    <row r="7" spans="1:39" x14ac:dyDescent="0.25">
      <c r="A7" s="3">
        <v>3</v>
      </c>
      <c r="B7" s="4" t="s">
        <v>10</v>
      </c>
      <c r="C7" s="4" t="s">
        <v>8</v>
      </c>
      <c r="D7" s="64"/>
      <c r="E7" s="64"/>
      <c r="F7" s="4" t="s">
        <v>6</v>
      </c>
      <c r="G7" s="66"/>
      <c r="H7" s="4" t="s">
        <v>6</v>
      </c>
      <c r="I7" s="54"/>
      <c r="J7" s="4" t="s">
        <v>6</v>
      </c>
      <c r="K7" s="4" t="s">
        <v>6</v>
      </c>
      <c r="L7" s="4" t="s">
        <v>6</v>
      </c>
      <c r="M7" s="4" t="s">
        <v>6</v>
      </c>
      <c r="N7" s="4" t="s">
        <v>13</v>
      </c>
      <c r="O7" s="4" t="s">
        <v>6</v>
      </c>
      <c r="P7" s="54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54"/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54"/>
      <c r="AE7" s="4" t="s">
        <v>6</v>
      </c>
      <c r="AF7" s="4" t="s">
        <v>6</v>
      </c>
      <c r="AG7" s="4" t="s">
        <v>6</v>
      </c>
      <c r="AH7" s="3">
        <f t="shared" si="1"/>
        <v>22</v>
      </c>
      <c r="AI7" s="4">
        <f t="shared" si="2"/>
        <v>0</v>
      </c>
      <c r="AJ7" s="4">
        <f t="shared" si="3"/>
        <v>1</v>
      </c>
      <c r="AK7" s="4">
        <v>3</v>
      </c>
      <c r="AL7" s="4">
        <v>4</v>
      </c>
      <c r="AM7" s="16">
        <f t="shared" si="4"/>
        <v>30</v>
      </c>
    </row>
    <row r="8" spans="1:39" x14ac:dyDescent="0.25">
      <c r="A8" s="3">
        <v>4</v>
      </c>
      <c r="B8" s="4" t="s">
        <v>12</v>
      </c>
      <c r="C8" s="4" t="s">
        <v>38</v>
      </c>
      <c r="D8" s="64"/>
      <c r="E8" s="64"/>
      <c r="F8" s="4" t="s">
        <v>7</v>
      </c>
      <c r="G8" s="66"/>
      <c r="H8" s="4" t="s">
        <v>7</v>
      </c>
      <c r="I8" s="54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54"/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54"/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" t="s">
        <v>6</v>
      </c>
      <c r="AD8" s="54"/>
      <c r="AE8" s="4" t="s">
        <v>6</v>
      </c>
      <c r="AF8" s="4" t="s">
        <v>6</v>
      </c>
      <c r="AG8" s="4" t="s">
        <v>6</v>
      </c>
      <c r="AH8" s="3">
        <f t="shared" si="1"/>
        <v>21</v>
      </c>
      <c r="AI8" s="4">
        <f t="shared" si="2"/>
        <v>2</v>
      </c>
      <c r="AJ8" s="4">
        <f t="shared" si="3"/>
        <v>0</v>
      </c>
      <c r="AK8" s="4">
        <v>3</v>
      </c>
      <c r="AL8" s="4">
        <v>4</v>
      </c>
      <c r="AM8" s="16">
        <f t="shared" si="4"/>
        <v>28</v>
      </c>
    </row>
    <row r="9" spans="1:39" x14ac:dyDescent="0.25">
      <c r="A9" s="3">
        <v>5</v>
      </c>
      <c r="B9" s="4" t="s">
        <v>28</v>
      </c>
      <c r="C9" s="4" t="s">
        <v>29</v>
      </c>
      <c r="D9" s="64"/>
      <c r="E9" s="64"/>
      <c r="F9" s="4" t="s">
        <v>6</v>
      </c>
      <c r="G9" s="66"/>
      <c r="H9" s="4" t="s">
        <v>6</v>
      </c>
      <c r="I9" s="54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54"/>
      <c r="Q9" s="4" t="s">
        <v>6</v>
      </c>
      <c r="R9" s="4" t="s">
        <v>6</v>
      </c>
      <c r="S9" s="4" t="s">
        <v>6</v>
      </c>
      <c r="T9" s="4" t="s">
        <v>13</v>
      </c>
      <c r="U9" s="4" t="s">
        <v>6</v>
      </c>
      <c r="V9" s="4" t="s">
        <v>6</v>
      </c>
      <c r="W9" s="5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6</v>
      </c>
      <c r="AD9" s="54"/>
      <c r="AE9" s="4" t="s">
        <v>6</v>
      </c>
      <c r="AF9" s="4" t="s">
        <v>6</v>
      </c>
      <c r="AG9" s="4" t="s">
        <v>6</v>
      </c>
      <c r="AH9" s="3">
        <f t="shared" si="1"/>
        <v>22</v>
      </c>
      <c r="AI9" s="4">
        <f t="shared" si="2"/>
        <v>0</v>
      </c>
      <c r="AJ9" s="4">
        <f t="shared" si="3"/>
        <v>1</v>
      </c>
      <c r="AK9" s="4">
        <v>3</v>
      </c>
      <c r="AL9" s="4">
        <v>4</v>
      </c>
      <c r="AM9" s="16">
        <f t="shared" si="4"/>
        <v>30</v>
      </c>
    </row>
    <row r="10" spans="1:39" x14ac:dyDescent="0.25">
      <c r="A10" s="3">
        <v>6</v>
      </c>
      <c r="B10" s="4" t="s">
        <v>35</v>
      </c>
      <c r="C10" s="4" t="s">
        <v>36</v>
      </c>
      <c r="D10" s="64"/>
      <c r="E10" s="64"/>
      <c r="F10" s="4" t="s">
        <v>6</v>
      </c>
      <c r="G10" s="66"/>
      <c r="H10" s="4" t="s">
        <v>6</v>
      </c>
      <c r="I10" s="54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54"/>
      <c r="Q10" s="4" t="s">
        <v>6</v>
      </c>
      <c r="R10" s="4" t="s">
        <v>6</v>
      </c>
      <c r="S10" s="4" t="s">
        <v>6</v>
      </c>
      <c r="T10" s="4" t="s">
        <v>13</v>
      </c>
      <c r="U10" s="4" t="s">
        <v>6</v>
      </c>
      <c r="V10" s="4" t="s">
        <v>6</v>
      </c>
      <c r="W10" s="5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54"/>
      <c r="AE10" s="4" t="s">
        <v>6</v>
      </c>
      <c r="AF10" s="4" t="s">
        <v>6</v>
      </c>
      <c r="AG10" s="4" t="s">
        <v>6</v>
      </c>
      <c r="AH10" s="3">
        <f t="shared" si="1"/>
        <v>22</v>
      </c>
      <c r="AI10" s="4">
        <f t="shared" si="2"/>
        <v>0</v>
      </c>
      <c r="AJ10" s="4">
        <f t="shared" si="3"/>
        <v>1</v>
      </c>
      <c r="AK10" s="4">
        <v>3</v>
      </c>
      <c r="AL10" s="4">
        <v>4</v>
      </c>
      <c r="AM10" s="16">
        <f t="shared" si="4"/>
        <v>30</v>
      </c>
    </row>
    <row r="11" spans="1:39" x14ac:dyDescent="0.25">
      <c r="A11" s="3">
        <v>7</v>
      </c>
      <c r="B11" s="4" t="s">
        <v>9</v>
      </c>
      <c r="C11" s="4" t="s">
        <v>8</v>
      </c>
      <c r="D11" s="64"/>
      <c r="E11" s="64"/>
      <c r="F11" s="4" t="s">
        <v>6</v>
      </c>
      <c r="G11" s="66"/>
      <c r="H11" s="4" t="s">
        <v>6</v>
      </c>
      <c r="I11" s="54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54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5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54"/>
      <c r="AE11" s="4" t="s">
        <v>6</v>
      </c>
      <c r="AF11" s="4" t="s">
        <v>6</v>
      </c>
      <c r="AG11" s="4" t="s">
        <v>6</v>
      </c>
      <c r="AH11" s="3">
        <f t="shared" si="1"/>
        <v>23</v>
      </c>
      <c r="AI11" s="4">
        <f t="shared" si="2"/>
        <v>0</v>
      </c>
      <c r="AJ11" s="4">
        <f t="shared" si="3"/>
        <v>0</v>
      </c>
      <c r="AK11" s="4">
        <v>3</v>
      </c>
      <c r="AL11" s="4">
        <v>4</v>
      </c>
      <c r="AM11" s="16">
        <f t="shared" si="4"/>
        <v>30</v>
      </c>
    </row>
    <row r="12" spans="1:39" x14ac:dyDescent="0.25">
      <c r="A12" s="10">
        <v>8</v>
      </c>
      <c r="B12" s="11" t="s">
        <v>42</v>
      </c>
      <c r="C12" s="4" t="s">
        <v>8</v>
      </c>
      <c r="D12" s="61"/>
      <c r="E12" s="61"/>
      <c r="F12" s="4" t="s">
        <v>6</v>
      </c>
      <c r="G12" s="68"/>
      <c r="H12" s="4" t="s">
        <v>6</v>
      </c>
      <c r="I12" s="39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11" t="s">
        <v>13</v>
      </c>
      <c r="P12" s="39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39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1" t="s">
        <v>7</v>
      </c>
      <c r="AD12" s="39"/>
      <c r="AE12" s="4" t="s">
        <v>6</v>
      </c>
      <c r="AF12" s="4" t="s">
        <v>6</v>
      </c>
      <c r="AG12" s="4" t="s">
        <v>6</v>
      </c>
      <c r="AH12" s="3">
        <f t="shared" si="1"/>
        <v>21</v>
      </c>
      <c r="AI12" s="4">
        <f t="shared" si="2"/>
        <v>1</v>
      </c>
      <c r="AJ12" s="4">
        <f t="shared" si="3"/>
        <v>1</v>
      </c>
      <c r="AK12" s="4">
        <v>3</v>
      </c>
      <c r="AL12" s="4">
        <v>4</v>
      </c>
      <c r="AM12" s="16">
        <f t="shared" si="4"/>
        <v>29</v>
      </c>
    </row>
    <row r="13" spans="1:39" ht="15.75" thickBot="1" x14ac:dyDescent="0.3">
      <c r="A13" s="5">
        <v>9</v>
      </c>
      <c r="B13" s="6" t="s">
        <v>47</v>
      </c>
      <c r="C13" s="6" t="s">
        <v>8</v>
      </c>
      <c r="D13" s="65"/>
      <c r="E13" s="65"/>
      <c r="F13" s="6" t="s">
        <v>24</v>
      </c>
      <c r="G13" s="67"/>
      <c r="H13" s="6" t="s">
        <v>24</v>
      </c>
      <c r="I13" s="55"/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55"/>
      <c r="Q13" s="6" t="s">
        <v>24</v>
      </c>
      <c r="R13" s="6" t="s">
        <v>24</v>
      </c>
      <c r="S13" s="6" t="s">
        <v>24</v>
      </c>
      <c r="T13" s="6" t="s">
        <v>24</v>
      </c>
      <c r="U13" s="6" t="s">
        <v>24</v>
      </c>
      <c r="V13" s="6" t="s">
        <v>24</v>
      </c>
      <c r="W13" s="55"/>
      <c r="X13" s="6" t="s">
        <v>24</v>
      </c>
      <c r="Y13" s="6" t="s">
        <v>24</v>
      </c>
      <c r="Z13" s="6" t="s">
        <v>6</v>
      </c>
      <c r="AA13" s="6" t="s">
        <v>6</v>
      </c>
      <c r="AB13" s="6" t="s">
        <v>6</v>
      </c>
      <c r="AC13" s="6" t="s">
        <v>6</v>
      </c>
      <c r="AD13" s="55"/>
      <c r="AE13" s="6" t="s">
        <v>6</v>
      </c>
      <c r="AF13" s="6" t="s">
        <v>6</v>
      </c>
      <c r="AG13" s="6" t="s">
        <v>6</v>
      </c>
      <c r="AH13" s="5">
        <f t="shared" si="1"/>
        <v>7</v>
      </c>
      <c r="AI13" s="6">
        <f t="shared" si="2"/>
        <v>0</v>
      </c>
      <c r="AJ13" s="6">
        <f t="shared" si="3"/>
        <v>0</v>
      </c>
      <c r="AK13" s="6">
        <v>3</v>
      </c>
      <c r="AL13" s="6">
        <v>4</v>
      </c>
      <c r="AM13" s="17">
        <v>7</v>
      </c>
    </row>
    <row r="14" spans="1:39" ht="15.75" thickBot="1" x14ac:dyDescent="0.3"/>
    <row r="15" spans="1:39" ht="32.25" thickBot="1" x14ac:dyDescent="0.55000000000000004">
      <c r="A15" s="45" t="s">
        <v>33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/>
    </row>
    <row r="16" spans="1:39" ht="27" x14ac:dyDescent="0.25">
      <c r="A16" s="48" t="s">
        <v>0</v>
      </c>
      <c r="B16" s="49"/>
      <c r="C16" s="49"/>
      <c r="D16" s="15" t="str">
        <f>TEXT(D17,"ddd")</f>
        <v>Tue</v>
      </c>
      <c r="E16" s="15" t="str">
        <f t="shared" ref="E16:AG16" si="5">TEXT(E17,"ddd")</f>
        <v>Wed</v>
      </c>
      <c r="F16" s="15" t="str">
        <f t="shared" si="5"/>
        <v>Thu</v>
      </c>
      <c r="G16" s="15" t="str">
        <f t="shared" si="5"/>
        <v>Fri</v>
      </c>
      <c r="H16" s="15" t="str">
        <f t="shared" si="5"/>
        <v>Sat</v>
      </c>
      <c r="I16" s="15" t="str">
        <f t="shared" si="5"/>
        <v>Sun</v>
      </c>
      <c r="J16" s="15" t="str">
        <f t="shared" si="5"/>
        <v>Mon</v>
      </c>
      <c r="K16" s="15" t="str">
        <f t="shared" si="5"/>
        <v>Tue</v>
      </c>
      <c r="L16" s="15" t="str">
        <f t="shared" si="5"/>
        <v>Wed</v>
      </c>
      <c r="M16" s="15" t="str">
        <f t="shared" si="5"/>
        <v>Thu</v>
      </c>
      <c r="N16" s="15" t="str">
        <f t="shared" si="5"/>
        <v>Fri</v>
      </c>
      <c r="O16" s="15" t="str">
        <f t="shared" si="5"/>
        <v>Sat</v>
      </c>
      <c r="P16" s="15" t="str">
        <f t="shared" si="5"/>
        <v>Sun</v>
      </c>
      <c r="Q16" s="15" t="str">
        <f t="shared" si="5"/>
        <v>Mon</v>
      </c>
      <c r="R16" s="15" t="str">
        <f t="shared" si="5"/>
        <v>Tue</v>
      </c>
      <c r="S16" s="15" t="str">
        <f t="shared" si="5"/>
        <v>Wed</v>
      </c>
      <c r="T16" s="15" t="str">
        <f t="shared" si="5"/>
        <v>Thu</v>
      </c>
      <c r="U16" s="15" t="str">
        <f t="shared" si="5"/>
        <v>Fri</v>
      </c>
      <c r="V16" s="15" t="str">
        <f t="shared" si="5"/>
        <v>Sat</v>
      </c>
      <c r="W16" s="15" t="str">
        <f t="shared" si="5"/>
        <v>Sun</v>
      </c>
      <c r="X16" s="15" t="str">
        <f t="shared" si="5"/>
        <v>Mon</v>
      </c>
      <c r="Y16" s="15" t="str">
        <f t="shared" si="5"/>
        <v>Tue</v>
      </c>
      <c r="Z16" s="15" t="str">
        <f t="shared" si="5"/>
        <v>Wed</v>
      </c>
      <c r="AA16" s="15" t="str">
        <f t="shared" si="5"/>
        <v>Thu</v>
      </c>
      <c r="AB16" s="15" t="str">
        <f t="shared" si="5"/>
        <v>Fri</v>
      </c>
      <c r="AC16" s="15" t="str">
        <f t="shared" si="5"/>
        <v>Sat</v>
      </c>
      <c r="AD16" s="15" t="str">
        <f t="shared" si="5"/>
        <v>Sun</v>
      </c>
      <c r="AE16" s="15" t="str">
        <f t="shared" si="5"/>
        <v>Mon</v>
      </c>
      <c r="AF16" s="15" t="str">
        <f t="shared" si="5"/>
        <v>Tue</v>
      </c>
      <c r="AG16" s="15" t="str">
        <f t="shared" si="5"/>
        <v>Wed</v>
      </c>
      <c r="AH16" s="51" t="s">
        <v>1</v>
      </c>
      <c r="AI16" s="52"/>
      <c r="AJ16" s="52"/>
      <c r="AK16" s="52"/>
      <c r="AL16" s="52"/>
      <c r="AM16" s="53"/>
    </row>
    <row r="17" spans="1:39" x14ac:dyDescent="0.25">
      <c r="A17" s="1" t="s">
        <v>2</v>
      </c>
      <c r="B17" s="2" t="s">
        <v>3</v>
      </c>
      <c r="C17" s="2" t="s">
        <v>4</v>
      </c>
      <c r="D17" s="7">
        <v>45748</v>
      </c>
      <c r="E17" s="7">
        <v>45749</v>
      </c>
      <c r="F17" s="7">
        <v>45750</v>
      </c>
      <c r="G17" s="7">
        <v>45751</v>
      </c>
      <c r="H17" s="7">
        <v>45752</v>
      </c>
      <c r="I17" s="7">
        <v>45753</v>
      </c>
      <c r="J17" s="7">
        <v>45754</v>
      </c>
      <c r="K17" s="7">
        <v>45755</v>
      </c>
      <c r="L17" s="7">
        <v>45756</v>
      </c>
      <c r="M17" s="7">
        <v>45757</v>
      </c>
      <c r="N17" s="7">
        <v>45758</v>
      </c>
      <c r="O17" s="7">
        <v>45759</v>
      </c>
      <c r="P17" s="7">
        <v>45760</v>
      </c>
      <c r="Q17" s="7">
        <v>45761</v>
      </c>
      <c r="R17" s="7">
        <v>45762</v>
      </c>
      <c r="S17" s="7">
        <v>45763</v>
      </c>
      <c r="T17" s="7">
        <v>45764</v>
      </c>
      <c r="U17" s="7">
        <v>45765</v>
      </c>
      <c r="V17" s="7">
        <v>45766</v>
      </c>
      <c r="W17" s="7">
        <v>45767</v>
      </c>
      <c r="X17" s="7">
        <v>45768</v>
      </c>
      <c r="Y17" s="7">
        <v>45769</v>
      </c>
      <c r="Z17" s="7">
        <v>45770</v>
      </c>
      <c r="AA17" s="7">
        <v>45771</v>
      </c>
      <c r="AB17" s="7">
        <v>45772</v>
      </c>
      <c r="AC17" s="7">
        <v>45773</v>
      </c>
      <c r="AD17" s="7">
        <v>45774</v>
      </c>
      <c r="AE17" s="7">
        <v>45775</v>
      </c>
      <c r="AF17" s="7">
        <v>45776</v>
      </c>
      <c r="AG17" s="7">
        <v>45777</v>
      </c>
      <c r="AH17" s="22" t="s">
        <v>6</v>
      </c>
      <c r="AI17" s="13" t="s">
        <v>7</v>
      </c>
      <c r="AJ17" s="13" t="s">
        <v>13</v>
      </c>
      <c r="AK17" s="13" t="s">
        <v>41</v>
      </c>
      <c r="AL17" s="13" t="s">
        <v>25</v>
      </c>
      <c r="AM17" s="14" t="s">
        <v>5</v>
      </c>
    </row>
    <row r="18" spans="1:39" ht="15" customHeight="1" x14ac:dyDescent="0.25">
      <c r="A18" s="3">
        <f>IF(B18="","",1)</f>
        <v>1</v>
      </c>
      <c r="B18" s="4" t="s">
        <v>14</v>
      </c>
      <c r="C18" s="4" t="s">
        <v>15</v>
      </c>
      <c r="D18" s="64" t="s">
        <v>44</v>
      </c>
      <c r="E18" s="64" t="s">
        <v>44</v>
      </c>
      <c r="F18" s="4" t="s">
        <v>6</v>
      </c>
      <c r="G18" s="66" t="s">
        <v>45</v>
      </c>
      <c r="H18" s="4" t="s">
        <v>6</v>
      </c>
      <c r="I18" s="39" t="s">
        <v>26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39" t="s">
        <v>26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39" t="s">
        <v>26</v>
      </c>
      <c r="X18" s="4" t="s">
        <v>6</v>
      </c>
      <c r="Y18" s="4" t="s">
        <v>6</v>
      </c>
      <c r="Z18" s="4" t="s">
        <v>6</v>
      </c>
      <c r="AA18" s="4" t="s">
        <v>6</v>
      </c>
      <c r="AB18" s="4" t="s">
        <v>6</v>
      </c>
      <c r="AC18" s="4" t="s">
        <v>6</v>
      </c>
      <c r="AD18" s="39" t="s">
        <v>26</v>
      </c>
      <c r="AE18" s="4" t="s">
        <v>6</v>
      </c>
      <c r="AF18" s="4" t="s">
        <v>6</v>
      </c>
      <c r="AG18" s="4" t="s">
        <v>6</v>
      </c>
      <c r="AH18" s="24">
        <f t="shared" ref="AH18:AH26" si="6">COUNTIF(D18:AG18,"P")</f>
        <v>23</v>
      </c>
      <c r="AI18" s="8">
        <f t="shared" ref="AI18:AI26" si="7">COUNTIF(D18:AG18,"A")</f>
        <v>0</v>
      </c>
      <c r="AJ18" s="8">
        <f t="shared" ref="AJ18:AJ26" si="8">COUNTIF(D18:AG18,"L")</f>
        <v>0</v>
      </c>
      <c r="AK18" s="4">
        <v>2</v>
      </c>
      <c r="AL18" s="8">
        <v>5</v>
      </c>
      <c r="AM18" s="16">
        <f>AH18+AJ18+AK18+AL18</f>
        <v>30</v>
      </c>
    </row>
    <row r="19" spans="1:39" x14ac:dyDescent="0.25">
      <c r="A19" s="3">
        <f>IF(B19="","",A18+1)</f>
        <v>2</v>
      </c>
      <c r="B19" s="4" t="s">
        <v>16</v>
      </c>
      <c r="C19" s="4" t="s">
        <v>17</v>
      </c>
      <c r="D19" s="64"/>
      <c r="E19" s="64"/>
      <c r="F19" s="4" t="s">
        <v>6</v>
      </c>
      <c r="G19" s="66"/>
      <c r="H19" s="4" t="s">
        <v>6</v>
      </c>
      <c r="I19" s="40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0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0"/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40"/>
      <c r="AE19" s="4" t="s">
        <v>6</v>
      </c>
      <c r="AF19" s="4" t="s">
        <v>6</v>
      </c>
      <c r="AG19" s="4" t="s">
        <v>6</v>
      </c>
      <c r="AH19" s="24">
        <f t="shared" si="6"/>
        <v>23</v>
      </c>
      <c r="AI19" s="8">
        <f t="shared" si="7"/>
        <v>0</v>
      </c>
      <c r="AJ19" s="8">
        <f t="shared" si="8"/>
        <v>0</v>
      </c>
      <c r="AK19" s="4">
        <v>2</v>
      </c>
      <c r="AL19" s="8">
        <v>5</v>
      </c>
      <c r="AM19" s="16">
        <f t="shared" ref="AM19:AM26" si="9">AH19+AJ19+AK19+AL19</f>
        <v>30</v>
      </c>
    </row>
    <row r="20" spans="1:39" x14ac:dyDescent="0.25">
      <c r="A20" s="3">
        <f t="shared" ref="A20:A24" si="10">IF(B20="","",A19+1)</f>
        <v>3</v>
      </c>
      <c r="B20" s="4" t="s">
        <v>18</v>
      </c>
      <c r="C20" s="4" t="s">
        <v>19</v>
      </c>
      <c r="D20" s="64"/>
      <c r="E20" s="64"/>
      <c r="F20" s="4" t="s">
        <v>6</v>
      </c>
      <c r="G20" s="66"/>
      <c r="H20" s="4" t="s">
        <v>6</v>
      </c>
      <c r="I20" s="40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0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0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0"/>
      <c r="AE20" s="4" t="s">
        <v>6</v>
      </c>
      <c r="AF20" s="4" t="s">
        <v>6</v>
      </c>
      <c r="AG20" s="4" t="s">
        <v>6</v>
      </c>
      <c r="AH20" s="24">
        <f t="shared" si="6"/>
        <v>23</v>
      </c>
      <c r="AI20" s="8">
        <f t="shared" si="7"/>
        <v>0</v>
      </c>
      <c r="AJ20" s="8">
        <f t="shared" si="8"/>
        <v>0</v>
      </c>
      <c r="AK20" s="4">
        <v>2</v>
      </c>
      <c r="AL20" s="8">
        <v>5</v>
      </c>
      <c r="AM20" s="16">
        <f t="shared" si="9"/>
        <v>30</v>
      </c>
    </row>
    <row r="21" spans="1:39" x14ac:dyDescent="0.25">
      <c r="A21" s="3">
        <f t="shared" si="10"/>
        <v>4</v>
      </c>
      <c r="B21" s="4" t="s">
        <v>21</v>
      </c>
      <c r="C21" s="4" t="s">
        <v>20</v>
      </c>
      <c r="D21" s="64"/>
      <c r="E21" s="64"/>
      <c r="F21" s="4" t="s">
        <v>6</v>
      </c>
      <c r="G21" s="66"/>
      <c r="H21" s="4" t="s">
        <v>6</v>
      </c>
      <c r="I21" s="40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0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0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0"/>
      <c r="AE21" s="4" t="s">
        <v>6</v>
      </c>
      <c r="AF21" s="4" t="s">
        <v>6</v>
      </c>
      <c r="AG21" s="4" t="s">
        <v>6</v>
      </c>
      <c r="AH21" s="24">
        <f t="shared" si="6"/>
        <v>23</v>
      </c>
      <c r="AI21" s="8">
        <f t="shared" si="7"/>
        <v>0</v>
      </c>
      <c r="AJ21" s="8">
        <f t="shared" si="8"/>
        <v>0</v>
      </c>
      <c r="AK21" s="4">
        <v>2</v>
      </c>
      <c r="AL21" s="8">
        <v>5</v>
      </c>
      <c r="AM21" s="16">
        <f t="shared" si="9"/>
        <v>30</v>
      </c>
    </row>
    <row r="22" spans="1:39" x14ac:dyDescent="0.25">
      <c r="A22" s="3">
        <f t="shared" si="10"/>
        <v>5</v>
      </c>
      <c r="B22" s="4" t="s">
        <v>22</v>
      </c>
      <c r="C22" s="4" t="s">
        <v>23</v>
      </c>
      <c r="D22" s="64"/>
      <c r="E22" s="64"/>
      <c r="F22" s="4" t="s">
        <v>6</v>
      </c>
      <c r="G22" s="66"/>
      <c r="H22" s="4" t="s">
        <v>6</v>
      </c>
      <c r="I22" s="40"/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0"/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40"/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40"/>
      <c r="AE22" s="4" t="s">
        <v>6</v>
      </c>
      <c r="AF22" s="4" t="s">
        <v>6</v>
      </c>
      <c r="AG22" s="4" t="s">
        <v>6</v>
      </c>
      <c r="AH22" s="24">
        <f t="shared" si="6"/>
        <v>23</v>
      </c>
      <c r="AI22" s="8">
        <f t="shared" si="7"/>
        <v>0</v>
      </c>
      <c r="AJ22" s="8">
        <f t="shared" si="8"/>
        <v>0</v>
      </c>
      <c r="AK22" s="4">
        <v>2</v>
      </c>
      <c r="AL22" s="8">
        <v>5</v>
      </c>
      <c r="AM22" s="16">
        <f t="shared" si="9"/>
        <v>30</v>
      </c>
    </row>
    <row r="23" spans="1:39" x14ac:dyDescent="0.25">
      <c r="A23" s="3">
        <f t="shared" si="10"/>
        <v>6</v>
      </c>
      <c r="B23" s="11" t="s">
        <v>30</v>
      </c>
      <c r="C23" s="4" t="s">
        <v>20</v>
      </c>
      <c r="D23" s="64"/>
      <c r="E23" s="64"/>
      <c r="F23" s="4" t="s">
        <v>6</v>
      </c>
      <c r="G23" s="66"/>
      <c r="H23" s="4" t="s">
        <v>6</v>
      </c>
      <c r="I23" s="40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0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0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0"/>
      <c r="AE23" s="4" t="s">
        <v>6</v>
      </c>
      <c r="AF23" s="4" t="s">
        <v>6</v>
      </c>
      <c r="AG23" s="4" t="s">
        <v>6</v>
      </c>
      <c r="AH23" s="24">
        <f t="shared" si="6"/>
        <v>23</v>
      </c>
      <c r="AI23" s="8">
        <f t="shared" si="7"/>
        <v>0</v>
      </c>
      <c r="AJ23" s="8">
        <f t="shared" si="8"/>
        <v>0</v>
      </c>
      <c r="AK23" s="4">
        <v>2</v>
      </c>
      <c r="AL23" s="8">
        <v>5</v>
      </c>
      <c r="AM23" s="16">
        <f t="shared" si="9"/>
        <v>30</v>
      </c>
    </row>
    <row r="24" spans="1:39" x14ac:dyDescent="0.25">
      <c r="A24" s="3">
        <f t="shared" si="10"/>
        <v>7</v>
      </c>
      <c r="B24" s="11" t="s">
        <v>31</v>
      </c>
      <c r="C24" s="4" t="s">
        <v>20</v>
      </c>
      <c r="D24" s="64"/>
      <c r="E24" s="64"/>
      <c r="F24" s="11" t="s">
        <v>6</v>
      </c>
      <c r="G24" s="66"/>
      <c r="H24" s="11" t="s">
        <v>6</v>
      </c>
      <c r="I24" s="40"/>
      <c r="J24" s="11" t="s">
        <v>6</v>
      </c>
      <c r="K24" s="11" t="s">
        <v>6</v>
      </c>
      <c r="L24" s="11" t="s">
        <v>6</v>
      </c>
      <c r="M24" s="11" t="s">
        <v>6</v>
      </c>
      <c r="N24" s="11" t="s">
        <v>6</v>
      </c>
      <c r="O24" s="11" t="s">
        <v>6</v>
      </c>
      <c r="P24" s="40"/>
      <c r="Q24" s="11" t="s">
        <v>6</v>
      </c>
      <c r="R24" s="11" t="s">
        <v>6</v>
      </c>
      <c r="S24" s="11" t="s">
        <v>6</v>
      </c>
      <c r="T24" s="11" t="s">
        <v>6</v>
      </c>
      <c r="U24" s="11" t="s">
        <v>6</v>
      </c>
      <c r="V24" s="11" t="s">
        <v>6</v>
      </c>
      <c r="W24" s="40"/>
      <c r="X24" s="11" t="s">
        <v>6</v>
      </c>
      <c r="Y24" s="11" t="s">
        <v>6</v>
      </c>
      <c r="Z24" s="11" t="s">
        <v>6</v>
      </c>
      <c r="AA24" s="11" t="s">
        <v>6</v>
      </c>
      <c r="AB24" s="11" t="s">
        <v>6</v>
      </c>
      <c r="AC24" s="11" t="s">
        <v>6</v>
      </c>
      <c r="AD24" s="40"/>
      <c r="AE24" s="11" t="s">
        <v>6</v>
      </c>
      <c r="AF24" s="11" t="s">
        <v>6</v>
      </c>
      <c r="AG24" s="11" t="s">
        <v>6</v>
      </c>
      <c r="AH24" s="25">
        <f t="shared" si="6"/>
        <v>23</v>
      </c>
      <c r="AI24" s="12">
        <f t="shared" si="7"/>
        <v>0</v>
      </c>
      <c r="AJ24" s="8">
        <f t="shared" si="8"/>
        <v>0</v>
      </c>
      <c r="AK24" s="11">
        <v>2</v>
      </c>
      <c r="AL24" s="12">
        <v>5</v>
      </c>
      <c r="AM24" s="16">
        <f t="shared" si="9"/>
        <v>30</v>
      </c>
    </row>
    <row r="25" spans="1:39" x14ac:dyDescent="0.25">
      <c r="A25" s="10">
        <v>8</v>
      </c>
      <c r="B25" s="11" t="s">
        <v>39</v>
      </c>
      <c r="C25" s="11" t="s">
        <v>34</v>
      </c>
      <c r="D25" s="61"/>
      <c r="E25" s="61"/>
      <c r="F25" s="11" t="s">
        <v>6</v>
      </c>
      <c r="G25" s="68"/>
      <c r="H25" s="11" t="s">
        <v>6</v>
      </c>
      <c r="I25" s="40"/>
      <c r="J25" s="11" t="s">
        <v>6</v>
      </c>
      <c r="K25" s="11" t="s">
        <v>6</v>
      </c>
      <c r="L25" s="11" t="s">
        <v>6</v>
      </c>
      <c r="M25" s="11" t="s">
        <v>6</v>
      </c>
      <c r="N25" s="11" t="s">
        <v>6</v>
      </c>
      <c r="O25" s="11" t="s">
        <v>6</v>
      </c>
      <c r="P25" s="40"/>
      <c r="Q25" s="11" t="s">
        <v>6</v>
      </c>
      <c r="R25" s="11" t="s">
        <v>6</v>
      </c>
      <c r="S25" s="11" t="s">
        <v>6</v>
      </c>
      <c r="T25" s="11" t="s">
        <v>6</v>
      </c>
      <c r="U25" s="11" t="s">
        <v>6</v>
      </c>
      <c r="V25" s="11" t="s">
        <v>6</v>
      </c>
      <c r="W25" s="40"/>
      <c r="X25" s="11" t="s">
        <v>6</v>
      </c>
      <c r="Y25" s="11" t="s">
        <v>13</v>
      </c>
      <c r="Z25" s="11" t="s">
        <v>6</v>
      </c>
      <c r="AA25" s="11" t="s">
        <v>6</v>
      </c>
      <c r="AB25" s="11" t="s">
        <v>7</v>
      </c>
      <c r="AC25" s="11" t="s">
        <v>6</v>
      </c>
      <c r="AD25" s="40"/>
      <c r="AE25" s="11" t="s">
        <v>6</v>
      </c>
      <c r="AF25" s="11" t="s">
        <v>6</v>
      </c>
      <c r="AG25" s="11" t="s">
        <v>6</v>
      </c>
      <c r="AH25" s="25">
        <f t="shared" si="6"/>
        <v>21</v>
      </c>
      <c r="AI25" s="12">
        <f t="shared" si="7"/>
        <v>1</v>
      </c>
      <c r="AJ25" s="8">
        <f t="shared" si="8"/>
        <v>1</v>
      </c>
      <c r="AK25" s="11">
        <v>2</v>
      </c>
      <c r="AL25" s="12">
        <v>5</v>
      </c>
      <c r="AM25" s="16">
        <f t="shared" si="9"/>
        <v>29</v>
      </c>
    </row>
    <row r="26" spans="1:39" ht="15.75" thickBot="1" x14ac:dyDescent="0.3">
      <c r="A26" s="5">
        <v>9</v>
      </c>
      <c r="B26" s="6" t="s">
        <v>49</v>
      </c>
      <c r="C26" s="6" t="s">
        <v>20</v>
      </c>
      <c r="D26" s="65"/>
      <c r="E26" s="65"/>
      <c r="F26" s="6" t="s">
        <v>24</v>
      </c>
      <c r="G26" s="67"/>
      <c r="H26" s="6" t="s">
        <v>24</v>
      </c>
      <c r="I26" s="41"/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 t="s">
        <v>24</v>
      </c>
      <c r="P26" s="41"/>
      <c r="Q26" s="6" t="s">
        <v>24</v>
      </c>
      <c r="R26" s="6" t="s">
        <v>24</v>
      </c>
      <c r="S26" s="6" t="s">
        <v>24</v>
      </c>
      <c r="T26" s="6" t="s">
        <v>24</v>
      </c>
      <c r="U26" s="6" t="s">
        <v>24</v>
      </c>
      <c r="V26" s="6" t="s">
        <v>24</v>
      </c>
      <c r="W26" s="41"/>
      <c r="X26" s="6" t="s">
        <v>6</v>
      </c>
      <c r="Y26" s="6" t="s">
        <v>6</v>
      </c>
      <c r="Z26" s="6" t="s">
        <v>6</v>
      </c>
      <c r="AA26" s="6" t="s">
        <v>6</v>
      </c>
      <c r="AB26" s="6" t="s">
        <v>6</v>
      </c>
      <c r="AC26" s="6" t="s">
        <v>6</v>
      </c>
      <c r="AD26" s="41"/>
      <c r="AE26" s="6" t="s">
        <v>6</v>
      </c>
      <c r="AF26" s="6" t="s">
        <v>6</v>
      </c>
      <c r="AG26" s="6" t="s">
        <v>6</v>
      </c>
      <c r="AH26" s="26">
        <f t="shared" si="6"/>
        <v>9</v>
      </c>
      <c r="AI26" s="9">
        <f t="shared" si="7"/>
        <v>0</v>
      </c>
      <c r="AJ26" s="9">
        <f t="shared" si="8"/>
        <v>0</v>
      </c>
      <c r="AK26" s="6">
        <v>2</v>
      </c>
      <c r="AL26" s="9">
        <v>5</v>
      </c>
      <c r="AM26" s="17">
        <f t="shared" si="9"/>
        <v>16</v>
      </c>
    </row>
  </sheetData>
  <mergeCells count="20">
    <mergeCell ref="A2:AM2"/>
    <mergeCell ref="A3:C3"/>
    <mergeCell ref="AH3:AM3"/>
    <mergeCell ref="E5:E13"/>
    <mergeCell ref="I5:I13"/>
    <mergeCell ref="P5:P13"/>
    <mergeCell ref="W5:W13"/>
    <mergeCell ref="AD5:AD13"/>
    <mergeCell ref="D5:D13"/>
    <mergeCell ref="G5:G13"/>
    <mergeCell ref="I18:I26"/>
    <mergeCell ref="P18:P26"/>
    <mergeCell ref="W18:W26"/>
    <mergeCell ref="AD18:AD26"/>
    <mergeCell ref="A15:AM15"/>
    <mergeCell ref="A16:C16"/>
    <mergeCell ref="AH16:AM16"/>
    <mergeCell ref="D18:D26"/>
    <mergeCell ref="E18:E26"/>
    <mergeCell ref="G18:G26"/>
  </mergeCells>
  <conditionalFormatting sqref="D18:E26">
    <cfRule type="cellIs" dxfId="116" priority="5" operator="equal">
      <formula>"L"</formula>
    </cfRule>
  </conditionalFormatting>
  <conditionalFormatting sqref="D18:F26">
    <cfRule type="expression" dxfId="115" priority="6">
      <formula>D$3="SUN"</formula>
    </cfRule>
    <cfRule type="cellIs" dxfId="114" priority="7" operator="equal">
      <formula>"A"</formula>
    </cfRule>
    <cfRule type="cellIs" dxfId="113" priority="8" operator="equal">
      <formula>"P"</formula>
    </cfRule>
  </conditionalFormatting>
  <conditionalFormatting sqref="D3:AG13 AM13 D16:AG17">
    <cfRule type="expression" dxfId="112" priority="112">
      <formula>D$3="SUN"</formula>
    </cfRule>
  </conditionalFormatting>
  <conditionalFormatting sqref="D5:AG13 AM13">
    <cfRule type="cellIs" dxfId="111" priority="81" operator="equal">
      <formula>"L"</formula>
    </cfRule>
    <cfRule type="cellIs" dxfId="110" priority="113" operator="equal">
      <formula>"A"</formula>
    </cfRule>
    <cfRule type="cellIs" dxfId="109" priority="114" operator="equal">
      <formula>"P"</formula>
    </cfRule>
  </conditionalFormatting>
  <conditionalFormatting sqref="F18:F26 H18:K26">
    <cfRule type="expression" dxfId="108" priority="94">
      <formula>F$3="SUN"</formula>
    </cfRule>
    <cfRule type="cellIs" dxfId="107" priority="95" operator="equal">
      <formula>"A"</formula>
    </cfRule>
    <cfRule type="cellIs" dxfId="106" priority="96" operator="equal">
      <formula>"P"</formula>
    </cfRule>
  </conditionalFormatting>
  <conditionalFormatting sqref="G18:G26">
    <cfRule type="cellIs" dxfId="105" priority="1" operator="equal">
      <formula>"L"</formula>
    </cfRule>
    <cfRule type="expression" dxfId="104" priority="2">
      <formula>G$3="SUN"</formula>
    </cfRule>
    <cfRule type="cellIs" dxfId="103" priority="3" operator="equal">
      <formula>"A"</formula>
    </cfRule>
    <cfRule type="cellIs" dxfId="102" priority="4" operator="equal">
      <formula>"P"</formula>
    </cfRule>
  </conditionalFormatting>
  <conditionalFormatting sqref="H18:AG26 F18:F26">
    <cfRule type="cellIs" dxfId="101" priority="74" operator="equal">
      <formula>"L"</formula>
    </cfRule>
  </conditionalFormatting>
  <conditionalFormatting sqref="I18">
    <cfRule type="expression" dxfId="100" priority="67">
      <formula>I$3="SUN"</formula>
    </cfRule>
    <cfRule type="cellIs" dxfId="99" priority="68" operator="equal">
      <formula>"A"</formula>
    </cfRule>
    <cfRule type="cellIs" dxfId="98" priority="69" operator="equal">
      <formula>"P"</formula>
    </cfRule>
  </conditionalFormatting>
  <conditionalFormatting sqref="J18:L26">
    <cfRule type="expression" dxfId="97" priority="43">
      <formula>J$3="SUN"</formula>
    </cfRule>
    <cfRule type="cellIs" dxfId="96" priority="44" operator="equal">
      <formula>"A"</formula>
    </cfRule>
    <cfRule type="cellIs" dxfId="95" priority="45" operator="equal">
      <formula>"P"</formula>
    </cfRule>
  </conditionalFormatting>
  <conditionalFormatting sqref="L18">
    <cfRule type="expression" dxfId="94" priority="103">
      <formula>L$3="SUN"</formula>
    </cfRule>
    <cfRule type="cellIs" dxfId="93" priority="104" operator="equal">
      <formula>"A"</formula>
    </cfRule>
    <cfRule type="cellIs" dxfId="92" priority="105" operator="equal">
      <formula>"P"</formula>
    </cfRule>
  </conditionalFormatting>
  <conditionalFormatting sqref="M18:R26">
    <cfRule type="expression" dxfId="91" priority="91">
      <formula>M$3="SUN"</formula>
    </cfRule>
    <cfRule type="cellIs" dxfId="90" priority="92" operator="equal">
      <formula>"A"</formula>
    </cfRule>
    <cfRule type="cellIs" dxfId="89" priority="93" operator="equal">
      <formula>"P"</formula>
    </cfRule>
  </conditionalFormatting>
  <conditionalFormatting sqref="P18">
    <cfRule type="expression" dxfId="88" priority="64">
      <formula>P$3="SUN"</formula>
    </cfRule>
    <cfRule type="cellIs" dxfId="87" priority="65" operator="equal">
      <formula>"A"</formula>
    </cfRule>
    <cfRule type="cellIs" dxfId="86" priority="66" operator="equal">
      <formula>"P"</formula>
    </cfRule>
  </conditionalFormatting>
  <conditionalFormatting sqref="S18">
    <cfRule type="expression" dxfId="85" priority="100">
      <formula>S$3="SUN"</formula>
    </cfRule>
    <cfRule type="cellIs" dxfId="84" priority="101" operator="equal">
      <formula>"A"</formula>
    </cfRule>
    <cfRule type="cellIs" dxfId="83" priority="102" operator="equal">
      <formula>"P"</formula>
    </cfRule>
  </conditionalFormatting>
  <conditionalFormatting sqref="S18:S26">
    <cfRule type="expression" dxfId="82" priority="40">
      <formula>S$3="SUN"</formula>
    </cfRule>
    <cfRule type="cellIs" dxfId="81" priority="41" operator="equal">
      <formula>"A"</formula>
    </cfRule>
    <cfRule type="cellIs" dxfId="80" priority="42" operator="equal">
      <formula>"P"</formula>
    </cfRule>
  </conditionalFormatting>
  <conditionalFormatting sqref="T18:Y26">
    <cfRule type="expression" dxfId="79" priority="88">
      <formula>T$3="SUN"</formula>
    </cfRule>
    <cfRule type="cellIs" dxfId="78" priority="89" operator="equal">
      <formula>"A"</formula>
    </cfRule>
    <cfRule type="cellIs" dxfId="77" priority="90" operator="equal">
      <formula>"P"</formula>
    </cfRule>
  </conditionalFormatting>
  <conditionalFormatting sqref="W18">
    <cfRule type="expression" dxfId="76" priority="61">
      <formula>W$3="SUN"</formula>
    </cfRule>
    <cfRule type="cellIs" dxfId="75" priority="62" operator="equal">
      <formula>"A"</formula>
    </cfRule>
    <cfRule type="cellIs" dxfId="74" priority="63" operator="equal">
      <formula>"P"</formula>
    </cfRule>
  </conditionalFormatting>
  <conditionalFormatting sqref="X18:Z26">
    <cfRule type="expression" dxfId="73" priority="31">
      <formula>X$3="SUN"</formula>
    </cfRule>
    <cfRule type="cellIs" dxfId="72" priority="32" operator="equal">
      <formula>"A"</formula>
    </cfRule>
    <cfRule type="cellIs" dxfId="71" priority="33" operator="equal">
      <formula>"P"</formula>
    </cfRule>
  </conditionalFormatting>
  <conditionalFormatting sqref="Z18">
    <cfRule type="expression" dxfId="70" priority="97">
      <formula>Z$3="SUN"</formula>
    </cfRule>
    <cfRule type="cellIs" dxfId="69" priority="98" operator="equal">
      <formula>"A"</formula>
    </cfRule>
    <cfRule type="cellIs" dxfId="68" priority="99" operator="equal">
      <formula>"P"</formula>
    </cfRule>
  </conditionalFormatting>
  <conditionalFormatting sqref="AA18:AD26">
    <cfRule type="expression" dxfId="67" priority="85">
      <formula>AA$3="SUN"</formula>
    </cfRule>
    <cfRule type="cellIs" dxfId="66" priority="86" operator="equal">
      <formula>"A"</formula>
    </cfRule>
    <cfRule type="cellIs" dxfId="65" priority="87" operator="equal">
      <formula>"P"</formula>
    </cfRule>
  </conditionalFormatting>
  <conditionalFormatting sqref="AD18">
    <cfRule type="expression" dxfId="64" priority="58">
      <formula>AD$3="SUN"</formula>
    </cfRule>
    <cfRule type="cellIs" dxfId="63" priority="59" operator="equal">
      <formula>"A"</formula>
    </cfRule>
    <cfRule type="cellIs" dxfId="62" priority="60" operator="equal">
      <formula>"P"</formula>
    </cfRule>
  </conditionalFormatting>
  <conditionalFormatting sqref="AE18">
    <cfRule type="expression" dxfId="61" priority="78">
      <formula>AE$3="SUN"</formula>
    </cfRule>
    <cfRule type="cellIs" dxfId="60" priority="79" operator="equal">
      <formula>"A"</formula>
    </cfRule>
    <cfRule type="cellIs" dxfId="59" priority="80" operator="equal">
      <formula>"P"</formula>
    </cfRule>
  </conditionalFormatting>
  <conditionalFormatting sqref="AE18:AF26">
    <cfRule type="expression" dxfId="58" priority="25">
      <formula>AE$3="SUN"</formula>
    </cfRule>
    <cfRule type="cellIs" dxfId="57" priority="26" operator="equal">
      <formula>"A"</formula>
    </cfRule>
    <cfRule type="cellIs" dxfId="56" priority="27" operator="equal">
      <formula>"P"</formula>
    </cfRule>
  </conditionalFormatting>
  <conditionalFormatting sqref="AF18:AG26">
    <cfRule type="expression" dxfId="55" priority="82">
      <formula>AF$3="SUN"</formula>
    </cfRule>
    <cfRule type="cellIs" dxfId="54" priority="83" operator="equal">
      <formula>"A"</formula>
    </cfRule>
    <cfRule type="cellIs" dxfId="53" priority="8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833A-10BB-4BBD-BF3B-FA5A852C0C4E}">
  <dimension ref="A1:Y26"/>
  <sheetViews>
    <sheetView tabSelected="1" topLeftCell="A10" workbookViewId="0">
      <selection activeCell="K23" sqref="K23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9" width="3.7109375" bestFit="1" customWidth="1"/>
    <col min="10" max="19" width="3.7109375" customWidth="1"/>
    <col min="20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45" t="s">
        <v>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7"/>
    </row>
    <row r="3" spans="1:25" ht="27" x14ac:dyDescent="0.25">
      <c r="A3" s="48" t="s">
        <v>0</v>
      </c>
      <c r="B3" s="49"/>
      <c r="C3" s="50"/>
      <c r="D3" s="30" t="str">
        <f>TEXT(D4,"ddd")</f>
        <v>Thu</v>
      </c>
      <c r="E3" s="15" t="str">
        <f t="shared" ref="E3:S3" si="0">TEXT(E4,"ddd")</f>
        <v>Fri</v>
      </c>
      <c r="F3" s="15" t="str">
        <f t="shared" si="0"/>
        <v>Sat</v>
      </c>
      <c r="G3" s="15" t="str">
        <f t="shared" si="0"/>
        <v>Sun</v>
      </c>
      <c r="H3" s="15" t="str">
        <f t="shared" si="0"/>
        <v>Mon</v>
      </c>
      <c r="I3" s="15" t="str">
        <f t="shared" si="0"/>
        <v>Tue</v>
      </c>
      <c r="J3" s="15" t="str">
        <f t="shared" si="0"/>
        <v>Wed</v>
      </c>
      <c r="K3" s="15" t="str">
        <f t="shared" si="0"/>
        <v>Thu</v>
      </c>
      <c r="L3" s="15" t="str">
        <f t="shared" si="0"/>
        <v>Fri</v>
      </c>
      <c r="M3" s="15" t="str">
        <f t="shared" si="0"/>
        <v>Sat</v>
      </c>
      <c r="N3" s="15" t="str">
        <f t="shared" si="0"/>
        <v>Sun</v>
      </c>
      <c r="O3" s="15" t="str">
        <f t="shared" si="0"/>
        <v>Mon</v>
      </c>
      <c r="P3" s="15" t="str">
        <f t="shared" si="0"/>
        <v>Tue</v>
      </c>
      <c r="Q3" s="15" t="str">
        <f t="shared" si="0"/>
        <v>Wed</v>
      </c>
      <c r="R3" s="15" t="str">
        <f t="shared" si="0"/>
        <v>Thu</v>
      </c>
      <c r="S3" s="27" t="str">
        <f t="shared" si="0"/>
        <v>Fri</v>
      </c>
      <c r="T3" s="51" t="s">
        <v>1</v>
      </c>
      <c r="U3" s="52"/>
      <c r="V3" s="52"/>
      <c r="W3" s="52"/>
      <c r="X3" s="52"/>
      <c r="Y3" s="53"/>
    </row>
    <row r="4" spans="1:25" x14ac:dyDescent="0.25">
      <c r="A4" s="1" t="s">
        <v>2</v>
      </c>
      <c r="B4" s="2" t="s">
        <v>3</v>
      </c>
      <c r="C4" s="33" t="s">
        <v>4</v>
      </c>
      <c r="D4" s="31">
        <v>45778</v>
      </c>
      <c r="E4" s="7">
        <v>45779</v>
      </c>
      <c r="F4" s="7">
        <v>45780</v>
      </c>
      <c r="G4" s="7">
        <v>45781</v>
      </c>
      <c r="H4" s="7">
        <v>45782</v>
      </c>
      <c r="I4" s="7">
        <v>45783</v>
      </c>
      <c r="J4" s="7">
        <v>45784</v>
      </c>
      <c r="K4" s="7">
        <v>45785</v>
      </c>
      <c r="L4" s="7">
        <v>45786</v>
      </c>
      <c r="M4" s="7">
        <v>45787</v>
      </c>
      <c r="N4" s="7">
        <v>45788</v>
      </c>
      <c r="O4" s="7">
        <v>45789</v>
      </c>
      <c r="P4" s="7">
        <v>45790</v>
      </c>
      <c r="Q4" s="7">
        <v>45791</v>
      </c>
      <c r="R4" s="7">
        <v>45792</v>
      </c>
      <c r="S4" s="28">
        <v>45793</v>
      </c>
      <c r="T4" s="22" t="s">
        <v>6</v>
      </c>
      <c r="U4" s="13" t="s">
        <v>7</v>
      </c>
      <c r="V4" s="13" t="s">
        <v>13</v>
      </c>
      <c r="W4" s="13" t="s">
        <v>41</v>
      </c>
      <c r="X4" s="13" t="s">
        <v>25</v>
      </c>
      <c r="Y4" s="14" t="s">
        <v>5</v>
      </c>
    </row>
    <row r="5" spans="1:25" ht="15" customHeight="1" x14ac:dyDescent="0.25">
      <c r="A5" s="3">
        <v>1</v>
      </c>
      <c r="B5" s="4" t="s">
        <v>27</v>
      </c>
      <c r="C5" s="16" t="s">
        <v>8</v>
      </c>
      <c r="D5" s="69" t="s">
        <v>46</v>
      </c>
      <c r="E5" s="4" t="s">
        <v>6</v>
      </c>
      <c r="F5" s="4" t="s">
        <v>6</v>
      </c>
      <c r="G5" s="54" t="s">
        <v>26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54" t="s">
        <v>26</v>
      </c>
      <c r="O5" s="4" t="s">
        <v>6</v>
      </c>
      <c r="P5" s="4" t="s">
        <v>6</v>
      </c>
      <c r="Q5" s="4" t="s">
        <v>6</v>
      </c>
      <c r="R5" s="4" t="s">
        <v>6</v>
      </c>
      <c r="S5" s="16" t="s">
        <v>6</v>
      </c>
      <c r="T5" s="3">
        <f t="shared" ref="T5:T13" si="1">COUNTIF(D5:S5,"P")</f>
        <v>13</v>
      </c>
      <c r="U5" s="4">
        <f t="shared" ref="U5:U13" si="2">COUNTIF(D5:S5,"A")</f>
        <v>0</v>
      </c>
      <c r="V5" s="4">
        <f t="shared" ref="V5:V13" si="3">COUNTIF(D5:S5,"L")</f>
        <v>0</v>
      </c>
      <c r="W5" s="4">
        <v>1</v>
      </c>
      <c r="X5" s="4">
        <v>2</v>
      </c>
      <c r="Y5" s="16">
        <f t="shared" ref="Y5:Y13" si="4">T5+V5+W5+X5</f>
        <v>16</v>
      </c>
    </row>
    <row r="6" spans="1:25" x14ac:dyDescent="0.25">
      <c r="A6" s="3">
        <v>2</v>
      </c>
      <c r="B6" s="4" t="s">
        <v>11</v>
      </c>
      <c r="C6" s="16" t="s">
        <v>8</v>
      </c>
      <c r="D6" s="69"/>
      <c r="E6" s="4" t="s">
        <v>6</v>
      </c>
      <c r="F6" s="4" t="s">
        <v>13</v>
      </c>
      <c r="G6" s="54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54"/>
      <c r="O6" s="4" t="s">
        <v>6</v>
      </c>
      <c r="P6" s="4" t="s">
        <v>6</v>
      </c>
      <c r="Q6" s="4" t="s">
        <v>6</v>
      </c>
      <c r="R6" s="4" t="s">
        <v>6</v>
      </c>
      <c r="S6" s="16" t="s">
        <v>6</v>
      </c>
      <c r="T6" s="3">
        <f t="shared" si="1"/>
        <v>12</v>
      </c>
      <c r="U6" s="4">
        <f t="shared" si="2"/>
        <v>0</v>
      </c>
      <c r="V6" s="4">
        <f t="shared" si="3"/>
        <v>1</v>
      </c>
      <c r="W6" s="4">
        <v>1</v>
      </c>
      <c r="X6" s="4">
        <v>2</v>
      </c>
      <c r="Y6" s="16">
        <f t="shared" si="4"/>
        <v>16</v>
      </c>
    </row>
    <row r="7" spans="1:25" x14ac:dyDescent="0.25">
      <c r="A7" s="3">
        <v>3</v>
      </c>
      <c r="B7" s="4" t="s">
        <v>10</v>
      </c>
      <c r="C7" s="16" t="s">
        <v>8</v>
      </c>
      <c r="D7" s="69"/>
      <c r="E7" s="4" t="s">
        <v>6</v>
      </c>
      <c r="F7" s="4" t="s">
        <v>6</v>
      </c>
      <c r="G7" s="54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54"/>
      <c r="O7" s="4" t="s">
        <v>6</v>
      </c>
      <c r="P7" s="4" t="s">
        <v>6</v>
      </c>
      <c r="Q7" s="4" t="s">
        <v>6</v>
      </c>
      <c r="R7" s="4" t="s">
        <v>6</v>
      </c>
      <c r="S7" s="16" t="s">
        <v>13</v>
      </c>
      <c r="T7" s="3">
        <f t="shared" si="1"/>
        <v>12</v>
      </c>
      <c r="U7" s="4">
        <f t="shared" si="2"/>
        <v>0</v>
      </c>
      <c r="V7" s="4">
        <f t="shared" si="3"/>
        <v>1</v>
      </c>
      <c r="W7" s="4">
        <v>1</v>
      </c>
      <c r="X7" s="4">
        <v>2</v>
      </c>
      <c r="Y7" s="16">
        <f t="shared" si="4"/>
        <v>16</v>
      </c>
    </row>
    <row r="8" spans="1:25" x14ac:dyDescent="0.25">
      <c r="A8" s="3">
        <v>4</v>
      </c>
      <c r="B8" s="4" t="s">
        <v>12</v>
      </c>
      <c r="C8" s="16" t="s">
        <v>38</v>
      </c>
      <c r="D8" s="69"/>
      <c r="E8" s="4" t="s">
        <v>6</v>
      </c>
      <c r="F8" s="4" t="s">
        <v>6</v>
      </c>
      <c r="G8" s="54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54"/>
      <c r="O8" s="4" t="s">
        <v>6</v>
      </c>
      <c r="P8" s="4" t="s">
        <v>6</v>
      </c>
      <c r="Q8" s="4" t="s">
        <v>6</v>
      </c>
      <c r="R8" s="4" t="s">
        <v>6</v>
      </c>
      <c r="S8" s="16" t="s">
        <v>6</v>
      </c>
      <c r="T8" s="3">
        <f t="shared" si="1"/>
        <v>13</v>
      </c>
      <c r="U8" s="4">
        <f t="shared" si="2"/>
        <v>0</v>
      </c>
      <c r="V8" s="4">
        <f t="shared" si="3"/>
        <v>0</v>
      </c>
      <c r="W8" s="4">
        <v>1</v>
      </c>
      <c r="X8" s="4">
        <v>2</v>
      </c>
      <c r="Y8" s="16">
        <f t="shared" si="4"/>
        <v>16</v>
      </c>
    </row>
    <row r="9" spans="1:25" x14ac:dyDescent="0.25">
      <c r="A9" s="3">
        <v>5</v>
      </c>
      <c r="B9" s="4" t="s">
        <v>28</v>
      </c>
      <c r="C9" s="16" t="s">
        <v>29</v>
      </c>
      <c r="D9" s="69"/>
      <c r="E9" s="4" t="s">
        <v>6</v>
      </c>
      <c r="F9" s="4" t="s">
        <v>6</v>
      </c>
      <c r="G9" s="54"/>
      <c r="H9" s="4" t="s">
        <v>6</v>
      </c>
      <c r="I9" s="4" t="s">
        <v>6</v>
      </c>
      <c r="J9" s="4" t="s">
        <v>6</v>
      </c>
      <c r="K9" s="4" t="s">
        <v>6</v>
      </c>
      <c r="L9" s="4" t="s">
        <v>13</v>
      </c>
      <c r="M9" s="4" t="s">
        <v>6</v>
      </c>
      <c r="N9" s="54"/>
      <c r="O9" s="4" t="s">
        <v>6</v>
      </c>
      <c r="P9" s="4" t="s">
        <v>6</v>
      </c>
      <c r="Q9" s="4" t="s">
        <v>6</v>
      </c>
      <c r="R9" s="4" t="s">
        <v>6</v>
      </c>
      <c r="S9" s="16" t="s">
        <v>7</v>
      </c>
      <c r="T9" s="3">
        <f t="shared" si="1"/>
        <v>11</v>
      </c>
      <c r="U9" s="4">
        <f t="shared" si="2"/>
        <v>1</v>
      </c>
      <c r="V9" s="4">
        <f t="shared" si="3"/>
        <v>1</v>
      </c>
      <c r="W9" s="4">
        <v>1</v>
      </c>
      <c r="X9" s="4">
        <v>2</v>
      </c>
      <c r="Y9" s="16">
        <f t="shared" si="4"/>
        <v>15</v>
      </c>
    </row>
    <row r="10" spans="1:25" x14ac:dyDescent="0.25">
      <c r="A10" s="3">
        <v>6</v>
      </c>
      <c r="B10" s="4" t="s">
        <v>35</v>
      </c>
      <c r="C10" s="16" t="s">
        <v>36</v>
      </c>
      <c r="D10" s="69"/>
      <c r="E10" s="4" t="s">
        <v>6</v>
      </c>
      <c r="F10" s="4" t="s">
        <v>6</v>
      </c>
      <c r="G10" s="54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54"/>
      <c r="O10" s="4" t="s">
        <v>6</v>
      </c>
      <c r="P10" s="4" t="s">
        <v>13</v>
      </c>
      <c r="Q10" s="4" t="s">
        <v>6</v>
      </c>
      <c r="R10" s="4" t="s">
        <v>6</v>
      </c>
      <c r="S10" s="16" t="s">
        <v>6</v>
      </c>
      <c r="T10" s="3">
        <f t="shared" si="1"/>
        <v>12</v>
      </c>
      <c r="U10" s="4">
        <f t="shared" si="2"/>
        <v>0</v>
      </c>
      <c r="V10" s="4">
        <f t="shared" si="3"/>
        <v>1</v>
      </c>
      <c r="W10" s="4">
        <v>1</v>
      </c>
      <c r="X10" s="4">
        <v>2</v>
      </c>
      <c r="Y10" s="16">
        <f t="shared" si="4"/>
        <v>16</v>
      </c>
    </row>
    <row r="11" spans="1:25" x14ac:dyDescent="0.25">
      <c r="A11" s="3">
        <v>7</v>
      </c>
      <c r="B11" s="11" t="s">
        <v>42</v>
      </c>
      <c r="C11" s="16" t="s">
        <v>8</v>
      </c>
      <c r="D11" s="70"/>
      <c r="E11" s="4" t="s">
        <v>6</v>
      </c>
      <c r="F11" s="4" t="s">
        <v>7</v>
      </c>
      <c r="G11" s="39"/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39"/>
      <c r="O11" s="4" t="s">
        <v>6</v>
      </c>
      <c r="P11" s="4" t="s">
        <v>13</v>
      </c>
      <c r="Q11" s="4" t="s">
        <v>6</v>
      </c>
      <c r="R11" s="4" t="s">
        <v>6</v>
      </c>
      <c r="S11" s="16" t="s">
        <v>6</v>
      </c>
      <c r="T11" s="3">
        <f t="shared" si="1"/>
        <v>11</v>
      </c>
      <c r="U11" s="4">
        <f t="shared" si="2"/>
        <v>1</v>
      </c>
      <c r="V11" s="4">
        <f t="shared" si="3"/>
        <v>1</v>
      </c>
      <c r="W11" s="4">
        <v>1</v>
      </c>
      <c r="X11" s="4">
        <v>2</v>
      </c>
      <c r="Y11" s="16">
        <f t="shared" si="4"/>
        <v>15</v>
      </c>
    </row>
    <row r="12" spans="1:25" x14ac:dyDescent="0.25">
      <c r="A12" s="3">
        <v>8</v>
      </c>
      <c r="B12" s="11" t="s">
        <v>47</v>
      </c>
      <c r="C12" s="16" t="s">
        <v>8</v>
      </c>
      <c r="D12" s="70"/>
      <c r="E12" s="4" t="s">
        <v>6</v>
      </c>
      <c r="F12" s="4" t="s">
        <v>6</v>
      </c>
      <c r="G12" s="39"/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39"/>
      <c r="O12" s="4" t="s">
        <v>6</v>
      </c>
      <c r="P12" s="4" t="s">
        <v>6</v>
      </c>
      <c r="Q12" s="4" t="s">
        <v>6</v>
      </c>
      <c r="R12" s="4" t="s">
        <v>6</v>
      </c>
      <c r="S12" s="16" t="s">
        <v>6</v>
      </c>
      <c r="T12" s="3">
        <f t="shared" si="1"/>
        <v>13</v>
      </c>
      <c r="U12" s="4">
        <f t="shared" si="2"/>
        <v>0</v>
      </c>
      <c r="V12" s="4">
        <f t="shared" si="3"/>
        <v>0</v>
      </c>
      <c r="W12" s="4">
        <v>1</v>
      </c>
      <c r="X12" s="4">
        <v>2</v>
      </c>
      <c r="Y12" s="16">
        <f t="shared" si="4"/>
        <v>16</v>
      </c>
    </row>
    <row r="13" spans="1:25" ht="15.75" thickBot="1" x14ac:dyDescent="0.3">
      <c r="A13" s="5">
        <v>9</v>
      </c>
      <c r="B13" s="6" t="s">
        <v>48</v>
      </c>
      <c r="C13" s="17" t="s">
        <v>8</v>
      </c>
      <c r="D13" s="71"/>
      <c r="E13" s="6" t="s">
        <v>6</v>
      </c>
      <c r="F13" s="6" t="s">
        <v>6</v>
      </c>
      <c r="G13" s="55"/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  <c r="M13" s="6" t="s">
        <v>6</v>
      </c>
      <c r="N13" s="55"/>
      <c r="O13" s="6" t="s">
        <v>6</v>
      </c>
      <c r="P13" s="6" t="s">
        <v>6</v>
      </c>
      <c r="Q13" s="6" t="s">
        <v>6</v>
      </c>
      <c r="R13" s="6" t="s">
        <v>6</v>
      </c>
      <c r="S13" s="17" t="s">
        <v>6</v>
      </c>
      <c r="T13" s="5">
        <f t="shared" si="1"/>
        <v>13</v>
      </c>
      <c r="U13" s="6">
        <f t="shared" si="2"/>
        <v>0</v>
      </c>
      <c r="V13" s="6">
        <f t="shared" si="3"/>
        <v>0</v>
      </c>
      <c r="W13" s="6">
        <v>1</v>
      </c>
      <c r="X13" s="6">
        <v>2</v>
      </c>
      <c r="Y13" s="17">
        <f t="shared" si="4"/>
        <v>16</v>
      </c>
    </row>
    <row r="14" spans="1:25" ht="15.75" thickBot="1" x14ac:dyDescent="0.3"/>
    <row r="15" spans="1:25" ht="32.25" thickBot="1" x14ac:dyDescent="0.55000000000000004">
      <c r="A15" s="45" t="s">
        <v>33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</row>
    <row r="16" spans="1:25" ht="27" x14ac:dyDescent="0.25">
      <c r="A16" s="48" t="s">
        <v>0</v>
      </c>
      <c r="B16" s="49"/>
      <c r="C16" s="72"/>
      <c r="D16" s="30" t="str">
        <f>TEXT(D17,"ddd")</f>
        <v>Thu</v>
      </c>
      <c r="E16" s="15" t="str">
        <f t="shared" ref="E16:S16" si="5">TEXT(E17,"ddd")</f>
        <v>Fri</v>
      </c>
      <c r="F16" s="15" t="str">
        <f t="shared" si="5"/>
        <v>Sat</v>
      </c>
      <c r="G16" s="15" t="str">
        <f t="shared" si="5"/>
        <v>Sun</v>
      </c>
      <c r="H16" s="15" t="str">
        <f t="shared" si="5"/>
        <v>Mon</v>
      </c>
      <c r="I16" s="15" t="str">
        <f t="shared" si="5"/>
        <v>Tue</v>
      </c>
      <c r="J16" s="15" t="str">
        <f t="shared" si="5"/>
        <v>Wed</v>
      </c>
      <c r="K16" s="15" t="str">
        <f t="shared" si="5"/>
        <v>Thu</v>
      </c>
      <c r="L16" s="15" t="str">
        <f t="shared" si="5"/>
        <v>Fri</v>
      </c>
      <c r="M16" s="15" t="str">
        <f t="shared" si="5"/>
        <v>Sat</v>
      </c>
      <c r="N16" s="15" t="str">
        <f t="shared" si="5"/>
        <v>Sun</v>
      </c>
      <c r="O16" s="15" t="str">
        <f t="shared" si="5"/>
        <v>Mon</v>
      </c>
      <c r="P16" s="15" t="str">
        <f t="shared" si="5"/>
        <v>Tue</v>
      </c>
      <c r="Q16" s="15" t="str">
        <f t="shared" si="5"/>
        <v>Wed</v>
      </c>
      <c r="R16" s="15" t="str">
        <f t="shared" si="5"/>
        <v>Thu</v>
      </c>
      <c r="S16" s="27" t="str">
        <f t="shared" si="5"/>
        <v>Fri</v>
      </c>
      <c r="T16" s="51" t="s">
        <v>1</v>
      </c>
      <c r="U16" s="52"/>
      <c r="V16" s="52"/>
      <c r="W16" s="52"/>
      <c r="X16" s="52"/>
      <c r="Y16" s="53"/>
    </row>
    <row r="17" spans="1:25" x14ac:dyDescent="0.25">
      <c r="A17" s="1" t="s">
        <v>2</v>
      </c>
      <c r="B17" s="2" t="s">
        <v>3</v>
      </c>
      <c r="C17" s="29" t="s">
        <v>4</v>
      </c>
      <c r="D17" s="31">
        <v>45778</v>
      </c>
      <c r="E17" s="7">
        <v>45779</v>
      </c>
      <c r="F17" s="7">
        <v>45780</v>
      </c>
      <c r="G17" s="7">
        <v>45781</v>
      </c>
      <c r="H17" s="7">
        <v>45782</v>
      </c>
      <c r="I17" s="7">
        <v>45783</v>
      </c>
      <c r="J17" s="7">
        <v>45784</v>
      </c>
      <c r="K17" s="7">
        <v>45785</v>
      </c>
      <c r="L17" s="7">
        <v>45786</v>
      </c>
      <c r="M17" s="7">
        <v>45787</v>
      </c>
      <c r="N17" s="7">
        <v>45788</v>
      </c>
      <c r="O17" s="7">
        <v>45789</v>
      </c>
      <c r="P17" s="7">
        <v>45790</v>
      </c>
      <c r="Q17" s="7">
        <v>45791</v>
      </c>
      <c r="R17" s="7">
        <v>45792</v>
      </c>
      <c r="S17" s="28">
        <v>45793</v>
      </c>
      <c r="T17" s="22" t="s">
        <v>6</v>
      </c>
      <c r="U17" s="13" t="s">
        <v>7</v>
      </c>
      <c r="V17" s="13" t="s">
        <v>13</v>
      </c>
      <c r="W17" s="13" t="s">
        <v>41</v>
      </c>
      <c r="X17" s="13" t="s">
        <v>25</v>
      </c>
      <c r="Y17" s="14" t="s">
        <v>5</v>
      </c>
    </row>
    <row r="18" spans="1:25" ht="15" customHeight="1" x14ac:dyDescent="0.25">
      <c r="A18" s="3">
        <f>IF(B18="","",1)</f>
        <v>1</v>
      </c>
      <c r="B18" s="4" t="s">
        <v>14</v>
      </c>
      <c r="C18" s="20" t="s">
        <v>15</v>
      </c>
      <c r="D18" s="69" t="s">
        <v>46</v>
      </c>
      <c r="E18" s="4" t="s">
        <v>6</v>
      </c>
      <c r="F18" s="4" t="s">
        <v>6</v>
      </c>
      <c r="G18" s="39" t="s">
        <v>26</v>
      </c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39" t="s">
        <v>26</v>
      </c>
      <c r="O18" s="4" t="s">
        <v>6</v>
      </c>
      <c r="P18" s="4" t="s">
        <v>6</v>
      </c>
      <c r="Q18" s="4" t="s">
        <v>6</v>
      </c>
      <c r="R18" s="4" t="s">
        <v>6</v>
      </c>
      <c r="S18" s="16" t="s">
        <v>6</v>
      </c>
      <c r="T18" s="24">
        <f t="shared" ref="T18:T26" si="6">COUNTIF(D18:S18,"P")</f>
        <v>13</v>
      </c>
      <c r="U18" s="8">
        <f t="shared" ref="U18:U26" si="7">COUNTIF(D18:S18,"A")</f>
        <v>0</v>
      </c>
      <c r="V18" s="8">
        <f t="shared" ref="V18:V26" si="8">COUNTIF(D18:S18,"L")</f>
        <v>0</v>
      </c>
      <c r="W18" s="4">
        <v>1</v>
      </c>
      <c r="X18" s="8">
        <v>2</v>
      </c>
      <c r="Y18" s="16">
        <f>T18+V18+W18+X18</f>
        <v>16</v>
      </c>
    </row>
    <row r="19" spans="1:25" x14ac:dyDescent="0.25">
      <c r="A19" s="3">
        <f>IF(B19="","",A18+1)</f>
        <v>2</v>
      </c>
      <c r="B19" s="4" t="s">
        <v>16</v>
      </c>
      <c r="C19" s="20" t="s">
        <v>17</v>
      </c>
      <c r="D19" s="69"/>
      <c r="E19" s="4" t="s">
        <v>6</v>
      </c>
      <c r="F19" s="4" t="s">
        <v>6</v>
      </c>
      <c r="G19" s="40"/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0"/>
      <c r="O19" s="4" t="s">
        <v>6</v>
      </c>
      <c r="P19" s="4" t="s">
        <v>6</v>
      </c>
      <c r="Q19" s="4" t="s">
        <v>6</v>
      </c>
      <c r="R19" s="4" t="s">
        <v>6</v>
      </c>
      <c r="S19" s="16" t="s">
        <v>6</v>
      </c>
      <c r="T19" s="24">
        <f t="shared" si="6"/>
        <v>13</v>
      </c>
      <c r="U19" s="8">
        <f t="shared" si="7"/>
        <v>0</v>
      </c>
      <c r="V19" s="8">
        <f t="shared" si="8"/>
        <v>0</v>
      </c>
      <c r="W19" s="4">
        <v>1</v>
      </c>
      <c r="X19" s="8">
        <v>2</v>
      </c>
      <c r="Y19" s="16">
        <f t="shared" ref="Y19:Y26" si="9">T19+V19+W19+X19</f>
        <v>16</v>
      </c>
    </row>
    <row r="20" spans="1:25" x14ac:dyDescent="0.25">
      <c r="A20" s="3">
        <f t="shared" ref="A20:A24" si="10">IF(B20="","",A19+1)</f>
        <v>3</v>
      </c>
      <c r="B20" s="4" t="s">
        <v>18</v>
      </c>
      <c r="C20" s="20" t="s">
        <v>19</v>
      </c>
      <c r="D20" s="69"/>
      <c r="E20" s="4" t="s">
        <v>6</v>
      </c>
      <c r="F20" s="4" t="s">
        <v>6</v>
      </c>
      <c r="G20" s="40"/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0"/>
      <c r="O20" s="4" t="s">
        <v>6</v>
      </c>
      <c r="P20" s="4" t="s">
        <v>6</v>
      </c>
      <c r="Q20" s="4" t="s">
        <v>6</v>
      </c>
      <c r="R20" s="4" t="s">
        <v>6</v>
      </c>
      <c r="S20" s="16" t="s">
        <v>6</v>
      </c>
      <c r="T20" s="24">
        <f t="shared" si="6"/>
        <v>13</v>
      </c>
      <c r="U20" s="8">
        <f t="shared" si="7"/>
        <v>0</v>
      </c>
      <c r="V20" s="8">
        <f t="shared" si="8"/>
        <v>0</v>
      </c>
      <c r="W20" s="4">
        <v>1</v>
      </c>
      <c r="X20" s="8">
        <v>2</v>
      </c>
      <c r="Y20" s="16">
        <f t="shared" si="9"/>
        <v>16</v>
      </c>
    </row>
    <row r="21" spans="1:25" x14ac:dyDescent="0.25">
      <c r="A21" s="3">
        <f t="shared" si="10"/>
        <v>4</v>
      </c>
      <c r="B21" s="4" t="s">
        <v>21</v>
      </c>
      <c r="C21" s="20" t="s">
        <v>20</v>
      </c>
      <c r="D21" s="69"/>
      <c r="E21" s="4" t="s">
        <v>6</v>
      </c>
      <c r="F21" s="4" t="s">
        <v>6</v>
      </c>
      <c r="G21" s="40"/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0"/>
      <c r="O21" s="4" t="s">
        <v>6</v>
      </c>
      <c r="P21" s="4" t="s">
        <v>6</v>
      </c>
      <c r="Q21" s="4" t="s">
        <v>6</v>
      </c>
      <c r="R21" s="4" t="s">
        <v>6</v>
      </c>
      <c r="S21" s="16" t="s">
        <v>6</v>
      </c>
      <c r="T21" s="24">
        <f t="shared" si="6"/>
        <v>13</v>
      </c>
      <c r="U21" s="8">
        <f t="shared" si="7"/>
        <v>0</v>
      </c>
      <c r="V21" s="8">
        <f t="shared" si="8"/>
        <v>0</v>
      </c>
      <c r="W21" s="4">
        <v>1</v>
      </c>
      <c r="X21" s="8">
        <v>2</v>
      </c>
      <c r="Y21" s="16">
        <f t="shared" si="9"/>
        <v>16</v>
      </c>
    </row>
    <row r="22" spans="1:25" x14ac:dyDescent="0.25">
      <c r="A22" s="3">
        <f t="shared" si="10"/>
        <v>5</v>
      </c>
      <c r="B22" s="4" t="s">
        <v>22</v>
      </c>
      <c r="C22" s="20" t="s">
        <v>23</v>
      </c>
      <c r="D22" s="69"/>
      <c r="E22" s="4" t="s">
        <v>6</v>
      </c>
      <c r="F22" s="4" t="s">
        <v>6</v>
      </c>
      <c r="G22" s="40"/>
      <c r="H22" s="4" t="s">
        <v>6</v>
      </c>
      <c r="I22" s="4" t="s">
        <v>6</v>
      </c>
      <c r="J22" s="4" t="s">
        <v>6</v>
      </c>
      <c r="K22" s="4" t="s">
        <v>13</v>
      </c>
      <c r="L22" s="4" t="s">
        <v>6</v>
      </c>
      <c r="M22" s="4" t="s">
        <v>6</v>
      </c>
      <c r="N22" s="40"/>
      <c r="O22" s="4" t="s">
        <v>6</v>
      </c>
      <c r="P22" s="4" t="s">
        <v>6</v>
      </c>
      <c r="Q22" s="4" t="s">
        <v>6</v>
      </c>
      <c r="R22" s="4" t="s">
        <v>6</v>
      </c>
      <c r="S22" s="16" t="s">
        <v>6</v>
      </c>
      <c r="T22" s="24">
        <f t="shared" si="6"/>
        <v>12</v>
      </c>
      <c r="U22" s="8">
        <f t="shared" si="7"/>
        <v>0</v>
      </c>
      <c r="V22" s="8">
        <f t="shared" si="8"/>
        <v>1</v>
      </c>
      <c r="W22" s="4">
        <v>1</v>
      </c>
      <c r="X22" s="8">
        <v>2</v>
      </c>
      <c r="Y22" s="16">
        <f t="shared" si="9"/>
        <v>16</v>
      </c>
    </row>
    <row r="23" spans="1:25" x14ac:dyDescent="0.25">
      <c r="A23" s="3">
        <f t="shared" si="10"/>
        <v>6</v>
      </c>
      <c r="B23" s="11" t="s">
        <v>30</v>
      </c>
      <c r="C23" s="20" t="s">
        <v>20</v>
      </c>
      <c r="D23" s="69"/>
      <c r="E23" s="4" t="s">
        <v>6</v>
      </c>
      <c r="F23" s="4" t="s">
        <v>6</v>
      </c>
      <c r="G23" s="40"/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40"/>
      <c r="O23" s="4" t="s">
        <v>6</v>
      </c>
      <c r="P23" s="4" t="s">
        <v>6</v>
      </c>
      <c r="Q23" s="4" t="s">
        <v>6</v>
      </c>
      <c r="R23" s="4" t="s">
        <v>6</v>
      </c>
      <c r="S23" s="16" t="s">
        <v>6</v>
      </c>
      <c r="T23" s="24">
        <f t="shared" si="6"/>
        <v>13</v>
      </c>
      <c r="U23" s="8">
        <f t="shared" si="7"/>
        <v>0</v>
      </c>
      <c r="V23" s="8">
        <f t="shared" si="8"/>
        <v>0</v>
      </c>
      <c r="W23" s="4">
        <v>1</v>
      </c>
      <c r="X23" s="8">
        <v>2</v>
      </c>
      <c r="Y23" s="16">
        <f t="shared" si="9"/>
        <v>16</v>
      </c>
    </row>
    <row r="24" spans="1:25" x14ac:dyDescent="0.25">
      <c r="A24" s="3">
        <f t="shared" si="10"/>
        <v>7</v>
      </c>
      <c r="B24" s="11" t="s">
        <v>31</v>
      </c>
      <c r="C24" s="20" t="s">
        <v>20</v>
      </c>
      <c r="D24" s="69"/>
      <c r="E24" s="11" t="s">
        <v>6</v>
      </c>
      <c r="F24" s="11" t="s">
        <v>6</v>
      </c>
      <c r="G24" s="40"/>
      <c r="H24" s="11" t="s">
        <v>6</v>
      </c>
      <c r="I24" s="11" t="s">
        <v>6</v>
      </c>
      <c r="J24" s="11" t="s">
        <v>6</v>
      </c>
      <c r="K24" s="11" t="s">
        <v>6</v>
      </c>
      <c r="L24" s="11" t="s">
        <v>6</v>
      </c>
      <c r="M24" s="11" t="s">
        <v>6</v>
      </c>
      <c r="N24" s="40"/>
      <c r="O24" s="11" t="s">
        <v>6</v>
      </c>
      <c r="P24" s="11" t="s">
        <v>6</v>
      </c>
      <c r="Q24" s="11" t="s">
        <v>6</v>
      </c>
      <c r="R24" s="11" t="s">
        <v>6</v>
      </c>
      <c r="S24" s="32" t="s">
        <v>6</v>
      </c>
      <c r="T24" s="25">
        <f t="shared" si="6"/>
        <v>13</v>
      </c>
      <c r="U24" s="12">
        <f t="shared" si="7"/>
        <v>0</v>
      </c>
      <c r="V24" s="8">
        <f t="shared" si="8"/>
        <v>0</v>
      </c>
      <c r="W24" s="11">
        <v>1</v>
      </c>
      <c r="X24" s="12">
        <v>2</v>
      </c>
      <c r="Y24" s="16">
        <f t="shared" si="9"/>
        <v>16</v>
      </c>
    </row>
    <row r="25" spans="1:25" x14ac:dyDescent="0.25">
      <c r="A25" s="10">
        <v>8</v>
      </c>
      <c r="B25" s="11" t="s">
        <v>39</v>
      </c>
      <c r="C25" s="23" t="s">
        <v>34</v>
      </c>
      <c r="D25" s="70"/>
      <c r="E25" s="11" t="s">
        <v>6</v>
      </c>
      <c r="F25" s="11" t="s">
        <v>6</v>
      </c>
      <c r="G25" s="40"/>
      <c r="H25" s="11" t="s">
        <v>6</v>
      </c>
      <c r="I25" s="11" t="s">
        <v>6</v>
      </c>
      <c r="J25" s="11" t="s">
        <v>6</v>
      </c>
      <c r="K25" s="11" t="s">
        <v>6</v>
      </c>
      <c r="L25" s="11" t="s">
        <v>6</v>
      </c>
      <c r="M25" s="11" t="s">
        <v>6</v>
      </c>
      <c r="N25" s="40"/>
      <c r="O25" s="11" t="s">
        <v>6</v>
      </c>
      <c r="P25" s="11" t="s">
        <v>6</v>
      </c>
      <c r="Q25" s="11" t="s">
        <v>6</v>
      </c>
      <c r="R25" s="11" t="s">
        <v>6</v>
      </c>
      <c r="S25" s="32" t="s">
        <v>6</v>
      </c>
      <c r="T25" s="25">
        <f t="shared" si="6"/>
        <v>13</v>
      </c>
      <c r="U25" s="12">
        <f t="shared" si="7"/>
        <v>0</v>
      </c>
      <c r="V25" s="8">
        <f t="shared" si="8"/>
        <v>0</v>
      </c>
      <c r="W25" s="11">
        <v>1</v>
      </c>
      <c r="X25" s="12">
        <v>2</v>
      </c>
      <c r="Y25" s="16">
        <f t="shared" si="9"/>
        <v>16</v>
      </c>
    </row>
    <row r="26" spans="1:25" ht="15.75" thickBot="1" x14ac:dyDescent="0.3">
      <c r="A26" s="5">
        <v>9</v>
      </c>
      <c r="B26" s="6" t="s">
        <v>49</v>
      </c>
      <c r="C26" s="21" t="s">
        <v>20</v>
      </c>
      <c r="D26" s="71"/>
      <c r="E26" s="6" t="s">
        <v>6</v>
      </c>
      <c r="F26" s="6" t="s">
        <v>6</v>
      </c>
      <c r="G26" s="41"/>
      <c r="H26" s="6" t="s">
        <v>6</v>
      </c>
      <c r="I26" s="6" t="s">
        <v>6</v>
      </c>
      <c r="J26" s="6" t="s">
        <v>6</v>
      </c>
      <c r="K26" s="6" t="s">
        <v>6</v>
      </c>
      <c r="L26" s="6" t="s">
        <v>6</v>
      </c>
      <c r="M26" s="6" t="s">
        <v>6</v>
      </c>
      <c r="N26" s="41"/>
      <c r="O26" s="6" t="s">
        <v>6</v>
      </c>
      <c r="P26" s="6" t="s">
        <v>6</v>
      </c>
      <c r="Q26" s="6" t="s">
        <v>6</v>
      </c>
      <c r="R26" s="6" t="s">
        <v>6</v>
      </c>
      <c r="S26" s="17" t="s">
        <v>6</v>
      </c>
      <c r="T26" s="26">
        <f t="shared" si="6"/>
        <v>13</v>
      </c>
      <c r="U26" s="9">
        <f t="shared" si="7"/>
        <v>0</v>
      </c>
      <c r="V26" s="9">
        <f t="shared" si="8"/>
        <v>0</v>
      </c>
      <c r="W26" s="6">
        <v>1</v>
      </c>
      <c r="X26" s="9">
        <v>2</v>
      </c>
      <c r="Y26" s="17">
        <f t="shared" si="9"/>
        <v>16</v>
      </c>
    </row>
  </sheetData>
  <mergeCells count="12">
    <mergeCell ref="A2:Y2"/>
    <mergeCell ref="A3:C3"/>
    <mergeCell ref="T3:Y3"/>
    <mergeCell ref="G5:G13"/>
    <mergeCell ref="N5:N13"/>
    <mergeCell ref="G18:G26"/>
    <mergeCell ref="N18:N26"/>
    <mergeCell ref="D5:D13"/>
    <mergeCell ref="D18:D26"/>
    <mergeCell ref="A15:Y15"/>
    <mergeCell ref="A16:C16"/>
    <mergeCell ref="T16:Y16"/>
  </mergeCells>
  <conditionalFormatting sqref="D18:D26">
    <cfRule type="cellIs" dxfId="52" priority="1" operator="equal">
      <formula>"L"</formula>
    </cfRule>
  </conditionalFormatting>
  <conditionalFormatting sqref="D18:F26">
    <cfRule type="expression" dxfId="51" priority="2">
      <formula>D$3="SUN"</formula>
    </cfRule>
    <cfRule type="cellIs" dxfId="50" priority="3" operator="equal">
      <formula>"A"</formula>
    </cfRule>
    <cfRule type="cellIs" dxfId="49" priority="4" operator="equal">
      <formula>"P"</formula>
    </cfRule>
  </conditionalFormatting>
  <conditionalFormatting sqref="D3:S13">
    <cfRule type="expression" dxfId="48" priority="6">
      <formula>D$3="SUN"</formula>
    </cfRule>
  </conditionalFormatting>
  <conditionalFormatting sqref="D5:S13">
    <cfRule type="cellIs" dxfId="47" priority="5" operator="equal">
      <formula>"L"</formula>
    </cfRule>
    <cfRule type="cellIs" dxfId="46" priority="7" operator="equal">
      <formula>"A"</formula>
    </cfRule>
    <cfRule type="cellIs" dxfId="45" priority="8" operator="equal">
      <formula>"P"</formula>
    </cfRule>
  </conditionalFormatting>
  <conditionalFormatting sqref="D16:S17">
    <cfRule type="expression" dxfId="44" priority="108">
      <formula>D$3="SUN"</formula>
    </cfRule>
  </conditionalFormatting>
  <conditionalFormatting sqref="E18">
    <cfRule type="expression" dxfId="43" priority="102">
      <formula>E$3="SUN"</formula>
    </cfRule>
    <cfRule type="cellIs" dxfId="42" priority="103" operator="equal">
      <formula>"A"</formula>
    </cfRule>
    <cfRule type="cellIs" dxfId="41" priority="104" operator="equal">
      <formula>"P"</formula>
    </cfRule>
  </conditionalFormatting>
  <conditionalFormatting sqref="E18:S26">
    <cfRule type="cellIs" dxfId="40" priority="73" operator="equal">
      <formula>"L"</formula>
    </cfRule>
  </conditionalFormatting>
  <conditionalFormatting sqref="F18:K26">
    <cfRule type="expression" dxfId="39" priority="90">
      <formula>F$3="SUN"</formula>
    </cfRule>
    <cfRule type="cellIs" dxfId="38" priority="91" operator="equal">
      <formula>"A"</formula>
    </cfRule>
    <cfRule type="cellIs" dxfId="37" priority="92" operator="equal">
      <formula>"P"</formula>
    </cfRule>
  </conditionalFormatting>
  <conditionalFormatting sqref="G18">
    <cfRule type="expression" dxfId="36" priority="21">
      <formula>G$3="SUN"</formula>
    </cfRule>
    <cfRule type="cellIs" dxfId="35" priority="22" operator="equal">
      <formula>"A"</formula>
    </cfRule>
    <cfRule type="cellIs" dxfId="34" priority="23" operator="equal">
      <formula>"P"</formula>
    </cfRule>
  </conditionalFormatting>
  <conditionalFormatting sqref="I18">
    <cfRule type="expression" dxfId="33" priority="66">
      <formula>I$3="SUN"</formula>
    </cfRule>
    <cfRule type="cellIs" dxfId="32" priority="67" operator="equal">
      <formula>"A"</formula>
    </cfRule>
    <cfRule type="cellIs" dxfId="31" priority="68" operator="equal">
      <formula>"P"</formula>
    </cfRule>
  </conditionalFormatting>
  <conditionalFormatting sqref="I18:L26">
    <cfRule type="expression" dxfId="30" priority="12">
      <formula>I$3="SUN"</formula>
    </cfRule>
    <cfRule type="cellIs" dxfId="29" priority="13" operator="equal">
      <formula>"A"</formula>
    </cfRule>
    <cfRule type="cellIs" dxfId="28" priority="14" operator="equal">
      <formula>"P"</formula>
    </cfRule>
  </conditionalFormatting>
  <conditionalFormatting sqref="L18">
    <cfRule type="expression" dxfId="27" priority="99">
      <formula>L$3="SUN"</formula>
    </cfRule>
    <cfRule type="cellIs" dxfId="26" priority="100" operator="equal">
      <formula>"A"</formula>
    </cfRule>
    <cfRule type="cellIs" dxfId="25" priority="101" operator="equal">
      <formula>"P"</formula>
    </cfRule>
  </conditionalFormatting>
  <conditionalFormatting sqref="M18:R26">
    <cfRule type="expression" dxfId="24" priority="87">
      <formula>M$3="SUN"</formula>
    </cfRule>
    <cfRule type="cellIs" dxfId="23" priority="88" operator="equal">
      <formula>"A"</formula>
    </cfRule>
    <cfRule type="cellIs" dxfId="22" priority="89" operator="equal">
      <formula>"P"</formula>
    </cfRule>
  </conditionalFormatting>
  <conditionalFormatting sqref="N18">
    <cfRule type="expression" dxfId="21" priority="15">
      <formula>N$3="SUN"</formula>
    </cfRule>
    <cfRule type="cellIs" dxfId="20" priority="16" operator="equal">
      <formula>"A"</formula>
    </cfRule>
    <cfRule type="cellIs" dxfId="19" priority="17" operator="equal">
      <formula>"P"</formula>
    </cfRule>
  </conditionalFormatting>
  <conditionalFormatting sqref="N18:N26">
    <cfRule type="expression" dxfId="18" priority="18">
      <formula>N$3="SUN"</formula>
    </cfRule>
    <cfRule type="cellIs" dxfId="17" priority="19" operator="equal">
      <formula>"A"</formula>
    </cfRule>
    <cfRule type="cellIs" dxfId="16" priority="20" operator="equal">
      <formula>"P"</formula>
    </cfRule>
  </conditionalFormatting>
  <conditionalFormatting sqref="P18">
    <cfRule type="expression" dxfId="15" priority="63">
      <formula>P$3="SUN"</formula>
    </cfRule>
    <cfRule type="cellIs" dxfId="14" priority="64" operator="equal">
      <formula>"A"</formula>
    </cfRule>
    <cfRule type="cellIs" dxfId="13" priority="65" operator="equal">
      <formula>"P"</formula>
    </cfRule>
  </conditionalFormatting>
  <conditionalFormatting sqref="P18:P26">
    <cfRule type="expression" dxfId="12" priority="9">
      <formula>P$3="SUN"</formula>
    </cfRule>
    <cfRule type="cellIs" dxfId="11" priority="10" operator="equal">
      <formula>"A"</formula>
    </cfRule>
    <cfRule type="cellIs" dxfId="10" priority="11" operator="equal">
      <formula>"P"</formula>
    </cfRule>
  </conditionalFormatting>
  <conditionalFormatting sqref="S18">
    <cfRule type="expression" dxfId="9" priority="96">
      <formula>S$3="SUN"</formula>
    </cfRule>
    <cfRule type="cellIs" dxfId="8" priority="97" operator="equal">
      <formula>"A"</formula>
    </cfRule>
    <cfRule type="cellIs" dxfId="7" priority="98" operator="equal">
      <formula>"P"</formula>
    </cfRule>
  </conditionalFormatting>
  <conditionalFormatting sqref="S18:S26">
    <cfRule type="expression" dxfId="6" priority="39">
      <formula>S$3="SUN"</formula>
    </cfRule>
    <cfRule type="cellIs" dxfId="5" priority="40" operator="equal">
      <formula>"A"</formula>
    </cfRule>
    <cfRule type="cellIs" dxfId="4" priority="41" operator="equal">
      <formula>"P"</formula>
    </cfRule>
  </conditionalFormatting>
  <conditionalFormatting sqref="Y5:Y13">
    <cfRule type="cellIs" dxfId="3" priority="69" operator="equal">
      <formula>"L"</formula>
    </cfRule>
    <cfRule type="expression" dxfId="2" priority="70">
      <formula>Y$3="SUN"</formula>
    </cfRule>
    <cfRule type="cellIs" dxfId="1" priority="71" operator="equal">
      <formula>"A"</formula>
    </cfRule>
    <cfRule type="cellIs" dxfId="0" priority="72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FEBRUARY-2025</vt:lpstr>
      <vt:lpstr>MARCH-2025</vt:lpstr>
      <vt:lpstr>APRIL-2025</vt:lpstr>
      <vt:lpstr>MAY-2025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2025-06-21T06:05:14Z</dcterms:modified>
</cp:coreProperties>
</file>