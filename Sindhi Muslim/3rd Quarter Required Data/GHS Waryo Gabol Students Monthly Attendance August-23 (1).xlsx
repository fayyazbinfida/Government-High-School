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Roshan\Desktop\SMB QPR 4\"/>
    </mc:Choice>
  </mc:AlternateContent>
  <xr:revisionPtr revIDLastSave="0" documentId="13_ncr:1_{FD8A6F4A-3A96-4C7C-B008-248C32FB378B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Compile Sheet-May-2023" sheetId="11" r:id="rId1"/>
    <sheet name="ECE" sheetId="1" r:id="rId2"/>
    <sheet name="Class-I" sheetId="2" r:id="rId3"/>
    <sheet name="Class-II" sheetId="3" r:id="rId4"/>
    <sheet name="Class-III" sheetId="4" r:id="rId5"/>
    <sheet name="Class-IV" sheetId="5" r:id="rId6"/>
    <sheet name="Class-V" sheetId="6" r:id="rId7"/>
    <sheet name="Class-VI" sheetId="7" r:id="rId8"/>
    <sheet name="Class-VII" sheetId="8" r:id="rId9"/>
    <sheet name="Class-VIII" sheetId="9" r:id="rId10"/>
    <sheet name="Class-IX" sheetId="10" r:id="rId11"/>
    <sheet name="Class-X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1" l="1"/>
  <c r="F9" i="11"/>
  <c r="AK6" i="4"/>
  <c r="K17" i="11"/>
  <c r="G9" i="11"/>
  <c r="G10" i="11"/>
  <c r="G11" i="11"/>
  <c r="H11" i="11" s="1"/>
  <c r="G12" i="11"/>
  <c r="G13" i="11"/>
  <c r="G14" i="11"/>
  <c r="G15" i="11"/>
  <c r="G16" i="11"/>
  <c r="G17" i="11"/>
  <c r="L17" i="11" s="1"/>
  <c r="O17" i="11" s="1"/>
  <c r="G18" i="11"/>
  <c r="G8" i="11"/>
  <c r="F10" i="11"/>
  <c r="F11" i="11"/>
  <c r="F12" i="11"/>
  <c r="H12" i="11" s="1"/>
  <c r="F13" i="11"/>
  <c r="H13" i="11" s="1"/>
  <c r="F14" i="11"/>
  <c r="H14" i="11" s="1"/>
  <c r="F15" i="11"/>
  <c r="H15" i="11" s="1"/>
  <c r="F16" i="11"/>
  <c r="H16" i="11" s="1"/>
  <c r="F17" i="11"/>
  <c r="M17" i="11" s="1"/>
  <c r="F18" i="11"/>
  <c r="F8" i="11"/>
  <c r="D17" i="11"/>
  <c r="AP17" i="12"/>
  <c r="AO17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6" i="12"/>
  <c r="AK7" i="12"/>
  <c r="AK8" i="12"/>
  <c r="AK9" i="12"/>
  <c r="AK10" i="12"/>
  <c r="AP12" i="12" s="1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6" i="12"/>
  <c r="AO12" i="12" s="1"/>
  <c r="H18" i="11" l="1"/>
  <c r="H10" i="11"/>
  <c r="H9" i="11"/>
  <c r="H17" i="11"/>
  <c r="N17" i="11" s="1"/>
  <c r="AP11" i="12"/>
  <c r="AO11" i="12"/>
  <c r="AO13" i="12" s="1"/>
  <c r="AP16" i="10"/>
  <c r="AO1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6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7" i="10"/>
  <c r="AP10" i="10"/>
  <c r="AO10" i="10"/>
  <c r="AO11" i="10" l="1"/>
  <c r="AP17" i="9" l="1"/>
  <c r="AO17" i="9"/>
  <c r="AP11" i="9"/>
  <c r="AO11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6" i="9"/>
  <c r="AK7" i="9"/>
  <c r="AK8" i="9"/>
  <c r="AK9" i="9"/>
  <c r="AK10" i="9"/>
  <c r="AK11" i="9"/>
  <c r="AK12" i="9"/>
  <c r="AK13" i="9"/>
  <c r="AK14" i="9"/>
  <c r="AO12" i="9" s="1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6" i="9"/>
  <c r="AP12" i="9" s="1"/>
  <c r="AO18" i="9" l="1"/>
  <c r="AO19" i="9" s="1"/>
  <c r="AP17" i="8" l="1"/>
  <c r="AO17" i="8"/>
  <c r="AP11" i="8"/>
  <c r="AO11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6" i="8"/>
  <c r="AK7" i="8"/>
  <c r="AP12" i="8" s="1"/>
  <c r="AP13" i="8" s="1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6" i="8"/>
  <c r="AO12" i="8" s="1"/>
  <c r="AO13" i="8" s="1"/>
  <c r="AP15" i="7"/>
  <c r="AO15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6" i="7"/>
  <c r="AK48" i="7" s="1"/>
  <c r="AO18" i="8" l="1"/>
  <c r="AO19" i="8" s="1"/>
  <c r="AK47" i="8"/>
  <c r="AL47" i="8"/>
  <c r="AP10" i="7"/>
  <c r="AL48" i="7"/>
  <c r="AP17" i="6" l="1"/>
  <c r="AO17" i="6"/>
  <c r="AP11" i="6"/>
  <c r="AO11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6" i="6"/>
  <c r="AP17" i="5"/>
  <c r="AO17" i="5"/>
  <c r="AP10" i="5"/>
  <c r="AO10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6" i="5"/>
  <c r="AP17" i="4"/>
  <c r="AO17" i="4"/>
  <c r="AP11" i="4"/>
  <c r="AO11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O19" i="1"/>
  <c r="AN19" i="1"/>
  <c r="AO11" i="1"/>
  <c r="AN1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6" i="1"/>
  <c r="AP16" i="2"/>
  <c r="AO16" i="2"/>
  <c r="AP10" i="2"/>
  <c r="AP17" i="2" s="1"/>
  <c r="AP18" i="2" s="1"/>
  <c r="AO10" i="2"/>
  <c r="AP18" i="3"/>
  <c r="AO18" i="3"/>
  <c r="AP11" i="3"/>
  <c r="AO11" i="3"/>
  <c r="AO19" i="3" s="1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6" i="3"/>
  <c r="AK7" i="3"/>
  <c r="AK8" i="3"/>
  <c r="AK9" i="3"/>
  <c r="AK10" i="3"/>
  <c r="AK11" i="3"/>
  <c r="AP12" i="3" s="1"/>
  <c r="AP19" i="3" s="1"/>
  <c r="AK12" i="3"/>
  <c r="AK13" i="3"/>
  <c r="AK14" i="3"/>
  <c r="AK15" i="3"/>
  <c r="AK16" i="3"/>
  <c r="AK17" i="3"/>
  <c r="AK18" i="3"/>
  <c r="AK19" i="3"/>
  <c r="AK20" i="3"/>
  <c r="AO12" i="3" s="1"/>
  <c r="AO13" i="3" s="1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6" i="3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6" i="2"/>
  <c r="AK7" i="2"/>
  <c r="AK8" i="2"/>
  <c r="AK9" i="2"/>
  <c r="AK10" i="2"/>
  <c r="AK11" i="2"/>
  <c r="AO11" i="2" s="1"/>
  <c r="AK12" i="2"/>
  <c r="AP11" i="2" s="1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6" i="2"/>
  <c r="AK46" i="2" s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Q11" i="8"/>
  <c r="AO17" i="2" l="1"/>
  <c r="AO18" i="2" s="1"/>
  <c r="AN12" i="1"/>
  <c r="AP12" i="4"/>
  <c r="AP18" i="4" s="1"/>
  <c r="AP19" i="4" s="1"/>
  <c r="AK46" i="6"/>
  <c r="AO11" i="5"/>
  <c r="AO18" i="5" s="1"/>
  <c r="AO19" i="5" s="1"/>
  <c r="AK46" i="4"/>
  <c r="AP11" i="5"/>
  <c r="AP18" i="5" s="1"/>
  <c r="AP19" i="5" s="1"/>
  <c r="AN20" i="1"/>
  <c r="AN21" i="1" s="1"/>
  <c r="AO12" i="1"/>
  <c r="AO13" i="1" s="1"/>
  <c r="AQ17" i="8"/>
  <c r="AO12" i="4"/>
  <c r="AO18" i="4" s="1"/>
  <c r="AO19" i="4" s="1"/>
  <c r="AK37" i="5"/>
  <c r="AP12" i="6"/>
  <c r="AP18" i="6" s="1"/>
  <c r="AP19" i="6" s="1"/>
  <c r="AO12" i="6"/>
  <c r="AO18" i="6" s="1"/>
  <c r="AO19" i="6" s="1"/>
  <c r="AQ13" i="8"/>
  <c r="AP18" i="8"/>
  <c r="AP19" i="8" s="1"/>
  <c r="AQ15" i="7"/>
  <c r="AO9" i="7"/>
  <c r="AP9" i="7"/>
  <c r="AN13" i="1" l="1"/>
  <c r="AO10" i="7"/>
  <c r="AQ9" i="7"/>
  <c r="AQ12" i="8"/>
  <c r="AQ18" i="8"/>
  <c r="AQ19" i="8" s="1"/>
  <c r="AP11" i="7"/>
  <c r="AP16" i="7"/>
  <c r="AP17" i="7" s="1"/>
  <c r="AO11" i="7" l="1"/>
  <c r="AO16" i="7"/>
  <c r="AO17" i="7" s="1"/>
  <c r="AQ16" i="7"/>
  <c r="AQ17" i="7" s="1"/>
  <c r="AQ11" i="7"/>
  <c r="AQ10" i="7"/>
  <c r="AQ17" i="12" l="1"/>
  <c r="AK25" i="12"/>
  <c r="AP13" i="12"/>
  <c r="AQ11" i="12"/>
  <c r="AL25" i="12"/>
  <c r="AO18" i="12" l="1"/>
  <c r="AO19" i="12" s="1"/>
  <c r="AQ12" i="12"/>
  <c r="AQ13" i="12" s="1"/>
  <c r="AP18" i="12"/>
  <c r="AP19" i="12" s="1"/>
  <c r="AQ18" i="12" l="1"/>
  <c r="AQ19" i="12" s="1"/>
  <c r="J19" i="11"/>
  <c r="I19" i="11"/>
  <c r="E19" i="11"/>
  <c r="C19" i="11"/>
  <c r="B19" i="11"/>
  <c r="K18" i="11"/>
  <c r="L18" i="11"/>
  <c r="M18" i="11"/>
  <c r="D18" i="11"/>
  <c r="K16" i="11"/>
  <c r="L16" i="11"/>
  <c r="M16" i="11"/>
  <c r="D16" i="11"/>
  <c r="K15" i="11"/>
  <c r="L15" i="11"/>
  <c r="M15" i="11"/>
  <c r="D15" i="11"/>
  <c r="K14" i="11"/>
  <c r="L14" i="11"/>
  <c r="D14" i="11"/>
  <c r="K13" i="11"/>
  <c r="M13" i="11"/>
  <c r="D13" i="11"/>
  <c r="K12" i="11"/>
  <c r="L12" i="11"/>
  <c r="D12" i="11"/>
  <c r="K11" i="11"/>
  <c r="L11" i="11"/>
  <c r="D11" i="11"/>
  <c r="K10" i="11"/>
  <c r="L10" i="11"/>
  <c r="M10" i="11"/>
  <c r="D10" i="11"/>
  <c r="K9" i="11"/>
  <c r="L9" i="11"/>
  <c r="M9" i="11"/>
  <c r="D9" i="11"/>
  <c r="K8" i="11"/>
  <c r="D8" i="11"/>
  <c r="AH6" i="11"/>
  <c r="AG6" i="11"/>
  <c r="AQ10" i="10"/>
  <c r="AK6" i="10"/>
  <c r="AP11" i="10" s="1"/>
  <c r="AL46" i="1" l="1"/>
  <c r="AK46" i="1"/>
  <c r="AO12" i="10"/>
  <c r="AL33" i="10"/>
  <c r="AP19" i="1"/>
  <c r="N12" i="11"/>
  <c r="N11" i="11"/>
  <c r="G19" i="11"/>
  <c r="L19" i="11" s="1"/>
  <c r="N14" i="11"/>
  <c r="AP12" i="10"/>
  <c r="O9" i="11"/>
  <c r="M14" i="11"/>
  <c r="O14" i="11" s="1"/>
  <c r="N15" i="11"/>
  <c r="O15" i="11"/>
  <c r="O18" i="11"/>
  <c r="F19" i="11"/>
  <c r="M19" i="11" s="1"/>
  <c r="H8" i="11"/>
  <c r="L8" i="11"/>
  <c r="N9" i="11"/>
  <c r="N10" i="11"/>
  <c r="D19" i="11"/>
  <c r="N16" i="11"/>
  <c r="N18" i="11"/>
  <c r="AP11" i="1"/>
  <c r="O16" i="11"/>
  <c r="O10" i="11"/>
  <c r="K19" i="11"/>
  <c r="M12" i="11"/>
  <c r="O12" i="11" s="1"/>
  <c r="L13" i="11"/>
  <c r="O13" i="11" s="1"/>
  <c r="M11" i="11"/>
  <c r="O11" i="11" s="1"/>
  <c r="M8" i="11"/>
  <c r="AK33" i="10"/>
  <c r="AQ16" i="10"/>
  <c r="O8" i="11" l="1"/>
  <c r="O19" i="11" s="1"/>
  <c r="AQ11" i="10"/>
  <c r="AQ12" i="10" s="1"/>
  <c r="AO17" i="10"/>
  <c r="AO18" i="10" s="1"/>
  <c r="AP17" i="10"/>
  <c r="AP18" i="10" s="1"/>
  <c r="AP12" i="1"/>
  <c r="AP13" i="1" s="1"/>
  <c r="I20" i="11"/>
  <c r="O20" i="11"/>
  <c r="J20" i="11"/>
  <c r="H19" i="11"/>
  <c r="K20" i="11" s="1"/>
  <c r="AO20" i="1"/>
  <c r="N8" i="11"/>
  <c r="N19" i="11" s="1"/>
  <c r="AQ17" i="10" l="1"/>
  <c r="AQ18" i="10" s="1"/>
  <c r="AP20" i="1"/>
  <c r="AP21" i="1" s="1"/>
  <c r="AO21" i="1"/>
  <c r="AQ17" i="9"/>
  <c r="AQ11" i="9" l="1"/>
  <c r="AL36" i="9"/>
  <c r="AK36" i="9"/>
  <c r="AP13" i="9"/>
  <c r="AQ12" i="9" l="1"/>
  <c r="AP18" i="9"/>
  <c r="AP19" i="9" s="1"/>
  <c r="AO13" i="9"/>
  <c r="AQ13" i="9" s="1"/>
  <c r="AQ18" i="9" l="1"/>
  <c r="AQ19" i="9" s="1"/>
  <c r="AQ11" i="6" l="1"/>
  <c r="AN41" i="6"/>
  <c r="AL46" i="6" l="1"/>
  <c r="AP13" i="6"/>
  <c r="AQ17" i="6"/>
  <c r="AO13" i="6"/>
  <c r="AQ13" i="6" l="1"/>
  <c r="AQ18" i="6"/>
  <c r="AQ19" i="6" s="1"/>
  <c r="AQ12" i="6"/>
  <c r="AQ17" i="5" l="1"/>
  <c r="AP12" i="5" l="1"/>
  <c r="AQ10" i="5"/>
  <c r="AL37" i="5"/>
  <c r="AQ11" i="5" l="1"/>
  <c r="AQ12" i="5" s="1"/>
  <c r="AO12" i="5"/>
  <c r="AQ18" i="5" l="1"/>
  <c r="AL6" i="4"/>
  <c r="AQ20" i="5" l="1"/>
  <c r="AQ19" i="5"/>
  <c r="AL46" i="4"/>
  <c r="AP13" i="4"/>
  <c r="AQ11" i="4"/>
  <c r="AQ17" i="4"/>
  <c r="AO13" i="4" l="1"/>
  <c r="AQ12" i="4"/>
  <c r="AQ18" i="4"/>
  <c r="AQ19" i="4" s="1"/>
  <c r="AQ13" i="4"/>
  <c r="AQ11" i="3" l="1"/>
  <c r="AQ18" i="3"/>
  <c r="AL46" i="3"/>
  <c r="AP13" i="3"/>
  <c r="AK46" i="3"/>
  <c r="AO20" i="3" l="1"/>
  <c r="AP20" i="3"/>
  <c r="AQ12" i="3"/>
  <c r="AQ13" i="3" s="1"/>
  <c r="AQ20" i="3" l="1"/>
  <c r="AQ21" i="3" s="1"/>
  <c r="AQ10" i="2"/>
  <c r="AL46" i="2" l="1"/>
  <c r="AO12" i="2"/>
  <c r="AQ16" i="2"/>
  <c r="AQ17" i="2" l="1"/>
  <c r="AQ18" i="2" s="1"/>
  <c r="AP12" i="2"/>
  <c r="AQ11" i="2"/>
  <c r="AQ12" i="2" s="1"/>
</calcChain>
</file>

<file path=xl/sharedStrings.xml><?xml version="1.0" encoding="utf-8"?>
<sst xmlns="http://schemas.openxmlformats.org/spreadsheetml/2006/main" count="10923" uniqueCount="81">
  <si>
    <t>HANDS EMO Schools Project</t>
  </si>
  <si>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</si>
  <si>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</si>
  <si>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</si>
  <si>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</si>
  <si>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</si>
  <si>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</si>
  <si>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</si>
  <si>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</si>
  <si>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</si>
  <si>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SUNDAY</t>
  </si>
  <si>
    <t>A</t>
  </si>
  <si>
    <t>P</t>
  </si>
  <si>
    <t>Working days</t>
  </si>
  <si>
    <t xml:space="preserve">Sunday </t>
  </si>
  <si>
    <t xml:space="preserve"> </t>
  </si>
  <si>
    <t>Detail</t>
  </si>
  <si>
    <t>Girls</t>
  </si>
  <si>
    <t>Boys</t>
  </si>
  <si>
    <t>Total</t>
  </si>
  <si>
    <t xml:space="preserve"> Due Present days </t>
  </si>
  <si>
    <t>Actual present days</t>
  </si>
  <si>
    <t>%</t>
  </si>
  <si>
    <t>Abdul Jabbar</t>
  </si>
  <si>
    <t>Absent  days</t>
  </si>
  <si>
    <t>One</t>
  </si>
  <si>
    <t>Sunday</t>
  </si>
  <si>
    <t>Absent Days</t>
  </si>
  <si>
    <t>A  P</t>
  </si>
  <si>
    <t>Two</t>
  </si>
  <si>
    <t>Three</t>
  </si>
  <si>
    <t>Nawab</t>
  </si>
  <si>
    <t>Wazeer Ali</t>
  </si>
  <si>
    <t>p</t>
  </si>
  <si>
    <t>Four</t>
  </si>
  <si>
    <t>Five</t>
  </si>
  <si>
    <t>Six</t>
  </si>
  <si>
    <t>Seven</t>
  </si>
  <si>
    <t>Working Days</t>
  </si>
  <si>
    <t>Deedar Ali</t>
  </si>
  <si>
    <t>Eight</t>
  </si>
  <si>
    <t>Urooj</t>
  </si>
  <si>
    <t>Zamin Ali</t>
  </si>
  <si>
    <t>Nine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</si>
  <si>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</si>
  <si>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</si>
  <si>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</si>
  <si>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</si>
  <si>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</si>
  <si>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</si>
  <si>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</si>
  <si>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</si>
  <si>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</si>
  <si>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</si>
  <si>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 xml:space="preserve">One </t>
  </si>
  <si>
    <t>INDEPEDENCE-DAY</t>
  </si>
  <si>
    <t>Monthly Attendence Month of August-2023</t>
  </si>
  <si>
    <t>Indepedence day</t>
  </si>
  <si>
    <t>Indepedence Day</t>
  </si>
  <si>
    <t>Mir Muhammad</t>
  </si>
  <si>
    <t>Shireen Batool</t>
  </si>
  <si>
    <t>Ume-Farwa</t>
  </si>
  <si>
    <t xml:space="preserve">Waseem </t>
  </si>
  <si>
    <t>Ten</t>
  </si>
  <si>
    <t>L</t>
  </si>
  <si>
    <t>Absent days Detail</t>
  </si>
  <si>
    <t>Present Days Detail</t>
  </si>
  <si>
    <t>Monthly Attendance Month of August-2023</t>
  </si>
  <si>
    <t>Present days Detail</t>
  </si>
  <si>
    <t xml:space="preserve">Girls </t>
  </si>
  <si>
    <t>She had been TC Issued .</t>
  </si>
  <si>
    <t>Absent Days Detail</t>
  </si>
  <si>
    <t>Total Enrolment &amp; attendance August-23</t>
  </si>
  <si>
    <t>Ninth</t>
  </si>
  <si>
    <t>Tenth</t>
  </si>
  <si>
    <t>District Package- 1</t>
  </si>
  <si>
    <t xml:space="preserve"> EMO Schools Project</t>
  </si>
  <si>
    <t xml:space="preserve">GHS </t>
  </si>
  <si>
    <t>EMO Schools Project</t>
  </si>
  <si>
    <t xml:space="preserve">GHS Frontier </t>
  </si>
  <si>
    <t>District Karachi Package- 1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</si>
</sst>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000000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sz val="14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20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b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textRotation="255"/>
    </xf>
    <xf numFmtId="0" fontId="7" fillId="0" borderId="3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textRotation="255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9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vertical="top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textRotation="255" wrapText="1"/>
    </xf>
    <xf numFmtId="0" fontId="11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textRotation="255" wrapText="1"/>
    </xf>
    <xf numFmtId="0" fontId="7" fillId="3" borderId="2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textRotation="255" wrapText="1"/>
    </xf>
    <xf numFmtId="0" fontId="3" fillId="4" borderId="0" xfId="0" applyFont="1" applyFill="1"/>
    <xf numFmtId="0" fontId="7" fillId="4" borderId="0" xfId="0" applyFont="1" applyFill="1" applyAlignment="1">
      <alignment vertical="center" textRotation="255" wrapText="1"/>
    </xf>
    <xf numFmtId="0" fontId="3" fillId="4" borderId="13" xfId="0" applyFont="1" applyFill="1" applyBorder="1"/>
    <xf numFmtId="0" fontId="7" fillId="0" borderId="0" xfId="0" applyFont="1" applyAlignment="1">
      <alignment vertical="center" textRotation="90" wrapText="1"/>
    </xf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/>
    <xf numFmtId="0" fontId="12" fillId="2" borderId="2" xfId="0" applyFont="1" applyFill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9" fontId="7" fillId="0" borderId="2" xfId="1" applyFont="1" applyBorder="1"/>
    <xf numFmtId="9" fontId="7" fillId="0" borderId="0" xfId="1" applyFont="1" applyBorder="1"/>
    <xf numFmtId="0" fontId="7" fillId="0" borderId="3" xfId="0" applyFont="1" applyBorder="1"/>
    <xf numFmtId="0" fontId="7" fillId="0" borderId="1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 textRotation="90" wrapText="1"/>
    </xf>
    <xf numFmtId="0" fontId="13" fillId="6" borderId="0" xfId="0" applyFont="1" applyFill="1" applyAlignment="1">
      <alignment horizontal="center" vertical="center" textRotation="90" wrapText="1"/>
    </xf>
    <xf numFmtId="0" fontId="14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center" textRotation="90"/>
    </xf>
    <xf numFmtId="0" fontId="15" fillId="0" borderId="2" xfId="0" applyFont="1" applyBorder="1"/>
    <xf numFmtId="0" fontId="15" fillId="0" borderId="3" xfId="0" applyFont="1" applyBorder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9" fontId="7" fillId="0" borderId="2" xfId="1" applyFont="1" applyFill="1" applyBorder="1" applyAlignment="1">
      <alignment horizontal="center"/>
    </xf>
    <xf numFmtId="9" fontId="7" fillId="0" borderId="0" xfId="1" applyFont="1" applyFill="1" applyBorder="1" applyAlignment="1">
      <alignment horizontal="center"/>
    </xf>
    <xf numFmtId="0" fontId="12" fillId="0" borderId="0" xfId="0" applyFont="1"/>
    <xf numFmtId="0" fontId="7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horizontal="left"/>
    </xf>
    <xf numFmtId="0" fontId="7" fillId="3" borderId="0" xfId="0" applyFont="1" applyFill="1"/>
    <xf numFmtId="0" fontId="7" fillId="0" borderId="1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center"/>
    </xf>
    <xf numFmtId="0" fontId="7" fillId="0" borderId="15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vertical="top" wrapText="1"/>
    </xf>
    <xf numFmtId="0" fontId="13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vertical="center" textRotation="90"/>
    </xf>
    <xf numFmtId="0" fontId="7" fillId="0" borderId="3" xfId="0" applyFont="1" applyBorder="1" applyAlignment="1">
      <alignment vertical="center" textRotation="255" wrapText="1"/>
    </xf>
    <xf numFmtId="0" fontId="16" fillId="3" borderId="2" xfId="0" applyFont="1" applyFill="1" applyBorder="1" applyAlignment="1">
      <alignment horizontal="center"/>
    </xf>
    <xf numFmtId="17" fontId="7" fillId="0" borderId="0" xfId="0" applyNumberFormat="1" applyFont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19" fillId="0" borderId="3" xfId="0" applyFont="1" applyBorder="1" applyAlignment="1">
      <alignment horizontal="left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textRotation="90"/>
    </xf>
    <xf numFmtId="0" fontId="20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/>
    <xf numFmtId="0" fontId="7" fillId="2" borderId="1" xfId="0" applyFont="1" applyFill="1" applyBorder="1" applyAlignment="1">
      <alignment vertical="center" textRotation="90"/>
    </xf>
    <xf numFmtId="0" fontId="7" fillId="3" borderId="2" xfId="0" applyFont="1" applyFill="1" applyBorder="1" applyAlignment="1">
      <alignment vertical="center" textRotation="255" wrapText="1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7" fillId="4" borderId="2" xfId="0" applyFont="1" applyFill="1" applyBorder="1"/>
    <xf numFmtId="0" fontId="3" fillId="4" borderId="2" xfId="0" applyFont="1" applyFill="1" applyBorder="1"/>
    <xf numFmtId="0" fontId="13" fillId="5" borderId="2" xfId="0" applyFont="1" applyFill="1" applyBorder="1" applyAlignment="1">
      <alignment horizontal="center" vertical="center" textRotation="90" wrapText="1"/>
    </xf>
    <xf numFmtId="0" fontId="10" fillId="0" borderId="21" xfId="0" applyFont="1" applyBorder="1" applyAlignment="1">
      <alignment vertical="top" wrapText="1"/>
    </xf>
    <xf numFmtId="0" fontId="10" fillId="0" borderId="22" xfId="0" applyFont="1" applyBorder="1" applyAlignment="1">
      <alignment vertical="top"/>
    </xf>
    <xf numFmtId="0" fontId="10" fillId="0" borderId="22" xfId="0" applyFont="1" applyBorder="1" applyAlignment="1">
      <alignment vertical="top" textRotation="255"/>
    </xf>
    <xf numFmtId="0" fontId="10" fillId="0" borderId="7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8" fillId="2" borderId="11" xfId="0" applyFont="1" applyFill="1" applyBorder="1" applyAlignment="1">
      <alignment vertical="center" textRotation="90"/>
    </xf>
    <xf numFmtId="0" fontId="3" fillId="0" borderId="3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3" fillId="4" borderId="0" xfId="0" applyFont="1" applyFill="1" applyAlignment="1">
      <alignment vertical="center" textRotation="255"/>
    </xf>
    <xf numFmtId="0" fontId="7" fillId="4" borderId="0" xfId="0" applyFont="1" applyFill="1" applyAlignment="1">
      <alignment vertical="center" textRotation="90" wrapText="1"/>
    </xf>
    <xf numFmtId="0" fontId="13" fillId="4" borderId="0" xfId="0" applyFont="1" applyFill="1" applyAlignment="1">
      <alignment horizontal="center" vertical="center" textRotation="90" wrapText="1"/>
    </xf>
    <xf numFmtId="0" fontId="3" fillId="4" borderId="0" xfId="0" applyFont="1" applyFill="1" applyAlignment="1">
      <alignment vertical="center" textRotation="90"/>
    </xf>
    <xf numFmtId="0" fontId="13" fillId="0" borderId="0" xfId="0" applyFont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/>
    <xf numFmtId="0" fontId="3" fillId="2" borderId="16" xfId="0" applyFont="1" applyFill="1" applyBorder="1"/>
    <xf numFmtId="0" fontId="2" fillId="2" borderId="22" xfId="0" applyFont="1" applyFill="1" applyBorder="1" applyAlignment="1">
      <alignment horizontal="center"/>
    </xf>
    <xf numFmtId="9" fontId="22" fillId="0" borderId="8" xfId="1" applyFont="1" applyFill="1" applyBorder="1" applyAlignment="1">
      <alignment horizontal="center"/>
    </xf>
    <xf numFmtId="9" fontId="22" fillId="0" borderId="22" xfId="1" applyFont="1" applyFill="1" applyBorder="1" applyAlignment="1">
      <alignment horizontal="center"/>
    </xf>
    <xf numFmtId="9" fontId="23" fillId="0" borderId="22" xfId="1" applyFont="1" applyFill="1" applyBorder="1" applyAlignment="1">
      <alignment horizontal="center" vertical="center" wrapText="1"/>
    </xf>
    <xf numFmtId="9" fontId="23" fillId="0" borderId="31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 textRotation="90"/>
    </xf>
    <xf numFmtId="0" fontId="7" fillId="2" borderId="0" xfId="0" applyFont="1" applyFill="1" applyAlignment="1">
      <alignment horizontal="center" vertical="center" textRotation="90"/>
    </xf>
    <xf numFmtId="0" fontId="0" fillId="2" borderId="0" xfId="0" applyFill="1"/>
    <xf numFmtId="0" fontId="7" fillId="0" borderId="4" xfId="0" applyFont="1" applyBorder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 textRotation="90"/>
    </xf>
    <xf numFmtId="17" fontId="7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/>
    <xf numFmtId="0" fontId="12" fillId="0" borderId="2" xfId="0" applyFont="1" applyBorder="1"/>
    <xf numFmtId="0" fontId="10" fillId="0" borderId="10" xfId="0" applyFont="1" applyBorder="1"/>
    <xf numFmtId="0" fontId="10" fillId="0" borderId="12" xfId="0" applyFont="1" applyBorder="1"/>
    <xf numFmtId="0" fontId="12" fillId="0" borderId="2" xfId="0" applyFont="1" applyBorder="1" applyAlignment="1">
      <alignment wrapText="1"/>
    </xf>
    <xf numFmtId="9" fontId="12" fillId="0" borderId="2" xfId="1" applyFont="1" applyBorder="1"/>
    <xf numFmtId="0" fontId="3" fillId="3" borderId="0" xfId="0" applyFont="1" applyFill="1"/>
    <xf numFmtId="9" fontId="3" fillId="0" borderId="2" xfId="1" applyFont="1" applyBorder="1"/>
    <xf numFmtId="17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3" xfId="0" applyFont="1" applyBorder="1"/>
    <xf numFmtId="0" fontId="12" fillId="0" borderId="3" xfId="0" applyFont="1" applyBorder="1"/>
    <xf numFmtId="16" fontId="3" fillId="0" borderId="0" xfId="0" applyNumberFormat="1" applyFont="1"/>
    <xf numFmtId="0" fontId="15" fillId="0" borderId="35" xfId="0" applyFont="1" applyBorder="1"/>
    <xf numFmtId="0" fontId="12" fillId="0" borderId="2" xfId="0" applyFont="1" applyBorder="1" applyAlignment="1">
      <alignment horizontal="center"/>
    </xf>
    <xf numFmtId="0" fontId="12" fillId="0" borderId="5" xfId="0" applyFont="1" applyBorder="1"/>
    <xf numFmtId="9" fontId="12" fillId="0" borderId="0" xfId="1" applyFont="1" applyBorder="1"/>
    <xf numFmtId="0" fontId="12" fillId="3" borderId="0" xfId="0" applyFont="1" applyFill="1"/>
    <xf numFmtId="0" fontId="12" fillId="0" borderId="0" xfId="0" applyFont="1" applyAlignment="1">
      <alignment wrapText="1"/>
    </xf>
    <xf numFmtId="0" fontId="3" fillId="0" borderId="4" xfId="0" applyFont="1" applyBorder="1"/>
    <xf numFmtId="0" fontId="7" fillId="2" borderId="2" xfId="0" applyFont="1" applyFill="1" applyBorder="1" applyAlignment="1">
      <alignment horizontal="center" vertical="center"/>
    </xf>
    <xf numFmtId="17" fontId="12" fillId="0" borderId="0" xfId="0" applyNumberFormat="1" applyFont="1"/>
    <xf numFmtId="0" fontId="12" fillId="0" borderId="2" xfId="0" applyFont="1" applyBorder="1" applyAlignment="1">
      <alignment vertical="center"/>
    </xf>
    <xf numFmtId="0" fontId="12" fillId="0" borderId="13" xfId="0" applyFont="1" applyBorder="1"/>
    <xf numFmtId="0" fontId="3" fillId="2" borderId="1" xfId="0" applyFont="1" applyFill="1" applyBorder="1"/>
    <xf numFmtId="0" fontId="3" fillId="0" borderId="2" xfId="0" applyFont="1" applyBorder="1" applyAlignment="1">
      <alignment horizontal="left"/>
    </xf>
    <xf numFmtId="0" fontId="3" fillId="0" borderId="13" xfId="0" applyFont="1" applyBorder="1"/>
    <xf numFmtId="0" fontId="3" fillId="0" borderId="0" xfId="0" applyFont="1" applyAlignment="1">
      <alignment wrapText="1"/>
    </xf>
    <xf numFmtId="0" fontId="7" fillId="2" borderId="3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1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0" fillId="0" borderId="23" xfId="0" applyFont="1" applyBorder="1"/>
    <xf numFmtId="0" fontId="10" fillId="0" borderId="0" xfId="0" applyFont="1"/>
    <xf numFmtId="0" fontId="7" fillId="4" borderId="0" xfId="0" applyFont="1" applyFill="1"/>
    <xf numFmtId="0" fontId="3" fillId="0" borderId="0" xfId="0" applyFont="1" applyAlignment="1">
      <alignment textRotation="255"/>
    </xf>
    <xf numFmtId="0" fontId="3" fillId="0" borderId="2" xfId="0" applyFont="1" applyBorder="1" applyAlignment="1">
      <alignment textRotation="255"/>
    </xf>
    <xf numFmtId="0" fontId="7" fillId="2" borderId="4" xfId="0" applyFont="1" applyFill="1" applyBorder="1" applyAlignment="1">
      <alignment vertical="center" textRotation="90"/>
    </xf>
    <xf numFmtId="0" fontId="10" fillId="0" borderId="21" xfId="0" applyFont="1" applyBorder="1" applyAlignment="1">
      <alignment vertical="top"/>
    </xf>
    <xf numFmtId="0" fontId="7" fillId="7" borderId="3" xfId="0" applyFont="1" applyFill="1" applyBorder="1"/>
    <xf numFmtId="0" fontId="3" fillId="7" borderId="2" xfId="0" applyFont="1" applyFill="1" applyBorder="1"/>
    <xf numFmtId="9" fontId="12" fillId="0" borderId="2" xfId="1" applyFont="1" applyFill="1" applyBorder="1"/>
    <xf numFmtId="0" fontId="7" fillId="0" borderId="3" xfId="0" applyFont="1" applyBorder="1" applyAlignment="1">
      <alignment vertical="center"/>
    </xf>
    <xf numFmtId="0" fontId="10" fillId="0" borderId="8" xfId="0" applyFont="1" applyBorder="1"/>
    <xf numFmtId="0" fontId="10" fillId="0" borderId="22" xfId="0" applyFont="1" applyBorder="1"/>
    <xf numFmtId="9" fontId="3" fillId="0" borderId="0" xfId="0" applyNumberFormat="1" applyFont="1"/>
    <xf numFmtId="0" fontId="3" fillId="0" borderId="1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9" fontId="24" fillId="0" borderId="2" xfId="1" applyFont="1" applyFill="1" applyBorder="1" applyAlignment="1">
      <alignment horizontal="center" vertical="center"/>
    </xf>
    <xf numFmtId="9" fontId="24" fillId="0" borderId="15" xfId="1" applyFont="1" applyFill="1" applyBorder="1" applyAlignment="1">
      <alignment horizontal="center" vertical="center"/>
    </xf>
    <xf numFmtId="9" fontId="24" fillId="3" borderId="27" xfId="1" applyFont="1" applyFill="1" applyBorder="1"/>
    <xf numFmtId="0" fontId="3" fillId="3" borderId="15" xfId="0" applyFont="1" applyFill="1" applyBorder="1"/>
    <xf numFmtId="0" fontId="3" fillId="0" borderId="15" xfId="0" applyFont="1" applyBorder="1"/>
    <xf numFmtId="0" fontId="2" fillId="0" borderId="2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9" fontId="3" fillId="0" borderId="31" xfId="1" applyFont="1" applyFill="1" applyBorder="1" applyAlignment="1">
      <alignment horizontal="center" vertical="center"/>
    </xf>
    <xf numFmtId="9" fontId="24" fillId="0" borderId="31" xfId="1" applyFont="1" applyFill="1" applyBorder="1" applyAlignment="1">
      <alignment horizontal="center" vertical="center"/>
    </xf>
    <xf numFmtId="9" fontId="24" fillId="0" borderId="32" xfId="1" applyFont="1" applyFill="1" applyBorder="1" applyAlignment="1">
      <alignment horizontal="center" vertical="center"/>
    </xf>
    <xf numFmtId="9" fontId="24" fillId="3" borderId="33" xfId="1" applyFont="1" applyFill="1" applyBorder="1"/>
    <xf numFmtId="0" fontId="3" fillId="0" borderId="34" xfId="0" applyFont="1" applyBorder="1"/>
    <xf numFmtId="0" fontId="21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17" fontId="10" fillId="0" borderId="24" xfId="0" applyNumberFormat="1" applyFont="1" applyBorder="1" applyAlignment="1">
      <alignment horizontal="center"/>
    </xf>
    <xf numFmtId="17" fontId="10" fillId="0" borderId="20" xfId="0" applyNumberFormat="1" applyFont="1" applyBorder="1" applyAlignment="1">
      <alignment horizontal="center"/>
    </xf>
    <xf numFmtId="17" fontId="10" fillId="0" borderId="25" xfId="0" applyNumberFormat="1" applyFont="1" applyBorder="1" applyAlignment="1">
      <alignment horizontal="center"/>
    </xf>
    <xf numFmtId="17" fontId="10" fillId="0" borderId="26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/>
    </xf>
    <xf numFmtId="0" fontId="7" fillId="2" borderId="4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textRotation="90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12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textRotation="90"/>
    </xf>
    <xf numFmtId="0" fontId="7" fillId="0" borderId="2" xfId="0" applyFont="1" applyBorder="1" applyAlignment="1">
      <alignment horizontal="center"/>
    </xf>
    <xf numFmtId="17" fontId="7" fillId="0" borderId="2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7" fontId="12" fillId="0" borderId="15" xfId="0" applyNumberFormat="1" applyFont="1" applyBorder="1" applyAlignment="1">
      <alignment horizontal="center"/>
    </xf>
    <xf numFmtId="17" fontId="12" fillId="0" borderId="13" xfId="0" applyNumberFormat="1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 textRotation="90"/>
    </xf>
    <xf numFmtId="0" fontId="7" fillId="2" borderId="19" xfId="0" applyFont="1" applyFill="1" applyBorder="1" applyAlignment="1">
      <alignment horizontal="center" vertical="center" textRotation="90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 textRotation="90"/>
    </xf>
    <xf numFmtId="0" fontId="20" fillId="2" borderId="4" xfId="0" applyFont="1" applyFill="1" applyBorder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7" borderId="25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17" fontId="12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K21"/>
  <sheetViews>
    <sheetView workbookViewId="0">
      <selection activeCell="C10" sqref="C10"/>
    </sheetView>
  </sheetViews>
  <sheetFormatPr defaultColWidth="9.1796875" defaultRowHeight="14" x14ac:dyDescent="0.3"/>
  <cols>
    <col min="1" max="1" width="17.54296875" style="1" customWidth="1"/>
    <col min="2" max="2" width="9.453125" style="1" customWidth="1"/>
    <col min="3" max="3" width="8.453125" style="1" customWidth="1"/>
    <col min="4" max="4" width="8.54296875" style="1" customWidth="1"/>
    <col min="5" max="11" width="8" style="1" customWidth="1"/>
    <col min="12" max="12" width="9.54296875" style="1" customWidth="1"/>
    <col min="13" max="14" width="10" style="1" customWidth="1"/>
    <col min="15" max="15" width="8" style="1" customWidth="1"/>
    <col min="16" max="25" width="9.1796875" style="1"/>
    <col min="26" max="26" width="13.7265625" style="1" bestFit="1" customWidth="1"/>
    <col min="27" max="16384" width="9.1796875" style="1"/>
  </cols>
  <sheetData>
    <row r="4" spans="1:37" s="176" customFormat="1" ht="15" x14ac:dyDescent="0.3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</row>
    <row r="5" spans="1:37" s="176" customFormat="1" ht="15.5" thickBot="1" x14ac:dyDescent="0.35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</row>
    <row r="6" spans="1:37" ht="15.5" thickBot="1" x14ac:dyDescent="0.35">
      <c r="A6" s="215" t="s">
        <v>5</v>
      </c>
      <c r="B6" s="216" t="s">
        <v>72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8"/>
      <c r="O6" s="219"/>
      <c r="AG6" s="197" t="e">
        <f>AVERAGE(#REF!)</f>
        <v>#REF!</v>
      </c>
      <c r="AH6" s="197" t="e">
        <f>AVERAGE(#REF!)</f>
        <v>#REF!</v>
      </c>
    </row>
    <row r="7" spans="1:37" ht="32" thickBot="1" x14ac:dyDescent="0.35">
      <c r="A7" s="215"/>
      <c r="B7" s="120" t="s">
        <v>18</v>
      </c>
      <c r="C7" s="121" t="s">
        <v>17</v>
      </c>
      <c r="D7" s="121" t="s">
        <v>19</v>
      </c>
      <c r="E7" s="122" t="s">
        <v>44</v>
      </c>
      <c r="F7" s="122" t="s">
        <v>45</v>
      </c>
      <c r="G7" s="122" t="s">
        <v>46</v>
      </c>
      <c r="H7" s="122" t="s">
        <v>47</v>
      </c>
      <c r="I7" s="123" t="s">
        <v>48</v>
      </c>
      <c r="J7" s="123" t="s">
        <v>49</v>
      </c>
      <c r="K7" s="123" t="s">
        <v>50</v>
      </c>
      <c r="L7" s="123" t="s">
        <v>51</v>
      </c>
      <c r="M7" s="123" t="s">
        <v>52</v>
      </c>
      <c r="N7" s="123" t="s">
        <v>52</v>
      </c>
      <c r="O7" s="124" t="s">
        <v>53</v>
      </c>
    </row>
    <row r="8" spans="1:37" ht="18" x14ac:dyDescent="0.4">
      <c r="A8" s="198" t="s">
        <v>9</v>
      </c>
      <c r="B8" s="39">
        <v>19</v>
      </c>
      <c r="C8" s="39">
        <v>21</v>
      </c>
      <c r="D8" s="39">
        <f>SUM(B8:C8)</f>
        <v>40</v>
      </c>
      <c r="E8" s="199">
        <v>26</v>
      </c>
      <c r="F8" s="199">
        <f>B8*E8</f>
        <v>494</v>
      </c>
      <c r="G8" s="199">
        <f>C8*E8</f>
        <v>546</v>
      </c>
      <c r="H8" s="200">
        <f>SUM(F8:G8)</f>
        <v>1040</v>
      </c>
      <c r="I8" s="125">
        <v>296</v>
      </c>
      <c r="J8" s="125">
        <v>308</v>
      </c>
      <c r="K8" s="126">
        <f>SUM(I8:J8)</f>
        <v>604</v>
      </c>
      <c r="L8" s="201">
        <f>J8/G8</f>
        <v>0.5641025641025641</v>
      </c>
      <c r="M8" s="201">
        <f>I8/F8</f>
        <v>0.59919028340080971</v>
      </c>
      <c r="N8" s="202">
        <f>K8/H8</f>
        <v>0.58076923076923082</v>
      </c>
      <c r="O8" s="203">
        <f>AVERAGE(L8:M8)</f>
        <v>0.58164642375168696</v>
      </c>
    </row>
    <row r="9" spans="1:37" ht="18" x14ac:dyDescent="0.4">
      <c r="A9" s="204" t="s">
        <v>54</v>
      </c>
      <c r="B9" s="39">
        <v>19</v>
      </c>
      <c r="C9" s="39">
        <v>21</v>
      </c>
      <c r="D9" s="39">
        <f t="shared" ref="D9:D18" si="0">SUM(B9:C9)</f>
        <v>40</v>
      </c>
      <c r="E9" s="199">
        <v>26</v>
      </c>
      <c r="F9" s="199">
        <f t="shared" ref="F9:F18" si="1">B9*E9</f>
        <v>494</v>
      </c>
      <c r="G9" s="199">
        <f t="shared" ref="G9:G18" si="2">C9*E9</f>
        <v>546</v>
      </c>
      <c r="H9" s="200">
        <f t="shared" ref="H9:H18" si="3">SUM(F9:G9)</f>
        <v>1040</v>
      </c>
      <c r="I9" s="125">
        <v>375</v>
      </c>
      <c r="J9" s="125">
        <v>398</v>
      </c>
      <c r="K9" s="126">
        <f t="shared" ref="K9:K18" si="4">SUM(I9:J9)</f>
        <v>773</v>
      </c>
      <c r="L9" s="201">
        <f t="shared" ref="L9:L18" si="5">J9/G9</f>
        <v>0.7289377289377289</v>
      </c>
      <c r="M9" s="201">
        <f t="shared" ref="M9:M18" si="6">I9/F9</f>
        <v>0.75910931174089069</v>
      </c>
      <c r="N9" s="202">
        <f t="shared" ref="N9:N18" si="7">K9/H9</f>
        <v>0.74326923076923079</v>
      </c>
      <c r="O9" s="203">
        <f t="shared" ref="O9:O18" si="8">AVERAGE(L9:M9)</f>
        <v>0.74402352033930974</v>
      </c>
    </row>
    <row r="10" spans="1:37" ht="18" x14ac:dyDescent="0.4">
      <c r="A10" s="205" t="s">
        <v>29</v>
      </c>
      <c r="B10" s="39">
        <v>26</v>
      </c>
      <c r="C10" s="39">
        <v>14</v>
      </c>
      <c r="D10" s="39">
        <f t="shared" si="0"/>
        <v>40</v>
      </c>
      <c r="E10" s="199">
        <v>26</v>
      </c>
      <c r="F10" s="199">
        <f t="shared" si="1"/>
        <v>676</v>
      </c>
      <c r="G10" s="199">
        <f t="shared" si="2"/>
        <v>364</v>
      </c>
      <c r="H10" s="200">
        <f t="shared" si="3"/>
        <v>1040</v>
      </c>
      <c r="I10" s="125">
        <v>564</v>
      </c>
      <c r="J10" s="125">
        <v>310</v>
      </c>
      <c r="K10" s="126">
        <f t="shared" si="4"/>
        <v>874</v>
      </c>
      <c r="L10" s="201">
        <f t="shared" si="5"/>
        <v>0.85164835164835162</v>
      </c>
      <c r="M10" s="201">
        <f t="shared" si="6"/>
        <v>0.83431952662721898</v>
      </c>
      <c r="N10" s="202">
        <f t="shared" si="7"/>
        <v>0.8403846153846154</v>
      </c>
      <c r="O10" s="203">
        <f t="shared" si="8"/>
        <v>0.84298393913778535</v>
      </c>
    </row>
    <row r="11" spans="1:37" ht="18" x14ac:dyDescent="0.4">
      <c r="A11" s="204" t="s">
        <v>30</v>
      </c>
      <c r="B11" s="39">
        <v>26</v>
      </c>
      <c r="C11" s="39">
        <v>14</v>
      </c>
      <c r="D11" s="39">
        <f t="shared" si="0"/>
        <v>40</v>
      </c>
      <c r="E11" s="199">
        <v>26</v>
      </c>
      <c r="F11" s="199">
        <f t="shared" si="1"/>
        <v>676</v>
      </c>
      <c r="G11" s="199">
        <f t="shared" si="2"/>
        <v>364</v>
      </c>
      <c r="H11" s="200">
        <f t="shared" si="3"/>
        <v>1040</v>
      </c>
      <c r="I11" s="125">
        <v>476</v>
      </c>
      <c r="J11" s="125">
        <v>217</v>
      </c>
      <c r="K11" s="126">
        <f>SUM(I11:J11)</f>
        <v>693</v>
      </c>
      <c r="L11" s="201">
        <f t="shared" si="5"/>
        <v>0.59615384615384615</v>
      </c>
      <c r="M11" s="201">
        <f t="shared" si="6"/>
        <v>0.70414201183431957</v>
      </c>
      <c r="N11" s="202">
        <f>K11/H11</f>
        <v>0.66634615384615381</v>
      </c>
      <c r="O11" s="203">
        <f t="shared" si="8"/>
        <v>0.6501479289940828</v>
      </c>
    </row>
    <row r="12" spans="1:37" ht="18" x14ac:dyDescent="0.4">
      <c r="A12" s="204" t="s">
        <v>34</v>
      </c>
      <c r="B12" s="39">
        <v>24</v>
      </c>
      <c r="C12" s="39">
        <v>7</v>
      </c>
      <c r="D12" s="39">
        <f t="shared" si="0"/>
        <v>31</v>
      </c>
      <c r="E12" s="199">
        <v>26</v>
      </c>
      <c r="F12" s="199">
        <f t="shared" si="1"/>
        <v>624</v>
      </c>
      <c r="G12" s="199">
        <f t="shared" si="2"/>
        <v>182</v>
      </c>
      <c r="H12" s="200">
        <f t="shared" si="3"/>
        <v>806</v>
      </c>
      <c r="I12" s="125">
        <v>391</v>
      </c>
      <c r="J12" s="125">
        <v>160</v>
      </c>
      <c r="K12" s="126">
        <f t="shared" si="4"/>
        <v>551</v>
      </c>
      <c r="L12" s="201">
        <f t="shared" si="5"/>
        <v>0.87912087912087911</v>
      </c>
      <c r="M12" s="201">
        <f t="shared" si="6"/>
        <v>0.6266025641025641</v>
      </c>
      <c r="N12" s="202">
        <f t="shared" si="7"/>
        <v>0.68362282878411906</v>
      </c>
      <c r="O12" s="203">
        <f t="shared" si="8"/>
        <v>0.7528617216117216</v>
      </c>
    </row>
    <row r="13" spans="1:37" ht="18" x14ac:dyDescent="0.4">
      <c r="A13" s="204" t="s">
        <v>35</v>
      </c>
      <c r="B13" s="60">
        <v>31</v>
      </c>
      <c r="C13" s="39">
        <v>9</v>
      </c>
      <c r="D13" s="39">
        <f t="shared" si="0"/>
        <v>40</v>
      </c>
      <c r="E13" s="199">
        <v>26</v>
      </c>
      <c r="F13" s="199">
        <f t="shared" si="1"/>
        <v>806</v>
      </c>
      <c r="G13" s="199">
        <f t="shared" si="2"/>
        <v>234</v>
      </c>
      <c r="H13" s="200">
        <f t="shared" si="3"/>
        <v>1040</v>
      </c>
      <c r="I13" s="125">
        <v>470</v>
      </c>
      <c r="J13" s="125">
        <v>202</v>
      </c>
      <c r="K13" s="126">
        <f t="shared" si="4"/>
        <v>672</v>
      </c>
      <c r="L13" s="201">
        <f t="shared" si="5"/>
        <v>0.86324786324786329</v>
      </c>
      <c r="M13" s="201">
        <f t="shared" si="6"/>
        <v>0.5831265508684863</v>
      </c>
      <c r="N13" s="202">
        <f t="shared" si="7"/>
        <v>0.64615384615384619</v>
      </c>
      <c r="O13" s="203">
        <f t="shared" si="8"/>
        <v>0.72318720705817485</v>
      </c>
    </row>
    <row r="14" spans="1:37" ht="18" x14ac:dyDescent="0.4">
      <c r="A14" s="205" t="s">
        <v>36</v>
      </c>
      <c r="B14" s="39">
        <v>35</v>
      </c>
      <c r="C14" s="39">
        <v>7</v>
      </c>
      <c r="D14" s="39">
        <f t="shared" si="0"/>
        <v>42</v>
      </c>
      <c r="E14" s="199">
        <v>26</v>
      </c>
      <c r="F14" s="199">
        <f t="shared" si="1"/>
        <v>910</v>
      </c>
      <c r="G14" s="199">
        <f t="shared" si="2"/>
        <v>182</v>
      </c>
      <c r="H14" s="200">
        <f t="shared" si="3"/>
        <v>1092</v>
      </c>
      <c r="I14" s="125">
        <v>691</v>
      </c>
      <c r="J14" s="125">
        <v>134</v>
      </c>
      <c r="K14" s="126">
        <f t="shared" si="4"/>
        <v>825</v>
      </c>
      <c r="L14" s="201">
        <f t="shared" si="5"/>
        <v>0.73626373626373631</v>
      </c>
      <c r="M14" s="201">
        <f t="shared" si="6"/>
        <v>0.75934065934065931</v>
      </c>
      <c r="N14" s="202">
        <f t="shared" si="7"/>
        <v>0.75549450549450547</v>
      </c>
      <c r="O14" s="203">
        <f t="shared" si="8"/>
        <v>0.74780219780219781</v>
      </c>
    </row>
    <row r="15" spans="1:37" ht="18" x14ac:dyDescent="0.4">
      <c r="A15" s="205" t="s">
        <v>37</v>
      </c>
      <c r="B15" s="39">
        <v>31</v>
      </c>
      <c r="C15" s="39">
        <v>10</v>
      </c>
      <c r="D15" s="39">
        <f t="shared" si="0"/>
        <v>41</v>
      </c>
      <c r="E15" s="199">
        <v>26</v>
      </c>
      <c r="F15" s="199">
        <f t="shared" si="1"/>
        <v>806</v>
      </c>
      <c r="G15" s="199">
        <f t="shared" si="2"/>
        <v>260</v>
      </c>
      <c r="H15" s="200">
        <f t="shared" si="3"/>
        <v>1066</v>
      </c>
      <c r="I15" s="125">
        <v>509</v>
      </c>
      <c r="J15" s="125">
        <v>170</v>
      </c>
      <c r="K15" s="126">
        <f t="shared" si="4"/>
        <v>679</v>
      </c>
      <c r="L15" s="201">
        <f t="shared" si="5"/>
        <v>0.65384615384615385</v>
      </c>
      <c r="M15" s="201">
        <f t="shared" si="6"/>
        <v>0.63151364764267992</v>
      </c>
      <c r="N15" s="202">
        <f t="shared" si="7"/>
        <v>0.6369606003752345</v>
      </c>
      <c r="O15" s="203">
        <f t="shared" si="8"/>
        <v>0.64267990074441683</v>
      </c>
    </row>
    <row r="16" spans="1:37" ht="18" x14ac:dyDescent="0.4">
      <c r="A16" s="205" t="s">
        <v>40</v>
      </c>
      <c r="B16" s="39">
        <v>20</v>
      </c>
      <c r="C16" s="39">
        <v>10</v>
      </c>
      <c r="D16" s="39">
        <f t="shared" si="0"/>
        <v>30</v>
      </c>
      <c r="E16" s="199">
        <v>26</v>
      </c>
      <c r="F16" s="199">
        <f t="shared" si="1"/>
        <v>520</v>
      </c>
      <c r="G16" s="199">
        <f t="shared" si="2"/>
        <v>260</v>
      </c>
      <c r="H16" s="200">
        <f t="shared" si="3"/>
        <v>780</v>
      </c>
      <c r="I16" s="125">
        <v>474</v>
      </c>
      <c r="J16" s="125">
        <v>254</v>
      </c>
      <c r="K16" s="126">
        <f t="shared" si="4"/>
        <v>728</v>
      </c>
      <c r="L16" s="201">
        <f t="shared" si="5"/>
        <v>0.97692307692307689</v>
      </c>
      <c r="M16" s="201">
        <f t="shared" si="6"/>
        <v>0.91153846153846152</v>
      </c>
      <c r="N16" s="202">
        <f t="shared" si="7"/>
        <v>0.93333333333333335</v>
      </c>
      <c r="O16" s="203">
        <f t="shared" si="8"/>
        <v>0.94423076923076921</v>
      </c>
    </row>
    <row r="17" spans="1:15" ht="18" x14ac:dyDescent="0.4">
      <c r="A17" s="205" t="s">
        <v>73</v>
      </c>
      <c r="B17" s="39">
        <v>6</v>
      </c>
      <c r="C17" s="39">
        <v>20</v>
      </c>
      <c r="D17" s="39">
        <f t="shared" si="0"/>
        <v>26</v>
      </c>
      <c r="E17" s="199">
        <v>26</v>
      </c>
      <c r="F17" s="199">
        <f t="shared" si="1"/>
        <v>156</v>
      </c>
      <c r="G17" s="199">
        <f t="shared" si="2"/>
        <v>520</v>
      </c>
      <c r="H17" s="200">
        <f t="shared" si="3"/>
        <v>676</v>
      </c>
      <c r="I17" s="125">
        <v>77</v>
      </c>
      <c r="J17" s="125">
        <v>353</v>
      </c>
      <c r="K17" s="126">
        <f t="shared" si="4"/>
        <v>430</v>
      </c>
      <c r="L17" s="201">
        <f t="shared" si="5"/>
        <v>0.67884615384615388</v>
      </c>
      <c r="M17" s="201">
        <f t="shared" si="6"/>
        <v>0.49358974358974361</v>
      </c>
      <c r="N17" s="202">
        <f t="shared" si="7"/>
        <v>0.63609467455621305</v>
      </c>
      <c r="O17" s="203">
        <f t="shared" si="8"/>
        <v>0.58621794871794874</v>
      </c>
    </row>
    <row r="18" spans="1:15" ht="18.5" thickBot="1" x14ac:dyDescent="0.45">
      <c r="A18" s="205" t="s">
        <v>74</v>
      </c>
      <c r="B18" s="60">
        <v>14</v>
      </c>
      <c r="C18" s="60">
        <v>5</v>
      </c>
      <c r="D18" s="39">
        <f t="shared" si="0"/>
        <v>19</v>
      </c>
      <c r="E18" s="199">
        <v>26</v>
      </c>
      <c r="F18" s="199">
        <f t="shared" si="1"/>
        <v>364</v>
      </c>
      <c r="G18" s="199">
        <f t="shared" si="2"/>
        <v>130</v>
      </c>
      <c r="H18" s="200">
        <f t="shared" si="3"/>
        <v>494</v>
      </c>
      <c r="I18" s="125">
        <v>198</v>
      </c>
      <c r="J18" s="125">
        <v>85</v>
      </c>
      <c r="K18" s="126">
        <f t="shared" si="4"/>
        <v>283</v>
      </c>
      <c r="L18" s="201">
        <f t="shared" si="5"/>
        <v>0.65384615384615385</v>
      </c>
      <c r="M18" s="201">
        <f t="shared" si="6"/>
        <v>0.54395604395604391</v>
      </c>
      <c r="N18" s="202">
        <f t="shared" si="7"/>
        <v>0.57287449392712553</v>
      </c>
      <c r="O18" s="203">
        <f t="shared" si="8"/>
        <v>0.59890109890109888</v>
      </c>
    </row>
    <row r="19" spans="1:15" ht="18.5" thickBot="1" x14ac:dyDescent="0.45">
      <c r="A19" s="206" t="s">
        <v>19</v>
      </c>
      <c r="B19" s="39">
        <f>SUM(B8:B18)</f>
        <v>251</v>
      </c>
      <c r="C19" s="39">
        <f>SUM(C8:C18)</f>
        <v>138</v>
      </c>
      <c r="D19" s="39">
        <f>SUM(D8:D18)</f>
        <v>389</v>
      </c>
      <c r="E19" s="207">
        <f t="shared" ref="E19:K19" si="9">SUM(E8:E18)</f>
        <v>286</v>
      </c>
      <c r="F19" s="207">
        <f t="shared" si="9"/>
        <v>6526</v>
      </c>
      <c r="G19" s="207">
        <f t="shared" si="9"/>
        <v>3588</v>
      </c>
      <c r="H19" s="207">
        <f t="shared" si="9"/>
        <v>10114</v>
      </c>
      <c r="I19" s="127">
        <f t="shared" si="9"/>
        <v>4521</v>
      </c>
      <c r="J19" s="127">
        <f t="shared" si="9"/>
        <v>2591</v>
      </c>
      <c r="K19" s="127">
        <f t="shared" si="9"/>
        <v>7112</v>
      </c>
      <c r="L19" s="201">
        <f>J19/G19</f>
        <v>0.72212931995540686</v>
      </c>
      <c r="M19" s="201">
        <f>I19/F19</f>
        <v>0.69276739197057924</v>
      </c>
      <c r="N19" s="202">
        <f>AVERAGE(N8:N18)</f>
        <v>0.69957304667214615</v>
      </c>
      <c r="O19" s="203">
        <f>AVERAGE(O8:O18)</f>
        <v>0.71042569602629024</v>
      </c>
    </row>
    <row r="20" spans="1:15" ht="14.5" thickBot="1" x14ac:dyDescent="0.35">
      <c r="A20" s="208" t="s">
        <v>22</v>
      </c>
      <c r="B20" s="128">
        <v>1</v>
      </c>
      <c r="C20" s="129">
        <v>1</v>
      </c>
      <c r="D20" s="130">
        <v>1</v>
      </c>
      <c r="E20" s="128">
        <v>1</v>
      </c>
      <c r="F20" s="129">
        <v>1</v>
      </c>
      <c r="G20" s="130">
        <v>1</v>
      </c>
      <c r="H20" s="130">
        <v>1</v>
      </c>
      <c r="I20" s="131">
        <f>I19/F19</f>
        <v>0.69276739197057924</v>
      </c>
      <c r="J20" s="131">
        <f>J19/G19</f>
        <v>0.72212931995540686</v>
      </c>
      <c r="K20" s="131">
        <f>K19/H19</f>
        <v>0.70318370575439981</v>
      </c>
      <c r="L20" s="209">
        <v>0.54</v>
      </c>
      <c r="M20" s="210">
        <v>0.56000000000000005</v>
      </c>
      <c r="N20" s="211">
        <v>0.55000000000000004</v>
      </c>
      <c r="O20" s="212">
        <f>AVERAGE(L19:M19)</f>
        <v>0.70744835596299305</v>
      </c>
    </row>
    <row r="21" spans="1:15" x14ac:dyDescent="0.3">
      <c r="C21" s="213"/>
    </row>
  </sheetData>
  <mergeCells count="4">
    <mergeCell ref="A4:AK4"/>
    <mergeCell ref="A5:AK5"/>
    <mergeCell ref="A6:A7"/>
    <mergeCell ref="B6:O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T46"/>
  <sheetViews>
    <sheetView workbookViewId="0">
      <selection activeCell="AK6" sqref="AK6"/>
    </sheetView>
  </sheetViews>
  <sheetFormatPr defaultColWidth="3.81640625" defaultRowHeight="14" x14ac:dyDescent="0.3"/>
  <cols>
    <col min="1" max="1" width="3.81640625" style="1"/>
    <col min="2" max="2" width="4.7265625" style="1" bestFit="1" customWidth="1"/>
    <col min="3" max="3" width="19.26953125" style="1" bestFit="1" customWidth="1"/>
    <col min="4" max="4" width="19" style="1" bestFit="1" customWidth="1"/>
    <col min="5" max="5" width="6.453125" style="1" customWidth="1"/>
    <col min="6" max="36" width="3.81640625" style="1"/>
    <col min="37" max="37" width="6.81640625" style="1" customWidth="1"/>
    <col min="38" max="38" width="5.7265625" style="1" customWidth="1"/>
    <col min="39" max="39" width="16.1796875" style="1" customWidth="1"/>
    <col min="40" max="40" width="10" style="1" customWidth="1"/>
    <col min="41" max="41" width="10.81640625" style="1" customWidth="1"/>
    <col min="42" max="42" width="6" style="1" customWidth="1"/>
    <col min="43" max="43" width="6.7265625" style="1" customWidth="1"/>
    <col min="44" max="44" width="7.1796875" style="1" bestFit="1" customWidth="1"/>
    <col min="45" max="16384" width="3.81640625" style="1"/>
  </cols>
  <sheetData>
    <row r="1" spans="1:46" x14ac:dyDescent="0.3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6" x14ac:dyDescent="0.3">
      <c r="A2" s="226" t="s">
        <v>80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6" x14ac:dyDescent="0.3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6" x14ac:dyDescent="0.3">
      <c r="A4" s="227" t="s">
        <v>79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M4" s="157">
        <v>45139</v>
      </c>
      <c r="AN4" s="158"/>
      <c r="AO4" s="64"/>
      <c r="AP4" s="64"/>
    </row>
    <row r="5" spans="1:46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4">
        <v>1</v>
      </c>
      <c r="G5" s="3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2" t="s">
        <v>6</v>
      </c>
      <c r="AL5" s="2" t="s">
        <v>7</v>
      </c>
      <c r="AM5" s="153" t="s">
        <v>8</v>
      </c>
      <c r="AN5" s="153">
        <v>31</v>
      </c>
      <c r="AO5" s="64"/>
      <c r="AP5" s="64"/>
    </row>
    <row r="6" spans="1:46" ht="35.25" customHeight="1" x14ac:dyDescent="0.3">
      <c r="A6" s="5">
        <v>1</v>
      </c>
      <c r="B6" s="6"/>
      <c r="C6" s="52"/>
      <c r="D6" s="159"/>
      <c r="E6" s="5" t="s">
        <v>9</v>
      </c>
      <c r="F6" s="8" t="s">
        <v>12</v>
      </c>
      <c r="G6" s="7" t="s">
        <v>11</v>
      </c>
      <c r="H6" s="8" t="s">
        <v>12</v>
      </c>
      <c r="I6" s="7" t="s">
        <v>12</v>
      </c>
      <c r="J6" s="7" t="s">
        <v>11</v>
      </c>
      <c r="K6" s="223" t="s">
        <v>10</v>
      </c>
      <c r="L6" s="7" t="s">
        <v>12</v>
      </c>
      <c r="M6" s="7" t="s">
        <v>12</v>
      </c>
      <c r="N6" s="8" t="s">
        <v>11</v>
      </c>
      <c r="O6" s="8" t="s">
        <v>12</v>
      </c>
      <c r="P6" s="7" t="s">
        <v>12</v>
      </c>
      <c r="Q6" s="7" t="s">
        <v>11</v>
      </c>
      <c r="R6" s="228" t="s">
        <v>10</v>
      </c>
      <c r="S6" s="228" t="s">
        <v>55</v>
      </c>
      <c r="T6" s="7" t="s">
        <v>11</v>
      </c>
      <c r="U6" s="9" t="s">
        <v>11</v>
      </c>
      <c r="V6" s="8" t="s">
        <v>12</v>
      </c>
      <c r="W6" s="7" t="s">
        <v>11</v>
      </c>
      <c r="X6" s="7" t="s">
        <v>12</v>
      </c>
      <c r="Y6" s="223" t="s">
        <v>10</v>
      </c>
      <c r="Z6" s="7" t="s">
        <v>12</v>
      </c>
      <c r="AA6" s="7" t="s">
        <v>11</v>
      </c>
      <c r="AB6" s="7" t="s">
        <v>12</v>
      </c>
      <c r="AC6" s="7" t="s">
        <v>12</v>
      </c>
      <c r="AD6" s="7" t="s">
        <v>11</v>
      </c>
      <c r="AE6" s="7" t="s">
        <v>12</v>
      </c>
      <c r="AF6" s="223" t="s">
        <v>10</v>
      </c>
      <c r="AG6" s="7" t="s">
        <v>12</v>
      </c>
      <c r="AH6" s="7" t="s">
        <v>12</v>
      </c>
      <c r="AI6" s="7" t="s">
        <v>11</v>
      </c>
      <c r="AJ6" s="7" t="s">
        <v>12</v>
      </c>
      <c r="AK6" s="149">
        <f>COUNTIF(F6:AJ6,"P")</f>
        <v>16</v>
      </c>
      <c r="AL6" s="10">
        <f>COUNTIF(F6:AJ6,"A")</f>
        <v>10</v>
      </c>
      <c r="AM6" s="160" t="s">
        <v>13</v>
      </c>
      <c r="AN6" s="160">
        <v>26</v>
      </c>
      <c r="AO6" s="64" t="s">
        <v>57</v>
      </c>
      <c r="AP6" s="64"/>
      <c r="AQ6" s="1">
        <v>1</v>
      </c>
      <c r="AR6" s="161"/>
    </row>
    <row r="7" spans="1:46" ht="20.25" customHeight="1" x14ac:dyDescent="0.3">
      <c r="A7" s="10">
        <v>2</v>
      </c>
      <c r="B7" s="11"/>
      <c r="C7" s="53"/>
      <c r="D7" s="162"/>
      <c r="E7" s="10" t="s">
        <v>9</v>
      </c>
      <c r="F7" s="13" t="s">
        <v>12</v>
      </c>
      <c r="G7" s="7" t="s">
        <v>12</v>
      </c>
      <c r="H7" s="13" t="s">
        <v>11</v>
      </c>
      <c r="I7" s="7" t="s">
        <v>12</v>
      </c>
      <c r="J7" s="7" t="s">
        <v>11</v>
      </c>
      <c r="K7" s="224"/>
      <c r="L7" s="7" t="s">
        <v>11</v>
      </c>
      <c r="M7" s="7" t="s">
        <v>12</v>
      </c>
      <c r="N7" s="13" t="s">
        <v>12</v>
      </c>
      <c r="O7" s="13" t="s">
        <v>11</v>
      </c>
      <c r="P7" s="7" t="s">
        <v>12</v>
      </c>
      <c r="Q7" s="7" t="s">
        <v>12</v>
      </c>
      <c r="R7" s="228"/>
      <c r="S7" s="228"/>
      <c r="T7" s="7" t="s">
        <v>11</v>
      </c>
      <c r="U7" s="9" t="s">
        <v>12</v>
      </c>
      <c r="V7" s="13" t="s">
        <v>12</v>
      </c>
      <c r="W7" s="7" t="s">
        <v>11</v>
      </c>
      <c r="X7" s="7" t="s">
        <v>12</v>
      </c>
      <c r="Y7" s="224"/>
      <c r="Z7" s="7" t="s">
        <v>12</v>
      </c>
      <c r="AA7" s="7" t="s">
        <v>12</v>
      </c>
      <c r="AB7" s="7" t="s">
        <v>12</v>
      </c>
      <c r="AC7" s="7" t="s">
        <v>11</v>
      </c>
      <c r="AD7" s="7" t="s">
        <v>12</v>
      </c>
      <c r="AE7" s="7" t="s">
        <v>12</v>
      </c>
      <c r="AF7" s="224"/>
      <c r="AG7" s="7" t="s">
        <v>12</v>
      </c>
      <c r="AH7" s="7" t="s">
        <v>12</v>
      </c>
      <c r="AI7" s="7" t="s">
        <v>11</v>
      </c>
      <c r="AJ7" s="7" t="s">
        <v>12</v>
      </c>
      <c r="AK7" s="10">
        <f t="shared" ref="AK7:AK45" si="0">COUNTIF(F7:AJ7,"P")</f>
        <v>18</v>
      </c>
      <c r="AL7" s="10">
        <f t="shared" ref="AL7:AL45" si="1">COUNTIF(F7:AJ7,"A")</f>
        <v>8</v>
      </c>
      <c r="AM7" s="64" t="s">
        <v>14</v>
      </c>
      <c r="AN7" s="64">
        <v>4</v>
      </c>
      <c r="AO7" s="64"/>
      <c r="AP7" s="64"/>
      <c r="AR7" s="161"/>
      <c r="AT7" s="1" t="s">
        <v>15</v>
      </c>
    </row>
    <row r="8" spans="1:46" ht="19" x14ac:dyDescent="0.3">
      <c r="A8" s="5">
        <v>3</v>
      </c>
      <c r="B8" s="11"/>
      <c r="C8" s="53"/>
      <c r="D8" s="162"/>
      <c r="E8" s="10" t="s">
        <v>9</v>
      </c>
      <c r="F8" s="13" t="s">
        <v>11</v>
      </c>
      <c r="G8" s="7" t="s">
        <v>12</v>
      </c>
      <c r="H8" s="13" t="s">
        <v>12</v>
      </c>
      <c r="I8" s="7" t="s">
        <v>11</v>
      </c>
      <c r="J8" s="7" t="s">
        <v>12</v>
      </c>
      <c r="K8" s="224"/>
      <c r="L8" s="7" t="s">
        <v>12</v>
      </c>
      <c r="M8" s="7" t="s">
        <v>12</v>
      </c>
      <c r="N8" s="13" t="s">
        <v>12</v>
      </c>
      <c r="O8" s="13" t="s">
        <v>12</v>
      </c>
      <c r="P8" s="7" t="s">
        <v>12</v>
      </c>
      <c r="Q8" s="7" t="s">
        <v>12</v>
      </c>
      <c r="R8" s="228"/>
      <c r="S8" s="228"/>
      <c r="T8" s="7" t="s">
        <v>11</v>
      </c>
      <c r="U8" s="9" t="s">
        <v>12</v>
      </c>
      <c r="V8" s="13" t="s">
        <v>12</v>
      </c>
      <c r="W8" s="7" t="s">
        <v>12</v>
      </c>
      <c r="X8" s="7" t="s">
        <v>12</v>
      </c>
      <c r="Y8" s="224"/>
      <c r="Z8" s="7" t="s">
        <v>12</v>
      </c>
      <c r="AA8" s="7" t="s">
        <v>11</v>
      </c>
      <c r="AB8" s="7" t="s">
        <v>11</v>
      </c>
      <c r="AC8" s="7" t="s">
        <v>12</v>
      </c>
      <c r="AD8" s="7" t="s">
        <v>12</v>
      </c>
      <c r="AE8" s="7" t="s">
        <v>12</v>
      </c>
      <c r="AF8" s="224"/>
      <c r="AG8" s="7" t="s">
        <v>12</v>
      </c>
      <c r="AH8" s="7" t="s">
        <v>12</v>
      </c>
      <c r="AI8" s="7" t="s">
        <v>11</v>
      </c>
      <c r="AJ8" s="7" t="s">
        <v>12</v>
      </c>
      <c r="AK8" s="10">
        <f t="shared" si="0"/>
        <v>20</v>
      </c>
      <c r="AL8" s="10">
        <f t="shared" si="1"/>
        <v>6</v>
      </c>
      <c r="AM8" s="64"/>
      <c r="AN8" s="64"/>
      <c r="AO8" s="64"/>
      <c r="AP8" s="64"/>
    </row>
    <row r="9" spans="1:46" ht="19" x14ac:dyDescent="0.3">
      <c r="A9" s="10">
        <v>4</v>
      </c>
      <c r="B9" s="11"/>
      <c r="C9" s="53"/>
      <c r="D9" s="162"/>
      <c r="E9" s="10" t="s">
        <v>9</v>
      </c>
      <c r="F9" s="13" t="s">
        <v>11</v>
      </c>
      <c r="G9" s="7" t="s">
        <v>12</v>
      </c>
      <c r="H9" s="13" t="s">
        <v>11</v>
      </c>
      <c r="I9" s="7" t="s">
        <v>12</v>
      </c>
      <c r="J9" s="7" t="s">
        <v>11</v>
      </c>
      <c r="K9" s="224"/>
      <c r="L9" s="7" t="s">
        <v>12</v>
      </c>
      <c r="M9" s="7" t="s">
        <v>12</v>
      </c>
      <c r="N9" s="13" t="s">
        <v>11</v>
      </c>
      <c r="O9" s="13" t="s">
        <v>12</v>
      </c>
      <c r="P9" s="7" t="s">
        <v>11</v>
      </c>
      <c r="Q9" s="7" t="s">
        <v>12</v>
      </c>
      <c r="R9" s="228"/>
      <c r="S9" s="228"/>
      <c r="T9" s="7" t="s">
        <v>12</v>
      </c>
      <c r="U9" s="9" t="s">
        <v>12</v>
      </c>
      <c r="V9" s="13" t="s">
        <v>11</v>
      </c>
      <c r="W9" s="7" t="s">
        <v>12</v>
      </c>
      <c r="X9" s="7" t="s">
        <v>11</v>
      </c>
      <c r="Y9" s="224"/>
      <c r="Z9" s="7" t="s">
        <v>12</v>
      </c>
      <c r="AA9" s="7" t="s">
        <v>12</v>
      </c>
      <c r="AB9" s="7" t="s">
        <v>12</v>
      </c>
      <c r="AC9" s="7" t="s">
        <v>11</v>
      </c>
      <c r="AD9" s="7" t="s">
        <v>12</v>
      </c>
      <c r="AE9" s="7" t="s">
        <v>12</v>
      </c>
      <c r="AF9" s="224"/>
      <c r="AG9" s="7" t="s">
        <v>12</v>
      </c>
      <c r="AH9" s="7" t="s">
        <v>11</v>
      </c>
      <c r="AI9" s="7" t="s">
        <v>12</v>
      </c>
      <c r="AJ9" s="7" t="s">
        <v>12</v>
      </c>
      <c r="AK9" s="10">
        <f t="shared" si="0"/>
        <v>17</v>
      </c>
      <c r="AL9" s="10">
        <f t="shared" si="1"/>
        <v>9</v>
      </c>
      <c r="AM9" s="220" t="s">
        <v>66</v>
      </c>
      <c r="AN9" s="221"/>
      <c r="AO9" s="221"/>
      <c r="AP9" s="222"/>
      <c r="AR9" s="164" t="s">
        <v>15</v>
      </c>
    </row>
    <row r="10" spans="1:46" ht="19" x14ac:dyDescent="0.3">
      <c r="A10" s="5">
        <v>5</v>
      </c>
      <c r="B10" s="11"/>
      <c r="C10" s="53"/>
      <c r="D10" s="162"/>
      <c r="E10" s="10" t="s">
        <v>9</v>
      </c>
      <c r="F10" s="13" t="s">
        <v>11</v>
      </c>
      <c r="G10" s="7" t="s">
        <v>12</v>
      </c>
      <c r="H10" s="13" t="s">
        <v>11</v>
      </c>
      <c r="I10" s="7" t="s">
        <v>12</v>
      </c>
      <c r="J10" s="7" t="s">
        <v>11</v>
      </c>
      <c r="K10" s="224"/>
      <c r="L10" s="7" t="s">
        <v>12</v>
      </c>
      <c r="M10" s="7" t="s">
        <v>11</v>
      </c>
      <c r="N10" s="13" t="s">
        <v>12</v>
      </c>
      <c r="O10" s="13" t="s">
        <v>11</v>
      </c>
      <c r="P10" s="7" t="s">
        <v>12</v>
      </c>
      <c r="Q10" s="7" t="s">
        <v>12</v>
      </c>
      <c r="R10" s="228"/>
      <c r="S10" s="228"/>
      <c r="T10" s="7" t="s">
        <v>12</v>
      </c>
      <c r="U10" s="9" t="s">
        <v>11</v>
      </c>
      <c r="V10" s="13" t="s">
        <v>12</v>
      </c>
      <c r="W10" s="7" t="s">
        <v>12</v>
      </c>
      <c r="X10" s="7" t="s">
        <v>11</v>
      </c>
      <c r="Y10" s="224"/>
      <c r="Z10" s="7" t="s">
        <v>12</v>
      </c>
      <c r="AA10" s="7" t="s">
        <v>12</v>
      </c>
      <c r="AB10" s="7" t="s">
        <v>12</v>
      </c>
      <c r="AC10" s="7" t="s">
        <v>11</v>
      </c>
      <c r="AD10" s="7" t="s">
        <v>12</v>
      </c>
      <c r="AE10" s="7" t="s">
        <v>12</v>
      </c>
      <c r="AF10" s="224"/>
      <c r="AG10" s="7" t="s">
        <v>11</v>
      </c>
      <c r="AH10" s="7" t="s">
        <v>12</v>
      </c>
      <c r="AI10" s="7" t="s">
        <v>11</v>
      </c>
      <c r="AJ10" s="7" t="s">
        <v>12</v>
      </c>
      <c r="AK10" s="149">
        <f t="shared" si="0"/>
        <v>16</v>
      </c>
      <c r="AL10" s="10">
        <f t="shared" si="1"/>
        <v>10</v>
      </c>
      <c r="AM10" s="150" t="s">
        <v>16</v>
      </c>
      <c r="AN10" s="150" t="s">
        <v>18</v>
      </c>
      <c r="AO10" s="150" t="s">
        <v>17</v>
      </c>
      <c r="AP10" s="150" t="s">
        <v>19</v>
      </c>
    </row>
    <row r="11" spans="1:46" ht="19" x14ac:dyDescent="0.3">
      <c r="A11" s="10">
        <v>6</v>
      </c>
      <c r="B11" s="11"/>
      <c r="C11" s="53"/>
      <c r="D11" s="162"/>
      <c r="E11" s="10" t="s">
        <v>9</v>
      </c>
      <c r="F11" s="13" t="s">
        <v>11</v>
      </c>
      <c r="G11" s="7" t="s">
        <v>12</v>
      </c>
      <c r="H11" s="13" t="s">
        <v>11</v>
      </c>
      <c r="I11" s="7" t="s">
        <v>11</v>
      </c>
      <c r="J11" s="7" t="s">
        <v>12</v>
      </c>
      <c r="K11" s="224"/>
      <c r="L11" s="7" t="s">
        <v>12</v>
      </c>
      <c r="M11" s="7" t="s">
        <v>11</v>
      </c>
      <c r="N11" s="13" t="s">
        <v>12</v>
      </c>
      <c r="O11" s="13" t="s">
        <v>12</v>
      </c>
      <c r="P11" s="7" t="s">
        <v>11</v>
      </c>
      <c r="Q11" s="7" t="s">
        <v>12</v>
      </c>
      <c r="R11" s="228"/>
      <c r="S11" s="228"/>
      <c r="T11" s="7" t="s">
        <v>12</v>
      </c>
      <c r="U11" s="9" t="s">
        <v>12</v>
      </c>
      <c r="V11" s="13" t="s">
        <v>12</v>
      </c>
      <c r="W11" s="7" t="s">
        <v>11</v>
      </c>
      <c r="X11" s="7" t="s">
        <v>12</v>
      </c>
      <c r="Y11" s="224"/>
      <c r="Z11" s="7" t="s">
        <v>12</v>
      </c>
      <c r="AA11" s="7" t="s">
        <v>11</v>
      </c>
      <c r="AB11" s="7" t="s">
        <v>12</v>
      </c>
      <c r="AC11" s="7" t="s">
        <v>11</v>
      </c>
      <c r="AD11" s="7" t="s">
        <v>12</v>
      </c>
      <c r="AE11" s="7" t="s">
        <v>11</v>
      </c>
      <c r="AF11" s="224"/>
      <c r="AG11" s="7" t="s">
        <v>12</v>
      </c>
      <c r="AH11" s="7" t="s">
        <v>11</v>
      </c>
      <c r="AI11" s="7" t="s">
        <v>12</v>
      </c>
      <c r="AJ11" s="7" t="s">
        <v>12</v>
      </c>
      <c r="AK11" s="149">
        <f t="shared" si="0"/>
        <v>16</v>
      </c>
      <c r="AL11" s="10">
        <f t="shared" si="1"/>
        <v>10</v>
      </c>
      <c r="AM11" s="150" t="s">
        <v>20</v>
      </c>
      <c r="AN11" s="150">
        <f>19*26</f>
        <v>494</v>
      </c>
      <c r="AO11" s="150">
        <f>21*26</f>
        <v>546</v>
      </c>
      <c r="AP11" s="150">
        <f>SUM(AN11:AO11)</f>
        <v>1040</v>
      </c>
    </row>
    <row r="12" spans="1:46" ht="19" x14ac:dyDescent="0.3">
      <c r="A12" s="5">
        <v>7</v>
      </c>
      <c r="B12" s="11"/>
      <c r="C12" s="53"/>
      <c r="D12" s="162"/>
      <c r="E12" s="10" t="s">
        <v>9</v>
      </c>
      <c r="F12" s="13" t="s">
        <v>12</v>
      </c>
      <c r="G12" s="7" t="s">
        <v>11</v>
      </c>
      <c r="H12" s="13" t="s">
        <v>12</v>
      </c>
      <c r="I12" s="7" t="s">
        <v>11</v>
      </c>
      <c r="J12" s="7" t="s">
        <v>12</v>
      </c>
      <c r="K12" s="224"/>
      <c r="L12" s="7" t="s">
        <v>12</v>
      </c>
      <c r="M12" s="7" t="s">
        <v>11</v>
      </c>
      <c r="N12" s="13" t="s">
        <v>12</v>
      </c>
      <c r="O12" s="13" t="s">
        <v>11</v>
      </c>
      <c r="P12" s="7" t="s">
        <v>12</v>
      </c>
      <c r="Q12" s="7" t="s">
        <v>12</v>
      </c>
      <c r="R12" s="228"/>
      <c r="S12" s="228"/>
      <c r="T12" s="7" t="s">
        <v>11</v>
      </c>
      <c r="U12" s="9" t="s">
        <v>11</v>
      </c>
      <c r="V12" s="13" t="s">
        <v>12</v>
      </c>
      <c r="W12" s="7" t="s">
        <v>11</v>
      </c>
      <c r="X12" s="7" t="s">
        <v>12</v>
      </c>
      <c r="Y12" s="224"/>
      <c r="Z12" s="7" t="s">
        <v>12</v>
      </c>
      <c r="AA12" s="7" t="s">
        <v>12</v>
      </c>
      <c r="AB12" s="7" t="s">
        <v>11</v>
      </c>
      <c r="AC12" s="7" t="s">
        <v>12</v>
      </c>
      <c r="AD12" s="7" t="s">
        <v>11</v>
      </c>
      <c r="AE12" s="7" t="s">
        <v>12</v>
      </c>
      <c r="AF12" s="224"/>
      <c r="AG12" s="7" t="s">
        <v>12</v>
      </c>
      <c r="AH12" s="7" t="s">
        <v>12</v>
      </c>
      <c r="AI12" s="7" t="s">
        <v>11</v>
      </c>
      <c r="AJ12" s="7" t="s">
        <v>12</v>
      </c>
      <c r="AK12" s="10">
        <f t="shared" si="0"/>
        <v>16</v>
      </c>
      <c r="AL12" s="10">
        <f t="shared" si="1"/>
        <v>10</v>
      </c>
      <c r="AM12" s="150" t="s">
        <v>21</v>
      </c>
      <c r="AN12" s="150">
        <f>AK7+AK8+AK9+AK12+AK13+AK14+AK16+AK20+AK21+AK22+AK23+AK24+AK25+AK26+AK27+AK29+AK30+AK32+AK43</f>
        <v>296</v>
      </c>
      <c r="AO12" s="150">
        <f>AK6+AK10+AK11+AK15+AK17+AK18+AK19+AK28+AK31+AK33+AK34+AK35+AK36+AK37+AK38+AK39+AK40+AK41+AK42+AK44+AK45</f>
        <v>308</v>
      </c>
      <c r="AP12" s="150">
        <f>AN12+AO12</f>
        <v>604</v>
      </c>
    </row>
    <row r="13" spans="1:46" ht="19" x14ac:dyDescent="0.3">
      <c r="A13" s="10">
        <v>8</v>
      </c>
      <c r="B13" s="11"/>
      <c r="C13" s="53"/>
      <c r="D13" s="162"/>
      <c r="E13" s="10" t="s">
        <v>9</v>
      </c>
      <c r="F13" s="13" t="s">
        <v>11</v>
      </c>
      <c r="G13" s="7" t="s">
        <v>12</v>
      </c>
      <c r="H13" s="13" t="s">
        <v>11</v>
      </c>
      <c r="I13" s="7" t="s">
        <v>12</v>
      </c>
      <c r="J13" s="7" t="s">
        <v>11</v>
      </c>
      <c r="K13" s="224"/>
      <c r="L13" s="7" t="s">
        <v>12</v>
      </c>
      <c r="M13" s="7" t="s">
        <v>11</v>
      </c>
      <c r="N13" s="13" t="s">
        <v>11</v>
      </c>
      <c r="O13" s="13" t="s">
        <v>12</v>
      </c>
      <c r="P13" s="7" t="s">
        <v>11</v>
      </c>
      <c r="Q13" s="7" t="s">
        <v>11</v>
      </c>
      <c r="R13" s="228"/>
      <c r="S13" s="228"/>
      <c r="T13" s="7" t="s">
        <v>12</v>
      </c>
      <c r="U13" s="9" t="s">
        <v>11</v>
      </c>
      <c r="V13" s="13" t="s">
        <v>11</v>
      </c>
      <c r="W13" s="7" t="s">
        <v>12</v>
      </c>
      <c r="X13" s="7" t="s">
        <v>11</v>
      </c>
      <c r="Y13" s="224"/>
      <c r="Z13" s="7" t="s">
        <v>12</v>
      </c>
      <c r="AA13" s="7" t="s">
        <v>11</v>
      </c>
      <c r="AB13" s="7" t="s">
        <v>11</v>
      </c>
      <c r="AC13" s="7" t="s">
        <v>12</v>
      </c>
      <c r="AD13" s="7" t="s">
        <v>11</v>
      </c>
      <c r="AE13" s="7" t="s">
        <v>12</v>
      </c>
      <c r="AF13" s="224"/>
      <c r="AG13" s="7" t="s">
        <v>12</v>
      </c>
      <c r="AH13" s="7" t="s">
        <v>11</v>
      </c>
      <c r="AI13" s="7" t="s">
        <v>12</v>
      </c>
      <c r="AJ13" s="7" t="s">
        <v>12</v>
      </c>
      <c r="AK13" s="10">
        <f t="shared" si="0"/>
        <v>12</v>
      </c>
      <c r="AL13" s="10">
        <f t="shared" si="1"/>
        <v>14</v>
      </c>
      <c r="AM13" s="150" t="s">
        <v>22</v>
      </c>
      <c r="AN13" s="154">
        <f>AN12/AN11</f>
        <v>0.59919028340080971</v>
      </c>
      <c r="AO13" s="154">
        <f>AO12/AO11</f>
        <v>0.5641025641025641</v>
      </c>
      <c r="AP13" s="154">
        <f>AP12/AP11</f>
        <v>0.58076923076923082</v>
      </c>
    </row>
    <row r="14" spans="1:46" ht="19" x14ac:dyDescent="0.3">
      <c r="A14" s="5">
        <v>9</v>
      </c>
      <c r="B14" s="11"/>
      <c r="C14" s="53"/>
      <c r="D14" s="162"/>
      <c r="E14" s="10" t="s">
        <v>9</v>
      </c>
      <c r="F14" s="13" t="s">
        <v>11</v>
      </c>
      <c r="G14" s="7" t="s">
        <v>12</v>
      </c>
      <c r="H14" s="13" t="s">
        <v>11</v>
      </c>
      <c r="I14" s="7" t="s">
        <v>12</v>
      </c>
      <c r="J14" s="7" t="s">
        <v>12</v>
      </c>
      <c r="K14" s="224"/>
      <c r="L14" s="7" t="s">
        <v>11</v>
      </c>
      <c r="M14" s="7" t="s">
        <v>12</v>
      </c>
      <c r="N14" s="13" t="s">
        <v>12</v>
      </c>
      <c r="O14" s="13" t="s">
        <v>11</v>
      </c>
      <c r="P14" s="7" t="s">
        <v>12</v>
      </c>
      <c r="Q14" s="7" t="s">
        <v>11</v>
      </c>
      <c r="R14" s="228"/>
      <c r="S14" s="228"/>
      <c r="T14" s="7" t="s">
        <v>12</v>
      </c>
      <c r="U14" s="9" t="s">
        <v>12</v>
      </c>
      <c r="V14" s="13" t="s">
        <v>12</v>
      </c>
      <c r="W14" s="7" t="s">
        <v>11</v>
      </c>
      <c r="X14" s="7" t="s">
        <v>11</v>
      </c>
      <c r="Y14" s="224"/>
      <c r="Z14" s="7" t="s">
        <v>12</v>
      </c>
      <c r="AA14" s="7" t="s">
        <v>12</v>
      </c>
      <c r="AB14" s="7" t="s">
        <v>11</v>
      </c>
      <c r="AC14" s="7" t="s">
        <v>12</v>
      </c>
      <c r="AD14" s="7" t="s">
        <v>11</v>
      </c>
      <c r="AE14" s="7" t="s">
        <v>12</v>
      </c>
      <c r="AF14" s="224"/>
      <c r="AG14" s="7" t="s">
        <v>12</v>
      </c>
      <c r="AH14" s="7" t="s">
        <v>12</v>
      </c>
      <c r="AI14" s="7" t="s">
        <v>11</v>
      </c>
      <c r="AJ14" s="7" t="s">
        <v>12</v>
      </c>
      <c r="AK14" s="10">
        <f t="shared" si="0"/>
        <v>16</v>
      </c>
      <c r="AL14" s="10">
        <f t="shared" si="1"/>
        <v>10</v>
      </c>
      <c r="AM14" s="64"/>
      <c r="AN14" s="165"/>
      <c r="AO14" s="165"/>
      <c r="AP14" s="165"/>
      <c r="AQ14" s="155"/>
      <c r="AR14" s="155"/>
    </row>
    <row r="15" spans="1:46" ht="19" x14ac:dyDescent="0.3">
      <c r="A15" s="10">
        <v>10</v>
      </c>
      <c r="B15" s="16"/>
      <c r="C15" s="53"/>
      <c r="D15" s="162"/>
      <c r="E15" s="10" t="s">
        <v>9</v>
      </c>
      <c r="F15" s="14" t="s">
        <v>11</v>
      </c>
      <c r="G15" s="7" t="s">
        <v>12</v>
      </c>
      <c r="H15" s="14" t="s">
        <v>11</v>
      </c>
      <c r="I15" s="7" t="s">
        <v>12</v>
      </c>
      <c r="J15" s="7" t="s">
        <v>11</v>
      </c>
      <c r="K15" s="224"/>
      <c r="L15" s="7" t="s">
        <v>12</v>
      </c>
      <c r="M15" s="7" t="s">
        <v>12</v>
      </c>
      <c r="N15" s="14" t="s">
        <v>11</v>
      </c>
      <c r="O15" s="14" t="s">
        <v>12</v>
      </c>
      <c r="P15" s="7" t="s">
        <v>11</v>
      </c>
      <c r="Q15" s="7" t="s">
        <v>12</v>
      </c>
      <c r="R15" s="228"/>
      <c r="S15" s="228"/>
      <c r="T15" s="7" t="s">
        <v>12</v>
      </c>
      <c r="U15" s="9" t="s">
        <v>12</v>
      </c>
      <c r="V15" s="14" t="s">
        <v>12</v>
      </c>
      <c r="W15" s="7" t="s">
        <v>11</v>
      </c>
      <c r="X15" s="7" t="s">
        <v>12</v>
      </c>
      <c r="Y15" s="224"/>
      <c r="Z15" s="7" t="s">
        <v>12</v>
      </c>
      <c r="AA15" s="7" t="s">
        <v>11</v>
      </c>
      <c r="AB15" s="7" t="s">
        <v>12</v>
      </c>
      <c r="AC15" s="7" t="s">
        <v>11</v>
      </c>
      <c r="AD15" s="7" t="s">
        <v>12</v>
      </c>
      <c r="AE15" s="7" t="s">
        <v>11</v>
      </c>
      <c r="AF15" s="224"/>
      <c r="AG15" s="7" t="s">
        <v>12</v>
      </c>
      <c r="AH15" s="7" t="s">
        <v>12</v>
      </c>
      <c r="AI15" s="7" t="s">
        <v>11</v>
      </c>
      <c r="AJ15" s="7" t="s">
        <v>12</v>
      </c>
      <c r="AK15" s="149">
        <f t="shared" si="0"/>
        <v>16</v>
      </c>
      <c r="AL15" s="10">
        <f t="shared" si="1"/>
        <v>10</v>
      </c>
      <c r="AM15" s="166"/>
      <c r="AN15" s="166"/>
      <c r="AO15" s="166"/>
      <c r="AP15" s="166"/>
    </row>
    <row r="16" spans="1:46" ht="19" x14ac:dyDescent="0.3">
      <c r="A16" s="5">
        <v>11</v>
      </c>
      <c r="B16" s="11"/>
      <c r="C16" s="53"/>
      <c r="D16" s="162"/>
      <c r="E16" s="10" t="s">
        <v>9</v>
      </c>
      <c r="F16" s="13" t="s">
        <v>11</v>
      </c>
      <c r="G16" s="7" t="s">
        <v>12</v>
      </c>
      <c r="H16" s="13" t="s">
        <v>12</v>
      </c>
      <c r="I16" s="7" t="s">
        <v>11</v>
      </c>
      <c r="J16" s="7" t="s">
        <v>12</v>
      </c>
      <c r="K16" s="224"/>
      <c r="L16" s="7" t="s">
        <v>12</v>
      </c>
      <c r="M16" s="7" t="s">
        <v>12</v>
      </c>
      <c r="N16" s="13" t="s">
        <v>12</v>
      </c>
      <c r="O16" s="13" t="s">
        <v>12</v>
      </c>
      <c r="P16" s="7" t="s">
        <v>12</v>
      </c>
      <c r="Q16" s="7" t="s">
        <v>12</v>
      </c>
      <c r="R16" s="228"/>
      <c r="S16" s="228"/>
      <c r="T16" s="7" t="s">
        <v>12</v>
      </c>
      <c r="U16" s="9" t="s">
        <v>12</v>
      </c>
      <c r="V16" s="13" t="s">
        <v>11</v>
      </c>
      <c r="W16" s="7" t="s">
        <v>12</v>
      </c>
      <c r="X16" s="7" t="s">
        <v>11</v>
      </c>
      <c r="Y16" s="224"/>
      <c r="Z16" s="7" t="s">
        <v>12</v>
      </c>
      <c r="AA16" s="7" t="s">
        <v>12</v>
      </c>
      <c r="AB16" s="7" t="s">
        <v>12</v>
      </c>
      <c r="AC16" s="7" t="s">
        <v>11</v>
      </c>
      <c r="AD16" s="7" t="s">
        <v>12</v>
      </c>
      <c r="AE16" s="7" t="s">
        <v>12</v>
      </c>
      <c r="AF16" s="224"/>
      <c r="AG16" s="7" t="s">
        <v>11</v>
      </c>
      <c r="AH16" s="7" t="s">
        <v>11</v>
      </c>
      <c r="AI16" s="7" t="s">
        <v>12</v>
      </c>
      <c r="AJ16" s="7" t="s">
        <v>12</v>
      </c>
      <c r="AK16" s="10">
        <f t="shared" si="0"/>
        <v>19</v>
      </c>
      <c r="AL16" s="10">
        <f t="shared" si="1"/>
        <v>7</v>
      </c>
      <c r="AM16" s="64"/>
      <c r="AN16" s="64"/>
      <c r="AO16" s="64"/>
      <c r="AP16" s="64"/>
    </row>
    <row r="17" spans="1:42" ht="19" x14ac:dyDescent="0.3">
      <c r="A17" s="10">
        <v>12</v>
      </c>
      <c r="B17" s="11"/>
      <c r="C17" s="53"/>
      <c r="D17" s="162"/>
      <c r="E17" s="10" t="s">
        <v>9</v>
      </c>
      <c r="F17" s="13" t="s">
        <v>11</v>
      </c>
      <c r="G17" s="7" t="s">
        <v>12</v>
      </c>
      <c r="H17" s="13" t="s">
        <v>11</v>
      </c>
      <c r="I17" s="7" t="s">
        <v>12</v>
      </c>
      <c r="J17" s="7" t="s">
        <v>12</v>
      </c>
      <c r="K17" s="224"/>
      <c r="L17" s="7" t="s">
        <v>12</v>
      </c>
      <c r="M17" s="7" t="s">
        <v>12</v>
      </c>
      <c r="N17" s="13" t="s">
        <v>11</v>
      </c>
      <c r="O17" s="13" t="s">
        <v>12</v>
      </c>
      <c r="P17" s="7" t="s">
        <v>12</v>
      </c>
      <c r="Q17" s="7" t="s">
        <v>11</v>
      </c>
      <c r="R17" s="228"/>
      <c r="S17" s="228"/>
      <c r="T17" s="7" t="s">
        <v>12</v>
      </c>
      <c r="U17" s="9" t="s">
        <v>11</v>
      </c>
      <c r="V17" s="13" t="s">
        <v>11</v>
      </c>
      <c r="W17" s="7" t="s">
        <v>12</v>
      </c>
      <c r="X17" s="7" t="s">
        <v>11</v>
      </c>
      <c r="Y17" s="224"/>
      <c r="Z17" s="7" t="s">
        <v>12</v>
      </c>
      <c r="AA17" s="7" t="s">
        <v>12</v>
      </c>
      <c r="AB17" s="7" t="s">
        <v>11</v>
      </c>
      <c r="AC17" s="7" t="s">
        <v>12</v>
      </c>
      <c r="AD17" s="7" t="s">
        <v>12</v>
      </c>
      <c r="AE17" s="7" t="s">
        <v>11</v>
      </c>
      <c r="AF17" s="224"/>
      <c r="AG17" s="7" t="s">
        <v>12</v>
      </c>
      <c r="AH17" s="7" t="s">
        <v>11</v>
      </c>
      <c r="AI17" s="7" t="s">
        <v>12</v>
      </c>
      <c r="AJ17" s="7" t="s">
        <v>11</v>
      </c>
      <c r="AK17" s="149">
        <f t="shared" si="0"/>
        <v>15</v>
      </c>
      <c r="AL17" s="10">
        <f t="shared" si="1"/>
        <v>11</v>
      </c>
      <c r="AM17" s="163" t="s">
        <v>7</v>
      </c>
      <c r="AN17" s="163"/>
      <c r="AO17" s="163"/>
      <c r="AP17" s="163"/>
    </row>
    <row r="18" spans="1:42" ht="19" x14ac:dyDescent="0.3">
      <c r="A18" s="5">
        <v>13</v>
      </c>
      <c r="B18" s="11"/>
      <c r="C18" s="53"/>
      <c r="D18" s="162"/>
      <c r="E18" s="10" t="s">
        <v>9</v>
      </c>
      <c r="F18" s="13" t="s">
        <v>11</v>
      </c>
      <c r="G18" s="7" t="s">
        <v>11</v>
      </c>
      <c r="H18" s="13" t="s">
        <v>12</v>
      </c>
      <c r="I18" s="7" t="s">
        <v>11</v>
      </c>
      <c r="J18" s="7" t="s">
        <v>12</v>
      </c>
      <c r="K18" s="224"/>
      <c r="L18" s="7" t="s">
        <v>12</v>
      </c>
      <c r="M18" s="7" t="s">
        <v>12</v>
      </c>
      <c r="N18" s="13" t="s">
        <v>11</v>
      </c>
      <c r="O18" s="13" t="s">
        <v>11</v>
      </c>
      <c r="P18" s="7" t="s">
        <v>12</v>
      </c>
      <c r="Q18" s="7" t="s">
        <v>12</v>
      </c>
      <c r="R18" s="228"/>
      <c r="S18" s="228"/>
      <c r="T18" s="7" t="s">
        <v>12</v>
      </c>
      <c r="U18" s="9" t="s">
        <v>11</v>
      </c>
      <c r="V18" s="13" t="s">
        <v>12</v>
      </c>
      <c r="W18" s="7" t="s">
        <v>11</v>
      </c>
      <c r="X18" s="7" t="s">
        <v>12</v>
      </c>
      <c r="Y18" s="224"/>
      <c r="Z18" s="7" t="s">
        <v>12</v>
      </c>
      <c r="AA18" s="7" t="s">
        <v>11</v>
      </c>
      <c r="AB18" s="7" t="s">
        <v>11</v>
      </c>
      <c r="AC18" s="7" t="s">
        <v>12</v>
      </c>
      <c r="AD18" s="7" t="s">
        <v>11</v>
      </c>
      <c r="AE18" s="7" t="s">
        <v>11</v>
      </c>
      <c r="AF18" s="224"/>
      <c r="AG18" s="7" t="s">
        <v>12</v>
      </c>
      <c r="AH18" s="7" t="s">
        <v>11</v>
      </c>
      <c r="AI18" s="7" t="s">
        <v>12</v>
      </c>
      <c r="AJ18" s="7" t="s">
        <v>12</v>
      </c>
      <c r="AK18" s="149">
        <f t="shared" si="0"/>
        <v>14</v>
      </c>
      <c r="AL18" s="10">
        <f t="shared" si="1"/>
        <v>12</v>
      </c>
      <c r="AM18" s="150" t="s">
        <v>16</v>
      </c>
      <c r="AN18" s="150" t="s">
        <v>18</v>
      </c>
      <c r="AO18" s="150" t="s">
        <v>17</v>
      </c>
      <c r="AP18" s="150" t="s">
        <v>19</v>
      </c>
    </row>
    <row r="19" spans="1:42" ht="19" x14ac:dyDescent="0.3">
      <c r="A19" s="10">
        <v>14</v>
      </c>
      <c r="B19" s="11"/>
      <c r="C19" s="53"/>
      <c r="D19" s="162"/>
      <c r="E19" s="10" t="s">
        <v>9</v>
      </c>
      <c r="F19" s="13" t="s">
        <v>11</v>
      </c>
      <c r="G19" s="7" t="s">
        <v>11</v>
      </c>
      <c r="H19" s="13" t="s">
        <v>12</v>
      </c>
      <c r="I19" s="7" t="s">
        <v>12</v>
      </c>
      <c r="J19" s="7" t="s">
        <v>11</v>
      </c>
      <c r="K19" s="224"/>
      <c r="L19" s="7" t="s">
        <v>12</v>
      </c>
      <c r="M19" s="7" t="s">
        <v>12</v>
      </c>
      <c r="N19" s="13" t="s">
        <v>12</v>
      </c>
      <c r="O19" s="13" t="s">
        <v>11</v>
      </c>
      <c r="P19" s="7" t="s">
        <v>11</v>
      </c>
      <c r="Q19" s="7" t="s">
        <v>12</v>
      </c>
      <c r="R19" s="228"/>
      <c r="S19" s="228"/>
      <c r="T19" s="7" t="s">
        <v>11</v>
      </c>
      <c r="U19" s="9" t="s">
        <v>12</v>
      </c>
      <c r="V19" s="13" t="s">
        <v>11</v>
      </c>
      <c r="W19" s="7" t="s">
        <v>11</v>
      </c>
      <c r="X19" s="7" t="s">
        <v>12</v>
      </c>
      <c r="Y19" s="224"/>
      <c r="Z19" s="7" t="s">
        <v>12</v>
      </c>
      <c r="AA19" s="7" t="s">
        <v>11</v>
      </c>
      <c r="AB19" s="7" t="s">
        <v>12</v>
      </c>
      <c r="AC19" s="7" t="s">
        <v>11</v>
      </c>
      <c r="AD19" s="7" t="s">
        <v>12</v>
      </c>
      <c r="AE19" s="7" t="s">
        <v>12</v>
      </c>
      <c r="AF19" s="224"/>
      <c r="AG19" s="7" t="s">
        <v>12</v>
      </c>
      <c r="AH19" s="7" t="s">
        <v>12</v>
      </c>
      <c r="AI19" s="7" t="s">
        <v>11</v>
      </c>
      <c r="AJ19" s="7" t="s">
        <v>12</v>
      </c>
      <c r="AK19" s="149">
        <f t="shared" si="0"/>
        <v>15</v>
      </c>
      <c r="AL19" s="10">
        <f t="shared" si="1"/>
        <v>11</v>
      </c>
      <c r="AM19" s="150" t="s">
        <v>20</v>
      </c>
      <c r="AN19" s="150">
        <f>19*26</f>
        <v>494</v>
      </c>
      <c r="AO19" s="150">
        <f>21*26</f>
        <v>546</v>
      </c>
      <c r="AP19" s="150">
        <f>AN19+AO19</f>
        <v>1040</v>
      </c>
    </row>
    <row r="20" spans="1:42" ht="19" x14ac:dyDescent="0.3">
      <c r="A20" s="5">
        <v>15</v>
      </c>
      <c r="B20" s="11"/>
      <c r="C20" s="53"/>
      <c r="D20" s="162"/>
      <c r="E20" s="10" t="s">
        <v>9</v>
      </c>
      <c r="F20" s="13" t="s">
        <v>11</v>
      </c>
      <c r="G20" s="7" t="s">
        <v>11</v>
      </c>
      <c r="H20" s="13" t="s">
        <v>11</v>
      </c>
      <c r="I20" s="7" t="s">
        <v>11</v>
      </c>
      <c r="J20" s="7" t="s">
        <v>12</v>
      </c>
      <c r="K20" s="224"/>
      <c r="L20" s="7" t="s">
        <v>12</v>
      </c>
      <c r="M20" s="7" t="s">
        <v>12</v>
      </c>
      <c r="N20" s="13" t="s">
        <v>11</v>
      </c>
      <c r="O20" s="13" t="s">
        <v>11</v>
      </c>
      <c r="P20" s="7" t="s">
        <v>12</v>
      </c>
      <c r="Q20" s="7" t="s">
        <v>11</v>
      </c>
      <c r="R20" s="228"/>
      <c r="S20" s="228"/>
      <c r="T20" s="7" t="s">
        <v>11</v>
      </c>
      <c r="U20" s="9" t="s">
        <v>12</v>
      </c>
      <c r="V20" s="13" t="s">
        <v>11</v>
      </c>
      <c r="W20" s="7" t="s">
        <v>12</v>
      </c>
      <c r="X20" s="7" t="s">
        <v>11</v>
      </c>
      <c r="Y20" s="224"/>
      <c r="Z20" s="7" t="s">
        <v>12</v>
      </c>
      <c r="AA20" s="7" t="s">
        <v>11</v>
      </c>
      <c r="AB20" s="7" t="s">
        <v>12</v>
      </c>
      <c r="AC20" s="7" t="s">
        <v>12</v>
      </c>
      <c r="AD20" s="7" t="s">
        <v>11</v>
      </c>
      <c r="AE20" s="7" t="s">
        <v>12</v>
      </c>
      <c r="AF20" s="224"/>
      <c r="AG20" s="7" t="s">
        <v>12</v>
      </c>
      <c r="AH20" s="7" t="s">
        <v>12</v>
      </c>
      <c r="AI20" s="7" t="s">
        <v>11</v>
      </c>
      <c r="AJ20" s="7" t="s">
        <v>12</v>
      </c>
      <c r="AK20" s="10">
        <f t="shared" si="0"/>
        <v>13</v>
      </c>
      <c r="AL20" s="10">
        <f t="shared" si="1"/>
        <v>13</v>
      </c>
      <c r="AM20" s="150" t="s">
        <v>24</v>
      </c>
      <c r="AN20" s="150">
        <f>AN19-AN12</f>
        <v>198</v>
      </c>
      <c r="AO20" s="150">
        <f>AO19-AO12</f>
        <v>238</v>
      </c>
      <c r="AP20" s="150">
        <f>AN20+AO20</f>
        <v>436</v>
      </c>
    </row>
    <row r="21" spans="1:42" ht="19" x14ac:dyDescent="0.3">
      <c r="A21" s="10">
        <v>16</v>
      </c>
      <c r="B21" s="11"/>
      <c r="C21" s="53"/>
      <c r="D21" s="162"/>
      <c r="E21" s="10" t="s">
        <v>9</v>
      </c>
      <c r="F21" s="13" t="s">
        <v>11</v>
      </c>
      <c r="G21" s="7" t="s">
        <v>12</v>
      </c>
      <c r="H21" s="13" t="s">
        <v>11</v>
      </c>
      <c r="I21" s="7" t="s">
        <v>12</v>
      </c>
      <c r="J21" s="7" t="s">
        <v>12</v>
      </c>
      <c r="K21" s="224"/>
      <c r="L21" s="7" t="s">
        <v>12</v>
      </c>
      <c r="M21" s="7" t="s">
        <v>12</v>
      </c>
      <c r="N21" s="13" t="s">
        <v>11</v>
      </c>
      <c r="O21" s="13" t="s">
        <v>11</v>
      </c>
      <c r="P21" s="7" t="s">
        <v>12</v>
      </c>
      <c r="Q21" s="7" t="s">
        <v>12</v>
      </c>
      <c r="R21" s="228"/>
      <c r="S21" s="228"/>
      <c r="T21" s="7" t="s">
        <v>11</v>
      </c>
      <c r="U21" s="9" t="s">
        <v>12</v>
      </c>
      <c r="V21" s="13" t="s">
        <v>11</v>
      </c>
      <c r="W21" s="7" t="s">
        <v>12</v>
      </c>
      <c r="X21" s="7" t="s">
        <v>11</v>
      </c>
      <c r="Y21" s="224"/>
      <c r="Z21" s="7" t="s">
        <v>11</v>
      </c>
      <c r="AA21" s="7" t="s">
        <v>12</v>
      </c>
      <c r="AB21" s="7" t="s">
        <v>11</v>
      </c>
      <c r="AC21" s="7" t="s">
        <v>12</v>
      </c>
      <c r="AD21" s="7" t="s">
        <v>11</v>
      </c>
      <c r="AE21" s="7" t="s">
        <v>12</v>
      </c>
      <c r="AF21" s="224"/>
      <c r="AG21" s="7" t="s">
        <v>12</v>
      </c>
      <c r="AH21" s="7" t="s">
        <v>12</v>
      </c>
      <c r="AI21" s="7" t="s">
        <v>12</v>
      </c>
      <c r="AJ21" s="7" t="s">
        <v>12</v>
      </c>
      <c r="AK21" s="10">
        <f t="shared" si="0"/>
        <v>16</v>
      </c>
      <c r="AL21" s="10">
        <f t="shared" si="1"/>
        <v>10</v>
      </c>
      <c r="AM21" s="10" t="s">
        <v>19</v>
      </c>
      <c r="AN21" s="156">
        <f>AN20/AN19</f>
        <v>0.40080971659919029</v>
      </c>
      <c r="AO21" s="156">
        <f>AO20/AO19</f>
        <v>0.4358974358974359</v>
      </c>
      <c r="AP21" s="156">
        <f>AP20/AP19</f>
        <v>0.41923076923076924</v>
      </c>
    </row>
    <row r="22" spans="1:42" ht="19" x14ac:dyDescent="0.3">
      <c r="A22" s="5">
        <v>17</v>
      </c>
      <c r="B22" s="11"/>
      <c r="C22" s="53"/>
      <c r="D22" s="162"/>
      <c r="E22" s="10" t="s">
        <v>9</v>
      </c>
      <c r="F22" s="13" t="s">
        <v>11</v>
      </c>
      <c r="G22" s="7" t="s">
        <v>12</v>
      </c>
      <c r="H22" s="13" t="s">
        <v>12</v>
      </c>
      <c r="I22" s="7" t="s">
        <v>11</v>
      </c>
      <c r="J22" s="7" t="s">
        <v>12</v>
      </c>
      <c r="K22" s="224"/>
      <c r="L22" s="7" t="s">
        <v>12</v>
      </c>
      <c r="M22" s="7" t="s">
        <v>12</v>
      </c>
      <c r="N22" s="13" t="s">
        <v>11</v>
      </c>
      <c r="O22" s="13" t="s">
        <v>12</v>
      </c>
      <c r="P22" s="7" t="s">
        <v>12</v>
      </c>
      <c r="Q22" s="7" t="s">
        <v>12</v>
      </c>
      <c r="R22" s="228"/>
      <c r="S22" s="228"/>
      <c r="T22" s="7" t="s">
        <v>12</v>
      </c>
      <c r="U22" s="9" t="s">
        <v>11</v>
      </c>
      <c r="V22" s="13" t="s">
        <v>12</v>
      </c>
      <c r="W22" s="7" t="s">
        <v>12</v>
      </c>
      <c r="X22" s="7" t="s">
        <v>12</v>
      </c>
      <c r="Y22" s="224"/>
      <c r="Z22" s="7" t="s">
        <v>12</v>
      </c>
      <c r="AA22" s="7" t="s">
        <v>11</v>
      </c>
      <c r="AB22" s="7" t="s">
        <v>12</v>
      </c>
      <c r="AC22" s="7" t="s">
        <v>12</v>
      </c>
      <c r="AD22" s="7" t="s">
        <v>11</v>
      </c>
      <c r="AE22" s="7" t="s">
        <v>11</v>
      </c>
      <c r="AF22" s="224"/>
      <c r="AG22" s="7" t="s">
        <v>12</v>
      </c>
      <c r="AH22" s="7" t="s">
        <v>11</v>
      </c>
      <c r="AI22" s="7" t="s">
        <v>12</v>
      </c>
      <c r="AJ22" s="7" t="s">
        <v>12</v>
      </c>
      <c r="AK22" s="10">
        <f t="shared" si="0"/>
        <v>18</v>
      </c>
      <c r="AL22" s="10">
        <f t="shared" si="1"/>
        <v>8</v>
      </c>
    </row>
    <row r="23" spans="1:42" ht="19" x14ac:dyDescent="0.3">
      <c r="A23" s="10">
        <v>18</v>
      </c>
      <c r="B23" s="11"/>
      <c r="C23" s="53"/>
      <c r="D23" s="162"/>
      <c r="E23" s="10" t="s">
        <v>9</v>
      </c>
      <c r="F23" s="13" t="s">
        <v>12</v>
      </c>
      <c r="G23" s="7" t="s">
        <v>11</v>
      </c>
      <c r="H23" s="13" t="s">
        <v>12</v>
      </c>
      <c r="I23" s="7" t="s">
        <v>11</v>
      </c>
      <c r="J23" s="7" t="s">
        <v>12</v>
      </c>
      <c r="K23" s="224"/>
      <c r="L23" s="7" t="s">
        <v>11</v>
      </c>
      <c r="M23" s="7" t="s">
        <v>11</v>
      </c>
      <c r="N23" s="13" t="s">
        <v>11</v>
      </c>
      <c r="O23" s="13" t="s">
        <v>12</v>
      </c>
      <c r="P23" s="7" t="s">
        <v>11</v>
      </c>
      <c r="Q23" s="7" t="s">
        <v>12</v>
      </c>
      <c r="R23" s="228"/>
      <c r="S23" s="228"/>
      <c r="T23" s="7" t="s">
        <v>11</v>
      </c>
      <c r="U23" s="9" t="s">
        <v>11</v>
      </c>
      <c r="V23" s="13" t="s">
        <v>11</v>
      </c>
      <c r="W23" s="7" t="s">
        <v>12</v>
      </c>
      <c r="X23" s="7" t="s">
        <v>12</v>
      </c>
      <c r="Y23" s="224"/>
      <c r="Z23" s="7" t="s">
        <v>12</v>
      </c>
      <c r="AA23" s="7" t="s">
        <v>12</v>
      </c>
      <c r="AB23" s="7" t="s">
        <v>12</v>
      </c>
      <c r="AC23" s="7" t="s">
        <v>11</v>
      </c>
      <c r="AD23" s="7" t="s">
        <v>11</v>
      </c>
      <c r="AE23" s="7" t="s">
        <v>12</v>
      </c>
      <c r="AF23" s="224"/>
      <c r="AG23" s="7" t="s">
        <v>12</v>
      </c>
      <c r="AH23" s="7" t="s">
        <v>11</v>
      </c>
      <c r="AI23" s="7" t="s">
        <v>11</v>
      </c>
      <c r="AJ23" s="7" t="s">
        <v>11</v>
      </c>
      <c r="AK23" s="10">
        <f t="shared" si="0"/>
        <v>12</v>
      </c>
      <c r="AL23" s="10">
        <f t="shared" si="1"/>
        <v>14</v>
      </c>
    </row>
    <row r="24" spans="1:42" ht="19" x14ac:dyDescent="0.3">
      <c r="A24" s="5">
        <v>19</v>
      </c>
      <c r="B24" s="11"/>
      <c r="C24" s="53"/>
      <c r="D24" s="162"/>
      <c r="E24" s="10" t="s">
        <v>9</v>
      </c>
      <c r="F24" s="13" t="s">
        <v>12</v>
      </c>
      <c r="G24" s="7" t="s">
        <v>12</v>
      </c>
      <c r="H24" s="13" t="s">
        <v>11</v>
      </c>
      <c r="I24" s="7" t="s">
        <v>11</v>
      </c>
      <c r="J24" s="7" t="s">
        <v>11</v>
      </c>
      <c r="K24" s="224"/>
      <c r="L24" s="7" t="s">
        <v>11</v>
      </c>
      <c r="M24" s="7" t="s">
        <v>11</v>
      </c>
      <c r="N24" s="13" t="s">
        <v>12</v>
      </c>
      <c r="O24" s="13" t="s">
        <v>11</v>
      </c>
      <c r="P24" s="7" t="s">
        <v>11</v>
      </c>
      <c r="Q24" s="7" t="s">
        <v>11</v>
      </c>
      <c r="R24" s="228"/>
      <c r="S24" s="228"/>
      <c r="T24" s="7" t="s">
        <v>12</v>
      </c>
      <c r="U24" s="9" t="s">
        <v>12</v>
      </c>
      <c r="V24" s="13" t="s">
        <v>12</v>
      </c>
      <c r="W24" s="7" t="s">
        <v>11</v>
      </c>
      <c r="X24" s="7" t="s">
        <v>12</v>
      </c>
      <c r="Y24" s="224"/>
      <c r="Z24" s="7" t="s">
        <v>12</v>
      </c>
      <c r="AA24" s="7" t="s">
        <v>11</v>
      </c>
      <c r="AB24" s="7" t="s">
        <v>12</v>
      </c>
      <c r="AC24" s="7" t="s">
        <v>11</v>
      </c>
      <c r="AD24" s="7" t="s">
        <v>12</v>
      </c>
      <c r="AE24" s="7" t="s">
        <v>11</v>
      </c>
      <c r="AF24" s="224"/>
      <c r="AG24" s="7" t="s">
        <v>12</v>
      </c>
      <c r="AH24" s="7" t="s">
        <v>11</v>
      </c>
      <c r="AI24" s="7" t="s">
        <v>12</v>
      </c>
      <c r="AJ24" s="7" t="s">
        <v>12</v>
      </c>
      <c r="AK24" s="10">
        <f t="shared" si="0"/>
        <v>13</v>
      </c>
      <c r="AL24" s="10">
        <f t="shared" si="1"/>
        <v>13</v>
      </c>
    </row>
    <row r="25" spans="1:42" ht="19" x14ac:dyDescent="0.3">
      <c r="A25" s="10">
        <v>20</v>
      </c>
      <c r="B25" s="11"/>
      <c r="C25" s="53"/>
      <c r="D25" s="162"/>
      <c r="E25" s="10" t="s">
        <v>9</v>
      </c>
      <c r="F25" s="13" t="s">
        <v>12</v>
      </c>
      <c r="G25" s="7" t="s">
        <v>11</v>
      </c>
      <c r="H25" s="13" t="s">
        <v>12</v>
      </c>
      <c r="I25" s="7" t="s">
        <v>12</v>
      </c>
      <c r="J25" s="7" t="s">
        <v>12</v>
      </c>
      <c r="K25" s="224"/>
      <c r="L25" s="7" t="s">
        <v>12</v>
      </c>
      <c r="M25" s="7" t="s">
        <v>12</v>
      </c>
      <c r="N25" s="13" t="s">
        <v>12</v>
      </c>
      <c r="O25" s="13" t="s">
        <v>12</v>
      </c>
      <c r="P25" s="7" t="s">
        <v>12</v>
      </c>
      <c r="Q25" s="7" t="s">
        <v>12</v>
      </c>
      <c r="R25" s="228"/>
      <c r="S25" s="228"/>
      <c r="T25" s="7" t="s">
        <v>12</v>
      </c>
      <c r="U25" s="9" t="s">
        <v>12</v>
      </c>
      <c r="V25" s="13" t="s">
        <v>11</v>
      </c>
      <c r="W25" s="7" t="s">
        <v>11</v>
      </c>
      <c r="X25" s="7" t="s">
        <v>12</v>
      </c>
      <c r="Y25" s="224"/>
      <c r="Z25" s="7" t="s">
        <v>12</v>
      </c>
      <c r="AA25" s="7" t="s">
        <v>11</v>
      </c>
      <c r="AB25" s="7" t="s">
        <v>12</v>
      </c>
      <c r="AC25" s="7" t="s">
        <v>12</v>
      </c>
      <c r="AD25" s="7" t="s">
        <v>11</v>
      </c>
      <c r="AE25" s="7" t="s">
        <v>12</v>
      </c>
      <c r="AF25" s="224"/>
      <c r="AG25" s="7" t="s">
        <v>12</v>
      </c>
      <c r="AH25" s="7" t="s">
        <v>11</v>
      </c>
      <c r="AI25" s="7" t="s">
        <v>12</v>
      </c>
      <c r="AJ25" s="7" t="s">
        <v>12</v>
      </c>
      <c r="AK25" s="10">
        <f t="shared" si="0"/>
        <v>20</v>
      </c>
      <c r="AL25" s="10">
        <f t="shared" si="1"/>
        <v>6</v>
      </c>
    </row>
    <row r="26" spans="1:42" ht="19" x14ac:dyDescent="0.3">
      <c r="A26" s="5">
        <v>21</v>
      </c>
      <c r="B26" s="11"/>
      <c r="C26" s="53"/>
      <c r="D26" s="162"/>
      <c r="E26" s="10" t="s">
        <v>9</v>
      </c>
      <c r="F26" s="13" t="s">
        <v>11</v>
      </c>
      <c r="G26" s="7" t="s">
        <v>11</v>
      </c>
      <c r="H26" s="13" t="s">
        <v>11</v>
      </c>
      <c r="I26" s="7" t="s">
        <v>11</v>
      </c>
      <c r="J26" s="7" t="s">
        <v>12</v>
      </c>
      <c r="K26" s="224"/>
      <c r="L26" s="7" t="s">
        <v>11</v>
      </c>
      <c r="M26" s="7" t="s">
        <v>12</v>
      </c>
      <c r="N26" s="13" t="s">
        <v>11</v>
      </c>
      <c r="O26" s="13" t="s">
        <v>12</v>
      </c>
      <c r="P26" s="7" t="s">
        <v>12</v>
      </c>
      <c r="Q26" s="7" t="s">
        <v>11</v>
      </c>
      <c r="R26" s="228"/>
      <c r="S26" s="228"/>
      <c r="T26" s="7" t="s">
        <v>12</v>
      </c>
      <c r="U26" s="9" t="s">
        <v>12</v>
      </c>
      <c r="V26" s="13" t="s">
        <v>11</v>
      </c>
      <c r="W26" s="7" t="s">
        <v>11</v>
      </c>
      <c r="X26" s="7" t="s">
        <v>12</v>
      </c>
      <c r="Y26" s="224"/>
      <c r="Z26" s="7" t="s">
        <v>12</v>
      </c>
      <c r="AA26" s="7" t="s">
        <v>11</v>
      </c>
      <c r="AB26" s="7" t="s">
        <v>12</v>
      </c>
      <c r="AC26" s="7" t="s">
        <v>11</v>
      </c>
      <c r="AD26" s="7" t="s">
        <v>12</v>
      </c>
      <c r="AE26" s="7" t="s">
        <v>11</v>
      </c>
      <c r="AF26" s="224"/>
      <c r="AG26" s="7" t="s">
        <v>12</v>
      </c>
      <c r="AH26" s="7" t="s">
        <v>11</v>
      </c>
      <c r="AI26" s="7" t="s">
        <v>12</v>
      </c>
      <c r="AJ26" s="7" t="s">
        <v>12</v>
      </c>
      <c r="AK26" s="10">
        <f t="shared" si="0"/>
        <v>13</v>
      </c>
      <c r="AL26" s="10">
        <f t="shared" si="1"/>
        <v>13</v>
      </c>
    </row>
    <row r="27" spans="1:42" ht="19" x14ac:dyDescent="0.3">
      <c r="A27" s="10">
        <v>22</v>
      </c>
      <c r="B27" s="11"/>
      <c r="C27" s="53"/>
      <c r="D27" s="162"/>
      <c r="E27" s="10" t="s">
        <v>9</v>
      </c>
      <c r="F27" s="13" t="s">
        <v>11</v>
      </c>
      <c r="G27" s="7" t="s">
        <v>11</v>
      </c>
      <c r="H27" s="13" t="s">
        <v>12</v>
      </c>
      <c r="I27" s="7" t="s">
        <v>11</v>
      </c>
      <c r="J27" s="7" t="s">
        <v>12</v>
      </c>
      <c r="K27" s="224"/>
      <c r="L27" s="7" t="s">
        <v>12</v>
      </c>
      <c r="M27" s="7" t="s">
        <v>12</v>
      </c>
      <c r="N27" s="13" t="s">
        <v>12</v>
      </c>
      <c r="O27" s="13" t="s">
        <v>11</v>
      </c>
      <c r="P27" s="7" t="s">
        <v>12</v>
      </c>
      <c r="Q27" s="7" t="s">
        <v>12</v>
      </c>
      <c r="R27" s="228"/>
      <c r="S27" s="228"/>
      <c r="T27" s="7" t="s">
        <v>11</v>
      </c>
      <c r="U27" s="9" t="s">
        <v>11</v>
      </c>
      <c r="V27" s="13" t="s">
        <v>12</v>
      </c>
      <c r="W27" s="7" t="s">
        <v>11</v>
      </c>
      <c r="X27" s="7" t="s">
        <v>12</v>
      </c>
      <c r="Y27" s="224"/>
      <c r="Z27" s="7" t="s">
        <v>12</v>
      </c>
      <c r="AA27" s="7" t="s">
        <v>11</v>
      </c>
      <c r="AB27" s="7" t="s">
        <v>12</v>
      </c>
      <c r="AC27" s="7" t="s">
        <v>11</v>
      </c>
      <c r="AD27" s="7" t="s">
        <v>12</v>
      </c>
      <c r="AE27" s="7" t="s">
        <v>11</v>
      </c>
      <c r="AF27" s="224"/>
      <c r="AG27" s="7" t="s">
        <v>12</v>
      </c>
      <c r="AH27" s="7" t="s">
        <v>11</v>
      </c>
      <c r="AI27" s="7" t="s">
        <v>12</v>
      </c>
      <c r="AJ27" s="7" t="s">
        <v>11</v>
      </c>
      <c r="AK27" s="10">
        <f t="shared" si="0"/>
        <v>14</v>
      </c>
      <c r="AL27" s="10">
        <f t="shared" si="1"/>
        <v>12</v>
      </c>
    </row>
    <row r="28" spans="1:42" ht="19" x14ac:dyDescent="0.3">
      <c r="A28" s="5">
        <v>23</v>
      </c>
      <c r="B28" s="11"/>
      <c r="C28" s="53"/>
      <c r="D28" s="162"/>
      <c r="E28" s="10" t="s">
        <v>9</v>
      </c>
      <c r="F28" s="13" t="s">
        <v>11</v>
      </c>
      <c r="G28" s="7" t="s">
        <v>11</v>
      </c>
      <c r="H28" s="13" t="s">
        <v>12</v>
      </c>
      <c r="I28" s="7" t="s">
        <v>12</v>
      </c>
      <c r="J28" s="7" t="s">
        <v>12</v>
      </c>
      <c r="K28" s="224"/>
      <c r="L28" s="7" t="s">
        <v>12</v>
      </c>
      <c r="M28" s="7" t="s">
        <v>12</v>
      </c>
      <c r="N28" s="13" t="s">
        <v>11</v>
      </c>
      <c r="O28" s="13" t="s">
        <v>12</v>
      </c>
      <c r="P28" s="7" t="s">
        <v>12</v>
      </c>
      <c r="Q28" s="7" t="s">
        <v>12</v>
      </c>
      <c r="R28" s="228"/>
      <c r="S28" s="228"/>
      <c r="T28" s="7" t="s">
        <v>11</v>
      </c>
      <c r="U28" s="9" t="s">
        <v>11</v>
      </c>
      <c r="V28" s="13" t="s">
        <v>12</v>
      </c>
      <c r="W28" s="7" t="s">
        <v>12</v>
      </c>
      <c r="X28" s="7" t="s">
        <v>12</v>
      </c>
      <c r="Y28" s="224"/>
      <c r="Z28" s="7" t="s">
        <v>12</v>
      </c>
      <c r="AA28" s="7" t="s">
        <v>12</v>
      </c>
      <c r="AB28" s="7" t="s">
        <v>11</v>
      </c>
      <c r="AC28" s="7" t="s">
        <v>12</v>
      </c>
      <c r="AD28" s="7" t="s">
        <v>12</v>
      </c>
      <c r="AE28" s="7" t="s">
        <v>11</v>
      </c>
      <c r="AF28" s="224"/>
      <c r="AG28" s="7" t="s">
        <v>12</v>
      </c>
      <c r="AH28" s="7" t="s">
        <v>12</v>
      </c>
      <c r="AI28" s="7" t="s">
        <v>11</v>
      </c>
      <c r="AJ28" s="7" t="s">
        <v>12</v>
      </c>
      <c r="AK28" s="149">
        <f t="shared" si="0"/>
        <v>18</v>
      </c>
      <c r="AL28" s="10">
        <f t="shared" si="1"/>
        <v>8</v>
      </c>
    </row>
    <row r="29" spans="1:42" ht="19" x14ac:dyDescent="0.3">
      <c r="A29" s="10">
        <v>24</v>
      </c>
      <c r="B29" s="11"/>
      <c r="C29" s="53"/>
      <c r="D29" s="162"/>
      <c r="E29" s="10" t="s">
        <v>9</v>
      </c>
      <c r="F29" s="13" t="s">
        <v>11</v>
      </c>
      <c r="G29" s="7" t="s">
        <v>11</v>
      </c>
      <c r="H29" s="13" t="s">
        <v>11</v>
      </c>
      <c r="I29" s="7" t="s">
        <v>12</v>
      </c>
      <c r="J29" s="7" t="s">
        <v>11</v>
      </c>
      <c r="K29" s="224"/>
      <c r="L29" s="7" t="s">
        <v>12</v>
      </c>
      <c r="M29" s="7" t="s">
        <v>11</v>
      </c>
      <c r="N29" s="13" t="s">
        <v>12</v>
      </c>
      <c r="O29" s="13" t="s">
        <v>12</v>
      </c>
      <c r="P29" s="7" t="s">
        <v>11</v>
      </c>
      <c r="Q29" s="7" t="s">
        <v>12</v>
      </c>
      <c r="R29" s="228"/>
      <c r="S29" s="228"/>
      <c r="T29" s="7" t="s">
        <v>12</v>
      </c>
      <c r="U29" s="9" t="s">
        <v>12</v>
      </c>
      <c r="V29" s="13" t="s">
        <v>11</v>
      </c>
      <c r="W29" s="7" t="s">
        <v>12</v>
      </c>
      <c r="X29" s="7" t="s">
        <v>12</v>
      </c>
      <c r="Y29" s="224"/>
      <c r="Z29" s="7" t="s">
        <v>11</v>
      </c>
      <c r="AA29" s="7" t="s">
        <v>12</v>
      </c>
      <c r="AB29" s="7" t="s">
        <v>12</v>
      </c>
      <c r="AC29" s="7" t="s">
        <v>11</v>
      </c>
      <c r="AD29" s="7" t="s">
        <v>12</v>
      </c>
      <c r="AE29" s="7" t="s">
        <v>12</v>
      </c>
      <c r="AF29" s="224"/>
      <c r="AG29" s="7" t="s">
        <v>12</v>
      </c>
      <c r="AH29" s="7" t="s">
        <v>12</v>
      </c>
      <c r="AI29" s="7" t="s">
        <v>11</v>
      </c>
      <c r="AJ29" s="7" t="s">
        <v>12</v>
      </c>
      <c r="AK29" s="10">
        <f t="shared" si="0"/>
        <v>16</v>
      </c>
      <c r="AL29" s="10">
        <f t="shared" si="1"/>
        <v>10</v>
      </c>
    </row>
    <row r="30" spans="1:42" ht="19" x14ac:dyDescent="0.3">
      <c r="A30" s="5">
        <v>25</v>
      </c>
      <c r="B30" s="11"/>
      <c r="C30" s="53"/>
      <c r="D30" s="162"/>
      <c r="E30" s="10" t="s">
        <v>9</v>
      </c>
      <c r="F30" s="13" t="s">
        <v>11</v>
      </c>
      <c r="G30" s="7" t="s">
        <v>11</v>
      </c>
      <c r="H30" s="13" t="s">
        <v>12</v>
      </c>
      <c r="I30" s="7" t="s">
        <v>12</v>
      </c>
      <c r="J30" s="7" t="s">
        <v>12</v>
      </c>
      <c r="K30" s="224"/>
      <c r="L30" s="7" t="s">
        <v>12</v>
      </c>
      <c r="M30" s="7" t="s">
        <v>12</v>
      </c>
      <c r="N30" s="13" t="s">
        <v>11</v>
      </c>
      <c r="O30" s="13" t="s">
        <v>11</v>
      </c>
      <c r="P30" s="7" t="s">
        <v>12</v>
      </c>
      <c r="Q30" s="7" t="s">
        <v>12</v>
      </c>
      <c r="R30" s="228"/>
      <c r="S30" s="228"/>
      <c r="T30" s="7" t="s">
        <v>12</v>
      </c>
      <c r="U30" s="9" t="s">
        <v>12</v>
      </c>
      <c r="V30" s="13" t="s">
        <v>11</v>
      </c>
      <c r="W30" s="7" t="s">
        <v>12</v>
      </c>
      <c r="X30" s="7" t="s">
        <v>11</v>
      </c>
      <c r="Y30" s="224"/>
      <c r="Z30" s="7" t="s">
        <v>12</v>
      </c>
      <c r="AA30" s="7" t="s">
        <v>12</v>
      </c>
      <c r="AB30" s="7" t="s">
        <v>11</v>
      </c>
      <c r="AC30" s="7" t="s">
        <v>11</v>
      </c>
      <c r="AD30" s="7" t="s">
        <v>11</v>
      </c>
      <c r="AE30" s="7" t="s">
        <v>12</v>
      </c>
      <c r="AF30" s="224"/>
      <c r="AG30" s="7" t="s">
        <v>12</v>
      </c>
      <c r="AH30" s="7" t="s">
        <v>11</v>
      </c>
      <c r="AI30" s="7" t="s">
        <v>12</v>
      </c>
      <c r="AJ30" s="7" t="s">
        <v>12</v>
      </c>
      <c r="AK30" s="10">
        <f t="shared" si="0"/>
        <v>16</v>
      </c>
      <c r="AL30" s="10">
        <f t="shared" si="1"/>
        <v>10</v>
      </c>
    </row>
    <row r="31" spans="1:42" ht="19" x14ac:dyDescent="0.3">
      <c r="A31" s="10">
        <v>26</v>
      </c>
      <c r="B31" s="11"/>
      <c r="C31" s="53"/>
      <c r="D31" s="162"/>
      <c r="E31" s="10" t="s">
        <v>9</v>
      </c>
      <c r="F31" s="13" t="s">
        <v>11</v>
      </c>
      <c r="G31" s="7" t="s">
        <v>11</v>
      </c>
      <c r="H31" s="13" t="s">
        <v>12</v>
      </c>
      <c r="I31" s="7" t="s">
        <v>12</v>
      </c>
      <c r="J31" s="7" t="s">
        <v>12</v>
      </c>
      <c r="K31" s="224"/>
      <c r="L31" s="7" t="s">
        <v>12</v>
      </c>
      <c r="M31" s="7" t="s">
        <v>12</v>
      </c>
      <c r="N31" s="13" t="s">
        <v>12</v>
      </c>
      <c r="O31" s="13" t="s">
        <v>11</v>
      </c>
      <c r="P31" s="7" t="s">
        <v>12</v>
      </c>
      <c r="Q31" s="7" t="s">
        <v>12</v>
      </c>
      <c r="R31" s="228"/>
      <c r="S31" s="228"/>
      <c r="T31" s="7" t="s">
        <v>12</v>
      </c>
      <c r="U31" s="9" t="s">
        <v>12</v>
      </c>
      <c r="V31" s="13" t="s">
        <v>11</v>
      </c>
      <c r="W31" s="7" t="s">
        <v>12</v>
      </c>
      <c r="X31" s="7" t="s">
        <v>12</v>
      </c>
      <c r="Y31" s="224"/>
      <c r="Z31" s="7" t="s">
        <v>12</v>
      </c>
      <c r="AA31" s="7" t="s">
        <v>11</v>
      </c>
      <c r="AB31" s="7" t="s">
        <v>12</v>
      </c>
      <c r="AC31" s="7" t="s">
        <v>11</v>
      </c>
      <c r="AD31" s="7" t="s">
        <v>12</v>
      </c>
      <c r="AE31" s="7" t="s">
        <v>11</v>
      </c>
      <c r="AF31" s="224"/>
      <c r="AG31" s="7" t="s">
        <v>12</v>
      </c>
      <c r="AH31" s="7" t="s">
        <v>11</v>
      </c>
      <c r="AI31" s="7" t="s">
        <v>11</v>
      </c>
      <c r="AJ31" s="7" t="s">
        <v>12</v>
      </c>
      <c r="AK31" s="149">
        <f t="shared" si="0"/>
        <v>17</v>
      </c>
      <c r="AL31" s="10">
        <f t="shared" si="1"/>
        <v>9</v>
      </c>
    </row>
    <row r="32" spans="1:42" ht="19" x14ac:dyDescent="0.3">
      <c r="A32" s="5">
        <v>27</v>
      </c>
      <c r="B32" s="11"/>
      <c r="C32" s="53"/>
      <c r="D32" s="162"/>
      <c r="E32" s="10" t="s">
        <v>9</v>
      </c>
      <c r="F32" s="13" t="s">
        <v>12</v>
      </c>
      <c r="G32" s="7" t="s">
        <v>12</v>
      </c>
      <c r="H32" s="13" t="s">
        <v>11</v>
      </c>
      <c r="I32" s="7" t="s">
        <v>12</v>
      </c>
      <c r="J32" s="7" t="s">
        <v>12</v>
      </c>
      <c r="K32" s="224"/>
      <c r="L32" s="7" t="s">
        <v>12</v>
      </c>
      <c r="M32" s="7" t="s">
        <v>11</v>
      </c>
      <c r="N32" s="13" t="s">
        <v>12</v>
      </c>
      <c r="O32" s="13" t="s">
        <v>11</v>
      </c>
      <c r="P32" s="7" t="s">
        <v>12</v>
      </c>
      <c r="Q32" s="7" t="s">
        <v>11</v>
      </c>
      <c r="R32" s="228"/>
      <c r="S32" s="228"/>
      <c r="T32" s="7" t="s">
        <v>12</v>
      </c>
      <c r="U32" s="9" t="s">
        <v>12</v>
      </c>
      <c r="V32" s="13" t="s">
        <v>12</v>
      </c>
      <c r="W32" s="7" t="s">
        <v>11</v>
      </c>
      <c r="X32" s="7" t="s">
        <v>11</v>
      </c>
      <c r="Y32" s="224"/>
      <c r="Z32" s="7" t="s">
        <v>11</v>
      </c>
      <c r="AA32" s="7" t="s">
        <v>12</v>
      </c>
      <c r="AB32" s="7" t="s">
        <v>11</v>
      </c>
      <c r="AC32" s="7" t="s">
        <v>12</v>
      </c>
      <c r="AD32" s="7" t="s">
        <v>11</v>
      </c>
      <c r="AE32" s="7" t="s">
        <v>12</v>
      </c>
      <c r="AF32" s="224"/>
      <c r="AG32" s="7" t="s">
        <v>12</v>
      </c>
      <c r="AH32" s="7" t="s">
        <v>11</v>
      </c>
      <c r="AI32" s="7" t="s">
        <v>12</v>
      </c>
      <c r="AJ32" s="7" t="s">
        <v>11</v>
      </c>
      <c r="AK32" s="10">
        <f t="shared" si="0"/>
        <v>15</v>
      </c>
      <c r="AL32" s="10">
        <f t="shared" si="1"/>
        <v>11</v>
      </c>
    </row>
    <row r="33" spans="1:38" ht="19" x14ac:dyDescent="0.3">
      <c r="A33" s="10">
        <v>28</v>
      </c>
      <c r="B33" s="11"/>
      <c r="C33" s="53"/>
      <c r="D33" s="162"/>
      <c r="E33" s="10" t="s">
        <v>9</v>
      </c>
      <c r="F33" s="13" t="s">
        <v>12</v>
      </c>
      <c r="G33" s="7" t="s">
        <v>12</v>
      </c>
      <c r="H33" s="13" t="s">
        <v>11</v>
      </c>
      <c r="I33" s="7" t="s">
        <v>12</v>
      </c>
      <c r="J33" s="7" t="s">
        <v>12</v>
      </c>
      <c r="K33" s="224"/>
      <c r="L33" s="7" t="s">
        <v>12</v>
      </c>
      <c r="M33" s="7" t="s">
        <v>11</v>
      </c>
      <c r="N33" s="13" t="s">
        <v>12</v>
      </c>
      <c r="O33" s="13" t="s">
        <v>11</v>
      </c>
      <c r="P33" s="7" t="s">
        <v>12</v>
      </c>
      <c r="Q33" s="7" t="s">
        <v>11</v>
      </c>
      <c r="R33" s="228"/>
      <c r="S33" s="228"/>
      <c r="T33" s="7" t="s">
        <v>12</v>
      </c>
      <c r="U33" s="9" t="s">
        <v>12</v>
      </c>
      <c r="V33" s="13" t="s">
        <v>12</v>
      </c>
      <c r="W33" s="7" t="s">
        <v>11</v>
      </c>
      <c r="X33" s="7" t="s">
        <v>11</v>
      </c>
      <c r="Y33" s="224"/>
      <c r="Z33" s="7" t="s">
        <v>11</v>
      </c>
      <c r="AA33" s="7" t="s">
        <v>12</v>
      </c>
      <c r="AB33" s="7" t="s">
        <v>11</v>
      </c>
      <c r="AC33" s="7" t="s">
        <v>12</v>
      </c>
      <c r="AD33" s="7" t="s">
        <v>11</v>
      </c>
      <c r="AE33" s="7" t="s">
        <v>12</v>
      </c>
      <c r="AF33" s="224"/>
      <c r="AG33" s="7" t="s">
        <v>12</v>
      </c>
      <c r="AH33" s="7" t="s">
        <v>11</v>
      </c>
      <c r="AI33" s="7" t="s">
        <v>12</v>
      </c>
      <c r="AJ33" s="7" t="s">
        <v>11</v>
      </c>
      <c r="AK33" s="149">
        <f t="shared" si="0"/>
        <v>15</v>
      </c>
      <c r="AL33" s="10">
        <f t="shared" si="1"/>
        <v>11</v>
      </c>
    </row>
    <row r="34" spans="1:38" ht="19" x14ac:dyDescent="0.3">
      <c r="A34" s="5">
        <v>29</v>
      </c>
      <c r="B34" s="11"/>
      <c r="C34" s="53"/>
      <c r="D34" s="162"/>
      <c r="E34" s="10" t="s">
        <v>9</v>
      </c>
      <c r="F34" s="13" t="s">
        <v>11</v>
      </c>
      <c r="G34" s="7" t="s">
        <v>11</v>
      </c>
      <c r="H34" s="13" t="s">
        <v>11</v>
      </c>
      <c r="I34" s="7" t="s">
        <v>12</v>
      </c>
      <c r="J34" s="7" t="s">
        <v>12</v>
      </c>
      <c r="K34" s="224"/>
      <c r="L34" s="7" t="s">
        <v>12</v>
      </c>
      <c r="M34" s="7" t="s">
        <v>11</v>
      </c>
      <c r="N34" s="13" t="s">
        <v>12</v>
      </c>
      <c r="O34" s="13" t="s">
        <v>11</v>
      </c>
      <c r="P34" s="7" t="s">
        <v>12</v>
      </c>
      <c r="Q34" s="7" t="s">
        <v>11</v>
      </c>
      <c r="R34" s="228"/>
      <c r="S34" s="228"/>
      <c r="T34" s="7" t="s">
        <v>11</v>
      </c>
      <c r="U34" s="9" t="s">
        <v>12</v>
      </c>
      <c r="V34" s="13" t="s">
        <v>12</v>
      </c>
      <c r="W34" s="7" t="s">
        <v>11</v>
      </c>
      <c r="X34" s="7" t="s">
        <v>12</v>
      </c>
      <c r="Y34" s="224"/>
      <c r="Z34" s="7" t="s">
        <v>12</v>
      </c>
      <c r="AA34" s="7" t="s">
        <v>12</v>
      </c>
      <c r="AB34" s="7" t="s">
        <v>11</v>
      </c>
      <c r="AC34" s="7" t="s">
        <v>12</v>
      </c>
      <c r="AD34" s="7" t="s">
        <v>12</v>
      </c>
      <c r="AE34" s="7" t="s">
        <v>12</v>
      </c>
      <c r="AF34" s="224"/>
      <c r="AG34" s="7" t="s">
        <v>12</v>
      </c>
      <c r="AH34" s="7" t="s">
        <v>12</v>
      </c>
      <c r="AI34" s="7" t="s">
        <v>12</v>
      </c>
      <c r="AJ34" s="7" t="s">
        <v>12</v>
      </c>
      <c r="AK34" s="149">
        <f t="shared" si="0"/>
        <v>17</v>
      </c>
      <c r="AL34" s="10">
        <f t="shared" si="1"/>
        <v>9</v>
      </c>
    </row>
    <row r="35" spans="1:38" ht="19" x14ac:dyDescent="0.3">
      <c r="A35" s="10">
        <v>30</v>
      </c>
      <c r="B35" s="11"/>
      <c r="C35" s="53"/>
      <c r="D35" s="162"/>
      <c r="E35" s="10" t="s">
        <v>9</v>
      </c>
      <c r="F35" s="13" t="s">
        <v>12</v>
      </c>
      <c r="G35" s="7" t="s">
        <v>12</v>
      </c>
      <c r="H35" s="13" t="s">
        <v>11</v>
      </c>
      <c r="I35" s="7" t="s">
        <v>12</v>
      </c>
      <c r="J35" s="7" t="s">
        <v>11</v>
      </c>
      <c r="K35" s="224"/>
      <c r="L35" s="7" t="s">
        <v>12</v>
      </c>
      <c r="M35" s="7" t="s">
        <v>11</v>
      </c>
      <c r="N35" s="13" t="s">
        <v>11</v>
      </c>
      <c r="O35" s="13" t="s">
        <v>11</v>
      </c>
      <c r="P35" s="7" t="s">
        <v>12</v>
      </c>
      <c r="Q35" s="7" t="s">
        <v>12</v>
      </c>
      <c r="R35" s="228"/>
      <c r="S35" s="228"/>
      <c r="T35" s="7" t="s">
        <v>12</v>
      </c>
      <c r="U35" s="9" t="s">
        <v>11</v>
      </c>
      <c r="V35" s="13" t="s">
        <v>12</v>
      </c>
      <c r="W35" s="7" t="s">
        <v>11</v>
      </c>
      <c r="X35" s="7" t="s">
        <v>12</v>
      </c>
      <c r="Y35" s="224"/>
      <c r="Z35" s="7" t="s">
        <v>12</v>
      </c>
      <c r="AA35" s="7" t="s">
        <v>12</v>
      </c>
      <c r="AB35" s="7" t="s">
        <v>12</v>
      </c>
      <c r="AC35" s="7" t="s">
        <v>11</v>
      </c>
      <c r="AD35" s="7" t="s">
        <v>12</v>
      </c>
      <c r="AE35" s="7" t="s">
        <v>12</v>
      </c>
      <c r="AF35" s="224"/>
      <c r="AG35" s="7" t="s">
        <v>11</v>
      </c>
      <c r="AH35" s="7" t="s">
        <v>12</v>
      </c>
      <c r="AI35" s="7" t="s">
        <v>11</v>
      </c>
      <c r="AJ35" s="7" t="s">
        <v>12</v>
      </c>
      <c r="AK35" s="149">
        <f t="shared" si="0"/>
        <v>16</v>
      </c>
      <c r="AL35" s="10">
        <f t="shared" si="1"/>
        <v>10</v>
      </c>
    </row>
    <row r="36" spans="1:38" ht="19" x14ac:dyDescent="0.3">
      <c r="A36" s="5">
        <v>31</v>
      </c>
      <c r="B36" s="11"/>
      <c r="C36" s="53"/>
      <c r="D36" s="162"/>
      <c r="E36" s="10" t="s">
        <v>9</v>
      </c>
      <c r="F36" s="13" t="s">
        <v>11</v>
      </c>
      <c r="G36" s="7" t="s">
        <v>12</v>
      </c>
      <c r="H36" s="13" t="s">
        <v>11</v>
      </c>
      <c r="I36" s="7" t="s">
        <v>12</v>
      </c>
      <c r="J36" s="7" t="s">
        <v>12</v>
      </c>
      <c r="K36" s="224"/>
      <c r="L36" s="7" t="s">
        <v>12</v>
      </c>
      <c r="M36" s="7" t="s">
        <v>11</v>
      </c>
      <c r="N36" s="13" t="s">
        <v>12</v>
      </c>
      <c r="O36" s="13" t="s">
        <v>11</v>
      </c>
      <c r="P36" s="7" t="s">
        <v>11</v>
      </c>
      <c r="Q36" s="7" t="s">
        <v>12</v>
      </c>
      <c r="R36" s="228"/>
      <c r="S36" s="228"/>
      <c r="T36" s="7" t="s">
        <v>12</v>
      </c>
      <c r="U36" s="9" t="s">
        <v>11</v>
      </c>
      <c r="V36" s="13" t="s">
        <v>12</v>
      </c>
      <c r="W36" s="7" t="s">
        <v>11</v>
      </c>
      <c r="X36" s="7" t="s">
        <v>11</v>
      </c>
      <c r="Y36" s="224"/>
      <c r="Z36" s="7" t="s">
        <v>11</v>
      </c>
      <c r="AA36" s="7" t="s">
        <v>11</v>
      </c>
      <c r="AB36" s="7" t="s">
        <v>12</v>
      </c>
      <c r="AC36" s="7" t="s">
        <v>12</v>
      </c>
      <c r="AD36" s="7" t="s">
        <v>12</v>
      </c>
      <c r="AE36" s="7" t="s">
        <v>12</v>
      </c>
      <c r="AF36" s="224"/>
      <c r="AG36" s="7" t="s">
        <v>11</v>
      </c>
      <c r="AH36" s="7" t="s">
        <v>11</v>
      </c>
      <c r="AI36" s="7" t="s">
        <v>11</v>
      </c>
      <c r="AJ36" s="7" t="s">
        <v>12</v>
      </c>
      <c r="AK36" s="149">
        <f t="shared" si="0"/>
        <v>13</v>
      </c>
      <c r="AL36" s="10">
        <f t="shared" si="1"/>
        <v>13</v>
      </c>
    </row>
    <row r="37" spans="1:38" ht="19" x14ac:dyDescent="0.3">
      <c r="A37" s="10">
        <v>32</v>
      </c>
      <c r="B37" s="11"/>
      <c r="C37" s="53"/>
      <c r="D37" s="162"/>
      <c r="E37" s="10" t="s">
        <v>9</v>
      </c>
      <c r="F37" s="13" t="s">
        <v>11</v>
      </c>
      <c r="G37" s="7" t="s">
        <v>12</v>
      </c>
      <c r="H37" s="13" t="s">
        <v>11</v>
      </c>
      <c r="I37" s="7" t="s">
        <v>11</v>
      </c>
      <c r="J37" s="7" t="s">
        <v>12</v>
      </c>
      <c r="K37" s="224"/>
      <c r="L37" s="7" t="s">
        <v>12</v>
      </c>
      <c r="M37" s="7" t="s">
        <v>12</v>
      </c>
      <c r="N37" s="13" t="s">
        <v>11</v>
      </c>
      <c r="O37" s="13" t="s">
        <v>12</v>
      </c>
      <c r="P37" s="7" t="s">
        <v>11</v>
      </c>
      <c r="Q37" s="7" t="s">
        <v>12</v>
      </c>
      <c r="R37" s="228"/>
      <c r="S37" s="228"/>
      <c r="T37" s="7" t="s">
        <v>12</v>
      </c>
      <c r="U37" s="9" t="s">
        <v>11</v>
      </c>
      <c r="V37" s="13" t="s">
        <v>11</v>
      </c>
      <c r="W37" s="7" t="s">
        <v>12</v>
      </c>
      <c r="X37" s="7" t="s">
        <v>12</v>
      </c>
      <c r="Y37" s="224"/>
      <c r="Z37" s="7" t="s">
        <v>12</v>
      </c>
      <c r="AA37" s="7" t="s">
        <v>11</v>
      </c>
      <c r="AB37" s="7" t="s">
        <v>11</v>
      </c>
      <c r="AC37" s="7" t="s">
        <v>12</v>
      </c>
      <c r="AD37" s="7" t="s">
        <v>12</v>
      </c>
      <c r="AE37" s="7" t="s">
        <v>11</v>
      </c>
      <c r="AF37" s="224"/>
      <c r="AG37" s="7" t="s">
        <v>11</v>
      </c>
      <c r="AH37" s="7" t="s">
        <v>11</v>
      </c>
      <c r="AI37" s="7" t="s">
        <v>11</v>
      </c>
      <c r="AJ37" s="7" t="s">
        <v>11</v>
      </c>
      <c r="AK37" s="149">
        <f t="shared" si="0"/>
        <v>12</v>
      </c>
      <c r="AL37" s="10">
        <f t="shared" si="1"/>
        <v>14</v>
      </c>
    </row>
    <row r="38" spans="1:38" ht="19" x14ac:dyDescent="0.3">
      <c r="A38" s="5">
        <v>33</v>
      </c>
      <c r="B38" s="11"/>
      <c r="C38" s="53"/>
      <c r="D38" s="162"/>
      <c r="E38" s="10" t="s">
        <v>9</v>
      </c>
      <c r="F38" s="13" t="s">
        <v>12</v>
      </c>
      <c r="G38" s="7" t="s">
        <v>11</v>
      </c>
      <c r="H38" s="13" t="s">
        <v>11</v>
      </c>
      <c r="I38" s="7" t="s">
        <v>12</v>
      </c>
      <c r="J38" s="7" t="s">
        <v>11</v>
      </c>
      <c r="K38" s="224"/>
      <c r="L38" s="7" t="s">
        <v>11</v>
      </c>
      <c r="M38" s="7" t="s">
        <v>11</v>
      </c>
      <c r="N38" s="13" t="s">
        <v>11</v>
      </c>
      <c r="O38" s="13" t="s">
        <v>11</v>
      </c>
      <c r="P38" s="7" t="s">
        <v>12</v>
      </c>
      <c r="Q38" s="7" t="s">
        <v>12</v>
      </c>
      <c r="R38" s="228"/>
      <c r="S38" s="228"/>
      <c r="T38" s="7" t="s">
        <v>11</v>
      </c>
      <c r="U38" s="9" t="s">
        <v>11</v>
      </c>
      <c r="V38" s="13" t="s">
        <v>12</v>
      </c>
      <c r="W38" s="7" t="s">
        <v>11</v>
      </c>
      <c r="X38" s="7" t="s">
        <v>12</v>
      </c>
      <c r="Y38" s="224"/>
      <c r="Z38" s="7" t="s">
        <v>11</v>
      </c>
      <c r="AA38" s="7" t="s">
        <v>11</v>
      </c>
      <c r="AB38" s="7" t="s">
        <v>12</v>
      </c>
      <c r="AC38" s="7" t="s">
        <v>11</v>
      </c>
      <c r="AD38" s="7" t="s">
        <v>12</v>
      </c>
      <c r="AE38" s="7" t="s">
        <v>12</v>
      </c>
      <c r="AF38" s="224"/>
      <c r="AG38" s="7" t="s">
        <v>12</v>
      </c>
      <c r="AH38" s="7" t="s">
        <v>12</v>
      </c>
      <c r="AI38" s="7" t="s">
        <v>11</v>
      </c>
      <c r="AJ38" s="7" t="s">
        <v>12</v>
      </c>
      <c r="AK38" s="149">
        <f t="shared" si="0"/>
        <v>12</v>
      </c>
      <c r="AL38" s="10">
        <f t="shared" si="1"/>
        <v>14</v>
      </c>
    </row>
    <row r="39" spans="1:38" ht="19" x14ac:dyDescent="0.3">
      <c r="A39" s="10">
        <v>34</v>
      </c>
      <c r="B39" s="11"/>
      <c r="C39" s="53"/>
      <c r="D39" s="162"/>
      <c r="E39" s="10" t="s">
        <v>9</v>
      </c>
      <c r="F39" s="13" t="s">
        <v>11</v>
      </c>
      <c r="G39" s="7" t="s">
        <v>12</v>
      </c>
      <c r="H39" s="13" t="s">
        <v>11</v>
      </c>
      <c r="I39" s="7" t="s">
        <v>12</v>
      </c>
      <c r="J39" s="7" t="s">
        <v>11</v>
      </c>
      <c r="K39" s="224"/>
      <c r="L39" s="7" t="s">
        <v>11</v>
      </c>
      <c r="M39" s="7" t="s">
        <v>12</v>
      </c>
      <c r="N39" s="13" t="s">
        <v>11</v>
      </c>
      <c r="O39" s="13" t="s">
        <v>12</v>
      </c>
      <c r="P39" s="7" t="s">
        <v>11</v>
      </c>
      <c r="Q39" s="7" t="s">
        <v>11</v>
      </c>
      <c r="R39" s="228"/>
      <c r="S39" s="228"/>
      <c r="T39" s="7" t="s">
        <v>11</v>
      </c>
      <c r="U39" s="9" t="s">
        <v>12</v>
      </c>
      <c r="V39" s="13" t="s">
        <v>12</v>
      </c>
      <c r="W39" s="7" t="s">
        <v>12</v>
      </c>
      <c r="X39" s="7" t="s">
        <v>12</v>
      </c>
      <c r="Y39" s="224"/>
      <c r="Z39" s="7" t="s">
        <v>11</v>
      </c>
      <c r="AA39" s="7" t="s">
        <v>12</v>
      </c>
      <c r="AB39" s="7" t="s">
        <v>11</v>
      </c>
      <c r="AC39" s="7" t="s">
        <v>11</v>
      </c>
      <c r="AD39" s="7" t="s">
        <v>12</v>
      </c>
      <c r="AE39" s="7" t="s">
        <v>11</v>
      </c>
      <c r="AF39" s="224"/>
      <c r="AG39" s="7" t="s">
        <v>12</v>
      </c>
      <c r="AH39" s="7" t="s">
        <v>11</v>
      </c>
      <c r="AI39" s="7" t="s">
        <v>11</v>
      </c>
      <c r="AJ39" s="7" t="s">
        <v>12</v>
      </c>
      <c r="AK39" s="149">
        <f t="shared" si="0"/>
        <v>12</v>
      </c>
      <c r="AL39" s="10">
        <f t="shared" si="1"/>
        <v>14</v>
      </c>
    </row>
    <row r="40" spans="1:38" ht="19" x14ac:dyDescent="0.3">
      <c r="A40" s="5">
        <v>35</v>
      </c>
      <c r="B40" s="11"/>
      <c r="C40" s="53"/>
      <c r="D40" s="162"/>
      <c r="E40" s="10" t="s">
        <v>9</v>
      </c>
      <c r="F40" s="13" t="s">
        <v>11</v>
      </c>
      <c r="G40" s="7" t="s">
        <v>12</v>
      </c>
      <c r="H40" s="13" t="s">
        <v>11</v>
      </c>
      <c r="I40" s="7" t="s">
        <v>12</v>
      </c>
      <c r="J40" s="7" t="s">
        <v>12</v>
      </c>
      <c r="K40" s="224"/>
      <c r="L40" s="7" t="s">
        <v>12</v>
      </c>
      <c r="M40" s="7" t="s">
        <v>11</v>
      </c>
      <c r="N40" s="13" t="s">
        <v>11</v>
      </c>
      <c r="O40" s="13" t="s">
        <v>12</v>
      </c>
      <c r="P40" s="7" t="s">
        <v>11</v>
      </c>
      <c r="Q40" s="7" t="s">
        <v>12</v>
      </c>
      <c r="R40" s="228"/>
      <c r="S40" s="228"/>
      <c r="T40" s="7" t="s">
        <v>11</v>
      </c>
      <c r="U40" s="9" t="s">
        <v>12</v>
      </c>
      <c r="V40" s="13" t="s">
        <v>12</v>
      </c>
      <c r="W40" s="7" t="s">
        <v>11</v>
      </c>
      <c r="X40" s="7" t="s">
        <v>12</v>
      </c>
      <c r="Y40" s="224"/>
      <c r="Z40" s="7" t="s">
        <v>11</v>
      </c>
      <c r="AA40" s="7" t="s">
        <v>11</v>
      </c>
      <c r="AB40" s="7" t="s">
        <v>12</v>
      </c>
      <c r="AC40" s="7" t="s">
        <v>12</v>
      </c>
      <c r="AD40" s="7" t="s">
        <v>12</v>
      </c>
      <c r="AE40" s="7" t="s">
        <v>12</v>
      </c>
      <c r="AF40" s="224"/>
      <c r="AG40" s="7" t="s">
        <v>11</v>
      </c>
      <c r="AH40" s="7" t="s">
        <v>11</v>
      </c>
      <c r="AI40" s="7" t="s">
        <v>12</v>
      </c>
      <c r="AJ40" s="7" t="s">
        <v>11</v>
      </c>
      <c r="AK40" s="149">
        <f t="shared" si="0"/>
        <v>14</v>
      </c>
      <c r="AL40" s="10">
        <f t="shared" si="1"/>
        <v>12</v>
      </c>
    </row>
    <row r="41" spans="1:38" ht="19" x14ac:dyDescent="0.3">
      <c r="A41" s="10">
        <v>36</v>
      </c>
      <c r="B41" s="11"/>
      <c r="C41" s="53"/>
      <c r="D41" s="162"/>
      <c r="E41" s="10" t="s">
        <v>9</v>
      </c>
      <c r="F41" s="13" t="s">
        <v>12</v>
      </c>
      <c r="G41" s="7" t="s">
        <v>11</v>
      </c>
      <c r="H41" s="13" t="s">
        <v>12</v>
      </c>
      <c r="I41" s="7" t="s">
        <v>12</v>
      </c>
      <c r="J41" s="7" t="s">
        <v>12</v>
      </c>
      <c r="K41" s="224"/>
      <c r="L41" s="7" t="s">
        <v>11</v>
      </c>
      <c r="M41" s="7" t="s">
        <v>12</v>
      </c>
      <c r="N41" s="13" t="s">
        <v>11</v>
      </c>
      <c r="O41" s="13" t="s">
        <v>11</v>
      </c>
      <c r="P41" s="7" t="s">
        <v>12</v>
      </c>
      <c r="Q41" s="7" t="s">
        <v>11</v>
      </c>
      <c r="R41" s="228"/>
      <c r="S41" s="228"/>
      <c r="T41" s="7" t="s">
        <v>11</v>
      </c>
      <c r="U41" s="9" t="s">
        <v>11</v>
      </c>
      <c r="V41" s="13" t="s">
        <v>12</v>
      </c>
      <c r="W41" s="7" t="s">
        <v>11</v>
      </c>
      <c r="X41" s="7" t="s">
        <v>12</v>
      </c>
      <c r="Y41" s="224"/>
      <c r="Z41" s="7" t="s">
        <v>12</v>
      </c>
      <c r="AA41" s="7" t="s">
        <v>12</v>
      </c>
      <c r="AB41" s="7" t="s">
        <v>11</v>
      </c>
      <c r="AC41" s="7" t="s">
        <v>11</v>
      </c>
      <c r="AD41" s="7" t="s">
        <v>11</v>
      </c>
      <c r="AE41" s="7" t="s">
        <v>12</v>
      </c>
      <c r="AF41" s="224"/>
      <c r="AG41" s="7" t="s">
        <v>12</v>
      </c>
      <c r="AH41" s="7" t="s">
        <v>11</v>
      </c>
      <c r="AI41" s="7" t="s">
        <v>12</v>
      </c>
      <c r="AJ41" s="7" t="s">
        <v>12</v>
      </c>
      <c r="AK41" s="149">
        <f t="shared" si="0"/>
        <v>14</v>
      </c>
      <c r="AL41" s="10">
        <f t="shared" si="1"/>
        <v>12</v>
      </c>
    </row>
    <row r="42" spans="1:38" ht="19" x14ac:dyDescent="0.3">
      <c r="A42" s="5">
        <v>37</v>
      </c>
      <c r="B42" s="11"/>
      <c r="C42" s="53"/>
      <c r="D42" s="162"/>
      <c r="E42" s="10" t="s">
        <v>9</v>
      </c>
      <c r="F42" s="13" t="s">
        <v>12</v>
      </c>
      <c r="G42" s="7" t="s">
        <v>11</v>
      </c>
      <c r="H42" s="13" t="s">
        <v>12</v>
      </c>
      <c r="I42" s="7" t="s">
        <v>11</v>
      </c>
      <c r="J42" s="7" t="s">
        <v>12</v>
      </c>
      <c r="K42" s="224"/>
      <c r="L42" s="7" t="s">
        <v>11</v>
      </c>
      <c r="M42" s="7" t="s">
        <v>12</v>
      </c>
      <c r="N42" s="13" t="s">
        <v>11</v>
      </c>
      <c r="O42" s="13" t="s">
        <v>11</v>
      </c>
      <c r="P42" s="7" t="s">
        <v>12</v>
      </c>
      <c r="Q42" s="7" t="s">
        <v>12</v>
      </c>
      <c r="R42" s="228"/>
      <c r="S42" s="228"/>
      <c r="T42" s="7" t="s">
        <v>11</v>
      </c>
      <c r="U42" s="9" t="s">
        <v>11</v>
      </c>
      <c r="V42" s="13" t="s">
        <v>12</v>
      </c>
      <c r="W42" s="7" t="s">
        <v>11</v>
      </c>
      <c r="X42" s="7" t="s">
        <v>12</v>
      </c>
      <c r="Y42" s="224"/>
      <c r="Z42" s="7" t="s">
        <v>12</v>
      </c>
      <c r="AA42" s="7" t="s">
        <v>11</v>
      </c>
      <c r="AB42" s="7" t="s">
        <v>12</v>
      </c>
      <c r="AC42" s="7" t="s">
        <v>11</v>
      </c>
      <c r="AD42" s="7" t="s">
        <v>12</v>
      </c>
      <c r="AE42" s="7" t="s">
        <v>12</v>
      </c>
      <c r="AF42" s="224"/>
      <c r="AG42" s="7" t="s">
        <v>12</v>
      </c>
      <c r="AH42" s="7" t="s">
        <v>11</v>
      </c>
      <c r="AI42" s="7" t="s">
        <v>12</v>
      </c>
      <c r="AJ42" s="7" t="s">
        <v>11</v>
      </c>
      <c r="AK42" s="149">
        <f t="shared" si="0"/>
        <v>14</v>
      </c>
      <c r="AL42" s="10">
        <f t="shared" si="1"/>
        <v>12</v>
      </c>
    </row>
    <row r="43" spans="1:38" ht="19" x14ac:dyDescent="0.3">
      <c r="A43" s="10">
        <v>38</v>
      </c>
      <c r="B43" s="11"/>
      <c r="C43" s="53"/>
      <c r="D43" s="162"/>
      <c r="E43" s="10" t="s">
        <v>9</v>
      </c>
      <c r="F43" s="13" t="s">
        <v>12</v>
      </c>
      <c r="G43" s="7" t="s">
        <v>11</v>
      </c>
      <c r="H43" s="13" t="s">
        <v>12</v>
      </c>
      <c r="I43" s="7" t="s">
        <v>11</v>
      </c>
      <c r="J43" s="7" t="s">
        <v>12</v>
      </c>
      <c r="K43" s="224"/>
      <c r="L43" s="7" t="s">
        <v>12</v>
      </c>
      <c r="M43" s="7" t="s">
        <v>12</v>
      </c>
      <c r="N43" s="13" t="s">
        <v>11</v>
      </c>
      <c r="O43" s="13" t="s">
        <v>11</v>
      </c>
      <c r="P43" s="7" t="s">
        <v>11</v>
      </c>
      <c r="Q43" s="7" t="s">
        <v>11</v>
      </c>
      <c r="R43" s="228"/>
      <c r="S43" s="228"/>
      <c r="T43" s="7" t="s">
        <v>12</v>
      </c>
      <c r="U43" s="9" t="s">
        <v>11</v>
      </c>
      <c r="V43" s="13" t="s">
        <v>11</v>
      </c>
      <c r="W43" s="7" t="s">
        <v>12</v>
      </c>
      <c r="X43" s="7" t="s">
        <v>12</v>
      </c>
      <c r="Y43" s="224"/>
      <c r="Z43" s="7" t="s">
        <v>12</v>
      </c>
      <c r="AA43" s="7" t="s">
        <v>11</v>
      </c>
      <c r="AB43" s="7" t="s">
        <v>11</v>
      </c>
      <c r="AC43" s="7" t="s">
        <v>12</v>
      </c>
      <c r="AD43" s="7" t="s">
        <v>11</v>
      </c>
      <c r="AE43" s="7" t="s">
        <v>11</v>
      </c>
      <c r="AF43" s="224"/>
      <c r="AG43" s="7" t="s">
        <v>11</v>
      </c>
      <c r="AH43" s="7" t="s">
        <v>12</v>
      </c>
      <c r="AI43" s="7" t="s">
        <v>11</v>
      </c>
      <c r="AJ43" s="7" t="s">
        <v>12</v>
      </c>
      <c r="AK43" s="10">
        <f t="shared" si="0"/>
        <v>12</v>
      </c>
      <c r="AL43" s="10">
        <f t="shared" si="1"/>
        <v>14</v>
      </c>
    </row>
    <row r="44" spans="1:38" ht="19" x14ac:dyDescent="0.3">
      <c r="A44" s="1">
        <v>39</v>
      </c>
      <c r="B44" s="11"/>
      <c r="C44" s="53"/>
      <c r="D44" s="162"/>
      <c r="E44" s="10" t="s">
        <v>9</v>
      </c>
      <c r="F44" s="13" t="s">
        <v>11</v>
      </c>
      <c r="G44" s="7" t="s">
        <v>12</v>
      </c>
      <c r="H44" s="13" t="s">
        <v>11</v>
      </c>
      <c r="I44" s="7" t="s">
        <v>11</v>
      </c>
      <c r="J44" s="7" t="s">
        <v>12</v>
      </c>
      <c r="K44" s="137"/>
      <c r="L44" s="7" t="s">
        <v>12</v>
      </c>
      <c r="M44" s="7" t="s">
        <v>11</v>
      </c>
      <c r="N44" s="13" t="s">
        <v>12</v>
      </c>
      <c r="O44" s="13" t="s">
        <v>11</v>
      </c>
      <c r="P44" s="7" t="s">
        <v>11</v>
      </c>
      <c r="Q44" s="7" t="s">
        <v>12</v>
      </c>
      <c r="R44" s="228"/>
      <c r="S44" s="228"/>
      <c r="T44" s="7" t="s">
        <v>12</v>
      </c>
      <c r="U44" s="9" t="s">
        <v>11</v>
      </c>
      <c r="V44" s="13" t="s">
        <v>12</v>
      </c>
      <c r="W44" s="7" t="s">
        <v>11</v>
      </c>
      <c r="X44" s="7" t="s">
        <v>11</v>
      </c>
      <c r="Y44" s="137"/>
      <c r="Z44" s="7" t="s">
        <v>11</v>
      </c>
      <c r="AA44" s="7" t="s">
        <v>11</v>
      </c>
      <c r="AB44" s="7" t="s">
        <v>11</v>
      </c>
      <c r="AC44" s="7" t="s">
        <v>12</v>
      </c>
      <c r="AD44" s="7" t="s">
        <v>12</v>
      </c>
      <c r="AE44" s="7" t="s">
        <v>12</v>
      </c>
      <c r="AF44" s="137"/>
      <c r="AG44" s="7" t="s">
        <v>11</v>
      </c>
      <c r="AH44" s="7" t="s">
        <v>12</v>
      </c>
      <c r="AI44" s="7" t="s">
        <v>12</v>
      </c>
      <c r="AJ44" s="7" t="s">
        <v>11</v>
      </c>
      <c r="AK44" s="149">
        <f t="shared" si="0"/>
        <v>12</v>
      </c>
      <c r="AL44" s="10">
        <f t="shared" si="1"/>
        <v>14</v>
      </c>
    </row>
    <row r="45" spans="1:38" ht="19" x14ac:dyDescent="0.4">
      <c r="A45" s="10">
        <v>40</v>
      </c>
      <c r="B45" s="11"/>
      <c r="C45" s="53"/>
      <c r="D45" s="162"/>
      <c r="E45" s="10" t="s">
        <v>9</v>
      </c>
      <c r="F45" s="39" t="s">
        <v>11</v>
      </c>
      <c r="G45" s="39" t="s">
        <v>12</v>
      </c>
      <c r="H45" s="39" t="s">
        <v>11</v>
      </c>
      <c r="I45" s="39" t="s">
        <v>12</v>
      </c>
      <c r="J45" s="39" t="s">
        <v>12</v>
      </c>
      <c r="K45" s="7"/>
      <c r="L45" s="7" t="s">
        <v>12</v>
      </c>
      <c r="M45" s="13" t="s">
        <v>11</v>
      </c>
      <c r="N45" s="13" t="s">
        <v>12</v>
      </c>
      <c r="O45" s="7" t="s">
        <v>12</v>
      </c>
      <c r="P45" s="7" t="s">
        <v>12</v>
      </c>
      <c r="Q45" s="7" t="s">
        <v>11</v>
      </c>
      <c r="R45" s="228"/>
      <c r="S45" s="228"/>
      <c r="T45" s="7" t="s">
        <v>11</v>
      </c>
      <c r="U45" s="7" t="s">
        <v>11</v>
      </c>
      <c r="V45" s="7" t="s">
        <v>11</v>
      </c>
      <c r="W45" s="7" t="s">
        <v>12</v>
      </c>
      <c r="X45" s="7" t="s">
        <v>12</v>
      </c>
      <c r="Y45" s="138"/>
      <c r="Z45" s="7" t="s">
        <v>12</v>
      </c>
      <c r="AA45" s="7" t="s">
        <v>12</v>
      </c>
      <c r="AB45" s="7" t="s">
        <v>11</v>
      </c>
      <c r="AC45" s="7" t="s">
        <v>11</v>
      </c>
      <c r="AD45" s="7" t="s">
        <v>12</v>
      </c>
      <c r="AE45" s="7" t="s">
        <v>12</v>
      </c>
      <c r="AF45" s="138"/>
      <c r="AG45" s="7" t="s">
        <v>12</v>
      </c>
      <c r="AH45" s="7" t="s">
        <v>11</v>
      </c>
      <c r="AI45" s="7" t="s">
        <v>11</v>
      </c>
      <c r="AJ45" s="7" t="s">
        <v>11</v>
      </c>
      <c r="AK45" s="149">
        <f t="shared" si="0"/>
        <v>14</v>
      </c>
      <c r="AL45" s="10">
        <f t="shared" si="1"/>
        <v>12</v>
      </c>
    </row>
    <row r="46" spans="1:38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1">
        <f>SUM(AK6:AK45)</f>
        <v>604</v>
      </c>
      <c r="AL46" s="1">
        <f>SUM(AL6:AL45)</f>
        <v>436</v>
      </c>
    </row>
  </sheetData>
  <mergeCells count="10">
    <mergeCell ref="AM9:AP9"/>
    <mergeCell ref="K6:K43"/>
    <mergeCell ref="A1:AJ1"/>
    <mergeCell ref="A2:AJ2"/>
    <mergeCell ref="A3:AJ3"/>
    <mergeCell ref="A4:AJ4"/>
    <mergeCell ref="Y6:Y43"/>
    <mergeCell ref="AF6:AF43"/>
    <mergeCell ref="R6:R45"/>
    <mergeCell ref="S6:S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R55"/>
  <sheetViews>
    <sheetView workbookViewId="0">
      <selection activeCell="C8" sqref="C8"/>
    </sheetView>
  </sheetViews>
  <sheetFormatPr defaultColWidth="9.1796875" defaultRowHeight="14" x14ac:dyDescent="0.3"/>
  <cols>
    <col min="1" max="1" width="3.81640625" style="1" customWidth="1"/>
    <col min="2" max="2" width="8.7265625" style="1" customWidth="1"/>
    <col min="3" max="3" width="20.453125" style="1" customWidth="1"/>
    <col min="4" max="4" width="18.1796875" style="1" customWidth="1"/>
    <col min="5" max="5" width="5.81640625" style="1" customWidth="1"/>
    <col min="6" max="11" width="3.26953125" style="1" customWidth="1"/>
    <col min="12" max="12" width="4.26953125" style="1" customWidth="1"/>
    <col min="13" max="18" width="3.26953125" style="1" customWidth="1"/>
    <col min="19" max="19" width="4.54296875" style="1" customWidth="1"/>
    <col min="20" max="25" width="3.26953125" style="1" customWidth="1"/>
    <col min="26" max="26" width="4.453125" style="1" customWidth="1"/>
    <col min="27" max="35" width="3.26953125" style="1" customWidth="1"/>
    <col min="36" max="36" width="4.54296875" style="1" customWidth="1"/>
    <col min="37" max="37" width="10" style="1" customWidth="1"/>
    <col min="38" max="38" width="5.453125" style="1" customWidth="1"/>
    <col min="39" max="39" width="3.1796875" style="1" customWidth="1"/>
    <col min="40" max="40" width="16.1796875" style="1" customWidth="1"/>
    <col min="41" max="41" width="13.7265625" style="1" customWidth="1"/>
    <col min="42" max="42" width="13.54296875" style="1" customWidth="1"/>
    <col min="43" max="43" width="10.7265625" style="1" customWidth="1"/>
    <col min="44" max="16384" width="9.1796875" style="1"/>
  </cols>
  <sheetData>
    <row r="1" spans="1:44" ht="23" thickBot="1" x14ac:dyDescent="0.5">
      <c r="A1" s="229" t="s">
        <v>78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1"/>
    </row>
    <row r="2" spans="1:44" ht="23" thickBot="1" x14ac:dyDescent="0.35">
      <c r="A2" s="232" t="s">
        <v>75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4"/>
    </row>
    <row r="3" spans="1:44" ht="23" thickBot="1" x14ac:dyDescent="0.5">
      <c r="A3" s="229" t="s">
        <v>56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1"/>
      <c r="AN3" s="235">
        <v>45139</v>
      </c>
      <c r="AO3" s="235"/>
    </row>
    <row r="4" spans="1:44" ht="23" thickBot="1" x14ac:dyDescent="0.5">
      <c r="A4" s="229" t="s">
        <v>77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1"/>
      <c r="AN4" s="235"/>
      <c r="AO4" s="235"/>
    </row>
    <row r="5" spans="1:44" ht="30.5" thickBot="1" x14ac:dyDescent="0.35">
      <c r="A5" s="18" t="s">
        <v>1</v>
      </c>
      <c r="B5" s="19" t="s">
        <v>2</v>
      </c>
      <c r="C5" s="20" t="s">
        <v>3</v>
      </c>
      <c r="D5" s="19" t="s">
        <v>4</v>
      </c>
      <c r="E5" s="19" t="s">
        <v>5</v>
      </c>
      <c r="F5" s="19">
        <v>1</v>
      </c>
      <c r="G5" s="21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19">
        <v>28</v>
      </c>
      <c r="AH5" s="19">
        <v>29</v>
      </c>
      <c r="AI5" s="19">
        <v>30</v>
      </c>
      <c r="AJ5" s="19">
        <v>31</v>
      </c>
      <c r="AK5" s="151" t="s">
        <v>6</v>
      </c>
      <c r="AL5" s="152" t="s">
        <v>7</v>
      </c>
      <c r="AN5" s="153" t="s">
        <v>8</v>
      </c>
      <c r="AO5" s="153">
        <v>31</v>
      </c>
    </row>
    <row r="6" spans="1:44" ht="20.25" customHeight="1" x14ac:dyDescent="0.35">
      <c r="A6" s="10">
        <v>1</v>
      </c>
      <c r="B6" s="11"/>
      <c r="C6" s="15"/>
      <c r="D6" s="132"/>
      <c r="E6" s="10" t="s">
        <v>25</v>
      </c>
      <c r="F6" s="22" t="s">
        <v>11</v>
      </c>
      <c r="G6" s="22" t="s">
        <v>11</v>
      </c>
      <c r="H6" s="23" t="s">
        <v>12</v>
      </c>
      <c r="I6" s="23" t="s">
        <v>12</v>
      </c>
      <c r="J6" s="23" t="s">
        <v>12</v>
      </c>
      <c r="K6" s="236" t="s">
        <v>26</v>
      </c>
      <c r="L6" s="22" t="s">
        <v>11</v>
      </c>
      <c r="M6" s="23" t="s">
        <v>11</v>
      </c>
      <c r="N6" s="23" t="s">
        <v>12</v>
      </c>
      <c r="O6" s="23" t="s">
        <v>12</v>
      </c>
      <c r="P6" s="23" t="s">
        <v>11</v>
      </c>
      <c r="Q6" s="23" t="s">
        <v>12</v>
      </c>
      <c r="R6" s="236" t="s">
        <v>26</v>
      </c>
      <c r="S6" s="236" t="s">
        <v>55</v>
      </c>
      <c r="T6" s="23" t="s">
        <v>12</v>
      </c>
      <c r="U6" s="24" t="s">
        <v>12</v>
      </c>
      <c r="V6" s="23" t="s">
        <v>11</v>
      </c>
      <c r="W6" s="23" t="s">
        <v>12</v>
      </c>
      <c r="X6" s="23" t="s">
        <v>11</v>
      </c>
      <c r="Y6" s="236" t="s">
        <v>26</v>
      </c>
      <c r="Z6" s="22" t="s">
        <v>12</v>
      </c>
      <c r="AA6" s="23" t="s">
        <v>11</v>
      </c>
      <c r="AB6" s="23" t="s">
        <v>11</v>
      </c>
      <c r="AC6" s="23" t="s">
        <v>12</v>
      </c>
      <c r="AD6" s="23" t="s">
        <v>11</v>
      </c>
      <c r="AE6" s="23" t="s">
        <v>12</v>
      </c>
      <c r="AF6" s="236" t="s">
        <v>26</v>
      </c>
      <c r="AG6" s="22" t="s">
        <v>12</v>
      </c>
      <c r="AH6" s="23" t="s">
        <v>11</v>
      </c>
      <c r="AI6" s="25" t="s">
        <v>11</v>
      </c>
      <c r="AJ6" s="23" t="s">
        <v>11</v>
      </c>
      <c r="AK6" s="149">
        <f>COUNTIF(F6:AJ6,"P")</f>
        <v>13</v>
      </c>
      <c r="AL6" s="10">
        <f>COUNTIF(F6:AJ6,"A")</f>
        <v>13</v>
      </c>
      <c r="AN6" s="150" t="s">
        <v>13</v>
      </c>
      <c r="AO6" s="150">
        <v>26</v>
      </c>
      <c r="AP6" s="64" t="s">
        <v>58</v>
      </c>
      <c r="AQ6" s="64"/>
      <c r="AR6" s="1">
        <v>1</v>
      </c>
    </row>
    <row r="7" spans="1:44" ht="19" x14ac:dyDescent="0.35">
      <c r="A7" s="10">
        <v>2</v>
      </c>
      <c r="B7" s="11"/>
      <c r="C7" s="15"/>
      <c r="D7" s="132"/>
      <c r="E7" s="10" t="s">
        <v>25</v>
      </c>
      <c r="F7" s="22" t="s">
        <v>12</v>
      </c>
      <c r="G7" s="22" t="s">
        <v>11</v>
      </c>
      <c r="H7" s="23" t="s">
        <v>11</v>
      </c>
      <c r="I7" s="23" t="s">
        <v>12</v>
      </c>
      <c r="J7" s="23" t="s">
        <v>12</v>
      </c>
      <c r="K7" s="237"/>
      <c r="L7" s="22" t="s">
        <v>12</v>
      </c>
      <c r="M7" s="23" t="s">
        <v>12</v>
      </c>
      <c r="N7" s="23" t="s">
        <v>11</v>
      </c>
      <c r="O7" s="23" t="s">
        <v>11</v>
      </c>
      <c r="P7" s="23" t="s">
        <v>12</v>
      </c>
      <c r="Q7" s="23" t="s">
        <v>12</v>
      </c>
      <c r="R7" s="237"/>
      <c r="S7" s="237"/>
      <c r="T7" s="23" t="s">
        <v>11</v>
      </c>
      <c r="U7" s="22" t="s">
        <v>11</v>
      </c>
      <c r="V7" s="23" t="s">
        <v>12</v>
      </c>
      <c r="W7" s="23" t="s">
        <v>12</v>
      </c>
      <c r="X7" s="23" t="s">
        <v>11</v>
      </c>
      <c r="Y7" s="237"/>
      <c r="Z7" s="22" t="s">
        <v>11</v>
      </c>
      <c r="AA7" s="23" t="s">
        <v>11</v>
      </c>
      <c r="AB7" s="23" t="s">
        <v>12</v>
      </c>
      <c r="AC7" s="23" t="s">
        <v>12</v>
      </c>
      <c r="AD7" s="23" t="s">
        <v>11</v>
      </c>
      <c r="AE7" s="23" t="s">
        <v>11</v>
      </c>
      <c r="AF7" s="237"/>
      <c r="AG7" s="22" t="s">
        <v>11</v>
      </c>
      <c r="AH7" s="23" t="s">
        <v>11</v>
      </c>
      <c r="AI7" s="23" t="s">
        <v>12</v>
      </c>
      <c r="AJ7" s="23" t="s">
        <v>11</v>
      </c>
      <c r="AK7" s="149">
        <f t="shared" ref="AK7:AK45" si="0">COUNTIF(F7:AJ7,"P")</f>
        <v>12</v>
      </c>
      <c r="AL7" s="10">
        <f t="shared" ref="AL7:AL45" si="1">COUNTIF(F7:AJ7,"A")</f>
        <v>14</v>
      </c>
      <c r="AN7" s="64" t="s">
        <v>26</v>
      </c>
      <c r="AO7" s="64">
        <v>4</v>
      </c>
      <c r="AP7" s="64"/>
      <c r="AQ7" s="64"/>
    </row>
    <row r="8" spans="1:44" ht="19" x14ac:dyDescent="0.35">
      <c r="A8" s="10">
        <v>3</v>
      </c>
      <c r="B8" s="11"/>
      <c r="C8" s="17"/>
      <c r="D8" s="133"/>
      <c r="E8" s="10" t="s">
        <v>25</v>
      </c>
      <c r="F8" s="22" t="s">
        <v>12</v>
      </c>
      <c r="G8" s="22" t="s">
        <v>12</v>
      </c>
      <c r="H8" s="23" t="s">
        <v>12</v>
      </c>
      <c r="I8" s="23" t="s">
        <v>11</v>
      </c>
      <c r="J8" s="23" t="s">
        <v>12</v>
      </c>
      <c r="K8" s="237"/>
      <c r="L8" s="22" t="s">
        <v>12</v>
      </c>
      <c r="M8" s="23" t="s">
        <v>12</v>
      </c>
      <c r="N8" s="23" t="s">
        <v>12</v>
      </c>
      <c r="O8" s="23" t="s">
        <v>12</v>
      </c>
      <c r="P8" s="23" t="s">
        <v>12</v>
      </c>
      <c r="Q8" s="23" t="s">
        <v>11</v>
      </c>
      <c r="R8" s="237"/>
      <c r="S8" s="237"/>
      <c r="T8" s="23" t="s">
        <v>11</v>
      </c>
      <c r="U8" s="24" t="s">
        <v>12</v>
      </c>
      <c r="V8" s="23" t="s">
        <v>12</v>
      </c>
      <c r="W8" s="23" t="s">
        <v>12</v>
      </c>
      <c r="X8" s="23" t="s">
        <v>12</v>
      </c>
      <c r="Y8" s="237"/>
      <c r="Z8" s="22" t="s">
        <v>12</v>
      </c>
      <c r="AA8" s="23" t="s">
        <v>12</v>
      </c>
      <c r="AB8" s="23" t="s">
        <v>12</v>
      </c>
      <c r="AC8" s="23" t="s">
        <v>12</v>
      </c>
      <c r="AD8" s="23" t="s">
        <v>12</v>
      </c>
      <c r="AE8" s="23" t="s">
        <v>12</v>
      </c>
      <c r="AF8" s="237"/>
      <c r="AG8" s="22" t="s">
        <v>12</v>
      </c>
      <c r="AH8" s="23" t="s">
        <v>12</v>
      </c>
      <c r="AI8" s="23" t="s">
        <v>12</v>
      </c>
      <c r="AJ8" s="23" t="s">
        <v>11</v>
      </c>
      <c r="AK8" s="10">
        <f t="shared" si="0"/>
        <v>22</v>
      </c>
      <c r="AL8" s="10">
        <f t="shared" si="1"/>
        <v>4</v>
      </c>
      <c r="AN8" s="150" t="s">
        <v>6</v>
      </c>
      <c r="AO8" s="150"/>
      <c r="AP8" s="150"/>
      <c r="AQ8" s="150"/>
    </row>
    <row r="9" spans="1:44" ht="19" x14ac:dyDescent="0.35">
      <c r="A9" s="10">
        <v>4</v>
      </c>
      <c r="B9" s="11"/>
      <c r="C9" s="15"/>
      <c r="D9" s="132"/>
      <c r="E9" s="10" t="s">
        <v>25</v>
      </c>
      <c r="F9" s="22" t="s">
        <v>11</v>
      </c>
      <c r="G9" s="22" t="s">
        <v>11</v>
      </c>
      <c r="H9" s="23" t="s">
        <v>11</v>
      </c>
      <c r="I9" s="23" t="s">
        <v>12</v>
      </c>
      <c r="J9" s="23" t="s">
        <v>12</v>
      </c>
      <c r="K9" s="237"/>
      <c r="L9" s="22" t="s">
        <v>12</v>
      </c>
      <c r="M9" s="23" t="s">
        <v>12</v>
      </c>
      <c r="N9" s="23" t="s">
        <v>12</v>
      </c>
      <c r="O9" s="23" t="s">
        <v>12</v>
      </c>
      <c r="P9" s="23" t="s">
        <v>11</v>
      </c>
      <c r="Q9" s="23" t="s">
        <v>11</v>
      </c>
      <c r="R9" s="237"/>
      <c r="S9" s="237"/>
      <c r="T9" s="23" t="s">
        <v>12</v>
      </c>
      <c r="U9" s="24" t="s">
        <v>12</v>
      </c>
      <c r="V9" s="23" t="s">
        <v>12</v>
      </c>
      <c r="W9" s="23" t="s">
        <v>11</v>
      </c>
      <c r="X9" s="23" t="s">
        <v>11</v>
      </c>
      <c r="Y9" s="237"/>
      <c r="Z9" s="22" t="s">
        <v>11</v>
      </c>
      <c r="AA9" s="23" t="s">
        <v>11</v>
      </c>
      <c r="AB9" s="23" t="s">
        <v>12</v>
      </c>
      <c r="AC9" s="23" t="s">
        <v>12</v>
      </c>
      <c r="AD9" s="23" t="s">
        <v>12</v>
      </c>
      <c r="AE9" s="23" t="s">
        <v>12</v>
      </c>
      <c r="AF9" s="237"/>
      <c r="AG9" s="22" t="s">
        <v>12</v>
      </c>
      <c r="AH9" s="23" t="s">
        <v>11</v>
      </c>
      <c r="AI9" s="23" t="s">
        <v>12</v>
      </c>
      <c r="AJ9" s="23" t="s">
        <v>11</v>
      </c>
      <c r="AK9" s="10">
        <f t="shared" si="0"/>
        <v>15</v>
      </c>
      <c r="AL9" s="10">
        <f t="shared" si="1"/>
        <v>11</v>
      </c>
      <c r="AN9" s="150" t="s">
        <v>16</v>
      </c>
      <c r="AO9" s="150" t="s">
        <v>18</v>
      </c>
      <c r="AP9" s="1" t="s">
        <v>17</v>
      </c>
      <c r="AQ9" s="150" t="s">
        <v>19</v>
      </c>
    </row>
    <row r="10" spans="1:44" ht="19" x14ac:dyDescent="0.35">
      <c r="A10" s="10">
        <v>5</v>
      </c>
      <c r="B10" s="11"/>
      <c r="C10" s="15"/>
      <c r="D10" s="133"/>
      <c r="E10" s="10" t="s">
        <v>25</v>
      </c>
      <c r="F10" s="22" t="s">
        <v>11</v>
      </c>
      <c r="G10" s="22" t="s">
        <v>12</v>
      </c>
      <c r="H10" s="23" t="s">
        <v>12</v>
      </c>
      <c r="I10" s="23" t="s">
        <v>12</v>
      </c>
      <c r="J10" s="23" t="s">
        <v>12</v>
      </c>
      <c r="K10" s="237"/>
      <c r="L10" s="22" t="s">
        <v>12</v>
      </c>
      <c r="M10" s="23" t="s">
        <v>12</v>
      </c>
      <c r="N10" s="23" t="s">
        <v>12</v>
      </c>
      <c r="O10" s="23" t="s">
        <v>12</v>
      </c>
      <c r="P10" s="23" t="s">
        <v>12</v>
      </c>
      <c r="Q10" s="23" t="s">
        <v>12</v>
      </c>
      <c r="R10" s="237"/>
      <c r="S10" s="237"/>
      <c r="T10" s="23" t="s">
        <v>12</v>
      </c>
      <c r="U10" s="22" t="s">
        <v>12</v>
      </c>
      <c r="V10" s="23" t="s">
        <v>12</v>
      </c>
      <c r="W10" s="23" t="s">
        <v>12</v>
      </c>
      <c r="X10" s="23" t="s">
        <v>12</v>
      </c>
      <c r="Y10" s="237"/>
      <c r="Z10" s="22" t="s">
        <v>12</v>
      </c>
      <c r="AA10" s="23" t="s">
        <v>12</v>
      </c>
      <c r="AB10" s="23" t="s">
        <v>12</v>
      </c>
      <c r="AC10" s="23" t="s">
        <v>12</v>
      </c>
      <c r="AD10" s="23" t="s">
        <v>12</v>
      </c>
      <c r="AE10" s="23" t="s">
        <v>12</v>
      </c>
      <c r="AF10" s="237"/>
      <c r="AG10" s="22" t="s">
        <v>12</v>
      </c>
      <c r="AH10" s="23" t="s">
        <v>12</v>
      </c>
      <c r="AI10" s="23" t="s">
        <v>12</v>
      </c>
      <c r="AJ10" s="23" t="s">
        <v>12</v>
      </c>
      <c r="AK10" s="10">
        <f t="shared" si="0"/>
        <v>25</v>
      </c>
      <c r="AL10" s="10">
        <f t="shared" si="1"/>
        <v>1</v>
      </c>
      <c r="AN10" s="150" t="s">
        <v>20</v>
      </c>
      <c r="AO10" s="150">
        <f>19*26</f>
        <v>494</v>
      </c>
      <c r="AP10" s="150">
        <f>21*26</f>
        <v>546</v>
      </c>
      <c r="AQ10" s="150">
        <f>AO10+AP10</f>
        <v>1040</v>
      </c>
    </row>
    <row r="11" spans="1:44" ht="19" x14ac:dyDescent="0.35">
      <c r="A11" s="10">
        <v>6</v>
      </c>
      <c r="B11" s="10"/>
      <c r="C11" s="15"/>
      <c r="D11" s="132"/>
      <c r="E11" s="10" t="s">
        <v>25</v>
      </c>
      <c r="F11" s="22" t="s">
        <v>11</v>
      </c>
      <c r="G11" s="22" t="s">
        <v>11</v>
      </c>
      <c r="H11" s="23" t="s">
        <v>11</v>
      </c>
      <c r="I11" s="23" t="s">
        <v>11</v>
      </c>
      <c r="J11" s="23" t="s">
        <v>12</v>
      </c>
      <c r="K11" s="237"/>
      <c r="L11" s="22" t="s">
        <v>12</v>
      </c>
      <c r="M11" s="23" t="s">
        <v>12</v>
      </c>
      <c r="N11" s="23" t="s">
        <v>12</v>
      </c>
      <c r="O11" s="23" t="s">
        <v>12</v>
      </c>
      <c r="P11" s="23" t="s">
        <v>12</v>
      </c>
      <c r="Q11" s="23" t="s">
        <v>12</v>
      </c>
      <c r="R11" s="237"/>
      <c r="S11" s="237"/>
      <c r="T11" s="23" t="s">
        <v>12</v>
      </c>
      <c r="U11" s="24" t="s">
        <v>12</v>
      </c>
      <c r="V11" s="23" t="s">
        <v>12</v>
      </c>
      <c r="W11" s="23" t="s">
        <v>12</v>
      </c>
      <c r="X11" s="23" t="s">
        <v>12</v>
      </c>
      <c r="Y11" s="237"/>
      <c r="Z11" s="22" t="s">
        <v>12</v>
      </c>
      <c r="AA11" s="23" t="s">
        <v>12</v>
      </c>
      <c r="AB11" s="23" t="s">
        <v>12</v>
      </c>
      <c r="AC11" s="23" t="s">
        <v>12</v>
      </c>
      <c r="AD11" s="23" t="s">
        <v>12</v>
      </c>
      <c r="AE11" s="23" t="s">
        <v>12</v>
      </c>
      <c r="AF11" s="237"/>
      <c r="AG11" s="22" t="s">
        <v>12</v>
      </c>
      <c r="AH11" s="23" t="s">
        <v>12</v>
      </c>
      <c r="AI11" s="23" t="s">
        <v>11</v>
      </c>
      <c r="AJ11" s="23" t="s">
        <v>12</v>
      </c>
      <c r="AK11" s="10">
        <f t="shared" si="0"/>
        <v>21</v>
      </c>
      <c r="AL11" s="10">
        <f t="shared" si="1"/>
        <v>5</v>
      </c>
      <c r="AN11" s="150" t="s">
        <v>21</v>
      </c>
      <c r="AO11" s="150">
        <f>AK8+AK9+AK10+AK11+AK13+AK14+AK15+AK16+AK17+AK18+AK19+AK27+AK28+AK36+AK37+AK38+AK39+AK43+AK44</f>
        <v>375</v>
      </c>
      <c r="AP11" s="150">
        <f>AK6+AK7+AK12+AK20+AK21+AK22+AK23+AK24+AK25+AK26+AK29+AK30+AK31+AK32+AK33+AK34+AK35+AK40+AK41+AK42+AK45</f>
        <v>398</v>
      </c>
      <c r="AQ11" s="150">
        <f>AO11+AP11</f>
        <v>773</v>
      </c>
    </row>
    <row r="12" spans="1:44" ht="20.25" customHeight="1" x14ac:dyDescent="0.4">
      <c r="A12" s="10">
        <v>7</v>
      </c>
      <c r="B12" s="10"/>
      <c r="C12" s="15"/>
      <c r="D12" s="132"/>
      <c r="E12" s="10" t="s">
        <v>25</v>
      </c>
      <c r="F12" s="22" t="s">
        <v>11</v>
      </c>
      <c r="G12" s="22" t="s">
        <v>11</v>
      </c>
      <c r="H12" s="26" t="s">
        <v>11</v>
      </c>
      <c r="I12" s="26" t="s">
        <v>11</v>
      </c>
      <c r="J12" s="26" t="s">
        <v>11</v>
      </c>
      <c r="K12" s="237"/>
      <c r="L12" s="22" t="s">
        <v>12</v>
      </c>
      <c r="M12" s="26" t="s">
        <v>12</v>
      </c>
      <c r="N12" s="26" t="s">
        <v>12</v>
      </c>
      <c r="O12" s="26" t="s">
        <v>12</v>
      </c>
      <c r="P12" s="26" t="s">
        <v>12</v>
      </c>
      <c r="Q12" s="26" t="s">
        <v>12</v>
      </c>
      <c r="R12" s="237"/>
      <c r="S12" s="237"/>
      <c r="T12" s="26" t="s">
        <v>12</v>
      </c>
      <c r="U12" s="24" t="s">
        <v>11</v>
      </c>
      <c r="V12" s="26" t="s">
        <v>11</v>
      </c>
      <c r="W12" s="26" t="s">
        <v>12</v>
      </c>
      <c r="X12" s="26" t="s">
        <v>12</v>
      </c>
      <c r="Y12" s="237"/>
      <c r="Z12" s="22" t="s">
        <v>12</v>
      </c>
      <c r="AA12" s="26" t="s">
        <v>12</v>
      </c>
      <c r="AB12" s="26" t="s">
        <v>12</v>
      </c>
      <c r="AC12" s="26" t="s">
        <v>12</v>
      </c>
      <c r="AD12" s="26" t="s">
        <v>12</v>
      </c>
      <c r="AE12" s="26" t="s">
        <v>11</v>
      </c>
      <c r="AF12" s="237"/>
      <c r="AG12" s="22" t="s">
        <v>11</v>
      </c>
      <c r="AH12" s="26" t="s">
        <v>11</v>
      </c>
      <c r="AI12" s="26" t="s">
        <v>12</v>
      </c>
      <c r="AJ12" s="26" t="s">
        <v>12</v>
      </c>
      <c r="AK12" s="149">
        <f t="shared" si="0"/>
        <v>16</v>
      </c>
      <c r="AL12" s="10">
        <f t="shared" si="1"/>
        <v>10</v>
      </c>
      <c r="AN12" s="150" t="s">
        <v>22</v>
      </c>
      <c r="AO12" s="154">
        <f>AO11/AO10</f>
        <v>0.75910931174089069</v>
      </c>
      <c r="AP12" s="154">
        <f>AP11/AP10</f>
        <v>0.7289377289377289</v>
      </c>
      <c r="AQ12" s="154">
        <f>AQ11/AQ10</f>
        <v>0.74326923076923079</v>
      </c>
    </row>
    <row r="13" spans="1:44" ht="19" x14ac:dyDescent="0.35">
      <c r="A13" s="10">
        <v>8</v>
      </c>
      <c r="B13" s="11"/>
      <c r="C13" s="15"/>
      <c r="D13" s="132"/>
      <c r="E13" s="10" t="s">
        <v>25</v>
      </c>
      <c r="F13" s="22" t="s">
        <v>11</v>
      </c>
      <c r="G13" s="22" t="s">
        <v>12</v>
      </c>
      <c r="H13" s="23" t="s">
        <v>12</v>
      </c>
      <c r="I13" s="23" t="s">
        <v>12</v>
      </c>
      <c r="J13" s="23" t="s">
        <v>11</v>
      </c>
      <c r="K13" s="237"/>
      <c r="L13" s="22" t="s">
        <v>12</v>
      </c>
      <c r="M13" s="23" t="s">
        <v>12</v>
      </c>
      <c r="N13" s="23" t="s">
        <v>12</v>
      </c>
      <c r="O13" s="23" t="s">
        <v>12</v>
      </c>
      <c r="P13" s="23" t="s">
        <v>12</v>
      </c>
      <c r="Q13" s="23" t="s">
        <v>12</v>
      </c>
      <c r="R13" s="237"/>
      <c r="S13" s="237"/>
      <c r="T13" s="23" t="s">
        <v>12</v>
      </c>
      <c r="U13" s="24" t="s">
        <v>11</v>
      </c>
      <c r="V13" s="23" t="s">
        <v>11</v>
      </c>
      <c r="W13" s="23" t="s">
        <v>11</v>
      </c>
      <c r="X13" s="23" t="s">
        <v>11</v>
      </c>
      <c r="Y13" s="237"/>
      <c r="Z13" s="22" t="s">
        <v>12</v>
      </c>
      <c r="AA13" s="23" t="s">
        <v>12</v>
      </c>
      <c r="AB13" s="23" t="s">
        <v>12</v>
      </c>
      <c r="AC13" s="23" t="s">
        <v>12</v>
      </c>
      <c r="AD13" s="23" t="s">
        <v>12</v>
      </c>
      <c r="AE13" s="23" t="s">
        <v>12</v>
      </c>
      <c r="AF13" s="237"/>
      <c r="AG13" s="22" t="s">
        <v>11</v>
      </c>
      <c r="AH13" s="23" t="s">
        <v>11</v>
      </c>
      <c r="AI13" s="23" t="s">
        <v>12</v>
      </c>
      <c r="AJ13" s="23" t="s">
        <v>12</v>
      </c>
      <c r="AK13" s="10">
        <f t="shared" si="0"/>
        <v>18</v>
      </c>
      <c r="AL13" s="10">
        <f t="shared" si="1"/>
        <v>8</v>
      </c>
      <c r="AN13" s="64"/>
      <c r="AO13" s="64"/>
      <c r="AP13" s="64"/>
      <c r="AQ13" s="64"/>
    </row>
    <row r="14" spans="1:44" ht="19" x14ac:dyDescent="0.35">
      <c r="A14" s="10">
        <v>9</v>
      </c>
      <c r="B14" s="11"/>
      <c r="C14" s="15"/>
      <c r="D14" s="132"/>
      <c r="E14" s="10" t="s">
        <v>25</v>
      </c>
      <c r="F14" s="22" t="s">
        <v>11</v>
      </c>
      <c r="G14" s="22" t="s">
        <v>11</v>
      </c>
      <c r="H14" s="23" t="s">
        <v>12</v>
      </c>
      <c r="I14" s="23" t="s">
        <v>11</v>
      </c>
      <c r="J14" s="23" t="s">
        <v>12</v>
      </c>
      <c r="K14" s="237"/>
      <c r="L14" s="22" t="s">
        <v>12</v>
      </c>
      <c r="M14" s="23" t="s">
        <v>12</v>
      </c>
      <c r="N14" s="23" t="s">
        <v>12</v>
      </c>
      <c r="O14" s="23" t="s">
        <v>12</v>
      </c>
      <c r="P14" s="23" t="s">
        <v>12</v>
      </c>
      <c r="Q14" s="23" t="s">
        <v>11</v>
      </c>
      <c r="R14" s="237"/>
      <c r="S14" s="237"/>
      <c r="T14" s="23" t="s">
        <v>11</v>
      </c>
      <c r="U14" s="24" t="s">
        <v>12</v>
      </c>
      <c r="V14" s="23" t="s">
        <v>12</v>
      </c>
      <c r="W14" s="23" t="s">
        <v>11</v>
      </c>
      <c r="X14" s="23" t="s">
        <v>11</v>
      </c>
      <c r="Y14" s="237"/>
      <c r="Z14" s="22" t="s">
        <v>12</v>
      </c>
      <c r="AA14" s="23" t="s">
        <v>12</v>
      </c>
      <c r="AB14" s="23" t="s">
        <v>12</v>
      </c>
      <c r="AC14" s="23" t="s">
        <v>12</v>
      </c>
      <c r="AD14" s="23" t="s">
        <v>12</v>
      </c>
      <c r="AE14" s="23" t="s">
        <v>12</v>
      </c>
      <c r="AF14" s="237"/>
      <c r="AG14" s="22" t="s">
        <v>11</v>
      </c>
      <c r="AH14" s="23" t="s">
        <v>12</v>
      </c>
      <c r="AI14" s="23" t="s">
        <v>12</v>
      </c>
      <c r="AJ14" s="23" t="s">
        <v>11</v>
      </c>
      <c r="AK14" s="10">
        <f t="shared" si="0"/>
        <v>17</v>
      </c>
      <c r="AL14" s="10">
        <f t="shared" si="1"/>
        <v>9</v>
      </c>
      <c r="AN14" s="150" t="s">
        <v>7</v>
      </c>
      <c r="AO14" s="150"/>
      <c r="AP14" s="150"/>
      <c r="AQ14" s="150"/>
    </row>
    <row r="15" spans="1:44" ht="19" x14ac:dyDescent="0.35">
      <c r="A15" s="10">
        <v>10</v>
      </c>
      <c r="B15" s="11"/>
      <c r="C15" s="15"/>
      <c r="D15" s="132"/>
      <c r="E15" s="10" t="s">
        <v>25</v>
      </c>
      <c r="F15" s="22" t="s">
        <v>12</v>
      </c>
      <c r="G15" s="22" t="s">
        <v>11</v>
      </c>
      <c r="H15" s="23" t="s">
        <v>12</v>
      </c>
      <c r="I15" s="23" t="s">
        <v>12</v>
      </c>
      <c r="J15" s="23" t="s">
        <v>11</v>
      </c>
      <c r="K15" s="237"/>
      <c r="L15" s="22" t="s">
        <v>12</v>
      </c>
      <c r="M15" s="23" t="s">
        <v>12</v>
      </c>
      <c r="N15" s="23" t="s">
        <v>12</v>
      </c>
      <c r="O15" s="23" t="s">
        <v>12</v>
      </c>
      <c r="P15" s="23" t="s">
        <v>12</v>
      </c>
      <c r="Q15" s="23" t="s">
        <v>12</v>
      </c>
      <c r="R15" s="237"/>
      <c r="S15" s="237"/>
      <c r="T15" s="23" t="s">
        <v>12</v>
      </c>
      <c r="U15" s="24" t="s">
        <v>12</v>
      </c>
      <c r="V15" s="23" t="s">
        <v>12</v>
      </c>
      <c r="W15" s="23" t="s">
        <v>11</v>
      </c>
      <c r="X15" s="23" t="s">
        <v>12</v>
      </c>
      <c r="Y15" s="237"/>
      <c r="Z15" s="22" t="s">
        <v>12</v>
      </c>
      <c r="AA15" s="23" t="s">
        <v>12</v>
      </c>
      <c r="AB15" s="23" t="s">
        <v>12</v>
      </c>
      <c r="AC15" s="23" t="s">
        <v>12</v>
      </c>
      <c r="AD15" s="23" t="s">
        <v>12</v>
      </c>
      <c r="AE15" s="23" t="s">
        <v>12</v>
      </c>
      <c r="AF15" s="237"/>
      <c r="AG15" s="22" t="s">
        <v>12</v>
      </c>
      <c r="AH15" s="23" t="s">
        <v>12</v>
      </c>
      <c r="AI15" s="23" t="s">
        <v>12</v>
      </c>
      <c r="AJ15" s="23" t="s">
        <v>12</v>
      </c>
      <c r="AK15" s="10">
        <f t="shared" si="0"/>
        <v>23</v>
      </c>
      <c r="AL15" s="10">
        <f t="shared" si="1"/>
        <v>3</v>
      </c>
      <c r="AN15" s="150" t="s">
        <v>16</v>
      </c>
      <c r="AO15" s="150" t="s">
        <v>18</v>
      </c>
      <c r="AP15" s="150" t="s">
        <v>17</v>
      </c>
      <c r="AQ15" s="150" t="s">
        <v>19</v>
      </c>
    </row>
    <row r="16" spans="1:44" ht="19" x14ac:dyDescent="0.35">
      <c r="A16" s="10">
        <v>11</v>
      </c>
      <c r="B16" s="11"/>
      <c r="C16" s="15"/>
      <c r="D16" s="132"/>
      <c r="E16" s="10" t="s">
        <v>25</v>
      </c>
      <c r="F16" s="22" t="s">
        <v>11</v>
      </c>
      <c r="G16" s="22" t="s">
        <v>11</v>
      </c>
      <c r="H16" s="23" t="s">
        <v>12</v>
      </c>
      <c r="I16" s="23" t="s">
        <v>12</v>
      </c>
      <c r="J16" s="23" t="s">
        <v>12</v>
      </c>
      <c r="K16" s="237"/>
      <c r="L16" s="22" t="s">
        <v>12</v>
      </c>
      <c r="M16" s="23" t="s">
        <v>12</v>
      </c>
      <c r="N16" s="23" t="s">
        <v>12</v>
      </c>
      <c r="O16" s="23" t="s">
        <v>12</v>
      </c>
      <c r="P16" s="23" t="s">
        <v>12</v>
      </c>
      <c r="Q16" s="23" t="s">
        <v>12</v>
      </c>
      <c r="R16" s="237"/>
      <c r="S16" s="237"/>
      <c r="T16" s="23" t="s">
        <v>11</v>
      </c>
      <c r="U16" s="24" t="s">
        <v>12</v>
      </c>
      <c r="V16" s="23" t="s">
        <v>12</v>
      </c>
      <c r="W16" s="23" t="s">
        <v>12</v>
      </c>
      <c r="X16" s="23" t="s">
        <v>12</v>
      </c>
      <c r="Y16" s="237"/>
      <c r="Z16" s="22" t="s">
        <v>11</v>
      </c>
      <c r="AA16" s="23" t="s">
        <v>11</v>
      </c>
      <c r="AB16" s="23" t="s">
        <v>11</v>
      </c>
      <c r="AC16" s="23" t="s">
        <v>12</v>
      </c>
      <c r="AD16" s="23" t="s">
        <v>12</v>
      </c>
      <c r="AE16" s="23" t="s">
        <v>12</v>
      </c>
      <c r="AF16" s="237"/>
      <c r="AG16" s="22" t="s">
        <v>12</v>
      </c>
      <c r="AH16" s="23" t="s">
        <v>12</v>
      </c>
      <c r="AI16" s="23" t="s">
        <v>11</v>
      </c>
      <c r="AJ16" s="23" t="s">
        <v>11</v>
      </c>
      <c r="AK16" s="10">
        <f t="shared" si="0"/>
        <v>18</v>
      </c>
      <c r="AL16" s="10">
        <f t="shared" si="1"/>
        <v>8</v>
      </c>
      <c r="AN16" s="150" t="s">
        <v>20</v>
      </c>
      <c r="AO16" s="150">
        <f>19*26</f>
        <v>494</v>
      </c>
      <c r="AP16" s="150">
        <f>21*26</f>
        <v>546</v>
      </c>
      <c r="AQ16" s="150">
        <f>AO16+AP16</f>
        <v>1040</v>
      </c>
    </row>
    <row r="17" spans="1:43" ht="18" x14ac:dyDescent="0.4">
      <c r="A17" s="10">
        <v>12</v>
      </c>
      <c r="B17" s="10"/>
      <c r="C17" s="15"/>
      <c r="D17" s="132"/>
      <c r="E17" s="10" t="s">
        <v>25</v>
      </c>
      <c r="F17" s="22" t="s">
        <v>11</v>
      </c>
      <c r="G17" s="22" t="s">
        <v>12</v>
      </c>
      <c r="H17" s="26" t="s">
        <v>12</v>
      </c>
      <c r="I17" s="26" t="s">
        <v>12</v>
      </c>
      <c r="J17" s="26" t="s">
        <v>12</v>
      </c>
      <c r="K17" s="237"/>
      <c r="L17" s="22" t="s">
        <v>12</v>
      </c>
      <c r="M17" s="26" t="s">
        <v>12</v>
      </c>
      <c r="N17" s="26" t="s">
        <v>12</v>
      </c>
      <c r="O17" s="26" t="s">
        <v>12</v>
      </c>
      <c r="P17" s="26" t="s">
        <v>12</v>
      </c>
      <c r="Q17" s="26" t="s">
        <v>11</v>
      </c>
      <c r="R17" s="237"/>
      <c r="S17" s="237"/>
      <c r="T17" s="26" t="s">
        <v>11</v>
      </c>
      <c r="U17" s="24" t="s">
        <v>12</v>
      </c>
      <c r="V17" s="26" t="s">
        <v>12</v>
      </c>
      <c r="W17" s="26" t="s">
        <v>12</v>
      </c>
      <c r="X17" s="26" t="s">
        <v>12</v>
      </c>
      <c r="Y17" s="237"/>
      <c r="Z17" s="22" t="s">
        <v>12</v>
      </c>
      <c r="AA17" s="26" t="s">
        <v>12</v>
      </c>
      <c r="AB17" s="26" t="s">
        <v>12</v>
      </c>
      <c r="AC17" s="26" t="s">
        <v>12</v>
      </c>
      <c r="AD17" s="26" t="s">
        <v>12</v>
      </c>
      <c r="AE17" s="26" t="s">
        <v>11</v>
      </c>
      <c r="AF17" s="237"/>
      <c r="AG17" s="22" t="s">
        <v>12</v>
      </c>
      <c r="AH17" s="26" t="s">
        <v>12</v>
      </c>
      <c r="AI17" s="26" t="s">
        <v>12</v>
      </c>
      <c r="AJ17" s="26" t="s">
        <v>12</v>
      </c>
      <c r="AK17" s="10">
        <f t="shared" si="0"/>
        <v>22</v>
      </c>
      <c r="AL17" s="10">
        <f t="shared" si="1"/>
        <v>4</v>
      </c>
      <c r="AN17" s="150" t="s">
        <v>27</v>
      </c>
      <c r="AO17" s="10">
        <f>AO10-AO11</f>
        <v>119</v>
      </c>
      <c r="AP17" s="10">
        <f>AP10-AP11</f>
        <v>148</v>
      </c>
      <c r="AQ17" s="150">
        <f>AO17+AP17</f>
        <v>267</v>
      </c>
    </row>
    <row r="18" spans="1:43" ht="19" x14ac:dyDescent="0.35">
      <c r="A18" s="10">
        <v>13</v>
      </c>
      <c r="B18" s="11"/>
      <c r="C18" s="17"/>
      <c r="D18" s="132"/>
      <c r="E18" s="10" t="s">
        <v>25</v>
      </c>
      <c r="F18" s="22" t="s">
        <v>11</v>
      </c>
      <c r="G18" s="22" t="s">
        <v>12</v>
      </c>
      <c r="H18" s="23" t="s">
        <v>12</v>
      </c>
      <c r="I18" s="23" t="s">
        <v>12</v>
      </c>
      <c r="J18" s="23" t="s">
        <v>12</v>
      </c>
      <c r="K18" s="237"/>
      <c r="L18" s="22" t="s">
        <v>11</v>
      </c>
      <c r="M18" s="23" t="s">
        <v>12</v>
      </c>
      <c r="N18" s="23" t="s">
        <v>12</v>
      </c>
      <c r="O18" s="23" t="s">
        <v>12</v>
      </c>
      <c r="P18" s="23" t="s">
        <v>12</v>
      </c>
      <c r="Q18" s="23" t="s">
        <v>11</v>
      </c>
      <c r="R18" s="237"/>
      <c r="S18" s="237"/>
      <c r="T18" s="23" t="s">
        <v>12</v>
      </c>
      <c r="U18" s="24" t="s">
        <v>12</v>
      </c>
      <c r="V18" s="23" t="s">
        <v>12</v>
      </c>
      <c r="W18" s="23" t="s">
        <v>12</v>
      </c>
      <c r="X18" s="23" t="s">
        <v>12</v>
      </c>
      <c r="Y18" s="237"/>
      <c r="Z18" s="22" t="s">
        <v>11</v>
      </c>
      <c r="AA18" s="23" t="s">
        <v>12</v>
      </c>
      <c r="AB18" s="23" t="s">
        <v>12</v>
      </c>
      <c r="AC18" s="23" t="s">
        <v>11</v>
      </c>
      <c r="AD18" s="23" t="s">
        <v>12</v>
      </c>
      <c r="AE18" s="23" t="s">
        <v>12</v>
      </c>
      <c r="AF18" s="237"/>
      <c r="AG18" s="22" t="s">
        <v>12</v>
      </c>
      <c r="AH18" s="23" t="s">
        <v>12</v>
      </c>
      <c r="AI18" s="23" t="s">
        <v>12</v>
      </c>
      <c r="AJ18" s="23" t="s">
        <v>12</v>
      </c>
      <c r="AK18" s="10">
        <f t="shared" si="0"/>
        <v>21</v>
      </c>
      <c r="AL18" s="10">
        <f t="shared" si="1"/>
        <v>5</v>
      </c>
      <c r="AN18" s="10" t="s">
        <v>19</v>
      </c>
      <c r="AO18" s="156">
        <f>AO17/AO16</f>
        <v>0.24089068825910931</v>
      </c>
      <c r="AP18" s="156">
        <f>AP17/AP16</f>
        <v>0.27106227106227104</v>
      </c>
      <c r="AQ18" s="156">
        <f>AQ17/AQ16</f>
        <v>0.25673076923076921</v>
      </c>
    </row>
    <row r="19" spans="1:43" ht="18" x14ac:dyDescent="0.4">
      <c r="A19" s="10">
        <v>14</v>
      </c>
      <c r="B19" s="10"/>
      <c r="C19" s="15"/>
      <c r="D19" s="132"/>
      <c r="E19" s="10" t="s">
        <v>25</v>
      </c>
      <c r="F19" s="22" t="s">
        <v>11</v>
      </c>
      <c r="G19" s="22" t="s">
        <v>11</v>
      </c>
      <c r="H19" s="26" t="s">
        <v>11</v>
      </c>
      <c r="I19" s="26" t="s">
        <v>11</v>
      </c>
      <c r="J19" s="26" t="s">
        <v>11</v>
      </c>
      <c r="K19" s="237"/>
      <c r="L19" s="22" t="s">
        <v>12</v>
      </c>
      <c r="M19" s="26" t="s">
        <v>12</v>
      </c>
      <c r="N19" s="26" t="s">
        <v>12</v>
      </c>
      <c r="O19" s="26" t="s">
        <v>12</v>
      </c>
      <c r="P19" s="26" t="s">
        <v>12</v>
      </c>
      <c r="Q19" s="26" t="s">
        <v>12</v>
      </c>
      <c r="R19" s="237"/>
      <c r="S19" s="237"/>
      <c r="T19" s="26" t="s">
        <v>11</v>
      </c>
      <c r="U19" s="24" t="s">
        <v>12</v>
      </c>
      <c r="V19" s="26" t="s">
        <v>12</v>
      </c>
      <c r="W19" s="26" t="s">
        <v>12</v>
      </c>
      <c r="X19" s="26" t="s">
        <v>12</v>
      </c>
      <c r="Y19" s="237"/>
      <c r="Z19" s="22" t="s">
        <v>11</v>
      </c>
      <c r="AA19" s="26" t="s">
        <v>12</v>
      </c>
      <c r="AB19" s="26" t="s">
        <v>12</v>
      </c>
      <c r="AC19" s="26" t="s">
        <v>11</v>
      </c>
      <c r="AD19" s="26" t="s">
        <v>12</v>
      </c>
      <c r="AE19" s="26" t="s">
        <v>12</v>
      </c>
      <c r="AF19" s="237"/>
      <c r="AG19" s="22" t="s">
        <v>11</v>
      </c>
      <c r="AH19" s="26" t="s">
        <v>12</v>
      </c>
      <c r="AI19" s="26" t="s">
        <v>12</v>
      </c>
      <c r="AJ19" s="26" t="s">
        <v>12</v>
      </c>
      <c r="AK19" s="10">
        <f t="shared" si="0"/>
        <v>17</v>
      </c>
      <c r="AL19" s="10">
        <f t="shared" si="1"/>
        <v>9</v>
      </c>
    </row>
    <row r="20" spans="1:43" ht="19" x14ac:dyDescent="0.35">
      <c r="A20" s="10">
        <v>15</v>
      </c>
      <c r="B20" s="11"/>
      <c r="C20" s="15"/>
      <c r="D20" s="132"/>
      <c r="E20" s="10" t="s">
        <v>25</v>
      </c>
      <c r="F20" s="22" t="s">
        <v>11</v>
      </c>
      <c r="G20" s="22" t="s">
        <v>12</v>
      </c>
      <c r="H20" s="23" t="s">
        <v>12</v>
      </c>
      <c r="I20" s="23" t="s">
        <v>12</v>
      </c>
      <c r="J20" s="23" t="s">
        <v>12</v>
      </c>
      <c r="K20" s="237"/>
      <c r="L20" s="22" t="s">
        <v>12</v>
      </c>
      <c r="M20" s="23" t="s">
        <v>12</v>
      </c>
      <c r="N20" s="23" t="s">
        <v>12</v>
      </c>
      <c r="O20" s="23" t="s">
        <v>12</v>
      </c>
      <c r="P20" s="23" t="s">
        <v>12</v>
      </c>
      <c r="Q20" s="23" t="s">
        <v>12</v>
      </c>
      <c r="R20" s="237"/>
      <c r="S20" s="237"/>
      <c r="T20" s="23" t="s">
        <v>11</v>
      </c>
      <c r="U20" s="24" t="s">
        <v>12</v>
      </c>
      <c r="V20" s="23" t="s">
        <v>12</v>
      </c>
      <c r="W20" s="23" t="s">
        <v>12</v>
      </c>
      <c r="X20" s="23" t="s">
        <v>12</v>
      </c>
      <c r="Y20" s="237"/>
      <c r="Z20" s="22" t="s">
        <v>12</v>
      </c>
      <c r="AA20" s="23" t="s">
        <v>12</v>
      </c>
      <c r="AB20" s="23" t="s">
        <v>12</v>
      </c>
      <c r="AC20" s="23" t="s">
        <v>12</v>
      </c>
      <c r="AD20" s="23" t="s">
        <v>12</v>
      </c>
      <c r="AE20" s="23" t="s">
        <v>12</v>
      </c>
      <c r="AF20" s="237"/>
      <c r="AG20" s="22" t="s">
        <v>12</v>
      </c>
      <c r="AH20" s="23" t="s">
        <v>12</v>
      </c>
      <c r="AI20" s="23" t="s">
        <v>12</v>
      </c>
      <c r="AJ20" s="23" t="s">
        <v>12</v>
      </c>
      <c r="AK20" s="149">
        <f t="shared" si="0"/>
        <v>24</v>
      </c>
      <c r="AL20" s="10">
        <f t="shared" si="1"/>
        <v>2</v>
      </c>
    </row>
    <row r="21" spans="1:43" ht="18" x14ac:dyDescent="0.4">
      <c r="A21" s="10">
        <v>16</v>
      </c>
      <c r="B21" s="10"/>
      <c r="C21" s="15"/>
      <c r="D21" s="132"/>
      <c r="E21" s="10" t="s">
        <v>25</v>
      </c>
      <c r="F21" s="22" t="s">
        <v>11</v>
      </c>
      <c r="G21" s="22" t="s">
        <v>12</v>
      </c>
      <c r="H21" s="26" t="s">
        <v>12</v>
      </c>
      <c r="I21" s="26" t="s">
        <v>12</v>
      </c>
      <c r="J21" s="26" t="s">
        <v>12</v>
      </c>
      <c r="K21" s="237"/>
      <c r="L21" s="22" t="s">
        <v>12</v>
      </c>
      <c r="M21" s="26" t="s">
        <v>12</v>
      </c>
      <c r="N21" s="26" t="s">
        <v>12</v>
      </c>
      <c r="O21" s="26" t="s">
        <v>12</v>
      </c>
      <c r="P21" s="26" t="s">
        <v>12</v>
      </c>
      <c r="Q21" s="26" t="s">
        <v>11</v>
      </c>
      <c r="R21" s="237"/>
      <c r="S21" s="237"/>
      <c r="T21" s="26" t="s">
        <v>11</v>
      </c>
      <c r="U21" s="24" t="s">
        <v>12</v>
      </c>
      <c r="V21" s="26" t="s">
        <v>12</v>
      </c>
      <c r="W21" s="26" t="s">
        <v>12</v>
      </c>
      <c r="X21" s="26" t="s">
        <v>12</v>
      </c>
      <c r="Y21" s="237"/>
      <c r="Z21" s="22" t="s">
        <v>12</v>
      </c>
      <c r="AA21" s="26" t="s">
        <v>12</v>
      </c>
      <c r="AB21" s="26" t="s">
        <v>12</v>
      </c>
      <c r="AC21" s="26" t="s">
        <v>12</v>
      </c>
      <c r="AD21" s="26" t="s">
        <v>11</v>
      </c>
      <c r="AE21" s="26" t="s">
        <v>12</v>
      </c>
      <c r="AF21" s="237"/>
      <c r="AG21" s="22" t="s">
        <v>12</v>
      </c>
      <c r="AH21" s="26" t="s">
        <v>11</v>
      </c>
      <c r="AI21" s="26" t="s">
        <v>12</v>
      </c>
      <c r="AJ21" s="26" t="s">
        <v>12</v>
      </c>
      <c r="AK21" s="149">
        <f t="shared" si="0"/>
        <v>21</v>
      </c>
      <c r="AL21" s="10">
        <f t="shared" si="1"/>
        <v>5</v>
      </c>
    </row>
    <row r="22" spans="1:43" ht="19" x14ac:dyDescent="0.35">
      <c r="A22" s="10">
        <v>17</v>
      </c>
      <c r="B22" s="10"/>
      <c r="C22" s="17"/>
      <c r="D22" s="132"/>
      <c r="E22" s="10" t="s">
        <v>25</v>
      </c>
      <c r="F22" s="22" t="s">
        <v>11</v>
      </c>
      <c r="G22" s="22" t="s">
        <v>11</v>
      </c>
      <c r="H22" s="23" t="s">
        <v>12</v>
      </c>
      <c r="I22" s="23" t="s">
        <v>12</v>
      </c>
      <c r="J22" s="23" t="s">
        <v>12</v>
      </c>
      <c r="K22" s="237"/>
      <c r="L22" s="22" t="s">
        <v>12</v>
      </c>
      <c r="M22" s="23" t="s">
        <v>12</v>
      </c>
      <c r="N22" s="23" t="s">
        <v>12</v>
      </c>
      <c r="O22" s="23" t="s">
        <v>12</v>
      </c>
      <c r="P22" s="23" t="s">
        <v>12</v>
      </c>
      <c r="Q22" s="23" t="s">
        <v>12</v>
      </c>
      <c r="R22" s="237"/>
      <c r="S22" s="237"/>
      <c r="T22" s="23" t="s">
        <v>11</v>
      </c>
      <c r="U22" s="24" t="s">
        <v>12</v>
      </c>
      <c r="V22" s="23" t="s">
        <v>12</v>
      </c>
      <c r="W22" s="23" t="s">
        <v>12</v>
      </c>
      <c r="X22" s="23" t="s">
        <v>12</v>
      </c>
      <c r="Y22" s="237"/>
      <c r="Z22" s="22" t="s">
        <v>12</v>
      </c>
      <c r="AA22" s="23" t="s">
        <v>11</v>
      </c>
      <c r="AB22" s="23" t="s">
        <v>12</v>
      </c>
      <c r="AC22" s="23" t="s">
        <v>11</v>
      </c>
      <c r="AD22" s="23" t="s">
        <v>12</v>
      </c>
      <c r="AE22" s="23" t="s">
        <v>12</v>
      </c>
      <c r="AF22" s="237"/>
      <c r="AG22" s="22" t="s">
        <v>12</v>
      </c>
      <c r="AH22" s="23" t="s">
        <v>12</v>
      </c>
      <c r="AI22" s="23" t="s">
        <v>12</v>
      </c>
      <c r="AJ22" s="23" t="s">
        <v>12</v>
      </c>
      <c r="AK22" s="149">
        <f t="shared" si="0"/>
        <v>21</v>
      </c>
      <c r="AL22" s="10">
        <f t="shared" si="1"/>
        <v>5</v>
      </c>
    </row>
    <row r="23" spans="1:43" ht="19" x14ac:dyDescent="0.35">
      <c r="A23" s="10">
        <v>18</v>
      </c>
      <c r="B23" s="11"/>
      <c r="C23" s="17"/>
      <c r="D23" s="132"/>
      <c r="E23" s="10" t="s">
        <v>25</v>
      </c>
      <c r="F23" s="22" t="s">
        <v>11</v>
      </c>
      <c r="G23" s="22" t="s">
        <v>11</v>
      </c>
      <c r="H23" s="23" t="s">
        <v>12</v>
      </c>
      <c r="I23" s="23" t="s">
        <v>12</v>
      </c>
      <c r="J23" s="23" t="s">
        <v>12</v>
      </c>
      <c r="K23" s="237"/>
      <c r="L23" s="22" t="s">
        <v>12</v>
      </c>
      <c r="M23" s="23" t="s">
        <v>12</v>
      </c>
      <c r="N23" s="23" t="s">
        <v>12</v>
      </c>
      <c r="O23" s="23" t="s">
        <v>12</v>
      </c>
      <c r="P23" s="23" t="s">
        <v>12</v>
      </c>
      <c r="Q23" s="23" t="s">
        <v>12</v>
      </c>
      <c r="R23" s="237"/>
      <c r="S23" s="237"/>
      <c r="T23" s="23" t="s">
        <v>12</v>
      </c>
      <c r="U23" s="24" t="s">
        <v>12</v>
      </c>
      <c r="V23" s="23" t="s">
        <v>12</v>
      </c>
      <c r="W23" s="23" t="s">
        <v>12</v>
      </c>
      <c r="X23" s="23" t="s">
        <v>12</v>
      </c>
      <c r="Y23" s="237"/>
      <c r="Z23" s="22" t="s">
        <v>12</v>
      </c>
      <c r="AA23" s="23" t="s">
        <v>12</v>
      </c>
      <c r="AB23" s="23" t="s">
        <v>12</v>
      </c>
      <c r="AC23" s="23" t="s">
        <v>12</v>
      </c>
      <c r="AD23" s="23" t="s">
        <v>11</v>
      </c>
      <c r="AE23" s="23" t="s">
        <v>12</v>
      </c>
      <c r="AF23" s="237"/>
      <c r="AG23" s="22" t="s">
        <v>12</v>
      </c>
      <c r="AH23" s="23" t="s">
        <v>12</v>
      </c>
      <c r="AI23" s="23" t="s">
        <v>12</v>
      </c>
      <c r="AJ23" s="23" t="s">
        <v>12</v>
      </c>
      <c r="AK23" s="149">
        <f t="shared" si="0"/>
        <v>23</v>
      </c>
      <c r="AL23" s="10">
        <f t="shared" si="1"/>
        <v>3</v>
      </c>
    </row>
    <row r="24" spans="1:43" ht="19" x14ac:dyDescent="0.35">
      <c r="A24" s="10">
        <v>19</v>
      </c>
      <c r="B24" s="11"/>
      <c r="C24" s="17"/>
      <c r="D24" s="132"/>
      <c r="E24" s="10" t="s">
        <v>25</v>
      </c>
      <c r="F24" s="22" t="s">
        <v>11</v>
      </c>
      <c r="G24" s="22" t="s">
        <v>12</v>
      </c>
      <c r="H24" s="23" t="s">
        <v>12</v>
      </c>
      <c r="I24" s="23" t="s">
        <v>12</v>
      </c>
      <c r="J24" s="23" t="s">
        <v>12</v>
      </c>
      <c r="K24" s="237"/>
      <c r="L24" s="22" t="s">
        <v>12</v>
      </c>
      <c r="M24" s="23" t="s">
        <v>12</v>
      </c>
      <c r="N24" s="23" t="s">
        <v>12</v>
      </c>
      <c r="O24" s="23" t="s">
        <v>12</v>
      </c>
      <c r="P24" s="23" t="s">
        <v>12</v>
      </c>
      <c r="Q24" s="23" t="s">
        <v>12</v>
      </c>
      <c r="R24" s="237"/>
      <c r="S24" s="237"/>
      <c r="T24" s="23" t="s">
        <v>12</v>
      </c>
      <c r="U24" s="24" t="s">
        <v>12</v>
      </c>
      <c r="V24" s="23" t="s">
        <v>12</v>
      </c>
      <c r="W24" s="23" t="s">
        <v>12</v>
      </c>
      <c r="X24" s="23" t="s">
        <v>12</v>
      </c>
      <c r="Y24" s="237"/>
      <c r="Z24" s="22" t="s">
        <v>11</v>
      </c>
      <c r="AA24" s="23" t="s">
        <v>12</v>
      </c>
      <c r="AB24" s="23" t="s">
        <v>12</v>
      </c>
      <c r="AC24" s="23" t="s">
        <v>12</v>
      </c>
      <c r="AD24" s="23" t="s">
        <v>12</v>
      </c>
      <c r="AE24" s="23" t="s">
        <v>12</v>
      </c>
      <c r="AF24" s="237"/>
      <c r="AG24" s="22" t="s">
        <v>11</v>
      </c>
      <c r="AH24" s="23" t="s">
        <v>12</v>
      </c>
      <c r="AI24" s="23" t="s">
        <v>12</v>
      </c>
      <c r="AJ24" s="23" t="s">
        <v>12</v>
      </c>
      <c r="AK24" s="149">
        <f t="shared" si="0"/>
        <v>23</v>
      </c>
      <c r="AL24" s="10">
        <f t="shared" si="1"/>
        <v>3</v>
      </c>
    </row>
    <row r="25" spans="1:43" ht="19" x14ac:dyDescent="0.35">
      <c r="A25" s="10">
        <v>20</v>
      </c>
      <c r="B25" s="11"/>
      <c r="C25" s="15"/>
      <c r="D25" s="132"/>
      <c r="E25" s="10" t="s">
        <v>25</v>
      </c>
      <c r="F25" s="22" t="s">
        <v>11</v>
      </c>
      <c r="G25" s="22" t="s">
        <v>11</v>
      </c>
      <c r="H25" s="23" t="s">
        <v>12</v>
      </c>
      <c r="I25" s="23" t="s">
        <v>12</v>
      </c>
      <c r="J25" s="23" t="s">
        <v>12</v>
      </c>
      <c r="K25" s="237"/>
      <c r="L25" s="22" t="s">
        <v>12</v>
      </c>
      <c r="M25" s="23" t="s">
        <v>12</v>
      </c>
      <c r="N25" s="23" t="s">
        <v>12</v>
      </c>
      <c r="O25" s="23" t="s">
        <v>12</v>
      </c>
      <c r="P25" s="23" t="s">
        <v>12</v>
      </c>
      <c r="Q25" s="23" t="s">
        <v>12</v>
      </c>
      <c r="R25" s="237"/>
      <c r="S25" s="237"/>
      <c r="T25" s="23" t="s">
        <v>11</v>
      </c>
      <c r="U25" s="24" t="s">
        <v>11</v>
      </c>
      <c r="V25" s="23" t="s">
        <v>12</v>
      </c>
      <c r="W25" s="23" t="s">
        <v>12</v>
      </c>
      <c r="X25" s="23" t="s">
        <v>12</v>
      </c>
      <c r="Y25" s="237"/>
      <c r="Z25" s="22" t="s">
        <v>11</v>
      </c>
      <c r="AA25" s="23" t="s">
        <v>11</v>
      </c>
      <c r="AB25" s="23" t="s">
        <v>12</v>
      </c>
      <c r="AC25" s="23" t="s">
        <v>12</v>
      </c>
      <c r="AD25" s="23" t="s">
        <v>12</v>
      </c>
      <c r="AE25" s="23" t="s">
        <v>12</v>
      </c>
      <c r="AF25" s="237"/>
      <c r="AG25" s="22" t="s">
        <v>11</v>
      </c>
      <c r="AH25" s="23" t="s">
        <v>11</v>
      </c>
      <c r="AI25" s="23" t="s">
        <v>12</v>
      </c>
      <c r="AJ25" s="23" t="s">
        <v>12</v>
      </c>
      <c r="AK25" s="149">
        <f t="shared" si="0"/>
        <v>18</v>
      </c>
      <c r="AL25" s="10">
        <f t="shared" si="1"/>
        <v>8</v>
      </c>
    </row>
    <row r="26" spans="1:43" ht="19" x14ac:dyDescent="0.35">
      <c r="A26" s="10">
        <v>21</v>
      </c>
      <c r="B26" s="10"/>
      <c r="C26" s="15"/>
      <c r="D26" s="132"/>
      <c r="E26" s="10" t="s">
        <v>25</v>
      </c>
      <c r="F26" s="22" t="s">
        <v>11</v>
      </c>
      <c r="G26" s="22" t="s">
        <v>12</v>
      </c>
      <c r="H26" s="23" t="s">
        <v>12</v>
      </c>
      <c r="I26" s="23" t="s">
        <v>11</v>
      </c>
      <c r="J26" s="23" t="s">
        <v>11</v>
      </c>
      <c r="K26" s="237"/>
      <c r="L26" s="22" t="s">
        <v>12</v>
      </c>
      <c r="M26" s="23" t="s">
        <v>12</v>
      </c>
      <c r="N26" s="23" t="s">
        <v>12</v>
      </c>
      <c r="O26" s="23" t="s">
        <v>11</v>
      </c>
      <c r="P26" s="23" t="s">
        <v>11</v>
      </c>
      <c r="Q26" s="23" t="s">
        <v>12</v>
      </c>
      <c r="R26" s="237"/>
      <c r="S26" s="237"/>
      <c r="T26" s="23" t="s">
        <v>12</v>
      </c>
      <c r="U26" s="24" t="s">
        <v>11</v>
      </c>
      <c r="V26" s="23" t="s">
        <v>12</v>
      </c>
      <c r="W26" s="23" t="s">
        <v>12</v>
      </c>
      <c r="X26" s="23" t="s">
        <v>11</v>
      </c>
      <c r="Y26" s="237"/>
      <c r="Z26" s="22" t="s">
        <v>12</v>
      </c>
      <c r="AA26" s="23" t="s">
        <v>12</v>
      </c>
      <c r="AB26" s="23" t="s">
        <v>12</v>
      </c>
      <c r="AC26" s="23" t="s">
        <v>11</v>
      </c>
      <c r="AD26" s="23" t="s">
        <v>11</v>
      </c>
      <c r="AE26" s="23" t="s">
        <v>12</v>
      </c>
      <c r="AF26" s="237"/>
      <c r="AG26" s="22" t="s">
        <v>12</v>
      </c>
      <c r="AH26" s="23" t="s">
        <v>12</v>
      </c>
      <c r="AI26" s="23" t="s">
        <v>11</v>
      </c>
      <c r="AJ26" s="23" t="s">
        <v>11</v>
      </c>
      <c r="AK26" s="149">
        <f t="shared" si="0"/>
        <v>15</v>
      </c>
      <c r="AL26" s="10">
        <f t="shared" si="1"/>
        <v>11</v>
      </c>
    </row>
    <row r="27" spans="1:43" ht="19" x14ac:dyDescent="0.35">
      <c r="A27" s="10">
        <v>22</v>
      </c>
      <c r="B27" s="11"/>
      <c r="C27" s="15"/>
      <c r="D27" s="132"/>
      <c r="E27" s="10" t="s">
        <v>25</v>
      </c>
      <c r="F27" s="22" t="s">
        <v>11</v>
      </c>
      <c r="G27" s="22" t="s">
        <v>12</v>
      </c>
      <c r="H27" s="23" t="s">
        <v>12</v>
      </c>
      <c r="I27" s="23" t="s">
        <v>12</v>
      </c>
      <c r="J27" s="23" t="s">
        <v>12</v>
      </c>
      <c r="K27" s="237"/>
      <c r="L27" s="22" t="s">
        <v>12</v>
      </c>
      <c r="M27" s="23" t="s">
        <v>11</v>
      </c>
      <c r="N27" s="23" t="s">
        <v>11</v>
      </c>
      <c r="O27" s="23" t="s">
        <v>12</v>
      </c>
      <c r="P27" s="23" t="s">
        <v>12</v>
      </c>
      <c r="Q27" s="23" t="s">
        <v>12</v>
      </c>
      <c r="R27" s="237"/>
      <c r="S27" s="237"/>
      <c r="T27" s="23" t="s">
        <v>11</v>
      </c>
      <c r="U27" s="24" t="s">
        <v>11</v>
      </c>
      <c r="V27" s="23" t="s">
        <v>12</v>
      </c>
      <c r="W27" s="23" t="s">
        <v>12</v>
      </c>
      <c r="X27" s="23" t="s">
        <v>12</v>
      </c>
      <c r="Y27" s="237"/>
      <c r="Z27" s="22" t="s">
        <v>12</v>
      </c>
      <c r="AA27" s="23" t="s">
        <v>12</v>
      </c>
      <c r="AB27" s="23" t="s">
        <v>12</v>
      </c>
      <c r="AC27" s="23" t="s">
        <v>11</v>
      </c>
      <c r="AD27" s="23" t="s">
        <v>11</v>
      </c>
      <c r="AE27" s="23" t="s">
        <v>12</v>
      </c>
      <c r="AF27" s="237"/>
      <c r="AG27" s="22" t="s">
        <v>12</v>
      </c>
      <c r="AH27" s="23" t="s">
        <v>12</v>
      </c>
      <c r="AI27" s="23" t="s">
        <v>11</v>
      </c>
      <c r="AJ27" s="23" t="s">
        <v>11</v>
      </c>
      <c r="AK27" s="10">
        <f t="shared" si="0"/>
        <v>17</v>
      </c>
      <c r="AL27" s="10">
        <f t="shared" si="1"/>
        <v>9</v>
      </c>
    </row>
    <row r="28" spans="1:43" ht="19" x14ac:dyDescent="0.35">
      <c r="A28" s="10">
        <v>23</v>
      </c>
      <c r="B28" s="11"/>
      <c r="C28" s="15"/>
      <c r="D28" s="132"/>
      <c r="E28" s="10" t="s">
        <v>25</v>
      </c>
      <c r="F28" s="22" t="s">
        <v>11</v>
      </c>
      <c r="G28" s="22" t="s">
        <v>12</v>
      </c>
      <c r="H28" s="23" t="s">
        <v>12</v>
      </c>
      <c r="I28" s="23" t="s">
        <v>12</v>
      </c>
      <c r="J28" s="23" t="s">
        <v>12</v>
      </c>
      <c r="K28" s="237"/>
      <c r="L28" s="22" t="s">
        <v>12</v>
      </c>
      <c r="M28" s="23" t="s">
        <v>12</v>
      </c>
      <c r="N28" s="23" t="s">
        <v>12</v>
      </c>
      <c r="O28" s="23" t="s">
        <v>12</v>
      </c>
      <c r="P28" s="23" t="s">
        <v>12</v>
      </c>
      <c r="Q28" s="23" t="s">
        <v>12</v>
      </c>
      <c r="R28" s="237"/>
      <c r="S28" s="237"/>
      <c r="T28" s="23" t="s">
        <v>11</v>
      </c>
      <c r="U28" s="24" t="s">
        <v>11</v>
      </c>
      <c r="V28" s="23" t="s">
        <v>11</v>
      </c>
      <c r="W28" s="23" t="s">
        <v>12</v>
      </c>
      <c r="X28" s="23" t="s">
        <v>12</v>
      </c>
      <c r="Y28" s="237"/>
      <c r="Z28" s="22" t="s">
        <v>12</v>
      </c>
      <c r="AA28" s="23" t="s">
        <v>12</v>
      </c>
      <c r="AB28" s="23" t="s">
        <v>12</v>
      </c>
      <c r="AC28" s="23" t="s">
        <v>12</v>
      </c>
      <c r="AD28" s="23" t="s">
        <v>12</v>
      </c>
      <c r="AE28" s="23" t="s">
        <v>12</v>
      </c>
      <c r="AF28" s="237"/>
      <c r="AG28" s="22" t="s">
        <v>12</v>
      </c>
      <c r="AH28" s="23" t="s">
        <v>12</v>
      </c>
      <c r="AI28" s="23" t="s">
        <v>12</v>
      </c>
      <c r="AJ28" s="23" t="s">
        <v>12</v>
      </c>
      <c r="AK28" s="10">
        <f t="shared" si="0"/>
        <v>22</v>
      </c>
      <c r="AL28" s="10">
        <f t="shared" si="1"/>
        <v>4</v>
      </c>
    </row>
    <row r="29" spans="1:43" ht="19" x14ac:dyDescent="0.35">
      <c r="A29" s="10">
        <v>24</v>
      </c>
      <c r="B29" s="11"/>
      <c r="C29" s="15"/>
      <c r="D29" s="132"/>
      <c r="E29" s="10" t="s">
        <v>25</v>
      </c>
      <c r="F29" s="22" t="s">
        <v>11</v>
      </c>
      <c r="G29" s="22" t="s">
        <v>11</v>
      </c>
      <c r="H29" s="23" t="s">
        <v>11</v>
      </c>
      <c r="I29" s="23" t="s">
        <v>11</v>
      </c>
      <c r="J29" s="23" t="s">
        <v>11</v>
      </c>
      <c r="K29" s="237"/>
      <c r="L29" s="22" t="s">
        <v>12</v>
      </c>
      <c r="M29" s="23" t="s">
        <v>12</v>
      </c>
      <c r="N29" s="23" t="s">
        <v>12</v>
      </c>
      <c r="O29" s="23" t="s">
        <v>12</v>
      </c>
      <c r="P29" s="23" t="s">
        <v>12</v>
      </c>
      <c r="Q29" s="23" t="s">
        <v>12</v>
      </c>
      <c r="R29" s="237"/>
      <c r="S29" s="237"/>
      <c r="T29" s="23" t="s">
        <v>11</v>
      </c>
      <c r="U29" s="24" t="s">
        <v>28</v>
      </c>
      <c r="V29" s="23" t="s">
        <v>12</v>
      </c>
      <c r="W29" s="23" t="s">
        <v>12</v>
      </c>
      <c r="X29" s="23" t="s">
        <v>12</v>
      </c>
      <c r="Y29" s="237"/>
      <c r="Z29" s="22" t="s">
        <v>11</v>
      </c>
      <c r="AA29" s="23" t="s">
        <v>11</v>
      </c>
      <c r="AB29" s="23" t="s">
        <v>12</v>
      </c>
      <c r="AC29" s="23" t="s">
        <v>12</v>
      </c>
      <c r="AD29" s="23" t="s">
        <v>12</v>
      </c>
      <c r="AE29" s="23" t="s">
        <v>12</v>
      </c>
      <c r="AF29" s="237"/>
      <c r="AG29" s="22" t="s">
        <v>11</v>
      </c>
      <c r="AH29" s="23" t="s">
        <v>11</v>
      </c>
      <c r="AI29" s="23" t="s">
        <v>12</v>
      </c>
      <c r="AJ29" s="23" t="s">
        <v>12</v>
      </c>
      <c r="AK29" s="149">
        <f t="shared" si="0"/>
        <v>15</v>
      </c>
      <c r="AL29" s="10">
        <f t="shared" si="1"/>
        <v>10</v>
      </c>
    </row>
    <row r="30" spans="1:43" ht="19" x14ac:dyDescent="0.35">
      <c r="A30" s="10">
        <v>25</v>
      </c>
      <c r="B30" s="11"/>
      <c r="C30" s="15"/>
      <c r="D30" s="132"/>
      <c r="E30" s="10" t="s">
        <v>25</v>
      </c>
      <c r="F30" s="22" t="s">
        <v>11</v>
      </c>
      <c r="G30" s="22" t="s">
        <v>12</v>
      </c>
      <c r="H30" s="23" t="s">
        <v>12</v>
      </c>
      <c r="I30" s="23" t="s">
        <v>12</v>
      </c>
      <c r="J30" s="23" t="s">
        <v>12</v>
      </c>
      <c r="K30" s="237"/>
      <c r="L30" s="22" t="s">
        <v>12</v>
      </c>
      <c r="M30" s="23" t="s">
        <v>12</v>
      </c>
      <c r="N30" s="23" t="s">
        <v>12</v>
      </c>
      <c r="O30" s="23" t="s">
        <v>12</v>
      </c>
      <c r="P30" s="23" t="s">
        <v>12</v>
      </c>
      <c r="Q30" s="23" t="s">
        <v>12</v>
      </c>
      <c r="R30" s="237"/>
      <c r="S30" s="237"/>
      <c r="T30" s="23" t="s">
        <v>11</v>
      </c>
      <c r="U30" s="24" t="s">
        <v>12</v>
      </c>
      <c r="V30" s="23" t="s">
        <v>12</v>
      </c>
      <c r="W30" s="23" t="s">
        <v>12</v>
      </c>
      <c r="X30" s="23" t="s">
        <v>12</v>
      </c>
      <c r="Y30" s="237"/>
      <c r="Z30" s="22" t="s">
        <v>12</v>
      </c>
      <c r="AA30" s="23" t="s">
        <v>12</v>
      </c>
      <c r="AB30" s="23" t="s">
        <v>12</v>
      </c>
      <c r="AC30" s="23" t="s">
        <v>12</v>
      </c>
      <c r="AD30" s="23" t="s">
        <v>12</v>
      </c>
      <c r="AE30" s="23" t="s">
        <v>12</v>
      </c>
      <c r="AF30" s="237"/>
      <c r="AG30" s="22" t="s">
        <v>12</v>
      </c>
      <c r="AH30" s="23" t="s">
        <v>12</v>
      </c>
      <c r="AI30" s="23" t="s">
        <v>12</v>
      </c>
      <c r="AJ30" s="23" t="s">
        <v>11</v>
      </c>
      <c r="AK30" s="149">
        <f t="shared" si="0"/>
        <v>23</v>
      </c>
      <c r="AL30" s="10">
        <f t="shared" si="1"/>
        <v>3</v>
      </c>
    </row>
    <row r="31" spans="1:43" ht="19" x14ac:dyDescent="0.35">
      <c r="A31" s="10">
        <v>26</v>
      </c>
      <c r="B31" s="11"/>
      <c r="C31" s="15"/>
      <c r="D31" s="132"/>
      <c r="E31" s="10" t="s">
        <v>25</v>
      </c>
      <c r="F31" s="22" t="s">
        <v>11</v>
      </c>
      <c r="G31" s="22" t="s">
        <v>11</v>
      </c>
      <c r="H31" s="23" t="s">
        <v>11</v>
      </c>
      <c r="I31" s="23" t="s">
        <v>11</v>
      </c>
      <c r="J31" s="23" t="s">
        <v>11</v>
      </c>
      <c r="K31" s="237"/>
      <c r="L31" s="22" t="s">
        <v>11</v>
      </c>
      <c r="M31" s="23" t="s">
        <v>11</v>
      </c>
      <c r="N31" s="23" t="s">
        <v>11</v>
      </c>
      <c r="O31" s="23" t="s">
        <v>11</v>
      </c>
      <c r="P31" s="23" t="s">
        <v>11</v>
      </c>
      <c r="Q31" s="23" t="s">
        <v>11</v>
      </c>
      <c r="R31" s="237"/>
      <c r="S31" s="237"/>
      <c r="T31" s="23" t="s">
        <v>12</v>
      </c>
      <c r="U31" s="24" t="s">
        <v>12</v>
      </c>
      <c r="V31" s="23" t="s">
        <v>12</v>
      </c>
      <c r="W31" s="23" t="s">
        <v>12</v>
      </c>
      <c r="X31" s="23" t="s">
        <v>12</v>
      </c>
      <c r="Y31" s="237"/>
      <c r="Z31" s="22" t="s">
        <v>11</v>
      </c>
      <c r="AA31" s="23" t="s">
        <v>11</v>
      </c>
      <c r="AB31" s="23" t="s">
        <v>11</v>
      </c>
      <c r="AC31" s="23" t="s">
        <v>12</v>
      </c>
      <c r="AD31" s="23" t="s">
        <v>12</v>
      </c>
      <c r="AE31" s="23" t="s">
        <v>12</v>
      </c>
      <c r="AF31" s="237"/>
      <c r="AG31" s="22" t="s">
        <v>11</v>
      </c>
      <c r="AH31" s="23" t="s">
        <v>11</v>
      </c>
      <c r="AI31" s="23" t="s">
        <v>11</v>
      </c>
      <c r="AJ31" s="23" t="s">
        <v>11</v>
      </c>
      <c r="AK31" s="149">
        <f t="shared" si="0"/>
        <v>8</v>
      </c>
      <c r="AL31" s="10">
        <f t="shared" si="1"/>
        <v>18</v>
      </c>
    </row>
    <row r="32" spans="1:43" ht="19" x14ac:dyDescent="0.35">
      <c r="A32" s="10">
        <v>27</v>
      </c>
      <c r="B32" s="11"/>
      <c r="C32" s="15"/>
      <c r="D32" s="132"/>
      <c r="E32" s="10" t="s">
        <v>25</v>
      </c>
      <c r="F32" s="22" t="s">
        <v>11</v>
      </c>
      <c r="G32" s="22" t="s">
        <v>12</v>
      </c>
      <c r="H32" s="23" t="s">
        <v>12</v>
      </c>
      <c r="I32" s="23" t="s">
        <v>12</v>
      </c>
      <c r="J32" s="23" t="s">
        <v>12</v>
      </c>
      <c r="K32" s="237"/>
      <c r="L32" s="22" t="s">
        <v>12</v>
      </c>
      <c r="M32" s="23" t="s">
        <v>12</v>
      </c>
      <c r="N32" s="23" t="s">
        <v>12</v>
      </c>
      <c r="O32" s="23" t="s">
        <v>12</v>
      </c>
      <c r="P32" s="23" t="s">
        <v>12</v>
      </c>
      <c r="Q32" s="23" t="s">
        <v>12</v>
      </c>
      <c r="R32" s="237"/>
      <c r="S32" s="237"/>
      <c r="T32" s="23" t="s">
        <v>12</v>
      </c>
      <c r="U32" s="24" t="s">
        <v>11</v>
      </c>
      <c r="V32" s="23" t="s">
        <v>12</v>
      </c>
      <c r="W32" s="23" t="s">
        <v>12</v>
      </c>
      <c r="X32" s="23" t="s">
        <v>12</v>
      </c>
      <c r="Y32" s="237"/>
      <c r="Z32" s="22" t="s">
        <v>11</v>
      </c>
      <c r="AA32" s="23" t="s">
        <v>12</v>
      </c>
      <c r="AB32" s="23" t="s">
        <v>12</v>
      </c>
      <c r="AC32" s="23" t="s">
        <v>12</v>
      </c>
      <c r="AD32" s="23" t="s">
        <v>12</v>
      </c>
      <c r="AE32" s="23" t="s">
        <v>12</v>
      </c>
      <c r="AF32" s="237"/>
      <c r="AG32" s="22" t="s">
        <v>12</v>
      </c>
      <c r="AH32" s="23" t="s">
        <v>12</v>
      </c>
      <c r="AI32" s="23" t="s">
        <v>12</v>
      </c>
      <c r="AJ32" s="23" t="s">
        <v>12</v>
      </c>
      <c r="AK32" s="149">
        <f t="shared" si="0"/>
        <v>23</v>
      </c>
      <c r="AL32" s="10">
        <f t="shared" si="1"/>
        <v>3</v>
      </c>
    </row>
    <row r="33" spans="1:43" ht="20.25" customHeight="1" x14ac:dyDescent="0.4">
      <c r="A33" s="10">
        <v>28</v>
      </c>
      <c r="B33" s="10"/>
      <c r="C33" s="17"/>
      <c r="D33" s="132"/>
      <c r="E33" s="10" t="s">
        <v>25</v>
      </c>
      <c r="F33" s="22" t="s">
        <v>12</v>
      </c>
      <c r="G33" s="22" t="s">
        <v>12</v>
      </c>
      <c r="H33" s="26" t="s">
        <v>12</v>
      </c>
      <c r="I33" s="26" t="s">
        <v>12</v>
      </c>
      <c r="J33" s="26" t="s">
        <v>11</v>
      </c>
      <c r="K33" s="237"/>
      <c r="L33" s="22" t="s">
        <v>11</v>
      </c>
      <c r="M33" s="26" t="s">
        <v>12</v>
      </c>
      <c r="N33" s="26" t="s">
        <v>12</v>
      </c>
      <c r="O33" s="26" t="s">
        <v>12</v>
      </c>
      <c r="P33" s="26" t="s">
        <v>12</v>
      </c>
      <c r="Q33" s="26" t="s">
        <v>11</v>
      </c>
      <c r="R33" s="237"/>
      <c r="S33" s="237"/>
      <c r="T33" s="26" t="s">
        <v>12</v>
      </c>
      <c r="U33" s="24" t="s">
        <v>12</v>
      </c>
      <c r="V33" s="26" t="s">
        <v>12</v>
      </c>
      <c r="W33" s="26" t="s">
        <v>11</v>
      </c>
      <c r="X33" s="26" t="s">
        <v>11</v>
      </c>
      <c r="Y33" s="237"/>
      <c r="Z33" s="22" t="s">
        <v>11</v>
      </c>
      <c r="AA33" s="26" t="s">
        <v>12</v>
      </c>
      <c r="AB33" s="26" t="s">
        <v>12</v>
      </c>
      <c r="AC33" s="26" t="s">
        <v>12</v>
      </c>
      <c r="AD33" s="26" t="s">
        <v>12</v>
      </c>
      <c r="AE33" s="26" t="s">
        <v>12</v>
      </c>
      <c r="AF33" s="237"/>
      <c r="AG33" s="22" t="s">
        <v>12</v>
      </c>
      <c r="AH33" s="26" t="s">
        <v>12</v>
      </c>
      <c r="AI33" s="26" t="s">
        <v>12</v>
      </c>
      <c r="AJ33" s="26" t="s">
        <v>12</v>
      </c>
      <c r="AK33" s="149">
        <f t="shared" si="0"/>
        <v>20</v>
      </c>
      <c r="AL33" s="10">
        <f t="shared" si="1"/>
        <v>6</v>
      </c>
    </row>
    <row r="34" spans="1:43" ht="19" x14ac:dyDescent="0.35">
      <c r="A34" s="10">
        <v>29</v>
      </c>
      <c r="B34" s="11"/>
      <c r="C34" s="15"/>
      <c r="D34" s="132"/>
      <c r="E34" s="10" t="s">
        <v>25</v>
      </c>
      <c r="F34" s="22" t="s">
        <v>11</v>
      </c>
      <c r="G34" s="22" t="s">
        <v>12</v>
      </c>
      <c r="H34" s="23" t="s">
        <v>12</v>
      </c>
      <c r="I34" s="23" t="s">
        <v>12</v>
      </c>
      <c r="J34" s="23" t="s">
        <v>12</v>
      </c>
      <c r="K34" s="237"/>
      <c r="L34" s="22" t="s">
        <v>12</v>
      </c>
      <c r="M34" s="23" t="s">
        <v>12</v>
      </c>
      <c r="N34" s="23" t="s">
        <v>12</v>
      </c>
      <c r="O34" s="23" t="s">
        <v>12</v>
      </c>
      <c r="P34" s="23" t="s">
        <v>12</v>
      </c>
      <c r="Q34" s="23" t="s">
        <v>12</v>
      </c>
      <c r="R34" s="237"/>
      <c r="S34" s="237"/>
      <c r="T34" s="23" t="s">
        <v>12</v>
      </c>
      <c r="U34" s="24" t="s">
        <v>11</v>
      </c>
      <c r="V34" s="23" t="s">
        <v>11</v>
      </c>
      <c r="W34" s="23" t="s">
        <v>12</v>
      </c>
      <c r="X34" s="23" t="s">
        <v>12</v>
      </c>
      <c r="Y34" s="237"/>
      <c r="Z34" s="22" t="s">
        <v>12</v>
      </c>
      <c r="AA34" s="23" t="s">
        <v>12</v>
      </c>
      <c r="AB34" s="23" t="s">
        <v>12</v>
      </c>
      <c r="AC34" s="23" t="s">
        <v>11</v>
      </c>
      <c r="AD34" s="23" t="s">
        <v>12</v>
      </c>
      <c r="AE34" s="23" t="s">
        <v>12</v>
      </c>
      <c r="AF34" s="237"/>
      <c r="AG34" s="22" t="s">
        <v>12</v>
      </c>
      <c r="AH34" s="23" t="s">
        <v>12</v>
      </c>
      <c r="AI34" s="23" t="s">
        <v>12</v>
      </c>
      <c r="AJ34" s="23" t="s">
        <v>12</v>
      </c>
      <c r="AK34" s="149">
        <f t="shared" si="0"/>
        <v>22</v>
      </c>
      <c r="AL34" s="10">
        <f t="shared" si="1"/>
        <v>4</v>
      </c>
    </row>
    <row r="35" spans="1:43" ht="19" x14ac:dyDescent="0.35">
      <c r="A35" s="10">
        <v>30</v>
      </c>
      <c r="B35" s="11"/>
      <c r="C35" s="15"/>
      <c r="D35" s="132"/>
      <c r="E35" s="10" t="s">
        <v>25</v>
      </c>
      <c r="F35" s="22" t="s">
        <v>11</v>
      </c>
      <c r="G35" s="22" t="s">
        <v>11</v>
      </c>
      <c r="H35" s="23" t="s">
        <v>11</v>
      </c>
      <c r="I35" s="23" t="s">
        <v>11</v>
      </c>
      <c r="J35" s="23" t="s">
        <v>11</v>
      </c>
      <c r="K35" s="237"/>
      <c r="L35" s="22" t="s">
        <v>12</v>
      </c>
      <c r="M35" s="23" t="s">
        <v>12</v>
      </c>
      <c r="N35" s="23" t="s">
        <v>12</v>
      </c>
      <c r="O35" s="23" t="s">
        <v>12</v>
      </c>
      <c r="P35" s="23" t="s">
        <v>12</v>
      </c>
      <c r="Q35" s="23" t="s">
        <v>11</v>
      </c>
      <c r="R35" s="237"/>
      <c r="S35" s="237"/>
      <c r="T35" s="23" t="s">
        <v>12</v>
      </c>
      <c r="U35" s="24" t="s">
        <v>12</v>
      </c>
      <c r="V35" s="23" t="s">
        <v>11</v>
      </c>
      <c r="W35" s="23" t="s">
        <v>11</v>
      </c>
      <c r="X35" s="23" t="s">
        <v>11</v>
      </c>
      <c r="Y35" s="237"/>
      <c r="Z35" s="22" t="s">
        <v>12</v>
      </c>
      <c r="AA35" s="23" t="s">
        <v>12</v>
      </c>
      <c r="AB35" s="23" t="s">
        <v>12</v>
      </c>
      <c r="AC35" s="23" t="s">
        <v>12</v>
      </c>
      <c r="AD35" s="23" t="s">
        <v>12</v>
      </c>
      <c r="AE35" s="23" t="s">
        <v>12</v>
      </c>
      <c r="AF35" s="237"/>
      <c r="AG35" s="22" t="s">
        <v>12</v>
      </c>
      <c r="AH35" s="23" t="s">
        <v>12</v>
      </c>
      <c r="AI35" s="23" t="s">
        <v>12</v>
      </c>
      <c r="AJ35" s="23" t="s">
        <v>12</v>
      </c>
      <c r="AK35" s="149">
        <f t="shared" si="0"/>
        <v>17</v>
      </c>
      <c r="AL35" s="10">
        <f t="shared" si="1"/>
        <v>9</v>
      </c>
    </row>
    <row r="36" spans="1:43" ht="19" x14ac:dyDescent="0.35">
      <c r="A36" s="10">
        <v>31</v>
      </c>
      <c r="B36" s="11"/>
      <c r="C36" s="15"/>
      <c r="D36" s="132"/>
      <c r="E36" s="10" t="s">
        <v>25</v>
      </c>
      <c r="F36" s="22" t="s">
        <v>11</v>
      </c>
      <c r="G36" s="22" t="s">
        <v>11</v>
      </c>
      <c r="H36" s="23" t="s">
        <v>12</v>
      </c>
      <c r="I36" s="23" t="s">
        <v>12</v>
      </c>
      <c r="J36" s="23" t="s">
        <v>12</v>
      </c>
      <c r="K36" s="237"/>
      <c r="L36" s="22" t="s">
        <v>11</v>
      </c>
      <c r="M36" s="23" t="s">
        <v>11</v>
      </c>
      <c r="N36" s="23" t="s">
        <v>11</v>
      </c>
      <c r="O36" s="23" t="s">
        <v>12</v>
      </c>
      <c r="P36" s="23" t="s">
        <v>12</v>
      </c>
      <c r="Q36" s="23" t="s">
        <v>12</v>
      </c>
      <c r="R36" s="237"/>
      <c r="S36" s="237"/>
      <c r="T36" s="23" t="s">
        <v>12</v>
      </c>
      <c r="U36" s="24" t="s">
        <v>11</v>
      </c>
      <c r="V36" s="23" t="s">
        <v>11</v>
      </c>
      <c r="W36" s="23" t="s">
        <v>12</v>
      </c>
      <c r="X36" s="23" t="s">
        <v>12</v>
      </c>
      <c r="Y36" s="237"/>
      <c r="Z36" s="22" t="s">
        <v>12</v>
      </c>
      <c r="AA36" s="23" t="s">
        <v>12</v>
      </c>
      <c r="AB36" s="23" t="s">
        <v>12</v>
      </c>
      <c r="AC36" s="23" t="s">
        <v>12</v>
      </c>
      <c r="AD36" s="23" t="s">
        <v>11</v>
      </c>
      <c r="AE36" s="23" t="s">
        <v>11</v>
      </c>
      <c r="AF36" s="237"/>
      <c r="AG36" s="22" t="s">
        <v>12</v>
      </c>
      <c r="AH36" s="23" t="s">
        <v>12</v>
      </c>
      <c r="AI36" s="23" t="s">
        <v>12</v>
      </c>
      <c r="AJ36" s="23" t="s">
        <v>12</v>
      </c>
      <c r="AK36" s="10">
        <f t="shared" si="0"/>
        <v>17</v>
      </c>
      <c r="AL36" s="10">
        <f t="shared" si="1"/>
        <v>9</v>
      </c>
    </row>
    <row r="37" spans="1:43" ht="19" x14ac:dyDescent="0.35">
      <c r="A37" s="10">
        <v>32</v>
      </c>
      <c r="B37" s="10"/>
      <c r="C37" s="17"/>
      <c r="D37" s="133"/>
      <c r="E37" s="10" t="s">
        <v>25</v>
      </c>
      <c r="F37" s="22" t="s">
        <v>12</v>
      </c>
      <c r="G37" s="22" t="s">
        <v>12</v>
      </c>
      <c r="H37" s="23" t="s">
        <v>12</v>
      </c>
      <c r="I37" s="23" t="s">
        <v>12</v>
      </c>
      <c r="J37" s="23" t="s">
        <v>12</v>
      </c>
      <c r="K37" s="237"/>
      <c r="L37" s="22" t="s">
        <v>12</v>
      </c>
      <c r="M37" s="23" t="s">
        <v>12</v>
      </c>
      <c r="N37" s="23" t="s">
        <v>12</v>
      </c>
      <c r="O37" s="23" t="s">
        <v>12</v>
      </c>
      <c r="P37" s="23" t="s">
        <v>12</v>
      </c>
      <c r="Q37" s="23" t="s">
        <v>12</v>
      </c>
      <c r="R37" s="237"/>
      <c r="S37" s="237"/>
      <c r="T37" s="23" t="s">
        <v>11</v>
      </c>
      <c r="U37" s="24" t="s">
        <v>11</v>
      </c>
      <c r="V37" s="23" t="s">
        <v>12</v>
      </c>
      <c r="W37" s="23" t="s">
        <v>12</v>
      </c>
      <c r="X37" s="23" t="s">
        <v>12</v>
      </c>
      <c r="Y37" s="237"/>
      <c r="Z37" s="22" t="s">
        <v>11</v>
      </c>
      <c r="AA37" s="23" t="s">
        <v>12</v>
      </c>
      <c r="AB37" s="23" t="s">
        <v>12</v>
      </c>
      <c r="AC37" s="23" t="s">
        <v>12</v>
      </c>
      <c r="AD37" s="23" t="s">
        <v>12</v>
      </c>
      <c r="AE37" s="23" t="s">
        <v>12</v>
      </c>
      <c r="AF37" s="237"/>
      <c r="AG37" s="22" t="s">
        <v>11</v>
      </c>
      <c r="AH37" s="23" t="s">
        <v>12</v>
      </c>
      <c r="AI37" s="23" t="s">
        <v>12</v>
      </c>
      <c r="AJ37" s="23" t="s">
        <v>12</v>
      </c>
      <c r="AK37" s="10">
        <f t="shared" si="0"/>
        <v>22</v>
      </c>
      <c r="AL37" s="10">
        <f t="shared" si="1"/>
        <v>4</v>
      </c>
    </row>
    <row r="38" spans="1:43" s="155" customFormat="1" ht="19" x14ac:dyDescent="0.3">
      <c r="A38" s="10">
        <v>33</v>
      </c>
      <c r="B38" s="11"/>
      <c r="C38" s="10"/>
      <c r="D38" s="132"/>
      <c r="E38" s="10" t="s">
        <v>25</v>
      </c>
      <c r="F38" s="22" t="s">
        <v>12</v>
      </c>
      <c r="G38" s="22" t="s">
        <v>12</v>
      </c>
      <c r="H38" s="23" t="s">
        <v>12</v>
      </c>
      <c r="I38" s="23" t="s">
        <v>12</v>
      </c>
      <c r="J38" s="23" t="s">
        <v>12</v>
      </c>
      <c r="K38" s="237"/>
      <c r="L38" s="22" t="s">
        <v>11</v>
      </c>
      <c r="M38" s="23" t="s">
        <v>11</v>
      </c>
      <c r="N38" s="23" t="s">
        <v>12</v>
      </c>
      <c r="O38" s="23" t="s">
        <v>12</v>
      </c>
      <c r="P38" s="23" t="s">
        <v>12</v>
      </c>
      <c r="Q38" s="23" t="s">
        <v>12</v>
      </c>
      <c r="R38" s="237"/>
      <c r="S38" s="237"/>
      <c r="T38" s="23" t="s">
        <v>12</v>
      </c>
      <c r="U38" s="24" t="s">
        <v>12</v>
      </c>
      <c r="V38" s="23" t="s">
        <v>12</v>
      </c>
      <c r="W38" s="23" t="s">
        <v>12</v>
      </c>
      <c r="X38" s="23" t="s">
        <v>11</v>
      </c>
      <c r="Y38" s="237"/>
      <c r="Z38" s="22" t="s">
        <v>11</v>
      </c>
      <c r="AA38" s="23" t="s">
        <v>12</v>
      </c>
      <c r="AB38" s="23" t="s">
        <v>12</v>
      </c>
      <c r="AC38" s="23" t="s">
        <v>12</v>
      </c>
      <c r="AD38" s="23" t="s">
        <v>12</v>
      </c>
      <c r="AE38" s="23" t="s">
        <v>12</v>
      </c>
      <c r="AF38" s="237"/>
      <c r="AG38" s="22" t="s">
        <v>11</v>
      </c>
      <c r="AH38" s="23" t="s">
        <v>11</v>
      </c>
      <c r="AI38" s="23" t="s">
        <v>11</v>
      </c>
      <c r="AJ38" s="23" t="s">
        <v>12</v>
      </c>
      <c r="AK38" s="10">
        <f t="shared" si="0"/>
        <v>19</v>
      </c>
      <c r="AL38" s="10">
        <f t="shared" si="1"/>
        <v>7</v>
      </c>
    </row>
    <row r="39" spans="1:43" ht="19" x14ac:dyDescent="0.3">
      <c r="A39" s="10">
        <v>34</v>
      </c>
      <c r="B39" s="11"/>
      <c r="C39" s="10"/>
      <c r="D39" s="12"/>
      <c r="E39" s="10" t="s">
        <v>15</v>
      </c>
      <c r="F39" s="22" t="s">
        <v>12</v>
      </c>
      <c r="G39" s="22" t="s">
        <v>12</v>
      </c>
      <c r="H39" s="23" t="s">
        <v>12</v>
      </c>
      <c r="I39" s="23" t="s">
        <v>12</v>
      </c>
      <c r="J39" s="23" t="s">
        <v>12</v>
      </c>
      <c r="K39" s="237"/>
      <c r="L39" s="22" t="s">
        <v>12</v>
      </c>
      <c r="M39" s="23" t="s">
        <v>12</v>
      </c>
      <c r="N39" s="23" t="s">
        <v>12</v>
      </c>
      <c r="O39" s="23" t="s">
        <v>12</v>
      </c>
      <c r="P39" s="23" t="s">
        <v>12</v>
      </c>
      <c r="Q39" s="23" t="s">
        <v>12</v>
      </c>
      <c r="R39" s="237"/>
      <c r="S39" s="237"/>
      <c r="T39" s="23" t="s">
        <v>12</v>
      </c>
      <c r="U39" s="24" t="s">
        <v>12</v>
      </c>
      <c r="V39" s="23" t="s">
        <v>12</v>
      </c>
      <c r="W39" s="23" t="s">
        <v>12</v>
      </c>
      <c r="X39" s="23" t="s">
        <v>12</v>
      </c>
      <c r="Y39" s="237"/>
      <c r="Z39" s="22" t="s">
        <v>12</v>
      </c>
      <c r="AA39" s="23" t="s">
        <v>12</v>
      </c>
      <c r="AB39" s="23" t="s">
        <v>12</v>
      </c>
      <c r="AC39" s="23" t="s">
        <v>12</v>
      </c>
      <c r="AD39" s="23" t="s">
        <v>12</v>
      </c>
      <c r="AE39" s="23" t="s">
        <v>12</v>
      </c>
      <c r="AF39" s="237"/>
      <c r="AG39" s="22" t="s">
        <v>12</v>
      </c>
      <c r="AH39" s="23" t="s">
        <v>12</v>
      </c>
      <c r="AI39" s="23" t="s">
        <v>12</v>
      </c>
      <c r="AJ39" s="23" t="s">
        <v>12</v>
      </c>
      <c r="AK39" s="10">
        <f t="shared" si="0"/>
        <v>26</v>
      </c>
      <c r="AL39" s="10">
        <f t="shared" si="1"/>
        <v>0</v>
      </c>
    </row>
    <row r="40" spans="1:43" ht="20.25" customHeight="1" x14ac:dyDescent="0.4">
      <c r="A40" s="10">
        <v>35</v>
      </c>
      <c r="B40" s="10"/>
      <c r="C40" s="15"/>
      <c r="D40" s="132"/>
      <c r="E40" s="10" t="s">
        <v>25</v>
      </c>
      <c r="F40" s="22" t="s">
        <v>11</v>
      </c>
      <c r="G40" s="22" t="s">
        <v>12</v>
      </c>
      <c r="H40" s="26" t="s">
        <v>12</v>
      </c>
      <c r="I40" s="26" t="s">
        <v>12</v>
      </c>
      <c r="J40" s="26" t="s">
        <v>12</v>
      </c>
      <c r="K40" s="237"/>
      <c r="L40" s="22" t="s">
        <v>12</v>
      </c>
      <c r="M40" s="26" t="s">
        <v>12</v>
      </c>
      <c r="N40" s="26" t="s">
        <v>12</v>
      </c>
      <c r="O40" s="26" t="s">
        <v>12</v>
      </c>
      <c r="P40" s="26" t="s">
        <v>11</v>
      </c>
      <c r="Q40" s="26" t="s">
        <v>11</v>
      </c>
      <c r="R40" s="237"/>
      <c r="S40" s="237"/>
      <c r="T40" s="26" t="s">
        <v>12</v>
      </c>
      <c r="U40" s="24" t="s">
        <v>12</v>
      </c>
      <c r="V40" s="26" t="s">
        <v>12</v>
      </c>
      <c r="W40" s="26" t="s">
        <v>11</v>
      </c>
      <c r="X40" s="26" t="s">
        <v>11</v>
      </c>
      <c r="Y40" s="237"/>
      <c r="Z40" s="22" t="s">
        <v>11</v>
      </c>
      <c r="AA40" s="26" t="s">
        <v>12</v>
      </c>
      <c r="AB40" s="26" t="s">
        <v>12</v>
      </c>
      <c r="AC40" s="26" t="s">
        <v>12</v>
      </c>
      <c r="AD40" s="26" t="s">
        <v>12</v>
      </c>
      <c r="AE40" s="26" t="s">
        <v>11</v>
      </c>
      <c r="AF40" s="237"/>
      <c r="AG40" s="22" t="s">
        <v>12</v>
      </c>
      <c r="AH40" s="26" t="s">
        <v>12</v>
      </c>
      <c r="AI40" s="26" t="s">
        <v>12</v>
      </c>
      <c r="AJ40" s="26" t="s">
        <v>12</v>
      </c>
      <c r="AK40" s="149">
        <f t="shared" si="0"/>
        <v>19</v>
      </c>
      <c r="AL40" s="10">
        <f t="shared" si="1"/>
        <v>7</v>
      </c>
    </row>
    <row r="41" spans="1:43" ht="20.25" customHeight="1" x14ac:dyDescent="0.4">
      <c r="A41" s="10">
        <v>36</v>
      </c>
      <c r="B41" s="10"/>
      <c r="C41" s="15"/>
      <c r="D41" s="132"/>
      <c r="E41" s="10" t="s">
        <v>25</v>
      </c>
      <c r="F41" s="22" t="s">
        <v>11</v>
      </c>
      <c r="G41" s="22" t="s">
        <v>12</v>
      </c>
      <c r="H41" s="26" t="s">
        <v>12</v>
      </c>
      <c r="I41" s="26" t="s">
        <v>12</v>
      </c>
      <c r="J41" s="26" t="s">
        <v>12</v>
      </c>
      <c r="K41" s="237"/>
      <c r="L41" s="22" t="s">
        <v>12</v>
      </c>
      <c r="M41" s="26" t="s">
        <v>12</v>
      </c>
      <c r="N41" s="26" t="s">
        <v>12</v>
      </c>
      <c r="O41" s="26" t="s">
        <v>12</v>
      </c>
      <c r="P41" s="26" t="s">
        <v>12</v>
      </c>
      <c r="Q41" s="26" t="s">
        <v>12</v>
      </c>
      <c r="R41" s="237"/>
      <c r="S41" s="237"/>
      <c r="T41" s="26" t="s">
        <v>11</v>
      </c>
      <c r="U41" s="24" t="s">
        <v>11</v>
      </c>
      <c r="V41" s="26" t="s">
        <v>12</v>
      </c>
      <c r="W41" s="26" t="s">
        <v>12</v>
      </c>
      <c r="X41" s="26" t="s">
        <v>12</v>
      </c>
      <c r="Y41" s="237"/>
      <c r="Z41" s="22" t="s">
        <v>12</v>
      </c>
      <c r="AA41" s="26" t="s">
        <v>12</v>
      </c>
      <c r="AB41" s="26" t="s">
        <v>11</v>
      </c>
      <c r="AC41" s="26" t="s">
        <v>11</v>
      </c>
      <c r="AD41" s="26" t="s">
        <v>12</v>
      </c>
      <c r="AE41" s="26" t="s">
        <v>12</v>
      </c>
      <c r="AF41" s="237"/>
      <c r="AG41" s="22" t="s">
        <v>12</v>
      </c>
      <c r="AH41" s="26" t="s">
        <v>12</v>
      </c>
      <c r="AI41" s="26" t="s">
        <v>11</v>
      </c>
      <c r="AJ41" s="26" t="s">
        <v>12</v>
      </c>
      <c r="AK41" s="149">
        <f t="shared" si="0"/>
        <v>20</v>
      </c>
      <c r="AL41" s="10">
        <f t="shared" si="1"/>
        <v>6</v>
      </c>
    </row>
    <row r="42" spans="1:43" ht="19" x14ac:dyDescent="0.35">
      <c r="A42" s="10">
        <v>37</v>
      </c>
      <c r="B42" s="10"/>
      <c r="C42" s="15"/>
      <c r="D42" s="12"/>
      <c r="E42" s="10" t="s">
        <v>25</v>
      </c>
      <c r="F42" s="22" t="s">
        <v>12</v>
      </c>
      <c r="G42" s="22" t="s">
        <v>12</v>
      </c>
      <c r="H42" s="23" t="s">
        <v>12</v>
      </c>
      <c r="I42" s="23" t="s">
        <v>12</v>
      </c>
      <c r="J42" s="23" t="s">
        <v>12</v>
      </c>
      <c r="K42" s="237"/>
      <c r="L42" s="22" t="s">
        <v>12</v>
      </c>
      <c r="M42" s="23" t="s">
        <v>12</v>
      </c>
      <c r="N42" s="23" t="s">
        <v>11</v>
      </c>
      <c r="O42" s="23" t="s">
        <v>12</v>
      </c>
      <c r="P42" s="23" t="s">
        <v>11</v>
      </c>
      <c r="Q42" s="23" t="s">
        <v>12</v>
      </c>
      <c r="R42" s="237"/>
      <c r="S42" s="237"/>
      <c r="T42" s="23" t="s">
        <v>11</v>
      </c>
      <c r="U42" s="24" t="s">
        <v>12</v>
      </c>
      <c r="V42" s="23" t="s">
        <v>12</v>
      </c>
      <c r="W42" s="23" t="s">
        <v>12</v>
      </c>
      <c r="X42" s="23" t="s">
        <v>12</v>
      </c>
      <c r="Y42" s="237"/>
      <c r="Z42" s="22" t="s">
        <v>12</v>
      </c>
      <c r="AA42" s="23" t="s">
        <v>12</v>
      </c>
      <c r="AB42" s="23" t="s">
        <v>12</v>
      </c>
      <c r="AC42" s="23" t="s">
        <v>12</v>
      </c>
      <c r="AD42" s="23" t="s">
        <v>12</v>
      </c>
      <c r="AE42" s="23" t="s">
        <v>12</v>
      </c>
      <c r="AF42" s="237"/>
      <c r="AG42" s="22" t="s">
        <v>12</v>
      </c>
      <c r="AH42" s="23" t="s">
        <v>12</v>
      </c>
      <c r="AI42" s="23" t="s">
        <v>12</v>
      </c>
      <c r="AJ42" s="23" t="s">
        <v>12</v>
      </c>
      <c r="AK42" s="149">
        <f t="shared" si="0"/>
        <v>23</v>
      </c>
      <c r="AL42" s="10">
        <f t="shared" si="1"/>
        <v>3</v>
      </c>
    </row>
    <row r="43" spans="1:43" ht="19" x14ac:dyDescent="0.35">
      <c r="A43" s="10">
        <v>38</v>
      </c>
      <c r="B43" s="11"/>
      <c r="C43" s="15"/>
      <c r="D43" s="12"/>
      <c r="E43" s="10" t="s">
        <v>25</v>
      </c>
      <c r="F43" s="22" t="s">
        <v>11</v>
      </c>
      <c r="G43" s="22" t="s">
        <v>12</v>
      </c>
      <c r="H43" s="23" t="s">
        <v>12</v>
      </c>
      <c r="I43" s="23" t="s">
        <v>12</v>
      </c>
      <c r="J43" s="23" t="s">
        <v>12</v>
      </c>
      <c r="K43" s="237"/>
      <c r="L43" s="22" t="s">
        <v>12</v>
      </c>
      <c r="M43" s="23" t="s">
        <v>12</v>
      </c>
      <c r="N43" s="23" t="s">
        <v>12</v>
      </c>
      <c r="O43" s="23" t="s">
        <v>12</v>
      </c>
      <c r="P43" s="23" t="s">
        <v>11</v>
      </c>
      <c r="Q43" s="23" t="s">
        <v>11</v>
      </c>
      <c r="R43" s="237"/>
      <c r="S43" s="237"/>
      <c r="T43" s="23" t="s">
        <v>11</v>
      </c>
      <c r="U43" s="24" t="s">
        <v>12</v>
      </c>
      <c r="V43" s="23" t="s">
        <v>12</v>
      </c>
      <c r="W43" s="23" t="s">
        <v>12</v>
      </c>
      <c r="X43" s="23" t="s">
        <v>12</v>
      </c>
      <c r="Y43" s="237"/>
      <c r="Z43" s="22" t="s">
        <v>12</v>
      </c>
      <c r="AA43" s="23" t="s">
        <v>12</v>
      </c>
      <c r="AB43" s="23" t="s">
        <v>12</v>
      </c>
      <c r="AC43" s="23" t="s">
        <v>12</v>
      </c>
      <c r="AD43" s="23" t="s">
        <v>12</v>
      </c>
      <c r="AE43" s="23" t="s">
        <v>12</v>
      </c>
      <c r="AF43" s="237"/>
      <c r="AG43" s="22" t="s">
        <v>11</v>
      </c>
      <c r="AH43" s="23" t="s">
        <v>11</v>
      </c>
      <c r="AI43" s="23" t="s">
        <v>12</v>
      </c>
      <c r="AJ43" s="23" t="s">
        <v>12</v>
      </c>
      <c r="AK43" s="10">
        <f t="shared" si="0"/>
        <v>20</v>
      </c>
      <c r="AL43" s="10">
        <f t="shared" si="1"/>
        <v>6</v>
      </c>
    </row>
    <row r="44" spans="1:43" ht="34.5" customHeight="1" x14ac:dyDescent="0.3">
      <c r="A44" s="10">
        <v>39</v>
      </c>
      <c r="B44" s="11"/>
      <c r="C44" s="10"/>
      <c r="D44" s="12"/>
      <c r="E44" s="10" t="s">
        <v>25</v>
      </c>
      <c r="F44" s="22" t="s">
        <v>11</v>
      </c>
      <c r="G44" s="22" t="s">
        <v>12</v>
      </c>
      <c r="H44" s="23" t="s">
        <v>12</v>
      </c>
      <c r="I44" s="23" t="s">
        <v>11</v>
      </c>
      <c r="J44" s="23" t="s">
        <v>11</v>
      </c>
      <c r="K44" s="237"/>
      <c r="L44" s="22" t="s">
        <v>11</v>
      </c>
      <c r="M44" s="23" t="s">
        <v>11</v>
      </c>
      <c r="N44" s="23" t="s">
        <v>12</v>
      </c>
      <c r="O44" s="23" t="s">
        <v>12</v>
      </c>
      <c r="P44" s="23" t="s">
        <v>12</v>
      </c>
      <c r="Q44" s="23" t="s">
        <v>12</v>
      </c>
      <c r="R44" s="237"/>
      <c r="S44" s="237"/>
      <c r="T44" s="23" t="s">
        <v>11</v>
      </c>
      <c r="U44" s="24" t="s">
        <v>11</v>
      </c>
      <c r="V44" s="23" t="s">
        <v>11</v>
      </c>
      <c r="W44" s="23" t="s">
        <v>11</v>
      </c>
      <c r="X44" s="23" t="s">
        <v>11</v>
      </c>
      <c r="Y44" s="237"/>
      <c r="Z44" s="22" t="s">
        <v>12</v>
      </c>
      <c r="AA44" s="23" t="s">
        <v>12</v>
      </c>
      <c r="AB44" s="23" t="s">
        <v>12</v>
      </c>
      <c r="AC44" s="23" t="s">
        <v>12</v>
      </c>
      <c r="AD44" s="23" t="s">
        <v>12</v>
      </c>
      <c r="AE44" s="23" t="s">
        <v>12</v>
      </c>
      <c r="AF44" s="237"/>
      <c r="AG44" s="22" t="s">
        <v>12</v>
      </c>
      <c r="AH44" s="23" t="s">
        <v>11</v>
      </c>
      <c r="AI44" s="23" t="s">
        <v>11</v>
      </c>
      <c r="AJ44" s="23" t="s">
        <v>11</v>
      </c>
      <c r="AK44" s="10">
        <f t="shared" si="0"/>
        <v>13</v>
      </c>
      <c r="AL44" s="10">
        <f t="shared" si="1"/>
        <v>13</v>
      </c>
      <c r="AP44" s="64"/>
      <c r="AQ44" s="64"/>
    </row>
    <row r="45" spans="1:43" ht="19" x14ac:dyDescent="0.35">
      <c r="A45" s="10">
        <v>40</v>
      </c>
      <c r="B45" s="28"/>
      <c r="C45" s="134"/>
      <c r="D45" s="135"/>
      <c r="E45" s="27" t="s">
        <v>25</v>
      </c>
      <c r="F45" s="22" t="s">
        <v>11</v>
      </c>
      <c r="G45" s="22" t="s">
        <v>12</v>
      </c>
      <c r="H45" s="29" t="s">
        <v>12</v>
      </c>
      <c r="I45" s="29" t="s">
        <v>12</v>
      </c>
      <c r="J45" s="29" t="s">
        <v>12</v>
      </c>
      <c r="K45" s="237"/>
      <c r="L45" s="22" t="s">
        <v>12</v>
      </c>
      <c r="M45" s="29" t="s">
        <v>12</v>
      </c>
      <c r="N45" s="29" t="s">
        <v>12</v>
      </c>
      <c r="O45" s="29" t="s">
        <v>12</v>
      </c>
      <c r="P45" s="29" t="s">
        <v>12</v>
      </c>
      <c r="Q45" s="29" t="s">
        <v>12</v>
      </c>
      <c r="R45" s="237"/>
      <c r="S45" s="237"/>
      <c r="T45" s="29" t="s">
        <v>11</v>
      </c>
      <c r="U45" s="24" t="s">
        <v>11</v>
      </c>
      <c r="V45" s="29" t="s">
        <v>12</v>
      </c>
      <c r="W45" s="29" t="s">
        <v>12</v>
      </c>
      <c r="X45" s="29" t="s">
        <v>12</v>
      </c>
      <c r="Y45" s="237"/>
      <c r="Z45" s="22" t="s">
        <v>12</v>
      </c>
      <c r="AA45" s="29" t="s">
        <v>12</v>
      </c>
      <c r="AB45" s="29" t="s">
        <v>12</v>
      </c>
      <c r="AC45" s="29" t="s">
        <v>12</v>
      </c>
      <c r="AD45" s="29" t="s">
        <v>12</v>
      </c>
      <c r="AE45" s="29" t="s">
        <v>11</v>
      </c>
      <c r="AF45" s="237"/>
      <c r="AG45" s="22" t="s">
        <v>12</v>
      </c>
      <c r="AH45" s="29" t="s">
        <v>12</v>
      </c>
      <c r="AI45" s="29" t="s">
        <v>12</v>
      </c>
      <c r="AJ45" s="29" t="s">
        <v>12</v>
      </c>
      <c r="AK45" s="149">
        <f t="shared" si="0"/>
        <v>22</v>
      </c>
      <c r="AL45" s="10">
        <f t="shared" si="1"/>
        <v>4</v>
      </c>
    </row>
    <row r="46" spans="1:43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1"/>
      <c r="AF46" s="31"/>
      <c r="AG46" s="31"/>
      <c r="AH46" s="31"/>
      <c r="AI46" s="31"/>
      <c r="AJ46" s="31"/>
      <c r="AK46" s="32">
        <f>SUM(AK6:AK45)</f>
        <v>773</v>
      </c>
      <c r="AL46" s="32">
        <f>SUM(AL6:AL45)</f>
        <v>266</v>
      </c>
    </row>
    <row r="47" spans="1:43" x14ac:dyDescent="0.3">
      <c r="G47" s="33"/>
      <c r="N47" s="33"/>
      <c r="U47" s="33"/>
    </row>
    <row r="48" spans="1:43" x14ac:dyDescent="0.3">
      <c r="G48" s="33"/>
      <c r="N48" s="33"/>
      <c r="U48" s="33"/>
    </row>
    <row r="49" spans="7:21" x14ac:dyDescent="0.3">
      <c r="G49" s="33"/>
      <c r="N49" s="33"/>
      <c r="U49" s="33"/>
    </row>
    <row r="50" spans="7:21" x14ac:dyDescent="0.3">
      <c r="G50" s="33"/>
      <c r="N50" s="33"/>
      <c r="U50" s="33"/>
    </row>
    <row r="51" spans="7:21" x14ac:dyDescent="0.3">
      <c r="G51" s="33"/>
      <c r="N51" s="33"/>
      <c r="U51" s="33"/>
    </row>
    <row r="52" spans="7:21" x14ac:dyDescent="0.3">
      <c r="G52" s="33"/>
      <c r="N52" s="33"/>
      <c r="U52" s="33"/>
    </row>
    <row r="53" spans="7:21" x14ac:dyDescent="0.3">
      <c r="G53" s="33"/>
      <c r="N53" s="33"/>
      <c r="U53" s="33"/>
    </row>
    <row r="54" spans="7:21" x14ac:dyDescent="0.3">
      <c r="G54" s="33"/>
      <c r="N54" s="33"/>
      <c r="U54" s="33"/>
    </row>
    <row r="55" spans="7:21" x14ac:dyDescent="0.3">
      <c r="G55" s="33"/>
      <c r="N55" s="33"/>
      <c r="U55" s="33"/>
    </row>
  </sheetData>
  <mergeCells count="10">
    <mergeCell ref="S6:S45"/>
    <mergeCell ref="K6:K45"/>
    <mergeCell ref="R6:R45"/>
    <mergeCell ref="Y6:Y45"/>
    <mergeCell ref="AF6:AF45"/>
    <mergeCell ref="A1:AL1"/>
    <mergeCell ref="A2:AL2"/>
    <mergeCell ref="A3:AL3"/>
    <mergeCell ref="AN3:AO4"/>
    <mergeCell ref="A4:A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R46"/>
  <sheetViews>
    <sheetView workbookViewId="0">
      <selection activeCell="B6" sqref="B6:D46"/>
    </sheetView>
  </sheetViews>
  <sheetFormatPr defaultColWidth="3.453125" defaultRowHeight="14" x14ac:dyDescent="0.3"/>
  <cols>
    <col min="1" max="1" width="5.54296875" style="1" customWidth="1"/>
    <col min="2" max="2" width="8.7265625" style="1" customWidth="1"/>
    <col min="3" max="3" width="22.1796875" style="1" customWidth="1"/>
    <col min="4" max="4" width="19.7265625" style="1" customWidth="1"/>
    <col min="5" max="5" width="7.1796875" style="1" bestFit="1" customWidth="1"/>
    <col min="6" max="6" width="4" style="1" bestFit="1" customWidth="1"/>
    <col min="7" max="7" width="4" style="1" customWidth="1"/>
    <col min="8" max="36" width="3.453125" style="1"/>
    <col min="37" max="37" width="9.1796875" style="1" bestFit="1" customWidth="1"/>
    <col min="38" max="38" width="8.81640625" style="1" bestFit="1" customWidth="1"/>
    <col min="39" max="39" width="3.453125" style="1"/>
    <col min="40" max="40" width="19.54296875" style="1" customWidth="1"/>
    <col min="41" max="41" width="17.7265625" style="1" customWidth="1"/>
    <col min="42" max="42" width="10.26953125" style="1" customWidth="1"/>
    <col min="43" max="43" width="10.81640625" style="1" customWidth="1"/>
    <col min="44" max="16384" width="3.453125" style="1"/>
  </cols>
  <sheetData>
    <row r="1" spans="1:44" ht="18" x14ac:dyDescent="0.4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34"/>
      <c r="AL1" s="34"/>
    </row>
    <row r="2" spans="1:44" ht="18" x14ac:dyDescent="0.4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34"/>
      <c r="AL2" s="34"/>
    </row>
    <row r="3" spans="1:44" ht="18" x14ac:dyDescent="0.4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34"/>
      <c r="AL3" s="34"/>
    </row>
    <row r="4" spans="1:44" ht="18" x14ac:dyDescent="0.4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34"/>
      <c r="AL4" s="34"/>
      <c r="AN4" s="145">
        <v>45139</v>
      </c>
      <c r="AO4" s="35"/>
      <c r="AP4" s="34"/>
      <c r="AQ4" s="34"/>
    </row>
    <row r="5" spans="1:44" ht="35.25" customHeight="1" x14ac:dyDescent="0.4">
      <c r="A5" s="36" t="s">
        <v>1</v>
      </c>
      <c r="B5" s="36" t="s">
        <v>2</v>
      </c>
      <c r="C5" s="36" t="s">
        <v>3</v>
      </c>
      <c r="D5" s="36" t="s">
        <v>4</v>
      </c>
      <c r="E5" s="36" t="s">
        <v>5</v>
      </c>
      <c r="F5" s="4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36" t="s">
        <v>6</v>
      </c>
      <c r="AL5" s="36" t="s">
        <v>7</v>
      </c>
      <c r="AN5" s="37" t="s">
        <v>8</v>
      </c>
      <c r="AO5" s="37">
        <v>31</v>
      </c>
      <c r="AP5" s="38"/>
      <c r="AQ5" s="38"/>
    </row>
    <row r="6" spans="1:44" ht="36" customHeight="1" x14ac:dyDescent="0.4">
      <c r="A6" s="39">
        <v>1</v>
      </c>
      <c r="B6" s="61"/>
      <c r="C6" s="10"/>
      <c r="D6" s="10"/>
      <c r="E6" s="39" t="s">
        <v>29</v>
      </c>
      <c r="F6" s="13" t="s">
        <v>12</v>
      </c>
      <c r="G6" s="13" t="s">
        <v>12</v>
      </c>
      <c r="H6" s="13" t="s">
        <v>12</v>
      </c>
      <c r="I6" s="13" t="s">
        <v>12</v>
      </c>
      <c r="J6" s="13" t="s">
        <v>12</v>
      </c>
      <c r="K6" s="40" t="s">
        <v>26</v>
      </c>
      <c r="L6" s="13" t="s">
        <v>11</v>
      </c>
      <c r="M6" s="13" t="s">
        <v>11</v>
      </c>
      <c r="N6" s="13" t="s">
        <v>12</v>
      </c>
      <c r="O6" s="13" t="s">
        <v>12</v>
      </c>
      <c r="P6" s="13" t="s">
        <v>12</v>
      </c>
      <c r="Q6" s="41" t="s">
        <v>12</v>
      </c>
      <c r="R6" s="40" t="s">
        <v>26</v>
      </c>
      <c r="S6" s="40"/>
      <c r="T6" s="13" t="s">
        <v>12</v>
      </c>
      <c r="U6" s="13" t="s">
        <v>12</v>
      </c>
      <c r="V6" s="13" t="s">
        <v>12</v>
      </c>
      <c r="W6" s="13" t="s">
        <v>12</v>
      </c>
      <c r="X6" s="41" t="s">
        <v>12</v>
      </c>
      <c r="Y6" s="40" t="s">
        <v>26</v>
      </c>
      <c r="Z6" s="13" t="s">
        <v>12</v>
      </c>
      <c r="AA6" s="13" t="s">
        <v>12</v>
      </c>
      <c r="AB6" s="13" t="s">
        <v>12</v>
      </c>
      <c r="AC6" s="13" t="s">
        <v>12</v>
      </c>
      <c r="AD6" s="13" t="s">
        <v>12</v>
      </c>
      <c r="AE6" s="41" t="s">
        <v>12</v>
      </c>
      <c r="AF6" s="40" t="s">
        <v>26</v>
      </c>
      <c r="AG6" s="13" t="s">
        <v>12</v>
      </c>
      <c r="AH6" s="13" t="s">
        <v>12</v>
      </c>
      <c r="AI6" s="13" t="s">
        <v>12</v>
      </c>
      <c r="AJ6" s="13" t="s">
        <v>12</v>
      </c>
      <c r="AK6" s="10">
        <f>COUNTIF(F6:AJ6,"P")</f>
        <v>24</v>
      </c>
      <c r="AL6" s="10">
        <f>COUNTIF(F6:AJ6,"A")</f>
        <v>2</v>
      </c>
      <c r="AN6" s="39" t="s">
        <v>13</v>
      </c>
      <c r="AO6" s="39">
        <v>26</v>
      </c>
      <c r="AP6" s="34"/>
      <c r="AQ6" s="34"/>
    </row>
    <row r="7" spans="1:44" ht="18.75" customHeight="1" x14ac:dyDescent="0.4">
      <c r="A7" s="39">
        <v>2</v>
      </c>
      <c r="B7" s="61"/>
      <c r="C7" s="10"/>
      <c r="D7" s="10"/>
      <c r="E7" s="39" t="s">
        <v>29</v>
      </c>
      <c r="F7" s="13" t="s">
        <v>12</v>
      </c>
      <c r="G7" s="13" t="s">
        <v>12</v>
      </c>
      <c r="H7" s="13" t="s">
        <v>12</v>
      </c>
      <c r="I7" s="13" t="s">
        <v>12</v>
      </c>
      <c r="J7" s="13" t="s">
        <v>11</v>
      </c>
      <c r="K7" s="238" t="s">
        <v>26</v>
      </c>
      <c r="L7" s="13" t="s">
        <v>12</v>
      </c>
      <c r="M7" s="13" t="s">
        <v>12</v>
      </c>
      <c r="N7" s="13" t="s">
        <v>12</v>
      </c>
      <c r="O7" s="13" t="s">
        <v>11</v>
      </c>
      <c r="P7" s="13" t="s">
        <v>12</v>
      </c>
      <c r="Q7" s="42" t="s">
        <v>12</v>
      </c>
      <c r="R7" s="238" t="s">
        <v>26</v>
      </c>
      <c r="S7" s="238" t="s">
        <v>55</v>
      </c>
      <c r="T7" s="13" t="s">
        <v>12</v>
      </c>
      <c r="U7" s="13" t="s">
        <v>12</v>
      </c>
      <c r="V7" s="13" t="s">
        <v>11</v>
      </c>
      <c r="W7" s="13" t="s">
        <v>12</v>
      </c>
      <c r="X7" s="42" t="s">
        <v>12</v>
      </c>
      <c r="Y7" s="238" t="s">
        <v>26</v>
      </c>
      <c r="Z7" s="13" t="s">
        <v>12</v>
      </c>
      <c r="AA7" s="13" t="s">
        <v>12</v>
      </c>
      <c r="AB7" s="13" t="s">
        <v>12</v>
      </c>
      <c r="AC7" s="13" t="s">
        <v>12</v>
      </c>
      <c r="AD7" s="13" t="s">
        <v>12</v>
      </c>
      <c r="AE7" s="42" t="s">
        <v>12</v>
      </c>
      <c r="AF7" s="238" t="s">
        <v>26</v>
      </c>
      <c r="AG7" s="13" t="s">
        <v>12</v>
      </c>
      <c r="AH7" s="13" t="s">
        <v>12</v>
      </c>
      <c r="AI7" s="13" t="s">
        <v>12</v>
      </c>
      <c r="AJ7" s="13" t="s">
        <v>12</v>
      </c>
      <c r="AK7" s="149">
        <f t="shared" ref="AK7:AK45" si="0">COUNTIF(F7:AJ7,"P")</f>
        <v>23</v>
      </c>
      <c r="AL7" s="10">
        <f t="shared" ref="AL7:AL45" si="1">COUNTIF(F7:AJ7,"A")</f>
        <v>3</v>
      </c>
      <c r="AN7" s="34" t="s">
        <v>26</v>
      </c>
      <c r="AO7" s="34">
        <v>4</v>
      </c>
      <c r="AP7" s="64" t="s">
        <v>58</v>
      </c>
      <c r="AQ7" s="64"/>
      <c r="AR7" s="1">
        <v>1</v>
      </c>
    </row>
    <row r="8" spans="1:44" ht="18" x14ac:dyDescent="0.4">
      <c r="A8" s="39">
        <v>3</v>
      </c>
      <c r="B8" s="61"/>
      <c r="C8" s="10"/>
      <c r="D8" s="10"/>
      <c r="E8" s="39" t="s">
        <v>29</v>
      </c>
      <c r="F8" s="13" t="s">
        <v>12</v>
      </c>
      <c r="G8" s="13" t="s">
        <v>12</v>
      </c>
      <c r="H8" s="13" t="s">
        <v>11</v>
      </c>
      <c r="I8" s="13" t="s">
        <v>11</v>
      </c>
      <c r="J8" s="13" t="s">
        <v>11</v>
      </c>
      <c r="K8" s="239"/>
      <c r="L8" s="13" t="s">
        <v>12</v>
      </c>
      <c r="M8" s="13" t="s">
        <v>12</v>
      </c>
      <c r="N8" s="13" t="s">
        <v>12</v>
      </c>
      <c r="O8" s="13" t="s">
        <v>12</v>
      </c>
      <c r="P8" s="13" t="s">
        <v>12</v>
      </c>
      <c r="Q8" s="42" t="s">
        <v>12</v>
      </c>
      <c r="R8" s="239"/>
      <c r="S8" s="239"/>
      <c r="T8" s="13" t="s">
        <v>12</v>
      </c>
      <c r="U8" s="13" t="s">
        <v>12</v>
      </c>
      <c r="V8" s="13" t="s">
        <v>12</v>
      </c>
      <c r="W8" s="13" t="s">
        <v>12</v>
      </c>
      <c r="X8" s="42" t="s">
        <v>12</v>
      </c>
      <c r="Y8" s="239"/>
      <c r="Z8" s="13" t="s">
        <v>12</v>
      </c>
      <c r="AA8" s="13" t="s">
        <v>12</v>
      </c>
      <c r="AB8" s="13" t="s">
        <v>12</v>
      </c>
      <c r="AC8" s="13" t="s">
        <v>12</v>
      </c>
      <c r="AD8" s="13" t="s">
        <v>12</v>
      </c>
      <c r="AE8" s="42" t="s">
        <v>12</v>
      </c>
      <c r="AF8" s="239"/>
      <c r="AG8" s="13" t="s">
        <v>12</v>
      </c>
      <c r="AH8" s="13" t="s">
        <v>12</v>
      </c>
      <c r="AI8" s="13" t="s">
        <v>12</v>
      </c>
      <c r="AJ8" s="13" t="s">
        <v>12</v>
      </c>
      <c r="AK8" s="10">
        <f t="shared" si="0"/>
        <v>23</v>
      </c>
      <c r="AL8" s="10">
        <f t="shared" si="1"/>
        <v>3</v>
      </c>
      <c r="AN8" s="34"/>
      <c r="AO8" s="34"/>
      <c r="AP8" s="64"/>
      <c r="AQ8" s="64"/>
    </row>
    <row r="9" spans="1:44" ht="18" x14ac:dyDescent="0.4">
      <c r="A9" s="39">
        <v>4</v>
      </c>
      <c r="B9" s="61"/>
      <c r="C9" s="10"/>
      <c r="D9" s="10"/>
      <c r="E9" s="39" t="s">
        <v>29</v>
      </c>
      <c r="F9" s="13" t="s">
        <v>11</v>
      </c>
      <c r="G9" s="13" t="s">
        <v>12</v>
      </c>
      <c r="H9" s="13" t="s">
        <v>12</v>
      </c>
      <c r="I9" s="13" t="s">
        <v>11</v>
      </c>
      <c r="J9" s="13" t="s">
        <v>12</v>
      </c>
      <c r="K9" s="239"/>
      <c r="L9" s="13" t="s">
        <v>12</v>
      </c>
      <c r="M9" s="13" t="s">
        <v>12</v>
      </c>
      <c r="N9" s="13" t="s">
        <v>12</v>
      </c>
      <c r="O9" s="13" t="s">
        <v>12</v>
      </c>
      <c r="P9" s="13" t="s">
        <v>12</v>
      </c>
      <c r="Q9" s="42" t="s">
        <v>12</v>
      </c>
      <c r="R9" s="239"/>
      <c r="S9" s="239"/>
      <c r="T9" s="13" t="s">
        <v>12</v>
      </c>
      <c r="U9" s="13" t="s">
        <v>12</v>
      </c>
      <c r="V9" s="13" t="s">
        <v>12</v>
      </c>
      <c r="W9" s="13" t="s">
        <v>12</v>
      </c>
      <c r="X9" s="42" t="s">
        <v>11</v>
      </c>
      <c r="Y9" s="239"/>
      <c r="Z9" s="13" t="s">
        <v>11</v>
      </c>
      <c r="AA9" s="13" t="s">
        <v>12</v>
      </c>
      <c r="AB9" s="13" t="s">
        <v>12</v>
      </c>
      <c r="AC9" s="13" t="s">
        <v>12</v>
      </c>
      <c r="AD9" s="13" t="s">
        <v>12</v>
      </c>
      <c r="AE9" s="42" t="s">
        <v>12</v>
      </c>
      <c r="AF9" s="239"/>
      <c r="AG9" s="13" t="s">
        <v>12</v>
      </c>
      <c r="AH9" s="13" t="s">
        <v>12</v>
      </c>
      <c r="AI9" s="13" t="s">
        <v>12</v>
      </c>
      <c r="AJ9" s="13" t="s">
        <v>12</v>
      </c>
      <c r="AK9" s="10">
        <f t="shared" si="0"/>
        <v>22</v>
      </c>
      <c r="AL9" s="10">
        <f t="shared" si="1"/>
        <v>4</v>
      </c>
      <c r="AN9" s="35" t="s">
        <v>6</v>
      </c>
      <c r="AO9" s="35"/>
      <c r="AP9" s="35"/>
      <c r="AQ9" s="35"/>
    </row>
    <row r="10" spans="1:44" ht="18" x14ac:dyDescent="0.4">
      <c r="A10" s="39">
        <v>5</v>
      </c>
      <c r="B10" s="61"/>
      <c r="C10" s="10"/>
      <c r="D10" s="10"/>
      <c r="E10" s="39" t="s">
        <v>29</v>
      </c>
      <c r="F10" s="13" t="s">
        <v>12</v>
      </c>
      <c r="G10" s="13" t="s">
        <v>12</v>
      </c>
      <c r="H10" s="13" t="s">
        <v>12</v>
      </c>
      <c r="I10" s="13" t="s">
        <v>12</v>
      </c>
      <c r="J10" s="13" t="s">
        <v>12</v>
      </c>
      <c r="K10" s="239"/>
      <c r="L10" s="13" t="s">
        <v>12</v>
      </c>
      <c r="M10" s="13" t="s">
        <v>12</v>
      </c>
      <c r="N10" s="13" t="s">
        <v>12</v>
      </c>
      <c r="O10" s="13" t="s">
        <v>12</v>
      </c>
      <c r="P10" s="13" t="s">
        <v>12</v>
      </c>
      <c r="Q10" s="42" t="s">
        <v>12</v>
      </c>
      <c r="R10" s="239"/>
      <c r="S10" s="239"/>
      <c r="T10" s="13" t="s">
        <v>12</v>
      </c>
      <c r="U10" s="13" t="s">
        <v>12</v>
      </c>
      <c r="V10" s="13" t="s">
        <v>12</v>
      </c>
      <c r="W10" s="13" t="s">
        <v>12</v>
      </c>
      <c r="X10" s="42" t="s">
        <v>12</v>
      </c>
      <c r="Y10" s="239"/>
      <c r="Z10" s="13" t="s">
        <v>12</v>
      </c>
      <c r="AA10" s="13" t="s">
        <v>12</v>
      </c>
      <c r="AB10" s="13" t="s">
        <v>12</v>
      </c>
      <c r="AC10" s="13" t="s">
        <v>12</v>
      </c>
      <c r="AD10" s="13" t="s">
        <v>12</v>
      </c>
      <c r="AE10" s="42" t="s">
        <v>12</v>
      </c>
      <c r="AF10" s="239"/>
      <c r="AG10" s="13" t="s">
        <v>12</v>
      </c>
      <c r="AH10" s="13" t="s">
        <v>12</v>
      </c>
      <c r="AI10" s="13" t="s">
        <v>12</v>
      </c>
      <c r="AJ10" s="13" t="s">
        <v>12</v>
      </c>
      <c r="AK10" s="10">
        <f t="shared" si="0"/>
        <v>26</v>
      </c>
      <c r="AL10" s="10">
        <f t="shared" si="1"/>
        <v>0</v>
      </c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ht="18" x14ac:dyDescent="0.4">
      <c r="A11" s="39">
        <v>6</v>
      </c>
      <c r="B11" s="61"/>
      <c r="C11" s="10"/>
      <c r="D11" s="10"/>
      <c r="E11" s="39" t="s">
        <v>29</v>
      </c>
      <c r="F11" s="13" t="s">
        <v>12</v>
      </c>
      <c r="G11" s="13" t="s">
        <v>12</v>
      </c>
      <c r="H11" s="13" t="s">
        <v>12</v>
      </c>
      <c r="I11" s="13" t="s">
        <v>11</v>
      </c>
      <c r="J11" s="13" t="s">
        <v>11</v>
      </c>
      <c r="K11" s="239"/>
      <c r="L11" s="13" t="s">
        <v>12</v>
      </c>
      <c r="M11" s="13" t="s">
        <v>12</v>
      </c>
      <c r="N11" s="13" t="s">
        <v>12</v>
      </c>
      <c r="O11" s="13" t="s">
        <v>12</v>
      </c>
      <c r="P11" s="13" t="s">
        <v>11</v>
      </c>
      <c r="Q11" s="42" t="s">
        <v>12</v>
      </c>
      <c r="R11" s="239"/>
      <c r="S11" s="239"/>
      <c r="T11" s="13" t="s">
        <v>12</v>
      </c>
      <c r="U11" s="13" t="s">
        <v>12</v>
      </c>
      <c r="V11" s="13" t="s">
        <v>12</v>
      </c>
      <c r="W11" s="13" t="s">
        <v>12</v>
      </c>
      <c r="X11" s="42" t="s">
        <v>12</v>
      </c>
      <c r="Y11" s="239"/>
      <c r="Z11" s="13" t="s">
        <v>12</v>
      </c>
      <c r="AA11" s="13" t="s">
        <v>12</v>
      </c>
      <c r="AB11" s="13" t="s">
        <v>12</v>
      </c>
      <c r="AC11" s="13" t="s">
        <v>12</v>
      </c>
      <c r="AD11" s="13" t="s">
        <v>12</v>
      </c>
      <c r="AE11" s="42" t="s">
        <v>12</v>
      </c>
      <c r="AF11" s="239"/>
      <c r="AG11" s="13" t="s">
        <v>12</v>
      </c>
      <c r="AH11" s="13" t="s">
        <v>12</v>
      </c>
      <c r="AI11" s="13" t="s">
        <v>12</v>
      </c>
      <c r="AJ11" s="13" t="s">
        <v>12</v>
      </c>
      <c r="AK11" s="149">
        <f t="shared" si="0"/>
        <v>23</v>
      </c>
      <c r="AL11" s="10">
        <f t="shared" si="1"/>
        <v>3</v>
      </c>
      <c r="AN11" s="39" t="s">
        <v>20</v>
      </c>
      <c r="AO11" s="39">
        <f>26*26</f>
        <v>676</v>
      </c>
      <c r="AP11" s="39">
        <f>14*26</f>
        <v>364</v>
      </c>
      <c r="AQ11" s="39">
        <f>AO11+AP11</f>
        <v>1040</v>
      </c>
    </row>
    <row r="12" spans="1:44" ht="18" x14ac:dyDescent="0.4">
      <c r="A12" s="39">
        <v>7</v>
      </c>
      <c r="B12" s="61"/>
      <c r="C12" s="10"/>
      <c r="D12" s="10"/>
      <c r="E12" s="39" t="s">
        <v>29</v>
      </c>
      <c r="F12" s="13" t="s">
        <v>12</v>
      </c>
      <c r="G12" s="13" t="s">
        <v>11</v>
      </c>
      <c r="H12" s="13" t="s">
        <v>11</v>
      </c>
      <c r="I12" s="13" t="s">
        <v>12</v>
      </c>
      <c r="J12" s="13" t="s">
        <v>12</v>
      </c>
      <c r="K12" s="239"/>
      <c r="L12" s="13" t="s">
        <v>12</v>
      </c>
      <c r="M12" s="13" t="s">
        <v>12</v>
      </c>
      <c r="N12" s="13" t="s">
        <v>12</v>
      </c>
      <c r="O12" s="13" t="s">
        <v>12</v>
      </c>
      <c r="P12" s="13" t="s">
        <v>12</v>
      </c>
      <c r="Q12" s="42" t="s">
        <v>12</v>
      </c>
      <c r="R12" s="239"/>
      <c r="S12" s="239"/>
      <c r="T12" s="13" t="s">
        <v>12</v>
      </c>
      <c r="U12" s="13" t="s">
        <v>12</v>
      </c>
      <c r="V12" s="13" t="s">
        <v>12</v>
      </c>
      <c r="W12" s="13" t="s">
        <v>12</v>
      </c>
      <c r="X12" s="42" t="s">
        <v>12</v>
      </c>
      <c r="Y12" s="239"/>
      <c r="Z12" s="13" t="s">
        <v>12</v>
      </c>
      <c r="AA12" s="13" t="s">
        <v>12</v>
      </c>
      <c r="AB12" s="13" t="s">
        <v>12</v>
      </c>
      <c r="AC12" s="13" t="s">
        <v>12</v>
      </c>
      <c r="AD12" s="13" t="s">
        <v>12</v>
      </c>
      <c r="AE12" s="42" t="s">
        <v>12</v>
      </c>
      <c r="AF12" s="239"/>
      <c r="AG12" s="13" t="s">
        <v>12</v>
      </c>
      <c r="AH12" s="13" t="s">
        <v>12</v>
      </c>
      <c r="AI12" s="13" t="s">
        <v>12</v>
      </c>
      <c r="AJ12" s="13" t="s">
        <v>12</v>
      </c>
      <c r="AK12" s="149">
        <f t="shared" si="0"/>
        <v>24</v>
      </c>
      <c r="AL12" s="10">
        <f t="shared" si="1"/>
        <v>2</v>
      </c>
      <c r="AN12" s="43" t="s">
        <v>21</v>
      </c>
      <c r="AO12" s="39">
        <f>AK6+AK8+AK9+AK10+AK13+AK14+AK15+AK16+AK17+AK18+AK19+AK20+AK21+AK22+AK23+AK24+AK25+AK27+AK28+AK30+AK31+AK32+AK35+AK36+AK44+AK45</f>
        <v>564</v>
      </c>
      <c r="AP12" s="39">
        <f>AK7+AK11+AK12+AK26+AK29+AK33+AK34+AK37+AK38+AK39+AK40+AK41+AK42+AK43</f>
        <v>310</v>
      </c>
      <c r="AQ12" s="39">
        <f>AO12+AP12</f>
        <v>874</v>
      </c>
    </row>
    <row r="13" spans="1:44" ht="18" x14ac:dyDescent="0.4">
      <c r="A13" s="39">
        <v>8</v>
      </c>
      <c r="B13" s="35"/>
      <c r="C13" s="10"/>
      <c r="D13" s="10"/>
      <c r="E13" s="39" t="s">
        <v>29</v>
      </c>
      <c r="F13" s="13" t="s">
        <v>12</v>
      </c>
      <c r="G13" s="13" t="s">
        <v>12</v>
      </c>
      <c r="H13" s="13" t="s">
        <v>12</v>
      </c>
      <c r="I13" s="13" t="s">
        <v>12</v>
      </c>
      <c r="J13" s="13" t="s">
        <v>12</v>
      </c>
      <c r="K13" s="239"/>
      <c r="L13" s="13" t="s">
        <v>12</v>
      </c>
      <c r="M13" s="13" t="s">
        <v>12</v>
      </c>
      <c r="N13" s="13" t="s">
        <v>11</v>
      </c>
      <c r="O13" s="13" t="s">
        <v>11</v>
      </c>
      <c r="P13" s="13" t="s">
        <v>11</v>
      </c>
      <c r="Q13" s="42" t="s">
        <v>12</v>
      </c>
      <c r="R13" s="239"/>
      <c r="S13" s="239"/>
      <c r="T13" s="13" t="s">
        <v>12</v>
      </c>
      <c r="U13" s="13" t="s">
        <v>12</v>
      </c>
      <c r="V13" s="13" t="s">
        <v>12</v>
      </c>
      <c r="W13" s="13" t="s">
        <v>12</v>
      </c>
      <c r="X13" s="42" t="s">
        <v>11</v>
      </c>
      <c r="Y13" s="239"/>
      <c r="Z13" s="13" t="s">
        <v>12</v>
      </c>
      <c r="AA13" s="13" t="s">
        <v>12</v>
      </c>
      <c r="AB13" s="13" t="s">
        <v>12</v>
      </c>
      <c r="AC13" s="13" t="s">
        <v>12</v>
      </c>
      <c r="AD13" s="13" t="s">
        <v>12</v>
      </c>
      <c r="AE13" s="42" t="s">
        <v>12</v>
      </c>
      <c r="AF13" s="239"/>
      <c r="AG13" s="13" t="s">
        <v>12</v>
      </c>
      <c r="AH13" s="13" t="s">
        <v>12</v>
      </c>
      <c r="AI13" s="13" t="s">
        <v>12</v>
      </c>
      <c r="AJ13" s="13" t="s">
        <v>12</v>
      </c>
      <c r="AK13" s="10">
        <f t="shared" si="0"/>
        <v>22</v>
      </c>
      <c r="AL13" s="10">
        <f t="shared" si="1"/>
        <v>4</v>
      </c>
      <c r="AN13" s="39" t="s">
        <v>22</v>
      </c>
      <c r="AO13" s="44">
        <f>AO12/AO11</f>
        <v>0.83431952662721898</v>
      </c>
      <c r="AP13" s="44">
        <f>AP12/AP11</f>
        <v>0.85164835164835162</v>
      </c>
      <c r="AQ13" s="44">
        <f>AQ12/AQ11</f>
        <v>0.8403846153846154</v>
      </c>
    </row>
    <row r="14" spans="1:44" ht="18" x14ac:dyDescent="0.4">
      <c r="A14" s="39">
        <v>9</v>
      </c>
      <c r="B14" s="61"/>
      <c r="C14" s="10"/>
      <c r="D14" s="10"/>
      <c r="E14" s="39" t="s">
        <v>29</v>
      </c>
      <c r="F14" s="13" t="s">
        <v>12</v>
      </c>
      <c r="G14" s="13" t="s">
        <v>12</v>
      </c>
      <c r="H14" s="13" t="s">
        <v>12</v>
      </c>
      <c r="I14" s="13" t="s">
        <v>12</v>
      </c>
      <c r="J14" s="13" t="s">
        <v>12</v>
      </c>
      <c r="K14" s="239"/>
      <c r="L14" s="13" t="s">
        <v>12</v>
      </c>
      <c r="M14" s="13" t="s">
        <v>12</v>
      </c>
      <c r="N14" s="13" t="s">
        <v>12</v>
      </c>
      <c r="O14" s="13" t="s">
        <v>12</v>
      </c>
      <c r="P14" s="13" t="s">
        <v>12</v>
      </c>
      <c r="Q14" s="42" t="s">
        <v>12</v>
      </c>
      <c r="R14" s="239"/>
      <c r="S14" s="239"/>
      <c r="T14" s="13" t="s">
        <v>12</v>
      </c>
      <c r="U14" s="13" t="s">
        <v>12</v>
      </c>
      <c r="V14" s="13" t="s">
        <v>12</v>
      </c>
      <c r="W14" s="13" t="s">
        <v>12</v>
      </c>
      <c r="X14" s="42" t="s">
        <v>12</v>
      </c>
      <c r="Y14" s="239"/>
      <c r="Z14" s="13" t="s">
        <v>12</v>
      </c>
      <c r="AA14" s="13" t="s">
        <v>12</v>
      </c>
      <c r="AB14" s="13" t="s">
        <v>12</v>
      </c>
      <c r="AC14" s="13" t="s">
        <v>12</v>
      </c>
      <c r="AD14" s="13" t="s">
        <v>12</v>
      </c>
      <c r="AE14" s="42" t="s">
        <v>12</v>
      </c>
      <c r="AF14" s="239"/>
      <c r="AG14" s="13" t="s">
        <v>12</v>
      </c>
      <c r="AH14" s="13" t="s">
        <v>12</v>
      </c>
      <c r="AI14" s="13" t="s">
        <v>12</v>
      </c>
      <c r="AJ14" s="13" t="s">
        <v>12</v>
      </c>
      <c r="AK14" s="10">
        <f t="shared" si="0"/>
        <v>26</v>
      </c>
      <c r="AL14" s="10">
        <f t="shared" si="1"/>
        <v>0</v>
      </c>
      <c r="AN14" s="34"/>
      <c r="AO14" s="45"/>
      <c r="AP14" s="45"/>
      <c r="AQ14" s="45"/>
    </row>
    <row r="15" spans="1:44" ht="18" x14ac:dyDescent="0.4">
      <c r="A15" s="39">
        <v>10</v>
      </c>
      <c r="B15" s="61"/>
      <c r="C15" s="10"/>
      <c r="D15" s="10"/>
      <c r="E15" s="39" t="s">
        <v>29</v>
      </c>
      <c r="F15" s="13" t="s">
        <v>12</v>
      </c>
      <c r="G15" s="13" t="s">
        <v>12</v>
      </c>
      <c r="H15" s="13" t="s">
        <v>11</v>
      </c>
      <c r="I15" s="13" t="s">
        <v>11</v>
      </c>
      <c r="J15" s="13" t="s">
        <v>11</v>
      </c>
      <c r="K15" s="239"/>
      <c r="L15" s="13" t="s">
        <v>12</v>
      </c>
      <c r="M15" s="13" t="s">
        <v>12</v>
      </c>
      <c r="N15" s="13" t="s">
        <v>12</v>
      </c>
      <c r="O15" s="13" t="s">
        <v>12</v>
      </c>
      <c r="P15" s="13" t="s">
        <v>12</v>
      </c>
      <c r="Q15" s="42" t="s">
        <v>12</v>
      </c>
      <c r="R15" s="239"/>
      <c r="S15" s="239"/>
      <c r="T15" s="13" t="s">
        <v>12</v>
      </c>
      <c r="U15" s="13" t="s">
        <v>12</v>
      </c>
      <c r="V15" s="13" t="s">
        <v>12</v>
      </c>
      <c r="W15" s="13" t="s">
        <v>12</v>
      </c>
      <c r="X15" s="42" t="s">
        <v>12</v>
      </c>
      <c r="Y15" s="239"/>
      <c r="Z15" s="13" t="s">
        <v>12</v>
      </c>
      <c r="AA15" s="13" t="s">
        <v>12</v>
      </c>
      <c r="AB15" s="13" t="s">
        <v>12</v>
      </c>
      <c r="AC15" s="13" t="s">
        <v>12</v>
      </c>
      <c r="AD15" s="13" t="s">
        <v>12</v>
      </c>
      <c r="AE15" s="42" t="s">
        <v>12</v>
      </c>
      <c r="AF15" s="239"/>
      <c r="AG15" s="13" t="s">
        <v>12</v>
      </c>
      <c r="AH15" s="13" t="s">
        <v>12</v>
      </c>
      <c r="AI15" s="13" t="s">
        <v>12</v>
      </c>
      <c r="AJ15" s="13" t="s">
        <v>12</v>
      </c>
      <c r="AK15" s="10">
        <f t="shared" si="0"/>
        <v>23</v>
      </c>
      <c r="AL15" s="10">
        <f t="shared" si="1"/>
        <v>3</v>
      </c>
      <c r="AN15" s="34"/>
      <c r="AO15" s="34"/>
      <c r="AP15" s="34"/>
      <c r="AQ15" s="34"/>
    </row>
    <row r="16" spans="1:44" ht="18" x14ac:dyDescent="0.4">
      <c r="A16" s="39">
        <v>11</v>
      </c>
      <c r="B16" s="61"/>
      <c r="C16" s="10"/>
      <c r="D16" s="10"/>
      <c r="E16" s="39" t="s">
        <v>29</v>
      </c>
      <c r="F16" s="13" t="s">
        <v>12</v>
      </c>
      <c r="G16" s="13" t="s">
        <v>12</v>
      </c>
      <c r="H16" s="13" t="s">
        <v>12</v>
      </c>
      <c r="I16" s="13" t="s">
        <v>12</v>
      </c>
      <c r="J16" s="13" t="s">
        <v>12</v>
      </c>
      <c r="K16" s="239"/>
      <c r="L16" s="13" t="s">
        <v>11</v>
      </c>
      <c r="M16" s="13" t="s">
        <v>11</v>
      </c>
      <c r="N16" s="13" t="s">
        <v>11</v>
      </c>
      <c r="O16" s="13" t="s">
        <v>11</v>
      </c>
      <c r="P16" s="13" t="s">
        <v>12</v>
      </c>
      <c r="Q16" s="42" t="s">
        <v>12</v>
      </c>
      <c r="R16" s="239"/>
      <c r="S16" s="239"/>
      <c r="T16" s="13" t="s">
        <v>12</v>
      </c>
      <c r="U16" s="13" t="s">
        <v>12</v>
      </c>
      <c r="V16" s="13" t="s">
        <v>12</v>
      </c>
      <c r="W16" s="13" t="s">
        <v>12</v>
      </c>
      <c r="X16" s="42" t="s">
        <v>12</v>
      </c>
      <c r="Y16" s="239"/>
      <c r="Z16" s="13" t="s">
        <v>12</v>
      </c>
      <c r="AA16" s="13" t="s">
        <v>12</v>
      </c>
      <c r="AB16" s="13" t="s">
        <v>12</v>
      </c>
      <c r="AC16" s="13" t="s">
        <v>12</v>
      </c>
      <c r="AD16" s="13" t="s">
        <v>12</v>
      </c>
      <c r="AE16" s="42" t="s">
        <v>12</v>
      </c>
      <c r="AF16" s="239"/>
      <c r="AG16" s="13" t="s">
        <v>12</v>
      </c>
      <c r="AH16" s="13" t="s">
        <v>12</v>
      </c>
      <c r="AI16" s="13" t="s">
        <v>12</v>
      </c>
      <c r="AJ16" s="13" t="s">
        <v>12</v>
      </c>
      <c r="AK16" s="10">
        <f t="shared" si="0"/>
        <v>22</v>
      </c>
      <c r="AL16" s="10">
        <f t="shared" si="1"/>
        <v>4</v>
      </c>
      <c r="AN16" s="240" t="s">
        <v>7</v>
      </c>
      <c r="AO16" s="240"/>
      <c r="AP16" s="240"/>
      <c r="AQ16" s="240"/>
    </row>
    <row r="17" spans="1:43" ht="18" x14ac:dyDescent="0.4">
      <c r="A17" s="39">
        <v>12</v>
      </c>
      <c r="B17" s="61"/>
      <c r="C17" s="10"/>
      <c r="D17" s="10"/>
      <c r="E17" s="39" t="s">
        <v>29</v>
      </c>
      <c r="F17" s="13" t="s">
        <v>11</v>
      </c>
      <c r="G17" s="13" t="s">
        <v>12</v>
      </c>
      <c r="H17" s="13" t="s">
        <v>12</v>
      </c>
      <c r="I17" s="13" t="s">
        <v>12</v>
      </c>
      <c r="J17" s="13" t="s">
        <v>12</v>
      </c>
      <c r="K17" s="239"/>
      <c r="L17" s="13" t="s">
        <v>11</v>
      </c>
      <c r="M17" s="13" t="s">
        <v>11</v>
      </c>
      <c r="N17" s="13" t="s">
        <v>12</v>
      </c>
      <c r="O17" s="13" t="s">
        <v>11</v>
      </c>
      <c r="P17" s="13" t="s">
        <v>11</v>
      </c>
      <c r="Q17" s="42" t="s">
        <v>11</v>
      </c>
      <c r="R17" s="239"/>
      <c r="S17" s="239"/>
      <c r="T17" s="13" t="s">
        <v>11</v>
      </c>
      <c r="U17" s="13" t="s">
        <v>11</v>
      </c>
      <c r="V17" s="13" t="s">
        <v>11</v>
      </c>
      <c r="W17" s="13" t="s">
        <v>11</v>
      </c>
      <c r="X17" s="42" t="s">
        <v>11</v>
      </c>
      <c r="Y17" s="239"/>
      <c r="Z17" s="13" t="s">
        <v>11</v>
      </c>
      <c r="AA17" s="13" t="s">
        <v>11</v>
      </c>
      <c r="AB17" s="13" t="s">
        <v>11</v>
      </c>
      <c r="AC17" s="13" t="s">
        <v>11</v>
      </c>
      <c r="AD17" s="13" t="s">
        <v>11</v>
      </c>
      <c r="AE17" s="42" t="s">
        <v>11</v>
      </c>
      <c r="AF17" s="239"/>
      <c r="AG17" s="13" t="s">
        <v>11</v>
      </c>
      <c r="AH17" s="13" t="s">
        <v>11</v>
      </c>
      <c r="AI17" s="13" t="s">
        <v>11</v>
      </c>
      <c r="AJ17" s="13" t="s">
        <v>11</v>
      </c>
      <c r="AK17" s="10">
        <f t="shared" si="0"/>
        <v>5</v>
      </c>
      <c r="AL17" s="10">
        <f t="shared" si="1"/>
        <v>21</v>
      </c>
      <c r="AN17" s="150" t="s">
        <v>16</v>
      </c>
      <c r="AO17" s="150" t="s">
        <v>18</v>
      </c>
      <c r="AP17" s="150" t="s">
        <v>17</v>
      </c>
      <c r="AQ17" s="150" t="s">
        <v>19</v>
      </c>
    </row>
    <row r="18" spans="1:43" ht="18" x14ac:dyDescent="0.4">
      <c r="A18" s="39">
        <v>13</v>
      </c>
      <c r="B18" s="61"/>
      <c r="C18" s="10"/>
      <c r="D18" s="10"/>
      <c r="E18" s="39" t="s">
        <v>29</v>
      </c>
      <c r="F18" s="13" t="s">
        <v>12</v>
      </c>
      <c r="G18" s="13" t="s">
        <v>12</v>
      </c>
      <c r="H18" s="13" t="s">
        <v>11</v>
      </c>
      <c r="I18" s="13" t="s">
        <v>12</v>
      </c>
      <c r="J18" s="13" t="s">
        <v>12</v>
      </c>
      <c r="K18" s="239"/>
      <c r="L18" s="13" t="s">
        <v>12</v>
      </c>
      <c r="M18" s="13" t="s">
        <v>12</v>
      </c>
      <c r="N18" s="13" t="s">
        <v>12</v>
      </c>
      <c r="O18" s="13" t="s">
        <v>12</v>
      </c>
      <c r="P18" s="13" t="s">
        <v>12</v>
      </c>
      <c r="Q18" s="42" t="s">
        <v>12</v>
      </c>
      <c r="R18" s="239"/>
      <c r="S18" s="239"/>
      <c r="T18" s="13" t="s">
        <v>11</v>
      </c>
      <c r="U18" s="13" t="s">
        <v>12</v>
      </c>
      <c r="V18" s="13" t="s">
        <v>12</v>
      </c>
      <c r="W18" s="13" t="s">
        <v>12</v>
      </c>
      <c r="X18" s="42" t="s">
        <v>12</v>
      </c>
      <c r="Y18" s="239"/>
      <c r="Z18" s="13" t="s">
        <v>12</v>
      </c>
      <c r="AA18" s="13" t="s">
        <v>12</v>
      </c>
      <c r="AB18" s="13" t="s">
        <v>12</v>
      </c>
      <c r="AC18" s="13" t="s">
        <v>12</v>
      </c>
      <c r="AD18" s="13" t="s">
        <v>12</v>
      </c>
      <c r="AE18" s="42" t="s">
        <v>12</v>
      </c>
      <c r="AF18" s="239"/>
      <c r="AG18" s="13" t="s">
        <v>12</v>
      </c>
      <c r="AH18" s="13" t="s">
        <v>12</v>
      </c>
      <c r="AI18" s="13" t="s">
        <v>12</v>
      </c>
      <c r="AJ18" s="13" t="s">
        <v>12</v>
      </c>
      <c r="AK18" s="10">
        <f t="shared" si="0"/>
        <v>24</v>
      </c>
      <c r="AL18" s="10">
        <f t="shared" si="1"/>
        <v>2</v>
      </c>
      <c r="AN18" s="150" t="s">
        <v>20</v>
      </c>
      <c r="AO18" s="39">
        <f>26*26</f>
        <v>676</v>
      </c>
      <c r="AP18" s="39">
        <f>14*26</f>
        <v>364</v>
      </c>
      <c r="AQ18" s="150">
        <f>AO18+AP18</f>
        <v>1040</v>
      </c>
    </row>
    <row r="19" spans="1:43" ht="18" x14ac:dyDescent="0.4">
      <c r="A19" s="39">
        <v>14</v>
      </c>
      <c r="B19" s="61"/>
      <c r="C19" s="10"/>
      <c r="D19" s="10"/>
      <c r="E19" s="39" t="s">
        <v>29</v>
      </c>
      <c r="F19" s="13" t="s">
        <v>12</v>
      </c>
      <c r="G19" s="13" t="s">
        <v>12</v>
      </c>
      <c r="H19" s="13" t="s">
        <v>12</v>
      </c>
      <c r="I19" s="13" t="s">
        <v>12</v>
      </c>
      <c r="J19" s="13" t="s">
        <v>12</v>
      </c>
      <c r="K19" s="239"/>
      <c r="L19" s="13" t="s">
        <v>11</v>
      </c>
      <c r="M19" s="13" t="s">
        <v>11</v>
      </c>
      <c r="N19" s="13" t="s">
        <v>11</v>
      </c>
      <c r="O19" s="13" t="s">
        <v>11</v>
      </c>
      <c r="P19" s="13" t="s">
        <v>11</v>
      </c>
      <c r="Q19" s="42" t="s">
        <v>11</v>
      </c>
      <c r="R19" s="239"/>
      <c r="S19" s="239"/>
      <c r="T19" s="13" t="s">
        <v>12</v>
      </c>
      <c r="U19" s="13" t="s">
        <v>12</v>
      </c>
      <c r="V19" s="13" t="s">
        <v>12</v>
      </c>
      <c r="W19" s="13" t="s">
        <v>12</v>
      </c>
      <c r="X19" s="42" t="s">
        <v>12</v>
      </c>
      <c r="Y19" s="239"/>
      <c r="Z19" s="13" t="s">
        <v>12</v>
      </c>
      <c r="AA19" s="13" t="s">
        <v>12</v>
      </c>
      <c r="AB19" s="13" t="s">
        <v>12</v>
      </c>
      <c r="AC19" s="13" t="s">
        <v>12</v>
      </c>
      <c r="AD19" s="13" t="s">
        <v>12</v>
      </c>
      <c r="AE19" s="42" t="s">
        <v>12</v>
      </c>
      <c r="AF19" s="239"/>
      <c r="AG19" s="13" t="s">
        <v>11</v>
      </c>
      <c r="AH19" s="13" t="s">
        <v>12</v>
      </c>
      <c r="AI19" s="13" t="s">
        <v>12</v>
      </c>
      <c r="AJ19" s="13" t="s">
        <v>12</v>
      </c>
      <c r="AK19" s="10">
        <f t="shared" si="0"/>
        <v>19</v>
      </c>
      <c r="AL19" s="10">
        <f t="shared" si="1"/>
        <v>7</v>
      </c>
      <c r="AN19" s="150" t="s">
        <v>24</v>
      </c>
      <c r="AO19" s="39">
        <f>AO11-AO12</f>
        <v>112</v>
      </c>
      <c r="AP19" s="39">
        <f>AP11-AP12</f>
        <v>54</v>
      </c>
      <c r="AQ19" s="150"/>
    </row>
    <row r="20" spans="1:43" ht="18" x14ac:dyDescent="0.4">
      <c r="A20" s="39">
        <v>15</v>
      </c>
      <c r="B20" s="61"/>
      <c r="C20" s="10"/>
      <c r="D20" s="10"/>
      <c r="E20" s="39" t="s">
        <v>29</v>
      </c>
      <c r="F20" s="13" t="s">
        <v>12</v>
      </c>
      <c r="G20" s="13" t="s">
        <v>12</v>
      </c>
      <c r="H20" s="13" t="s">
        <v>12</v>
      </c>
      <c r="I20" s="13" t="s">
        <v>12</v>
      </c>
      <c r="J20" s="13" t="s">
        <v>11</v>
      </c>
      <c r="K20" s="239"/>
      <c r="L20" s="13" t="s">
        <v>12</v>
      </c>
      <c r="M20" s="13" t="s">
        <v>12</v>
      </c>
      <c r="N20" s="13" t="s">
        <v>12</v>
      </c>
      <c r="O20" s="13" t="s">
        <v>12</v>
      </c>
      <c r="P20" s="13" t="s">
        <v>12</v>
      </c>
      <c r="Q20" s="42" t="s">
        <v>12</v>
      </c>
      <c r="R20" s="239"/>
      <c r="S20" s="239"/>
      <c r="T20" s="13" t="s">
        <v>11</v>
      </c>
      <c r="U20" s="13" t="s">
        <v>12</v>
      </c>
      <c r="V20" s="13" t="s">
        <v>12</v>
      </c>
      <c r="W20" s="13" t="s">
        <v>12</v>
      </c>
      <c r="X20" s="42" t="s">
        <v>12</v>
      </c>
      <c r="Y20" s="239"/>
      <c r="Z20" s="13" t="s">
        <v>12</v>
      </c>
      <c r="AA20" s="13" t="s">
        <v>12</v>
      </c>
      <c r="AB20" s="13" t="s">
        <v>12</v>
      </c>
      <c r="AC20" s="13" t="s">
        <v>12</v>
      </c>
      <c r="AD20" s="13" t="s">
        <v>12</v>
      </c>
      <c r="AE20" s="42" t="s">
        <v>12</v>
      </c>
      <c r="AF20" s="239"/>
      <c r="AG20" s="13" t="s">
        <v>12</v>
      </c>
      <c r="AH20" s="13" t="s">
        <v>12</v>
      </c>
      <c r="AI20" s="13" t="s">
        <v>12</v>
      </c>
      <c r="AJ20" s="13" t="s">
        <v>12</v>
      </c>
      <c r="AK20" s="10">
        <f t="shared" si="0"/>
        <v>24</v>
      </c>
      <c r="AL20" s="10">
        <f t="shared" si="1"/>
        <v>2</v>
      </c>
      <c r="AN20" s="150" t="s">
        <v>19</v>
      </c>
      <c r="AO20" s="150">
        <f>AO18-AO12</f>
        <v>112</v>
      </c>
      <c r="AP20" s="150">
        <f>AP18-AP12</f>
        <v>54</v>
      </c>
      <c r="AQ20" s="150">
        <f>AO20+AP20</f>
        <v>166</v>
      </c>
    </row>
    <row r="21" spans="1:43" ht="18" x14ac:dyDescent="0.4">
      <c r="A21" s="39">
        <v>16</v>
      </c>
      <c r="B21" s="61"/>
      <c r="C21" s="10"/>
      <c r="D21" s="10"/>
      <c r="E21" s="39" t="s">
        <v>29</v>
      </c>
      <c r="F21" s="13" t="s">
        <v>12</v>
      </c>
      <c r="G21" s="13" t="s">
        <v>12</v>
      </c>
      <c r="H21" s="13" t="s">
        <v>12</v>
      </c>
      <c r="I21" s="13" t="s">
        <v>12</v>
      </c>
      <c r="J21" s="13" t="s">
        <v>12</v>
      </c>
      <c r="K21" s="239"/>
      <c r="L21" s="13" t="s">
        <v>12</v>
      </c>
      <c r="M21" s="13" t="s">
        <v>11</v>
      </c>
      <c r="N21" s="13" t="s">
        <v>11</v>
      </c>
      <c r="O21" s="13" t="s">
        <v>11</v>
      </c>
      <c r="P21" s="13" t="s">
        <v>11</v>
      </c>
      <c r="Q21" s="42" t="s">
        <v>12</v>
      </c>
      <c r="R21" s="239"/>
      <c r="S21" s="239"/>
      <c r="T21" s="13" t="s">
        <v>12</v>
      </c>
      <c r="U21" s="13" t="s">
        <v>11</v>
      </c>
      <c r="V21" s="13" t="s">
        <v>11</v>
      </c>
      <c r="W21" s="13" t="s">
        <v>11</v>
      </c>
      <c r="X21" s="42" t="s">
        <v>11</v>
      </c>
      <c r="Y21" s="239"/>
      <c r="Z21" s="13" t="s">
        <v>11</v>
      </c>
      <c r="AA21" s="13" t="s">
        <v>11</v>
      </c>
      <c r="AB21" s="13" t="s">
        <v>11</v>
      </c>
      <c r="AC21" s="13" t="s">
        <v>11</v>
      </c>
      <c r="AD21" s="13" t="s">
        <v>11</v>
      </c>
      <c r="AE21" s="42" t="s">
        <v>11</v>
      </c>
      <c r="AF21" s="239"/>
      <c r="AG21" s="13" t="s">
        <v>11</v>
      </c>
      <c r="AH21" s="13" t="s">
        <v>11</v>
      </c>
      <c r="AI21" s="13" t="s">
        <v>11</v>
      </c>
      <c r="AJ21" s="13" t="s">
        <v>11</v>
      </c>
      <c r="AK21" s="10">
        <f t="shared" si="0"/>
        <v>8</v>
      </c>
      <c r="AL21" s="10">
        <f t="shared" si="1"/>
        <v>18</v>
      </c>
      <c r="AQ21" s="1">
        <f>AQ18-AQ20</f>
        <v>874</v>
      </c>
    </row>
    <row r="22" spans="1:43" ht="18" x14ac:dyDescent="0.4">
      <c r="A22" s="39">
        <v>17</v>
      </c>
      <c r="B22" s="61"/>
      <c r="C22" s="10"/>
      <c r="D22" s="10"/>
      <c r="E22" s="39" t="s">
        <v>29</v>
      </c>
      <c r="F22" s="13" t="s">
        <v>12</v>
      </c>
      <c r="G22" s="13" t="s">
        <v>12</v>
      </c>
      <c r="H22" s="13" t="s">
        <v>12</v>
      </c>
      <c r="I22" s="13" t="s">
        <v>12</v>
      </c>
      <c r="J22" s="13" t="s">
        <v>12</v>
      </c>
      <c r="K22" s="239"/>
      <c r="L22" s="13" t="s">
        <v>12</v>
      </c>
      <c r="M22" s="13" t="s">
        <v>12</v>
      </c>
      <c r="N22" s="13" t="s">
        <v>12</v>
      </c>
      <c r="O22" s="13" t="s">
        <v>12</v>
      </c>
      <c r="P22" s="13" t="s">
        <v>12</v>
      </c>
      <c r="Q22" s="42" t="s">
        <v>12</v>
      </c>
      <c r="R22" s="239"/>
      <c r="S22" s="239"/>
      <c r="T22" s="13" t="s">
        <v>12</v>
      </c>
      <c r="U22" s="13" t="s">
        <v>12</v>
      </c>
      <c r="V22" s="13" t="s">
        <v>12</v>
      </c>
      <c r="W22" s="13" t="s">
        <v>12</v>
      </c>
      <c r="X22" s="42" t="s">
        <v>12</v>
      </c>
      <c r="Y22" s="239"/>
      <c r="Z22" s="13" t="s">
        <v>12</v>
      </c>
      <c r="AA22" s="13" t="s">
        <v>12</v>
      </c>
      <c r="AB22" s="13" t="s">
        <v>12</v>
      </c>
      <c r="AC22" s="13" t="s">
        <v>12</v>
      </c>
      <c r="AD22" s="13" t="s">
        <v>12</v>
      </c>
      <c r="AE22" s="42" t="s">
        <v>12</v>
      </c>
      <c r="AF22" s="239"/>
      <c r="AG22" s="13" t="s">
        <v>12</v>
      </c>
      <c r="AH22" s="13" t="s">
        <v>12</v>
      </c>
      <c r="AI22" s="13" t="s">
        <v>12</v>
      </c>
      <c r="AJ22" s="13" t="s">
        <v>12</v>
      </c>
      <c r="AK22" s="10">
        <f t="shared" si="0"/>
        <v>26</v>
      </c>
      <c r="AL22" s="10">
        <f t="shared" si="1"/>
        <v>0</v>
      </c>
    </row>
    <row r="23" spans="1:43" ht="18" x14ac:dyDescent="0.4">
      <c r="A23" s="39">
        <v>18</v>
      </c>
      <c r="B23" s="61"/>
      <c r="C23" s="10"/>
      <c r="D23" s="10"/>
      <c r="E23" s="39" t="s">
        <v>29</v>
      </c>
      <c r="F23" s="13" t="s">
        <v>12</v>
      </c>
      <c r="G23" s="13" t="s">
        <v>12</v>
      </c>
      <c r="H23" s="13" t="s">
        <v>12</v>
      </c>
      <c r="I23" s="13" t="s">
        <v>11</v>
      </c>
      <c r="J23" s="13" t="s">
        <v>11</v>
      </c>
      <c r="K23" s="239"/>
      <c r="L23" s="13" t="s">
        <v>12</v>
      </c>
      <c r="M23" s="13" t="s">
        <v>12</v>
      </c>
      <c r="N23" s="13" t="s">
        <v>12</v>
      </c>
      <c r="O23" s="13" t="s">
        <v>11</v>
      </c>
      <c r="P23" s="13" t="s">
        <v>12</v>
      </c>
      <c r="Q23" s="42" t="s">
        <v>12</v>
      </c>
      <c r="R23" s="239"/>
      <c r="S23" s="239"/>
      <c r="T23" s="13" t="s">
        <v>12</v>
      </c>
      <c r="U23" s="13" t="s">
        <v>12</v>
      </c>
      <c r="V23" s="13" t="s">
        <v>12</v>
      </c>
      <c r="W23" s="13" t="s">
        <v>12</v>
      </c>
      <c r="X23" s="42" t="s">
        <v>12</v>
      </c>
      <c r="Y23" s="239"/>
      <c r="Z23" s="13" t="s">
        <v>12</v>
      </c>
      <c r="AA23" s="13" t="s">
        <v>12</v>
      </c>
      <c r="AB23" s="13" t="s">
        <v>12</v>
      </c>
      <c r="AC23" s="13" t="s">
        <v>12</v>
      </c>
      <c r="AD23" s="13" t="s">
        <v>12</v>
      </c>
      <c r="AE23" s="42" t="s">
        <v>12</v>
      </c>
      <c r="AF23" s="239"/>
      <c r="AG23" s="13" t="s">
        <v>12</v>
      </c>
      <c r="AH23" s="13" t="s">
        <v>12</v>
      </c>
      <c r="AI23" s="13" t="s">
        <v>12</v>
      </c>
      <c r="AJ23" s="13" t="s">
        <v>12</v>
      </c>
      <c r="AK23" s="10">
        <f t="shared" si="0"/>
        <v>23</v>
      </c>
      <c r="AL23" s="10">
        <f t="shared" si="1"/>
        <v>3</v>
      </c>
    </row>
    <row r="24" spans="1:43" ht="18" x14ac:dyDescent="0.4">
      <c r="A24" s="39">
        <v>19</v>
      </c>
      <c r="B24" s="61"/>
      <c r="C24" s="10"/>
      <c r="D24" s="10"/>
      <c r="E24" s="39" t="s">
        <v>29</v>
      </c>
      <c r="F24" s="13" t="s">
        <v>12</v>
      </c>
      <c r="G24" s="13" t="s">
        <v>12</v>
      </c>
      <c r="H24" s="13" t="s">
        <v>11</v>
      </c>
      <c r="I24" s="13" t="s">
        <v>11</v>
      </c>
      <c r="J24" s="13" t="s">
        <v>11</v>
      </c>
      <c r="K24" s="239"/>
      <c r="L24" s="13" t="s">
        <v>12</v>
      </c>
      <c r="M24" s="13" t="s">
        <v>12</v>
      </c>
      <c r="N24" s="13" t="s">
        <v>12</v>
      </c>
      <c r="O24" s="13" t="s">
        <v>12</v>
      </c>
      <c r="P24" s="13" t="s">
        <v>12</v>
      </c>
      <c r="Q24" s="42" t="s">
        <v>12</v>
      </c>
      <c r="R24" s="239"/>
      <c r="S24" s="239"/>
      <c r="T24" s="13" t="s">
        <v>12</v>
      </c>
      <c r="U24" s="13" t="s">
        <v>12</v>
      </c>
      <c r="V24" s="13" t="s">
        <v>12</v>
      </c>
      <c r="W24" s="13" t="s">
        <v>12</v>
      </c>
      <c r="X24" s="42" t="s">
        <v>12</v>
      </c>
      <c r="Y24" s="239"/>
      <c r="Z24" s="13" t="s">
        <v>12</v>
      </c>
      <c r="AA24" s="13" t="s">
        <v>12</v>
      </c>
      <c r="AB24" s="13" t="s">
        <v>12</v>
      </c>
      <c r="AC24" s="13" t="s">
        <v>12</v>
      </c>
      <c r="AD24" s="13" t="s">
        <v>12</v>
      </c>
      <c r="AE24" s="42" t="s">
        <v>12</v>
      </c>
      <c r="AF24" s="239"/>
      <c r="AG24" s="13" t="s">
        <v>12</v>
      </c>
      <c r="AH24" s="13" t="s">
        <v>12</v>
      </c>
      <c r="AI24" s="13" t="s">
        <v>12</v>
      </c>
      <c r="AJ24" s="13" t="s">
        <v>12</v>
      </c>
      <c r="AK24" s="10">
        <f t="shared" si="0"/>
        <v>23</v>
      </c>
      <c r="AL24" s="10">
        <f t="shared" si="1"/>
        <v>3</v>
      </c>
    </row>
    <row r="25" spans="1:43" ht="18" x14ac:dyDescent="0.4">
      <c r="A25" s="39">
        <v>20</v>
      </c>
      <c r="B25" s="61"/>
      <c r="C25" s="10"/>
      <c r="D25" s="10"/>
      <c r="E25" s="39" t="s">
        <v>29</v>
      </c>
      <c r="F25" s="13" t="s">
        <v>11</v>
      </c>
      <c r="G25" s="13" t="s">
        <v>11</v>
      </c>
      <c r="H25" s="13" t="s">
        <v>11</v>
      </c>
      <c r="I25" s="13" t="s">
        <v>11</v>
      </c>
      <c r="J25" s="13" t="s">
        <v>11</v>
      </c>
      <c r="K25" s="239"/>
      <c r="L25" s="13" t="s">
        <v>12</v>
      </c>
      <c r="M25" s="13" t="s">
        <v>12</v>
      </c>
      <c r="N25" s="13" t="s">
        <v>12</v>
      </c>
      <c r="O25" s="13" t="s">
        <v>12</v>
      </c>
      <c r="P25" s="13" t="s">
        <v>12</v>
      </c>
      <c r="Q25" s="42" t="s">
        <v>12</v>
      </c>
      <c r="R25" s="239"/>
      <c r="S25" s="239"/>
      <c r="T25" s="13" t="s">
        <v>11</v>
      </c>
      <c r="U25" s="13" t="s">
        <v>11</v>
      </c>
      <c r="V25" s="13" t="s">
        <v>11</v>
      </c>
      <c r="W25" s="13" t="s">
        <v>11</v>
      </c>
      <c r="X25" s="42" t="s">
        <v>11</v>
      </c>
      <c r="Y25" s="239"/>
      <c r="Z25" s="13" t="s">
        <v>11</v>
      </c>
      <c r="AA25" s="13" t="s">
        <v>12</v>
      </c>
      <c r="AB25" s="13" t="s">
        <v>11</v>
      </c>
      <c r="AC25" s="13" t="s">
        <v>11</v>
      </c>
      <c r="AD25" s="13" t="s">
        <v>11</v>
      </c>
      <c r="AE25" s="42" t="s">
        <v>11</v>
      </c>
      <c r="AF25" s="239"/>
      <c r="AG25" s="13" t="s">
        <v>11</v>
      </c>
      <c r="AH25" s="13" t="s">
        <v>11</v>
      </c>
      <c r="AI25" s="13" t="s">
        <v>11</v>
      </c>
      <c r="AJ25" s="13" t="s">
        <v>11</v>
      </c>
      <c r="AK25" s="10">
        <f t="shared" si="0"/>
        <v>7</v>
      </c>
      <c r="AL25" s="10">
        <f t="shared" si="1"/>
        <v>19</v>
      </c>
    </row>
    <row r="26" spans="1:43" ht="18" x14ac:dyDescent="0.4">
      <c r="A26" s="39">
        <v>21</v>
      </c>
      <c r="B26" s="61"/>
      <c r="C26" s="10"/>
      <c r="D26" s="10"/>
      <c r="E26" s="39" t="s">
        <v>29</v>
      </c>
      <c r="F26" s="13" t="s">
        <v>12</v>
      </c>
      <c r="G26" s="13" t="s">
        <v>12</v>
      </c>
      <c r="H26" s="13" t="s">
        <v>12</v>
      </c>
      <c r="I26" s="13" t="s">
        <v>12</v>
      </c>
      <c r="J26" s="13" t="s">
        <v>12</v>
      </c>
      <c r="K26" s="239"/>
      <c r="L26" s="13" t="s">
        <v>12</v>
      </c>
      <c r="M26" s="13" t="s">
        <v>12</v>
      </c>
      <c r="N26" s="13" t="s">
        <v>12</v>
      </c>
      <c r="O26" s="13" t="s">
        <v>11</v>
      </c>
      <c r="P26" s="13" t="s">
        <v>11</v>
      </c>
      <c r="Q26" s="42" t="s">
        <v>11</v>
      </c>
      <c r="R26" s="239"/>
      <c r="S26" s="239"/>
      <c r="T26" s="13" t="s">
        <v>11</v>
      </c>
      <c r="U26" s="13" t="s">
        <v>12</v>
      </c>
      <c r="V26" s="13" t="s">
        <v>12</v>
      </c>
      <c r="W26" s="13" t="s">
        <v>12</v>
      </c>
      <c r="X26" s="42" t="s">
        <v>12</v>
      </c>
      <c r="Y26" s="239"/>
      <c r="Z26" s="13" t="s">
        <v>12</v>
      </c>
      <c r="AA26" s="13" t="s">
        <v>12</v>
      </c>
      <c r="AB26" s="13" t="s">
        <v>12</v>
      </c>
      <c r="AC26" s="13" t="s">
        <v>12</v>
      </c>
      <c r="AD26" s="13" t="s">
        <v>12</v>
      </c>
      <c r="AE26" s="42" t="s">
        <v>12</v>
      </c>
      <c r="AF26" s="239"/>
      <c r="AG26" s="13" t="s">
        <v>12</v>
      </c>
      <c r="AH26" s="13" t="s">
        <v>12</v>
      </c>
      <c r="AI26" s="13" t="s">
        <v>12</v>
      </c>
      <c r="AJ26" s="13" t="s">
        <v>12</v>
      </c>
      <c r="AK26" s="149">
        <f t="shared" si="0"/>
        <v>22</v>
      </c>
      <c r="AL26" s="10">
        <f t="shared" si="1"/>
        <v>4</v>
      </c>
    </row>
    <row r="27" spans="1:43" ht="18" x14ac:dyDescent="0.4">
      <c r="A27" s="39">
        <v>22</v>
      </c>
      <c r="B27" s="61"/>
      <c r="C27" s="10"/>
      <c r="D27" s="10"/>
      <c r="E27" s="39" t="s">
        <v>29</v>
      </c>
      <c r="F27" s="13" t="s">
        <v>12</v>
      </c>
      <c r="G27" s="13" t="s">
        <v>12</v>
      </c>
      <c r="H27" s="13" t="s">
        <v>11</v>
      </c>
      <c r="I27" s="13" t="s">
        <v>12</v>
      </c>
      <c r="J27" s="13" t="s">
        <v>12</v>
      </c>
      <c r="K27" s="239"/>
      <c r="L27" s="13" t="s">
        <v>12</v>
      </c>
      <c r="M27" s="13" t="s">
        <v>12</v>
      </c>
      <c r="N27" s="13" t="s">
        <v>12</v>
      </c>
      <c r="O27" s="13" t="s">
        <v>11</v>
      </c>
      <c r="P27" s="13" t="s">
        <v>12</v>
      </c>
      <c r="Q27" s="42" t="s">
        <v>12</v>
      </c>
      <c r="R27" s="239"/>
      <c r="S27" s="239"/>
      <c r="T27" s="13" t="s">
        <v>12</v>
      </c>
      <c r="U27" s="13" t="s">
        <v>12</v>
      </c>
      <c r="V27" s="13" t="s">
        <v>12</v>
      </c>
      <c r="W27" s="13" t="s">
        <v>12</v>
      </c>
      <c r="X27" s="42" t="s">
        <v>12</v>
      </c>
      <c r="Y27" s="239"/>
      <c r="Z27" s="13" t="s">
        <v>12</v>
      </c>
      <c r="AA27" s="13" t="s">
        <v>12</v>
      </c>
      <c r="AB27" s="13" t="s">
        <v>12</v>
      </c>
      <c r="AC27" s="13" t="s">
        <v>12</v>
      </c>
      <c r="AD27" s="13" t="s">
        <v>12</v>
      </c>
      <c r="AE27" s="42" t="s">
        <v>12</v>
      </c>
      <c r="AF27" s="239"/>
      <c r="AG27" s="13" t="s">
        <v>12</v>
      </c>
      <c r="AH27" s="13" t="s">
        <v>12</v>
      </c>
      <c r="AI27" s="13" t="s">
        <v>12</v>
      </c>
      <c r="AJ27" s="13" t="s">
        <v>12</v>
      </c>
      <c r="AK27" s="10">
        <f t="shared" si="0"/>
        <v>24</v>
      </c>
      <c r="AL27" s="10">
        <f t="shared" si="1"/>
        <v>2</v>
      </c>
    </row>
    <row r="28" spans="1:43" ht="18" x14ac:dyDescent="0.4">
      <c r="A28" s="39">
        <v>23</v>
      </c>
      <c r="B28" s="61"/>
      <c r="C28" s="10"/>
      <c r="D28" s="10"/>
      <c r="E28" s="39" t="s">
        <v>29</v>
      </c>
      <c r="F28" s="13" t="s">
        <v>12</v>
      </c>
      <c r="G28" s="13" t="s">
        <v>12</v>
      </c>
      <c r="H28" s="13" t="s">
        <v>12</v>
      </c>
      <c r="I28" s="13" t="s">
        <v>12</v>
      </c>
      <c r="J28" s="13" t="s">
        <v>12</v>
      </c>
      <c r="K28" s="239"/>
      <c r="L28" s="13" t="s">
        <v>11</v>
      </c>
      <c r="M28" s="13" t="s">
        <v>12</v>
      </c>
      <c r="N28" s="13" t="s">
        <v>12</v>
      </c>
      <c r="O28" s="13" t="s">
        <v>11</v>
      </c>
      <c r="P28" s="13" t="s">
        <v>12</v>
      </c>
      <c r="Q28" s="42" t="s">
        <v>12</v>
      </c>
      <c r="R28" s="239"/>
      <c r="S28" s="239"/>
      <c r="T28" s="13" t="s">
        <v>12</v>
      </c>
      <c r="U28" s="13" t="s">
        <v>12</v>
      </c>
      <c r="V28" s="13" t="s">
        <v>12</v>
      </c>
      <c r="W28" s="13" t="s">
        <v>12</v>
      </c>
      <c r="X28" s="42" t="s">
        <v>11</v>
      </c>
      <c r="Y28" s="239"/>
      <c r="Z28" s="13" t="s">
        <v>12</v>
      </c>
      <c r="AA28" s="13" t="s">
        <v>12</v>
      </c>
      <c r="AB28" s="13" t="s">
        <v>12</v>
      </c>
      <c r="AC28" s="13" t="s">
        <v>12</v>
      </c>
      <c r="AD28" s="13" t="s">
        <v>12</v>
      </c>
      <c r="AE28" s="42" t="s">
        <v>12</v>
      </c>
      <c r="AF28" s="239"/>
      <c r="AG28" s="13" t="s">
        <v>12</v>
      </c>
      <c r="AH28" s="13" t="s">
        <v>12</v>
      </c>
      <c r="AI28" s="13" t="s">
        <v>12</v>
      </c>
      <c r="AJ28" s="13" t="s">
        <v>12</v>
      </c>
      <c r="AK28" s="10">
        <f t="shared" si="0"/>
        <v>23</v>
      </c>
      <c r="AL28" s="10">
        <f t="shared" si="1"/>
        <v>3</v>
      </c>
    </row>
    <row r="29" spans="1:43" ht="18" x14ac:dyDescent="0.4">
      <c r="A29" s="39">
        <v>24</v>
      </c>
      <c r="B29" s="61"/>
      <c r="C29" s="10"/>
      <c r="D29" s="10"/>
      <c r="E29" s="39" t="s">
        <v>29</v>
      </c>
      <c r="F29" s="13" t="s">
        <v>12</v>
      </c>
      <c r="G29" s="13" t="s">
        <v>12</v>
      </c>
      <c r="H29" s="13" t="s">
        <v>12</v>
      </c>
      <c r="I29" s="13" t="s">
        <v>12</v>
      </c>
      <c r="J29" s="13" t="s">
        <v>12</v>
      </c>
      <c r="K29" s="239"/>
      <c r="L29" s="13" t="s">
        <v>12</v>
      </c>
      <c r="M29" s="13" t="s">
        <v>12</v>
      </c>
      <c r="N29" s="13" t="s">
        <v>12</v>
      </c>
      <c r="O29" s="13" t="s">
        <v>12</v>
      </c>
      <c r="P29" s="13" t="s">
        <v>12</v>
      </c>
      <c r="Q29" s="42" t="s">
        <v>12</v>
      </c>
      <c r="R29" s="239"/>
      <c r="S29" s="239"/>
      <c r="T29" s="13" t="s">
        <v>12</v>
      </c>
      <c r="U29" s="13" t="s">
        <v>12</v>
      </c>
      <c r="V29" s="13" t="s">
        <v>12</v>
      </c>
      <c r="W29" s="13" t="s">
        <v>12</v>
      </c>
      <c r="X29" s="42" t="s">
        <v>12</v>
      </c>
      <c r="Y29" s="239"/>
      <c r="Z29" s="13" t="s">
        <v>11</v>
      </c>
      <c r="AA29" s="13" t="s">
        <v>11</v>
      </c>
      <c r="AB29" s="13" t="s">
        <v>12</v>
      </c>
      <c r="AC29" s="13" t="s">
        <v>12</v>
      </c>
      <c r="AD29" s="13" t="s">
        <v>12</v>
      </c>
      <c r="AE29" s="42" t="s">
        <v>12</v>
      </c>
      <c r="AF29" s="239"/>
      <c r="AG29" s="13" t="s">
        <v>12</v>
      </c>
      <c r="AH29" s="13" t="s">
        <v>12</v>
      </c>
      <c r="AI29" s="13" t="s">
        <v>12</v>
      </c>
      <c r="AJ29" s="13" t="s">
        <v>12</v>
      </c>
      <c r="AK29" s="149">
        <f t="shared" si="0"/>
        <v>24</v>
      </c>
      <c r="AL29" s="10">
        <f t="shared" si="1"/>
        <v>2</v>
      </c>
    </row>
    <row r="30" spans="1:43" ht="18" x14ac:dyDescent="0.4">
      <c r="A30" s="39">
        <v>25</v>
      </c>
      <c r="B30" s="61"/>
      <c r="C30" s="10"/>
      <c r="D30" s="10"/>
      <c r="E30" s="39" t="s">
        <v>29</v>
      </c>
      <c r="F30" s="13" t="s">
        <v>12</v>
      </c>
      <c r="G30" s="13" t="s">
        <v>12</v>
      </c>
      <c r="H30" s="13" t="s">
        <v>12</v>
      </c>
      <c r="I30" s="13" t="s">
        <v>12</v>
      </c>
      <c r="J30" s="13" t="s">
        <v>12</v>
      </c>
      <c r="K30" s="239"/>
      <c r="L30" s="13" t="s">
        <v>11</v>
      </c>
      <c r="M30" s="13" t="s">
        <v>11</v>
      </c>
      <c r="N30" s="13" t="s">
        <v>12</v>
      </c>
      <c r="O30" s="13" t="s">
        <v>12</v>
      </c>
      <c r="P30" s="13" t="s">
        <v>12</v>
      </c>
      <c r="Q30" s="42" t="s">
        <v>12</v>
      </c>
      <c r="R30" s="239"/>
      <c r="S30" s="239"/>
      <c r="T30" s="13" t="s">
        <v>12</v>
      </c>
      <c r="U30" s="13" t="s">
        <v>12</v>
      </c>
      <c r="V30" s="13" t="s">
        <v>12</v>
      </c>
      <c r="W30" s="13" t="s">
        <v>12</v>
      </c>
      <c r="X30" s="42" t="s">
        <v>12</v>
      </c>
      <c r="Y30" s="239"/>
      <c r="Z30" s="13" t="s">
        <v>12</v>
      </c>
      <c r="AA30" s="13" t="s">
        <v>12</v>
      </c>
      <c r="AB30" s="13" t="s">
        <v>12</v>
      </c>
      <c r="AC30" s="13" t="s">
        <v>12</v>
      </c>
      <c r="AD30" s="13" t="s">
        <v>12</v>
      </c>
      <c r="AE30" s="42" t="s">
        <v>12</v>
      </c>
      <c r="AF30" s="239"/>
      <c r="AG30" s="13" t="s">
        <v>12</v>
      </c>
      <c r="AH30" s="13" t="s">
        <v>12</v>
      </c>
      <c r="AI30" s="13" t="s">
        <v>12</v>
      </c>
      <c r="AJ30" s="13" t="s">
        <v>12</v>
      </c>
      <c r="AK30" s="10">
        <f t="shared" si="0"/>
        <v>24</v>
      </c>
      <c r="AL30" s="10">
        <f t="shared" si="1"/>
        <v>2</v>
      </c>
    </row>
    <row r="31" spans="1:43" ht="18" x14ac:dyDescent="0.4">
      <c r="A31" s="39">
        <v>26</v>
      </c>
      <c r="B31" s="61"/>
      <c r="C31" s="10"/>
      <c r="D31" s="10"/>
      <c r="E31" s="39" t="s">
        <v>29</v>
      </c>
      <c r="F31" s="13" t="s">
        <v>12</v>
      </c>
      <c r="G31" s="13" t="s">
        <v>12</v>
      </c>
      <c r="H31" s="13" t="s">
        <v>12</v>
      </c>
      <c r="I31" s="13" t="s">
        <v>12</v>
      </c>
      <c r="J31" s="13" t="s">
        <v>12</v>
      </c>
      <c r="K31" s="239"/>
      <c r="L31" s="13" t="s">
        <v>12</v>
      </c>
      <c r="M31" s="13" t="s">
        <v>12</v>
      </c>
      <c r="N31" s="13" t="s">
        <v>12</v>
      </c>
      <c r="O31" s="13" t="s">
        <v>12</v>
      </c>
      <c r="P31" s="13" t="s">
        <v>11</v>
      </c>
      <c r="Q31" s="42" t="s">
        <v>11</v>
      </c>
      <c r="R31" s="239"/>
      <c r="S31" s="239"/>
      <c r="T31" s="13" t="s">
        <v>11</v>
      </c>
      <c r="U31" s="13" t="s">
        <v>12</v>
      </c>
      <c r="V31" s="13" t="s">
        <v>12</v>
      </c>
      <c r="W31" s="13" t="s">
        <v>12</v>
      </c>
      <c r="X31" s="42" t="s">
        <v>12</v>
      </c>
      <c r="Y31" s="239"/>
      <c r="Z31" s="13" t="s">
        <v>11</v>
      </c>
      <c r="AA31" s="13" t="s">
        <v>12</v>
      </c>
      <c r="AB31" s="13" t="s">
        <v>12</v>
      </c>
      <c r="AC31" s="13" t="s">
        <v>12</v>
      </c>
      <c r="AD31" s="13" t="s">
        <v>12</v>
      </c>
      <c r="AE31" s="42" t="s">
        <v>12</v>
      </c>
      <c r="AF31" s="239"/>
      <c r="AG31" s="13" t="s">
        <v>12</v>
      </c>
      <c r="AH31" s="13" t="s">
        <v>12</v>
      </c>
      <c r="AI31" s="13" t="s">
        <v>12</v>
      </c>
      <c r="AJ31" s="13" t="s">
        <v>12</v>
      </c>
      <c r="AK31" s="10">
        <f t="shared" si="0"/>
        <v>22</v>
      </c>
      <c r="AL31" s="10">
        <f t="shared" si="1"/>
        <v>4</v>
      </c>
    </row>
    <row r="32" spans="1:43" ht="18" x14ac:dyDescent="0.4">
      <c r="A32" s="39">
        <v>27</v>
      </c>
      <c r="B32" s="61"/>
      <c r="C32" s="10"/>
      <c r="D32" s="10"/>
      <c r="E32" s="39" t="s">
        <v>29</v>
      </c>
      <c r="F32" s="13" t="s">
        <v>12</v>
      </c>
      <c r="G32" s="13" t="s">
        <v>12</v>
      </c>
      <c r="H32" s="13" t="s">
        <v>12</v>
      </c>
      <c r="I32" s="13" t="s">
        <v>12</v>
      </c>
      <c r="J32" s="13" t="s">
        <v>12</v>
      </c>
      <c r="K32" s="239"/>
      <c r="L32" s="13" t="s">
        <v>12</v>
      </c>
      <c r="M32" s="13" t="s">
        <v>12</v>
      </c>
      <c r="N32" s="13" t="s">
        <v>12</v>
      </c>
      <c r="O32" s="13" t="s">
        <v>12</v>
      </c>
      <c r="P32" s="13" t="s">
        <v>12</v>
      </c>
      <c r="Q32" s="42" t="s">
        <v>11</v>
      </c>
      <c r="R32" s="239"/>
      <c r="S32" s="239"/>
      <c r="T32" s="13" t="s">
        <v>12</v>
      </c>
      <c r="U32" s="13" t="s">
        <v>12</v>
      </c>
      <c r="V32" s="13" t="s">
        <v>12</v>
      </c>
      <c r="W32" s="13" t="s">
        <v>11</v>
      </c>
      <c r="X32" s="42" t="s">
        <v>12</v>
      </c>
      <c r="Y32" s="239"/>
      <c r="Z32" s="13" t="s">
        <v>12</v>
      </c>
      <c r="AA32" s="13" t="s">
        <v>12</v>
      </c>
      <c r="AB32" s="13" t="s">
        <v>12</v>
      </c>
      <c r="AC32" s="13" t="s">
        <v>12</v>
      </c>
      <c r="AD32" s="13" t="s">
        <v>12</v>
      </c>
      <c r="AE32" s="42" t="s">
        <v>12</v>
      </c>
      <c r="AF32" s="239"/>
      <c r="AG32" s="13" t="s">
        <v>12</v>
      </c>
      <c r="AH32" s="13" t="s">
        <v>12</v>
      </c>
      <c r="AI32" s="13" t="s">
        <v>12</v>
      </c>
      <c r="AJ32" s="13" t="s">
        <v>12</v>
      </c>
      <c r="AK32" s="10">
        <f t="shared" si="0"/>
        <v>24</v>
      </c>
      <c r="AL32" s="10">
        <f t="shared" si="1"/>
        <v>2</v>
      </c>
    </row>
    <row r="33" spans="1:38" ht="18" x14ac:dyDescent="0.4">
      <c r="A33" s="39">
        <v>28</v>
      </c>
      <c r="B33" s="61"/>
      <c r="C33" s="10"/>
      <c r="D33" s="10"/>
      <c r="E33" s="39" t="s">
        <v>29</v>
      </c>
      <c r="F33" s="13" t="s">
        <v>12</v>
      </c>
      <c r="G33" s="13" t="s">
        <v>12</v>
      </c>
      <c r="H33" s="13" t="s">
        <v>12</v>
      </c>
      <c r="I33" s="13" t="s">
        <v>12</v>
      </c>
      <c r="J33" s="13" t="s">
        <v>12</v>
      </c>
      <c r="K33" s="239"/>
      <c r="L33" s="13" t="s">
        <v>12</v>
      </c>
      <c r="M33" s="13" t="s">
        <v>12</v>
      </c>
      <c r="N33" s="13" t="s">
        <v>12</v>
      </c>
      <c r="O33" s="13" t="s">
        <v>12</v>
      </c>
      <c r="P33" s="13" t="s">
        <v>12</v>
      </c>
      <c r="Q33" s="42" t="s">
        <v>12</v>
      </c>
      <c r="R33" s="239"/>
      <c r="S33" s="239"/>
      <c r="T33" s="13" t="s">
        <v>12</v>
      </c>
      <c r="U33" s="13" t="s">
        <v>12</v>
      </c>
      <c r="V33" s="13" t="s">
        <v>11</v>
      </c>
      <c r="W33" s="13" t="s">
        <v>12</v>
      </c>
      <c r="X33" s="42" t="s">
        <v>12</v>
      </c>
      <c r="Y33" s="239"/>
      <c r="Z33" s="13" t="s">
        <v>11</v>
      </c>
      <c r="AA33" s="13" t="s">
        <v>12</v>
      </c>
      <c r="AB33" s="13" t="s">
        <v>12</v>
      </c>
      <c r="AC33" s="13" t="s">
        <v>12</v>
      </c>
      <c r="AD33" s="13" t="s">
        <v>12</v>
      </c>
      <c r="AE33" s="42" t="s">
        <v>12</v>
      </c>
      <c r="AF33" s="239"/>
      <c r="AG33" s="13" t="s">
        <v>12</v>
      </c>
      <c r="AH33" s="13" t="s">
        <v>12</v>
      </c>
      <c r="AI33" s="13" t="s">
        <v>12</v>
      </c>
      <c r="AJ33" s="13" t="s">
        <v>12</v>
      </c>
      <c r="AK33" s="149">
        <f t="shared" si="0"/>
        <v>24</v>
      </c>
      <c r="AL33" s="10">
        <f t="shared" si="1"/>
        <v>2</v>
      </c>
    </row>
    <row r="34" spans="1:38" ht="18" x14ac:dyDescent="0.4">
      <c r="A34" s="39">
        <v>29</v>
      </c>
      <c r="B34" s="61"/>
      <c r="C34" s="10"/>
      <c r="D34" s="10"/>
      <c r="E34" s="39" t="s">
        <v>29</v>
      </c>
      <c r="F34" s="13" t="s">
        <v>11</v>
      </c>
      <c r="G34" s="13" t="s">
        <v>11</v>
      </c>
      <c r="H34" s="13" t="s">
        <v>11</v>
      </c>
      <c r="I34" s="13" t="s">
        <v>11</v>
      </c>
      <c r="J34" s="13" t="s">
        <v>11</v>
      </c>
      <c r="K34" s="239"/>
      <c r="L34" s="13" t="s">
        <v>11</v>
      </c>
      <c r="M34" s="13" t="s">
        <v>11</v>
      </c>
      <c r="N34" s="13" t="s">
        <v>11</v>
      </c>
      <c r="O34" s="13" t="s">
        <v>11</v>
      </c>
      <c r="P34" s="13" t="s">
        <v>11</v>
      </c>
      <c r="Q34" s="42" t="s">
        <v>11</v>
      </c>
      <c r="R34" s="239"/>
      <c r="S34" s="239"/>
      <c r="T34" s="13" t="s">
        <v>11</v>
      </c>
      <c r="U34" s="13" t="s">
        <v>11</v>
      </c>
      <c r="V34" s="13" t="s">
        <v>11</v>
      </c>
      <c r="W34" s="13" t="s">
        <v>11</v>
      </c>
      <c r="X34" s="42" t="s">
        <v>11</v>
      </c>
      <c r="Y34" s="239"/>
      <c r="Z34" s="13" t="s">
        <v>11</v>
      </c>
      <c r="AA34" s="13" t="s">
        <v>11</v>
      </c>
      <c r="AB34" s="13" t="s">
        <v>12</v>
      </c>
      <c r="AC34" s="13" t="s">
        <v>12</v>
      </c>
      <c r="AD34" s="13" t="s">
        <v>12</v>
      </c>
      <c r="AE34" s="42" t="s">
        <v>12</v>
      </c>
      <c r="AF34" s="239"/>
      <c r="AG34" s="13" t="s">
        <v>12</v>
      </c>
      <c r="AH34" s="13" t="s">
        <v>12</v>
      </c>
      <c r="AI34" s="13" t="s">
        <v>12</v>
      </c>
      <c r="AJ34" s="13" t="s">
        <v>12</v>
      </c>
      <c r="AK34" s="149">
        <f t="shared" si="0"/>
        <v>8</v>
      </c>
      <c r="AL34" s="10">
        <f t="shared" si="1"/>
        <v>18</v>
      </c>
    </row>
    <row r="35" spans="1:38" ht="18" x14ac:dyDescent="0.4">
      <c r="A35" s="39">
        <v>30</v>
      </c>
      <c r="B35" s="61"/>
      <c r="C35" s="10"/>
      <c r="D35" s="10"/>
      <c r="E35" s="39" t="s">
        <v>29</v>
      </c>
      <c r="F35" s="13" t="s">
        <v>12</v>
      </c>
      <c r="G35" s="13" t="s">
        <v>12</v>
      </c>
      <c r="H35" s="13" t="s">
        <v>12</v>
      </c>
      <c r="I35" s="13" t="s">
        <v>12</v>
      </c>
      <c r="J35" s="13" t="s">
        <v>12</v>
      </c>
      <c r="K35" s="239"/>
      <c r="L35" s="13" t="s">
        <v>12</v>
      </c>
      <c r="M35" s="13" t="s">
        <v>12</v>
      </c>
      <c r="N35" s="13" t="s">
        <v>12</v>
      </c>
      <c r="O35" s="13" t="s">
        <v>12</v>
      </c>
      <c r="P35" s="13" t="s">
        <v>12</v>
      </c>
      <c r="Q35" s="42" t="s">
        <v>12</v>
      </c>
      <c r="R35" s="239"/>
      <c r="S35" s="239"/>
      <c r="T35" s="13" t="s">
        <v>12</v>
      </c>
      <c r="U35" s="13" t="s">
        <v>12</v>
      </c>
      <c r="V35" s="13" t="s">
        <v>12</v>
      </c>
      <c r="W35" s="13" t="s">
        <v>12</v>
      </c>
      <c r="X35" s="42" t="s">
        <v>12</v>
      </c>
      <c r="Y35" s="239"/>
      <c r="Z35" s="13" t="s">
        <v>12</v>
      </c>
      <c r="AA35" s="13" t="s">
        <v>12</v>
      </c>
      <c r="AB35" s="13" t="s">
        <v>12</v>
      </c>
      <c r="AC35" s="13" t="s">
        <v>12</v>
      </c>
      <c r="AD35" s="13" t="s">
        <v>12</v>
      </c>
      <c r="AE35" s="42" t="s">
        <v>12</v>
      </c>
      <c r="AF35" s="239"/>
      <c r="AG35" s="13" t="s">
        <v>12</v>
      </c>
      <c r="AH35" s="13" t="s">
        <v>12</v>
      </c>
      <c r="AI35" s="13" t="s">
        <v>12</v>
      </c>
      <c r="AJ35" s="13" t="s">
        <v>12</v>
      </c>
      <c r="AK35" s="10">
        <f t="shared" si="0"/>
        <v>26</v>
      </c>
      <c r="AL35" s="10">
        <f t="shared" si="1"/>
        <v>0</v>
      </c>
    </row>
    <row r="36" spans="1:38" ht="18" x14ac:dyDescent="0.4">
      <c r="A36" s="39">
        <v>31</v>
      </c>
      <c r="B36" s="61"/>
      <c r="C36" s="10"/>
      <c r="D36" s="10"/>
      <c r="E36" s="39" t="s">
        <v>29</v>
      </c>
      <c r="F36" s="13" t="s">
        <v>12</v>
      </c>
      <c r="G36" s="13" t="s">
        <v>12</v>
      </c>
      <c r="H36" s="13" t="s">
        <v>12</v>
      </c>
      <c r="I36" s="13" t="s">
        <v>12</v>
      </c>
      <c r="J36" s="13" t="s">
        <v>12</v>
      </c>
      <c r="K36" s="239"/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42" t="s">
        <v>12</v>
      </c>
      <c r="R36" s="239"/>
      <c r="S36" s="239"/>
      <c r="T36" s="13" t="s">
        <v>12</v>
      </c>
      <c r="U36" s="13" t="s">
        <v>12</v>
      </c>
      <c r="V36" s="13" t="s">
        <v>12</v>
      </c>
      <c r="W36" s="13" t="s">
        <v>12</v>
      </c>
      <c r="X36" s="42" t="s">
        <v>12</v>
      </c>
      <c r="Y36" s="239"/>
      <c r="Z36" s="13" t="s">
        <v>12</v>
      </c>
      <c r="AA36" s="13" t="s">
        <v>12</v>
      </c>
      <c r="AB36" s="13" t="s">
        <v>12</v>
      </c>
      <c r="AC36" s="13" t="s">
        <v>12</v>
      </c>
      <c r="AD36" s="13" t="s">
        <v>12</v>
      </c>
      <c r="AE36" s="42" t="s">
        <v>12</v>
      </c>
      <c r="AF36" s="239"/>
      <c r="AG36" s="13" t="s">
        <v>12</v>
      </c>
      <c r="AH36" s="13" t="s">
        <v>12</v>
      </c>
      <c r="AI36" s="13" t="s">
        <v>12</v>
      </c>
      <c r="AJ36" s="13" t="s">
        <v>11</v>
      </c>
      <c r="AK36" s="10">
        <f t="shared" si="0"/>
        <v>25</v>
      </c>
      <c r="AL36" s="10">
        <f t="shared" si="1"/>
        <v>1</v>
      </c>
    </row>
    <row r="37" spans="1:38" ht="18" x14ac:dyDescent="0.4">
      <c r="A37" s="39">
        <v>32</v>
      </c>
      <c r="B37" s="61"/>
      <c r="C37" s="10"/>
      <c r="D37" s="10"/>
      <c r="E37" s="39" t="s">
        <v>29</v>
      </c>
      <c r="F37" s="13" t="s">
        <v>12</v>
      </c>
      <c r="G37" s="13" t="s">
        <v>11</v>
      </c>
      <c r="H37" s="13" t="s">
        <v>12</v>
      </c>
      <c r="I37" s="13" t="s">
        <v>12</v>
      </c>
      <c r="J37" s="13" t="s">
        <v>12</v>
      </c>
      <c r="K37" s="239"/>
      <c r="L37" s="13" t="s">
        <v>11</v>
      </c>
      <c r="M37" s="13" t="s">
        <v>12</v>
      </c>
      <c r="N37" s="13" t="s">
        <v>12</v>
      </c>
      <c r="O37" s="13" t="s">
        <v>12</v>
      </c>
      <c r="P37" s="13" t="s">
        <v>12</v>
      </c>
      <c r="Q37" s="42" t="s">
        <v>12</v>
      </c>
      <c r="R37" s="239"/>
      <c r="S37" s="239"/>
      <c r="T37" s="13" t="s">
        <v>12</v>
      </c>
      <c r="U37" s="13" t="s">
        <v>12</v>
      </c>
      <c r="V37" s="13" t="s">
        <v>12</v>
      </c>
      <c r="W37" s="13" t="s">
        <v>12</v>
      </c>
      <c r="X37" s="42" t="s">
        <v>12</v>
      </c>
      <c r="Y37" s="239"/>
      <c r="Z37" s="13" t="s">
        <v>12</v>
      </c>
      <c r="AA37" s="13" t="s">
        <v>12</v>
      </c>
      <c r="AB37" s="13" t="s">
        <v>12</v>
      </c>
      <c r="AC37" s="13" t="s">
        <v>12</v>
      </c>
      <c r="AD37" s="13" t="s">
        <v>12</v>
      </c>
      <c r="AE37" s="42" t="s">
        <v>12</v>
      </c>
      <c r="AF37" s="239"/>
      <c r="AG37" s="13" t="s">
        <v>12</v>
      </c>
      <c r="AH37" s="13" t="s">
        <v>12</v>
      </c>
      <c r="AI37" s="13" t="s">
        <v>12</v>
      </c>
      <c r="AJ37" s="13" t="s">
        <v>12</v>
      </c>
      <c r="AK37" s="149">
        <f t="shared" si="0"/>
        <v>24</v>
      </c>
      <c r="AL37" s="10">
        <f t="shared" si="1"/>
        <v>2</v>
      </c>
    </row>
    <row r="38" spans="1:38" ht="18" x14ac:dyDescent="0.4">
      <c r="A38" s="39">
        <v>33</v>
      </c>
      <c r="B38" s="61"/>
      <c r="C38" s="10"/>
      <c r="D38" s="10"/>
      <c r="E38" s="39" t="s">
        <v>29</v>
      </c>
      <c r="F38" s="13" t="s">
        <v>12</v>
      </c>
      <c r="G38" s="13" t="s">
        <v>12</v>
      </c>
      <c r="H38" s="13" t="s">
        <v>12</v>
      </c>
      <c r="I38" s="13" t="s">
        <v>12</v>
      </c>
      <c r="J38" s="13" t="s">
        <v>12</v>
      </c>
      <c r="K38" s="239"/>
      <c r="L38" s="13" t="s">
        <v>12</v>
      </c>
      <c r="M38" s="13" t="s">
        <v>11</v>
      </c>
      <c r="N38" s="13" t="s">
        <v>12</v>
      </c>
      <c r="O38" s="13" t="s">
        <v>12</v>
      </c>
      <c r="P38" s="13" t="s">
        <v>12</v>
      </c>
      <c r="Q38" s="42" t="s">
        <v>11</v>
      </c>
      <c r="R38" s="239"/>
      <c r="S38" s="239"/>
      <c r="T38" s="13" t="s">
        <v>12</v>
      </c>
      <c r="U38" s="13" t="s">
        <v>12</v>
      </c>
      <c r="V38" s="13" t="s">
        <v>12</v>
      </c>
      <c r="W38" s="13" t="s">
        <v>12</v>
      </c>
      <c r="X38" s="42" t="s">
        <v>12</v>
      </c>
      <c r="Y38" s="239"/>
      <c r="Z38" s="13" t="s">
        <v>12</v>
      </c>
      <c r="AA38" s="13" t="s">
        <v>12</v>
      </c>
      <c r="AB38" s="13" t="s">
        <v>12</v>
      </c>
      <c r="AC38" s="13" t="s">
        <v>12</v>
      </c>
      <c r="AD38" s="13" t="s">
        <v>12</v>
      </c>
      <c r="AE38" s="42" t="s">
        <v>12</v>
      </c>
      <c r="AF38" s="239"/>
      <c r="AG38" s="13" t="s">
        <v>12</v>
      </c>
      <c r="AH38" s="13" t="s">
        <v>12</v>
      </c>
      <c r="AI38" s="13" t="s">
        <v>12</v>
      </c>
      <c r="AJ38" s="13" t="s">
        <v>12</v>
      </c>
      <c r="AK38" s="149">
        <f t="shared" si="0"/>
        <v>24</v>
      </c>
      <c r="AL38" s="10">
        <f t="shared" si="1"/>
        <v>2</v>
      </c>
    </row>
    <row r="39" spans="1:38" ht="18" x14ac:dyDescent="0.4">
      <c r="A39" s="39">
        <v>34</v>
      </c>
      <c r="B39" s="61"/>
      <c r="C39" s="10"/>
      <c r="D39" s="10"/>
      <c r="E39" s="39" t="s">
        <v>29</v>
      </c>
      <c r="F39" s="13" t="s">
        <v>12</v>
      </c>
      <c r="G39" s="13" t="s">
        <v>12</v>
      </c>
      <c r="H39" s="13" t="s">
        <v>12</v>
      </c>
      <c r="I39" s="13" t="s">
        <v>12</v>
      </c>
      <c r="J39" s="13" t="s">
        <v>12</v>
      </c>
      <c r="K39" s="239"/>
      <c r="L39" s="13" t="s">
        <v>12</v>
      </c>
      <c r="M39" s="13" t="s">
        <v>12</v>
      </c>
      <c r="N39" s="13" t="s">
        <v>12</v>
      </c>
      <c r="O39" s="13" t="s">
        <v>12</v>
      </c>
      <c r="P39" s="13" t="s">
        <v>12</v>
      </c>
      <c r="Q39" s="42" t="s">
        <v>12</v>
      </c>
      <c r="R39" s="239"/>
      <c r="S39" s="239"/>
      <c r="T39" s="13" t="s">
        <v>12</v>
      </c>
      <c r="U39" s="13" t="s">
        <v>12</v>
      </c>
      <c r="V39" s="13" t="s">
        <v>11</v>
      </c>
      <c r="W39" s="13" t="s">
        <v>12</v>
      </c>
      <c r="X39" s="42" t="s">
        <v>12</v>
      </c>
      <c r="Y39" s="239"/>
      <c r="Z39" s="13" t="s">
        <v>11</v>
      </c>
      <c r="AA39" s="13" t="s">
        <v>12</v>
      </c>
      <c r="AB39" s="47" t="s">
        <v>12</v>
      </c>
      <c r="AC39" s="13" t="s">
        <v>12</v>
      </c>
      <c r="AD39" s="13" t="s">
        <v>12</v>
      </c>
      <c r="AE39" s="42" t="s">
        <v>12</v>
      </c>
      <c r="AF39" s="239"/>
      <c r="AG39" s="13" t="s">
        <v>12</v>
      </c>
      <c r="AH39" s="13" t="s">
        <v>12</v>
      </c>
      <c r="AI39" s="13" t="s">
        <v>12</v>
      </c>
      <c r="AJ39" s="13" t="s">
        <v>12</v>
      </c>
      <c r="AK39" s="149">
        <f t="shared" si="0"/>
        <v>24</v>
      </c>
      <c r="AL39" s="10">
        <f t="shared" si="1"/>
        <v>2</v>
      </c>
    </row>
    <row r="40" spans="1:38" ht="18" x14ac:dyDescent="0.4">
      <c r="A40" s="39">
        <v>35</v>
      </c>
      <c r="B40" s="61"/>
      <c r="C40" s="10"/>
      <c r="D40" s="10"/>
      <c r="E40" s="39" t="s">
        <v>29</v>
      </c>
      <c r="F40" s="13" t="s">
        <v>12</v>
      </c>
      <c r="G40" s="13" t="s">
        <v>12</v>
      </c>
      <c r="H40" s="13" t="s">
        <v>12</v>
      </c>
      <c r="I40" s="13" t="s">
        <v>12</v>
      </c>
      <c r="J40" s="13" t="s">
        <v>12</v>
      </c>
      <c r="K40" s="239"/>
      <c r="L40" s="13" t="s">
        <v>12</v>
      </c>
      <c r="M40" s="13" t="s">
        <v>12</v>
      </c>
      <c r="N40" s="13" t="s">
        <v>12</v>
      </c>
      <c r="O40" s="13" t="s">
        <v>12</v>
      </c>
      <c r="P40" s="13" t="s">
        <v>12</v>
      </c>
      <c r="Q40" s="42" t="s">
        <v>12</v>
      </c>
      <c r="R40" s="239"/>
      <c r="S40" s="239"/>
      <c r="T40" s="13" t="s">
        <v>12</v>
      </c>
      <c r="U40" s="13" t="s">
        <v>12</v>
      </c>
      <c r="V40" s="13" t="s">
        <v>11</v>
      </c>
      <c r="W40" s="13" t="s">
        <v>11</v>
      </c>
      <c r="X40" s="42" t="s">
        <v>11</v>
      </c>
      <c r="Y40" s="239"/>
      <c r="Z40" s="13" t="s">
        <v>11</v>
      </c>
      <c r="AA40" s="13" t="s">
        <v>12</v>
      </c>
      <c r="AB40" s="13" t="s">
        <v>12</v>
      </c>
      <c r="AC40" s="13" t="s">
        <v>12</v>
      </c>
      <c r="AD40" s="13" t="s">
        <v>12</v>
      </c>
      <c r="AE40" s="42" t="s">
        <v>12</v>
      </c>
      <c r="AF40" s="239"/>
      <c r="AG40" s="13" t="s">
        <v>12</v>
      </c>
      <c r="AH40" s="13" t="s">
        <v>12</v>
      </c>
      <c r="AI40" s="13" t="s">
        <v>12</v>
      </c>
      <c r="AJ40" s="13" t="s">
        <v>12</v>
      </c>
      <c r="AK40" s="149">
        <f t="shared" si="0"/>
        <v>22</v>
      </c>
      <c r="AL40" s="10">
        <f t="shared" si="1"/>
        <v>4</v>
      </c>
    </row>
    <row r="41" spans="1:38" ht="18" x14ac:dyDescent="0.4">
      <c r="A41" s="39">
        <v>36</v>
      </c>
      <c r="B41" s="61"/>
      <c r="C41" s="10"/>
      <c r="D41" s="10"/>
      <c r="E41" s="39" t="s">
        <v>29</v>
      </c>
      <c r="F41" s="13" t="s">
        <v>12</v>
      </c>
      <c r="G41" s="13" t="s">
        <v>12</v>
      </c>
      <c r="H41" s="13" t="s">
        <v>12</v>
      </c>
      <c r="I41" s="13" t="s">
        <v>12</v>
      </c>
      <c r="J41" s="13" t="s">
        <v>12</v>
      </c>
      <c r="K41" s="239"/>
      <c r="L41" s="13" t="s">
        <v>12</v>
      </c>
      <c r="M41" s="13" t="s">
        <v>12</v>
      </c>
      <c r="N41" s="13" t="s">
        <v>12</v>
      </c>
      <c r="O41" s="13" t="s">
        <v>12</v>
      </c>
      <c r="P41" s="13" t="s">
        <v>12</v>
      </c>
      <c r="Q41" s="42" t="s">
        <v>12</v>
      </c>
      <c r="R41" s="239"/>
      <c r="S41" s="239"/>
      <c r="T41" s="13" t="s">
        <v>12</v>
      </c>
      <c r="U41" s="13" t="s">
        <v>12</v>
      </c>
      <c r="V41" s="13" t="s">
        <v>11</v>
      </c>
      <c r="W41" s="13" t="s">
        <v>11</v>
      </c>
      <c r="X41" s="42" t="s">
        <v>11</v>
      </c>
      <c r="Y41" s="239"/>
      <c r="Z41" s="13" t="s">
        <v>11</v>
      </c>
      <c r="AA41" s="13" t="s">
        <v>12</v>
      </c>
      <c r="AB41" s="13" t="s">
        <v>12</v>
      </c>
      <c r="AC41" s="13" t="s">
        <v>12</v>
      </c>
      <c r="AD41" s="13" t="s">
        <v>12</v>
      </c>
      <c r="AE41" s="42" t="s">
        <v>12</v>
      </c>
      <c r="AF41" s="239"/>
      <c r="AG41" s="13" t="s">
        <v>12</v>
      </c>
      <c r="AH41" s="13" t="s">
        <v>12</v>
      </c>
      <c r="AI41" s="13" t="s">
        <v>12</v>
      </c>
      <c r="AJ41" s="13" t="s">
        <v>12</v>
      </c>
      <c r="AK41" s="149">
        <f t="shared" si="0"/>
        <v>22</v>
      </c>
      <c r="AL41" s="10">
        <f t="shared" si="1"/>
        <v>4</v>
      </c>
    </row>
    <row r="42" spans="1:38" ht="18" x14ac:dyDescent="0.4">
      <c r="A42" s="39">
        <v>37</v>
      </c>
      <c r="B42" s="61"/>
      <c r="C42" s="10"/>
      <c r="D42" s="10"/>
      <c r="E42" s="39" t="s">
        <v>29</v>
      </c>
      <c r="F42" s="13" t="s">
        <v>12</v>
      </c>
      <c r="G42" s="13" t="s">
        <v>12</v>
      </c>
      <c r="H42" s="13" t="s">
        <v>12</v>
      </c>
      <c r="I42" s="13" t="s">
        <v>12</v>
      </c>
      <c r="J42" s="13" t="s">
        <v>12</v>
      </c>
      <c r="K42" s="239"/>
      <c r="L42" s="13" t="s">
        <v>12</v>
      </c>
      <c r="M42" s="13" t="s">
        <v>12</v>
      </c>
      <c r="N42" s="13" t="s">
        <v>12</v>
      </c>
      <c r="O42" s="13" t="s">
        <v>12</v>
      </c>
      <c r="P42" s="13" t="s">
        <v>12</v>
      </c>
      <c r="Q42" s="42" t="s">
        <v>12</v>
      </c>
      <c r="R42" s="239"/>
      <c r="S42" s="239"/>
      <c r="T42" s="13" t="s">
        <v>12</v>
      </c>
      <c r="U42" s="13" t="s">
        <v>12</v>
      </c>
      <c r="V42" s="13" t="s">
        <v>12</v>
      </c>
      <c r="W42" s="13" t="s">
        <v>12</v>
      </c>
      <c r="X42" s="42" t="s">
        <v>12</v>
      </c>
      <c r="Y42" s="239"/>
      <c r="Z42" s="13" t="s">
        <v>12</v>
      </c>
      <c r="AA42" s="13" t="s">
        <v>12</v>
      </c>
      <c r="AB42" s="13" t="s">
        <v>12</v>
      </c>
      <c r="AC42" s="13" t="s">
        <v>11</v>
      </c>
      <c r="AD42" s="13" t="s">
        <v>11</v>
      </c>
      <c r="AE42" s="42" t="s">
        <v>11</v>
      </c>
      <c r="AF42" s="239"/>
      <c r="AG42" s="13" t="s">
        <v>12</v>
      </c>
      <c r="AH42" s="13" t="s">
        <v>12</v>
      </c>
      <c r="AI42" s="13" t="s">
        <v>12</v>
      </c>
      <c r="AJ42" s="13" t="s">
        <v>12</v>
      </c>
      <c r="AK42" s="149">
        <f t="shared" si="0"/>
        <v>23</v>
      </c>
      <c r="AL42" s="10">
        <f t="shared" si="1"/>
        <v>3</v>
      </c>
    </row>
    <row r="43" spans="1:38" ht="18" x14ac:dyDescent="0.4">
      <c r="A43" s="39">
        <v>38</v>
      </c>
      <c r="B43" s="61"/>
      <c r="C43" s="10"/>
      <c r="D43" s="10"/>
      <c r="E43" s="39" t="s">
        <v>29</v>
      </c>
      <c r="F43" s="13" t="s">
        <v>12</v>
      </c>
      <c r="G43" s="13" t="s">
        <v>12</v>
      </c>
      <c r="H43" s="13" t="s">
        <v>12</v>
      </c>
      <c r="I43" s="13" t="s">
        <v>12</v>
      </c>
      <c r="J43" s="13" t="s">
        <v>12</v>
      </c>
      <c r="K43" s="239"/>
      <c r="L43" s="13" t="s">
        <v>12</v>
      </c>
      <c r="M43" s="13" t="s">
        <v>12</v>
      </c>
      <c r="N43" s="13" t="s">
        <v>12</v>
      </c>
      <c r="O43" s="13" t="s">
        <v>12</v>
      </c>
      <c r="P43" s="13" t="s">
        <v>12</v>
      </c>
      <c r="Q43" s="42" t="s">
        <v>12</v>
      </c>
      <c r="R43" s="239"/>
      <c r="S43" s="239"/>
      <c r="T43" s="13" t="s">
        <v>12</v>
      </c>
      <c r="U43" s="13" t="s">
        <v>12</v>
      </c>
      <c r="V43" s="13" t="s">
        <v>12</v>
      </c>
      <c r="W43" s="13" t="s">
        <v>11</v>
      </c>
      <c r="X43" s="42" t="s">
        <v>11</v>
      </c>
      <c r="Y43" s="239"/>
      <c r="Z43" s="13" t="s">
        <v>12</v>
      </c>
      <c r="AA43" s="13" t="s">
        <v>12</v>
      </c>
      <c r="AB43" s="13" t="s">
        <v>12</v>
      </c>
      <c r="AC43" s="13" t="s">
        <v>12</v>
      </c>
      <c r="AD43" s="13" t="s">
        <v>12</v>
      </c>
      <c r="AE43" s="42" t="s">
        <v>12</v>
      </c>
      <c r="AF43" s="239"/>
      <c r="AG43" s="13" t="s">
        <v>11</v>
      </c>
      <c r="AH43" s="13" t="s">
        <v>12</v>
      </c>
      <c r="AI43" s="13" t="s">
        <v>12</v>
      </c>
      <c r="AJ43" s="13" t="s">
        <v>12</v>
      </c>
      <c r="AK43" s="149">
        <f t="shared" si="0"/>
        <v>23</v>
      </c>
      <c r="AL43" s="10">
        <f t="shared" si="1"/>
        <v>3</v>
      </c>
    </row>
    <row r="44" spans="1:38" ht="18" x14ac:dyDescent="0.4">
      <c r="A44" s="39">
        <v>39</v>
      </c>
      <c r="B44" s="61"/>
      <c r="C44" s="10"/>
      <c r="D44" s="10"/>
      <c r="E44" s="39" t="s">
        <v>29</v>
      </c>
      <c r="F44" s="13" t="s">
        <v>12</v>
      </c>
      <c r="G44" s="13" t="s">
        <v>12</v>
      </c>
      <c r="H44" s="13" t="s">
        <v>12</v>
      </c>
      <c r="I44" s="13" t="s">
        <v>12</v>
      </c>
      <c r="J44" s="13" t="s">
        <v>12</v>
      </c>
      <c r="K44" s="239"/>
      <c r="L44" s="13" t="s">
        <v>12</v>
      </c>
      <c r="M44" s="13" t="s">
        <v>12</v>
      </c>
      <c r="N44" s="13" t="s">
        <v>12</v>
      </c>
      <c r="O44" s="13" t="s">
        <v>12</v>
      </c>
      <c r="P44" s="13" t="s">
        <v>12</v>
      </c>
      <c r="Q44" s="42" t="s">
        <v>12</v>
      </c>
      <c r="R44" s="239"/>
      <c r="S44" s="239"/>
      <c r="T44" s="13" t="s">
        <v>12</v>
      </c>
      <c r="U44" s="13" t="s">
        <v>11</v>
      </c>
      <c r="V44" s="13" t="s">
        <v>12</v>
      </c>
      <c r="W44" s="13" t="s">
        <v>12</v>
      </c>
      <c r="X44" s="42" t="s">
        <v>12</v>
      </c>
      <c r="Y44" s="239"/>
      <c r="Z44" s="13" t="s">
        <v>12</v>
      </c>
      <c r="AA44" s="13" t="s">
        <v>12</v>
      </c>
      <c r="AB44" s="13" t="s">
        <v>12</v>
      </c>
      <c r="AC44" s="13" t="s">
        <v>12</v>
      </c>
      <c r="AD44" s="13" t="s">
        <v>12</v>
      </c>
      <c r="AE44" s="42" t="s">
        <v>12</v>
      </c>
      <c r="AF44" s="239"/>
      <c r="AG44" s="13" t="s">
        <v>12</v>
      </c>
      <c r="AH44" s="13" t="s">
        <v>12</v>
      </c>
      <c r="AI44" s="13" t="s">
        <v>12</v>
      </c>
      <c r="AJ44" s="13" t="s">
        <v>12</v>
      </c>
      <c r="AK44" s="10">
        <f t="shared" si="0"/>
        <v>25</v>
      </c>
      <c r="AL44" s="10">
        <f t="shared" si="1"/>
        <v>1</v>
      </c>
    </row>
    <row r="45" spans="1:38" ht="18" x14ac:dyDescent="0.4">
      <c r="A45" s="39">
        <v>40</v>
      </c>
      <c r="B45" s="61"/>
      <c r="C45" s="10"/>
      <c r="D45" s="10"/>
      <c r="E45" s="39" t="s">
        <v>29</v>
      </c>
      <c r="F45" s="13" t="s">
        <v>12</v>
      </c>
      <c r="G45" s="13" t="s">
        <v>11</v>
      </c>
      <c r="H45" s="13" t="s">
        <v>12</v>
      </c>
      <c r="I45" s="13" t="s">
        <v>12</v>
      </c>
      <c r="J45" s="13" t="s">
        <v>11</v>
      </c>
      <c r="K45" s="239"/>
      <c r="L45" s="13" t="s">
        <v>12</v>
      </c>
      <c r="M45" s="13" t="s">
        <v>12</v>
      </c>
      <c r="N45" s="13" t="s">
        <v>12</v>
      </c>
      <c r="O45" s="13" t="s">
        <v>12</v>
      </c>
      <c r="P45" s="13" t="s">
        <v>12</v>
      </c>
      <c r="Q45" s="42" t="s">
        <v>12</v>
      </c>
      <c r="R45" s="239"/>
      <c r="S45" s="239"/>
      <c r="T45" s="13" t="s">
        <v>12</v>
      </c>
      <c r="U45" s="13" t="s">
        <v>12</v>
      </c>
      <c r="V45" s="13" t="s">
        <v>12</v>
      </c>
      <c r="W45" s="13" t="s">
        <v>12</v>
      </c>
      <c r="X45" s="42" t="s">
        <v>12</v>
      </c>
      <c r="Y45" s="239"/>
      <c r="Z45" s="13" t="s">
        <v>12</v>
      </c>
      <c r="AA45" s="13" t="s">
        <v>12</v>
      </c>
      <c r="AB45" s="13" t="s">
        <v>12</v>
      </c>
      <c r="AC45" s="13" t="s">
        <v>12</v>
      </c>
      <c r="AD45" s="13" t="s">
        <v>12</v>
      </c>
      <c r="AE45" s="42" t="s">
        <v>12</v>
      </c>
      <c r="AF45" s="239"/>
      <c r="AG45" s="13" t="s">
        <v>12</v>
      </c>
      <c r="AH45" s="13" t="s">
        <v>12</v>
      </c>
      <c r="AI45" s="13" t="s">
        <v>12</v>
      </c>
      <c r="AJ45" s="13" t="s">
        <v>12</v>
      </c>
      <c r="AK45" s="10">
        <f t="shared" si="0"/>
        <v>24</v>
      </c>
      <c r="AL45" s="10">
        <f t="shared" si="1"/>
        <v>2</v>
      </c>
    </row>
    <row r="46" spans="1:38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48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48"/>
      <c r="AC46" s="30"/>
      <c r="AD46" s="30"/>
      <c r="AE46" s="30"/>
      <c r="AF46" s="30"/>
      <c r="AG46" s="30"/>
      <c r="AH46" s="30"/>
      <c r="AI46" s="30"/>
      <c r="AJ46" s="30"/>
      <c r="AK46" s="30">
        <f>SUM(AK11:AK44)</f>
        <v>732</v>
      </c>
      <c r="AL46" s="30">
        <f>SUM(AL11:AL44)</f>
        <v>152</v>
      </c>
    </row>
  </sheetData>
  <mergeCells count="10">
    <mergeCell ref="AF7:AF45"/>
    <mergeCell ref="AN16:AQ16"/>
    <mergeCell ref="A1:AJ1"/>
    <mergeCell ref="A2:AJ2"/>
    <mergeCell ref="A3:AJ3"/>
    <mergeCell ref="A4:AJ4"/>
    <mergeCell ref="K7:K45"/>
    <mergeCell ref="R7:R45"/>
    <mergeCell ref="S7:S45"/>
    <mergeCell ref="Y7:Y4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6"/>
  <sheetViews>
    <sheetView tabSelected="1" workbookViewId="0">
      <selection activeCell="F11" sqref="F11"/>
    </sheetView>
  </sheetViews>
  <sheetFormatPr defaultColWidth="3" defaultRowHeight="14" x14ac:dyDescent="0.3"/>
  <cols>
    <col min="1" max="1" width="5.26953125" style="1" customWidth="1"/>
    <col min="2" max="2" width="5.81640625" style="1" bestFit="1" customWidth="1"/>
    <col min="3" max="3" width="18.7265625" style="1" bestFit="1" customWidth="1"/>
    <col min="4" max="4" width="18.453125" style="1" bestFit="1" customWidth="1"/>
    <col min="5" max="5" width="6.26953125" style="1" bestFit="1" customWidth="1"/>
    <col min="6" max="36" width="3" style="1"/>
    <col min="37" max="37" width="6.1796875" style="1" customWidth="1"/>
    <col min="38" max="38" width="5.1796875" style="1" customWidth="1"/>
    <col min="39" max="39" width="3" style="1"/>
    <col min="40" max="40" width="16.81640625" style="1" customWidth="1"/>
    <col min="41" max="41" width="11.54296875" style="1" customWidth="1"/>
    <col min="42" max="42" width="7.7265625" style="1" customWidth="1"/>
    <col min="43" max="43" width="9.1796875" style="1" customWidth="1"/>
    <col min="44" max="16384" width="3" style="1"/>
  </cols>
  <sheetData>
    <row r="1" spans="1:44" x14ac:dyDescent="0.3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3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3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4" x14ac:dyDescent="0.3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235">
        <v>45139</v>
      </c>
      <c r="AO4" s="240"/>
      <c r="AP4" s="64"/>
      <c r="AQ4" s="64"/>
    </row>
    <row r="5" spans="1:44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4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50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2" t="s">
        <v>6</v>
      </c>
      <c r="AL5" s="2" t="s">
        <v>7</v>
      </c>
      <c r="AN5" s="153" t="s">
        <v>8</v>
      </c>
      <c r="AO5" s="153">
        <v>31</v>
      </c>
      <c r="AP5" s="167"/>
      <c r="AQ5" s="167"/>
    </row>
    <row r="6" spans="1:44" ht="38.25" customHeight="1" x14ac:dyDescent="0.35">
      <c r="A6" s="10">
        <v>1</v>
      </c>
      <c r="B6" s="149"/>
      <c r="C6" s="10"/>
      <c r="D6" s="10"/>
      <c r="E6" s="15" t="s">
        <v>30</v>
      </c>
      <c r="F6" s="10" t="s">
        <v>11</v>
      </c>
      <c r="G6" s="10" t="s">
        <v>11</v>
      </c>
      <c r="H6" s="10" t="s">
        <v>11</v>
      </c>
      <c r="I6" s="10" t="s">
        <v>12</v>
      </c>
      <c r="J6" s="10" t="s">
        <v>12</v>
      </c>
      <c r="K6" s="51" t="s">
        <v>26</v>
      </c>
      <c r="L6" s="10" t="s">
        <v>12</v>
      </c>
      <c r="M6" s="41" t="s">
        <v>12</v>
      </c>
      <c r="N6" s="10" t="s">
        <v>12</v>
      </c>
      <c r="O6" s="10" t="s">
        <v>11</v>
      </c>
      <c r="P6" s="10" t="s">
        <v>12</v>
      </c>
      <c r="Q6" s="10" t="s">
        <v>12</v>
      </c>
      <c r="R6" s="51" t="s">
        <v>26</v>
      </c>
      <c r="S6" s="51"/>
      <c r="T6" s="10" t="s">
        <v>11</v>
      </c>
      <c r="U6" s="10" t="s">
        <v>11</v>
      </c>
      <c r="V6" s="10" t="s">
        <v>12</v>
      </c>
      <c r="W6" s="10" t="s">
        <v>12</v>
      </c>
      <c r="X6" s="10" t="s">
        <v>12</v>
      </c>
      <c r="Y6" s="51" t="s">
        <v>26</v>
      </c>
      <c r="Z6" s="10" t="s">
        <v>12</v>
      </c>
      <c r="AA6" s="10" t="s">
        <v>12</v>
      </c>
      <c r="AB6" s="52" t="s">
        <v>12</v>
      </c>
      <c r="AC6" s="10" t="s">
        <v>12</v>
      </c>
      <c r="AD6" s="10" t="s">
        <v>12</v>
      </c>
      <c r="AE6" s="10" t="s">
        <v>12</v>
      </c>
      <c r="AF6" s="51" t="s">
        <v>26</v>
      </c>
      <c r="AG6" s="10" t="s">
        <v>12</v>
      </c>
      <c r="AH6" s="10" t="s">
        <v>12</v>
      </c>
      <c r="AI6" s="10" t="s">
        <v>11</v>
      </c>
      <c r="AJ6" s="10" t="s">
        <v>12</v>
      </c>
      <c r="AK6" s="10" t="b">
        <f>AL12=COUNTIF(F6:AJ6,"P")</f>
        <v>0</v>
      </c>
      <c r="AL6" s="10">
        <f t="shared" ref="AL6:AL45" si="0">COUNTIF(F6:AJ6,"A")</f>
        <v>7</v>
      </c>
      <c r="AN6" s="150" t="s">
        <v>13</v>
      </c>
      <c r="AO6" s="150">
        <v>26</v>
      </c>
      <c r="AP6" s="64"/>
      <c r="AQ6" s="64"/>
    </row>
    <row r="7" spans="1:44" ht="20.25" customHeight="1" x14ac:dyDescent="0.35">
      <c r="A7" s="10">
        <v>2</v>
      </c>
      <c r="B7" s="149"/>
      <c r="C7" s="10"/>
      <c r="D7" s="10"/>
      <c r="E7" s="15" t="s">
        <v>30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238" t="s">
        <v>26</v>
      </c>
      <c r="L7" s="10" t="s">
        <v>12</v>
      </c>
      <c r="M7" s="42" t="s">
        <v>12</v>
      </c>
      <c r="N7" s="10" t="s">
        <v>12</v>
      </c>
      <c r="O7" s="10" t="s">
        <v>11</v>
      </c>
      <c r="P7" s="10" t="s">
        <v>11</v>
      </c>
      <c r="Q7" s="10" t="s">
        <v>11</v>
      </c>
      <c r="R7" s="238" t="s">
        <v>26</v>
      </c>
      <c r="S7" s="238" t="s">
        <v>55</v>
      </c>
      <c r="T7" s="10" t="s">
        <v>11</v>
      </c>
      <c r="U7" s="10" t="s">
        <v>12</v>
      </c>
      <c r="V7" s="10" t="s">
        <v>12</v>
      </c>
      <c r="W7" s="10" t="s">
        <v>12</v>
      </c>
      <c r="X7" s="10" t="s">
        <v>12</v>
      </c>
      <c r="Y7" s="238" t="s">
        <v>26</v>
      </c>
      <c r="Z7" s="10" t="s">
        <v>12</v>
      </c>
      <c r="AA7" s="10" t="s">
        <v>12</v>
      </c>
      <c r="AB7" s="53" t="s">
        <v>11</v>
      </c>
      <c r="AC7" s="10" t="s">
        <v>12</v>
      </c>
      <c r="AD7" s="10" t="s">
        <v>12</v>
      </c>
      <c r="AE7" s="10" t="s">
        <v>12</v>
      </c>
      <c r="AF7" s="238" t="s">
        <v>26</v>
      </c>
      <c r="AG7" s="10" t="s">
        <v>12</v>
      </c>
      <c r="AH7" s="10" t="s">
        <v>12</v>
      </c>
      <c r="AI7" s="10" t="s">
        <v>12</v>
      </c>
      <c r="AJ7" s="10" t="s">
        <v>12</v>
      </c>
      <c r="AK7" s="10">
        <f t="shared" ref="AK7:AK45" si="1">COUNTIF(F7:AJ7,"P")</f>
        <v>21</v>
      </c>
      <c r="AL7" s="10">
        <f t="shared" si="0"/>
        <v>5</v>
      </c>
      <c r="AN7" s="64" t="s">
        <v>26</v>
      </c>
      <c r="AO7" s="64">
        <v>4</v>
      </c>
      <c r="AP7" s="64" t="s">
        <v>58</v>
      </c>
      <c r="AQ7" s="64"/>
      <c r="AR7" s="1">
        <v>1</v>
      </c>
    </row>
    <row r="8" spans="1:44" ht="18" x14ac:dyDescent="0.35">
      <c r="A8" s="10">
        <v>3</v>
      </c>
      <c r="B8" s="149"/>
      <c r="C8" s="10"/>
      <c r="D8" s="10"/>
      <c r="E8" s="15" t="s">
        <v>30</v>
      </c>
      <c r="F8" s="10" t="s">
        <v>11</v>
      </c>
      <c r="G8" s="10" t="s">
        <v>11</v>
      </c>
      <c r="H8" s="10" t="s">
        <v>11</v>
      </c>
      <c r="I8" s="10" t="s">
        <v>11</v>
      </c>
      <c r="J8" s="10" t="s">
        <v>11</v>
      </c>
      <c r="K8" s="239"/>
      <c r="L8" s="10" t="s">
        <v>11</v>
      </c>
      <c r="M8" s="42" t="s">
        <v>11</v>
      </c>
      <c r="N8" s="10" t="s">
        <v>11</v>
      </c>
      <c r="O8" s="10" t="s">
        <v>11</v>
      </c>
      <c r="P8" s="10" t="s">
        <v>11</v>
      </c>
      <c r="Q8" s="10" t="s">
        <v>11</v>
      </c>
      <c r="R8" s="239"/>
      <c r="S8" s="239"/>
      <c r="T8" s="10" t="s">
        <v>11</v>
      </c>
      <c r="U8" s="10" t="s">
        <v>11</v>
      </c>
      <c r="V8" s="10" t="s">
        <v>11</v>
      </c>
      <c r="W8" s="10" t="s">
        <v>11</v>
      </c>
      <c r="X8" s="10" t="s">
        <v>11</v>
      </c>
      <c r="Y8" s="239"/>
      <c r="Z8" s="10" t="s">
        <v>11</v>
      </c>
      <c r="AA8" s="10" t="s">
        <v>11</v>
      </c>
      <c r="AB8" s="53" t="s">
        <v>11</v>
      </c>
      <c r="AC8" s="10" t="s">
        <v>11</v>
      </c>
      <c r="AD8" s="10" t="s">
        <v>11</v>
      </c>
      <c r="AE8" s="10" t="s">
        <v>11</v>
      </c>
      <c r="AF8" s="239"/>
      <c r="AG8" s="10" t="s">
        <v>11</v>
      </c>
      <c r="AH8" s="10" t="s">
        <v>11</v>
      </c>
      <c r="AI8" s="10" t="s">
        <v>11</v>
      </c>
      <c r="AJ8" s="10" t="s">
        <v>11</v>
      </c>
      <c r="AK8" s="10">
        <f t="shared" si="1"/>
        <v>0</v>
      </c>
      <c r="AL8" s="10">
        <f t="shared" si="0"/>
        <v>26</v>
      </c>
      <c r="AN8" s="64"/>
      <c r="AO8" s="64"/>
      <c r="AP8" s="64"/>
      <c r="AQ8" s="64"/>
    </row>
    <row r="9" spans="1:44" ht="18" x14ac:dyDescent="0.35">
      <c r="A9" s="10">
        <v>4</v>
      </c>
      <c r="B9" s="149"/>
      <c r="C9" s="10"/>
      <c r="D9" s="10"/>
      <c r="E9" s="15" t="s">
        <v>30</v>
      </c>
      <c r="F9" s="10" t="s">
        <v>11</v>
      </c>
      <c r="G9" s="10" t="s">
        <v>11</v>
      </c>
      <c r="H9" s="10" t="s">
        <v>12</v>
      </c>
      <c r="I9" s="10" t="s">
        <v>12</v>
      </c>
      <c r="J9" s="10" t="s">
        <v>11</v>
      </c>
      <c r="K9" s="239"/>
      <c r="L9" s="10" t="s">
        <v>11</v>
      </c>
      <c r="M9" s="42" t="s">
        <v>12</v>
      </c>
      <c r="N9" s="10" t="s">
        <v>12</v>
      </c>
      <c r="O9" s="10" t="s">
        <v>11</v>
      </c>
      <c r="P9" s="10" t="s">
        <v>12</v>
      </c>
      <c r="Q9" s="10" t="s">
        <v>11</v>
      </c>
      <c r="R9" s="239"/>
      <c r="S9" s="239"/>
      <c r="T9" s="10" t="s">
        <v>11</v>
      </c>
      <c r="U9" s="10" t="s">
        <v>12</v>
      </c>
      <c r="V9" s="10" t="s">
        <v>11</v>
      </c>
      <c r="W9" s="10" t="s">
        <v>11</v>
      </c>
      <c r="X9" s="10" t="s">
        <v>11</v>
      </c>
      <c r="Y9" s="239"/>
      <c r="Z9" s="10" t="s">
        <v>12</v>
      </c>
      <c r="AA9" s="10" t="s">
        <v>12</v>
      </c>
      <c r="AB9" s="53" t="s">
        <v>11</v>
      </c>
      <c r="AC9" s="10" t="s">
        <v>12</v>
      </c>
      <c r="AD9" s="10" t="s">
        <v>12</v>
      </c>
      <c r="AE9" s="10" t="s">
        <v>11</v>
      </c>
      <c r="AF9" s="239"/>
      <c r="AG9" s="10" t="s">
        <v>11</v>
      </c>
      <c r="AH9" s="10" t="s">
        <v>12</v>
      </c>
      <c r="AI9" s="10" t="s">
        <v>12</v>
      </c>
      <c r="AJ9" s="10" t="s">
        <v>12</v>
      </c>
      <c r="AK9" s="10">
        <f t="shared" si="1"/>
        <v>13</v>
      </c>
      <c r="AL9" s="10">
        <f t="shared" si="0"/>
        <v>13</v>
      </c>
      <c r="AN9" s="240" t="s">
        <v>6</v>
      </c>
      <c r="AO9" s="240"/>
      <c r="AP9" s="240"/>
      <c r="AQ9" s="240"/>
    </row>
    <row r="10" spans="1:44" ht="18" x14ac:dyDescent="0.35">
      <c r="A10" s="10">
        <v>5</v>
      </c>
      <c r="B10" s="149"/>
      <c r="C10" s="10"/>
      <c r="D10" s="10"/>
      <c r="E10" s="15" t="s">
        <v>30</v>
      </c>
      <c r="F10" s="10" t="s">
        <v>12</v>
      </c>
      <c r="G10" s="10" t="s">
        <v>12</v>
      </c>
      <c r="H10" s="10" t="s">
        <v>11</v>
      </c>
      <c r="I10" s="10" t="s">
        <v>11</v>
      </c>
      <c r="J10" s="10" t="s">
        <v>12</v>
      </c>
      <c r="K10" s="239"/>
      <c r="L10" s="10" t="s">
        <v>12</v>
      </c>
      <c r="M10" s="42" t="s">
        <v>11</v>
      </c>
      <c r="N10" s="10" t="s">
        <v>11</v>
      </c>
      <c r="O10" s="10" t="s">
        <v>11</v>
      </c>
      <c r="P10" s="10" t="s">
        <v>12</v>
      </c>
      <c r="Q10" s="10" t="s">
        <v>12</v>
      </c>
      <c r="R10" s="239"/>
      <c r="S10" s="239"/>
      <c r="T10" s="10" t="s">
        <v>12</v>
      </c>
      <c r="U10" s="10" t="s">
        <v>12</v>
      </c>
      <c r="V10" s="10" t="s">
        <v>11</v>
      </c>
      <c r="W10" s="10" t="s">
        <v>12</v>
      </c>
      <c r="X10" s="10" t="s">
        <v>12</v>
      </c>
      <c r="Y10" s="239"/>
      <c r="Z10" s="10" t="s">
        <v>12</v>
      </c>
      <c r="AA10" s="10" t="s">
        <v>12</v>
      </c>
      <c r="AB10" s="53" t="s">
        <v>12</v>
      </c>
      <c r="AC10" s="10" t="s">
        <v>12</v>
      </c>
      <c r="AD10" s="10" t="s">
        <v>12</v>
      </c>
      <c r="AE10" s="10" t="s">
        <v>12</v>
      </c>
      <c r="AF10" s="239"/>
      <c r="AG10" s="10" t="s">
        <v>12</v>
      </c>
      <c r="AH10" s="10" t="s">
        <v>12</v>
      </c>
      <c r="AI10" s="10" t="s">
        <v>12</v>
      </c>
      <c r="AJ10" s="10" t="s">
        <v>12</v>
      </c>
      <c r="AK10" s="149">
        <f t="shared" si="1"/>
        <v>20</v>
      </c>
      <c r="AL10" s="10">
        <f t="shared" si="0"/>
        <v>6</v>
      </c>
      <c r="AN10" s="150" t="s">
        <v>16</v>
      </c>
      <c r="AO10" s="150" t="s">
        <v>18</v>
      </c>
      <c r="AP10" s="150" t="s">
        <v>17</v>
      </c>
      <c r="AQ10" s="150" t="s">
        <v>19</v>
      </c>
    </row>
    <row r="11" spans="1:44" ht="18" x14ac:dyDescent="0.35">
      <c r="A11" s="10">
        <v>6</v>
      </c>
      <c r="B11" s="149"/>
      <c r="C11" s="10"/>
      <c r="D11" s="10"/>
      <c r="E11" s="15" t="s">
        <v>30</v>
      </c>
      <c r="F11" s="10" t="s">
        <v>12</v>
      </c>
      <c r="G11" s="10" t="s">
        <v>12</v>
      </c>
      <c r="H11" s="10" t="s">
        <v>11</v>
      </c>
      <c r="I11" s="10" t="s">
        <v>11</v>
      </c>
      <c r="J11" s="10" t="s">
        <v>12</v>
      </c>
      <c r="K11" s="239"/>
      <c r="L11" s="10" t="s">
        <v>12</v>
      </c>
      <c r="M11" s="42" t="s">
        <v>12</v>
      </c>
      <c r="N11" s="10" t="s">
        <v>12</v>
      </c>
      <c r="O11" s="10" t="s">
        <v>12</v>
      </c>
      <c r="P11" s="10" t="s">
        <v>12</v>
      </c>
      <c r="Q11" s="10" t="s">
        <v>12</v>
      </c>
      <c r="R11" s="239"/>
      <c r="S11" s="239"/>
      <c r="T11" s="10" t="s">
        <v>12</v>
      </c>
      <c r="U11" s="10" t="s">
        <v>11</v>
      </c>
      <c r="V11" s="10" t="s">
        <v>12</v>
      </c>
      <c r="W11" s="10" t="s">
        <v>12</v>
      </c>
      <c r="X11" s="10" t="s">
        <v>11</v>
      </c>
      <c r="Y11" s="239"/>
      <c r="Z11" s="10" t="s">
        <v>12</v>
      </c>
      <c r="AA11" s="10" t="s">
        <v>12</v>
      </c>
      <c r="AB11" s="53" t="s">
        <v>12</v>
      </c>
      <c r="AC11" s="10" t="s">
        <v>12</v>
      </c>
      <c r="AD11" s="10" t="s">
        <v>12</v>
      </c>
      <c r="AE11" s="10" t="s">
        <v>11</v>
      </c>
      <c r="AF11" s="239"/>
      <c r="AG11" s="10" t="s">
        <v>12</v>
      </c>
      <c r="AH11" s="10" t="s">
        <v>12</v>
      </c>
      <c r="AI11" s="10" t="s">
        <v>12</v>
      </c>
      <c r="AJ11" s="10" t="s">
        <v>12</v>
      </c>
      <c r="AK11" s="149">
        <f t="shared" si="1"/>
        <v>21</v>
      </c>
      <c r="AL11" s="10">
        <f t="shared" si="0"/>
        <v>5</v>
      </c>
      <c r="AN11" s="150" t="s">
        <v>20</v>
      </c>
      <c r="AO11" s="150">
        <f>26*26</f>
        <v>676</v>
      </c>
      <c r="AP11" s="150">
        <f>14*26</f>
        <v>364</v>
      </c>
      <c r="AQ11" s="150">
        <f>AO11+AP11</f>
        <v>1040</v>
      </c>
    </row>
    <row r="12" spans="1:44" ht="18" x14ac:dyDescent="0.35">
      <c r="A12" s="10">
        <v>7</v>
      </c>
      <c r="B12" s="149"/>
      <c r="C12" s="10"/>
      <c r="D12" s="10"/>
      <c r="E12" s="15" t="s">
        <v>30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239"/>
      <c r="L12" s="10" t="s">
        <v>12</v>
      </c>
      <c r="M12" s="42" t="s">
        <v>11</v>
      </c>
      <c r="N12" s="10" t="s">
        <v>11</v>
      </c>
      <c r="O12" s="10" t="s">
        <v>12</v>
      </c>
      <c r="P12" s="10" t="s">
        <v>12</v>
      </c>
      <c r="Q12" s="10" t="s">
        <v>12</v>
      </c>
      <c r="R12" s="239"/>
      <c r="S12" s="239"/>
      <c r="T12" s="10" t="s">
        <v>12</v>
      </c>
      <c r="U12" s="10" t="s">
        <v>12</v>
      </c>
      <c r="V12" s="10" t="s">
        <v>12</v>
      </c>
      <c r="W12" s="10" t="s">
        <v>12</v>
      </c>
      <c r="X12" s="10" t="s">
        <v>12</v>
      </c>
      <c r="Y12" s="239"/>
      <c r="Z12" s="10" t="s">
        <v>12</v>
      </c>
      <c r="AA12" s="10" t="s">
        <v>12</v>
      </c>
      <c r="AB12" s="53" t="s">
        <v>12</v>
      </c>
      <c r="AC12" s="10" t="s">
        <v>11</v>
      </c>
      <c r="AD12" s="10" t="s">
        <v>12</v>
      </c>
      <c r="AE12" s="10" t="s">
        <v>12</v>
      </c>
      <c r="AF12" s="239"/>
      <c r="AG12" s="10" t="s">
        <v>12</v>
      </c>
      <c r="AH12" s="10" t="s">
        <v>12</v>
      </c>
      <c r="AI12" s="10" t="s">
        <v>12</v>
      </c>
      <c r="AJ12" s="10" t="s">
        <v>12</v>
      </c>
      <c r="AK12" s="10">
        <f t="shared" si="1"/>
        <v>23</v>
      </c>
      <c r="AL12" s="10">
        <f t="shared" si="0"/>
        <v>3</v>
      </c>
      <c r="AN12" s="150" t="s">
        <v>21</v>
      </c>
      <c r="AO12" s="150">
        <f>AK6+AK7+AK8+AK9+AK12+AK13+AK14+AK16+AK17+AK18+AK19+AK22+AK23+AK24+AK26+AK28+AK29+AK33+AK34+AK35+AK36+AK37+AK40+AK41+AK43+AK45</f>
        <v>457</v>
      </c>
      <c r="AP12" s="150">
        <f>AK10+AK11+AK15+AK20+AK21+AK25+AK27+AK30+AK31+AK32+AK38+AK39+AK42+AK44</f>
        <v>217</v>
      </c>
      <c r="AQ12" s="150">
        <f>AO12+AP12</f>
        <v>674</v>
      </c>
    </row>
    <row r="13" spans="1:44" ht="18" x14ac:dyDescent="0.35">
      <c r="A13" s="10">
        <v>8</v>
      </c>
      <c r="B13" s="149"/>
      <c r="C13" s="10"/>
      <c r="D13" s="10"/>
      <c r="E13" s="15" t="s">
        <v>30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239"/>
      <c r="L13" s="10" t="s">
        <v>12</v>
      </c>
      <c r="M13" s="42" t="s">
        <v>12</v>
      </c>
      <c r="N13" s="10" t="s">
        <v>12</v>
      </c>
      <c r="O13" s="10" t="s">
        <v>12</v>
      </c>
      <c r="P13" s="10" t="s">
        <v>12</v>
      </c>
      <c r="Q13" s="10" t="s">
        <v>12</v>
      </c>
      <c r="R13" s="239"/>
      <c r="S13" s="239"/>
      <c r="T13" s="10" t="s">
        <v>12</v>
      </c>
      <c r="U13" s="10" t="s">
        <v>12</v>
      </c>
      <c r="V13" s="10" t="s">
        <v>12</v>
      </c>
      <c r="W13" s="10" t="s">
        <v>12</v>
      </c>
      <c r="X13" s="10" t="s">
        <v>12</v>
      </c>
      <c r="Y13" s="239"/>
      <c r="Z13" s="10" t="s">
        <v>12</v>
      </c>
      <c r="AA13" s="10" t="s">
        <v>12</v>
      </c>
      <c r="AB13" s="53" t="s">
        <v>12</v>
      </c>
      <c r="AC13" s="10" t="s">
        <v>12</v>
      </c>
      <c r="AD13" s="10" t="s">
        <v>12</v>
      </c>
      <c r="AE13" s="10" t="s">
        <v>12</v>
      </c>
      <c r="AF13" s="239"/>
      <c r="AG13" s="10" t="s">
        <v>12</v>
      </c>
      <c r="AH13" s="10" t="s">
        <v>12</v>
      </c>
      <c r="AI13" s="10" t="s">
        <v>12</v>
      </c>
      <c r="AJ13" s="10" t="s">
        <v>12</v>
      </c>
      <c r="AK13" s="10">
        <f t="shared" si="1"/>
        <v>26</v>
      </c>
      <c r="AL13" s="10">
        <f t="shared" si="0"/>
        <v>0</v>
      </c>
      <c r="AN13" s="150" t="s">
        <v>22</v>
      </c>
      <c r="AO13" s="154">
        <f>AO12/AO11</f>
        <v>0.67603550295857984</v>
      </c>
      <c r="AP13" s="154">
        <f>AP12/AP11</f>
        <v>0.59615384615384615</v>
      </c>
      <c r="AQ13" s="154">
        <f>AVERAGE(AO13:AP13)</f>
        <v>0.63609467455621305</v>
      </c>
    </row>
    <row r="14" spans="1:44" ht="18" x14ac:dyDescent="0.35">
      <c r="A14" s="10">
        <v>9</v>
      </c>
      <c r="B14" s="149"/>
      <c r="C14" s="10"/>
      <c r="D14" s="10"/>
      <c r="E14" s="15" t="s">
        <v>30</v>
      </c>
      <c r="F14" s="10" t="s">
        <v>12</v>
      </c>
      <c r="G14" s="10" t="s">
        <v>11</v>
      </c>
      <c r="H14" s="10" t="s">
        <v>11</v>
      </c>
      <c r="I14" s="10" t="s">
        <v>12</v>
      </c>
      <c r="J14" s="10" t="s">
        <v>12</v>
      </c>
      <c r="K14" s="239"/>
      <c r="L14" s="10" t="s">
        <v>12</v>
      </c>
      <c r="M14" s="42" t="s">
        <v>12</v>
      </c>
      <c r="N14" s="10" t="s">
        <v>12</v>
      </c>
      <c r="O14" s="10" t="s">
        <v>12</v>
      </c>
      <c r="P14" s="10" t="s">
        <v>12</v>
      </c>
      <c r="Q14" s="10" t="s">
        <v>12</v>
      </c>
      <c r="R14" s="239"/>
      <c r="S14" s="239"/>
      <c r="T14" s="10" t="s">
        <v>11</v>
      </c>
      <c r="U14" s="10" t="s">
        <v>12</v>
      </c>
      <c r="V14" s="10" t="s">
        <v>12</v>
      </c>
      <c r="W14" s="10" t="s">
        <v>12</v>
      </c>
      <c r="X14" s="10" t="s">
        <v>12</v>
      </c>
      <c r="Y14" s="239"/>
      <c r="Z14" s="10" t="s">
        <v>11</v>
      </c>
      <c r="AA14" s="10" t="s">
        <v>11</v>
      </c>
      <c r="AB14" s="53" t="s">
        <v>12</v>
      </c>
      <c r="AC14" s="10" t="s">
        <v>12</v>
      </c>
      <c r="AD14" s="10" t="s">
        <v>12</v>
      </c>
      <c r="AE14" s="10" t="s">
        <v>11</v>
      </c>
      <c r="AF14" s="239"/>
      <c r="AG14" s="10" t="s">
        <v>12</v>
      </c>
      <c r="AH14" s="10" t="s">
        <v>11</v>
      </c>
      <c r="AI14" s="10" t="s">
        <v>12</v>
      </c>
      <c r="AJ14" s="10" t="s">
        <v>12</v>
      </c>
      <c r="AK14" s="10">
        <f t="shared" si="1"/>
        <v>19</v>
      </c>
      <c r="AL14" s="10">
        <f t="shared" si="0"/>
        <v>7</v>
      </c>
      <c r="AN14" s="64"/>
      <c r="AO14" s="165"/>
      <c r="AP14" s="165"/>
      <c r="AQ14" s="165"/>
    </row>
    <row r="15" spans="1:44" ht="18" x14ac:dyDescent="0.35">
      <c r="A15" s="10">
        <v>10</v>
      </c>
      <c r="B15" s="149"/>
      <c r="C15" s="10"/>
      <c r="D15" s="10"/>
      <c r="E15" s="15" t="s">
        <v>30</v>
      </c>
      <c r="F15" s="10" t="s">
        <v>12</v>
      </c>
      <c r="G15" s="10" t="s">
        <v>11</v>
      </c>
      <c r="H15" s="10" t="s">
        <v>12</v>
      </c>
      <c r="I15" s="10" t="s">
        <v>12</v>
      </c>
      <c r="J15" s="10" t="s">
        <v>11</v>
      </c>
      <c r="K15" s="239"/>
      <c r="L15" s="10" t="s">
        <v>12</v>
      </c>
      <c r="M15" s="42" t="s">
        <v>12</v>
      </c>
      <c r="N15" s="10" t="s">
        <v>11</v>
      </c>
      <c r="O15" s="10" t="s">
        <v>11</v>
      </c>
      <c r="P15" s="10" t="s">
        <v>11</v>
      </c>
      <c r="Q15" s="10" t="s">
        <v>11</v>
      </c>
      <c r="R15" s="239"/>
      <c r="S15" s="239"/>
      <c r="T15" s="10" t="s">
        <v>11</v>
      </c>
      <c r="U15" s="10" t="s">
        <v>11</v>
      </c>
      <c r="V15" s="10" t="s">
        <v>11</v>
      </c>
      <c r="W15" s="10" t="s">
        <v>11</v>
      </c>
      <c r="X15" s="10" t="s">
        <v>11</v>
      </c>
      <c r="Y15" s="239"/>
      <c r="Z15" s="10" t="s">
        <v>11</v>
      </c>
      <c r="AA15" s="10" t="s">
        <v>11</v>
      </c>
      <c r="AB15" s="53" t="s">
        <v>11</v>
      </c>
      <c r="AC15" s="10" t="s">
        <v>11</v>
      </c>
      <c r="AD15" s="10" t="s">
        <v>11</v>
      </c>
      <c r="AE15" s="10" t="s">
        <v>11</v>
      </c>
      <c r="AF15" s="239"/>
      <c r="AG15" s="10" t="s">
        <v>11</v>
      </c>
      <c r="AH15" s="10" t="s">
        <v>11</v>
      </c>
      <c r="AI15" s="10" t="s">
        <v>11</v>
      </c>
      <c r="AJ15" s="10" t="s">
        <v>11</v>
      </c>
      <c r="AK15" s="149">
        <f t="shared" si="1"/>
        <v>5</v>
      </c>
      <c r="AL15" s="10">
        <f t="shared" si="0"/>
        <v>21</v>
      </c>
      <c r="AN15" s="240" t="s">
        <v>7</v>
      </c>
      <c r="AO15" s="240"/>
      <c r="AP15" s="240"/>
      <c r="AQ15" s="240"/>
    </row>
    <row r="16" spans="1:44" ht="18" x14ac:dyDescent="0.35">
      <c r="A16" s="10">
        <v>11</v>
      </c>
      <c r="B16" s="149"/>
      <c r="C16" s="10"/>
      <c r="D16" s="10"/>
      <c r="E16" s="15" t="s">
        <v>30</v>
      </c>
      <c r="F16" s="10" t="s">
        <v>12</v>
      </c>
      <c r="G16" s="10" t="s">
        <v>11</v>
      </c>
      <c r="H16" s="10" t="s">
        <v>11</v>
      </c>
      <c r="I16" s="10" t="s">
        <v>12</v>
      </c>
      <c r="J16" s="10" t="s">
        <v>12</v>
      </c>
      <c r="K16" s="239"/>
      <c r="L16" s="10" t="s">
        <v>12</v>
      </c>
      <c r="M16" s="42" t="s">
        <v>12</v>
      </c>
      <c r="N16" s="10" t="s">
        <v>12</v>
      </c>
      <c r="O16" s="10" t="s">
        <v>11</v>
      </c>
      <c r="P16" s="10" t="s">
        <v>11</v>
      </c>
      <c r="Q16" s="10" t="s">
        <v>11</v>
      </c>
      <c r="R16" s="239"/>
      <c r="S16" s="239"/>
      <c r="T16" s="10" t="s">
        <v>11</v>
      </c>
      <c r="U16" s="10" t="s">
        <v>12</v>
      </c>
      <c r="V16" s="10" t="s">
        <v>12</v>
      </c>
      <c r="W16" s="10" t="s">
        <v>12</v>
      </c>
      <c r="X16" s="10" t="s">
        <v>12</v>
      </c>
      <c r="Y16" s="239"/>
      <c r="Z16" s="10" t="s">
        <v>12</v>
      </c>
      <c r="AA16" s="10" t="s">
        <v>12</v>
      </c>
      <c r="AB16" s="53" t="s">
        <v>11</v>
      </c>
      <c r="AC16" s="10" t="s">
        <v>12</v>
      </c>
      <c r="AD16" s="10" t="s">
        <v>12</v>
      </c>
      <c r="AE16" s="10" t="s">
        <v>12</v>
      </c>
      <c r="AF16" s="239"/>
      <c r="AG16" s="10" t="s">
        <v>12</v>
      </c>
      <c r="AH16" s="10" t="s">
        <v>12</v>
      </c>
      <c r="AI16" s="10" t="s">
        <v>12</v>
      </c>
      <c r="AJ16" s="10" t="s">
        <v>11</v>
      </c>
      <c r="AK16" s="10">
        <f t="shared" si="1"/>
        <v>18</v>
      </c>
      <c r="AL16" s="10">
        <f t="shared" si="0"/>
        <v>8</v>
      </c>
      <c r="AN16" s="150" t="s">
        <v>16</v>
      </c>
      <c r="AO16" s="150" t="s">
        <v>18</v>
      </c>
      <c r="AP16" s="150" t="s">
        <v>17</v>
      </c>
      <c r="AQ16" s="150" t="s">
        <v>19</v>
      </c>
    </row>
    <row r="17" spans="1:43" ht="18" x14ac:dyDescent="0.35">
      <c r="A17" s="10">
        <v>12</v>
      </c>
      <c r="B17" s="149"/>
      <c r="C17" s="10"/>
      <c r="D17" s="10"/>
      <c r="E17" s="15" t="s">
        <v>30</v>
      </c>
      <c r="F17" s="10" t="s">
        <v>12</v>
      </c>
      <c r="G17" s="10" t="s">
        <v>12</v>
      </c>
      <c r="H17" s="10" t="s">
        <v>12</v>
      </c>
      <c r="I17" s="10" t="s">
        <v>11</v>
      </c>
      <c r="J17" s="10" t="s">
        <v>12</v>
      </c>
      <c r="K17" s="239"/>
      <c r="L17" s="10" t="s">
        <v>12</v>
      </c>
      <c r="M17" s="42" t="s">
        <v>12</v>
      </c>
      <c r="N17" s="10" t="s">
        <v>12</v>
      </c>
      <c r="O17" s="10" t="s">
        <v>12</v>
      </c>
      <c r="P17" s="10" t="s">
        <v>12</v>
      </c>
      <c r="Q17" s="10" t="s">
        <v>12</v>
      </c>
      <c r="R17" s="239"/>
      <c r="S17" s="239"/>
      <c r="T17" s="10" t="s">
        <v>11</v>
      </c>
      <c r="U17" s="10" t="s">
        <v>12</v>
      </c>
      <c r="V17" s="10" t="s">
        <v>12</v>
      </c>
      <c r="W17" s="10" t="s">
        <v>12</v>
      </c>
      <c r="X17" s="10" t="s">
        <v>11</v>
      </c>
      <c r="Y17" s="239"/>
      <c r="Z17" s="10" t="s">
        <v>12</v>
      </c>
      <c r="AA17" s="10" t="s">
        <v>12</v>
      </c>
      <c r="AB17" s="53" t="s">
        <v>12</v>
      </c>
      <c r="AC17" s="10" t="s">
        <v>12</v>
      </c>
      <c r="AD17" s="10" t="s">
        <v>12</v>
      </c>
      <c r="AE17" s="10" t="s">
        <v>12</v>
      </c>
      <c r="AF17" s="239"/>
      <c r="AG17" s="10" t="s">
        <v>12</v>
      </c>
      <c r="AH17" s="10" t="s">
        <v>12</v>
      </c>
      <c r="AI17" s="10" t="s">
        <v>12</v>
      </c>
      <c r="AJ17" s="10" t="s">
        <v>12</v>
      </c>
      <c r="AK17" s="10">
        <f t="shared" si="1"/>
        <v>23</v>
      </c>
      <c r="AL17" s="10">
        <f t="shared" si="0"/>
        <v>3</v>
      </c>
      <c r="AN17" s="150" t="s">
        <v>20</v>
      </c>
      <c r="AO17" s="150">
        <f>26*26</f>
        <v>676</v>
      </c>
      <c r="AP17" s="150">
        <f>14*26</f>
        <v>364</v>
      </c>
      <c r="AQ17" s="150">
        <f>AO17+AP17</f>
        <v>1040</v>
      </c>
    </row>
    <row r="18" spans="1:43" ht="18" x14ac:dyDescent="0.35">
      <c r="A18" s="10">
        <v>13</v>
      </c>
      <c r="B18" s="149"/>
      <c r="C18" s="10"/>
      <c r="D18" s="10"/>
      <c r="E18" s="15" t="s">
        <v>30</v>
      </c>
      <c r="F18" s="10" t="s">
        <v>12</v>
      </c>
      <c r="G18" s="10" t="s">
        <v>12</v>
      </c>
      <c r="H18" s="10" t="s">
        <v>12</v>
      </c>
      <c r="I18" s="10" t="s">
        <v>12</v>
      </c>
      <c r="J18" s="10" t="s">
        <v>11</v>
      </c>
      <c r="K18" s="239"/>
      <c r="L18" s="10" t="s">
        <v>12</v>
      </c>
      <c r="M18" s="42" t="s">
        <v>12</v>
      </c>
      <c r="N18" s="10" t="s">
        <v>12</v>
      </c>
      <c r="O18" s="10" t="s">
        <v>12</v>
      </c>
      <c r="P18" s="10" t="s">
        <v>12</v>
      </c>
      <c r="Q18" s="10" t="s">
        <v>12</v>
      </c>
      <c r="R18" s="239"/>
      <c r="S18" s="239"/>
      <c r="T18" s="10" t="s">
        <v>12</v>
      </c>
      <c r="U18" s="10" t="s">
        <v>12</v>
      </c>
      <c r="V18" s="10" t="s">
        <v>11</v>
      </c>
      <c r="W18" s="10" t="s">
        <v>12</v>
      </c>
      <c r="X18" s="10" t="s">
        <v>12</v>
      </c>
      <c r="Y18" s="239"/>
      <c r="Z18" s="10" t="s">
        <v>11</v>
      </c>
      <c r="AA18" s="10" t="s">
        <v>12</v>
      </c>
      <c r="AB18" s="53" t="s">
        <v>12</v>
      </c>
      <c r="AC18" s="10" t="s">
        <v>12</v>
      </c>
      <c r="AD18" s="10" t="s">
        <v>12</v>
      </c>
      <c r="AE18" s="10" t="s">
        <v>12</v>
      </c>
      <c r="AF18" s="239"/>
      <c r="AG18" s="10" t="s">
        <v>12</v>
      </c>
      <c r="AH18" s="10" t="s">
        <v>12</v>
      </c>
      <c r="AI18" s="10" t="s">
        <v>12</v>
      </c>
      <c r="AJ18" s="10" t="s">
        <v>12</v>
      </c>
      <c r="AK18" s="10">
        <f t="shared" si="1"/>
        <v>23</v>
      </c>
      <c r="AL18" s="10">
        <f t="shared" si="0"/>
        <v>3</v>
      </c>
      <c r="AN18" s="150" t="s">
        <v>24</v>
      </c>
      <c r="AO18" s="150">
        <f>AO17-AO12</f>
        <v>219</v>
      </c>
      <c r="AP18" s="150">
        <f>AP17-AP12</f>
        <v>147</v>
      </c>
      <c r="AQ18" s="150">
        <f>AO18+AP18</f>
        <v>366</v>
      </c>
    </row>
    <row r="19" spans="1:43" ht="18" x14ac:dyDescent="0.35">
      <c r="A19" s="10">
        <v>14</v>
      </c>
      <c r="B19" s="149"/>
      <c r="C19" s="10"/>
      <c r="D19" s="10"/>
      <c r="E19" s="15" t="s">
        <v>30</v>
      </c>
      <c r="F19" s="10" t="s">
        <v>12</v>
      </c>
      <c r="G19" s="10" t="s">
        <v>12</v>
      </c>
      <c r="H19" s="10" t="s">
        <v>11</v>
      </c>
      <c r="I19" s="10" t="s">
        <v>11</v>
      </c>
      <c r="J19" s="10" t="s">
        <v>12</v>
      </c>
      <c r="K19" s="239"/>
      <c r="L19" s="10" t="s">
        <v>12</v>
      </c>
      <c r="M19" s="42" t="s">
        <v>11</v>
      </c>
      <c r="N19" s="10" t="s">
        <v>12</v>
      </c>
      <c r="O19" s="10" t="s">
        <v>12</v>
      </c>
      <c r="P19" s="10" t="s">
        <v>12</v>
      </c>
      <c r="Q19" s="10" t="s">
        <v>12</v>
      </c>
      <c r="R19" s="239"/>
      <c r="S19" s="239"/>
      <c r="T19" s="10" t="s">
        <v>11</v>
      </c>
      <c r="U19" s="10" t="s">
        <v>11</v>
      </c>
      <c r="V19" s="10" t="s">
        <v>12</v>
      </c>
      <c r="W19" s="10" t="s">
        <v>12</v>
      </c>
      <c r="X19" s="10" t="s">
        <v>12</v>
      </c>
      <c r="Y19" s="239"/>
      <c r="Z19" s="10" t="s">
        <v>12</v>
      </c>
      <c r="AA19" s="10" t="s">
        <v>12</v>
      </c>
      <c r="AB19" s="53" t="s">
        <v>12</v>
      </c>
      <c r="AC19" s="10" t="s">
        <v>12</v>
      </c>
      <c r="AD19" s="10" t="s">
        <v>12</v>
      </c>
      <c r="AE19" s="10" t="s">
        <v>12</v>
      </c>
      <c r="AF19" s="239"/>
      <c r="AG19" s="10" t="s">
        <v>12</v>
      </c>
      <c r="AH19" s="10" t="s">
        <v>12</v>
      </c>
      <c r="AI19" s="10" t="s">
        <v>12</v>
      </c>
      <c r="AJ19" s="10" t="s">
        <v>12</v>
      </c>
      <c r="AK19" s="10">
        <f t="shared" si="1"/>
        <v>21</v>
      </c>
      <c r="AL19" s="10">
        <f t="shared" si="0"/>
        <v>5</v>
      </c>
      <c r="AN19" s="10" t="s">
        <v>22</v>
      </c>
      <c r="AO19" s="156">
        <f>AO18/AO17</f>
        <v>0.32396449704142011</v>
      </c>
      <c r="AP19" s="156">
        <f>AP18/AP17</f>
        <v>0.40384615384615385</v>
      </c>
      <c r="AQ19" s="156">
        <f>AQ18/AQ17</f>
        <v>0.35192307692307695</v>
      </c>
    </row>
    <row r="20" spans="1:43" ht="18" x14ac:dyDescent="0.35">
      <c r="A20" s="10">
        <v>15</v>
      </c>
      <c r="B20" s="149"/>
      <c r="C20" s="10"/>
      <c r="D20" s="10"/>
      <c r="E20" s="15" t="s">
        <v>30</v>
      </c>
      <c r="F20" s="10" t="s">
        <v>12</v>
      </c>
      <c r="G20" s="10" t="s">
        <v>11</v>
      </c>
      <c r="H20" s="10" t="s">
        <v>12</v>
      </c>
      <c r="I20" s="10" t="s">
        <v>12</v>
      </c>
      <c r="J20" s="10" t="s">
        <v>12</v>
      </c>
      <c r="K20" s="239"/>
      <c r="L20" s="10" t="s">
        <v>12</v>
      </c>
      <c r="M20" s="42" t="s">
        <v>12</v>
      </c>
      <c r="N20" s="10" t="s">
        <v>12</v>
      </c>
      <c r="O20" s="10" t="s">
        <v>12</v>
      </c>
      <c r="P20" s="10" t="s">
        <v>12</v>
      </c>
      <c r="Q20" s="10" t="s">
        <v>12</v>
      </c>
      <c r="R20" s="239"/>
      <c r="S20" s="239"/>
      <c r="T20" s="10" t="s">
        <v>11</v>
      </c>
      <c r="U20" s="10" t="s">
        <v>11</v>
      </c>
      <c r="V20" s="10" t="s">
        <v>11</v>
      </c>
      <c r="W20" s="10" t="s">
        <v>12</v>
      </c>
      <c r="X20" s="10" t="s">
        <v>12</v>
      </c>
      <c r="Y20" s="239"/>
      <c r="Z20" s="10" t="s">
        <v>12</v>
      </c>
      <c r="AA20" s="10" t="s">
        <v>12</v>
      </c>
      <c r="AB20" s="53" t="s">
        <v>11</v>
      </c>
      <c r="AC20" s="10" t="s">
        <v>11</v>
      </c>
      <c r="AD20" s="10" t="s">
        <v>11</v>
      </c>
      <c r="AE20" s="10" t="s">
        <v>11</v>
      </c>
      <c r="AF20" s="239"/>
      <c r="AG20" s="10" t="s">
        <v>12</v>
      </c>
      <c r="AH20" s="10" t="s">
        <v>12</v>
      </c>
      <c r="AI20" s="10" t="s">
        <v>12</v>
      </c>
      <c r="AJ20" s="10" t="s">
        <v>12</v>
      </c>
      <c r="AK20" s="149">
        <f t="shared" si="1"/>
        <v>18</v>
      </c>
      <c r="AL20" s="10">
        <f t="shared" si="0"/>
        <v>8</v>
      </c>
    </row>
    <row r="21" spans="1:43" ht="18" x14ac:dyDescent="0.35">
      <c r="A21" s="10">
        <v>16</v>
      </c>
      <c r="B21" s="149"/>
      <c r="C21" s="10"/>
      <c r="D21" s="10"/>
      <c r="E21" s="15" t="s">
        <v>30</v>
      </c>
      <c r="F21" s="10" t="s">
        <v>12</v>
      </c>
      <c r="G21" s="10" t="s">
        <v>11</v>
      </c>
      <c r="H21" s="10" t="s">
        <v>12</v>
      </c>
      <c r="I21" s="10" t="s">
        <v>12</v>
      </c>
      <c r="J21" s="10" t="s">
        <v>12</v>
      </c>
      <c r="K21" s="239"/>
      <c r="L21" s="10" t="s">
        <v>12</v>
      </c>
      <c r="M21" s="42" t="s">
        <v>12</v>
      </c>
      <c r="N21" s="10" t="s">
        <v>12</v>
      </c>
      <c r="O21" s="10" t="s">
        <v>12</v>
      </c>
      <c r="P21" s="10" t="s">
        <v>12</v>
      </c>
      <c r="Q21" s="10" t="s">
        <v>12</v>
      </c>
      <c r="R21" s="239"/>
      <c r="S21" s="239"/>
      <c r="T21" s="10" t="s">
        <v>11</v>
      </c>
      <c r="U21" s="10" t="s">
        <v>11</v>
      </c>
      <c r="V21" s="10" t="s">
        <v>11</v>
      </c>
      <c r="W21" s="10" t="s">
        <v>12</v>
      </c>
      <c r="X21" s="10" t="s">
        <v>12</v>
      </c>
      <c r="Y21" s="239"/>
      <c r="Z21" s="10" t="s">
        <v>11</v>
      </c>
      <c r="AA21" s="10" t="s">
        <v>12</v>
      </c>
      <c r="AB21" s="53" t="s">
        <v>12</v>
      </c>
      <c r="AC21" s="10" t="s">
        <v>12</v>
      </c>
      <c r="AD21" s="10" t="s">
        <v>12</v>
      </c>
      <c r="AE21" s="10" t="s">
        <v>12</v>
      </c>
      <c r="AF21" s="239"/>
      <c r="AG21" s="10" t="s">
        <v>12</v>
      </c>
      <c r="AH21" s="10" t="s">
        <v>12</v>
      </c>
      <c r="AI21" s="10" t="s">
        <v>12</v>
      </c>
      <c r="AJ21" s="10" t="s">
        <v>12</v>
      </c>
      <c r="AK21" s="149">
        <f t="shared" si="1"/>
        <v>21</v>
      </c>
      <c r="AL21" s="10">
        <f t="shared" si="0"/>
        <v>5</v>
      </c>
    </row>
    <row r="22" spans="1:43" ht="18" x14ac:dyDescent="0.35">
      <c r="A22" s="10">
        <v>17</v>
      </c>
      <c r="B22" s="149"/>
      <c r="C22" s="10"/>
      <c r="D22" s="10"/>
      <c r="E22" s="15" t="s">
        <v>30</v>
      </c>
      <c r="F22" s="10" t="s">
        <v>12</v>
      </c>
      <c r="G22" s="10" t="s">
        <v>12</v>
      </c>
      <c r="H22" s="10" t="s">
        <v>12</v>
      </c>
      <c r="I22" s="10" t="s">
        <v>11</v>
      </c>
      <c r="J22" s="10" t="s">
        <v>12</v>
      </c>
      <c r="K22" s="239"/>
      <c r="L22" s="10" t="s">
        <v>12</v>
      </c>
      <c r="M22" s="42" t="s">
        <v>11</v>
      </c>
      <c r="N22" s="10" t="s">
        <v>11</v>
      </c>
      <c r="O22" s="10" t="s">
        <v>12</v>
      </c>
      <c r="P22" s="10" t="s">
        <v>12</v>
      </c>
      <c r="Q22" s="10" t="s">
        <v>12</v>
      </c>
      <c r="R22" s="239"/>
      <c r="S22" s="239"/>
      <c r="T22" s="10" t="s">
        <v>12</v>
      </c>
      <c r="U22" s="10" t="s">
        <v>12</v>
      </c>
      <c r="V22" s="10" t="s">
        <v>12</v>
      </c>
      <c r="W22" s="10" t="s">
        <v>12</v>
      </c>
      <c r="X22" s="10" t="s">
        <v>12</v>
      </c>
      <c r="Y22" s="239"/>
      <c r="Z22" s="10" t="s">
        <v>12</v>
      </c>
      <c r="AA22" s="10" t="s">
        <v>12</v>
      </c>
      <c r="AB22" s="53" t="s">
        <v>12</v>
      </c>
      <c r="AC22" s="10" t="s">
        <v>12</v>
      </c>
      <c r="AD22" s="10" t="s">
        <v>12</v>
      </c>
      <c r="AE22" s="10" t="s">
        <v>11</v>
      </c>
      <c r="AF22" s="239"/>
      <c r="AG22" s="10" t="s">
        <v>12</v>
      </c>
      <c r="AH22" s="10" t="s">
        <v>12</v>
      </c>
      <c r="AI22" s="10" t="s">
        <v>11</v>
      </c>
      <c r="AJ22" s="10" t="s">
        <v>12</v>
      </c>
      <c r="AK22" s="10">
        <f t="shared" si="1"/>
        <v>21</v>
      </c>
      <c r="AL22" s="10">
        <f t="shared" si="0"/>
        <v>5</v>
      </c>
    </row>
    <row r="23" spans="1:43" ht="18" x14ac:dyDescent="0.35">
      <c r="A23" s="10">
        <v>18</v>
      </c>
      <c r="B23" s="149"/>
      <c r="C23" s="10"/>
      <c r="D23" s="10"/>
      <c r="E23" s="15" t="s">
        <v>30</v>
      </c>
      <c r="F23" s="10" t="s">
        <v>12</v>
      </c>
      <c r="G23" s="10" t="s">
        <v>11</v>
      </c>
      <c r="H23" s="10" t="s">
        <v>12</v>
      </c>
      <c r="I23" s="10" t="s">
        <v>12</v>
      </c>
      <c r="J23" s="10" t="s">
        <v>12</v>
      </c>
      <c r="K23" s="239"/>
      <c r="L23" s="10" t="s">
        <v>12</v>
      </c>
      <c r="M23" s="42" t="s">
        <v>12</v>
      </c>
      <c r="N23" s="10" t="s">
        <v>12</v>
      </c>
      <c r="O23" s="10" t="s">
        <v>11</v>
      </c>
      <c r="P23" s="10" t="s">
        <v>11</v>
      </c>
      <c r="Q23" s="10" t="s">
        <v>11</v>
      </c>
      <c r="R23" s="239"/>
      <c r="S23" s="239"/>
      <c r="T23" s="10" t="s">
        <v>11</v>
      </c>
      <c r="U23" s="10" t="s">
        <v>11</v>
      </c>
      <c r="V23" s="10" t="s">
        <v>12</v>
      </c>
      <c r="W23" s="10" t="s">
        <v>12</v>
      </c>
      <c r="X23" s="10" t="s">
        <v>12</v>
      </c>
      <c r="Y23" s="239"/>
      <c r="Z23" s="10" t="s">
        <v>12</v>
      </c>
      <c r="AA23" s="10" t="s">
        <v>12</v>
      </c>
      <c r="AB23" s="53" t="s">
        <v>12</v>
      </c>
      <c r="AC23" s="10" t="s">
        <v>12</v>
      </c>
      <c r="AD23" s="10" t="s">
        <v>12</v>
      </c>
      <c r="AE23" s="10" t="s">
        <v>12</v>
      </c>
      <c r="AF23" s="239"/>
      <c r="AG23" s="10" t="s">
        <v>12</v>
      </c>
      <c r="AH23" s="10" t="s">
        <v>12</v>
      </c>
      <c r="AI23" s="10" t="s">
        <v>12</v>
      </c>
      <c r="AJ23" s="10" t="s">
        <v>12</v>
      </c>
      <c r="AK23" s="10">
        <f t="shared" si="1"/>
        <v>20</v>
      </c>
      <c r="AL23" s="10">
        <f t="shared" si="0"/>
        <v>6</v>
      </c>
    </row>
    <row r="24" spans="1:43" ht="18" x14ac:dyDescent="0.35">
      <c r="A24" s="10">
        <v>19</v>
      </c>
      <c r="B24" s="149"/>
      <c r="C24" s="10"/>
      <c r="D24" s="10"/>
      <c r="E24" s="15" t="s">
        <v>30</v>
      </c>
      <c r="F24" s="10" t="s">
        <v>12</v>
      </c>
      <c r="G24" s="10" t="s">
        <v>12</v>
      </c>
      <c r="H24" s="10" t="s">
        <v>12</v>
      </c>
      <c r="I24" s="10" t="s">
        <v>11</v>
      </c>
      <c r="J24" s="10" t="s">
        <v>12</v>
      </c>
      <c r="K24" s="239"/>
      <c r="L24" s="10" t="s">
        <v>12</v>
      </c>
      <c r="M24" s="42" t="s">
        <v>12</v>
      </c>
      <c r="N24" s="10" t="s">
        <v>12</v>
      </c>
      <c r="O24" s="10" t="s">
        <v>12</v>
      </c>
      <c r="P24" s="10" t="s">
        <v>11</v>
      </c>
      <c r="Q24" s="10" t="s">
        <v>12</v>
      </c>
      <c r="R24" s="239"/>
      <c r="S24" s="239"/>
      <c r="T24" s="10" t="s">
        <v>12</v>
      </c>
      <c r="U24" s="10" t="s">
        <v>12</v>
      </c>
      <c r="V24" s="10" t="s">
        <v>12</v>
      </c>
      <c r="W24" s="10" t="s">
        <v>11</v>
      </c>
      <c r="X24" s="10" t="s">
        <v>12</v>
      </c>
      <c r="Y24" s="239"/>
      <c r="Z24" s="10" t="s">
        <v>12</v>
      </c>
      <c r="AA24" s="10" t="s">
        <v>12</v>
      </c>
      <c r="AB24" s="53" t="s">
        <v>11</v>
      </c>
      <c r="AC24" s="10" t="s">
        <v>12</v>
      </c>
      <c r="AD24" s="10" t="s">
        <v>12</v>
      </c>
      <c r="AE24" s="10" t="s">
        <v>12</v>
      </c>
      <c r="AF24" s="239"/>
      <c r="AG24" s="10" t="s">
        <v>11</v>
      </c>
      <c r="AH24" s="10" t="s">
        <v>12</v>
      </c>
      <c r="AI24" s="10" t="s">
        <v>12</v>
      </c>
      <c r="AJ24" s="10" t="s">
        <v>12</v>
      </c>
      <c r="AK24" s="10">
        <f t="shared" si="1"/>
        <v>21</v>
      </c>
      <c r="AL24" s="10">
        <f t="shared" si="0"/>
        <v>5</v>
      </c>
    </row>
    <row r="25" spans="1:43" ht="18" x14ac:dyDescent="0.35">
      <c r="A25" s="10">
        <v>20</v>
      </c>
      <c r="B25" s="149"/>
      <c r="C25" s="10"/>
      <c r="D25" s="10"/>
      <c r="E25" s="15" t="s">
        <v>30</v>
      </c>
      <c r="F25" s="10" t="s">
        <v>11</v>
      </c>
      <c r="G25" s="10" t="s">
        <v>11</v>
      </c>
      <c r="H25" s="10" t="s">
        <v>12</v>
      </c>
      <c r="I25" s="10" t="s">
        <v>12</v>
      </c>
      <c r="J25" s="10" t="s">
        <v>12</v>
      </c>
      <c r="K25" s="239"/>
      <c r="L25" s="10" t="s">
        <v>12</v>
      </c>
      <c r="M25" s="42" t="s">
        <v>12</v>
      </c>
      <c r="N25" s="10" t="s">
        <v>12</v>
      </c>
      <c r="O25" s="10" t="s">
        <v>11</v>
      </c>
      <c r="P25" s="10" t="s">
        <v>11</v>
      </c>
      <c r="Q25" s="10" t="s">
        <v>12</v>
      </c>
      <c r="R25" s="239"/>
      <c r="S25" s="239"/>
      <c r="T25" s="10" t="s">
        <v>12</v>
      </c>
      <c r="U25" s="10" t="s">
        <v>12</v>
      </c>
      <c r="V25" s="10" t="s">
        <v>11</v>
      </c>
      <c r="W25" s="10" t="s">
        <v>12</v>
      </c>
      <c r="X25" s="10" t="s">
        <v>12</v>
      </c>
      <c r="Y25" s="239"/>
      <c r="Z25" s="10" t="s">
        <v>11</v>
      </c>
      <c r="AA25" s="10" t="s">
        <v>12</v>
      </c>
      <c r="AB25" s="53" t="s">
        <v>12</v>
      </c>
      <c r="AC25" s="10" t="s">
        <v>11</v>
      </c>
      <c r="AD25" s="10" t="s">
        <v>12</v>
      </c>
      <c r="AE25" s="10" t="s">
        <v>12</v>
      </c>
      <c r="AF25" s="239"/>
      <c r="AG25" s="10" t="s">
        <v>12</v>
      </c>
      <c r="AH25" s="10" t="s">
        <v>12</v>
      </c>
      <c r="AI25" s="10" t="s">
        <v>12</v>
      </c>
      <c r="AJ25" s="10" t="s">
        <v>12</v>
      </c>
      <c r="AK25" s="149">
        <f t="shared" si="1"/>
        <v>19</v>
      </c>
      <c r="AL25" s="10">
        <f t="shared" si="0"/>
        <v>7</v>
      </c>
    </row>
    <row r="26" spans="1:43" ht="18" x14ac:dyDescent="0.35">
      <c r="A26" s="10">
        <v>21</v>
      </c>
      <c r="B26" s="149"/>
      <c r="C26" s="10"/>
      <c r="D26" s="10"/>
      <c r="E26" s="15" t="s">
        <v>30</v>
      </c>
      <c r="F26" s="10" t="s">
        <v>12</v>
      </c>
      <c r="G26" s="10" t="s">
        <v>12</v>
      </c>
      <c r="H26" s="10" t="s">
        <v>11</v>
      </c>
      <c r="I26" s="10" t="s">
        <v>12</v>
      </c>
      <c r="J26" s="10" t="s">
        <v>12</v>
      </c>
      <c r="K26" s="239"/>
      <c r="L26" s="10" t="s">
        <v>12</v>
      </c>
      <c r="M26" s="42" t="s">
        <v>12</v>
      </c>
      <c r="N26" s="10" t="s">
        <v>12</v>
      </c>
      <c r="O26" s="10" t="s">
        <v>11</v>
      </c>
      <c r="P26" s="10" t="s">
        <v>12</v>
      </c>
      <c r="Q26" s="10" t="s">
        <v>12</v>
      </c>
      <c r="R26" s="239"/>
      <c r="S26" s="239"/>
      <c r="T26" s="10" t="s">
        <v>11</v>
      </c>
      <c r="U26" s="10" t="s">
        <v>11</v>
      </c>
      <c r="V26" s="10" t="s">
        <v>12</v>
      </c>
      <c r="W26" s="10" t="s">
        <v>12</v>
      </c>
      <c r="X26" s="10" t="s">
        <v>12</v>
      </c>
      <c r="Y26" s="239"/>
      <c r="Z26" s="10" t="s">
        <v>12</v>
      </c>
      <c r="AA26" s="10" t="s">
        <v>11</v>
      </c>
      <c r="AB26" s="53" t="s">
        <v>12</v>
      </c>
      <c r="AC26" s="10" t="s">
        <v>12</v>
      </c>
      <c r="AD26" s="10" t="s">
        <v>12</v>
      </c>
      <c r="AE26" s="10" t="s">
        <v>11</v>
      </c>
      <c r="AF26" s="239"/>
      <c r="AG26" s="10" t="s">
        <v>12</v>
      </c>
      <c r="AH26" s="10" t="s">
        <v>12</v>
      </c>
      <c r="AI26" s="10" t="s">
        <v>12</v>
      </c>
      <c r="AJ26" s="10" t="s">
        <v>12</v>
      </c>
      <c r="AK26" s="10">
        <f t="shared" si="1"/>
        <v>20</v>
      </c>
      <c r="AL26" s="10">
        <f t="shared" si="0"/>
        <v>6</v>
      </c>
    </row>
    <row r="27" spans="1:43" ht="18" x14ac:dyDescent="0.35">
      <c r="A27" s="10">
        <v>22</v>
      </c>
      <c r="B27" s="149"/>
      <c r="C27" s="10"/>
      <c r="D27" s="10"/>
      <c r="E27" s="15" t="s">
        <v>30</v>
      </c>
      <c r="F27" s="10" t="s">
        <v>12</v>
      </c>
      <c r="G27" s="10" t="s">
        <v>11</v>
      </c>
      <c r="H27" s="10" t="s">
        <v>12</v>
      </c>
      <c r="I27" s="10" t="s">
        <v>12</v>
      </c>
      <c r="J27" s="10" t="s">
        <v>12</v>
      </c>
      <c r="K27" s="239"/>
      <c r="L27" s="10" t="s">
        <v>12</v>
      </c>
      <c r="M27" s="42" t="s">
        <v>12</v>
      </c>
      <c r="N27" s="10" t="s">
        <v>12</v>
      </c>
      <c r="O27" s="10" t="s">
        <v>12</v>
      </c>
      <c r="P27" s="10" t="s">
        <v>12</v>
      </c>
      <c r="Q27" s="10" t="s">
        <v>12</v>
      </c>
      <c r="R27" s="239"/>
      <c r="S27" s="239"/>
      <c r="T27" s="10" t="s">
        <v>11</v>
      </c>
      <c r="U27" s="10" t="s">
        <v>11</v>
      </c>
      <c r="V27" s="10" t="s">
        <v>12</v>
      </c>
      <c r="W27" s="10" t="s">
        <v>11</v>
      </c>
      <c r="X27" s="10" t="s">
        <v>12</v>
      </c>
      <c r="Y27" s="239"/>
      <c r="Z27" s="10" t="s">
        <v>12</v>
      </c>
      <c r="AA27" s="10" t="s">
        <v>12</v>
      </c>
      <c r="AB27" s="53" t="s">
        <v>12</v>
      </c>
      <c r="AC27" s="10" t="s">
        <v>12</v>
      </c>
      <c r="AD27" s="10" t="s">
        <v>12</v>
      </c>
      <c r="AE27" s="10" t="s">
        <v>12</v>
      </c>
      <c r="AF27" s="239"/>
      <c r="AG27" s="10" t="s">
        <v>12</v>
      </c>
      <c r="AH27" s="10" t="s">
        <v>12</v>
      </c>
      <c r="AI27" s="10" t="s">
        <v>12</v>
      </c>
      <c r="AJ27" s="10" t="s">
        <v>12</v>
      </c>
      <c r="AK27" s="149">
        <f t="shared" si="1"/>
        <v>22</v>
      </c>
      <c r="AL27" s="10">
        <f t="shared" si="0"/>
        <v>4</v>
      </c>
    </row>
    <row r="28" spans="1:43" ht="18" x14ac:dyDescent="0.35">
      <c r="A28" s="10">
        <v>23</v>
      </c>
      <c r="B28" s="149"/>
      <c r="C28" s="10"/>
      <c r="D28" s="10"/>
      <c r="E28" s="15" t="s">
        <v>30</v>
      </c>
      <c r="F28" s="10" t="s">
        <v>11</v>
      </c>
      <c r="G28" s="10" t="s">
        <v>12</v>
      </c>
      <c r="H28" s="10" t="s">
        <v>12</v>
      </c>
      <c r="I28" s="10" t="s">
        <v>11</v>
      </c>
      <c r="J28" s="10" t="s">
        <v>11</v>
      </c>
      <c r="K28" s="239"/>
      <c r="L28" s="10" t="s">
        <v>12</v>
      </c>
      <c r="M28" s="42" t="s">
        <v>12</v>
      </c>
      <c r="N28" s="10" t="s">
        <v>12</v>
      </c>
      <c r="O28" s="10" t="s">
        <v>11</v>
      </c>
      <c r="P28" s="10" t="s">
        <v>12</v>
      </c>
      <c r="Q28" s="10" t="s">
        <v>11</v>
      </c>
      <c r="R28" s="239"/>
      <c r="S28" s="239"/>
      <c r="T28" s="10" t="s">
        <v>11</v>
      </c>
      <c r="U28" s="10" t="s">
        <v>11</v>
      </c>
      <c r="V28" s="10" t="s">
        <v>12</v>
      </c>
      <c r="W28" s="10" t="s">
        <v>11</v>
      </c>
      <c r="X28" s="10" t="s">
        <v>11</v>
      </c>
      <c r="Y28" s="239"/>
      <c r="Z28" s="10" t="s">
        <v>12</v>
      </c>
      <c r="AA28" s="10" t="s">
        <v>12</v>
      </c>
      <c r="AB28" s="53" t="s">
        <v>11</v>
      </c>
      <c r="AC28" s="10" t="s">
        <v>11</v>
      </c>
      <c r="AD28" s="10" t="s">
        <v>11</v>
      </c>
      <c r="AE28" s="10" t="s">
        <v>12</v>
      </c>
      <c r="AF28" s="239"/>
      <c r="AG28" s="10" t="s">
        <v>12</v>
      </c>
      <c r="AH28" s="10" t="s">
        <v>12</v>
      </c>
      <c r="AI28" s="10" t="s">
        <v>12</v>
      </c>
      <c r="AJ28" s="10" t="s">
        <v>12</v>
      </c>
      <c r="AK28" s="10">
        <f t="shared" si="1"/>
        <v>14</v>
      </c>
      <c r="AL28" s="10">
        <f t="shared" si="0"/>
        <v>12</v>
      </c>
    </row>
    <row r="29" spans="1:43" ht="18" x14ac:dyDescent="0.35">
      <c r="A29" s="10">
        <v>24</v>
      </c>
      <c r="B29" s="149"/>
      <c r="C29" s="10"/>
      <c r="D29" s="10"/>
      <c r="E29" s="15" t="s">
        <v>30</v>
      </c>
      <c r="F29" s="10" t="s">
        <v>12</v>
      </c>
      <c r="G29" s="10" t="s">
        <v>12</v>
      </c>
      <c r="H29" s="10" t="s">
        <v>12</v>
      </c>
      <c r="I29" s="10" t="s">
        <v>12</v>
      </c>
      <c r="J29" s="10" t="s">
        <v>12</v>
      </c>
      <c r="K29" s="239"/>
      <c r="L29" s="10" t="s">
        <v>11</v>
      </c>
      <c r="M29" s="42" t="s">
        <v>12</v>
      </c>
      <c r="N29" s="10" t="s">
        <v>12</v>
      </c>
      <c r="O29" s="10" t="s">
        <v>12</v>
      </c>
      <c r="P29" s="10" t="s">
        <v>11</v>
      </c>
      <c r="Q29" s="10" t="s">
        <v>11</v>
      </c>
      <c r="R29" s="239"/>
      <c r="S29" s="239"/>
      <c r="T29" s="10" t="s">
        <v>11</v>
      </c>
      <c r="U29" s="10" t="s">
        <v>12</v>
      </c>
      <c r="V29" s="10" t="s">
        <v>12</v>
      </c>
      <c r="W29" s="10" t="s">
        <v>12</v>
      </c>
      <c r="X29" s="10" t="s">
        <v>12</v>
      </c>
      <c r="Y29" s="239"/>
      <c r="Z29" s="10" t="s">
        <v>12</v>
      </c>
      <c r="AA29" s="10" t="s">
        <v>12</v>
      </c>
      <c r="AB29" s="53" t="s">
        <v>11</v>
      </c>
      <c r="AC29" s="10" t="s">
        <v>12</v>
      </c>
      <c r="AD29" s="10" t="s">
        <v>12</v>
      </c>
      <c r="AE29" s="10" t="s">
        <v>12</v>
      </c>
      <c r="AF29" s="239"/>
      <c r="AG29" s="10" t="s">
        <v>11</v>
      </c>
      <c r="AH29" s="10" t="s">
        <v>11</v>
      </c>
      <c r="AI29" s="10" t="s">
        <v>11</v>
      </c>
      <c r="AJ29" s="10" t="s">
        <v>12</v>
      </c>
      <c r="AK29" s="10">
        <f t="shared" si="1"/>
        <v>18</v>
      </c>
      <c r="AL29" s="10">
        <f t="shared" si="0"/>
        <v>8</v>
      </c>
    </row>
    <row r="30" spans="1:43" ht="18" x14ac:dyDescent="0.35">
      <c r="A30" s="10">
        <v>25</v>
      </c>
      <c r="B30" s="149"/>
      <c r="C30" s="10"/>
      <c r="D30" s="10"/>
      <c r="E30" s="15" t="s">
        <v>30</v>
      </c>
      <c r="F30" s="10" t="s">
        <v>11</v>
      </c>
      <c r="G30" s="10" t="s">
        <v>12</v>
      </c>
      <c r="H30" s="10" t="s">
        <v>12</v>
      </c>
      <c r="I30" s="10" t="s">
        <v>12</v>
      </c>
      <c r="J30" s="10" t="s">
        <v>12</v>
      </c>
      <c r="K30" s="239"/>
      <c r="L30" s="10" t="s">
        <v>11</v>
      </c>
      <c r="M30" s="42" t="s">
        <v>11</v>
      </c>
      <c r="N30" s="10" t="s">
        <v>11</v>
      </c>
      <c r="O30" s="10" t="s">
        <v>11</v>
      </c>
      <c r="P30" s="10" t="s">
        <v>11</v>
      </c>
      <c r="Q30" s="10" t="s">
        <v>11</v>
      </c>
      <c r="R30" s="239"/>
      <c r="S30" s="239"/>
      <c r="T30" s="10" t="s">
        <v>12</v>
      </c>
      <c r="U30" s="10" t="s">
        <v>12</v>
      </c>
      <c r="V30" s="10" t="s">
        <v>11</v>
      </c>
      <c r="W30" s="10" t="s">
        <v>11</v>
      </c>
      <c r="X30" s="10" t="s">
        <v>11</v>
      </c>
      <c r="Y30" s="239"/>
      <c r="Z30" s="10" t="s">
        <v>11</v>
      </c>
      <c r="AA30" s="10" t="s">
        <v>11</v>
      </c>
      <c r="AB30" s="53" t="s">
        <v>12</v>
      </c>
      <c r="AC30" s="10" t="s">
        <v>12</v>
      </c>
      <c r="AD30" s="10" t="s">
        <v>12</v>
      </c>
      <c r="AE30" s="10" t="s">
        <v>12</v>
      </c>
      <c r="AF30" s="239"/>
      <c r="AG30" s="10" t="s">
        <v>12</v>
      </c>
      <c r="AH30" s="10" t="s">
        <v>12</v>
      </c>
      <c r="AI30" s="10" t="s">
        <v>12</v>
      </c>
      <c r="AJ30" s="10" t="s">
        <v>12</v>
      </c>
      <c r="AK30" s="149">
        <f t="shared" si="1"/>
        <v>14</v>
      </c>
      <c r="AL30" s="10">
        <f t="shared" si="0"/>
        <v>12</v>
      </c>
    </row>
    <row r="31" spans="1:43" ht="18" x14ac:dyDescent="0.35">
      <c r="A31" s="10">
        <v>26</v>
      </c>
      <c r="B31" s="149"/>
      <c r="C31" s="10"/>
      <c r="D31" s="10"/>
      <c r="E31" s="15" t="s">
        <v>30</v>
      </c>
      <c r="F31" s="10" t="s">
        <v>11</v>
      </c>
      <c r="G31" s="10" t="s">
        <v>11</v>
      </c>
      <c r="H31" s="10" t="s">
        <v>11</v>
      </c>
      <c r="I31" s="10" t="s">
        <v>11</v>
      </c>
      <c r="J31" s="10" t="s">
        <v>11</v>
      </c>
      <c r="K31" s="239"/>
      <c r="L31" s="10" t="s">
        <v>11</v>
      </c>
      <c r="M31" s="42" t="s">
        <v>11</v>
      </c>
      <c r="N31" s="10" t="s">
        <v>11</v>
      </c>
      <c r="O31" s="10" t="s">
        <v>12</v>
      </c>
      <c r="P31" s="10" t="s">
        <v>12</v>
      </c>
      <c r="Q31" s="10" t="s">
        <v>12</v>
      </c>
      <c r="R31" s="239"/>
      <c r="S31" s="239"/>
      <c r="T31" s="10" t="s">
        <v>11</v>
      </c>
      <c r="U31" s="10" t="s">
        <v>11</v>
      </c>
      <c r="V31" s="10" t="s">
        <v>11</v>
      </c>
      <c r="W31" s="10" t="s">
        <v>11</v>
      </c>
      <c r="X31" s="10" t="s">
        <v>11</v>
      </c>
      <c r="Y31" s="239"/>
      <c r="Z31" s="10" t="s">
        <v>11</v>
      </c>
      <c r="AA31" s="10" t="s">
        <v>12</v>
      </c>
      <c r="AB31" s="53" t="s">
        <v>12</v>
      </c>
      <c r="AC31" s="10" t="s">
        <v>12</v>
      </c>
      <c r="AD31" s="10" t="s">
        <v>11</v>
      </c>
      <c r="AE31" s="10" t="s">
        <v>11</v>
      </c>
      <c r="AF31" s="239"/>
      <c r="AG31" s="10" t="s">
        <v>12</v>
      </c>
      <c r="AH31" s="10" t="s">
        <v>12</v>
      </c>
      <c r="AI31" s="10" t="s">
        <v>12</v>
      </c>
      <c r="AJ31" s="10" t="s">
        <v>12</v>
      </c>
      <c r="AK31" s="149">
        <f t="shared" si="1"/>
        <v>10</v>
      </c>
      <c r="AL31" s="10">
        <f t="shared" si="0"/>
        <v>16</v>
      </c>
    </row>
    <row r="32" spans="1:43" ht="18" x14ac:dyDescent="0.35">
      <c r="A32" s="10">
        <v>27</v>
      </c>
      <c r="B32" s="149"/>
      <c r="C32" s="10"/>
      <c r="D32" s="10"/>
      <c r="E32" s="15" t="s">
        <v>30</v>
      </c>
      <c r="F32" s="10" t="s">
        <v>11</v>
      </c>
      <c r="G32" s="10" t="s">
        <v>12</v>
      </c>
      <c r="H32" s="10" t="s">
        <v>12</v>
      </c>
      <c r="I32" s="10" t="s">
        <v>12</v>
      </c>
      <c r="J32" s="10" t="s">
        <v>12</v>
      </c>
      <c r="K32" s="239"/>
      <c r="L32" s="10" t="s">
        <v>11</v>
      </c>
      <c r="M32" s="42" t="s">
        <v>12</v>
      </c>
      <c r="N32" s="10" t="s">
        <v>12</v>
      </c>
      <c r="O32" s="10" t="s">
        <v>11</v>
      </c>
      <c r="P32" s="10" t="s">
        <v>11</v>
      </c>
      <c r="Q32" s="10" t="s">
        <v>11</v>
      </c>
      <c r="R32" s="239"/>
      <c r="S32" s="239"/>
      <c r="T32" s="10" t="s">
        <v>11</v>
      </c>
      <c r="U32" s="10" t="s">
        <v>11</v>
      </c>
      <c r="V32" s="10" t="s">
        <v>11</v>
      </c>
      <c r="W32" s="10" t="s">
        <v>12</v>
      </c>
      <c r="X32" s="10" t="s">
        <v>12</v>
      </c>
      <c r="Y32" s="239"/>
      <c r="Z32" s="10" t="s">
        <v>11</v>
      </c>
      <c r="AA32" s="10" t="s">
        <v>12</v>
      </c>
      <c r="AB32" s="53" t="s">
        <v>12</v>
      </c>
      <c r="AC32" s="10" t="s">
        <v>12</v>
      </c>
      <c r="AD32" s="10" t="s">
        <v>12</v>
      </c>
      <c r="AE32" s="10" t="s">
        <v>12</v>
      </c>
      <c r="AF32" s="239"/>
      <c r="AG32" s="10" t="s">
        <v>12</v>
      </c>
      <c r="AH32" s="10" t="s">
        <v>12</v>
      </c>
      <c r="AI32" s="10" t="s">
        <v>12</v>
      </c>
      <c r="AJ32" s="10" t="s">
        <v>12</v>
      </c>
      <c r="AK32" s="149">
        <f t="shared" si="1"/>
        <v>17</v>
      </c>
      <c r="AL32" s="10">
        <f t="shared" si="0"/>
        <v>9</v>
      </c>
    </row>
    <row r="33" spans="1:38" ht="18" x14ac:dyDescent="0.35">
      <c r="A33" s="10">
        <v>28</v>
      </c>
      <c r="B33" s="149"/>
      <c r="C33" s="10"/>
      <c r="D33" s="10"/>
      <c r="E33" s="15" t="s">
        <v>30</v>
      </c>
      <c r="F33" s="10" t="s">
        <v>11</v>
      </c>
      <c r="G33" s="10" t="s">
        <v>12</v>
      </c>
      <c r="H33" s="10" t="s">
        <v>12</v>
      </c>
      <c r="I33" s="10" t="s">
        <v>12</v>
      </c>
      <c r="J33" s="10" t="s">
        <v>12</v>
      </c>
      <c r="K33" s="239"/>
      <c r="L33" s="10" t="s">
        <v>11</v>
      </c>
      <c r="M33" s="42" t="s">
        <v>12</v>
      </c>
      <c r="N33" s="10" t="s">
        <v>12</v>
      </c>
      <c r="O33" s="10" t="s">
        <v>11</v>
      </c>
      <c r="P33" s="10" t="s">
        <v>12</v>
      </c>
      <c r="Q33" s="10" t="s">
        <v>11</v>
      </c>
      <c r="R33" s="239"/>
      <c r="S33" s="239"/>
      <c r="T33" s="10" t="s">
        <v>11</v>
      </c>
      <c r="U33" s="10" t="s">
        <v>11</v>
      </c>
      <c r="V33" s="10" t="s">
        <v>11</v>
      </c>
      <c r="W33" s="10" t="s">
        <v>11</v>
      </c>
      <c r="X33" s="10" t="s">
        <v>12</v>
      </c>
      <c r="Y33" s="239"/>
      <c r="Z33" s="10" t="s">
        <v>12</v>
      </c>
      <c r="AA33" s="10" t="s">
        <v>12</v>
      </c>
      <c r="AB33" s="53" t="s">
        <v>11</v>
      </c>
      <c r="AC33" s="10" t="s">
        <v>12</v>
      </c>
      <c r="AD33" s="10" t="s">
        <v>12</v>
      </c>
      <c r="AE33" s="10" t="s">
        <v>11</v>
      </c>
      <c r="AF33" s="239"/>
      <c r="AG33" s="10" t="s">
        <v>12</v>
      </c>
      <c r="AH33" s="10" t="s">
        <v>12</v>
      </c>
      <c r="AI33" s="10" t="s">
        <v>12</v>
      </c>
      <c r="AJ33" s="10" t="s">
        <v>12</v>
      </c>
      <c r="AK33" s="10">
        <f t="shared" si="1"/>
        <v>16</v>
      </c>
      <c r="AL33" s="10">
        <f t="shared" si="0"/>
        <v>10</v>
      </c>
    </row>
    <row r="34" spans="1:38" ht="18" x14ac:dyDescent="0.35">
      <c r="A34" s="10">
        <v>29</v>
      </c>
      <c r="B34" s="149"/>
      <c r="C34" s="10"/>
      <c r="D34" s="10"/>
      <c r="E34" s="15" t="s">
        <v>30</v>
      </c>
      <c r="F34" s="10" t="s">
        <v>11</v>
      </c>
      <c r="G34" s="10" t="s">
        <v>12</v>
      </c>
      <c r="H34" s="10" t="s">
        <v>12</v>
      </c>
      <c r="I34" s="10" t="s">
        <v>12</v>
      </c>
      <c r="J34" s="10" t="s">
        <v>11</v>
      </c>
      <c r="K34" s="239"/>
      <c r="L34" s="10" t="s">
        <v>11</v>
      </c>
      <c r="M34" s="42" t="s">
        <v>12</v>
      </c>
      <c r="N34" s="10" t="s">
        <v>12</v>
      </c>
      <c r="O34" s="10" t="s">
        <v>12</v>
      </c>
      <c r="P34" s="10" t="s">
        <v>11</v>
      </c>
      <c r="Q34" s="10" t="s">
        <v>11</v>
      </c>
      <c r="R34" s="239"/>
      <c r="S34" s="239"/>
      <c r="T34" s="10" t="s">
        <v>11</v>
      </c>
      <c r="U34" s="10" t="s">
        <v>11</v>
      </c>
      <c r="V34" s="10" t="s">
        <v>11</v>
      </c>
      <c r="W34" s="10" t="s">
        <v>11</v>
      </c>
      <c r="X34" s="10" t="s">
        <v>11</v>
      </c>
      <c r="Y34" s="239"/>
      <c r="Z34" s="10" t="s">
        <v>12</v>
      </c>
      <c r="AA34" s="10" t="s">
        <v>12</v>
      </c>
      <c r="AB34" s="53" t="s">
        <v>12</v>
      </c>
      <c r="AC34" s="10" t="s">
        <v>12</v>
      </c>
      <c r="AD34" s="10" t="s">
        <v>12</v>
      </c>
      <c r="AE34" s="10" t="s">
        <v>12</v>
      </c>
      <c r="AF34" s="239"/>
      <c r="AG34" s="10" t="s">
        <v>12</v>
      </c>
      <c r="AH34" s="10" t="s">
        <v>12</v>
      </c>
      <c r="AI34" s="10" t="s">
        <v>12</v>
      </c>
      <c r="AJ34" s="10" t="s">
        <v>12</v>
      </c>
      <c r="AK34" s="10">
        <f t="shared" si="1"/>
        <v>16</v>
      </c>
      <c r="AL34" s="10">
        <f t="shared" si="0"/>
        <v>10</v>
      </c>
    </row>
    <row r="35" spans="1:38" ht="18" x14ac:dyDescent="0.35">
      <c r="A35" s="10">
        <v>30</v>
      </c>
      <c r="B35" s="149"/>
      <c r="C35" s="10"/>
      <c r="D35" s="10"/>
      <c r="E35" s="15" t="s">
        <v>30</v>
      </c>
      <c r="F35" s="10" t="s">
        <v>11</v>
      </c>
      <c r="G35" s="10" t="s">
        <v>12</v>
      </c>
      <c r="H35" s="10" t="s">
        <v>12</v>
      </c>
      <c r="I35" s="10" t="s">
        <v>12</v>
      </c>
      <c r="J35" s="10" t="s">
        <v>12</v>
      </c>
      <c r="K35" s="239"/>
      <c r="L35" s="10" t="s">
        <v>11</v>
      </c>
      <c r="M35" s="42" t="s">
        <v>12</v>
      </c>
      <c r="N35" s="10" t="s">
        <v>12</v>
      </c>
      <c r="O35" s="10" t="s">
        <v>12</v>
      </c>
      <c r="P35" s="10" t="s">
        <v>12</v>
      </c>
      <c r="Q35" s="10" t="s">
        <v>12</v>
      </c>
      <c r="R35" s="239"/>
      <c r="S35" s="239"/>
      <c r="T35" s="10" t="s">
        <v>11</v>
      </c>
      <c r="U35" s="10" t="s">
        <v>12</v>
      </c>
      <c r="V35" s="10" t="s">
        <v>12</v>
      </c>
      <c r="W35" s="10" t="s">
        <v>12</v>
      </c>
      <c r="X35" s="10" t="s">
        <v>11</v>
      </c>
      <c r="Y35" s="239"/>
      <c r="Z35" s="10" t="s">
        <v>12</v>
      </c>
      <c r="AA35" s="10" t="s">
        <v>12</v>
      </c>
      <c r="AB35" s="53" t="s">
        <v>11</v>
      </c>
      <c r="AC35" s="10" t="s">
        <v>12</v>
      </c>
      <c r="AD35" s="10" t="s">
        <v>12</v>
      </c>
      <c r="AE35" s="10" t="s">
        <v>12</v>
      </c>
      <c r="AF35" s="239"/>
      <c r="AG35" s="10" t="s">
        <v>12</v>
      </c>
      <c r="AH35" s="10" t="s">
        <v>12</v>
      </c>
      <c r="AI35" s="10" t="s">
        <v>12</v>
      </c>
      <c r="AJ35" s="10" t="s">
        <v>12</v>
      </c>
      <c r="AK35" s="10">
        <f t="shared" si="1"/>
        <v>21</v>
      </c>
      <c r="AL35" s="10">
        <f t="shared" si="0"/>
        <v>5</v>
      </c>
    </row>
    <row r="36" spans="1:38" ht="18" x14ac:dyDescent="0.35">
      <c r="A36" s="10">
        <v>31</v>
      </c>
      <c r="B36" s="149"/>
      <c r="C36" s="10"/>
      <c r="D36" s="10"/>
      <c r="E36" s="15" t="s">
        <v>30</v>
      </c>
      <c r="F36" s="10" t="s">
        <v>11</v>
      </c>
      <c r="G36" s="10" t="s">
        <v>11</v>
      </c>
      <c r="H36" s="10" t="s">
        <v>12</v>
      </c>
      <c r="I36" s="10" t="s">
        <v>12</v>
      </c>
      <c r="J36" s="10" t="s">
        <v>11</v>
      </c>
      <c r="K36" s="239"/>
      <c r="L36" s="10" t="s">
        <v>12</v>
      </c>
      <c r="M36" s="42" t="s">
        <v>12</v>
      </c>
      <c r="N36" s="10" t="s">
        <v>12</v>
      </c>
      <c r="O36" s="10" t="s">
        <v>12</v>
      </c>
      <c r="P36" s="10" t="s">
        <v>11</v>
      </c>
      <c r="Q36" s="10" t="s">
        <v>11</v>
      </c>
      <c r="R36" s="239"/>
      <c r="S36" s="239"/>
      <c r="T36" s="10" t="s">
        <v>12</v>
      </c>
      <c r="U36" s="10" t="s">
        <v>12</v>
      </c>
      <c r="V36" s="10" t="s">
        <v>12</v>
      </c>
      <c r="W36" s="10" t="s">
        <v>11</v>
      </c>
      <c r="X36" s="10" t="s">
        <v>11</v>
      </c>
      <c r="Y36" s="239"/>
      <c r="Z36" s="10" t="s">
        <v>12</v>
      </c>
      <c r="AA36" s="10" t="s">
        <v>11</v>
      </c>
      <c r="AB36" s="53" t="s">
        <v>12</v>
      </c>
      <c r="AC36" s="10" t="s">
        <v>12</v>
      </c>
      <c r="AD36" s="10" t="s">
        <v>12</v>
      </c>
      <c r="AE36" s="10" t="s">
        <v>11</v>
      </c>
      <c r="AF36" s="239"/>
      <c r="AG36" s="10" t="s">
        <v>12</v>
      </c>
      <c r="AH36" s="10" t="s">
        <v>12</v>
      </c>
      <c r="AI36" s="10" t="s">
        <v>12</v>
      </c>
      <c r="AJ36" s="10" t="s">
        <v>12</v>
      </c>
      <c r="AK36" s="10">
        <f t="shared" si="1"/>
        <v>17</v>
      </c>
      <c r="AL36" s="10">
        <f t="shared" si="0"/>
        <v>9</v>
      </c>
    </row>
    <row r="37" spans="1:38" ht="18" x14ac:dyDescent="0.35">
      <c r="A37" s="10">
        <v>32</v>
      </c>
      <c r="B37" s="149"/>
      <c r="C37" s="10"/>
      <c r="D37" s="10"/>
      <c r="E37" s="15" t="s">
        <v>30</v>
      </c>
      <c r="F37" s="10" t="s">
        <v>11</v>
      </c>
      <c r="G37" s="10" t="s">
        <v>11</v>
      </c>
      <c r="H37" s="10" t="s">
        <v>11</v>
      </c>
      <c r="I37" s="10" t="s">
        <v>11</v>
      </c>
      <c r="J37" s="10" t="s">
        <v>12</v>
      </c>
      <c r="K37" s="239"/>
      <c r="L37" s="10" t="s">
        <v>11</v>
      </c>
      <c r="M37" s="42" t="s">
        <v>11</v>
      </c>
      <c r="N37" s="10" t="s">
        <v>11</v>
      </c>
      <c r="O37" s="10" t="s">
        <v>11</v>
      </c>
      <c r="P37" s="10" t="s">
        <v>11</v>
      </c>
      <c r="Q37" s="10" t="s">
        <v>11</v>
      </c>
      <c r="R37" s="239"/>
      <c r="S37" s="239"/>
      <c r="T37" s="10" t="s">
        <v>11</v>
      </c>
      <c r="U37" s="10" t="s">
        <v>11</v>
      </c>
      <c r="V37" s="10" t="s">
        <v>12</v>
      </c>
      <c r="W37" s="10" t="s">
        <v>11</v>
      </c>
      <c r="X37" s="10" t="s">
        <v>11</v>
      </c>
      <c r="Y37" s="239"/>
      <c r="Z37" s="10" t="s">
        <v>12</v>
      </c>
      <c r="AA37" s="10" t="s">
        <v>11</v>
      </c>
      <c r="AB37" s="53" t="s">
        <v>12</v>
      </c>
      <c r="AC37" s="10" t="s">
        <v>11</v>
      </c>
      <c r="AD37" s="10" t="s">
        <v>12</v>
      </c>
      <c r="AE37" s="10" t="s">
        <v>11</v>
      </c>
      <c r="AF37" s="239"/>
      <c r="AG37" s="10" t="s">
        <v>12</v>
      </c>
      <c r="AH37" s="10" t="s">
        <v>11</v>
      </c>
      <c r="AI37" s="10" t="s">
        <v>12</v>
      </c>
      <c r="AJ37" s="10" t="s">
        <v>12</v>
      </c>
      <c r="AK37" s="10">
        <f t="shared" si="1"/>
        <v>8</v>
      </c>
      <c r="AL37" s="10">
        <f t="shared" si="0"/>
        <v>18</v>
      </c>
    </row>
    <row r="38" spans="1:38" ht="18" x14ac:dyDescent="0.35">
      <c r="A38" s="10">
        <v>33</v>
      </c>
      <c r="B38" s="149"/>
      <c r="C38" s="10"/>
      <c r="D38" s="10"/>
      <c r="E38" s="15" t="s">
        <v>30</v>
      </c>
      <c r="F38" s="10" t="s">
        <v>11</v>
      </c>
      <c r="G38" s="10" t="s">
        <v>11</v>
      </c>
      <c r="H38" s="10" t="s">
        <v>12</v>
      </c>
      <c r="I38" s="10" t="s">
        <v>12</v>
      </c>
      <c r="J38" s="10" t="s">
        <v>12</v>
      </c>
      <c r="K38" s="239"/>
      <c r="L38" s="10" t="s">
        <v>11</v>
      </c>
      <c r="M38" s="42" t="s">
        <v>12</v>
      </c>
      <c r="N38" s="10" t="s">
        <v>12</v>
      </c>
      <c r="O38" s="10" t="s">
        <v>11</v>
      </c>
      <c r="P38" s="10" t="s">
        <v>11</v>
      </c>
      <c r="Q38" s="10" t="s">
        <v>11</v>
      </c>
      <c r="R38" s="239"/>
      <c r="S38" s="239"/>
      <c r="T38" s="10" t="s">
        <v>12</v>
      </c>
      <c r="U38" s="10" t="s">
        <v>12</v>
      </c>
      <c r="V38" s="10" t="s">
        <v>11</v>
      </c>
      <c r="W38" s="10" t="s">
        <v>11</v>
      </c>
      <c r="X38" s="10" t="s">
        <v>11</v>
      </c>
      <c r="Y38" s="239"/>
      <c r="Z38" s="10" t="s">
        <v>11</v>
      </c>
      <c r="AA38" s="10" t="s">
        <v>11</v>
      </c>
      <c r="AB38" s="53" t="s">
        <v>11</v>
      </c>
      <c r="AC38" s="10" t="s">
        <v>11</v>
      </c>
      <c r="AD38" s="10" t="s">
        <v>11</v>
      </c>
      <c r="AE38" s="10" t="s">
        <v>11</v>
      </c>
      <c r="AF38" s="239"/>
      <c r="AG38" s="10" t="s">
        <v>11</v>
      </c>
      <c r="AH38" s="10" t="s">
        <v>11</v>
      </c>
      <c r="AI38" s="10" t="s">
        <v>11</v>
      </c>
      <c r="AJ38" s="10" t="s">
        <v>11</v>
      </c>
      <c r="AK38" s="149">
        <f t="shared" si="1"/>
        <v>7</v>
      </c>
      <c r="AL38" s="10">
        <f t="shared" si="0"/>
        <v>19</v>
      </c>
    </row>
    <row r="39" spans="1:38" ht="15.5" x14ac:dyDescent="0.35">
      <c r="A39" s="10">
        <v>34</v>
      </c>
      <c r="B39" s="149"/>
      <c r="C39" s="10"/>
      <c r="D39" s="10"/>
      <c r="E39" s="15" t="s">
        <v>30</v>
      </c>
      <c r="F39" s="10" t="s">
        <v>11</v>
      </c>
      <c r="G39" s="10" t="s">
        <v>12</v>
      </c>
      <c r="H39" s="10" t="s">
        <v>11</v>
      </c>
      <c r="I39" s="10" t="s">
        <v>11</v>
      </c>
      <c r="J39" s="10" t="s">
        <v>12</v>
      </c>
      <c r="K39" s="239"/>
      <c r="L39" s="10" t="s">
        <v>11</v>
      </c>
      <c r="M39" s="10" t="s">
        <v>11</v>
      </c>
      <c r="N39" s="10" t="s">
        <v>11</v>
      </c>
      <c r="O39" s="10" t="s">
        <v>11</v>
      </c>
      <c r="P39" s="10" t="s">
        <v>11</v>
      </c>
      <c r="Q39" s="10" t="s">
        <v>12</v>
      </c>
      <c r="R39" s="239"/>
      <c r="S39" s="239"/>
      <c r="T39" s="10" t="s">
        <v>11</v>
      </c>
      <c r="U39" s="10" t="s">
        <v>11</v>
      </c>
      <c r="V39" s="10" t="s">
        <v>11</v>
      </c>
      <c r="W39" s="10" t="s">
        <v>11</v>
      </c>
      <c r="X39" s="10" t="s">
        <v>12</v>
      </c>
      <c r="Y39" s="239"/>
      <c r="Z39" s="10" t="s">
        <v>11</v>
      </c>
      <c r="AA39" s="10" t="s">
        <v>11</v>
      </c>
      <c r="AB39" s="52" t="s">
        <v>11</v>
      </c>
      <c r="AC39" s="10" t="s">
        <v>11</v>
      </c>
      <c r="AD39" s="10" t="s">
        <v>11</v>
      </c>
      <c r="AE39" s="10" t="s">
        <v>11</v>
      </c>
      <c r="AF39" s="239"/>
      <c r="AG39" s="10" t="s">
        <v>11</v>
      </c>
      <c r="AH39" s="10" t="s">
        <v>11</v>
      </c>
      <c r="AI39" s="10" t="s">
        <v>11</v>
      </c>
      <c r="AJ39" s="10" t="s">
        <v>11</v>
      </c>
      <c r="AK39" s="149">
        <f t="shared" si="1"/>
        <v>4</v>
      </c>
      <c r="AL39" s="10">
        <f t="shared" si="0"/>
        <v>22</v>
      </c>
    </row>
    <row r="40" spans="1:38" ht="15.5" x14ac:dyDescent="0.35">
      <c r="A40" s="10">
        <v>35</v>
      </c>
      <c r="B40" s="149"/>
      <c r="C40" s="10"/>
      <c r="D40" s="10"/>
      <c r="E40" s="15" t="s">
        <v>30</v>
      </c>
      <c r="F40" s="10" t="s">
        <v>12</v>
      </c>
      <c r="G40" s="10" t="s">
        <v>12</v>
      </c>
      <c r="H40" s="10" t="s">
        <v>12</v>
      </c>
      <c r="I40" s="10" t="s">
        <v>12</v>
      </c>
      <c r="J40" s="10" t="s">
        <v>12</v>
      </c>
      <c r="K40" s="239"/>
      <c r="L40" s="10" t="s">
        <v>12</v>
      </c>
      <c r="M40" s="10" t="s">
        <v>12</v>
      </c>
      <c r="N40" s="10" t="s">
        <v>12</v>
      </c>
      <c r="O40" s="10" t="s">
        <v>12</v>
      </c>
      <c r="P40" s="10" t="s">
        <v>11</v>
      </c>
      <c r="Q40" s="10" t="s">
        <v>12</v>
      </c>
      <c r="R40" s="239"/>
      <c r="S40" s="239"/>
      <c r="T40" s="10" t="s">
        <v>12</v>
      </c>
      <c r="U40" s="10" t="s">
        <v>12</v>
      </c>
      <c r="V40" s="10" t="s">
        <v>12</v>
      </c>
      <c r="W40" s="10" t="s">
        <v>12</v>
      </c>
      <c r="X40" s="10" t="s">
        <v>11</v>
      </c>
      <c r="Y40" s="239"/>
      <c r="Z40" s="10" t="s">
        <v>12</v>
      </c>
      <c r="AA40" s="10" t="s">
        <v>11</v>
      </c>
      <c r="AB40" s="53" t="s">
        <v>12</v>
      </c>
      <c r="AC40" s="10" t="s">
        <v>12</v>
      </c>
      <c r="AD40" s="10" t="s">
        <v>12</v>
      </c>
      <c r="AE40" s="10" t="s">
        <v>12</v>
      </c>
      <c r="AF40" s="239"/>
      <c r="AG40" s="10" t="s">
        <v>11</v>
      </c>
      <c r="AH40" s="10" t="s">
        <v>12</v>
      </c>
      <c r="AI40" s="10" t="s">
        <v>12</v>
      </c>
      <c r="AJ40" s="10" t="s">
        <v>12</v>
      </c>
      <c r="AK40" s="10">
        <f t="shared" si="1"/>
        <v>22</v>
      </c>
      <c r="AL40" s="10">
        <f t="shared" si="0"/>
        <v>4</v>
      </c>
    </row>
    <row r="41" spans="1:38" ht="15.5" x14ac:dyDescent="0.35">
      <c r="A41" s="10">
        <v>36</v>
      </c>
      <c r="B41" s="149"/>
      <c r="C41" s="10"/>
      <c r="D41" s="10"/>
      <c r="E41" s="15" t="s">
        <v>30</v>
      </c>
      <c r="F41" s="10" t="s">
        <v>12</v>
      </c>
      <c r="G41" s="10" t="s">
        <v>12</v>
      </c>
      <c r="H41" s="10" t="s">
        <v>12</v>
      </c>
      <c r="I41" s="10" t="s">
        <v>12</v>
      </c>
      <c r="J41" s="10" t="s">
        <v>12</v>
      </c>
      <c r="K41" s="239"/>
      <c r="L41" s="10" t="s">
        <v>12</v>
      </c>
      <c r="M41" s="10" t="s">
        <v>12</v>
      </c>
      <c r="N41" s="10" t="s">
        <v>12</v>
      </c>
      <c r="O41" s="10" t="s">
        <v>12</v>
      </c>
      <c r="P41" s="10" t="s">
        <v>11</v>
      </c>
      <c r="Q41" s="10" t="s">
        <v>11</v>
      </c>
      <c r="R41" s="239"/>
      <c r="S41" s="239"/>
      <c r="T41" s="10" t="s">
        <v>12</v>
      </c>
      <c r="U41" s="10" t="s">
        <v>11</v>
      </c>
      <c r="V41" s="10" t="s">
        <v>12</v>
      </c>
      <c r="W41" s="10" t="s">
        <v>12</v>
      </c>
      <c r="X41" s="10" t="s">
        <v>12</v>
      </c>
      <c r="Y41" s="239"/>
      <c r="Z41" s="10" t="s">
        <v>11</v>
      </c>
      <c r="AA41" s="10" t="s">
        <v>11</v>
      </c>
      <c r="AB41" s="53" t="s">
        <v>11</v>
      </c>
      <c r="AC41" s="10" t="s">
        <v>12</v>
      </c>
      <c r="AD41" s="10" t="s">
        <v>12</v>
      </c>
      <c r="AE41" s="10" t="s">
        <v>12</v>
      </c>
      <c r="AF41" s="239"/>
      <c r="AG41" s="10" t="s">
        <v>12</v>
      </c>
      <c r="AH41" s="10" t="s">
        <v>12</v>
      </c>
      <c r="AI41" s="10" t="s">
        <v>12</v>
      </c>
      <c r="AJ41" s="10" t="s">
        <v>12</v>
      </c>
      <c r="AK41" s="10">
        <f t="shared" si="1"/>
        <v>20</v>
      </c>
      <c r="AL41" s="10">
        <f t="shared" si="0"/>
        <v>6</v>
      </c>
    </row>
    <row r="42" spans="1:38" ht="15.5" x14ac:dyDescent="0.35">
      <c r="A42" s="10">
        <v>37</v>
      </c>
      <c r="B42" s="149"/>
      <c r="C42" s="10"/>
      <c r="D42" s="10"/>
      <c r="E42" s="15" t="s">
        <v>30</v>
      </c>
      <c r="F42" s="10" t="s">
        <v>11</v>
      </c>
      <c r="G42" s="10" t="s">
        <v>12</v>
      </c>
      <c r="H42" s="10" t="s">
        <v>11</v>
      </c>
      <c r="I42" s="10" t="s">
        <v>11</v>
      </c>
      <c r="J42" s="10" t="s">
        <v>11</v>
      </c>
      <c r="K42" s="239"/>
      <c r="L42" s="10" t="s">
        <v>11</v>
      </c>
      <c r="M42" s="10" t="s">
        <v>11</v>
      </c>
      <c r="N42" s="10" t="s">
        <v>11</v>
      </c>
      <c r="O42" s="10" t="s">
        <v>12</v>
      </c>
      <c r="P42" s="10" t="s">
        <v>11</v>
      </c>
      <c r="Q42" s="10" t="s">
        <v>12</v>
      </c>
      <c r="R42" s="239"/>
      <c r="S42" s="239"/>
      <c r="T42" s="10" t="s">
        <v>12</v>
      </c>
      <c r="U42" s="10" t="s">
        <v>12</v>
      </c>
      <c r="V42" s="10" t="s">
        <v>12</v>
      </c>
      <c r="W42" s="10" t="s">
        <v>12</v>
      </c>
      <c r="X42" s="10" t="s">
        <v>11</v>
      </c>
      <c r="Y42" s="239"/>
      <c r="Z42" s="10" t="s">
        <v>12</v>
      </c>
      <c r="AA42" s="10" t="s">
        <v>12</v>
      </c>
      <c r="AB42" s="53" t="s">
        <v>12</v>
      </c>
      <c r="AC42" s="10" t="s">
        <v>12</v>
      </c>
      <c r="AD42" s="10" t="s">
        <v>11</v>
      </c>
      <c r="AE42" s="10" t="s">
        <v>12</v>
      </c>
      <c r="AF42" s="239"/>
      <c r="AG42" s="10" t="s">
        <v>12</v>
      </c>
      <c r="AH42" s="10" t="s">
        <v>12</v>
      </c>
      <c r="AI42" s="10" t="s">
        <v>11</v>
      </c>
      <c r="AJ42" s="10" t="s">
        <v>11</v>
      </c>
      <c r="AK42" s="149">
        <f t="shared" si="1"/>
        <v>14</v>
      </c>
      <c r="AL42" s="10">
        <f t="shared" si="0"/>
        <v>12</v>
      </c>
    </row>
    <row r="43" spans="1:38" ht="15.5" x14ac:dyDescent="0.35">
      <c r="A43" s="10">
        <v>38</v>
      </c>
      <c r="B43" s="149"/>
      <c r="C43" s="10"/>
      <c r="D43" s="10"/>
      <c r="E43" s="15" t="s">
        <v>30</v>
      </c>
      <c r="F43" s="10" t="s">
        <v>11</v>
      </c>
      <c r="G43" s="10" t="s">
        <v>11</v>
      </c>
      <c r="H43" s="10" t="s">
        <v>11</v>
      </c>
      <c r="I43" s="10" t="s">
        <v>11</v>
      </c>
      <c r="J43" s="10" t="s">
        <v>11</v>
      </c>
      <c r="K43" s="239"/>
      <c r="L43" s="10" t="s">
        <v>11</v>
      </c>
      <c r="M43" s="10" t="s">
        <v>12</v>
      </c>
      <c r="N43" s="10" t="s">
        <v>12</v>
      </c>
      <c r="O43" s="10" t="s">
        <v>12</v>
      </c>
      <c r="P43" s="10" t="s">
        <v>11</v>
      </c>
      <c r="Q43" s="10" t="s">
        <v>11</v>
      </c>
      <c r="R43" s="239"/>
      <c r="S43" s="239"/>
      <c r="T43" s="10" t="s">
        <v>12</v>
      </c>
      <c r="U43" s="10" t="s">
        <v>12</v>
      </c>
      <c r="V43" s="10" t="s">
        <v>12</v>
      </c>
      <c r="W43" s="10" t="s">
        <v>12</v>
      </c>
      <c r="X43" s="10" t="s">
        <v>11</v>
      </c>
      <c r="Y43" s="239"/>
      <c r="Z43" s="10" t="s">
        <v>12</v>
      </c>
      <c r="AA43" s="10" t="s">
        <v>12</v>
      </c>
      <c r="AB43" s="53" t="s">
        <v>12</v>
      </c>
      <c r="AC43" s="10" t="s">
        <v>12</v>
      </c>
      <c r="AD43" s="10" t="s">
        <v>12</v>
      </c>
      <c r="AE43" s="10" t="s">
        <v>12</v>
      </c>
      <c r="AF43" s="239"/>
      <c r="AG43" s="10" t="s">
        <v>11</v>
      </c>
      <c r="AH43" s="10" t="s">
        <v>12</v>
      </c>
      <c r="AI43" s="10" t="s">
        <v>12</v>
      </c>
      <c r="AJ43" s="10" t="s">
        <v>12</v>
      </c>
      <c r="AK43" s="10">
        <f t="shared" si="1"/>
        <v>16</v>
      </c>
      <c r="AL43" s="10">
        <f t="shared" si="0"/>
        <v>10</v>
      </c>
    </row>
    <row r="44" spans="1:38" ht="15.5" x14ac:dyDescent="0.35">
      <c r="A44" s="10">
        <v>39</v>
      </c>
      <c r="B44" s="149"/>
      <c r="C44" s="10"/>
      <c r="D44" s="10"/>
      <c r="E44" s="15" t="s">
        <v>30</v>
      </c>
      <c r="F44" s="10" t="s">
        <v>12</v>
      </c>
      <c r="G44" s="10" t="s">
        <v>12</v>
      </c>
      <c r="H44" s="10" t="s">
        <v>12</v>
      </c>
      <c r="I44" s="10" t="s">
        <v>12</v>
      </c>
      <c r="J44" s="10" t="s">
        <v>12</v>
      </c>
      <c r="K44" s="239"/>
      <c r="L44" s="10" t="s">
        <v>12</v>
      </c>
      <c r="M44" s="10" t="s">
        <v>11</v>
      </c>
      <c r="N44" s="10" t="s">
        <v>12</v>
      </c>
      <c r="O44" s="10" t="s">
        <v>12</v>
      </c>
      <c r="P44" s="10" t="s">
        <v>12</v>
      </c>
      <c r="Q44" s="10" t="s">
        <v>12</v>
      </c>
      <c r="R44" s="239"/>
      <c r="S44" s="239"/>
      <c r="T44" s="10" t="s">
        <v>12</v>
      </c>
      <c r="U44" s="10" t="s">
        <v>12</v>
      </c>
      <c r="V44" s="10" t="s">
        <v>12</v>
      </c>
      <c r="W44" s="10" t="s">
        <v>12</v>
      </c>
      <c r="X44" s="10" t="s">
        <v>12</v>
      </c>
      <c r="Y44" s="239"/>
      <c r="Z44" s="10" t="s">
        <v>12</v>
      </c>
      <c r="AA44" s="10" t="s">
        <v>12</v>
      </c>
      <c r="AB44" s="53" t="s">
        <v>12</v>
      </c>
      <c r="AC44" s="10" t="s">
        <v>12</v>
      </c>
      <c r="AD44" s="10" t="s">
        <v>12</v>
      </c>
      <c r="AE44" s="10" t="s">
        <v>12</v>
      </c>
      <c r="AF44" s="239"/>
      <c r="AG44" s="10" t="s">
        <v>12</v>
      </c>
      <c r="AH44" s="10" t="s">
        <v>12</v>
      </c>
      <c r="AI44" s="10" t="s">
        <v>12</v>
      </c>
      <c r="AJ44" s="10" t="s">
        <v>12</v>
      </c>
      <c r="AK44" s="149">
        <f t="shared" si="1"/>
        <v>25</v>
      </c>
      <c r="AL44" s="10">
        <f t="shared" si="0"/>
        <v>1</v>
      </c>
    </row>
    <row r="45" spans="1:38" ht="15.5" x14ac:dyDescent="0.35">
      <c r="A45" s="10">
        <v>40</v>
      </c>
      <c r="B45" s="149"/>
      <c r="C45" s="10"/>
      <c r="D45" s="10"/>
      <c r="E45" s="15" t="s">
        <v>30</v>
      </c>
      <c r="F45" s="10" t="s">
        <v>11</v>
      </c>
      <c r="G45" s="10" t="s">
        <v>11</v>
      </c>
      <c r="H45" s="10" t="s">
        <v>11</v>
      </c>
      <c r="I45" s="10" t="s">
        <v>11</v>
      </c>
      <c r="J45" s="10" t="s">
        <v>11</v>
      </c>
      <c r="K45" s="239"/>
      <c r="L45" s="10" t="s">
        <v>12</v>
      </c>
      <c r="M45" s="10" t="s">
        <v>12</v>
      </c>
      <c r="N45" s="10" t="s">
        <v>11</v>
      </c>
      <c r="O45" s="10" t="s">
        <v>12</v>
      </c>
      <c r="P45" s="10" t="s">
        <v>12</v>
      </c>
      <c r="Q45" s="10" t="s">
        <v>12</v>
      </c>
      <c r="R45" s="239"/>
      <c r="S45" s="239"/>
      <c r="T45" s="10" t="s">
        <v>12</v>
      </c>
      <c r="U45" s="10" t="s">
        <v>12</v>
      </c>
      <c r="V45" s="10" t="s">
        <v>12</v>
      </c>
      <c r="W45" s="10" t="s">
        <v>12</v>
      </c>
      <c r="X45" s="10" t="s">
        <v>12</v>
      </c>
      <c r="Y45" s="239"/>
      <c r="Z45" s="10" t="s">
        <v>12</v>
      </c>
      <c r="AA45" s="10" t="s">
        <v>12</v>
      </c>
      <c r="AB45" s="52" t="s">
        <v>12</v>
      </c>
      <c r="AC45" s="10" t="s">
        <v>12</v>
      </c>
      <c r="AD45" s="10" t="s">
        <v>12</v>
      </c>
      <c r="AE45" s="10" t="s">
        <v>12</v>
      </c>
      <c r="AF45" s="239"/>
      <c r="AG45" s="10" t="s">
        <v>12</v>
      </c>
      <c r="AH45" s="10" t="s">
        <v>12</v>
      </c>
      <c r="AI45" s="10" t="s">
        <v>12</v>
      </c>
      <c r="AJ45" s="10" t="s">
        <v>12</v>
      </c>
      <c r="AK45" s="10">
        <f t="shared" si="1"/>
        <v>20</v>
      </c>
      <c r="AL45" s="10">
        <f t="shared" si="0"/>
        <v>6</v>
      </c>
    </row>
    <row r="46" spans="1:38" x14ac:dyDescent="0.3">
      <c r="AK46" s="168">
        <f>SUM(AK6:AK45)</f>
        <v>674</v>
      </c>
      <c r="AL46" s="168">
        <f>SUM(AL11:AL44)</f>
        <v>284</v>
      </c>
    </row>
  </sheetData>
  <mergeCells count="12">
    <mergeCell ref="AF7:AF45"/>
    <mergeCell ref="S7:S45"/>
    <mergeCell ref="AN9:AQ9"/>
    <mergeCell ref="AN15:AQ15"/>
    <mergeCell ref="A1:AJ1"/>
    <mergeCell ref="A2:AJ2"/>
    <mergeCell ref="A3:AJ3"/>
    <mergeCell ref="A4:AJ4"/>
    <mergeCell ref="AN4:AO4"/>
    <mergeCell ref="K7:K45"/>
    <mergeCell ref="R7:R45"/>
    <mergeCell ref="Y7:Y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8"/>
  <sheetViews>
    <sheetView zoomScale="80" zoomScaleNormal="80" workbookViewId="0">
      <selection activeCell="D11" sqref="D11"/>
    </sheetView>
  </sheetViews>
  <sheetFormatPr defaultColWidth="4.26953125" defaultRowHeight="18" x14ac:dyDescent="0.4"/>
  <cols>
    <col min="1" max="1" width="4.54296875" style="54" bestFit="1" customWidth="1"/>
    <col min="2" max="2" width="8" style="54" customWidth="1"/>
    <col min="3" max="3" width="24" style="54" bestFit="1" customWidth="1"/>
    <col min="4" max="4" width="22.7265625" style="54" bestFit="1" customWidth="1"/>
    <col min="5" max="5" width="7.1796875" style="54" customWidth="1"/>
    <col min="6" max="9" width="5.1796875" style="54" bestFit="1" customWidth="1"/>
    <col min="10" max="32" width="4.54296875" style="54" bestFit="1" customWidth="1"/>
    <col min="33" max="35" width="4.54296875" style="54" customWidth="1"/>
    <col min="36" max="36" width="4.54296875" style="54" bestFit="1" customWidth="1"/>
    <col min="37" max="37" width="9.81640625" style="54" bestFit="1" customWidth="1"/>
    <col min="38" max="38" width="9.1796875" style="54" bestFit="1" customWidth="1"/>
    <col min="39" max="39" width="4.26953125" style="54"/>
    <col min="40" max="40" width="29" style="54" customWidth="1"/>
    <col min="41" max="41" width="13.7265625" style="54" customWidth="1"/>
    <col min="42" max="42" width="12" style="54" bestFit="1" customWidth="1"/>
    <col min="43" max="43" width="12" style="54" customWidth="1"/>
    <col min="44" max="46" width="4.26953125" style="54"/>
    <col min="47" max="16384" width="4.26953125" style="55"/>
  </cols>
  <sheetData>
    <row r="1" spans="1:44" x14ac:dyDescent="0.4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4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4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N3" s="243">
        <v>45139</v>
      </c>
      <c r="AO3" s="242"/>
    </row>
    <row r="4" spans="1:44" x14ac:dyDescent="0.4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56" t="s">
        <v>8</v>
      </c>
      <c r="AO4" s="56">
        <v>31</v>
      </c>
      <c r="AP4" s="57"/>
      <c r="AQ4" s="57"/>
    </row>
    <row r="5" spans="1:44" s="54" customFormat="1" ht="36" x14ac:dyDescent="0.4">
      <c r="A5" s="58" t="s">
        <v>1</v>
      </c>
      <c r="B5" s="58" t="s">
        <v>2</v>
      </c>
      <c r="C5" s="58" t="s">
        <v>3</v>
      </c>
      <c r="D5" s="58" t="s">
        <v>4</v>
      </c>
      <c r="E5" s="58" t="s">
        <v>5</v>
      </c>
      <c r="F5" s="58">
        <v>1</v>
      </c>
      <c r="G5" s="58">
        <v>2</v>
      </c>
      <c r="H5" s="58">
        <v>3</v>
      </c>
      <c r="I5" s="58">
        <v>4</v>
      </c>
      <c r="J5" s="58">
        <v>5</v>
      </c>
      <c r="K5" s="58">
        <v>6</v>
      </c>
      <c r="L5" s="58">
        <v>7</v>
      </c>
      <c r="M5" s="58">
        <v>8</v>
      </c>
      <c r="N5" s="58">
        <v>9</v>
      </c>
      <c r="O5" s="58">
        <v>10</v>
      </c>
      <c r="P5" s="58">
        <v>11</v>
      </c>
      <c r="Q5" s="58">
        <v>12</v>
      </c>
      <c r="R5" s="58">
        <v>13</v>
      </c>
      <c r="S5" s="58">
        <v>14</v>
      </c>
      <c r="T5" s="58">
        <v>15</v>
      </c>
      <c r="U5" s="58">
        <v>16</v>
      </c>
      <c r="V5" s="58">
        <v>17</v>
      </c>
      <c r="W5" s="58">
        <v>18</v>
      </c>
      <c r="X5" s="58">
        <v>19</v>
      </c>
      <c r="Y5" s="58">
        <v>20</v>
      </c>
      <c r="Z5" s="58">
        <v>21</v>
      </c>
      <c r="AA5" s="58">
        <v>22</v>
      </c>
      <c r="AB5" s="58">
        <v>23</v>
      </c>
      <c r="AC5" s="58">
        <v>24</v>
      </c>
      <c r="AD5" s="58">
        <v>25</v>
      </c>
      <c r="AE5" s="58">
        <v>26</v>
      </c>
      <c r="AF5" s="58">
        <v>27</v>
      </c>
      <c r="AG5" s="58">
        <v>28</v>
      </c>
      <c r="AH5" s="58">
        <v>29</v>
      </c>
      <c r="AI5" s="58">
        <v>30</v>
      </c>
      <c r="AJ5" s="58">
        <v>31</v>
      </c>
      <c r="AK5" s="58" t="s">
        <v>6</v>
      </c>
      <c r="AL5" s="58" t="s">
        <v>7</v>
      </c>
      <c r="AN5" s="35" t="s">
        <v>13</v>
      </c>
      <c r="AO5" s="35">
        <v>26</v>
      </c>
    </row>
    <row r="6" spans="1:44" ht="47.25" customHeight="1" x14ac:dyDescent="0.4">
      <c r="A6" s="35">
        <v>1</v>
      </c>
      <c r="B6" s="10"/>
      <c r="C6" s="10"/>
      <c r="D6" s="10"/>
      <c r="E6" s="35" t="s">
        <v>34</v>
      </c>
      <c r="F6" s="25" t="s">
        <v>11</v>
      </c>
      <c r="G6" s="25" t="s">
        <v>11</v>
      </c>
      <c r="H6" s="25" t="s">
        <v>11</v>
      </c>
      <c r="I6" s="25" t="s">
        <v>12</v>
      </c>
      <c r="J6" s="25" t="s">
        <v>12</v>
      </c>
      <c r="K6" s="59" t="s">
        <v>26</v>
      </c>
      <c r="L6" s="25" t="s">
        <v>12</v>
      </c>
      <c r="M6" s="25" t="s">
        <v>12</v>
      </c>
      <c r="N6" s="25" t="s">
        <v>12</v>
      </c>
      <c r="O6" s="25" t="s">
        <v>12</v>
      </c>
      <c r="P6" s="25" t="s">
        <v>12</v>
      </c>
      <c r="Q6" s="25" t="s">
        <v>12</v>
      </c>
      <c r="R6" s="59" t="s">
        <v>26</v>
      </c>
      <c r="S6" s="59" t="s">
        <v>26</v>
      </c>
      <c r="T6" s="25" t="s">
        <v>12</v>
      </c>
      <c r="U6" s="25" t="s">
        <v>12</v>
      </c>
      <c r="V6" s="25" t="s">
        <v>12</v>
      </c>
      <c r="W6" s="25" t="s">
        <v>12</v>
      </c>
      <c r="X6" s="25" t="s">
        <v>12</v>
      </c>
      <c r="Y6" s="59" t="s">
        <v>26</v>
      </c>
      <c r="Z6" s="25" t="s">
        <v>12</v>
      </c>
      <c r="AA6" s="25" t="s">
        <v>12</v>
      </c>
      <c r="AB6" s="25" t="s">
        <v>12</v>
      </c>
      <c r="AC6" s="25" t="s">
        <v>12</v>
      </c>
      <c r="AD6" s="25" t="s">
        <v>12</v>
      </c>
      <c r="AE6" s="25" t="s">
        <v>12</v>
      </c>
      <c r="AF6" s="59" t="s">
        <v>26</v>
      </c>
      <c r="AG6" s="25" t="s">
        <v>12</v>
      </c>
      <c r="AH6" s="25" t="s">
        <v>12</v>
      </c>
      <c r="AI6" s="25" t="s">
        <v>12</v>
      </c>
      <c r="AJ6" s="25" t="s">
        <v>12</v>
      </c>
      <c r="AK6" s="13">
        <f>COUNTIF(F6:AJ6,"P")</f>
        <v>23</v>
      </c>
      <c r="AL6" s="35">
        <f>COUNTIF(F6:AJ6,"A")</f>
        <v>3</v>
      </c>
      <c r="AN6" s="35" t="s">
        <v>26</v>
      </c>
      <c r="AO6" s="35">
        <v>4</v>
      </c>
    </row>
    <row r="7" spans="1:44" ht="20.25" customHeight="1" x14ac:dyDescent="0.4">
      <c r="A7" s="35">
        <v>2</v>
      </c>
      <c r="B7" s="10"/>
      <c r="C7" s="10"/>
      <c r="D7" s="10"/>
      <c r="E7" s="35" t="s">
        <v>34</v>
      </c>
      <c r="F7" s="25" t="s">
        <v>11</v>
      </c>
      <c r="G7" s="25" t="s">
        <v>11</v>
      </c>
      <c r="H7" s="25" t="s">
        <v>11</v>
      </c>
      <c r="I7" s="25" t="s">
        <v>11</v>
      </c>
      <c r="J7" s="25" t="s">
        <v>12</v>
      </c>
      <c r="K7" s="223" t="s">
        <v>26</v>
      </c>
      <c r="L7" s="25" t="s">
        <v>12</v>
      </c>
      <c r="M7" s="25" t="s">
        <v>12</v>
      </c>
      <c r="N7" s="25" t="s">
        <v>12</v>
      </c>
      <c r="O7" s="25" t="s">
        <v>11</v>
      </c>
      <c r="P7" s="25" t="s">
        <v>11</v>
      </c>
      <c r="Q7" s="25" t="s">
        <v>11</v>
      </c>
      <c r="R7" s="223" t="s">
        <v>26</v>
      </c>
      <c r="S7" s="228" t="s">
        <v>26</v>
      </c>
      <c r="T7" s="25" t="s">
        <v>12</v>
      </c>
      <c r="U7" s="25" t="s">
        <v>12</v>
      </c>
      <c r="V7" s="25" t="s">
        <v>12</v>
      </c>
      <c r="W7" s="25" t="s">
        <v>12</v>
      </c>
      <c r="X7" s="25" t="s">
        <v>12</v>
      </c>
      <c r="Y7" s="223" t="s">
        <v>26</v>
      </c>
      <c r="Z7" s="25" t="s">
        <v>12</v>
      </c>
      <c r="AA7" s="25" t="s">
        <v>12</v>
      </c>
      <c r="AB7" s="25" t="s">
        <v>12</v>
      </c>
      <c r="AC7" s="25" t="s">
        <v>12</v>
      </c>
      <c r="AD7" s="25" t="s">
        <v>12</v>
      </c>
      <c r="AE7" s="25" t="s">
        <v>12</v>
      </c>
      <c r="AF7" s="223" t="s">
        <v>26</v>
      </c>
      <c r="AG7" s="25" t="s">
        <v>12</v>
      </c>
      <c r="AH7" s="25" t="s">
        <v>12</v>
      </c>
      <c r="AI7" s="25" t="s">
        <v>12</v>
      </c>
      <c r="AJ7" s="25" t="s">
        <v>12</v>
      </c>
      <c r="AK7" s="13">
        <f t="shared" ref="AK7:AK36" si="0">COUNTIF(F7:AJ7,"P")</f>
        <v>19</v>
      </c>
      <c r="AL7" s="35">
        <f t="shared" ref="AL7:AL36" si="1">COUNTIF(F7:AJ7,"A")</f>
        <v>7</v>
      </c>
      <c r="AP7" s="54" t="s">
        <v>58</v>
      </c>
      <c r="AR7" s="54">
        <v>1</v>
      </c>
    </row>
    <row r="8" spans="1:44" ht="19" x14ac:dyDescent="0.4">
      <c r="A8" s="35">
        <v>3</v>
      </c>
      <c r="B8" s="10"/>
      <c r="C8" s="10"/>
      <c r="D8" s="10"/>
      <c r="E8" s="35" t="s">
        <v>34</v>
      </c>
      <c r="F8" s="25" t="s">
        <v>11</v>
      </c>
      <c r="G8" s="25" t="s">
        <v>11</v>
      </c>
      <c r="H8" s="25" t="s">
        <v>11</v>
      </c>
      <c r="I8" s="25" t="s">
        <v>12</v>
      </c>
      <c r="J8" s="25" t="s">
        <v>12</v>
      </c>
      <c r="K8" s="224"/>
      <c r="L8" s="25" t="s">
        <v>12</v>
      </c>
      <c r="M8" s="25" t="s">
        <v>11</v>
      </c>
      <c r="N8" s="25" t="s">
        <v>12</v>
      </c>
      <c r="O8" s="25" t="s">
        <v>11</v>
      </c>
      <c r="P8" s="25" t="s">
        <v>11</v>
      </c>
      <c r="Q8" s="25" t="s">
        <v>12</v>
      </c>
      <c r="R8" s="224"/>
      <c r="S8" s="228"/>
      <c r="T8" s="25" t="s">
        <v>12</v>
      </c>
      <c r="U8" s="25" t="s">
        <v>12</v>
      </c>
      <c r="V8" s="25" t="s">
        <v>12</v>
      </c>
      <c r="W8" s="25" t="s">
        <v>12</v>
      </c>
      <c r="X8" s="25" t="s">
        <v>12</v>
      </c>
      <c r="Y8" s="224"/>
      <c r="Z8" s="25" t="s">
        <v>12</v>
      </c>
      <c r="AA8" s="25" t="s">
        <v>12</v>
      </c>
      <c r="AB8" s="25" t="s">
        <v>12</v>
      </c>
      <c r="AC8" s="25" t="s">
        <v>12</v>
      </c>
      <c r="AD8" s="25" t="s">
        <v>11</v>
      </c>
      <c r="AE8" s="25" t="s">
        <v>12</v>
      </c>
      <c r="AF8" s="224"/>
      <c r="AG8" s="25" t="s">
        <v>12</v>
      </c>
      <c r="AH8" s="25" t="s">
        <v>12</v>
      </c>
      <c r="AI8" s="25" t="s">
        <v>12</v>
      </c>
      <c r="AJ8" s="25" t="s">
        <v>12</v>
      </c>
      <c r="AK8" s="13">
        <f t="shared" si="0"/>
        <v>19</v>
      </c>
      <c r="AL8" s="35">
        <f t="shared" si="1"/>
        <v>7</v>
      </c>
      <c r="AN8" s="242" t="s">
        <v>6</v>
      </c>
      <c r="AO8" s="242"/>
      <c r="AP8" s="242"/>
      <c r="AQ8" s="242"/>
    </row>
    <row r="9" spans="1:44" ht="19" x14ac:dyDescent="0.4">
      <c r="A9" s="35">
        <v>4</v>
      </c>
      <c r="B9" s="10"/>
      <c r="C9" s="10"/>
      <c r="D9" s="10"/>
      <c r="E9" s="35" t="s">
        <v>34</v>
      </c>
      <c r="F9" s="25" t="s">
        <v>11</v>
      </c>
      <c r="G9" s="25" t="s">
        <v>12</v>
      </c>
      <c r="H9" s="25" t="s">
        <v>12</v>
      </c>
      <c r="I9" s="25" t="s">
        <v>11</v>
      </c>
      <c r="J9" s="25" t="s">
        <v>11</v>
      </c>
      <c r="K9" s="224"/>
      <c r="L9" s="25" t="s">
        <v>12</v>
      </c>
      <c r="M9" s="25" t="s">
        <v>12</v>
      </c>
      <c r="N9" s="25" t="s">
        <v>11</v>
      </c>
      <c r="O9" s="25" t="s">
        <v>11</v>
      </c>
      <c r="P9" s="25" t="s">
        <v>12</v>
      </c>
      <c r="Q9" s="25" t="s">
        <v>12</v>
      </c>
      <c r="R9" s="224"/>
      <c r="S9" s="228"/>
      <c r="T9" s="25" t="s">
        <v>12</v>
      </c>
      <c r="U9" s="25" t="s">
        <v>11</v>
      </c>
      <c r="V9" s="25" t="s">
        <v>12</v>
      </c>
      <c r="W9" s="25" t="s">
        <v>12</v>
      </c>
      <c r="X9" s="25" t="s">
        <v>11</v>
      </c>
      <c r="Y9" s="224"/>
      <c r="Z9" s="25" t="s">
        <v>12</v>
      </c>
      <c r="AA9" s="25" t="s">
        <v>12</v>
      </c>
      <c r="AB9" s="25" t="s">
        <v>12</v>
      </c>
      <c r="AC9" s="25" t="s">
        <v>12</v>
      </c>
      <c r="AD9" s="25" t="s">
        <v>12</v>
      </c>
      <c r="AE9" s="25" t="s">
        <v>11</v>
      </c>
      <c r="AF9" s="224"/>
      <c r="AG9" s="25" t="s">
        <v>11</v>
      </c>
      <c r="AH9" s="25" t="s">
        <v>12</v>
      </c>
      <c r="AI9" s="25" t="s">
        <v>12</v>
      </c>
      <c r="AJ9" s="25" t="s">
        <v>12</v>
      </c>
      <c r="AK9" s="13">
        <f t="shared" si="0"/>
        <v>17</v>
      </c>
      <c r="AL9" s="35">
        <f t="shared" si="1"/>
        <v>9</v>
      </c>
      <c r="AN9" s="35" t="s">
        <v>16</v>
      </c>
      <c r="AO9" s="35" t="s">
        <v>18</v>
      </c>
      <c r="AP9" s="35" t="s">
        <v>17</v>
      </c>
      <c r="AQ9" s="35" t="s">
        <v>19</v>
      </c>
    </row>
    <row r="10" spans="1:44" ht="19" x14ac:dyDescent="0.4">
      <c r="A10" s="35">
        <v>5</v>
      </c>
      <c r="B10" s="10"/>
      <c r="C10" s="10"/>
      <c r="D10" s="10"/>
      <c r="E10" s="35" t="s">
        <v>34</v>
      </c>
      <c r="F10" s="25" t="s">
        <v>11</v>
      </c>
      <c r="G10" s="25" t="s">
        <v>11</v>
      </c>
      <c r="H10" s="25" t="s">
        <v>12</v>
      </c>
      <c r="I10" s="25" t="s">
        <v>12</v>
      </c>
      <c r="J10" s="25" t="s">
        <v>11</v>
      </c>
      <c r="K10" s="224"/>
      <c r="L10" s="25" t="s">
        <v>12</v>
      </c>
      <c r="M10" s="25" t="s">
        <v>12</v>
      </c>
      <c r="N10" s="25" t="s">
        <v>12</v>
      </c>
      <c r="O10" s="25" t="s">
        <v>12</v>
      </c>
      <c r="P10" s="25" t="s">
        <v>12</v>
      </c>
      <c r="Q10" s="25" t="s">
        <v>11</v>
      </c>
      <c r="R10" s="224"/>
      <c r="S10" s="228"/>
      <c r="T10" s="25" t="s">
        <v>12</v>
      </c>
      <c r="U10" s="25" t="s">
        <v>12</v>
      </c>
      <c r="V10" s="25" t="s">
        <v>12</v>
      </c>
      <c r="W10" s="25" t="s">
        <v>11</v>
      </c>
      <c r="X10" s="25" t="s">
        <v>12</v>
      </c>
      <c r="Y10" s="224"/>
      <c r="Z10" s="25" t="s">
        <v>12</v>
      </c>
      <c r="AA10" s="25" t="s">
        <v>12</v>
      </c>
      <c r="AB10" s="25" t="s">
        <v>12</v>
      </c>
      <c r="AC10" s="25" t="s">
        <v>11</v>
      </c>
      <c r="AD10" s="25" t="s">
        <v>12</v>
      </c>
      <c r="AE10" s="25" t="s">
        <v>12</v>
      </c>
      <c r="AF10" s="224"/>
      <c r="AG10" s="25" t="s">
        <v>12</v>
      </c>
      <c r="AH10" s="25" t="s">
        <v>12</v>
      </c>
      <c r="AI10" s="25" t="s">
        <v>12</v>
      </c>
      <c r="AJ10" s="25" t="s">
        <v>12</v>
      </c>
      <c r="AK10" s="13">
        <f t="shared" si="0"/>
        <v>20</v>
      </c>
      <c r="AL10" s="35">
        <f t="shared" si="1"/>
        <v>6</v>
      </c>
      <c r="AN10" s="35" t="s">
        <v>20</v>
      </c>
      <c r="AO10" s="35">
        <f>24*26</f>
        <v>624</v>
      </c>
      <c r="AP10" s="35">
        <f>7*26</f>
        <v>182</v>
      </c>
      <c r="AQ10" s="35">
        <f>AO10+AP10</f>
        <v>806</v>
      </c>
    </row>
    <row r="11" spans="1:44" ht="19" x14ac:dyDescent="0.4">
      <c r="A11" s="35">
        <v>6</v>
      </c>
      <c r="B11" s="10"/>
      <c r="C11" s="10"/>
      <c r="D11" s="10"/>
      <c r="E11" s="35" t="s">
        <v>34</v>
      </c>
      <c r="F11" s="25" t="s">
        <v>11</v>
      </c>
      <c r="G11" s="25" t="s">
        <v>12</v>
      </c>
      <c r="H11" s="25" t="s">
        <v>12</v>
      </c>
      <c r="I11" s="25" t="s">
        <v>12</v>
      </c>
      <c r="J11" s="25" t="s">
        <v>12</v>
      </c>
      <c r="K11" s="224"/>
      <c r="L11" s="25" t="s">
        <v>12</v>
      </c>
      <c r="M11" s="25" t="s">
        <v>12</v>
      </c>
      <c r="N11" s="25" t="s">
        <v>12</v>
      </c>
      <c r="O11" s="25" t="s">
        <v>12</v>
      </c>
      <c r="P11" s="25" t="s">
        <v>12</v>
      </c>
      <c r="Q11" s="25" t="s">
        <v>12</v>
      </c>
      <c r="R11" s="224"/>
      <c r="S11" s="228"/>
      <c r="T11" s="25" t="s">
        <v>12</v>
      </c>
      <c r="U11" s="25" t="s">
        <v>12</v>
      </c>
      <c r="V11" s="25" t="s">
        <v>12</v>
      </c>
      <c r="W11" s="25" t="s">
        <v>12</v>
      </c>
      <c r="X11" s="25" t="s">
        <v>12</v>
      </c>
      <c r="Y11" s="224"/>
      <c r="Z11" s="25" t="s">
        <v>12</v>
      </c>
      <c r="AA11" s="25" t="s">
        <v>12</v>
      </c>
      <c r="AB11" s="25" t="s">
        <v>12</v>
      </c>
      <c r="AC11" s="25" t="s">
        <v>12</v>
      </c>
      <c r="AD11" s="25" t="s">
        <v>12</v>
      </c>
      <c r="AE11" s="25" t="s">
        <v>12</v>
      </c>
      <c r="AF11" s="224"/>
      <c r="AG11" s="25" t="s">
        <v>11</v>
      </c>
      <c r="AH11" s="25" t="s">
        <v>12</v>
      </c>
      <c r="AI11" s="25" t="s">
        <v>12</v>
      </c>
      <c r="AJ11" s="25" t="s">
        <v>12</v>
      </c>
      <c r="AK11" s="169">
        <f t="shared" si="0"/>
        <v>24</v>
      </c>
      <c r="AL11" s="35">
        <f t="shared" si="1"/>
        <v>2</v>
      </c>
      <c r="AN11" s="35" t="s">
        <v>21</v>
      </c>
      <c r="AO11" s="35">
        <f>AK6+AK7+AK8+AK9+AK10+AK12+AK13+AK14+AK15+AK16+AK18+AK19+AK21+AK22+AK23+AK24+AK25+AK26+AK28+AK29+AK31+AK32+AK35+AK36</f>
        <v>391</v>
      </c>
      <c r="AP11" s="35">
        <f>AK11+AK17+AK20+AK27+AK30+AK33+AK34</f>
        <v>160</v>
      </c>
      <c r="AQ11" s="35">
        <f>AO11+AP11</f>
        <v>551</v>
      </c>
    </row>
    <row r="12" spans="1:44" ht="19" x14ac:dyDescent="0.4">
      <c r="A12" s="35">
        <v>7</v>
      </c>
      <c r="B12" s="10"/>
      <c r="C12" s="10"/>
      <c r="D12" s="10"/>
      <c r="E12" s="35" t="s">
        <v>34</v>
      </c>
      <c r="F12" s="25" t="s">
        <v>11</v>
      </c>
      <c r="G12" s="25" t="s">
        <v>12</v>
      </c>
      <c r="H12" s="25" t="s">
        <v>12</v>
      </c>
      <c r="I12" s="25" t="s">
        <v>12</v>
      </c>
      <c r="J12" s="25" t="s">
        <v>11</v>
      </c>
      <c r="K12" s="224"/>
      <c r="L12" s="25" t="s">
        <v>12</v>
      </c>
      <c r="M12" s="25" t="s">
        <v>12</v>
      </c>
      <c r="N12" s="25" t="s">
        <v>12</v>
      </c>
      <c r="O12" s="25" t="s">
        <v>12</v>
      </c>
      <c r="P12" s="25" t="s">
        <v>11</v>
      </c>
      <c r="Q12" s="25" t="s">
        <v>12</v>
      </c>
      <c r="R12" s="224"/>
      <c r="S12" s="228"/>
      <c r="T12" s="25" t="s">
        <v>12</v>
      </c>
      <c r="U12" s="25" t="s">
        <v>11</v>
      </c>
      <c r="V12" s="25" t="s">
        <v>11</v>
      </c>
      <c r="W12" s="25" t="s">
        <v>11</v>
      </c>
      <c r="X12" s="25" t="s">
        <v>12</v>
      </c>
      <c r="Y12" s="224"/>
      <c r="Z12" s="25" t="s">
        <v>12</v>
      </c>
      <c r="AA12" s="25" t="s">
        <v>12</v>
      </c>
      <c r="AB12" s="25" t="s">
        <v>12</v>
      </c>
      <c r="AC12" s="25" t="s">
        <v>12</v>
      </c>
      <c r="AD12" s="25" t="s">
        <v>11</v>
      </c>
      <c r="AE12" s="25" t="s">
        <v>12</v>
      </c>
      <c r="AF12" s="224"/>
      <c r="AG12" s="25" t="s">
        <v>12</v>
      </c>
      <c r="AH12" s="25" t="s">
        <v>12</v>
      </c>
      <c r="AI12" s="25" t="s">
        <v>12</v>
      </c>
      <c r="AJ12" s="25" t="s">
        <v>11</v>
      </c>
      <c r="AK12" s="13">
        <f t="shared" si="0"/>
        <v>18</v>
      </c>
      <c r="AL12" s="35">
        <f t="shared" si="1"/>
        <v>8</v>
      </c>
      <c r="AN12" s="35" t="s">
        <v>22</v>
      </c>
      <c r="AO12" s="62">
        <f>AO11/AO10</f>
        <v>0.6266025641025641</v>
      </c>
      <c r="AP12" s="62">
        <f>AP11/AP10</f>
        <v>0.87912087912087911</v>
      </c>
      <c r="AQ12" s="62">
        <f>AQ11/AQ10</f>
        <v>0.68362282878411906</v>
      </c>
    </row>
    <row r="13" spans="1:44" ht="19" x14ac:dyDescent="0.4">
      <c r="A13" s="35">
        <v>8</v>
      </c>
      <c r="B13" s="10"/>
      <c r="C13" s="10"/>
      <c r="D13" s="10"/>
      <c r="E13" s="35" t="s">
        <v>34</v>
      </c>
      <c r="F13" s="25" t="s">
        <v>11</v>
      </c>
      <c r="G13" s="25" t="s">
        <v>11</v>
      </c>
      <c r="H13" s="25" t="s">
        <v>12</v>
      </c>
      <c r="I13" s="25" t="s">
        <v>12</v>
      </c>
      <c r="J13" s="25" t="s">
        <v>12</v>
      </c>
      <c r="K13" s="224"/>
      <c r="L13" s="25" t="s">
        <v>12</v>
      </c>
      <c r="M13" s="25" t="s">
        <v>12</v>
      </c>
      <c r="N13" s="25" t="s">
        <v>11</v>
      </c>
      <c r="O13" s="25" t="s">
        <v>12</v>
      </c>
      <c r="P13" s="25" t="s">
        <v>12</v>
      </c>
      <c r="Q13" s="25" t="s">
        <v>12</v>
      </c>
      <c r="R13" s="224"/>
      <c r="S13" s="228"/>
      <c r="T13" s="25" t="s">
        <v>12</v>
      </c>
      <c r="U13" s="25" t="s">
        <v>12</v>
      </c>
      <c r="V13" s="25" t="s">
        <v>12</v>
      </c>
      <c r="W13" s="25" t="s">
        <v>12</v>
      </c>
      <c r="X13" s="25" t="s">
        <v>12</v>
      </c>
      <c r="Y13" s="224"/>
      <c r="Z13" s="25" t="s">
        <v>12</v>
      </c>
      <c r="AA13" s="25" t="s">
        <v>11</v>
      </c>
      <c r="AB13" s="25" t="s">
        <v>12</v>
      </c>
      <c r="AC13" s="25" t="s">
        <v>12</v>
      </c>
      <c r="AD13" s="25" t="s">
        <v>12</v>
      </c>
      <c r="AE13" s="25" t="s">
        <v>12</v>
      </c>
      <c r="AF13" s="224"/>
      <c r="AG13" s="25" t="s">
        <v>12</v>
      </c>
      <c r="AH13" s="25" t="s">
        <v>12</v>
      </c>
      <c r="AI13" s="25" t="s">
        <v>12</v>
      </c>
      <c r="AJ13" s="25" t="s">
        <v>12</v>
      </c>
      <c r="AK13" s="13">
        <f t="shared" si="0"/>
        <v>22</v>
      </c>
      <c r="AL13" s="35">
        <f t="shared" si="1"/>
        <v>4</v>
      </c>
      <c r="AO13" s="63"/>
      <c r="AP13" s="63"/>
      <c r="AQ13" s="63"/>
    </row>
    <row r="14" spans="1:44" ht="19" x14ac:dyDescent="0.4">
      <c r="A14" s="35">
        <v>9</v>
      </c>
      <c r="B14" s="10"/>
      <c r="C14" s="10"/>
      <c r="D14" s="10"/>
      <c r="E14" s="35" t="s">
        <v>34</v>
      </c>
      <c r="F14" s="25" t="s">
        <v>11</v>
      </c>
      <c r="G14" s="25" t="s">
        <v>11</v>
      </c>
      <c r="H14" s="25" t="s">
        <v>12</v>
      </c>
      <c r="I14" s="25" t="s">
        <v>12</v>
      </c>
      <c r="J14" s="25" t="s">
        <v>12</v>
      </c>
      <c r="K14" s="224"/>
      <c r="L14" s="25" t="s">
        <v>12</v>
      </c>
      <c r="M14" s="25" t="s">
        <v>12</v>
      </c>
      <c r="N14" s="25" t="s">
        <v>12</v>
      </c>
      <c r="O14" s="25" t="s">
        <v>11</v>
      </c>
      <c r="P14" s="25" t="s">
        <v>11</v>
      </c>
      <c r="Q14" s="25" t="s">
        <v>11</v>
      </c>
      <c r="R14" s="224"/>
      <c r="S14" s="228"/>
      <c r="T14" s="25" t="s">
        <v>12</v>
      </c>
      <c r="U14" s="25" t="s">
        <v>12</v>
      </c>
      <c r="V14" s="25" t="s">
        <v>11</v>
      </c>
      <c r="W14" s="25" t="s">
        <v>12</v>
      </c>
      <c r="X14" s="25" t="s">
        <v>12</v>
      </c>
      <c r="Y14" s="224"/>
      <c r="Z14" s="25" t="s">
        <v>12</v>
      </c>
      <c r="AA14" s="25" t="s">
        <v>12</v>
      </c>
      <c r="AB14" s="25" t="s">
        <v>11</v>
      </c>
      <c r="AC14" s="25" t="s">
        <v>12</v>
      </c>
      <c r="AD14" s="25" t="s">
        <v>12</v>
      </c>
      <c r="AE14" s="25" t="s">
        <v>12</v>
      </c>
      <c r="AF14" s="224"/>
      <c r="AG14" s="25" t="s">
        <v>12</v>
      </c>
      <c r="AH14" s="25" t="s">
        <v>12</v>
      </c>
      <c r="AI14" s="25" t="s">
        <v>11</v>
      </c>
      <c r="AJ14" s="25" t="s">
        <v>11</v>
      </c>
      <c r="AK14" s="13">
        <f t="shared" si="0"/>
        <v>17</v>
      </c>
      <c r="AL14" s="35">
        <f t="shared" si="1"/>
        <v>9</v>
      </c>
    </row>
    <row r="15" spans="1:44" ht="19" x14ac:dyDescent="0.4">
      <c r="A15" s="35">
        <v>10</v>
      </c>
      <c r="B15" s="10"/>
      <c r="C15" s="10"/>
      <c r="D15" s="10"/>
      <c r="E15" s="35" t="s">
        <v>34</v>
      </c>
      <c r="F15" s="25" t="s">
        <v>11</v>
      </c>
      <c r="G15" s="25" t="s">
        <v>11</v>
      </c>
      <c r="H15" s="25" t="s">
        <v>11</v>
      </c>
      <c r="I15" s="25" t="s">
        <v>11</v>
      </c>
      <c r="J15" s="25" t="s">
        <v>11</v>
      </c>
      <c r="K15" s="224"/>
      <c r="L15" s="25" t="s">
        <v>11</v>
      </c>
      <c r="M15" s="25" t="s">
        <v>11</v>
      </c>
      <c r="N15" s="25" t="s">
        <v>11</v>
      </c>
      <c r="O15" s="25" t="s">
        <v>11</v>
      </c>
      <c r="P15" s="25" t="s">
        <v>12</v>
      </c>
      <c r="Q15" s="25" t="s">
        <v>11</v>
      </c>
      <c r="R15" s="224"/>
      <c r="S15" s="228"/>
      <c r="T15" s="25" t="s">
        <v>11</v>
      </c>
      <c r="U15" s="25" t="s">
        <v>11</v>
      </c>
      <c r="V15" s="25" t="s">
        <v>12</v>
      </c>
      <c r="W15" s="25" t="s">
        <v>12</v>
      </c>
      <c r="X15" s="25" t="s">
        <v>12</v>
      </c>
      <c r="Y15" s="224"/>
      <c r="Z15" s="25" t="s">
        <v>11</v>
      </c>
      <c r="AA15" s="25" t="s">
        <v>11</v>
      </c>
      <c r="AB15" s="25" t="s">
        <v>12</v>
      </c>
      <c r="AC15" s="25" t="s">
        <v>11</v>
      </c>
      <c r="AD15" s="25" t="s">
        <v>11</v>
      </c>
      <c r="AE15" s="25" t="s">
        <v>12</v>
      </c>
      <c r="AF15" s="224"/>
      <c r="AG15" s="25" t="s">
        <v>12</v>
      </c>
      <c r="AH15" s="25" t="s">
        <v>12</v>
      </c>
      <c r="AI15" s="25" t="s">
        <v>12</v>
      </c>
      <c r="AJ15" s="25" t="s">
        <v>11</v>
      </c>
      <c r="AK15" s="13">
        <f t="shared" si="0"/>
        <v>9</v>
      </c>
      <c r="AL15" s="35">
        <f t="shared" si="1"/>
        <v>17</v>
      </c>
      <c r="AN15" s="242" t="s">
        <v>7</v>
      </c>
      <c r="AO15" s="242"/>
      <c r="AP15" s="242"/>
      <c r="AQ15" s="242"/>
    </row>
    <row r="16" spans="1:44" ht="19" x14ac:dyDescent="0.4">
      <c r="A16" s="35">
        <v>11</v>
      </c>
      <c r="B16" s="10"/>
      <c r="C16" s="10"/>
      <c r="D16" s="10"/>
      <c r="E16" s="35" t="s">
        <v>34</v>
      </c>
      <c r="F16" s="25" t="s">
        <v>11</v>
      </c>
      <c r="G16" s="25" t="s">
        <v>11</v>
      </c>
      <c r="H16" s="25" t="s">
        <v>11</v>
      </c>
      <c r="I16" s="25" t="s">
        <v>11</v>
      </c>
      <c r="J16" s="25" t="s">
        <v>11</v>
      </c>
      <c r="K16" s="224"/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5" t="s">
        <v>11</v>
      </c>
      <c r="R16" s="224"/>
      <c r="S16" s="228"/>
      <c r="T16" s="25" t="s">
        <v>11</v>
      </c>
      <c r="U16" s="25" t="s">
        <v>11</v>
      </c>
      <c r="V16" s="25" t="s">
        <v>11</v>
      </c>
      <c r="W16" s="25" t="s">
        <v>11</v>
      </c>
      <c r="X16" s="25" t="s">
        <v>11</v>
      </c>
      <c r="Y16" s="224"/>
      <c r="Z16" s="25" t="s">
        <v>11</v>
      </c>
      <c r="AA16" s="25" t="s">
        <v>11</v>
      </c>
      <c r="AB16" s="25" t="s">
        <v>11</v>
      </c>
      <c r="AC16" s="25" t="s">
        <v>11</v>
      </c>
      <c r="AD16" s="25" t="s">
        <v>11</v>
      </c>
      <c r="AE16" s="25" t="s">
        <v>12</v>
      </c>
      <c r="AF16" s="224"/>
      <c r="AG16" s="25" t="s">
        <v>12</v>
      </c>
      <c r="AH16" s="25" t="s">
        <v>11</v>
      </c>
      <c r="AI16" s="25" t="s">
        <v>11</v>
      </c>
      <c r="AJ16" s="25" t="s">
        <v>11</v>
      </c>
      <c r="AK16" s="13">
        <f t="shared" si="0"/>
        <v>2</v>
      </c>
      <c r="AL16" s="35">
        <f t="shared" si="1"/>
        <v>24</v>
      </c>
      <c r="AN16" s="35" t="s">
        <v>16</v>
      </c>
      <c r="AO16" s="35" t="s">
        <v>18</v>
      </c>
      <c r="AP16" s="35" t="s">
        <v>17</v>
      </c>
      <c r="AQ16" s="35" t="s">
        <v>19</v>
      </c>
    </row>
    <row r="17" spans="1:43" ht="19" x14ac:dyDescent="0.4">
      <c r="A17" s="35">
        <v>12</v>
      </c>
      <c r="B17" s="10"/>
      <c r="C17" s="10"/>
      <c r="D17" s="10"/>
      <c r="E17" s="35" t="s">
        <v>34</v>
      </c>
      <c r="F17" s="25" t="s">
        <v>11</v>
      </c>
      <c r="G17" s="25" t="s">
        <v>11</v>
      </c>
      <c r="H17" s="25" t="s">
        <v>11</v>
      </c>
      <c r="I17" s="25" t="s">
        <v>12</v>
      </c>
      <c r="J17" s="25" t="s">
        <v>12</v>
      </c>
      <c r="K17" s="224"/>
      <c r="L17" s="25" t="s">
        <v>12</v>
      </c>
      <c r="M17" s="25" t="s">
        <v>11</v>
      </c>
      <c r="N17" s="25" t="s">
        <v>12</v>
      </c>
      <c r="O17" s="25" t="s">
        <v>12</v>
      </c>
      <c r="P17" s="25" t="s">
        <v>11</v>
      </c>
      <c r="Q17" s="25" t="s">
        <v>12</v>
      </c>
      <c r="R17" s="224"/>
      <c r="S17" s="228"/>
      <c r="T17" s="25" t="s">
        <v>12</v>
      </c>
      <c r="U17" s="25" t="s">
        <v>11</v>
      </c>
      <c r="V17" s="25" t="s">
        <v>12</v>
      </c>
      <c r="W17" s="25" t="s">
        <v>11</v>
      </c>
      <c r="X17" s="25" t="s">
        <v>12</v>
      </c>
      <c r="Y17" s="224"/>
      <c r="Z17" s="25" t="s">
        <v>12</v>
      </c>
      <c r="AA17" s="25" t="s">
        <v>11</v>
      </c>
      <c r="AB17" s="25" t="s">
        <v>12</v>
      </c>
      <c r="AC17" s="25" t="s">
        <v>12</v>
      </c>
      <c r="AD17" s="25" t="s">
        <v>12</v>
      </c>
      <c r="AE17" s="25" t="s">
        <v>11</v>
      </c>
      <c r="AF17" s="224"/>
      <c r="AG17" s="25" t="s">
        <v>11</v>
      </c>
      <c r="AH17" s="25" t="s">
        <v>12</v>
      </c>
      <c r="AI17" s="25" t="s">
        <v>12</v>
      </c>
      <c r="AJ17" s="25" t="s">
        <v>12</v>
      </c>
      <c r="AK17" s="169">
        <f t="shared" si="0"/>
        <v>16</v>
      </c>
      <c r="AL17" s="35">
        <f t="shared" si="1"/>
        <v>10</v>
      </c>
      <c r="AN17" s="35" t="s">
        <v>20</v>
      </c>
      <c r="AO17" s="35">
        <f>24*26</f>
        <v>624</v>
      </c>
      <c r="AP17" s="35">
        <f>7*26</f>
        <v>182</v>
      </c>
      <c r="AQ17" s="35">
        <f>AO17+AP17</f>
        <v>806</v>
      </c>
    </row>
    <row r="18" spans="1:43" ht="19" x14ac:dyDescent="0.4">
      <c r="A18" s="35">
        <v>13</v>
      </c>
      <c r="B18" s="10"/>
      <c r="C18" s="10"/>
      <c r="D18" s="10"/>
      <c r="E18" s="35" t="s">
        <v>34</v>
      </c>
      <c r="F18" s="25" t="s">
        <v>11</v>
      </c>
      <c r="G18" s="25" t="s">
        <v>11</v>
      </c>
      <c r="H18" s="25" t="s">
        <v>11</v>
      </c>
      <c r="I18" s="25" t="s">
        <v>11</v>
      </c>
      <c r="J18" s="25" t="s">
        <v>11</v>
      </c>
      <c r="K18" s="224"/>
      <c r="L18" s="25" t="s">
        <v>12</v>
      </c>
      <c r="M18" s="25" t="s">
        <v>12</v>
      </c>
      <c r="N18" s="25" t="s">
        <v>11</v>
      </c>
      <c r="O18" s="25" t="s">
        <v>11</v>
      </c>
      <c r="P18" s="25" t="s">
        <v>11</v>
      </c>
      <c r="Q18" s="25" t="s">
        <v>11</v>
      </c>
      <c r="R18" s="224"/>
      <c r="S18" s="228"/>
      <c r="T18" s="25" t="s">
        <v>11</v>
      </c>
      <c r="U18" s="25" t="s">
        <v>12</v>
      </c>
      <c r="V18" s="25" t="s">
        <v>11</v>
      </c>
      <c r="W18" s="25" t="s">
        <v>11</v>
      </c>
      <c r="X18" s="25" t="s">
        <v>12</v>
      </c>
      <c r="Y18" s="224"/>
      <c r="Z18" s="25" t="s">
        <v>12</v>
      </c>
      <c r="AA18" s="25" t="s">
        <v>11</v>
      </c>
      <c r="AB18" s="25" t="s">
        <v>11</v>
      </c>
      <c r="AC18" s="25" t="s">
        <v>12</v>
      </c>
      <c r="AD18" s="25" t="s">
        <v>12</v>
      </c>
      <c r="AE18" s="25" t="s">
        <v>12</v>
      </c>
      <c r="AF18" s="224"/>
      <c r="AG18" s="25" t="s">
        <v>12</v>
      </c>
      <c r="AH18" s="25" t="s">
        <v>12</v>
      </c>
      <c r="AI18" s="25" t="s">
        <v>12</v>
      </c>
      <c r="AJ18" s="25" t="s">
        <v>11</v>
      </c>
      <c r="AK18" s="13">
        <f t="shared" si="0"/>
        <v>11</v>
      </c>
      <c r="AL18" s="35">
        <f t="shared" si="1"/>
        <v>15</v>
      </c>
      <c r="AN18" s="35" t="s">
        <v>27</v>
      </c>
      <c r="AO18" s="35">
        <f>AO17-AO11</f>
        <v>233</v>
      </c>
      <c r="AP18" s="35">
        <f>AP17-AP11</f>
        <v>22</v>
      </c>
      <c r="AQ18" s="35">
        <f>AO18+AP18</f>
        <v>255</v>
      </c>
    </row>
    <row r="19" spans="1:43" ht="19" x14ac:dyDescent="0.4">
      <c r="A19" s="35">
        <v>14</v>
      </c>
      <c r="B19" s="10"/>
      <c r="C19" s="10"/>
      <c r="D19" s="10"/>
      <c r="E19" s="35" t="s">
        <v>34</v>
      </c>
      <c r="F19" s="25" t="s">
        <v>11</v>
      </c>
      <c r="G19" s="25" t="s">
        <v>11</v>
      </c>
      <c r="H19" s="25" t="s">
        <v>12</v>
      </c>
      <c r="I19" s="25" t="s">
        <v>12</v>
      </c>
      <c r="J19" s="25" t="s">
        <v>11</v>
      </c>
      <c r="K19" s="224"/>
      <c r="L19" s="25" t="s">
        <v>12</v>
      </c>
      <c r="M19" s="25" t="s">
        <v>12</v>
      </c>
      <c r="N19" s="25" t="s">
        <v>12</v>
      </c>
      <c r="O19" s="25" t="s">
        <v>11</v>
      </c>
      <c r="P19" s="25" t="s">
        <v>12</v>
      </c>
      <c r="Q19" s="25" t="s">
        <v>12</v>
      </c>
      <c r="R19" s="224"/>
      <c r="S19" s="228"/>
      <c r="T19" s="25" t="s">
        <v>12</v>
      </c>
      <c r="U19" s="25" t="s">
        <v>12</v>
      </c>
      <c r="V19" s="25" t="s">
        <v>12</v>
      </c>
      <c r="W19" s="25" t="s">
        <v>12</v>
      </c>
      <c r="X19" s="25" t="s">
        <v>12</v>
      </c>
      <c r="Y19" s="224"/>
      <c r="Z19" s="25" t="s">
        <v>12</v>
      </c>
      <c r="AA19" s="25" t="s">
        <v>12</v>
      </c>
      <c r="AB19" s="25" t="s">
        <v>12</v>
      </c>
      <c r="AC19" s="25" t="s">
        <v>12</v>
      </c>
      <c r="AD19" s="25" t="s">
        <v>11</v>
      </c>
      <c r="AE19" s="25" t="s">
        <v>12</v>
      </c>
      <c r="AF19" s="224"/>
      <c r="AG19" s="25" t="s">
        <v>12</v>
      </c>
      <c r="AH19" s="25" t="s">
        <v>12</v>
      </c>
      <c r="AI19" s="25" t="s">
        <v>12</v>
      </c>
      <c r="AJ19" s="25" t="s">
        <v>12</v>
      </c>
      <c r="AK19" s="13">
        <f t="shared" si="0"/>
        <v>21</v>
      </c>
      <c r="AL19" s="35">
        <f t="shared" si="1"/>
        <v>5</v>
      </c>
      <c r="AN19" s="35" t="s">
        <v>22</v>
      </c>
      <c r="AO19" s="62">
        <f>AO18/AO17</f>
        <v>0.3733974358974359</v>
      </c>
      <c r="AP19" s="62">
        <f t="shared" ref="AP19:AQ19" si="2">AP18/AP17</f>
        <v>0.12087912087912088</v>
      </c>
      <c r="AQ19" s="62">
        <f t="shared" si="2"/>
        <v>0.31637717121588088</v>
      </c>
    </row>
    <row r="20" spans="1:43" ht="19" x14ac:dyDescent="0.4">
      <c r="A20" s="35">
        <v>15</v>
      </c>
      <c r="B20" s="10"/>
      <c r="C20" s="10"/>
      <c r="D20" s="10"/>
      <c r="E20" s="35" t="s">
        <v>34</v>
      </c>
      <c r="F20" s="25" t="s">
        <v>11</v>
      </c>
      <c r="G20" s="25" t="s">
        <v>12</v>
      </c>
      <c r="H20" s="25" t="s">
        <v>12</v>
      </c>
      <c r="I20" s="25" t="s">
        <v>12</v>
      </c>
      <c r="J20" s="25" t="s">
        <v>12</v>
      </c>
      <c r="K20" s="224"/>
      <c r="L20" s="25" t="s">
        <v>12</v>
      </c>
      <c r="M20" s="25" t="s">
        <v>12</v>
      </c>
      <c r="N20" s="25" t="s">
        <v>12</v>
      </c>
      <c r="O20" s="25" t="s">
        <v>12</v>
      </c>
      <c r="P20" s="25" t="s">
        <v>12</v>
      </c>
      <c r="Q20" s="25" t="s">
        <v>12</v>
      </c>
      <c r="R20" s="224"/>
      <c r="S20" s="228"/>
      <c r="T20" s="25" t="s">
        <v>12</v>
      </c>
      <c r="U20" s="25" t="s">
        <v>12</v>
      </c>
      <c r="V20" s="25" t="s">
        <v>12</v>
      </c>
      <c r="W20" s="25" t="s">
        <v>12</v>
      </c>
      <c r="X20" s="25" t="s">
        <v>12</v>
      </c>
      <c r="Y20" s="224"/>
      <c r="Z20" s="25" t="s">
        <v>12</v>
      </c>
      <c r="AA20" s="25" t="s">
        <v>12</v>
      </c>
      <c r="AB20" s="25" t="s">
        <v>12</v>
      </c>
      <c r="AC20" s="25" t="s">
        <v>12</v>
      </c>
      <c r="AD20" s="25" t="s">
        <v>12</v>
      </c>
      <c r="AE20" s="25" t="s">
        <v>12</v>
      </c>
      <c r="AF20" s="224"/>
      <c r="AG20" s="25" t="s">
        <v>12</v>
      </c>
      <c r="AH20" s="25" t="s">
        <v>12</v>
      </c>
      <c r="AI20" s="25" t="s">
        <v>12</v>
      </c>
      <c r="AJ20" s="25" t="s">
        <v>12</v>
      </c>
      <c r="AK20" s="169">
        <f t="shared" si="0"/>
        <v>25</v>
      </c>
      <c r="AL20" s="35">
        <f t="shared" si="1"/>
        <v>1</v>
      </c>
      <c r="AQ20" s="54">
        <f>AQ17-AQ18</f>
        <v>551</v>
      </c>
    </row>
    <row r="21" spans="1:43" ht="19" x14ac:dyDescent="0.4">
      <c r="A21" s="35">
        <v>16</v>
      </c>
      <c r="B21" s="10"/>
      <c r="C21" s="10"/>
      <c r="D21" s="10"/>
      <c r="E21" s="35" t="s">
        <v>34</v>
      </c>
      <c r="F21" s="25" t="s">
        <v>11</v>
      </c>
      <c r="G21" s="25" t="s">
        <v>11</v>
      </c>
      <c r="H21" s="25" t="s">
        <v>11</v>
      </c>
      <c r="I21" s="25" t="s">
        <v>11</v>
      </c>
      <c r="J21" s="25" t="s">
        <v>11</v>
      </c>
      <c r="K21" s="224"/>
      <c r="L21" s="25" t="s">
        <v>11</v>
      </c>
      <c r="M21" s="25" t="s">
        <v>11</v>
      </c>
      <c r="N21" s="25" t="s">
        <v>11</v>
      </c>
      <c r="O21" s="25" t="s">
        <v>11</v>
      </c>
      <c r="P21" s="25" t="s">
        <v>11</v>
      </c>
      <c r="Q21" s="25" t="s">
        <v>11</v>
      </c>
      <c r="R21" s="224"/>
      <c r="S21" s="228"/>
      <c r="T21" s="25" t="s">
        <v>11</v>
      </c>
      <c r="U21" s="25" t="s">
        <v>11</v>
      </c>
      <c r="V21" s="25" t="s">
        <v>11</v>
      </c>
      <c r="W21" s="25" t="s">
        <v>11</v>
      </c>
      <c r="X21" s="25" t="s">
        <v>11</v>
      </c>
      <c r="Y21" s="224"/>
      <c r="Z21" s="25" t="s">
        <v>11</v>
      </c>
      <c r="AA21" s="25" t="s">
        <v>11</v>
      </c>
      <c r="AB21" s="25" t="s">
        <v>11</v>
      </c>
      <c r="AC21" s="25" t="s">
        <v>11</v>
      </c>
      <c r="AD21" s="25" t="s">
        <v>11</v>
      </c>
      <c r="AE21" s="25" t="s">
        <v>11</v>
      </c>
      <c r="AF21" s="224"/>
      <c r="AG21" s="25" t="s">
        <v>11</v>
      </c>
      <c r="AH21" s="25" t="s">
        <v>11</v>
      </c>
      <c r="AI21" s="25" t="s">
        <v>11</v>
      </c>
      <c r="AJ21" s="25" t="s">
        <v>11</v>
      </c>
      <c r="AK21" s="13">
        <f t="shared" si="0"/>
        <v>0</v>
      </c>
      <c r="AL21" s="35">
        <f t="shared" si="1"/>
        <v>26</v>
      </c>
    </row>
    <row r="22" spans="1:43" ht="19" x14ac:dyDescent="0.4">
      <c r="A22" s="35">
        <v>17</v>
      </c>
      <c r="B22" s="10"/>
      <c r="C22" s="10"/>
      <c r="D22" s="10"/>
      <c r="E22" s="35" t="s">
        <v>34</v>
      </c>
      <c r="F22" s="25" t="s">
        <v>11</v>
      </c>
      <c r="G22" s="25" t="s">
        <v>11</v>
      </c>
      <c r="H22" s="25" t="s">
        <v>11</v>
      </c>
      <c r="I22" s="25" t="s">
        <v>12</v>
      </c>
      <c r="J22" s="25" t="s">
        <v>12</v>
      </c>
      <c r="K22" s="224"/>
      <c r="L22" s="25" t="s">
        <v>12</v>
      </c>
      <c r="M22" s="25" t="s">
        <v>12</v>
      </c>
      <c r="N22" s="25" t="s">
        <v>12</v>
      </c>
      <c r="O22" s="25" t="s">
        <v>12</v>
      </c>
      <c r="P22" s="25" t="s">
        <v>12</v>
      </c>
      <c r="Q22" s="25" t="s">
        <v>12</v>
      </c>
      <c r="R22" s="224"/>
      <c r="S22" s="228"/>
      <c r="T22" s="25" t="s">
        <v>12</v>
      </c>
      <c r="U22" s="25" t="s">
        <v>12</v>
      </c>
      <c r="V22" s="25" t="s">
        <v>12</v>
      </c>
      <c r="W22" s="25" t="s">
        <v>12</v>
      </c>
      <c r="X22" s="25" t="s">
        <v>11</v>
      </c>
      <c r="Y22" s="224"/>
      <c r="Z22" s="25" t="s">
        <v>12</v>
      </c>
      <c r="AA22" s="25" t="s">
        <v>12</v>
      </c>
      <c r="AB22" s="25" t="s">
        <v>12</v>
      </c>
      <c r="AC22" s="25" t="s">
        <v>11</v>
      </c>
      <c r="AD22" s="25" t="s">
        <v>12</v>
      </c>
      <c r="AE22" s="25" t="s">
        <v>12</v>
      </c>
      <c r="AF22" s="224"/>
      <c r="AG22" s="25" t="s">
        <v>12</v>
      </c>
      <c r="AH22" s="25" t="s">
        <v>12</v>
      </c>
      <c r="AI22" s="25" t="s">
        <v>12</v>
      </c>
      <c r="AJ22" s="25" t="s">
        <v>12</v>
      </c>
      <c r="AK22" s="13">
        <f t="shared" si="0"/>
        <v>21</v>
      </c>
      <c r="AL22" s="35">
        <f t="shared" si="1"/>
        <v>5</v>
      </c>
    </row>
    <row r="23" spans="1:43" ht="19" x14ac:dyDescent="0.4">
      <c r="A23" s="35">
        <v>18</v>
      </c>
      <c r="B23" s="10"/>
      <c r="C23" s="10"/>
      <c r="D23" s="10"/>
      <c r="E23" s="35" t="s">
        <v>34</v>
      </c>
      <c r="F23" s="25" t="s">
        <v>11</v>
      </c>
      <c r="G23" s="25" t="s">
        <v>11</v>
      </c>
      <c r="H23" s="25" t="s">
        <v>12</v>
      </c>
      <c r="I23" s="25" t="s">
        <v>11</v>
      </c>
      <c r="J23" s="25" t="s">
        <v>12</v>
      </c>
      <c r="K23" s="224"/>
      <c r="L23" s="25" t="s">
        <v>12</v>
      </c>
      <c r="M23" s="25" t="s">
        <v>12</v>
      </c>
      <c r="N23" s="25" t="s">
        <v>12</v>
      </c>
      <c r="O23" s="25" t="s">
        <v>11</v>
      </c>
      <c r="P23" s="25" t="s">
        <v>12</v>
      </c>
      <c r="Q23" s="25" t="s">
        <v>12</v>
      </c>
      <c r="R23" s="224"/>
      <c r="S23" s="228"/>
      <c r="T23" s="25" t="s">
        <v>11</v>
      </c>
      <c r="U23" s="25" t="s">
        <v>12</v>
      </c>
      <c r="V23" s="25" t="s">
        <v>12</v>
      </c>
      <c r="W23" s="25" t="s">
        <v>11</v>
      </c>
      <c r="X23" s="25" t="s">
        <v>11</v>
      </c>
      <c r="Y23" s="224"/>
      <c r="Z23" s="25" t="s">
        <v>12</v>
      </c>
      <c r="AA23" s="25" t="s">
        <v>12</v>
      </c>
      <c r="AB23" s="25" t="s">
        <v>12</v>
      </c>
      <c r="AC23" s="25" t="s">
        <v>12</v>
      </c>
      <c r="AD23" s="25" t="s">
        <v>11</v>
      </c>
      <c r="AE23" s="25" t="s">
        <v>12</v>
      </c>
      <c r="AF23" s="224"/>
      <c r="AG23" s="25" t="s">
        <v>11</v>
      </c>
      <c r="AH23" s="25" t="s">
        <v>12</v>
      </c>
      <c r="AI23" s="25" t="s">
        <v>12</v>
      </c>
      <c r="AJ23" s="25" t="s">
        <v>12</v>
      </c>
      <c r="AK23" s="13">
        <f t="shared" si="0"/>
        <v>17</v>
      </c>
      <c r="AL23" s="35">
        <f t="shared" si="1"/>
        <v>9</v>
      </c>
    </row>
    <row r="24" spans="1:43" ht="19" x14ac:dyDescent="0.4">
      <c r="A24" s="35">
        <v>19</v>
      </c>
      <c r="B24" s="10"/>
      <c r="C24" s="10"/>
      <c r="D24" s="10"/>
      <c r="E24" s="35" t="s">
        <v>34</v>
      </c>
      <c r="F24" s="25" t="s">
        <v>11</v>
      </c>
      <c r="G24" s="25" t="s">
        <v>11</v>
      </c>
      <c r="H24" s="25" t="s">
        <v>11</v>
      </c>
      <c r="I24" s="25" t="s">
        <v>11</v>
      </c>
      <c r="J24" s="25" t="s">
        <v>11</v>
      </c>
      <c r="K24" s="224"/>
      <c r="L24" s="25" t="s">
        <v>12</v>
      </c>
      <c r="M24" s="25" t="s">
        <v>11</v>
      </c>
      <c r="N24" s="25" t="s">
        <v>12</v>
      </c>
      <c r="O24" s="25" t="s">
        <v>11</v>
      </c>
      <c r="P24" s="25" t="s">
        <v>12</v>
      </c>
      <c r="Q24" s="25" t="s">
        <v>12</v>
      </c>
      <c r="R24" s="224"/>
      <c r="S24" s="228"/>
      <c r="T24" s="25" t="s">
        <v>11</v>
      </c>
      <c r="U24" s="25" t="s">
        <v>11</v>
      </c>
      <c r="V24" s="25" t="s">
        <v>11</v>
      </c>
      <c r="W24" s="25" t="s">
        <v>12</v>
      </c>
      <c r="X24" s="25" t="s">
        <v>11</v>
      </c>
      <c r="Y24" s="224"/>
      <c r="Z24" s="25" t="s">
        <v>11</v>
      </c>
      <c r="AA24" s="25" t="s">
        <v>11</v>
      </c>
      <c r="AB24" s="25" t="s">
        <v>12</v>
      </c>
      <c r="AC24" s="25" t="s">
        <v>11</v>
      </c>
      <c r="AD24" s="25" t="s">
        <v>12</v>
      </c>
      <c r="AE24" s="25" t="s">
        <v>11</v>
      </c>
      <c r="AF24" s="224"/>
      <c r="AG24" s="25" t="s">
        <v>11</v>
      </c>
      <c r="AH24" s="25" t="s">
        <v>12</v>
      </c>
      <c r="AI24" s="25" t="s">
        <v>11</v>
      </c>
      <c r="AJ24" s="25" t="s">
        <v>12</v>
      </c>
      <c r="AK24" s="13">
        <f t="shared" si="0"/>
        <v>9</v>
      </c>
      <c r="AL24" s="35">
        <f t="shared" si="1"/>
        <v>17</v>
      </c>
    </row>
    <row r="25" spans="1:43" ht="19" x14ac:dyDescent="0.4">
      <c r="A25" s="35">
        <v>20</v>
      </c>
      <c r="B25" s="10"/>
      <c r="C25" s="10"/>
      <c r="D25" s="10"/>
      <c r="E25" s="35" t="s">
        <v>34</v>
      </c>
      <c r="F25" s="25" t="s">
        <v>11</v>
      </c>
      <c r="G25" s="25" t="s">
        <v>11</v>
      </c>
      <c r="H25" s="25" t="s">
        <v>12</v>
      </c>
      <c r="I25" s="25" t="s">
        <v>11</v>
      </c>
      <c r="J25" s="25" t="s">
        <v>11</v>
      </c>
      <c r="K25" s="224"/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12</v>
      </c>
      <c r="R25" s="224"/>
      <c r="S25" s="228"/>
      <c r="T25" s="25" t="s">
        <v>11</v>
      </c>
      <c r="U25" s="25" t="s">
        <v>11</v>
      </c>
      <c r="V25" s="25" t="s">
        <v>12</v>
      </c>
      <c r="W25" s="25" t="s">
        <v>12</v>
      </c>
      <c r="X25" s="25" t="s">
        <v>12</v>
      </c>
      <c r="Y25" s="224"/>
      <c r="Z25" s="25" t="s">
        <v>12</v>
      </c>
      <c r="AA25" s="25" t="s">
        <v>11</v>
      </c>
      <c r="AB25" s="25" t="s">
        <v>12</v>
      </c>
      <c r="AC25" s="25" t="s">
        <v>11</v>
      </c>
      <c r="AD25" s="25" t="s">
        <v>11</v>
      </c>
      <c r="AE25" s="25" t="s">
        <v>12</v>
      </c>
      <c r="AF25" s="224"/>
      <c r="AG25" s="25" t="s">
        <v>12</v>
      </c>
      <c r="AH25" s="25" t="s">
        <v>12</v>
      </c>
      <c r="AI25" s="25" t="s">
        <v>12</v>
      </c>
      <c r="AJ25" s="25" t="s">
        <v>12</v>
      </c>
      <c r="AK25" s="13">
        <f t="shared" si="0"/>
        <v>12</v>
      </c>
      <c r="AL25" s="35">
        <f t="shared" si="1"/>
        <v>14</v>
      </c>
    </row>
    <row r="26" spans="1:43" ht="19" x14ac:dyDescent="0.4">
      <c r="A26" s="35">
        <v>21</v>
      </c>
      <c r="B26" s="10"/>
      <c r="C26" s="10"/>
      <c r="D26" s="10"/>
      <c r="E26" s="35" t="s">
        <v>34</v>
      </c>
      <c r="F26" s="25" t="s">
        <v>11</v>
      </c>
      <c r="G26" s="25" t="s">
        <v>12</v>
      </c>
      <c r="H26" s="25" t="s">
        <v>12</v>
      </c>
      <c r="I26" s="25" t="s">
        <v>12</v>
      </c>
      <c r="J26" s="25" t="s">
        <v>12</v>
      </c>
      <c r="K26" s="224"/>
      <c r="L26" s="25" t="s">
        <v>12</v>
      </c>
      <c r="M26" s="25" t="s">
        <v>12</v>
      </c>
      <c r="N26" s="25" t="s">
        <v>12</v>
      </c>
      <c r="O26" s="25" t="s">
        <v>12</v>
      </c>
      <c r="P26" s="25" t="s">
        <v>12</v>
      </c>
      <c r="Q26" s="25" t="s">
        <v>11</v>
      </c>
      <c r="R26" s="224"/>
      <c r="S26" s="228"/>
      <c r="T26" s="25" t="s">
        <v>12</v>
      </c>
      <c r="U26" s="25" t="s">
        <v>12</v>
      </c>
      <c r="V26" s="25" t="s">
        <v>12</v>
      </c>
      <c r="W26" s="25" t="s">
        <v>12</v>
      </c>
      <c r="X26" s="25" t="s">
        <v>12</v>
      </c>
      <c r="Y26" s="224"/>
      <c r="Z26" s="25" t="s">
        <v>12</v>
      </c>
      <c r="AA26" s="25" t="s">
        <v>12</v>
      </c>
      <c r="AB26" s="25" t="s">
        <v>12</v>
      </c>
      <c r="AC26" s="25" t="s">
        <v>12</v>
      </c>
      <c r="AD26" s="25" t="s">
        <v>11</v>
      </c>
      <c r="AE26" s="25" t="s">
        <v>12</v>
      </c>
      <c r="AF26" s="224"/>
      <c r="AG26" s="25" t="s">
        <v>12</v>
      </c>
      <c r="AH26" s="25" t="s">
        <v>12</v>
      </c>
      <c r="AI26" s="25" t="s">
        <v>12</v>
      </c>
      <c r="AJ26" s="25" t="s">
        <v>12</v>
      </c>
      <c r="AK26" s="13">
        <f t="shared" si="0"/>
        <v>23</v>
      </c>
      <c r="AL26" s="35">
        <f t="shared" si="1"/>
        <v>3</v>
      </c>
    </row>
    <row r="27" spans="1:43" ht="19" x14ac:dyDescent="0.4">
      <c r="A27" s="35">
        <v>22</v>
      </c>
      <c r="B27" s="10"/>
      <c r="C27" s="10"/>
      <c r="D27" s="10"/>
      <c r="E27" s="35" t="s">
        <v>34</v>
      </c>
      <c r="F27" s="25" t="s">
        <v>11</v>
      </c>
      <c r="G27" s="25" t="s">
        <v>12</v>
      </c>
      <c r="H27" s="25" t="s">
        <v>12</v>
      </c>
      <c r="I27" s="25" t="s">
        <v>12</v>
      </c>
      <c r="J27" s="25" t="s">
        <v>12</v>
      </c>
      <c r="K27" s="224"/>
      <c r="L27" s="25" t="s">
        <v>12</v>
      </c>
      <c r="M27" s="25" t="s">
        <v>12</v>
      </c>
      <c r="N27" s="25" t="s">
        <v>12</v>
      </c>
      <c r="O27" s="25" t="s">
        <v>12</v>
      </c>
      <c r="P27" s="25" t="s">
        <v>12</v>
      </c>
      <c r="Q27" s="25" t="s">
        <v>12</v>
      </c>
      <c r="R27" s="224"/>
      <c r="S27" s="228"/>
      <c r="T27" s="25" t="s">
        <v>12</v>
      </c>
      <c r="U27" s="25" t="s">
        <v>12</v>
      </c>
      <c r="V27" s="25" t="s">
        <v>12</v>
      </c>
      <c r="W27" s="25" t="s">
        <v>12</v>
      </c>
      <c r="X27" s="25" t="s">
        <v>12</v>
      </c>
      <c r="Y27" s="224"/>
      <c r="Z27" s="25" t="s">
        <v>12</v>
      </c>
      <c r="AA27" s="25" t="s">
        <v>12</v>
      </c>
      <c r="AB27" s="25" t="s">
        <v>12</v>
      </c>
      <c r="AC27" s="25" t="s">
        <v>12</v>
      </c>
      <c r="AD27" s="25" t="s">
        <v>12</v>
      </c>
      <c r="AE27" s="25" t="s">
        <v>12</v>
      </c>
      <c r="AF27" s="224"/>
      <c r="AG27" s="25" t="s">
        <v>12</v>
      </c>
      <c r="AH27" s="25" t="s">
        <v>12</v>
      </c>
      <c r="AI27" s="25" t="s">
        <v>12</v>
      </c>
      <c r="AJ27" s="25" t="s">
        <v>12</v>
      </c>
      <c r="AK27" s="169">
        <f t="shared" si="0"/>
        <v>25</v>
      </c>
      <c r="AL27" s="35">
        <f t="shared" si="1"/>
        <v>1</v>
      </c>
    </row>
    <row r="28" spans="1:43" ht="19" x14ac:dyDescent="0.4">
      <c r="A28" s="35">
        <v>23</v>
      </c>
      <c r="B28" s="10"/>
      <c r="C28" s="10"/>
      <c r="D28" s="10"/>
      <c r="E28" s="35" t="s">
        <v>34</v>
      </c>
      <c r="F28" s="25" t="s">
        <v>11</v>
      </c>
      <c r="G28" s="25" t="s">
        <v>11</v>
      </c>
      <c r="H28" s="25" t="s">
        <v>11</v>
      </c>
      <c r="I28" s="25" t="s">
        <v>11</v>
      </c>
      <c r="J28" s="25" t="s">
        <v>11</v>
      </c>
      <c r="K28" s="224"/>
      <c r="L28" s="25" t="s">
        <v>11</v>
      </c>
      <c r="M28" s="25" t="s">
        <v>11</v>
      </c>
      <c r="N28" s="25" t="s">
        <v>11</v>
      </c>
      <c r="O28" s="25" t="s">
        <v>12</v>
      </c>
      <c r="P28" s="25" t="s">
        <v>12</v>
      </c>
      <c r="Q28" s="25" t="s">
        <v>12</v>
      </c>
      <c r="R28" s="224"/>
      <c r="S28" s="228"/>
      <c r="T28" s="25" t="s">
        <v>12</v>
      </c>
      <c r="U28" s="25" t="s">
        <v>12</v>
      </c>
      <c r="V28" s="25" t="s">
        <v>12</v>
      </c>
      <c r="W28" s="25" t="s">
        <v>12</v>
      </c>
      <c r="X28" s="25" t="s">
        <v>12</v>
      </c>
      <c r="Y28" s="224"/>
      <c r="Z28" s="25" t="s">
        <v>12</v>
      </c>
      <c r="AA28" s="25" t="s">
        <v>12</v>
      </c>
      <c r="AB28" s="25" t="s">
        <v>12</v>
      </c>
      <c r="AC28" s="25" t="s">
        <v>12</v>
      </c>
      <c r="AD28" s="25" t="s">
        <v>12</v>
      </c>
      <c r="AE28" s="25" t="s">
        <v>12</v>
      </c>
      <c r="AF28" s="224"/>
      <c r="AG28" s="25" t="s">
        <v>12</v>
      </c>
      <c r="AH28" s="25" t="s">
        <v>12</v>
      </c>
      <c r="AI28" s="25" t="s">
        <v>12</v>
      </c>
      <c r="AJ28" s="25" t="s">
        <v>12</v>
      </c>
      <c r="AK28" s="13">
        <f t="shared" si="0"/>
        <v>18</v>
      </c>
      <c r="AL28" s="35">
        <f t="shared" si="1"/>
        <v>8</v>
      </c>
    </row>
    <row r="29" spans="1:43" ht="19" x14ac:dyDescent="0.4">
      <c r="A29" s="35">
        <v>24</v>
      </c>
      <c r="B29" s="10"/>
      <c r="C29" s="10"/>
      <c r="D29" s="10"/>
      <c r="E29" s="35" t="s">
        <v>34</v>
      </c>
      <c r="F29" s="25" t="s">
        <v>11</v>
      </c>
      <c r="G29" s="25" t="s">
        <v>11</v>
      </c>
      <c r="H29" s="25" t="s">
        <v>12</v>
      </c>
      <c r="I29" s="25" t="s">
        <v>12</v>
      </c>
      <c r="J29" s="25" t="s">
        <v>11</v>
      </c>
      <c r="K29" s="224"/>
      <c r="L29" s="25" t="s">
        <v>11</v>
      </c>
      <c r="M29" s="25" t="s">
        <v>12</v>
      </c>
      <c r="N29" s="25" t="s">
        <v>11</v>
      </c>
      <c r="O29" s="25" t="s">
        <v>12</v>
      </c>
      <c r="P29" s="25" t="s">
        <v>11</v>
      </c>
      <c r="Q29" s="25" t="s">
        <v>12</v>
      </c>
      <c r="R29" s="224"/>
      <c r="S29" s="228"/>
      <c r="T29" s="25" t="s">
        <v>12</v>
      </c>
      <c r="U29" s="25" t="s">
        <v>12</v>
      </c>
      <c r="V29" s="25" t="s">
        <v>12</v>
      </c>
      <c r="W29" s="25" t="s">
        <v>12</v>
      </c>
      <c r="X29" s="25" t="s">
        <v>12</v>
      </c>
      <c r="Y29" s="224"/>
      <c r="Z29" s="25" t="s">
        <v>12</v>
      </c>
      <c r="AA29" s="25" t="s">
        <v>12</v>
      </c>
      <c r="AB29" s="25" t="s">
        <v>12</v>
      </c>
      <c r="AC29" s="25" t="s">
        <v>12</v>
      </c>
      <c r="AD29" s="25" t="s">
        <v>12</v>
      </c>
      <c r="AE29" s="25" t="s">
        <v>12</v>
      </c>
      <c r="AF29" s="224"/>
      <c r="AG29" s="25" t="s">
        <v>12</v>
      </c>
      <c r="AH29" s="25" t="s">
        <v>11</v>
      </c>
      <c r="AI29" s="25" t="s">
        <v>12</v>
      </c>
      <c r="AJ29" s="25" t="s">
        <v>12</v>
      </c>
      <c r="AK29" s="13">
        <f t="shared" si="0"/>
        <v>19</v>
      </c>
      <c r="AL29" s="35">
        <f t="shared" si="1"/>
        <v>7</v>
      </c>
    </row>
    <row r="30" spans="1:43" ht="19" x14ac:dyDescent="0.4">
      <c r="A30" s="35">
        <v>25</v>
      </c>
      <c r="B30" s="10"/>
      <c r="C30" s="10"/>
      <c r="D30" s="10"/>
      <c r="E30" s="35" t="s">
        <v>34</v>
      </c>
      <c r="F30" s="25" t="s">
        <v>11</v>
      </c>
      <c r="G30" s="25" t="s">
        <v>11</v>
      </c>
      <c r="H30" s="25" t="s">
        <v>11</v>
      </c>
      <c r="I30" s="25" t="s">
        <v>11</v>
      </c>
      <c r="J30" s="25" t="s">
        <v>12</v>
      </c>
      <c r="K30" s="224"/>
      <c r="L30" s="25" t="s">
        <v>12</v>
      </c>
      <c r="M30" s="25" t="s">
        <v>12</v>
      </c>
      <c r="N30" s="25" t="s">
        <v>12</v>
      </c>
      <c r="O30" s="25" t="s">
        <v>12</v>
      </c>
      <c r="P30" s="25" t="s">
        <v>11</v>
      </c>
      <c r="Q30" s="25" t="s">
        <v>11</v>
      </c>
      <c r="R30" s="224"/>
      <c r="S30" s="228"/>
      <c r="T30" s="25" t="s">
        <v>12</v>
      </c>
      <c r="U30" s="25" t="s">
        <v>12</v>
      </c>
      <c r="V30" s="25" t="s">
        <v>12</v>
      </c>
      <c r="W30" s="25" t="s">
        <v>11</v>
      </c>
      <c r="X30" s="25" t="s">
        <v>12</v>
      </c>
      <c r="Y30" s="224"/>
      <c r="Z30" s="25" t="s">
        <v>12</v>
      </c>
      <c r="AA30" s="25" t="s">
        <v>12</v>
      </c>
      <c r="AB30" s="25" t="s">
        <v>12</v>
      </c>
      <c r="AC30" s="25" t="s">
        <v>12</v>
      </c>
      <c r="AD30" s="25" t="s">
        <v>12</v>
      </c>
      <c r="AE30" s="25" t="s">
        <v>12</v>
      </c>
      <c r="AF30" s="224"/>
      <c r="AG30" s="25" t="s">
        <v>12</v>
      </c>
      <c r="AH30" s="25" t="s">
        <v>12</v>
      </c>
      <c r="AI30" s="25" t="s">
        <v>12</v>
      </c>
      <c r="AJ30" s="25" t="s">
        <v>12</v>
      </c>
      <c r="AK30" s="169">
        <f t="shared" si="0"/>
        <v>19</v>
      </c>
      <c r="AL30" s="35">
        <f t="shared" si="1"/>
        <v>7</v>
      </c>
    </row>
    <row r="31" spans="1:43" ht="19" x14ac:dyDescent="0.4">
      <c r="A31" s="35">
        <v>26</v>
      </c>
      <c r="B31" s="10"/>
      <c r="C31" s="10"/>
      <c r="D31" s="10"/>
      <c r="E31" s="35" t="s">
        <v>34</v>
      </c>
      <c r="F31" s="25" t="s">
        <v>11</v>
      </c>
      <c r="G31" s="25" t="s">
        <v>11</v>
      </c>
      <c r="H31" s="25" t="s">
        <v>11</v>
      </c>
      <c r="I31" s="25" t="s">
        <v>12</v>
      </c>
      <c r="J31" s="25" t="s">
        <v>12</v>
      </c>
      <c r="K31" s="224"/>
      <c r="L31" s="25" t="s">
        <v>12</v>
      </c>
      <c r="M31" s="25" t="s">
        <v>12</v>
      </c>
      <c r="N31" s="25" t="s">
        <v>12</v>
      </c>
      <c r="O31" s="25" t="s">
        <v>12</v>
      </c>
      <c r="P31" s="25" t="s">
        <v>12</v>
      </c>
      <c r="Q31" s="25" t="s">
        <v>12</v>
      </c>
      <c r="R31" s="224"/>
      <c r="S31" s="228"/>
      <c r="T31" s="25" t="s">
        <v>12</v>
      </c>
      <c r="U31" s="25" t="s">
        <v>12</v>
      </c>
      <c r="V31" s="25" t="s">
        <v>12</v>
      </c>
      <c r="W31" s="25" t="s">
        <v>12</v>
      </c>
      <c r="X31" s="25" t="s">
        <v>12</v>
      </c>
      <c r="Y31" s="224"/>
      <c r="Z31" s="25" t="s">
        <v>12</v>
      </c>
      <c r="AA31" s="25" t="s">
        <v>12</v>
      </c>
      <c r="AB31" s="25" t="s">
        <v>12</v>
      </c>
      <c r="AC31" s="25" t="s">
        <v>12</v>
      </c>
      <c r="AD31" s="25" t="s">
        <v>12</v>
      </c>
      <c r="AE31" s="25" t="s">
        <v>12</v>
      </c>
      <c r="AF31" s="224"/>
      <c r="AG31" s="25" t="s">
        <v>12</v>
      </c>
      <c r="AH31" s="25" t="s">
        <v>12</v>
      </c>
      <c r="AI31" s="25" t="s">
        <v>12</v>
      </c>
      <c r="AJ31" s="25" t="s">
        <v>12</v>
      </c>
      <c r="AK31" s="13">
        <f t="shared" si="0"/>
        <v>23</v>
      </c>
      <c r="AL31" s="35">
        <f t="shared" si="1"/>
        <v>3</v>
      </c>
    </row>
    <row r="32" spans="1:43" ht="19" x14ac:dyDescent="0.4">
      <c r="A32" s="35">
        <v>27</v>
      </c>
      <c r="B32" s="10"/>
      <c r="C32" s="10"/>
      <c r="D32" s="10"/>
      <c r="E32" s="35" t="s">
        <v>34</v>
      </c>
      <c r="F32" s="25" t="s">
        <v>11</v>
      </c>
      <c r="G32" s="25" t="s">
        <v>11</v>
      </c>
      <c r="H32" s="25" t="s">
        <v>11</v>
      </c>
      <c r="I32" s="25" t="s">
        <v>11</v>
      </c>
      <c r="J32" s="25" t="s">
        <v>11</v>
      </c>
      <c r="K32" s="224"/>
      <c r="L32" s="25" t="s">
        <v>12</v>
      </c>
      <c r="M32" s="25" t="s">
        <v>12</v>
      </c>
      <c r="N32" s="25" t="s">
        <v>12</v>
      </c>
      <c r="O32" s="25" t="s">
        <v>12</v>
      </c>
      <c r="P32" s="25" t="s">
        <v>12</v>
      </c>
      <c r="Q32" s="25" t="s">
        <v>12</v>
      </c>
      <c r="R32" s="224"/>
      <c r="S32" s="228"/>
      <c r="T32" s="25" t="s">
        <v>12</v>
      </c>
      <c r="U32" s="25" t="s">
        <v>12</v>
      </c>
      <c r="V32" s="25" t="s">
        <v>12</v>
      </c>
      <c r="W32" s="25" t="s">
        <v>12</v>
      </c>
      <c r="X32" s="25" t="s">
        <v>12</v>
      </c>
      <c r="Y32" s="224"/>
      <c r="Z32" s="25" t="s">
        <v>12</v>
      </c>
      <c r="AA32" s="25" t="s">
        <v>12</v>
      </c>
      <c r="AB32" s="25" t="s">
        <v>12</v>
      </c>
      <c r="AC32" s="25" t="s">
        <v>12</v>
      </c>
      <c r="AD32" s="25" t="s">
        <v>12</v>
      </c>
      <c r="AE32" s="25" t="s">
        <v>12</v>
      </c>
      <c r="AF32" s="224"/>
      <c r="AG32" s="25" t="s">
        <v>12</v>
      </c>
      <c r="AH32" s="25" t="s">
        <v>12</v>
      </c>
      <c r="AI32" s="25" t="s">
        <v>12</v>
      </c>
      <c r="AJ32" s="25" t="s">
        <v>12</v>
      </c>
      <c r="AK32" s="13">
        <f t="shared" si="0"/>
        <v>21</v>
      </c>
      <c r="AL32" s="35">
        <f t="shared" si="1"/>
        <v>5</v>
      </c>
    </row>
    <row r="33" spans="1:38" ht="19" x14ac:dyDescent="0.4">
      <c r="A33" s="35">
        <v>28</v>
      </c>
      <c r="B33" s="10"/>
      <c r="C33" s="10"/>
      <c r="D33" s="10"/>
      <c r="E33" s="35" t="s">
        <v>34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12</v>
      </c>
      <c r="K33" s="224"/>
      <c r="L33" s="25" t="s">
        <v>12</v>
      </c>
      <c r="M33" s="25" t="s">
        <v>12</v>
      </c>
      <c r="N33" s="25" t="s">
        <v>12</v>
      </c>
      <c r="O33" s="25" t="s">
        <v>12</v>
      </c>
      <c r="P33" s="25" t="s">
        <v>12</v>
      </c>
      <c r="Q33" s="25" t="s">
        <v>12</v>
      </c>
      <c r="R33" s="224"/>
      <c r="S33" s="228"/>
      <c r="T33" s="25" t="s">
        <v>12</v>
      </c>
      <c r="U33" s="25" t="s">
        <v>12</v>
      </c>
      <c r="V33" s="25" t="s">
        <v>12</v>
      </c>
      <c r="W33" s="25" t="s">
        <v>12</v>
      </c>
      <c r="X33" s="25" t="s">
        <v>12</v>
      </c>
      <c r="Y33" s="224"/>
      <c r="Z33" s="25" t="s">
        <v>12</v>
      </c>
      <c r="AA33" s="25" t="s">
        <v>12</v>
      </c>
      <c r="AB33" s="25" t="s">
        <v>12</v>
      </c>
      <c r="AC33" s="25" t="s">
        <v>12</v>
      </c>
      <c r="AD33" s="25" t="s">
        <v>12</v>
      </c>
      <c r="AE33" s="25" t="s">
        <v>12</v>
      </c>
      <c r="AF33" s="224"/>
      <c r="AG33" s="25" t="s">
        <v>12</v>
      </c>
      <c r="AH33" s="25" t="s">
        <v>12</v>
      </c>
      <c r="AI33" s="25" t="s">
        <v>12</v>
      </c>
      <c r="AJ33" s="25" t="s">
        <v>12</v>
      </c>
      <c r="AK33" s="169">
        <f t="shared" si="0"/>
        <v>26</v>
      </c>
      <c r="AL33" s="35">
        <f t="shared" si="1"/>
        <v>0</v>
      </c>
    </row>
    <row r="34" spans="1:38" ht="19" x14ac:dyDescent="0.4">
      <c r="A34" s="35">
        <v>29</v>
      </c>
      <c r="B34" s="10"/>
      <c r="C34" s="10"/>
      <c r="D34" s="10"/>
      <c r="E34" s="35" t="s">
        <v>34</v>
      </c>
      <c r="F34" s="25" t="s">
        <v>11</v>
      </c>
      <c r="G34" s="25" t="s">
        <v>12</v>
      </c>
      <c r="H34" s="25" t="s">
        <v>12</v>
      </c>
      <c r="I34" s="25" t="s">
        <v>12</v>
      </c>
      <c r="J34" s="25" t="s">
        <v>12</v>
      </c>
      <c r="K34" s="224"/>
      <c r="L34" s="25" t="s">
        <v>12</v>
      </c>
      <c r="M34" s="25" t="s">
        <v>12</v>
      </c>
      <c r="N34" s="25" t="s">
        <v>12</v>
      </c>
      <c r="O34" s="25" t="s">
        <v>12</v>
      </c>
      <c r="P34" s="25" t="s">
        <v>12</v>
      </c>
      <c r="Q34" s="25" t="s">
        <v>12</v>
      </c>
      <c r="R34" s="224"/>
      <c r="S34" s="228"/>
      <c r="T34" s="25" t="s">
        <v>12</v>
      </c>
      <c r="U34" s="25" t="s">
        <v>12</v>
      </c>
      <c r="V34" s="25" t="s">
        <v>12</v>
      </c>
      <c r="W34" s="25" t="s">
        <v>12</v>
      </c>
      <c r="X34" s="25" t="s">
        <v>12</v>
      </c>
      <c r="Y34" s="224"/>
      <c r="Z34" s="25" t="s">
        <v>12</v>
      </c>
      <c r="AA34" s="25" t="s">
        <v>12</v>
      </c>
      <c r="AB34" s="25" t="s">
        <v>12</v>
      </c>
      <c r="AC34" s="25" t="s">
        <v>12</v>
      </c>
      <c r="AD34" s="25" t="s">
        <v>12</v>
      </c>
      <c r="AE34" s="25" t="s">
        <v>12</v>
      </c>
      <c r="AF34" s="224"/>
      <c r="AG34" s="25" t="s">
        <v>12</v>
      </c>
      <c r="AH34" s="25" t="s">
        <v>12</v>
      </c>
      <c r="AI34" s="25" t="s">
        <v>12</v>
      </c>
      <c r="AJ34" s="25" t="s">
        <v>12</v>
      </c>
      <c r="AK34" s="169">
        <f t="shared" si="0"/>
        <v>25</v>
      </c>
      <c r="AL34" s="35">
        <f t="shared" si="1"/>
        <v>1</v>
      </c>
    </row>
    <row r="35" spans="1:38" ht="19" x14ac:dyDescent="0.4">
      <c r="A35" s="35">
        <v>30</v>
      </c>
      <c r="B35" s="10"/>
      <c r="C35" s="10"/>
      <c r="D35" s="10"/>
      <c r="E35" s="35" t="s">
        <v>34</v>
      </c>
      <c r="F35" s="25" t="s">
        <v>11</v>
      </c>
      <c r="G35" s="25" t="s">
        <v>11</v>
      </c>
      <c r="H35" s="25" t="s">
        <v>11</v>
      </c>
      <c r="I35" s="25" t="s">
        <v>12</v>
      </c>
      <c r="J35" s="25" t="s">
        <v>12</v>
      </c>
      <c r="K35" s="224"/>
      <c r="L35" s="25" t="s">
        <v>12</v>
      </c>
      <c r="M35" s="25" t="s">
        <v>12</v>
      </c>
      <c r="N35" s="25" t="s">
        <v>12</v>
      </c>
      <c r="O35" s="25" t="s">
        <v>11</v>
      </c>
      <c r="P35" s="25" t="s">
        <v>12</v>
      </c>
      <c r="Q35" s="25" t="s">
        <v>12</v>
      </c>
      <c r="R35" s="224"/>
      <c r="S35" s="228"/>
      <c r="T35" s="25" t="s">
        <v>12</v>
      </c>
      <c r="U35" s="25" t="s">
        <v>12</v>
      </c>
      <c r="V35" s="25" t="s">
        <v>12</v>
      </c>
      <c r="W35" s="25" t="s">
        <v>11</v>
      </c>
      <c r="X35" s="25" t="s">
        <v>11</v>
      </c>
      <c r="Y35" s="224"/>
      <c r="Z35" s="25" t="s">
        <v>12</v>
      </c>
      <c r="AA35" s="25" t="s">
        <v>12</v>
      </c>
      <c r="AB35" s="25" t="s">
        <v>12</v>
      </c>
      <c r="AC35" s="25" t="s">
        <v>12</v>
      </c>
      <c r="AD35" s="25" t="s">
        <v>12</v>
      </c>
      <c r="AE35" s="25" t="s">
        <v>12</v>
      </c>
      <c r="AF35" s="224"/>
      <c r="AG35" s="25" t="s">
        <v>12</v>
      </c>
      <c r="AH35" s="25" t="s">
        <v>12</v>
      </c>
      <c r="AI35" s="25" t="s">
        <v>12</v>
      </c>
      <c r="AJ35" s="25" t="s">
        <v>12</v>
      </c>
      <c r="AK35" s="13">
        <f t="shared" si="0"/>
        <v>20</v>
      </c>
      <c r="AL35" s="35">
        <f t="shared" si="1"/>
        <v>6</v>
      </c>
    </row>
    <row r="36" spans="1:38" ht="19" x14ac:dyDescent="0.4">
      <c r="A36" s="35">
        <v>31</v>
      </c>
      <c r="B36" s="10"/>
      <c r="C36" s="10"/>
      <c r="D36" s="10"/>
      <c r="E36" s="35" t="s">
        <v>34</v>
      </c>
      <c r="F36" s="25" t="s">
        <v>11</v>
      </c>
      <c r="G36" s="25" t="s">
        <v>11</v>
      </c>
      <c r="H36" s="25" t="s">
        <v>11</v>
      </c>
      <c r="I36" s="25" t="s">
        <v>12</v>
      </c>
      <c r="J36" s="25" t="s">
        <v>11</v>
      </c>
      <c r="K36" s="241"/>
      <c r="L36" s="25" t="s">
        <v>12</v>
      </c>
      <c r="M36" s="25" t="s">
        <v>11</v>
      </c>
      <c r="N36" s="25" t="s">
        <v>12</v>
      </c>
      <c r="O36" s="25" t="s">
        <v>11</v>
      </c>
      <c r="P36" s="25" t="s">
        <v>11</v>
      </c>
      <c r="Q36" s="25" t="s">
        <v>11</v>
      </c>
      <c r="R36" s="241"/>
      <c r="S36" s="228"/>
      <c r="T36" s="25" t="s">
        <v>11</v>
      </c>
      <c r="U36" s="25" t="s">
        <v>11</v>
      </c>
      <c r="V36" s="25" t="s">
        <v>11</v>
      </c>
      <c r="W36" s="25" t="s">
        <v>12</v>
      </c>
      <c r="X36" s="25" t="s">
        <v>12</v>
      </c>
      <c r="Y36" s="241"/>
      <c r="Z36" s="25" t="s">
        <v>12</v>
      </c>
      <c r="AA36" s="25" t="s">
        <v>11</v>
      </c>
      <c r="AB36" s="25" t="s">
        <v>11</v>
      </c>
      <c r="AC36" s="25" t="s">
        <v>12</v>
      </c>
      <c r="AD36" s="25" t="s">
        <v>12</v>
      </c>
      <c r="AE36" s="25" t="s">
        <v>12</v>
      </c>
      <c r="AF36" s="241"/>
      <c r="AG36" s="25" t="s">
        <v>11</v>
      </c>
      <c r="AH36" s="25" t="s">
        <v>12</v>
      </c>
      <c r="AI36" s="25" t="s">
        <v>11</v>
      </c>
      <c r="AJ36" s="25" t="s">
        <v>11</v>
      </c>
      <c r="AK36" s="13">
        <f t="shared" si="0"/>
        <v>10</v>
      </c>
      <c r="AL36" s="35">
        <f t="shared" si="1"/>
        <v>16</v>
      </c>
    </row>
    <row r="37" spans="1:38" x14ac:dyDescent="0.4">
      <c r="A37" s="35">
        <v>32</v>
      </c>
      <c r="F37" s="136"/>
      <c r="L37" s="136"/>
      <c r="S37" s="136"/>
      <c r="Z37" s="136"/>
      <c r="AG37" s="136"/>
      <c r="AK37" s="35">
        <f>SUM(AK6:AK36)</f>
        <v>551</v>
      </c>
      <c r="AL37" s="35">
        <f>SUM(AL6:AL36)</f>
        <v>255</v>
      </c>
    </row>
    <row r="38" spans="1:38" x14ac:dyDescent="0.4">
      <c r="A38" s="35">
        <v>33</v>
      </c>
      <c r="F38" s="136"/>
      <c r="L38" s="136"/>
      <c r="S38" s="136"/>
      <c r="Z38" s="136"/>
      <c r="AG38" s="136"/>
    </row>
    <row r="39" spans="1:38" x14ac:dyDescent="0.4">
      <c r="A39" s="35">
        <v>34</v>
      </c>
      <c r="F39" s="136"/>
      <c r="L39" s="136"/>
      <c r="S39" s="136"/>
      <c r="Z39" s="136"/>
      <c r="AG39" s="136"/>
    </row>
    <row r="40" spans="1:38" x14ac:dyDescent="0.4">
      <c r="A40" s="35">
        <v>35</v>
      </c>
      <c r="F40" s="136"/>
      <c r="L40" s="136"/>
      <c r="S40" s="136"/>
      <c r="Z40" s="136"/>
      <c r="AG40" s="136"/>
    </row>
    <row r="41" spans="1:38" x14ac:dyDescent="0.4">
      <c r="A41" s="35">
        <v>36</v>
      </c>
      <c r="F41" s="136"/>
      <c r="L41" s="136"/>
      <c r="S41" s="136"/>
      <c r="Z41" s="136"/>
      <c r="AG41" s="136"/>
    </row>
    <row r="42" spans="1:38" x14ac:dyDescent="0.4">
      <c r="A42" s="35">
        <v>37</v>
      </c>
      <c r="F42" s="136"/>
      <c r="L42" s="136"/>
      <c r="S42" s="136"/>
      <c r="Z42" s="136"/>
      <c r="AG42" s="136"/>
    </row>
    <row r="43" spans="1:38" x14ac:dyDescent="0.4">
      <c r="A43" s="35">
        <v>38</v>
      </c>
      <c r="F43" s="136"/>
      <c r="L43" s="136"/>
      <c r="S43" s="136"/>
      <c r="Z43" s="136"/>
      <c r="AG43" s="136"/>
    </row>
    <row r="44" spans="1:38" x14ac:dyDescent="0.4">
      <c r="A44" s="35">
        <v>39</v>
      </c>
      <c r="F44" s="136"/>
      <c r="L44" s="136"/>
      <c r="S44" s="136"/>
      <c r="Z44" s="136"/>
      <c r="AG44" s="136"/>
    </row>
    <row r="45" spans="1:38" x14ac:dyDescent="0.4">
      <c r="A45" s="35">
        <v>40</v>
      </c>
      <c r="F45" s="136"/>
      <c r="L45" s="136"/>
      <c r="S45" s="136"/>
      <c r="Z45" s="136"/>
      <c r="AG45" s="136"/>
    </row>
    <row r="46" spans="1:38" x14ac:dyDescent="0.4">
      <c r="A46" s="35">
        <v>41</v>
      </c>
      <c r="F46" s="136"/>
      <c r="L46" s="136"/>
      <c r="S46" s="136"/>
      <c r="Z46" s="136"/>
      <c r="AG46" s="136"/>
    </row>
    <row r="47" spans="1:38" x14ac:dyDescent="0.4">
      <c r="A47" s="35">
        <v>42</v>
      </c>
      <c r="F47" s="136"/>
      <c r="L47" s="136"/>
      <c r="S47" s="136"/>
      <c r="Z47" s="136"/>
      <c r="AG47" s="136"/>
    </row>
    <row r="48" spans="1:38" x14ac:dyDescent="0.4">
      <c r="A48" s="35"/>
    </row>
  </sheetData>
  <mergeCells count="12">
    <mergeCell ref="K7:K36"/>
    <mergeCell ref="S7:S36"/>
    <mergeCell ref="AN8:AQ8"/>
    <mergeCell ref="AN15:AQ15"/>
    <mergeCell ref="A1:AJ1"/>
    <mergeCell ref="A2:AJ2"/>
    <mergeCell ref="A3:AJ3"/>
    <mergeCell ref="AN3:AO3"/>
    <mergeCell ref="A4:AJ4"/>
    <mergeCell ref="AF7:AF36"/>
    <mergeCell ref="Y7:Y36"/>
    <mergeCell ref="R7:R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46"/>
  <sheetViews>
    <sheetView zoomScale="80" zoomScaleNormal="80" workbookViewId="0">
      <selection activeCell="G13" sqref="G13"/>
    </sheetView>
  </sheetViews>
  <sheetFormatPr defaultColWidth="9.1796875" defaultRowHeight="14" x14ac:dyDescent="0.3"/>
  <cols>
    <col min="1" max="1" width="4.81640625" style="1" customWidth="1"/>
    <col min="2" max="2" width="7.1796875" style="1" customWidth="1"/>
    <col min="3" max="3" width="24" style="1" customWidth="1"/>
    <col min="4" max="4" width="21.7265625" style="74" bestFit="1" customWidth="1"/>
    <col min="5" max="5" width="12" style="1" customWidth="1"/>
    <col min="6" max="36" width="5.1796875" style="1" customWidth="1"/>
    <col min="37" max="37" width="9.26953125" style="1" customWidth="1"/>
    <col min="38" max="38" width="9.453125" style="1" customWidth="1"/>
    <col min="39" max="39" width="3.1796875" style="1" customWidth="1"/>
    <col min="40" max="40" width="23.7265625" style="1" customWidth="1"/>
    <col min="41" max="41" width="7.81640625" style="1" customWidth="1"/>
    <col min="42" max="42" width="9.1796875" style="1"/>
    <col min="43" max="43" width="10.7265625" style="1" customWidth="1"/>
    <col min="44" max="16384" width="9.1796875" style="1"/>
  </cols>
  <sheetData>
    <row r="1" spans="1:44" x14ac:dyDescent="0.3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3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3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4" x14ac:dyDescent="0.3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247">
        <v>44774</v>
      </c>
      <c r="AO4" s="248"/>
      <c r="AP4" s="64"/>
      <c r="AQ4" s="64"/>
    </row>
    <row r="5" spans="1:44" s="38" customFormat="1" ht="36" x14ac:dyDescent="0.4">
      <c r="A5" s="36" t="s">
        <v>1</v>
      </c>
      <c r="B5" s="36" t="s">
        <v>2</v>
      </c>
      <c r="C5" s="36" t="s">
        <v>3</v>
      </c>
      <c r="D5" s="65" t="s">
        <v>4</v>
      </c>
      <c r="E5" s="36" t="s">
        <v>5</v>
      </c>
      <c r="F5" s="36">
        <v>1</v>
      </c>
      <c r="G5" s="36">
        <v>2</v>
      </c>
      <c r="H5" s="36">
        <v>3</v>
      </c>
      <c r="I5" s="36">
        <v>4</v>
      </c>
      <c r="J5" s="36">
        <v>5</v>
      </c>
      <c r="K5" s="36">
        <v>6</v>
      </c>
      <c r="L5" s="36">
        <v>7</v>
      </c>
      <c r="M5" s="36">
        <v>8</v>
      </c>
      <c r="N5" s="36">
        <v>9</v>
      </c>
      <c r="O5" s="36">
        <v>10</v>
      </c>
      <c r="P5" s="36">
        <v>11</v>
      </c>
      <c r="Q5" s="36">
        <v>12</v>
      </c>
      <c r="R5" s="36">
        <v>13</v>
      </c>
      <c r="S5" s="36">
        <v>14</v>
      </c>
      <c r="T5" s="36">
        <v>15</v>
      </c>
      <c r="U5" s="36">
        <v>16</v>
      </c>
      <c r="V5" s="36">
        <v>17</v>
      </c>
      <c r="W5" s="36">
        <v>18</v>
      </c>
      <c r="X5" s="36">
        <v>19</v>
      </c>
      <c r="Y5" s="36">
        <v>20</v>
      </c>
      <c r="Z5" s="36">
        <v>21</v>
      </c>
      <c r="AA5" s="36">
        <v>22</v>
      </c>
      <c r="AB5" s="36">
        <v>23</v>
      </c>
      <c r="AC5" s="36">
        <v>24</v>
      </c>
      <c r="AD5" s="36">
        <v>25</v>
      </c>
      <c r="AE5" s="36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36" t="s">
        <v>6</v>
      </c>
      <c r="AL5" s="36" t="s">
        <v>7</v>
      </c>
      <c r="AN5" s="37" t="s">
        <v>8</v>
      </c>
      <c r="AO5" s="37">
        <v>31</v>
      </c>
    </row>
    <row r="6" spans="1:44" s="34" customFormat="1" ht="18.75" customHeight="1" x14ac:dyDescent="0.4">
      <c r="A6" s="39">
        <v>1</v>
      </c>
      <c r="B6" s="10"/>
      <c r="C6" s="10"/>
      <c r="D6" s="10"/>
      <c r="E6" s="66" t="s">
        <v>35</v>
      </c>
      <c r="F6" s="67" t="s">
        <v>12</v>
      </c>
      <c r="G6" s="67" t="s">
        <v>12</v>
      </c>
      <c r="H6" s="23" t="s">
        <v>11</v>
      </c>
      <c r="I6" s="67" t="s">
        <v>12</v>
      </c>
      <c r="J6" s="67" t="s">
        <v>12</v>
      </c>
      <c r="K6" s="228" t="s">
        <v>26</v>
      </c>
      <c r="L6" s="67" t="s">
        <v>12</v>
      </c>
      <c r="M6" s="67" t="s">
        <v>12</v>
      </c>
      <c r="N6" s="23" t="s">
        <v>12</v>
      </c>
      <c r="O6" s="23" t="s">
        <v>12</v>
      </c>
      <c r="P6" s="23" t="s">
        <v>12</v>
      </c>
      <c r="Q6" s="67" t="s">
        <v>12</v>
      </c>
      <c r="R6" s="228" t="s">
        <v>26</v>
      </c>
      <c r="S6" s="228" t="s">
        <v>55</v>
      </c>
      <c r="T6" s="67" t="s">
        <v>12</v>
      </c>
      <c r="U6" s="67" t="s">
        <v>12</v>
      </c>
      <c r="V6" s="23" t="s">
        <v>12</v>
      </c>
      <c r="W6" s="23" t="s">
        <v>12</v>
      </c>
      <c r="X6" s="67" t="s">
        <v>12</v>
      </c>
      <c r="Y6" s="228" t="s">
        <v>26</v>
      </c>
      <c r="Z6" s="67" t="s">
        <v>11</v>
      </c>
      <c r="AA6" s="67" t="s">
        <v>12</v>
      </c>
      <c r="AB6" s="67" t="s">
        <v>12</v>
      </c>
      <c r="AC6" s="23" t="s">
        <v>12</v>
      </c>
      <c r="AD6" s="23" t="s">
        <v>12</v>
      </c>
      <c r="AE6" s="67" t="s">
        <v>12</v>
      </c>
      <c r="AF6" s="228" t="s">
        <v>26</v>
      </c>
      <c r="AG6" s="67" t="s">
        <v>12</v>
      </c>
      <c r="AH6" s="23" t="s">
        <v>12</v>
      </c>
      <c r="AI6" s="23" t="s">
        <v>12</v>
      </c>
      <c r="AJ6" s="23" t="s">
        <v>12</v>
      </c>
      <c r="AK6" s="22">
        <f>COUNTIF(F6:AJ6,"P")</f>
        <v>24</v>
      </c>
      <c r="AL6" s="22">
        <f>COUNTIF(F6:AJ6,"A")</f>
        <v>2</v>
      </c>
      <c r="AN6" s="39" t="s">
        <v>13</v>
      </c>
      <c r="AO6" s="39">
        <v>26</v>
      </c>
    </row>
    <row r="7" spans="1:44" s="34" customFormat="1" ht="20.25" customHeight="1" x14ac:dyDescent="0.4">
      <c r="A7" s="39">
        <v>2</v>
      </c>
      <c r="B7" s="10"/>
      <c r="C7" s="10"/>
      <c r="D7" s="10"/>
      <c r="E7" s="66" t="s">
        <v>35</v>
      </c>
      <c r="F7" s="67" t="s">
        <v>11</v>
      </c>
      <c r="G7" s="67" t="s">
        <v>12</v>
      </c>
      <c r="H7" s="23" t="s">
        <v>12</v>
      </c>
      <c r="I7" s="23" t="s">
        <v>12</v>
      </c>
      <c r="J7" s="67" t="s">
        <v>11</v>
      </c>
      <c r="K7" s="228"/>
      <c r="L7" s="67" t="s">
        <v>12</v>
      </c>
      <c r="M7" s="67" t="s">
        <v>12</v>
      </c>
      <c r="N7" s="23" t="s">
        <v>12</v>
      </c>
      <c r="O7" s="23" t="s">
        <v>12</v>
      </c>
      <c r="P7" s="23" t="s">
        <v>12</v>
      </c>
      <c r="Q7" s="67" t="s">
        <v>12</v>
      </c>
      <c r="R7" s="228"/>
      <c r="S7" s="228"/>
      <c r="T7" s="67" t="s">
        <v>11</v>
      </c>
      <c r="U7" s="67" t="s">
        <v>12</v>
      </c>
      <c r="V7" s="23" t="s">
        <v>12</v>
      </c>
      <c r="W7" s="23" t="s">
        <v>12</v>
      </c>
      <c r="X7" s="67" t="s">
        <v>12</v>
      </c>
      <c r="Y7" s="228"/>
      <c r="Z7" s="67" t="s">
        <v>12</v>
      </c>
      <c r="AA7" s="67" t="s">
        <v>12</v>
      </c>
      <c r="AB7" s="67" t="s">
        <v>12</v>
      </c>
      <c r="AC7" s="23" t="s">
        <v>12</v>
      </c>
      <c r="AD7" s="23" t="s">
        <v>12</v>
      </c>
      <c r="AE7" s="67" t="s">
        <v>64</v>
      </c>
      <c r="AF7" s="228"/>
      <c r="AG7" s="67" t="s">
        <v>11</v>
      </c>
      <c r="AH7" s="23" t="s">
        <v>12</v>
      </c>
      <c r="AI7" s="23" t="s">
        <v>12</v>
      </c>
      <c r="AJ7" s="23" t="s">
        <v>12</v>
      </c>
      <c r="AK7" s="22">
        <f t="shared" ref="AK7:AK45" si="0">COUNTIF(F7:AJ7,"P")</f>
        <v>21</v>
      </c>
      <c r="AL7" s="22">
        <f t="shared" ref="AL7:AL45" si="1">COUNTIF(F7:AJ7,"A")</f>
        <v>4</v>
      </c>
      <c r="AN7" s="34" t="s">
        <v>26</v>
      </c>
      <c r="AO7" s="34">
        <v>4</v>
      </c>
      <c r="AP7" s="64" t="s">
        <v>58</v>
      </c>
      <c r="AQ7" s="64"/>
      <c r="AR7" s="1">
        <v>1</v>
      </c>
    </row>
    <row r="8" spans="1:44" s="34" customFormat="1" ht="18" x14ac:dyDescent="0.4">
      <c r="A8" s="39">
        <v>3</v>
      </c>
      <c r="B8" s="10"/>
      <c r="C8" s="10"/>
      <c r="D8" s="10"/>
      <c r="E8" s="66" t="s">
        <v>35</v>
      </c>
      <c r="F8" s="22" t="s">
        <v>11</v>
      </c>
      <c r="G8" s="22" t="s">
        <v>11</v>
      </c>
      <c r="H8" s="22" t="s">
        <v>12</v>
      </c>
      <c r="I8" s="22" t="s">
        <v>11</v>
      </c>
      <c r="J8" s="22" t="s">
        <v>12</v>
      </c>
      <c r="K8" s="228"/>
      <c r="L8" s="22" t="s">
        <v>11</v>
      </c>
      <c r="M8" s="22" t="s">
        <v>11</v>
      </c>
      <c r="N8" s="22" t="s">
        <v>11</v>
      </c>
      <c r="O8" s="22" t="s">
        <v>11</v>
      </c>
      <c r="P8" s="22" t="s">
        <v>11</v>
      </c>
      <c r="Q8" s="22" t="s">
        <v>11</v>
      </c>
      <c r="R8" s="228"/>
      <c r="S8" s="228"/>
      <c r="T8" s="22" t="s">
        <v>12</v>
      </c>
      <c r="U8" s="22" t="s">
        <v>11</v>
      </c>
      <c r="V8" s="22" t="s">
        <v>11</v>
      </c>
      <c r="W8" s="22" t="s">
        <v>11</v>
      </c>
      <c r="X8" s="22" t="s">
        <v>12</v>
      </c>
      <c r="Y8" s="228"/>
      <c r="Z8" s="22" t="s">
        <v>11</v>
      </c>
      <c r="AA8" s="22" t="s">
        <v>12</v>
      </c>
      <c r="AB8" s="22" t="s">
        <v>12</v>
      </c>
      <c r="AC8" s="22" t="s">
        <v>11</v>
      </c>
      <c r="AD8" s="22" t="s">
        <v>11</v>
      </c>
      <c r="AE8" s="22" t="s">
        <v>11</v>
      </c>
      <c r="AF8" s="228"/>
      <c r="AG8" s="22" t="s">
        <v>12</v>
      </c>
      <c r="AH8" s="22" t="s">
        <v>11</v>
      </c>
      <c r="AI8" s="22" t="s">
        <v>12</v>
      </c>
      <c r="AJ8" s="22" t="s">
        <v>11</v>
      </c>
      <c r="AK8" s="22">
        <f t="shared" si="0"/>
        <v>8</v>
      </c>
      <c r="AL8" s="22">
        <f t="shared" si="1"/>
        <v>18</v>
      </c>
      <c r="AP8" s="64"/>
      <c r="AQ8" s="64"/>
      <c r="AR8" s="1"/>
    </row>
    <row r="9" spans="1:44" s="34" customFormat="1" ht="18" x14ac:dyDescent="0.4">
      <c r="A9" s="39">
        <v>4</v>
      </c>
      <c r="B9" s="10"/>
      <c r="C9" s="10"/>
      <c r="D9" s="10"/>
      <c r="E9" s="66" t="s">
        <v>35</v>
      </c>
      <c r="F9" s="22" t="s">
        <v>12</v>
      </c>
      <c r="G9" s="22" t="s">
        <v>12</v>
      </c>
      <c r="H9" s="22" t="s">
        <v>11</v>
      </c>
      <c r="I9" s="22" t="s">
        <v>12</v>
      </c>
      <c r="J9" s="22" t="s">
        <v>64</v>
      </c>
      <c r="K9" s="228"/>
      <c r="L9" s="22" t="s">
        <v>12</v>
      </c>
      <c r="M9" s="22" t="s">
        <v>12</v>
      </c>
      <c r="N9" s="22" t="s">
        <v>12</v>
      </c>
      <c r="O9" s="22" t="s">
        <v>12</v>
      </c>
      <c r="P9" s="22" t="s">
        <v>12</v>
      </c>
      <c r="Q9" s="22" t="s">
        <v>11</v>
      </c>
      <c r="R9" s="228"/>
      <c r="S9" s="228"/>
      <c r="T9" s="22" t="s">
        <v>12</v>
      </c>
      <c r="U9" s="22" t="s">
        <v>12</v>
      </c>
      <c r="V9" s="22" t="s">
        <v>12</v>
      </c>
      <c r="W9" s="22" t="s">
        <v>64</v>
      </c>
      <c r="X9" s="22" t="s">
        <v>12</v>
      </c>
      <c r="Y9" s="228"/>
      <c r="Z9" s="22" t="s">
        <v>12</v>
      </c>
      <c r="AA9" s="22" t="s">
        <v>12</v>
      </c>
      <c r="AB9" s="22" t="s">
        <v>12</v>
      </c>
      <c r="AC9" s="22" t="s">
        <v>64</v>
      </c>
      <c r="AD9" s="22" t="s">
        <v>11</v>
      </c>
      <c r="AE9" s="22" t="s">
        <v>12</v>
      </c>
      <c r="AF9" s="228"/>
      <c r="AG9" s="22" t="s">
        <v>12</v>
      </c>
      <c r="AH9" s="22" t="s">
        <v>12</v>
      </c>
      <c r="AI9" s="22" t="s">
        <v>12</v>
      </c>
      <c r="AJ9" s="22" t="s">
        <v>12</v>
      </c>
      <c r="AK9" s="68">
        <f t="shared" si="0"/>
        <v>20</v>
      </c>
      <c r="AL9" s="22">
        <f t="shared" si="1"/>
        <v>3</v>
      </c>
      <c r="AN9" s="244" t="s">
        <v>6</v>
      </c>
      <c r="AO9" s="245"/>
      <c r="AP9" s="245"/>
      <c r="AQ9" s="246"/>
    </row>
    <row r="10" spans="1:44" s="34" customFormat="1" ht="18" x14ac:dyDescent="0.4">
      <c r="A10" s="39">
        <v>5</v>
      </c>
      <c r="B10" s="10"/>
      <c r="C10" s="10"/>
      <c r="D10" s="10"/>
      <c r="E10" s="66" t="s">
        <v>35</v>
      </c>
      <c r="F10" s="22" t="s">
        <v>12</v>
      </c>
      <c r="G10" s="22" t="s">
        <v>12</v>
      </c>
      <c r="H10" s="22" t="s">
        <v>11</v>
      </c>
      <c r="I10" s="22" t="s">
        <v>12</v>
      </c>
      <c r="J10" s="22" t="s">
        <v>12</v>
      </c>
      <c r="K10" s="228"/>
      <c r="L10" s="22" t="s">
        <v>12</v>
      </c>
      <c r="M10" s="22" t="s">
        <v>12</v>
      </c>
      <c r="N10" s="22" t="s">
        <v>12</v>
      </c>
      <c r="O10" s="22" t="s">
        <v>12</v>
      </c>
      <c r="P10" s="22" t="s">
        <v>12</v>
      </c>
      <c r="Q10" s="22" t="s">
        <v>12</v>
      </c>
      <c r="R10" s="228"/>
      <c r="S10" s="228"/>
      <c r="T10" s="22" t="s">
        <v>64</v>
      </c>
      <c r="U10" s="22" t="s">
        <v>12</v>
      </c>
      <c r="V10" s="22" t="s">
        <v>11</v>
      </c>
      <c r="W10" s="22" t="s">
        <v>12</v>
      </c>
      <c r="X10" s="22" t="s">
        <v>12</v>
      </c>
      <c r="Y10" s="228"/>
      <c r="Z10" s="22" t="s">
        <v>12</v>
      </c>
      <c r="AA10" s="22" t="s">
        <v>12</v>
      </c>
      <c r="AB10" s="22" t="s">
        <v>12</v>
      </c>
      <c r="AC10" s="22" t="s">
        <v>12</v>
      </c>
      <c r="AD10" s="22" t="s">
        <v>12</v>
      </c>
      <c r="AE10" s="22" t="s">
        <v>12</v>
      </c>
      <c r="AF10" s="228"/>
      <c r="AG10" s="22" t="s">
        <v>12</v>
      </c>
      <c r="AH10" s="22" t="s">
        <v>12</v>
      </c>
      <c r="AI10" s="22" t="s">
        <v>12</v>
      </c>
      <c r="AJ10" s="22" t="s">
        <v>12</v>
      </c>
      <c r="AK10" s="22">
        <f t="shared" si="0"/>
        <v>23</v>
      </c>
      <c r="AL10" s="22">
        <f t="shared" si="1"/>
        <v>2</v>
      </c>
      <c r="AN10" s="35" t="s">
        <v>16</v>
      </c>
      <c r="AO10" s="35" t="s">
        <v>18</v>
      </c>
      <c r="AP10" s="35" t="s">
        <v>17</v>
      </c>
      <c r="AQ10" s="35" t="s">
        <v>19</v>
      </c>
    </row>
    <row r="11" spans="1:44" s="34" customFormat="1" ht="18" x14ac:dyDescent="0.4">
      <c r="A11" s="39">
        <v>6</v>
      </c>
      <c r="B11" s="10"/>
      <c r="C11" s="10"/>
      <c r="D11" s="10"/>
      <c r="E11" s="66" t="s">
        <v>35</v>
      </c>
      <c r="F11" s="22" t="s">
        <v>11</v>
      </c>
      <c r="G11" s="22" t="s">
        <v>12</v>
      </c>
      <c r="H11" s="22" t="s">
        <v>12</v>
      </c>
      <c r="I11" s="22" t="s">
        <v>11</v>
      </c>
      <c r="J11" s="22" t="s">
        <v>12</v>
      </c>
      <c r="K11" s="228"/>
      <c r="L11" s="22" t="s">
        <v>12</v>
      </c>
      <c r="M11" s="22" t="s">
        <v>12</v>
      </c>
      <c r="N11" s="22" t="s">
        <v>12</v>
      </c>
      <c r="O11" s="22" t="s">
        <v>12</v>
      </c>
      <c r="P11" s="22" t="s">
        <v>12</v>
      </c>
      <c r="Q11" s="22" t="s">
        <v>12</v>
      </c>
      <c r="R11" s="228"/>
      <c r="S11" s="228"/>
      <c r="T11" s="22" t="s">
        <v>12</v>
      </c>
      <c r="U11" s="22" t="s">
        <v>11</v>
      </c>
      <c r="V11" s="22" t="s">
        <v>12</v>
      </c>
      <c r="W11" s="22" t="s">
        <v>12</v>
      </c>
      <c r="X11" s="22" t="s">
        <v>12</v>
      </c>
      <c r="Y11" s="228"/>
      <c r="Z11" s="22" t="s">
        <v>11</v>
      </c>
      <c r="AA11" s="22" t="s">
        <v>12</v>
      </c>
      <c r="AB11" s="22" t="s">
        <v>12</v>
      </c>
      <c r="AC11" s="22" t="s">
        <v>12</v>
      </c>
      <c r="AD11" s="22" t="s">
        <v>11</v>
      </c>
      <c r="AE11" s="22" t="s">
        <v>12</v>
      </c>
      <c r="AF11" s="228"/>
      <c r="AG11" s="22" t="s">
        <v>12</v>
      </c>
      <c r="AH11" s="22" t="s">
        <v>12</v>
      </c>
      <c r="AI11" s="22" t="s">
        <v>12</v>
      </c>
      <c r="AJ11" s="22" t="s">
        <v>12</v>
      </c>
      <c r="AK11" s="68">
        <f t="shared" si="0"/>
        <v>21</v>
      </c>
      <c r="AL11" s="22">
        <f t="shared" si="1"/>
        <v>5</v>
      </c>
      <c r="AN11" s="69" t="s">
        <v>20</v>
      </c>
      <c r="AO11" s="35">
        <f>31*26</f>
        <v>806</v>
      </c>
      <c r="AP11" s="35">
        <f>9*26</f>
        <v>234</v>
      </c>
      <c r="AQ11" s="35">
        <f>AO11+AP11</f>
        <v>1040</v>
      </c>
    </row>
    <row r="12" spans="1:44" s="34" customFormat="1" ht="18" x14ac:dyDescent="0.4">
      <c r="A12" s="39">
        <v>7</v>
      </c>
      <c r="B12" s="10"/>
      <c r="C12" s="10"/>
      <c r="D12" s="10"/>
      <c r="E12" s="66" t="s">
        <v>35</v>
      </c>
      <c r="F12" s="22" t="s">
        <v>12</v>
      </c>
      <c r="G12" s="22" t="s">
        <v>12</v>
      </c>
      <c r="H12" s="22" t="s">
        <v>12</v>
      </c>
      <c r="I12" s="22" t="s">
        <v>12</v>
      </c>
      <c r="J12" s="22" t="s">
        <v>12</v>
      </c>
      <c r="K12" s="228"/>
      <c r="L12" s="22" t="s">
        <v>12</v>
      </c>
      <c r="M12" s="22" t="s">
        <v>12</v>
      </c>
      <c r="N12" s="22" t="s">
        <v>12</v>
      </c>
      <c r="O12" s="22" t="s">
        <v>12</v>
      </c>
      <c r="P12" s="22" t="s">
        <v>12</v>
      </c>
      <c r="Q12" s="22" t="s">
        <v>12</v>
      </c>
      <c r="R12" s="228"/>
      <c r="S12" s="228"/>
      <c r="T12" s="22" t="s">
        <v>12</v>
      </c>
      <c r="U12" s="22" t="s">
        <v>12</v>
      </c>
      <c r="V12" s="22" t="s">
        <v>12</v>
      </c>
      <c r="W12" s="22" t="s">
        <v>12</v>
      </c>
      <c r="X12" s="22" t="s">
        <v>12</v>
      </c>
      <c r="Y12" s="228"/>
      <c r="Z12" s="22" t="s">
        <v>12</v>
      </c>
      <c r="AA12" s="22" t="s">
        <v>12</v>
      </c>
      <c r="AB12" s="22" t="s">
        <v>12</v>
      </c>
      <c r="AC12" s="22" t="s">
        <v>12</v>
      </c>
      <c r="AD12" s="22" t="s">
        <v>12</v>
      </c>
      <c r="AE12" s="22" t="s">
        <v>12</v>
      </c>
      <c r="AF12" s="228"/>
      <c r="AG12" s="22" t="s">
        <v>12</v>
      </c>
      <c r="AH12" s="22" t="s">
        <v>12</v>
      </c>
      <c r="AI12" s="22" t="s">
        <v>12</v>
      </c>
      <c r="AJ12" s="22" t="s">
        <v>12</v>
      </c>
      <c r="AK12" s="22">
        <f t="shared" si="0"/>
        <v>26</v>
      </c>
      <c r="AL12" s="22">
        <f t="shared" si="1"/>
        <v>0</v>
      </c>
      <c r="AN12" s="69" t="s">
        <v>21</v>
      </c>
      <c r="AO12" s="35">
        <f>AK6+AK7+AK8+AK10+AK12+AK13+AK14+AK15+AK16+AK17+AK18+AK19+AK20+AK21+AK22+AK23+AK24+AK25+AK26+AK28+AK29+AK31+AK32+AK33+AK36+AK39+AK41+AK42+AK43+AK44+AK45</f>
        <v>470</v>
      </c>
      <c r="AP12" s="35">
        <f>AK9+AK11+AK27+AK30+AK34+AK35+AK37+AK38+AK40</f>
        <v>202</v>
      </c>
      <c r="AQ12" s="35">
        <f>AO12+AP12</f>
        <v>672</v>
      </c>
    </row>
    <row r="13" spans="1:44" s="34" customFormat="1" ht="18" x14ac:dyDescent="0.4">
      <c r="A13" s="39">
        <v>8</v>
      </c>
      <c r="B13" s="10"/>
      <c r="C13" s="10"/>
      <c r="D13" s="10"/>
      <c r="E13" s="66" t="s">
        <v>35</v>
      </c>
      <c r="F13" s="22" t="s">
        <v>12</v>
      </c>
      <c r="G13" s="22" t="s">
        <v>12</v>
      </c>
      <c r="H13" s="22" t="s">
        <v>11</v>
      </c>
      <c r="I13" s="22" t="s">
        <v>12</v>
      </c>
      <c r="J13" s="22" t="s">
        <v>12</v>
      </c>
      <c r="K13" s="228"/>
      <c r="L13" s="22" t="s">
        <v>12</v>
      </c>
      <c r="M13" s="22" t="s">
        <v>12</v>
      </c>
      <c r="N13" s="22" t="s">
        <v>12</v>
      </c>
      <c r="O13" s="22" t="s">
        <v>12</v>
      </c>
      <c r="P13" s="22" t="s">
        <v>12</v>
      </c>
      <c r="Q13" s="22" t="s">
        <v>12</v>
      </c>
      <c r="R13" s="228"/>
      <c r="S13" s="228"/>
      <c r="T13" s="22" t="s">
        <v>12</v>
      </c>
      <c r="U13" s="22" t="s">
        <v>11</v>
      </c>
      <c r="V13" s="22" t="s">
        <v>12</v>
      </c>
      <c r="W13" s="22" t="s">
        <v>12</v>
      </c>
      <c r="X13" s="22" t="s">
        <v>12</v>
      </c>
      <c r="Y13" s="228"/>
      <c r="Z13" s="22" t="s">
        <v>12</v>
      </c>
      <c r="AA13" s="22" t="s">
        <v>11</v>
      </c>
      <c r="AB13" s="22" t="s">
        <v>12</v>
      </c>
      <c r="AC13" s="22" t="s">
        <v>12</v>
      </c>
      <c r="AD13" s="22" t="s">
        <v>12</v>
      </c>
      <c r="AE13" s="22" t="s">
        <v>11</v>
      </c>
      <c r="AF13" s="228"/>
      <c r="AG13" s="22" t="s">
        <v>12</v>
      </c>
      <c r="AH13" s="22" t="s">
        <v>11</v>
      </c>
      <c r="AI13" s="22" t="s">
        <v>11</v>
      </c>
      <c r="AJ13" s="22" t="s">
        <v>12</v>
      </c>
      <c r="AK13" s="22">
        <f t="shared" si="0"/>
        <v>20</v>
      </c>
      <c r="AL13" s="22">
        <f t="shared" si="1"/>
        <v>6</v>
      </c>
      <c r="AN13" s="35" t="s">
        <v>22</v>
      </c>
      <c r="AO13" s="62">
        <f>AO12/AO11</f>
        <v>0.5831265508684863</v>
      </c>
      <c r="AP13" s="62">
        <f>AP12/AP11</f>
        <v>0.86324786324786329</v>
      </c>
      <c r="AQ13" s="62">
        <f>AVERAGE(AO13:AP13)</f>
        <v>0.72318720705817485</v>
      </c>
    </row>
    <row r="14" spans="1:44" s="34" customFormat="1" ht="18" x14ac:dyDescent="0.4">
      <c r="A14" s="39">
        <v>9</v>
      </c>
      <c r="B14" s="10"/>
      <c r="C14" s="10"/>
      <c r="D14" s="10"/>
      <c r="E14" s="66" t="s">
        <v>35</v>
      </c>
      <c r="F14" s="22" t="s">
        <v>11</v>
      </c>
      <c r="G14" s="22" t="s">
        <v>12</v>
      </c>
      <c r="H14" s="22" t="s">
        <v>12</v>
      </c>
      <c r="I14" s="22" t="s">
        <v>11</v>
      </c>
      <c r="J14" s="22" t="s">
        <v>12</v>
      </c>
      <c r="K14" s="228"/>
      <c r="L14" s="22" t="s">
        <v>12</v>
      </c>
      <c r="M14" s="22" t="s">
        <v>12</v>
      </c>
      <c r="N14" s="22" t="s">
        <v>12</v>
      </c>
      <c r="O14" s="22" t="s">
        <v>11</v>
      </c>
      <c r="P14" s="22" t="s">
        <v>11</v>
      </c>
      <c r="Q14" s="22" t="s">
        <v>11</v>
      </c>
      <c r="R14" s="228"/>
      <c r="S14" s="228"/>
      <c r="T14" s="22" t="s">
        <v>11</v>
      </c>
      <c r="U14" s="22" t="s">
        <v>12</v>
      </c>
      <c r="V14" s="22" t="s">
        <v>12</v>
      </c>
      <c r="W14" s="22" t="s">
        <v>11</v>
      </c>
      <c r="X14" s="22" t="s">
        <v>11</v>
      </c>
      <c r="Y14" s="228"/>
      <c r="Z14" s="22" t="s">
        <v>11</v>
      </c>
      <c r="AA14" s="22" t="s">
        <v>11</v>
      </c>
      <c r="AB14" s="22" t="s">
        <v>11</v>
      </c>
      <c r="AC14" s="22" t="s">
        <v>12</v>
      </c>
      <c r="AD14" s="22" t="s">
        <v>11</v>
      </c>
      <c r="AE14" s="22" t="s">
        <v>11</v>
      </c>
      <c r="AF14" s="228"/>
      <c r="AG14" s="22" t="s">
        <v>11</v>
      </c>
      <c r="AH14" s="22" t="s">
        <v>12</v>
      </c>
      <c r="AI14" s="22" t="s">
        <v>12</v>
      </c>
      <c r="AJ14" s="22" t="s">
        <v>12</v>
      </c>
      <c r="AK14" s="22">
        <f t="shared" si="0"/>
        <v>12</v>
      </c>
      <c r="AL14" s="22">
        <f t="shared" si="1"/>
        <v>14</v>
      </c>
    </row>
    <row r="15" spans="1:44" s="34" customFormat="1" ht="18" x14ac:dyDescent="0.4">
      <c r="A15" s="39">
        <v>10</v>
      </c>
      <c r="B15" s="10"/>
      <c r="C15" s="10"/>
      <c r="D15" s="10"/>
      <c r="E15" s="66" t="s">
        <v>35</v>
      </c>
      <c r="F15" s="22" t="s">
        <v>12</v>
      </c>
      <c r="G15" s="22" t="s">
        <v>12</v>
      </c>
      <c r="H15" s="22" t="s">
        <v>11</v>
      </c>
      <c r="I15" s="22" t="s">
        <v>12</v>
      </c>
      <c r="J15" s="22" t="s">
        <v>12</v>
      </c>
      <c r="K15" s="228"/>
      <c r="L15" s="22" t="s">
        <v>12</v>
      </c>
      <c r="M15" s="22" t="s">
        <v>12</v>
      </c>
      <c r="N15" s="22" t="s">
        <v>12</v>
      </c>
      <c r="O15" s="22" t="s">
        <v>11</v>
      </c>
      <c r="P15" s="22" t="s">
        <v>11</v>
      </c>
      <c r="Q15" s="22" t="s">
        <v>12</v>
      </c>
      <c r="R15" s="228"/>
      <c r="S15" s="228"/>
      <c r="T15" s="22" t="s">
        <v>12</v>
      </c>
      <c r="U15" s="22" t="s">
        <v>12</v>
      </c>
      <c r="V15" s="22" t="s">
        <v>11</v>
      </c>
      <c r="W15" s="22" t="s">
        <v>12</v>
      </c>
      <c r="X15" s="22" t="s">
        <v>12</v>
      </c>
      <c r="Y15" s="228"/>
      <c r="Z15" s="22" t="s">
        <v>12</v>
      </c>
      <c r="AA15" s="22" t="s">
        <v>12</v>
      </c>
      <c r="AB15" s="22" t="s">
        <v>12</v>
      </c>
      <c r="AC15" s="22" t="s">
        <v>12</v>
      </c>
      <c r="AD15" s="22" t="s">
        <v>12</v>
      </c>
      <c r="AE15" s="22" t="s">
        <v>12</v>
      </c>
      <c r="AF15" s="228"/>
      <c r="AG15" s="22" t="s">
        <v>12</v>
      </c>
      <c r="AH15" s="22" t="s">
        <v>12</v>
      </c>
      <c r="AI15" s="22" t="s">
        <v>12</v>
      </c>
      <c r="AJ15" s="22" t="s">
        <v>12</v>
      </c>
      <c r="AK15" s="22">
        <f t="shared" si="0"/>
        <v>22</v>
      </c>
      <c r="AL15" s="22">
        <f t="shared" si="1"/>
        <v>4</v>
      </c>
      <c r="AN15" s="244" t="s">
        <v>7</v>
      </c>
      <c r="AO15" s="245"/>
      <c r="AP15" s="245"/>
      <c r="AQ15" s="246"/>
    </row>
    <row r="16" spans="1:44" s="34" customFormat="1" ht="18" x14ac:dyDescent="0.4">
      <c r="A16" s="39">
        <v>11</v>
      </c>
      <c r="B16" s="10"/>
      <c r="C16" s="10"/>
      <c r="D16" s="10"/>
      <c r="E16" s="66" t="s">
        <v>35</v>
      </c>
      <c r="F16" s="22" t="s">
        <v>11</v>
      </c>
      <c r="G16" s="22" t="s">
        <v>11</v>
      </c>
      <c r="H16" s="22" t="s">
        <v>12</v>
      </c>
      <c r="I16" s="22" t="s">
        <v>11</v>
      </c>
      <c r="J16" s="22" t="s">
        <v>11</v>
      </c>
      <c r="K16" s="228"/>
      <c r="L16" s="22" t="s">
        <v>11</v>
      </c>
      <c r="M16" s="22" t="s">
        <v>11</v>
      </c>
      <c r="N16" s="22" t="s">
        <v>11</v>
      </c>
      <c r="O16" s="22" t="s">
        <v>11</v>
      </c>
      <c r="P16" s="22" t="s">
        <v>11</v>
      </c>
      <c r="Q16" s="22" t="s">
        <v>11</v>
      </c>
      <c r="R16" s="228"/>
      <c r="S16" s="228"/>
      <c r="T16" s="22" t="s">
        <v>11</v>
      </c>
      <c r="U16" s="22" t="s">
        <v>12</v>
      </c>
      <c r="V16" s="22" t="s">
        <v>12</v>
      </c>
      <c r="W16" s="22" t="s">
        <v>11</v>
      </c>
      <c r="X16" s="22" t="s">
        <v>11</v>
      </c>
      <c r="Y16" s="228"/>
      <c r="Z16" s="22" t="s">
        <v>11</v>
      </c>
      <c r="AA16" s="22" t="s">
        <v>11</v>
      </c>
      <c r="AB16" s="22" t="s">
        <v>11</v>
      </c>
      <c r="AC16" s="22" t="s">
        <v>11</v>
      </c>
      <c r="AD16" s="22" t="s">
        <v>11</v>
      </c>
      <c r="AE16" s="22" t="s">
        <v>11</v>
      </c>
      <c r="AF16" s="228"/>
      <c r="AG16" s="22" t="s">
        <v>11</v>
      </c>
      <c r="AH16" s="22" t="s">
        <v>11</v>
      </c>
      <c r="AI16" s="22" t="s">
        <v>11</v>
      </c>
      <c r="AJ16" s="22" t="s">
        <v>12</v>
      </c>
      <c r="AK16" s="22">
        <f t="shared" si="0"/>
        <v>4</v>
      </c>
      <c r="AL16" s="22">
        <f t="shared" si="1"/>
        <v>22</v>
      </c>
      <c r="AN16" s="39" t="s">
        <v>16</v>
      </c>
      <c r="AO16" s="35" t="s">
        <v>18</v>
      </c>
      <c r="AP16" s="35" t="s">
        <v>17</v>
      </c>
      <c r="AQ16" s="39" t="s">
        <v>19</v>
      </c>
    </row>
    <row r="17" spans="1:43" s="34" customFormat="1" ht="18" x14ac:dyDescent="0.4">
      <c r="A17" s="39">
        <v>12</v>
      </c>
      <c r="B17" s="10"/>
      <c r="C17" s="10"/>
      <c r="D17" s="10"/>
      <c r="E17" s="66" t="s">
        <v>35</v>
      </c>
      <c r="F17" s="22" t="s">
        <v>12</v>
      </c>
      <c r="G17" s="22" t="s">
        <v>12</v>
      </c>
      <c r="H17" s="22" t="s">
        <v>11</v>
      </c>
      <c r="I17" s="22" t="s">
        <v>12</v>
      </c>
      <c r="J17" s="22" t="s">
        <v>12</v>
      </c>
      <c r="K17" s="228"/>
      <c r="L17" s="22" t="s">
        <v>11</v>
      </c>
      <c r="M17" s="22" t="s">
        <v>11</v>
      </c>
      <c r="N17" s="22" t="s">
        <v>12</v>
      </c>
      <c r="O17" s="22" t="s">
        <v>12</v>
      </c>
      <c r="P17" s="22" t="s">
        <v>11</v>
      </c>
      <c r="Q17" s="22" t="s">
        <v>11</v>
      </c>
      <c r="R17" s="228"/>
      <c r="S17" s="228"/>
      <c r="T17" s="22" t="s">
        <v>11</v>
      </c>
      <c r="U17" s="22" t="s">
        <v>11</v>
      </c>
      <c r="V17" s="22" t="s">
        <v>11</v>
      </c>
      <c r="W17" s="22" t="s">
        <v>11</v>
      </c>
      <c r="X17" s="22" t="s">
        <v>12</v>
      </c>
      <c r="Y17" s="228"/>
      <c r="Z17" s="22" t="s">
        <v>11</v>
      </c>
      <c r="AA17" s="22" t="s">
        <v>12</v>
      </c>
      <c r="AB17" s="22" t="s">
        <v>12</v>
      </c>
      <c r="AC17" s="22" t="s">
        <v>12</v>
      </c>
      <c r="AD17" s="22" t="s">
        <v>12</v>
      </c>
      <c r="AE17" s="22" t="s">
        <v>12</v>
      </c>
      <c r="AF17" s="228"/>
      <c r="AG17" s="22" t="s">
        <v>12</v>
      </c>
      <c r="AH17" s="22" t="s">
        <v>12</v>
      </c>
      <c r="AI17" s="22" t="s">
        <v>12</v>
      </c>
      <c r="AJ17" s="22" t="s">
        <v>11</v>
      </c>
      <c r="AK17" s="22">
        <f t="shared" si="0"/>
        <v>15</v>
      </c>
      <c r="AL17" s="22">
        <f t="shared" si="1"/>
        <v>11</v>
      </c>
      <c r="AN17" s="39" t="s">
        <v>20</v>
      </c>
      <c r="AO17" s="35">
        <f>31*26</f>
        <v>806</v>
      </c>
      <c r="AP17" s="35">
        <f>9*26</f>
        <v>234</v>
      </c>
      <c r="AQ17" s="39">
        <f>AO17+AP17</f>
        <v>1040</v>
      </c>
    </row>
    <row r="18" spans="1:43" s="34" customFormat="1" ht="18" x14ac:dyDescent="0.4">
      <c r="A18" s="39">
        <v>13</v>
      </c>
      <c r="B18" s="10"/>
      <c r="C18" s="10"/>
      <c r="D18" s="10"/>
      <c r="E18" s="66" t="s">
        <v>35</v>
      </c>
      <c r="F18" s="22" t="s">
        <v>11</v>
      </c>
      <c r="G18" s="22" t="s">
        <v>12</v>
      </c>
      <c r="H18" s="22" t="s">
        <v>12</v>
      </c>
      <c r="I18" s="22" t="s">
        <v>12</v>
      </c>
      <c r="J18" s="22" t="s">
        <v>12</v>
      </c>
      <c r="K18" s="228"/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12</v>
      </c>
      <c r="Q18" s="22" t="s">
        <v>11</v>
      </c>
      <c r="R18" s="228"/>
      <c r="S18" s="228"/>
      <c r="T18" s="22" t="s">
        <v>12</v>
      </c>
      <c r="U18" s="22" t="s">
        <v>12</v>
      </c>
      <c r="V18" s="22" t="s">
        <v>11</v>
      </c>
      <c r="W18" s="22" t="s">
        <v>11</v>
      </c>
      <c r="X18" s="22" t="s">
        <v>12</v>
      </c>
      <c r="Y18" s="228"/>
      <c r="Z18" s="22" t="s">
        <v>11</v>
      </c>
      <c r="AA18" s="22" t="s">
        <v>12</v>
      </c>
      <c r="AB18" s="22" t="s">
        <v>12</v>
      </c>
      <c r="AC18" s="22" t="s">
        <v>12</v>
      </c>
      <c r="AD18" s="22" t="s">
        <v>12</v>
      </c>
      <c r="AE18" s="22" t="s">
        <v>11</v>
      </c>
      <c r="AF18" s="228"/>
      <c r="AG18" s="22" t="s">
        <v>12</v>
      </c>
      <c r="AH18" s="22" t="s">
        <v>12</v>
      </c>
      <c r="AI18" s="22" t="s">
        <v>12</v>
      </c>
      <c r="AJ18" s="22" t="s">
        <v>11</v>
      </c>
      <c r="AK18" s="22">
        <f t="shared" si="0"/>
        <v>15</v>
      </c>
      <c r="AL18" s="22">
        <f t="shared" si="1"/>
        <v>11</v>
      </c>
      <c r="AN18" s="39" t="s">
        <v>27</v>
      </c>
      <c r="AO18" s="39">
        <f>AO17-AO12</f>
        <v>336</v>
      </c>
      <c r="AP18" s="39">
        <f>AP17-AP12</f>
        <v>32</v>
      </c>
      <c r="AQ18" s="39">
        <f>AO18+AP18</f>
        <v>368</v>
      </c>
    </row>
    <row r="19" spans="1:43" s="34" customFormat="1" ht="18" x14ac:dyDescent="0.4">
      <c r="A19" s="39">
        <v>14</v>
      </c>
      <c r="B19" s="10"/>
      <c r="C19" s="10"/>
      <c r="D19" s="10"/>
      <c r="E19" s="66" t="s">
        <v>35</v>
      </c>
      <c r="F19" s="22" t="s">
        <v>12</v>
      </c>
      <c r="G19" s="22" t="s">
        <v>12</v>
      </c>
      <c r="H19" s="22" t="s">
        <v>11</v>
      </c>
      <c r="I19" s="22" t="s">
        <v>11</v>
      </c>
      <c r="J19" s="22" t="s">
        <v>12</v>
      </c>
      <c r="K19" s="228"/>
      <c r="L19" s="22" t="s">
        <v>11</v>
      </c>
      <c r="M19" s="22" t="s">
        <v>11</v>
      </c>
      <c r="N19" s="22" t="s">
        <v>11</v>
      </c>
      <c r="O19" s="22" t="s">
        <v>11</v>
      </c>
      <c r="P19" s="22" t="s">
        <v>12</v>
      </c>
      <c r="Q19" s="22" t="s">
        <v>12</v>
      </c>
      <c r="R19" s="228"/>
      <c r="S19" s="228"/>
      <c r="T19" s="22" t="s">
        <v>11</v>
      </c>
      <c r="U19" s="22" t="s">
        <v>11</v>
      </c>
      <c r="V19" s="22" t="s">
        <v>11</v>
      </c>
      <c r="W19" s="22" t="s">
        <v>12</v>
      </c>
      <c r="X19" s="22" t="s">
        <v>12</v>
      </c>
      <c r="Y19" s="228"/>
      <c r="Z19" s="22" t="s">
        <v>64</v>
      </c>
      <c r="AA19" s="22" t="s">
        <v>12</v>
      </c>
      <c r="AB19" s="22" t="s">
        <v>12</v>
      </c>
      <c r="AC19" s="22" t="s">
        <v>12</v>
      </c>
      <c r="AD19" s="22" t="s">
        <v>12</v>
      </c>
      <c r="AE19" s="22" t="s">
        <v>12</v>
      </c>
      <c r="AF19" s="228"/>
      <c r="AG19" s="22" t="s">
        <v>11</v>
      </c>
      <c r="AH19" s="22" t="s">
        <v>11</v>
      </c>
      <c r="AI19" s="22" t="s">
        <v>12</v>
      </c>
      <c r="AJ19" s="22" t="s">
        <v>12</v>
      </c>
      <c r="AK19" s="22">
        <f t="shared" si="0"/>
        <v>14</v>
      </c>
      <c r="AL19" s="22">
        <f t="shared" si="1"/>
        <v>11</v>
      </c>
      <c r="AN19" s="39" t="s">
        <v>22</v>
      </c>
      <c r="AO19" s="44">
        <f>AO18/AO17</f>
        <v>0.41687344913151364</v>
      </c>
      <c r="AP19" s="44">
        <f>AP18/AP17</f>
        <v>0.13675213675213677</v>
      </c>
      <c r="AQ19" s="44">
        <f>AQ18/AQ17</f>
        <v>0.35384615384615387</v>
      </c>
    </row>
    <row r="20" spans="1:43" s="34" customFormat="1" ht="18" x14ac:dyDescent="0.4">
      <c r="A20" s="39">
        <v>15</v>
      </c>
      <c r="B20" s="10"/>
      <c r="C20" s="10"/>
      <c r="D20" s="10"/>
      <c r="E20" s="66" t="s">
        <v>35</v>
      </c>
      <c r="F20" s="22" t="s">
        <v>11</v>
      </c>
      <c r="G20" s="22" t="s">
        <v>12</v>
      </c>
      <c r="H20" s="22" t="s">
        <v>12</v>
      </c>
      <c r="I20" s="22" t="s">
        <v>12</v>
      </c>
      <c r="J20" s="22" t="s">
        <v>12</v>
      </c>
      <c r="K20" s="228"/>
      <c r="L20" s="22" t="s">
        <v>12</v>
      </c>
      <c r="M20" s="22" t="s">
        <v>12</v>
      </c>
      <c r="N20" s="22" t="s">
        <v>12</v>
      </c>
      <c r="O20" s="22" t="s">
        <v>12</v>
      </c>
      <c r="P20" s="22" t="s">
        <v>12</v>
      </c>
      <c r="Q20" s="22" t="s">
        <v>12</v>
      </c>
      <c r="R20" s="228"/>
      <c r="S20" s="228"/>
      <c r="T20" s="22" t="s">
        <v>11</v>
      </c>
      <c r="U20" s="22" t="s">
        <v>12</v>
      </c>
      <c r="V20" s="22" t="s">
        <v>12</v>
      </c>
      <c r="W20" s="22" t="s">
        <v>12</v>
      </c>
      <c r="X20" s="22" t="s">
        <v>12</v>
      </c>
      <c r="Y20" s="228"/>
      <c r="Z20" s="22" t="s">
        <v>12</v>
      </c>
      <c r="AA20" s="22" t="s">
        <v>12</v>
      </c>
      <c r="AB20" s="22" t="s">
        <v>12</v>
      </c>
      <c r="AC20" s="22" t="s">
        <v>11</v>
      </c>
      <c r="AD20" s="22" t="s">
        <v>12</v>
      </c>
      <c r="AE20" s="22" t="s">
        <v>11</v>
      </c>
      <c r="AF20" s="228"/>
      <c r="AG20" s="22" t="s">
        <v>11</v>
      </c>
      <c r="AH20" s="22" t="s">
        <v>12</v>
      </c>
      <c r="AI20" s="22" t="s">
        <v>12</v>
      </c>
      <c r="AJ20" s="22" t="s">
        <v>12</v>
      </c>
      <c r="AK20" s="22">
        <f t="shared" si="0"/>
        <v>21</v>
      </c>
      <c r="AL20" s="22">
        <f t="shared" si="1"/>
        <v>5</v>
      </c>
    </row>
    <row r="21" spans="1:43" s="34" customFormat="1" ht="18" x14ac:dyDescent="0.4">
      <c r="A21" s="39">
        <v>16</v>
      </c>
      <c r="B21" s="10"/>
      <c r="C21" s="10"/>
      <c r="D21" s="10"/>
      <c r="E21" s="66" t="s">
        <v>35</v>
      </c>
      <c r="F21" s="22" t="s">
        <v>12</v>
      </c>
      <c r="G21" s="22" t="s">
        <v>12</v>
      </c>
      <c r="H21" s="22" t="s">
        <v>11</v>
      </c>
      <c r="I21" s="22" t="s">
        <v>11</v>
      </c>
      <c r="J21" s="22" t="s">
        <v>12</v>
      </c>
      <c r="K21" s="228"/>
      <c r="L21" s="22" t="s">
        <v>12</v>
      </c>
      <c r="M21" s="22" t="s">
        <v>12</v>
      </c>
      <c r="N21" s="22" t="s">
        <v>12</v>
      </c>
      <c r="O21" s="22" t="s">
        <v>12</v>
      </c>
      <c r="P21" s="22" t="s">
        <v>11</v>
      </c>
      <c r="Q21" s="22" t="s">
        <v>11</v>
      </c>
      <c r="R21" s="228"/>
      <c r="S21" s="228"/>
      <c r="T21" s="22" t="s">
        <v>11</v>
      </c>
      <c r="U21" s="22" t="s">
        <v>12</v>
      </c>
      <c r="V21" s="22" t="s">
        <v>12</v>
      </c>
      <c r="W21" s="22" t="s">
        <v>12</v>
      </c>
      <c r="X21" s="22" t="s">
        <v>11</v>
      </c>
      <c r="Y21" s="228"/>
      <c r="Z21" s="22" t="s">
        <v>12</v>
      </c>
      <c r="AA21" s="22" t="s">
        <v>12</v>
      </c>
      <c r="AB21" s="22" t="s">
        <v>12</v>
      </c>
      <c r="AC21" s="22" t="s">
        <v>12</v>
      </c>
      <c r="AD21" s="22" t="s">
        <v>12</v>
      </c>
      <c r="AE21" s="22" t="s">
        <v>11</v>
      </c>
      <c r="AF21" s="228"/>
      <c r="AG21" s="22" t="s">
        <v>11</v>
      </c>
      <c r="AH21" s="22" t="s">
        <v>12</v>
      </c>
      <c r="AI21" s="22" t="s">
        <v>11</v>
      </c>
      <c r="AJ21" s="22" t="s">
        <v>12</v>
      </c>
      <c r="AK21" s="22">
        <f t="shared" si="0"/>
        <v>17</v>
      </c>
      <c r="AL21" s="22">
        <f t="shared" si="1"/>
        <v>9</v>
      </c>
    </row>
    <row r="22" spans="1:43" s="34" customFormat="1" ht="18" x14ac:dyDescent="0.4">
      <c r="A22" s="39">
        <v>17</v>
      </c>
      <c r="B22" s="10"/>
      <c r="C22" s="10"/>
      <c r="D22" s="10"/>
      <c r="E22" s="66" t="s">
        <v>35</v>
      </c>
      <c r="F22" s="22" t="s">
        <v>12</v>
      </c>
      <c r="G22" s="22" t="s">
        <v>12</v>
      </c>
      <c r="H22" s="22" t="s">
        <v>11</v>
      </c>
      <c r="I22" s="22" t="s">
        <v>12</v>
      </c>
      <c r="J22" s="22" t="s">
        <v>11</v>
      </c>
      <c r="K22" s="228"/>
      <c r="L22" s="22" t="s">
        <v>11</v>
      </c>
      <c r="M22" s="22" t="s">
        <v>11</v>
      </c>
      <c r="N22" s="22" t="s">
        <v>11</v>
      </c>
      <c r="O22" s="22" t="s">
        <v>11</v>
      </c>
      <c r="P22" s="22" t="s">
        <v>11</v>
      </c>
      <c r="Q22" s="22" t="s">
        <v>11</v>
      </c>
      <c r="R22" s="228"/>
      <c r="S22" s="228"/>
      <c r="T22" s="22" t="s">
        <v>11</v>
      </c>
      <c r="U22" s="22" t="s">
        <v>11</v>
      </c>
      <c r="V22" s="22" t="s">
        <v>11</v>
      </c>
      <c r="W22" s="22" t="s">
        <v>11</v>
      </c>
      <c r="X22" s="22" t="s">
        <v>12</v>
      </c>
      <c r="Y22" s="228"/>
      <c r="Z22" s="22" t="s">
        <v>12</v>
      </c>
      <c r="AA22" s="22" t="s">
        <v>12</v>
      </c>
      <c r="AB22" s="22" t="s">
        <v>12</v>
      </c>
      <c r="AC22" s="22" t="s">
        <v>12</v>
      </c>
      <c r="AD22" s="22" t="s">
        <v>12</v>
      </c>
      <c r="AE22" s="22" t="s">
        <v>12</v>
      </c>
      <c r="AF22" s="228"/>
      <c r="AG22" s="22" t="s">
        <v>11</v>
      </c>
      <c r="AH22" s="22" t="s">
        <v>12</v>
      </c>
      <c r="AI22" s="22" t="s">
        <v>12</v>
      </c>
      <c r="AJ22" s="22" t="s">
        <v>11</v>
      </c>
      <c r="AK22" s="22">
        <f t="shared" si="0"/>
        <v>12</v>
      </c>
      <c r="AL22" s="22">
        <f t="shared" si="1"/>
        <v>14</v>
      </c>
    </row>
    <row r="23" spans="1:43" s="34" customFormat="1" ht="18" x14ac:dyDescent="0.4">
      <c r="A23" s="39">
        <v>18</v>
      </c>
      <c r="B23" s="10"/>
      <c r="C23" s="10"/>
      <c r="D23" s="10"/>
      <c r="E23" s="66" t="s">
        <v>35</v>
      </c>
      <c r="F23" s="22" t="s">
        <v>11</v>
      </c>
      <c r="G23" s="22" t="s">
        <v>11</v>
      </c>
      <c r="H23" s="22" t="s">
        <v>12</v>
      </c>
      <c r="I23" s="22" t="s">
        <v>11</v>
      </c>
      <c r="J23" s="22" t="s">
        <v>11</v>
      </c>
      <c r="K23" s="228"/>
      <c r="L23" s="22" t="s">
        <v>12</v>
      </c>
      <c r="M23" s="22" t="s">
        <v>12</v>
      </c>
      <c r="N23" s="22" t="s">
        <v>12</v>
      </c>
      <c r="O23" s="22" t="s">
        <v>11</v>
      </c>
      <c r="P23" s="22" t="s">
        <v>12</v>
      </c>
      <c r="Q23" s="22" t="s">
        <v>11</v>
      </c>
      <c r="R23" s="228"/>
      <c r="S23" s="228"/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8"/>
      <c r="Z23" s="22" t="s">
        <v>12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8"/>
      <c r="AG23" s="22" t="s">
        <v>11</v>
      </c>
      <c r="AH23" s="22" t="s">
        <v>11</v>
      </c>
      <c r="AI23" s="22" t="s">
        <v>11</v>
      </c>
      <c r="AJ23" s="22" t="s">
        <v>11</v>
      </c>
      <c r="AK23" s="22">
        <f t="shared" si="0"/>
        <v>6</v>
      </c>
      <c r="AL23" s="22">
        <f t="shared" si="1"/>
        <v>20</v>
      </c>
    </row>
    <row r="24" spans="1:43" s="34" customFormat="1" ht="18" x14ac:dyDescent="0.4">
      <c r="A24" s="39">
        <v>19</v>
      </c>
      <c r="B24" s="10"/>
      <c r="C24" s="10"/>
      <c r="D24" s="10"/>
      <c r="E24" s="66" t="s">
        <v>35</v>
      </c>
      <c r="F24" s="22" t="s">
        <v>12</v>
      </c>
      <c r="G24" s="22" t="s">
        <v>12</v>
      </c>
      <c r="H24" s="22" t="s">
        <v>12</v>
      </c>
      <c r="I24" s="22" t="s">
        <v>12</v>
      </c>
      <c r="J24" s="22" t="s">
        <v>12</v>
      </c>
      <c r="K24" s="228"/>
      <c r="L24" s="22" t="s">
        <v>12</v>
      </c>
      <c r="M24" s="22" t="s">
        <v>12</v>
      </c>
      <c r="N24" s="22" t="s">
        <v>12</v>
      </c>
      <c r="O24" s="22" t="s">
        <v>12</v>
      </c>
      <c r="P24" s="22" t="s">
        <v>12</v>
      </c>
      <c r="Q24" s="22" t="s">
        <v>12</v>
      </c>
      <c r="R24" s="228"/>
      <c r="S24" s="228"/>
      <c r="T24" s="22" t="s">
        <v>11</v>
      </c>
      <c r="U24" s="22" t="s">
        <v>12</v>
      </c>
      <c r="V24" s="22" t="s">
        <v>12</v>
      </c>
      <c r="W24" s="22" t="s">
        <v>11</v>
      </c>
      <c r="X24" s="22" t="s">
        <v>11</v>
      </c>
      <c r="Y24" s="228"/>
      <c r="Z24" s="22" t="s">
        <v>12</v>
      </c>
      <c r="AA24" s="22" t="s">
        <v>11</v>
      </c>
      <c r="AB24" s="22" t="s">
        <v>12</v>
      </c>
      <c r="AC24" s="22" t="s">
        <v>11</v>
      </c>
      <c r="AD24" s="22" t="s">
        <v>12</v>
      </c>
      <c r="AE24" s="22" t="s">
        <v>12</v>
      </c>
      <c r="AF24" s="228"/>
      <c r="AG24" s="22" t="s">
        <v>12</v>
      </c>
      <c r="AH24" s="22" t="s">
        <v>11</v>
      </c>
      <c r="AI24" s="22" t="s">
        <v>12</v>
      </c>
      <c r="AJ24" s="22" t="s">
        <v>12</v>
      </c>
      <c r="AK24" s="22">
        <f t="shared" si="0"/>
        <v>20</v>
      </c>
      <c r="AL24" s="22">
        <f t="shared" si="1"/>
        <v>6</v>
      </c>
    </row>
    <row r="25" spans="1:43" s="34" customFormat="1" ht="18" x14ac:dyDescent="0.4">
      <c r="A25" s="39">
        <v>20</v>
      </c>
      <c r="B25" s="10"/>
      <c r="C25" s="10"/>
      <c r="D25" s="10"/>
      <c r="E25" s="66" t="s">
        <v>35</v>
      </c>
      <c r="F25" s="22" t="s">
        <v>12</v>
      </c>
      <c r="G25" s="22" t="s">
        <v>12</v>
      </c>
      <c r="H25" s="22" t="s">
        <v>12</v>
      </c>
      <c r="I25" s="22" t="s">
        <v>12</v>
      </c>
      <c r="J25" s="22" t="s">
        <v>12</v>
      </c>
      <c r="K25" s="228"/>
      <c r="L25" s="22" t="s">
        <v>12</v>
      </c>
      <c r="M25" s="22" t="s">
        <v>12</v>
      </c>
      <c r="N25" s="22" t="s">
        <v>12</v>
      </c>
      <c r="O25" s="22" t="s">
        <v>11</v>
      </c>
      <c r="P25" s="22" t="s">
        <v>12</v>
      </c>
      <c r="Q25" s="22" t="s">
        <v>12</v>
      </c>
      <c r="R25" s="228"/>
      <c r="S25" s="228"/>
      <c r="T25" s="22" t="s">
        <v>12</v>
      </c>
      <c r="U25" s="22" t="s">
        <v>12</v>
      </c>
      <c r="V25" s="22" t="s">
        <v>12</v>
      </c>
      <c r="W25" s="22" t="s">
        <v>11</v>
      </c>
      <c r="X25" s="22" t="s">
        <v>11</v>
      </c>
      <c r="Y25" s="228"/>
      <c r="Z25" s="22" t="s">
        <v>12</v>
      </c>
      <c r="AA25" s="22" t="s">
        <v>12</v>
      </c>
      <c r="AB25" s="22" t="s">
        <v>12</v>
      </c>
      <c r="AC25" s="22" t="s">
        <v>12</v>
      </c>
      <c r="AD25" s="22" t="s">
        <v>12</v>
      </c>
      <c r="AE25" s="22" t="s">
        <v>12</v>
      </c>
      <c r="AF25" s="228"/>
      <c r="AG25" s="22" t="s">
        <v>12</v>
      </c>
      <c r="AH25" s="22" t="s">
        <v>12</v>
      </c>
      <c r="AI25" s="22" t="s">
        <v>12</v>
      </c>
      <c r="AJ25" s="22" t="s">
        <v>11</v>
      </c>
      <c r="AK25" s="22">
        <f t="shared" si="0"/>
        <v>22</v>
      </c>
      <c r="AL25" s="22">
        <f t="shared" si="1"/>
        <v>4</v>
      </c>
    </row>
    <row r="26" spans="1:43" s="34" customFormat="1" ht="18" x14ac:dyDescent="0.4">
      <c r="A26" s="39">
        <v>21</v>
      </c>
      <c r="B26" s="10"/>
      <c r="C26" s="10"/>
      <c r="D26" s="10"/>
      <c r="E26" s="66" t="s">
        <v>35</v>
      </c>
      <c r="F26" s="22" t="s">
        <v>11</v>
      </c>
      <c r="G26" s="22" t="s">
        <v>11</v>
      </c>
      <c r="H26" s="22" t="s">
        <v>11</v>
      </c>
      <c r="I26" s="22" t="s">
        <v>11</v>
      </c>
      <c r="J26" s="22" t="s">
        <v>11</v>
      </c>
      <c r="K26" s="228"/>
      <c r="L26" s="22" t="s">
        <v>11</v>
      </c>
      <c r="M26" s="22" t="s">
        <v>11</v>
      </c>
      <c r="N26" s="22" t="s">
        <v>11</v>
      </c>
      <c r="O26" s="22" t="s">
        <v>11</v>
      </c>
      <c r="P26" s="22" t="s">
        <v>11</v>
      </c>
      <c r="Q26" s="22" t="s">
        <v>11</v>
      </c>
      <c r="R26" s="228"/>
      <c r="S26" s="228"/>
      <c r="T26" s="22" t="s">
        <v>11</v>
      </c>
      <c r="U26" s="22" t="s">
        <v>11</v>
      </c>
      <c r="V26" s="22" t="s">
        <v>11</v>
      </c>
      <c r="W26" s="22" t="s">
        <v>11</v>
      </c>
      <c r="X26" s="22" t="s">
        <v>11</v>
      </c>
      <c r="Y26" s="228"/>
      <c r="Z26" s="22" t="s">
        <v>11</v>
      </c>
      <c r="AA26" s="22" t="s">
        <v>11</v>
      </c>
      <c r="AB26" s="22" t="s">
        <v>11</v>
      </c>
      <c r="AC26" s="22" t="s">
        <v>11</v>
      </c>
      <c r="AD26" s="22" t="s">
        <v>11</v>
      </c>
      <c r="AE26" s="22" t="s">
        <v>11</v>
      </c>
      <c r="AF26" s="228"/>
      <c r="AG26" s="22" t="s">
        <v>11</v>
      </c>
      <c r="AH26" s="22" t="s">
        <v>11</v>
      </c>
      <c r="AI26" s="22" t="s">
        <v>11</v>
      </c>
      <c r="AJ26" s="22" t="s">
        <v>11</v>
      </c>
      <c r="AK26" s="22">
        <f t="shared" si="0"/>
        <v>0</v>
      </c>
      <c r="AL26" s="22">
        <f t="shared" si="1"/>
        <v>26</v>
      </c>
    </row>
    <row r="27" spans="1:43" s="34" customFormat="1" ht="18" x14ac:dyDescent="0.4">
      <c r="A27" s="39">
        <v>22</v>
      </c>
      <c r="B27" s="10"/>
      <c r="C27" s="10"/>
      <c r="D27" s="10"/>
      <c r="E27" s="66" t="s">
        <v>35</v>
      </c>
      <c r="F27" s="22" t="s">
        <v>12</v>
      </c>
      <c r="G27" s="22" t="s">
        <v>12</v>
      </c>
      <c r="H27" s="22" t="s">
        <v>11</v>
      </c>
      <c r="I27" s="22" t="s">
        <v>12</v>
      </c>
      <c r="J27" s="22" t="s">
        <v>12</v>
      </c>
      <c r="K27" s="228"/>
      <c r="L27" s="22" t="s">
        <v>12</v>
      </c>
      <c r="M27" s="22" t="s">
        <v>12</v>
      </c>
      <c r="N27" s="22" t="s">
        <v>12</v>
      </c>
      <c r="O27" s="22" t="s">
        <v>12</v>
      </c>
      <c r="P27" s="22" t="s">
        <v>12</v>
      </c>
      <c r="Q27" s="22" t="s">
        <v>12</v>
      </c>
      <c r="R27" s="228"/>
      <c r="S27" s="228"/>
      <c r="T27" s="22" t="s">
        <v>12</v>
      </c>
      <c r="U27" s="22" t="s">
        <v>12</v>
      </c>
      <c r="V27" s="22" t="s">
        <v>12</v>
      </c>
      <c r="W27" s="22" t="s">
        <v>12</v>
      </c>
      <c r="X27" s="22" t="s">
        <v>12</v>
      </c>
      <c r="Y27" s="228"/>
      <c r="Z27" s="22" t="s">
        <v>12</v>
      </c>
      <c r="AA27" s="22" t="s">
        <v>12</v>
      </c>
      <c r="AB27" s="22" t="s">
        <v>12</v>
      </c>
      <c r="AC27" s="22" t="s">
        <v>12</v>
      </c>
      <c r="AD27" s="22" t="s">
        <v>12</v>
      </c>
      <c r="AE27" s="22" t="s">
        <v>12</v>
      </c>
      <c r="AF27" s="228"/>
      <c r="AG27" s="22" t="s">
        <v>12</v>
      </c>
      <c r="AH27" s="22" t="s">
        <v>12</v>
      </c>
      <c r="AI27" s="22" t="s">
        <v>12</v>
      </c>
      <c r="AJ27" s="22" t="s">
        <v>12</v>
      </c>
      <c r="AK27" s="68">
        <f t="shared" si="0"/>
        <v>25</v>
      </c>
      <c r="AL27" s="22">
        <f t="shared" si="1"/>
        <v>1</v>
      </c>
    </row>
    <row r="28" spans="1:43" s="34" customFormat="1" ht="18" x14ac:dyDescent="0.4">
      <c r="A28" s="39">
        <v>23</v>
      </c>
      <c r="B28" s="10"/>
      <c r="C28" s="10"/>
      <c r="D28" s="10"/>
      <c r="E28" s="66" t="s">
        <v>35</v>
      </c>
      <c r="F28" s="22" t="s">
        <v>11</v>
      </c>
      <c r="G28" s="22" t="s">
        <v>12</v>
      </c>
      <c r="H28" s="22" t="s">
        <v>12</v>
      </c>
      <c r="I28" s="22" t="s">
        <v>12</v>
      </c>
      <c r="J28" s="22" t="s">
        <v>12</v>
      </c>
      <c r="K28" s="228"/>
      <c r="L28" s="22" t="s">
        <v>11</v>
      </c>
      <c r="M28" s="22" t="s">
        <v>11</v>
      </c>
      <c r="N28" s="22" t="s">
        <v>11</v>
      </c>
      <c r="O28" s="22" t="s">
        <v>11</v>
      </c>
      <c r="P28" s="22" t="s">
        <v>11</v>
      </c>
      <c r="Q28" s="22" t="s">
        <v>11</v>
      </c>
      <c r="R28" s="228"/>
      <c r="S28" s="228"/>
      <c r="T28" s="22" t="s">
        <v>11</v>
      </c>
      <c r="U28" s="22" t="s">
        <v>11</v>
      </c>
      <c r="V28" s="22" t="s">
        <v>12</v>
      </c>
      <c r="W28" s="22" t="s">
        <v>12</v>
      </c>
      <c r="X28" s="22" t="s">
        <v>12</v>
      </c>
      <c r="Y28" s="228"/>
      <c r="Z28" s="22" t="s">
        <v>12</v>
      </c>
      <c r="AA28" s="22" t="s">
        <v>12</v>
      </c>
      <c r="AB28" s="22" t="s">
        <v>12</v>
      </c>
      <c r="AC28" s="22" t="s">
        <v>11</v>
      </c>
      <c r="AD28" s="22" t="s">
        <v>11</v>
      </c>
      <c r="AE28" s="22" t="s">
        <v>11</v>
      </c>
      <c r="AF28" s="228"/>
      <c r="AG28" s="22" t="s">
        <v>12</v>
      </c>
      <c r="AH28" s="22" t="s">
        <v>12</v>
      </c>
      <c r="AI28" s="22" t="s">
        <v>12</v>
      </c>
      <c r="AJ28" s="22" t="s">
        <v>11</v>
      </c>
      <c r="AK28" s="22">
        <f t="shared" si="0"/>
        <v>13</v>
      </c>
      <c r="AL28" s="22">
        <f t="shared" si="1"/>
        <v>13</v>
      </c>
    </row>
    <row r="29" spans="1:43" s="34" customFormat="1" ht="18" x14ac:dyDescent="0.4">
      <c r="A29" s="39">
        <v>24</v>
      </c>
      <c r="B29" s="10"/>
      <c r="C29" s="10"/>
      <c r="D29" s="10"/>
      <c r="E29" s="66" t="s">
        <v>35</v>
      </c>
      <c r="F29" s="22" t="s">
        <v>12</v>
      </c>
      <c r="G29" s="22" t="s">
        <v>12</v>
      </c>
      <c r="H29" s="22" t="s">
        <v>11</v>
      </c>
      <c r="I29" s="22" t="s">
        <v>12</v>
      </c>
      <c r="J29" s="22" t="s">
        <v>12</v>
      </c>
      <c r="K29" s="228"/>
      <c r="L29" s="22" t="s">
        <v>11</v>
      </c>
      <c r="M29" s="22" t="s">
        <v>11</v>
      </c>
      <c r="N29" s="22" t="s">
        <v>11</v>
      </c>
      <c r="O29" s="22" t="s">
        <v>11</v>
      </c>
      <c r="P29" s="22" t="s">
        <v>11</v>
      </c>
      <c r="Q29" s="22" t="s">
        <v>11</v>
      </c>
      <c r="R29" s="228"/>
      <c r="S29" s="228"/>
      <c r="T29" s="22" t="s">
        <v>11</v>
      </c>
      <c r="U29" s="22" t="s">
        <v>12</v>
      </c>
      <c r="V29" s="22" t="s">
        <v>12</v>
      </c>
      <c r="W29" s="22" t="s">
        <v>11</v>
      </c>
      <c r="X29" s="22" t="s">
        <v>12</v>
      </c>
      <c r="Y29" s="228"/>
      <c r="Z29" s="22" t="s">
        <v>12</v>
      </c>
      <c r="AA29" s="22" t="s">
        <v>12</v>
      </c>
      <c r="AB29" s="22" t="s">
        <v>12</v>
      </c>
      <c r="AC29" s="22" t="s">
        <v>12</v>
      </c>
      <c r="AD29" s="22" t="s">
        <v>12</v>
      </c>
      <c r="AE29" s="22" t="s">
        <v>12</v>
      </c>
      <c r="AF29" s="228"/>
      <c r="AG29" s="22" t="s">
        <v>11</v>
      </c>
      <c r="AH29" s="22" t="s">
        <v>11</v>
      </c>
      <c r="AI29" s="22" t="s">
        <v>11</v>
      </c>
      <c r="AJ29" s="22" t="s">
        <v>11</v>
      </c>
      <c r="AK29" s="22">
        <f t="shared" si="0"/>
        <v>13</v>
      </c>
      <c r="AL29" s="22">
        <f t="shared" si="1"/>
        <v>13</v>
      </c>
    </row>
    <row r="30" spans="1:43" s="70" customFormat="1" ht="18" x14ac:dyDescent="0.4">
      <c r="A30" s="39">
        <v>25</v>
      </c>
      <c r="B30" s="10"/>
      <c r="C30" s="10"/>
      <c r="D30" s="10"/>
      <c r="E30" s="66" t="s">
        <v>35</v>
      </c>
      <c r="F30" s="22" t="s">
        <v>12</v>
      </c>
      <c r="G30" s="22" t="s">
        <v>12</v>
      </c>
      <c r="H30" s="22" t="s">
        <v>11</v>
      </c>
      <c r="I30" s="22" t="s">
        <v>12</v>
      </c>
      <c r="J30" s="22" t="s">
        <v>12</v>
      </c>
      <c r="K30" s="228"/>
      <c r="L30" s="22" t="s">
        <v>11</v>
      </c>
      <c r="M30" s="22" t="s">
        <v>11</v>
      </c>
      <c r="N30" s="22" t="s">
        <v>12</v>
      </c>
      <c r="O30" s="22" t="s">
        <v>12</v>
      </c>
      <c r="P30" s="22" t="s">
        <v>12</v>
      </c>
      <c r="Q30" s="22" t="s">
        <v>12</v>
      </c>
      <c r="R30" s="228"/>
      <c r="S30" s="228"/>
      <c r="T30" s="22" t="s">
        <v>12</v>
      </c>
      <c r="U30" s="22" t="s">
        <v>12</v>
      </c>
      <c r="V30" s="22" t="s">
        <v>12</v>
      </c>
      <c r="W30" s="22" t="s">
        <v>12</v>
      </c>
      <c r="X30" s="22" t="s">
        <v>12</v>
      </c>
      <c r="Y30" s="228"/>
      <c r="Z30" s="22" t="s">
        <v>12</v>
      </c>
      <c r="AA30" s="22" t="s">
        <v>12</v>
      </c>
      <c r="AB30" s="22" t="s">
        <v>12</v>
      </c>
      <c r="AC30" s="22" t="s">
        <v>12</v>
      </c>
      <c r="AD30" s="22" t="s">
        <v>12</v>
      </c>
      <c r="AE30" s="22" t="s">
        <v>12</v>
      </c>
      <c r="AF30" s="228"/>
      <c r="AG30" s="22" t="s">
        <v>12</v>
      </c>
      <c r="AH30" s="22" t="s">
        <v>12</v>
      </c>
      <c r="AI30" s="22" t="s">
        <v>12</v>
      </c>
      <c r="AJ30" s="22" t="s">
        <v>12</v>
      </c>
      <c r="AK30" s="68">
        <f t="shared" si="0"/>
        <v>23</v>
      </c>
      <c r="AL30" s="22">
        <f t="shared" si="1"/>
        <v>3</v>
      </c>
    </row>
    <row r="31" spans="1:43" s="34" customFormat="1" ht="18" x14ac:dyDescent="0.4">
      <c r="A31" s="39">
        <v>26</v>
      </c>
      <c r="B31" s="10"/>
      <c r="C31" s="10"/>
      <c r="D31" s="10"/>
      <c r="E31" s="66" t="s">
        <v>35</v>
      </c>
      <c r="F31" s="22" t="s">
        <v>11</v>
      </c>
      <c r="G31" s="22" t="s">
        <v>11</v>
      </c>
      <c r="H31" s="22" t="s">
        <v>11</v>
      </c>
      <c r="I31" s="22" t="s">
        <v>11</v>
      </c>
      <c r="J31" s="22" t="s">
        <v>12</v>
      </c>
      <c r="K31" s="228"/>
      <c r="L31" s="22" t="s">
        <v>11</v>
      </c>
      <c r="M31" s="22" t="s">
        <v>11</v>
      </c>
      <c r="N31" s="22" t="s">
        <v>11</v>
      </c>
      <c r="O31" s="22" t="s">
        <v>11</v>
      </c>
      <c r="P31" s="22" t="s">
        <v>11</v>
      </c>
      <c r="Q31" s="22" t="s">
        <v>11</v>
      </c>
      <c r="R31" s="228"/>
      <c r="S31" s="228"/>
      <c r="T31" s="22" t="s">
        <v>11</v>
      </c>
      <c r="U31" s="22" t="s">
        <v>11</v>
      </c>
      <c r="V31" s="22" t="s">
        <v>11</v>
      </c>
      <c r="W31" s="22" t="s">
        <v>11</v>
      </c>
      <c r="X31" s="22" t="s">
        <v>11</v>
      </c>
      <c r="Y31" s="228"/>
      <c r="Z31" s="22" t="s">
        <v>11</v>
      </c>
      <c r="AA31" s="22" t="s">
        <v>12</v>
      </c>
      <c r="AB31" s="22" t="s">
        <v>12</v>
      </c>
      <c r="AC31" s="22" t="s">
        <v>11</v>
      </c>
      <c r="AD31" s="22" t="s">
        <v>12</v>
      </c>
      <c r="AE31" s="22" t="s">
        <v>11</v>
      </c>
      <c r="AF31" s="228"/>
      <c r="AG31" s="22" t="s">
        <v>12</v>
      </c>
      <c r="AH31" s="22" t="s">
        <v>12</v>
      </c>
      <c r="AI31" s="22" t="s">
        <v>12</v>
      </c>
      <c r="AJ31" s="22" t="s">
        <v>12</v>
      </c>
      <c r="AK31" s="22">
        <f t="shared" si="0"/>
        <v>8</v>
      </c>
      <c r="AL31" s="22">
        <f t="shared" si="1"/>
        <v>18</v>
      </c>
    </row>
    <row r="32" spans="1:43" s="34" customFormat="1" ht="18" x14ac:dyDescent="0.4">
      <c r="A32" s="39">
        <v>27</v>
      </c>
      <c r="B32" s="10"/>
      <c r="C32" s="10"/>
      <c r="D32" s="10"/>
      <c r="E32" s="66" t="s">
        <v>35</v>
      </c>
      <c r="F32" s="22" t="s">
        <v>12</v>
      </c>
      <c r="G32" s="22" t="s">
        <v>12</v>
      </c>
      <c r="H32" s="22" t="s">
        <v>12</v>
      </c>
      <c r="I32" s="22" t="s">
        <v>12</v>
      </c>
      <c r="J32" s="22" t="s">
        <v>11</v>
      </c>
      <c r="K32" s="228"/>
      <c r="L32" s="22" t="s">
        <v>12</v>
      </c>
      <c r="M32" s="22" t="s">
        <v>12</v>
      </c>
      <c r="N32" s="22" t="s">
        <v>12</v>
      </c>
      <c r="O32" s="22" t="s">
        <v>12</v>
      </c>
      <c r="P32" s="22" t="s">
        <v>12</v>
      </c>
      <c r="Q32" s="22" t="s">
        <v>12</v>
      </c>
      <c r="R32" s="228"/>
      <c r="S32" s="228"/>
      <c r="T32" s="22" t="s">
        <v>12</v>
      </c>
      <c r="U32" s="22" t="s">
        <v>12</v>
      </c>
      <c r="V32" s="22" t="s">
        <v>12</v>
      </c>
      <c r="W32" s="22" t="s">
        <v>12</v>
      </c>
      <c r="X32" s="22" t="s">
        <v>12</v>
      </c>
      <c r="Y32" s="228"/>
      <c r="Z32" s="22" t="s">
        <v>11</v>
      </c>
      <c r="AA32" s="22" t="s">
        <v>12</v>
      </c>
      <c r="AB32" s="22" t="s">
        <v>12</v>
      </c>
      <c r="AC32" s="22" t="s">
        <v>12</v>
      </c>
      <c r="AD32" s="22" t="s">
        <v>12</v>
      </c>
      <c r="AE32" s="22" t="s">
        <v>12</v>
      </c>
      <c r="AF32" s="228"/>
      <c r="AG32" s="22" t="s">
        <v>11</v>
      </c>
      <c r="AH32" s="22" t="s">
        <v>11</v>
      </c>
      <c r="AI32" s="22" t="s">
        <v>11</v>
      </c>
      <c r="AJ32" s="22" t="s">
        <v>11</v>
      </c>
      <c r="AK32" s="22">
        <f t="shared" si="0"/>
        <v>20</v>
      </c>
      <c r="AL32" s="22">
        <f t="shared" si="1"/>
        <v>6</v>
      </c>
    </row>
    <row r="33" spans="1:78" s="34" customFormat="1" ht="18" x14ac:dyDescent="0.4">
      <c r="A33" s="39">
        <v>28</v>
      </c>
      <c r="B33" s="10"/>
      <c r="C33" s="10"/>
      <c r="D33" s="10"/>
      <c r="E33" s="66" t="s">
        <v>35</v>
      </c>
      <c r="F33" s="22" t="s">
        <v>12</v>
      </c>
      <c r="G33" s="22" t="s">
        <v>12</v>
      </c>
      <c r="H33" s="22" t="s">
        <v>12</v>
      </c>
      <c r="I33" s="22" t="s">
        <v>12</v>
      </c>
      <c r="J33" s="22" t="s">
        <v>11</v>
      </c>
      <c r="K33" s="228"/>
      <c r="L33" s="22" t="s">
        <v>11</v>
      </c>
      <c r="M33" s="22" t="s">
        <v>12</v>
      </c>
      <c r="N33" s="22" t="s">
        <v>12</v>
      </c>
      <c r="O33" s="22" t="s">
        <v>12</v>
      </c>
      <c r="P33" s="22" t="s">
        <v>12</v>
      </c>
      <c r="Q33" s="22" t="s">
        <v>12</v>
      </c>
      <c r="R33" s="228"/>
      <c r="S33" s="228"/>
      <c r="T33" s="22" t="s">
        <v>11</v>
      </c>
      <c r="U33" s="22" t="s">
        <v>12</v>
      </c>
      <c r="V33" s="22" t="s">
        <v>12</v>
      </c>
      <c r="W33" s="22" t="s">
        <v>12</v>
      </c>
      <c r="X33" s="22" t="s">
        <v>12</v>
      </c>
      <c r="Y33" s="228"/>
      <c r="Z33" s="22" t="s">
        <v>11</v>
      </c>
      <c r="AA33" s="22" t="s">
        <v>11</v>
      </c>
      <c r="AB33" s="22" t="s">
        <v>12</v>
      </c>
      <c r="AC33" s="22" t="s">
        <v>12</v>
      </c>
      <c r="AD33" s="22" t="s">
        <v>12</v>
      </c>
      <c r="AE33" s="22" t="s">
        <v>12</v>
      </c>
      <c r="AF33" s="228"/>
      <c r="AG33" s="22" t="s">
        <v>12</v>
      </c>
      <c r="AH33" s="22" t="s">
        <v>11</v>
      </c>
      <c r="AI33" s="22" t="s">
        <v>12</v>
      </c>
      <c r="AJ33" s="22" t="s">
        <v>12</v>
      </c>
      <c r="AK33" s="22">
        <f t="shared" si="0"/>
        <v>20</v>
      </c>
      <c r="AL33" s="22">
        <f t="shared" si="1"/>
        <v>6</v>
      </c>
    </row>
    <row r="34" spans="1:78" s="34" customFormat="1" ht="18" x14ac:dyDescent="0.4">
      <c r="A34" s="39">
        <v>29</v>
      </c>
      <c r="B34" s="10"/>
      <c r="C34" s="10"/>
      <c r="D34" s="10"/>
      <c r="E34" s="66" t="s">
        <v>35</v>
      </c>
      <c r="F34" s="22" t="s">
        <v>12</v>
      </c>
      <c r="G34" s="22" t="s">
        <v>12</v>
      </c>
      <c r="H34" s="22" t="s">
        <v>12</v>
      </c>
      <c r="I34" s="22" t="s">
        <v>12</v>
      </c>
      <c r="J34" s="22" t="s">
        <v>12</v>
      </c>
      <c r="K34" s="228"/>
      <c r="L34" s="22" t="s">
        <v>12</v>
      </c>
      <c r="M34" s="22" t="s">
        <v>12</v>
      </c>
      <c r="N34" s="22" t="s">
        <v>12</v>
      </c>
      <c r="O34" s="22" t="s">
        <v>11</v>
      </c>
      <c r="P34" s="22" t="s">
        <v>11</v>
      </c>
      <c r="Q34" s="22" t="s">
        <v>12</v>
      </c>
      <c r="R34" s="228"/>
      <c r="S34" s="228"/>
      <c r="T34" s="22" t="s">
        <v>12</v>
      </c>
      <c r="U34" s="22" t="s">
        <v>12</v>
      </c>
      <c r="V34" s="22" t="s">
        <v>12</v>
      </c>
      <c r="W34" s="22" t="s">
        <v>12</v>
      </c>
      <c r="X34" s="22" t="s">
        <v>12</v>
      </c>
      <c r="Y34" s="228"/>
      <c r="Z34" s="22" t="s">
        <v>12</v>
      </c>
      <c r="AA34" s="22" t="s">
        <v>12</v>
      </c>
      <c r="AB34" s="22" t="s">
        <v>12</v>
      </c>
      <c r="AC34" s="22" t="s">
        <v>12</v>
      </c>
      <c r="AD34" s="22" t="s">
        <v>12</v>
      </c>
      <c r="AE34" s="22" t="s">
        <v>12</v>
      </c>
      <c r="AF34" s="228"/>
      <c r="AG34" s="22" t="s">
        <v>12</v>
      </c>
      <c r="AH34" s="22" t="s">
        <v>12</v>
      </c>
      <c r="AI34" s="22" t="s">
        <v>12</v>
      </c>
      <c r="AJ34" s="22" t="s">
        <v>12</v>
      </c>
      <c r="AK34" s="68">
        <f t="shared" si="0"/>
        <v>24</v>
      </c>
      <c r="AL34" s="22">
        <f t="shared" si="1"/>
        <v>2</v>
      </c>
    </row>
    <row r="35" spans="1:78" s="34" customFormat="1" ht="18" x14ac:dyDescent="0.4">
      <c r="A35" s="39">
        <v>30</v>
      </c>
      <c r="B35" s="10"/>
      <c r="C35" s="10"/>
      <c r="D35" s="10"/>
      <c r="E35" s="66" t="s">
        <v>35</v>
      </c>
      <c r="F35" s="22" t="s">
        <v>12</v>
      </c>
      <c r="G35" s="22" t="s">
        <v>12</v>
      </c>
      <c r="H35" s="22" t="s">
        <v>12</v>
      </c>
      <c r="I35" s="22" t="s">
        <v>12</v>
      </c>
      <c r="J35" s="22" t="s">
        <v>12</v>
      </c>
      <c r="K35" s="228"/>
      <c r="L35" s="22" t="s">
        <v>12</v>
      </c>
      <c r="M35" s="22" t="s">
        <v>12</v>
      </c>
      <c r="N35" s="22" t="s">
        <v>12</v>
      </c>
      <c r="O35" s="22" t="s">
        <v>12</v>
      </c>
      <c r="P35" s="22" t="s">
        <v>12</v>
      </c>
      <c r="Q35" s="22" t="s">
        <v>12</v>
      </c>
      <c r="R35" s="228"/>
      <c r="S35" s="228"/>
      <c r="T35" s="22" t="s">
        <v>12</v>
      </c>
      <c r="U35" s="22" t="s">
        <v>12</v>
      </c>
      <c r="V35" s="22" t="s">
        <v>12</v>
      </c>
      <c r="W35" s="22" t="s">
        <v>12</v>
      </c>
      <c r="X35" s="22" t="s">
        <v>12</v>
      </c>
      <c r="Y35" s="228"/>
      <c r="Z35" s="22" t="s">
        <v>12</v>
      </c>
      <c r="AA35" s="22" t="s">
        <v>12</v>
      </c>
      <c r="AB35" s="22" t="s">
        <v>12</v>
      </c>
      <c r="AC35" s="22" t="s">
        <v>12</v>
      </c>
      <c r="AD35" s="22" t="s">
        <v>12</v>
      </c>
      <c r="AE35" s="22" t="s">
        <v>12</v>
      </c>
      <c r="AF35" s="228"/>
      <c r="AG35" s="22" t="s">
        <v>12</v>
      </c>
      <c r="AH35" s="22" t="s">
        <v>12</v>
      </c>
      <c r="AI35" s="22" t="s">
        <v>12</v>
      </c>
      <c r="AJ35" s="22" t="s">
        <v>12</v>
      </c>
      <c r="AK35" s="68">
        <f t="shared" si="0"/>
        <v>26</v>
      </c>
      <c r="AL35" s="22">
        <f t="shared" si="1"/>
        <v>0</v>
      </c>
    </row>
    <row r="36" spans="1:78" s="34" customFormat="1" ht="18" x14ac:dyDescent="0.4">
      <c r="A36" s="39">
        <v>31</v>
      </c>
      <c r="B36" s="10"/>
      <c r="C36" s="10"/>
      <c r="D36" s="10"/>
      <c r="E36" s="66" t="s">
        <v>35</v>
      </c>
      <c r="F36" s="22" t="s">
        <v>11</v>
      </c>
      <c r="G36" s="22" t="s">
        <v>11</v>
      </c>
      <c r="H36" s="22" t="s">
        <v>11</v>
      </c>
      <c r="I36" s="22" t="s">
        <v>11</v>
      </c>
      <c r="J36" s="22" t="s">
        <v>11</v>
      </c>
      <c r="K36" s="228"/>
      <c r="L36" s="22" t="s">
        <v>11</v>
      </c>
      <c r="M36" s="22" t="s">
        <v>11</v>
      </c>
      <c r="N36" s="22" t="s">
        <v>11</v>
      </c>
      <c r="O36" s="22" t="s">
        <v>11</v>
      </c>
      <c r="P36" s="22" t="s">
        <v>11</v>
      </c>
      <c r="Q36" s="22" t="s">
        <v>12</v>
      </c>
      <c r="R36" s="228"/>
      <c r="S36" s="228"/>
      <c r="T36" s="22" t="s">
        <v>12</v>
      </c>
      <c r="U36" s="22" t="s">
        <v>12</v>
      </c>
      <c r="V36" s="22" t="s">
        <v>11</v>
      </c>
      <c r="W36" s="22" t="s">
        <v>12</v>
      </c>
      <c r="X36" s="22" t="s">
        <v>11</v>
      </c>
      <c r="Y36" s="228"/>
      <c r="Z36" s="22" t="s">
        <v>11</v>
      </c>
      <c r="AA36" s="22" t="s">
        <v>11</v>
      </c>
      <c r="AB36" s="22" t="s">
        <v>11</v>
      </c>
      <c r="AC36" s="22" t="s">
        <v>12</v>
      </c>
      <c r="AD36" s="22" t="s">
        <v>11</v>
      </c>
      <c r="AE36" s="22" t="s">
        <v>12</v>
      </c>
      <c r="AF36" s="228"/>
      <c r="AG36" s="22" t="s">
        <v>12</v>
      </c>
      <c r="AH36" s="22" t="s">
        <v>12</v>
      </c>
      <c r="AI36" s="22" t="s">
        <v>11</v>
      </c>
      <c r="AJ36" s="22" t="s">
        <v>12</v>
      </c>
      <c r="AK36" s="22">
        <f t="shared" si="0"/>
        <v>9</v>
      </c>
      <c r="AL36" s="22">
        <f t="shared" si="1"/>
        <v>17</v>
      </c>
    </row>
    <row r="37" spans="1:78" s="34" customFormat="1" ht="20.25" customHeight="1" x14ac:dyDescent="0.4">
      <c r="A37" s="39">
        <v>32</v>
      </c>
      <c r="B37" s="10"/>
      <c r="C37" s="10"/>
      <c r="D37" s="10"/>
      <c r="E37" s="35" t="s">
        <v>35</v>
      </c>
      <c r="F37" s="22" t="s">
        <v>12</v>
      </c>
      <c r="G37" s="22" t="s">
        <v>12</v>
      </c>
      <c r="H37" s="22" t="s">
        <v>12</v>
      </c>
      <c r="I37" s="22" t="s">
        <v>12</v>
      </c>
      <c r="J37" s="22" t="s">
        <v>12</v>
      </c>
      <c r="K37" s="228"/>
      <c r="L37" s="22" t="s">
        <v>12</v>
      </c>
      <c r="M37" s="22" t="s">
        <v>12</v>
      </c>
      <c r="N37" s="22" t="s">
        <v>12</v>
      </c>
      <c r="O37" s="22" t="s">
        <v>12</v>
      </c>
      <c r="P37" s="22" t="s">
        <v>12</v>
      </c>
      <c r="Q37" s="22" t="s">
        <v>11</v>
      </c>
      <c r="R37" s="228"/>
      <c r="S37" s="228"/>
      <c r="T37" s="22" t="s">
        <v>12</v>
      </c>
      <c r="U37" s="22" t="s">
        <v>12</v>
      </c>
      <c r="V37" s="22" t="s">
        <v>12</v>
      </c>
      <c r="W37" s="22" t="s">
        <v>12</v>
      </c>
      <c r="X37" s="22" t="s">
        <v>12</v>
      </c>
      <c r="Y37" s="228"/>
      <c r="Z37" s="22" t="s">
        <v>12</v>
      </c>
      <c r="AA37" s="22" t="s">
        <v>12</v>
      </c>
      <c r="AB37" s="22" t="s">
        <v>12</v>
      </c>
      <c r="AC37" s="22" t="s">
        <v>12</v>
      </c>
      <c r="AD37" s="22" t="s">
        <v>64</v>
      </c>
      <c r="AE37" s="22" t="s">
        <v>12</v>
      </c>
      <c r="AF37" s="228"/>
      <c r="AG37" s="22" t="s">
        <v>12</v>
      </c>
      <c r="AH37" s="22" t="s">
        <v>12</v>
      </c>
      <c r="AI37" s="22" t="s">
        <v>12</v>
      </c>
      <c r="AJ37" s="22" t="s">
        <v>12</v>
      </c>
      <c r="AK37" s="68">
        <f t="shared" si="0"/>
        <v>24</v>
      </c>
      <c r="AL37" s="22">
        <f t="shared" si="1"/>
        <v>1</v>
      </c>
    </row>
    <row r="38" spans="1:78" s="34" customFormat="1" ht="18" x14ac:dyDescent="0.4">
      <c r="A38" s="39">
        <v>33</v>
      </c>
      <c r="B38" s="10"/>
      <c r="C38" s="10"/>
      <c r="D38" s="10"/>
      <c r="E38" s="35" t="s">
        <v>35</v>
      </c>
      <c r="F38" s="22" t="s">
        <v>12</v>
      </c>
      <c r="G38" s="22" t="s">
        <v>12</v>
      </c>
      <c r="H38" s="22" t="s">
        <v>12</v>
      </c>
      <c r="I38" s="22" t="s">
        <v>12</v>
      </c>
      <c r="J38" s="22" t="s">
        <v>12</v>
      </c>
      <c r="K38" s="228"/>
      <c r="L38" s="22" t="s">
        <v>12</v>
      </c>
      <c r="M38" s="22" t="s">
        <v>12</v>
      </c>
      <c r="N38" s="22" t="s">
        <v>12</v>
      </c>
      <c r="O38" s="22" t="s">
        <v>12</v>
      </c>
      <c r="P38" s="22" t="s">
        <v>12</v>
      </c>
      <c r="Q38" s="22" t="s">
        <v>12</v>
      </c>
      <c r="R38" s="228"/>
      <c r="S38" s="228"/>
      <c r="T38" s="22" t="s">
        <v>12</v>
      </c>
      <c r="U38" s="22" t="s">
        <v>12</v>
      </c>
      <c r="V38" s="22" t="s">
        <v>12</v>
      </c>
      <c r="W38" s="22" t="s">
        <v>12</v>
      </c>
      <c r="X38" s="22" t="s">
        <v>12</v>
      </c>
      <c r="Y38" s="228"/>
      <c r="Z38" s="22" t="s">
        <v>11</v>
      </c>
      <c r="AA38" s="22" t="s">
        <v>11</v>
      </c>
      <c r="AB38" s="22" t="s">
        <v>12</v>
      </c>
      <c r="AC38" s="22" t="s">
        <v>11</v>
      </c>
      <c r="AD38" s="22" t="s">
        <v>11</v>
      </c>
      <c r="AE38" s="22" t="s">
        <v>12</v>
      </c>
      <c r="AF38" s="228"/>
      <c r="AG38" s="22" t="s">
        <v>11</v>
      </c>
      <c r="AH38" s="22" t="s">
        <v>12</v>
      </c>
      <c r="AI38" s="22" t="s">
        <v>12</v>
      </c>
      <c r="AJ38" s="22" t="s">
        <v>12</v>
      </c>
      <c r="AK38" s="68">
        <f t="shared" si="0"/>
        <v>21</v>
      </c>
      <c r="AL38" s="22">
        <f t="shared" si="1"/>
        <v>5</v>
      </c>
    </row>
    <row r="39" spans="1:78" s="34" customFormat="1" ht="18" x14ac:dyDescent="0.4">
      <c r="A39" s="39">
        <v>34</v>
      </c>
      <c r="B39" s="10"/>
      <c r="C39" s="10"/>
      <c r="D39" s="10"/>
      <c r="E39" s="35" t="s">
        <v>35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11</v>
      </c>
      <c r="K39" s="228"/>
      <c r="L39" s="22" t="s">
        <v>11</v>
      </c>
      <c r="M39" s="22" t="s">
        <v>11</v>
      </c>
      <c r="N39" s="22" t="s">
        <v>11</v>
      </c>
      <c r="O39" s="22" t="s">
        <v>11</v>
      </c>
      <c r="P39" s="22" t="s">
        <v>11</v>
      </c>
      <c r="Q39" s="22" t="s">
        <v>11</v>
      </c>
      <c r="R39" s="228"/>
      <c r="S39" s="228"/>
      <c r="T39" s="22" t="s">
        <v>11</v>
      </c>
      <c r="U39" s="22" t="s">
        <v>11</v>
      </c>
      <c r="V39" s="22" t="s">
        <v>11</v>
      </c>
      <c r="W39" s="22" t="s">
        <v>11</v>
      </c>
      <c r="X39" s="22" t="s">
        <v>11</v>
      </c>
      <c r="Y39" s="228"/>
      <c r="Z39" s="22" t="s">
        <v>11</v>
      </c>
      <c r="AA39" s="22" t="s">
        <v>11</v>
      </c>
      <c r="AB39" s="22" t="s">
        <v>11</v>
      </c>
      <c r="AC39" s="22" t="s">
        <v>11</v>
      </c>
      <c r="AD39" s="22" t="s">
        <v>11</v>
      </c>
      <c r="AE39" s="22" t="s">
        <v>11</v>
      </c>
      <c r="AF39" s="228"/>
      <c r="AG39" s="22" t="s">
        <v>11</v>
      </c>
      <c r="AH39" s="22" t="s">
        <v>11</v>
      </c>
      <c r="AI39" s="22" t="s">
        <v>11</v>
      </c>
      <c r="AJ39" s="22" t="s">
        <v>11</v>
      </c>
      <c r="AK39" s="22">
        <f t="shared" si="0"/>
        <v>0</v>
      </c>
      <c r="AL39" s="22">
        <f t="shared" si="1"/>
        <v>26</v>
      </c>
    </row>
    <row r="40" spans="1:78" ht="18" x14ac:dyDescent="0.4">
      <c r="A40" s="39">
        <v>35</v>
      </c>
      <c r="B40" s="10"/>
      <c r="C40" s="10"/>
      <c r="D40" s="10"/>
      <c r="E40" s="35" t="s">
        <v>35</v>
      </c>
      <c r="F40" s="22" t="s">
        <v>12</v>
      </c>
      <c r="G40" s="22" t="s">
        <v>12</v>
      </c>
      <c r="H40" s="22" t="s">
        <v>12</v>
      </c>
      <c r="I40" s="22" t="s">
        <v>11</v>
      </c>
      <c r="J40" s="22" t="s">
        <v>11</v>
      </c>
      <c r="K40" s="228"/>
      <c r="L40" s="22" t="s">
        <v>11</v>
      </c>
      <c r="M40" s="22" t="s">
        <v>11</v>
      </c>
      <c r="N40" s="22" t="s">
        <v>11</v>
      </c>
      <c r="O40" s="22" t="s">
        <v>11</v>
      </c>
      <c r="P40" s="22" t="s">
        <v>12</v>
      </c>
      <c r="Q40" s="22" t="s">
        <v>12</v>
      </c>
      <c r="R40" s="228"/>
      <c r="S40" s="228"/>
      <c r="T40" s="22" t="s">
        <v>12</v>
      </c>
      <c r="U40" s="22" t="s">
        <v>12</v>
      </c>
      <c r="V40" s="22" t="s">
        <v>12</v>
      </c>
      <c r="W40" s="22" t="s">
        <v>12</v>
      </c>
      <c r="X40" s="22" t="s">
        <v>12</v>
      </c>
      <c r="Y40" s="228"/>
      <c r="Z40" s="22" t="s">
        <v>12</v>
      </c>
      <c r="AA40" s="22" t="s">
        <v>12</v>
      </c>
      <c r="AB40" s="22" t="s">
        <v>12</v>
      </c>
      <c r="AC40" s="22" t="s">
        <v>12</v>
      </c>
      <c r="AD40" s="22" t="s">
        <v>12</v>
      </c>
      <c r="AE40" s="22" t="s">
        <v>64</v>
      </c>
      <c r="AF40" s="228"/>
      <c r="AG40" s="71" t="s">
        <v>12</v>
      </c>
      <c r="AH40" s="71" t="s">
        <v>12</v>
      </c>
      <c r="AI40" s="71" t="s">
        <v>12</v>
      </c>
      <c r="AJ40" s="71" t="s">
        <v>11</v>
      </c>
      <c r="AK40" s="68">
        <f t="shared" si="0"/>
        <v>18</v>
      </c>
      <c r="AL40" s="22">
        <f t="shared" si="1"/>
        <v>7</v>
      </c>
    </row>
    <row r="41" spans="1:78" ht="22.5" customHeight="1" x14ac:dyDescent="0.4">
      <c r="A41" s="39">
        <v>36</v>
      </c>
      <c r="B41" s="10"/>
      <c r="C41" s="149"/>
      <c r="D41" s="149"/>
      <c r="E41" s="13" t="s">
        <v>35</v>
      </c>
      <c r="F41" s="22" t="s">
        <v>11</v>
      </c>
      <c r="G41" s="22" t="s">
        <v>12</v>
      </c>
      <c r="H41" s="22" t="s">
        <v>12</v>
      </c>
      <c r="I41" s="22" t="s">
        <v>12</v>
      </c>
      <c r="J41" s="22" t="s">
        <v>12</v>
      </c>
      <c r="K41" s="228"/>
      <c r="L41" s="22" t="s">
        <v>12</v>
      </c>
      <c r="M41" s="22" t="s">
        <v>12</v>
      </c>
      <c r="N41" s="22" t="s">
        <v>12</v>
      </c>
      <c r="O41" s="22" t="s">
        <v>12</v>
      </c>
      <c r="P41" s="22" t="s">
        <v>12</v>
      </c>
      <c r="Q41" s="22" t="s">
        <v>11</v>
      </c>
      <c r="R41" s="228"/>
      <c r="S41" s="228"/>
      <c r="T41" s="22" t="s">
        <v>12</v>
      </c>
      <c r="U41" s="22" t="s">
        <v>12</v>
      </c>
      <c r="V41" s="22" t="s">
        <v>12</v>
      </c>
      <c r="W41" s="22" t="s">
        <v>12</v>
      </c>
      <c r="X41" s="22" t="s">
        <v>12</v>
      </c>
      <c r="Y41" s="228"/>
      <c r="Z41" s="22" t="s">
        <v>12</v>
      </c>
      <c r="AA41" s="22" t="s">
        <v>12</v>
      </c>
      <c r="AB41" s="22" t="s">
        <v>12</v>
      </c>
      <c r="AC41" s="22" t="s">
        <v>12</v>
      </c>
      <c r="AD41" s="22" t="s">
        <v>12</v>
      </c>
      <c r="AE41" s="22" t="s">
        <v>12</v>
      </c>
      <c r="AF41" s="228"/>
      <c r="AG41" s="22" t="s">
        <v>12</v>
      </c>
      <c r="AH41" s="22" t="s">
        <v>12</v>
      </c>
      <c r="AI41" s="22" t="s">
        <v>12</v>
      </c>
      <c r="AJ41" s="22" t="s">
        <v>12</v>
      </c>
      <c r="AK41" s="22">
        <f t="shared" si="0"/>
        <v>24</v>
      </c>
      <c r="AL41" s="22">
        <f t="shared" si="1"/>
        <v>2</v>
      </c>
      <c r="AM41" s="22"/>
      <c r="AN41" s="72">
        <f>AK42+AL42</f>
        <v>25</v>
      </c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</row>
    <row r="42" spans="1:78" ht="18" x14ac:dyDescent="0.4">
      <c r="A42" s="39">
        <v>37</v>
      </c>
      <c r="B42" s="10"/>
      <c r="C42" s="10"/>
      <c r="D42" s="10"/>
      <c r="E42" s="35" t="s">
        <v>35</v>
      </c>
      <c r="F42" s="22" t="s">
        <v>11</v>
      </c>
      <c r="G42" s="22" t="s">
        <v>12</v>
      </c>
      <c r="H42" s="22" t="s">
        <v>11</v>
      </c>
      <c r="I42" s="22" t="s">
        <v>11</v>
      </c>
      <c r="J42" s="22" t="s">
        <v>12</v>
      </c>
      <c r="K42" s="228"/>
      <c r="L42" s="22" t="s">
        <v>11</v>
      </c>
      <c r="M42" s="22" t="s">
        <v>11</v>
      </c>
      <c r="N42" s="22" t="s">
        <v>11</v>
      </c>
      <c r="O42" s="22" t="s">
        <v>12</v>
      </c>
      <c r="P42" s="22" t="s">
        <v>12</v>
      </c>
      <c r="Q42" s="22" t="s">
        <v>12</v>
      </c>
      <c r="R42" s="228"/>
      <c r="S42" s="228"/>
      <c r="T42" s="22" t="s">
        <v>12</v>
      </c>
      <c r="U42" s="22" t="s">
        <v>12</v>
      </c>
      <c r="V42" s="22" t="s">
        <v>64</v>
      </c>
      <c r="W42" s="22" t="s">
        <v>12</v>
      </c>
      <c r="X42" s="22" t="s">
        <v>12</v>
      </c>
      <c r="Y42" s="228"/>
      <c r="Z42" s="22" t="s">
        <v>12</v>
      </c>
      <c r="AA42" s="22" t="s">
        <v>12</v>
      </c>
      <c r="AB42" s="22" t="s">
        <v>12</v>
      </c>
      <c r="AC42" s="22" t="s">
        <v>12</v>
      </c>
      <c r="AD42" s="22" t="s">
        <v>12</v>
      </c>
      <c r="AE42" s="22" t="s">
        <v>12</v>
      </c>
      <c r="AF42" s="228"/>
      <c r="AG42" s="22" t="s">
        <v>12</v>
      </c>
      <c r="AH42" s="22" t="s">
        <v>12</v>
      </c>
      <c r="AI42" s="22" t="s">
        <v>12</v>
      </c>
      <c r="AJ42" s="22" t="s">
        <v>12</v>
      </c>
      <c r="AK42" s="22">
        <f t="shared" si="0"/>
        <v>19</v>
      </c>
      <c r="AL42" s="22">
        <f t="shared" si="1"/>
        <v>6</v>
      </c>
      <c r="AR42" s="73"/>
    </row>
    <row r="43" spans="1:78" ht="18" x14ac:dyDescent="0.4">
      <c r="A43" s="39">
        <v>38</v>
      </c>
      <c r="B43" s="10"/>
      <c r="C43" s="10"/>
      <c r="D43" s="10"/>
      <c r="E43" s="35" t="s">
        <v>35</v>
      </c>
      <c r="F43" s="22" t="s">
        <v>11</v>
      </c>
      <c r="G43" s="22" t="s">
        <v>12</v>
      </c>
      <c r="H43" s="22" t="s">
        <v>11</v>
      </c>
      <c r="I43" s="22" t="s">
        <v>12</v>
      </c>
      <c r="J43" s="22" t="s">
        <v>12</v>
      </c>
      <c r="K43" s="228"/>
      <c r="L43" s="22" t="s">
        <v>11</v>
      </c>
      <c r="M43" s="22" t="s">
        <v>11</v>
      </c>
      <c r="N43" s="22" t="s">
        <v>11</v>
      </c>
      <c r="O43" s="22" t="s">
        <v>11</v>
      </c>
      <c r="P43" s="22" t="s">
        <v>11</v>
      </c>
      <c r="Q43" s="22" t="s">
        <v>11</v>
      </c>
      <c r="R43" s="228"/>
      <c r="S43" s="228"/>
      <c r="T43" s="22" t="s">
        <v>11</v>
      </c>
      <c r="U43" s="22" t="s">
        <v>11</v>
      </c>
      <c r="V43" s="22" t="s">
        <v>12</v>
      </c>
      <c r="W43" s="22" t="s">
        <v>12</v>
      </c>
      <c r="X43" s="22" t="s">
        <v>12</v>
      </c>
      <c r="Y43" s="228"/>
      <c r="Z43" s="22" t="s">
        <v>12</v>
      </c>
      <c r="AA43" s="22" t="s">
        <v>12</v>
      </c>
      <c r="AB43" s="22" t="s">
        <v>12</v>
      </c>
      <c r="AC43" s="22" t="s">
        <v>12</v>
      </c>
      <c r="AD43" s="22" t="s">
        <v>12</v>
      </c>
      <c r="AE43" s="22" t="s">
        <v>12</v>
      </c>
      <c r="AF43" s="228"/>
      <c r="AG43" s="22" t="s">
        <v>12</v>
      </c>
      <c r="AH43" s="22" t="s">
        <v>11</v>
      </c>
      <c r="AI43" s="22" t="s">
        <v>12</v>
      </c>
      <c r="AJ43" s="22" t="s">
        <v>12</v>
      </c>
      <c r="AK43" s="22">
        <f t="shared" si="0"/>
        <v>15</v>
      </c>
      <c r="AL43" s="22">
        <f t="shared" si="1"/>
        <v>11</v>
      </c>
    </row>
    <row r="44" spans="1:78" ht="18" x14ac:dyDescent="0.4">
      <c r="A44" s="39">
        <v>39</v>
      </c>
      <c r="B44" s="10"/>
      <c r="C44" s="10"/>
      <c r="D44" s="10"/>
      <c r="E44" s="35" t="s">
        <v>35</v>
      </c>
      <c r="F44" s="22" t="s">
        <v>11</v>
      </c>
      <c r="G44" s="22" t="s">
        <v>12</v>
      </c>
      <c r="H44" s="22" t="s">
        <v>11</v>
      </c>
      <c r="I44" s="22" t="s">
        <v>12</v>
      </c>
      <c r="J44" s="22" t="s">
        <v>12</v>
      </c>
      <c r="K44" s="228"/>
      <c r="L44" s="22" t="s">
        <v>12</v>
      </c>
      <c r="M44" s="22" t="s">
        <v>11</v>
      </c>
      <c r="N44" s="22" t="s">
        <v>12</v>
      </c>
      <c r="O44" s="22" t="s">
        <v>12</v>
      </c>
      <c r="P44" s="22" t="s">
        <v>12</v>
      </c>
      <c r="Q44" s="22" t="s">
        <v>11</v>
      </c>
      <c r="R44" s="228"/>
      <c r="S44" s="228"/>
      <c r="T44" s="22" t="s">
        <v>11</v>
      </c>
      <c r="U44" s="22" t="s">
        <v>12</v>
      </c>
      <c r="V44" s="22" t="s">
        <v>12</v>
      </c>
      <c r="W44" s="22" t="s">
        <v>12</v>
      </c>
      <c r="X44" s="22" t="s">
        <v>11</v>
      </c>
      <c r="Y44" s="228"/>
      <c r="Z44" s="22" t="s">
        <v>11</v>
      </c>
      <c r="AA44" s="22" t="s">
        <v>12</v>
      </c>
      <c r="AB44" s="22" t="s">
        <v>11</v>
      </c>
      <c r="AC44" s="22" t="s">
        <v>11</v>
      </c>
      <c r="AD44" s="22" t="s">
        <v>11</v>
      </c>
      <c r="AE44" s="22" t="s">
        <v>11</v>
      </c>
      <c r="AF44" s="228"/>
      <c r="AG44" s="71" t="s">
        <v>12</v>
      </c>
      <c r="AH44" s="71" t="s">
        <v>12</v>
      </c>
      <c r="AI44" s="71" t="s">
        <v>12</v>
      </c>
      <c r="AJ44" s="71" t="s">
        <v>12</v>
      </c>
      <c r="AK44" s="22">
        <f t="shared" si="0"/>
        <v>15</v>
      </c>
      <c r="AL44" s="22">
        <f t="shared" si="1"/>
        <v>11</v>
      </c>
    </row>
    <row r="45" spans="1:78" ht="18" x14ac:dyDescent="0.4">
      <c r="A45" s="39">
        <v>40</v>
      </c>
      <c r="B45" s="10"/>
      <c r="C45" s="10"/>
      <c r="D45" s="10"/>
      <c r="E45" s="13" t="s">
        <v>35</v>
      </c>
      <c r="F45" s="22" t="s">
        <v>11</v>
      </c>
      <c r="G45" s="22" t="s">
        <v>12</v>
      </c>
      <c r="H45" s="22" t="s">
        <v>11</v>
      </c>
      <c r="I45" s="22" t="s">
        <v>12</v>
      </c>
      <c r="J45" s="22" t="s">
        <v>12</v>
      </c>
      <c r="K45" s="228"/>
      <c r="L45" s="22" t="s">
        <v>11</v>
      </c>
      <c r="M45" s="22" t="s">
        <v>11</v>
      </c>
      <c r="N45" s="22" t="s">
        <v>11</v>
      </c>
      <c r="O45" s="22" t="s">
        <v>11</v>
      </c>
      <c r="P45" s="22" t="s">
        <v>11</v>
      </c>
      <c r="Q45" s="22" t="s">
        <v>11</v>
      </c>
      <c r="R45" s="228"/>
      <c r="S45" s="228"/>
      <c r="T45" s="22" t="s">
        <v>11</v>
      </c>
      <c r="U45" s="22" t="s">
        <v>11</v>
      </c>
      <c r="V45" s="22" t="s">
        <v>11</v>
      </c>
      <c r="W45" s="22" t="s">
        <v>12</v>
      </c>
      <c r="X45" s="22" t="s">
        <v>12</v>
      </c>
      <c r="Y45" s="228"/>
      <c r="Z45" s="22" t="s">
        <v>11</v>
      </c>
      <c r="AA45" s="22" t="s">
        <v>12</v>
      </c>
      <c r="AB45" s="22" t="s">
        <v>12</v>
      </c>
      <c r="AC45" s="22" t="s">
        <v>12</v>
      </c>
      <c r="AD45" s="22" t="s">
        <v>11</v>
      </c>
      <c r="AE45" s="22" t="s">
        <v>12</v>
      </c>
      <c r="AF45" s="228"/>
      <c r="AG45" s="22" t="s">
        <v>12</v>
      </c>
      <c r="AH45" s="22" t="s">
        <v>12</v>
      </c>
      <c r="AI45" s="22" t="s">
        <v>12</v>
      </c>
      <c r="AJ45" s="22" t="s">
        <v>11</v>
      </c>
      <c r="AK45" s="22">
        <f t="shared" si="0"/>
        <v>12</v>
      </c>
      <c r="AL45" s="22">
        <f t="shared" si="1"/>
        <v>14</v>
      </c>
    </row>
    <row r="46" spans="1:78" ht="18" x14ac:dyDescent="0.3">
      <c r="AE46" s="73"/>
      <c r="AK46" s="22">
        <f>SUM(AK6:AK45)</f>
        <v>672</v>
      </c>
      <c r="AL46" s="22">
        <f>SUM(AL10:AL45)</f>
        <v>332</v>
      </c>
    </row>
  </sheetData>
  <mergeCells count="12">
    <mergeCell ref="K6:K45"/>
    <mergeCell ref="S6:S45"/>
    <mergeCell ref="AN9:AQ9"/>
    <mergeCell ref="AN15:AQ15"/>
    <mergeCell ref="A1:AJ1"/>
    <mergeCell ref="A2:AJ2"/>
    <mergeCell ref="A3:AJ3"/>
    <mergeCell ref="A4:AJ4"/>
    <mergeCell ref="AN4:AO4"/>
    <mergeCell ref="AF6:AF45"/>
    <mergeCell ref="Y6:Y45"/>
    <mergeCell ref="R6:R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75"/>
  <sheetViews>
    <sheetView zoomScale="90" zoomScaleNormal="90" workbookViewId="0">
      <selection activeCell="B6" sqref="B6:D47"/>
    </sheetView>
  </sheetViews>
  <sheetFormatPr defaultColWidth="4" defaultRowHeight="14" x14ac:dyDescent="0.3"/>
  <cols>
    <col min="1" max="1" width="4" style="1"/>
    <col min="2" max="2" width="6.54296875" style="1" customWidth="1"/>
    <col min="3" max="3" width="22.54296875" style="1" customWidth="1"/>
    <col min="4" max="4" width="21.81640625" style="74" customWidth="1"/>
    <col min="5" max="5" width="7" style="1" customWidth="1"/>
    <col min="6" max="36" width="4" style="1"/>
    <col min="37" max="37" width="10.1796875" style="1" customWidth="1"/>
    <col min="38" max="38" width="8.7265625" style="1" customWidth="1"/>
    <col min="39" max="40" width="18.453125" style="1" customWidth="1"/>
    <col min="41" max="41" width="13.54296875" style="1" customWidth="1"/>
    <col min="42" max="42" width="13" style="1" customWidth="1"/>
    <col min="43" max="43" width="10.81640625" style="1" customWidth="1"/>
    <col min="44" max="44" width="7.453125" style="1" customWidth="1"/>
    <col min="45" max="45" width="6.81640625" style="1" customWidth="1"/>
    <col min="46" max="46" width="6.54296875" style="1" customWidth="1"/>
    <col min="47" max="16384" width="4" style="1"/>
  </cols>
  <sheetData>
    <row r="1" spans="1:45" ht="22.5" x14ac:dyDescent="0.45">
      <c r="A1" s="252" t="s">
        <v>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75"/>
      <c r="AN1" s="75"/>
      <c r="AO1" s="75"/>
      <c r="AR1" s="170"/>
      <c r="AS1" s="170"/>
    </row>
    <row r="2" spans="1:45" ht="22.5" x14ac:dyDescent="0.3">
      <c r="A2" s="253" t="s">
        <v>75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76"/>
      <c r="AN2" s="235">
        <v>45139</v>
      </c>
      <c r="AO2" s="235"/>
      <c r="AS2" s="170"/>
    </row>
    <row r="3" spans="1:45" ht="22.5" x14ac:dyDescent="0.45">
      <c r="A3" s="252" t="s">
        <v>56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75"/>
      <c r="AN3" s="235"/>
      <c r="AO3" s="235"/>
      <c r="AS3" s="170"/>
    </row>
    <row r="4" spans="1:45" ht="22.5" x14ac:dyDescent="0.45">
      <c r="A4" s="254" t="s">
        <v>77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75"/>
      <c r="AN4" s="153" t="s">
        <v>8</v>
      </c>
      <c r="AO4" s="153">
        <v>31</v>
      </c>
    </row>
    <row r="5" spans="1:45" ht="54" x14ac:dyDescent="0.3">
      <c r="A5" s="36" t="s">
        <v>1</v>
      </c>
      <c r="B5" s="36" t="s">
        <v>2</v>
      </c>
      <c r="C5" s="36" t="s">
        <v>3</v>
      </c>
      <c r="D5" s="77" t="s">
        <v>4</v>
      </c>
      <c r="E5" s="36" t="s">
        <v>5</v>
      </c>
      <c r="F5" s="78">
        <v>1</v>
      </c>
      <c r="G5" s="36">
        <v>2</v>
      </c>
      <c r="H5" s="36">
        <v>3</v>
      </c>
      <c r="I5" s="36">
        <v>4</v>
      </c>
      <c r="J5" s="78">
        <v>5</v>
      </c>
      <c r="K5" s="36">
        <v>6</v>
      </c>
      <c r="L5" s="36">
        <v>7</v>
      </c>
      <c r="M5" s="78">
        <v>8</v>
      </c>
      <c r="N5" s="36">
        <v>9</v>
      </c>
      <c r="O5" s="36">
        <v>10</v>
      </c>
      <c r="P5" s="36">
        <v>11</v>
      </c>
      <c r="Q5" s="78">
        <v>12</v>
      </c>
      <c r="R5" s="36">
        <v>13</v>
      </c>
      <c r="S5" s="36">
        <v>14</v>
      </c>
      <c r="T5" s="78">
        <v>15</v>
      </c>
      <c r="U5" s="36">
        <v>16</v>
      </c>
      <c r="V5" s="36">
        <v>17</v>
      </c>
      <c r="W5" s="36">
        <v>18</v>
      </c>
      <c r="X5" s="78">
        <v>19</v>
      </c>
      <c r="Y5" s="36">
        <v>20</v>
      </c>
      <c r="Z5" s="36">
        <v>21</v>
      </c>
      <c r="AA5" s="78">
        <v>22</v>
      </c>
      <c r="AB5" s="36">
        <v>23</v>
      </c>
      <c r="AC5" s="36">
        <v>24</v>
      </c>
      <c r="AD5" s="36">
        <v>25</v>
      </c>
      <c r="AE5" s="78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43" t="s">
        <v>6</v>
      </c>
      <c r="AL5" s="43" t="s">
        <v>7</v>
      </c>
      <c r="AN5" s="171" t="s">
        <v>13</v>
      </c>
      <c r="AO5" s="150">
        <v>23</v>
      </c>
      <c r="AP5" s="1" t="s">
        <v>58</v>
      </c>
      <c r="AR5" s="1">
        <v>1</v>
      </c>
    </row>
    <row r="6" spans="1:45" ht="39" customHeight="1" x14ac:dyDescent="0.4">
      <c r="A6" s="39">
        <v>1</v>
      </c>
      <c r="B6" s="13"/>
      <c r="C6" s="10"/>
      <c r="D6" s="10"/>
      <c r="E6" s="79" t="s">
        <v>36</v>
      </c>
      <c r="F6" s="81"/>
      <c r="G6" s="81"/>
      <c r="H6" s="81" t="s">
        <v>12</v>
      </c>
      <c r="I6" s="81" t="s">
        <v>12</v>
      </c>
      <c r="J6" s="81" t="s">
        <v>12</v>
      </c>
      <c r="K6" s="80" t="s">
        <v>26</v>
      </c>
      <c r="L6" s="81" t="s">
        <v>11</v>
      </c>
      <c r="M6" s="81" t="s">
        <v>12</v>
      </c>
      <c r="N6" s="81" t="s">
        <v>12</v>
      </c>
      <c r="O6" s="81" t="s">
        <v>12</v>
      </c>
      <c r="P6" s="81" t="s">
        <v>11</v>
      </c>
      <c r="Q6" s="81" t="s">
        <v>12</v>
      </c>
      <c r="R6" s="80" t="s">
        <v>26</v>
      </c>
      <c r="S6" s="80"/>
      <c r="T6" s="81" t="s">
        <v>11</v>
      </c>
      <c r="U6" s="81" t="s">
        <v>12</v>
      </c>
      <c r="V6" s="81" t="s">
        <v>12</v>
      </c>
      <c r="W6" s="81" t="s">
        <v>12</v>
      </c>
      <c r="X6" s="81" t="s">
        <v>11</v>
      </c>
      <c r="Y6" s="80" t="s">
        <v>26</v>
      </c>
      <c r="Z6" s="81" t="s">
        <v>12</v>
      </c>
      <c r="AA6" s="81" t="s">
        <v>12</v>
      </c>
      <c r="AB6" s="81" t="s">
        <v>12</v>
      </c>
      <c r="AC6" s="81" t="s">
        <v>12</v>
      </c>
      <c r="AD6" s="81" t="s">
        <v>11</v>
      </c>
      <c r="AE6" s="81" t="s">
        <v>12</v>
      </c>
      <c r="AF6" s="80" t="s">
        <v>26</v>
      </c>
      <c r="AG6" s="81" t="s">
        <v>12</v>
      </c>
      <c r="AH6" s="81" t="s">
        <v>12</v>
      </c>
      <c r="AI6" s="81" t="s">
        <v>11</v>
      </c>
      <c r="AJ6" s="81" t="s">
        <v>12</v>
      </c>
      <c r="AK6" s="46">
        <f>COUNTIF(F6:AJ6,"P")</f>
        <v>18</v>
      </c>
      <c r="AL6" s="46">
        <f>COUNTIF(F6:AJ6,"A")</f>
        <v>6</v>
      </c>
      <c r="AM6" s="139"/>
      <c r="AN6" s="150" t="s">
        <v>26</v>
      </c>
      <c r="AO6" s="172">
        <v>4</v>
      </c>
      <c r="AP6" s="64"/>
      <c r="AQ6" s="64"/>
    </row>
    <row r="7" spans="1:45" ht="20.25" customHeight="1" x14ac:dyDescent="0.4">
      <c r="A7" s="39">
        <v>2</v>
      </c>
      <c r="B7" s="13"/>
      <c r="C7" s="10"/>
      <c r="D7" s="10"/>
      <c r="E7" s="66" t="s">
        <v>36</v>
      </c>
      <c r="F7" s="81" t="s">
        <v>12</v>
      </c>
      <c r="G7" s="81" t="s">
        <v>12</v>
      </c>
      <c r="H7" s="81" t="s">
        <v>12</v>
      </c>
      <c r="I7" s="81" t="s">
        <v>12</v>
      </c>
      <c r="J7" s="81" t="s">
        <v>12</v>
      </c>
      <c r="K7" s="255" t="s">
        <v>26</v>
      </c>
      <c r="L7" s="81" t="s">
        <v>12</v>
      </c>
      <c r="M7" s="81" t="s">
        <v>12</v>
      </c>
      <c r="N7" s="81" t="s">
        <v>12</v>
      </c>
      <c r="O7" s="81" t="s">
        <v>12</v>
      </c>
      <c r="P7" s="81" t="s">
        <v>11</v>
      </c>
      <c r="Q7" s="81" t="s">
        <v>12</v>
      </c>
      <c r="R7" s="255" t="s">
        <v>26</v>
      </c>
      <c r="S7" s="255" t="s">
        <v>55</v>
      </c>
      <c r="T7" s="81" t="s">
        <v>12</v>
      </c>
      <c r="U7" s="81" t="s">
        <v>12</v>
      </c>
      <c r="V7" s="81" t="s">
        <v>11</v>
      </c>
      <c r="W7" s="81" t="s">
        <v>12</v>
      </c>
      <c r="X7" s="81" t="s">
        <v>12</v>
      </c>
      <c r="Y7" s="255" t="s">
        <v>26</v>
      </c>
      <c r="Z7" s="81" t="s">
        <v>12</v>
      </c>
      <c r="AA7" s="81" t="s">
        <v>11</v>
      </c>
      <c r="AB7" s="81" t="s">
        <v>12</v>
      </c>
      <c r="AC7" s="81" t="s">
        <v>11</v>
      </c>
      <c r="AD7" s="81" t="s">
        <v>12</v>
      </c>
      <c r="AE7" s="81" t="s">
        <v>12</v>
      </c>
      <c r="AF7" s="255" t="s">
        <v>26</v>
      </c>
      <c r="AG7" s="81" t="s">
        <v>12</v>
      </c>
      <c r="AH7" s="81" t="s">
        <v>12</v>
      </c>
      <c r="AI7" s="81" t="s">
        <v>12</v>
      </c>
      <c r="AJ7" s="81" t="s">
        <v>12</v>
      </c>
      <c r="AK7" s="46">
        <f t="shared" ref="AK7:AK47" si="0">COUNTIF(F7:AJ7,"P")</f>
        <v>22</v>
      </c>
      <c r="AL7" s="46">
        <f t="shared" ref="AL7:AL47" si="1">COUNTIF(F7:AJ7,"A")</f>
        <v>4</v>
      </c>
      <c r="AN7" s="249" t="s">
        <v>6</v>
      </c>
      <c r="AO7" s="250"/>
      <c r="AP7" s="250"/>
      <c r="AQ7" s="251"/>
    </row>
    <row r="8" spans="1:45" ht="19" x14ac:dyDescent="0.4">
      <c r="A8" s="39">
        <v>3</v>
      </c>
      <c r="B8" s="35"/>
      <c r="C8" s="10"/>
      <c r="D8" s="10"/>
      <c r="E8" s="66" t="s">
        <v>36</v>
      </c>
      <c r="F8" s="81" t="s">
        <v>12</v>
      </c>
      <c r="G8" s="81" t="s">
        <v>12</v>
      </c>
      <c r="H8" s="81" t="s">
        <v>12</v>
      </c>
      <c r="I8" s="81" t="s">
        <v>12</v>
      </c>
      <c r="J8" s="81" t="s">
        <v>12</v>
      </c>
      <c r="K8" s="256"/>
      <c r="L8" s="81" t="s">
        <v>12</v>
      </c>
      <c r="M8" s="81" t="s">
        <v>11</v>
      </c>
      <c r="N8" s="81" t="s">
        <v>12</v>
      </c>
      <c r="O8" s="81" t="s">
        <v>12</v>
      </c>
      <c r="P8" s="81" t="s">
        <v>12</v>
      </c>
      <c r="Q8" s="81" t="s">
        <v>12</v>
      </c>
      <c r="R8" s="256"/>
      <c r="S8" s="256"/>
      <c r="T8" s="81" t="s">
        <v>11</v>
      </c>
      <c r="U8" s="81" t="s">
        <v>12</v>
      </c>
      <c r="V8" s="81" t="s">
        <v>12</v>
      </c>
      <c r="W8" s="81" t="s">
        <v>11</v>
      </c>
      <c r="X8" s="81" t="s">
        <v>12</v>
      </c>
      <c r="Y8" s="256"/>
      <c r="Z8" s="81" t="s">
        <v>12</v>
      </c>
      <c r="AA8" s="81" t="s">
        <v>12</v>
      </c>
      <c r="AB8" s="81" t="s">
        <v>12</v>
      </c>
      <c r="AC8" s="81" t="s">
        <v>12</v>
      </c>
      <c r="AD8" s="81" t="s">
        <v>12</v>
      </c>
      <c r="AE8" s="81" t="s">
        <v>11</v>
      </c>
      <c r="AF8" s="256"/>
      <c r="AG8" s="81" t="s">
        <v>12</v>
      </c>
      <c r="AH8" s="81" t="s">
        <v>11</v>
      </c>
      <c r="AI8" s="81" t="s">
        <v>12</v>
      </c>
      <c r="AJ8" s="81" t="s">
        <v>12</v>
      </c>
      <c r="AK8" s="46">
        <f t="shared" si="0"/>
        <v>21</v>
      </c>
      <c r="AL8" s="46">
        <f t="shared" si="1"/>
        <v>5</v>
      </c>
      <c r="AN8" s="150" t="s">
        <v>16</v>
      </c>
      <c r="AO8" s="150" t="s">
        <v>18</v>
      </c>
      <c r="AP8" s="150" t="s">
        <v>17</v>
      </c>
      <c r="AQ8" s="150" t="s">
        <v>19</v>
      </c>
    </row>
    <row r="9" spans="1:45" ht="19" x14ac:dyDescent="0.4">
      <c r="A9" s="39">
        <v>4</v>
      </c>
      <c r="B9" s="35"/>
      <c r="C9" s="10"/>
      <c r="D9" s="10"/>
      <c r="E9" s="66" t="s">
        <v>36</v>
      </c>
      <c r="F9" s="81" t="s">
        <v>12</v>
      </c>
      <c r="G9" s="81" t="s">
        <v>12</v>
      </c>
      <c r="H9" s="81" t="s">
        <v>12</v>
      </c>
      <c r="I9" s="81" t="s">
        <v>11</v>
      </c>
      <c r="J9" s="81" t="s">
        <v>12</v>
      </c>
      <c r="K9" s="256"/>
      <c r="L9" s="81" t="s">
        <v>12</v>
      </c>
      <c r="M9" s="81" t="s">
        <v>12</v>
      </c>
      <c r="N9" s="81" t="s">
        <v>12</v>
      </c>
      <c r="O9" s="81" t="s">
        <v>12</v>
      </c>
      <c r="P9" s="81" t="s">
        <v>11</v>
      </c>
      <c r="Q9" s="81" t="s">
        <v>12</v>
      </c>
      <c r="R9" s="256"/>
      <c r="S9" s="256"/>
      <c r="T9" s="81" t="s">
        <v>12</v>
      </c>
      <c r="U9" s="81" t="s">
        <v>11</v>
      </c>
      <c r="V9" s="81" t="s">
        <v>11</v>
      </c>
      <c r="W9" s="81" t="s">
        <v>12</v>
      </c>
      <c r="X9" s="81" t="s">
        <v>12</v>
      </c>
      <c r="Y9" s="256"/>
      <c r="Z9" s="81" t="s">
        <v>12</v>
      </c>
      <c r="AA9" s="81" t="s">
        <v>12</v>
      </c>
      <c r="AB9" s="81" t="s">
        <v>12</v>
      </c>
      <c r="AC9" s="81" t="s">
        <v>12</v>
      </c>
      <c r="AD9" s="81" t="s">
        <v>12</v>
      </c>
      <c r="AE9" s="81" t="s">
        <v>11</v>
      </c>
      <c r="AF9" s="256"/>
      <c r="AG9" s="81" t="s">
        <v>11</v>
      </c>
      <c r="AH9" s="81" t="s">
        <v>12</v>
      </c>
      <c r="AI9" s="81" t="s">
        <v>12</v>
      </c>
      <c r="AJ9" s="81" t="s">
        <v>12</v>
      </c>
      <c r="AK9" s="46">
        <f t="shared" si="0"/>
        <v>20</v>
      </c>
      <c r="AL9" s="46">
        <f t="shared" si="1"/>
        <v>6</v>
      </c>
      <c r="AN9" s="150" t="s">
        <v>20</v>
      </c>
      <c r="AO9" s="150">
        <f>35*26</f>
        <v>910</v>
      </c>
      <c r="AP9" s="150">
        <f>7*26</f>
        <v>182</v>
      </c>
      <c r="AQ9" s="150">
        <f>AP9+AO9</f>
        <v>1092</v>
      </c>
    </row>
    <row r="10" spans="1:45" ht="19" x14ac:dyDescent="0.4">
      <c r="A10" s="39">
        <v>5</v>
      </c>
      <c r="B10" s="66"/>
      <c r="C10" s="10"/>
      <c r="D10" s="10"/>
      <c r="E10" s="66" t="s">
        <v>36</v>
      </c>
      <c r="F10" s="81" t="s">
        <v>12</v>
      </c>
      <c r="G10" s="81" t="s">
        <v>12</v>
      </c>
      <c r="H10" s="81" t="s">
        <v>12</v>
      </c>
      <c r="I10" s="81" t="s">
        <v>12</v>
      </c>
      <c r="J10" s="81" t="s">
        <v>12</v>
      </c>
      <c r="K10" s="256"/>
      <c r="L10" s="81" t="s">
        <v>11</v>
      </c>
      <c r="M10" s="81" t="s">
        <v>12</v>
      </c>
      <c r="N10" s="81" t="s">
        <v>12</v>
      </c>
      <c r="O10" s="81" t="s">
        <v>12</v>
      </c>
      <c r="P10" s="81" t="s">
        <v>12</v>
      </c>
      <c r="Q10" s="81" t="s">
        <v>11</v>
      </c>
      <c r="R10" s="256"/>
      <c r="S10" s="256"/>
      <c r="T10" s="81" t="s">
        <v>12</v>
      </c>
      <c r="U10" s="81" t="s">
        <v>12</v>
      </c>
      <c r="V10" s="81" t="s">
        <v>12</v>
      </c>
      <c r="W10" s="81" t="s">
        <v>12</v>
      </c>
      <c r="X10" s="81" t="s">
        <v>12</v>
      </c>
      <c r="Y10" s="256"/>
      <c r="Z10" s="81" t="s">
        <v>12</v>
      </c>
      <c r="AA10" s="81" t="s">
        <v>12</v>
      </c>
      <c r="AB10" s="81" t="s">
        <v>11</v>
      </c>
      <c r="AC10" s="81" t="s">
        <v>12</v>
      </c>
      <c r="AD10" s="81" t="s">
        <v>12</v>
      </c>
      <c r="AE10" s="81" t="s">
        <v>12</v>
      </c>
      <c r="AF10" s="256"/>
      <c r="AG10" s="81" t="s">
        <v>12</v>
      </c>
      <c r="AH10" s="81" t="s">
        <v>11</v>
      </c>
      <c r="AI10" s="81" t="s">
        <v>11</v>
      </c>
      <c r="AJ10" s="81" t="s">
        <v>12</v>
      </c>
      <c r="AK10" s="46">
        <f t="shared" si="0"/>
        <v>21</v>
      </c>
      <c r="AL10" s="46">
        <f t="shared" si="1"/>
        <v>5</v>
      </c>
      <c r="AN10" s="150" t="s">
        <v>21</v>
      </c>
      <c r="AO10" s="150">
        <f>AK6+AK7+AK8+AK9+AK10+AK11+AK12+AK13+AK15+AK16+AK17+AK18+AK19+AK20+AK21+AK22+AK24+AK25+AK26+AK27+AK28+AK29+AK31+AK32+AK33+AK34+AK37+AK38+AK40+AK41+AK42+AK43+AK44+AK45+AK47</f>
        <v>691</v>
      </c>
      <c r="AP10" s="150">
        <f>AK14+AK23+AK30+AK35+AK36+AK39+AK46</f>
        <v>134</v>
      </c>
      <c r="AQ10" s="150">
        <f>AP10+AO10</f>
        <v>825</v>
      </c>
    </row>
    <row r="11" spans="1:45" ht="19" x14ac:dyDescent="0.4">
      <c r="A11" s="39">
        <v>6</v>
      </c>
      <c r="B11" s="66"/>
      <c r="C11" s="10"/>
      <c r="D11" s="10"/>
      <c r="E11" s="66" t="s">
        <v>36</v>
      </c>
      <c r="F11" s="81" t="s">
        <v>12</v>
      </c>
      <c r="G11" s="81" t="s">
        <v>12</v>
      </c>
      <c r="H11" s="81" t="s">
        <v>12</v>
      </c>
      <c r="I11" s="81" t="s">
        <v>12</v>
      </c>
      <c r="J11" s="81" t="s">
        <v>12</v>
      </c>
      <c r="K11" s="256"/>
      <c r="L11" s="81" t="s">
        <v>12</v>
      </c>
      <c r="M11" s="81" t="s">
        <v>11</v>
      </c>
      <c r="N11" s="81" t="s">
        <v>11</v>
      </c>
      <c r="O11" s="81" t="s">
        <v>12</v>
      </c>
      <c r="P11" s="81" t="s">
        <v>12</v>
      </c>
      <c r="Q11" s="81" t="s">
        <v>12</v>
      </c>
      <c r="R11" s="256"/>
      <c r="S11" s="256"/>
      <c r="T11" s="81" t="s">
        <v>12</v>
      </c>
      <c r="U11" s="81" t="s">
        <v>11</v>
      </c>
      <c r="V11" s="81" t="s">
        <v>12</v>
      </c>
      <c r="W11" s="81" t="s">
        <v>11</v>
      </c>
      <c r="X11" s="81" t="s">
        <v>12</v>
      </c>
      <c r="Y11" s="256"/>
      <c r="Z11" s="81" t="s">
        <v>11</v>
      </c>
      <c r="AA11" s="81" t="s">
        <v>12</v>
      </c>
      <c r="AB11" s="81" t="s">
        <v>12</v>
      </c>
      <c r="AC11" s="81" t="s">
        <v>12</v>
      </c>
      <c r="AD11" s="81" t="s">
        <v>12</v>
      </c>
      <c r="AE11" s="81" t="s">
        <v>12</v>
      </c>
      <c r="AF11" s="256"/>
      <c r="AG11" s="81" t="s">
        <v>12</v>
      </c>
      <c r="AH11" s="81" t="s">
        <v>12</v>
      </c>
      <c r="AI11" s="81" t="s">
        <v>12</v>
      </c>
      <c r="AJ11" s="81" t="s">
        <v>12</v>
      </c>
      <c r="AK11" s="46">
        <f t="shared" si="0"/>
        <v>21</v>
      </c>
      <c r="AL11" s="46">
        <f t="shared" si="1"/>
        <v>5</v>
      </c>
      <c r="AN11" s="150" t="s">
        <v>22</v>
      </c>
      <c r="AO11" s="154">
        <f>AO10/AO9</f>
        <v>0.75934065934065931</v>
      </c>
      <c r="AP11" s="154">
        <f>AP10/AP9</f>
        <v>0.73626373626373631</v>
      </c>
      <c r="AQ11" s="154">
        <f>AVERAGE(AO11:AO11)</f>
        <v>0.75934065934065931</v>
      </c>
    </row>
    <row r="12" spans="1:45" ht="19" x14ac:dyDescent="0.4">
      <c r="A12" s="39">
        <v>7</v>
      </c>
      <c r="B12" s="35"/>
      <c r="C12" s="10"/>
      <c r="D12" s="10"/>
      <c r="E12" s="66" t="s">
        <v>36</v>
      </c>
      <c r="F12" s="81"/>
      <c r="G12" s="81"/>
      <c r="H12" s="81" t="s">
        <v>12</v>
      </c>
      <c r="I12" s="81" t="s">
        <v>12</v>
      </c>
      <c r="J12" s="81" t="s">
        <v>12</v>
      </c>
      <c r="K12" s="256"/>
      <c r="L12" s="81" t="s">
        <v>11</v>
      </c>
      <c r="M12" s="81" t="s">
        <v>12</v>
      </c>
      <c r="N12" s="81" t="s">
        <v>12</v>
      </c>
      <c r="O12" s="81" t="s">
        <v>12</v>
      </c>
      <c r="P12" s="81" t="s">
        <v>12</v>
      </c>
      <c r="Q12" s="81" t="s">
        <v>11</v>
      </c>
      <c r="R12" s="256"/>
      <c r="S12" s="256"/>
      <c r="T12" s="81" t="s">
        <v>11</v>
      </c>
      <c r="U12" s="81" t="s">
        <v>11</v>
      </c>
      <c r="V12" s="81" t="s">
        <v>12</v>
      </c>
      <c r="W12" s="81" t="s">
        <v>12</v>
      </c>
      <c r="X12" s="81" t="s">
        <v>12</v>
      </c>
      <c r="Y12" s="256"/>
      <c r="Z12" s="81" t="s">
        <v>12</v>
      </c>
      <c r="AA12" s="81" t="s">
        <v>11</v>
      </c>
      <c r="AB12" s="81" t="s">
        <v>12</v>
      </c>
      <c r="AC12" s="81" t="s">
        <v>12</v>
      </c>
      <c r="AD12" s="81" t="s">
        <v>12</v>
      </c>
      <c r="AE12" s="81" t="s">
        <v>12</v>
      </c>
      <c r="AF12" s="256"/>
      <c r="AG12" s="81" t="s">
        <v>11</v>
      </c>
      <c r="AH12" s="81" t="s">
        <v>12</v>
      </c>
      <c r="AI12" s="81" t="s">
        <v>12</v>
      </c>
      <c r="AJ12" s="81" t="s">
        <v>12</v>
      </c>
      <c r="AK12" s="46">
        <f t="shared" si="0"/>
        <v>18</v>
      </c>
      <c r="AL12" s="46">
        <f t="shared" si="1"/>
        <v>6</v>
      </c>
      <c r="AN12" s="64"/>
      <c r="AO12" s="165"/>
      <c r="AP12" s="165"/>
      <c r="AQ12" s="165"/>
    </row>
    <row r="13" spans="1:45" ht="19" x14ac:dyDescent="0.4">
      <c r="A13" s="39">
        <v>8</v>
      </c>
      <c r="B13" s="35"/>
      <c r="C13" s="10"/>
      <c r="D13" s="10"/>
      <c r="E13" s="66" t="s">
        <v>36</v>
      </c>
      <c r="F13" s="81" t="s">
        <v>11</v>
      </c>
      <c r="G13" s="81" t="s">
        <v>11</v>
      </c>
      <c r="H13" s="81" t="s">
        <v>12</v>
      </c>
      <c r="I13" s="81" t="s">
        <v>12</v>
      </c>
      <c r="J13" s="81" t="s">
        <v>12</v>
      </c>
      <c r="K13" s="256"/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11</v>
      </c>
      <c r="Q13" s="81" t="s">
        <v>12</v>
      </c>
      <c r="R13" s="256"/>
      <c r="S13" s="256"/>
      <c r="T13" s="81" t="s">
        <v>12</v>
      </c>
      <c r="U13" s="81" t="s">
        <v>12</v>
      </c>
      <c r="V13" s="81" t="s">
        <v>11</v>
      </c>
      <c r="W13" s="81" t="s">
        <v>12</v>
      </c>
      <c r="X13" s="81" t="s">
        <v>12</v>
      </c>
      <c r="Y13" s="256"/>
      <c r="Z13" s="81" t="s">
        <v>12</v>
      </c>
      <c r="AA13" s="81" t="s">
        <v>12</v>
      </c>
      <c r="AB13" s="81" t="s">
        <v>11</v>
      </c>
      <c r="AC13" s="81" t="s">
        <v>12</v>
      </c>
      <c r="AD13" s="81" t="s">
        <v>12</v>
      </c>
      <c r="AE13" s="81" t="s">
        <v>12</v>
      </c>
      <c r="AF13" s="256"/>
      <c r="AG13" s="81" t="s">
        <v>12</v>
      </c>
      <c r="AH13" s="81" t="s">
        <v>12</v>
      </c>
      <c r="AI13" s="81" t="s">
        <v>11</v>
      </c>
      <c r="AJ13" s="81" t="s">
        <v>12</v>
      </c>
      <c r="AK13" s="46">
        <f t="shared" si="0"/>
        <v>20</v>
      </c>
      <c r="AL13" s="46">
        <f t="shared" si="1"/>
        <v>6</v>
      </c>
      <c r="AN13" s="240" t="s">
        <v>65</v>
      </c>
      <c r="AO13" s="240"/>
      <c r="AP13" s="240"/>
      <c r="AQ13" s="240"/>
    </row>
    <row r="14" spans="1:45" ht="19" x14ac:dyDescent="0.4">
      <c r="A14" s="39">
        <v>9</v>
      </c>
      <c r="B14" s="13"/>
      <c r="C14" s="149"/>
      <c r="D14" s="149"/>
      <c r="E14" s="66" t="s">
        <v>36</v>
      </c>
      <c r="F14" s="81"/>
      <c r="G14" s="81"/>
      <c r="H14" s="81" t="s">
        <v>12</v>
      </c>
      <c r="I14" s="81" t="s">
        <v>12</v>
      </c>
      <c r="J14" s="81" t="s">
        <v>12</v>
      </c>
      <c r="K14" s="256"/>
      <c r="L14" s="81" t="s">
        <v>12</v>
      </c>
      <c r="M14" s="81" t="s">
        <v>11</v>
      </c>
      <c r="N14" s="81" t="s">
        <v>11</v>
      </c>
      <c r="O14" s="81" t="s">
        <v>12</v>
      </c>
      <c r="P14" s="81" t="s">
        <v>11</v>
      </c>
      <c r="Q14" s="81" t="s">
        <v>11</v>
      </c>
      <c r="R14" s="256"/>
      <c r="S14" s="256"/>
      <c r="T14" s="81" t="s">
        <v>12</v>
      </c>
      <c r="U14" s="81" t="s">
        <v>12</v>
      </c>
      <c r="V14" s="81" t="s">
        <v>11</v>
      </c>
      <c r="W14" s="81" t="s">
        <v>12</v>
      </c>
      <c r="X14" s="81" t="s">
        <v>12</v>
      </c>
      <c r="Y14" s="256"/>
      <c r="Z14" s="81" t="s">
        <v>12</v>
      </c>
      <c r="AA14" s="81" t="s">
        <v>12</v>
      </c>
      <c r="AB14" s="81" t="s">
        <v>12</v>
      </c>
      <c r="AC14" s="81" t="s">
        <v>11</v>
      </c>
      <c r="AD14" s="81" t="s">
        <v>12</v>
      </c>
      <c r="AE14" s="81" t="s">
        <v>12</v>
      </c>
      <c r="AF14" s="256"/>
      <c r="AG14" s="81" t="s">
        <v>12</v>
      </c>
      <c r="AH14" s="81" t="s">
        <v>12</v>
      </c>
      <c r="AI14" s="81" t="s">
        <v>12</v>
      </c>
      <c r="AJ14" s="81" t="s">
        <v>11</v>
      </c>
      <c r="AK14" s="177">
        <f t="shared" si="0"/>
        <v>17</v>
      </c>
      <c r="AL14" s="46">
        <f t="shared" si="1"/>
        <v>7</v>
      </c>
      <c r="AN14" s="150" t="s">
        <v>16</v>
      </c>
      <c r="AO14" s="150" t="s">
        <v>18</v>
      </c>
      <c r="AP14" s="150" t="s">
        <v>17</v>
      </c>
      <c r="AQ14" s="150" t="s">
        <v>19</v>
      </c>
    </row>
    <row r="15" spans="1:45" ht="19" x14ac:dyDescent="0.4">
      <c r="A15" s="39">
        <v>10</v>
      </c>
      <c r="B15" s="13"/>
      <c r="C15" s="10"/>
      <c r="D15" s="10"/>
      <c r="E15" s="66" t="s">
        <v>36</v>
      </c>
      <c r="F15" s="81"/>
      <c r="G15" s="81"/>
      <c r="H15" s="81" t="s">
        <v>12</v>
      </c>
      <c r="I15" s="81" t="s">
        <v>12</v>
      </c>
      <c r="J15" s="81" t="s">
        <v>11</v>
      </c>
      <c r="K15" s="256"/>
      <c r="L15" s="81" t="s">
        <v>12</v>
      </c>
      <c r="M15" s="81" t="s">
        <v>12</v>
      </c>
      <c r="N15" s="81" t="s">
        <v>12</v>
      </c>
      <c r="O15" s="81" t="s">
        <v>12</v>
      </c>
      <c r="P15" s="81" t="s">
        <v>11</v>
      </c>
      <c r="Q15" s="81" t="s">
        <v>11</v>
      </c>
      <c r="R15" s="256"/>
      <c r="S15" s="256"/>
      <c r="T15" s="81" t="s">
        <v>12</v>
      </c>
      <c r="U15" s="81" t="s">
        <v>12</v>
      </c>
      <c r="V15" s="81" t="s">
        <v>12</v>
      </c>
      <c r="W15" s="81" t="s">
        <v>11</v>
      </c>
      <c r="X15" s="81" t="s">
        <v>12</v>
      </c>
      <c r="Y15" s="256"/>
      <c r="Z15" s="81" t="s">
        <v>12</v>
      </c>
      <c r="AA15" s="81" t="s">
        <v>12</v>
      </c>
      <c r="AB15" s="81" t="s">
        <v>12</v>
      </c>
      <c r="AC15" s="81" t="s">
        <v>12</v>
      </c>
      <c r="AD15" s="81" t="s">
        <v>12</v>
      </c>
      <c r="AE15" s="81" t="s">
        <v>12</v>
      </c>
      <c r="AF15" s="256"/>
      <c r="AG15" s="81" t="s">
        <v>12</v>
      </c>
      <c r="AH15" s="81" t="s">
        <v>12</v>
      </c>
      <c r="AI15" s="81" t="s">
        <v>12</v>
      </c>
      <c r="AJ15" s="81" t="s">
        <v>12</v>
      </c>
      <c r="AK15" s="46">
        <f t="shared" si="0"/>
        <v>20</v>
      </c>
      <c r="AL15" s="46">
        <f t="shared" si="1"/>
        <v>4</v>
      </c>
      <c r="AN15" s="150" t="s">
        <v>20</v>
      </c>
      <c r="AO15" s="150">
        <f>35*26</f>
        <v>910</v>
      </c>
      <c r="AP15" s="150">
        <f>7*26</f>
        <v>182</v>
      </c>
      <c r="AQ15" s="150">
        <f>AP15+AO15</f>
        <v>1092</v>
      </c>
    </row>
    <row r="16" spans="1:45" ht="19" x14ac:dyDescent="0.4">
      <c r="A16" s="39">
        <v>11</v>
      </c>
      <c r="B16" s="13"/>
      <c r="C16" s="10"/>
      <c r="D16" s="10"/>
      <c r="E16" s="66" t="s">
        <v>36</v>
      </c>
      <c r="F16" s="81"/>
      <c r="G16" s="81"/>
      <c r="H16" s="81" t="s">
        <v>12</v>
      </c>
      <c r="I16" s="81" t="s">
        <v>12</v>
      </c>
      <c r="J16" s="81" t="s">
        <v>12</v>
      </c>
      <c r="K16" s="256"/>
      <c r="L16" s="81" t="s">
        <v>11</v>
      </c>
      <c r="M16" s="81" t="s">
        <v>11</v>
      </c>
      <c r="N16" s="81" t="s">
        <v>12</v>
      </c>
      <c r="O16" s="81" t="s">
        <v>12</v>
      </c>
      <c r="P16" s="81" t="s">
        <v>11</v>
      </c>
      <c r="Q16" s="81" t="s">
        <v>11</v>
      </c>
      <c r="R16" s="256"/>
      <c r="S16" s="256"/>
      <c r="T16" s="81" t="s">
        <v>12</v>
      </c>
      <c r="U16" s="81" t="s">
        <v>12</v>
      </c>
      <c r="V16" s="81" t="s">
        <v>12</v>
      </c>
      <c r="W16" s="81" t="s">
        <v>12</v>
      </c>
      <c r="X16" s="81" t="s">
        <v>12</v>
      </c>
      <c r="Y16" s="256"/>
      <c r="Z16" s="81" t="s">
        <v>12</v>
      </c>
      <c r="AA16" s="81" t="s">
        <v>12</v>
      </c>
      <c r="AB16" s="81" t="s">
        <v>12</v>
      </c>
      <c r="AC16" s="81" t="s">
        <v>12</v>
      </c>
      <c r="AD16" s="81" t="s">
        <v>12</v>
      </c>
      <c r="AE16" s="81" t="s">
        <v>12</v>
      </c>
      <c r="AF16" s="256"/>
      <c r="AG16" s="81" t="s">
        <v>11</v>
      </c>
      <c r="AH16" s="81" t="s">
        <v>12</v>
      </c>
      <c r="AI16" s="81" t="s">
        <v>12</v>
      </c>
      <c r="AJ16" s="81" t="s">
        <v>12</v>
      </c>
      <c r="AK16" s="46">
        <f t="shared" si="0"/>
        <v>19</v>
      </c>
      <c r="AL16" s="46">
        <f t="shared" si="1"/>
        <v>5</v>
      </c>
      <c r="AN16" s="150" t="s">
        <v>24</v>
      </c>
      <c r="AO16" s="150">
        <f>AO15-AO10</f>
        <v>219</v>
      </c>
      <c r="AP16" s="150">
        <f>AP15-AP10</f>
        <v>48</v>
      </c>
      <c r="AQ16" s="150">
        <f>AP16+AO16</f>
        <v>267</v>
      </c>
    </row>
    <row r="17" spans="1:43" ht="19" x14ac:dyDescent="0.4">
      <c r="A17" s="39">
        <v>12</v>
      </c>
      <c r="B17" s="35"/>
      <c r="C17" s="10"/>
      <c r="D17" s="10"/>
      <c r="E17" s="66" t="s">
        <v>36</v>
      </c>
      <c r="F17" s="81"/>
      <c r="G17" s="81"/>
      <c r="H17" s="81" t="s">
        <v>12</v>
      </c>
      <c r="I17" s="81" t="s">
        <v>11</v>
      </c>
      <c r="J17" s="81" t="s">
        <v>11</v>
      </c>
      <c r="K17" s="256"/>
      <c r="L17" s="81" t="s">
        <v>12</v>
      </c>
      <c r="M17" s="81" t="s">
        <v>12</v>
      </c>
      <c r="N17" s="81" t="s">
        <v>12</v>
      </c>
      <c r="O17" s="81" t="s">
        <v>12</v>
      </c>
      <c r="P17" s="81" t="s">
        <v>12</v>
      </c>
      <c r="Q17" s="81" t="s">
        <v>12</v>
      </c>
      <c r="R17" s="256"/>
      <c r="S17" s="256"/>
      <c r="T17" s="81" t="s">
        <v>12</v>
      </c>
      <c r="U17" s="81" t="s">
        <v>11</v>
      </c>
      <c r="V17" s="81" t="s">
        <v>11</v>
      </c>
      <c r="W17" s="81" t="s">
        <v>12</v>
      </c>
      <c r="X17" s="81" t="s">
        <v>12</v>
      </c>
      <c r="Y17" s="256"/>
      <c r="Z17" s="81" t="s">
        <v>12</v>
      </c>
      <c r="AA17" s="81" t="s">
        <v>12</v>
      </c>
      <c r="AB17" s="81" t="s">
        <v>12</v>
      </c>
      <c r="AC17" s="81" t="s">
        <v>12</v>
      </c>
      <c r="AD17" s="81" t="s">
        <v>12</v>
      </c>
      <c r="AE17" s="81" t="s">
        <v>12</v>
      </c>
      <c r="AF17" s="256"/>
      <c r="AG17" s="81" t="s">
        <v>12</v>
      </c>
      <c r="AH17" s="81" t="s">
        <v>12</v>
      </c>
      <c r="AI17" s="81" t="s">
        <v>12</v>
      </c>
      <c r="AJ17" s="81" t="s">
        <v>12</v>
      </c>
      <c r="AK17" s="46">
        <f t="shared" si="0"/>
        <v>20</v>
      </c>
      <c r="AL17" s="46">
        <f t="shared" si="1"/>
        <v>4</v>
      </c>
      <c r="AN17" s="10" t="s">
        <v>22</v>
      </c>
      <c r="AO17" s="156">
        <f>AO16/AO15</f>
        <v>0.24065934065934066</v>
      </c>
      <c r="AP17" s="156">
        <f t="shared" ref="AP17:AQ17" si="2">AP16/AP15</f>
        <v>0.26373626373626374</v>
      </c>
      <c r="AQ17" s="156">
        <f t="shared" si="2"/>
        <v>0.2445054945054945</v>
      </c>
    </row>
    <row r="18" spans="1:43" ht="19" x14ac:dyDescent="0.4">
      <c r="A18" s="39">
        <v>13</v>
      </c>
      <c r="B18" s="13"/>
      <c r="C18" s="10"/>
      <c r="D18" s="10"/>
      <c r="E18" s="66" t="s">
        <v>36</v>
      </c>
      <c r="F18" s="81" t="s">
        <v>12</v>
      </c>
      <c r="G18" s="81" t="s">
        <v>11</v>
      </c>
      <c r="H18" s="81" t="s">
        <v>12</v>
      </c>
      <c r="I18" s="81" t="s">
        <v>12</v>
      </c>
      <c r="J18" s="81" t="s">
        <v>12</v>
      </c>
      <c r="K18" s="256"/>
      <c r="L18" s="81" t="s">
        <v>11</v>
      </c>
      <c r="M18" s="81" t="s">
        <v>12</v>
      </c>
      <c r="N18" s="81" t="s">
        <v>12</v>
      </c>
      <c r="O18" s="81" t="s">
        <v>12</v>
      </c>
      <c r="P18" s="81" t="s">
        <v>12</v>
      </c>
      <c r="Q18" s="81" t="s">
        <v>11</v>
      </c>
      <c r="R18" s="256"/>
      <c r="S18" s="256"/>
      <c r="T18" s="81" t="s">
        <v>12</v>
      </c>
      <c r="U18" s="81" t="s">
        <v>11</v>
      </c>
      <c r="V18" s="81" t="s">
        <v>11</v>
      </c>
      <c r="W18" s="81" t="s">
        <v>11</v>
      </c>
      <c r="X18" s="81" t="s">
        <v>12</v>
      </c>
      <c r="Y18" s="256"/>
      <c r="Z18" s="81" t="s">
        <v>12</v>
      </c>
      <c r="AA18" s="81" t="s">
        <v>12</v>
      </c>
      <c r="AB18" s="81" t="s">
        <v>12</v>
      </c>
      <c r="AC18" s="81" t="s">
        <v>12</v>
      </c>
      <c r="AD18" s="81" t="s">
        <v>12</v>
      </c>
      <c r="AE18" s="81" t="s">
        <v>12</v>
      </c>
      <c r="AF18" s="256"/>
      <c r="AG18" s="81" t="s">
        <v>11</v>
      </c>
      <c r="AH18" s="81" t="s">
        <v>12</v>
      </c>
      <c r="AI18" s="81" t="s">
        <v>12</v>
      </c>
      <c r="AJ18" s="81" t="s">
        <v>12</v>
      </c>
      <c r="AK18" s="46">
        <f t="shared" si="0"/>
        <v>19</v>
      </c>
      <c r="AL18" s="46">
        <f t="shared" si="1"/>
        <v>7</v>
      </c>
    </row>
    <row r="19" spans="1:43" ht="19" x14ac:dyDescent="0.4">
      <c r="A19" s="39">
        <v>14</v>
      </c>
      <c r="B19" s="13"/>
      <c r="C19" s="10"/>
      <c r="D19" s="10"/>
      <c r="E19" s="66" t="s">
        <v>36</v>
      </c>
      <c r="F19" s="81"/>
      <c r="G19" s="81"/>
      <c r="H19" s="81"/>
      <c r="I19" s="81" t="s">
        <v>12</v>
      </c>
      <c r="J19" s="81" t="s">
        <v>11</v>
      </c>
      <c r="K19" s="256"/>
      <c r="L19" s="81" t="s">
        <v>11</v>
      </c>
      <c r="M19" s="81" t="s">
        <v>12</v>
      </c>
      <c r="N19" s="81" t="s">
        <v>11</v>
      </c>
      <c r="O19" s="81" t="s">
        <v>12</v>
      </c>
      <c r="P19" s="81" t="s">
        <v>11</v>
      </c>
      <c r="Q19" s="81" t="s">
        <v>12</v>
      </c>
      <c r="R19" s="256"/>
      <c r="S19" s="256"/>
      <c r="T19" s="81" t="s">
        <v>12</v>
      </c>
      <c r="U19" s="81" t="s">
        <v>12</v>
      </c>
      <c r="V19" s="81" t="s">
        <v>12</v>
      </c>
      <c r="W19" s="81" t="s">
        <v>12</v>
      </c>
      <c r="X19" s="81" t="s">
        <v>11</v>
      </c>
      <c r="Y19" s="256"/>
      <c r="Z19" s="81" t="s">
        <v>11</v>
      </c>
      <c r="AA19" s="81" t="s">
        <v>12</v>
      </c>
      <c r="AB19" s="81" t="s">
        <v>12</v>
      </c>
      <c r="AC19" s="81" t="s">
        <v>12</v>
      </c>
      <c r="AD19" s="81" t="s">
        <v>11</v>
      </c>
      <c r="AE19" s="81" t="s">
        <v>12</v>
      </c>
      <c r="AF19" s="256"/>
      <c r="AG19" s="81" t="s">
        <v>12</v>
      </c>
      <c r="AH19" s="81" t="s">
        <v>12</v>
      </c>
      <c r="AI19" s="81" t="s">
        <v>12</v>
      </c>
      <c r="AJ19" s="81" t="s">
        <v>12</v>
      </c>
      <c r="AK19" s="46">
        <f t="shared" si="0"/>
        <v>16</v>
      </c>
      <c r="AL19" s="46">
        <f t="shared" si="1"/>
        <v>7</v>
      </c>
    </row>
    <row r="20" spans="1:43" ht="19" x14ac:dyDescent="0.4">
      <c r="A20" s="39">
        <v>15</v>
      </c>
      <c r="B20" s="13"/>
      <c r="C20" s="10"/>
      <c r="D20" s="10"/>
      <c r="E20" s="82" t="s">
        <v>36</v>
      </c>
      <c r="F20" s="81"/>
      <c r="G20" s="81"/>
      <c r="H20" s="81"/>
      <c r="I20" s="81" t="s">
        <v>12</v>
      </c>
      <c r="J20" s="81" t="s">
        <v>12</v>
      </c>
      <c r="K20" s="256"/>
      <c r="L20" s="81" t="s">
        <v>12</v>
      </c>
      <c r="M20" s="81" t="s">
        <v>12</v>
      </c>
      <c r="N20" s="81" t="s">
        <v>12</v>
      </c>
      <c r="O20" s="81" t="s">
        <v>12</v>
      </c>
      <c r="P20" s="81" t="s">
        <v>12</v>
      </c>
      <c r="Q20" s="81" t="s">
        <v>12</v>
      </c>
      <c r="R20" s="256"/>
      <c r="S20" s="256"/>
      <c r="T20" s="81" t="s">
        <v>12</v>
      </c>
      <c r="U20" s="81" t="s">
        <v>11</v>
      </c>
      <c r="V20" s="81" t="s">
        <v>12</v>
      </c>
      <c r="W20" s="81" t="s">
        <v>11</v>
      </c>
      <c r="X20" s="81" t="s">
        <v>12</v>
      </c>
      <c r="Y20" s="256"/>
      <c r="Z20" s="81" t="s">
        <v>12</v>
      </c>
      <c r="AA20" s="81" t="s">
        <v>12</v>
      </c>
      <c r="AB20" s="81" t="s">
        <v>12</v>
      </c>
      <c r="AC20" s="81" t="s">
        <v>12</v>
      </c>
      <c r="AD20" s="81" t="s">
        <v>12</v>
      </c>
      <c r="AE20" s="81" t="s">
        <v>12</v>
      </c>
      <c r="AF20" s="256"/>
      <c r="AG20" s="81" t="s">
        <v>12</v>
      </c>
      <c r="AH20" s="81" t="s">
        <v>12</v>
      </c>
      <c r="AI20" s="81" t="s">
        <v>12</v>
      </c>
      <c r="AJ20" s="81" t="s">
        <v>12</v>
      </c>
      <c r="AK20" s="46">
        <f t="shared" si="0"/>
        <v>21</v>
      </c>
      <c r="AL20" s="46">
        <f t="shared" si="1"/>
        <v>2</v>
      </c>
    </row>
    <row r="21" spans="1:43" ht="19" x14ac:dyDescent="0.4">
      <c r="A21" s="39">
        <v>16</v>
      </c>
      <c r="B21" s="35"/>
      <c r="C21" s="10"/>
      <c r="D21" s="10"/>
      <c r="E21" s="66" t="s">
        <v>36</v>
      </c>
      <c r="F21" s="81" t="s">
        <v>12</v>
      </c>
      <c r="G21" s="81" t="s">
        <v>12</v>
      </c>
      <c r="H21" s="81" t="s">
        <v>12</v>
      </c>
      <c r="I21" s="81" t="s">
        <v>12</v>
      </c>
      <c r="J21" s="81" t="s">
        <v>12</v>
      </c>
      <c r="K21" s="256"/>
      <c r="L21" s="81" t="s">
        <v>12</v>
      </c>
      <c r="M21" s="81" t="s">
        <v>11</v>
      </c>
      <c r="N21" s="81" t="s">
        <v>12</v>
      </c>
      <c r="O21" s="81" t="s">
        <v>12</v>
      </c>
      <c r="P21" s="81" t="s">
        <v>12</v>
      </c>
      <c r="Q21" s="81" t="s">
        <v>12</v>
      </c>
      <c r="R21" s="256"/>
      <c r="S21" s="256"/>
      <c r="T21" s="81" t="s">
        <v>11</v>
      </c>
      <c r="U21" s="81" t="s">
        <v>12</v>
      </c>
      <c r="V21" s="81" t="s">
        <v>12</v>
      </c>
      <c r="W21" s="81" t="s">
        <v>12</v>
      </c>
      <c r="X21" s="81" t="s">
        <v>11</v>
      </c>
      <c r="Y21" s="256"/>
      <c r="Z21" s="81" t="s">
        <v>12</v>
      </c>
      <c r="AA21" s="81" t="s">
        <v>11</v>
      </c>
      <c r="AB21" s="81" t="s">
        <v>12</v>
      </c>
      <c r="AC21" s="81" t="s">
        <v>12</v>
      </c>
      <c r="AD21" s="81" t="s">
        <v>12</v>
      </c>
      <c r="AE21" s="81" t="s">
        <v>12</v>
      </c>
      <c r="AF21" s="256"/>
      <c r="AG21" s="81" t="s">
        <v>12</v>
      </c>
      <c r="AH21" s="81" t="s">
        <v>11</v>
      </c>
      <c r="AI21" s="81" t="s">
        <v>12</v>
      </c>
      <c r="AJ21" s="81" t="s">
        <v>12</v>
      </c>
      <c r="AK21" s="46">
        <f t="shared" si="0"/>
        <v>21</v>
      </c>
      <c r="AL21" s="46">
        <f t="shared" si="1"/>
        <v>5</v>
      </c>
    </row>
    <row r="22" spans="1:43" ht="19" x14ac:dyDescent="0.4">
      <c r="A22" s="39">
        <v>17</v>
      </c>
      <c r="B22" s="66"/>
      <c r="C22" s="10"/>
      <c r="D22" s="10"/>
      <c r="E22" s="66" t="s">
        <v>36</v>
      </c>
      <c r="F22" s="81" t="s">
        <v>12</v>
      </c>
      <c r="G22" s="81" t="s">
        <v>12</v>
      </c>
      <c r="H22" s="81" t="s">
        <v>12</v>
      </c>
      <c r="I22" s="81" t="s">
        <v>11</v>
      </c>
      <c r="J22" s="81" t="s">
        <v>12</v>
      </c>
      <c r="K22" s="256"/>
      <c r="L22" s="81" t="s">
        <v>11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256"/>
      <c r="S22" s="256"/>
      <c r="T22" s="81" t="s">
        <v>12</v>
      </c>
      <c r="U22" s="81" t="s">
        <v>12</v>
      </c>
      <c r="V22" s="81" t="s">
        <v>12</v>
      </c>
      <c r="W22" s="81" t="s">
        <v>12</v>
      </c>
      <c r="X22" s="81" t="s">
        <v>12</v>
      </c>
      <c r="Y22" s="256"/>
      <c r="Z22" s="81" t="s">
        <v>12</v>
      </c>
      <c r="AA22" s="81" t="s">
        <v>12</v>
      </c>
      <c r="AB22" s="81" t="s">
        <v>11</v>
      </c>
      <c r="AC22" s="81" t="s">
        <v>12</v>
      </c>
      <c r="AD22" s="81" t="s">
        <v>12</v>
      </c>
      <c r="AE22" s="81" t="s">
        <v>12</v>
      </c>
      <c r="AF22" s="256"/>
      <c r="AG22" s="81" t="s">
        <v>12</v>
      </c>
      <c r="AH22" s="81" t="s">
        <v>12</v>
      </c>
      <c r="AI22" s="81" t="s">
        <v>12</v>
      </c>
      <c r="AJ22" s="81" t="s">
        <v>12</v>
      </c>
      <c r="AK22" s="46">
        <f t="shared" si="0"/>
        <v>23</v>
      </c>
      <c r="AL22" s="46">
        <f t="shared" si="1"/>
        <v>3</v>
      </c>
    </row>
    <row r="23" spans="1:43" ht="19" x14ac:dyDescent="0.4">
      <c r="A23" s="39">
        <v>18</v>
      </c>
      <c r="B23" s="66"/>
      <c r="C23" s="149"/>
      <c r="D23" s="149"/>
      <c r="E23" s="66" t="s">
        <v>36</v>
      </c>
      <c r="F23" s="81" t="s">
        <v>12</v>
      </c>
      <c r="G23" s="81" t="s">
        <v>12</v>
      </c>
      <c r="H23" s="81" t="s">
        <v>12</v>
      </c>
      <c r="I23" s="81" t="s">
        <v>12</v>
      </c>
      <c r="J23" s="81" t="s">
        <v>11</v>
      </c>
      <c r="K23" s="256"/>
      <c r="L23" s="81" t="s">
        <v>11</v>
      </c>
      <c r="M23" s="81" t="s">
        <v>12</v>
      </c>
      <c r="N23" s="81" t="s">
        <v>12</v>
      </c>
      <c r="O23" s="81" t="s">
        <v>12</v>
      </c>
      <c r="P23" s="81" t="s">
        <v>12</v>
      </c>
      <c r="Q23" s="81" t="s">
        <v>12</v>
      </c>
      <c r="R23" s="256"/>
      <c r="S23" s="256"/>
      <c r="T23" s="81" t="s">
        <v>12</v>
      </c>
      <c r="U23" s="81" t="s">
        <v>12</v>
      </c>
      <c r="V23" s="81" t="s">
        <v>12</v>
      </c>
      <c r="W23" s="81" t="s">
        <v>11</v>
      </c>
      <c r="X23" s="81" t="s">
        <v>12</v>
      </c>
      <c r="Y23" s="256"/>
      <c r="Z23" s="81" t="s">
        <v>12</v>
      </c>
      <c r="AA23" s="81" t="s">
        <v>12</v>
      </c>
      <c r="AB23" s="81" t="s">
        <v>12</v>
      </c>
      <c r="AC23" s="81" t="s">
        <v>12</v>
      </c>
      <c r="AD23" s="81" t="s">
        <v>11</v>
      </c>
      <c r="AE23" s="81" t="s">
        <v>11</v>
      </c>
      <c r="AF23" s="256"/>
      <c r="AG23" s="81" t="s">
        <v>12</v>
      </c>
      <c r="AH23" s="81" t="s">
        <v>12</v>
      </c>
      <c r="AI23" s="81" t="s">
        <v>12</v>
      </c>
      <c r="AJ23" s="81" t="s">
        <v>12</v>
      </c>
      <c r="AK23" s="177">
        <f t="shared" si="0"/>
        <v>21</v>
      </c>
      <c r="AL23" s="46">
        <f t="shared" si="1"/>
        <v>5</v>
      </c>
    </row>
    <row r="24" spans="1:43" ht="19" x14ac:dyDescent="0.4">
      <c r="A24" s="39">
        <v>19</v>
      </c>
      <c r="B24" s="35"/>
      <c r="C24" s="10"/>
      <c r="D24" s="10"/>
      <c r="E24" s="66" t="s">
        <v>36</v>
      </c>
      <c r="F24" s="81"/>
      <c r="G24" s="81"/>
      <c r="H24" s="81"/>
      <c r="I24" s="81" t="s">
        <v>12</v>
      </c>
      <c r="J24" s="81" t="s">
        <v>11</v>
      </c>
      <c r="K24" s="256"/>
      <c r="L24" s="81" t="s">
        <v>11</v>
      </c>
      <c r="M24" s="81" t="s">
        <v>11</v>
      </c>
      <c r="N24" s="81" t="s">
        <v>12</v>
      </c>
      <c r="O24" s="81" t="s">
        <v>12</v>
      </c>
      <c r="P24" s="81" t="s">
        <v>12</v>
      </c>
      <c r="Q24" s="81" t="s">
        <v>11</v>
      </c>
      <c r="R24" s="256"/>
      <c r="S24" s="256"/>
      <c r="T24" s="81" t="s">
        <v>12</v>
      </c>
      <c r="U24" s="81" t="s">
        <v>12</v>
      </c>
      <c r="V24" s="81" t="s">
        <v>11</v>
      </c>
      <c r="W24" s="81" t="s">
        <v>12</v>
      </c>
      <c r="X24" s="81" t="s">
        <v>12</v>
      </c>
      <c r="Y24" s="256"/>
      <c r="Z24" s="81" t="s">
        <v>12</v>
      </c>
      <c r="AA24" s="81" t="s">
        <v>12</v>
      </c>
      <c r="AB24" s="81" t="s">
        <v>12</v>
      </c>
      <c r="AC24" s="81" t="s">
        <v>12</v>
      </c>
      <c r="AD24" s="81" t="s">
        <v>12</v>
      </c>
      <c r="AE24" s="81" t="s">
        <v>12</v>
      </c>
      <c r="AF24" s="256"/>
      <c r="AG24" s="81" t="s">
        <v>11</v>
      </c>
      <c r="AH24" s="81" t="s">
        <v>11</v>
      </c>
      <c r="AI24" s="81" t="s">
        <v>12</v>
      </c>
      <c r="AJ24" s="81" t="s">
        <v>11</v>
      </c>
      <c r="AK24" s="46">
        <f t="shared" si="0"/>
        <v>15</v>
      </c>
      <c r="AL24" s="46">
        <f t="shared" si="1"/>
        <v>8</v>
      </c>
    </row>
    <row r="25" spans="1:43" ht="19" x14ac:dyDescent="0.4">
      <c r="A25" s="39">
        <v>20</v>
      </c>
      <c r="B25" s="66"/>
      <c r="C25" s="10"/>
      <c r="D25" s="10"/>
      <c r="E25" s="66" t="s">
        <v>36</v>
      </c>
      <c r="F25" s="81" t="s">
        <v>12</v>
      </c>
      <c r="G25" s="81" t="s">
        <v>11</v>
      </c>
      <c r="H25" s="81" t="s">
        <v>12</v>
      </c>
      <c r="I25" s="81" t="s">
        <v>12</v>
      </c>
      <c r="J25" s="81" t="s">
        <v>12</v>
      </c>
      <c r="K25" s="256"/>
      <c r="L25" s="81" t="s">
        <v>12</v>
      </c>
      <c r="M25" s="81" t="s">
        <v>11</v>
      </c>
      <c r="N25" s="81" t="s">
        <v>12</v>
      </c>
      <c r="O25" s="81" t="s">
        <v>12</v>
      </c>
      <c r="P25" s="81" t="s">
        <v>11</v>
      </c>
      <c r="Q25" s="81" t="s">
        <v>12</v>
      </c>
      <c r="R25" s="256"/>
      <c r="S25" s="256"/>
      <c r="T25" s="81" t="s">
        <v>12</v>
      </c>
      <c r="U25" s="81" t="s">
        <v>11</v>
      </c>
      <c r="V25" s="81" t="s">
        <v>12</v>
      </c>
      <c r="W25" s="81" t="s">
        <v>11</v>
      </c>
      <c r="X25" s="81" t="s">
        <v>12</v>
      </c>
      <c r="Y25" s="256"/>
      <c r="Z25" s="81" t="s">
        <v>12</v>
      </c>
      <c r="AA25" s="81" t="s">
        <v>12</v>
      </c>
      <c r="AB25" s="81" t="s">
        <v>12</v>
      </c>
      <c r="AC25" s="81" t="s">
        <v>12</v>
      </c>
      <c r="AD25" s="81" t="s">
        <v>12</v>
      </c>
      <c r="AE25" s="81" t="s">
        <v>12</v>
      </c>
      <c r="AF25" s="256"/>
      <c r="AG25" s="81" t="s">
        <v>11</v>
      </c>
      <c r="AH25" s="81" t="s">
        <v>12</v>
      </c>
      <c r="AI25" s="81" t="s">
        <v>12</v>
      </c>
      <c r="AJ25" s="81" t="s">
        <v>12</v>
      </c>
      <c r="AK25" s="46">
        <f t="shared" si="0"/>
        <v>20</v>
      </c>
      <c r="AL25" s="46">
        <f t="shared" si="1"/>
        <v>6</v>
      </c>
    </row>
    <row r="26" spans="1:43" ht="19" x14ac:dyDescent="0.4">
      <c r="A26" s="39">
        <v>21</v>
      </c>
      <c r="B26" s="13"/>
      <c r="C26" s="10"/>
      <c r="D26" s="10"/>
      <c r="E26" s="66" t="s">
        <v>36</v>
      </c>
      <c r="F26" s="81" t="s">
        <v>11</v>
      </c>
      <c r="G26" s="81" t="s">
        <v>12</v>
      </c>
      <c r="H26" s="81" t="s">
        <v>12</v>
      </c>
      <c r="I26" s="81" t="s">
        <v>12</v>
      </c>
      <c r="J26" s="81" t="s">
        <v>12</v>
      </c>
      <c r="K26" s="256"/>
      <c r="L26" s="81" t="s">
        <v>12</v>
      </c>
      <c r="M26" s="81" t="s">
        <v>12</v>
      </c>
      <c r="N26" s="81" t="s">
        <v>11</v>
      </c>
      <c r="O26" s="81" t="s">
        <v>12</v>
      </c>
      <c r="P26" s="81" t="s">
        <v>12</v>
      </c>
      <c r="Q26" s="81" t="s">
        <v>12</v>
      </c>
      <c r="R26" s="256"/>
      <c r="S26" s="256"/>
      <c r="T26" s="81" t="s">
        <v>12</v>
      </c>
      <c r="U26" s="81" t="s">
        <v>12</v>
      </c>
      <c r="V26" s="81" t="s">
        <v>12</v>
      </c>
      <c r="W26" s="81" t="s">
        <v>12</v>
      </c>
      <c r="X26" s="81" t="s">
        <v>11</v>
      </c>
      <c r="Y26" s="256"/>
      <c r="Z26" s="81" t="s">
        <v>12</v>
      </c>
      <c r="AA26" s="81" t="s">
        <v>12</v>
      </c>
      <c r="AB26" s="81" t="s">
        <v>12</v>
      </c>
      <c r="AC26" s="81" t="s">
        <v>12</v>
      </c>
      <c r="AD26" s="81" t="s">
        <v>12</v>
      </c>
      <c r="AE26" s="81" t="s">
        <v>12</v>
      </c>
      <c r="AF26" s="256"/>
      <c r="AG26" s="81" t="s">
        <v>12</v>
      </c>
      <c r="AH26" s="81" t="s">
        <v>12</v>
      </c>
      <c r="AI26" s="81" t="s">
        <v>12</v>
      </c>
      <c r="AJ26" s="81" t="s">
        <v>12</v>
      </c>
      <c r="AK26" s="46">
        <f t="shared" si="0"/>
        <v>23</v>
      </c>
      <c r="AL26" s="46">
        <f t="shared" si="1"/>
        <v>3</v>
      </c>
    </row>
    <row r="27" spans="1:43" ht="19" x14ac:dyDescent="0.4">
      <c r="A27" s="39">
        <v>22</v>
      </c>
      <c r="B27" s="13"/>
      <c r="C27" s="10"/>
      <c r="D27" s="10"/>
      <c r="E27" s="66" t="s">
        <v>36</v>
      </c>
      <c r="F27" s="81"/>
      <c r="G27" s="81"/>
      <c r="H27" s="81"/>
      <c r="I27" s="81" t="s">
        <v>12</v>
      </c>
      <c r="J27" s="81" t="s">
        <v>12</v>
      </c>
      <c r="K27" s="256"/>
      <c r="L27" s="81" t="s">
        <v>12</v>
      </c>
      <c r="M27" s="81" t="s">
        <v>12</v>
      </c>
      <c r="N27" s="81" t="s">
        <v>12</v>
      </c>
      <c r="O27" s="81" t="s">
        <v>11</v>
      </c>
      <c r="P27" s="81" t="s">
        <v>12</v>
      </c>
      <c r="Q27" s="81" t="s">
        <v>12</v>
      </c>
      <c r="R27" s="256"/>
      <c r="S27" s="256"/>
      <c r="T27" s="81" t="s">
        <v>12</v>
      </c>
      <c r="U27" s="81" t="s">
        <v>12</v>
      </c>
      <c r="V27" s="81" t="s">
        <v>12</v>
      </c>
      <c r="W27" s="81" t="s">
        <v>12</v>
      </c>
      <c r="X27" s="81" t="s">
        <v>12</v>
      </c>
      <c r="Y27" s="256"/>
      <c r="Z27" s="81" t="s">
        <v>11</v>
      </c>
      <c r="AA27" s="81" t="s">
        <v>12</v>
      </c>
      <c r="AB27" s="81" t="s">
        <v>12</v>
      </c>
      <c r="AC27" s="81" t="s">
        <v>11</v>
      </c>
      <c r="AD27" s="81" t="s">
        <v>12</v>
      </c>
      <c r="AE27" s="81" t="s">
        <v>12</v>
      </c>
      <c r="AF27" s="256"/>
      <c r="AG27" s="81" t="s">
        <v>12</v>
      </c>
      <c r="AH27" s="81" t="s">
        <v>12</v>
      </c>
      <c r="AI27" s="81" t="s">
        <v>12</v>
      </c>
      <c r="AJ27" s="81" t="s">
        <v>12</v>
      </c>
      <c r="AK27" s="46">
        <f t="shared" si="0"/>
        <v>20</v>
      </c>
      <c r="AL27" s="46">
        <f t="shared" si="1"/>
        <v>3</v>
      </c>
    </row>
    <row r="28" spans="1:43" ht="19" x14ac:dyDescent="0.4">
      <c r="A28" s="39">
        <v>23</v>
      </c>
      <c r="B28" s="66"/>
      <c r="C28" s="10"/>
      <c r="D28" s="10"/>
      <c r="E28" s="66" t="s">
        <v>36</v>
      </c>
      <c r="F28" s="81" t="s">
        <v>12</v>
      </c>
      <c r="G28" s="81" t="s">
        <v>12</v>
      </c>
      <c r="H28" s="81" t="s">
        <v>12</v>
      </c>
      <c r="I28" s="81" t="s">
        <v>11</v>
      </c>
      <c r="J28" s="81" t="s">
        <v>12</v>
      </c>
      <c r="K28" s="256"/>
      <c r="L28" s="81" t="s">
        <v>12</v>
      </c>
      <c r="M28" s="81" t="s">
        <v>12</v>
      </c>
      <c r="N28" s="81" t="s">
        <v>12</v>
      </c>
      <c r="O28" s="81" t="s">
        <v>11</v>
      </c>
      <c r="P28" s="81" t="s">
        <v>12</v>
      </c>
      <c r="Q28" s="81" t="s">
        <v>12</v>
      </c>
      <c r="R28" s="256"/>
      <c r="S28" s="256"/>
      <c r="T28" s="81" t="s">
        <v>11</v>
      </c>
      <c r="U28" s="81" t="s">
        <v>11</v>
      </c>
      <c r="V28" s="81" t="s">
        <v>12</v>
      </c>
      <c r="W28" s="81" t="s">
        <v>12</v>
      </c>
      <c r="X28" s="81" t="s">
        <v>12</v>
      </c>
      <c r="Y28" s="256"/>
      <c r="Z28" s="81" t="s">
        <v>12</v>
      </c>
      <c r="AA28" s="81" t="s">
        <v>11</v>
      </c>
      <c r="AB28" s="81" t="s">
        <v>12</v>
      </c>
      <c r="AC28" s="81" t="s">
        <v>12</v>
      </c>
      <c r="AD28" s="81" t="s">
        <v>12</v>
      </c>
      <c r="AE28" s="81" t="s">
        <v>12</v>
      </c>
      <c r="AF28" s="256"/>
      <c r="AG28" s="81" t="s">
        <v>12</v>
      </c>
      <c r="AH28" s="81" t="s">
        <v>12</v>
      </c>
      <c r="AI28" s="81" t="s">
        <v>12</v>
      </c>
      <c r="AJ28" s="81" t="s">
        <v>12</v>
      </c>
      <c r="AK28" s="46">
        <f t="shared" si="0"/>
        <v>21</v>
      </c>
      <c r="AL28" s="46">
        <f t="shared" si="1"/>
        <v>5</v>
      </c>
    </row>
    <row r="29" spans="1:43" ht="19" x14ac:dyDescent="0.4">
      <c r="A29" s="39">
        <v>24</v>
      </c>
      <c r="B29" s="35"/>
      <c r="C29" s="10"/>
      <c r="D29" s="10"/>
      <c r="E29" s="66" t="s">
        <v>36</v>
      </c>
      <c r="F29" s="81" t="s">
        <v>12</v>
      </c>
      <c r="G29" s="81" t="s">
        <v>12</v>
      </c>
      <c r="H29" s="81" t="s">
        <v>12</v>
      </c>
      <c r="I29" s="81" t="s">
        <v>12</v>
      </c>
      <c r="J29" s="81" t="s">
        <v>12</v>
      </c>
      <c r="K29" s="256"/>
      <c r="L29" s="81" t="s">
        <v>11</v>
      </c>
      <c r="M29" s="81" t="s">
        <v>12</v>
      </c>
      <c r="N29" s="81" t="s">
        <v>12</v>
      </c>
      <c r="O29" s="81" t="s">
        <v>12</v>
      </c>
      <c r="P29" s="81" t="s">
        <v>12</v>
      </c>
      <c r="Q29" s="81" t="s">
        <v>12</v>
      </c>
      <c r="R29" s="256"/>
      <c r="S29" s="256"/>
      <c r="T29" s="81" t="s">
        <v>11</v>
      </c>
      <c r="U29" s="81" t="s">
        <v>12</v>
      </c>
      <c r="V29" s="81" t="s">
        <v>12</v>
      </c>
      <c r="W29" s="81" t="s">
        <v>11</v>
      </c>
      <c r="X29" s="81" t="s">
        <v>12</v>
      </c>
      <c r="Y29" s="256"/>
      <c r="Z29" s="81" t="s">
        <v>12</v>
      </c>
      <c r="AA29" s="81" t="s">
        <v>12</v>
      </c>
      <c r="AB29" s="81" t="s">
        <v>11</v>
      </c>
      <c r="AC29" s="81" t="s">
        <v>11</v>
      </c>
      <c r="AD29" s="81" t="s">
        <v>12</v>
      </c>
      <c r="AE29" s="81" t="s">
        <v>12</v>
      </c>
      <c r="AF29" s="256"/>
      <c r="AG29" s="81" t="s">
        <v>12</v>
      </c>
      <c r="AH29" s="81" t="s">
        <v>11</v>
      </c>
      <c r="AI29" s="81" t="s">
        <v>12</v>
      </c>
      <c r="AJ29" s="81" t="s">
        <v>12</v>
      </c>
      <c r="AK29" s="46">
        <f t="shared" si="0"/>
        <v>20</v>
      </c>
      <c r="AL29" s="46">
        <f t="shared" si="1"/>
        <v>6</v>
      </c>
    </row>
    <row r="30" spans="1:43" ht="19" x14ac:dyDescent="0.4">
      <c r="A30" s="39">
        <v>25</v>
      </c>
      <c r="B30" s="35"/>
      <c r="C30" s="149"/>
      <c r="D30" s="149"/>
      <c r="E30" s="66" t="s">
        <v>36</v>
      </c>
      <c r="F30" s="81" t="s">
        <v>12</v>
      </c>
      <c r="G30" s="81" t="s">
        <v>11</v>
      </c>
      <c r="H30" s="81" t="s">
        <v>12</v>
      </c>
      <c r="I30" s="81" t="s">
        <v>12</v>
      </c>
      <c r="J30" s="81" t="s">
        <v>12</v>
      </c>
      <c r="K30" s="256"/>
      <c r="L30" s="81" t="s">
        <v>12</v>
      </c>
      <c r="M30" s="81" t="s">
        <v>12</v>
      </c>
      <c r="N30" s="81" t="s">
        <v>11</v>
      </c>
      <c r="O30" s="81" t="s">
        <v>12</v>
      </c>
      <c r="P30" s="81" t="s">
        <v>11</v>
      </c>
      <c r="Q30" s="81" t="s">
        <v>12</v>
      </c>
      <c r="R30" s="256"/>
      <c r="S30" s="256"/>
      <c r="T30" s="81" t="s">
        <v>12</v>
      </c>
      <c r="U30" s="81" t="s">
        <v>12</v>
      </c>
      <c r="V30" s="81" t="s">
        <v>12</v>
      </c>
      <c r="W30" s="81" t="s">
        <v>12</v>
      </c>
      <c r="X30" s="81" t="s">
        <v>11</v>
      </c>
      <c r="Y30" s="256"/>
      <c r="Z30" s="81" t="s">
        <v>12</v>
      </c>
      <c r="AA30" s="81" t="s">
        <v>12</v>
      </c>
      <c r="AB30" s="81" t="s">
        <v>12</v>
      </c>
      <c r="AC30" s="81" t="s">
        <v>12</v>
      </c>
      <c r="AD30" s="81" t="s">
        <v>12</v>
      </c>
      <c r="AE30" s="81" t="s">
        <v>12</v>
      </c>
      <c r="AF30" s="256"/>
      <c r="AG30" s="81" t="s">
        <v>12</v>
      </c>
      <c r="AH30" s="81" t="s">
        <v>12</v>
      </c>
      <c r="AI30" s="81" t="s">
        <v>12</v>
      </c>
      <c r="AJ30" s="81" t="s">
        <v>12</v>
      </c>
      <c r="AK30" s="177">
        <f t="shared" si="0"/>
        <v>22</v>
      </c>
      <c r="AL30" s="46">
        <f t="shared" si="1"/>
        <v>4</v>
      </c>
    </row>
    <row r="31" spans="1:43" ht="19" x14ac:dyDescent="0.4">
      <c r="A31" s="39">
        <v>26</v>
      </c>
      <c r="B31" s="66"/>
      <c r="C31" s="10"/>
      <c r="D31" s="10"/>
      <c r="E31" s="66" t="s">
        <v>36</v>
      </c>
      <c r="F31" s="81"/>
      <c r="G31" s="81"/>
      <c r="H31" s="81"/>
      <c r="I31" s="81"/>
      <c r="J31" s="81" t="s">
        <v>12</v>
      </c>
      <c r="K31" s="256"/>
      <c r="L31" s="81" t="s">
        <v>11</v>
      </c>
      <c r="M31" s="81" t="s">
        <v>12</v>
      </c>
      <c r="N31" s="81" t="s">
        <v>12</v>
      </c>
      <c r="O31" s="81" t="s">
        <v>11</v>
      </c>
      <c r="P31" s="81" t="s">
        <v>12</v>
      </c>
      <c r="Q31" s="81" t="s">
        <v>12</v>
      </c>
      <c r="R31" s="256"/>
      <c r="S31" s="256"/>
      <c r="T31" s="81" t="s">
        <v>12</v>
      </c>
      <c r="U31" s="81" t="s">
        <v>12</v>
      </c>
      <c r="V31" s="81" t="s">
        <v>11</v>
      </c>
      <c r="W31" s="81" t="s">
        <v>12</v>
      </c>
      <c r="X31" s="81" t="s">
        <v>11</v>
      </c>
      <c r="Y31" s="256"/>
      <c r="Z31" s="81" t="s">
        <v>11</v>
      </c>
      <c r="AA31" s="81" t="s">
        <v>12</v>
      </c>
      <c r="AB31" s="81" t="s">
        <v>12</v>
      </c>
      <c r="AC31" s="81" t="s">
        <v>12</v>
      </c>
      <c r="AD31" s="81" t="s">
        <v>12</v>
      </c>
      <c r="AE31" s="81" t="s">
        <v>12</v>
      </c>
      <c r="AF31" s="256"/>
      <c r="AG31" s="81" t="s">
        <v>12</v>
      </c>
      <c r="AH31" s="81" t="s">
        <v>12</v>
      </c>
      <c r="AI31" s="81" t="s">
        <v>12</v>
      </c>
      <c r="AJ31" s="81" t="s">
        <v>12</v>
      </c>
      <c r="AK31" s="46">
        <f t="shared" si="0"/>
        <v>17</v>
      </c>
      <c r="AL31" s="46">
        <f t="shared" si="1"/>
        <v>5</v>
      </c>
    </row>
    <row r="32" spans="1:43" ht="19" x14ac:dyDescent="0.4">
      <c r="A32" s="39">
        <v>27</v>
      </c>
      <c r="B32" s="66"/>
      <c r="C32" s="10"/>
      <c r="D32" s="10"/>
      <c r="E32" s="66" t="s">
        <v>36</v>
      </c>
      <c r="F32" s="81" t="s">
        <v>12</v>
      </c>
      <c r="G32" s="81" t="s">
        <v>12</v>
      </c>
      <c r="H32" s="81" t="s">
        <v>12</v>
      </c>
      <c r="I32" s="81" t="s">
        <v>11</v>
      </c>
      <c r="J32" s="81" t="s">
        <v>12</v>
      </c>
      <c r="K32" s="256"/>
      <c r="L32" s="81" t="s">
        <v>11</v>
      </c>
      <c r="M32" s="81" t="s">
        <v>12</v>
      </c>
      <c r="N32" s="81" t="s">
        <v>12</v>
      </c>
      <c r="O32" s="81" t="s">
        <v>12</v>
      </c>
      <c r="P32" s="81" t="s">
        <v>12</v>
      </c>
      <c r="Q32" s="81" t="s">
        <v>11</v>
      </c>
      <c r="R32" s="256"/>
      <c r="S32" s="256"/>
      <c r="T32" s="81" t="s">
        <v>12</v>
      </c>
      <c r="U32" s="81" t="s">
        <v>12</v>
      </c>
      <c r="V32" s="81" t="s">
        <v>12</v>
      </c>
      <c r="W32" s="81" t="s">
        <v>12</v>
      </c>
      <c r="X32" s="81" t="s">
        <v>12</v>
      </c>
      <c r="Y32" s="256"/>
      <c r="Z32" s="81" t="s">
        <v>12</v>
      </c>
      <c r="AA32" s="81" t="s">
        <v>11</v>
      </c>
      <c r="AB32" s="81" t="s">
        <v>12</v>
      </c>
      <c r="AC32" s="81" t="s">
        <v>12</v>
      </c>
      <c r="AD32" s="81" t="s">
        <v>12</v>
      </c>
      <c r="AE32" s="81" t="s">
        <v>12</v>
      </c>
      <c r="AF32" s="256"/>
      <c r="AG32" s="81" t="s">
        <v>11</v>
      </c>
      <c r="AH32" s="81" t="s">
        <v>12</v>
      </c>
      <c r="AI32" s="81" t="s">
        <v>12</v>
      </c>
      <c r="AJ32" s="81" t="s">
        <v>12</v>
      </c>
      <c r="AK32" s="46">
        <f t="shared" si="0"/>
        <v>21</v>
      </c>
      <c r="AL32" s="46">
        <f t="shared" si="1"/>
        <v>5</v>
      </c>
    </row>
    <row r="33" spans="1:43" ht="19" x14ac:dyDescent="0.4">
      <c r="A33" s="39">
        <v>28</v>
      </c>
      <c r="B33" s="13"/>
      <c r="C33" s="10"/>
      <c r="D33" s="10"/>
      <c r="E33" s="66" t="s">
        <v>36</v>
      </c>
      <c r="F33" s="81" t="s">
        <v>12</v>
      </c>
      <c r="G33" s="81" t="s">
        <v>11</v>
      </c>
      <c r="H33" s="81" t="s">
        <v>11</v>
      </c>
      <c r="I33" s="81" t="s">
        <v>12</v>
      </c>
      <c r="J33" s="81" t="s">
        <v>12</v>
      </c>
      <c r="K33" s="256"/>
      <c r="L33" s="81" t="s">
        <v>12</v>
      </c>
      <c r="M33" s="81" t="s">
        <v>12</v>
      </c>
      <c r="N33" s="81" t="s">
        <v>12</v>
      </c>
      <c r="O33" s="81" t="s">
        <v>12</v>
      </c>
      <c r="P33" s="81" t="s">
        <v>12</v>
      </c>
      <c r="Q33" s="81" t="s">
        <v>11</v>
      </c>
      <c r="R33" s="256"/>
      <c r="S33" s="256"/>
      <c r="T33" s="81" t="s">
        <v>12</v>
      </c>
      <c r="U33" s="81" t="s">
        <v>12</v>
      </c>
      <c r="V33" s="81" t="s">
        <v>12</v>
      </c>
      <c r="W33" s="81" t="s">
        <v>12</v>
      </c>
      <c r="X33" s="81" t="s">
        <v>12</v>
      </c>
      <c r="Y33" s="256"/>
      <c r="Z33" s="81" t="s">
        <v>12</v>
      </c>
      <c r="AA33" s="81" t="s">
        <v>11</v>
      </c>
      <c r="AB33" s="81" t="s">
        <v>12</v>
      </c>
      <c r="AC33" s="81" t="s">
        <v>12</v>
      </c>
      <c r="AD33" s="81" t="s">
        <v>11</v>
      </c>
      <c r="AE33" s="81" t="s">
        <v>12</v>
      </c>
      <c r="AF33" s="256"/>
      <c r="AG33" s="81" t="s">
        <v>12</v>
      </c>
      <c r="AH33" s="81" t="s">
        <v>12</v>
      </c>
      <c r="AI33" s="81" t="s">
        <v>12</v>
      </c>
      <c r="AJ33" s="81" t="s">
        <v>12</v>
      </c>
      <c r="AK33" s="46">
        <f t="shared" si="0"/>
        <v>21</v>
      </c>
      <c r="AL33" s="46">
        <f t="shared" si="1"/>
        <v>5</v>
      </c>
    </row>
    <row r="34" spans="1:43" ht="19" x14ac:dyDescent="0.4">
      <c r="A34" s="39">
        <v>29</v>
      </c>
      <c r="B34" s="13"/>
      <c r="C34" s="10"/>
      <c r="D34" s="10"/>
      <c r="E34" s="66" t="s">
        <v>36</v>
      </c>
      <c r="F34" s="81"/>
      <c r="G34" s="81"/>
      <c r="H34" s="81"/>
      <c r="I34" s="81"/>
      <c r="J34" s="81" t="s">
        <v>12</v>
      </c>
      <c r="K34" s="256"/>
      <c r="L34" s="81" t="s">
        <v>12</v>
      </c>
      <c r="M34" s="81" t="s">
        <v>11</v>
      </c>
      <c r="N34" s="81" t="s">
        <v>11</v>
      </c>
      <c r="O34" s="81" t="s">
        <v>12</v>
      </c>
      <c r="P34" s="81" t="s">
        <v>12</v>
      </c>
      <c r="Q34" s="81" t="s">
        <v>12</v>
      </c>
      <c r="R34" s="256"/>
      <c r="S34" s="256"/>
      <c r="T34" s="81" t="s">
        <v>12</v>
      </c>
      <c r="U34" s="81" t="s">
        <v>11</v>
      </c>
      <c r="V34" s="81" t="s">
        <v>12</v>
      </c>
      <c r="W34" s="81" t="s">
        <v>12</v>
      </c>
      <c r="X34" s="81" t="s">
        <v>11</v>
      </c>
      <c r="Y34" s="256"/>
      <c r="Z34" s="81" t="s">
        <v>12</v>
      </c>
      <c r="AA34" s="81" t="s">
        <v>12</v>
      </c>
      <c r="AB34" s="81" t="s">
        <v>12</v>
      </c>
      <c r="AC34" s="81" t="s">
        <v>12</v>
      </c>
      <c r="AD34" s="81" t="s">
        <v>11</v>
      </c>
      <c r="AE34" s="81" t="s">
        <v>12</v>
      </c>
      <c r="AF34" s="256"/>
      <c r="AG34" s="81" t="s">
        <v>12</v>
      </c>
      <c r="AH34" s="81" t="s">
        <v>12</v>
      </c>
      <c r="AI34" s="81" t="s">
        <v>12</v>
      </c>
      <c r="AJ34" s="81" t="s">
        <v>12</v>
      </c>
      <c r="AK34" s="46">
        <f t="shared" si="0"/>
        <v>17</v>
      </c>
      <c r="AL34" s="46">
        <f t="shared" si="1"/>
        <v>5</v>
      </c>
    </row>
    <row r="35" spans="1:43" ht="19" x14ac:dyDescent="0.4">
      <c r="A35" s="39">
        <v>30</v>
      </c>
      <c r="B35" s="35"/>
      <c r="C35" s="149"/>
      <c r="D35" s="149"/>
      <c r="E35" s="66" t="s">
        <v>36</v>
      </c>
      <c r="F35" s="81"/>
      <c r="G35" s="81"/>
      <c r="H35" s="81"/>
      <c r="I35" s="81"/>
      <c r="J35" s="81" t="s">
        <v>12</v>
      </c>
      <c r="K35" s="256"/>
      <c r="L35" s="81" t="s">
        <v>12</v>
      </c>
      <c r="M35" s="81" t="s">
        <v>12</v>
      </c>
      <c r="N35" s="81" t="s">
        <v>12</v>
      </c>
      <c r="O35" s="81" t="s">
        <v>12</v>
      </c>
      <c r="P35" s="81" t="s">
        <v>11</v>
      </c>
      <c r="Q35" s="81" t="s">
        <v>11</v>
      </c>
      <c r="R35" s="256"/>
      <c r="S35" s="256"/>
      <c r="T35" s="81" t="s">
        <v>12</v>
      </c>
      <c r="U35" s="81" t="s">
        <v>11</v>
      </c>
      <c r="V35" s="81" t="s">
        <v>12</v>
      </c>
      <c r="W35" s="81" t="s">
        <v>12</v>
      </c>
      <c r="X35" s="81" t="s">
        <v>12</v>
      </c>
      <c r="Y35" s="256"/>
      <c r="Z35" s="81" t="s">
        <v>12</v>
      </c>
      <c r="AA35" s="81" t="s">
        <v>12</v>
      </c>
      <c r="AB35" s="81" t="s">
        <v>12</v>
      </c>
      <c r="AC35" s="81" t="s">
        <v>12</v>
      </c>
      <c r="AD35" s="81" t="s">
        <v>12</v>
      </c>
      <c r="AE35" s="81" t="s">
        <v>11</v>
      </c>
      <c r="AF35" s="256"/>
      <c r="AG35" s="81" t="s">
        <v>12</v>
      </c>
      <c r="AH35" s="81" t="s">
        <v>12</v>
      </c>
      <c r="AI35" s="81" t="s">
        <v>12</v>
      </c>
      <c r="AJ35" s="81" t="s">
        <v>11</v>
      </c>
      <c r="AK35" s="177">
        <f t="shared" si="0"/>
        <v>17</v>
      </c>
      <c r="AL35" s="46">
        <f t="shared" si="1"/>
        <v>5</v>
      </c>
    </row>
    <row r="36" spans="1:43" ht="19" x14ac:dyDescent="0.4">
      <c r="A36" s="39">
        <v>31</v>
      </c>
      <c r="B36" s="35"/>
      <c r="C36" s="149"/>
      <c r="D36" s="149"/>
      <c r="E36" s="66" t="s">
        <v>36</v>
      </c>
      <c r="F36" s="81"/>
      <c r="G36" s="81"/>
      <c r="H36" s="81"/>
      <c r="I36" s="81"/>
      <c r="J36" s="81" t="s">
        <v>12</v>
      </c>
      <c r="K36" s="256"/>
      <c r="L36" s="81" t="s">
        <v>12</v>
      </c>
      <c r="M36" s="81" t="s">
        <v>12</v>
      </c>
      <c r="N36" s="81" t="s">
        <v>12</v>
      </c>
      <c r="O36" s="81" t="s">
        <v>12</v>
      </c>
      <c r="P36" s="81" t="s">
        <v>12</v>
      </c>
      <c r="Q36" s="81" t="s">
        <v>12</v>
      </c>
      <c r="R36" s="256"/>
      <c r="S36" s="256"/>
      <c r="T36" s="81" t="s">
        <v>11</v>
      </c>
      <c r="U36" s="81" t="s">
        <v>12</v>
      </c>
      <c r="V36" s="81" t="s">
        <v>12</v>
      </c>
      <c r="W36" s="81" t="s">
        <v>12</v>
      </c>
      <c r="X36" s="81" t="s">
        <v>12</v>
      </c>
      <c r="Y36" s="256"/>
      <c r="Z36" s="81" t="s">
        <v>12</v>
      </c>
      <c r="AA36" s="81" t="s">
        <v>12</v>
      </c>
      <c r="AB36" s="81" t="s">
        <v>12</v>
      </c>
      <c r="AC36" s="81" t="s">
        <v>12</v>
      </c>
      <c r="AD36" s="81" t="s">
        <v>12</v>
      </c>
      <c r="AE36" s="81" t="s">
        <v>12</v>
      </c>
      <c r="AF36" s="256"/>
      <c r="AG36" s="81" t="s">
        <v>11</v>
      </c>
      <c r="AH36" s="81" t="s">
        <v>12</v>
      </c>
      <c r="AI36" s="81" t="s">
        <v>12</v>
      </c>
      <c r="AJ36" s="81" t="s">
        <v>12</v>
      </c>
      <c r="AK36" s="177">
        <f t="shared" si="0"/>
        <v>20</v>
      </c>
      <c r="AL36" s="46">
        <f t="shared" si="1"/>
        <v>2</v>
      </c>
    </row>
    <row r="37" spans="1:43" ht="19" x14ac:dyDescent="0.4">
      <c r="A37" s="39">
        <v>32</v>
      </c>
      <c r="B37" s="13"/>
      <c r="C37" s="10"/>
      <c r="D37" s="10"/>
      <c r="E37" s="66" t="s">
        <v>36</v>
      </c>
      <c r="F37" s="81" t="s">
        <v>11</v>
      </c>
      <c r="G37" s="81" t="s">
        <v>12</v>
      </c>
      <c r="H37" s="81" t="s">
        <v>12</v>
      </c>
      <c r="I37" s="81" t="s">
        <v>11</v>
      </c>
      <c r="J37" s="81" t="s">
        <v>12</v>
      </c>
      <c r="K37" s="256"/>
      <c r="L37" s="81" t="s">
        <v>12</v>
      </c>
      <c r="M37" s="81" t="s">
        <v>12</v>
      </c>
      <c r="N37" s="81" t="s">
        <v>12</v>
      </c>
      <c r="O37" s="81" t="s">
        <v>11</v>
      </c>
      <c r="P37" s="81" t="s">
        <v>12</v>
      </c>
      <c r="Q37" s="81" t="s">
        <v>12</v>
      </c>
      <c r="R37" s="256"/>
      <c r="S37" s="256"/>
      <c r="T37" s="81" t="s">
        <v>12</v>
      </c>
      <c r="U37" s="81" t="s">
        <v>11</v>
      </c>
      <c r="V37" s="81" t="s">
        <v>11</v>
      </c>
      <c r="W37" s="81" t="s">
        <v>12</v>
      </c>
      <c r="X37" s="81" t="s">
        <v>12</v>
      </c>
      <c r="Y37" s="256"/>
      <c r="Z37" s="81" t="s">
        <v>11</v>
      </c>
      <c r="AA37" s="81" t="s">
        <v>12</v>
      </c>
      <c r="AB37" s="81" t="s">
        <v>12</v>
      </c>
      <c r="AC37" s="81" t="s">
        <v>12</v>
      </c>
      <c r="AD37" s="81" t="s">
        <v>12</v>
      </c>
      <c r="AE37" s="81" t="s">
        <v>12</v>
      </c>
      <c r="AF37" s="256"/>
      <c r="AG37" s="81" t="s">
        <v>12</v>
      </c>
      <c r="AH37" s="81" t="s">
        <v>11</v>
      </c>
      <c r="AI37" s="81" t="s">
        <v>11</v>
      </c>
      <c r="AJ37" s="81" t="s">
        <v>12</v>
      </c>
      <c r="AK37" s="46">
        <f t="shared" si="0"/>
        <v>18</v>
      </c>
      <c r="AL37" s="46">
        <f t="shared" si="1"/>
        <v>8</v>
      </c>
    </row>
    <row r="38" spans="1:43" ht="19" x14ac:dyDescent="0.4">
      <c r="A38" s="39">
        <v>33</v>
      </c>
      <c r="B38" s="13"/>
      <c r="C38" s="10"/>
      <c r="D38" s="10"/>
      <c r="E38" s="66" t="s">
        <v>36</v>
      </c>
      <c r="F38" s="81" t="s">
        <v>12</v>
      </c>
      <c r="G38" s="81" t="s">
        <v>12</v>
      </c>
      <c r="H38" s="81" t="s">
        <v>12</v>
      </c>
      <c r="I38" s="81" t="s">
        <v>12</v>
      </c>
      <c r="J38" s="81" t="s">
        <v>11</v>
      </c>
      <c r="K38" s="256"/>
      <c r="L38" s="81" t="s">
        <v>12</v>
      </c>
      <c r="M38" s="81" t="s">
        <v>11</v>
      </c>
      <c r="N38" s="81" t="s">
        <v>12</v>
      </c>
      <c r="O38" s="81" t="s">
        <v>12</v>
      </c>
      <c r="P38" s="81" t="s">
        <v>12</v>
      </c>
      <c r="Q38" s="81" t="s">
        <v>11</v>
      </c>
      <c r="R38" s="256"/>
      <c r="S38" s="256"/>
      <c r="T38" s="81" t="s">
        <v>11</v>
      </c>
      <c r="U38" s="81" t="s">
        <v>11</v>
      </c>
      <c r="V38" s="81" t="s">
        <v>12</v>
      </c>
      <c r="W38" s="81" t="s">
        <v>12</v>
      </c>
      <c r="X38" s="81" t="s">
        <v>12</v>
      </c>
      <c r="Y38" s="256"/>
      <c r="Z38" s="81" t="s">
        <v>12</v>
      </c>
      <c r="AA38" s="81" t="s">
        <v>12</v>
      </c>
      <c r="AB38" s="81" t="s">
        <v>12</v>
      </c>
      <c r="AC38" s="81" t="s">
        <v>12</v>
      </c>
      <c r="AD38" s="81" t="s">
        <v>12</v>
      </c>
      <c r="AE38" s="81" t="s">
        <v>12</v>
      </c>
      <c r="AF38" s="256"/>
      <c r="AG38" s="81" t="s">
        <v>11</v>
      </c>
      <c r="AH38" s="81" t="s">
        <v>11</v>
      </c>
      <c r="AI38" s="81" t="s">
        <v>12</v>
      </c>
      <c r="AJ38" s="81" t="s">
        <v>12</v>
      </c>
      <c r="AK38" s="46">
        <f t="shared" si="0"/>
        <v>19</v>
      </c>
      <c r="AL38" s="46">
        <f t="shared" si="1"/>
        <v>7</v>
      </c>
    </row>
    <row r="39" spans="1:43" ht="19" x14ac:dyDescent="0.4">
      <c r="A39" s="39">
        <v>34</v>
      </c>
      <c r="B39" s="35"/>
      <c r="C39" s="149"/>
      <c r="D39" s="149"/>
      <c r="E39" s="66" t="s">
        <v>36</v>
      </c>
      <c r="F39" s="81"/>
      <c r="G39" s="81"/>
      <c r="H39" s="81"/>
      <c r="I39" s="81"/>
      <c r="J39" s="81" t="s">
        <v>12</v>
      </c>
      <c r="K39" s="256"/>
      <c r="L39" s="81" t="s">
        <v>12</v>
      </c>
      <c r="M39" s="81" t="s">
        <v>12</v>
      </c>
      <c r="N39" s="81" t="s">
        <v>12</v>
      </c>
      <c r="O39" s="81" t="s">
        <v>11</v>
      </c>
      <c r="P39" s="81" t="s">
        <v>12</v>
      </c>
      <c r="Q39" s="81" t="s">
        <v>12</v>
      </c>
      <c r="R39" s="256"/>
      <c r="S39" s="256"/>
      <c r="T39" s="81" t="s">
        <v>12</v>
      </c>
      <c r="U39" s="81" t="s">
        <v>12</v>
      </c>
      <c r="V39" s="81" t="s">
        <v>12</v>
      </c>
      <c r="W39" s="81" t="s">
        <v>12</v>
      </c>
      <c r="X39" s="81" t="s">
        <v>12</v>
      </c>
      <c r="Y39" s="256"/>
      <c r="Z39" s="81" t="s">
        <v>11</v>
      </c>
      <c r="AA39" s="81" t="s">
        <v>12</v>
      </c>
      <c r="AB39" s="81" t="s">
        <v>12</v>
      </c>
      <c r="AC39" s="81" t="s">
        <v>11</v>
      </c>
      <c r="AD39" s="81" t="s">
        <v>11</v>
      </c>
      <c r="AE39" s="81" t="s">
        <v>12</v>
      </c>
      <c r="AF39" s="256"/>
      <c r="AG39" s="81" t="s">
        <v>12</v>
      </c>
      <c r="AH39" s="81" t="s">
        <v>12</v>
      </c>
      <c r="AI39" s="81" t="s">
        <v>12</v>
      </c>
      <c r="AJ39" s="81" t="s">
        <v>12</v>
      </c>
      <c r="AK39" s="177">
        <f t="shared" si="0"/>
        <v>18</v>
      </c>
      <c r="AL39" s="46">
        <f t="shared" si="1"/>
        <v>4</v>
      </c>
    </row>
    <row r="40" spans="1:43" ht="19" x14ac:dyDescent="0.4">
      <c r="A40" s="39">
        <v>35</v>
      </c>
      <c r="B40" s="35"/>
      <c r="C40" s="10"/>
      <c r="D40" s="10"/>
      <c r="E40" s="66" t="s">
        <v>36</v>
      </c>
      <c r="F40" s="81"/>
      <c r="G40" s="81"/>
      <c r="H40" s="81"/>
      <c r="I40" s="81"/>
      <c r="J40" s="81" t="s">
        <v>12</v>
      </c>
      <c r="K40" s="256"/>
      <c r="L40" s="81" t="s">
        <v>12</v>
      </c>
      <c r="M40" s="81" t="s">
        <v>12</v>
      </c>
      <c r="N40" s="81" t="s">
        <v>12</v>
      </c>
      <c r="O40" s="81" t="s">
        <v>12</v>
      </c>
      <c r="P40" s="81" t="s">
        <v>12</v>
      </c>
      <c r="Q40" s="81" t="s">
        <v>12</v>
      </c>
      <c r="R40" s="256"/>
      <c r="S40" s="256"/>
      <c r="T40" s="81" t="s">
        <v>12</v>
      </c>
      <c r="U40" s="81" t="s">
        <v>12</v>
      </c>
      <c r="V40" s="81" t="s">
        <v>12</v>
      </c>
      <c r="W40" s="81" t="s">
        <v>12</v>
      </c>
      <c r="X40" s="81" t="s">
        <v>12</v>
      </c>
      <c r="Y40" s="256"/>
      <c r="Z40" s="81" t="s">
        <v>11</v>
      </c>
      <c r="AA40" s="81" t="s">
        <v>12</v>
      </c>
      <c r="AB40" s="81" t="s">
        <v>12</v>
      </c>
      <c r="AC40" s="81" t="s">
        <v>12</v>
      </c>
      <c r="AD40" s="81" t="s">
        <v>12</v>
      </c>
      <c r="AE40" s="81" t="s">
        <v>12</v>
      </c>
      <c r="AF40" s="256"/>
      <c r="AG40" s="81" t="s">
        <v>12</v>
      </c>
      <c r="AH40" s="81" t="s">
        <v>12</v>
      </c>
      <c r="AI40" s="81" t="s">
        <v>12</v>
      </c>
      <c r="AJ40" s="81" t="s">
        <v>12</v>
      </c>
      <c r="AK40" s="46">
        <f t="shared" si="0"/>
        <v>21</v>
      </c>
      <c r="AL40" s="46">
        <f t="shared" si="1"/>
        <v>1</v>
      </c>
    </row>
    <row r="41" spans="1:43" ht="19" x14ac:dyDescent="0.4">
      <c r="A41" s="39">
        <v>36</v>
      </c>
      <c r="B41" s="13"/>
      <c r="C41" s="10"/>
      <c r="D41" s="10"/>
      <c r="E41" s="66" t="s">
        <v>36</v>
      </c>
      <c r="F41" s="81" t="s">
        <v>12</v>
      </c>
      <c r="G41" s="81" t="s">
        <v>12</v>
      </c>
      <c r="H41" s="81" t="s">
        <v>12</v>
      </c>
      <c r="I41" s="81" t="s">
        <v>12</v>
      </c>
      <c r="J41" s="81" t="s">
        <v>11</v>
      </c>
      <c r="K41" s="256"/>
      <c r="L41" s="81" t="s">
        <v>12</v>
      </c>
      <c r="M41" s="81" t="s">
        <v>12</v>
      </c>
      <c r="N41" s="81" t="s">
        <v>12</v>
      </c>
      <c r="O41" s="81" t="s">
        <v>11</v>
      </c>
      <c r="P41" s="81" t="s">
        <v>11</v>
      </c>
      <c r="Q41" s="81" t="s">
        <v>12</v>
      </c>
      <c r="R41" s="256"/>
      <c r="S41" s="256"/>
      <c r="T41" s="81" t="s">
        <v>12</v>
      </c>
      <c r="U41" s="81" t="s">
        <v>12</v>
      </c>
      <c r="V41" s="81" t="s">
        <v>12</v>
      </c>
      <c r="W41" s="81" t="s">
        <v>12</v>
      </c>
      <c r="X41" s="81" t="s">
        <v>12</v>
      </c>
      <c r="Y41" s="256"/>
      <c r="Z41" s="81" t="s">
        <v>12</v>
      </c>
      <c r="AA41" s="81" t="s">
        <v>12</v>
      </c>
      <c r="AB41" s="81" t="s">
        <v>12</v>
      </c>
      <c r="AC41" s="81" t="s">
        <v>12</v>
      </c>
      <c r="AD41" s="81" t="s">
        <v>12</v>
      </c>
      <c r="AE41" s="81" t="s">
        <v>12</v>
      </c>
      <c r="AF41" s="256"/>
      <c r="AG41" s="81" t="s">
        <v>12</v>
      </c>
      <c r="AH41" s="81" t="s">
        <v>12</v>
      </c>
      <c r="AI41" s="81" t="s">
        <v>11</v>
      </c>
      <c r="AJ41" s="81" t="s">
        <v>12</v>
      </c>
      <c r="AK41" s="46">
        <f t="shared" si="0"/>
        <v>22</v>
      </c>
      <c r="AL41" s="46">
        <f t="shared" si="1"/>
        <v>4</v>
      </c>
    </row>
    <row r="42" spans="1:43" ht="19" x14ac:dyDescent="0.4">
      <c r="A42" s="39">
        <v>37</v>
      </c>
      <c r="B42" s="13"/>
      <c r="C42" s="10"/>
      <c r="D42" s="10"/>
      <c r="E42" s="66" t="s">
        <v>36</v>
      </c>
      <c r="F42" s="81"/>
      <c r="G42" s="81"/>
      <c r="H42" s="81"/>
      <c r="I42" s="81" t="s">
        <v>12</v>
      </c>
      <c r="J42" s="81" t="s">
        <v>12</v>
      </c>
      <c r="K42" s="256"/>
      <c r="L42" s="81" t="s">
        <v>12</v>
      </c>
      <c r="M42" s="81" t="s">
        <v>12</v>
      </c>
      <c r="N42" s="81" t="s">
        <v>12</v>
      </c>
      <c r="O42" s="81" t="s">
        <v>11</v>
      </c>
      <c r="P42" s="81" t="s">
        <v>12</v>
      </c>
      <c r="Q42" s="81" t="s">
        <v>12</v>
      </c>
      <c r="R42" s="256"/>
      <c r="S42" s="256"/>
      <c r="T42" s="81" t="s">
        <v>12</v>
      </c>
      <c r="U42" s="81" t="s">
        <v>11</v>
      </c>
      <c r="V42" s="81" t="s">
        <v>12</v>
      </c>
      <c r="W42" s="81" t="s">
        <v>12</v>
      </c>
      <c r="X42" s="81" t="s">
        <v>12</v>
      </c>
      <c r="Y42" s="256"/>
      <c r="Z42" s="81" t="s">
        <v>12</v>
      </c>
      <c r="AA42" s="81" t="s">
        <v>12</v>
      </c>
      <c r="AB42" s="81" t="s">
        <v>11</v>
      </c>
      <c r="AC42" s="81" t="s">
        <v>11</v>
      </c>
      <c r="AD42" s="81" t="s">
        <v>12</v>
      </c>
      <c r="AE42" s="81" t="s">
        <v>12</v>
      </c>
      <c r="AF42" s="256"/>
      <c r="AG42" s="81" t="s">
        <v>12</v>
      </c>
      <c r="AH42" s="81" t="s">
        <v>12</v>
      </c>
      <c r="AI42" s="81" t="s">
        <v>12</v>
      </c>
      <c r="AJ42" s="81" t="s">
        <v>11</v>
      </c>
      <c r="AK42" s="46">
        <f t="shared" si="0"/>
        <v>18</v>
      </c>
      <c r="AL42" s="46">
        <f t="shared" si="1"/>
        <v>5</v>
      </c>
    </row>
    <row r="43" spans="1:43" ht="19" x14ac:dyDescent="0.4">
      <c r="A43" s="39">
        <v>38</v>
      </c>
      <c r="B43" s="35"/>
      <c r="C43" s="10"/>
      <c r="D43" s="10"/>
      <c r="E43" s="35" t="s">
        <v>36</v>
      </c>
      <c r="F43" s="81"/>
      <c r="G43" s="81"/>
      <c r="H43" s="81"/>
      <c r="I43" s="81" t="s">
        <v>12</v>
      </c>
      <c r="J43" s="81" t="s">
        <v>12</v>
      </c>
      <c r="K43" s="256"/>
      <c r="L43" s="81" t="s">
        <v>12</v>
      </c>
      <c r="M43" s="81" t="s">
        <v>12</v>
      </c>
      <c r="N43" s="81" t="s">
        <v>12</v>
      </c>
      <c r="O43" s="81" t="s">
        <v>11</v>
      </c>
      <c r="P43" s="81" t="s">
        <v>11</v>
      </c>
      <c r="Q43" s="81" t="s">
        <v>11</v>
      </c>
      <c r="R43" s="256"/>
      <c r="S43" s="256"/>
      <c r="T43" s="81" t="s">
        <v>12</v>
      </c>
      <c r="U43" s="81" t="s">
        <v>12</v>
      </c>
      <c r="V43" s="81" t="s">
        <v>12</v>
      </c>
      <c r="W43" s="81" t="s">
        <v>12</v>
      </c>
      <c r="X43" s="81" t="s">
        <v>12</v>
      </c>
      <c r="Y43" s="256"/>
      <c r="Z43" s="81" t="s">
        <v>12</v>
      </c>
      <c r="AA43" s="81" t="s">
        <v>12</v>
      </c>
      <c r="AB43" s="81" t="s">
        <v>12</v>
      </c>
      <c r="AC43" s="81" t="s">
        <v>12</v>
      </c>
      <c r="AD43" s="81" t="s">
        <v>12</v>
      </c>
      <c r="AE43" s="81" t="s">
        <v>11</v>
      </c>
      <c r="AF43" s="256"/>
      <c r="AG43" s="81" t="s">
        <v>12</v>
      </c>
      <c r="AH43" s="81" t="s">
        <v>12</v>
      </c>
      <c r="AI43" s="81" t="s">
        <v>12</v>
      </c>
      <c r="AJ43" s="81" t="s">
        <v>12</v>
      </c>
      <c r="AK43" s="46">
        <f t="shared" si="0"/>
        <v>19</v>
      </c>
      <c r="AL43" s="46">
        <f t="shared" si="1"/>
        <v>4</v>
      </c>
    </row>
    <row r="44" spans="1:43" ht="19" x14ac:dyDescent="0.4">
      <c r="A44" s="39">
        <v>39</v>
      </c>
      <c r="B44" s="13"/>
      <c r="C44" s="10"/>
      <c r="D44" s="10"/>
      <c r="E44" s="66" t="s">
        <v>36</v>
      </c>
      <c r="F44" s="81"/>
      <c r="G44" s="81"/>
      <c r="H44" s="81"/>
      <c r="I44" s="81" t="s">
        <v>12</v>
      </c>
      <c r="J44" s="81" t="s">
        <v>12</v>
      </c>
      <c r="K44" s="256"/>
      <c r="L44" s="81" t="s">
        <v>11</v>
      </c>
      <c r="M44" s="81" t="s">
        <v>11</v>
      </c>
      <c r="N44" s="81" t="s">
        <v>12</v>
      </c>
      <c r="O44" s="81" t="s">
        <v>12</v>
      </c>
      <c r="P44" s="81" t="s">
        <v>12</v>
      </c>
      <c r="Q44" s="81" t="s">
        <v>11</v>
      </c>
      <c r="R44" s="256"/>
      <c r="S44" s="256"/>
      <c r="T44" s="81" t="s">
        <v>12</v>
      </c>
      <c r="U44" s="81" t="s">
        <v>11</v>
      </c>
      <c r="V44" s="81" t="s">
        <v>12</v>
      </c>
      <c r="W44" s="81" t="s">
        <v>11</v>
      </c>
      <c r="X44" s="81" t="s">
        <v>12</v>
      </c>
      <c r="Y44" s="256"/>
      <c r="Z44" s="81" t="s">
        <v>12</v>
      </c>
      <c r="AA44" s="81" t="s">
        <v>12</v>
      </c>
      <c r="AB44" s="81" t="s">
        <v>12</v>
      </c>
      <c r="AC44" s="81" t="s">
        <v>12</v>
      </c>
      <c r="AD44" s="81" t="s">
        <v>12</v>
      </c>
      <c r="AE44" s="81" t="s">
        <v>12</v>
      </c>
      <c r="AF44" s="256"/>
      <c r="AG44" s="81" t="s">
        <v>11</v>
      </c>
      <c r="AH44" s="81" t="s">
        <v>12</v>
      </c>
      <c r="AI44" s="81" t="s">
        <v>12</v>
      </c>
      <c r="AJ44" s="81" t="s">
        <v>12</v>
      </c>
      <c r="AK44" s="46">
        <f t="shared" si="0"/>
        <v>17</v>
      </c>
      <c r="AL44" s="46">
        <f t="shared" si="1"/>
        <v>6</v>
      </c>
    </row>
    <row r="45" spans="1:43" ht="19" x14ac:dyDescent="0.4">
      <c r="A45" s="39">
        <v>40</v>
      </c>
      <c r="B45" s="35"/>
      <c r="C45" s="10"/>
      <c r="D45" s="10"/>
      <c r="E45" s="66" t="s">
        <v>36</v>
      </c>
      <c r="F45" s="81"/>
      <c r="G45" s="81"/>
      <c r="H45" s="81"/>
      <c r="I45" s="81" t="s">
        <v>12</v>
      </c>
      <c r="J45" s="81" t="s">
        <v>11</v>
      </c>
      <c r="K45" s="256"/>
      <c r="L45" s="81" t="s">
        <v>12</v>
      </c>
      <c r="M45" s="81" t="s">
        <v>12</v>
      </c>
      <c r="N45" s="81" t="s">
        <v>12</v>
      </c>
      <c r="O45" s="81" t="s">
        <v>12</v>
      </c>
      <c r="P45" s="81" t="s">
        <v>12</v>
      </c>
      <c r="Q45" s="81" t="s">
        <v>12</v>
      </c>
      <c r="R45" s="256"/>
      <c r="S45" s="256"/>
      <c r="T45" s="81" t="s">
        <v>12</v>
      </c>
      <c r="U45" s="81" t="s">
        <v>12</v>
      </c>
      <c r="V45" s="81" t="s">
        <v>12</v>
      </c>
      <c r="W45" s="81" t="s">
        <v>12</v>
      </c>
      <c r="X45" s="81" t="s">
        <v>12</v>
      </c>
      <c r="Y45" s="256"/>
      <c r="Z45" s="81" t="s">
        <v>12</v>
      </c>
      <c r="AA45" s="81" t="s">
        <v>12</v>
      </c>
      <c r="AB45" s="81" t="s">
        <v>12</v>
      </c>
      <c r="AC45" s="81" t="s">
        <v>11</v>
      </c>
      <c r="AD45" s="81" t="s">
        <v>12</v>
      </c>
      <c r="AE45" s="81" t="s">
        <v>12</v>
      </c>
      <c r="AF45" s="256"/>
      <c r="AG45" s="81" t="s">
        <v>12</v>
      </c>
      <c r="AH45" s="81" t="s">
        <v>12</v>
      </c>
      <c r="AI45" s="81" t="s">
        <v>12</v>
      </c>
      <c r="AJ45" s="81" t="s">
        <v>12</v>
      </c>
      <c r="AK45" s="46">
        <f t="shared" si="0"/>
        <v>21</v>
      </c>
      <c r="AL45" s="46">
        <f t="shared" si="1"/>
        <v>2</v>
      </c>
    </row>
    <row r="46" spans="1:43" ht="19" x14ac:dyDescent="0.4">
      <c r="A46" s="140">
        <v>41</v>
      </c>
      <c r="B46" s="141"/>
      <c r="C46" s="173"/>
      <c r="D46" s="173"/>
      <c r="E46" s="142" t="s">
        <v>36</v>
      </c>
      <c r="F46" s="81"/>
      <c r="G46" s="81"/>
      <c r="H46" s="81"/>
      <c r="I46" s="81" t="s">
        <v>12</v>
      </c>
      <c r="J46" s="81" t="s">
        <v>12</v>
      </c>
      <c r="K46" s="256"/>
      <c r="L46" s="81" t="s">
        <v>12</v>
      </c>
      <c r="M46" s="81" t="s">
        <v>11</v>
      </c>
      <c r="N46" s="81" t="s">
        <v>12</v>
      </c>
      <c r="O46" s="81" t="s">
        <v>12</v>
      </c>
      <c r="P46" s="81" t="s">
        <v>12</v>
      </c>
      <c r="Q46" s="81" t="s">
        <v>12</v>
      </c>
      <c r="R46" s="256"/>
      <c r="S46" s="256"/>
      <c r="T46" s="81" t="s">
        <v>11</v>
      </c>
      <c r="U46" s="81" t="s">
        <v>12</v>
      </c>
      <c r="V46" s="81" t="s">
        <v>12</v>
      </c>
      <c r="W46" s="81" t="s">
        <v>11</v>
      </c>
      <c r="X46" s="81" t="s">
        <v>12</v>
      </c>
      <c r="Y46" s="256"/>
      <c r="Z46" s="81" t="s">
        <v>12</v>
      </c>
      <c r="AA46" s="81" t="s">
        <v>12</v>
      </c>
      <c r="AB46" s="81" t="s">
        <v>12</v>
      </c>
      <c r="AC46" s="81" t="s">
        <v>12</v>
      </c>
      <c r="AD46" s="81" t="s">
        <v>12</v>
      </c>
      <c r="AE46" s="81" t="s">
        <v>11</v>
      </c>
      <c r="AF46" s="256"/>
      <c r="AG46" s="81" t="s">
        <v>12</v>
      </c>
      <c r="AH46" s="81" t="s">
        <v>12</v>
      </c>
      <c r="AI46" s="81" t="s">
        <v>12</v>
      </c>
      <c r="AJ46" s="81" t="s">
        <v>12</v>
      </c>
      <c r="AK46" s="177">
        <f t="shared" si="0"/>
        <v>19</v>
      </c>
      <c r="AL46" s="46">
        <f t="shared" si="1"/>
        <v>4</v>
      </c>
    </row>
    <row r="47" spans="1:43" s="10" customFormat="1" ht="19" x14ac:dyDescent="0.4">
      <c r="A47" s="39">
        <v>42</v>
      </c>
      <c r="D47" s="174"/>
      <c r="E47" s="13" t="s">
        <v>36</v>
      </c>
      <c r="F47" s="81"/>
      <c r="G47" s="81"/>
      <c r="H47" s="81"/>
      <c r="I47" s="81" t="s">
        <v>12</v>
      </c>
      <c r="J47" s="81" t="s">
        <v>12</v>
      </c>
      <c r="K47" s="60"/>
      <c r="L47" s="81" t="s">
        <v>12</v>
      </c>
      <c r="M47" s="81" t="s">
        <v>12</v>
      </c>
      <c r="N47" s="81" t="s">
        <v>12</v>
      </c>
      <c r="O47" s="81" t="s">
        <v>12</v>
      </c>
      <c r="P47" s="81" t="s">
        <v>12</v>
      </c>
      <c r="Q47" s="81" t="s">
        <v>11</v>
      </c>
      <c r="R47" s="60"/>
      <c r="S47" s="60"/>
      <c r="T47" s="81" t="s">
        <v>12</v>
      </c>
      <c r="U47" s="81" t="s">
        <v>12</v>
      </c>
      <c r="V47" s="81" t="s">
        <v>12</v>
      </c>
      <c r="W47" s="81" t="s">
        <v>11</v>
      </c>
      <c r="X47" s="81" t="s">
        <v>12</v>
      </c>
      <c r="Y47" s="60"/>
      <c r="Z47" s="81" t="s">
        <v>12</v>
      </c>
      <c r="AA47" s="81" t="s">
        <v>12</v>
      </c>
      <c r="AB47" s="81" t="s">
        <v>12</v>
      </c>
      <c r="AC47" s="81" t="s">
        <v>12</v>
      </c>
      <c r="AD47" s="81" t="s">
        <v>12</v>
      </c>
      <c r="AE47" s="81" t="s">
        <v>12</v>
      </c>
      <c r="AF47" s="60"/>
      <c r="AG47" s="81" t="s">
        <v>12</v>
      </c>
      <c r="AH47" s="81" t="s">
        <v>12</v>
      </c>
      <c r="AI47" s="81" t="s">
        <v>12</v>
      </c>
      <c r="AJ47" s="81" t="s">
        <v>12</v>
      </c>
      <c r="AK47" s="46">
        <f t="shared" si="0"/>
        <v>21</v>
      </c>
      <c r="AL47" s="46">
        <f t="shared" si="1"/>
        <v>2</v>
      </c>
      <c r="AM47" s="175"/>
      <c r="AN47" s="1"/>
      <c r="AO47" s="1"/>
      <c r="AP47" s="1"/>
      <c r="AQ47" s="1"/>
    </row>
    <row r="48" spans="1:43" ht="18" x14ac:dyDescent="0.4">
      <c r="AK48" s="39">
        <f>SUM(AK6:AK47)</f>
        <v>825</v>
      </c>
      <c r="AL48" s="39">
        <f>SUM(AL6:AL47)</f>
        <v>201</v>
      </c>
    </row>
    <row r="49" spans="40:43" x14ac:dyDescent="0.3">
      <c r="AN49" s="10"/>
      <c r="AO49" s="10"/>
      <c r="AP49" s="10"/>
      <c r="AQ49" s="10"/>
    </row>
    <row r="71" spans="1:46" x14ac:dyDescent="0.3">
      <c r="AM71" s="10"/>
    </row>
    <row r="73" spans="1:46" s="176" customFormat="1" x14ac:dyDescent="0.3">
      <c r="A73" s="10"/>
      <c r="B73" s="10"/>
      <c r="C73" s="10"/>
      <c r="D73" s="174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"/>
      <c r="AN73" s="1"/>
      <c r="AO73" s="1"/>
      <c r="AP73" s="1"/>
      <c r="AQ73" s="1"/>
      <c r="AR73" s="150">
        <v>26</v>
      </c>
      <c r="AS73" s="64"/>
      <c r="AT73" s="64"/>
    </row>
    <row r="74" spans="1:46" x14ac:dyDescent="0.3">
      <c r="AN74" s="10"/>
      <c r="AO74" s="10"/>
    </row>
    <row r="75" spans="1:46" x14ac:dyDescent="0.3">
      <c r="AP75" s="176"/>
      <c r="AQ75" s="150" t="s">
        <v>13</v>
      </c>
    </row>
  </sheetData>
  <mergeCells count="12">
    <mergeCell ref="AN7:AQ7"/>
    <mergeCell ref="A1:AL1"/>
    <mergeCell ref="A2:AL2"/>
    <mergeCell ref="AN2:AO3"/>
    <mergeCell ref="A3:AL3"/>
    <mergeCell ref="A4:AL4"/>
    <mergeCell ref="S7:S46"/>
    <mergeCell ref="K7:K46"/>
    <mergeCell ref="R7:R46"/>
    <mergeCell ref="Y7:Y46"/>
    <mergeCell ref="AF7:AF46"/>
    <mergeCell ref="AN13:AQ13"/>
  </mergeCells>
  <conditionalFormatting sqref="D12 B12">
    <cfRule type="duplicateValues" dxfId="1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71"/>
  <sheetViews>
    <sheetView zoomScale="70" zoomScaleNormal="70" workbookViewId="0">
      <selection activeCell="B6" sqref="B6:D46"/>
    </sheetView>
  </sheetViews>
  <sheetFormatPr defaultColWidth="7.81640625" defaultRowHeight="15.5" x14ac:dyDescent="0.35"/>
  <cols>
    <col min="1" max="1" width="5.453125" style="1" customWidth="1"/>
    <col min="2" max="2" width="8" style="1" bestFit="1" customWidth="1"/>
    <col min="3" max="3" width="17.54296875" style="1" customWidth="1"/>
    <col min="4" max="4" width="20" style="98" bestFit="1" customWidth="1"/>
    <col min="5" max="5" width="7.81640625" style="1"/>
    <col min="6" max="6" width="8" style="95" bestFit="1" customWidth="1"/>
    <col min="7" max="7" width="8" style="97" bestFit="1" customWidth="1"/>
    <col min="8" max="10" width="8" style="95" bestFit="1" customWidth="1"/>
    <col min="11" max="11" width="5" style="95" customWidth="1"/>
    <col min="12" max="13" width="8" style="95" bestFit="1" customWidth="1"/>
    <col min="14" max="14" width="5" style="95" customWidth="1"/>
    <col min="15" max="17" width="8" style="95" bestFit="1" customWidth="1"/>
    <col min="18" max="18" width="4.7265625" style="95" customWidth="1"/>
    <col min="19" max="24" width="8" style="95" bestFit="1" customWidth="1"/>
    <col min="25" max="25" width="4.54296875" style="95" customWidth="1"/>
    <col min="26" max="31" width="8" style="95" bestFit="1" customWidth="1"/>
    <col min="32" max="35" width="4.453125" style="95" customWidth="1"/>
    <col min="36" max="38" width="8" style="95" bestFit="1" customWidth="1"/>
    <col min="39" max="39" width="7.81640625" style="95"/>
    <col min="40" max="40" width="24.7265625" style="95" customWidth="1"/>
    <col min="41" max="41" width="14.81640625" style="95" customWidth="1"/>
    <col min="42" max="42" width="8" style="95" bestFit="1" customWidth="1"/>
    <col min="43" max="43" width="8.54296875" style="95" bestFit="1" customWidth="1"/>
    <col min="44" max="44" width="8" style="95" bestFit="1" customWidth="1"/>
    <col min="45" max="16384" width="7.81640625" style="1"/>
  </cols>
  <sheetData>
    <row r="1" spans="1:44" s="179" customFormat="1" ht="25.5" customHeight="1" thickBot="1" x14ac:dyDescent="0.55000000000000004">
      <c r="A1" s="257" t="s">
        <v>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9"/>
      <c r="AM1" s="178"/>
      <c r="AN1" s="178"/>
      <c r="AO1" s="178"/>
      <c r="AP1" s="178"/>
      <c r="AQ1" s="178"/>
      <c r="AR1" s="178"/>
    </row>
    <row r="2" spans="1:44" ht="25.5" customHeight="1" thickBot="1" x14ac:dyDescent="0.55000000000000004">
      <c r="A2" s="257" t="s">
        <v>75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9"/>
    </row>
    <row r="3" spans="1:44" ht="28.5" customHeight="1" thickBot="1" x14ac:dyDescent="0.55000000000000004">
      <c r="A3" s="257" t="s">
        <v>56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9"/>
    </row>
    <row r="4" spans="1:44" ht="25.5" customHeight="1" thickBot="1" x14ac:dyDescent="0.55000000000000004">
      <c r="A4" s="257" t="s">
        <v>77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9"/>
      <c r="AM4" s="180"/>
      <c r="AN4" s="243">
        <v>45139</v>
      </c>
      <c r="AO4" s="243"/>
      <c r="AP4" s="83"/>
      <c r="AQ4" s="34"/>
    </row>
    <row r="5" spans="1:44" s="183" customFormat="1" ht="21" customHeight="1" x14ac:dyDescent="0.4">
      <c r="A5" s="84" t="s">
        <v>1</v>
      </c>
      <c r="B5" s="85" t="s">
        <v>2</v>
      </c>
      <c r="C5" s="86" t="s">
        <v>3</v>
      </c>
      <c r="D5" s="87" t="s">
        <v>4</v>
      </c>
      <c r="E5" s="85" t="s">
        <v>5</v>
      </c>
      <c r="F5" s="84">
        <v>1</v>
      </c>
      <c r="G5" s="88">
        <v>2</v>
      </c>
      <c r="H5" s="84">
        <v>3</v>
      </c>
      <c r="I5" s="84">
        <v>4</v>
      </c>
      <c r="J5" s="84">
        <v>5</v>
      </c>
      <c r="K5" s="89">
        <v>6</v>
      </c>
      <c r="L5" s="84">
        <v>7</v>
      </c>
      <c r="M5" s="84">
        <v>8</v>
      </c>
      <c r="N5" s="89">
        <v>9</v>
      </c>
      <c r="O5" s="84">
        <v>10</v>
      </c>
      <c r="P5" s="84">
        <v>11</v>
      </c>
      <c r="Q5" s="84">
        <v>12</v>
      </c>
      <c r="R5" s="89">
        <v>13</v>
      </c>
      <c r="S5" s="84">
        <v>14</v>
      </c>
      <c r="T5" s="84">
        <v>15</v>
      </c>
      <c r="U5" s="84">
        <v>16</v>
      </c>
      <c r="V5" s="84">
        <v>17</v>
      </c>
      <c r="W5" s="84">
        <v>18</v>
      </c>
      <c r="X5" s="84">
        <v>19</v>
      </c>
      <c r="Y5" s="89">
        <v>20</v>
      </c>
      <c r="Z5" s="84">
        <v>21</v>
      </c>
      <c r="AA5" s="84">
        <v>22</v>
      </c>
      <c r="AB5" s="84">
        <v>23</v>
      </c>
      <c r="AC5" s="84">
        <v>24</v>
      </c>
      <c r="AD5" s="84">
        <v>25</v>
      </c>
      <c r="AE5" s="84">
        <v>26</v>
      </c>
      <c r="AF5" s="89">
        <v>27</v>
      </c>
      <c r="AG5" s="89">
        <v>28</v>
      </c>
      <c r="AH5" s="89">
        <v>29</v>
      </c>
      <c r="AI5" s="89">
        <v>30</v>
      </c>
      <c r="AJ5" s="84">
        <v>31</v>
      </c>
      <c r="AK5" s="8" t="s">
        <v>6</v>
      </c>
      <c r="AL5" s="8" t="s">
        <v>7</v>
      </c>
      <c r="AM5" s="181"/>
      <c r="AN5" s="243"/>
      <c r="AO5" s="243"/>
      <c r="AP5" s="83"/>
      <c r="AQ5" s="34"/>
      <c r="AR5" s="182"/>
    </row>
    <row r="6" spans="1:44" ht="48.75" customHeight="1" x14ac:dyDescent="0.4">
      <c r="A6" s="12">
        <v>1</v>
      </c>
      <c r="B6" s="10"/>
      <c r="C6" s="10"/>
      <c r="D6" s="10"/>
      <c r="E6" s="90" t="s">
        <v>37</v>
      </c>
      <c r="F6" s="91" t="s">
        <v>11</v>
      </c>
      <c r="G6" s="91" t="s">
        <v>11</v>
      </c>
      <c r="H6" s="91" t="s">
        <v>12</v>
      </c>
      <c r="I6" s="91" t="s">
        <v>12</v>
      </c>
      <c r="J6" s="91" t="s">
        <v>12</v>
      </c>
      <c r="K6" s="143" t="s">
        <v>26</v>
      </c>
      <c r="L6" s="91" t="s">
        <v>12</v>
      </c>
      <c r="M6" s="91" t="s">
        <v>12</v>
      </c>
      <c r="N6" s="91" t="s">
        <v>11</v>
      </c>
      <c r="O6" s="91" t="s">
        <v>12</v>
      </c>
      <c r="P6" s="91" t="s">
        <v>12</v>
      </c>
      <c r="Q6" s="91" t="s">
        <v>12</v>
      </c>
      <c r="R6" s="143" t="s">
        <v>26</v>
      </c>
      <c r="S6" s="143"/>
      <c r="T6" s="91" t="s">
        <v>12</v>
      </c>
      <c r="U6" s="91" t="s">
        <v>11</v>
      </c>
      <c r="V6" s="91" t="s">
        <v>12</v>
      </c>
      <c r="W6" s="91" t="s">
        <v>12</v>
      </c>
      <c r="X6" s="91" t="s">
        <v>12</v>
      </c>
      <c r="Y6" s="143" t="s">
        <v>26</v>
      </c>
      <c r="Z6" s="91" t="s">
        <v>12</v>
      </c>
      <c r="AA6" s="91" t="s">
        <v>12</v>
      </c>
      <c r="AB6" s="91" t="s">
        <v>11</v>
      </c>
      <c r="AC6" s="91" t="s">
        <v>12</v>
      </c>
      <c r="AD6" s="91" t="s">
        <v>12</v>
      </c>
      <c r="AE6" s="91" t="s">
        <v>12</v>
      </c>
      <c r="AF6" s="143" t="s">
        <v>26</v>
      </c>
      <c r="AG6" s="91" t="s">
        <v>12</v>
      </c>
      <c r="AH6" s="91" t="s">
        <v>12</v>
      </c>
      <c r="AI6" s="91" t="s">
        <v>11</v>
      </c>
      <c r="AJ6" s="91" t="s">
        <v>11</v>
      </c>
      <c r="AK6" s="39">
        <f>COUNTIF(F6:AJ6,"P")</f>
        <v>19</v>
      </c>
      <c r="AL6" s="39">
        <f>COUNTIF(F6:AJ6,"A")</f>
        <v>7</v>
      </c>
      <c r="AM6" s="181"/>
      <c r="AN6" s="37" t="s">
        <v>8</v>
      </c>
      <c r="AO6" s="37">
        <v>31</v>
      </c>
      <c r="AP6" s="34"/>
      <c r="AQ6" s="34"/>
    </row>
    <row r="7" spans="1:44" ht="21" customHeight="1" x14ac:dyDescent="0.4">
      <c r="A7" s="12">
        <v>2</v>
      </c>
      <c r="B7" s="10"/>
      <c r="C7" s="10"/>
      <c r="D7" s="10"/>
      <c r="E7" s="11" t="s">
        <v>37</v>
      </c>
      <c r="F7" s="91" t="s">
        <v>11</v>
      </c>
      <c r="G7" s="91" t="s">
        <v>11</v>
      </c>
      <c r="H7" s="91" t="s">
        <v>11</v>
      </c>
      <c r="I7" s="91" t="s">
        <v>11</v>
      </c>
      <c r="J7" s="91" t="s">
        <v>12</v>
      </c>
      <c r="K7" s="260" t="s">
        <v>26</v>
      </c>
      <c r="L7" s="91" t="s">
        <v>11</v>
      </c>
      <c r="M7" s="91" t="s">
        <v>12</v>
      </c>
      <c r="N7" s="91" t="s">
        <v>12</v>
      </c>
      <c r="O7" s="91" t="s">
        <v>11</v>
      </c>
      <c r="P7" s="91" t="s">
        <v>11</v>
      </c>
      <c r="Q7" s="91" t="s">
        <v>11</v>
      </c>
      <c r="R7" s="260" t="s">
        <v>26</v>
      </c>
      <c r="S7" s="260" t="s">
        <v>55</v>
      </c>
      <c r="T7" s="91" t="s">
        <v>11</v>
      </c>
      <c r="U7" s="91" t="s">
        <v>11</v>
      </c>
      <c r="V7" s="91" t="s">
        <v>11</v>
      </c>
      <c r="W7" s="91" t="s">
        <v>11</v>
      </c>
      <c r="X7" s="91" t="s">
        <v>11</v>
      </c>
      <c r="Y7" s="260" t="s">
        <v>26</v>
      </c>
      <c r="Z7" s="91" t="s">
        <v>11</v>
      </c>
      <c r="AA7" s="91" t="s">
        <v>11</v>
      </c>
      <c r="AB7" s="91" t="s">
        <v>12</v>
      </c>
      <c r="AC7" s="91" t="s">
        <v>12</v>
      </c>
      <c r="AD7" s="91" t="s">
        <v>12</v>
      </c>
      <c r="AE7" s="91" t="s">
        <v>12</v>
      </c>
      <c r="AF7" s="260" t="s">
        <v>26</v>
      </c>
      <c r="AG7" s="91" t="s">
        <v>12</v>
      </c>
      <c r="AH7" s="91" t="s">
        <v>12</v>
      </c>
      <c r="AI7" s="91" t="s">
        <v>11</v>
      </c>
      <c r="AJ7" s="91" t="s">
        <v>11</v>
      </c>
      <c r="AK7" s="60">
        <f t="shared" ref="AK7:AK46" si="0">COUNTIF(F7:AJ7,"P")</f>
        <v>9</v>
      </c>
      <c r="AL7" s="39">
        <f t="shared" ref="AL7:AL46" si="1">COUNTIF(F7:AJ7,"A")</f>
        <v>17</v>
      </c>
      <c r="AM7" s="181"/>
      <c r="AN7" s="39" t="s">
        <v>38</v>
      </c>
      <c r="AO7" s="39">
        <v>23</v>
      </c>
      <c r="AP7" s="64" t="s">
        <v>58</v>
      </c>
      <c r="AQ7" s="64"/>
      <c r="AR7" s="1">
        <v>1</v>
      </c>
    </row>
    <row r="8" spans="1:44" ht="21" customHeight="1" x14ac:dyDescent="0.4">
      <c r="A8" s="12">
        <v>3</v>
      </c>
      <c r="B8" s="10"/>
      <c r="C8" s="10"/>
      <c r="D8" s="10"/>
      <c r="E8" s="11" t="s">
        <v>37</v>
      </c>
      <c r="F8" s="91" t="s">
        <v>12</v>
      </c>
      <c r="G8" s="91" t="s">
        <v>11</v>
      </c>
      <c r="H8" s="91" t="s">
        <v>12</v>
      </c>
      <c r="I8" s="91" t="s">
        <v>11</v>
      </c>
      <c r="J8" s="91" t="s">
        <v>12</v>
      </c>
      <c r="K8" s="261"/>
      <c r="L8" s="91" t="s">
        <v>12</v>
      </c>
      <c r="M8" s="91" t="s">
        <v>11</v>
      </c>
      <c r="N8" s="91" t="s">
        <v>12</v>
      </c>
      <c r="O8" s="91" t="s">
        <v>12</v>
      </c>
      <c r="P8" s="91" t="s">
        <v>12</v>
      </c>
      <c r="Q8" s="91" t="s">
        <v>12</v>
      </c>
      <c r="R8" s="261"/>
      <c r="S8" s="261"/>
      <c r="T8" s="91" t="s">
        <v>12</v>
      </c>
      <c r="U8" s="91" t="s">
        <v>12</v>
      </c>
      <c r="V8" s="91" t="s">
        <v>11</v>
      </c>
      <c r="W8" s="91" t="s">
        <v>12</v>
      </c>
      <c r="X8" s="91" t="s">
        <v>11</v>
      </c>
      <c r="Y8" s="261"/>
      <c r="Z8" s="91" t="s">
        <v>11</v>
      </c>
      <c r="AA8" s="91" t="s">
        <v>12</v>
      </c>
      <c r="AB8" s="91" t="s">
        <v>12</v>
      </c>
      <c r="AC8" s="91" t="s">
        <v>12</v>
      </c>
      <c r="AD8" s="91" t="s">
        <v>12</v>
      </c>
      <c r="AE8" s="91" t="s">
        <v>12</v>
      </c>
      <c r="AF8" s="261"/>
      <c r="AG8" s="91" t="s">
        <v>12</v>
      </c>
      <c r="AH8" s="91" t="s">
        <v>12</v>
      </c>
      <c r="AI8" s="91" t="s">
        <v>12</v>
      </c>
      <c r="AJ8" s="91" t="s">
        <v>11</v>
      </c>
      <c r="AK8" s="39">
        <f t="shared" si="0"/>
        <v>19</v>
      </c>
      <c r="AL8" s="39">
        <f t="shared" si="1"/>
        <v>7</v>
      </c>
      <c r="AM8" s="181"/>
      <c r="AN8" s="34" t="s">
        <v>26</v>
      </c>
      <c r="AO8" s="34">
        <v>4</v>
      </c>
      <c r="AP8" s="64"/>
      <c r="AQ8" s="64"/>
      <c r="AR8" s="1"/>
    </row>
    <row r="9" spans="1:44" ht="21" customHeight="1" x14ac:dyDescent="0.4">
      <c r="A9" s="12">
        <v>4</v>
      </c>
      <c r="B9" s="10"/>
      <c r="C9" s="10"/>
      <c r="D9" s="10"/>
      <c r="E9" s="11" t="s">
        <v>37</v>
      </c>
      <c r="F9" s="91" t="s">
        <v>12</v>
      </c>
      <c r="G9" s="91" t="s">
        <v>12</v>
      </c>
      <c r="H9" s="91" t="s">
        <v>12</v>
      </c>
      <c r="I9" s="91" t="s">
        <v>12</v>
      </c>
      <c r="J9" s="91" t="s">
        <v>12</v>
      </c>
      <c r="K9" s="261"/>
      <c r="L9" s="91" t="s">
        <v>12</v>
      </c>
      <c r="M9" s="91" t="s">
        <v>12</v>
      </c>
      <c r="N9" s="91" t="s">
        <v>12</v>
      </c>
      <c r="O9" s="91" t="s">
        <v>12</v>
      </c>
      <c r="P9" s="91" t="s">
        <v>12</v>
      </c>
      <c r="Q9" s="91" t="s">
        <v>12</v>
      </c>
      <c r="R9" s="261"/>
      <c r="S9" s="261"/>
      <c r="T9" s="91" t="s">
        <v>12</v>
      </c>
      <c r="U9" s="91" t="s">
        <v>11</v>
      </c>
      <c r="V9" s="91" t="s">
        <v>11</v>
      </c>
      <c r="W9" s="91" t="s">
        <v>11</v>
      </c>
      <c r="X9" s="91" t="s">
        <v>12</v>
      </c>
      <c r="Y9" s="261"/>
      <c r="Z9" s="91" t="s">
        <v>12</v>
      </c>
      <c r="AA9" s="91" t="s">
        <v>12</v>
      </c>
      <c r="AB9" s="91" t="s">
        <v>12</v>
      </c>
      <c r="AC9" s="91" t="s">
        <v>12</v>
      </c>
      <c r="AD9" s="91" t="s">
        <v>12</v>
      </c>
      <c r="AE9" s="91" t="s">
        <v>12</v>
      </c>
      <c r="AF9" s="261"/>
      <c r="AG9" s="91" t="s">
        <v>12</v>
      </c>
      <c r="AH9" s="91" t="s">
        <v>11</v>
      </c>
      <c r="AI9" s="91" t="s">
        <v>12</v>
      </c>
      <c r="AJ9" s="91" t="s">
        <v>12</v>
      </c>
      <c r="AK9" s="39">
        <f t="shared" si="0"/>
        <v>22</v>
      </c>
      <c r="AL9" s="39">
        <f t="shared" si="1"/>
        <v>4</v>
      </c>
      <c r="AM9" s="181"/>
      <c r="AN9" s="244" t="s">
        <v>6</v>
      </c>
      <c r="AO9" s="245"/>
      <c r="AP9" s="245"/>
      <c r="AQ9" s="246"/>
    </row>
    <row r="10" spans="1:44" ht="21" customHeight="1" x14ac:dyDescent="0.4">
      <c r="A10" s="12">
        <v>5</v>
      </c>
      <c r="B10" s="10"/>
      <c r="C10" s="10"/>
      <c r="D10" s="10"/>
      <c r="E10" s="11" t="s">
        <v>37</v>
      </c>
      <c r="F10" s="91" t="s">
        <v>11</v>
      </c>
      <c r="G10" s="91" t="s">
        <v>11</v>
      </c>
      <c r="H10" s="91" t="s">
        <v>12</v>
      </c>
      <c r="I10" s="91" t="s">
        <v>12</v>
      </c>
      <c r="J10" s="91" t="s">
        <v>12</v>
      </c>
      <c r="K10" s="261"/>
      <c r="L10" s="91" t="s">
        <v>12</v>
      </c>
      <c r="M10" s="91" t="s">
        <v>12</v>
      </c>
      <c r="N10" s="91" t="s">
        <v>12</v>
      </c>
      <c r="O10" s="91" t="s">
        <v>12</v>
      </c>
      <c r="P10" s="91" t="s">
        <v>11</v>
      </c>
      <c r="Q10" s="91" t="s">
        <v>11</v>
      </c>
      <c r="R10" s="261"/>
      <c r="S10" s="261"/>
      <c r="T10" s="91" t="s">
        <v>11</v>
      </c>
      <c r="U10" s="91" t="s">
        <v>11</v>
      </c>
      <c r="V10" s="91" t="s">
        <v>11</v>
      </c>
      <c r="W10" s="91" t="s">
        <v>11</v>
      </c>
      <c r="X10" s="91" t="s">
        <v>11</v>
      </c>
      <c r="Y10" s="261"/>
      <c r="Z10" s="91" t="s">
        <v>11</v>
      </c>
      <c r="AA10" s="91" t="s">
        <v>11</v>
      </c>
      <c r="AB10" s="91" t="s">
        <v>11</v>
      </c>
      <c r="AC10" s="91" t="s">
        <v>11</v>
      </c>
      <c r="AD10" s="91" t="s">
        <v>11</v>
      </c>
      <c r="AE10" s="91" t="s">
        <v>11</v>
      </c>
      <c r="AF10" s="261"/>
      <c r="AG10" s="91" t="s">
        <v>11</v>
      </c>
      <c r="AH10" s="91" t="s">
        <v>11</v>
      </c>
      <c r="AI10" s="91" t="s">
        <v>11</v>
      </c>
      <c r="AJ10" s="91" t="s">
        <v>11</v>
      </c>
      <c r="AK10" s="60">
        <f t="shared" si="0"/>
        <v>7</v>
      </c>
      <c r="AL10" s="39">
        <f t="shared" si="1"/>
        <v>19</v>
      </c>
      <c r="AM10" s="181"/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ht="21" customHeight="1" x14ac:dyDescent="0.4">
      <c r="A11" s="12">
        <v>6</v>
      </c>
      <c r="B11" s="10"/>
      <c r="C11" s="10"/>
      <c r="D11" s="10"/>
      <c r="E11" s="11" t="s">
        <v>37</v>
      </c>
      <c r="F11" s="91" t="s">
        <v>11</v>
      </c>
      <c r="G11" s="91" t="s">
        <v>12</v>
      </c>
      <c r="H11" s="91" t="s">
        <v>11</v>
      </c>
      <c r="I11" s="91" t="s">
        <v>12</v>
      </c>
      <c r="J11" s="91" t="s">
        <v>12</v>
      </c>
      <c r="K11" s="261"/>
      <c r="L11" s="91" t="s">
        <v>12</v>
      </c>
      <c r="M11" s="91" t="s">
        <v>12</v>
      </c>
      <c r="N11" s="91" t="s">
        <v>11</v>
      </c>
      <c r="O11" s="91" t="s">
        <v>12</v>
      </c>
      <c r="P11" s="91" t="s">
        <v>11</v>
      </c>
      <c r="Q11" s="91" t="s">
        <v>12</v>
      </c>
      <c r="R11" s="261"/>
      <c r="S11" s="261"/>
      <c r="T11" s="91" t="s">
        <v>12</v>
      </c>
      <c r="U11" s="91" t="s">
        <v>11</v>
      </c>
      <c r="V11" s="91" t="s">
        <v>12</v>
      </c>
      <c r="W11" s="91" t="s">
        <v>12</v>
      </c>
      <c r="X11" s="91" t="s">
        <v>12</v>
      </c>
      <c r="Y11" s="261"/>
      <c r="Z11" s="91" t="s">
        <v>12</v>
      </c>
      <c r="AA11" s="91" t="s">
        <v>12</v>
      </c>
      <c r="AB11" s="91" t="s">
        <v>12</v>
      </c>
      <c r="AC11" s="91" t="s">
        <v>12</v>
      </c>
      <c r="AD11" s="91" t="s">
        <v>12</v>
      </c>
      <c r="AE11" s="91" t="s">
        <v>11</v>
      </c>
      <c r="AF11" s="261"/>
      <c r="AG11" s="91" t="s">
        <v>12</v>
      </c>
      <c r="AH11" s="91" t="s">
        <v>12</v>
      </c>
      <c r="AI11" s="91" t="s">
        <v>11</v>
      </c>
      <c r="AJ11" s="91" t="s">
        <v>11</v>
      </c>
      <c r="AK11" s="60">
        <f t="shared" si="0"/>
        <v>18</v>
      </c>
      <c r="AL11" s="39">
        <f t="shared" si="1"/>
        <v>8</v>
      </c>
      <c r="AM11" s="181"/>
      <c r="AN11" s="39" t="s">
        <v>20</v>
      </c>
      <c r="AO11" s="39">
        <f>31*26</f>
        <v>806</v>
      </c>
      <c r="AP11" s="39">
        <f>10*26</f>
        <v>260</v>
      </c>
      <c r="AQ11" s="39">
        <f>AO11+AP11</f>
        <v>1066</v>
      </c>
    </row>
    <row r="12" spans="1:44" ht="21" customHeight="1" x14ac:dyDescent="0.4">
      <c r="A12" s="12">
        <v>7</v>
      </c>
      <c r="B12" s="10"/>
      <c r="C12" s="10"/>
      <c r="D12" s="10"/>
      <c r="E12" s="11" t="s">
        <v>37</v>
      </c>
      <c r="F12" s="91" t="s">
        <v>12</v>
      </c>
      <c r="G12" s="91" t="s">
        <v>12</v>
      </c>
      <c r="H12" s="91" t="s">
        <v>12</v>
      </c>
      <c r="I12" s="91" t="s">
        <v>12</v>
      </c>
      <c r="J12" s="91" t="s">
        <v>12</v>
      </c>
      <c r="K12" s="261"/>
      <c r="L12" s="91" t="s">
        <v>12</v>
      </c>
      <c r="M12" s="91" t="s">
        <v>11</v>
      </c>
      <c r="N12" s="91" t="s">
        <v>12</v>
      </c>
      <c r="O12" s="91" t="s">
        <v>12</v>
      </c>
      <c r="P12" s="91" t="s">
        <v>11</v>
      </c>
      <c r="Q12" s="91" t="s">
        <v>12</v>
      </c>
      <c r="R12" s="261"/>
      <c r="S12" s="261"/>
      <c r="T12" s="91" t="s">
        <v>12</v>
      </c>
      <c r="U12" s="91" t="s">
        <v>12</v>
      </c>
      <c r="V12" s="91" t="s">
        <v>12</v>
      </c>
      <c r="W12" s="91" t="s">
        <v>12</v>
      </c>
      <c r="X12" s="91" t="s">
        <v>12</v>
      </c>
      <c r="Y12" s="261"/>
      <c r="Z12" s="91" t="s">
        <v>12</v>
      </c>
      <c r="AA12" s="91" t="s">
        <v>12</v>
      </c>
      <c r="AB12" s="91" t="s">
        <v>12</v>
      </c>
      <c r="AC12" s="91" t="s">
        <v>11</v>
      </c>
      <c r="AD12" s="91" t="s">
        <v>12</v>
      </c>
      <c r="AE12" s="91" t="s">
        <v>12</v>
      </c>
      <c r="AF12" s="261"/>
      <c r="AG12" s="91" t="s">
        <v>12</v>
      </c>
      <c r="AH12" s="91" t="s">
        <v>12</v>
      </c>
      <c r="AI12" s="91" t="s">
        <v>12</v>
      </c>
      <c r="AJ12" s="91" t="s">
        <v>12</v>
      </c>
      <c r="AK12" s="39">
        <f t="shared" si="0"/>
        <v>23</v>
      </c>
      <c r="AL12" s="39">
        <f t="shared" si="1"/>
        <v>3</v>
      </c>
      <c r="AM12" s="181"/>
      <c r="AN12" s="39" t="s">
        <v>21</v>
      </c>
      <c r="AO12" s="39">
        <f>AK6+AK8+AK9+AK12+AK13+AK15+AK16+AK17+AK20+AK21+AK22+AK23+AK24+AK25+AK26+AK27+AK28+AK29+AK30+AK31+AK32+AK33+AK35+AK36+AK38+AK39+AK41+AK42+AK43+AK44+AK45</f>
        <v>509</v>
      </c>
      <c r="AP12" s="39">
        <f>AK7+AK10+AK11+AK14+AK18+AK19+AK34+AK37+AK40+AK46</f>
        <v>170</v>
      </c>
      <c r="AQ12" s="39">
        <f>AO12+AP12</f>
        <v>679</v>
      </c>
    </row>
    <row r="13" spans="1:44" ht="21" customHeight="1" x14ac:dyDescent="0.4">
      <c r="A13" s="12">
        <v>8</v>
      </c>
      <c r="B13" s="10"/>
      <c r="C13" s="10"/>
      <c r="D13" s="10"/>
      <c r="E13" s="11" t="s">
        <v>37</v>
      </c>
      <c r="F13" s="91" t="s">
        <v>11</v>
      </c>
      <c r="G13" s="91" t="s">
        <v>11</v>
      </c>
      <c r="H13" s="91" t="s">
        <v>11</v>
      </c>
      <c r="I13" s="91" t="s">
        <v>12</v>
      </c>
      <c r="J13" s="91" t="s">
        <v>11</v>
      </c>
      <c r="K13" s="261"/>
      <c r="L13" s="91" t="s">
        <v>12</v>
      </c>
      <c r="M13" s="91" t="s">
        <v>11</v>
      </c>
      <c r="N13" s="91" t="s">
        <v>11</v>
      </c>
      <c r="O13" s="91" t="s">
        <v>12</v>
      </c>
      <c r="P13" s="91" t="s">
        <v>12</v>
      </c>
      <c r="Q13" s="91" t="s">
        <v>12</v>
      </c>
      <c r="R13" s="261"/>
      <c r="S13" s="261"/>
      <c r="T13" s="91" t="s">
        <v>11</v>
      </c>
      <c r="U13" s="91" t="s">
        <v>12</v>
      </c>
      <c r="V13" s="91" t="s">
        <v>11</v>
      </c>
      <c r="W13" s="91" t="s">
        <v>12</v>
      </c>
      <c r="X13" s="91" t="s">
        <v>11</v>
      </c>
      <c r="Y13" s="261"/>
      <c r="Z13" s="91" t="s">
        <v>12</v>
      </c>
      <c r="AA13" s="91" t="s">
        <v>11</v>
      </c>
      <c r="AB13" s="91" t="s">
        <v>12</v>
      </c>
      <c r="AC13" s="91" t="s">
        <v>11</v>
      </c>
      <c r="AD13" s="91" t="s">
        <v>12</v>
      </c>
      <c r="AE13" s="91" t="s">
        <v>11</v>
      </c>
      <c r="AF13" s="261"/>
      <c r="AG13" s="91" t="s">
        <v>12</v>
      </c>
      <c r="AH13" s="91" t="s">
        <v>11</v>
      </c>
      <c r="AI13" s="91" t="s">
        <v>12</v>
      </c>
      <c r="AJ13" s="91" t="s">
        <v>11</v>
      </c>
      <c r="AK13" s="39">
        <f t="shared" si="0"/>
        <v>12</v>
      </c>
      <c r="AL13" s="39">
        <f t="shared" si="1"/>
        <v>14</v>
      </c>
      <c r="AN13" s="39" t="s">
        <v>22</v>
      </c>
      <c r="AO13" s="44">
        <f>AO12/AO11</f>
        <v>0.63151364764267992</v>
      </c>
      <c r="AP13" s="44">
        <f>AP12/AP11</f>
        <v>0.65384615384615385</v>
      </c>
      <c r="AQ13" s="44">
        <f>AVERAGE(AO13:AP13)</f>
        <v>0.64267990074441683</v>
      </c>
    </row>
    <row r="14" spans="1:44" ht="21" customHeight="1" x14ac:dyDescent="0.4">
      <c r="A14" s="12">
        <v>9</v>
      </c>
      <c r="B14" s="10"/>
      <c r="C14" s="10"/>
      <c r="D14" s="10"/>
      <c r="E14" s="11" t="s">
        <v>37</v>
      </c>
      <c r="F14" s="91" t="s">
        <v>12</v>
      </c>
      <c r="G14" s="91" t="s">
        <v>12</v>
      </c>
      <c r="H14" s="91" t="s">
        <v>12</v>
      </c>
      <c r="I14" s="91" t="s">
        <v>12</v>
      </c>
      <c r="J14" s="91" t="s">
        <v>12</v>
      </c>
      <c r="K14" s="261"/>
      <c r="L14" s="91" t="s">
        <v>12</v>
      </c>
      <c r="M14" s="91" t="s">
        <v>12</v>
      </c>
      <c r="N14" s="91" t="s">
        <v>12</v>
      </c>
      <c r="O14" s="91" t="s">
        <v>12</v>
      </c>
      <c r="P14" s="91" t="s">
        <v>12</v>
      </c>
      <c r="Q14" s="91" t="s">
        <v>12</v>
      </c>
      <c r="R14" s="261"/>
      <c r="S14" s="261"/>
      <c r="T14" s="91" t="s">
        <v>12</v>
      </c>
      <c r="U14" s="91" t="s">
        <v>12</v>
      </c>
      <c r="V14" s="91" t="s">
        <v>12</v>
      </c>
      <c r="W14" s="91" t="s">
        <v>11</v>
      </c>
      <c r="X14" s="91" t="s">
        <v>11</v>
      </c>
      <c r="Y14" s="261"/>
      <c r="Z14" s="91" t="s">
        <v>12</v>
      </c>
      <c r="AA14" s="91" t="s">
        <v>11</v>
      </c>
      <c r="AB14" s="91" t="s">
        <v>12</v>
      </c>
      <c r="AC14" s="91" t="s">
        <v>11</v>
      </c>
      <c r="AD14" s="91" t="s">
        <v>12</v>
      </c>
      <c r="AE14" s="91" t="s">
        <v>12</v>
      </c>
      <c r="AF14" s="261"/>
      <c r="AG14" s="91" t="s">
        <v>12</v>
      </c>
      <c r="AH14" s="91" t="s">
        <v>12</v>
      </c>
      <c r="AI14" s="91" t="s">
        <v>12</v>
      </c>
      <c r="AJ14" s="91" t="s">
        <v>12</v>
      </c>
      <c r="AK14" s="60">
        <f t="shared" si="0"/>
        <v>22</v>
      </c>
      <c r="AL14" s="39">
        <f t="shared" si="1"/>
        <v>4</v>
      </c>
      <c r="AN14" s="39"/>
      <c r="AO14" s="44"/>
      <c r="AP14" s="44"/>
      <c r="AQ14" s="44"/>
    </row>
    <row r="15" spans="1:44" ht="21" customHeight="1" x14ac:dyDescent="0.4">
      <c r="A15" s="12">
        <v>10</v>
      </c>
      <c r="B15" s="10"/>
      <c r="C15" s="10"/>
      <c r="D15" s="10"/>
      <c r="E15" s="11" t="s">
        <v>37</v>
      </c>
      <c r="F15" s="91" t="s">
        <v>11</v>
      </c>
      <c r="G15" s="91" t="s">
        <v>11</v>
      </c>
      <c r="H15" s="91" t="s">
        <v>11</v>
      </c>
      <c r="I15" s="91" t="s">
        <v>11</v>
      </c>
      <c r="J15" s="91" t="s">
        <v>12</v>
      </c>
      <c r="K15" s="261"/>
      <c r="L15" s="91" t="s">
        <v>11</v>
      </c>
      <c r="M15" s="91" t="s">
        <v>11</v>
      </c>
      <c r="N15" s="91" t="s">
        <v>11</v>
      </c>
      <c r="O15" s="91" t="s">
        <v>12</v>
      </c>
      <c r="P15" s="91" t="s">
        <v>11</v>
      </c>
      <c r="Q15" s="91" t="s">
        <v>12</v>
      </c>
      <c r="R15" s="261"/>
      <c r="S15" s="261"/>
      <c r="T15" s="91" t="s">
        <v>12</v>
      </c>
      <c r="U15" s="91" t="s">
        <v>12</v>
      </c>
      <c r="V15" s="91" t="s">
        <v>12</v>
      </c>
      <c r="W15" s="91" t="s">
        <v>11</v>
      </c>
      <c r="X15" s="91" t="s">
        <v>12</v>
      </c>
      <c r="Y15" s="261"/>
      <c r="Z15" s="91" t="s">
        <v>11</v>
      </c>
      <c r="AA15" s="91" t="s">
        <v>11</v>
      </c>
      <c r="AB15" s="91" t="s">
        <v>12</v>
      </c>
      <c r="AC15" s="91" t="s">
        <v>11</v>
      </c>
      <c r="AD15" s="91" t="s">
        <v>11</v>
      </c>
      <c r="AE15" s="91" t="s">
        <v>11</v>
      </c>
      <c r="AF15" s="261"/>
      <c r="AG15" s="91" t="s">
        <v>12</v>
      </c>
      <c r="AH15" s="91" t="s">
        <v>11</v>
      </c>
      <c r="AI15" s="91" t="s">
        <v>12</v>
      </c>
      <c r="AJ15" s="91" t="s">
        <v>11</v>
      </c>
      <c r="AK15" s="39">
        <f t="shared" si="0"/>
        <v>10</v>
      </c>
      <c r="AL15" s="39">
        <f t="shared" si="1"/>
        <v>16</v>
      </c>
      <c r="AN15" s="244" t="s">
        <v>65</v>
      </c>
      <c r="AO15" s="245"/>
      <c r="AP15" s="245"/>
      <c r="AQ15" s="246"/>
    </row>
    <row r="16" spans="1:44" ht="21" customHeight="1" x14ac:dyDescent="0.4">
      <c r="A16" s="12">
        <v>11</v>
      </c>
      <c r="B16" s="10"/>
      <c r="C16" s="10"/>
      <c r="D16" s="10"/>
      <c r="E16" s="11" t="s">
        <v>37</v>
      </c>
      <c r="F16" s="91" t="s">
        <v>11</v>
      </c>
      <c r="G16" s="91" t="s">
        <v>12</v>
      </c>
      <c r="H16" s="91" t="s">
        <v>12</v>
      </c>
      <c r="I16" s="91" t="s">
        <v>11</v>
      </c>
      <c r="J16" s="91" t="s">
        <v>12</v>
      </c>
      <c r="K16" s="261"/>
      <c r="L16" s="91" t="s">
        <v>12</v>
      </c>
      <c r="M16" s="91" t="s">
        <v>12</v>
      </c>
      <c r="N16" s="91" t="s">
        <v>12</v>
      </c>
      <c r="O16" s="91" t="s">
        <v>12</v>
      </c>
      <c r="P16" s="91" t="s">
        <v>11</v>
      </c>
      <c r="Q16" s="91" t="s">
        <v>11</v>
      </c>
      <c r="R16" s="261"/>
      <c r="S16" s="261"/>
      <c r="T16" s="91" t="s">
        <v>11</v>
      </c>
      <c r="U16" s="91" t="s">
        <v>12</v>
      </c>
      <c r="V16" s="91" t="s">
        <v>12</v>
      </c>
      <c r="W16" s="91" t="s">
        <v>12</v>
      </c>
      <c r="X16" s="91" t="s">
        <v>11</v>
      </c>
      <c r="Y16" s="261"/>
      <c r="Z16" s="91" t="s">
        <v>12</v>
      </c>
      <c r="AA16" s="91" t="s">
        <v>11</v>
      </c>
      <c r="AB16" s="91" t="s">
        <v>12</v>
      </c>
      <c r="AC16" s="91" t="s">
        <v>11</v>
      </c>
      <c r="AD16" s="91" t="s">
        <v>12</v>
      </c>
      <c r="AE16" s="91" t="s">
        <v>12</v>
      </c>
      <c r="AF16" s="261"/>
      <c r="AG16" s="91" t="s">
        <v>11</v>
      </c>
      <c r="AH16" s="91" t="s">
        <v>12</v>
      </c>
      <c r="AI16" s="91" t="s">
        <v>11</v>
      </c>
      <c r="AJ16" s="91" t="s">
        <v>12</v>
      </c>
      <c r="AK16" s="39">
        <f t="shared" si="0"/>
        <v>16</v>
      </c>
      <c r="AL16" s="39">
        <f t="shared" si="1"/>
        <v>10</v>
      </c>
      <c r="AN16" s="39" t="s">
        <v>16</v>
      </c>
      <c r="AO16" s="39" t="s">
        <v>18</v>
      </c>
      <c r="AP16" s="39" t="s">
        <v>17</v>
      </c>
      <c r="AQ16" s="39" t="s">
        <v>19</v>
      </c>
    </row>
    <row r="17" spans="1:44" ht="25.5" x14ac:dyDescent="0.4">
      <c r="A17" s="12">
        <v>12</v>
      </c>
      <c r="B17" s="10"/>
      <c r="C17" s="10"/>
      <c r="D17" s="10"/>
      <c r="E17" s="11" t="s">
        <v>37</v>
      </c>
      <c r="F17" s="91" t="s">
        <v>12</v>
      </c>
      <c r="G17" s="91" t="s">
        <v>12</v>
      </c>
      <c r="H17" s="91" t="s">
        <v>11</v>
      </c>
      <c r="I17" s="91" t="s">
        <v>12</v>
      </c>
      <c r="J17" s="91" t="s">
        <v>12</v>
      </c>
      <c r="K17" s="261"/>
      <c r="L17" s="91" t="s">
        <v>12</v>
      </c>
      <c r="M17" s="91" t="s">
        <v>12</v>
      </c>
      <c r="N17" s="91" t="s">
        <v>12</v>
      </c>
      <c r="O17" s="91" t="s">
        <v>12</v>
      </c>
      <c r="P17" s="91" t="s">
        <v>11</v>
      </c>
      <c r="Q17" s="91" t="s">
        <v>11</v>
      </c>
      <c r="R17" s="261"/>
      <c r="S17" s="261"/>
      <c r="T17" s="91" t="s">
        <v>11</v>
      </c>
      <c r="U17" s="91" t="s">
        <v>12</v>
      </c>
      <c r="V17" s="91" t="s">
        <v>12</v>
      </c>
      <c r="W17" s="91" t="s">
        <v>12</v>
      </c>
      <c r="X17" s="91" t="s">
        <v>12</v>
      </c>
      <c r="Y17" s="261"/>
      <c r="Z17" s="91" t="s">
        <v>12</v>
      </c>
      <c r="AA17" s="91" t="s">
        <v>12</v>
      </c>
      <c r="AB17" s="91" t="s">
        <v>12</v>
      </c>
      <c r="AC17" s="91" t="s">
        <v>12</v>
      </c>
      <c r="AD17" s="91" t="s">
        <v>11</v>
      </c>
      <c r="AE17" s="91" t="s">
        <v>12</v>
      </c>
      <c r="AF17" s="261"/>
      <c r="AG17" s="91" t="s">
        <v>12</v>
      </c>
      <c r="AH17" s="91" t="s">
        <v>12</v>
      </c>
      <c r="AI17" s="91" t="s">
        <v>11</v>
      </c>
      <c r="AJ17" s="91" t="s">
        <v>11</v>
      </c>
      <c r="AK17" s="39">
        <f t="shared" si="0"/>
        <v>19</v>
      </c>
      <c r="AL17" s="39">
        <f t="shared" si="1"/>
        <v>7</v>
      </c>
      <c r="AN17" s="39" t="s">
        <v>20</v>
      </c>
      <c r="AO17" s="39">
        <f>31*26</f>
        <v>806</v>
      </c>
      <c r="AP17" s="39">
        <f>10*26</f>
        <v>260</v>
      </c>
      <c r="AQ17" s="39">
        <f>AO17+AP17</f>
        <v>1066</v>
      </c>
      <c r="AR17" s="1"/>
    </row>
    <row r="18" spans="1:44" ht="25.5" x14ac:dyDescent="0.4">
      <c r="A18" s="12">
        <v>13</v>
      </c>
      <c r="B18" s="10"/>
      <c r="C18" s="10"/>
      <c r="D18" s="10"/>
      <c r="E18" s="11" t="s">
        <v>37</v>
      </c>
      <c r="F18" s="91" t="s">
        <v>12</v>
      </c>
      <c r="G18" s="91" t="s">
        <v>11</v>
      </c>
      <c r="H18" s="91" t="s">
        <v>11</v>
      </c>
      <c r="I18" s="91" t="s">
        <v>11</v>
      </c>
      <c r="J18" s="91" t="s">
        <v>12</v>
      </c>
      <c r="K18" s="261"/>
      <c r="L18" s="91" t="s">
        <v>12</v>
      </c>
      <c r="M18" s="91" t="s">
        <v>11</v>
      </c>
      <c r="N18" s="91" t="s">
        <v>11</v>
      </c>
      <c r="O18" s="91" t="s">
        <v>11</v>
      </c>
      <c r="P18" s="91" t="s">
        <v>11</v>
      </c>
      <c r="Q18" s="91" t="s">
        <v>12</v>
      </c>
      <c r="R18" s="261"/>
      <c r="S18" s="261"/>
      <c r="T18" s="91" t="s">
        <v>12</v>
      </c>
      <c r="U18" s="91" t="s">
        <v>12</v>
      </c>
      <c r="V18" s="91" t="s">
        <v>12</v>
      </c>
      <c r="W18" s="91" t="s">
        <v>12</v>
      </c>
      <c r="X18" s="91" t="s">
        <v>12</v>
      </c>
      <c r="Y18" s="261"/>
      <c r="Z18" s="91" t="s">
        <v>12</v>
      </c>
      <c r="AA18" s="91" t="s">
        <v>12</v>
      </c>
      <c r="AB18" s="91" t="s">
        <v>12</v>
      </c>
      <c r="AC18" s="91" t="s">
        <v>12</v>
      </c>
      <c r="AD18" s="91" t="s">
        <v>11</v>
      </c>
      <c r="AE18" s="91" t="s">
        <v>12</v>
      </c>
      <c r="AF18" s="261"/>
      <c r="AG18" s="91" t="s">
        <v>12</v>
      </c>
      <c r="AH18" s="91" t="s">
        <v>12</v>
      </c>
      <c r="AI18" s="91" t="s">
        <v>12</v>
      </c>
      <c r="AJ18" s="91" t="s">
        <v>12</v>
      </c>
      <c r="AK18" s="60">
        <f t="shared" si="0"/>
        <v>18</v>
      </c>
      <c r="AL18" s="39">
        <f t="shared" si="1"/>
        <v>8</v>
      </c>
      <c r="AN18" s="39" t="s">
        <v>24</v>
      </c>
      <c r="AO18" s="39">
        <f>AO17-AO12</f>
        <v>297</v>
      </c>
      <c r="AP18" s="39">
        <f>AP17-AP12</f>
        <v>90</v>
      </c>
      <c r="AQ18" s="39">
        <f>AO18+AP18</f>
        <v>387</v>
      </c>
      <c r="AR18" s="1"/>
    </row>
    <row r="19" spans="1:44" ht="25.5" x14ac:dyDescent="0.4">
      <c r="A19" s="12">
        <v>14</v>
      </c>
      <c r="B19" s="10"/>
      <c r="C19" s="10"/>
      <c r="D19" s="10"/>
      <c r="E19" s="11" t="s">
        <v>37</v>
      </c>
      <c r="F19" s="91" t="s">
        <v>11</v>
      </c>
      <c r="G19" s="91" t="s">
        <v>12</v>
      </c>
      <c r="H19" s="91" t="s">
        <v>12</v>
      </c>
      <c r="I19" s="91" t="s">
        <v>12</v>
      </c>
      <c r="J19" s="91" t="s">
        <v>12</v>
      </c>
      <c r="K19" s="261"/>
      <c r="L19" s="91" t="s">
        <v>12</v>
      </c>
      <c r="M19" s="91" t="s">
        <v>12</v>
      </c>
      <c r="N19" s="91" t="s">
        <v>12</v>
      </c>
      <c r="O19" s="91" t="s">
        <v>12</v>
      </c>
      <c r="P19" s="91" t="s">
        <v>12</v>
      </c>
      <c r="Q19" s="91" t="s">
        <v>12</v>
      </c>
      <c r="R19" s="261"/>
      <c r="S19" s="261"/>
      <c r="T19" s="91" t="s">
        <v>12</v>
      </c>
      <c r="U19" s="91" t="s">
        <v>12</v>
      </c>
      <c r="V19" s="91" t="s">
        <v>12</v>
      </c>
      <c r="W19" s="91" t="s">
        <v>12</v>
      </c>
      <c r="X19" s="91" t="s">
        <v>12</v>
      </c>
      <c r="Y19" s="261"/>
      <c r="Z19" s="91" t="s">
        <v>12</v>
      </c>
      <c r="AA19" s="91" t="s">
        <v>12</v>
      </c>
      <c r="AB19" s="91" t="s">
        <v>12</v>
      </c>
      <c r="AC19" s="91" t="s">
        <v>12</v>
      </c>
      <c r="AD19" s="91" t="s">
        <v>12</v>
      </c>
      <c r="AE19" s="91" t="s">
        <v>12</v>
      </c>
      <c r="AF19" s="261"/>
      <c r="AG19" s="91" t="s">
        <v>12</v>
      </c>
      <c r="AH19" s="91" t="s">
        <v>12</v>
      </c>
      <c r="AI19" s="91" t="s">
        <v>12</v>
      </c>
      <c r="AJ19" s="91" t="s">
        <v>12</v>
      </c>
      <c r="AK19" s="60">
        <f t="shared" si="0"/>
        <v>25</v>
      </c>
      <c r="AL19" s="39">
        <f t="shared" si="1"/>
        <v>1</v>
      </c>
      <c r="AN19" s="39" t="s">
        <v>22</v>
      </c>
      <c r="AO19" s="44">
        <f>AO18/AO17</f>
        <v>0.36848635235732008</v>
      </c>
      <c r="AP19" s="44">
        <f>AP18/AP17</f>
        <v>0.34615384615384615</v>
      </c>
      <c r="AQ19" s="44">
        <f>AQ18/AQ17</f>
        <v>0.3630393996247655</v>
      </c>
      <c r="AR19" s="1"/>
    </row>
    <row r="20" spans="1:44" ht="25.5" x14ac:dyDescent="0.4">
      <c r="A20" s="12">
        <v>15</v>
      </c>
      <c r="B20" s="10"/>
      <c r="C20" s="10"/>
      <c r="D20" s="10"/>
      <c r="E20" s="11" t="s">
        <v>37</v>
      </c>
      <c r="F20" s="91" t="s">
        <v>12</v>
      </c>
      <c r="G20" s="91" t="s">
        <v>12</v>
      </c>
      <c r="H20" s="91" t="s">
        <v>12</v>
      </c>
      <c r="I20" s="91" t="s">
        <v>12</v>
      </c>
      <c r="J20" s="91" t="s">
        <v>12</v>
      </c>
      <c r="K20" s="261"/>
      <c r="L20" s="91" t="s">
        <v>12</v>
      </c>
      <c r="M20" s="91" t="s">
        <v>12</v>
      </c>
      <c r="N20" s="91" t="s">
        <v>12</v>
      </c>
      <c r="O20" s="91" t="s">
        <v>12</v>
      </c>
      <c r="P20" s="91" t="s">
        <v>12</v>
      </c>
      <c r="Q20" s="91" t="s">
        <v>12</v>
      </c>
      <c r="R20" s="261"/>
      <c r="S20" s="261"/>
      <c r="T20" s="91" t="s">
        <v>12</v>
      </c>
      <c r="U20" s="91" t="s">
        <v>12</v>
      </c>
      <c r="V20" s="91" t="s">
        <v>12</v>
      </c>
      <c r="W20" s="91" t="s">
        <v>12</v>
      </c>
      <c r="X20" s="91" t="s">
        <v>12</v>
      </c>
      <c r="Y20" s="261"/>
      <c r="Z20" s="91" t="s">
        <v>12</v>
      </c>
      <c r="AA20" s="91" t="s">
        <v>12</v>
      </c>
      <c r="AB20" s="91" t="s">
        <v>12</v>
      </c>
      <c r="AC20" s="91" t="s">
        <v>12</v>
      </c>
      <c r="AD20" s="91" t="s">
        <v>12</v>
      </c>
      <c r="AE20" s="91" t="s">
        <v>12</v>
      </c>
      <c r="AF20" s="261"/>
      <c r="AG20" s="91" t="s">
        <v>12</v>
      </c>
      <c r="AH20" s="91" t="s">
        <v>12</v>
      </c>
      <c r="AI20" s="91" t="s">
        <v>12</v>
      </c>
      <c r="AJ20" s="91" t="s">
        <v>12</v>
      </c>
      <c r="AK20" s="39">
        <f t="shared" si="0"/>
        <v>26</v>
      </c>
      <c r="AL20" s="39">
        <f t="shared" si="1"/>
        <v>0</v>
      </c>
      <c r="AR20" s="1"/>
    </row>
    <row r="21" spans="1:44" ht="25.5" x14ac:dyDescent="0.4">
      <c r="A21" s="12">
        <v>16</v>
      </c>
      <c r="B21" s="10"/>
      <c r="C21" s="10"/>
      <c r="D21" s="10"/>
      <c r="E21" s="11" t="s">
        <v>37</v>
      </c>
      <c r="F21" s="91" t="s">
        <v>12</v>
      </c>
      <c r="G21" s="91" t="s">
        <v>11</v>
      </c>
      <c r="H21" s="91" t="s">
        <v>11</v>
      </c>
      <c r="I21" s="91" t="s">
        <v>12</v>
      </c>
      <c r="J21" s="91" t="s">
        <v>12</v>
      </c>
      <c r="K21" s="261"/>
      <c r="L21" s="91" t="s">
        <v>12</v>
      </c>
      <c r="M21" s="91" t="s">
        <v>12</v>
      </c>
      <c r="N21" s="91" t="s">
        <v>11</v>
      </c>
      <c r="O21" s="91" t="s">
        <v>11</v>
      </c>
      <c r="P21" s="91" t="s">
        <v>11</v>
      </c>
      <c r="Q21" s="91" t="s">
        <v>11</v>
      </c>
      <c r="R21" s="261"/>
      <c r="S21" s="261"/>
      <c r="T21" s="91" t="s">
        <v>11</v>
      </c>
      <c r="U21" s="91" t="s">
        <v>11</v>
      </c>
      <c r="V21" s="91" t="s">
        <v>11</v>
      </c>
      <c r="W21" s="91" t="s">
        <v>12</v>
      </c>
      <c r="X21" s="91" t="s">
        <v>11</v>
      </c>
      <c r="Y21" s="261"/>
      <c r="Z21" s="91" t="s">
        <v>11</v>
      </c>
      <c r="AA21" s="91" t="s">
        <v>11</v>
      </c>
      <c r="AB21" s="91" t="s">
        <v>11</v>
      </c>
      <c r="AC21" s="91" t="s">
        <v>11</v>
      </c>
      <c r="AD21" s="91" t="s">
        <v>12</v>
      </c>
      <c r="AE21" s="91" t="s">
        <v>11</v>
      </c>
      <c r="AF21" s="261"/>
      <c r="AG21" s="91" t="s">
        <v>11</v>
      </c>
      <c r="AH21" s="91" t="s">
        <v>11</v>
      </c>
      <c r="AI21" s="91" t="s">
        <v>12</v>
      </c>
      <c r="AJ21" s="91" t="s">
        <v>11</v>
      </c>
      <c r="AK21" s="39">
        <f t="shared" si="0"/>
        <v>8</v>
      </c>
      <c r="AL21" s="39">
        <f t="shared" si="1"/>
        <v>18</v>
      </c>
      <c r="AR21" s="1"/>
    </row>
    <row r="22" spans="1:44" ht="25.5" x14ac:dyDescent="0.4">
      <c r="A22" s="12">
        <v>17</v>
      </c>
      <c r="B22" s="10"/>
      <c r="C22" s="10"/>
      <c r="D22" s="10"/>
      <c r="E22" s="11" t="s">
        <v>37</v>
      </c>
      <c r="F22" s="91" t="s">
        <v>11</v>
      </c>
      <c r="G22" s="91" t="s">
        <v>11</v>
      </c>
      <c r="H22" s="91" t="s">
        <v>11</v>
      </c>
      <c r="I22" s="91" t="s">
        <v>11</v>
      </c>
      <c r="J22" s="91" t="s">
        <v>11</v>
      </c>
      <c r="K22" s="261"/>
      <c r="L22" s="91" t="s">
        <v>12</v>
      </c>
      <c r="M22" s="91" t="s">
        <v>12</v>
      </c>
      <c r="N22" s="91" t="s">
        <v>11</v>
      </c>
      <c r="O22" s="91" t="s">
        <v>11</v>
      </c>
      <c r="P22" s="91" t="s">
        <v>11</v>
      </c>
      <c r="Q22" s="91" t="s">
        <v>11</v>
      </c>
      <c r="R22" s="261"/>
      <c r="S22" s="261"/>
      <c r="T22" s="91" t="s">
        <v>11</v>
      </c>
      <c r="U22" s="91" t="s">
        <v>11</v>
      </c>
      <c r="V22" s="91" t="s">
        <v>11</v>
      </c>
      <c r="W22" s="91" t="s">
        <v>11</v>
      </c>
      <c r="X22" s="91" t="s">
        <v>11</v>
      </c>
      <c r="Y22" s="261"/>
      <c r="Z22" s="91" t="s">
        <v>11</v>
      </c>
      <c r="AA22" s="91" t="s">
        <v>11</v>
      </c>
      <c r="AB22" s="91" t="s">
        <v>11</v>
      </c>
      <c r="AC22" s="91" t="s">
        <v>11</v>
      </c>
      <c r="AD22" s="91" t="s">
        <v>11</v>
      </c>
      <c r="AE22" s="91" t="s">
        <v>11</v>
      </c>
      <c r="AF22" s="261"/>
      <c r="AG22" s="91" t="s">
        <v>12</v>
      </c>
      <c r="AH22" s="91" t="s">
        <v>11</v>
      </c>
      <c r="AI22" s="91" t="s">
        <v>11</v>
      </c>
      <c r="AJ22" s="91" t="s">
        <v>11</v>
      </c>
      <c r="AK22" s="39">
        <f t="shared" si="0"/>
        <v>3</v>
      </c>
      <c r="AL22" s="39">
        <f t="shared" si="1"/>
        <v>23</v>
      </c>
      <c r="AR22" s="1"/>
    </row>
    <row r="23" spans="1:44" ht="25.5" x14ac:dyDescent="0.4">
      <c r="A23" s="12">
        <v>18</v>
      </c>
      <c r="B23" s="10"/>
      <c r="C23" s="10"/>
      <c r="D23" s="10"/>
      <c r="E23" s="11" t="s">
        <v>37</v>
      </c>
      <c r="F23" s="91" t="s">
        <v>11</v>
      </c>
      <c r="G23" s="91" t="s">
        <v>12</v>
      </c>
      <c r="H23" s="91" t="s">
        <v>12</v>
      </c>
      <c r="I23" s="91" t="s">
        <v>12</v>
      </c>
      <c r="J23" s="91" t="s">
        <v>12</v>
      </c>
      <c r="K23" s="261"/>
      <c r="L23" s="91" t="s">
        <v>12</v>
      </c>
      <c r="M23" s="91" t="s">
        <v>12</v>
      </c>
      <c r="N23" s="91" t="s">
        <v>11</v>
      </c>
      <c r="O23" s="91" t="s">
        <v>11</v>
      </c>
      <c r="P23" s="91" t="s">
        <v>11</v>
      </c>
      <c r="Q23" s="91" t="s">
        <v>12</v>
      </c>
      <c r="R23" s="261"/>
      <c r="S23" s="261"/>
      <c r="T23" s="91" t="s">
        <v>12</v>
      </c>
      <c r="U23" s="91" t="s">
        <v>11</v>
      </c>
      <c r="V23" s="91" t="s">
        <v>11</v>
      </c>
      <c r="W23" s="91" t="s">
        <v>11</v>
      </c>
      <c r="X23" s="91" t="s">
        <v>11</v>
      </c>
      <c r="Y23" s="261"/>
      <c r="Z23" s="91" t="s">
        <v>11</v>
      </c>
      <c r="AA23" s="91" t="s">
        <v>11</v>
      </c>
      <c r="AB23" s="91" t="s">
        <v>11</v>
      </c>
      <c r="AC23" s="91" t="s">
        <v>11</v>
      </c>
      <c r="AD23" s="91" t="s">
        <v>12</v>
      </c>
      <c r="AE23" s="91" t="s">
        <v>12</v>
      </c>
      <c r="AF23" s="261"/>
      <c r="AG23" s="91" t="s">
        <v>12</v>
      </c>
      <c r="AH23" s="91" t="s">
        <v>12</v>
      </c>
      <c r="AI23" s="91" t="s">
        <v>12</v>
      </c>
      <c r="AJ23" s="91" t="s">
        <v>12</v>
      </c>
      <c r="AK23" s="39">
        <f t="shared" si="0"/>
        <v>14</v>
      </c>
      <c r="AL23" s="39">
        <f t="shared" si="1"/>
        <v>12</v>
      </c>
      <c r="AR23" s="1"/>
    </row>
    <row r="24" spans="1:44" ht="25.5" x14ac:dyDescent="0.4">
      <c r="A24" s="12">
        <v>19</v>
      </c>
      <c r="B24" s="10"/>
      <c r="C24" s="10"/>
      <c r="D24" s="10"/>
      <c r="E24" s="11" t="s">
        <v>37</v>
      </c>
      <c r="F24" s="91" t="s">
        <v>11</v>
      </c>
      <c r="G24" s="91" t="s">
        <v>11</v>
      </c>
      <c r="H24" s="91" t="s">
        <v>11</v>
      </c>
      <c r="I24" s="91" t="s">
        <v>11</v>
      </c>
      <c r="J24" s="91" t="s">
        <v>11</v>
      </c>
      <c r="K24" s="261"/>
      <c r="L24" s="91" t="s">
        <v>11</v>
      </c>
      <c r="M24" s="91" t="s">
        <v>11</v>
      </c>
      <c r="N24" s="91" t="s">
        <v>11</v>
      </c>
      <c r="O24" s="91" t="s">
        <v>11</v>
      </c>
      <c r="P24" s="91" t="s">
        <v>11</v>
      </c>
      <c r="Q24" s="91" t="s">
        <v>11</v>
      </c>
      <c r="R24" s="261"/>
      <c r="S24" s="261"/>
      <c r="T24" s="91" t="s">
        <v>11</v>
      </c>
      <c r="U24" s="91" t="s">
        <v>11</v>
      </c>
      <c r="V24" s="91" t="s">
        <v>11</v>
      </c>
      <c r="W24" s="91" t="s">
        <v>11</v>
      </c>
      <c r="X24" s="91" t="s">
        <v>11</v>
      </c>
      <c r="Y24" s="261"/>
      <c r="Z24" s="91" t="s">
        <v>11</v>
      </c>
      <c r="AA24" s="91" t="s">
        <v>11</v>
      </c>
      <c r="AB24" s="91" t="s">
        <v>11</v>
      </c>
      <c r="AC24" s="91" t="s">
        <v>12</v>
      </c>
      <c r="AD24" s="91" t="s">
        <v>11</v>
      </c>
      <c r="AE24" s="91" t="s">
        <v>11</v>
      </c>
      <c r="AF24" s="261"/>
      <c r="AG24" s="91" t="s">
        <v>12</v>
      </c>
      <c r="AH24" s="91" t="s">
        <v>12</v>
      </c>
      <c r="AI24" s="91" t="s">
        <v>11</v>
      </c>
      <c r="AJ24" s="91" t="s">
        <v>11</v>
      </c>
      <c r="AK24" s="39">
        <f t="shared" si="0"/>
        <v>3</v>
      </c>
      <c r="AL24" s="39">
        <f t="shared" si="1"/>
        <v>23</v>
      </c>
      <c r="AR24" s="1"/>
    </row>
    <row r="25" spans="1:44" ht="25.5" x14ac:dyDescent="0.4">
      <c r="A25" s="12">
        <v>20</v>
      </c>
      <c r="B25" s="10"/>
      <c r="C25" s="10"/>
      <c r="D25" s="10"/>
      <c r="E25" s="11" t="s">
        <v>37</v>
      </c>
      <c r="F25" s="91" t="s">
        <v>11</v>
      </c>
      <c r="G25" s="91" t="s">
        <v>11</v>
      </c>
      <c r="H25" s="91" t="s">
        <v>11</v>
      </c>
      <c r="I25" s="91" t="s">
        <v>12</v>
      </c>
      <c r="J25" s="91" t="s">
        <v>12</v>
      </c>
      <c r="K25" s="261"/>
      <c r="L25" s="91" t="s">
        <v>12</v>
      </c>
      <c r="M25" s="91" t="s">
        <v>12</v>
      </c>
      <c r="N25" s="91" t="s">
        <v>12</v>
      </c>
      <c r="O25" s="91" t="s">
        <v>11</v>
      </c>
      <c r="P25" s="91" t="s">
        <v>12</v>
      </c>
      <c r="Q25" s="91" t="s">
        <v>12</v>
      </c>
      <c r="R25" s="261"/>
      <c r="S25" s="261"/>
      <c r="T25" s="91" t="s">
        <v>11</v>
      </c>
      <c r="U25" s="91" t="s">
        <v>12</v>
      </c>
      <c r="V25" s="91" t="s">
        <v>12</v>
      </c>
      <c r="W25" s="91" t="s">
        <v>11</v>
      </c>
      <c r="X25" s="91" t="s">
        <v>11</v>
      </c>
      <c r="Y25" s="261"/>
      <c r="Z25" s="91" t="s">
        <v>12</v>
      </c>
      <c r="AA25" s="91" t="s">
        <v>12</v>
      </c>
      <c r="AB25" s="91" t="s">
        <v>11</v>
      </c>
      <c r="AC25" s="91" t="s">
        <v>12</v>
      </c>
      <c r="AD25" s="91" t="s">
        <v>11</v>
      </c>
      <c r="AE25" s="91" t="s">
        <v>11</v>
      </c>
      <c r="AF25" s="261"/>
      <c r="AG25" s="91" t="s">
        <v>12</v>
      </c>
      <c r="AH25" s="91" t="s">
        <v>12</v>
      </c>
      <c r="AI25" s="91" t="s">
        <v>11</v>
      </c>
      <c r="AJ25" s="91" t="s">
        <v>12</v>
      </c>
      <c r="AK25" s="39">
        <f t="shared" si="0"/>
        <v>15</v>
      </c>
      <c r="AL25" s="39">
        <f t="shared" si="1"/>
        <v>11</v>
      </c>
      <c r="AR25" s="1"/>
    </row>
    <row r="26" spans="1:44" ht="25.5" x14ac:dyDescent="0.4">
      <c r="A26" s="12">
        <v>21</v>
      </c>
      <c r="B26" s="10"/>
      <c r="C26" s="10"/>
      <c r="D26" s="10"/>
      <c r="E26" s="11" t="s">
        <v>37</v>
      </c>
      <c r="F26" s="91" t="s">
        <v>12</v>
      </c>
      <c r="G26" s="91" t="s">
        <v>12</v>
      </c>
      <c r="H26" s="91" t="s">
        <v>11</v>
      </c>
      <c r="I26" s="91" t="s">
        <v>12</v>
      </c>
      <c r="J26" s="91" t="s">
        <v>12</v>
      </c>
      <c r="K26" s="261"/>
      <c r="L26" s="91" t="s">
        <v>12</v>
      </c>
      <c r="M26" s="91" t="s">
        <v>12</v>
      </c>
      <c r="N26" s="91" t="s">
        <v>12</v>
      </c>
      <c r="O26" s="91" t="s">
        <v>12</v>
      </c>
      <c r="P26" s="91" t="s">
        <v>12</v>
      </c>
      <c r="Q26" s="91" t="s">
        <v>12</v>
      </c>
      <c r="R26" s="261"/>
      <c r="S26" s="261"/>
      <c r="T26" s="91" t="s">
        <v>11</v>
      </c>
      <c r="U26" s="91" t="s">
        <v>12</v>
      </c>
      <c r="V26" s="91" t="s">
        <v>11</v>
      </c>
      <c r="W26" s="91" t="s">
        <v>12</v>
      </c>
      <c r="X26" s="91" t="s">
        <v>12</v>
      </c>
      <c r="Y26" s="261"/>
      <c r="Z26" s="91" t="s">
        <v>12</v>
      </c>
      <c r="AA26" s="91" t="s">
        <v>12</v>
      </c>
      <c r="AB26" s="91" t="s">
        <v>12</v>
      </c>
      <c r="AC26" s="91" t="s">
        <v>12</v>
      </c>
      <c r="AD26" s="91" t="s">
        <v>12</v>
      </c>
      <c r="AE26" s="91" t="s">
        <v>12</v>
      </c>
      <c r="AF26" s="261"/>
      <c r="AG26" s="91" t="s">
        <v>11</v>
      </c>
      <c r="AH26" s="91" t="s">
        <v>12</v>
      </c>
      <c r="AI26" s="91" t="s">
        <v>12</v>
      </c>
      <c r="AJ26" s="91" t="s">
        <v>12</v>
      </c>
      <c r="AK26" s="39">
        <f t="shared" si="0"/>
        <v>22</v>
      </c>
      <c r="AL26" s="39">
        <f t="shared" si="1"/>
        <v>4</v>
      </c>
      <c r="AR26" s="1"/>
    </row>
    <row r="27" spans="1:44" ht="25.5" x14ac:dyDescent="0.4">
      <c r="A27" s="12">
        <v>22</v>
      </c>
      <c r="B27" s="10"/>
      <c r="C27" s="10"/>
      <c r="D27" s="10"/>
      <c r="E27" s="11" t="s">
        <v>37</v>
      </c>
      <c r="F27" s="91" t="s">
        <v>11</v>
      </c>
      <c r="G27" s="91" t="s">
        <v>12</v>
      </c>
      <c r="H27" s="91" t="s">
        <v>12</v>
      </c>
      <c r="I27" s="91" t="s">
        <v>12</v>
      </c>
      <c r="J27" s="91" t="s">
        <v>12</v>
      </c>
      <c r="K27" s="261"/>
      <c r="L27" s="91" t="s">
        <v>11</v>
      </c>
      <c r="M27" s="91" t="s">
        <v>11</v>
      </c>
      <c r="N27" s="91" t="s">
        <v>12</v>
      </c>
      <c r="O27" s="91" t="s">
        <v>12</v>
      </c>
      <c r="P27" s="91" t="s">
        <v>12</v>
      </c>
      <c r="Q27" s="91" t="s">
        <v>11</v>
      </c>
      <c r="R27" s="261"/>
      <c r="S27" s="261"/>
      <c r="T27" s="91" t="s">
        <v>11</v>
      </c>
      <c r="U27" s="91" t="s">
        <v>11</v>
      </c>
      <c r="V27" s="91" t="s">
        <v>11</v>
      </c>
      <c r="W27" s="91" t="s">
        <v>11</v>
      </c>
      <c r="X27" s="91" t="s">
        <v>12</v>
      </c>
      <c r="Y27" s="261"/>
      <c r="Z27" s="91" t="s">
        <v>11</v>
      </c>
      <c r="AA27" s="91" t="s">
        <v>11</v>
      </c>
      <c r="AB27" s="91" t="s">
        <v>11</v>
      </c>
      <c r="AC27" s="91" t="s">
        <v>12</v>
      </c>
      <c r="AD27" s="91" t="s">
        <v>12</v>
      </c>
      <c r="AE27" s="91" t="s">
        <v>12</v>
      </c>
      <c r="AF27" s="261"/>
      <c r="AG27" s="91" t="s">
        <v>12</v>
      </c>
      <c r="AH27" s="91" t="s">
        <v>11</v>
      </c>
      <c r="AI27" s="91" t="s">
        <v>11</v>
      </c>
      <c r="AJ27" s="91" t="s">
        <v>12</v>
      </c>
      <c r="AK27" s="39">
        <f t="shared" si="0"/>
        <v>13</v>
      </c>
      <c r="AL27" s="39">
        <f t="shared" si="1"/>
        <v>13</v>
      </c>
      <c r="AR27" s="1"/>
    </row>
    <row r="28" spans="1:44" ht="25.5" x14ac:dyDescent="0.4">
      <c r="A28" s="12">
        <v>23</v>
      </c>
      <c r="B28" s="10"/>
      <c r="C28" s="10"/>
      <c r="D28" s="10"/>
      <c r="E28" s="11" t="s">
        <v>37</v>
      </c>
      <c r="F28" s="91" t="s">
        <v>12</v>
      </c>
      <c r="G28" s="91" t="s">
        <v>11</v>
      </c>
      <c r="H28" s="91" t="s">
        <v>11</v>
      </c>
      <c r="I28" s="91" t="s">
        <v>12</v>
      </c>
      <c r="J28" s="91" t="s">
        <v>12</v>
      </c>
      <c r="K28" s="261"/>
      <c r="L28" s="91" t="s">
        <v>11</v>
      </c>
      <c r="M28" s="91" t="s">
        <v>11</v>
      </c>
      <c r="N28" s="91" t="s">
        <v>11</v>
      </c>
      <c r="O28" s="91" t="s">
        <v>12</v>
      </c>
      <c r="P28" s="91" t="s">
        <v>12</v>
      </c>
      <c r="Q28" s="91" t="s">
        <v>12</v>
      </c>
      <c r="R28" s="261"/>
      <c r="S28" s="261"/>
      <c r="T28" s="91" t="s">
        <v>12</v>
      </c>
      <c r="U28" s="91" t="s">
        <v>12</v>
      </c>
      <c r="V28" s="91" t="s">
        <v>11</v>
      </c>
      <c r="W28" s="91" t="s">
        <v>12</v>
      </c>
      <c r="X28" s="91" t="s">
        <v>12</v>
      </c>
      <c r="Y28" s="261"/>
      <c r="Z28" s="91" t="s">
        <v>12</v>
      </c>
      <c r="AA28" s="91" t="s">
        <v>12</v>
      </c>
      <c r="AB28" s="91" t="s">
        <v>12</v>
      </c>
      <c r="AC28" s="91" t="s">
        <v>12</v>
      </c>
      <c r="AD28" s="91" t="s">
        <v>12</v>
      </c>
      <c r="AE28" s="91" t="s">
        <v>11</v>
      </c>
      <c r="AF28" s="261"/>
      <c r="AG28" s="91" t="s">
        <v>11</v>
      </c>
      <c r="AH28" s="91" t="s">
        <v>11</v>
      </c>
      <c r="AI28" s="91" t="s">
        <v>12</v>
      </c>
      <c r="AJ28" s="91" t="s">
        <v>12</v>
      </c>
      <c r="AK28" s="39">
        <f t="shared" si="0"/>
        <v>17</v>
      </c>
      <c r="AL28" s="39">
        <f t="shared" si="1"/>
        <v>9</v>
      </c>
      <c r="AR28" s="1"/>
    </row>
    <row r="29" spans="1:44" ht="25.5" x14ac:dyDescent="0.4">
      <c r="A29" s="12">
        <v>24</v>
      </c>
      <c r="B29" s="10"/>
      <c r="C29" s="10"/>
      <c r="D29" s="10"/>
      <c r="E29" s="11" t="s">
        <v>37</v>
      </c>
      <c r="F29" s="91" t="s">
        <v>12</v>
      </c>
      <c r="G29" s="91" t="s">
        <v>12</v>
      </c>
      <c r="H29" s="91" t="s">
        <v>12</v>
      </c>
      <c r="I29" s="91" t="s">
        <v>11</v>
      </c>
      <c r="J29" s="91" t="s">
        <v>12</v>
      </c>
      <c r="K29" s="261"/>
      <c r="L29" s="91" t="s">
        <v>12</v>
      </c>
      <c r="M29" s="91" t="s">
        <v>12</v>
      </c>
      <c r="N29" s="91" t="s">
        <v>12</v>
      </c>
      <c r="O29" s="91" t="s">
        <v>12</v>
      </c>
      <c r="P29" s="91" t="s">
        <v>11</v>
      </c>
      <c r="Q29" s="91" t="s">
        <v>12</v>
      </c>
      <c r="R29" s="261"/>
      <c r="S29" s="261"/>
      <c r="T29" s="91" t="s">
        <v>11</v>
      </c>
      <c r="U29" s="91" t="s">
        <v>12</v>
      </c>
      <c r="V29" s="91" t="s">
        <v>12</v>
      </c>
      <c r="W29" s="91" t="s">
        <v>11</v>
      </c>
      <c r="X29" s="91" t="s">
        <v>12</v>
      </c>
      <c r="Y29" s="261"/>
      <c r="Z29" s="91" t="s">
        <v>12</v>
      </c>
      <c r="AA29" s="91" t="s">
        <v>12</v>
      </c>
      <c r="AB29" s="91" t="s">
        <v>12</v>
      </c>
      <c r="AC29" s="91" t="s">
        <v>12</v>
      </c>
      <c r="AD29" s="91" t="s">
        <v>12</v>
      </c>
      <c r="AE29" s="91" t="s">
        <v>11</v>
      </c>
      <c r="AF29" s="261"/>
      <c r="AG29" s="91" t="s">
        <v>12</v>
      </c>
      <c r="AH29" s="91" t="s">
        <v>12</v>
      </c>
      <c r="AI29" s="91" t="s">
        <v>12</v>
      </c>
      <c r="AJ29" s="91" t="s">
        <v>12</v>
      </c>
      <c r="AK29" s="39">
        <f t="shared" si="0"/>
        <v>21</v>
      </c>
      <c r="AL29" s="39">
        <f t="shared" si="1"/>
        <v>5</v>
      </c>
      <c r="AR29" s="1"/>
    </row>
    <row r="30" spans="1:44" ht="25.5" x14ac:dyDescent="0.4">
      <c r="A30" s="12">
        <v>25</v>
      </c>
      <c r="B30" s="10"/>
      <c r="C30" s="10"/>
      <c r="D30" s="10"/>
      <c r="E30" s="11" t="s">
        <v>37</v>
      </c>
      <c r="F30" s="91" t="s">
        <v>12</v>
      </c>
      <c r="G30" s="91" t="s">
        <v>11</v>
      </c>
      <c r="H30" s="91" t="s">
        <v>12</v>
      </c>
      <c r="I30" s="91" t="s">
        <v>12</v>
      </c>
      <c r="J30" s="91" t="s">
        <v>12</v>
      </c>
      <c r="K30" s="261"/>
      <c r="L30" s="91" t="s">
        <v>11</v>
      </c>
      <c r="M30" s="91" t="s">
        <v>11</v>
      </c>
      <c r="N30" s="91" t="s">
        <v>11</v>
      </c>
      <c r="O30" s="91" t="s">
        <v>11</v>
      </c>
      <c r="P30" s="91" t="s">
        <v>12</v>
      </c>
      <c r="Q30" s="91" t="s">
        <v>11</v>
      </c>
      <c r="R30" s="261"/>
      <c r="S30" s="261"/>
      <c r="T30" s="91" t="s">
        <v>11</v>
      </c>
      <c r="U30" s="91" t="s">
        <v>12</v>
      </c>
      <c r="V30" s="91" t="s">
        <v>12</v>
      </c>
      <c r="W30" s="91" t="s">
        <v>11</v>
      </c>
      <c r="X30" s="91" t="s">
        <v>11</v>
      </c>
      <c r="Y30" s="261"/>
      <c r="Z30" s="91" t="s">
        <v>11</v>
      </c>
      <c r="AA30" s="91" t="s">
        <v>11</v>
      </c>
      <c r="AB30" s="91" t="s">
        <v>11</v>
      </c>
      <c r="AC30" s="91" t="s">
        <v>11</v>
      </c>
      <c r="AD30" s="91" t="s">
        <v>12</v>
      </c>
      <c r="AE30" s="91" t="s">
        <v>12</v>
      </c>
      <c r="AF30" s="261"/>
      <c r="AG30" s="91" t="s">
        <v>11</v>
      </c>
      <c r="AH30" s="91" t="s">
        <v>11</v>
      </c>
      <c r="AI30" s="91" t="s">
        <v>11</v>
      </c>
      <c r="AJ30" s="91" t="s">
        <v>11</v>
      </c>
      <c r="AK30" s="39">
        <f t="shared" si="0"/>
        <v>9</v>
      </c>
      <c r="AL30" s="39">
        <f t="shared" si="1"/>
        <v>17</v>
      </c>
      <c r="AR30" s="1"/>
    </row>
    <row r="31" spans="1:44" ht="25.5" x14ac:dyDescent="0.4">
      <c r="A31" s="12">
        <v>26</v>
      </c>
      <c r="B31" s="10"/>
      <c r="C31" s="10"/>
      <c r="D31" s="10"/>
      <c r="E31" s="11" t="s">
        <v>37</v>
      </c>
      <c r="F31" s="91" t="s">
        <v>11</v>
      </c>
      <c r="G31" s="91" t="s">
        <v>12</v>
      </c>
      <c r="H31" s="91" t="s">
        <v>12</v>
      </c>
      <c r="I31" s="91" t="s">
        <v>12</v>
      </c>
      <c r="J31" s="91" t="s">
        <v>12</v>
      </c>
      <c r="K31" s="261"/>
      <c r="L31" s="91" t="s">
        <v>12</v>
      </c>
      <c r="M31" s="91" t="s">
        <v>12</v>
      </c>
      <c r="N31" s="91" t="s">
        <v>11</v>
      </c>
      <c r="O31" s="91" t="s">
        <v>11</v>
      </c>
      <c r="P31" s="91" t="s">
        <v>12</v>
      </c>
      <c r="Q31" s="91" t="s">
        <v>11</v>
      </c>
      <c r="R31" s="261"/>
      <c r="S31" s="261"/>
      <c r="T31" s="91" t="s">
        <v>11</v>
      </c>
      <c r="U31" s="91" t="s">
        <v>11</v>
      </c>
      <c r="V31" s="91" t="s">
        <v>11</v>
      </c>
      <c r="W31" s="91" t="s">
        <v>11</v>
      </c>
      <c r="X31" s="91" t="s">
        <v>11</v>
      </c>
      <c r="Y31" s="261"/>
      <c r="Z31" s="91" t="s">
        <v>11</v>
      </c>
      <c r="AA31" s="91" t="s">
        <v>11</v>
      </c>
      <c r="AB31" s="91" t="s">
        <v>11</v>
      </c>
      <c r="AC31" s="91" t="s">
        <v>11</v>
      </c>
      <c r="AD31" s="91" t="s">
        <v>11</v>
      </c>
      <c r="AE31" s="91" t="s">
        <v>11</v>
      </c>
      <c r="AF31" s="261"/>
      <c r="AG31" s="91" t="s">
        <v>11</v>
      </c>
      <c r="AH31" s="91" t="s">
        <v>11</v>
      </c>
      <c r="AI31" s="91" t="s">
        <v>11</v>
      </c>
      <c r="AJ31" s="91" t="s">
        <v>11</v>
      </c>
      <c r="AK31" s="39">
        <f t="shared" si="0"/>
        <v>7</v>
      </c>
      <c r="AL31" s="39">
        <f t="shared" si="1"/>
        <v>19</v>
      </c>
      <c r="AR31" s="1"/>
    </row>
    <row r="32" spans="1:44" ht="25.5" x14ac:dyDescent="0.4">
      <c r="A32" s="12">
        <v>27</v>
      </c>
      <c r="B32" s="10"/>
      <c r="C32" s="10"/>
      <c r="D32" s="10"/>
      <c r="E32" s="11" t="s">
        <v>37</v>
      </c>
      <c r="F32" s="91" t="s">
        <v>12</v>
      </c>
      <c r="G32" s="91" t="s">
        <v>12</v>
      </c>
      <c r="H32" s="91" t="s">
        <v>12</v>
      </c>
      <c r="I32" s="91" t="s">
        <v>12</v>
      </c>
      <c r="J32" s="91" t="s">
        <v>12</v>
      </c>
      <c r="K32" s="261"/>
      <c r="L32" s="91" t="s">
        <v>11</v>
      </c>
      <c r="M32" s="91" t="s">
        <v>12</v>
      </c>
      <c r="N32" s="91" t="s">
        <v>11</v>
      </c>
      <c r="O32" s="91" t="s">
        <v>12</v>
      </c>
      <c r="P32" s="91" t="s">
        <v>12</v>
      </c>
      <c r="Q32" s="91" t="s">
        <v>12</v>
      </c>
      <c r="R32" s="261"/>
      <c r="S32" s="261"/>
      <c r="T32" s="91" t="s">
        <v>12</v>
      </c>
      <c r="U32" s="91" t="s">
        <v>12</v>
      </c>
      <c r="V32" s="91" t="s">
        <v>11</v>
      </c>
      <c r="W32" s="91" t="s">
        <v>12</v>
      </c>
      <c r="X32" s="91" t="s">
        <v>12</v>
      </c>
      <c r="Y32" s="261"/>
      <c r="Z32" s="91" t="s">
        <v>12</v>
      </c>
      <c r="AA32" s="91" t="s">
        <v>12</v>
      </c>
      <c r="AB32" s="91" t="s">
        <v>12</v>
      </c>
      <c r="AC32" s="91" t="s">
        <v>12</v>
      </c>
      <c r="AD32" s="91" t="s">
        <v>12</v>
      </c>
      <c r="AE32" s="91" t="s">
        <v>12</v>
      </c>
      <c r="AF32" s="261"/>
      <c r="AG32" s="91" t="s">
        <v>12</v>
      </c>
      <c r="AH32" s="91" t="s">
        <v>12</v>
      </c>
      <c r="AI32" s="91" t="s">
        <v>12</v>
      </c>
      <c r="AJ32" s="91" t="s">
        <v>12</v>
      </c>
      <c r="AK32" s="39">
        <f t="shared" si="0"/>
        <v>23</v>
      </c>
      <c r="AL32" s="39">
        <f t="shared" si="1"/>
        <v>3</v>
      </c>
      <c r="AR32" s="1"/>
    </row>
    <row r="33" spans="1:44" ht="25.5" x14ac:dyDescent="0.4">
      <c r="A33" s="12">
        <v>28</v>
      </c>
      <c r="B33" s="10"/>
      <c r="C33" s="10"/>
      <c r="D33" s="10"/>
      <c r="E33" s="11" t="s">
        <v>37</v>
      </c>
      <c r="F33" s="91" t="s">
        <v>12</v>
      </c>
      <c r="G33" s="91" t="s">
        <v>12</v>
      </c>
      <c r="H33" s="91" t="s">
        <v>12</v>
      </c>
      <c r="I33" s="91" t="s">
        <v>12</v>
      </c>
      <c r="J33" s="91" t="s">
        <v>12</v>
      </c>
      <c r="K33" s="261"/>
      <c r="L33" s="91" t="s">
        <v>11</v>
      </c>
      <c r="M33" s="91" t="s">
        <v>12</v>
      </c>
      <c r="N33" s="91" t="s">
        <v>11</v>
      </c>
      <c r="O33" s="91" t="s">
        <v>12</v>
      </c>
      <c r="P33" s="91" t="s">
        <v>11</v>
      </c>
      <c r="Q33" s="91" t="s">
        <v>12</v>
      </c>
      <c r="R33" s="261"/>
      <c r="S33" s="261"/>
      <c r="T33" s="91" t="s">
        <v>12</v>
      </c>
      <c r="U33" s="91" t="s">
        <v>11</v>
      </c>
      <c r="V33" s="91" t="s">
        <v>12</v>
      </c>
      <c r="W33" s="91" t="s">
        <v>11</v>
      </c>
      <c r="X33" s="91" t="s">
        <v>12</v>
      </c>
      <c r="Y33" s="261"/>
      <c r="Z33" s="91" t="s">
        <v>12</v>
      </c>
      <c r="AA33" s="91" t="s">
        <v>12</v>
      </c>
      <c r="AB33" s="91" t="s">
        <v>11</v>
      </c>
      <c r="AC33" s="91" t="s">
        <v>12</v>
      </c>
      <c r="AD33" s="91" t="s">
        <v>11</v>
      </c>
      <c r="AE33" s="91" t="s">
        <v>11</v>
      </c>
      <c r="AF33" s="261"/>
      <c r="AG33" s="91" t="s">
        <v>11</v>
      </c>
      <c r="AH33" s="91" t="s">
        <v>12</v>
      </c>
      <c r="AI33" s="91" t="s">
        <v>12</v>
      </c>
      <c r="AJ33" s="91" t="s">
        <v>12</v>
      </c>
      <c r="AK33" s="39">
        <f t="shared" si="0"/>
        <v>17</v>
      </c>
      <c r="AL33" s="39">
        <f t="shared" si="1"/>
        <v>9</v>
      </c>
      <c r="AM33" s="1"/>
      <c r="AR33" s="1"/>
    </row>
    <row r="34" spans="1:44" ht="25.5" x14ac:dyDescent="0.4">
      <c r="A34" s="12">
        <v>29</v>
      </c>
      <c r="B34" s="10"/>
      <c r="C34" s="10"/>
      <c r="D34" s="10"/>
      <c r="E34" s="11" t="s">
        <v>37</v>
      </c>
      <c r="F34" s="91" t="s">
        <v>11</v>
      </c>
      <c r="G34" s="91" t="s">
        <v>11</v>
      </c>
      <c r="H34" s="91" t="s">
        <v>11</v>
      </c>
      <c r="I34" s="91" t="s">
        <v>11</v>
      </c>
      <c r="J34" s="91" t="s">
        <v>11</v>
      </c>
      <c r="K34" s="261"/>
      <c r="L34" s="91" t="s">
        <v>12</v>
      </c>
      <c r="M34" s="91" t="s">
        <v>12</v>
      </c>
      <c r="N34" s="91" t="s">
        <v>12</v>
      </c>
      <c r="O34" s="91" t="s">
        <v>12</v>
      </c>
      <c r="P34" s="91" t="s">
        <v>11</v>
      </c>
      <c r="Q34" s="91" t="s">
        <v>11</v>
      </c>
      <c r="R34" s="261"/>
      <c r="S34" s="261"/>
      <c r="T34" s="91" t="s">
        <v>12</v>
      </c>
      <c r="U34" s="91" t="s">
        <v>12</v>
      </c>
      <c r="V34" s="91" t="s">
        <v>11</v>
      </c>
      <c r="W34" s="91" t="s">
        <v>11</v>
      </c>
      <c r="X34" s="91" t="s">
        <v>11</v>
      </c>
      <c r="Y34" s="261"/>
      <c r="Z34" s="91" t="s">
        <v>11</v>
      </c>
      <c r="AA34" s="91" t="s">
        <v>11</v>
      </c>
      <c r="AB34" s="91" t="s">
        <v>11</v>
      </c>
      <c r="AC34" s="91" t="s">
        <v>11</v>
      </c>
      <c r="AD34" s="91" t="s">
        <v>12</v>
      </c>
      <c r="AE34" s="91" t="s">
        <v>12</v>
      </c>
      <c r="AF34" s="261"/>
      <c r="AG34" s="91" t="s">
        <v>12</v>
      </c>
      <c r="AH34" s="91" t="s">
        <v>12</v>
      </c>
      <c r="AI34" s="91" t="s">
        <v>12</v>
      </c>
      <c r="AJ34" s="91" t="s">
        <v>12</v>
      </c>
      <c r="AK34" s="60">
        <f t="shared" si="0"/>
        <v>12</v>
      </c>
      <c r="AL34" s="39">
        <f t="shared" si="1"/>
        <v>14</v>
      </c>
      <c r="AM34" s="1"/>
      <c r="AR34" s="1"/>
    </row>
    <row r="35" spans="1:44" ht="25.5" x14ac:dyDescent="0.4">
      <c r="A35" s="12">
        <v>30</v>
      </c>
      <c r="B35" s="10"/>
      <c r="C35" s="10"/>
      <c r="D35" s="10"/>
      <c r="E35" s="11" t="s">
        <v>37</v>
      </c>
      <c r="F35" s="91" t="s">
        <v>12</v>
      </c>
      <c r="G35" s="91" t="s">
        <v>12</v>
      </c>
      <c r="H35" s="91" t="s">
        <v>12</v>
      </c>
      <c r="I35" s="91" t="s">
        <v>12</v>
      </c>
      <c r="J35" s="91" t="s">
        <v>12</v>
      </c>
      <c r="K35" s="261"/>
      <c r="L35" s="91" t="s">
        <v>12</v>
      </c>
      <c r="M35" s="91" t="s">
        <v>12</v>
      </c>
      <c r="N35" s="91" t="s">
        <v>12</v>
      </c>
      <c r="O35" s="91" t="s">
        <v>11</v>
      </c>
      <c r="P35" s="91" t="s">
        <v>11</v>
      </c>
      <c r="Q35" s="91" t="s">
        <v>12</v>
      </c>
      <c r="R35" s="261"/>
      <c r="S35" s="261"/>
      <c r="T35" s="91" t="s">
        <v>12</v>
      </c>
      <c r="U35" s="91" t="s">
        <v>12</v>
      </c>
      <c r="V35" s="91" t="s">
        <v>12</v>
      </c>
      <c r="W35" s="91" t="s">
        <v>12</v>
      </c>
      <c r="X35" s="91" t="s">
        <v>12</v>
      </c>
      <c r="Y35" s="261"/>
      <c r="Z35" s="91" t="s">
        <v>12</v>
      </c>
      <c r="AA35" s="91" t="s">
        <v>12</v>
      </c>
      <c r="AB35" s="91" t="s">
        <v>12</v>
      </c>
      <c r="AC35" s="91" t="s">
        <v>12</v>
      </c>
      <c r="AD35" s="91" t="s">
        <v>12</v>
      </c>
      <c r="AE35" s="91" t="s">
        <v>12</v>
      </c>
      <c r="AF35" s="261"/>
      <c r="AG35" s="91" t="s">
        <v>12</v>
      </c>
      <c r="AH35" s="91" t="s">
        <v>12</v>
      </c>
      <c r="AI35" s="91" t="s">
        <v>12</v>
      </c>
      <c r="AJ35" s="91" t="s">
        <v>12</v>
      </c>
      <c r="AK35" s="39">
        <f t="shared" si="0"/>
        <v>24</v>
      </c>
      <c r="AL35" s="39">
        <f t="shared" si="1"/>
        <v>2</v>
      </c>
      <c r="AM35" s="1"/>
      <c r="AN35" s="1"/>
      <c r="AO35" s="1"/>
      <c r="AP35" s="1"/>
      <c r="AQ35" s="1"/>
      <c r="AR35" s="1"/>
    </row>
    <row r="36" spans="1:44" ht="25.5" x14ac:dyDescent="0.4">
      <c r="A36" s="12">
        <v>31</v>
      </c>
      <c r="B36" s="10"/>
      <c r="C36" s="10"/>
      <c r="D36" s="10"/>
      <c r="E36" s="11" t="s">
        <v>37</v>
      </c>
      <c r="F36" s="91" t="s">
        <v>12</v>
      </c>
      <c r="G36" s="91" t="s">
        <v>12</v>
      </c>
      <c r="H36" s="91" t="s">
        <v>12</v>
      </c>
      <c r="I36" s="91" t="s">
        <v>12</v>
      </c>
      <c r="J36" s="91" t="s">
        <v>12</v>
      </c>
      <c r="K36" s="261"/>
      <c r="L36" s="91" t="s">
        <v>11</v>
      </c>
      <c r="M36" s="91" t="s">
        <v>12</v>
      </c>
      <c r="N36" s="91" t="s">
        <v>12</v>
      </c>
      <c r="O36" s="91" t="s">
        <v>12</v>
      </c>
      <c r="P36" s="91" t="s">
        <v>12</v>
      </c>
      <c r="Q36" s="91" t="s">
        <v>11</v>
      </c>
      <c r="R36" s="261"/>
      <c r="S36" s="261"/>
      <c r="T36" s="91" t="s">
        <v>11</v>
      </c>
      <c r="U36" s="91" t="s">
        <v>12</v>
      </c>
      <c r="V36" s="91" t="s">
        <v>12</v>
      </c>
      <c r="W36" s="91" t="s">
        <v>12</v>
      </c>
      <c r="X36" s="91" t="s">
        <v>12</v>
      </c>
      <c r="Y36" s="261"/>
      <c r="Z36" s="91" t="s">
        <v>12</v>
      </c>
      <c r="AA36" s="91" t="s">
        <v>12</v>
      </c>
      <c r="AB36" s="91" t="s">
        <v>11</v>
      </c>
      <c r="AC36" s="91" t="s">
        <v>11</v>
      </c>
      <c r="AD36" s="91" t="s">
        <v>12</v>
      </c>
      <c r="AE36" s="91" t="s">
        <v>12</v>
      </c>
      <c r="AF36" s="261"/>
      <c r="AG36" s="91" t="s">
        <v>12</v>
      </c>
      <c r="AH36" s="91" t="s">
        <v>12</v>
      </c>
      <c r="AI36" s="91" t="s">
        <v>12</v>
      </c>
      <c r="AJ36" s="91" t="s">
        <v>12</v>
      </c>
      <c r="AK36" s="39">
        <f t="shared" si="0"/>
        <v>21</v>
      </c>
      <c r="AL36" s="39">
        <f t="shared" si="1"/>
        <v>5</v>
      </c>
      <c r="AM36" s="1"/>
      <c r="AN36" s="1"/>
      <c r="AO36" s="1"/>
      <c r="AP36" s="1"/>
      <c r="AQ36" s="1"/>
      <c r="AR36" s="1"/>
    </row>
    <row r="37" spans="1:44" ht="25.5" x14ac:dyDescent="0.4">
      <c r="A37" s="12">
        <v>32</v>
      </c>
      <c r="B37" s="10"/>
      <c r="C37" s="10"/>
      <c r="D37" s="10"/>
      <c r="E37" s="11" t="s">
        <v>37</v>
      </c>
      <c r="F37" s="91" t="s">
        <v>12</v>
      </c>
      <c r="G37" s="91" t="s">
        <v>12</v>
      </c>
      <c r="H37" s="91" t="s">
        <v>11</v>
      </c>
      <c r="I37" s="91" t="s">
        <v>11</v>
      </c>
      <c r="J37" s="91" t="s">
        <v>12</v>
      </c>
      <c r="K37" s="261"/>
      <c r="L37" s="91" t="s">
        <v>12</v>
      </c>
      <c r="M37" s="91" t="s">
        <v>11</v>
      </c>
      <c r="N37" s="91" t="s">
        <v>12</v>
      </c>
      <c r="O37" s="91" t="s">
        <v>12</v>
      </c>
      <c r="P37" s="91" t="s">
        <v>11</v>
      </c>
      <c r="Q37" s="91" t="s">
        <v>12</v>
      </c>
      <c r="R37" s="261"/>
      <c r="S37" s="261"/>
      <c r="T37" s="91" t="s">
        <v>11</v>
      </c>
      <c r="U37" s="91" t="s">
        <v>12</v>
      </c>
      <c r="V37" s="91" t="s">
        <v>12</v>
      </c>
      <c r="W37" s="91" t="s">
        <v>12</v>
      </c>
      <c r="X37" s="91" t="s">
        <v>11</v>
      </c>
      <c r="Y37" s="261"/>
      <c r="Z37" s="91" t="s">
        <v>11</v>
      </c>
      <c r="AA37" s="91" t="s">
        <v>11</v>
      </c>
      <c r="AB37" s="91" t="s">
        <v>12</v>
      </c>
      <c r="AC37" s="91" t="s">
        <v>12</v>
      </c>
      <c r="AD37" s="91" t="s">
        <v>11</v>
      </c>
      <c r="AE37" s="91" t="s">
        <v>12</v>
      </c>
      <c r="AF37" s="261"/>
      <c r="AG37" s="91" t="s">
        <v>11</v>
      </c>
      <c r="AH37" s="91" t="s">
        <v>12</v>
      </c>
      <c r="AI37" s="91" t="s">
        <v>12</v>
      </c>
      <c r="AJ37" s="91" t="s">
        <v>12</v>
      </c>
      <c r="AK37" s="60">
        <f t="shared" si="0"/>
        <v>16</v>
      </c>
      <c r="AL37" s="39">
        <f t="shared" si="1"/>
        <v>10</v>
      </c>
      <c r="AM37" s="1"/>
      <c r="AN37" s="1"/>
      <c r="AO37" s="1"/>
      <c r="AP37" s="1"/>
      <c r="AQ37" s="1"/>
      <c r="AR37" s="1"/>
    </row>
    <row r="38" spans="1:44" ht="25.5" x14ac:dyDescent="0.4">
      <c r="A38" s="12">
        <v>33</v>
      </c>
      <c r="B38" s="10"/>
      <c r="C38" s="10"/>
      <c r="D38" s="10"/>
      <c r="E38" s="11" t="s">
        <v>37</v>
      </c>
      <c r="F38" s="91" t="s">
        <v>12</v>
      </c>
      <c r="G38" s="91" t="s">
        <v>12</v>
      </c>
      <c r="H38" s="91" t="s">
        <v>12</v>
      </c>
      <c r="I38" s="91" t="s">
        <v>12</v>
      </c>
      <c r="J38" s="91" t="s">
        <v>12</v>
      </c>
      <c r="K38" s="261"/>
      <c r="L38" s="91" t="s">
        <v>12</v>
      </c>
      <c r="M38" s="91" t="s">
        <v>12</v>
      </c>
      <c r="N38" s="91" t="s">
        <v>12</v>
      </c>
      <c r="O38" s="91" t="s">
        <v>12</v>
      </c>
      <c r="P38" s="91" t="s">
        <v>12</v>
      </c>
      <c r="Q38" s="91" t="s">
        <v>11</v>
      </c>
      <c r="R38" s="261"/>
      <c r="S38" s="261"/>
      <c r="T38" s="91" t="s">
        <v>11</v>
      </c>
      <c r="U38" s="91" t="s">
        <v>12</v>
      </c>
      <c r="V38" s="91" t="s">
        <v>12</v>
      </c>
      <c r="W38" s="91" t="s">
        <v>12</v>
      </c>
      <c r="X38" s="91" t="s">
        <v>12</v>
      </c>
      <c r="Y38" s="261"/>
      <c r="Z38" s="91" t="s">
        <v>11</v>
      </c>
      <c r="AA38" s="91" t="s">
        <v>11</v>
      </c>
      <c r="AB38" s="91" t="s">
        <v>12</v>
      </c>
      <c r="AC38" s="91" t="s">
        <v>12</v>
      </c>
      <c r="AD38" s="91" t="s">
        <v>12</v>
      </c>
      <c r="AE38" s="91" t="s">
        <v>11</v>
      </c>
      <c r="AF38" s="261"/>
      <c r="AG38" s="91" t="s">
        <v>11</v>
      </c>
      <c r="AH38" s="91" t="s">
        <v>12</v>
      </c>
      <c r="AI38" s="91" t="s">
        <v>12</v>
      </c>
      <c r="AJ38" s="91" t="s">
        <v>12</v>
      </c>
      <c r="AK38" s="39">
        <f t="shared" si="0"/>
        <v>20</v>
      </c>
      <c r="AL38" s="39">
        <f t="shared" si="1"/>
        <v>6</v>
      </c>
      <c r="AM38" s="1"/>
      <c r="AN38" s="1"/>
      <c r="AO38" s="1"/>
      <c r="AP38" s="1"/>
      <c r="AQ38" s="1"/>
      <c r="AR38" s="1"/>
    </row>
    <row r="39" spans="1:44" ht="25.5" x14ac:dyDescent="0.4">
      <c r="A39" s="12">
        <v>34</v>
      </c>
      <c r="B39" s="10"/>
      <c r="C39" s="10"/>
      <c r="D39" s="10"/>
      <c r="E39" s="11" t="s">
        <v>37</v>
      </c>
      <c r="F39" s="91" t="s">
        <v>12</v>
      </c>
      <c r="G39" s="91" t="s">
        <v>12</v>
      </c>
      <c r="H39" s="91" t="s">
        <v>12</v>
      </c>
      <c r="I39" s="91" t="s">
        <v>12</v>
      </c>
      <c r="J39" s="91" t="s">
        <v>12</v>
      </c>
      <c r="K39" s="261"/>
      <c r="L39" s="91" t="s">
        <v>12</v>
      </c>
      <c r="M39" s="91" t="s">
        <v>12</v>
      </c>
      <c r="N39" s="91" t="s">
        <v>12</v>
      </c>
      <c r="O39" s="91" t="s">
        <v>12</v>
      </c>
      <c r="P39" s="91" t="s">
        <v>12</v>
      </c>
      <c r="Q39" s="91" t="s">
        <v>11</v>
      </c>
      <c r="R39" s="261"/>
      <c r="S39" s="261"/>
      <c r="T39" s="91" t="s">
        <v>11</v>
      </c>
      <c r="U39" s="91" t="s">
        <v>12</v>
      </c>
      <c r="V39" s="91" t="s">
        <v>12</v>
      </c>
      <c r="W39" s="91" t="s">
        <v>12</v>
      </c>
      <c r="X39" s="91" t="s">
        <v>12</v>
      </c>
      <c r="Y39" s="261"/>
      <c r="Z39" s="91" t="s">
        <v>11</v>
      </c>
      <c r="AA39" s="91" t="s">
        <v>12</v>
      </c>
      <c r="AB39" s="91" t="s">
        <v>12</v>
      </c>
      <c r="AC39" s="91" t="s">
        <v>11</v>
      </c>
      <c r="AD39" s="91" t="s">
        <v>11</v>
      </c>
      <c r="AE39" s="91" t="s">
        <v>11</v>
      </c>
      <c r="AF39" s="261"/>
      <c r="AG39" s="91" t="s">
        <v>11</v>
      </c>
      <c r="AH39" s="91" t="s">
        <v>12</v>
      </c>
      <c r="AI39" s="91" t="s">
        <v>12</v>
      </c>
      <c r="AJ39" s="91" t="s">
        <v>12</v>
      </c>
      <c r="AK39" s="39">
        <f t="shared" si="0"/>
        <v>19</v>
      </c>
      <c r="AL39" s="39">
        <f t="shared" si="1"/>
        <v>7</v>
      </c>
      <c r="AM39" s="1"/>
      <c r="AN39" s="1"/>
      <c r="AO39" s="1"/>
      <c r="AP39" s="1"/>
      <c r="AQ39" s="1"/>
      <c r="AR39" s="1"/>
    </row>
    <row r="40" spans="1:44" ht="25.5" x14ac:dyDescent="0.4">
      <c r="A40" s="12">
        <v>35</v>
      </c>
      <c r="B40" s="10"/>
      <c r="C40" s="10"/>
      <c r="D40" s="10"/>
      <c r="E40" s="11" t="s">
        <v>37</v>
      </c>
      <c r="F40" s="91" t="s">
        <v>11</v>
      </c>
      <c r="G40" s="91" t="s">
        <v>11</v>
      </c>
      <c r="H40" s="91" t="s">
        <v>11</v>
      </c>
      <c r="I40" s="91" t="s">
        <v>12</v>
      </c>
      <c r="J40" s="91" t="s">
        <v>12</v>
      </c>
      <c r="K40" s="261"/>
      <c r="L40" s="91" t="s">
        <v>12</v>
      </c>
      <c r="M40" s="91" t="s">
        <v>11</v>
      </c>
      <c r="N40" s="91" t="s">
        <v>12</v>
      </c>
      <c r="O40" s="91" t="s">
        <v>12</v>
      </c>
      <c r="P40" s="91" t="s">
        <v>12</v>
      </c>
      <c r="Q40" s="91" t="s">
        <v>12</v>
      </c>
      <c r="R40" s="261"/>
      <c r="S40" s="261"/>
      <c r="T40" s="91" t="s">
        <v>11</v>
      </c>
      <c r="U40" s="91" t="s">
        <v>12</v>
      </c>
      <c r="V40" s="91" t="s">
        <v>12</v>
      </c>
      <c r="W40" s="91" t="s">
        <v>12</v>
      </c>
      <c r="X40" s="91" t="s">
        <v>12</v>
      </c>
      <c r="Y40" s="261"/>
      <c r="Z40" s="91" t="s">
        <v>12</v>
      </c>
      <c r="AA40" s="91" t="s">
        <v>12</v>
      </c>
      <c r="AB40" s="91" t="s">
        <v>12</v>
      </c>
      <c r="AC40" s="91" t="s">
        <v>12</v>
      </c>
      <c r="AD40" s="91" t="s">
        <v>12</v>
      </c>
      <c r="AE40" s="91" t="s">
        <v>12</v>
      </c>
      <c r="AF40" s="261"/>
      <c r="AG40" s="91" t="s">
        <v>12</v>
      </c>
      <c r="AH40" s="91" t="s">
        <v>12</v>
      </c>
      <c r="AI40" s="91" t="s">
        <v>12</v>
      </c>
      <c r="AJ40" s="91" t="s">
        <v>12</v>
      </c>
      <c r="AK40" s="60">
        <f t="shared" si="0"/>
        <v>21</v>
      </c>
      <c r="AL40" s="39">
        <f t="shared" si="1"/>
        <v>5</v>
      </c>
      <c r="AM40" s="1"/>
      <c r="AN40" s="1"/>
      <c r="AO40" s="1"/>
      <c r="AP40" s="1"/>
      <c r="AQ40" s="1"/>
      <c r="AR40" s="1"/>
    </row>
    <row r="41" spans="1:44" ht="25.5" x14ac:dyDescent="0.4">
      <c r="A41" s="12">
        <v>36</v>
      </c>
      <c r="B41" s="10"/>
      <c r="C41" s="10"/>
      <c r="D41" s="10"/>
      <c r="E41" s="11" t="s">
        <v>37</v>
      </c>
      <c r="F41" s="91" t="s">
        <v>11</v>
      </c>
      <c r="G41" s="91" t="s">
        <v>11</v>
      </c>
      <c r="H41" s="91" t="s">
        <v>11</v>
      </c>
      <c r="I41" s="91" t="s">
        <v>11</v>
      </c>
      <c r="J41" s="91" t="s">
        <v>12</v>
      </c>
      <c r="K41" s="261"/>
      <c r="L41" s="91" t="s">
        <v>12</v>
      </c>
      <c r="M41" s="91" t="s">
        <v>12</v>
      </c>
      <c r="N41" s="91" t="s">
        <v>12</v>
      </c>
      <c r="O41" s="91" t="s">
        <v>12</v>
      </c>
      <c r="P41" s="91" t="s">
        <v>12</v>
      </c>
      <c r="Q41" s="91" t="s">
        <v>11</v>
      </c>
      <c r="R41" s="261"/>
      <c r="S41" s="261"/>
      <c r="T41" s="91" t="s">
        <v>12</v>
      </c>
      <c r="U41" s="91" t="s">
        <v>12</v>
      </c>
      <c r="V41" s="91" t="s">
        <v>12</v>
      </c>
      <c r="W41" s="91" t="s">
        <v>11</v>
      </c>
      <c r="X41" s="91" t="s">
        <v>12</v>
      </c>
      <c r="Y41" s="261"/>
      <c r="Z41" s="91" t="s">
        <v>12</v>
      </c>
      <c r="AA41" s="91" t="s">
        <v>12</v>
      </c>
      <c r="AB41" s="91" t="s">
        <v>12</v>
      </c>
      <c r="AC41" s="91" t="s">
        <v>12</v>
      </c>
      <c r="AD41" s="91" t="s">
        <v>12</v>
      </c>
      <c r="AE41" s="91" t="s">
        <v>12</v>
      </c>
      <c r="AF41" s="261"/>
      <c r="AG41" s="91" t="s">
        <v>11</v>
      </c>
      <c r="AH41" s="91" t="s">
        <v>12</v>
      </c>
      <c r="AI41" s="91" t="s">
        <v>12</v>
      </c>
      <c r="AJ41" s="91" t="s">
        <v>12</v>
      </c>
      <c r="AK41" s="39">
        <f t="shared" si="0"/>
        <v>19</v>
      </c>
      <c r="AL41" s="39">
        <f t="shared" si="1"/>
        <v>7</v>
      </c>
      <c r="AM41" s="1"/>
      <c r="AN41" s="1"/>
      <c r="AO41" s="1"/>
      <c r="AP41" s="1"/>
      <c r="AQ41" s="1"/>
      <c r="AR41" s="1"/>
    </row>
    <row r="42" spans="1:44" ht="25.5" x14ac:dyDescent="0.4">
      <c r="A42" s="12">
        <v>37</v>
      </c>
      <c r="B42" s="10"/>
      <c r="C42" s="10"/>
      <c r="D42" s="10"/>
      <c r="E42" s="11" t="s">
        <v>37</v>
      </c>
      <c r="F42" s="91" t="s">
        <v>12</v>
      </c>
      <c r="G42" s="91" t="s">
        <v>12</v>
      </c>
      <c r="H42" s="91" t="s">
        <v>12</v>
      </c>
      <c r="I42" s="91" t="s">
        <v>12</v>
      </c>
      <c r="J42" s="91" t="s">
        <v>12</v>
      </c>
      <c r="K42" s="261"/>
      <c r="L42" s="91" t="s">
        <v>12</v>
      </c>
      <c r="M42" s="91" t="s">
        <v>12</v>
      </c>
      <c r="N42" s="91" t="s">
        <v>11</v>
      </c>
      <c r="O42" s="91" t="s">
        <v>11</v>
      </c>
      <c r="P42" s="91" t="s">
        <v>11</v>
      </c>
      <c r="Q42" s="91" t="s">
        <v>12</v>
      </c>
      <c r="R42" s="261"/>
      <c r="S42" s="261"/>
      <c r="T42" s="91" t="s">
        <v>12</v>
      </c>
      <c r="U42" s="91" t="s">
        <v>12</v>
      </c>
      <c r="V42" s="91" t="s">
        <v>12</v>
      </c>
      <c r="W42" s="91" t="s">
        <v>12</v>
      </c>
      <c r="X42" s="91" t="s">
        <v>12</v>
      </c>
      <c r="Y42" s="261"/>
      <c r="Z42" s="91" t="s">
        <v>11</v>
      </c>
      <c r="AA42" s="91" t="s">
        <v>12</v>
      </c>
      <c r="AB42" s="91" t="s">
        <v>11</v>
      </c>
      <c r="AC42" s="91" t="s">
        <v>12</v>
      </c>
      <c r="AD42" s="91" t="s">
        <v>12</v>
      </c>
      <c r="AE42" s="91" t="s">
        <v>12</v>
      </c>
      <c r="AF42" s="261"/>
      <c r="AG42" s="91" t="s">
        <v>12</v>
      </c>
      <c r="AH42" s="91" t="s">
        <v>11</v>
      </c>
      <c r="AI42" s="91" t="s">
        <v>11</v>
      </c>
      <c r="AJ42" s="91" t="s">
        <v>11</v>
      </c>
      <c r="AK42" s="39">
        <f t="shared" si="0"/>
        <v>18</v>
      </c>
      <c r="AL42" s="39">
        <f t="shared" si="1"/>
        <v>8</v>
      </c>
      <c r="AM42" s="1"/>
      <c r="AN42" s="1"/>
      <c r="AO42" s="1"/>
      <c r="AP42" s="1"/>
      <c r="AQ42" s="1"/>
      <c r="AR42" s="1"/>
    </row>
    <row r="43" spans="1:44" ht="25.5" x14ac:dyDescent="0.4">
      <c r="A43" s="12">
        <v>38</v>
      </c>
      <c r="B43" s="10"/>
      <c r="C43" s="10"/>
      <c r="D43" s="10"/>
      <c r="E43" s="11" t="s">
        <v>37</v>
      </c>
      <c r="F43" s="91" t="s">
        <v>12</v>
      </c>
      <c r="G43" s="91" t="s">
        <v>12</v>
      </c>
      <c r="H43" s="91" t="s">
        <v>12</v>
      </c>
      <c r="I43" s="91" t="s">
        <v>12</v>
      </c>
      <c r="J43" s="91" t="s">
        <v>12</v>
      </c>
      <c r="K43" s="261"/>
      <c r="L43" s="91" t="s">
        <v>12</v>
      </c>
      <c r="M43" s="91" t="s">
        <v>12</v>
      </c>
      <c r="N43" s="91" t="s">
        <v>12</v>
      </c>
      <c r="O43" s="91" t="s">
        <v>12</v>
      </c>
      <c r="P43" s="91" t="s">
        <v>12</v>
      </c>
      <c r="Q43" s="91" t="s">
        <v>12</v>
      </c>
      <c r="R43" s="261"/>
      <c r="S43" s="261"/>
      <c r="T43" s="91" t="s">
        <v>12</v>
      </c>
      <c r="U43" s="91" t="s">
        <v>12</v>
      </c>
      <c r="V43" s="91" t="s">
        <v>12</v>
      </c>
      <c r="W43" s="91" t="s">
        <v>12</v>
      </c>
      <c r="X43" s="91" t="s">
        <v>12</v>
      </c>
      <c r="Y43" s="261"/>
      <c r="Z43" s="91" t="s">
        <v>12</v>
      </c>
      <c r="AA43" s="91" t="s">
        <v>12</v>
      </c>
      <c r="AB43" s="91" t="s">
        <v>12</v>
      </c>
      <c r="AC43" s="91" t="s">
        <v>12</v>
      </c>
      <c r="AD43" s="91" t="s">
        <v>12</v>
      </c>
      <c r="AE43" s="91" t="s">
        <v>12</v>
      </c>
      <c r="AF43" s="261"/>
      <c r="AG43" s="91" t="s">
        <v>11</v>
      </c>
      <c r="AH43" s="91" t="s">
        <v>11</v>
      </c>
      <c r="AI43" s="91" t="s">
        <v>12</v>
      </c>
      <c r="AJ43" s="91" t="s">
        <v>12</v>
      </c>
      <c r="AK43" s="39">
        <f t="shared" si="0"/>
        <v>24</v>
      </c>
      <c r="AL43" s="39">
        <f t="shared" si="1"/>
        <v>2</v>
      </c>
      <c r="AM43" s="1"/>
      <c r="AN43" s="1"/>
      <c r="AO43" s="1"/>
      <c r="AP43" s="1"/>
      <c r="AQ43" s="1"/>
      <c r="AR43" s="1"/>
    </row>
    <row r="44" spans="1:44" ht="25.5" x14ac:dyDescent="0.4">
      <c r="A44" s="12">
        <v>39</v>
      </c>
      <c r="B44" s="10"/>
      <c r="C44" s="10"/>
      <c r="D44" s="10"/>
      <c r="E44" s="11" t="s">
        <v>37</v>
      </c>
      <c r="F44" s="91" t="s">
        <v>11</v>
      </c>
      <c r="G44" s="91" t="s">
        <v>11</v>
      </c>
      <c r="H44" s="91" t="s">
        <v>11</v>
      </c>
      <c r="I44" s="91" t="s">
        <v>11</v>
      </c>
      <c r="J44" s="91" t="s">
        <v>11</v>
      </c>
      <c r="K44" s="261"/>
      <c r="L44" s="91" t="s">
        <v>12</v>
      </c>
      <c r="M44" s="91" t="s">
        <v>12</v>
      </c>
      <c r="N44" s="91" t="s">
        <v>12</v>
      </c>
      <c r="O44" s="91" t="s">
        <v>12</v>
      </c>
      <c r="P44" s="91" t="s">
        <v>12</v>
      </c>
      <c r="Q44" s="91" t="s">
        <v>11</v>
      </c>
      <c r="R44" s="261"/>
      <c r="S44" s="261"/>
      <c r="T44" s="91" t="s">
        <v>11</v>
      </c>
      <c r="U44" s="91" t="s">
        <v>12</v>
      </c>
      <c r="V44" s="91" t="s">
        <v>11</v>
      </c>
      <c r="W44" s="91" t="s">
        <v>12</v>
      </c>
      <c r="X44" s="91" t="s">
        <v>12</v>
      </c>
      <c r="Y44" s="261"/>
      <c r="Z44" s="91" t="s">
        <v>12</v>
      </c>
      <c r="AA44" s="91" t="s">
        <v>12</v>
      </c>
      <c r="AB44" s="91" t="s">
        <v>11</v>
      </c>
      <c r="AC44" s="91" t="s">
        <v>12</v>
      </c>
      <c r="AD44" s="91" t="s">
        <v>11</v>
      </c>
      <c r="AE44" s="91" t="s">
        <v>11</v>
      </c>
      <c r="AF44" s="261"/>
      <c r="AG44" s="91" t="s">
        <v>11</v>
      </c>
      <c r="AH44" s="91" t="s">
        <v>11</v>
      </c>
      <c r="AI44" s="91" t="s">
        <v>12</v>
      </c>
      <c r="AJ44" s="91" t="s">
        <v>12</v>
      </c>
      <c r="AK44" s="39">
        <f t="shared" si="0"/>
        <v>13</v>
      </c>
      <c r="AL44" s="39">
        <f t="shared" si="1"/>
        <v>13</v>
      </c>
      <c r="AM44" s="1"/>
      <c r="AN44" s="1"/>
      <c r="AO44" s="1"/>
      <c r="AP44" s="1"/>
      <c r="AQ44" s="1"/>
      <c r="AR44" s="1"/>
    </row>
    <row r="45" spans="1:44" ht="25.5" x14ac:dyDescent="0.4">
      <c r="A45" s="146">
        <v>40</v>
      </c>
      <c r="B45" s="27"/>
      <c r="C45" s="27"/>
      <c r="D45" s="27"/>
      <c r="E45" s="28" t="s">
        <v>37</v>
      </c>
      <c r="F45" s="91" t="s">
        <v>11</v>
      </c>
      <c r="G45" s="91" t="s">
        <v>11</v>
      </c>
      <c r="H45" s="91" t="s">
        <v>11</v>
      </c>
      <c r="I45" s="91" t="s">
        <v>11</v>
      </c>
      <c r="J45" s="91" t="s">
        <v>11</v>
      </c>
      <c r="K45" s="261"/>
      <c r="L45" s="91" t="s">
        <v>12</v>
      </c>
      <c r="M45" s="91" t="s">
        <v>12</v>
      </c>
      <c r="N45" s="91" t="s">
        <v>11</v>
      </c>
      <c r="O45" s="91" t="s">
        <v>11</v>
      </c>
      <c r="P45" s="91" t="s">
        <v>11</v>
      </c>
      <c r="Q45" s="91" t="s">
        <v>11</v>
      </c>
      <c r="R45" s="261"/>
      <c r="S45" s="261"/>
      <c r="T45" s="91" t="s">
        <v>11</v>
      </c>
      <c r="U45" s="91" t="s">
        <v>11</v>
      </c>
      <c r="V45" s="91" t="s">
        <v>12</v>
      </c>
      <c r="W45" s="91" t="s">
        <v>12</v>
      </c>
      <c r="X45" s="91" t="s">
        <v>12</v>
      </c>
      <c r="Y45" s="261"/>
      <c r="Z45" s="91" t="s">
        <v>12</v>
      </c>
      <c r="AA45" s="91" t="s">
        <v>12</v>
      </c>
      <c r="AB45" s="91" t="s">
        <v>12</v>
      </c>
      <c r="AC45" s="91" t="s">
        <v>12</v>
      </c>
      <c r="AD45" s="91" t="s">
        <v>12</v>
      </c>
      <c r="AE45" s="91" t="s">
        <v>11</v>
      </c>
      <c r="AF45" s="261"/>
      <c r="AG45" s="91" t="s">
        <v>12</v>
      </c>
      <c r="AH45" s="91" t="s">
        <v>12</v>
      </c>
      <c r="AI45" s="91" t="s">
        <v>12</v>
      </c>
      <c r="AJ45" s="91" t="s">
        <v>11</v>
      </c>
      <c r="AK45" s="39">
        <f t="shared" si="0"/>
        <v>13</v>
      </c>
      <c r="AL45" s="39">
        <f t="shared" si="1"/>
        <v>13</v>
      </c>
      <c r="AM45" s="1"/>
      <c r="AN45" s="1"/>
      <c r="AO45" s="1"/>
      <c r="AP45" s="1"/>
      <c r="AQ45" s="1"/>
      <c r="AR45" s="1"/>
    </row>
    <row r="46" spans="1:44" ht="25.5" x14ac:dyDescent="0.4">
      <c r="A46" s="12">
        <v>41</v>
      </c>
      <c r="B46" s="10"/>
      <c r="C46" s="10"/>
      <c r="D46" s="10"/>
      <c r="E46" s="11" t="s">
        <v>37</v>
      </c>
      <c r="F46" s="91" t="s">
        <v>12</v>
      </c>
      <c r="G46" s="91" t="s">
        <v>12</v>
      </c>
      <c r="H46" s="91" t="s">
        <v>12</v>
      </c>
      <c r="I46" s="91" t="s">
        <v>12</v>
      </c>
      <c r="J46" s="91" t="s">
        <v>12</v>
      </c>
      <c r="K46" s="147"/>
      <c r="L46" s="91" t="s">
        <v>12</v>
      </c>
      <c r="M46" s="91" t="s">
        <v>12</v>
      </c>
      <c r="N46" s="91" t="s">
        <v>12</v>
      </c>
      <c r="O46" s="91" t="s">
        <v>12</v>
      </c>
      <c r="P46" s="91" t="s">
        <v>12</v>
      </c>
      <c r="Q46" s="91" t="s">
        <v>12</v>
      </c>
      <c r="R46" s="147"/>
      <c r="S46" s="147"/>
      <c r="T46" s="91" t="s">
        <v>12</v>
      </c>
      <c r="U46" s="91" t="s">
        <v>11</v>
      </c>
      <c r="V46" s="91" t="s">
        <v>11</v>
      </c>
      <c r="W46" s="91" t="s">
        <v>12</v>
      </c>
      <c r="X46" s="91" t="s">
        <v>12</v>
      </c>
      <c r="Y46" s="147"/>
      <c r="Z46" s="91" t="s">
        <v>12</v>
      </c>
      <c r="AA46" s="91" t="s">
        <v>12</v>
      </c>
      <c r="AB46" s="91" t="s">
        <v>12</v>
      </c>
      <c r="AC46" s="91" t="s">
        <v>11</v>
      </c>
      <c r="AD46" s="91" t="s">
        <v>11</v>
      </c>
      <c r="AE46" s="91" t="s">
        <v>12</v>
      </c>
      <c r="AF46" s="147"/>
      <c r="AG46" s="91" t="s">
        <v>12</v>
      </c>
      <c r="AH46" s="91" t="s">
        <v>12</v>
      </c>
      <c r="AI46" s="91" t="s">
        <v>12</v>
      </c>
      <c r="AJ46" s="91" t="s">
        <v>12</v>
      </c>
      <c r="AK46" s="60">
        <f t="shared" si="0"/>
        <v>22</v>
      </c>
      <c r="AL46" s="39">
        <f t="shared" si="1"/>
        <v>4</v>
      </c>
      <c r="AM46" s="1"/>
      <c r="AN46" s="1"/>
      <c r="AO46" s="1"/>
      <c r="AP46" s="1"/>
      <c r="AQ46" s="1"/>
      <c r="AR46" s="1"/>
    </row>
    <row r="47" spans="1:44" x14ac:dyDescent="0.35">
      <c r="A47" s="92"/>
      <c r="B47" s="30"/>
      <c r="C47" s="30"/>
      <c r="D47" s="93"/>
      <c r="E47" s="30"/>
      <c r="F47" s="92"/>
      <c r="G47" s="94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148">
        <f>SUM(AK6:AK46)</f>
        <v>679</v>
      </c>
      <c r="AL47" s="148">
        <f>SUM(AL6:AL46)</f>
        <v>387</v>
      </c>
      <c r="AM47" s="1"/>
      <c r="AN47" s="1"/>
      <c r="AO47" s="1"/>
      <c r="AP47" s="1"/>
      <c r="AQ47" s="1"/>
      <c r="AR47" s="1"/>
    </row>
    <row r="48" spans="1:44" x14ac:dyDescent="0.35">
      <c r="A48" s="95"/>
      <c r="D48" s="96"/>
      <c r="AM48" s="1"/>
      <c r="AN48" s="1"/>
      <c r="AO48" s="1"/>
      <c r="AP48" s="1"/>
      <c r="AQ48" s="1"/>
      <c r="AR48" s="1"/>
    </row>
    <row r="49" spans="1:44" x14ac:dyDescent="0.35">
      <c r="A49" s="95"/>
      <c r="D49" s="96"/>
      <c r="AM49" s="1"/>
      <c r="AN49" s="1"/>
      <c r="AO49" s="1"/>
      <c r="AP49" s="1"/>
      <c r="AQ49" s="1"/>
      <c r="AR49" s="1"/>
    </row>
    <row r="50" spans="1:44" x14ac:dyDescent="0.35">
      <c r="A50" s="95"/>
      <c r="D50" s="96"/>
      <c r="AM50" s="1"/>
      <c r="AN50" s="1"/>
      <c r="AO50" s="1"/>
      <c r="AP50" s="1"/>
      <c r="AQ50" s="1"/>
      <c r="AR50" s="1"/>
    </row>
    <row r="51" spans="1:44" x14ac:dyDescent="0.35">
      <c r="A51" s="95"/>
      <c r="D51" s="96"/>
      <c r="AM51" s="1"/>
      <c r="AN51" s="1"/>
      <c r="AO51" s="1"/>
      <c r="AP51" s="1"/>
      <c r="AQ51" s="1"/>
      <c r="AR51" s="1"/>
    </row>
    <row r="52" spans="1:44" x14ac:dyDescent="0.35">
      <c r="A52" s="95"/>
      <c r="D52" s="96"/>
      <c r="AM52" s="1"/>
      <c r="AN52" s="1"/>
      <c r="AO52" s="1"/>
      <c r="AP52" s="1"/>
      <c r="AQ52" s="1"/>
      <c r="AR52" s="1"/>
    </row>
    <row r="53" spans="1:44" x14ac:dyDescent="0.35">
      <c r="A53" s="95"/>
      <c r="D53" s="96"/>
      <c r="AM53" s="1"/>
      <c r="AN53" s="1"/>
      <c r="AO53" s="1"/>
      <c r="AP53" s="1"/>
      <c r="AQ53" s="1"/>
      <c r="AR53" s="1"/>
    </row>
    <row r="54" spans="1:44" x14ac:dyDescent="0.35">
      <c r="A54" s="95"/>
      <c r="D54" s="96"/>
      <c r="AM54" s="1"/>
      <c r="AN54" s="1"/>
      <c r="AO54" s="1"/>
      <c r="AP54" s="1"/>
      <c r="AQ54" s="1"/>
      <c r="AR54" s="1"/>
    </row>
    <row r="55" spans="1:44" x14ac:dyDescent="0.35">
      <c r="D55" s="96"/>
      <c r="AM55" s="1"/>
      <c r="AN55" s="1"/>
      <c r="AO55" s="1"/>
      <c r="AP55" s="1"/>
      <c r="AQ55" s="1"/>
      <c r="AR55" s="1"/>
    </row>
    <row r="56" spans="1:44" x14ac:dyDescent="0.35">
      <c r="D56" s="96"/>
      <c r="AM56" s="1"/>
      <c r="AN56" s="1"/>
      <c r="AO56" s="1"/>
      <c r="AP56" s="1"/>
      <c r="AQ56" s="1"/>
      <c r="AR56" s="1"/>
    </row>
    <row r="57" spans="1:44" x14ac:dyDescent="0.35">
      <c r="D57" s="96"/>
      <c r="AM57" s="1"/>
      <c r="AN57" s="1"/>
      <c r="AO57" s="1"/>
      <c r="AP57" s="1"/>
      <c r="AQ57" s="1"/>
      <c r="AR57" s="1"/>
    </row>
    <row r="58" spans="1:44" x14ac:dyDescent="0.35">
      <c r="D58" s="96"/>
      <c r="AM58" s="1"/>
      <c r="AN58" s="1"/>
      <c r="AO58" s="1"/>
      <c r="AP58" s="1"/>
      <c r="AQ58" s="1"/>
      <c r="AR58" s="1"/>
    </row>
    <row r="59" spans="1:44" x14ac:dyDescent="0.35">
      <c r="AM59" s="1"/>
      <c r="AN59" s="1"/>
      <c r="AO59" s="1"/>
      <c r="AP59" s="1"/>
      <c r="AQ59" s="1"/>
      <c r="AR59" s="1"/>
    </row>
    <row r="60" spans="1:44" x14ac:dyDescent="0.35">
      <c r="AM60" s="1"/>
      <c r="AN60" s="1"/>
      <c r="AO60" s="1"/>
      <c r="AP60" s="1"/>
      <c r="AQ60" s="1"/>
      <c r="AR60" s="1"/>
    </row>
    <row r="61" spans="1:44" x14ac:dyDescent="0.35">
      <c r="AM61" s="1"/>
      <c r="AN61" s="1"/>
      <c r="AO61" s="1"/>
      <c r="AP61" s="1"/>
      <c r="AQ61" s="1"/>
      <c r="AR61" s="1"/>
    </row>
    <row r="62" spans="1:44" x14ac:dyDescent="0.35">
      <c r="AM62" s="1"/>
      <c r="AN62" s="1"/>
      <c r="AO62" s="1"/>
      <c r="AP62" s="1"/>
      <c r="AQ62" s="1"/>
      <c r="AR62" s="1"/>
    </row>
    <row r="63" spans="1:44" x14ac:dyDescent="0.35">
      <c r="AM63" s="1"/>
      <c r="AN63" s="1"/>
      <c r="AO63" s="1"/>
      <c r="AP63" s="1"/>
      <c r="AQ63" s="1"/>
      <c r="AR63" s="1"/>
    </row>
    <row r="64" spans="1:44" x14ac:dyDescent="0.35">
      <c r="AM64" s="1"/>
      <c r="AN64" s="1"/>
      <c r="AO64" s="1"/>
      <c r="AP64" s="1"/>
      <c r="AQ64" s="1"/>
      <c r="AR64" s="1"/>
    </row>
    <row r="65" spans="39:44" x14ac:dyDescent="0.35">
      <c r="AM65" s="1"/>
      <c r="AN65" s="1"/>
      <c r="AO65" s="1"/>
      <c r="AP65" s="1"/>
      <c r="AQ65" s="1"/>
      <c r="AR65" s="1"/>
    </row>
    <row r="66" spans="39:44" x14ac:dyDescent="0.35">
      <c r="AM66" s="1"/>
      <c r="AN66" s="1"/>
      <c r="AO66" s="1"/>
      <c r="AP66" s="1"/>
      <c r="AQ66" s="1"/>
      <c r="AR66" s="1"/>
    </row>
    <row r="67" spans="39:44" x14ac:dyDescent="0.35">
      <c r="AM67" s="1"/>
      <c r="AN67" s="1"/>
      <c r="AO67" s="1"/>
      <c r="AP67" s="1"/>
      <c r="AQ67" s="1"/>
      <c r="AR67" s="1"/>
    </row>
    <row r="68" spans="39:44" x14ac:dyDescent="0.35">
      <c r="AM68" s="1"/>
      <c r="AN68" s="1"/>
      <c r="AO68" s="1"/>
      <c r="AP68" s="1"/>
      <c r="AQ68" s="1"/>
      <c r="AR68" s="1"/>
    </row>
    <row r="69" spans="39:44" x14ac:dyDescent="0.35">
      <c r="AM69" s="1"/>
      <c r="AN69" s="1"/>
      <c r="AO69" s="1"/>
      <c r="AP69" s="1"/>
      <c r="AQ69" s="1"/>
      <c r="AR69" s="1"/>
    </row>
    <row r="70" spans="39:44" x14ac:dyDescent="0.35">
      <c r="AN70" s="1"/>
      <c r="AO70" s="1"/>
      <c r="AP70" s="1"/>
      <c r="AQ70" s="1"/>
    </row>
    <row r="71" spans="39:44" x14ac:dyDescent="0.35">
      <c r="AN71" s="1"/>
      <c r="AO71" s="1"/>
      <c r="AP71" s="1"/>
      <c r="AQ71" s="1"/>
    </row>
  </sheetData>
  <mergeCells count="12">
    <mergeCell ref="AN9:AQ9"/>
    <mergeCell ref="A1:AL1"/>
    <mergeCell ref="A2:AL2"/>
    <mergeCell ref="A3:AL3"/>
    <mergeCell ref="A4:AL4"/>
    <mergeCell ref="AN4:AO5"/>
    <mergeCell ref="S7:S45"/>
    <mergeCell ref="K7:K45"/>
    <mergeCell ref="R7:R45"/>
    <mergeCell ref="Y7:Y45"/>
    <mergeCell ref="AF7:AF45"/>
    <mergeCell ref="AN15:AQ15"/>
  </mergeCells>
  <conditionalFormatting sqref="F5:F46">
    <cfRule type="cellIs" dxfId="12" priority="63" operator="equal">
      <formula>"A"</formula>
    </cfRule>
  </conditionalFormatting>
  <conditionalFormatting sqref="F6:AJ46">
    <cfRule type="cellIs" dxfId="11" priority="1" operator="equal">
      <formula>"A"</formula>
    </cfRule>
  </conditionalFormatting>
  <conditionalFormatting sqref="G6:G8">
    <cfRule type="cellIs" dxfId="10" priority="764" operator="equal">
      <formula>"A"</formula>
    </cfRule>
  </conditionalFormatting>
  <conditionalFormatting sqref="G9:H46">
    <cfRule type="cellIs" dxfId="9" priority="670" operator="equal">
      <formula>"A"</formula>
    </cfRule>
  </conditionalFormatting>
  <conditionalFormatting sqref="H5:H8">
    <cfRule type="cellIs" dxfId="8" priority="779" operator="equal">
      <formula>"A"</formula>
    </cfRule>
  </conditionalFormatting>
  <conditionalFormatting sqref="J5:J46">
    <cfRule type="cellIs" dxfId="7" priority="248" operator="equal">
      <formula>"A"</formula>
    </cfRule>
  </conditionalFormatting>
  <conditionalFormatting sqref="L5:L46">
    <cfRule type="cellIs" dxfId="6" priority="59" operator="equal">
      <formula>"A"</formula>
    </cfRule>
  </conditionalFormatting>
  <conditionalFormatting sqref="N5:N46">
    <cfRule type="cellIs" dxfId="5" priority="606" operator="equal">
      <formula>"A"</formula>
    </cfRule>
  </conditionalFormatting>
  <conditionalFormatting sqref="P5:Q46">
    <cfRule type="cellIs" dxfId="4" priority="384" operator="equal">
      <formula>"A"</formula>
    </cfRule>
  </conditionalFormatting>
  <conditionalFormatting sqref="U36:U41">
    <cfRule type="cellIs" dxfId="3" priority="742" operator="equal">
      <formula>"A"</formula>
    </cfRule>
  </conditionalFormatting>
  <conditionalFormatting sqref="U6:V35">
    <cfRule type="cellIs" dxfId="2" priority="625" operator="equal">
      <formula>"A"</formula>
    </cfRule>
  </conditionalFormatting>
  <conditionalFormatting sqref="U41:V46">
    <cfRule type="cellIs" dxfId="1" priority="765" operator="equal">
      <formula>"A"</formula>
    </cfRule>
  </conditionalFormatting>
  <conditionalFormatting sqref="V36:V46">
    <cfRule type="cellIs" dxfId="0" priority="620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46"/>
  <sheetViews>
    <sheetView zoomScale="90" zoomScaleNormal="90" workbookViewId="0">
      <selection activeCell="B6" sqref="B6:D36"/>
    </sheetView>
  </sheetViews>
  <sheetFormatPr defaultColWidth="4.26953125" defaultRowHeight="14" x14ac:dyDescent="0.3"/>
  <cols>
    <col min="1" max="1" width="4.7265625" style="1" bestFit="1" customWidth="1"/>
    <col min="2" max="2" width="9.81640625" style="1" bestFit="1" customWidth="1"/>
    <col min="3" max="3" width="19.453125" style="1" customWidth="1"/>
    <col min="4" max="4" width="22.81640625" style="74" bestFit="1" customWidth="1"/>
    <col min="5" max="5" width="7.1796875" style="1" bestFit="1" customWidth="1"/>
    <col min="6" max="36" width="4.26953125" style="1"/>
    <col min="37" max="37" width="9.54296875" style="1" customWidth="1"/>
    <col min="38" max="38" width="8.54296875" style="1" bestFit="1" customWidth="1"/>
    <col min="39" max="39" width="4.54296875" style="1" customWidth="1"/>
    <col min="40" max="40" width="22.54296875" style="1" customWidth="1"/>
    <col min="41" max="41" width="11.81640625" style="1" customWidth="1"/>
    <col min="42" max="42" width="9.453125" style="1" customWidth="1"/>
    <col min="43" max="43" width="11.54296875" style="1" customWidth="1"/>
    <col min="44" max="16384" width="4.26953125" style="1"/>
  </cols>
  <sheetData>
    <row r="1" spans="1:44" ht="19.5" customHeight="1" x14ac:dyDescent="0.35">
      <c r="A1" s="262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</row>
    <row r="2" spans="1:44" ht="17.5" x14ac:dyDescent="0.3">
      <c r="A2" s="263" t="s">
        <v>75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</row>
    <row r="3" spans="1:44" ht="17.5" x14ac:dyDescent="0.35">
      <c r="A3" s="262" t="s">
        <v>67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</row>
    <row r="4" spans="1:44" ht="18" x14ac:dyDescent="0.4">
      <c r="A4" s="264" t="s">
        <v>77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N4" s="243">
        <v>45139</v>
      </c>
      <c r="AO4" s="243"/>
      <c r="AP4" s="83"/>
      <c r="AQ4" s="34"/>
    </row>
    <row r="5" spans="1:44" s="38" customFormat="1" ht="36" x14ac:dyDescent="0.4">
      <c r="A5" s="36" t="s">
        <v>1</v>
      </c>
      <c r="B5" s="36" t="s">
        <v>2</v>
      </c>
      <c r="C5" s="36" t="s">
        <v>3</v>
      </c>
      <c r="D5" s="65" t="s">
        <v>4</v>
      </c>
      <c r="E5" s="36" t="s">
        <v>5</v>
      </c>
      <c r="F5" s="36">
        <v>1</v>
      </c>
      <c r="G5" s="36">
        <v>2</v>
      </c>
      <c r="H5" s="36">
        <v>3</v>
      </c>
      <c r="I5" s="36">
        <v>4</v>
      </c>
      <c r="J5" s="78">
        <v>5</v>
      </c>
      <c r="K5" s="36">
        <v>6</v>
      </c>
      <c r="L5" s="36">
        <v>7</v>
      </c>
      <c r="M5" s="36">
        <v>8</v>
      </c>
      <c r="N5" s="36">
        <v>9</v>
      </c>
      <c r="O5" s="36">
        <v>10</v>
      </c>
      <c r="P5" s="36">
        <v>11</v>
      </c>
      <c r="Q5" s="78">
        <v>12</v>
      </c>
      <c r="R5" s="36">
        <v>13</v>
      </c>
      <c r="S5" s="36">
        <v>14</v>
      </c>
      <c r="T5" s="36">
        <v>15</v>
      </c>
      <c r="U5" s="36">
        <v>16</v>
      </c>
      <c r="V5" s="36">
        <v>17</v>
      </c>
      <c r="W5" s="36">
        <v>18</v>
      </c>
      <c r="X5" s="78">
        <v>19</v>
      </c>
      <c r="Y5" s="36">
        <v>20</v>
      </c>
      <c r="Z5" s="36">
        <v>21</v>
      </c>
      <c r="AA5" s="36">
        <v>22</v>
      </c>
      <c r="AB5" s="36">
        <v>23</v>
      </c>
      <c r="AC5" s="36">
        <v>24</v>
      </c>
      <c r="AD5" s="36">
        <v>25</v>
      </c>
      <c r="AE5" s="78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36" t="s">
        <v>6</v>
      </c>
      <c r="AL5" s="36" t="s">
        <v>7</v>
      </c>
      <c r="AN5" s="243"/>
      <c r="AO5" s="243"/>
      <c r="AP5" s="83"/>
      <c r="AQ5" s="34"/>
    </row>
    <row r="6" spans="1:44" s="34" customFormat="1" ht="48.75" customHeight="1" x14ac:dyDescent="0.4">
      <c r="A6" s="39">
        <v>1</v>
      </c>
      <c r="B6" s="66"/>
      <c r="C6" s="10"/>
      <c r="D6" s="10"/>
      <c r="E6" s="66" t="s">
        <v>40</v>
      </c>
      <c r="F6" s="22" t="s">
        <v>12</v>
      </c>
      <c r="G6" s="22" t="s">
        <v>12</v>
      </c>
      <c r="H6" s="23" t="s">
        <v>12</v>
      </c>
      <c r="I6" s="23" t="s">
        <v>12</v>
      </c>
      <c r="J6" s="23" t="s">
        <v>12</v>
      </c>
      <c r="K6" s="99" t="s">
        <v>26</v>
      </c>
      <c r="L6" s="39" t="s">
        <v>12</v>
      </c>
      <c r="M6" s="23" t="s">
        <v>12</v>
      </c>
      <c r="N6" s="23" t="s">
        <v>12</v>
      </c>
      <c r="O6" s="23" t="s">
        <v>12</v>
      </c>
      <c r="P6" s="23" t="s">
        <v>12</v>
      </c>
      <c r="Q6" s="23" t="s">
        <v>12</v>
      </c>
      <c r="R6" s="99" t="s">
        <v>26</v>
      </c>
      <c r="S6" s="99"/>
      <c r="T6" s="23" t="s">
        <v>12</v>
      </c>
      <c r="U6" s="23" t="s">
        <v>12</v>
      </c>
      <c r="V6" s="23" t="s">
        <v>12</v>
      </c>
      <c r="W6" s="23" t="s">
        <v>12</v>
      </c>
      <c r="X6" s="23" t="s">
        <v>12</v>
      </c>
      <c r="Y6" s="99" t="s">
        <v>26</v>
      </c>
      <c r="Z6" s="39" t="s">
        <v>12</v>
      </c>
      <c r="AA6" s="23" t="s">
        <v>12</v>
      </c>
      <c r="AB6" s="23" t="s">
        <v>12</v>
      </c>
      <c r="AC6" s="23" t="s">
        <v>12</v>
      </c>
      <c r="AD6" s="23" t="s">
        <v>12</v>
      </c>
      <c r="AE6" s="23" t="s">
        <v>12</v>
      </c>
      <c r="AF6" s="99" t="s">
        <v>26</v>
      </c>
      <c r="AG6" s="39" t="s">
        <v>12</v>
      </c>
      <c r="AH6" s="23" t="s">
        <v>12</v>
      </c>
      <c r="AI6" s="23" t="s">
        <v>12</v>
      </c>
      <c r="AJ6" s="23" t="s">
        <v>12</v>
      </c>
      <c r="AK6" s="60">
        <f>COUNTIF(F6:AJ6,"P")</f>
        <v>26</v>
      </c>
      <c r="AL6" s="39">
        <f>COUNTIF(F6:AJ6,"A")</f>
        <v>0</v>
      </c>
      <c r="AN6" s="37" t="s">
        <v>8</v>
      </c>
      <c r="AO6" s="37">
        <v>31</v>
      </c>
    </row>
    <row r="7" spans="1:44" s="34" customFormat="1" ht="20.25" customHeight="1" x14ac:dyDescent="0.4">
      <c r="A7" s="39">
        <v>2</v>
      </c>
      <c r="B7" s="66"/>
      <c r="C7" s="10"/>
      <c r="D7" s="10"/>
      <c r="E7" s="66" t="s">
        <v>40</v>
      </c>
      <c r="F7" s="22" t="s">
        <v>11</v>
      </c>
      <c r="G7" s="22" t="s">
        <v>12</v>
      </c>
      <c r="H7" s="22" t="s">
        <v>12</v>
      </c>
      <c r="I7" s="23" t="s">
        <v>12</v>
      </c>
      <c r="J7" s="23" t="s">
        <v>12</v>
      </c>
      <c r="K7" s="223" t="s">
        <v>26</v>
      </c>
      <c r="L7" s="22" t="s">
        <v>12</v>
      </c>
      <c r="M7" s="23" t="s">
        <v>12</v>
      </c>
      <c r="N7" s="23" t="s">
        <v>12</v>
      </c>
      <c r="O7" s="23" t="s">
        <v>12</v>
      </c>
      <c r="P7" s="22" t="s">
        <v>12</v>
      </c>
      <c r="Q7" s="22" t="s">
        <v>12</v>
      </c>
      <c r="R7" s="223" t="s">
        <v>26</v>
      </c>
      <c r="S7" s="223" t="s">
        <v>55</v>
      </c>
      <c r="T7" s="22" t="s">
        <v>12</v>
      </c>
      <c r="U7" s="23" t="s">
        <v>11</v>
      </c>
      <c r="V7" s="23" t="s">
        <v>12</v>
      </c>
      <c r="W7" s="22" t="s">
        <v>11</v>
      </c>
      <c r="X7" s="22" t="s">
        <v>12</v>
      </c>
      <c r="Y7" s="223" t="s">
        <v>26</v>
      </c>
      <c r="Z7" s="22" t="s">
        <v>12</v>
      </c>
      <c r="AA7" s="22" t="s">
        <v>12</v>
      </c>
      <c r="AB7" s="22" t="s">
        <v>12</v>
      </c>
      <c r="AC7" s="22" t="s">
        <v>12</v>
      </c>
      <c r="AD7" s="22" t="s">
        <v>12</v>
      </c>
      <c r="AE7" s="22" t="s">
        <v>12</v>
      </c>
      <c r="AF7" s="223" t="s">
        <v>26</v>
      </c>
      <c r="AG7" s="22" t="s">
        <v>12</v>
      </c>
      <c r="AH7" s="22" t="s">
        <v>12</v>
      </c>
      <c r="AI7" s="22" t="s">
        <v>12</v>
      </c>
      <c r="AJ7" s="22" t="s">
        <v>12</v>
      </c>
      <c r="AK7" s="39">
        <f t="shared" ref="AK7:AK35" si="0">COUNTIF(F7:AJ7,"P")</f>
        <v>23</v>
      </c>
      <c r="AL7" s="39">
        <f t="shared" ref="AL7:AL35" si="1">COUNTIF(F7:AJ7,"A")</f>
        <v>3</v>
      </c>
      <c r="AN7" s="39" t="s">
        <v>13</v>
      </c>
      <c r="AO7" s="39">
        <v>23</v>
      </c>
      <c r="AP7" s="64" t="s">
        <v>58</v>
      </c>
      <c r="AQ7" s="64"/>
      <c r="AR7" s="1">
        <v>1</v>
      </c>
    </row>
    <row r="8" spans="1:44" s="34" customFormat="1" ht="19" x14ac:dyDescent="0.4">
      <c r="A8" s="39">
        <v>3</v>
      </c>
      <c r="B8" s="66"/>
      <c r="C8" s="10"/>
      <c r="D8" s="10"/>
      <c r="E8" s="66" t="s">
        <v>40</v>
      </c>
      <c r="F8" s="22" t="s">
        <v>12</v>
      </c>
      <c r="G8" s="22" t="s">
        <v>12</v>
      </c>
      <c r="H8" s="23" t="s">
        <v>12</v>
      </c>
      <c r="I8" s="23" t="s">
        <v>12</v>
      </c>
      <c r="J8" s="23" t="s">
        <v>12</v>
      </c>
      <c r="K8" s="224"/>
      <c r="L8" s="22" t="s">
        <v>12</v>
      </c>
      <c r="M8" s="23" t="s">
        <v>12</v>
      </c>
      <c r="N8" s="23" t="s">
        <v>12</v>
      </c>
      <c r="O8" s="23" t="s">
        <v>12</v>
      </c>
      <c r="P8" s="23" t="s">
        <v>12</v>
      </c>
      <c r="Q8" s="23" t="s">
        <v>12</v>
      </c>
      <c r="R8" s="224"/>
      <c r="S8" s="224"/>
      <c r="T8" s="23" t="s">
        <v>12</v>
      </c>
      <c r="U8" s="23" t="s">
        <v>12</v>
      </c>
      <c r="V8" s="23" t="s">
        <v>12</v>
      </c>
      <c r="W8" s="23" t="s">
        <v>12</v>
      </c>
      <c r="X8" s="23" t="s">
        <v>12</v>
      </c>
      <c r="Y8" s="224"/>
      <c r="Z8" s="22" t="s">
        <v>12</v>
      </c>
      <c r="AA8" s="23" t="s">
        <v>12</v>
      </c>
      <c r="AB8" s="23" t="s">
        <v>12</v>
      </c>
      <c r="AC8" s="23" t="s">
        <v>12</v>
      </c>
      <c r="AD8" s="23" t="s">
        <v>12</v>
      </c>
      <c r="AE8" s="23" t="s">
        <v>12</v>
      </c>
      <c r="AF8" s="224"/>
      <c r="AG8" s="22" t="s">
        <v>12</v>
      </c>
      <c r="AH8" s="23" t="s">
        <v>12</v>
      </c>
      <c r="AI8" s="23" t="s">
        <v>12</v>
      </c>
      <c r="AJ8" s="23" t="s">
        <v>12</v>
      </c>
      <c r="AK8" s="39">
        <f t="shared" si="0"/>
        <v>26</v>
      </c>
      <c r="AL8" s="39">
        <f t="shared" si="1"/>
        <v>0</v>
      </c>
      <c r="AN8" s="34" t="s">
        <v>26</v>
      </c>
      <c r="AO8" s="34">
        <v>4</v>
      </c>
      <c r="AP8" s="64"/>
      <c r="AQ8" s="64"/>
      <c r="AR8" s="1"/>
    </row>
    <row r="9" spans="1:44" s="34" customFormat="1" ht="19" x14ac:dyDescent="0.4">
      <c r="A9" s="39">
        <v>4</v>
      </c>
      <c r="B9" s="66"/>
      <c r="C9" s="10"/>
      <c r="D9" s="10"/>
      <c r="E9" s="66" t="s">
        <v>40</v>
      </c>
      <c r="F9" s="22" t="s">
        <v>12</v>
      </c>
      <c r="G9" s="22" t="s">
        <v>12</v>
      </c>
      <c r="H9" s="23" t="s">
        <v>12</v>
      </c>
      <c r="I9" s="23" t="s">
        <v>12</v>
      </c>
      <c r="J9" s="23" t="s">
        <v>12</v>
      </c>
      <c r="K9" s="224"/>
      <c r="L9" s="22" t="s">
        <v>12</v>
      </c>
      <c r="M9" s="23" t="s">
        <v>12</v>
      </c>
      <c r="N9" s="23" t="s">
        <v>12</v>
      </c>
      <c r="O9" s="23" t="s">
        <v>12</v>
      </c>
      <c r="P9" s="23" t="s">
        <v>12</v>
      </c>
      <c r="Q9" s="23" t="s">
        <v>12</v>
      </c>
      <c r="R9" s="224"/>
      <c r="S9" s="224"/>
      <c r="T9" s="23" t="s">
        <v>12</v>
      </c>
      <c r="U9" s="23" t="s">
        <v>12</v>
      </c>
      <c r="V9" s="23" t="s">
        <v>12</v>
      </c>
      <c r="W9" s="23" t="s">
        <v>12</v>
      </c>
      <c r="X9" s="23" t="s">
        <v>12</v>
      </c>
      <c r="Y9" s="224"/>
      <c r="Z9" s="22" t="s">
        <v>12</v>
      </c>
      <c r="AA9" s="23" t="s">
        <v>12</v>
      </c>
      <c r="AB9" s="23" t="s">
        <v>12</v>
      </c>
      <c r="AC9" s="23" t="s">
        <v>12</v>
      </c>
      <c r="AD9" s="23" t="s">
        <v>12</v>
      </c>
      <c r="AE9" s="23" t="s">
        <v>12</v>
      </c>
      <c r="AF9" s="224"/>
      <c r="AG9" s="22" t="s">
        <v>12</v>
      </c>
      <c r="AH9" s="23" t="s">
        <v>12</v>
      </c>
      <c r="AI9" s="23" t="s">
        <v>12</v>
      </c>
      <c r="AJ9" s="23" t="s">
        <v>12</v>
      </c>
      <c r="AK9" s="60">
        <f t="shared" si="0"/>
        <v>26</v>
      </c>
      <c r="AL9" s="39">
        <f t="shared" si="1"/>
        <v>0</v>
      </c>
      <c r="AN9" s="244" t="s">
        <v>6</v>
      </c>
      <c r="AO9" s="245"/>
      <c r="AP9" s="245"/>
      <c r="AQ9" s="246"/>
    </row>
    <row r="10" spans="1:44" s="34" customFormat="1" ht="19" x14ac:dyDescent="0.4">
      <c r="A10" s="39">
        <v>5</v>
      </c>
      <c r="B10" s="66"/>
      <c r="C10" s="10"/>
      <c r="D10" s="10"/>
      <c r="E10" s="66" t="s">
        <v>40</v>
      </c>
      <c r="F10" s="22" t="s">
        <v>11</v>
      </c>
      <c r="G10" s="22" t="s">
        <v>11</v>
      </c>
      <c r="H10" s="23" t="s">
        <v>12</v>
      </c>
      <c r="I10" s="23" t="s">
        <v>12</v>
      </c>
      <c r="J10" s="23" t="s">
        <v>12</v>
      </c>
      <c r="K10" s="224"/>
      <c r="L10" s="22" t="s">
        <v>12</v>
      </c>
      <c r="M10" s="23" t="s">
        <v>12</v>
      </c>
      <c r="N10" s="23" t="s">
        <v>12</v>
      </c>
      <c r="O10" s="23" t="s">
        <v>12</v>
      </c>
      <c r="P10" s="23" t="s">
        <v>12</v>
      </c>
      <c r="Q10" s="23" t="s">
        <v>12</v>
      </c>
      <c r="R10" s="224"/>
      <c r="S10" s="224"/>
      <c r="T10" s="23" t="s">
        <v>11</v>
      </c>
      <c r="U10" s="23" t="s">
        <v>12</v>
      </c>
      <c r="V10" s="23" t="s">
        <v>12</v>
      </c>
      <c r="W10" s="23" t="s">
        <v>12</v>
      </c>
      <c r="X10" s="23" t="s">
        <v>12</v>
      </c>
      <c r="Y10" s="224"/>
      <c r="Z10" s="22" t="s">
        <v>12</v>
      </c>
      <c r="AA10" s="23" t="s">
        <v>12</v>
      </c>
      <c r="AB10" s="23" t="s">
        <v>12</v>
      </c>
      <c r="AC10" s="23" t="s">
        <v>12</v>
      </c>
      <c r="AD10" s="23" t="s">
        <v>12</v>
      </c>
      <c r="AE10" s="23" t="s">
        <v>12</v>
      </c>
      <c r="AF10" s="224"/>
      <c r="AG10" s="22" t="s">
        <v>12</v>
      </c>
      <c r="AH10" s="23" t="s">
        <v>12</v>
      </c>
      <c r="AI10" s="23" t="s">
        <v>12</v>
      </c>
      <c r="AJ10" s="23" t="s">
        <v>12</v>
      </c>
      <c r="AK10" s="39">
        <f t="shared" si="0"/>
        <v>23</v>
      </c>
      <c r="AL10" s="39">
        <f t="shared" si="1"/>
        <v>3</v>
      </c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s="34" customFormat="1" ht="19" x14ac:dyDescent="0.4">
      <c r="A11" s="39">
        <v>6</v>
      </c>
      <c r="B11" s="66"/>
      <c r="C11" s="10"/>
      <c r="D11" s="10"/>
      <c r="E11" s="66" t="s">
        <v>40</v>
      </c>
      <c r="F11" s="22" t="s">
        <v>11</v>
      </c>
      <c r="G11" s="22" t="s">
        <v>11</v>
      </c>
      <c r="H11" s="23" t="s">
        <v>11</v>
      </c>
      <c r="I11" s="23" t="s">
        <v>11</v>
      </c>
      <c r="J11" s="23" t="s">
        <v>11</v>
      </c>
      <c r="K11" s="224"/>
      <c r="L11" s="22" t="s">
        <v>11</v>
      </c>
      <c r="M11" s="23" t="s">
        <v>11</v>
      </c>
      <c r="N11" s="23" t="s">
        <v>11</v>
      </c>
      <c r="O11" s="23" t="s">
        <v>11</v>
      </c>
      <c r="P11" s="23" t="s">
        <v>11</v>
      </c>
      <c r="Q11" s="23" t="s">
        <v>11</v>
      </c>
      <c r="R11" s="224"/>
      <c r="S11" s="224"/>
      <c r="T11" s="23" t="s">
        <v>12</v>
      </c>
      <c r="U11" s="23" t="s">
        <v>11</v>
      </c>
      <c r="V11" s="23" t="s">
        <v>11</v>
      </c>
      <c r="W11" s="23" t="s">
        <v>11</v>
      </c>
      <c r="X11" s="23" t="s">
        <v>12</v>
      </c>
      <c r="Y11" s="224"/>
      <c r="Z11" s="22" t="s">
        <v>12</v>
      </c>
      <c r="AA11" s="23" t="s">
        <v>12</v>
      </c>
      <c r="AB11" s="23" t="s">
        <v>12</v>
      </c>
      <c r="AC11" s="23" t="s">
        <v>12</v>
      </c>
      <c r="AD11" s="23" t="s">
        <v>12</v>
      </c>
      <c r="AE11" s="23" t="s">
        <v>12</v>
      </c>
      <c r="AF11" s="224"/>
      <c r="AG11" s="22" t="s">
        <v>12</v>
      </c>
      <c r="AH11" s="23" t="s">
        <v>12</v>
      </c>
      <c r="AI11" s="23" t="s">
        <v>12</v>
      </c>
      <c r="AJ11" s="23" t="s">
        <v>12</v>
      </c>
      <c r="AK11" s="39">
        <f t="shared" si="0"/>
        <v>12</v>
      </c>
      <c r="AL11" s="39">
        <f t="shared" si="1"/>
        <v>14</v>
      </c>
      <c r="AN11" s="39" t="s">
        <v>20</v>
      </c>
      <c r="AO11" s="39">
        <f>20*26</f>
        <v>520</v>
      </c>
      <c r="AP11" s="39">
        <f>10*26</f>
        <v>260</v>
      </c>
      <c r="AQ11" s="39">
        <f>AO11+AP11</f>
        <v>780</v>
      </c>
    </row>
    <row r="12" spans="1:44" s="34" customFormat="1" ht="19" x14ac:dyDescent="0.4">
      <c r="A12" s="39">
        <v>7</v>
      </c>
      <c r="B12" s="66"/>
      <c r="C12" s="10"/>
      <c r="D12" s="10"/>
      <c r="E12" s="66" t="s">
        <v>40</v>
      </c>
      <c r="F12" s="22" t="s">
        <v>11</v>
      </c>
      <c r="G12" s="22" t="s">
        <v>11</v>
      </c>
      <c r="H12" s="23" t="s">
        <v>12</v>
      </c>
      <c r="I12" s="23" t="s">
        <v>12</v>
      </c>
      <c r="J12" s="23" t="s">
        <v>12</v>
      </c>
      <c r="K12" s="224"/>
      <c r="L12" s="22" t="s">
        <v>12</v>
      </c>
      <c r="M12" s="23" t="s">
        <v>12</v>
      </c>
      <c r="N12" s="23" t="s">
        <v>12</v>
      </c>
      <c r="O12" s="23" t="s">
        <v>12</v>
      </c>
      <c r="P12" s="23" t="s">
        <v>12</v>
      </c>
      <c r="Q12" s="23" t="s">
        <v>12</v>
      </c>
      <c r="R12" s="224"/>
      <c r="S12" s="224"/>
      <c r="T12" s="23" t="s">
        <v>12</v>
      </c>
      <c r="U12" s="23" t="s">
        <v>12</v>
      </c>
      <c r="V12" s="23" t="s">
        <v>12</v>
      </c>
      <c r="W12" s="23" t="s">
        <v>12</v>
      </c>
      <c r="X12" s="23" t="s">
        <v>12</v>
      </c>
      <c r="Y12" s="224"/>
      <c r="Z12" s="22" t="s">
        <v>12</v>
      </c>
      <c r="AA12" s="23" t="s">
        <v>12</v>
      </c>
      <c r="AB12" s="23" t="s">
        <v>12</v>
      </c>
      <c r="AC12" s="23" t="s">
        <v>12</v>
      </c>
      <c r="AD12" s="23" t="s">
        <v>12</v>
      </c>
      <c r="AE12" s="23" t="s">
        <v>12</v>
      </c>
      <c r="AF12" s="224"/>
      <c r="AG12" s="22" t="s">
        <v>12</v>
      </c>
      <c r="AH12" s="23" t="s">
        <v>12</v>
      </c>
      <c r="AI12" s="23" t="s">
        <v>12</v>
      </c>
      <c r="AJ12" s="23" t="s">
        <v>12</v>
      </c>
      <c r="AK12" s="39">
        <f t="shared" si="0"/>
        <v>24</v>
      </c>
      <c r="AL12" s="39">
        <f t="shared" si="1"/>
        <v>2</v>
      </c>
      <c r="AN12" s="39" t="s">
        <v>21</v>
      </c>
      <c r="AO12" s="39">
        <f>AK7+AK8+AK10+AK11+AK12+AK14+AK15+AK18+AK19+AK20+AK24+AK25+AK26+AK28+AK29+AK30+AK31+AK32+AK33+AK35</f>
        <v>474</v>
      </c>
      <c r="AP12" s="39">
        <f>AK6+AK9+AK13+AK16+AK17+AK21+AK22+AK23+AK27+AK34</f>
        <v>254</v>
      </c>
      <c r="AQ12" s="39">
        <f>AO12+AP12</f>
        <v>728</v>
      </c>
    </row>
    <row r="13" spans="1:44" s="34" customFormat="1" ht="19" x14ac:dyDescent="0.4">
      <c r="A13" s="39">
        <v>8</v>
      </c>
      <c r="B13" s="66"/>
      <c r="C13" s="10"/>
      <c r="D13" s="10"/>
      <c r="E13" s="66" t="s">
        <v>40</v>
      </c>
      <c r="F13" s="22" t="s">
        <v>12</v>
      </c>
      <c r="G13" s="22" t="s">
        <v>12</v>
      </c>
      <c r="H13" s="23" t="s">
        <v>12</v>
      </c>
      <c r="I13" s="23" t="s">
        <v>12</v>
      </c>
      <c r="J13" s="23" t="s">
        <v>12</v>
      </c>
      <c r="K13" s="224"/>
      <c r="L13" s="22" t="s">
        <v>12</v>
      </c>
      <c r="M13" s="23" t="s">
        <v>12</v>
      </c>
      <c r="N13" s="23" t="s">
        <v>12</v>
      </c>
      <c r="O13" s="23" t="s">
        <v>12</v>
      </c>
      <c r="P13" s="23" t="s">
        <v>12</v>
      </c>
      <c r="Q13" s="23" t="s">
        <v>12</v>
      </c>
      <c r="R13" s="224"/>
      <c r="S13" s="224"/>
      <c r="T13" s="23" t="s">
        <v>12</v>
      </c>
      <c r="U13" s="23" t="s">
        <v>12</v>
      </c>
      <c r="V13" s="23" t="s">
        <v>12</v>
      </c>
      <c r="W13" s="23" t="s">
        <v>12</v>
      </c>
      <c r="X13" s="23" t="s">
        <v>12</v>
      </c>
      <c r="Y13" s="224"/>
      <c r="Z13" s="22" t="s">
        <v>12</v>
      </c>
      <c r="AA13" s="23" t="s">
        <v>12</v>
      </c>
      <c r="AB13" s="23" t="s">
        <v>12</v>
      </c>
      <c r="AC13" s="23" t="s">
        <v>12</v>
      </c>
      <c r="AD13" s="23" t="s">
        <v>12</v>
      </c>
      <c r="AE13" s="23" t="s">
        <v>12</v>
      </c>
      <c r="AF13" s="224"/>
      <c r="AG13" s="22" t="s">
        <v>12</v>
      </c>
      <c r="AH13" s="23" t="s">
        <v>12</v>
      </c>
      <c r="AI13" s="23" t="s">
        <v>12</v>
      </c>
      <c r="AJ13" s="23" t="s">
        <v>12</v>
      </c>
      <c r="AK13" s="60">
        <f t="shared" si="0"/>
        <v>26</v>
      </c>
      <c r="AL13" s="39">
        <f t="shared" si="1"/>
        <v>0</v>
      </c>
      <c r="AN13" s="39" t="s">
        <v>22</v>
      </c>
      <c r="AO13" s="44">
        <f>AO12/AO11</f>
        <v>0.91153846153846152</v>
      </c>
      <c r="AP13" s="44">
        <f>AP12/AP11</f>
        <v>0.97692307692307689</v>
      </c>
      <c r="AQ13" s="44">
        <f>AVERAGE(AO13:AP13)</f>
        <v>0.94423076923076921</v>
      </c>
    </row>
    <row r="14" spans="1:44" s="34" customFormat="1" ht="19" x14ac:dyDescent="0.4">
      <c r="A14" s="39">
        <v>9</v>
      </c>
      <c r="B14" s="66"/>
      <c r="C14" s="10"/>
      <c r="D14" s="10"/>
      <c r="E14" s="66" t="s">
        <v>40</v>
      </c>
      <c r="F14" s="22" t="s">
        <v>11</v>
      </c>
      <c r="G14" s="22" t="s">
        <v>11</v>
      </c>
      <c r="H14" s="23" t="s">
        <v>12</v>
      </c>
      <c r="I14" s="23" t="s">
        <v>12</v>
      </c>
      <c r="J14" s="23" t="s">
        <v>12</v>
      </c>
      <c r="K14" s="224"/>
      <c r="L14" s="22" t="s">
        <v>12</v>
      </c>
      <c r="M14" s="23" t="s">
        <v>12</v>
      </c>
      <c r="N14" s="23" t="s">
        <v>12</v>
      </c>
      <c r="O14" s="23" t="s">
        <v>12</v>
      </c>
      <c r="P14" s="23" t="s">
        <v>12</v>
      </c>
      <c r="Q14" s="23" t="s">
        <v>12</v>
      </c>
      <c r="R14" s="224"/>
      <c r="S14" s="224"/>
      <c r="T14" s="23" t="s">
        <v>12</v>
      </c>
      <c r="U14" s="23" t="s">
        <v>12</v>
      </c>
      <c r="V14" s="23" t="s">
        <v>12</v>
      </c>
      <c r="W14" s="23" t="s">
        <v>12</v>
      </c>
      <c r="X14" s="23" t="s">
        <v>12</v>
      </c>
      <c r="Y14" s="224"/>
      <c r="Z14" s="22" t="s">
        <v>12</v>
      </c>
      <c r="AA14" s="23" t="s">
        <v>12</v>
      </c>
      <c r="AB14" s="23" t="s">
        <v>12</v>
      </c>
      <c r="AC14" s="23" t="s">
        <v>12</v>
      </c>
      <c r="AD14" s="23" t="s">
        <v>12</v>
      </c>
      <c r="AE14" s="23" t="s">
        <v>12</v>
      </c>
      <c r="AF14" s="224"/>
      <c r="AG14" s="22" t="s">
        <v>12</v>
      </c>
      <c r="AH14" s="23" t="s">
        <v>12</v>
      </c>
      <c r="AI14" s="23" t="s">
        <v>12</v>
      </c>
      <c r="AJ14" s="23" t="s">
        <v>12</v>
      </c>
      <c r="AK14" s="39">
        <f t="shared" si="0"/>
        <v>24</v>
      </c>
      <c r="AL14" s="39">
        <f t="shared" si="1"/>
        <v>2</v>
      </c>
      <c r="AO14" s="45"/>
      <c r="AP14" s="45"/>
      <c r="AQ14" s="45"/>
    </row>
    <row r="15" spans="1:44" s="34" customFormat="1" ht="19" x14ac:dyDescent="0.4">
      <c r="A15" s="39">
        <v>10</v>
      </c>
      <c r="B15" s="66"/>
      <c r="C15" s="10"/>
      <c r="D15" s="10"/>
      <c r="E15" s="66" t="s">
        <v>40</v>
      </c>
      <c r="F15" s="22" t="s">
        <v>12</v>
      </c>
      <c r="G15" s="22" t="s">
        <v>12</v>
      </c>
      <c r="H15" s="23" t="s">
        <v>12</v>
      </c>
      <c r="I15" s="23" t="s">
        <v>12</v>
      </c>
      <c r="J15" s="23" t="s">
        <v>12</v>
      </c>
      <c r="K15" s="224"/>
      <c r="L15" s="22" t="s">
        <v>12</v>
      </c>
      <c r="M15" s="23" t="s">
        <v>12</v>
      </c>
      <c r="N15" s="23" t="s">
        <v>12</v>
      </c>
      <c r="O15" s="23" t="s">
        <v>12</v>
      </c>
      <c r="P15" s="23" t="s">
        <v>12</v>
      </c>
      <c r="Q15" s="23" t="s">
        <v>12</v>
      </c>
      <c r="R15" s="224"/>
      <c r="S15" s="224"/>
      <c r="T15" s="23" t="s">
        <v>12</v>
      </c>
      <c r="U15" s="23" t="s">
        <v>12</v>
      </c>
      <c r="V15" s="23" t="s">
        <v>12</v>
      </c>
      <c r="W15" s="23" t="s">
        <v>12</v>
      </c>
      <c r="X15" s="23" t="s">
        <v>12</v>
      </c>
      <c r="Y15" s="224"/>
      <c r="Z15" s="22" t="s">
        <v>12</v>
      </c>
      <c r="AA15" s="23" t="s">
        <v>12</v>
      </c>
      <c r="AB15" s="23" t="s">
        <v>12</v>
      </c>
      <c r="AC15" s="23" t="s">
        <v>12</v>
      </c>
      <c r="AD15" s="23" t="s">
        <v>12</v>
      </c>
      <c r="AE15" s="23" t="s">
        <v>12</v>
      </c>
      <c r="AF15" s="224"/>
      <c r="AG15" s="22" t="s">
        <v>12</v>
      </c>
      <c r="AH15" s="23" t="s">
        <v>12</v>
      </c>
      <c r="AI15" s="23" t="s">
        <v>12</v>
      </c>
      <c r="AJ15" s="23" t="s">
        <v>12</v>
      </c>
      <c r="AK15" s="39">
        <f t="shared" si="0"/>
        <v>26</v>
      </c>
      <c r="AL15" s="39">
        <f t="shared" si="1"/>
        <v>0</v>
      </c>
      <c r="AN15" s="265" t="s">
        <v>65</v>
      </c>
      <c r="AO15" s="266"/>
      <c r="AP15" s="266"/>
      <c r="AQ15" s="267"/>
    </row>
    <row r="16" spans="1:44" s="34" customFormat="1" ht="19" x14ac:dyDescent="0.4">
      <c r="A16" s="39">
        <v>11</v>
      </c>
      <c r="B16" s="66"/>
      <c r="C16" s="10"/>
      <c r="D16" s="10"/>
      <c r="E16" s="66" t="s">
        <v>40</v>
      </c>
      <c r="F16" s="22" t="s">
        <v>12</v>
      </c>
      <c r="G16" s="22" t="s">
        <v>12</v>
      </c>
      <c r="H16" s="23" t="s">
        <v>12</v>
      </c>
      <c r="I16" s="23" t="s">
        <v>12</v>
      </c>
      <c r="J16" s="23" t="s">
        <v>12</v>
      </c>
      <c r="K16" s="224"/>
      <c r="L16" s="22" t="s">
        <v>12</v>
      </c>
      <c r="M16" s="23" t="s">
        <v>12</v>
      </c>
      <c r="N16" s="23" t="s">
        <v>12</v>
      </c>
      <c r="O16" s="23" t="s">
        <v>12</v>
      </c>
      <c r="P16" s="23" t="s">
        <v>12</v>
      </c>
      <c r="Q16" s="23" t="s">
        <v>12</v>
      </c>
      <c r="R16" s="224"/>
      <c r="S16" s="224"/>
      <c r="T16" s="23" t="s">
        <v>12</v>
      </c>
      <c r="U16" s="23" t="s">
        <v>12</v>
      </c>
      <c r="V16" s="23" t="s">
        <v>12</v>
      </c>
      <c r="W16" s="23" t="s">
        <v>12</v>
      </c>
      <c r="X16" s="23" t="s">
        <v>12</v>
      </c>
      <c r="Y16" s="224"/>
      <c r="Z16" s="22" t="s">
        <v>12</v>
      </c>
      <c r="AA16" s="23" t="s">
        <v>12</v>
      </c>
      <c r="AB16" s="23" t="s">
        <v>12</v>
      </c>
      <c r="AC16" s="23" t="s">
        <v>12</v>
      </c>
      <c r="AD16" s="23" t="s">
        <v>12</v>
      </c>
      <c r="AE16" s="23" t="s">
        <v>12</v>
      </c>
      <c r="AF16" s="224"/>
      <c r="AG16" s="22" t="s">
        <v>12</v>
      </c>
      <c r="AH16" s="23" t="s">
        <v>12</v>
      </c>
      <c r="AI16" s="23" t="s">
        <v>12</v>
      </c>
      <c r="AJ16" s="23" t="s">
        <v>12</v>
      </c>
      <c r="AK16" s="60">
        <f t="shared" si="0"/>
        <v>26</v>
      </c>
      <c r="AL16" s="39">
        <f t="shared" si="1"/>
        <v>0</v>
      </c>
      <c r="AN16" s="39" t="s">
        <v>16</v>
      </c>
      <c r="AO16" s="39" t="s">
        <v>18</v>
      </c>
      <c r="AP16" s="39" t="s">
        <v>17</v>
      </c>
      <c r="AQ16" s="39" t="s">
        <v>19</v>
      </c>
    </row>
    <row r="17" spans="1:43" s="34" customFormat="1" ht="19" x14ac:dyDescent="0.4">
      <c r="A17" s="39">
        <v>12</v>
      </c>
      <c r="B17" s="66"/>
      <c r="C17" s="10"/>
      <c r="D17" s="10"/>
      <c r="E17" s="66" t="s">
        <v>40</v>
      </c>
      <c r="F17" s="22" t="s">
        <v>12</v>
      </c>
      <c r="G17" s="22" t="s">
        <v>12</v>
      </c>
      <c r="H17" s="22" t="s">
        <v>12</v>
      </c>
      <c r="I17" s="23" t="s">
        <v>12</v>
      </c>
      <c r="J17" s="23" t="s">
        <v>12</v>
      </c>
      <c r="K17" s="224"/>
      <c r="L17" s="22" t="s">
        <v>12</v>
      </c>
      <c r="M17" s="23" t="s">
        <v>12</v>
      </c>
      <c r="N17" s="23" t="s">
        <v>12</v>
      </c>
      <c r="O17" s="23" t="s">
        <v>12</v>
      </c>
      <c r="P17" s="22" t="s">
        <v>12</v>
      </c>
      <c r="Q17" s="22" t="s">
        <v>12</v>
      </c>
      <c r="R17" s="224"/>
      <c r="S17" s="224"/>
      <c r="T17" s="22" t="s">
        <v>12</v>
      </c>
      <c r="U17" s="23" t="s">
        <v>12</v>
      </c>
      <c r="V17" s="23" t="s">
        <v>12</v>
      </c>
      <c r="W17" s="22" t="s">
        <v>12</v>
      </c>
      <c r="X17" s="22" t="s">
        <v>12</v>
      </c>
      <c r="Y17" s="224"/>
      <c r="Z17" s="22" t="s">
        <v>12</v>
      </c>
      <c r="AA17" s="22" t="s">
        <v>12</v>
      </c>
      <c r="AB17" s="22" t="s">
        <v>12</v>
      </c>
      <c r="AC17" s="22" t="s">
        <v>12</v>
      </c>
      <c r="AD17" s="22" t="s">
        <v>12</v>
      </c>
      <c r="AE17" s="22" t="s">
        <v>12</v>
      </c>
      <c r="AF17" s="224"/>
      <c r="AG17" s="22" t="s">
        <v>12</v>
      </c>
      <c r="AH17" s="22" t="s">
        <v>12</v>
      </c>
      <c r="AI17" s="22" t="s">
        <v>12</v>
      </c>
      <c r="AJ17" s="22" t="s">
        <v>12</v>
      </c>
      <c r="AK17" s="60">
        <f t="shared" si="0"/>
        <v>26</v>
      </c>
      <c r="AL17" s="39">
        <f t="shared" si="1"/>
        <v>0</v>
      </c>
      <c r="AN17" s="39" t="s">
        <v>20</v>
      </c>
      <c r="AO17" s="39">
        <f>20*26</f>
        <v>520</v>
      </c>
      <c r="AP17" s="39">
        <f>10*26</f>
        <v>260</v>
      </c>
      <c r="AQ17" s="39">
        <f>AO17+AP17</f>
        <v>780</v>
      </c>
    </row>
    <row r="18" spans="1:43" s="34" customFormat="1" ht="19" x14ac:dyDescent="0.4">
      <c r="A18" s="39">
        <v>13</v>
      </c>
      <c r="B18" s="66"/>
      <c r="C18" s="10"/>
      <c r="D18" s="10"/>
      <c r="E18" s="66" t="s">
        <v>40</v>
      </c>
      <c r="F18" s="22" t="s">
        <v>12</v>
      </c>
      <c r="G18" s="22" t="s">
        <v>12</v>
      </c>
      <c r="H18" s="23" t="s">
        <v>12</v>
      </c>
      <c r="I18" s="23" t="s">
        <v>12</v>
      </c>
      <c r="J18" s="23" t="s">
        <v>12</v>
      </c>
      <c r="K18" s="224"/>
      <c r="L18" s="22" t="s">
        <v>12</v>
      </c>
      <c r="M18" s="23" t="s">
        <v>12</v>
      </c>
      <c r="N18" s="23" t="s">
        <v>12</v>
      </c>
      <c r="O18" s="23" t="s">
        <v>12</v>
      </c>
      <c r="P18" s="23" t="s">
        <v>12</v>
      </c>
      <c r="Q18" s="23" t="s">
        <v>12</v>
      </c>
      <c r="R18" s="224"/>
      <c r="S18" s="224"/>
      <c r="T18" s="23" t="s">
        <v>12</v>
      </c>
      <c r="U18" s="23" t="s">
        <v>12</v>
      </c>
      <c r="V18" s="23" t="s">
        <v>12</v>
      </c>
      <c r="W18" s="23" t="s">
        <v>12</v>
      </c>
      <c r="X18" s="23" t="s">
        <v>12</v>
      </c>
      <c r="Y18" s="224"/>
      <c r="Z18" s="22" t="s">
        <v>12</v>
      </c>
      <c r="AA18" s="23" t="s">
        <v>12</v>
      </c>
      <c r="AB18" s="23" t="s">
        <v>12</v>
      </c>
      <c r="AC18" s="23" t="s">
        <v>12</v>
      </c>
      <c r="AD18" s="23" t="s">
        <v>12</v>
      </c>
      <c r="AE18" s="23" t="s">
        <v>12</v>
      </c>
      <c r="AF18" s="224"/>
      <c r="AG18" s="22" t="s">
        <v>12</v>
      </c>
      <c r="AH18" s="23" t="s">
        <v>12</v>
      </c>
      <c r="AI18" s="23" t="s">
        <v>12</v>
      </c>
      <c r="AJ18" s="23" t="s">
        <v>12</v>
      </c>
      <c r="AK18" s="39">
        <f t="shared" si="0"/>
        <v>26</v>
      </c>
      <c r="AL18" s="39">
        <f t="shared" si="1"/>
        <v>0</v>
      </c>
      <c r="AN18" s="39" t="s">
        <v>24</v>
      </c>
      <c r="AO18" s="39">
        <f>AO17-AO12</f>
        <v>46</v>
      </c>
      <c r="AP18" s="39">
        <f>AP17-AP12</f>
        <v>6</v>
      </c>
      <c r="AQ18" s="39">
        <f>AO18+AP18</f>
        <v>52</v>
      </c>
    </row>
    <row r="19" spans="1:43" s="34" customFormat="1" ht="19" x14ac:dyDescent="0.4">
      <c r="A19" s="39">
        <v>14</v>
      </c>
      <c r="B19" s="66"/>
      <c r="C19" s="10"/>
      <c r="D19" s="10"/>
      <c r="E19" s="66" t="s">
        <v>40</v>
      </c>
      <c r="F19" s="22" t="s">
        <v>12</v>
      </c>
      <c r="G19" s="22" t="s">
        <v>12</v>
      </c>
      <c r="H19" s="23" t="s">
        <v>12</v>
      </c>
      <c r="I19" s="23" t="s">
        <v>12</v>
      </c>
      <c r="J19" s="23" t="s">
        <v>12</v>
      </c>
      <c r="K19" s="224"/>
      <c r="L19" s="22" t="s">
        <v>12</v>
      </c>
      <c r="M19" s="23" t="s">
        <v>12</v>
      </c>
      <c r="N19" s="23" t="s">
        <v>12</v>
      </c>
      <c r="O19" s="23" t="s">
        <v>12</v>
      </c>
      <c r="P19" s="23" t="s">
        <v>12</v>
      </c>
      <c r="Q19" s="23" t="s">
        <v>12</v>
      </c>
      <c r="R19" s="224"/>
      <c r="S19" s="224"/>
      <c r="T19" s="23" t="s">
        <v>12</v>
      </c>
      <c r="U19" s="23" t="s">
        <v>12</v>
      </c>
      <c r="V19" s="23" t="s">
        <v>12</v>
      </c>
      <c r="W19" s="23" t="s">
        <v>12</v>
      </c>
      <c r="X19" s="23" t="s">
        <v>12</v>
      </c>
      <c r="Y19" s="224"/>
      <c r="Z19" s="22" t="s">
        <v>12</v>
      </c>
      <c r="AA19" s="23" t="s">
        <v>12</v>
      </c>
      <c r="AB19" s="23" t="s">
        <v>12</v>
      </c>
      <c r="AC19" s="23" t="s">
        <v>12</v>
      </c>
      <c r="AD19" s="23" t="s">
        <v>12</v>
      </c>
      <c r="AE19" s="23" t="s">
        <v>12</v>
      </c>
      <c r="AF19" s="224"/>
      <c r="AG19" s="22" t="s">
        <v>12</v>
      </c>
      <c r="AH19" s="23" t="s">
        <v>12</v>
      </c>
      <c r="AI19" s="23" t="s">
        <v>12</v>
      </c>
      <c r="AJ19" s="23" t="s">
        <v>12</v>
      </c>
      <c r="AK19" s="39">
        <f t="shared" si="0"/>
        <v>26</v>
      </c>
      <c r="AL19" s="39">
        <f t="shared" si="1"/>
        <v>0</v>
      </c>
      <c r="AN19" s="39" t="s">
        <v>22</v>
      </c>
      <c r="AO19" s="44">
        <f>AO18/AO17</f>
        <v>8.8461538461538466E-2</v>
      </c>
      <c r="AP19" s="44">
        <f>AP18/AP17</f>
        <v>2.3076923076923078E-2</v>
      </c>
      <c r="AQ19" s="44">
        <f>AQ18/AQ17</f>
        <v>6.6666666666666666E-2</v>
      </c>
    </row>
    <row r="20" spans="1:43" s="34" customFormat="1" ht="19" x14ac:dyDescent="0.4">
      <c r="A20" s="39">
        <v>15</v>
      </c>
      <c r="B20" s="66"/>
      <c r="C20" s="10"/>
      <c r="D20" s="10"/>
      <c r="E20" s="66" t="s">
        <v>40</v>
      </c>
      <c r="F20" s="22" t="s">
        <v>11</v>
      </c>
      <c r="G20" s="22" t="s">
        <v>12</v>
      </c>
      <c r="H20" s="23" t="s">
        <v>12</v>
      </c>
      <c r="I20" s="23" t="s">
        <v>12</v>
      </c>
      <c r="J20" s="23" t="s">
        <v>12</v>
      </c>
      <c r="K20" s="224"/>
      <c r="L20" s="22" t="s">
        <v>12</v>
      </c>
      <c r="M20" s="23" t="s">
        <v>12</v>
      </c>
      <c r="N20" s="23" t="s">
        <v>12</v>
      </c>
      <c r="O20" s="23" t="s">
        <v>12</v>
      </c>
      <c r="P20" s="23" t="s">
        <v>12</v>
      </c>
      <c r="Q20" s="23" t="s">
        <v>12</v>
      </c>
      <c r="R20" s="224"/>
      <c r="S20" s="224"/>
      <c r="T20" s="23" t="s">
        <v>12</v>
      </c>
      <c r="U20" s="23" t="s">
        <v>12</v>
      </c>
      <c r="V20" s="23" t="s">
        <v>12</v>
      </c>
      <c r="W20" s="23" t="s">
        <v>12</v>
      </c>
      <c r="X20" s="23" t="s">
        <v>12</v>
      </c>
      <c r="Y20" s="224"/>
      <c r="Z20" s="22" t="s">
        <v>12</v>
      </c>
      <c r="AA20" s="23" t="s">
        <v>12</v>
      </c>
      <c r="AB20" s="23" t="s">
        <v>12</v>
      </c>
      <c r="AC20" s="23" t="s">
        <v>12</v>
      </c>
      <c r="AD20" s="23" t="s">
        <v>12</v>
      </c>
      <c r="AE20" s="23" t="s">
        <v>12</v>
      </c>
      <c r="AF20" s="224"/>
      <c r="AG20" s="22" t="s">
        <v>12</v>
      </c>
      <c r="AH20" s="23" t="s">
        <v>12</v>
      </c>
      <c r="AI20" s="23" t="s">
        <v>12</v>
      </c>
      <c r="AJ20" s="23" t="s">
        <v>12</v>
      </c>
      <c r="AK20" s="39">
        <f t="shared" si="0"/>
        <v>25</v>
      </c>
      <c r="AL20" s="39">
        <f t="shared" si="1"/>
        <v>1</v>
      </c>
    </row>
    <row r="21" spans="1:43" s="34" customFormat="1" ht="19" x14ac:dyDescent="0.4">
      <c r="A21" s="39">
        <v>16</v>
      </c>
      <c r="B21" s="66"/>
      <c r="C21" s="10"/>
      <c r="D21" s="10"/>
      <c r="E21" s="66" t="s">
        <v>40</v>
      </c>
      <c r="F21" s="22" t="s">
        <v>12</v>
      </c>
      <c r="G21" s="22" t="s">
        <v>12</v>
      </c>
      <c r="H21" s="23" t="s">
        <v>12</v>
      </c>
      <c r="I21" s="23" t="s">
        <v>12</v>
      </c>
      <c r="J21" s="23" t="s">
        <v>12</v>
      </c>
      <c r="K21" s="224"/>
      <c r="L21" s="22" t="s">
        <v>12</v>
      </c>
      <c r="M21" s="23" t="s">
        <v>12</v>
      </c>
      <c r="N21" s="23" t="s">
        <v>12</v>
      </c>
      <c r="O21" s="23" t="s">
        <v>12</v>
      </c>
      <c r="P21" s="23" t="s">
        <v>12</v>
      </c>
      <c r="Q21" s="23" t="s">
        <v>12</v>
      </c>
      <c r="R21" s="224"/>
      <c r="S21" s="224"/>
      <c r="T21" s="23" t="s">
        <v>12</v>
      </c>
      <c r="U21" s="23" t="s">
        <v>12</v>
      </c>
      <c r="V21" s="23" t="s">
        <v>12</v>
      </c>
      <c r="W21" s="23" t="s">
        <v>12</v>
      </c>
      <c r="X21" s="23" t="s">
        <v>12</v>
      </c>
      <c r="Y21" s="224"/>
      <c r="Z21" s="22" t="s">
        <v>12</v>
      </c>
      <c r="AA21" s="23" t="s">
        <v>12</v>
      </c>
      <c r="AB21" s="23" t="s">
        <v>12</v>
      </c>
      <c r="AC21" s="23" t="s">
        <v>12</v>
      </c>
      <c r="AD21" s="23" t="s">
        <v>12</v>
      </c>
      <c r="AE21" s="23" t="s">
        <v>12</v>
      </c>
      <c r="AF21" s="224"/>
      <c r="AG21" s="22" t="s">
        <v>12</v>
      </c>
      <c r="AH21" s="23" t="s">
        <v>12</v>
      </c>
      <c r="AI21" s="23" t="s">
        <v>12</v>
      </c>
      <c r="AJ21" s="23" t="s">
        <v>12</v>
      </c>
      <c r="AK21" s="60">
        <f t="shared" si="0"/>
        <v>26</v>
      </c>
      <c r="AL21" s="39">
        <f t="shared" si="1"/>
        <v>0</v>
      </c>
    </row>
    <row r="22" spans="1:43" s="34" customFormat="1" ht="19" x14ac:dyDescent="0.4">
      <c r="A22" s="39">
        <v>17</v>
      </c>
      <c r="B22" s="66"/>
      <c r="C22" s="10"/>
      <c r="D22" s="10"/>
      <c r="E22" s="66" t="s">
        <v>40</v>
      </c>
      <c r="F22" s="22" t="s">
        <v>12</v>
      </c>
      <c r="G22" s="22" t="s">
        <v>12</v>
      </c>
      <c r="H22" s="22" t="s">
        <v>12</v>
      </c>
      <c r="I22" s="23" t="s">
        <v>12</v>
      </c>
      <c r="J22" s="23" t="s">
        <v>12</v>
      </c>
      <c r="K22" s="224"/>
      <c r="L22" s="22" t="s">
        <v>12</v>
      </c>
      <c r="M22" s="23" t="s">
        <v>12</v>
      </c>
      <c r="N22" s="23" t="s">
        <v>12</v>
      </c>
      <c r="O22" s="23" t="s">
        <v>12</v>
      </c>
      <c r="P22" s="22" t="s">
        <v>12</v>
      </c>
      <c r="Q22" s="22" t="s">
        <v>12</v>
      </c>
      <c r="R22" s="224"/>
      <c r="S22" s="224"/>
      <c r="T22" s="22" t="s">
        <v>12</v>
      </c>
      <c r="U22" s="23" t="s">
        <v>12</v>
      </c>
      <c r="V22" s="23" t="s">
        <v>12</v>
      </c>
      <c r="W22" s="22" t="s">
        <v>12</v>
      </c>
      <c r="X22" s="22" t="s">
        <v>12</v>
      </c>
      <c r="Y22" s="224"/>
      <c r="Z22" s="22" t="s">
        <v>12</v>
      </c>
      <c r="AA22" s="22" t="s">
        <v>12</v>
      </c>
      <c r="AB22" s="22" t="s">
        <v>12</v>
      </c>
      <c r="AC22" s="22" t="s">
        <v>12</v>
      </c>
      <c r="AD22" s="22" t="s">
        <v>12</v>
      </c>
      <c r="AE22" s="22" t="s">
        <v>12</v>
      </c>
      <c r="AF22" s="224"/>
      <c r="AG22" s="22" t="s">
        <v>12</v>
      </c>
      <c r="AH22" s="22" t="s">
        <v>12</v>
      </c>
      <c r="AI22" s="22" t="s">
        <v>12</v>
      </c>
      <c r="AJ22" s="22" t="s">
        <v>12</v>
      </c>
      <c r="AK22" s="60">
        <f t="shared" si="0"/>
        <v>26</v>
      </c>
      <c r="AL22" s="39">
        <f t="shared" si="1"/>
        <v>0</v>
      </c>
    </row>
    <row r="23" spans="1:43" s="34" customFormat="1" ht="19" x14ac:dyDescent="0.4">
      <c r="A23" s="39">
        <v>18</v>
      </c>
      <c r="B23" s="66"/>
      <c r="C23" s="10"/>
      <c r="D23" s="10"/>
      <c r="E23" s="66" t="s">
        <v>40</v>
      </c>
      <c r="F23" s="22" t="s">
        <v>12</v>
      </c>
      <c r="G23" s="22" t="s">
        <v>12</v>
      </c>
      <c r="H23" s="22" t="s">
        <v>12</v>
      </c>
      <c r="I23" s="23" t="s">
        <v>12</v>
      </c>
      <c r="J23" s="23" t="s">
        <v>12</v>
      </c>
      <c r="K23" s="224"/>
      <c r="L23" s="22" t="s">
        <v>12</v>
      </c>
      <c r="M23" s="23" t="s">
        <v>12</v>
      </c>
      <c r="N23" s="23" t="s">
        <v>12</v>
      </c>
      <c r="O23" s="23" t="s">
        <v>12</v>
      </c>
      <c r="P23" s="22" t="s">
        <v>12</v>
      </c>
      <c r="Q23" s="22" t="s">
        <v>12</v>
      </c>
      <c r="R23" s="224"/>
      <c r="S23" s="224"/>
      <c r="T23" s="22" t="s">
        <v>12</v>
      </c>
      <c r="U23" s="23" t="s">
        <v>12</v>
      </c>
      <c r="V23" s="23" t="s">
        <v>12</v>
      </c>
      <c r="W23" s="22" t="s">
        <v>12</v>
      </c>
      <c r="X23" s="22" t="s">
        <v>12</v>
      </c>
      <c r="Y23" s="224"/>
      <c r="Z23" s="22" t="s">
        <v>12</v>
      </c>
      <c r="AA23" s="22" t="s">
        <v>12</v>
      </c>
      <c r="AB23" s="22" t="s">
        <v>12</v>
      </c>
      <c r="AC23" s="22" t="s">
        <v>12</v>
      </c>
      <c r="AD23" s="22" t="s">
        <v>12</v>
      </c>
      <c r="AE23" s="22" t="s">
        <v>12</v>
      </c>
      <c r="AF23" s="224"/>
      <c r="AG23" s="22" t="s">
        <v>12</v>
      </c>
      <c r="AH23" s="22" t="s">
        <v>12</v>
      </c>
      <c r="AI23" s="22" t="s">
        <v>12</v>
      </c>
      <c r="AJ23" s="22" t="s">
        <v>12</v>
      </c>
      <c r="AK23" s="60">
        <f t="shared" si="0"/>
        <v>26</v>
      </c>
      <c r="AL23" s="39">
        <f t="shared" si="1"/>
        <v>0</v>
      </c>
    </row>
    <row r="24" spans="1:43" s="34" customFormat="1" ht="19" x14ac:dyDescent="0.4">
      <c r="A24" s="39">
        <v>19</v>
      </c>
      <c r="B24" s="66"/>
      <c r="C24" s="10"/>
      <c r="D24" s="10"/>
      <c r="E24" s="66" t="s">
        <v>40</v>
      </c>
      <c r="F24" s="22" t="s">
        <v>12</v>
      </c>
      <c r="G24" s="22" t="s">
        <v>12</v>
      </c>
      <c r="H24" s="23" t="s">
        <v>12</v>
      </c>
      <c r="I24" s="23" t="s">
        <v>12</v>
      </c>
      <c r="J24" s="23" t="s">
        <v>12</v>
      </c>
      <c r="K24" s="224"/>
      <c r="L24" s="22" t="s">
        <v>12</v>
      </c>
      <c r="M24" s="23" t="s">
        <v>12</v>
      </c>
      <c r="N24" s="23" t="s">
        <v>12</v>
      </c>
      <c r="O24" s="23" t="s">
        <v>12</v>
      </c>
      <c r="P24" s="23" t="s">
        <v>12</v>
      </c>
      <c r="Q24" s="23" t="s">
        <v>12</v>
      </c>
      <c r="R24" s="224"/>
      <c r="S24" s="224"/>
      <c r="T24" s="23" t="s">
        <v>12</v>
      </c>
      <c r="U24" s="23" t="s">
        <v>12</v>
      </c>
      <c r="V24" s="23" t="s">
        <v>12</v>
      </c>
      <c r="W24" s="23" t="s">
        <v>12</v>
      </c>
      <c r="X24" s="23" t="s">
        <v>12</v>
      </c>
      <c r="Y24" s="224"/>
      <c r="Z24" s="22" t="s">
        <v>12</v>
      </c>
      <c r="AA24" s="23" t="s">
        <v>12</v>
      </c>
      <c r="AB24" s="23" t="s">
        <v>12</v>
      </c>
      <c r="AC24" s="23" t="s">
        <v>12</v>
      </c>
      <c r="AD24" s="23" t="s">
        <v>12</v>
      </c>
      <c r="AE24" s="23" t="s">
        <v>12</v>
      </c>
      <c r="AF24" s="224"/>
      <c r="AG24" s="22" t="s">
        <v>12</v>
      </c>
      <c r="AH24" s="23" t="s">
        <v>12</v>
      </c>
      <c r="AI24" s="23" t="s">
        <v>12</v>
      </c>
      <c r="AJ24" s="23" t="s">
        <v>12</v>
      </c>
      <c r="AK24" s="39">
        <f t="shared" si="0"/>
        <v>26</v>
      </c>
      <c r="AL24" s="39">
        <f t="shared" si="1"/>
        <v>0</v>
      </c>
    </row>
    <row r="25" spans="1:43" s="34" customFormat="1" ht="19" x14ac:dyDescent="0.4">
      <c r="A25" s="39">
        <v>20</v>
      </c>
      <c r="B25" s="66"/>
      <c r="C25" s="10"/>
      <c r="D25" s="10"/>
      <c r="E25" s="66" t="s">
        <v>40</v>
      </c>
      <c r="F25" s="22" t="s">
        <v>12</v>
      </c>
      <c r="G25" s="22" t="s">
        <v>12</v>
      </c>
      <c r="H25" s="23" t="s">
        <v>12</v>
      </c>
      <c r="I25" s="23" t="s">
        <v>12</v>
      </c>
      <c r="J25" s="23" t="s">
        <v>12</v>
      </c>
      <c r="K25" s="224"/>
      <c r="L25" s="22" t="s">
        <v>12</v>
      </c>
      <c r="M25" s="23" t="s">
        <v>12</v>
      </c>
      <c r="N25" s="23" t="s">
        <v>12</v>
      </c>
      <c r="O25" s="23" t="s">
        <v>12</v>
      </c>
      <c r="P25" s="23" t="s">
        <v>12</v>
      </c>
      <c r="Q25" s="23" t="s">
        <v>12</v>
      </c>
      <c r="R25" s="224"/>
      <c r="S25" s="224"/>
      <c r="T25" s="23" t="s">
        <v>12</v>
      </c>
      <c r="U25" s="23" t="s">
        <v>12</v>
      </c>
      <c r="V25" s="23" t="s">
        <v>12</v>
      </c>
      <c r="W25" s="23" t="s">
        <v>12</v>
      </c>
      <c r="X25" s="23" t="s">
        <v>12</v>
      </c>
      <c r="Y25" s="224"/>
      <c r="Z25" s="22" t="s">
        <v>12</v>
      </c>
      <c r="AA25" s="23" t="s">
        <v>12</v>
      </c>
      <c r="AB25" s="23" t="s">
        <v>11</v>
      </c>
      <c r="AC25" s="23" t="s">
        <v>12</v>
      </c>
      <c r="AD25" s="23" t="s">
        <v>12</v>
      </c>
      <c r="AE25" s="23" t="s">
        <v>12</v>
      </c>
      <c r="AF25" s="224"/>
      <c r="AG25" s="22" t="s">
        <v>12</v>
      </c>
      <c r="AH25" s="23" t="s">
        <v>12</v>
      </c>
      <c r="AI25" s="23" t="s">
        <v>12</v>
      </c>
      <c r="AJ25" s="23" t="s">
        <v>12</v>
      </c>
      <c r="AK25" s="39">
        <f t="shared" si="0"/>
        <v>25</v>
      </c>
      <c r="AL25" s="39">
        <f t="shared" si="1"/>
        <v>1</v>
      </c>
    </row>
    <row r="26" spans="1:43" s="34" customFormat="1" ht="19" x14ac:dyDescent="0.4">
      <c r="A26" s="39">
        <v>21</v>
      </c>
      <c r="B26" s="66"/>
      <c r="C26" s="10"/>
      <c r="D26" s="10"/>
      <c r="E26" s="66" t="s">
        <v>40</v>
      </c>
      <c r="F26" s="22" t="s">
        <v>11</v>
      </c>
      <c r="G26" s="22" t="s">
        <v>11</v>
      </c>
      <c r="H26" s="22" t="s">
        <v>11</v>
      </c>
      <c r="I26" s="23" t="s">
        <v>11</v>
      </c>
      <c r="J26" s="23" t="s">
        <v>11</v>
      </c>
      <c r="K26" s="224"/>
      <c r="L26" s="22" t="s">
        <v>11</v>
      </c>
      <c r="M26" s="23" t="s">
        <v>11</v>
      </c>
      <c r="N26" s="23" t="s">
        <v>11</v>
      </c>
      <c r="O26" s="23" t="s">
        <v>11</v>
      </c>
      <c r="P26" s="22" t="s">
        <v>11</v>
      </c>
      <c r="Q26" s="22" t="s">
        <v>11</v>
      </c>
      <c r="R26" s="224"/>
      <c r="S26" s="224"/>
      <c r="T26" s="22" t="s">
        <v>12</v>
      </c>
      <c r="U26" s="23" t="s">
        <v>12</v>
      </c>
      <c r="V26" s="23" t="s">
        <v>12</v>
      </c>
      <c r="W26" s="22" t="s">
        <v>12</v>
      </c>
      <c r="X26" s="22" t="s">
        <v>12</v>
      </c>
      <c r="Y26" s="224"/>
      <c r="Z26" s="22" t="s">
        <v>12</v>
      </c>
      <c r="AA26" s="22" t="s">
        <v>12</v>
      </c>
      <c r="AB26" s="22" t="s">
        <v>12</v>
      </c>
      <c r="AC26" s="22" t="s">
        <v>12</v>
      </c>
      <c r="AD26" s="22" t="s">
        <v>12</v>
      </c>
      <c r="AE26" s="22" t="s">
        <v>12</v>
      </c>
      <c r="AF26" s="224"/>
      <c r="AG26" s="22" t="s">
        <v>12</v>
      </c>
      <c r="AH26" s="22" t="s">
        <v>12</v>
      </c>
      <c r="AI26" s="22" t="s">
        <v>12</v>
      </c>
      <c r="AJ26" s="22" t="s">
        <v>12</v>
      </c>
      <c r="AK26" s="39">
        <f t="shared" si="0"/>
        <v>15</v>
      </c>
      <c r="AL26" s="39">
        <f t="shared" si="1"/>
        <v>11</v>
      </c>
    </row>
    <row r="27" spans="1:43" s="34" customFormat="1" ht="19" x14ac:dyDescent="0.4">
      <c r="A27" s="39">
        <v>22</v>
      </c>
      <c r="B27" s="66"/>
      <c r="C27" s="10"/>
      <c r="D27" s="10"/>
      <c r="E27" s="66" t="s">
        <v>40</v>
      </c>
      <c r="F27" s="22" t="s">
        <v>11</v>
      </c>
      <c r="G27" s="22" t="s">
        <v>11</v>
      </c>
      <c r="H27" s="23" t="s">
        <v>11</v>
      </c>
      <c r="I27" s="23" t="s">
        <v>11</v>
      </c>
      <c r="J27" s="23" t="s">
        <v>11</v>
      </c>
      <c r="K27" s="224"/>
      <c r="L27" s="22" t="s">
        <v>12</v>
      </c>
      <c r="M27" s="23" t="s">
        <v>12</v>
      </c>
      <c r="N27" s="23" t="s">
        <v>12</v>
      </c>
      <c r="O27" s="23" t="s">
        <v>12</v>
      </c>
      <c r="P27" s="23" t="s">
        <v>12</v>
      </c>
      <c r="Q27" s="23" t="s">
        <v>12</v>
      </c>
      <c r="R27" s="224"/>
      <c r="S27" s="224"/>
      <c r="T27" s="23" t="s">
        <v>12</v>
      </c>
      <c r="U27" s="23" t="s">
        <v>12</v>
      </c>
      <c r="V27" s="23" t="s">
        <v>12</v>
      </c>
      <c r="W27" s="23" t="s">
        <v>12</v>
      </c>
      <c r="X27" s="23" t="s">
        <v>12</v>
      </c>
      <c r="Y27" s="224"/>
      <c r="Z27" s="22" t="s">
        <v>12</v>
      </c>
      <c r="AA27" s="23" t="s">
        <v>12</v>
      </c>
      <c r="AB27" s="23" t="s">
        <v>12</v>
      </c>
      <c r="AC27" s="23" t="s">
        <v>12</v>
      </c>
      <c r="AD27" s="23" t="s">
        <v>12</v>
      </c>
      <c r="AE27" s="23" t="s">
        <v>12</v>
      </c>
      <c r="AF27" s="224"/>
      <c r="AG27" s="22" t="s">
        <v>12</v>
      </c>
      <c r="AH27" s="23" t="s">
        <v>12</v>
      </c>
      <c r="AI27" s="23" t="s">
        <v>12</v>
      </c>
      <c r="AJ27" s="23" t="s">
        <v>12</v>
      </c>
      <c r="AK27" s="60">
        <f t="shared" si="0"/>
        <v>21</v>
      </c>
      <c r="AL27" s="39">
        <f t="shared" si="1"/>
        <v>5</v>
      </c>
    </row>
    <row r="28" spans="1:43" s="34" customFormat="1" ht="19" x14ac:dyDescent="0.4">
      <c r="A28" s="39">
        <v>23</v>
      </c>
      <c r="B28" s="66"/>
      <c r="C28" s="10"/>
      <c r="D28" s="10"/>
      <c r="E28" s="66" t="s">
        <v>40</v>
      </c>
      <c r="F28" s="22" t="s">
        <v>11</v>
      </c>
      <c r="G28" s="22" t="s">
        <v>11</v>
      </c>
      <c r="H28" s="23" t="s">
        <v>12</v>
      </c>
      <c r="I28" s="23" t="s">
        <v>12</v>
      </c>
      <c r="J28" s="23" t="s">
        <v>12</v>
      </c>
      <c r="K28" s="224"/>
      <c r="L28" s="22" t="s">
        <v>12</v>
      </c>
      <c r="M28" s="23" t="s">
        <v>12</v>
      </c>
      <c r="N28" s="23" t="s">
        <v>12</v>
      </c>
      <c r="O28" s="23" t="s">
        <v>12</v>
      </c>
      <c r="P28" s="23" t="s">
        <v>12</v>
      </c>
      <c r="Q28" s="23" t="s">
        <v>12</v>
      </c>
      <c r="R28" s="224"/>
      <c r="S28" s="224"/>
      <c r="T28" s="23" t="s">
        <v>12</v>
      </c>
      <c r="U28" s="23" t="s">
        <v>12</v>
      </c>
      <c r="V28" s="23" t="s">
        <v>12</v>
      </c>
      <c r="W28" s="23" t="s">
        <v>12</v>
      </c>
      <c r="X28" s="23" t="s">
        <v>12</v>
      </c>
      <c r="Y28" s="224"/>
      <c r="Z28" s="22" t="s">
        <v>12</v>
      </c>
      <c r="AA28" s="23" t="s">
        <v>12</v>
      </c>
      <c r="AB28" s="23" t="s">
        <v>12</v>
      </c>
      <c r="AC28" s="23" t="s">
        <v>12</v>
      </c>
      <c r="AD28" s="23" t="s">
        <v>12</v>
      </c>
      <c r="AE28" s="23" t="s">
        <v>12</v>
      </c>
      <c r="AF28" s="224"/>
      <c r="AG28" s="22" t="s">
        <v>12</v>
      </c>
      <c r="AH28" s="23" t="s">
        <v>12</v>
      </c>
      <c r="AI28" s="23" t="s">
        <v>12</v>
      </c>
      <c r="AJ28" s="23" t="s">
        <v>12</v>
      </c>
      <c r="AK28" s="39">
        <f t="shared" si="0"/>
        <v>24</v>
      </c>
      <c r="AL28" s="39">
        <f t="shared" si="1"/>
        <v>2</v>
      </c>
    </row>
    <row r="29" spans="1:43" s="34" customFormat="1" ht="19" x14ac:dyDescent="0.4">
      <c r="A29" s="39">
        <v>24</v>
      </c>
      <c r="B29" s="66"/>
      <c r="C29" s="10"/>
      <c r="D29" s="10"/>
      <c r="E29" s="66" t="s">
        <v>40</v>
      </c>
      <c r="F29" s="22" t="s">
        <v>11</v>
      </c>
      <c r="G29" s="22" t="s">
        <v>12</v>
      </c>
      <c r="H29" s="23" t="s">
        <v>12</v>
      </c>
      <c r="I29" s="23" t="s">
        <v>12</v>
      </c>
      <c r="J29" s="23" t="s">
        <v>12</v>
      </c>
      <c r="K29" s="224"/>
      <c r="L29" s="22" t="s">
        <v>12</v>
      </c>
      <c r="M29" s="23" t="s">
        <v>12</v>
      </c>
      <c r="N29" s="23" t="s">
        <v>12</v>
      </c>
      <c r="O29" s="23" t="s">
        <v>12</v>
      </c>
      <c r="P29" s="23" t="s">
        <v>12</v>
      </c>
      <c r="Q29" s="23" t="s">
        <v>12</v>
      </c>
      <c r="R29" s="224"/>
      <c r="S29" s="224"/>
      <c r="T29" s="23" t="s">
        <v>12</v>
      </c>
      <c r="U29" s="23" t="s">
        <v>12</v>
      </c>
      <c r="V29" s="100" t="s">
        <v>12</v>
      </c>
      <c r="W29" s="23" t="s">
        <v>12</v>
      </c>
      <c r="X29" s="23" t="s">
        <v>12</v>
      </c>
      <c r="Y29" s="224"/>
      <c r="Z29" s="22" t="s">
        <v>12</v>
      </c>
      <c r="AA29" s="23" t="s">
        <v>12</v>
      </c>
      <c r="AB29" s="23" t="s">
        <v>12</v>
      </c>
      <c r="AC29" s="23" t="s">
        <v>12</v>
      </c>
      <c r="AD29" s="23" t="s">
        <v>12</v>
      </c>
      <c r="AE29" s="23" t="s">
        <v>12</v>
      </c>
      <c r="AF29" s="224"/>
      <c r="AG29" s="22" t="s">
        <v>12</v>
      </c>
      <c r="AH29" s="23" t="s">
        <v>12</v>
      </c>
      <c r="AI29" s="23" t="s">
        <v>12</v>
      </c>
      <c r="AJ29" s="23" t="s">
        <v>12</v>
      </c>
      <c r="AK29" s="39">
        <f t="shared" si="0"/>
        <v>25</v>
      </c>
      <c r="AL29" s="39">
        <f t="shared" si="1"/>
        <v>1</v>
      </c>
    </row>
    <row r="30" spans="1:43" s="34" customFormat="1" ht="19" x14ac:dyDescent="0.4">
      <c r="A30" s="39">
        <v>25</v>
      </c>
      <c r="B30" s="66"/>
      <c r="C30" s="10"/>
      <c r="D30" s="10"/>
      <c r="E30" s="66" t="s">
        <v>40</v>
      </c>
      <c r="F30" s="22" t="s">
        <v>11</v>
      </c>
      <c r="G30" s="22" t="s">
        <v>11</v>
      </c>
      <c r="H30" s="23" t="s">
        <v>12</v>
      </c>
      <c r="I30" s="23" t="s">
        <v>12</v>
      </c>
      <c r="J30" s="23" t="s">
        <v>12</v>
      </c>
      <c r="K30" s="224"/>
      <c r="L30" s="22" t="s">
        <v>12</v>
      </c>
      <c r="M30" s="23" t="s">
        <v>12</v>
      </c>
      <c r="N30" s="23" t="s">
        <v>12</v>
      </c>
      <c r="O30" s="23" t="s">
        <v>12</v>
      </c>
      <c r="P30" s="23" t="s">
        <v>12</v>
      </c>
      <c r="Q30" s="23" t="s">
        <v>12</v>
      </c>
      <c r="R30" s="224"/>
      <c r="S30" s="224"/>
      <c r="T30" s="23" t="s">
        <v>12</v>
      </c>
      <c r="U30" s="23" t="s">
        <v>12</v>
      </c>
      <c r="V30" s="23" t="s">
        <v>12</v>
      </c>
      <c r="W30" s="23" t="s">
        <v>12</v>
      </c>
      <c r="X30" s="23" t="s">
        <v>12</v>
      </c>
      <c r="Y30" s="224"/>
      <c r="Z30" s="22" t="s">
        <v>12</v>
      </c>
      <c r="AA30" s="23" t="s">
        <v>12</v>
      </c>
      <c r="AB30" s="23" t="s">
        <v>12</v>
      </c>
      <c r="AC30" s="23" t="s">
        <v>12</v>
      </c>
      <c r="AD30" s="23" t="s">
        <v>12</v>
      </c>
      <c r="AE30" s="23" t="s">
        <v>12</v>
      </c>
      <c r="AF30" s="224"/>
      <c r="AG30" s="22" t="s">
        <v>12</v>
      </c>
      <c r="AH30" s="23" t="s">
        <v>12</v>
      </c>
      <c r="AI30" s="23" t="s">
        <v>12</v>
      </c>
      <c r="AJ30" s="23" t="s">
        <v>12</v>
      </c>
      <c r="AK30" s="39">
        <f t="shared" si="0"/>
        <v>24</v>
      </c>
      <c r="AL30" s="39">
        <f t="shared" si="1"/>
        <v>2</v>
      </c>
    </row>
    <row r="31" spans="1:43" s="70" customFormat="1" ht="19" x14ac:dyDescent="0.4">
      <c r="A31" s="39">
        <v>26</v>
      </c>
      <c r="B31" s="66"/>
      <c r="C31" s="10"/>
      <c r="D31" s="10"/>
      <c r="E31" s="66" t="s">
        <v>40</v>
      </c>
      <c r="F31" s="22" t="s">
        <v>12</v>
      </c>
      <c r="G31" s="22" t="s">
        <v>12</v>
      </c>
      <c r="H31" s="100" t="s">
        <v>12</v>
      </c>
      <c r="I31" s="23" t="s">
        <v>12</v>
      </c>
      <c r="J31" s="23" t="s">
        <v>11</v>
      </c>
      <c r="K31" s="224"/>
      <c r="L31" s="22" t="s">
        <v>12</v>
      </c>
      <c r="M31" s="23" t="s">
        <v>12</v>
      </c>
      <c r="N31" s="23" t="s">
        <v>12</v>
      </c>
      <c r="O31" s="100" t="s">
        <v>12</v>
      </c>
      <c r="P31" s="100" t="s">
        <v>12</v>
      </c>
      <c r="Q31" s="100" t="s">
        <v>12</v>
      </c>
      <c r="R31" s="224"/>
      <c r="S31" s="224"/>
      <c r="T31" s="100" t="s">
        <v>12</v>
      </c>
      <c r="U31" s="23" t="s">
        <v>12</v>
      </c>
      <c r="V31" s="23" t="s">
        <v>12</v>
      </c>
      <c r="W31" s="100" t="s">
        <v>11</v>
      </c>
      <c r="X31" s="100" t="s">
        <v>12</v>
      </c>
      <c r="Y31" s="224"/>
      <c r="Z31" s="22" t="s">
        <v>12</v>
      </c>
      <c r="AA31" s="100" t="s">
        <v>12</v>
      </c>
      <c r="AB31" s="100" t="s">
        <v>12</v>
      </c>
      <c r="AC31" s="100" t="s">
        <v>12</v>
      </c>
      <c r="AD31" s="100" t="s">
        <v>12</v>
      </c>
      <c r="AE31" s="100" t="s">
        <v>12</v>
      </c>
      <c r="AF31" s="224"/>
      <c r="AG31" s="22" t="s">
        <v>12</v>
      </c>
      <c r="AH31" s="100" t="s">
        <v>12</v>
      </c>
      <c r="AI31" s="100" t="s">
        <v>12</v>
      </c>
      <c r="AJ31" s="100" t="s">
        <v>12</v>
      </c>
      <c r="AK31" s="39">
        <f t="shared" si="0"/>
        <v>24</v>
      </c>
      <c r="AL31" s="39">
        <f t="shared" si="1"/>
        <v>2</v>
      </c>
      <c r="AN31" s="34"/>
      <c r="AO31" s="34"/>
      <c r="AP31" s="34"/>
      <c r="AQ31" s="34"/>
    </row>
    <row r="32" spans="1:43" s="34" customFormat="1" ht="19" x14ac:dyDescent="0.4">
      <c r="A32" s="39">
        <v>27</v>
      </c>
      <c r="B32" s="66"/>
      <c r="C32" s="10"/>
      <c r="D32" s="10"/>
      <c r="E32" s="101" t="s">
        <v>40</v>
      </c>
      <c r="F32" s="22" t="s">
        <v>12</v>
      </c>
      <c r="G32" s="22" t="s">
        <v>12</v>
      </c>
      <c r="H32" s="23" t="s">
        <v>12</v>
      </c>
      <c r="I32" s="23" t="s">
        <v>12</v>
      </c>
      <c r="J32" s="23" t="s">
        <v>12</v>
      </c>
      <c r="K32" s="224"/>
      <c r="L32" s="22" t="s">
        <v>12</v>
      </c>
      <c r="M32" s="23" t="s">
        <v>12</v>
      </c>
      <c r="N32" s="23" t="s">
        <v>12</v>
      </c>
      <c r="O32" s="23" t="s">
        <v>12</v>
      </c>
      <c r="P32" s="23" t="s">
        <v>12</v>
      </c>
      <c r="Q32" s="23" t="s">
        <v>12</v>
      </c>
      <c r="R32" s="224"/>
      <c r="S32" s="224"/>
      <c r="T32" s="23" t="s">
        <v>12</v>
      </c>
      <c r="U32" s="23" t="s">
        <v>12</v>
      </c>
      <c r="V32" s="23" t="s">
        <v>12</v>
      </c>
      <c r="W32" s="23" t="s">
        <v>12</v>
      </c>
      <c r="X32" s="23" t="s">
        <v>12</v>
      </c>
      <c r="Y32" s="224"/>
      <c r="Z32" s="22" t="s">
        <v>12</v>
      </c>
      <c r="AA32" s="23" t="s">
        <v>12</v>
      </c>
      <c r="AB32" s="23" t="s">
        <v>12</v>
      </c>
      <c r="AC32" s="23" t="s">
        <v>12</v>
      </c>
      <c r="AD32" s="23" t="s">
        <v>12</v>
      </c>
      <c r="AE32" s="23" t="s">
        <v>12</v>
      </c>
      <c r="AF32" s="224"/>
      <c r="AG32" s="22" t="s">
        <v>12</v>
      </c>
      <c r="AH32" s="23" t="s">
        <v>12</v>
      </c>
      <c r="AI32" s="23" t="s">
        <v>12</v>
      </c>
      <c r="AJ32" s="23" t="s">
        <v>12</v>
      </c>
      <c r="AK32" s="39">
        <f t="shared" si="0"/>
        <v>26</v>
      </c>
      <c r="AL32" s="39">
        <f t="shared" si="1"/>
        <v>0</v>
      </c>
      <c r="AN32" s="70"/>
      <c r="AO32" s="70"/>
      <c r="AP32" s="70"/>
      <c r="AQ32" s="70"/>
    </row>
    <row r="33" spans="1:43" s="34" customFormat="1" ht="19" x14ac:dyDescent="0.4">
      <c r="A33" s="39">
        <v>28</v>
      </c>
      <c r="B33" s="102"/>
      <c r="C33" s="10"/>
      <c r="D33" s="10"/>
      <c r="E33" s="66" t="s">
        <v>40</v>
      </c>
      <c r="F33" s="22" t="s">
        <v>12</v>
      </c>
      <c r="G33" s="22" t="s">
        <v>12</v>
      </c>
      <c r="H33" s="22" t="s">
        <v>12</v>
      </c>
      <c r="I33" s="22" t="s">
        <v>12</v>
      </c>
      <c r="J33" s="22" t="s">
        <v>12</v>
      </c>
      <c r="K33" s="224"/>
      <c r="L33" s="22" t="s">
        <v>12</v>
      </c>
      <c r="M33" s="22" t="s">
        <v>12</v>
      </c>
      <c r="N33" s="22" t="s">
        <v>12</v>
      </c>
      <c r="O33" s="22" t="s">
        <v>12</v>
      </c>
      <c r="P33" s="22" t="s">
        <v>12</v>
      </c>
      <c r="Q33" s="22" t="s">
        <v>12</v>
      </c>
      <c r="R33" s="224"/>
      <c r="S33" s="224"/>
      <c r="T33" s="22" t="s">
        <v>12</v>
      </c>
      <c r="U33" s="23" t="s">
        <v>11</v>
      </c>
      <c r="V33" s="23" t="s">
        <v>12</v>
      </c>
      <c r="W33" s="22" t="s">
        <v>12</v>
      </c>
      <c r="X33" s="22" t="s">
        <v>12</v>
      </c>
      <c r="Y33" s="224"/>
      <c r="Z33" s="22" t="s">
        <v>12</v>
      </c>
      <c r="AA33" s="22" t="s">
        <v>12</v>
      </c>
      <c r="AB33" s="22" t="s">
        <v>12</v>
      </c>
      <c r="AC33" s="22" t="s">
        <v>12</v>
      </c>
      <c r="AD33" s="22" t="s">
        <v>12</v>
      </c>
      <c r="AE33" s="22" t="s">
        <v>12</v>
      </c>
      <c r="AF33" s="224"/>
      <c r="AG33" s="22" t="s">
        <v>12</v>
      </c>
      <c r="AH33" s="22" t="s">
        <v>12</v>
      </c>
      <c r="AI33" s="22" t="s">
        <v>12</v>
      </c>
      <c r="AJ33" s="22" t="s">
        <v>12</v>
      </c>
      <c r="AK33" s="39">
        <f t="shared" si="0"/>
        <v>25</v>
      </c>
      <c r="AL33" s="39">
        <f t="shared" si="1"/>
        <v>1</v>
      </c>
    </row>
    <row r="34" spans="1:43" s="34" customFormat="1" ht="19" x14ac:dyDescent="0.4">
      <c r="A34" s="39">
        <v>29</v>
      </c>
      <c r="B34" s="1"/>
      <c r="C34" s="10"/>
      <c r="D34" s="10"/>
      <c r="E34" s="66" t="s">
        <v>40</v>
      </c>
      <c r="F34" s="22" t="s">
        <v>11</v>
      </c>
      <c r="G34" s="22" t="s">
        <v>12</v>
      </c>
      <c r="H34" s="22" t="s">
        <v>12</v>
      </c>
      <c r="I34" s="23" t="s">
        <v>12</v>
      </c>
      <c r="J34" s="23" t="s">
        <v>12</v>
      </c>
      <c r="K34" s="224"/>
      <c r="L34" s="22" t="s">
        <v>12</v>
      </c>
      <c r="M34" s="23" t="s">
        <v>12</v>
      </c>
      <c r="N34" s="23" t="s">
        <v>12</v>
      </c>
      <c r="O34" s="23" t="s">
        <v>12</v>
      </c>
      <c r="P34" s="22" t="s">
        <v>12</v>
      </c>
      <c r="Q34" s="22" t="s">
        <v>12</v>
      </c>
      <c r="R34" s="224"/>
      <c r="S34" s="241"/>
      <c r="T34" s="22" t="s">
        <v>12</v>
      </c>
      <c r="U34" s="23" t="s">
        <v>12</v>
      </c>
      <c r="V34" s="23" t="s">
        <v>12</v>
      </c>
      <c r="W34" s="22" t="s">
        <v>12</v>
      </c>
      <c r="X34" s="22" t="s">
        <v>12</v>
      </c>
      <c r="Y34" s="224"/>
      <c r="Z34" s="22" t="s">
        <v>12</v>
      </c>
      <c r="AA34" s="22" t="s">
        <v>12</v>
      </c>
      <c r="AB34" s="22" t="s">
        <v>12</v>
      </c>
      <c r="AC34" s="22" t="s">
        <v>12</v>
      </c>
      <c r="AD34" s="22" t="s">
        <v>12</v>
      </c>
      <c r="AE34" s="22" t="s">
        <v>12</v>
      </c>
      <c r="AF34" s="224"/>
      <c r="AG34" s="22" t="s">
        <v>12</v>
      </c>
      <c r="AH34" s="22" t="s">
        <v>12</v>
      </c>
      <c r="AI34" s="22" t="s">
        <v>12</v>
      </c>
      <c r="AJ34" s="22" t="s">
        <v>12</v>
      </c>
      <c r="AK34" s="60">
        <f t="shared" si="0"/>
        <v>25</v>
      </c>
      <c r="AL34" s="39">
        <f t="shared" si="1"/>
        <v>1</v>
      </c>
    </row>
    <row r="35" spans="1:43" s="34" customFormat="1" ht="19" x14ac:dyDescent="0.4">
      <c r="A35" s="39">
        <v>30</v>
      </c>
      <c r="B35" s="1"/>
      <c r="C35" s="10"/>
      <c r="D35" s="10"/>
      <c r="E35" s="66" t="s">
        <v>40</v>
      </c>
      <c r="F35" s="22" t="s">
        <v>12</v>
      </c>
      <c r="G35" s="22" t="s">
        <v>12</v>
      </c>
      <c r="H35" s="22" t="s">
        <v>12</v>
      </c>
      <c r="I35" s="23" t="s">
        <v>12</v>
      </c>
      <c r="J35" s="23" t="s">
        <v>12</v>
      </c>
      <c r="K35" s="241"/>
      <c r="L35" s="22" t="s">
        <v>12</v>
      </c>
      <c r="M35" s="23" t="s">
        <v>12</v>
      </c>
      <c r="N35" s="23" t="s">
        <v>12</v>
      </c>
      <c r="O35" s="23" t="s">
        <v>12</v>
      </c>
      <c r="P35" s="22" t="s">
        <v>12</v>
      </c>
      <c r="Q35" s="22" t="s">
        <v>12</v>
      </c>
      <c r="R35" s="241"/>
      <c r="S35" s="144"/>
      <c r="T35" s="22" t="s">
        <v>12</v>
      </c>
      <c r="U35" s="23" t="s">
        <v>12</v>
      </c>
      <c r="V35" s="23" t="s">
        <v>12</v>
      </c>
      <c r="W35" s="22" t="s">
        <v>12</v>
      </c>
      <c r="X35" s="22" t="s">
        <v>12</v>
      </c>
      <c r="Y35" s="241"/>
      <c r="Z35" s="22" t="s">
        <v>12</v>
      </c>
      <c r="AA35" s="22" t="s">
        <v>12</v>
      </c>
      <c r="AB35" s="22" t="s">
        <v>12</v>
      </c>
      <c r="AC35" s="22" t="s">
        <v>11</v>
      </c>
      <c r="AD35" s="22" t="s">
        <v>12</v>
      </c>
      <c r="AE35" s="22" t="s">
        <v>12</v>
      </c>
      <c r="AF35" s="241"/>
      <c r="AG35" s="22" t="s">
        <v>12</v>
      </c>
      <c r="AH35" s="22" t="s">
        <v>12</v>
      </c>
      <c r="AI35" s="22" t="s">
        <v>12</v>
      </c>
      <c r="AJ35" s="22" t="s">
        <v>12</v>
      </c>
      <c r="AK35" s="39">
        <f t="shared" si="0"/>
        <v>25</v>
      </c>
      <c r="AL35" s="39">
        <f t="shared" si="1"/>
        <v>1</v>
      </c>
    </row>
    <row r="36" spans="1:43" s="34" customFormat="1" ht="18" x14ac:dyDescent="0.4">
      <c r="A36" s="103">
        <v>31</v>
      </c>
      <c r="B36" s="30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5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5"/>
      <c r="AC36" s="104"/>
      <c r="AD36" s="104"/>
      <c r="AE36" s="104"/>
      <c r="AF36" s="104"/>
      <c r="AG36" s="104"/>
      <c r="AH36" s="104"/>
      <c r="AI36" s="104"/>
      <c r="AJ36" s="104"/>
      <c r="AK36" s="103">
        <f>SUM(AK6:AK34)</f>
        <v>703</v>
      </c>
      <c r="AL36" s="103">
        <f>SUM(AL6:AL34)</f>
        <v>51</v>
      </c>
    </row>
    <row r="37" spans="1:43" s="34" customFormat="1" ht="18" x14ac:dyDescent="0.4">
      <c r="A37" s="34">
        <v>32</v>
      </c>
      <c r="B37" s="1"/>
      <c r="C37" s="1"/>
      <c r="D37" s="74"/>
      <c r="E37" s="1"/>
      <c r="F37" s="1"/>
      <c r="G37" s="1"/>
      <c r="H37" s="1"/>
      <c r="I37" s="1"/>
      <c r="J37" s="1"/>
      <c r="K37" s="1"/>
      <c r="L37" s="1"/>
      <c r="M37" s="4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9"/>
      <c r="AC37" s="1"/>
      <c r="AD37" s="1"/>
      <c r="AE37" s="1"/>
      <c r="AF37" s="1"/>
      <c r="AG37" s="1"/>
      <c r="AH37" s="1"/>
      <c r="AI37" s="1"/>
      <c r="AJ37" s="1"/>
      <c r="AK37" s="46"/>
      <c r="AL37" s="46"/>
    </row>
    <row r="38" spans="1:43" s="34" customFormat="1" ht="18" x14ac:dyDescent="0.4">
      <c r="B38" s="1"/>
      <c r="C38" s="1"/>
      <c r="D38" s="74"/>
      <c r="E38" s="1"/>
      <c r="F38" s="1"/>
      <c r="G38" s="1"/>
      <c r="H38" s="1"/>
      <c r="I38" s="1"/>
      <c r="J38" s="1"/>
      <c r="K38" s="1"/>
      <c r="L38" s="1"/>
      <c r="M38" s="4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49"/>
      <c r="AC38" s="1"/>
      <c r="AD38" s="1"/>
      <c r="AE38" s="1"/>
      <c r="AF38" s="1"/>
      <c r="AG38" s="1"/>
      <c r="AH38" s="1"/>
      <c r="AI38" s="1"/>
      <c r="AJ38" s="1"/>
      <c r="AL38" s="39"/>
    </row>
    <row r="39" spans="1:43" s="34" customFormat="1" ht="18" x14ac:dyDescent="0.4">
      <c r="B39" s="1"/>
      <c r="C39" s="1"/>
      <c r="D39" s="74"/>
      <c r="E39" s="1"/>
      <c r="F39" s="1"/>
      <c r="G39" s="1"/>
      <c r="H39" s="1"/>
      <c r="I39" s="1"/>
      <c r="J39" s="1"/>
      <c r="K39" s="1"/>
      <c r="L39" s="1"/>
      <c r="M39" s="4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9"/>
      <c r="AC39" s="1"/>
      <c r="AD39" s="1"/>
      <c r="AE39" s="1"/>
      <c r="AF39" s="1"/>
      <c r="AG39" s="1"/>
      <c r="AH39" s="1"/>
      <c r="AI39" s="1"/>
      <c r="AJ39" s="1" t="s">
        <v>15</v>
      </c>
      <c r="AL39" s="39"/>
    </row>
    <row r="40" spans="1:43" s="34" customFormat="1" ht="18" x14ac:dyDescent="0.4">
      <c r="B40" s="1"/>
      <c r="C40" s="1"/>
      <c r="D40" s="74"/>
      <c r="E40" s="1"/>
      <c r="F40" s="1"/>
      <c r="G40" s="1"/>
      <c r="H40" s="1"/>
      <c r="I40" s="1"/>
      <c r="J40" s="1"/>
      <c r="K40" s="1"/>
      <c r="L40" s="1"/>
      <c r="M40" s="4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9"/>
      <c r="AC40" s="1"/>
      <c r="AD40" s="1"/>
      <c r="AE40" s="1"/>
      <c r="AF40" s="1"/>
      <c r="AG40" s="1"/>
      <c r="AH40" s="1"/>
      <c r="AI40" s="1"/>
      <c r="AJ40" s="1"/>
    </row>
    <row r="41" spans="1:43" ht="18" x14ac:dyDescent="0.4">
      <c r="M41" s="49"/>
      <c r="AB41" s="49"/>
      <c r="AN41" s="34"/>
      <c r="AO41" s="34"/>
      <c r="AP41" s="34"/>
      <c r="AQ41" s="34"/>
    </row>
    <row r="42" spans="1:43" x14ac:dyDescent="0.3">
      <c r="M42" s="49"/>
      <c r="AB42" s="49"/>
    </row>
    <row r="43" spans="1:43" x14ac:dyDescent="0.3">
      <c r="M43" s="49"/>
      <c r="AB43" s="49"/>
    </row>
    <row r="44" spans="1:43" x14ac:dyDescent="0.3">
      <c r="M44" s="49"/>
      <c r="AB44" s="49"/>
    </row>
    <row r="45" spans="1:43" x14ac:dyDescent="0.3">
      <c r="M45" s="49"/>
      <c r="AB45" s="49"/>
    </row>
    <row r="46" spans="1:43" x14ac:dyDescent="0.3">
      <c r="M46" s="49"/>
      <c r="AB46" s="49"/>
    </row>
  </sheetData>
  <mergeCells count="12">
    <mergeCell ref="K7:K35"/>
    <mergeCell ref="AN9:AQ9"/>
    <mergeCell ref="A1:AJ1"/>
    <mergeCell ref="A2:AJ2"/>
    <mergeCell ref="A3:AJ3"/>
    <mergeCell ref="A4:AJ4"/>
    <mergeCell ref="AN4:AO5"/>
    <mergeCell ref="S7:S34"/>
    <mergeCell ref="AF7:AF35"/>
    <mergeCell ref="Y7:Y35"/>
    <mergeCell ref="R7:R35"/>
    <mergeCell ref="AN15:AQ1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6"/>
  <sheetViews>
    <sheetView zoomScale="80" zoomScaleNormal="80" workbookViewId="0">
      <selection activeCell="M13" sqref="M13"/>
    </sheetView>
  </sheetViews>
  <sheetFormatPr defaultColWidth="4.1796875" defaultRowHeight="14" x14ac:dyDescent="0.3"/>
  <cols>
    <col min="1" max="1" width="7.7265625" style="1" customWidth="1"/>
    <col min="2" max="2" width="11" style="1" customWidth="1"/>
    <col min="3" max="3" width="23.453125" style="74" customWidth="1"/>
    <col min="4" max="4" width="23.453125" style="1" customWidth="1"/>
    <col min="5" max="5" width="8.453125" style="1" customWidth="1"/>
    <col min="6" max="6" width="4.1796875" style="1"/>
    <col min="7" max="7" width="4.1796875" style="187"/>
    <col min="8" max="20" width="4.1796875" style="1"/>
    <col min="21" max="21" width="4.54296875" style="187" bestFit="1" customWidth="1"/>
    <col min="22" max="27" width="4.1796875" style="1"/>
    <col min="28" max="28" width="4.1796875" style="187"/>
    <col min="29" max="36" width="4.1796875" style="1"/>
    <col min="37" max="37" width="9.26953125" style="1" bestFit="1" customWidth="1"/>
    <col min="38" max="38" width="8.81640625" style="1" bestFit="1" customWidth="1"/>
    <col min="39" max="39" width="4.1796875" style="1"/>
    <col min="40" max="40" width="18" style="1" bestFit="1" customWidth="1"/>
    <col min="41" max="41" width="11.1796875" style="1" customWidth="1"/>
    <col min="42" max="42" width="11.26953125" style="1" customWidth="1"/>
    <col min="43" max="43" width="9.26953125" style="1" customWidth="1"/>
    <col min="44" max="16384" width="4.1796875" style="1"/>
  </cols>
  <sheetData>
    <row r="1" spans="1:44" ht="23.25" customHeight="1" x14ac:dyDescent="0.45">
      <c r="A1" s="252" t="s">
        <v>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</row>
    <row r="2" spans="1:44" ht="23.25" customHeight="1" x14ac:dyDescent="0.3">
      <c r="A2" s="253" t="s">
        <v>75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</row>
    <row r="3" spans="1:44" ht="23.25" customHeight="1" x14ac:dyDescent="0.45">
      <c r="A3" s="252" t="s">
        <v>56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N3" s="271">
        <v>45139</v>
      </c>
      <c r="AO3" s="271"/>
      <c r="AP3" s="170"/>
    </row>
    <row r="4" spans="1:44" ht="23.25" customHeight="1" thickBot="1" x14ac:dyDescent="0.5">
      <c r="A4" s="252" t="s">
        <v>77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N4" s="271"/>
      <c r="AO4" s="271"/>
      <c r="AP4" s="170"/>
    </row>
    <row r="5" spans="1:44" s="185" customFormat="1" ht="23.25" customHeight="1" thickBot="1" x14ac:dyDescent="0.35">
      <c r="A5" s="18" t="s">
        <v>1</v>
      </c>
      <c r="B5" s="19" t="s">
        <v>2</v>
      </c>
      <c r="C5" s="20" t="s">
        <v>3</v>
      </c>
      <c r="D5" s="19" t="s">
        <v>4</v>
      </c>
      <c r="E5" s="106" t="s">
        <v>5</v>
      </c>
      <c r="F5" s="107">
        <v>1</v>
      </c>
      <c r="G5" s="108">
        <v>2</v>
      </c>
      <c r="H5" s="107">
        <v>3</v>
      </c>
      <c r="I5" s="107">
        <v>4</v>
      </c>
      <c r="J5" s="107">
        <v>5</v>
      </c>
      <c r="K5" s="107">
        <v>6</v>
      </c>
      <c r="L5" s="107">
        <v>7</v>
      </c>
      <c r="M5" s="107">
        <v>8</v>
      </c>
      <c r="N5" s="107">
        <v>9</v>
      </c>
      <c r="O5" s="107">
        <v>10</v>
      </c>
      <c r="P5" s="107">
        <v>11</v>
      </c>
      <c r="Q5" s="107">
        <v>12</v>
      </c>
      <c r="R5" s="109">
        <v>13</v>
      </c>
      <c r="S5" s="107">
        <v>14</v>
      </c>
      <c r="T5" s="107">
        <v>15</v>
      </c>
      <c r="U5" s="107">
        <v>16</v>
      </c>
      <c r="V5" s="110">
        <v>17</v>
      </c>
      <c r="W5" s="111">
        <v>18</v>
      </c>
      <c r="X5" s="111">
        <v>19</v>
      </c>
      <c r="Y5" s="111">
        <v>20</v>
      </c>
      <c r="Z5" s="111">
        <v>21</v>
      </c>
      <c r="AA5" s="190">
        <v>22</v>
      </c>
      <c r="AB5" s="107">
        <v>23</v>
      </c>
      <c r="AC5" s="110">
        <v>24</v>
      </c>
      <c r="AD5" s="111">
        <v>25</v>
      </c>
      <c r="AE5" s="111">
        <v>26</v>
      </c>
      <c r="AF5" s="111">
        <v>27</v>
      </c>
      <c r="AG5" s="111">
        <v>28</v>
      </c>
      <c r="AH5" s="111">
        <v>29</v>
      </c>
      <c r="AI5" s="111">
        <v>30</v>
      </c>
      <c r="AJ5" s="111">
        <v>31</v>
      </c>
      <c r="AK5" s="184" t="s">
        <v>6</v>
      </c>
      <c r="AL5" s="152" t="s">
        <v>7</v>
      </c>
      <c r="AN5" s="153" t="s">
        <v>8</v>
      </c>
      <c r="AO5" s="153">
        <v>31</v>
      </c>
      <c r="AP5" s="1"/>
      <c r="AQ5" s="1"/>
    </row>
    <row r="6" spans="1:44" ht="45.75" customHeight="1" x14ac:dyDescent="0.4">
      <c r="A6" s="191">
        <v>1</v>
      </c>
      <c r="B6" s="192"/>
      <c r="C6" s="192"/>
      <c r="D6" s="192"/>
      <c r="E6" s="191" t="s">
        <v>43</v>
      </c>
      <c r="F6" s="268" t="s">
        <v>70</v>
      </c>
      <c r="G6" s="269"/>
      <c r="H6" s="269"/>
      <c r="I6" s="269"/>
      <c r="J6" s="270"/>
      <c r="K6" s="224" t="s">
        <v>26</v>
      </c>
      <c r="L6" s="113"/>
      <c r="M6" s="113"/>
      <c r="N6" s="113"/>
      <c r="O6" s="113"/>
      <c r="P6" s="113"/>
      <c r="Q6" s="113"/>
      <c r="R6" s="224" t="s">
        <v>26</v>
      </c>
      <c r="S6" s="224" t="s">
        <v>55</v>
      </c>
      <c r="T6" s="113"/>
      <c r="U6" s="113"/>
      <c r="V6" s="113"/>
      <c r="W6" s="113"/>
      <c r="X6" s="113"/>
      <c r="Y6" s="224" t="s">
        <v>26</v>
      </c>
      <c r="Z6" s="113"/>
      <c r="AA6" s="113"/>
      <c r="AB6" s="113"/>
      <c r="AC6" s="113"/>
      <c r="AD6" s="113"/>
      <c r="AE6" s="113"/>
      <c r="AF6" s="224" t="s">
        <v>26</v>
      </c>
      <c r="AG6" s="113"/>
      <c r="AH6" s="113"/>
      <c r="AI6" s="113"/>
      <c r="AJ6" s="113"/>
      <c r="AK6" s="177">
        <f>COUNTIF(F6:AJ6,"P")</f>
        <v>0</v>
      </c>
      <c r="AL6" s="46">
        <f>COUNTIF(F6:AJ6,"A")</f>
        <v>0</v>
      </c>
      <c r="AN6" s="150" t="s">
        <v>13</v>
      </c>
      <c r="AO6" s="150">
        <v>23</v>
      </c>
      <c r="AP6" s="64" t="s">
        <v>58</v>
      </c>
      <c r="AQ6" s="64"/>
      <c r="AR6" s="1">
        <v>1</v>
      </c>
    </row>
    <row r="7" spans="1:44" ht="23.25" customHeight="1" x14ac:dyDescent="0.4">
      <c r="A7" s="39">
        <v>2</v>
      </c>
      <c r="B7" s="10"/>
      <c r="C7" s="10"/>
      <c r="D7" s="10"/>
      <c r="E7" s="46" t="s">
        <v>43</v>
      </c>
      <c r="F7" s="113" t="s">
        <v>11</v>
      </c>
      <c r="G7" s="113" t="s">
        <v>12</v>
      </c>
      <c r="H7" s="113" t="s">
        <v>12</v>
      </c>
      <c r="I7" s="113" t="s">
        <v>12</v>
      </c>
      <c r="J7" s="113" t="s">
        <v>12</v>
      </c>
      <c r="K7" s="224"/>
      <c r="L7" s="113" t="s">
        <v>12</v>
      </c>
      <c r="M7" s="113" t="s">
        <v>12</v>
      </c>
      <c r="N7" s="113" t="s">
        <v>12</v>
      </c>
      <c r="O7" s="113" t="s">
        <v>12</v>
      </c>
      <c r="P7" s="113" t="s">
        <v>12</v>
      </c>
      <c r="Q7" s="113" t="s">
        <v>12</v>
      </c>
      <c r="R7" s="224"/>
      <c r="S7" s="224"/>
      <c r="T7" s="113" t="s">
        <v>12</v>
      </c>
      <c r="U7" s="113" t="s">
        <v>12</v>
      </c>
      <c r="V7" s="113" t="s">
        <v>12</v>
      </c>
      <c r="W7" s="113" t="s">
        <v>12</v>
      </c>
      <c r="X7" s="113" t="s">
        <v>12</v>
      </c>
      <c r="Y7" s="224"/>
      <c r="Z7" s="113" t="s">
        <v>12</v>
      </c>
      <c r="AA7" s="113" t="s">
        <v>12</v>
      </c>
      <c r="AB7" s="113" t="s">
        <v>12</v>
      </c>
      <c r="AC7" s="113" t="s">
        <v>12</v>
      </c>
      <c r="AD7" s="113" t="s">
        <v>12</v>
      </c>
      <c r="AE7" s="113" t="s">
        <v>12</v>
      </c>
      <c r="AF7" s="224"/>
      <c r="AG7" s="113" t="s">
        <v>12</v>
      </c>
      <c r="AH7" s="113" t="s">
        <v>12</v>
      </c>
      <c r="AI7" s="113" t="s">
        <v>12</v>
      </c>
      <c r="AJ7" s="113" t="s">
        <v>12</v>
      </c>
      <c r="AK7" s="177">
        <f>COUNTIF(F7:AJ7,"P")</f>
        <v>25</v>
      </c>
      <c r="AL7" s="46">
        <f t="shared" ref="AL7:AL32" si="0">COUNTIF(F7:AJ7,"A")</f>
        <v>1</v>
      </c>
      <c r="AN7" s="64" t="s">
        <v>26</v>
      </c>
      <c r="AO7" s="64">
        <v>4</v>
      </c>
      <c r="AP7" s="64"/>
      <c r="AQ7" s="64"/>
    </row>
    <row r="8" spans="1:44" ht="23.25" customHeight="1" x14ac:dyDescent="0.4">
      <c r="A8" s="39">
        <v>3</v>
      </c>
      <c r="B8" s="10"/>
      <c r="C8" s="10"/>
      <c r="D8" s="10"/>
      <c r="E8" s="46" t="s">
        <v>43</v>
      </c>
      <c r="F8" s="113" t="s">
        <v>11</v>
      </c>
      <c r="G8" s="113" t="s">
        <v>12</v>
      </c>
      <c r="H8" s="113" t="s">
        <v>12</v>
      </c>
      <c r="I8" s="113" t="s">
        <v>12</v>
      </c>
      <c r="J8" s="113" t="s">
        <v>12</v>
      </c>
      <c r="K8" s="224"/>
      <c r="L8" s="113" t="s">
        <v>11</v>
      </c>
      <c r="M8" s="113" t="s">
        <v>12</v>
      </c>
      <c r="N8" s="113" t="s">
        <v>11</v>
      </c>
      <c r="O8" s="113" t="s">
        <v>11</v>
      </c>
      <c r="P8" s="113" t="s">
        <v>12</v>
      </c>
      <c r="Q8" s="113" t="s">
        <v>12</v>
      </c>
      <c r="R8" s="224"/>
      <c r="S8" s="224"/>
      <c r="T8" s="113" t="s">
        <v>12</v>
      </c>
      <c r="U8" s="113" t="s">
        <v>12</v>
      </c>
      <c r="V8" s="113" t="s">
        <v>12</v>
      </c>
      <c r="W8" s="113" t="s">
        <v>12</v>
      </c>
      <c r="X8" s="113" t="s">
        <v>12</v>
      </c>
      <c r="Y8" s="224"/>
      <c r="Z8" s="113" t="s">
        <v>11</v>
      </c>
      <c r="AA8" s="113" t="s">
        <v>12</v>
      </c>
      <c r="AB8" s="113" t="s">
        <v>12</v>
      </c>
      <c r="AC8" s="113" t="s">
        <v>12</v>
      </c>
      <c r="AD8" s="113" t="s">
        <v>11</v>
      </c>
      <c r="AE8" s="113" t="s">
        <v>11</v>
      </c>
      <c r="AF8" s="224"/>
      <c r="AG8" s="113" t="s">
        <v>11</v>
      </c>
      <c r="AH8" s="113" t="s">
        <v>12</v>
      </c>
      <c r="AI8" s="113" t="s">
        <v>12</v>
      </c>
      <c r="AJ8" s="113" t="s">
        <v>12</v>
      </c>
      <c r="AK8" s="177">
        <f t="shared" ref="AK8:AK32" si="1">COUNTIF(F8:AJ8,"P")</f>
        <v>18</v>
      </c>
      <c r="AL8" s="46">
        <f t="shared" si="0"/>
        <v>8</v>
      </c>
      <c r="AN8" s="220" t="s">
        <v>68</v>
      </c>
      <c r="AO8" s="221"/>
      <c r="AP8" s="221"/>
      <c r="AQ8" s="222"/>
    </row>
    <row r="9" spans="1:44" ht="23.25" customHeight="1" x14ac:dyDescent="0.4">
      <c r="A9" s="39">
        <v>4</v>
      </c>
      <c r="B9" s="10"/>
      <c r="C9" s="10"/>
      <c r="D9" s="10"/>
      <c r="E9" s="46" t="s">
        <v>43</v>
      </c>
      <c r="F9" s="113" t="s">
        <v>11</v>
      </c>
      <c r="G9" s="113" t="s">
        <v>11</v>
      </c>
      <c r="H9" s="113" t="s">
        <v>12</v>
      </c>
      <c r="I9" s="113" t="s">
        <v>12</v>
      </c>
      <c r="J9" s="113" t="s">
        <v>11</v>
      </c>
      <c r="K9" s="224"/>
      <c r="L9" s="113" t="s">
        <v>12</v>
      </c>
      <c r="M9" s="113" t="s">
        <v>11</v>
      </c>
      <c r="N9" s="113" t="s">
        <v>11</v>
      </c>
      <c r="O9" s="113" t="s">
        <v>12</v>
      </c>
      <c r="P9" s="113" t="s">
        <v>12</v>
      </c>
      <c r="Q9" s="113" t="s">
        <v>12</v>
      </c>
      <c r="R9" s="224"/>
      <c r="S9" s="224"/>
      <c r="T9" s="113" t="s">
        <v>11</v>
      </c>
      <c r="U9" s="113" t="s">
        <v>11</v>
      </c>
      <c r="V9" s="113" t="s">
        <v>12</v>
      </c>
      <c r="W9" s="113" t="s">
        <v>12</v>
      </c>
      <c r="X9" s="113" t="s">
        <v>12</v>
      </c>
      <c r="Y9" s="224"/>
      <c r="Z9" s="113" t="s">
        <v>11</v>
      </c>
      <c r="AA9" s="113" t="s">
        <v>12</v>
      </c>
      <c r="AB9" s="113" t="s">
        <v>12</v>
      </c>
      <c r="AC9" s="113" t="s">
        <v>11</v>
      </c>
      <c r="AD9" s="113" t="s">
        <v>12</v>
      </c>
      <c r="AE9" s="113" t="s">
        <v>12</v>
      </c>
      <c r="AF9" s="224"/>
      <c r="AG9" s="113" t="s">
        <v>12</v>
      </c>
      <c r="AH9" s="113" t="s">
        <v>11</v>
      </c>
      <c r="AI9" s="113" t="s">
        <v>11</v>
      </c>
      <c r="AJ9" s="113" t="s">
        <v>12</v>
      </c>
      <c r="AK9" s="177">
        <f t="shared" si="1"/>
        <v>15</v>
      </c>
      <c r="AL9" s="46">
        <f t="shared" si="0"/>
        <v>11</v>
      </c>
      <c r="AN9" s="150" t="s">
        <v>16</v>
      </c>
      <c r="AO9" s="150" t="s">
        <v>18</v>
      </c>
      <c r="AP9" s="150" t="s">
        <v>69</v>
      </c>
      <c r="AQ9" s="150" t="s">
        <v>19</v>
      </c>
    </row>
    <row r="10" spans="1:44" ht="23.25" customHeight="1" x14ac:dyDescent="0.4">
      <c r="A10" s="39">
        <v>5</v>
      </c>
      <c r="B10" s="10"/>
      <c r="C10" s="10"/>
      <c r="D10" s="10"/>
      <c r="E10" s="46" t="s">
        <v>43</v>
      </c>
      <c r="F10" s="113" t="s">
        <v>11</v>
      </c>
      <c r="G10" s="113" t="s">
        <v>11</v>
      </c>
      <c r="H10" s="113" t="s">
        <v>11</v>
      </c>
      <c r="I10" s="113" t="s">
        <v>11</v>
      </c>
      <c r="J10" s="113" t="s">
        <v>11</v>
      </c>
      <c r="K10" s="224"/>
      <c r="L10" s="113" t="s">
        <v>11</v>
      </c>
      <c r="M10" s="113" t="s">
        <v>11</v>
      </c>
      <c r="N10" s="113" t="s">
        <v>11</v>
      </c>
      <c r="O10" s="113" t="s">
        <v>11</v>
      </c>
      <c r="P10" s="113" t="s">
        <v>11</v>
      </c>
      <c r="Q10" s="113" t="s">
        <v>11</v>
      </c>
      <c r="R10" s="224"/>
      <c r="S10" s="224"/>
      <c r="T10" s="113" t="s">
        <v>11</v>
      </c>
      <c r="U10" s="113" t="s">
        <v>11</v>
      </c>
      <c r="V10" s="113" t="s">
        <v>11</v>
      </c>
      <c r="W10" s="113" t="s">
        <v>11</v>
      </c>
      <c r="X10" s="113" t="s">
        <v>11</v>
      </c>
      <c r="Y10" s="224"/>
      <c r="Z10" s="113" t="s">
        <v>11</v>
      </c>
      <c r="AA10" s="113" t="s">
        <v>11</v>
      </c>
      <c r="AB10" s="113" t="s">
        <v>11</v>
      </c>
      <c r="AC10" s="113" t="s">
        <v>11</v>
      </c>
      <c r="AD10" s="113" t="s">
        <v>11</v>
      </c>
      <c r="AE10" s="113" t="s">
        <v>11</v>
      </c>
      <c r="AF10" s="224"/>
      <c r="AG10" s="113" t="s">
        <v>11</v>
      </c>
      <c r="AH10" s="113" t="s">
        <v>11</v>
      </c>
      <c r="AI10" s="113" t="s">
        <v>11</v>
      </c>
      <c r="AJ10" s="113" t="s">
        <v>11</v>
      </c>
      <c r="AK10" s="177">
        <f t="shared" si="1"/>
        <v>0</v>
      </c>
      <c r="AL10" s="46">
        <f t="shared" si="0"/>
        <v>26</v>
      </c>
      <c r="AN10" s="150" t="s">
        <v>20</v>
      </c>
      <c r="AO10" s="150">
        <f>6*26</f>
        <v>156</v>
      </c>
      <c r="AP10" s="150">
        <f>20*26</f>
        <v>520</v>
      </c>
      <c r="AQ10" s="150">
        <f>SUM(AO10:AP10)</f>
        <v>676</v>
      </c>
    </row>
    <row r="11" spans="1:44" ht="23.25" customHeight="1" x14ac:dyDescent="0.4">
      <c r="A11" s="39">
        <v>6</v>
      </c>
      <c r="B11" s="10"/>
      <c r="C11" s="10"/>
      <c r="D11" s="10"/>
      <c r="E11" s="46" t="s">
        <v>43</v>
      </c>
      <c r="F11" s="113" t="s">
        <v>12</v>
      </c>
      <c r="G11" s="113" t="s">
        <v>11</v>
      </c>
      <c r="H11" s="113" t="s">
        <v>12</v>
      </c>
      <c r="I11" s="113" t="s">
        <v>12</v>
      </c>
      <c r="J11" s="113" t="s">
        <v>12</v>
      </c>
      <c r="K11" s="224"/>
      <c r="L11" s="113" t="s">
        <v>12</v>
      </c>
      <c r="M11" s="113" t="s">
        <v>11</v>
      </c>
      <c r="N11" s="113" t="s">
        <v>11</v>
      </c>
      <c r="O11" s="113" t="s">
        <v>12</v>
      </c>
      <c r="P11" s="113" t="s">
        <v>12</v>
      </c>
      <c r="Q11" s="113" t="s">
        <v>12</v>
      </c>
      <c r="R11" s="224"/>
      <c r="S11" s="224"/>
      <c r="T11" s="113" t="s">
        <v>12</v>
      </c>
      <c r="U11" s="113" t="s">
        <v>12</v>
      </c>
      <c r="V11" s="113" t="s">
        <v>12</v>
      </c>
      <c r="W11" s="113" t="s">
        <v>12</v>
      </c>
      <c r="X11" s="113" t="s">
        <v>12</v>
      </c>
      <c r="Y11" s="224"/>
      <c r="Z11" s="113" t="s">
        <v>12</v>
      </c>
      <c r="AA11" s="113" t="s">
        <v>12</v>
      </c>
      <c r="AB11" s="113" t="s">
        <v>12</v>
      </c>
      <c r="AC11" s="113" t="s">
        <v>12</v>
      </c>
      <c r="AD11" s="113" t="s">
        <v>12</v>
      </c>
      <c r="AE11" s="113" t="s">
        <v>11</v>
      </c>
      <c r="AF11" s="224"/>
      <c r="AG11" s="113" t="s">
        <v>12</v>
      </c>
      <c r="AH11" s="113" t="s">
        <v>12</v>
      </c>
      <c r="AI11" s="113" t="s">
        <v>12</v>
      </c>
      <c r="AJ11" s="113" t="s">
        <v>12</v>
      </c>
      <c r="AK11" s="177">
        <f t="shared" si="1"/>
        <v>22</v>
      </c>
      <c r="AL11" s="46">
        <f t="shared" si="0"/>
        <v>4</v>
      </c>
      <c r="AN11" s="150" t="s">
        <v>21</v>
      </c>
      <c r="AO11" s="150">
        <f>AK13+AK18+AK22+AK27+AK31+AK32</f>
        <v>77</v>
      </c>
      <c r="AP11" s="150">
        <f>AK6+AK7+AK8+AK9+AK10+AK11+AK12+AK14+AK15+AK16+AK17+AK19+AK20+AK21+AK23+AK24+AK25+AK26+AK28+AK29+AK30</f>
        <v>353</v>
      </c>
      <c r="AQ11" s="150">
        <f>SUM(AO11:AP11)</f>
        <v>430</v>
      </c>
    </row>
    <row r="12" spans="1:44" ht="23.25" customHeight="1" x14ac:dyDescent="0.4">
      <c r="A12" s="39">
        <v>7</v>
      </c>
      <c r="B12" s="10"/>
      <c r="C12" s="10"/>
      <c r="D12" s="10"/>
      <c r="E12" s="46" t="s">
        <v>43</v>
      </c>
      <c r="F12" s="113" t="s">
        <v>11</v>
      </c>
      <c r="G12" s="113" t="s">
        <v>11</v>
      </c>
      <c r="H12" s="113" t="s">
        <v>11</v>
      </c>
      <c r="I12" s="113" t="s">
        <v>11</v>
      </c>
      <c r="J12" s="113" t="s">
        <v>11</v>
      </c>
      <c r="K12" s="224"/>
      <c r="L12" s="113" t="s">
        <v>12</v>
      </c>
      <c r="M12" s="113" t="s">
        <v>11</v>
      </c>
      <c r="N12" s="113" t="s">
        <v>11</v>
      </c>
      <c r="O12" s="113" t="s">
        <v>11</v>
      </c>
      <c r="P12" s="113" t="s">
        <v>12</v>
      </c>
      <c r="Q12" s="113" t="s">
        <v>12</v>
      </c>
      <c r="R12" s="224"/>
      <c r="S12" s="224"/>
      <c r="T12" s="113" t="s">
        <v>12</v>
      </c>
      <c r="U12" s="113" t="s">
        <v>12</v>
      </c>
      <c r="V12" s="113" t="s">
        <v>12</v>
      </c>
      <c r="W12" s="113" t="s">
        <v>12</v>
      </c>
      <c r="X12" s="113" t="s">
        <v>12</v>
      </c>
      <c r="Y12" s="224"/>
      <c r="Z12" s="113" t="s">
        <v>12</v>
      </c>
      <c r="AA12" s="113" t="s">
        <v>12</v>
      </c>
      <c r="AB12" s="113" t="s">
        <v>12</v>
      </c>
      <c r="AC12" s="113" t="s">
        <v>12</v>
      </c>
      <c r="AD12" s="113" t="s">
        <v>12</v>
      </c>
      <c r="AE12" s="113" t="s">
        <v>12</v>
      </c>
      <c r="AF12" s="224"/>
      <c r="AG12" s="113" t="s">
        <v>12</v>
      </c>
      <c r="AH12" s="113" t="s">
        <v>12</v>
      </c>
      <c r="AI12" s="113" t="s">
        <v>12</v>
      </c>
      <c r="AJ12" s="113" t="s">
        <v>12</v>
      </c>
      <c r="AK12" s="177">
        <f t="shared" si="1"/>
        <v>18</v>
      </c>
      <c r="AL12" s="46">
        <f t="shared" si="0"/>
        <v>8</v>
      </c>
      <c r="AN12" s="150" t="s">
        <v>22</v>
      </c>
      <c r="AO12" s="193">
        <f>AO11/AO10</f>
        <v>0.49358974358974361</v>
      </c>
      <c r="AP12" s="154">
        <f>AP11/AP10</f>
        <v>0.67884615384615388</v>
      </c>
      <c r="AQ12" s="154">
        <f>AQ11/AQ10</f>
        <v>0.63609467455621305</v>
      </c>
    </row>
    <row r="13" spans="1:44" ht="23.25" customHeight="1" x14ac:dyDescent="0.4">
      <c r="A13" s="39">
        <v>8</v>
      </c>
      <c r="B13" s="10"/>
      <c r="C13" s="10"/>
      <c r="D13" s="10"/>
      <c r="E13" s="46" t="s">
        <v>43</v>
      </c>
      <c r="F13" s="113" t="s">
        <v>11</v>
      </c>
      <c r="G13" s="113" t="s">
        <v>11</v>
      </c>
      <c r="H13" s="113" t="s">
        <v>11</v>
      </c>
      <c r="I13" s="113" t="s">
        <v>11</v>
      </c>
      <c r="J13" s="113" t="s">
        <v>11</v>
      </c>
      <c r="K13" s="224"/>
      <c r="L13" s="113" t="s">
        <v>11</v>
      </c>
      <c r="M13" s="113" t="s">
        <v>11</v>
      </c>
      <c r="N13" s="113" t="s">
        <v>11</v>
      </c>
      <c r="O13" s="113" t="s">
        <v>11</v>
      </c>
      <c r="P13" s="113" t="s">
        <v>11</v>
      </c>
      <c r="Q13" s="113" t="s">
        <v>11</v>
      </c>
      <c r="R13" s="224"/>
      <c r="S13" s="224"/>
      <c r="T13" s="113" t="s">
        <v>11</v>
      </c>
      <c r="U13" s="113" t="s">
        <v>11</v>
      </c>
      <c r="V13" s="113" t="s">
        <v>11</v>
      </c>
      <c r="W13" s="113" t="s">
        <v>11</v>
      </c>
      <c r="X13" s="113" t="s">
        <v>11</v>
      </c>
      <c r="Y13" s="224"/>
      <c r="Z13" s="113" t="s">
        <v>11</v>
      </c>
      <c r="AA13" s="113" t="s">
        <v>11</v>
      </c>
      <c r="AB13" s="113" t="s">
        <v>11</v>
      </c>
      <c r="AC13" s="113" t="s">
        <v>11</v>
      </c>
      <c r="AD13" s="113" t="s">
        <v>11</v>
      </c>
      <c r="AE13" s="113" t="s">
        <v>11</v>
      </c>
      <c r="AF13" s="224"/>
      <c r="AG13" s="113" t="s">
        <v>11</v>
      </c>
      <c r="AH13" s="113" t="s">
        <v>11</v>
      </c>
      <c r="AI13" s="113" t="s">
        <v>11</v>
      </c>
      <c r="AJ13" s="113" t="s">
        <v>11</v>
      </c>
      <c r="AK13" s="46">
        <f t="shared" si="1"/>
        <v>0</v>
      </c>
      <c r="AL13" s="46">
        <f t="shared" si="0"/>
        <v>26</v>
      </c>
      <c r="AN13" s="64"/>
      <c r="AO13" s="165"/>
      <c r="AP13" s="165"/>
      <c r="AQ13" s="165"/>
    </row>
    <row r="14" spans="1:44" ht="23.25" customHeight="1" x14ac:dyDescent="0.4">
      <c r="A14" s="39">
        <v>9</v>
      </c>
      <c r="B14" s="10"/>
      <c r="C14" s="10"/>
      <c r="D14" s="10"/>
      <c r="E14" s="46" t="s">
        <v>43</v>
      </c>
      <c r="F14" s="113" t="s">
        <v>11</v>
      </c>
      <c r="G14" s="113" t="s">
        <v>11</v>
      </c>
      <c r="H14" s="113" t="s">
        <v>11</v>
      </c>
      <c r="I14" s="113" t="s">
        <v>11</v>
      </c>
      <c r="J14" s="113" t="s">
        <v>11</v>
      </c>
      <c r="K14" s="224"/>
      <c r="L14" s="113" t="s">
        <v>12</v>
      </c>
      <c r="M14" s="113" t="s">
        <v>12</v>
      </c>
      <c r="N14" s="113" t="s">
        <v>12</v>
      </c>
      <c r="O14" s="113" t="s">
        <v>12</v>
      </c>
      <c r="P14" s="113" t="s">
        <v>12</v>
      </c>
      <c r="Q14" s="113" t="s">
        <v>11</v>
      </c>
      <c r="R14" s="224"/>
      <c r="S14" s="224"/>
      <c r="T14" s="113" t="s">
        <v>12</v>
      </c>
      <c r="U14" s="113" t="s">
        <v>12</v>
      </c>
      <c r="V14" s="113" t="s">
        <v>12</v>
      </c>
      <c r="W14" s="113" t="s">
        <v>12</v>
      </c>
      <c r="X14" s="113" t="s">
        <v>12</v>
      </c>
      <c r="Y14" s="224"/>
      <c r="Z14" s="113" t="s">
        <v>11</v>
      </c>
      <c r="AA14" s="113" t="s">
        <v>11</v>
      </c>
      <c r="AB14" s="113" t="s">
        <v>12</v>
      </c>
      <c r="AC14" s="113" t="s">
        <v>12</v>
      </c>
      <c r="AD14" s="113" t="s">
        <v>12</v>
      </c>
      <c r="AE14" s="113" t="s">
        <v>12</v>
      </c>
      <c r="AF14" s="224"/>
      <c r="AG14" s="113" t="s">
        <v>11</v>
      </c>
      <c r="AH14" s="113" t="s">
        <v>12</v>
      </c>
      <c r="AI14" s="113" t="s">
        <v>12</v>
      </c>
      <c r="AJ14" s="113" t="s">
        <v>11</v>
      </c>
      <c r="AK14" s="177">
        <f t="shared" si="1"/>
        <v>16</v>
      </c>
      <c r="AL14" s="46">
        <f t="shared" si="0"/>
        <v>10</v>
      </c>
      <c r="AN14" s="240" t="s">
        <v>65</v>
      </c>
      <c r="AO14" s="240"/>
      <c r="AP14" s="240"/>
      <c r="AQ14" s="240"/>
    </row>
    <row r="15" spans="1:44" ht="23.25" customHeight="1" x14ac:dyDescent="0.4">
      <c r="A15" s="39">
        <v>10</v>
      </c>
      <c r="B15" s="10"/>
      <c r="C15" s="10"/>
      <c r="D15" s="10"/>
      <c r="E15" s="46" t="s">
        <v>43</v>
      </c>
      <c r="F15" s="113" t="s">
        <v>12</v>
      </c>
      <c r="G15" s="113" t="s">
        <v>11</v>
      </c>
      <c r="H15" s="113" t="s">
        <v>12</v>
      </c>
      <c r="I15" s="113" t="s">
        <v>12</v>
      </c>
      <c r="J15" s="113" t="s">
        <v>11</v>
      </c>
      <c r="K15" s="224"/>
      <c r="L15" s="113" t="s">
        <v>12</v>
      </c>
      <c r="M15" s="113" t="s">
        <v>12</v>
      </c>
      <c r="N15" s="113" t="s">
        <v>12</v>
      </c>
      <c r="O15" s="113" t="s">
        <v>12</v>
      </c>
      <c r="P15" s="113" t="s">
        <v>12</v>
      </c>
      <c r="Q15" s="113" t="s">
        <v>12</v>
      </c>
      <c r="R15" s="224"/>
      <c r="S15" s="224"/>
      <c r="T15" s="113" t="s">
        <v>12</v>
      </c>
      <c r="U15" s="113" t="s">
        <v>11</v>
      </c>
      <c r="V15" s="113" t="s">
        <v>12</v>
      </c>
      <c r="W15" s="113" t="s">
        <v>12</v>
      </c>
      <c r="X15" s="113" t="s">
        <v>12</v>
      </c>
      <c r="Y15" s="224"/>
      <c r="Z15" s="113" t="s">
        <v>12</v>
      </c>
      <c r="AA15" s="113" t="s">
        <v>12</v>
      </c>
      <c r="AB15" s="113" t="s">
        <v>12</v>
      </c>
      <c r="AC15" s="113" t="s">
        <v>12</v>
      </c>
      <c r="AD15" s="113" t="s">
        <v>12</v>
      </c>
      <c r="AE15" s="113" t="s">
        <v>12</v>
      </c>
      <c r="AF15" s="224"/>
      <c r="AG15" s="113" t="s">
        <v>12</v>
      </c>
      <c r="AH15" s="113" t="s">
        <v>11</v>
      </c>
      <c r="AI15" s="113" t="s">
        <v>12</v>
      </c>
      <c r="AJ15" s="113" t="s">
        <v>12</v>
      </c>
      <c r="AK15" s="177">
        <f t="shared" si="1"/>
        <v>22</v>
      </c>
      <c r="AL15" s="46">
        <f t="shared" si="0"/>
        <v>4</v>
      </c>
      <c r="AN15" s="150" t="s">
        <v>16</v>
      </c>
      <c r="AO15" s="150" t="s">
        <v>18</v>
      </c>
      <c r="AP15" s="150" t="s">
        <v>69</v>
      </c>
      <c r="AQ15" s="150" t="s">
        <v>19</v>
      </c>
    </row>
    <row r="16" spans="1:44" ht="23.25" customHeight="1" x14ac:dyDescent="0.4">
      <c r="A16" s="39">
        <v>11</v>
      </c>
      <c r="B16" s="10"/>
      <c r="C16" s="10"/>
      <c r="D16" s="10"/>
      <c r="E16" s="46" t="s">
        <v>43</v>
      </c>
      <c r="F16" s="113" t="s">
        <v>11</v>
      </c>
      <c r="G16" s="113" t="s">
        <v>11</v>
      </c>
      <c r="H16" s="113" t="s">
        <v>11</v>
      </c>
      <c r="I16" s="113" t="s">
        <v>12</v>
      </c>
      <c r="J16" s="113" t="s">
        <v>12</v>
      </c>
      <c r="K16" s="224"/>
      <c r="L16" s="113" t="s">
        <v>12</v>
      </c>
      <c r="M16" s="113" t="s">
        <v>12</v>
      </c>
      <c r="N16" s="113" t="s">
        <v>11</v>
      </c>
      <c r="O16" s="113" t="s">
        <v>12</v>
      </c>
      <c r="P16" s="113" t="s">
        <v>12</v>
      </c>
      <c r="Q16" s="113" t="s">
        <v>12</v>
      </c>
      <c r="R16" s="224"/>
      <c r="S16" s="224"/>
      <c r="T16" s="113" t="s">
        <v>12</v>
      </c>
      <c r="U16" s="113" t="s">
        <v>12</v>
      </c>
      <c r="V16" s="113" t="s">
        <v>11</v>
      </c>
      <c r="W16" s="113" t="s">
        <v>12</v>
      </c>
      <c r="X16" s="113" t="s">
        <v>12</v>
      </c>
      <c r="Y16" s="224"/>
      <c r="Z16" s="113" t="s">
        <v>12</v>
      </c>
      <c r="AA16" s="113" t="s">
        <v>12</v>
      </c>
      <c r="AB16" s="113" t="s">
        <v>12</v>
      </c>
      <c r="AC16" s="113" t="s">
        <v>12</v>
      </c>
      <c r="AD16" s="113" t="s">
        <v>12</v>
      </c>
      <c r="AE16" s="113" t="s">
        <v>12</v>
      </c>
      <c r="AF16" s="224"/>
      <c r="AG16" s="113" t="s">
        <v>12</v>
      </c>
      <c r="AH16" s="113" t="s">
        <v>12</v>
      </c>
      <c r="AI16" s="113" t="s">
        <v>12</v>
      </c>
      <c r="AJ16" s="113" t="s">
        <v>11</v>
      </c>
      <c r="AK16" s="177">
        <f t="shared" si="1"/>
        <v>20</v>
      </c>
      <c r="AL16" s="46">
        <f t="shared" si="0"/>
        <v>6</v>
      </c>
      <c r="AN16" s="150" t="s">
        <v>20</v>
      </c>
      <c r="AO16" s="150">
        <f>6*26</f>
        <v>156</v>
      </c>
      <c r="AP16" s="150">
        <f>20*26</f>
        <v>520</v>
      </c>
      <c r="AQ16" s="150">
        <f>SUM(AO16:AP16)</f>
        <v>676</v>
      </c>
    </row>
    <row r="17" spans="1:43" ht="18" x14ac:dyDescent="0.4">
      <c r="A17" s="39">
        <v>12</v>
      </c>
      <c r="B17" s="10"/>
      <c r="C17" s="10"/>
      <c r="D17" s="10"/>
      <c r="E17" s="46" t="s">
        <v>43</v>
      </c>
      <c r="F17" s="113" t="s">
        <v>12</v>
      </c>
      <c r="G17" s="113" t="s">
        <v>11</v>
      </c>
      <c r="H17" s="113" t="s">
        <v>12</v>
      </c>
      <c r="I17" s="113" t="s">
        <v>12</v>
      </c>
      <c r="J17" s="113" t="s">
        <v>12</v>
      </c>
      <c r="K17" s="224"/>
      <c r="L17" s="113" t="s">
        <v>11</v>
      </c>
      <c r="M17" s="113" t="s">
        <v>12</v>
      </c>
      <c r="N17" s="113" t="s">
        <v>12</v>
      </c>
      <c r="O17" s="113" t="s">
        <v>11</v>
      </c>
      <c r="P17" s="113" t="s">
        <v>12</v>
      </c>
      <c r="Q17" s="113" t="s">
        <v>12</v>
      </c>
      <c r="R17" s="224"/>
      <c r="S17" s="224"/>
      <c r="T17" s="113" t="s">
        <v>12</v>
      </c>
      <c r="U17" s="113" t="s">
        <v>11</v>
      </c>
      <c r="V17" s="113" t="s">
        <v>11</v>
      </c>
      <c r="W17" s="113" t="s">
        <v>12</v>
      </c>
      <c r="X17" s="113" t="s">
        <v>12</v>
      </c>
      <c r="Y17" s="224"/>
      <c r="Z17" s="113" t="s">
        <v>12</v>
      </c>
      <c r="AA17" s="113" t="s">
        <v>12</v>
      </c>
      <c r="AB17" s="113" t="s">
        <v>12</v>
      </c>
      <c r="AC17" s="113" t="s">
        <v>12</v>
      </c>
      <c r="AD17" s="113" t="s">
        <v>11</v>
      </c>
      <c r="AE17" s="113" t="s">
        <v>12</v>
      </c>
      <c r="AF17" s="224"/>
      <c r="AG17" s="113" t="s">
        <v>12</v>
      </c>
      <c r="AH17" s="113" t="s">
        <v>12</v>
      </c>
      <c r="AI17" s="113" t="s">
        <v>11</v>
      </c>
      <c r="AJ17" s="113" t="s">
        <v>12</v>
      </c>
      <c r="AK17" s="177">
        <f t="shared" si="1"/>
        <v>19</v>
      </c>
      <c r="AL17" s="46">
        <f t="shared" si="0"/>
        <v>7</v>
      </c>
      <c r="AN17" s="150" t="s">
        <v>24</v>
      </c>
      <c r="AO17" s="150">
        <f>AO16-AO11</f>
        <v>79</v>
      </c>
      <c r="AP17" s="150">
        <f>AP16-AP11</f>
        <v>167</v>
      </c>
      <c r="AQ17" s="150">
        <f>SUM(AO17:AP17)</f>
        <v>246</v>
      </c>
    </row>
    <row r="18" spans="1:43" ht="18" x14ac:dyDescent="0.4">
      <c r="A18" s="39">
        <v>13</v>
      </c>
      <c r="B18" s="10"/>
      <c r="C18" s="10"/>
      <c r="D18" s="10"/>
      <c r="E18" s="46" t="s">
        <v>43</v>
      </c>
      <c r="F18" s="113" t="s">
        <v>11</v>
      </c>
      <c r="G18" s="113" t="s">
        <v>11</v>
      </c>
      <c r="H18" s="113" t="s">
        <v>11</v>
      </c>
      <c r="I18" s="113" t="s">
        <v>11</v>
      </c>
      <c r="J18" s="113" t="s">
        <v>12</v>
      </c>
      <c r="K18" s="224"/>
      <c r="L18" s="113" t="s">
        <v>12</v>
      </c>
      <c r="M18" s="113" t="s">
        <v>11</v>
      </c>
      <c r="N18" s="113" t="s">
        <v>11</v>
      </c>
      <c r="O18" s="113" t="s">
        <v>11</v>
      </c>
      <c r="P18" s="113" t="s">
        <v>11</v>
      </c>
      <c r="Q18" s="113" t="s">
        <v>12</v>
      </c>
      <c r="R18" s="224"/>
      <c r="S18" s="224"/>
      <c r="T18" s="113" t="s">
        <v>12</v>
      </c>
      <c r="U18" s="113" t="s">
        <v>11</v>
      </c>
      <c r="V18" s="113" t="s">
        <v>12</v>
      </c>
      <c r="W18" s="113" t="s">
        <v>12</v>
      </c>
      <c r="X18" s="113" t="s">
        <v>11</v>
      </c>
      <c r="Y18" s="224"/>
      <c r="Z18" s="113" t="s">
        <v>11</v>
      </c>
      <c r="AA18" s="113" t="s">
        <v>12</v>
      </c>
      <c r="AB18" s="113" t="s">
        <v>11</v>
      </c>
      <c r="AC18" s="113" t="s">
        <v>12</v>
      </c>
      <c r="AD18" s="113" t="s">
        <v>11</v>
      </c>
      <c r="AE18" s="113" t="s">
        <v>11</v>
      </c>
      <c r="AF18" s="224"/>
      <c r="AG18" s="113" t="s">
        <v>12</v>
      </c>
      <c r="AH18" s="113" t="s">
        <v>11</v>
      </c>
      <c r="AI18" s="113" t="s">
        <v>12</v>
      </c>
      <c r="AJ18" s="113" t="s">
        <v>12</v>
      </c>
      <c r="AK18" s="46">
        <f t="shared" si="1"/>
        <v>11</v>
      </c>
      <c r="AL18" s="46">
        <f t="shared" si="0"/>
        <v>15</v>
      </c>
      <c r="AN18" s="10" t="s">
        <v>22</v>
      </c>
      <c r="AO18" s="156">
        <f>AO17/AO16</f>
        <v>0.50641025641025639</v>
      </c>
      <c r="AP18" s="156">
        <f>AP17/AP16</f>
        <v>0.32115384615384618</v>
      </c>
      <c r="AQ18" s="156">
        <f>AQ17/AQ16</f>
        <v>0.36390532544378701</v>
      </c>
    </row>
    <row r="19" spans="1:43" ht="18" x14ac:dyDescent="0.4">
      <c r="A19" s="39">
        <v>14</v>
      </c>
      <c r="B19" s="10"/>
      <c r="C19" s="10"/>
      <c r="D19" s="10"/>
      <c r="E19" s="46" t="s">
        <v>43</v>
      </c>
      <c r="F19" s="113" t="s">
        <v>11</v>
      </c>
      <c r="G19" s="113" t="s">
        <v>11</v>
      </c>
      <c r="H19" s="113" t="s">
        <v>11</v>
      </c>
      <c r="I19" s="113" t="s">
        <v>11</v>
      </c>
      <c r="J19" s="113" t="s">
        <v>11</v>
      </c>
      <c r="K19" s="224"/>
      <c r="L19" s="113" t="s">
        <v>12</v>
      </c>
      <c r="M19" s="113" t="s">
        <v>12</v>
      </c>
      <c r="N19" s="113" t="s">
        <v>12</v>
      </c>
      <c r="O19" s="113" t="s">
        <v>12</v>
      </c>
      <c r="P19" s="113" t="s">
        <v>11</v>
      </c>
      <c r="Q19" s="113" t="s">
        <v>11</v>
      </c>
      <c r="R19" s="224"/>
      <c r="S19" s="224"/>
      <c r="T19" s="113" t="s">
        <v>11</v>
      </c>
      <c r="U19" s="113" t="s">
        <v>11</v>
      </c>
      <c r="V19" s="113" t="s">
        <v>11</v>
      </c>
      <c r="W19" s="113" t="s">
        <v>11</v>
      </c>
      <c r="X19" s="113" t="s">
        <v>11</v>
      </c>
      <c r="Y19" s="224"/>
      <c r="Z19" s="113" t="s">
        <v>11</v>
      </c>
      <c r="AA19" s="113" t="s">
        <v>11</v>
      </c>
      <c r="AB19" s="113" t="s">
        <v>11</v>
      </c>
      <c r="AC19" s="113" t="s">
        <v>12</v>
      </c>
      <c r="AD19" s="113" t="s">
        <v>11</v>
      </c>
      <c r="AE19" s="113" t="s">
        <v>11</v>
      </c>
      <c r="AF19" s="224"/>
      <c r="AG19" s="113" t="s">
        <v>11</v>
      </c>
      <c r="AH19" s="113" t="s">
        <v>11</v>
      </c>
      <c r="AI19" s="113" t="s">
        <v>11</v>
      </c>
      <c r="AJ19" s="113" t="s">
        <v>11</v>
      </c>
      <c r="AK19" s="177">
        <f t="shared" si="1"/>
        <v>5</v>
      </c>
      <c r="AL19" s="46">
        <f t="shared" si="0"/>
        <v>21</v>
      </c>
    </row>
    <row r="20" spans="1:43" ht="18" x14ac:dyDescent="0.4">
      <c r="A20" s="39">
        <v>15</v>
      </c>
      <c r="B20" s="10"/>
      <c r="C20" s="10"/>
      <c r="D20" s="10"/>
      <c r="E20" s="46" t="s">
        <v>43</v>
      </c>
      <c r="F20" s="113" t="s">
        <v>12</v>
      </c>
      <c r="G20" s="113" t="s">
        <v>11</v>
      </c>
      <c r="H20" s="113" t="s">
        <v>12</v>
      </c>
      <c r="I20" s="113" t="s">
        <v>12</v>
      </c>
      <c r="J20" s="113" t="s">
        <v>12</v>
      </c>
      <c r="K20" s="224"/>
      <c r="L20" s="113" t="s">
        <v>12</v>
      </c>
      <c r="M20" s="113" t="s">
        <v>12</v>
      </c>
      <c r="N20" s="113" t="s">
        <v>12</v>
      </c>
      <c r="O20" s="113" t="s">
        <v>12</v>
      </c>
      <c r="P20" s="113" t="s">
        <v>12</v>
      </c>
      <c r="Q20" s="113" t="s">
        <v>12</v>
      </c>
      <c r="R20" s="224"/>
      <c r="S20" s="224"/>
      <c r="T20" s="113" t="s">
        <v>12</v>
      </c>
      <c r="U20" s="113" t="s">
        <v>12</v>
      </c>
      <c r="V20" s="113" t="s">
        <v>12</v>
      </c>
      <c r="W20" s="113" t="s">
        <v>12</v>
      </c>
      <c r="X20" s="113" t="s">
        <v>11</v>
      </c>
      <c r="Y20" s="224"/>
      <c r="Z20" s="113" t="s">
        <v>12</v>
      </c>
      <c r="AA20" s="113" t="s">
        <v>12</v>
      </c>
      <c r="AB20" s="113" t="s">
        <v>11</v>
      </c>
      <c r="AC20" s="113" t="s">
        <v>12</v>
      </c>
      <c r="AD20" s="113" t="s">
        <v>12</v>
      </c>
      <c r="AE20" s="113" t="s">
        <v>12</v>
      </c>
      <c r="AF20" s="224"/>
      <c r="AG20" s="113" t="s">
        <v>12</v>
      </c>
      <c r="AH20" s="113" t="s">
        <v>12</v>
      </c>
      <c r="AI20" s="113" t="s">
        <v>12</v>
      </c>
      <c r="AJ20" s="113" t="s">
        <v>12</v>
      </c>
      <c r="AK20" s="177">
        <f t="shared" si="1"/>
        <v>23</v>
      </c>
      <c r="AL20" s="46">
        <f t="shared" si="0"/>
        <v>3</v>
      </c>
    </row>
    <row r="21" spans="1:43" ht="18" x14ac:dyDescent="0.4">
      <c r="A21" s="39">
        <v>16</v>
      </c>
      <c r="B21" s="10"/>
      <c r="C21" s="10"/>
      <c r="D21" s="10"/>
      <c r="E21" s="46" t="s">
        <v>43</v>
      </c>
      <c r="F21" s="113" t="s">
        <v>12</v>
      </c>
      <c r="G21" s="113" t="s">
        <v>11</v>
      </c>
      <c r="H21" s="113" t="s">
        <v>12</v>
      </c>
      <c r="I21" s="113" t="s">
        <v>12</v>
      </c>
      <c r="J21" s="113" t="s">
        <v>12</v>
      </c>
      <c r="K21" s="224"/>
      <c r="L21" s="113" t="s">
        <v>12</v>
      </c>
      <c r="M21" s="113" t="s">
        <v>12</v>
      </c>
      <c r="N21" s="113" t="s">
        <v>12</v>
      </c>
      <c r="O21" s="113" t="s">
        <v>12</v>
      </c>
      <c r="P21" s="113" t="s">
        <v>12</v>
      </c>
      <c r="Q21" s="113" t="s">
        <v>12</v>
      </c>
      <c r="R21" s="224"/>
      <c r="S21" s="224"/>
      <c r="T21" s="113" t="s">
        <v>12</v>
      </c>
      <c r="U21" s="113" t="s">
        <v>12</v>
      </c>
      <c r="V21" s="113" t="s">
        <v>12</v>
      </c>
      <c r="W21" s="113" t="s">
        <v>12</v>
      </c>
      <c r="X21" s="113" t="s">
        <v>12</v>
      </c>
      <c r="Y21" s="224"/>
      <c r="Z21" s="113" t="s">
        <v>12</v>
      </c>
      <c r="AA21" s="113" t="s">
        <v>12</v>
      </c>
      <c r="AB21" s="113" t="s">
        <v>12</v>
      </c>
      <c r="AC21" s="113" t="s">
        <v>12</v>
      </c>
      <c r="AD21" s="113" t="s">
        <v>12</v>
      </c>
      <c r="AE21" s="113" t="s">
        <v>12</v>
      </c>
      <c r="AF21" s="224"/>
      <c r="AG21" s="113" t="s">
        <v>12</v>
      </c>
      <c r="AH21" s="113" t="s">
        <v>12</v>
      </c>
      <c r="AI21" s="113" t="s">
        <v>11</v>
      </c>
      <c r="AJ21" s="113" t="s">
        <v>12</v>
      </c>
      <c r="AK21" s="177">
        <f t="shared" si="1"/>
        <v>24</v>
      </c>
      <c r="AL21" s="46">
        <f t="shared" si="0"/>
        <v>2</v>
      </c>
    </row>
    <row r="22" spans="1:43" ht="18" x14ac:dyDescent="0.4">
      <c r="A22" s="39">
        <v>17</v>
      </c>
      <c r="B22" s="10"/>
      <c r="C22" s="10"/>
      <c r="D22" s="10"/>
      <c r="E22" s="46" t="s">
        <v>43</v>
      </c>
      <c r="F22" s="113" t="s">
        <v>11</v>
      </c>
      <c r="G22" s="113" t="s">
        <v>11</v>
      </c>
      <c r="H22" s="113" t="s">
        <v>11</v>
      </c>
      <c r="I22" s="113" t="s">
        <v>11</v>
      </c>
      <c r="J22" s="113" t="s">
        <v>11</v>
      </c>
      <c r="K22" s="224"/>
      <c r="L22" s="113" t="s">
        <v>12</v>
      </c>
      <c r="M22" s="113" t="s">
        <v>12</v>
      </c>
      <c r="N22" s="113" t="s">
        <v>12</v>
      </c>
      <c r="O22" s="113" t="s">
        <v>12</v>
      </c>
      <c r="P22" s="113" t="s">
        <v>12</v>
      </c>
      <c r="Q22" s="113" t="s">
        <v>12</v>
      </c>
      <c r="R22" s="224"/>
      <c r="S22" s="224"/>
      <c r="T22" s="113" t="s">
        <v>12</v>
      </c>
      <c r="U22" s="113" t="s">
        <v>12</v>
      </c>
      <c r="V22" s="113" t="s">
        <v>12</v>
      </c>
      <c r="W22" s="113" t="s">
        <v>11</v>
      </c>
      <c r="X22" s="113" t="s">
        <v>12</v>
      </c>
      <c r="Y22" s="224"/>
      <c r="Z22" s="113" t="s">
        <v>12</v>
      </c>
      <c r="AA22" s="113" t="s">
        <v>12</v>
      </c>
      <c r="AB22" s="113" t="s">
        <v>12</v>
      </c>
      <c r="AC22" s="113" t="s">
        <v>12</v>
      </c>
      <c r="AD22" s="113" t="s">
        <v>12</v>
      </c>
      <c r="AE22" s="113" t="s">
        <v>11</v>
      </c>
      <c r="AF22" s="224"/>
      <c r="AG22" s="113" t="s">
        <v>12</v>
      </c>
      <c r="AH22" s="113" t="s">
        <v>12</v>
      </c>
      <c r="AI22" s="113" t="s">
        <v>12</v>
      </c>
      <c r="AJ22" s="113" t="s">
        <v>12</v>
      </c>
      <c r="AK22" s="46">
        <f t="shared" si="1"/>
        <v>19</v>
      </c>
      <c r="AL22" s="46">
        <f t="shared" si="0"/>
        <v>7</v>
      </c>
    </row>
    <row r="23" spans="1:43" ht="18" x14ac:dyDescent="0.4">
      <c r="A23" s="39">
        <v>18</v>
      </c>
      <c r="B23" s="10"/>
      <c r="C23" s="10"/>
      <c r="D23" s="10"/>
      <c r="E23" s="46" t="s">
        <v>43</v>
      </c>
      <c r="F23" s="113" t="s">
        <v>11</v>
      </c>
      <c r="G23" s="113" t="s">
        <v>11</v>
      </c>
      <c r="H23" s="113" t="s">
        <v>11</v>
      </c>
      <c r="I23" s="113" t="s">
        <v>11</v>
      </c>
      <c r="J23" s="113" t="s">
        <v>12</v>
      </c>
      <c r="K23" s="224"/>
      <c r="L23" s="113" t="s">
        <v>12</v>
      </c>
      <c r="M23" s="113" t="s">
        <v>12</v>
      </c>
      <c r="N23" s="113" t="s">
        <v>12</v>
      </c>
      <c r="O23" s="113" t="s">
        <v>12</v>
      </c>
      <c r="P23" s="113" t="s">
        <v>12</v>
      </c>
      <c r="Q23" s="113" t="s">
        <v>12</v>
      </c>
      <c r="R23" s="224"/>
      <c r="S23" s="224"/>
      <c r="T23" s="113" t="s">
        <v>12</v>
      </c>
      <c r="U23" s="113" t="s">
        <v>12</v>
      </c>
      <c r="V23" s="113" t="s">
        <v>12</v>
      </c>
      <c r="W23" s="113" t="s">
        <v>11</v>
      </c>
      <c r="X23" s="113" t="s">
        <v>12</v>
      </c>
      <c r="Y23" s="224"/>
      <c r="Z23" s="113" t="s">
        <v>12</v>
      </c>
      <c r="AA23" s="113" t="s">
        <v>12</v>
      </c>
      <c r="AB23" s="113" t="s">
        <v>12</v>
      </c>
      <c r="AC23" s="113" t="s">
        <v>12</v>
      </c>
      <c r="AD23" s="113" t="s">
        <v>12</v>
      </c>
      <c r="AE23" s="113" t="s">
        <v>12</v>
      </c>
      <c r="AF23" s="224"/>
      <c r="AG23" s="113" t="s">
        <v>12</v>
      </c>
      <c r="AH23" s="113" t="s">
        <v>12</v>
      </c>
      <c r="AI23" s="113" t="s">
        <v>12</v>
      </c>
      <c r="AJ23" s="113" t="s">
        <v>12</v>
      </c>
      <c r="AK23" s="177">
        <f t="shared" si="1"/>
        <v>21</v>
      </c>
      <c r="AL23" s="46">
        <f t="shared" si="0"/>
        <v>5</v>
      </c>
    </row>
    <row r="24" spans="1:43" ht="18" x14ac:dyDescent="0.4">
      <c r="A24" s="39">
        <v>19</v>
      </c>
      <c r="B24" s="10"/>
      <c r="C24" s="10"/>
      <c r="D24" s="10"/>
      <c r="E24" s="46" t="s">
        <v>43</v>
      </c>
      <c r="F24" s="113" t="s">
        <v>11</v>
      </c>
      <c r="G24" s="113" t="s">
        <v>11</v>
      </c>
      <c r="H24" s="113" t="s">
        <v>12</v>
      </c>
      <c r="I24" s="113" t="s">
        <v>12</v>
      </c>
      <c r="J24" s="113" t="s">
        <v>12</v>
      </c>
      <c r="K24" s="224"/>
      <c r="L24" s="113" t="s">
        <v>11</v>
      </c>
      <c r="M24" s="113" t="s">
        <v>11</v>
      </c>
      <c r="N24" s="113" t="s">
        <v>12</v>
      </c>
      <c r="O24" s="113" t="s">
        <v>12</v>
      </c>
      <c r="P24" s="113" t="s">
        <v>12</v>
      </c>
      <c r="Q24" s="113" t="s">
        <v>12</v>
      </c>
      <c r="R24" s="224"/>
      <c r="S24" s="224"/>
      <c r="T24" s="113" t="s">
        <v>12</v>
      </c>
      <c r="U24" s="113" t="s">
        <v>12</v>
      </c>
      <c r="V24" s="113" t="s">
        <v>12</v>
      </c>
      <c r="W24" s="113" t="s">
        <v>12</v>
      </c>
      <c r="X24" s="113" t="s">
        <v>12</v>
      </c>
      <c r="Y24" s="224"/>
      <c r="Z24" s="113" t="s">
        <v>12</v>
      </c>
      <c r="AA24" s="113" t="s">
        <v>11</v>
      </c>
      <c r="AB24" s="113" t="s">
        <v>12</v>
      </c>
      <c r="AC24" s="113" t="s">
        <v>12</v>
      </c>
      <c r="AD24" s="113" t="s">
        <v>12</v>
      </c>
      <c r="AE24" s="113" t="s">
        <v>12</v>
      </c>
      <c r="AF24" s="224"/>
      <c r="AG24" s="113" t="s">
        <v>11</v>
      </c>
      <c r="AH24" s="113" t="s">
        <v>12</v>
      </c>
      <c r="AI24" s="113" t="s">
        <v>12</v>
      </c>
      <c r="AJ24" s="113" t="s">
        <v>12</v>
      </c>
      <c r="AK24" s="177">
        <f t="shared" si="1"/>
        <v>20</v>
      </c>
      <c r="AL24" s="46">
        <f t="shared" si="0"/>
        <v>6</v>
      </c>
    </row>
    <row r="25" spans="1:43" ht="18" x14ac:dyDescent="0.4">
      <c r="A25" s="114">
        <v>20</v>
      </c>
      <c r="B25" s="10"/>
      <c r="C25" s="10"/>
      <c r="D25" s="10"/>
      <c r="E25" s="46" t="s">
        <v>43</v>
      </c>
      <c r="F25" s="113" t="s">
        <v>12</v>
      </c>
      <c r="G25" s="113" t="s">
        <v>11</v>
      </c>
      <c r="H25" s="113" t="s">
        <v>12</v>
      </c>
      <c r="I25" s="113" t="s">
        <v>12</v>
      </c>
      <c r="J25" s="113" t="s">
        <v>12</v>
      </c>
      <c r="K25" s="224"/>
      <c r="L25" s="113" t="s">
        <v>12</v>
      </c>
      <c r="M25" s="113" t="s">
        <v>12</v>
      </c>
      <c r="N25" s="113" t="s">
        <v>12</v>
      </c>
      <c r="O25" s="113" t="s">
        <v>12</v>
      </c>
      <c r="P25" s="113" t="s">
        <v>12</v>
      </c>
      <c r="Q25" s="113" t="s">
        <v>12</v>
      </c>
      <c r="R25" s="224"/>
      <c r="S25" s="224"/>
      <c r="T25" s="113" t="s">
        <v>11</v>
      </c>
      <c r="U25" s="113" t="s">
        <v>11</v>
      </c>
      <c r="V25" s="113" t="s">
        <v>11</v>
      </c>
      <c r="W25" s="113" t="s">
        <v>12</v>
      </c>
      <c r="X25" s="113" t="s">
        <v>12</v>
      </c>
      <c r="Y25" s="224"/>
      <c r="Z25" s="113" t="s">
        <v>12</v>
      </c>
      <c r="AA25" s="113" t="s">
        <v>12</v>
      </c>
      <c r="AB25" s="113" t="s">
        <v>12</v>
      </c>
      <c r="AC25" s="113" t="s">
        <v>12</v>
      </c>
      <c r="AD25" s="113" t="s">
        <v>12</v>
      </c>
      <c r="AE25" s="113" t="s">
        <v>12</v>
      </c>
      <c r="AF25" s="224"/>
      <c r="AG25" s="113" t="s">
        <v>12</v>
      </c>
      <c r="AH25" s="113" t="s">
        <v>12</v>
      </c>
      <c r="AI25" s="113" t="s">
        <v>12</v>
      </c>
      <c r="AJ25" s="113" t="s">
        <v>12</v>
      </c>
      <c r="AK25" s="177">
        <f t="shared" si="1"/>
        <v>22</v>
      </c>
      <c r="AL25" s="46">
        <f t="shared" si="0"/>
        <v>4</v>
      </c>
    </row>
    <row r="26" spans="1:43" ht="18" x14ac:dyDescent="0.4">
      <c r="A26" s="39">
        <v>21</v>
      </c>
      <c r="B26" s="10"/>
      <c r="C26" s="10"/>
      <c r="D26" s="10"/>
      <c r="E26" s="46" t="s">
        <v>43</v>
      </c>
      <c r="F26" s="113" t="s">
        <v>11</v>
      </c>
      <c r="G26" s="113" t="s">
        <v>11</v>
      </c>
      <c r="H26" s="113" t="s">
        <v>11</v>
      </c>
      <c r="I26" s="113" t="s">
        <v>11</v>
      </c>
      <c r="J26" s="113" t="s">
        <v>11</v>
      </c>
      <c r="K26" s="224"/>
      <c r="L26" s="113" t="s">
        <v>11</v>
      </c>
      <c r="M26" s="113" t="s">
        <v>12</v>
      </c>
      <c r="N26" s="113" t="s">
        <v>12</v>
      </c>
      <c r="O26" s="113" t="s">
        <v>12</v>
      </c>
      <c r="P26" s="113" t="s">
        <v>12</v>
      </c>
      <c r="Q26" s="113" t="s">
        <v>11</v>
      </c>
      <c r="R26" s="224"/>
      <c r="S26" s="224"/>
      <c r="T26" s="113" t="s">
        <v>12</v>
      </c>
      <c r="U26" s="113" t="s">
        <v>12</v>
      </c>
      <c r="V26" s="113" t="s">
        <v>12</v>
      </c>
      <c r="W26" s="113" t="s">
        <v>12</v>
      </c>
      <c r="X26" s="113" t="s">
        <v>12</v>
      </c>
      <c r="Y26" s="224"/>
      <c r="Z26" s="113" t="s">
        <v>12</v>
      </c>
      <c r="AA26" s="113" t="s">
        <v>11</v>
      </c>
      <c r="AB26" s="113" t="s">
        <v>11</v>
      </c>
      <c r="AC26" s="113" t="s">
        <v>11</v>
      </c>
      <c r="AD26" s="113" t="s">
        <v>12</v>
      </c>
      <c r="AE26" s="113" t="s">
        <v>12</v>
      </c>
      <c r="AF26" s="224"/>
      <c r="AG26" s="113" t="s">
        <v>11</v>
      </c>
      <c r="AH26" s="113" t="s">
        <v>11</v>
      </c>
      <c r="AI26" s="113" t="s">
        <v>11</v>
      </c>
      <c r="AJ26" s="113" t="s">
        <v>11</v>
      </c>
      <c r="AK26" s="177">
        <f t="shared" si="1"/>
        <v>12</v>
      </c>
      <c r="AL26" s="46">
        <f t="shared" si="0"/>
        <v>14</v>
      </c>
    </row>
    <row r="27" spans="1:43" ht="18" x14ac:dyDescent="0.4">
      <c r="A27" s="39">
        <v>22</v>
      </c>
      <c r="B27" s="10"/>
      <c r="C27" s="10"/>
      <c r="D27" s="10"/>
      <c r="E27" s="46" t="s">
        <v>43</v>
      </c>
      <c r="F27" s="113" t="s">
        <v>11</v>
      </c>
      <c r="G27" s="113" t="s">
        <v>11</v>
      </c>
      <c r="H27" s="113" t="s">
        <v>11</v>
      </c>
      <c r="I27" s="113" t="s">
        <v>11</v>
      </c>
      <c r="J27" s="113" t="s">
        <v>11</v>
      </c>
      <c r="K27" s="224"/>
      <c r="L27" s="113" t="s">
        <v>12</v>
      </c>
      <c r="M27" s="113" t="s">
        <v>12</v>
      </c>
      <c r="N27" s="113" t="s">
        <v>12</v>
      </c>
      <c r="O27" s="113" t="s">
        <v>11</v>
      </c>
      <c r="P27" s="113" t="s">
        <v>12</v>
      </c>
      <c r="Q27" s="113" t="s">
        <v>12</v>
      </c>
      <c r="R27" s="224"/>
      <c r="S27" s="224"/>
      <c r="T27" s="113" t="s">
        <v>12</v>
      </c>
      <c r="U27" s="113" t="s">
        <v>11</v>
      </c>
      <c r="V27" s="113" t="s">
        <v>11</v>
      </c>
      <c r="W27" s="113" t="s">
        <v>11</v>
      </c>
      <c r="X27" s="113" t="s">
        <v>12</v>
      </c>
      <c r="Y27" s="224"/>
      <c r="Z27" s="113" t="s">
        <v>12</v>
      </c>
      <c r="AA27" s="113" t="s">
        <v>12</v>
      </c>
      <c r="AB27" s="113" t="s">
        <v>12</v>
      </c>
      <c r="AC27" s="113" t="s">
        <v>12</v>
      </c>
      <c r="AD27" s="113" t="s">
        <v>12</v>
      </c>
      <c r="AE27" s="113" t="s">
        <v>12</v>
      </c>
      <c r="AF27" s="224"/>
      <c r="AG27" s="113" t="s">
        <v>12</v>
      </c>
      <c r="AH27" s="113" t="s">
        <v>12</v>
      </c>
      <c r="AI27" s="113" t="s">
        <v>12</v>
      </c>
      <c r="AJ27" s="113" t="s">
        <v>12</v>
      </c>
      <c r="AK27" s="46">
        <f t="shared" si="1"/>
        <v>17</v>
      </c>
      <c r="AL27" s="46">
        <f t="shared" si="0"/>
        <v>9</v>
      </c>
    </row>
    <row r="28" spans="1:43" ht="18" x14ac:dyDescent="0.4">
      <c r="A28" s="114">
        <v>23</v>
      </c>
      <c r="B28" s="10"/>
      <c r="C28" s="10"/>
      <c r="D28" s="10"/>
      <c r="E28" s="46" t="s">
        <v>43</v>
      </c>
      <c r="F28" s="113" t="s">
        <v>11</v>
      </c>
      <c r="G28" s="113" t="s">
        <v>11</v>
      </c>
      <c r="H28" s="113" t="s">
        <v>11</v>
      </c>
      <c r="I28" s="113" t="s">
        <v>12</v>
      </c>
      <c r="J28" s="113" t="s">
        <v>12</v>
      </c>
      <c r="K28" s="224"/>
      <c r="L28" s="113" t="s">
        <v>11</v>
      </c>
      <c r="M28" s="113" t="s">
        <v>12</v>
      </c>
      <c r="N28" s="113" t="s">
        <v>12</v>
      </c>
      <c r="O28" s="113" t="s">
        <v>12</v>
      </c>
      <c r="P28" s="113" t="s">
        <v>12</v>
      </c>
      <c r="Q28" s="113" t="s">
        <v>11</v>
      </c>
      <c r="R28" s="224"/>
      <c r="S28" s="224"/>
      <c r="T28" s="113" t="s">
        <v>12</v>
      </c>
      <c r="U28" s="113" t="s">
        <v>12</v>
      </c>
      <c r="V28" s="113" t="s">
        <v>12</v>
      </c>
      <c r="W28" s="113" t="s">
        <v>12</v>
      </c>
      <c r="X28" s="113" t="s">
        <v>12</v>
      </c>
      <c r="Y28" s="224"/>
      <c r="Z28" s="113" t="s">
        <v>12</v>
      </c>
      <c r="AA28" s="113" t="s">
        <v>11</v>
      </c>
      <c r="AB28" s="113" t="s">
        <v>12</v>
      </c>
      <c r="AC28" s="113" t="s">
        <v>12</v>
      </c>
      <c r="AD28" s="113" t="s">
        <v>12</v>
      </c>
      <c r="AE28" s="113" t="s">
        <v>12</v>
      </c>
      <c r="AF28" s="224"/>
      <c r="AG28" s="113" t="s">
        <v>12</v>
      </c>
      <c r="AH28" s="113" t="s">
        <v>12</v>
      </c>
      <c r="AI28" s="113" t="s">
        <v>12</v>
      </c>
      <c r="AJ28" s="113" t="s">
        <v>11</v>
      </c>
      <c r="AK28" s="177">
        <f t="shared" si="1"/>
        <v>19</v>
      </c>
      <c r="AL28" s="46">
        <f t="shared" si="0"/>
        <v>7</v>
      </c>
    </row>
    <row r="29" spans="1:43" ht="18" x14ac:dyDescent="0.4">
      <c r="A29" s="39">
        <v>24</v>
      </c>
      <c r="B29" s="10"/>
      <c r="C29" s="10"/>
      <c r="D29" s="10"/>
      <c r="E29" s="46" t="s">
        <v>43</v>
      </c>
      <c r="F29" s="113" t="s">
        <v>11</v>
      </c>
      <c r="G29" s="113" t="s">
        <v>12</v>
      </c>
      <c r="H29" s="113" t="s">
        <v>11</v>
      </c>
      <c r="I29" s="113" t="s">
        <v>11</v>
      </c>
      <c r="J29" s="113" t="s">
        <v>11</v>
      </c>
      <c r="K29" s="224"/>
      <c r="L29" s="113" t="s">
        <v>11</v>
      </c>
      <c r="M29" s="113" t="s">
        <v>11</v>
      </c>
      <c r="N29" s="113" t="s">
        <v>12</v>
      </c>
      <c r="O29" s="113" t="s">
        <v>12</v>
      </c>
      <c r="P29" s="113" t="s">
        <v>12</v>
      </c>
      <c r="Q29" s="113" t="s">
        <v>12</v>
      </c>
      <c r="R29" s="224"/>
      <c r="S29" s="224"/>
      <c r="T29" s="113" t="s">
        <v>12</v>
      </c>
      <c r="U29" s="113" t="s">
        <v>12</v>
      </c>
      <c r="V29" s="113" t="s">
        <v>12</v>
      </c>
      <c r="W29" s="113" t="s">
        <v>12</v>
      </c>
      <c r="X29" s="113" t="s">
        <v>12</v>
      </c>
      <c r="Y29" s="224"/>
      <c r="Z29" s="113" t="s">
        <v>12</v>
      </c>
      <c r="AA29" s="113" t="s">
        <v>12</v>
      </c>
      <c r="AB29" s="113" t="s">
        <v>12</v>
      </c>
      <c r="AC29" s="113" t="s">
        <v>12</v>
      </c>
      <c r="AD29" s="113" t="s">
        <v>12</v>
      </c>
      <c r="AE29" s="113" t="s">
        <v>11</v>
      </c>
      <c r="AF29" s="224"/>
      <c r="AG29" s="113" t="s">
        <v>12</v>
      </c>
      <c r="AH29" s="113" t="s">
        <v>12</v>
      </c>
      <c r="AI29" s="113" t="s">
        <v>12</v>
      </c>
      <c r="AJ29" s="113" t="s">
        <v>12</v>
      </c>
      <c r="AK29" s="177">
        <f t="shared" si="1"/>
        <v>19</v>
      </c>
      <c r="AL29" s="46">
        <f t="shared" si="0"/>
        <v>7</v>
      </c>
    </row>
    <row r="30" spans="1:43" ht="18" x14ac:dyDescent="0.4">
      <c r="A30" s="39">
        <v>25</v>
      </c>
      <c r="B30" s="10"/>
      <c r="C30" s="10"/>
      <c r="D30" s="10"/>
      <c r="E30" s="46" t="s">
        <v>43</v>
      </c>
      <c r="F30" s="113" t="s">
        <v>11</v>
      </c>
      <c r="G30" s="113" t="s">
        <v>11</v>
      </c>
      <c r="H30" s="113" t="s">
        <v>11</v>
      </c>
      <c r="I30" s="113" t="s">
        <v>11</v>
      </c>
      <c r="J30" s="113" t="s">
        <v>11</v>
      </c>
      <c r="K30" s="224"/>
      <c r="L30" s="113" t="s">
        <v>12</v>
      </c>
      <c r="M30" s="113" t="s">
        <v>11</v>
      </c>
      <c r="N30" s="113" t="s">
        <v>12</v>
      </c>
      <c r="O30" s="113" t="s">
        <v>12</v>
      </c>
      <c r="P30" s="113" t="s">
        <v>12</v>
      </c>
      <c r="Q30" s="113" t="s">
        <v>11</v>
      </c>
      <c r="R30" s="224"/>
      <c r="S30" s="224"/>
      <c r="T30" s="113" t="s">
        <v>12</v>
      </c>
      <c r="U30" s="113" t="s">
        <v>12</v>
      </c>
      <c r="V30" s="113" t="s">
        <v>12</v>
      </c>
      <c r="W30" s="113" t="s">
        <v>11</v>
      </c>
      <c r="X30" s="113" t="s">
        <v>11</v>
      </c>
      <c r="Y30" s="224"/>
      <c r="Z30" s="113" t="s">
        <v>12</v>
      </c>
      <c r="AA30" s="113" t="s">
        <v>12</v>
      </c>
      <c r="AB30" s="113" t="s">
        <v>12</v>
      </c>
      <c r="AC30" s="113" t="s">
        <v>11</v>
      </c>
      <c r="AD30" s="113" t="s">
        <v>12</v>
      </c>
      <c r="AE30" s="113" t="s">
        <v>11</v>
      </c>
      <c r="AF30" s="224"/>
      <c r="AG30" s="113" t="s">
        <v>11</v>
      </c>
      <c r="AH30" s="113" t="s">
        <v>12</v>
      </c>
      <c r="AI30" s="113" t="s">
        <v>11</v>
      </c>
      <c r="AJ30" s="113" t="s">
        <v>12</v>
      </c>
      <c r="AK30" s="177">
        <f t="shared" si="1"/>
        <v>13</v>
      </c>
      <c r="AL30" s="46">
        <f t="shared" si="0"/>
        <v>13</v>
      </c>
    </row>
    <row r="31" spans="1:43" ht="18" x14ac:dyDescent="0.4">
      <c r="A31" s="114">
        <v>26</v>
      </c>
      <c r="B31" s="10"/>
      <c r="C31" s="10"/>
      <c r="D31" s="10"/>
      <c r="E31" s="46" t="s">
        <v>43</v>
      </c>
      <c r="F31" s="113" t="s">
        <v>12</v>
      </c>
      <c r="G31" s="113" t="s">
        <v>12</v>
      </c>
      <c r="H31" s="113" t="s">
        <v>12</v>
      </c>
      <c r="I31" s="113" t="s">
        <v>12</v>
      </c>
      <c r="J31" s="113" t="s">
        <v>12</v>
      </c>
      <c r="K31" s="224"/>
      <c r="L31" s="113" t="s">
        <v>12</v>
      </c>
      <c r="M31" s="113" t="s">
        <v>12</v>
      </c>
      <c r="N31" s="113" t="s">
        <v>12</v>
      </c>
      <c r="O31" s="113" t="s">
        <v>12</v>
      </c>
      <c r="P31" s="113" t="s">
        <v>12</v>
      </c>
      <c r="Q31" s="113" t="s">
        <v>12</v>
      </c>
      <c r="R31" s="224"/>
      <c r="S31" s="224"/>
      <c r="T31" s="113" t="s">
        <v>12</v>
      </c>
      <c r="U31" s="113" t="s">
        <v>12</v>
      </c>
      <c r="V31" s="113" t="s">
        <v>12</v>
      </c>
      <c r="W31" s="113" t="s">
        <v>12</v>
      </c>
      <c r="X31" s="113" t="s">
        <v>12</v>
      </c>
      <c r="Y31" s="224"/>
      <c r="Z31" s="113" t="s">
        <v>12</v>
      </c>
      <c r="AA31" s="113" t="s">
        <v>12</v>
      </c>
      <c r="AB31" s="113" t="s">
        <v>12</v>
      </c>
      <c r="AC31" s="113" t="s">
        <v>12</v>
      </c>
      <c r="AD31" s="113" t="s">
        <v>12</v>
      </c>
      <c r="AE31" s="113" t="s">
        <v>12</v>
      </c>
      <c r="AF31" s="224"/>
      <c r="AG31" s="113" t="s">
        <v>12</v>
      </c>
      <c r="AH31" s="113" t="s">
        <v>12</v>
      </c>
      <c r="AI31" s="113" t="s">
        <v>12</v>
      </c>
      <c r="AJ31" s="113" t="s">
        <v>12</v>
      </c>
      <c r="AK31" s="46">
        <f t="shared" si="1"/>
        <v>26</v>
      </c>
      <c r="AL31" s="46">
        <f t="shared" si="0"/>
        <v>0</v>
      </c>
    </row>
    <row r="32" spans="1:43" ht="18" x14ac:dyDescent="0.4">
      <c r="A32" s="39">
        <v>27</v>
      </c>
      <c r="B32" s="10"/>
      <c r="C32" s="10"/>
      <c r="D32" s="10"/>
      <c r="E32" s="46" t="s">
        <v>43</v>
      </c>
      <c r="F32" s="113" t="s">
        <v>11</v>
      </c>
      <c r="G32" s="113" t="s">
        <v>11</v>
      </c>
      <c r="H32" s="113" t="s">
        <v>11</v>
      </c>
      <c r="I32" s="113" t="s">
        <v>11</v>
      </c>
      <c r="J32" s="113" t="s">
        <v>11</v>
      </c>
      <c r="K32" s="189"/>
      <c r="L32" s="113" t="s">
        <v>11</v>
      </c>
      <c r="M32" s="113" t="s">
        <v>12</v>
      </c>
      <c r="N32" s="113" t="s">
        <v>11</v>
      </c>
      <c r="O32" s="113" t="s">
        <v>11</v>
      </c>
      <c r="P32" s="113" t="s">
        <v>11</v>
      </c>
      <c r="Q32" s="113" t="s">
        <v>11</v>
      </c>
      <c r="R32" s="189"/>
      <c r="S32" s="189"/>
      <c r="T32" s="113" t="s">
        <v>11</v>
      </c>
      <c r="U32" s="113" t="s">
        <v>11</v>
      </c>
      <c r="V32" s="113" t="s">
        <v>11</v>
      </c>
      <c r="W32" s="113" t="s">
        <v>11</v>
      </c>
      <c r="X32" s="113" t="s">
        <v>11</v>
      </c>
      <c r="Y32" s="189"/>
      <c r="Z32" s="113" t="s">
        <v>11</v>
      </c>
      <c r="AA32" s="113" t="s">
        <v>11</v>
      </c>
      <c r="AB32" s="113" t="s">
        <v>11</v>
      </c>
      <c r="AC32" s="113" t="s">
        <v>11</v>
      </c>
      <c r="AD32" s="113" t="s">
        <v>11</v>
      </c>
      <c r="AE32" s="113" t="s">
        <v>11</v>
      </c>
      <c r="AF32" s="189"/>
      <c r="AG32" s="113" t="s">
        <v>11</v>
      </c>
      <c r="AH32" s="113" t="s">
        <v>12</v>
      </c>
      <c r="AI32" s="113" t="s">
        <v>12</v>
      </c>
      <c r="AJ32" s="113" t="s">
        <v>12</v>
      </c>
      <c r="AK32" s="46">
        <f t="shared" si="1"/>
        <v>4</v>
      </c>
      <c r="AL32" s="46">
        <f t="shared" si="0"/>
        <v>22</v>
      </c>
    </row>
    <row r="33" spans="1:38" ht="18" x14ac:dyDescent="0.4">
      <c r="A33" s="30"/>
      <c r="B33" s="30"/>
      <c r="C33" s="30"/>
      <c r="D33" s="30"/>
      <c r="E33" s="30"/>
      <c r="F33" s="94"/>
      <c r="G33" s="115"/>
      <c r="H33" s="31"/>
      <c r="I33" s="116"/>
      <c r="J33" s="31"/>
      <c r="K33" s="31"/>
      <c r="L33" s="31"/>
      <c r="M33" s="117"/>
      <c r="N33" s="118"/>
      <c r="O33" s="31"/>
      <c r="P33" s="31"/>
      <c r="Q33" s="31"/>
      <c r="R33" s="31"/>
      <c r="S33" s="31"/>
      <c r="T33" s="31"/>
      <c r="U33" s="115"/>
      <c r="V33" s="31"/>
      <c r="W33" s="31"/>
      <c r="X33" s="31"/>
      <c r="Y33" s="31"/>
      <c r="Z33" s="31"/>
      <c r="AA33" s="31"/>
      <c r="AB33" s="117"/>
      <c r="AC33" s="31"/>
      <c r="AD33" s="31"/>
      <c r="AE33" s="31"/>
      <c r="AF33" s="31"/>
      <c r="AG33" s="31"/>
      <c r="AH33" s="31"/>
      <c r="AI33" s="31"/>
      <c r="AJ33" s="31"/>
      <c r="AK33" s="186">
        <f>SUM(AK6:AK32)</f>
        <v>430</v>
      </c>
      <c r="AL33" s="186">
        <f>SUM(AL6:AL32)</f>
        <v>246</v>
      </c>
    </row>
    <row r="34" spans="1:38" x14ac:dyDescent="0.3">
      <c r="M34" s="119"/>
      <c r="AB34" s="119"/>
    </row>
    <row r="35" spans="1:38" x14ac:dyDescent="0.3">
      <c r="M35" s="119"/>
      <c r="AB35" s="119"/>
    </row>
    <row r="36" spans="1:38" x14ac:dyDescent="0.3">
      <c r="M36" s="119"/>
      <c r="AB36" s="119"/>
    </row>
    <row r="37" spans="1:38" x14ac:dyDescent="0.3">
      <c r="M37" s="119"/>
      <c r="AB37" s="119"/>
    </row>
    <row r="38" spans="1:38" x14ac:dyDescent="0.3">
      <c r="M38" s="119"/>
      <c r="AB38" s="119"/>
    </row>
    <row r="39" spans="1:38" x14ac:dyDescent="0.3">
      <c r="M39" s="119"/>
      <c r="AB39" s="119"/>
    </row>
    <row r="40" spans="1:38" x14ac:dyDescent="0.3">
      <c r="M40" s="119"/>
      <c r="AB40" s="119"/>
    </row>
    <row r="41" spans="1:38" x14ac:dyDescent="0.3">
      <c r="M41" s="119"/>
      <c r="AB41" s="119"/>
    </row>
    <row r="42" spans="1:38" x14ac:dyDescent="0.3">
      <c r="M42" s="119"/>
      <c r="AB42" s="119"/>
    </row>
    <row r="43" spans="1:38" x14ac:dyDescent="0.3">
      <c r="M43" s="119"/>
      <c r="AB43" s="119"/>
    </row>
    <row r="44" spans="1:38" x14ac:dyDescent="0.3">
      <c r="M44" s="119"/>
      <c r="AB44" s="119"/>
    </row>
    <row r="45" spans="1:38" x14ac:dyDescent="0.3">
      <c r="M45" s="119"/>
      <c r="AB45" s="119"/>
    </row>
    <row r="46" spans="1:38" x14ac:dyDescent="0.3">
      <c r="M46" s="119"/>
      <c r="AB46" s="119"/>
    </row>
    <row r="47" spans="1:38" x14ac:dyDescent="0.3">
      <c r="M47" s="119"/>
      <c r="AB47" s="119"/>
    </row>
    <row r="48" spans="1:38" x14ac:dyDescent="0.3">
      <c r="M48" s="119"/>
      <c r="AB48" s="119"/>
    </row>
    <row r="49" spans="1:43" x14ac:dyDescent="0.3">
      <c r="M49" s="119"/>
      <c r="AB49" s="119"/>
    </row>
    <row r="52" spans="1:43" x14ac:dyDescent="0.3">
      <c r="B52" s="10">
        <v>1179</v>
      </c>
      <c r="C52" s="10" t="s">
        <v>60</v>
      </c>
      <c r="D52" s="10" t="s">
        <v>39</v>
      </c>
    </row>
    <row r="53" spans="1:43" x14ac:dyDescent="0.3">
      <c r="B53" s="10">
        <v>1387</v>
      </c>
      <c r="C53" s="10" t="s">
        <v>61</v>
      </c>
      <c r="D53" s="10" t="s">
        <v>23</v>
      </c>
    </row>
    <row r="54" spans="1:43" x14ac:dyDescent="0.3">
      <c r="B54" s="10">
        <v>1047</v>
      </c>
      <c r="C54" s="10" t="s">
        <v>41</v>
      </c>
      <c r="D54" s="10" t="s">
        <v>32</v>
      </c>
    </row>
    <row r="55" spans="1:43" x14ac:dyDescent="0.3">
      <c r="B55" s="10">
        <v>1096</v>
      </c>
      <c r="C55" s="10" t="s">
        <v>62</v>
      </c>
      <c r="D55" s="10" t="s">
        <v>31</v>
      </c>
    </row>
    <row r="56" spans="1:43" ht="18" x14ac:dyDescent="0.3">
      <c r="A56" s="10"/>
      <c r="B56" s="10"/>
      <c r="C56" s="10" t="s">
        <v>42</v>
      </c>
      <c r="D56" s="10" t="s">
        <v>59</v>
      </c>
      <c r="E56" s="10"/>
      <c r="F56" s="10"/>
      <c r="G56" s="18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88"/>
      <c r="V56" s="10"/>
      <c r="W56" s="10"/>
      <c r="X56" s="10"/>
      <c r="Y56" s="10"/>
      <c r="Z56" s="10"/>
      <c r="AA56" s="10"/>
      <c r="AB56" s="188"/>
      <c r="AC56" s="10"/>
      <c r="AD56" s="10"/>
      <c r="AE56" s="10"/>
      <c r="AF56" s="10"/>
      <c r="AG56" s="10"/>
      <c r="AH56" s="10"/>
      <c r="AI56" s="10"/>
      <c r="AJ56" s="10"/>
      <c r="AK56" s="36" t="s">
        <v>6</v>
      </c>
      <c r="AL56" s="36" t="s">
        <v>7</v>
      </c>
      <c r="AN56" s="153" t="s">
        <v>8</v>
      </c>
      <c r="AO56" s="153">
        <v>31</v>
      </c>
      <c r="AP56" s="167"/>
      <c r="AQ56" s="167"/>
    </row>
  </sheetData>
  <mergeCells count="13">
    <mergeCell ref="AN14:AQ14"/>
    <mergeCell ref="F6:J6"/>
    <mergeCell ref="AN8:AQ8"/>
    <mergeCell ref="A1:AL1"/>
    <mergeCell ref="A2:AL2"/>
    <mergeCell ref="A3:AL3"/>
    <mergeCell ref="AN3:AO4"/>
    <mergeCell ref="A4:AL4"/>
    <mergeCell ref="K6:K31"/>
    <mergeCell ref="R6:R31"/>
    <mergeCell ref="S6:S31"/>
    <mergeCell ref="Y6:Y31"/>
    <mergeCell ref="AF6:A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0"/>
  <sheetViews>
    <sheetView zoomScale="80" zoomScaleNormal="80" workbookViewId="0">
      <selection activeCell="D10" sqref="D10"/>
    </sheetView>
  </sheetViews>
  <sheetFormatPr defaultColWidth="4.1796875" defaultRowHeight="14" x14ac:dyDescent="0.3"/>
  <cols>
    <col min="1" max="1" width="7.7265625" style="1" customWidth="1"/>
    <col min="2" max="2" width="11" style="1" customWidth="1"/>
    <col min="3" max="3" width="23.453125" style="74" customWidth="1"/>
    <col min="4" max="4" width="23.453125" style="1" customWidth="1"/>
    <col min="5" max="5" width="8.453125" style="1" customWidth="1"/>
    <col min="6" max="6" width="4.26953125" style="1" bestFit="1" customWidth="1"/>
    <col min="7" max="7" width="4.26953125" style="187" bestFit="1" customWidth="1"/>
    <col min="8" max="20" width="4.26953125" style="1" bestFit="1" customWidth="1"/>
    <col min="21" max="21" width="4.7265625" style="187" bestFit="1" customWidth="1"/>
    <col min="22" max="27" width="4.26953125" style="1" bestFit="1" customWidth="1"/>
    <col min="28" max="28" width="4.26953125" style="187" bestFit="1" customWidth="1"/>
    <col min="29" max="36" width="4.26953125" style="1" bestFit="1" customWidth="1"/>
    <col min="37" max="37" width="9.453125" style="1" bestFit="1" customWidth="1"/>
    <col min="38" max="38" width="9" style="1" bestFit="1" customWidth="1"/>
    <col min="39" max="39" width="4.1796875" style="1"/>
    <col min="40" max="40" width="18" style="1" bestFit="1" customWidth="1"/>
    <col min="41" max="41" width="9.7265625" style="1" customWidth="1"/>
    <col min="42" max="42" width="13" style="1" customWidth="1"/>
    <col min="43" max="43" width="11.81640625" style="1" customWidth="1"/>
    <col min="44" max="44" width="4.26953125" style="1" bestFit="1" customWidth="1"/>
    <col min="45" max="16384" width="4.1796875" style="1"/>
  </cols>
  <sheetData>
    <row r="1" spans="1:44" ht="23.25" customHeight="1" thickBot="1" x14ac:dyDescent="0.5">
      <c r="A1" s="229" t="s">
        <v>78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1"/>
    </row>
    <row r="2" spans="1:44" ht="23.25" customHeight="1" thickBot="1" x14ac:dyDescent="0.35">
      <c r="A2" s="232" t="s">
        <v>75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4"/>
    </row>
    <row r="3" spans="1:44" ht="23.25" customHeight="1" thickBot="1" x14ac:dyDescent="0.5">
      <c r="A3" s="229" t="s">
        <v>56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1"/>
      <c r="AN3" s="271">
        <v>45139</v>
      </c>
      <c r="AO3" s="271"/>
      <c r="AP3" s="170"/>
    </row>
    <row r="4" spans="1:44" ht="23.25" customHeight="1" thickBot="1" x14ac:dyDescent="0.5">
      <c r="A4" s="229" t="s">
        <v>77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1"/>
      <c r="AN4" s="271"/>
      <c r="AO4" s="271"/>
      <c r="AP4" s="170"/>
    </row>
    <row r="5" spans="1:44" s="185" customFormat="1" ht="40.5" customHeight="1" thickBot="1" x14ac:dyDescent="0.35">
      <c r="A5" s="18" t="s">
        <v>1</v>
      </c>
      <c r="B5" s="19" t="s">
        <v>2</v>
      </c>
      <c r="C5" s="20" t="s">
        <v>3</v>
      </c>
      <c r="D5" s="19" t="s">
        <v>4</v>
      </c>
      <c r="E5" s="106" t="s">
        <v>5</v>
      </c>
      <c r="F5" s="107">
        <v>1</v>
      </c>
      <c r="G5" s="108">
        <v>2</v>
      </c>
      <c r="H5" s="107">
        <v>3</v>
      </c>
      <c r="I5" s="107">
        <v>4</v>
      </c>
      <c r="J5" s="107">
        <v>5</v>
      </c>
      <c r="K5" s="107">
        <v>6</v>
      </c>
      <c r="L5" s="107">
        <v>7</v>
      </c>
      <c r="M5" s="107">
        <v>8</v>
      </c>
      <c r="N5" s="107">
        <v>9</v>
      </c>
      <c r="O5" s="107">
        <v>10</v>
      </c>
      <c r="P5" s="107">
        <v>11</v>
      </c>
      <c r="Q5" s="107">
        <v>12</v>
      </c>
      <c r="R5" s="109">
        <v>13</v>
      </c>
      <c r="S5" s="107">
        <v>14</v>
      </c>
      <c r="T5" s="107">
        <v>15</v>
      </c>
      <c r="U5" s="107">
        <v>16</v>
      </c>
      <c r="V5" s="107">
        <v>17</v>
      </c>
      <c r="W5" s="107">
        <v>18</v>
      </c>
      <c r="X5" s="107">
        <v>19</v>
      </c>
      <c r="Y5" s="107">
        <v>20</v>
      </c>
      <c r="Z5" s="107">
        <v>21</v>
      </c>
      <c r="AA5" s="107">
        <v>22</v>
      </c>
      <c r="AB5" s="107">
        <v>23</v>
      </c>
      <c r="AC5" s="107">
        <v>24</v>
      </c>
      <c r="AD5" s="107">
        <v>25</v>
      </c>
      <c r="AE5" s="107">
        <v>26</v>
      </c>
      <c r="AF5" s="107">
        <v>27</v>
      </c>
      <c r="AG5" s="107">
        <v>28</v>
      </c>
      <c r="AH5" s="107">
        <v>29</v>
      </c>
      <c r="AI5" s="107">
        <v>30</v>
      </c>
      <c r="AJ5" s="107">
        <v>31</v>
      </c>
      <c r="AK5" s="196" t="s">
        <v>6</v>
      </c>
      <c r="AL5" s="195" t="s">
        <v>7</v>
      </c>
      <c r="AN5" s="153" t="s">
        <v>8</v>
      </c>
      <c r="AO5" s="153">
        <v>31</v>
      </c>
      <c r="AP5" s="1"/>
      <c r="AQ5" s="1"/>
    </row>
    <row r="6" spans="1:44" s="185" customFormat="1" ht="45.75" customHeight="1" x14ac:dyDescent="0.4">
      <c r="A6" s="39">
        <v>1</v>
      </c>
      <c r="B6" s="10"/>
      <c r="C6" s="10"/>
      <c r="D6" s="10"/>
      <c r="E6" s="46" t="s">
        <v>63</v>
      </c>
      <c r="F6" s="113" t="s">
        <v>33</v>
      </c>
      <c r="G6" s="113" t="s">
        <v>33</v>
      </c>
      <c r="H6" s="113" t="s">
        <v>11</v>
      </c>
      <c r="I6" s="113" t="s">
        <v>11</v>
      </c>
      <c r="J6" s="113" t="s">
        <v>33</v>
      </c>
      <c r="K6" s="112" t="s">
        <v>26</v>
      </c>
      <c r="L6" s="113" t="s">
        <v>33</v>
      </c>
      <c r="M6" s="113" t="s">
        <v>11</v>
      </c>
      <c r="N6" s="113" t="s">
        <v>11</v>
      </c>
      <c r="O6" s="113" t="s">
        <v>33</v>
      </c>
      <c r="P6" s="113" t="s">
        <v>11</v>
      </c>
      <c r="Q6" s="113" t="s">
        <v>11</v>
      </c>
      <c r="R6" s="112" t="s">
        <v>26</v>
      </c>
      <c r="S6" s="112"/>
      <c r="T6" s="113" t="s">
        <v>33</v>
      </c>
      <c r="U6" s="113" t="s">
        <v>33</v>
      </c>
      <c r="V6" s="113" t="s">
        <v>11</v>
      </c>
      <c r="W6" s="113" t="s">
        <v>11</v>
      </c>
      <c r="X6" s="113" t="s">
        <v>11</v>
      </c>
      <c r="Y6" s="112" t="s">
        <v>26</v>
      </c>
      <c r="Z6" s="113" t="s">
        <v>11</v>
      </c>
      <c r="AA6" s="113" t="s">
        <v>11</v>
      </c>
      <c r="AB6" s="113" t="s">
        <v>11</v>
      </c>
      <c r="AC6" s="194" t="s">
        <v>11</v>
      </c>
      <c r="AD6" s="194" t="s">
        <v>11</v>
      </c>
      <c r="AE6" s="113" t="s">
        <v>11</v>
      </c>
      <c r="AF6" s="112" t="s">
        <v>26</v>
      </c>
      <c r="AG6" s="113" t="s">
        <v>11</v>
      </c>
      <c r="AH6" s="194" t="s">
        <v>11</v>
      </c>
      <c r="AI6" s="194" t="s">
        <v>11</v>
      </c>
      <c r="AJ6" s="194" t="s">
        <v>11</v>
      </c>
      <c r="AK6" s="46">
        <f>COUNTIF(F6:AJ6,"P")</f>
        <v>7</v>
      </c>
      <c r="AL6" s="46">
        <f>COUNTIF(F6:AJ6,"A")</f>
        <v>19</v>
      </c>
      <c r="AN6" s="153"/>
      <c r="AO6" s="153"/>
      <c r="AP6" s="1"/>
      <c r="AQ6" s="1"/>
    </row>
    <row r="7" spans="1:44" ht="26.25" customHeight="1" x14ac:dyDescent="0.4">
      <c r="A7" s="46">
        <v>2</v>
      </c>
      <c r="B7" s="10"/>
      <c r="C7" s="10"/>
      <c r="D7" s="10"/>
      <c r="E7" s="46" t="s">
        <v>63</v>
      </c>
      <c r="F7" s="113" t="s">
        <v>11</v>
      </c>
      <c r="G7" s="113" t="s">
        <v>11</v>
      </c>
      <c r="H7" s="113" t="s">
        <v>33</v>
      </c>
      <c r="I7" s="113" t="s">
        <v>33</v>
      </c>
      <c r="J7" s="113" t="s">
        <v>33</v>
      </c>
      <c r="K7" s="223" t="s">
        <v>26</v>
      </c>
      <c r="L7" s="113" t="s">
        <v>11</v>
      </c>
      <c r="M7" s="113" t="s">
        <v>33</v>
      </c>
      <c r="N7" s="113" t="s">
        <v>33</v>
      </c>
      <c r="O7" s="113" t="s">
        <v>11</v>
      </c>
      <c r="P7" s="113" t="s">
        <v>11</v>
      </c>
      <c r="Q7" s="113" t="s">
        <v>11</v>
      </c>
      <c r="R7" s="223" t="s">
        <v>26</v>
      </c>
      <c r="S7" s="223" t="s">
        <v>55</v>
      </c>
      <c r="T7" s="113" t="s">
        <v>11</v>
      </c>
      <c r="U7" s="113" t="s">
        <v>33</v>
      </c>
      <c r="V7" s="113" t="s">
        <v>11</v>
      </c>
      <c r="W7" s="113" t="s">
        <v>33</v>
      </c>
      <c r="X7" s="113" t="s">
        <v>11</v>
      </c>
      <c r="Y7" s="223" t="s">
        <v>26</v>
      </c>
      <c r="Z7" s="113" t="s">
        <v>12</v>
      </c>
      <c r="AA7" s="113" t="s">
        <v>12</v>
      </c>
      <c r="AB7" s="113" t="s">
        <v>11</v>
      </c>
      <c r="AC7" s="113" t="s">
        <v>11</v>
      </c>
      <c r="AD7" s="113" t="s">
        <v>12</v>
      </c>
      <c r="AE7" s="113" t="s">
        <v>12</v>
      </c>
      <c r="AF7" s="223" t="s">
        <v>26</v>
      </c>
      <c r="AG7" s="113" t="s">
        <v>11</v>
      </c>
      <c r="AH7" s="113" t="s">
        <v>12</v>
      </c>
      <c r="AI7" s="113" t="s">
        <v>12</v>
      </c>
      <c r="AJ7" s="113" t="s">
        <v>11</v>
      </c>
      <c r="AK7" s="46">
        <f t="shared" ref="AK7:AK24" si="0">COUNTIF(F7:AJ7,"P")</f>
        <v>13</v>
      </c>
      <c r="AL7" s="46">
        <f t="shared" ref="AL7:AL24" si="1">COUNTIF(F7:AJ7,"A")</f>
        <v>13</v>
      </c>
      <c r="AN7" s="150" t="s">
        <v>13</v>
      </c>
      <c r="AO7" s="150">
        <v>23</v>
      </c>
      <c r="AP7" s="64" t="s">
        <v>58</v>
      </c>
      <c r="AQ7" s="64"/>
      <c r="AR7" s="1">
        <v>1</v>
      </c>
    </row>
    <row r="8" spans="1:44" ht="23.25" customHeight="1" x14ac:dyDescent="0.4">
      <c r="A8" s="39">
        <v>3</v>
      </c>
      <c r="B8" s="10"/>
      <c r="C8" s="10"/>
      <c r="D8" s="10"/>
      <c r="E8" s="46" t="s">
        <v>63</v>
      </c>
      <c r="F8" s="113" t="s">
        <v>12</v>
      </c>
      <c r="G8" s="113" t="s">
        <v>12</v>
      </c>
      <c r="H8" s="113" t="s">
        <v>12</v>
      </c>
      <c r="I8" s="113" t="s">
        <v>12</v>
      </c>
      <c r="J8" s="113" t="s">
        <v>12</v>
      </c>
      <c r="K8" s="224"/>
      <c r="L8" s="113" t="s">
        <v>12</v>
      </c>
      <c r="M8" s="113" t="s">
        <v>12</v>
      </c>
      <c r="N8" s="113" t="s">
        <v>12</v>
      </c>
      <c r="O8" s="113" t="s">
        <v>12</v>
      </c>
      <c r="P8" s="113" t="s">
        <v>11</v>
      </c>
      <c r="Q8" s="113" t="s">
        <v>11</v>
      </c>
      <c r="R8" s="224"/>
      <c r="S8" s="224"/>
      <c r="T8" s="113" t="s">
        <v>11</v>
      </c>
      <c r="U8" s="113" t="s">
        <v>12</v>
      </c>
      <c r="V8" s="113" t="s">
        <v>11</v>
      </c>
      <c r="W8" s="113" t="s">
        <v>11</v>
      </c>
      <c r="X8" s="113" t="s">
        <v>11</v>
      </c>
      <c r="Y8" s="224"/>
      <c r="Z8" s="113" t="s">
        <v>11</v>
      </c>
      <c r="AA8" s="113" t="s">
        <v>11</v>
      </c>
      <c r="AB8" s="113" t="s">
        <v>11</v>
      </c>
      <c r="AC8" s="113" t="s">
        <v>11</v>
      </c>
      <c r="AD8" s="113" t="s">
        <v>12</v>
      </c>
      <c r="AE8" s="113" t="s">
        <v>12</v>
      </c>
      <c r="AF8" s="224"/>
      <c r="AG8" s="113" t="s">
        <v>11</v>
      </c>
      <c r="AH8" s="113" t="s">
        <v>12</v>
      </c>
      <c r="AI8" s="113" t="s">
        <v>11</v>
      </c>
      <c r="AJ8" s="113" t="s">
        <v>11</v>
      </c>
      <c r="AK8" s="46">
        <f t="shared" si="0"/>
        <v>13</v>
      </c>
      <c r="AL8" s="46">
        <f t="shared" si="1"/>
        <v>13</v>
      </c>
      <c r="AN8" s="64" t="s">
        <v>26</v>
      </c>
      <c r="AO8" s="64">
        <v>4</v>
      </c>
      <c r="AP8" s="64"/>
      <c r="AQ8" s="64"/>
    </row>
    <row r="9" spans="1:44" ht="23.25" customHeight="1" x14ac:dyDescent="0.4">
      <c r="A9" s="46">
        <v>4</v>
      </c>
      <c r="B9" s="10"/>
      <c r="C9" s="10"/>
      <c r="D9" s="10"/>
      <c r="E9" s="46" t="s">
        <v>63</v>
      </c>
      <c r="F9" s="113" t="s">
        <v>11</v>
      </c>
      <c r="G9" s="113" t="s">
        <v>11</v>
      </c>
      <c r="H9" s="113" t="s">
        <v>11</v>
      </c>
      <c r="I9" s="113" t="s">
        <v>12</v>
      </c>
      <c r="J9" s="113" t="s">
        <v>11</v>
      </c>
      <c r="K9" s="224"/>
      <c r="L9" s="113" t="s">
        <v>11</v>
      </c>
      <c r="M9" s="113" t="s">
        <v>11</v>
      </c>
      <c r="N9" s="113" t="s">
        <v>11</v>
      </c>
      <c r="O9" s="113" t="s">
        <v>11</v>
      </c>
      <c r="P9" s="113" t="s">
        <v>12</v>
      </c>
      <c r="Q9" s="113" t="s">
        <v>12</v>
      </c>
      <c r="R9" s="224"/>
      <c r="S9" s="224"/>
      <c r="T9" s="113" t="s">
        <v>11</v>
      </c>
      <c r="U9" s="113" t="s">
        <v>11</v>
      </c>
      <c r="V9" s="113" t="s">
        <v>11</v>
      </c>
      <c r="W9" s="113" t="s">
        <v>11</v>
      </c>
      <c r="X9" s="113" t="s">
        <v>12</v>
      </c>
      <c r="Y9" s="224"/>
      <c r="Z9" s="113" t="s">
        <v>11</v>
      </c>
      <c r="AA9" s="113" t="s">
        <v>11</v>
      </c>
      <c r="AB9" s="113" t="s">
        <v>12</v>
      </c>
      <c r="AC9" s="113" t="s">
        <v>12</v>
      </c>
      <c r="AD9" s="113" t="s">
        <v>11</v>
      </c>
      <c r="AE9" s="113" t="s">
        <v>12</v>
      </c>
      <c r="AF9" s="224"/>
      <c r="AG9" s="113" t="s">
        <v>12</v>
      </c>
      <c r="AH9" s="113" t="s">
        <v>11</v>
      </c>
      <c r="AI9" s="113" t="s">
        <v>12</v>
      </c>
      <c r="AJ9" s="113" t="s">
        <v>12</v>
      </c>
      <c r="AK9" s="46">
        <f t="shared" si="0"/>
        <v>10</v>
      </c>
      <c r="AL9" s="46">
        <f t="shared" si="1"/>
        <v>16</v>
      </c>
      <c r="AN9" s="220" t="s">
        <v>66</v>
      </c>
      <c r="AO9" s="221"/>
      <c r="AP9" s="221"/>
      <c r="AQ9" s="222"/>
    </row>
    <row r="10" spans="1:44" ht="23.25" customHeight="1" x14ac:dyDescent="0.4">
      <c r="A10" s="39">
        <v>5</v>
      </c>
      <c r="B10" s="10"/>
      <c r="C10" s="10"/>
      <c r="D10" s="10"/>
      <c r="E10" s="46" t="s">
        <v>63</v>
      </c>
      <c r="F10" s="113" t="s">
        <v>11</v>
      </c>
      <c r="G10" s="113" t="s">
        <v>11</v>
      </c>
      <c r="H10" s="113" t="s">
        <v>12</v>
      </c>
      <c r="I10" s="113" t="s">
        <v>11</v>
      </c>
      <c r="J10" s="113" t="s">
        <v>12</v>
      </c>
      <c r="K10" s="224"/>
      <c r="L10" s="113" t="s">
        <v>12</v>
      </c>
      <c r="M10" s="113" t="s">
        <v>11</v>
      </c>
      <c r="N10" s="113" t="s">
        <v>11</v>
      </c>
      <c r="O10" s="113" t="s">
        <v>12</v>
      </c>
      <c r="P10" s="113" t="s">
        <v>11</v>
      </c>
      <c r="Q10" s="113" t="s">
        <v>11</v>
      </c>
      <c r="R10" s="224"/>
      <c r="S10" s="224"/>
      <c r="T10" s="113" t="s">
        <v>11</v>
      </c>
      <c r="U10" s="113" t="s">
        <v>11</v>
      </c>
      <c r="V10" s="113" t="s">
        <v>11</v>
      </c>
      <c r="W10" s="113" t="s">
        <v>11</v>
      </c>
      <c r="X10" s="113" t="s">
        <v>12</v>
      </c>
      <c r="Y10" s="224"/>
      <c r="Z10" s="113" t="s">
        <v>11</v>
      </c>
      <c r="AA10" s="113" t="s">
        <v>12</v>
      </c>
      <c r="AB10" s="113" t="s">
        <v>12</v>
      </c>
      <c r="AC10" s="113" t="s">
        <v>11</v>
      </c>
      <c r="AD10" s="113" t="s">
        <v>11</v>
      </c>
      <c r="AE10" s="113" t="s">
        <v>12</v>
      </c>
      <c r="AF10" s="224"/>
      <c r="AG10" s="113" t="s">
        <v>12</v>
      </c>
      <c r="AH10" s="113" t="s">
        <v>11</v>
      </c>
      <c r="AI10" s="113" t="s">
        <v>11</v>
      </c>
      <c r="AJ10" s="113" t="s">
        <v>12</v>
      </c>
      <c r="AK10" s="177">
        <f t="shared" si="0"/>
        <v>10</v>
      </c>
      <c r="AL10" s="46">
        <f t="shared" si="1"/>
        <v>16</v>
      </c>
      <c r="AN10" s="150" t="s">
        <v>16</v>
      </c>
      <c r="AO10" s="150" t="s">
        <v>18</v>
      </c>
      <c r="AP10" s="150" t="s">
        <v>69</v>
      </c>
      <c r="AQ10" s="150" t="s">
        <v>19</v>
      </c>
    </row>
    <row r="11" spans="1:44" ht="23.25" customHeight="1" x14ac:dyDescent="0.4">
      <c r="A11" s="46">
        <v>6</v>
      </c>
      <c r="B11" s="10"/>
      <c r="C11" s="10"/>
      <c r="D11" s="10"/>
      <c r="E11" s="46" t="s">
        <v>63</v>
      </c>
      <c r="F11" s="113" t="s">
        <v>12</v>
      </c>
      <c r="G11" s="113" t="s">
        <v>12</v>
      </c>
      <c r="H11" s="113" t="s">
        <v>12</v>
      </c>
      <c r="I11" s="113" t="s">
        <v>11</v>
      </c>
      <c r="J11" s="113" t="s">
        <v>12</v>
      </c>
      <c r="K11" s="224"/>
      <c r="L11" s="113" t="s">
        <v>12</v>
      </c>
      <c r="M11" s="113" t="s">
        <v>12</v>
      </c>
      <c r="N11" s="113" t="s">
        <v>11</v>
      </c>
      <c r="O11" s="113" t="s">
        <v>11</v>
      </c>
      <c r="P11" s="113" t="s">
        <v>12</v>
      </c>
      <c r="Q11" s="113" t="s">
        <v>12</v>
      </c>
      <c r="R11" s="224"/>
      <c r="S11" s="224"/>
      <c r="T11" s="113" t="s">
        <v>11</v>
      </c>
      <c r="U11" s="113" t="s">
        <v>11</v>
      </c>
      <c r="V11" s="113" t="s">
        <v>12</v>
      </c>
      <c r="W11" s="113" t="s">
        <v>12</v>
      </c>
      <c r="X11" s="113" t="s">
        <v>12</v>
      </c>
      <c r="Y11" s="224"/>
      <c r="Z11" s="113" t="s">
        <v>11</v>
      </c>
      <c r="AA11" s="113" t="s">
        <v>12</v>
      </c>
      <c r="AB11" s="113" t="s">
        <v>12</v>
      </c>
      <c r="AC11" s="113" t="s">
        <v>11</v>
      </c>
      <c r="AD11" s="113" t="s">
        <v>12</v>
      </c>
      <c r="AE11" s="113" t="s">
        <v>12</v>
      </c>
      <c r="AF11" s="224"/>
      <c r="AG11" s="113" t="s">
        <v>12</v>
      </c>
      <c r="AH11" s="113" t="s">
        <v>11</v>
      </c>
      <c r="AI11" s="113" t="s">
        <v>12</v>
      </c>
      <c r="AJ11" s="113" t="s">
        <v>12</v>
      </c>
      <c r="AK11" s="177">
        <f t="shared" si="0"/>
        <v>18</v>
      </c>
      <c r="AL11" s="46">
        <f t="shared" si="1"/>
        <v>8</v>
      </c>
      <c r="AN11" s="150" t="s">
        <v>20</v>
      </c>
      <c r="AO11" s="150">
        <f>14*26</f>
        <v>364</v>
      </c>
      <c r="AP11" s="150">
        <f>5*26</f>
        <v>130</v>
      </c>
      <c r="AQ11" s="150">
        <f>SUM(AO11:AP11)</f>
        <v>494</v>
      </c>
    </row>
    <row r="12" spans="1:44" ht="23.25" customHeight="1" x14ac:dyDescent="0.4">
      <c r="A12" s="39">
        <v>7</v>
      </c>
      <c r="B12" s="10"/>
      <c r="C12" s="10"/>
      <c r="D12" s="10"/>
      <c r="E12" s="46" t="s">
        <v>63</v>
      </c>
      <c r="F12" s="113" t="s">
        <v>12</v>
      </c>
      <c r="G12" s="113" t="s">
        <v>11</v>
      </c>
      <c r="H12" s="113" t="s">
        <v>12</v>
      </c>
      <c r="I12" s="113" t="s">
        <v>11</v>
      </c>
      <c r="J12" s="113" t="s">
        <v>12</v>
      </c>
      <c r="K12" s="224"/>
      <c r="L12" s="113" t="s">
        <v>12</v>
      </c>
      <c r="M12" s="113" t="s">
        <v>12</v>
      </c>
      <c r="N12" s="113" t="s">
        <v>12</v>
      </c>
      <c r="O12" s="113" t="s">
        <v>12</v>
      </c>
      <c r="P12" s="113" t="s">
        <v>12</v>
      </c>
      <c r="Q12" s="113" t="s">
        <v>11</v>
      </c>
      <c r="R12" s="224"/>
      <c r="S12" s="224"/>
      <c r="T12" s="113" t="s">
        <v>11</v>
      </c>
      <c r="U12" s="113" t="s">
        <v>12</v>
      </c>
      <c r="V12" s="113" t="s">
        <v>12</v>
      </c>
      <c r="W12" s="113" t="s">
        <v>11</v>
      </c>
      <c r="X12" s="113" t="s">
        <v>11</v>
      </c>
      <c r="Y12" s="224"/>
      <c r="Z12" s="113" t="s">
        <v>12</v>
      </c>
      <c r="AA12" s="113" t="s">
        <v>12</v>
      </c>
      <c r="AB12" s="113" t="s">
        <v>12</v>
      </c>
      <c r="AC12" s="113" t="s">
        <v>12</v>
      </c>
      <c r="AD12" s="113" t="s">
        <v>12</v>
      </c>
      <c r="AE12" s="113" t="s">
        <v>12</v>
      </c>
      <c r="AF12" s="224"/>
      <c r="AG12" s="113" t="s">
        <v>12</v>
      </c>
      <c r="AH12" s="113" t="s">
        <v>12</v>
      </c>
      <c r="AI12" s="113" t="s">
        <v>12</v>
      </c>
      <c r="AJ12" s="113" t="s">
        <v>12</v>
      </c>
      <c r="AK12" s="46">
        <f t="shared" si="0"/>
        <v>20</v>
      </c>
      <c r="AL12" s="46">
        <f t="shared" si="1"/>
        <v>6</v>
      </c>
      <c r="AN12" s="150" t="s">
        <v>21</v>
      </c>
      <c r="AO12" s="150">
        <f>AK6+AK7+AK8+AK9+AK12+AK13+AK14+AK15+AK16+AK18+AK19+AK20+AK21+AK24</f>
        <v>198</v>
      </c>
      <c r="AP12" s="150">
        <f>AK10+AK11+AK17+AK22+AK23</f>
        <v>85</v>
      </c>
      <c r="AQ12" s="150">
        <f>SUM(AO12:AP12)</f>
        <v>283</v>
      </c>
    </row>
    <row r="13" spans="1:44" ht="23.25" customHeight="1" x14ac:dyDescent="0.4">
      <c r="A13" s="46">
        <v>8</v>
      </c>
      <c r="B13" s="10"/>
      <c r="C13" s="10"/>
      <c r="D13" s="10"/>
      <c r="E13" s="46" t="s">
        <v>63</v>
      </c>
      <c r="F13" s="113" t="s">
        <v>11</v>
      </c>
      <c r="G13" s="113" t="s">
        <v>11</v>
      </c>
      <c r="H13" s="113" t="s">
        <v>11</v>
      </c>
      <c r="I13" s="113" t="s">
        <v>12</v>
      </c>
      <c r="J13" s="113" t="s">
        <v>11</v>
      </c>
      <c r="K13" s="224"/>
      <c r="L13" s="113" t="s">
        <v>12</v>
      </c>
      <c r="M13" s="113" t="s">
        <v>12</v>
      </c>
      <c r="N13" s="113" t="s">
        <v>12</v>
      </c>
      <c r="O13" s="113" t="s">
        <v>11</v>
      </c>
      <c r="P13" s="113" t="s">
        <v>11</v>
      </c>
      <c r="Q13" s="113" t="s">
        <v>11</v>
      </c>
      <c r="R13" s="224"/>
      <c r="S13" s="224"/>
      <c r="T13" s="113" t="s">
        <v>12</v>
      </c>
      <c r="U13" s="113" t="s">
        <v>12</v>
      </c>
      <c r="V13" s="113" t="s">
        <v>12</v>
      </c>
      <c r="W13" s="113" t="s">
        <v>12</v>
      </c>
      <c r="X13" s="113" t="s">
        <v>12</v>
      </c>
      <c r="Y13" s="224"/>
      <c r="Z13" s="113" t="s">
        <v>12</v>
      </c>
      <c r="AA13" s="113" t="s">
        <v>12</v>
      </c>
      <c r="AB13" s="113" t="s">
        <v>12</v>
      </c>
      <c r="AC13" s="113" t="s">
        <v>12</v>
      </c>
      <c r="AD13" s="113" t="s">
        <v>12</v>
      </c>
      <c r="AE13" s="113" t="s">
        <v>12</v>
      </c>
      <c r="AF13" s="224"/>
      <c r="AG13" s="113" t="s">
        <v>12</v>
      </c>
      <c r="AH13" s="113" t="s">
        <v>12</v>
      </c>
      <c r="AI13" s="113" t="s">
        <v>12</v>
      </c>
      <c r="AJ13" s="113" t="s">
        <v>12</v>
      </c>
      <c r="AK13" s="46">
        <f t="shared" si="0"/>
        <v>19</v>
      </c>
      <c r="AL13" s="46">
        <f t="shared" si="1"/>
        <v>7</v>
      </c>
      <c r="AN13" s="150" t="s">
        <v>22</v>
      </c>
      <c r="AO13" s="154">
        <f>AO12/AO11</f>
        <v>0.54395604395604391</v>
      </c>
      <c r="AP13" s="154">
        <f>AP12/AP11</f>
        <v>0.65384615384615385</v>
      </c>
      <c r="AQ13" s="154">
        <f>AQ12/AQ11</f>
        <v>0.57287449392712553</v>
      </c>
    </row>
    <row r="14" spans="1:44" ht="23.25" customHeight="1" x14ac:dyDescent="0.4">
      <c r="A14" s="39">
        <v>9</v>
      </c>
      <c r="B14" s="10"/>
      <c r="C14" s="10"/>
      <c r="D14" s="10"/>
      <c r="E14" s="46" t="s">
        <v>63</v>
      </c>
      <c r="F14" s="113" t="s">
        <v>11</v>
      </c>
      <c r="G14" s="113" t="s">
        <v>12</v>
      </c>
      <c r="H14" s="113" t="s">
        <v>12</v>
      </c>
      <c r="I14" s="113" t="s">
        <v>12</v>
      </c>
      <c r="J14" s="113" t="s">
        <v>11</v>
      </c>
      <c r="K14" s="224"/>
      <c r="L14" s="113" t="s">
        <v>11</v>
      </c>
      <c r="M14" s="113" t="s">
        <v>12</v>
      </c>
      <c r="N14" s="113" t="s">
        <v>11</v>
      </c>
      <c r="O14" s="113" t="s">
        <v>12</v>
      </c>
      <c r="P14" s="113" t="s">
        <v>12</v>
      </c>
      <c r="Q14" s="113" t="s">
        <v>12</v>
      </c>
      <c r="R14" s="224"/>
      <c r="S14" s="224"/>
      <c r="T14" s="113" t="s">
        <v>11</v>
      </c>
      <c r="U14" s="113" t="s">
        <v>12</v>
      </c>
      <c r="V14" s="113" t="s">
        <v>12</v>
      </c>
      <c r="W14" s="113" t="s">
        <v>11</v>
      </c>
      <c r="X14" s="113" t="s">
        <v>12</v>
      </c>
      <c r="Y14" s="224"/>
      <c r="Z14" s="113" t="s">
        <v>11</v>
      </c>
      <c r="AA14" s="113" t="s">
        <v>12</v>
      </c>
      <c r="AB14" s="113" t="s">
        <v>11</v>
      </c>
      <c r="AC14" s="113" t="s">
        <v>11</v>
      </c>
      <c r="AD14" s="113" t="s">
        <v>11</v>
      </c>
      <c r="AE14" s="113" t="s">
        <v>11</v>
      </c>
      <c r="AF14" s="224"/>
      <c r="AG14" s="113" t="s">
        <v>12</v>
      </c>
      <c r="AH14" s="113" t="s">
        <v>12</v>
      </c>
      <c r="AI14" s="113" t="s">
        <v>11</v>
      </c>
      <c r="AJ14" s="113" t="s">
        <v>12</v>
      </c>
      <c r="AK14" s="46">
        <f t="shared" si="0"/>
        <v>14</v>
      </c>
      <c r="AL14" s="46">
        <f t="shared" si="1"/>
        <v>12</v>
      </c>
      <c r="AN14" s="64"/>
      <c r="AO14" s="165"/>
      <c r="AP14" s="165"/>
      <c r="AQ14" s="165"/>
    </row>
    <row r="15" spans="1:44" ht="23.25" customHeight="1" x14ac:dyDescent="0.4">
      <c r="A15" s="46">
        <v>10</v>
      </c>
      <c r="B15" s="10"/>
      <c r="C15" s="10"/>
      <c r="D15" s="10"/>
      <c r="E15" s="46" t="s">
        <v>63</v>
      </c>
      <c r="F15" s="113" t="s">
        <v>11</v>
      </c>
      <c r="G15" s="113" t="s">
        <v>12</v>
      </c>
      <c r="H15" s="113" t="s">
        <v>11</v>
      </c>
      <c r="I15" s="113" t="s">
        <v>11</v>
      </c>
      <c r="J15" s="113" t="s">
        <v>11</v>
      </c>
      <c r="K15" s="224"/>
      <c r="L15" s="113" t="s">
        <v>11</v>
      </c>
      <c r="M15" s="113" t="s">
        <v>11</v>
      </c>
      <c r="N15" s="113" t="s">
        <v>11</v>
      </c>
      <c r="O15" s="113" t="s">
        <v>11</v>
      </c>
      <c r="P15" s="113" t="s">
        <v>11</v>
      </c>
      <c r="Q15" s="113" t="s">
        <v>11</v>
      </c>
      <c r="R15" s="224"/>
      <c r="S15" s="224"/>
      <c r="T15" s="113" t="s">
        <v>11</v>
      </c>
      <c r="U15" s="113" t="s">
        <v>11</v>
      </c>
      <c r="V15" s="113" t="s">
        <v>11</v>
      </c>
      <c r="W15" s="113" t="s">
        <v>11</v>
      </c>
      <c r="X15" s="113" t="s">
        <v>12</v>
      </c>
      <c r="Y15" s="224"/>
      <c r="Z15" s="113" t="s">
        <v>12</v>
      </c>
      <c r="AA15" s="113" t="s">
        <v>12</v>
      </c>
      <c r="AB15" s="113" t="s">
        <v>11</v>
      </c>
      <c r="AC15" s="113" t="s">
        <v>12</v>
      </c>
      <c r="AD15" s="113" t="s">
        <v>11</v>
      </c>
      <c r="AE15" s="113" t="s">
        <v>12</v>
      </c>
      <c r="AF15" s="224"/>
      <c r="AG15" s="113" t="s">
        <v>12</v>
      </c>
      <c r="AH15" s="113" t="s">
        <v>12</v>
      </c>
      <c r="AI15" s="113" t="s">
        <v>11</v>
      </c>
      <c r="AJ15" s="113" t="s">
        <v>12</v>
      </c>
      <c r="AK15" s="46">
        <f t="shared" si="0"/>
        <v>9</v>
      </c>
      <c r="AL15" s="46">
        <f t="shared" si="1"/>
        <v>17</v>
      </c>
      <c r="AN15" s="240" t="s">
        <v>71</v>
      </c>
      <c r="AO15" s="240"/>
      <c r="AP15" s="240"/>
      <c r="AQ15" s="240"/>
    </row>
    <row r="16" spans="1:44" ht="23.25" customHeight="1" x14ac:dyDescent="0.4">
      <c r="A16" s="39">
        <v>11</v>
      </c>
      <c r="B16" s="10"/>
      <c r="C16" s="10"/>
      <c r="D16" s="10"/>
      <c r="E16" s="46" t="s">
        <v>63</v>
      </c>
      <c r="F16" s="113" t="s">
        <v>11</v>
      </c>
      <c r="G16" s="113" t="s">
        <v>12</v>
      </c>
      <c r="H16" s="113" t="s">
        <v>11</v>
      </c>
      <c r="I16" s="113" t="s">
        <v>11</v>
      </c>
      <c r="J16" s="113" t="s">
        <v>12</v>
      </c>
      <c r="K16" s="224"/>
      <c r="L16" s="113" t="s">
        <v>11</v>
      </c>
      <c r="M16" s="113" t="s">
        <v>11</v>
      </c>
      <c r="N16" s="113" t="s">
        <v>11</v>
      </c>
      <c r="O16" s="113" t="s">
        <v>11</v>
      </c>
      <c r="P16" s="113" t="s">
        <v>12</v>
      </c>
      <c r="Q16" s="113" t="s">
        <v>12</v>
      </c>
      <c r="R16" s="224"/>
      <c r="S16" s="224"/>
      <c r="T16" s="113" t="s">
        <v>11</v>
      </c>
      <c r="U16" s="113" t="s">
        <v>12</v>
      </c>
      <c r="V16" s="113" t="s">
        <v>11</v>
      </c>
      <c r="W16" s="113" t="s">
        <v>12</v>
      </c>
      <c r="X16" s="113" t="s">
        <v>12</v>
      </c>
      <c r="Y16" s="224"/>
      <c r="Z16" s="113" t="s">
        <v>12</v>
      </c>
      <c r="AA16" s="113" t="s">
        <v>12</v>
      </c>
      <c r="AB16" s="113" t="s">
        <v>12</v>
      </c>
      <c r="AC16" s="113" t="s">
        <v>12</v>
      </c>
      <c r="AD16" s="113" t="s">
        <v>11</v>
      </c>
      <c r="AE16" s="113" t="s">
        <v>12</v>
      </c>
      <c r="AF16" s="224"/>
      <c r="AG16" s="113" t="s">
        <v>12</v>
      </c>
      <c r="AH16" s="113" t="s">
        <v>64</v>
      </c>
      <c r="AI16" s="113" t="s">
        <v>12</v>
      </c>
      <c r="AJ16" s="113" t="s">
        <v>12</v>
      </c>
      <c r="AK16" s="46">
        <f t="shared" si="0"/>
        <v>15</v>
      </c>
      <c r="AL16" s="46">
        <f t="shared" si="1"/>
        <v>10</v>
      </c>
      <c r="AN16" s="150" t="s">
        <v>16</v>
      </c>
      <c r="AO16" s="150" t="s">
        <v>18</v>
      </c>
      <c r="AP16" s="150" t="s">
        <v>69</v>
      </c>
      <c r="AQ16" s="150" t="s">
        <v>19</v>
      </c>
    </row>
    <row r="17" spans="1:43" ht="23.25" customHeight="1" x14ac:dyDescent="0.4">
      <c r="A17" s="46">
        <v>12</v>
      </c>
      <c r="B17" s="10"/>
      <c r="C17" s="10"/>
      <c r="D17" s="10"/>
      <c r="E17" s="46" t="s">
        <v>63</v>
      </c>
      <c r="F17" s="113" t="s">
        <v>12</v>
      </c>
      <c r="G17" s="113" t="s">
        <v>11</v>
      </c>
      <c r="H17" s="113" t="s">
        <v>12</v>
      </c>
      <c r="I17" s="113" t="s">
        <v>12</v>
      </c>
      <c r="J17" s="113" t="s">
        <v>12</v>
      </c>
      <c r="K17" s="224"/>
      <c r="L17" s="113" t="s">
        <v>12</v>
      </c>
      <c r="M17" s="113" t="s">
        <v>12</v>
      </c>
      <c r="N17" s="113" t="s">
        <v>11</v>
      </c>
      <c r="O17" s="113" t="s">
        <v>12</v>
      </c>
      <c r="P17" s="113" t="s">
        <v>11</v>
      </c>
      <c r="Q17" s="113" t="s">
        <v>12</v>
      </c>
      <c r="R17" s="224"/>
      <c r="S17" s="224"/>
      <c r="T17" s="113" t="s">
        <v>11</v>
      </c>
      <c r="U17" s="113" t="s">
        <v>12</v>
      </c>
      <c r="V17" s="113" t="s">
        <v>11</v>
      </c>
      <c r="W17" s="113" t="s">
        <v>12</v>
      </c>
      <c r="X17" s="113" t="s">
        <v>11</v>
      </c>
      <c r="Y17" s="224"/>
      <c r="Z17" s="113" t="s">
        <v>12</v>
      </c>
      <c r="AA17" s="113" t="s">
        <v>12</v>
      </c>
      <c r="AB17" s="113" t="s">
        <v>11</v>
      </c>
      <c r="AC17" s="113" t="s">
        <v>12</v>
      </c>
      <c r="AD17" s="113" t="s">
        <v>12</v>
      </c>
      <c r="AE17" s="113" t="s">
        <v>12</v>
      </c>
      <c r="AF17" s="224"/>
      <c r="AG17" s="113" t="s">
        <v>12</v>
      </c>
      <c r="AH17" s="113" t="s">
        <v>12</v>
      </c>
      <c r="AI17" s="113" t="s">
        <v>11</v>
      </c>
      <c r="AJ17" s="113" t="s">
        <v>12</v>
      </c>
      <c r="AK17" s="177">
        <f t="shared" si="0"/>
        <v>18</v>
      </c>
      <c r="AL17" s="46">
        <f t="shared" si="1"/>
        <v>8</v>
      </c>
      <c r="AN17" s="150" t="s">
        <v>20</v>
      </c>
      <c r="AO17" s="150">
        <f>14*26</f>
        <v>364</v>
      </c>
      <c r="AP17" s="150">
        <f>5*26</f>
        <v>130</v>
      </c>
      <c r="AQ17" s="150">
        <f>SUM(AO17:AP17)</f>
        <v>494</v>
      </c>
    </row>
    <row r="18" spans="1:43" ht="18" x14ac:dyDescent="0.4">
      <c r="A18" s="39">
        <v>13</v>
      </c>
      <c r="B18" s="10"/>
      <c r="C18" s="10"/>
      <c r="D18" s="10"/>
      <c r="E18" s="46" t="s">
        <v>63</v>
      </c>
      <c r="F18" s="113" t="s">
        <v>11</v>
      </c>
      <c r="G18" s="113" t="s">
        <v>11</v>
      </c>
      <c r="H18" s="113" t="s">
        <v>12</v>
      </c>
      <c r="I18" s="113" t="s">
        <v>11</v>
      </c>
      <c r="J18" s="113" t="s">
        <v>11</v>
      </c>
      <c r="K18" s="224"/>
      <c r="L18" s="113" t="s">
        <v>11</v>
      </c>
      <c r="M18" s="113" t="s">
        <v>11</v>
      </c>
      <c r="N18" s="113" t="s">
        <v>11</v>
      </c>
      <c r="O18" s="113" t="s">
        <v>11</v>
      </c>
      <c r="P18" s="113" t="s">
        <v>11</v>
      </c>
      <c r="Q18" s="113" t="s">
        <v>11</v>
      </c>
      <c r="R18" s="224"/>
      <c r="S18" s="224"/>
      <c r="T18" s="113" t="s">
        <v>12</v>
      </c>
      <c r="U18" s="113" t="s">
        <v>12</v>
      </c>
      <c r="V18" s="113" t="s">
        <v>12</v>
      </c>
      <c r="W18" s="113" t="s">
        <v>12</v>
      </c>
      <c r="X18" s="113" t="s">
        <v>11</v>
      </c>
      <c r="Y18" s="224"/>
      <c r="Z18" s="113" t="s">
        <v>12</v>
      </c>
      <c r="AA18" s="113" t="s">
        <v>11</v>
      </c>
      <c r="AB18" s="113" t="s">
        <v>11</v>
      </c>
      <c r="AC18" s="113" t="s">
        <v>12</v>
      </c>
      <c r="AD18" s="113" t="s">
        <v>12</v>
      </c>
      <c r="AE18" s="113" t="s">
        <v>12</v>
      </c>
      <c r="AF18" s="224"/>
      <c r="AG18" s="113" t="s">
        <v>12</v>
      </c>
      <c r="AH18" s="113" t="s">
        <v>12</v>
      </c>
      <c r="AI18" s="113" t="s">
        <v>11</v>
      </c>
      <c r="AJ18" s="113" t="s">
        <v>12</v>
      </c>
      <c r="AK18" s="46">
        <f t="shared" si="0"/>
        <v>12</v>
      </c>
      <c r="AL18" s="46">
        <f t="shared" si="1"/>
        <v>14</v>
      </c>
      <c r="AN18" s="150" t="s">
        <v>24</v>
      </c>
      <c r="AO18" s="150">
        <f>AO17-AO12</f>
        <v>166</v>
      </c>
      <c r="AP18" s="150">
        <f>AP17-AP12</f>
        <v>45</v>
      </c>
      <c r="AQ18" s="150">
        <f>SUM(AO18:AP18)</f>
        <v>211</v>
      </c>
    </row>
    <row r="19" spans="1:43" ht="18" x14ac:dyDescent="0.4">
      <c r="A19" s="46">
        <v>14</v>
      </c>
      <c r="B19" s="10"/>
      <c r="C19" s="10"/>
      <c r="D19" s="10"/>
      <c r="E19" s="46" t="s">
        <v>63</v>
      </c>
      <c r="F19" s="113" t="s">
        <v>11</v>
      </c>
      <c r="G19" s="113" t="s">
        <v>12</v>
      </c>
      <c r="H19" s="113" t="s">
        <v>12</v>
      </c>
      <c r="I19" s="113" t="s">
        <v>12</v>
      </c>
      <c r="J19" s="113" t="s">
        <v>12</v>
      </c>
      <c r="K19" s="224"/>
      <c r="L19" s="113" t="s">
        <v>11</v>
      </c>
      <c r="M19" s="113" t="s">
        <v>12</v>
      </c>
      <c r="N19" s="113" t="s">
        <v>11</v>
      </c>
      <c r="O19" s="113" t="s">
        <v>11</v>
      </c>
      <c r="P19" s="113" t="s">
        <v>11</v>
      </c>
      <c r="Q19" s="113" t="s">
        <v>12</v>
      </c>
      <c r="R19" s="224"/>
      <c r="S19" s="224"/>
      <c r="T19" s="113" t="s">
        <v>12</v>
      </c>
      <c r="U19" s="113" t="s">
        <v>12</v>
      </c>
      <c r="V19" s="113" t="s">
        <v>11</v>
      </c>
      <c r="W19" s="113" t="s">
        <v>12</v>
      </c>
      <c r="X19" s="113" t="s">
        <v>12</v>
      </c>
      <c r="Y19" s="224"/>
      <c r="Z19" s="113" t="s">
        <v>12</v>
      </c>
      <c r="AA19" s="113" t="s">
        <v>12</v>
      </c>
      <c r="AB19" s="113" t="s">
        <v>12</v>
      </c>
      <c r="AC19" s="113" t="s">
        <v>12</v>
      </c>
      <c r="AD19" s="113" t="s">
        <v>11</v>
      </c>
      <c r="AE19" s="113" t="s">
        <v>11</v>
      </c>
      <c r="AF19" s="224"/>
      <c r="AG19" s="113" t="s">
        <v>12</v>
      </c>
      <c r="AH19" s="113" t="s">
        <v>11</v>
      </c>
      <c r="AI19" s="113" t="s">
        <v>12</v>
      </c>
      <c r="AJ19" s="113" t="s">
        <v>12</v>
      </c>
      <c r="AK19" s="46">
        <f t="shared" si="0"/>
        <v>17</v>
      </c>
      <c r="AL19" s="46">
        <f t="shared" si="1"/>
        <v>9</v>
      </c>
      <c r="AN19" s="10" t="s">
        <v>22</v>
      </c>
      <c r="AO19" s="156">
        <f>AO18/AO17</f>
        <v>0.45604395604395603</v>
      </c>
      <c r="AP19" s="156">
        <f>AP18/AP17</f>
        <v>0.34615384615384615</v>
      </c>
      <c r="AQ19" s="156">
        <f>AQ18/AQ17</f>
        <v>0.42712550607287447</v>
      </c>
    </row>
    <row r="20" spans="1:43" ht="18" x14ac:dyDescent="0.4">
      <c r="A20" s="39">
        <v>15</v>
      </c>
      <c r="B20" s="10"/>
      <c r="C20" s="10"/>
      <c r="D20" s="10"/>
      <c r="E20" s="46" t="s">
        <v>63</v>
      </c>
      <c r="F20" s="113" t="s">
        <v>11</v>
      </c>
      <c r="G20" s="113" t="s">
        <v>12</v>
      </c>
      <c r="H20" s="113" t="s">
        <v>12</v>
      </c>
      <c r="I20" s="113" t="s">
        <v>12</v>
      </c>
      <c r="J20" s="113" t="s">
        <v>11</v>
      </c>
      <c r="K20" s="224"/>
      <c r="L20" s="113" t="s">
        <v>11</v>
      </c>
      <c r="M20" s="113" t="s">
        <v>12</v>
      </c>
      <c r="N20" s="113" t="s">
        <v>11</v>
      </c>
      <c r="O20" s="113" t="s">
        <v>11</v>
      </c>
      <c r="P20" s="113" t="s">
        <v>12</v>
      </c>
      <c r="Q20" s="113" t="s">
        <v>12</v>
      </c>
      <c r="R20" s="224"/>
      <c r="S20" s="224"/>
      <c r="T20" s="113" t="s">
        <v>12</v>
      </c>
      <c r="U20" s="113" t="s">
        <v>11</v>
      </c>
      <c r="V20" s="113" t="s">
        <v>11</v>
      </c>
      <c r="W20" s="113" t="s">
        <v>11</v>
      </c>
      <c r="X20" s="113" t="s">
        <v>12</v>
      </c>
      <c r="Y20" s="224"/>
      <c r="Z20" s="113" t="s">
        <v>11</v>
      </c>
      <c r="AA20" s="113" t="s">
        <v>12</v>
      </c>
      <c r="AB20" s="113" t="s">
        <v>11</v>
      </c>
      <c r="AC20" s="113" t="s">
        <v>11</v>
      </c>
      <c r="AD20" s="113" t="s">
        <v>12</v>
      </c>
      <c r="AE20" s="113" t="s">
        <v>12</v>
      </c>
      <c r="AF20" s="224"/>
      <c r="AG20" s="113" t="s">
        <v>12</v>
      </c>
      <c r="AH20" s="113" t="s">
        <v>11</v>
      </c>
      <c r="AI20" s="113" t="s">
        <v>12</v>
      </c>
      <c r="AJ20" s="113" t="s">
        <v>11</v>
      </c>
      <c r="AK20" s="46">
        <f t="shared" si="0"/>
        <v>13</v>
      </c>
      <c r="AL20" s="46">
        <f t="shared" si="1"/>
        <v>13</v>
      </c>
    </row>
    <row r="21" spans="1:43" ht="18" x14ac:dyDescent="0.4">
      <c r="A21" s="46">
        <v>16</v>
      </c>
      <c r="B21" s="10"/>
      <c r="C21" s="10"/>
      <c r="D21" s="10"/>
      <c r="E21" s="46" t="s">
        <v>63</v>
      </c>
      <c r="F21" s="113" t="s">
        <v>11</v>
      </c>
      <c r="G21" s="113" t="s">
        <v>12</v>
      </c>
      <c r="H21" s="113" t="s">
        <v>12</v>
      </c>
      <c r="I21" s="113" t="s">
        <v>12</v>
      </c>
      <c r="J21" s="113" t="s">
        <v>11</v>
      </c>
      <c r="K21" s="224"/>
      <c r="L21" s="113" t="s">
        <v>11</v>
      </c>
      <c r="M21" s="113" t="s">
        <v>12</v>
      </c>
      <c r="N21" s="113" t="s">
        <v>12</v>
      </c>
      <c r="O21" s="113" t="s">
        <v>12</v>
      </c>
      <c r="P21" s="113" t="s">
        <v>11</v>
      </c>
      <c r="Q21" s="113" t="s">
        <v>12</v>
      </c>
      <c r="R21" s="224"/>
      <c r="S21" s="224"/>
      <c r="T21" s="113" t="s">
        <v>11</v>
      </c>
      <c r="U21" s="113" t="s">
        <v>12</v>
      </c>
      <c r="V21" s="113" t="s">
        <v>12</v>
      </c>
      <c r="W21" s="113" t="s">
        <v>12</v>
      </c>
      <c r="X21" s="113" t="s">
        <v>12</v>
      </c>
      <c r="Y21" s="224"/>
      <c r="Z21" s="113" t="s">
        <v>12</v>
      </c>
      <c r="AA21" s="113" t="s">
        <v>12</v>
      </c>
      <c r="AB21" s="113" t="s">
        <v>12</v>
      </c>
      <c r="AC21" s="113" t="s">
        <v>12</v>
      </c>
      <c r="AD21" s="113" t="s">
        <v>11</v>
      </c>
      <c r="AE21" s="113" t="s">
        <v>12</v>
      </c>
      <c r="AF21" s="224"/>
      <c r="AG21" s="113" t="s">
        <v>12</v>
      </c>
      <c r="AH21" s="113" t="s">
        <v>12</v>
      </c>
      <c r="AI21" s="113" t="s">
        <v>12</v>
      </c>
      <c r="AJ21" s="113" t="s">
        <v>12</v>
      </c>
      <c r="AK21" s="46">
        <f t="shared" si="0"/>
        <v>20</v>
      </c>
      <c r="AL21" s="46">
        <f t="shared" si="1"/>
        <v>6</v>
      </c>
    </row>
    <row r="22" spans="1:43" ht="18" x14ac:dyDescent="0.4">
      <c r="A22" s="39">
        <v>17</v>
      </c>
      <c r="B22" s="10"/>
      <c r="C22" s="10"/>
      <c r="D22" s="10"/>
      <c r="E22" s="46" t="s">
        <v>63</v>
      </c>
      <c r="F22" s="113" t="s">
        <v>11</v>
      </c>
      <c r="G22" s="113" t="s">
        <v>11</v>
      </c>
      <c r="H22" s="113" t="s">
        <v>12</v>
      </c>
      <c r="I22" s="113" t="s">
        <v>12</v>
      </c>
      <c r="J22" s="113" t="s">
        <v>12</v>
      </c>
      <c r="K22" s="224"/>
      <c r="L22" s="113" t="s">
        <v>12</v>
      </c>
      <c r="M22" s="113" t="s">
        <v>12</v>
      </c>
      <c r="N22" s="113" t="s">
        <v>11</v>
      </c>
      <c r="O22" s="113" t="s">
        <v>12</v>
      </c>
      <c r="P22" s="113" t="s">
        <v>11</v>
      </c>
      <c r="Q22" s="113" t="s">
        <v>12</v>
      </c>
      <c r="R22" s="224"/>
      <c r="S22" s="224"/>
      <c r="T22" s="113" t="s">
        <v>11</v>
      </c>
      <c r="U22" s="113" t="s">
        <v>12</v>
      </c>
      <c r="V22" s="113" t="s">
        <v>12</v>
      </c>
      <c r="W22" s="113" t="s">
        <v>11</v>
      </c>
      <c r="X22" s="113" t="s">
        <v>12</v>
      </c>
      <c r="Y22" s="224"/>
      <c r="Z22" s="113" t="s">
        <v>12</v>
      </c>
      <c r="AA22" s="113" t="s">
        <v>11</v>
      </c>
      <c r="AB22" s="113" t="s">
        <v>12</v>
      </c>
      <c r="AC22" s="113" t="s">
        <v>12</v>
      </c>
      <c r="AD22" s="113" t="s">
        <v>11</v>
      </c>
      <c r="AE22" s="113" t="s">
        <v>11</v>
      </c>
      <c r="AF22" s="224"/>
      <c r="AG22" s="113" t="s">
        <v>12</v>
      </c>
      <c r="AH22" s="113" t="s">
        <v>12</v>
      </c>
      <c r="AI22" s="113" t="s">
        <v>12</v>
      </c>
      <c r="AJ22" s="113" t="s">
        <v>12</v>
      </c>
      <c r="AK22" s="177">
        <f t="shared" si="0"/>
        <v>17</v>
      </c>
      <c r="AL22" s="46">
        <f t="shared" si="1"/>
        <v>9</v>
      </c>
    </row>
    <row r="23" spans="1:43" ht="18" x14ac:dyDescent="0.4">
      <c r="A23" s="46">
        <v>18</v>
      </c>
      <c r="B23" s="10"/>
      <c r="C23" s="10"/>
      <c r="D23" s="10"/>
      <c r="E23" s="46" t="s">
        <v>63</v>
      </c>
      <c r="F23" s="113" t="s">
        <v>12</v>
      </c>
      <c r="G23" s="113" t="s">
        <v>11</v>
      </c>
      <c r="H23" s="113" t="s">
        <v>12</v>
      </c>
      <c r="I23" s="113" t="s">
        <v>12</v>
      </c>
      <c r="J23" s="113" t="s">
        <v>12</v>
      </c>
      <c r="K23" s="224"/>
      <c r="L23" s="113" t="s">
        <v>11</v>
      </c>
      <c r="M23" s="113" t="s">
        <v>12</v>
      </c>
      <c r="N23" s="113" t="s">
        <v>12</v>
      </c>
      <c r="O23" s="113" t="s">
        <v>12</v>
      </c>
      <c r="P23" s="113" t="s">
        <v>12</v>
      </c>
      <c r="Q23" s="113" t="s">
        <v>12</v>
      </c>
      <c r="R23" s="224"/>
      <c r="S23" s="224"/>
      <c r="T23" s="113" t="s">
        <v>11</v>
      </c>
      <c r="U23" s="113" t="s">
        <v>11</v>
      </c>
      <c r="V23" s="113" t="s">
        <v>12</v>
      </c>
      <c r="W23" s="113" t="s">
        <v>12</v>
      </c>
      <c r="X23" s="113" t="s">
        <v>12</v>
      </c>
      <c r="Y23" s="224"/>
      <c r="Z23" s="113" t="s">
        <v>12</v>
      </c>
      <c r="AA23" s="113" t="s">
        <v>12</v>
      </c>
      <c r="AB23" s="113" t="s">
        <v>12</v>
      </c>
      <c r="AC23" s="113" t="s">
        <v>12</v>
      </c>
      <c r="AD23" s="113" t="s">
        <v>12</v>
      </c>
      <c r="AE23" s="113" t="s">
        <v>12</v>
      </c>
      <c r="AF23" s="224"/>
      <c r="AG23" s="113" t="s">
        <v>12</v>
      </c>
      <c r="AH23" s="113" t="s">
        <v>12</v>
      </c>
      <c r="AI23" s="113" t="s">
        <v>12</v>
      </c>
      <c r="AJ23" s="113" t="s">
        <v>12</v>
      </c>
      <c r="AK23" s="177">
        <f t="shared" si="0"/>
        <v>22</v>
      </c>
      <c r="AL23" s="46">
        <f t="shared" si="1"/>
        <v>4</v>
      </c>
    </row>
    <row r="24" spans="1:43" ht="18" x14ac:dyDescent="0.4">
      <c r="A24" s="39">
        <v>19</v>
      </c>
      <c r="B24" s="10"/>
      <c r="C24" s="10"/>
      <c r="D24" s="10"/>
      <c r="E24" s="46" t="s">
        <v>63</v>
      </c>
      <c r="F24" s="113" t="s">
        <v>11</v>
      </c>
      <c r="G24" s="113" t="s">
        <v>11</v>
      </c>
      <c r="H24" s="113" t="s">
        <v>12</v>
      </c>
      <c r="I24" s="113" t="s">
        <v>11</v>
      </c>
      <c r="J24" s="113" t="s">
        <v>12</v>
      </c>
      <c r="K24" s="224"/>
      <c r="L24" s="113" t="s">
        <v>11</v>
      </c>
      <c r="M24" s="113" t="s">
        <v>11</v>
      </c>
      <c r="N24" s="113" t="s">
        <v>11</v>
      </c>
      <c r="O24" s="113" t="s">
        <v>11</v>
      </c>
      <c r="P24" s="113" t="s">
        <v>11</v>
      </c>
      <c r="Q24" s="113" t="s">
        <v>12</v>
      </c>
      <c r="R24" s="224"/>
      <c r="S24" s="224"/>
      <c r="T24" s="113" t="s">
        <v>12</v>
      </c>
      <c r="U24" s="113" t="s">
        <v>12</v>
      </c>
      <c r="V24" s="113" t="s">
        <v>11</v>
      </c>
      <c r="W24" s="113" t="s">
        <v>11</v>
      </c>
      <c r="X24" s="113" t="s">
        <v>12</v>
      </c>
      <c r="Y24" s="224"/>
      <c r="Z24" s="113" t="s">
        <v>12</v>
      </c>
      <c r="AA24" s="113" t="s">
        <v>12</v>
      </c>
      <c r="AB24" s="113" t="s">
        <v>12</v>
      </c>
      <c r="AC24" s="113" t="s">
        <v>12</v>
      </c>
      <c r="AD24" s="113" t="s">
        <v>12</v>
      </c>
      <c r="AE24" s="113" t="s">
        <v>12</v>
      </c>
      <c r="AF24" s="224"/>
      <c r="AG24" s="113" t="s">
        <v>12</v>
      </c>
      <c r="AH24" s="113" t="s">
        <v>12</v>
      </c>
      <c r="AI24" s="113" t="s">
        <v>12</v>
      </c>
      <c r="AJ24" s="113" t="s">
        <v>12</v>
      </c>
      <c r="AK24" s="46">
        <f t="shared" si="0"/>
        <v>16</v>
      </c>
      <c r="AL24" s="46">
        <f t="shared" si="1"/>
        <v>10</v>
      </c>
    </row>
    <row r="25" spans="1:43" ht="18" x14ac:dyDescent="0.4">
      <c r="A25" s="30"/>
      <c r="B25" s="30"/>
      <c r="C25" s="30"/>
      <c r="D25" s="30"/>
      <c r="E25" s="30"/>
      <c r="F25" s="94"/>
      <c r="G25" s="115"/>
      <c r="H25" s="31"/>
      <c r="I25" s="116"/>
      <c r="J25" s="31"/>
      <c r="K25" s="31"/>
      <c r="L25" s="31"/>
      <c r="M25" s="117"/>
      <c r="N25" s="118"/>
      <c r="O25" s="31"/>
      <c r="P25" s="31"/>
      <c r="Q25" s="31"/>
      <c r="R25" s="31"/>
      <c r="S25" s="31"/>
      <c r="T25" s="31"/>
      <c r="U25" s="115"/>
      <c r="V25" s="31"/>
      <c r="W25" s="31"/>
      <c r="X25" s="31"/>
      <c r="Y25" s="31"/>
      <c r="Z25" s="31"/>
      <c r="AA25" s="31"/>
      <c r="AB25" s="117"/>
      <c r="AC25" s="31"/>
      <c r="AD25" s="31"/>
      <c r="AE25" s="31"/>
      <c r="AF25" s="31"/>
      <c r="AG25" s="31"/>
      <c r="AH25" s="31"/>
      <c r="AI25" s="31"/>
      <c r="AJ25" s="31"/>
      <c r="AK25" s="186">
        <f>SUM(AK6:AK24)</f>
        <v>283</v>
      </c>
      <c r="AL25" s="186">
        <f>SUM(AL6:AL24)</f>
        <v>210</v>
      </c>
    </row>
    <row r="26" spans="1:43" x14ac:dyDescent="0.3">
      <c r="M26" s="119"/>
      <c r="AB26" s="119"/>
    </row>
    <row r="27" spans="1:43" x14ac:dyDescent="0.3">
      <c r="M27" s="119"/>
      <c r="AB27" s="119"/>
    </row>
    <row r="28" spans="1:43" x14ac:dyDescent="0.3">
      <c r="M28" s="119"/>
      <c r="AB28" s="119"/>
    </row>
    <row r="29" spans="1:43" x14ac:dyDescent="0.3">
      <c r="M29" s="119"/>
      <c r="AB29" s="119"/>
    </row>
    <row r="30" spans="1:43" x14ac:dyDescent="0.3">
      <c r="M30" s="119"/>
      <c r="AB30" s="119"/>
    </row>
    <row r="31" spans="1:43" x14ac:dyDescent="0.3">
      <c r="M31" s="119"/>
      <c r="AB31" s="119"/>
    </row>
    <row r="32" spans="1:43" x14ac:dyDescent="0.3">
      <c r="M32" s="119"/>
      <c r="AB32" s="119"/>
    </row>
    <row r="33" spans="1:38" x14ac:dyDescent="0.3">
      <c r="M33" s="119"/>
      <c r="AB33" s="119"/>
    </row>
    <row r="34" spans="1:38" x14ac:dyDescent="0.3">
      <c r="M34" s="119"/>
      <c r="AB34" s="119"/>
    </row>
    <row r="35" spans="1:38" x14ac:dyDescent="0.3">
      <c r="M35" s="119"/>
      <c r="AB35" s="119"/>
    </row>
    <row r="36" spans="1:38" x14ac:dyDescent="0.3">
      <c r="M36" s="119"/>
      <c r="AB36" s="119"/>
    </row>
    <row r="37" spans="1:38" x14ac:dyDescent="0.3">
      <c r="M37" s="119"/>
      <c r="AB37" s="119"/>
    </row>
    <row r="38" spans="1:38" x14ac:dyDescent="0.3">
      <c r="M38" s="119"/>
      <c r="AB38" s="119"/>
    </row>
    <row r="39" spans="1:38" x14ac:dyDescent="0.3">
      <c r="M39" s="119"/>
      <c r="AB39" s="119"/>
    </row>
    <row r="40" spans="1:38" x14ac:dyDescent="0.3">
      <c r="M40" s="119"/>
      <c r="AB40" s="119"/>
    </row>
    <row r="41" spans="1:38" x14ac:dyDescent="0.3">
      <c r="M41" s="119"/>
      <c r="AB41" s="119"/>
    </row>
    <row r="43" spans="1:38" x14ac:dyDescent="0.3">
      <c r="B43" s="10">
        <v>1179</v>
      </c>
      <c r="C43" s="10" t="s">
        <v>60</v>
      </c>
      <c r="D43" s="10" t="s">
        <v>39</v>
      </c>
    </row>
    <row r="44" spans="1:38" x14ac:dyDescent="0.3">
      <c r="B44" s="10">
        <v>1387</v>
      </c>
      <c r="C44" s="10" t="s">
        <v>61</v>
      </c>
      <c r="D44" s="10" t="s">
        <v>23</v>
      </c>
    </row>
    <row r="45" spans="1:38" x14ac:dyDescent="0.3">
      <c r="B45" s="10">
        <v>1047</v>
      </c>
      <c r="C45" s="10" t="s">
        <v>41</v>
      </c>
      <c r="D45" s="10" t="s">
        <v>32</v>
      </c>
    </row>
    <row r="46" spans="1:38" x14ac:dyDescent="0.3">
      <c r="B46" s="10">
        <v>1096</v>
      </c>
      <c r="C46" s="10" t="s">
        <v>62</v>
      </c>
      <c r="D46" s="10" t="s">
        <v>31</v>
      </c>
    </row>
    <row r="47" spans="1:38" x14ac:dyDescent="0.3">
      <c r="A47" s="10"/>
      <c r="B47" s="10"/>
      <c r="C47" s="10" t="s">
        <v>42</v>
      </c>
      <c r="D47" s="10" t="s">
        <v>59</v>
      </c>
    </row>
    <row r="48" spans="1:38" ht="18" x14ac:dyDescent="0.3">
      <c r="E48" s="10"/>
      <c r="F48" s="10"/>
      <c r="G48" s="18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88"/>
      <c r="V48" s="10"/>
      <c r="W48" s="10"/>
      <c r="X48" s="10"/>
      <c r="Y48" s="10"/>
      <c r="Z48" s="10"/>
      <c r="AA48" s="10"/>
      <c r="AB48" s="188"/>
      <c r="AC48" s="10"/>
      <c r="AD48" s="10"/>
      <c r="AE48" s="10"/>
      <c r="AF48" s="10"/>
      <c r="AG48" s="10"/>
      <c r="AH48" s="10"/>
      <c r="AI48" s="10"/>
      <c r="AJ48" s="10"/>
      <c r="AK48" s="36" t="s">
        <v>6</v>
      </c>
      <c r="AL48" s="36" t="s">
        <v>7</v>
      </c>
    </row>
    <row r="50" spans="40:43" x14ac:dyDescent="0.3">
      <c r="AN50" s="153" t="s">
        <v>8</v>
      </c>
      <c r="AO50" s="153">
        <v>31</v>
      </c>
      <c r="AP50" s="167"/>
      <c r="AQ50" s="167"/>
    </row>
  </sheetData>
  <mergeCells count="12">
    <mergeCell ref="AN9:AQ9"/>
    <mergeCell ref="A1:AL1"/>
    <mergeCell ref="A2:AL2"/>
    <mergeCell ref="A3:AL3"/>
    <mergeCell ref="AN3:AO4"/>
    <mergeCell ref="A4:AL4"/>
    <mergeCell ref="K7:K24"/>
    <mergeCell ref="R7:R24"/>
    <mergeCell ref="S7:S24"/>
    <mergeCell ref="Y7:Y24"/>
    <mergeCell ref="AF7:AF24"/>
    <mergeCell ref="AN15:A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Sheet-May-2023</vt:lpstr>
      <vt:lpstr>ECE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  <vt:lpstr>Class-X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 Naz</dc:creator>
  <cp:lastModifiedBy>Aisha  Naz</cp:lastModifiedBy>
  <dcterms:created xsi:type="dcterms:W3CDTF">2023-02-25T04:39:27Z</dcterms:created>
  <dcterms:modified xsi:type="dcterms:W3CDTF">2024-06-02T11:45:42Z</dcterms:modified>
</cp:coreProperties>
</file>