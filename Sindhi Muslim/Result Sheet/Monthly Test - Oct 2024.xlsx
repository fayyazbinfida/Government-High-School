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Result Sheet\"/>
    </mc:Choice>
  </mc:AlternateContent>
  <xr:revisionPtr revIDLastSave="0" documentId="13_ncr:1_{7669307F-45EA-44F5-AE36-03827E95B33E}" xr6:coauthVersionLast="47" xr6:coauthVersionMax="47" xr10:uidLastSave="{00000000-0000-0000-0000-000000000000}"/>
  <bookViews>
    <workbookView xWindow="-120" yWindow="-120" windowWidth="20730" windowHeight="11160" activeTab="1" xr2:uid="{A3810461-FCAA-4427-95C3-213E25AAD5DA}"/>
  </bookViews>
  <sheets>
    <sheet name="ECE (ROSE)" sheetId="1" r:id="rId1"/>
    <sheet name="ECE (Daffodil)" sheetId="4" r:id="rId2"/>
    <sheet name="Class-1" sheetId="5" r:id="rId3"/>
    <sheet name="Class-2" sheetId="6" r:id="rId4"/>
    <sheet name="Class-3" sheetId="7" r:id="rId5"/>
    <sheet name="9th" sheetId="2" r:id="rId6"/>
    <sheet name="6th" sheetId="3" r:id="rId7"/>
  </sheets>
  <definedNames>
    <definedName name="_xlnm.Print_Titles" localSheetId="1">'ECE (Daffodil)'!#REF!</definedName>
    <definedName name="_xlnm.Print_Titles" localSheetId="0">'ECE (ROSE)'!$1:$5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8" i="7" l="1"/>
  <c r="O38" i="7" s="1"/>
  <c r="N39" i="7"/>
  <c r="O39" i="7" s="1"/>
  <c r="N40" i="7"/>
  <c r="O40" i="7" s="1"/>
  <c r="N41" i="7"/>
  <c r="O41" i="7" s="1"/>
  <c r="N42" i="7"/>
  <c r="O42" i="7" s="1"/>
  <c r="N43" i="7"/>
  <c r="O43" i="7" s="1"/>
  <c r="N44" i="7"/>
  <c r="O44" i="7" s="1"/>
  <c r="N45" i="7"/>
  <c r="O45" i="7" s="1"/>
  <c r="N46" i="7"/>
  <c r="O46" i="7" s="1"/>
  <c r="N47" i="7"/>
  <c r="O47" i="7" s="1"/>
  <c r="N48" i="7"/>
  <c r="O48" i="7" s="1"/>
  <c r="N49" i="7"/>
  <c r="O49" i="7" s="1"/>
  <c r="N50" i="7"/>
  <c r="O50" i="7" s="1"/>
  <c r="N51" i="7"/>
  <c r="O51" i="7" s="1"/>
  <c r="N52" i="7"/>
  <c r="O52" i="7" s="1"/>
  <c r="N53" i="7"/>
  <c r="O53" i="7" s="1"/>
  <c r="N54" i="7"/>
  <c r="O54" i="7" s="1"/>
  <c r="N55" i="7"/>
  <c r="O55" i="7" s="1"/>
  <c r="N56" i="7"/>
  <c r="O56" i="7" s="1"/>
  <c r="N57" i="7"/>
  <c r="O57" i="7" s="1"/>
  <c r="N58" i="7"/>
  <c r="O58" i="7" s="1"/>
  <c r="N59" i="7"/>
  <c r="O59" i="7" s="1"/>
  <c r="N60" i="7"/>
  <c r="O60" i="7" s="1"/>
  <c r="N61" i="7"/>
  <c r="O61" i="7" s="1"/>
  <c r="N37" i="7"/>
  <c r="O37" i="7" s="1"/>
  <c r="N8" i="7"/>
  <c r="O8" i="7" s="1"/>
  <c r="N9" i="7"/>
  <c r="O9" i="7" s="1"/>
  <c r="N10" i="7"/>
  <c r="O10" i="7" s="1"/>
  <c r="N11" i="7"/>
  <c r="O11" i="7" s="1"/>
  <c r="N12" i="7"/>
  <c r="O12" i="7" s="1"/>
  <c r="N13" i="7"/>
  <c r="O13" i="7" s="1"/>
  <c r="N14" i="7"/>
  <c r="O14" i="7" s="1"/>
  <c r="N15" i="7"/>
  <c r="O15" i="7" s="1"/>
  <c r="N16" i="7"/>
  <c r="O16" i="7" s="1"/>
  <c r="N17" i="7"/>
  <c r="O17" i="7" s="1"/>
  <c r="N18" i="7"/>
  <c r="O18" i="7" s="1"/>
  <c r="N19" i="7"/>
  <c r="O19" i="7" s="1"/>
  <c r="N20" i="7"/>
  <c r="O20" i="7" s="1"/>
  <c r="N21" i="7"/>
  <c r="O21" i="7" s="1"/>
  <c r="N22" i="7"/>
  <c r="O22" i="7" s="1"/>
  <c r="N23" i="7"/>
  <c r="O23" i="7" s="1"/>
  <c r="N24" i="7"/>
  <c r="O24" i="7" s="1"/>
  <c r="N25" i="7"/>
  <c r="O25" i="7" s="1"/>
  <c r="N26" i="7"/>
  <c r="O26" i="7" s="1"/>
  <c r="N27" i="7"/>
  <c r="O27" i="7" s="1"/>
  <c r="N28" i="7"/>
  <c r="O28" i="7" s="1"/>
  <c r="N29" i="7"/>
  <c r="O29" i="7" s="1"/>
  <c r="N30" i="7"/>
  <c r="O30" i="7" s="1"/>
  <c r="N31" i="7"/>
  <c r="O31" i="7" s="1"/>
  <c r="N32" i="7"/>
  <c r="O32" i="7" s="1"/>
  <c r="N33" i="7"/>
  <c r="O33" i="7" s="1"/>
  <c r="N34" i="7"/>
  <c r="O34" i="7" s="1"/>
  <c r="N35" i="7"/>
  <c r="O35" i="7" s="1"/>
  <c r="N7" i="7"/>
  <c r="O7" i="7" s="1"/>
  <c r="N35" i="6"/>
  <c r="N36" i="6"/>
  <c r="N37" i="6"/>
  <c r="N38" i="6"/>
  <c r="N39" i="6"/>
  <c r="N40" i="6"/>
  <c r="N41" i="6"/>
  <c r="N34" i="6"/>
  <c r="M35" i="6"/>
  <c r="M36" i="6"/>
  <c r="M37" i="6"/>
  <c r="M38" i="6"/>
  <c r="M39" i="6"/>
  <c r="M40" i="6"/>
  <c r="M41" i="6"/>
  <c r="M42" i="6"/>
  <c r="N42" i="6" s="1"/>
  <c r="M43" i="6"/>
  <c r="N43" i="6" s="1"/>
  <c r="M44" i="6"/>
  <c r="N44" i="6" s="1"/>
  <c r="M45" i="6"/>
  <c r="N45" i="6" s="1"/>
  <c r="M46" i="6"/>
  <c r="N46" i="6" s="1"/>
  <c r="M47" i="6"/>
  <c r="N47" i="6" s="1"/>
  <c r="M48" i="6"/>
  <c r="N48" i="6" s="1"/>
  <c r="M49" i="6"/>
  <c r="N49" i="6" s="1"/>
  <c r="M50" i="6"/>
  <c r="N50" i="6" s="1"/>
  <c r="M51" i="6"/>
  <c r="N51" i="6" s="1"/>
  <c r="M52" i="6"/>
  <c r="N52" i="6" s="1"/>
  <c r="M53" i="6"/>
  <c r="N53" i="6" s="1"/>
  <c r="M54" i="6"/>
  <c r="N54" i="6" s="1"/>
  <c r="M55" i="6"/>
  <c r="N55" i="6" s="1"/>
  <c r="M56" i="6"/>
  <c r="N56" i="6" s="1"/>
  <c r="M57" i="6"/>
  <c r="N57" i="6" s="1"/>
  <c r="M58" i="6"/>
  <c r="N58" i="6" s="1"/>
  <c r="M59" i="6"/>
  <c r="N59" i="6" s="1"/>
  <c r="M34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N24" i="6" s="1"/>
  <c r="M25" i="6"/>
  <c r="N25" i="6" s="1"/>
  <c r="M26" i="6"/>
  <c r="N26" i="6" s="1"/>
  <c r="M27" i="6"/>
  <c r="N27" i="6" s="1"/>
  <c r="M28" i="6"/>
  <c r="N28" i="6" s="1"/>
  <c r="M29" i="6"/>
  <c r="N29" i="6" s="1"/>
  <c r="M30" i="6"/>
  <c r="N30" i="6" s="1"/>
  <c r="M31" i="6"/>
  <c r="N31" i="6" s="1"/>
  <c r="M32" i="6"/>
  <c r="N32" i="6" s="1"/>
  <c r="M7" i="6"/>
  <c r="M39" i="3"/>
  <c r="N39" i="3" s="1"/>
  <c r="M38" i="3"/>
  <c r="N38" i="3" s="1"/>
  <c r="M37" i="3"/>
  <c r="N37" i="3" s="1"/>
  <c r="M36" i="3"/>
  <c r="N36" i="3" s="1"/>
  <c r="M35" i="3"/>
  <c r="N35" i="3" s="1"/>
  <c r="M34" i="3"/>
  <c r="N34" i="3" s="1"/>
  <c r="M33" i="3"/>
  <c r="N33" i="3" s="1"/>
  <c r="M32" i="3"/>
  <c r="N32" i="3" s="1"/>
  <c r="M31" i="3"/>
  <c r="N31" i="3" s="1"/>
  <c r="M30" i="3"/>
  <c r="N30" i="3" s="1"/>
  <c r="M29" i="3"/>
  <c r="N29" i="3" s="1"/>
  <c r="M28" i="3"/>
  <c r="N28" i="3" s="1"/>
  <c r="M27" i="3"/>
  <c r="N27" i="3" s="1"/>
  <c r="M26" i="3"/>
  <c r="N26" i="3" s="1"/>
  <c r="M25" i="3"/>
  <c r="N25" i="3" s="1"/>
  <c r="M24" i="3"/>
  <c r="N24" i="3" s="1"/>
  <c r="M23" i="3"/>
  <c r="N23" i="3" s="1"/>
  <c r="M22" i="3"/>
  <c r="N22" i="3" s="1"/>
  <c r="M21" i="3"/>
  <c r="N21" i="3" s="1"/>
  <c r="M20" i="3"/>
  <c r="N20" i="3" s="1"/>
  <c r="M19" i="3"/>
  <c r="N19" i="3" s="1"/>
  <c r="M18" i="3"/>
  <c r="N18" i="3" s="1"/>
  <c r="M17" i="3"/>
  <c r="N17" i="3" s="1"/>
  <c r="M16" i="3"/>
  <c r="N16" i="3" s="1"/>
  <c r="M15" i="3"/>
  <c r="N15" i="3" s="1"/>
  <c r="M14" i="3"/>
  <c r="N14" i="3" s="1"/>
  <c r="M13" i="3"/>
  <c r="N13" i="3" s="1"/>
  <c r="M12" i="3"/>
  <c r="N12" i="3" s="1"/>
  <c r="M11" i="3"/>
  <c r="N11" i="3" s="1"/>
  <c r="M10" i="3"/>
  <c r="N10" i="3" s="1"/>
  <c r="M9" i="3"/>
  <c r="N9" i="3" s="1"/>
  <c r="M8" i="3"/>
  <c r="N8" i="3" s="1"/>
  <c r="M7" i="3"/>
  <c r="N7" i="3" s="1"/>
  <c r="M6" i="3"/>
  <c r="N6" i="3" s="1"/>
  <c r="L5" i="3"/>
  <c r="M39" i="2"/>
  <c r="N39" i="2" s="1"/>
  <c r="M38" i="2"/>
  <c r="N38" i="2" s="1"/>
  <c r="N37" i="2"/>
  <c r="M37" i="2"/>
  <c r="M36" i="2"/>
  <c r="N36" i="2" s="1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L5" i="2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6" i="1"/>
  <c r="Q6" i="1" s="1"/>
</calcChain>
</file>

<file path=xl/sharedStrings.xml><?xml version="1.0" encoding="utf-8"?>
<sst xmlns="http://schemas.openxmlformats.org/spreadsheetml/2006/main" count="1237" uniqueCount="526">
  <si>
    <t>GOVERNMENT HIGH SCHOOL SINDHI JAMAAT CO-OPERATIVE HOUSING SOCIETY</t>
  </si>
  <si>
    <t>MALIR KARACHI SEMIS CODE# 408170153</t>
  </si>
  <si>
    <t>S No</t>
  </si>
  <si>
    <t>G.R No</t>
  </si>
  <si>
    <t>Class</t>
  </si>
  <si>
    <t>Student Name</t>
  </si>
  <si>
    <t>Father Name</t>
  </si>
  <si>
    <t>Subjects</t>
  </si>
  <si>
    <t>Nazra</t>
  </si>
  <si>
    <t>G.K</t>
  </si>
  <si>
    <t>English</t>
  </si>
  <si>
    <t>Urdu</t>
  </si>
  <si>
    <t>EPL</t>
  </si>
  <si>
    <t>Attendance</t>
  </si>
  <si>
    <t>Hygiene</t>
  </si>
  <si>
    <t>Total Marks</t>
  </si>
  <si>
    <t>Obtained Marks</t>
  </si>
  <si>
    <t>Percentage %</t>
  </si>
  <si>
    <t>Remarks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</si>
  <si>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</si>
  <si>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</si>
  <si>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</si>
  <si>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</si>
  <si>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</si>
  <si>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</si>
  <si>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</si>
  <si>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</si>
  <si>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</si>
  <si>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</si>
  <si>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</si>
  <si>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</si>
  <si>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</si>
  <si>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</si>
  <si>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</si>
  <si>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</si>
  <si>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</si>
  <si>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</si>
  <si>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</si>
  <si>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</si>
  <si>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</si>
  <si>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</si>
  <si>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</si>
  <si>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</si>
  <si>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</si>
  <si>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</si>
  <si>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</si>
  <si>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</si>
  <si>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</si>
  <si>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</si>
  <si>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</si>
  <si>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</si>
  <si>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</si>
  <si>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</si>
  <si>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</si>
  <si>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</si>
  <si>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</si>
  <si>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</si>
  <si>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</si>
  <si>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</si>
  <si>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</si>
  <si>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</si>
  <si>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</si>
  <si>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</si>
  <si>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</si>
  <si>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</si>
  <si>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</si>
  <si>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</si>
  <si>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</si>
  <si>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</si>
  <si>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</si>
  <si>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</si>
  <si>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</si>
  <si>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</si>
  <si>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</si>
  <si>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</si>
  <si>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</si>
  <si>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</si>
  <si>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</si>
  <si>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</si>
  <si>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</si>
  <si>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</si>
  <si>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</si>
  <si>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</si>
  <si>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</si>
  <si>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</si>
  <si>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</si>
  <si>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</si>
  <si>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</si>
  <si>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</si>
  <si>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</si>
  <si>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</si>
  <si>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</si>
  <si>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</si>
  <si>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</si>
  <si>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</si>
  <si>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</si>
  <si>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</si>
  <si>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</si>
  <si>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</si>
  <si>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Shahbaz Ali</t>
  </si>
  <si>
    <t>Muhammad Ibrahim</t>
  </si>
  <si>
    <t>Eshaal</t>
  </si>
  <si>
    <t>M. Fahad</t>
  </si>
  <si>
    <t>Rija Batool</t>
  </si>
  <si>
    <t>Ghulam Mehdi</t>
  </si>
  <si>
    <t>Musfiral</t>
  </si>
  <si>
    <t>Faisal</t>
  </si>
  <si>
    <t>Saifullah</t>
  </si>
  <si>
    <t>Farooq Ali</t>
  </si>
  <si>
    <t>Ali Usman</t>
  </si>
  <si>
    <t>Ali Sher</t>
  </si>
  <si>
    <t>Rajab Ali</t>
  </si>
  <si>
    <t>Abdullah</t>
  </si>
  <si>
    <t>Jameel Hussain</t>
  </si>
  <si>
    <t>Israr</t>
  </si>
  <si>
    <t>Zulfiqar Ali</t>
  </si>
  <si>
    <t>Zakria</t>
  </si>
  <si>
    <t>Anabia</t>
  </si>
  <si>
    <t>ECE (Rose)</t>
  </si>
  <si>
    <t>Poem</t>
  </si>
  <si>
    <t>Maths</t>
  </si>
  <si>
    <t>Masroor Ali</t>
  </si>
  <si>
    <t>Biology</t>
  </si>
  <si>
    <t>Physics</t>
  </si>
  <si>
    <t>Chemistry</t>
  </si>
  <si>
    <t>Islamiat</t>
  </si>
  <si>
    <t>Asim</t>
  </si>
  <si>
    <t>9th</t>
  </si>
  <si>
    <t>Haseeb Ullah</t>
  </si>
  <si>
    <t>Moiz</t>
  </si>
  <si>
    <t>Mudasir</t>
  </si>
  <si>
    <t>Taha</t>
  </si>
  <si>
    <t>Nawab</t>
  </si>
  <si>
    <t>Messum</t>
  </si>
  <si>
    <t>Manzar</t>
  </si>
  <si>
    <t>Nasrullah</t>
  </si>
  <si>
    <t>Saif Ur Rehman</t>
  </si>
  <si>
    <t>Shafique</t>
  </si>
  <si>
    <t>Mustaqeem</t>
  </si>
  <si>
    <t>Shaban</t>
  </si>
  <si>
    <t>Sufyan</t>
  </si>
  <si>
    <t>Shayan</t>
  </si>
  <si>
    <t>Khair Un Nisa</t>
  </si>
  <si>
    <t>Saima</t>
  </si>
  <si>
    <t>Frasha</t>
  </si>
  <si>
    <t>Haleema</t>
  </si>
  <si>
    <t>Maheen</t>
  </si>
  <si>
    <t>Qandeel</t>
  </si>
  <si>
    <t>-</t>
  </si>
  <si>
    <t>Zainab</t>
  </si>
  <si>
    <t>Asiya</t>
  </si>
  <si>
    <t>Tuba</t>
  </si>
  <si>
    <t>Afsheen</t>
  </si>
  <si>
    <t>Nosheen</t>
  </si>
  <si>
    <t>Salwa</t>
  </si>
  <si>
    <t>Madina</t>
  </si>
  <si>
    <t>Tayyaba</t>
  </si>
  <si>
    <t>Areesha</t>
  </si>
  <si>
    <t>Kashaf</t>
  </si>
  <si>
    <t>Sidra</t>
  </si>
  <si>
    <t>6th</t>
  </si>
  <si>
    <t>Amna</t>
  </si>
  <si>
    <t>Batool</t>
  </si>
  <si>
    <t>Fatima</t>
  </si>
  <si>
    <t>Faiza</t>
  </si>
  <si>
    <t>Iqra</t>
  </si>
  <si>
    <t>Kaneez</t>
  </si>
  <si>
    <t>Mahnoor</t>
  </si>
  <si>
    <t>Maryam Khan</t>
  </si>
  <si>
    <t>Maryam Soomro</t>
  </si>
  <si>
    <t>Naina</t>
  </si>
  <si>
    <t>Nida</t>
  </si>
  <si>
    <t>Noor e Muqaddas</t>
  </si>
  <si>
    <t>Rubina</t>
  </si>
  <si>
    <t>Sahar</t>
  </si>
  <si>
    <t>Sana</t>
  </si>
  <si>
    <t>Sawera</t>
  </si>
  <si>
    <t>Shabana</t>
  </si>
  <si>
    <t>Shaista</t>
  </si>
  <si>
    <t>Zehra</t>
  </si>
  <si>
    <t>Muskan</t>
  </si>
  <si>
    <t>Zara Bano</t>
  </si>
  <si>
    <t>Sindhi</t>
  </si>
  <si>
    <t>Girls</t>
  </si>
  <si>
    <t>Alishba Batool</t>
  </si>
  <si>
    <t>Irfan Ali</t>
  </si>
  <si>
    <t>ECE (Daffodil)</t>
  </si>
  <si>
    <t>Imtiaz Hussain</t>
  </si>
  <si>
    <t>Aniza Memon</t>
  </si>
  <si>
    <t>Areeba</t>
  </si>
  <si>
    <t>Altaf Hussain</t>
  </si>
  <si>
    <t>Amjad Ali</t>
  </si>
  <si>
    <t>Dua</t>
  </si>
  <si>
    <t>Khalid Hussain</t>
  </si>
  <si>
    <t>Liaqat Ali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</si>
  <si>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</si>
  <si>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</si>
  <si>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</si>
  <si>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</si>
  <si>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</si>
  <si>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</si>
  <si>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</si>
  <si>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</si>
  <si>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</si>
  <si>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</si>
  <si>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</si>
  <si>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</si>
  <si>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</si>
  <si>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</si>
  <si>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</si>
  <si>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M. Khan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</si>
  <si>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</si>
  <si>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</si>
  <si>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</si>
  <si>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</si>
  <si>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</si>
  <si>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</si>
  <si>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</si>
  <si>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</si>
  <si>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</si>
  <si>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</si>
  <si>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</si>
  <si>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</si>
  <si>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</si>
  <si>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</si>
  <si>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Boys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</si>
  <si>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</si>
  <si>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</si>
  <si>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</si>
  <si>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</si>
  <si>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</si>
  <si>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</si>
  <si>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</si>
  <si>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</si>
  <si>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</si>
  <si>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</si>
  <si>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</si>
  <si>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</si>
  <si>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</si>
  <si>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</si>
  <si>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</si>
  <si>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</si>
  <si>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</si>
  <si>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</si>
  <si>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</si>
  <si>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</si>
  <si>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</si>
  <si>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</si>
  <si>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</si>
  <si>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</si>
  <si>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</si>
  <si>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</si>
  <si>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</si>
  <si>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</si>
  <si>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</si>
  <si>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</si>
  <si>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</si>
  <si>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</si>
  <si>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</si>
  <si>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</si>
  <si>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</si>
  <si>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</si>
  <si>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</si>
  <si>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</si>
  <si>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</si>
  <si>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</si>
  <si>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</si>
  <si>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Shabir Ahmed</t>
  </si>
  <si>
    <t>Immadullah</t>
  </si>
  <si>
    <t>M Fahad</t>
  </si>
  <si>
    <t>Bilal Faheem</t>
  </si>
  <si>
    <t>M. Faheem</t>
  </si>
  <si>
    <t>Ab. Barri</t>
  </si>
  <si>
    <t>Hasnain Naeem</t>
  </si>
  <si>
    <t>Naeem Ahmed</t>
  </si>
  <si>
    <t>M. Ahad</t>
  </si>
  <si>
    <t>Aman Badshah</t>
  </si>
  <si>
    <t>Ab. Hadi</t>
  </si>
  <si>
    <t>Nazra + GK</t>
  </si>
  <si>
    <t>Math</t>
  </si>
  <si>
    <t>Drawing</t>
  </si>
  <si>
    <t>Grade</t>
  </si>
  <si>
    <t>Arsalan</t>
  </si>
  <si>
    <t>Zulfiqar</t>
  </si>
  <si>
    <t>One</t>
  </si>
  <si>
    <t>Faheem</t>
  </si>
  <si>
    <t>A. Nawaz</t>
  </si>
  <si>
    <t>M.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</si>
  <si>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</si>
  <si>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</si>
  <si>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</si>
  <si>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</si>
  <si>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</si>
  <si>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</si>
  <si>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</si>
  <si>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</si>
  <si>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</si>
  <si>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</si>
  <si>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</si>
  <si>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</si>
  <si>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</si>
  <si>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</si>
  <si>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</si>
  <si>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</si>
  <si>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</si>
  <si>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</si>
  <si>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</si>
  <si>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</si>
  <si>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</si>
  <si>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</si>
  <si>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Saeed Ahmed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</si>
  <si>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</si>
  <si>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</si>
  <si>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</si>
  <si>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</si>
  <si>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</si>
  <si>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</si>
  <si>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</si>
  <si>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</si>
  <si>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</si>
  <si>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</si>
  <si>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</si>
  <si>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</si>
  <si>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</si>
  <si>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</si>
  <si>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</si>
  <si>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</si>
  <si>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</si>
  <si>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</si>
  <si>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</si>
  <si>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</si>
  <si>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</si>
  <si>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</si>
  <si>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</si>
  <si>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</si>
  <si>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</si>
  <si>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</si>
  <si>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</si>
  <si>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Anum</t>
  </si>
  <si>
    <t>M. Arif</t>
  </si>
  <si>
    <t>Ayat</t>
  </si>
  <si>
    <t>Meer Mohammad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</si>
  <si>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</si>
  <si>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</si>
  <si>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</si>
  <si>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</si>
  <si>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</si>
  <si>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</si>
  <si>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</si>
  <si>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</si>
  <si>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</si>
  <si>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</si>
  <si>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</si>
  <si>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</si>
  <si>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</si>
  <si>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</si>
  <si>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</si>
  <si>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</si>
  <si>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</si>
  <si>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</si>
  <si>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</si>
  <si>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</si>
  <si>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</si>
  <si>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</si>
  <si>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</si>
  <si>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</si>
  <si>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</si>
  <si>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</si>
  <si>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</si>
  <si>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</si>
  <si>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A. Aziz</t>
  </si>
  <si>
    <t>Waniya</t>
  </si>
  <si>
    <t>Asad Ali</t>
  </si>
  <si>
    <t>Haram</t>
  </si>
  <si>
    <t>Moien Khan</t>
  </si>
  <si>
    <t>Ayesha</t>
  </si>
  <si>
    <t>A. Latif</t>
  </si>
  <si>
    <t>Abiha Zehra</t>
  </si>
  <si>
    <t>Abdul Mateen Sahito</t>
  </si>
  <si>
    <t>Two</t>
  </si>
  <si>
    <t>Aleena Zia</t>
  </si>
  <si>
    <t>Khuda Bux Zia</t>
  </si>
  <si>
    <t>Anamta Jamali</t>
  </si>
  <si>
    <t>Anosha</t>
  </si>
  <si>
    <t>Mukhtiyar Ali Soomro</t>
  </si>
  <si>
    <t>Ali Muhammad</t>
  </si>
  <si>
    <t>Jannat Fatima</t>
  </si>
  <si>
    <t>Zulfiqar Ali Mangi</t>
  </si>
  <si>
    <t>Muneeza</t>
  </si>
  <si>
    <t>Mir Amir Udin Mirzada</t>
  </si>
  <si>
    <t>Nayyara</t>
  </si>
  <si>
    <t>Rashida</t>
  </si>
  <si>
    <t>Sajjad Ahmed</t>
  </si>
  <si>
    <t>Rubab Zahra</t>
  </si>
  <si>
    <t>Abdul Aziz</t>
  </si>
  <si>
    <t>Sooha Jamali</t>
  </si>
  <si>
    <t>Sajid Ali</t>
  </si>
  <si>
    <t>Tahreem Fatima</t>
  </si>
  <si>
    <t>Sehar Fatima</t>
  </si>
  <si>
    <t>Taskeen</t>
  </si>
  <si>
    <t>Kashish</t>
  </si>
  <si>
    <t>M. Noman</t>
  </si>
  <si>
    <t>Saba</t>
  </si>
  <si>
    <t>Asif Ali</t>
  </si>
  <si>
    <t>Afsana</t>
  </si>
  <si>
    <t>Sehrish</t>
  </si>
  <si>
    <t>Fida Hussain</t>
  </si>
  <si>
    <t>Zulfiqar Ali Soomro</t>
  </si>
  <si>
    <t>Abdul Musawir</t>
  </si>
  <si>
    <t>M. Ismail</t>
  </si>
  <si>
    <t>Abdul Wahab</t>
  </si>
  <si>
    <t>Abdul Hafeez</t>
  </si>
  <si>
    <t>Riaz uddin Qureshi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</si>
  <si>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</si>
  <si>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</si>
  <si>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</si>
  <si>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</si>
  <si>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</si>
  <si>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</si>
  <si>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</si>
  <si>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</si>
  <si>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</si>
  <si>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</si>
  <si>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</si>
  <si>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</si>
  <si>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</si>
  <si>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</si>
  <si>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</si>
  <si>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</si>
  <si>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Ahmed Nawaz</t>
  </si>
  <si>
    <t>Ali Nawaz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</si>
  <si>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</si>
  <si>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</si>
  <si>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</si>
  <si>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</si>
  <si>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</si>
  <si>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</si>
  <si>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</si>
  <si>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</si>
  <si>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</si>
  <si>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</si>
  <si>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</si>
  <si>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</si>
  <si>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</si>
  <si>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</si>
  <si>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</si>
  <si>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A</t>
  </si>
  <si>
    <t>B</t>
  </si>
  <si>
    <t>Abdul Qudoos</t>
  </si>
  <si>
    <t>Waheed Ahmed</t>
  </si>
  <si>
    <t>Three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</si>
  <si>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</si>
  <si>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</si>
  <si>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</si>
  <si>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</si>
  <si>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</si>
  <si>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</si>
  <si>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</si>
  <si>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</si>
  <si>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</si>
  <si>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Arbab Ali Panhwar</t>
  </si>
  <si>
    <t>Azan</t>
  </si>
  <si>
    <t>Nisar Ahmed</t>
  </si>
  <si>
    <t>Faizan Ahmed</t>
  </si>
  <si>
    <t>Riaz Ahmed</t>
  </si>
  <si>
    <t>Haider Ali</t>
  </si>
  <si>
    <t>Imran Ali</t>
  </si>
  <si>
    <t>M. Shayan</t>
  </si>
  <si>
    <t>Meer Alam</t>
  </si>
  <si>
    <t>M. Ahsan</t>
  </si>
  <si>
    <t>M. Arif Memon</t>
  </si>
  <si>
    <t>M. Yasin</t>
  </si>
  <si>
    <t>Shah Nawaz Khan</t>
  </si>
  <si>
    <t>M. Zawiyar</t>
  </si>
  <si>
    <t>Muneer Ahmed</t>
  </si>
  <si>
    <t>Ghous Bux</t>
  </si>
  <si>
    <t>Shah Fahad</t>
  </si>
  <si>
    <t>Saif Ali</t>
  </si>
  <si>
    <t>Shehbaz Ali</t>
  </si>
  <si>
    <t>Zain Zulfiqar</t>
  </si>
  <si>
    <t>Zulfiqar Qureshi</t>
  </si>
  <si>
    <t>Zeeshan</t>
  </si>
  <si>
    <t>Zeeshan Hussain</t>
  </si>
  <si>
    <t>M. Hussain</t>
  </si>
  <si>
    <t>Roohan</t>
  </si>
  <si>
    <t>Ishfaque</t>
  </si>
  <si>
    <t>Subhan</t>
  </si>
  <si>
    <t>Atteeque ur Rehman</t>
  </si>
  <si>
    <t>Raffique Ahmed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</si>
  <si>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</si>
  <si>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</si>
  <si>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</si>
  <si>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</si>
  <si>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</si>
  <si>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</si>
  <si>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</si>
  <si>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</si>
  <si>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</si>
  <si>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</si>
  <si>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</si>
  <si>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</si>
  <si>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</si>
  <si>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</si>
  <si>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</si>
  <si>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</si>
  <si>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Sehrish Ali</t>
  </si>
  <si>
    <t>Shafia</t>
  </si>
  <si>
    <t>Mir Mohammad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</si>
  <si>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</si>
  <si>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</si>
  <si>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</si>
  <si>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</si>
  <si>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</si>
  <si>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</si>
  <si>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</si>
  <si>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</si>
  <si>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</si>
  <si>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</si>
  <si>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</si>
  <si>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</si>
  <si>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</si>
  <si>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</si>
  <si>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Alisha</t>
  </si>
  <si>
    <t>Ghulam Asghar</t>
  </si>
  <si>
    <t>Mubashira</t>
  </si>
  <si>
    <t>Ubaidullah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</si>
</sst>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General\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Altona Sans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/>
    </xf>
    <xf numFmtId="0" fontId="5" fillId="0" borderId="7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16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A395-62C8-4729-ACFE-11909EA87482}">
  <dimension ref="A1:R57"/>
  <sheetViews>
    <sheetView workbookViewId="0">
      <pane ySplit="5" topLeftCell="A49" activePane="bottomLeft" state="frozen"/>
      <selection pane="bottomLeft" activeCell="R3" sqref="R1:R1048576"/>
    </sheetView>
  </sheetViews>
  <sheetFormatPr defaultRowHeight="12" x14ac:dyDescent="0.2"/>
  <cols>
    <col min="1" max="1" width="3.7109375" style="1" bestFit="1" customWidth="1"/>
    <col min="2" max="2" width="4" style="1" bestFit="1" customWidth="1"/>
    <col min="3" max="3" width="12" style="1" bestFit="1" customWidth="1"/>
    <col min="4" max="4" width="14.7109375" style="1" customWidth="1"/>
    <col min="5" max="5" width="6" style="1" bestFit="1" customWidth="1"/>
    <col min="6" max="15" width="5.7109375" style="1" customWidth="1"/>
    <col min="16" max="17" width="6.7109375" style="1" customWidth="1"/>
    <col min="18" max="18" width="12.28515625" style="1" customWidth="1"/>
    <col min="19" max="16384" width="9.140625" style="1"/>
  </cols>
  <sheetData>
    <row r="1" spans="1:18" ht="15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5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17.25" customHeight="1" x14ac:dyDescent="0.2">
      <c r="A3" s="19" t="s">
        <v>2</v>
      </c>
      <c r="B3" s="19" t="s">
        <v>3</v>
      </c>
      <c r="C3" s="19" t="s">
        <v>5</v>
      </c>
      <c r="D3" s="19" t="s">
        <v>6</v>
      </c>
      <c r="E3" s="20" t="s">
        <v>4</v>
      </c>
      <c r="F3" s="23" t="s">
        <v>7</v>
      </c>
      <c r="G3" s="23"/>
      <c r="H3" s="23"/>
      <c r="I3" s="23"/>
      <c r="J3" s="23"/>
      <c r="K3" s="23"/>
      <c r="L3" s="23"/>
      <c r="M3" s="23"/>
      <c r="N3" s="23"/>
      <c r="O3" s="19" t="s">
        <v>15</v>
      </c>
      <c r="P3" s="19" t="s">
        <v>16</v>
      </c>
      <c r="Q3" s="19" t="s">
        <v>17</v>
      </c>
      <c r="R3" s="19" t="s">
        <v>18</v>
      </c>
    </row>
    <row r="4" spans="1:18" ht="47.25" x14ac:dyDescent="0.2">
      <c r="A4" s="19"/>
      <c r="B4" s="19"/>
      <c r="C4" s="19"/>
      <c r="D4" s="19"/>
      <c r="E4" s="21"/>
      <c r="F4" s="2" t="s">
        <v>8</v>
      </c>
      <c r="G4" s="2" t="s">
        <v>9</v>
      </c>
      <c r="H4" s="2" t="s">
        <v>12</v>
      </c>
      <c r="I4" s="2" t="s">
        <v>119</v>
      </c>
      <c r="J4" s="2" t="s">
        <v>10</v>
      </c>
      <c r="K4" s="2" t="s">
        <v>120</v>
      </c>
      <c r="L4" s="2" t="s">
        <v>11</v>
      </c>
      <c r="M4" s="2" t="s">
        <v>13</v>
      </c>
      <c r="N4" s="2" t="s">
        <v>14</v>
      </c>
      <c r="O4" s="19"/>
      <c r="P4" s="19"/>
      <c r="Q4" s="19"/>
      <c r="R4" s="19"/>
    </row>
    <row r="5" spans="1:18" ht="15.75" customHeight="1" x14ac:dyDescent="0.2">
      <c r="A5" s="19"/>
      <c r="B5" s="19"/>
      <c r="C5" s="19"/>
      <c r="D5" s="19"/>
      <c r="E5" s="22"/>
      <c r="F5" s="3">
        <v>5</v>
      </c>
      <c r="G5" s="3">
        <v>5</v>
      </c>
      <c r="H5" s="3">
        <v>10</v>
      </c>
      <c r="I5" s="3">
        <v>5</v>
      </c>
      <c r="J5" s="3">
        <v>5</v>
      </c>
      <c r="K5" s="3">
        <v>5</v>
      </c>
      <c r="L5" s="3">
        <v>5</v>
      </c>
      <c r="M5" s="3">
        <v>10</v>
      </c>
      <c r="N5" s="3">
        <v>10</v>
      </c>
      <c r="O5" s="3">
        <v>60</v>
      </c>
      <c r="P5" s="19"/>
      <c r="Q5" s="19"/>
      <c r="R5" s="19"/>
    </row>
    <row r="6" spans="1:18" ht="24" customHeight="1" x14ac:dyDescent="0.2">
      <c r="A6" s="4">
        <v>1</v>
      </c>
      <c r="B6" s="4"/>
      <c r="C6" s="5" t="s">
        <v>19</v>
      </c>
      <c r="D6" s="5" t="s">
        <v>20</v>
      </c>
      <c r="E6" s="5" t="s">
        <v>118</v>
      </c>
      <c r="F6" s="4">
        <v>5</v>
      </c>
      <c r="G6" s="4">
        <v>3</v>
      </c>
      <c r="H6" s="4">
        <v>4</v>
      </c>
      <c r="I6" s="4">
        <v>1</v>
      </c>
      <c r="J6" s="4">
        <v>5</v>
      </c>
      <c r="K6" s="4">
        <v>0</v>
      </c>
      <c r="L6" s="4">
        <v>0</v>
      </c>
      <c r="M6" s="4">
        <v>7</v>
      </c>
      <c r="N6" s="4">
        <v>4</v>
      </c>
      <c r="O6" s="4">
        <v>60</v>
      </c>
      <c r="P6" s="4">
        <f>SUM(F6:N6)</f>
        <v>29</v>
      </c>
      <c r="Q6" s="8">
        <f>P6/O6*100</f>
        <v>48.333333333333336</v>
      </c>
      <c r="R6" s="4"/>
    </row>
    <row r="7" spans="1:18" ht="24" customHeight="1" x14ac:dyDescent="0.2">
      <c r="A7" s="4">
        <v>2</v>
      </c>
      <c r="B7" s="4"/>
      <c r="C7" s="5" t="s">
        <v>21</v>
      </c>
      <c r="D7" s="5" t="s">
        <v>22</v>
      </c>
      <c r="E7" s="5" t="s">
        <v>118</v>
      </c>
      <c r="F7" s="4">
        <v>5</v>
      </c>
      <c r="G7" s="4">
        <v>5</v>
      </c>
      <c r="H7" s="4">
        <v>6</v>
      </c>
      <c r="I7" s="4">
        <v>4</v>
      </c>
      <c r="J7" s="4">
        <v>5</v>
      </c>
      <c r="K7" s="4">
        <v>3</v>
      </c>
      <c r="L7" s="4">
        <v>5</v>
      </c>
      <c r="M7" s="4">
        <v>7</v>
      </c>
      <c r="N7" s="4">
        <v>7</v>
      </c>
      <c r="O7" s="4">
        <v>60</v>
      </c>
      <c r="P7" s="4">
        <f t="shared" ref="P7:P57" si="0">SUM(F7:N7)</f>
        <v>47</v>
      </c>
      <c r="Q7" s="8">
        <f t="shared" ref="Q7:Q57" si="1">P7/O7*100</f>
        <v>78.333333333333329</v>
      </c>
      <c r="R7" s="4"/>
    </row>
    <row r="8" spans="1:18" ht="24" customHeight="1" x14ac:dyDescent="0.2">
      <c r="A8" s="4">
        <v>3</v>
      </c>
      <c r="B8" s="4"/>
      <c r="C8" s="5" t="s">
        <v>23</v>
      </c>
      <c r="D8" s="5" t="s">
        <v>24</v>
      </c>
      <c r="E8" s="5" t="s">
        <v>118</v>
      </c>
      <c r="F8" s="4">
        <v>5</v>
      </c>
      <c r="G8" s="4">
        <v>5</v>
      </c>
      <c r="H8" s="4">
        <v>5</v>
      </c>
      <c r="I8" s="4">
        <v>4</v>
      </c>
      <c r="J8" s="4">
        <v>5</v>
      </c>
      <c r="K8" s="4">
        <v>5</v>
      </c>
      <c r="L8" s="4">
        <v>2</v>
      </c>
      <c r="M8" s="4">
        <v>8</v>
      </c>
      <c r="N8" s="4">
        <v>5</v>
      </c>
      <c r="O8" s="4">
        <v>60</v>
      </c>
      <c r="P8" s="4">
        <f t="shared" si="0"/>
        <v>44</v>
      </c>
      <c r="Q8" s="8">
        <f t="shared" si="1"/>
        <v>73.333333333333329</v>
      </c>
      <c r="R8" s="4"/>
    </row>
    <row r="9" spans="1:18" ht="24" customHeight="1" x14ac:dyDescent="0.2">
      <c r="A9" s="4">
        <v>4</v>
      </c>
      <c r="B9" s="4">
        <v>135</v>
      </c>
      <c r="C9" s="5" t="s">
        <v>25</v>
      </c>
      <c r="D9" s="5" t="s">
        <v>26</v>
      </c>
      <c r="E9" s="5" t="s">
        <v>118</v>
      </c>
      <c r="F9" s="4">
        <v>5</v>
      </c>
      <c r="G9" s="4">
        <v>5</v>
      </c>
      <c r="H9" s="4">
        <v>8</v>
      </c>
      <c r="I9" s="4">
        <v>5</v>
      </c>
      <c r="J9" s="4">
        <v>5</v>
      </c>
      <c r="K9" s="4">
        <v>5</v>
      </c>
      <c r="L9" s="4">
        <v>4</v>
      </c>
      <c r="M9" s="4">
        <v>8</v>
      </c>
      <c r="N9" s="4">
        <v>7</v>
      </c>
      <c r="O9" s="4">
        <v>60</v>
      </c>
      <c r="P9" s="4">
        <f t="shared" si="0"/>
        <v>52</v>
      </c>
      <c r="Q9" s="8">
        <f t="shared" si="1"/>
        <v>86.666666666666671</v>
      </c>
      <c r="R9" s="4"/>
    </row>
    <row r="10" spans="1:18" ht="24" customHeight="1" x14ac:dyDescent="0.2">
      <c r="A10" s="4">
        <v>5</v>
      </c>
      <c r="B10" s="4">
        <v>136</v>
      </c>
      <c r="C10" s="5" t="s">
        <v>27</v>
      </c>
      <c r="D10" s="5" t="s">
        <v>28</v>
      </c>
      <c r="E10" s="5" t="s">
        <v>118</v>
      </c>
      <c r="F10" s="4">
        <v>5</v>
      </c>
      <c r="G10" s="4">
        <v>5</v>
      </c>
      <c r="H10" s="4">
        <v>7</v>
      </c>
      <c r="I10" s="4">
        <v>5</v>
      </c>
      <c r="J10" s="4">
        <v>5</v>
      </c>
      <c r="K10" s="4">
        <v>4</v>
      </c>
      <c r="L10" s="4">
        <v>1</v>
      </c>
      <c r="M10" s="4">
        <v>7</v>
      </c>
      <c r="N10" s="4">
        <v>8</v>
      </c>
      <c r="O10" s="4">
        <v>60</v>
      </c>
      <c r="P10" s="4">
        <f t="shared" si="0"/>
        <v>47</v>
      </c>
      <c r="Q10" s="8">
        <f t="shared" si="1"/>
        <v>78.333333333333329</v>
      </c>
      <c r="R10" s="4"/>
    </row>
    <row r="11" spans="1:18" ht="24" customHeight="1" x14ac:dyDescent="0.2">
      <c r="A11" s="4">
        <v>6</v>
      </c>
      <c r="B11" s="4">
        <v>137</v>
      </c>
      <c r="C11" s="5" t="s">
        <v>29</v>
      </c>
      <c r="D11" s="5" t="s">
        <v>30</v>
      </c>
      <c r="E11" s="5" t="s">
        <v>118</v>
      </c>
      <c r="F11" s="4">
        <v>5</v>
      </c>
      <c r="G11" s="4">
        <v>4</v>
      </c>
      <c r="H11" s="4">
        <v>7</v>
      </c>
      <c r="I11" s="4">
        <v>5</v>
      </c>
      <c r="J11" s="4">
        <v>4</v>
      </c>
      <c r="K11" s="4">
        <v>0</v>
      </c>
      <c r="L11" s="4">
        <v>0</v>
      </c>
      <c r="M11" s="4">
        <v>5</v>
      </c>
      <c r="N11" s="4">
        <v>6</v>
      </c>
      <c r="O11" s="4">
        <v>60</v>
      </c>
      <c r="P11" s="4">
        <f t="shared" si="0"/>
        <v>36</v>
      </c>
      <c r="Q11" s="8">
        <f t="shared" si="1"/>
        <v>60</v>
      </c>
      <c r="R11" s="4"/>
    </row>
    <row r="12" spans="1:18" ht="24" customHeight="1" x14ac:dyDescent="0.2">
      <c r="A12" s="4">
        <v>7</v>
      </c>
      <c r="B12" s="4">
        <v>139</v>
      </c>
      <c r="C12" s="5" t="s">
        <v>31</v>
      </c>
      <c r="D12" s="5" t="s">
        <v>32</v>
      </c>
      <c r="E12" s="5" t="s">
        <v>118</v>
      </c>
      <c r="F12" s="4">
        <v>3</v>
      </c>
      <c r="G12" s="4">
        <v>4</v>
      </c>
      <c r="H12" s="4">
        <v>6</v>
      </c>
      <c r="I12" s="4">
        <v>4</v>
      </c>
      <c r="J12" s="4">
        <v>2</v>
      </c>
      <c r="K12" s="4">
        <v>1</v>
      </c>
      <c r="L12" s="4">
        <v>2</v>
      </c>
      <c r="M12" s="4">
        <v>7</v>
      </c>
      <c r="N12" s="4">
        <v>7</v>
      </c>
      <c r="O12" s="4">
        <v>60</v>
      </c>
      <c r="P12" s="4">
        <f t="shared" si="0"/>
        <v>36</v>
      </c>
      <c r="Q12" s="8">
        <f t="shared" si="1"/>
        <v>60</v>
      </c>
      <c r="R12" s="4"/>
    </row>
    <row r="13" spans="1:18" ht="24" customHeight="1" x14ac:dyDescent="0.2">
      <c r="A13" s="4">
        <v>8</v>
      </c>
      <c r="B13" s="4"/>
      <c r="C13" s="5" t="s">
        <v>33</v>
      </c>
      <c r="D13" s="5" t="s">
        <v>34</v>
      </c>
      <c r="E13" s="5" t="s">
        <v>118</v>
      </c>
      <c r="F13" s="4">
        <v>5</v>
      </c>
      <c r="G13" s="4">
        <v>5</v>
      </c>
      <c r="H13" s="4">
        <v>7</v>
      </c>
      <c r="I13" s="4">
        <v>5</v>
      </c>
      <c r="J13" s="4">
        <v>5</v>
      </c>
      <c r="K13" s="4">
        <v>5</v>
      </c>
      <c r="L13" s="4">
        <v>5</v>
      </c>
      <c r="M13" s="4">
        <v>7</v>
      </c>
      <c r="N13" s="4">
        <v>6</v>
      </c>
      <c r="O13" s="4">
        <v>60</v>
      </c>
      <c r="P13" s="4">
        <f t="shared" si="0"/>
        <v>50</v>
      </c>
      <c r="Q13" s="8">
        <f t="shared" si="1"/>
        <v>83.333333333333343</v>
      </c>
      <c r="R13" s="4"/>
    </row>
    <row r="14" spans="1:18" ht="24" customHeight="1" x14ac:dyDescent="0.2">
      <c r="A14" s="4">
        <v>9</v>
      </c>
      <c r="B14" s="4">
        <v>142</v>
      </c>
      <c r="C14" s="5" t="s">
        <v>35</v>
      </c>
      <c r="D14" s="5" t="s">
        <v>36</v>
      </c>
      <c r="E14" s="5" t="s">
        <v>118</v>
      </c>
      <c r="F14" s="4">
        <v>5</v>
      </c>
      <c r="G14" s="4">
        <v>5</v>
      </c>
      <c r="H14" s="4">
        <v>8</v>
      </c>
      <c r="I14" s="4">
        <v>5</v>
      </c>
      <c r="J14" s="4">
        <v>5</v>
      </c>
      <c r="K14" s="4">
        <v>5</v>
      </c>
      <c r="L14" s="4">
        <v>5</v>
      </c>
      <c r="M14" s="4">
        <v>9</v>
      </c>
      <c r="N14" s="4">
        <v>7</v>
      </c>
      <c r="O14" s="4">
        <v>60</v>
      </c>
      <c r="P14" s="4">
        <f t="shared" si="0"/>
        <v>54</v>
      </c>
      <c r="Q14" s="8">
        <f t="shared" si="1"/>
        <v>90</v>
      </c>
      <c r="R14" s="4"/>
    </row>
    <row r="15" spans="1:18" ht="24" customHeight="1" x14ac:dyDescent="0.2">
      <c r="A15" s="4">
        <v>10</v>
      </c>
      <c r="B15" s="6">
        <v>143</v>
      </c>
      <c r="C15" s="5" t="s">
        <v>37</v>
      </c>
      <c r="D15" s="5" t="s">
        <v>38</v>
      </c>
      <c r="E15" s="5" t="s">
        <v>118</v>
      </c>
      <c r="F15" s="4">
        <v>3</v>
      </c>
      <c r="G15" s="4">
        <v>5</v>
      </c>
      <c r="H15" s="4">
        <v>5</v>
      </c>
      <c r="I15" s="4">
        <v>5</v>
      </c>
      <c r="J15" s="4">
        <v>5</v>
      </c>
      <c r="K15" s="4">
        <v>0</v>
      </c>
      <c r="L15" s="4">
        <v>0</v>
      </c>
      <c r="M15" s="4">
        <v>9</v>
      </c>
      <c r="N15" s="4">
        <v>6</v>
      </c>
      <c r="O15" s="4">
        <v>60</v>
      </c>
      <c r="P15" s="4">
        <f t="shared" si="0"/>
        <v>38</v>
      </c>
      <c r="Q15" s="8">
        <f t="shared" si="1"/>
        <v>63.333333333333329</v>
      </c>
      <c r="R15" s="4"/>
    </row>
    <row r="16" spans="1:18" ht="24" customHeight="1" x14ac:dyDescent="0.2">
      <c r="A16" s="4">
        <v>11</v>
      </c>
      <c r="B16" s="6">
        <v>144</v>
      </c>
      <c r="C16" s="5" t="s">
        <v>39</v>
      </c>
      <c r="D16" s="5" t="s">
        <v>40</v>
      </c>
      <c r="E16" s="5" t="s">
        <v>118</v>
      </c>
      <c r="F16" s="4">
        <v>3</v>
      </c>
      <c r="G16" s="4">
        <v>4</v>
      </c>
      <c r="H16" s="4">
        <v>6</v>
      </c>
      <c r="I16" s="4">
        <v>5</v>
      </c>
      <c r="J16" s="4">
        <v>3</v>
      </c>
      <c r="K16" s="4">
        <v>5</v>
      </c>
      <c r="L16" s="4">
        <v>2</v>
      </c>
      <c r="M16" s="4">
        <v>7</v>
      </c>
      <c r="N16" s="4">
        <v>7</v>
      </c>
      <c r="O16" s="4">
        <v>60</v>
      </c>
      <c r="P16" s="4">
        <f t="shared" si="0"/>
        <v>42</v>
      </c>
      <c r="Q16" s="8">
        <f t="shared" si="1"/>
        <v>70</v>
      </c>
      <c r="R16" s="4"/>
    </row>
    <row r="17" spans="1:18" ht="24" customHeight="1" x14ac:dyDescent="0.2">
      <c r="A17" s="4">
        <v>12</v>
      </c>
      <c r="B17" s="6">
        <v>145</v>
      </c>
      <c r="C17" s="5" t="s">
        <v>41</v>
      </c>
      <c r="D17" s="5" t="s">
        <v>42</v>
      </c>
      <c r="E17" s="5" t="s">
        <v>118</v>
      </c>
      <c r="F17" s="4">
        <v>3</v>
      </c>
      <c r="G17" s="4">
        <v>3</v>
      </c>
      <c r="H17" s="4">
        <v>5</v>
      </c>
      <c r="I17" s="4">
        <v>2</v>
      </c>
      <c r="J17" s="4">
        <v>2</v>
      </c>
      <c r="K17" s="4">
        <v>4</v>
      </c>
      <c r="L17" s="4">
        <v>5</v>
      </c>
      <c r="M17" s="4">
        <v>7</v>
      </c>
      <c r="N17" s="4">
        <v>7</v>
      </c>
      <c r="O17" s="4">
        <v>60</v>
      </c>
      <c r="P17" s="4">
        <f t="shared" si="0"/>
        <v>38</v>
      </c>
      <c r="Q17" s="8">
        <f t="shared" si="1"/>
        <v>63.333333333333329</v>
      </c>
      <c r="R17" s="4"/>
    </row>
    <row r="18" spans="1:18" ht="24" customHeight="1" x14ac:dyDescent="0.2">
      <c r="A18" s="4">
        <v>13</v>
      </c>
      <c r="B18" s="6">
        <v>146</v>
      </c>
      <c r="C18" s="5" t="s">
        <v>43</v>
      </c>
      <c r="D18" s="5" t="s">
        <v>44</v>
      </c>
      <c r="E18" s="5" t="s">
        <v>118</v>
      </c>
      <c r="F18" s="4">
        <v>5</v>
      </c>
      <c r="G18" s="4">
        <v>3</v>
      </c>
      <c r="H18" s="4">
        <v>7</v>
      </c>
      <c r="I18" s="4">
        <v>2</v>
      </c>
      <c r="J18" s="4">
        <v>3</v>
      </c>
      <c r="K18" s="4">
        <v>4</v>
      </c>
      <c r="L18" s="4">
        <v>3</v>
      </c>
      <c r="M18" s="4">
        <v>8</v>
      </c>
      <c r="N18" s="4">
        <v>8</v>
      </c>
      <c r="O18" s="4">
        <v>60</v>
      </c>
      <c r="P18" s="4">
        <f t="shared" si="0"/>
        <v>43</v>
      </c>
      <c r="Q18" s="8">
        <f t="shared" si="1"/>
        <v>71.666666666666671</v>
      </c>
      <c r="R18" s="4"/>
    </row>
    <row r="19" spans="1:18" ht="24" customHeight="1" x14ac:dyDescent="0.2">
      <c r="A19" s="4">
        <v>14</v>
      </c>
      <c r="B19" s="6">
        <v>148</v>
      </c>
      <c r="C19" s="5" t="s">
        <v>45</v>
      </c>
      <c r="D19" s="5" t="s">
        <v>46</v>
      </c>
      <c r="E19" s="5" t="s">
        <v>118</v>
      </c>
      <c r="F19" s="4">
        <v>5</v>
      </c>
      <c r="G19" s="4">
        <v>3</v>
      </c>
      <c r="H19" s="4">
        <v>5</v>
      </c>
      <c r="I19" s="4">
        <v>3</v>
      </c>
      <c r="J19" s="4">
        <v>5</v>
      </c>
      <c r="K19" s="4">
        <v>5</v>
      </c>
      <c r="L19" s="4">
        <v>4</v>
      </c>
      <c r="M19" s="4">
        <v>5</v>
      </c>
      <c r="N19" s="4">
        <v>7</v>
      </c>
      <c r="O19" s="4">
        <v>60</v>
      </c>
      <c r="P19" s="4">
        <f t="shared" si="0"/>
        <v>42</v>
      </c>
      <c r="Q19" s="8">
        <f t="shared" si="1"/>
        <v>70</v>
      </c>
      <c r="R19" s="4"/>
    </row>
    <row r="20" spans="1:18" ht="24" customHeight="1" x14ac:dyDescent="0.2">
      <c r="A20" s="4">
        <v>15</v>
      </c>
      <c r="B20" s="6">
        <v>150</v>
      </c>
      <c r="C20" s="5" t="s">
        <v>47</v>
      </c>
      <c r="D20" s="5" t="s">
        <v>48</v>
      </c>
      <c r="E20" s="5" t="s">
        <v>118</v>
      </c>
      <c r="F20" s="4">
        <v>5</v>
      </c>
      <c r="G20" s="4">
        <v>3</v>
      </c>
      <c r="H20" s="4">
        <v>6</v>
      </c>
      <c r="I20" s="4">
        <v>3</v>
      </c>
      <c r="J20" s="4">
        <v>5</v>
      </c>
      <c r="K20" s="4">
        <v>2</v>
      </c>
      <c r="L20" s="4">
        <v>0</v>
      </c>
      <c r="M20" s="4">
        <v>5</v>
      </c>
      <c r="N20" s="4">
        <v>5</v>
      </c>
      <c r="O20" s="4">
        <v>60</v>
      </c>
      <c r="P20" s="4">
        <f t="shared" si="0"/>
        <v>34</v>
      </c>
      <c r="Q20" s="8">
        <f t="shared" si="1"/>
        <v>56.666666666666664</v>
      </c>
      <c r="R20" s="4"/>
    </row>
    <row r="21" spans="1:18" ht="24" customHeight="1" x14ac:dyDescent="0.2">
      <c r="A21" s="4">
        <v>16</v>
      </c>
      <c r="B21" s="6">
        <v>151</v>
      </c>
      <c r="C21" s="5" t="s">
        <v>49</v>
      </c>
      <c r="D21" s="5" t="s">
        <v>50</v>
      </c>
      <c r="E21" s="5" t="s">
        <v>118</v>
      </c>
      <c r="F21" s="4">
        <v>5</v>
      </c>
      <c r="G21" s="4">
        <v>4</v>
      </c>
      <c r="H21" s="4">
        <v>6</v>
      </c>
      <c r="I21" s="4">
        <v>4</v>
      </c>
      <c r="J21" s="4">
        <v>4</v>
      </c>
      <c r="K21" s="4">
        <v>4</v>
      </c>
      <c r="L21" s="4">
        <v>5</v>
      </c>
      <c r="M21" s="4">
        <v>6</v>
      </c>
      <c r="N21" s="4">
        <v>7</v>
      </c>
      <c r="O21" s="4">
        <v>60</v>
      </c>
      <c r="P21" s="4">
        <f t="shared" si="0"/>
        <v>45</v>
      </c>
      <c r="Q21" s="8">
        <f t="shared" si="1"/>
        <v>75</v>
      </c>
      <c r="R21" s="4"/>
    </row>
    <row r="22" spans="1:18" ht="24" customHeight="1" x14ac:dyDescent="0.2">
      <c r="A22" s="4">
        <v>17</v>
      </c>
      <c r="B22" s="6">
        <v>152</v>
      </c>
      <c r="C22" s="5" t="s">
        <v>51</v>
      </c>
      <c r="D22" s="5" t="s">
        <v>52</v>
      </c>
      <c r="E22" s="5" t="s">
        <v>118</v>
      </c>
      <c r="F22" s="4">
        <v>5</v>
      </c>
      <c r="G22" s="4">
        <v>5</v>
      </c>
      <c r="H22" s="4">
        <v>8</v>
      </c>
      <c r="I22" s="4">
        <v>5</v>
      </c>
      <c r="J22" s="4">
        <v>5</v>
      </c>
      <c r="K22" s="4">
        <v>5</v>
      </c>
      <c r="L22" s="4">
        <v>5</v>
      </c>
      <c r="M22" s="4">
        <v>9</v>
      </c>
      <c r="N22" s="4">
        <v>6</v>
      </c>
      <c r="O22" s="4">
        <v>60</v>
      </c>
      <c r="P22" s="4">
        <f t="shared" si="0"/>
        <v>53</v>
      </c>
      <c r="Q22" s="8">
        <f t="shared" si="1"/>
        <v>88.333333333333329</v>
      </c>
      <c r="R22" s="4"/>
    </row>
    <row r="23" spans="1:18" ht="24" customHeight="1" x14ac:dyDescent="0.2">
      <c r="A23" s="4">
        <v>18</v>
      </c>
      <c r="B23" s="6">
        <v>153</v>
      </c>
      <c r="C23" s="5" t="s">
        <v>53</v>
      </c>
      <c r="D23" s="5" t="s">
        <v>54</v>
      </c>
      <c r="E23" s="5" t="s">
        <v>118</v>
      </c>
      <c r="F23" s="4">
        <v>3</v>
      </c>
      <c r="G23" s="4">
        <v>4</v>
      </c>
      <c r="H23" s="4">
        <v>5</v>
      </c>
      <c r="I23" s="4">
        <v>2</v>
      </c>
      <c r="J23" s="4">
        <v>5</v>
      </c>
      <c r="K23" s="4">
        <v>5</v>
      </c>
      <c r="L23" s="4">
        <v>5</v>
      </c>
      <c r="M23" s="4">
        <v>8</v>
      </c>
      <c r="N23" s="4">
        <v>7</v>
      </c>
      <c r="O23" s="4">
        <v>60</v>
      </c>
      <c r="P23" s="4">
        <f t="shared" si="0"/>
        <v>44</v>
      </c>
      <c r="Q23" s="8">
        <f t="shared" si="1"/>
        <v>73.333333333333329</v>
      </c>
      <c r="R23" s="4"/>
    </row>
    <row r="24" spans="1:18" ht="24" customHeight="1" x14ac:dyDescent="0.2">
      <c r="A24" s="4">
        <v>19</v>
      </c>
      <c r="B24" s="6">
        <v>154</v>
      </c>
      <c r="C24" s="5" t="s">
        <v>55</v>
      </c>
      <c r="D24" s="5" t="s">
        <v>56</v>
      </c>
      <c r="E24" s="5" t="s">
        <v>118</v>
      </c>
      <c r="F24" s="4">
        <v>4</v>
      </c>
      <c r="G24" s="4">
        <v>5</v>
      </c>
      <c r="H24" s="4">
        <v>7</v>
      </c>
      <c r="I24" s="4">
        <v>4</v>
      </c>
      <c r="J24" s="4">
        <v>5</v>
      </c>
      <c r="K24" s="4">
        <v>1</v>
      </c>
      <c r="L24" s="4">
        <v>2</v>
      </c>
      <c r="M24" s="4">
        <v>9</v>
      </c>
      <c r="N24" s="4">
        <v>8</v>
      </c>
      <c r="O24" s="4">
        <v>60</v>
      </c>
      <c r="P24" s="4">
        <f t="shared" si="0"/>
        <v>45</v>
      </c>
      <c r="Q24" s="8">
        <f t="shared" si="1"/>
        <v>75</v>
      </c>
      <c r="R24" s="4"/>
    </row>
    <row r="25" spans="1:18" ht="24" customHeight="1" x14ac:dyDescent="0.2">
      <c r="A25" s="4">
        <v>20</v>
      </c>
      <c r="B25" s="6">
        <v>155</v>
      </c>
      <c r="C25" s="5" t="s">
        <v>57</v>
      </c>
      <c r="D25" s="5" t="s">
        <v>58</v>
      </c>
      <c r="E25" s="5" t="s">
        <v>118</v>
      </c>
      <c r="F25" s="4">
        <v>4</v>
      </c>
      <c r="G25" s="4">
        <v>3</v>
      </c>
      <c r="H25" s="4">
        <v>8</v>
      </c>
      <c r="I25" s="4">
        <v>3</v>
      </c>
      <c r="J25" s="4">
        <v>5</v>
      </c>
      <c r="K25" s="4">
        <v>2</v>
      </c>
      <c r="L25" s="4">
        <v>5</v>
      </c>
      <c r="M25" s="4">
        <v>9</v>
      </c>
      <c r="N25" s="4">
        <v>8</v>
      </c>
      <c r="O25" s="4">
        <v>60</v>
      </c>
      <c r="P25" s="4">
        <f t="shared" si="0"/>
        <v>47</v>
      </c>
      <c r="Q25" s="8">
        <f t="shared" si="1"/>
        <v>78.333333333333329</v>
      </c>
      <c r="R25" s="4"/>
    </row>
    <row r="26" spans="1:18" ht="24" customHeight="1" x14ac:dyDescent="0.2">
      <c r="A26" s="4">
        <v>21</v>
      </c>
      <c r="B26" s="6">
        <v>156</v>
      </c>
      <c r="C26" s="5" t="s">
        <v>59</v>
      </c>
      <c r="D26" s="5" t="s">
        <v>60</v>
      </c>
      <c r="E26" s="5" t="s">
        <v>118</v>
      </c>
      <c r="F26" s="4">
        <v>3</v>
      </c>
      <c r="G26" s="4">
        <v>3</v>
      </c>
      <c r="H26" s="4">
        <v>5</v>
      </c>
      <c r="I26" s="4">
        <v>3</v>
      </c>
      <c r="J26" s="4">
        <v>1</v>
      </c>
      <c r="K26" s="4">
        <v>3</v>
      </c>
      <c r="L26" s="4">
        <v>2</v>
      </c>
      <c r="M26" s="4">
        <v>8</v>
      </c>
      <c r="N26" s="4">
        <v>8</v>
      </c>
      <c r="O26" s="4">
        <v>60</v>
      </c>
      <c r="P26" s="4">
        <f t="shared" si="0"/>
        <v>36</v>
      </c>
      <c r="Q26" s="8">
        <f t="shared" si="1"/>
        <v>60</v>
      </c>
      <c r="R26" s="4"/>
    </row>
    <row r="27" spans="1:18" ht="24" customHeight="1" x14ac:dyDescent="0.2">
      <c r="A27" s="4">
        <v>22</v>
      </c>
      <c r="B27" s="6">
        <v>158</v>
      </c>
      <c r="C27" s="5" t="s">
        <v>61</v>
      </c>
      <c r="D27" s="5" t="s">
        <v>62</v>
      </c>
      <c r="E27" s="5" t="s">
        <v>118</v>
      </c>
      <c r="F27" s="4">
        <v>3</v>
      </c>
      <c r="G27" s="4">
        <v>3</v>
      </c>
      <c r="H27" s="4">
        <v>5</v>
      </c>
      <c r="I27" s="4">
        <v>3</v>
      </c>
      <c r="J27" s="4">
        <v>5</v>
      </c>
      <c r="K27" s="4">
        <v>2</v>
      </c>
      <c r="L27" s="4">
        <v>2</v>
      </c>
      <c r="M27" s="4">
        <v>8</v>
      </c>
      <c r="N27" s="4">
        <v>7</v>
      </c>
      <c r="O27" s="4">
        <v>60</v>
      </c>
      <c r="P27" s="4">
        <f t="shared" si="0"/>
        <v>38</v>
      </c>
      <c r="Q27" s="8">
        <f t="shared" si="1"/>
        <v>63.333333333333329</v>
      </c>
      <c r="R27" s="4"/>
    </row>
    <row r="28" spans="1:18" ht="24" customHeight="1" x14ac:dyDescent="0.2">
      <c r="A28" s="4">
        <v>23</v>
      </c>
      <c r="B28" s="4">
        <v>159</v>
      </c>
      <c r="C28" s="5" t="s">
        <v>63</v>
      </c>
      <c r="D28" s="5" t="s">
        <v>64</v>
      </c>
      <c r="E28" s="5" t="s">
        <v>118</v>
      </c>
      <c r="F28" s="4">
        <v>5</v>
      </c>
      <c r="G28" s="4">
        <v>4</v>
      </c>
      <c r="H28" s="4">
        <v>7</v>
      </c>
      <c r="I28" s="4">
        <v>4</v>
      </c>
      <c r="J28" s="4">
        <v>5</v>
      </c>
      <c r="K28" s="4">
        <v>5</v>
      </c>
      <c r="L28" s="4">
        <v>5</v>
      </c>
      <c r="M28" s="4">
        <v>4</v>
      </c>
      <c r="N28" s="4">
        <v>6</v>
      </c>
      <c r="O28" s="4">
        <v>60</v>
      </c>
      <c r="P28" s="4">
        <f t="shared" si="0"/>
        <v>45</v>
      </c>
      <c r="Q28" s="8">
        <f t="shared" si="1"/>
        <v>75</v>
      </c>
      <c r="R28" s="4"/>
    </row>
    <row r="29" spans="1:18" ht="24" customHeight="1" x14ac:dyDescent="0.2">
      <c r="A29" s="4">
        <v>24</v>
      </c>
      <c r="B29" s="4">
        <v>160</v>
      </c>
      <c r="C29" s="5" t="s">
        <v>65</v>
      </c>
      <c r="D29" s="5" t="s">
        <v>66</v>
      </c>
      <c r="E29" s="5" t="s">
        <v>118</v>
      </c>
      <c r="F29" s="4">
        <v>5</v>
      </c>
      <c r="G29" s="4">
        <v>5</v>
      </c>
      <c r="H29" s="4">
        <v>7</v>
      </c>
      <c r="I29" s="4">
        <v>5</v>
      </c>
      <c r="J29" s="4">
        <v>3</v>
      </c>
      <c r="K29" s="4">
        <v>5</v>
      </c>
      <c r="L29" s="4">
        <v>5</v>
      </c>
      <c r="M29" s="4">
        <v>7</v>
      </c>
      <c r="N29" s="4">
        <v>7</v>
      </c>
      <c r="O29" s="4">
        <v>60</v>
      </c>
      <c r="P29" s="4">
        <f t="shared" si="0"/>
        <v>49</v>
      </c>
      <c r="Q29" s="8">
        <f t="shared" si="1"/>
        <v>81.666666666666671</v>
      </c>
      <c r="R29" s="4"/>
    </row>
    <row r="30" spans="1:18" ht="24" customHeight="1" x14ac:dyDescent="0.2">
      <c r="A30" s="4">
        <v>25</v>
      </c>
      <c r="B30" s="4">
        <v>161</v>
      </c>
      <c r="C30" s="5" t="s">
        <v>67</v>
      </c>
      <c r="D30" s="5" t="s">
        <v>68</v>
      </c>
      <c r="E30" s="5" t="s">
        <v>118</v>
      </c>
      <c r="F30" s="4">
        <v>5</v>
      </c>
      <c r="G30" s="4">
        <v>3</v>
      </c>
      <c r="H30" s="4">
        <v>5</v>
      </c>
      <c r="I30" s="4">
        <v>2</v>
      </c>
      <c r="J30" s="4">
        <v>2</v>
      </c>
      <c r="K30" s="4">
        <v>1</v>
      </c>
      <c r="L30" s="4">
        <v>0</v>
      </c>
      <c r="M30" s="4">
        <v>7</v>
      </c>
      <c r="N30" s="4">
        <v>6</v>
      </c>
      <c r="O30" s="4">
        <v>60</v>
      </c>
      <c r="P30" s="4">
        <f t="shared" si="0"/>
        <v>31</v>
      </c>
      <c r="Q30" s="8">
        <f t="shared" si="1"/>
        <v>51.666666666666671</v>
      </c>
      <c r="R30" s="4"/>
    </row>
    <row r="31" spans="1:18" ht="24" customHeight="1" x14ac:dyDescent="0.2">
      <c r="A31" s="4">
        <v>26</v>
      </c>
      <c r="B31" s="4">
        <v>162</v>
      </c>
      <c r="C31" s="5" t="s">
        <v>69</v>
      </c>
      <c r="D31" s="5" t="s">
        <v>70</v>
      </c>
      <c r="E31" s="5" t="s">
        <v>118</v>
      </c>
      <c r="F31" s="4">
        <v>4</v>
      </c>
      <c r="G31" s="4">
        <v>4</v>
      </c>
      <c r="H31" s="4">
        <v>6</v>
      </c>
      <c r="I31" s="4">
        <v>4</v>
      </c>
      <c r="J31" s="4">
        <v>4</v>
      </c>
      <c r="K31" s="4">
        <v>2</v>
      </c>
      <c r="L31" s="4">
        <v>4</v>
      </c>
      <c r="M31" s="4">
        <v>8</v>
      </c>
      <c r="N31" s="4">
        <v>8</v>
      </c>
      <c r="O31" s="4">
        <v>60</v>
      </c>
      <c r="P31" s="4">
        <f t="shared" si="0"/>
        <v>44</v>
      </c>
      <c r="Q31" s="8">
        <f t="shared" si="1"/>
        <v>73.333333333333329</v>
      </c>
      <c r="R31" s="4"/>
    </row>
    <row r="32" spans="1:18" ht="24" customHeight="1" x14ac:dyDescent="0.2">
      <c r="A32" s="4">
        <v>27</v>
      </c>
      <c r="B32" s="4">
        <v>163</v>
      </c>
      <c r="C32" s="5" t="s">
        <v>71</v>
      </c>
      <c r="D32" s="5" t="s">
        <v>72</v>
      </c>
      <c r="E32" s="5" t="s">
        <v>118</v>
      </c>
      <c r="F32" s="4">
        <v>5</v>
      </c>
      <c r="G32" s="4">
        <v>4</v>
      </c>
      <c r="H32" s="4">
        <v>6</v>
      </c>
      <c r="I32" s="4">
        <v>3</v>
      </c>
      <c r="J32" s="4">
        <v>3</v>
      </c>
      <c r="K32" s="4">
        <v>1</v>
      </c>
      <c r="L32" s="4">
        <v>0</v>
      </c>
      <c r="M32" s="4">
        <v>8</v>
      </c>
      <c r="N32" s="4">
        <v>8</v>
      </c>
      <c r="O32" s="4">
        <v>60</v>
      </c>
      <c r="P32" s="4">
        <f t="shared" si="0"/>
        <v>38</v>
      </c>
      <c r="Q32" s="8">
        <f t="shared" si="1"/>
        <v>63.333333333333329</v>
      </c>
      <c r="R32" s="4"/>
    </row>
    <row r="33" spans="1:18" ht="24" customHeight="1" x14ac:dyDescent="0.2">
      <c r="A33" s="4">
        <v>28</v>
      </c>
      <c r="B33" s="4">
        <v>165</v>
      </c>
      <c r="C33" s="5" t="s">
        <v>73</v>
      </c>
      <c r="D33" s="5" t="s">
        <v>74</v>
      </c>
      <c r="E33" s="5" t="s">
        <v>118</v>
      </c>
      <c r="F33" s="4">
        <v>5</v>
      </c>
      <c r="G33" s="4">
        <v>5</v>
      </c>
      <c r="H33" s="4">
        <v>6</v>
      </c>
      <c r="I33" s="4">
        <v>5</v>
      </c>
      <c r="J33" s="4">
        <v>5</v>
      </c>
      <c r="K33" s="4">
        <v>5</v>
      </c>
      <c r="L33" s="4">
        <v>1</v>
      </c>
      <c r="M33" s="4">
        <v>7</v>
      </c>
      <c r="N33" s="4">
        <v>7</v>
      </c>
      <c r="O33" s="4">
        <v>60</v>
      </c>
      <c r="P33" s="4">
        <f t="shared" si="0"/>
        <v>46</v>
      </c>
      <c r="Q33" s="8">
        <f t="shared" si="1"/>
        <v>76.666666666666671</v>
      </c>
      <c r="R33" s="4"/>
    </row>
    <row r="34" spans="1:18" ht="24" customHeight="1" x14ac:dyDescent="0.2">
      <c r="A34" s="4">
        <v>29</v>
      </c>
      <c r="B34" s="4">
        <v>166</v>
      </c>
      <c r="C34" s="5" t="s">
        <v>75</v>
      </c>
      <c r="D34" s="5" t="s">
        <v>76</v>
      </c>
      <c r="E34" s="5" t="s">
        <v>118</v>
      </c>
      <c r="F34" s="4">
        <v>5</v>
      </c>
      <c r="G34" s="4">
        <v>5</v>
      </c>
      <c r="H34" s="4">
        <v>8</v>
      </c>
      <c r="I34" s="4">
        <v>5</v>
      </c>
      <c r="J34" s="4">
        <v>5</v>
      </c>
      <c r="K34" s="4">
        <v>5</v>
      </c>
      <c r="L34" s="4">
        <v>4</v>
      </c>
      <c r="M34" s="4">
        <v>8</v>
      </c>
      <c r="N34" s="4">
        <v>8</v>
      </c>
      <c r="O34" s="4">
        <v>60</v>
      </c>
      <c r="P34" s="4">
        <f t="shared" si="0"/>
        <v>53</v>
      </c>
      <c r="Q34" s="8">
        <f t="shared" si="1"/>
        <v>88.333333333333329</v>
      </c>
      <c r="R34" s="4"/>
    </row>
    <row r="35" spans="1:18" ht="24" customHeight="1" x14ac:dyDescent="0.2">
      <c r="A35" s="4">
        <v>30</v>
      </c>
      <c r="B35" s="4">
        <v>167</v>
      </c>
      <c r="C35" s="5" t="s">
        <v>77</v>
      </c>
      <c r="D35" s="5" t="s">
        <v>76</v>
      </c>
      <c r="E35" s="5" t="s">
        <v>118</v>
      </c>
      <c r="F35" s="4">
        <v>5</v>
      </c>
      <c r="G35" s="4">
        <v>4</v>
      </c>
      <c r="H35" s="4">
        <v>8</v>
      </c>
      <c r="I35" s="4">
        <v>5</v>
      </c>
      <c r="J35" s="4">
        <v>5</v>
      </c>
      <c r="K35" s="4">
        <v>5</v>
      </c>
      <c r="L35" s="4">
        <v>5</v>
      </c>
      <c r="M35" s="4">
        <v>8</v>
      </c>
      <c r="N35" s="4">
        <v>8</v>
      </c>
      <c r="O35" s="4">
        <v>60</v>
      </c>
      <c r="P35" s="4">
        <f t="shared" si="0"/>
        <v>53</v>
      </c>
      <c r="Q35" s="8">
        <f t="shared" si="1"/>
        <v>88.333333333333329</v>
      </c>
      <c r="R35" s="4"/>
    </row>
    <row r="36" spans="1:18" ht="24" customHeight="1" x14ac:dyDescent="0.2">
      <c r="A36" s="4">
        <v>31</v>
      </c>
      <c r="B36" s="4">
        <v>168</v>
      </c>
      <c r="C36" s="5" t="s">
        <v>78</v>
      </c>
      <c r="D36" s="5" t="s">
        <v>79</v>
      </c>
      <c r="E36" s="5" t="s">
        <v>118</v>
      </c>
      <c r="F36" s="4">
        <v>5</v>
      </c>
      <c r="G36" s="4">
        <v>4</v>
      </c>
      <c r="H36" s="4">
        <v>8</v>
      </c>
      <c r="I36" s="4">
        <v>5</v>
      </c>
      <c r="J36" s="4">
        <v>0</v>
      </c>
      <c r="K36" s="4">
        <v>5</v>
      </c>
      <c r="L36" s="4">
        <v>0</v>
      </c>
      <c r="M36" s="4">
        <v>8</v>
      </c>
      <c r="N36" s="4">
        <v>6</v>
      </c>
      <c r="O36" s="4">
        <v>60</v>
      </c>
      <c r="P36" s="4">
        <f t="shared" si="0"/>
        <v>41</v>
      </c>
      <c r="Q36" s="8">
        <f t="shared" si="1"/>
        <v>68.333333333333329</v>
      </c>
      <c r="R36" s="4"/>
    </row>
    <row r="37" spans="1:18" ht="24" customHeight="1" x14ac:dyDescent="0.2">
      <c r="A37" s="4">
        <v>32</v>
      </c>
      <c r="B37" s="4">
        <v>169</v>
      </c>
      <c r="C37" s="5" t="s">
        <v>80</v>
      </c>
      <c r="D37" s="5" t="s">
        <v>81</v>
      </c>
      <c r="E37" s="5" t="s">
        <v>118</v>
      </c>
      <c r="F37" s="4">
        <v>5</v>
      </c>
      <c r="G37" s="4">
        <v>4</v>
      </c>
      <c r="H37" s="4">
        <v>7</v>
      </c>
      <c r="I37" s="4">
        <v>5</v>
      </c>
      <c r="J37" s="4">
        <v>5</v>
      </c>
      <c r="K37" s="4">
        <v>1</v>
      </c>
      <c r="L37" s="4">
        <v>2</v>
      </c>
      <c r="M37" s="4">
        <v>8</v>
      </c>
      <c r="N37" s="4">
        <v>7</v>
      </c>
      <c r="O37" s="4">
        <v>60</v>
      </c>
      <c r="P37" s="4">
        <f t="shared" si="0"/>
        <v>44</v>
      </c>
      <c r="Q37" s="8">
        <f t="shared" si="1"/>
        <v>73.333333333333329</v>
      </c>
      <c r="R37" s="4"/>
    </row>
    <row r="38" spans="1:18" ht="24" customHeight="1" x14ac:dyDescent="0.2">
      <c r="A38" s="4">
        <v>33</v>
      </c>
      <c r="B38" s="4">
        <v>170</v>
      </c>
      <c r="C38" s="5" t="s">
        <v>82</v>
      </c>
      <c r="D38" s="5" t="s">
        <v>83</v>
      </c>
      <c r="E38" s="5" t="s">
        <v>118</v>
      </c>
      <c r="F38" s="4">
        <v>5</v>
      </c>
      <c r="G38" s="4">
        <v>3</v>
      </c>
      <c r="H38" s="4">
        <v>6</v>
      </c>
      <c r="I38" s="4">
        <v>5</v>
      </c>
      <c r="J38" s="4">
        <v>3</v>
      </c>
      <c r="K38" s="4">
        <v>4</v>
      </c>
      <c r="L38" s="4">
        <v>2</v>
      </c>
      <c r="M38" s="4">
        <v>8</v>
      </c>
      <c r="N38" s="4">
        <v>8</v>
      </c>
      <c r="O38" s="4">
        <v>60</v>
      </c>
      <c r="P38" s="4">
        <f t="shared" si="0"/>
        <v>44</v>
      </c>
      <c r="Q38" s="8">
        <f t="shared" si="1"/>
        <v>73.333333333333329</v>
      </c>
      <c r="R38" s="4"/>
    </row>
    <row r="39" spans="1:18" ht="24" customHeight="1" x14ac:dyDescent="0.2">
      <c r="A39" s="4">
        <v>34</v>
      </c>
      <c r="B39" s="4">
        <v>171</v>
      </c>
      <c r="C39" s="5" t="s">
        <v>84</v>
      </c>
      <c r="D39" s="5" t="s">
        <v>85</v>
      </c>
      <c r="E39" s="5" t="s">
        <v>118</v>
      </c>
      <c r="F39" s="4">
        <v>1</v>
      </c>
      <c r="G39" s="4">
        <v>2</v>
      </c>
      <c r="H39" s="4">
        <v>4</v>
      </c>
      <c r="I39" s="4">
        <v>1</v>
      </c>
      <c r="J39" s="4">
        <v>0</v>
      </c>
      <c r="K39" s="4">
        <v>0</v>
      </c>
      <c r="L39" s="4">
        <v>0</v>
      </c>
      <c r="M39" s="4">
        <v>3</v>
      </c>
      <c r="N39" s="4">
        <v>7</v>
      </c>
      <c r="O39" s="4">
        <v>60</v>
      </c>
      <c r="P39" s="4">
        <f t="shared" si="0"/>
        <v>18</v>
      </c>
      <c r="Q39" s="8">
        <f t="shared" si="1"/>
        <v>30</v>
      </c>
      <c r="R39" s="4"/>
    </row>
    <row r="40" spans="1:18" ht="24" customHeight="1" x14ac:dyDescent="0.2">
      <c r="A40" s="4">
        <v>35</v>
      </c>
      <c r="B40" s="4">
        <v>172</v>
      </c>
      <c r="C40" s="5" t="s">
        <v>86</v>
      </c>
      <c r="D40" s="5" t="s">
        <v>87</v>
      </c>
      <c r="E40" s="5" t="s">
        <v>118</v>
      </c>
      <c r="F40" s="4">
        <v>5</v>
      </c>
      <c r="G40" s="4">
        <v>4</v>
      </c>
      <c r="H40" s="4">
        <v>6</v>
      </c>
      <c r="I40" s="4">
        <v>5</v>
      </c>
      <c r="J40" s="4">
        <v>4</v>
      </c>
      <c r="K40" s="4">
        <v>3</v>
      </c>
      <c r="L40" s="4">
        <v>4</v>
      </c>
      <c r="M40" s="4">
        <v>7</v>
      </c>
      <c r="N40" s="4">
        <v>7</v>
      </c>
      <c r="O40" s="4">
        <v>60</v>
      </c>
      <c r="P40" s="4">
        <f t="shared" si="0"/>
        <v>45</v>
      </c>
      <c r="Q40" s="8">
        <f t="shared" si="1"/>
        <v>75</v>
      </c>
      <c r="R40" s="4"/>
    </row>
    <row r="41" spans="1:18" ht="24" customHeight="1" x14ac:dyDescent="0.2">
      <c r="A41" s="4">
        <v>36</v>
      </c>
      <c r="B41" s="4">
        <v>196</v>
      </c>
      <c r="C41" s="5" t="s">
        <v>88</v>
      </c>
      <c r="D41" s="5" t="s">
        <v>89</v>
      </c>
      <c r="E41" s="5" t="s">
        <v>118</v>
      </c>
      <c r="F41" s="4">
        <v>5</v>
      </c>
      <c r="G41" s="4">
        <v>4</v>
      </c>
      <c r="H41" s="4">
        <v>5</v>
      </c>
      <c r="I41" s="4">
        <v>5</v>
      </c>
      <c r="J41" s="4">
        <v>5</v>
      </c>
      <c r="K41" s="4">
        <v>4</v>
      </c>
      <c r="L41" s="4">
        <v>3</v>
      </c>
      <c r="M41" s="4">
        <v>6</v>
      </c>
      <c r="N41" s="4">
        <v>8</v>
      </c>
      <c r="O41" s="4">
        <v>60</v>
      </c>
      <c r="P41" s="4">
        <f t="shared" si="0"/>
        <v>45</v>
      </c>
      <c r="Q41" s="8">
        <f t="shared" si="1"/>
        <v>75</v>
      </c>
      <c r="R41" s="4"/>
    </row>
    <row r="42" spans="1:18" ht="24" customHeight="1" x14ac:dyDescent="0.2">
      <c r="A42" s="4">
        <v>37</v>
      </c>
      <c r="B42" s="4">
        <v>197</v>
      </c>
      <c r="C42" s="5" t="s">
        <v>90</v>
      </c>
      <c r="D42" s="5" t="s">
        <v>121</v>
      </c>
      <c r="E42" s="5" t="s">
        <v>118</v>
      </c>
      <c r="F42" s="4">
        <v>5</v>
      </c>
      <c r="G42" s="4">
        <v>3</v>
      </c>
      <c r="H42" s="4">
        <v>5</v>
      </c>
      <c r="I42" s="4">
        <v>2</v>
      </c>
      <c r="J42" s="4">
        <v>5</v>
      </c>
      <c r="K42" s="4">
        <v>5</v>
      </c>
      <c r="L42" s="4">
        <v>2</v>
      </c>
      <c r="M42" s="4">
        <v>8</v>
      </c>
      <c r="N42" s="4">
        <v>8</v>
      </c>
      <c r="O42" s="4">
        <v>60</v>
      </c>
      <c r="P42" s="4">
        <f t="shared" si="0"/>
        <v>43</v>
      </c>
      <c r="Q42" s="8">
        <f t="shared" si="1"/>
        <v>71.666666666666671</v>
      </c>
      <c r="R42" s="4"/>
    </row>
    <row r="43" spans="1:18" ht="24" customHeight="1" x14ac:dyDescent="0.2">
      <c r="A43" s="4">
        <v>38</v>
      </c>
      <c r="B43" s="4">
        <v>180</v>
      </c>
      <c r="C43" s="5" t="s">
        <v>91</v>
      </c>
      <c r="D43" s="5" t="s">
        <v>92</v>
      </c>
      <c r="E43" s="5" t="s">
        <v>118</v>
      </c>
      <c r="F43" s="4">
        <v>4</v>
      </c>
      <c r="G43" s="4">
        <v>3</v>
      </c>
      <c r="H43" s="4">
        <v>5</v>
      </c>
      <c r="I43" s="4">
        <v>3</v>
      </c>
      <c r="J43" s="4">
        <v>5</v>
      </c>
      <c r="K43" s="4">
        <v>0</v>
      </c>
      <c r="L43" s="4">
        <v>0</v>
      </c>
      <c r="M43" s="4">
        <v>8</v>
      </c>
      <c r="N43" s="4">
        <v>6</v>
      </c>
      <c r="O43" s="4">
        <v>60</v>
      </c>
      <c r="P43" s="4">
        <f t="shared" si="0"/>
        <v>34</v>
      </c>
      <c r="Q43" s="8">
        <f t="shared" si="1"/>
        <v>56.666666666666664</v>
      </c>
      <c r="R43" s="4"/>
    </row>
    <row r="44" spans="1:18" ht="24" customHeight="1" x14ac:dyDescent="0.2">
      <c r="A44" s="4">
        <v>39</v>
      </c>
      <c r="B44" s="4">
        <v>182</v>
      </c>
      <c r="C44" s="5" t="s">
        <v>93</v>
      </c>
      <c r="D44" s="5" t="s">
        <v>94</v>
      </c>
      <c r="E44" s="5" t="s">
        <v>118</v>
      </c>
      <c r="F44" s="4">
        <v>5</v>
      </c>
      <c r="G44" s="4">
        <v>5</v>
      </c>
      <c r="H44" s="4">
        <v>8</v>
      </c>
      <c r="I44" s="4">
        <v>5</v>
      </c>
      <c r="J44" s="4">
        <v>5</v>
      </c>
      <c r="K44" s="4">
        <v>5</v>
      </c>
      <c r="L44" s="4">
        <v>5</v>
      </c>
      <c r="M44" s="4">
        <v>7</v>
      </c>
      <c r="N44" s="4">
        <v>8</v>
      </c>
      <c r="O44" s="4">
        <v>60</v>
      </c>
      <c r="P44" s="4">
        <f t="shared" si="0"/>
        <v>53</v>
      </c>
      <c r="Q44" s="8">
        <f t="shared" si="1"/>
        <v>88.333333333333329</v>
      </c>
      <c r="R44" s="4"/>
    </row>
    <row r="45" spans="1:18" ht="24" customHeight="1" x14ac:dyDescent="0.2">
      <c r="A45" s="4">
        <v>40</v>
      </c>
      <c r="B45" s="4">
        <v>186</v>
      </c>
      <c r="C45" s="5" t="s">
        <v>95</v>
      </c>
      <c r="D45" s="5" t="s">
        <v>96</v>
      </c>
      <c r="E45" s="5" t="s">
        <v>118</v>
      </c>
      <c r="F45" s="4">
        <v>5</v>
      </c>
      <c r="G45" s="4">
        <v>4</v>
      </c>
      <c r="H45" s="4">
        <v>6</v>
      </c>
      <c r="I45" s="4">
        <v>5</v>
      </c>
      <c r="J45" s="4">
        <v>5</v>
      </c>
      <c r="K45" s="4">
        <v>1</v>
      </c>
      <c r="L45" s="4">
        <v>3</v>
      </c>
      <c r="M45" s="4">
        <v>8</v>
      </c>
      <c r="N45" s="4">
        <v>7</v>
      </c>
      <c r="O45" s="4">
        <v>60</v>
      </c>
      <c r="P45" s="4">
        <f t="shared" si="0"/>
        <v>44</v>
      </c>
      <c r="Q45" s="8">
        <f t="shared" si="1"/>
        <v>73.333333333333329</v>
      </c>
      <c r="R45" s="4"/>
    </row>
    <row r="46" spans="1:18" ht="24" customHeight="1" x14ac:dyDescent="0.2">
      <c r="A46" s="4">
        <v>41</v>
      </c>
      <c r="B46" s="4">
        <v>188</v>
      </c>
      <c r="C46" s="5" t="s">
        <v>97</v>
      </c>
      <c r="D46" s="5" t="s">
        <v>98</v>
      </c>
      <c r="E46" s="5" t="s">
        <v>118</v>
      </c>
      <c r="F46" s="4">
        <v>5</v>
      </c>
      <c r="G46" s="4">
        <v>4</v>
      </c>
      <c r="H46" s="4">
        <v>7</v>
      </c>
      <c r="I46" s="4">
        <v>5</v>
      </c>
      <c r="J46" s="4">
        <v>5</v>
      </c>
      <c r="K46" s="4">
        <v>1</v>
      </c>
      <c r="L46" s="4">
        <v>5</v>
      </c>
      <c r="M46" s="4">
        <v>7</v>
      </c>
      <c r="N46" s="4">
        <v>8</v>
      </c>
      <c r="O46" s="4">
        <v>60</v>
      </c>
      <c r="P46" s="4">
        <f t="shared" si="0"/>
        <v>47</v>
      </c>
      <c r="Q46" s="8">
        <f t="shared" si="1"/>
        <v>78.333333333333329</v>
      </c>
      <c r="R46" s="4"/>
    </row>
    <row r="47" spans="1:18" ht="24" customHeight="1" x14ac:dyDescent="0.2">
      <c r="A47" s="4">
        <v>42</v>
      </c>
      <c r="B47" s="4">
        <v>191</v>
      </c>
      <c r="C47" s="5" t="s">
        <v>99</v>
      </c>
      <c r="D47" s="5" t="s">
        <v>100</v>
      </c>
      <c r="E47" s="5" t="s">
        <v>118</v>
      </c>
      <c r="F47" s="4">
        <v>5</v>
      </c>
      <c r="G47" s="4">
        <v>4</v>
      </c>
      <c r="H47" s="4">
        <v>7</v>
      </c>
      <c r="I47" s="4">
        <v>5</v>
      </c>
      <c r="J47" s="4">
        <v>5</v>
      </c>
      <c r="K47" s="4">
        <v>5</v>
      </c>
      <c r="L47" s="4">
        <v>5</v>
      </c>
      <c r="M47" s="4">
        <v>8</v>
      </c>
      <c r="N47" s="4">
        <v>8</v>
      </c>
      <c r="O47" s="4">
        <v>60</v>
      </c>
      <c r="P47" s="4">
        <f t="shared" si="0"/>
        <v>52</v>
      </c>
      <c r="Q47" s="8">
        <f t="shared" si="1"/>
        <v>86.666666666666671</v>
      </c>
      <c r="R47" s="4"/>
    </row>
    <row r="48" spans="1:18" ht="24" customHeight="1" x14ac:dyDescent="0.2">
      <c r="A48" s="4">
        <v>43</v>
      </c>
      <c r="B48" s="4"/>
      <c r="C48" s="5" t="s">
        <v>101</v>
      </c>
      <c r="D48" s="5" t="s">
        <v>102</v>
      </c>
      <c r="E48" s="5" t="s">
        <v>118</v>
      </c>
      <c r="F48" s="4">
        <v>5</v>
      </c>
      <c r="G48" s="4">
        <v>5</v>
      </c>
      <c r="H48" s="4">
        <v>8</v>
      </c>
      <c r="I48" s="4">
        <v>5</v>
      </c>
      <c r="J48" s="4">
        <v>5</v>
      </c>
      <c r="K48" s="4">
        <v>5</v>
      </c>
      <c r="L48" s="4">
        <v>5</v>
      </c>
      <c r="M48" s="4">
        <v>8</v>
      </c>
      <c r="N48" s="4">
        <v>8</v>
      </c>
      <c r="O48" s="4">
        <v>60</v>
      </c>
      <c r="P48" s="4">
        <f t="shared" si="0"/>
        <v>54</v>
      </c>
      <c r="Q48" s="8">
        <f t="shared" si="1"/>
        <v>90</v>
      </c>
      <c r="R48" s="4"/>
    </row>
    <row r="49" spans="1:18" ht="24" customHeight="1" x14ac:dyDescent="0.2">
      <c r="A49" s="4">
        <v>44</v>
      </c>
      <c r="B49" s="4">
        <v>195</v>
      </c>
      <c r="C49" s="5" t="s">
        <v>103</v>
      </c>
      <c r="D49" s="5" t="s">
        <v>104</v>
      </c>
      <c r="E49" s="5" t="s">
        <v>118</v>
      </c>
      <c r="F49" s="4">
        <v>2</v>
      </c>
      <c r="G49" s="4">
        <v>2</v>
      </c>
      <c r="H49" s="4">
        <v>4</v>
      </c>
      <c r="I49" s="4">
        <v>2</v>
      </c>
      <c r="J49" s="4">
        <v>5</v>
      </c>
      <c r="K49" s="4">
        <v>2</v>
      </c>
      <c r="L49" s="4">
        <v>0</v>
      </c>
      <c r="M49" s="4">
        <v>8</v>
      </c>
      <c r="N49" s="4">
        <v>7</v>
      </c>
      <c r="O49" s="4">
        <v>60</v>
      </c>
      <c r="P49" s="4">
        <f t="shared" si="0"/>
        <v>32</v>
      </c>
      <c r="Q49" s="8">
        <f t="shared" si="1"/>
        <v>53.333333333333336</v>
      </c>
      <c r="R49" s="4"/>
    </row>
    <row r="50" spans="1:18" ht="24" customHeight="1" x14ac:dyDescent="0.2">
      <c r="A50" s="4">
        <v>45</v>
      </c>
      <c r="B50" s="4"/>
      <c r="C50" s="5" t="s">
        <v>105</v>
      </c>
      <c r="D50" s="5" t="s">
        <v>106</v>
      </c>
      <c r="E50" s="5" t="s">
        <v>118</v>
      </c>
      <c r="F50" s="4">
        <v>5</v>
      </c>
      <c r="G50" s="4">
        <v>3</v>
      </c>
      <c r="H50" s="4">
        <v>5</v>
      </c>
      <c r="I50" s="4">
        <v>3</v>
      </c>
      <c r="J50" s="4">
        <v>5</v>
      </c>
      <c r="K50" s="4">
        <v>0</v>
      </c>
      <c r="L50" s="4">
        <v>0</v>
      </c>
      <c r="M50" s="4">
        <v>4</v>
      </c>
      <c r="N50" s="4">
        <v>5</v>
      </c>
      <c r="O50" s="4">
        <v>60</v>
      </c>
      <c r="P50" s="4">
        <f t="shared" si="0"/>
        <v>30</v>
      </c>
      <c r="Q50" s="8">
        <f t="shared" si="1"/>
        <v>50</v>
      </c>
      <c r="R50" s="4"/>
    </row>
    <row r="51" spans="1:18" ht="24" customHeight="1" x14ac:dyDescent="0.2">
      <c r="A51" s="4">
        <v>46</v>
      </c>
      <c r="B51" s="4"/>
      <c r="C51" s="5" t="s">
        <v>107</v>
      </c>
      <c r="D51" s="5" t="s">
        <v>108</v>
      </c>
      <c r="E51" s="5" t="s">
        <v>118</v>
      </c>
      <c r="F51" s="4">
        <v>2</v>
      </c>
      <c r="G51" s="4">
        <v>3</v>
      </c>
      <c r="H51" s="4">
        <v>4</v>
      </c>
      <c r="I51" s="4">
        <v>2</v>
      </c>
      <c r="J51" s="4">
        <v>5</v>
      </c>
      <c r="K51" s="4">
        <v>1</v>
      </c>
      <c r="L51" s="4">
        <v>2</v>
      </c>
      <c r="M51" s="4">
        <v>3</v>
      </c>
      <c r="N51" s="4">
        <v>6</v>
      </c>
      <c r="O51" s="4">
        <v>60</v>
      </c>
      <c r="P51" s="4">
        <f t="shared" si="0"/>
        <v>28</v>
      </c>
      <c r="Q51" s="8">
        <f t="shared" si="1"/>
        <v>46.666666666666664</v>
      </c>
      <c r="R51" s="4"/>
    </row>
    <row r="52" spans="1:18" ht="24" customHeight="1" x14ac:dyDescent="0.2">
      <c r="A52" s="4">
        <v>47</v>
      </c>
      <c r="B52" s="4"/>
      <c r="C52" s="7" t="s">
        <v>109</v>
      </c>
      <c r="D52" s="7" t="s">
        <v>27</v>
      </c>
      <c r="E52" s="5" t="s">
        <v>118</v>
      </c>
      <c r="F52" s="4">
        <v>3</v>
      </c>
      <c r="G52" s="4">
        <v>3</v>
      </c>
      <c r="H52" s="4">
        <v>5</v>
      </c>
      <c r="I52" s="4">
        <v>3</v>
      </c>
      <c r="J52" s="4">
        <v>5</v>
      </c>
      <c r="K52" s="4">
        <v>2</v>
      </c>
      <c r="L52" s="4">
        <v>3</v>
      </c>
      <c r="M52" s="4">
        <v>4</v>
      </c>
      <c r="N52" s="4">
        <v>7</v>
      </c>
      <c r="O52" s="4">
        <v>60</v>
      </c>
      <c r="P52" s="4">
        <f t="shared" si="0"/>
        <v>35</v>
      </c>
      <c r="Q52" s="8">
        <f t="shared" si="1"/>
        <v>58.333333333333336</v>
      </c>
      <c r="R52" s="4"/>
    </row>
    <row r="53" spans="1:18" ht="24" customHeight="1" x14ac:dyDescent="0.2">
      <c r="A53" s="4">
        <v>48</v>
      </c>
      <c r="B53" s="4"/>
      <c r="C53" s="7" t="s">
        <v>110</v>
      </c>
      <c r="D53" s="7" t="s">
        <v>111</v>
      </c>
      <c r="E53" s="5" t="s">
        <v>118</v>
      </c>
      <c r="F53" s="4">
        <v>3</v>
      </c>
      <c r="G53" s="4">
        <v>4</v>
      </c>
      <c r="H53" s="4">
        <v>5</v>
      </c>
      <c r="I53" s="4">
        <v>3</v>
      </c>
      <c r="J53" s="4">
        <v>5</v>
      </c>
      <c r="K53" s="4">
        <v>5</v>
      </c>
      <c r="L53" s="4">
        <v>2</v>
      </c>
      <c r="M53" s="4">
        <v>4</v>
      </c>
      <c r="N53" s="4">
        <v>3</v>
      </c>
      <c r="O53" s="4">
        <v>60</v>
      </c>
      <c r="P53" s="4">
        <f t="shared" si="0"/>
        <v>34</v>
      </c>
      <c r="Q53" s="8">
        <f t="shared" si="1"/>
        <v>56.666666666666664</v>
      </c>
      <c r="R53" s="4"/>
    </row>
    <row r="54" spans="1:18" ht="24" customHeight="1" x14ac:dyDescent="0.2">
      <c r="A54" s="4">
        <v>49</v>
      </c>
      <c r="B54" s="4"/>
      <c r="C54" s="7" t="s">
        <v>112</v>
      </c>
      <c r="D54" s="7" t="s">
        <v>113</v>
      </c>
      <c r="E54" s="5" t="s">
        <v>118</v>
      </c>
      <c r="F54" s="4">
        <v>4</v>
      </c>
      <c r="G54" s="4">
        <v>3</v>
      </c>
      <c r="H54" s="4">
        <v>5</v>
      </c>
      <c r="I54" s="4">
        <v>3</v>
      </c>
      <c r="J54" s="4">
        <v>1</v>
      </c>
      <c r="K54" s="4">
        <v>2</v>
      </c>
      <c r="L54" s="4">
        <v>0</v>
      </c>
      <c r="M54" s="4">
        <v>3</v>
      </c>
      <c r="N54" s="4">
        <v>7</v>
      </c>
      <c r="O54" s="4">
        <v>60</v>
      </c>
      <c r="P54" s="4">
        <f t="shared" si="0"/>
        <v>28</v>
      </c>
      <c r="Q54" s="8">
        <f t="shared" si="1"/>
        <v>46.666666666666664</v>
      </c>
      <c r="R54" s="4"/>
    </row>
    <row r="55" spans="1:18" ht="24" customHeight="1" x14ac:dyDescent="0.2">
      <c r="A55" s="4">
        <v>50</v>
      </c>
      <c r="B55" s="4"/>
      <c r="C55" s="7" t="s">
        <v>114</v>
      </c>
      <c r="D55" s="7" t="s">
        <v>115</v>
      </c>
      <c r="E55" s="5" t="s">
        <v>118</v>
      </c>
      <c r="F55" s="4">
        <v>5</v>
      </c>
      <c r="G55" s="4">
        <v>5</v>
      </c>
      <c r="H55" s="4">
        <v>6</v>
      </c>
      <c r="I55" s="4">
        <v>4</v>
      </c>
      <c r="J55" s="4">
        <v>2</v>
      </c>
      <c r="K55" s="4">
        <v>1</v>
      </c>
      <c r="L55" s="4">
        <v>2</v>
      </c>
      <c r="M55" s="4">
        <v>3</v>
      </c>
      <c r="N55" s="4">
        <v>7</v>
      </c>
      <c r="O55" s="4">
        <v>60</v>
      </c>
      <c r="P55" s="4">
        <f t="shared" si="0"/>
        <v>35</v>
      </c>
      <c r="Q55" s="8">
        <f t="shared" si="1"/>
        <v>58.333333333333336</v>
      </c>
      <c r="R55" s="4"/>
    </row>
    <row r="56" spans="1:18" ht="24" customHeight="1" x14ac:dyDescent="0.2">
      <c r="A56" s="4">
        <v>51</v>
      </c>
      <c r="B56" s="4"/>
      <c r="C56" s="7" t="s">
        <v>116</v>
      </c>
      <c r="D56" s="7"/>
      <c r="E56" s="5" t="s">
        <v>118</v>
      </c>
      <c r="F56" s="4">
        <v>4</v>
      </c>
      <c r="G56" s="4">
        <v>4</v>
      </c>
      <c r="H56" s="4">
        <v>6</v>
      </c>
      <c r="I56" s="4">
        <v>4</v>
      </c>
      <c r="J56" s="4">
        <v>4</v>
      </c>
      <c r="K56" s="4">
        <v>5</v>
      </c>
      <c r="L56" s="4">
        <v>4</v>
      </c>
      <c r="M56" s="4">
        <v>6</v>
      </c>
      <c r="N56" s="4">
        <v>7</v>
      </c>
      <c r="O56" s="4">
        <v>60</v>
      </c>
      <c r="P56" s="4">
        <f t="shared" si="0"/>
        <v>44</v>
      </c>
      <c r="Q56" s="8">
        <f t="shared" si="1"/>
        <v>73.333333333333329</v>
      </c>
      <c r="R56" s="4"/>
    </row>
    <row r="57" spans="1:18" ht="24" customHeight="1" x14ac:dyDescent="0.2">
      <c r="A57" s="4">
        <v>52</v>
      </c>
      <c r="B57" s="4"/>
      <c r="C57" s="7" t="s">
        <v>117</v>
      </c>
      <c r="D57" s="7"/>
      <c r="E57" s="5" t="s">
        <v>118</v>
      </c>
      <c r="F57" s="4">
        <v>5</v>
      </c>
      <c r="G57" s="4">
        <v>4</v>
      </c>
      <c r="H57" s="4">
        <v>7</v>
      </c>
      <c r="I57" s="4">
        <v>4</v>
      </c>
      <c r="J57" s="4">
        <v>5</v>
      </c>
      <c r="K57" s="4">
        <v>4</v>
      </c>
      <c r="L57" s="4">
        <v>5</v>
      </c>
      <c r="M57" s="4">
        <v>7</v>
      </c>
      <c r="N57" s="4">
        <v>7</v>
      </c>
      <c r="O57" s="4">
        <v>60</v>
      </c>
      <c r="P57" s="4">
        <f t="shared" si="0"/>
        <v>48</v>
      </c>
      <c r="Q57" s="8">
        <f t="shared" si="1"/>
        <v>80</v>
      </c>
      <c r="R57" s="4"/>
    </row>
  </sheetData>
  <mergeCells count="12">
    <mergeCell ref="A1:R1"/>
    <mergeCell ref="A2:R2"/>
    <mergeCell ref="A3:A5"/>
    <mergeCell ref="B3:B5"/>
    <mergeCell ref="C3:C5"/>
    <mergeCell ref="D3:D5"/>
    <mergeCell ref="E3:E5"/>
    <mergeCell ref="F3:N3"/>
    <mergeCell ref="O3:O4"/>
    <mergeCell ref="P3:P5"/>
    <mergeCell ref="Q3:Q5"/>
    <mergeCell ref="R3:R5"/>
  </mergeCells>
  <printOptions horizontalCentered="1"/>
  <pageMargins left="0.25" right="0.25" top="0.5" bottom="0.5" header="0.05" footer="0.05"/>
  <pageSetup paperSize="9" fitToHeight="0" orientation="landscape" r:id="rId1"/>
  <ignoredErrors>
    <ignoredError sqref="P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CBCD-1F78-4D0E-8FCF-9D808A1A2F00}">
  <dimension ref="A1:S63"/>
  <sheetViews>
    <sheetView tabSelected="1" workbookViewId="0">
      <selection activeCell="F7" sqref="F7"/>
    </sheetView>
  </sheetViews>
  <sheetFormatPr defaultRowHeight="12" x14ac:dyDescent="0.2"/>
  <cols>
    <col min="1" max="1" width="3.140625" style="1" bestFit="1" customWidth="1"/>
    <col min="2" max="2" width="4" style="17" bestFit="1" customWidth="1"/>
    <col min="3" max="3" width="9.140625" style="1"/>
    <col min="4" max="4" width="10.85546875" style="1" customWidth="1"/>
    <col min="5" max="5" width="9.140625" style="1"/>
    <col min="6" max="18" width="6.7109375" style="1" customWidth="1"/>
    <col min="19" max="19" width="15.85546875" style="1" customWidth="1"/>
    <col min="20" max="16384" width="9.140625" style="1"/>
  </cols>
  <sheetData>
    <row r="1" spans="1:19" ht="15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15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x14ac:dyDescent="0.2">
      <c r="A3" s="19" t="s">
        <v>2</v>
      </c>
      <c r="B3" s="19" t="s">
        <v>3</v>
      </c>
      <c r="C3" s="19" t="s">
        <v>5</v>
      </c>
      <c r="D3" s="19" t="s">
        <v>6</v>
      </c>
      <c r="E3" s="20" t="s">
        <v>4</v>
      </c>
      <c r="F3" s="23" t="s">
        <v>7</v>
      </c>
      <c r="G3" s="23"/>
      <c r="H3" s="23"/>
      <c r="I3" s="23"/>
      <c r="J3" s="23"/>
      <c r="K3" s="23"/>
      <c r="L3" s="23"/>
      <c r="M3" s="23"/>
      <c r="N3" s="23"/>
      <c r="O3" s="19" t="s">
        <v>15</v>
      </c>
      <c r="P3" s="19" t="s">
        <v>16</v>
      </c>
      <c r="Q3" s="19" t="s">
        <v>17</v>
      </c>
      <c r="R3" s="19" t="s">
        <v>13</v>
      </c>
      <c r="S3" s="19" t="s">
        <v>18</v>
      </c>
    </row>
    <row r="4" spans="1:19" ht="47.25" x14ac:dyDescent="0.2">
      <c r="A4" s="19"/>
      <c r="B4" s="19"/>
      <c r="C4" s="19"/>
      <c r="D4" s="19"/>
      <c r="E4" s="21"/>
      <c r="F4" s="2" t="s">
        <v>8</v>
      </c>
      <c r="G4" s="2" t="s">
        <v>9</v>
      </c>
      <c r="H4" s="2" t="s">
        <v>12</v>
      </c>
      <c r="I4" s="2" t="s">
        <v>10</v>
      </c>
      <c r="J4" s="2" t="s">
        <v>11</v>
      </c>
      <c r="K4" s="2" t="s">
        <v>120</v>
      </c>
      <c r="L4" s="2" t="s">
        <v>182</v>
      </c>
      <c r="M4" s="2" t="s">
        <v>13</v>
      </c>
      <c r="N4" s="2" t="s">
        <v>14</v>
      </c>
      <c r="O4" s="19"/>
      <c r="P4" s="19"/>
      <c r="Q4" s="19"/>
      <c r="R4" s="19"/>
      <c r="S4" s="19"/>
    </row>
    <row r="5" spans="1:19" x14ac:dyDescent="0.2">
      <c r="A5" s="19"/>
      <c r="B5" s="19"/>
      <c r="C5" s="19"/>
      <c r="D5" s="19"/>
      <c r="E5" s="22"/>
      <c r="F5" s="3">
        <v>30</v>
      </c>
      <c r="G5" s="3">
        <v>30</v>
      </c>
      <c r="H5" s="3">
        <v>75</v>
      </c>
      <c r="I5" s="3">
        <v>75</v>
      </c>
      <c r="J5" s="3">
        <v>30</v>
      </c>
      <c r="K5" s="3">
        <v>30</v>
      </c>
      <c r="L5" s="3">
        <v>30</v>
      </c>
      <c r="M5" s="3">
        <v>10</v>
      </c>
      <c r="N5" s="3">
        <v>10</v>
      </c>
      <c r="O5" s="3">
        <v>375</v>
      </c>
      <c r="P5" s="19"/>
      <c r="Q5" s="19"/>
      <c r="R5" s="19"/>
      <c r="S5" s="19"/>
    </row>
    <row r="6" spans="1:19" ht="21" x14ac:dyDescent="0.35">
      <c r="A6" s="24" t="s">
        <v>183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6"/>
    </row>
    <row r="7" spans="1:19" ht="25.5" x14ac:dyDescent="0.2">
      <c r="A7" s="4">
        <v>1</v>
      </c>
      <c r="B7" s="4">
        <v>106</v>
      </c>
      <c r="C7" s="10" t="s">
        <v>184</v>
      </c>
      <c r="D7" s="10" t="s">
        <v>185</v>
      </c>
      <c r="E7" s="7" t="s">
        <v>186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ht="25.5" x14ac:dyDescent="0.2">
      <c r="A8" s="4">
        <v>2</v>
      </c>
      <c r="B8" s="4">
        <v>75</v>
      </c>
      <c r="C8" s="10" t="s">
        <v>161</v>
      </c>
      <c r="D8" s="10" t="s">
        <v>187</v>
      </c>
      <c r="E8" s="7" t="s">
        <v>186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ht="25.5" x14ac:dyDescent="0.2">
      <c r="A9" s="4">
        <v>3</v>
      </c>
      <c r="B9" s="4">
        <v>109</v>
      </c>
      <c r="C9" s="10" t="s">
        <v>188</v>
      </c>
      <c r="D9" s="10" t="s">
        <v>97</v>
      </c>
      <c r="E9" s="7" t="s">
        <v>186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ht="25.5" x14ac:dyDescent="0.2">
      <c r="A10" s="4">
        <v>4</v>
      </c>
      <c r="B10" s="4">
        <v>49</v>
      </c>
      <c r="C10" s="10" t="s">
        <v>189</v>
      </c>
      <c r="D10" s="10" t="s">
        <v>190</v>
      </c>
      <c r="E10" s="7" t="s">
        <v>186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ht="25.5" x14ac:dyDescent="0.2">
      <c r="A11" s="4">
        <v>5</v>
      </c>
      <c r="B11" s="4">
        <v>104</v>
      </c>
      <c r="C11" s="10" t="s">
        <v>162</v>
      </c>
      <c r="D11" s="10" t="s">
        <v>191</v>
      </c>
      <c r="E11" s="7" t="s">
        <v>186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ht="25.5" x14ac:dyDescent="0.2">
      <c r="A12" s="4">
        <v>6</v>
      </c>
      <c r="B12" s="4">
        <v>88</v>
      </c>
      <c r="C12" s="10" t="s">
        <v>192</v>
      </c>
      <c r="D12" s="10" t="s">
        <v>193</v>
      </c>
      <c r="E12" s="7" t="s">
        <v>186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ht="25.5" x14ac:dyDescent="0.2">
      <c r="A13" s="4">
        <v>7</v>
      </c>
      <c r="B13" s="4">
        <v>59</v>
      </c>
      <c r="C13" s="10" t="s">
        <v>164</v>
      </c>
      <c r="D13" s="10" t="s">
        <v>194</v>
      </c>
      <c r="E13" s="7" t="s">
        <v>186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ht="25.5" x14ac:dyDescent="0.2">
      <c r="A14" s="4">
        <v>8</v>
      </c>
      <c r="B14" s="4">
        <v>83</v>
      </c>
      <c r="C14" s="10" t="s">
        <v>163</v>
      </c>
      <c r="D14" s="10" t="s">
        <v>195</v>
      </c>
      <c r="E14" s="7" t="s">
        <v>186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ht="25.5" x14ac:dyDescent="0.2">
      <c r="A15" s="4">
        <v>9</v>
      </c>
      <c r="B15" s="4">
        <v>89</v>
      </c>
      <c r="C15" s="10" t="s">
        <v>196</v>
      </c>
      <c r="D15" s="10" t="s">
        <v>197</v>
      </c>
      <c r="E15" s="7" t="s">
        <v>186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ht="25.5" x14ac:dyDescent="0.2">
      <c r="A16" s="4">
        <v>10</v>
      </c>
      <c r="B16" s="6">
        <v>86</v>
      </c>
      <c r="C16" s="10" t="s">
        <v>198</v>
      </c>
      <c r="D16" s="10" t="s">
        <v>199</v>
      </c>
      <c r="E16" s="7" t="s">
        <v>186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ht="25.5" x14ac:dyDescent="0.2">
      <c r="A17" s="4">
        <v>11</v>
      </c>
      <c r="B17" s="6">
        <v>105</v>
      </c>
      <c r="C17" s="10" t="s">
        <v>200</v>
      </c>
      <c r="D17" s="10" t="s">
        <v>201</v>
      </c>
      <c r="E17" s="7" t="s">
        <v>186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ht="25.5" x14ac:dyDescent="0.2">
      <c r="A18" s="4">
        <v>12</v>
      </c>
      <c r="B18" s="6">
        <v>107</v>
      </c>
      <c r="C18" s="10" t="s">
        <v>202</v>
      </c>
      <c r="D18" s="10" t="s">
        <v>38</v>
      </c>
      <c r="E18" s="7" t="s">
        <v>186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ht="25.5" x14ac:dyDescent="0.2">
      <c r="A19" s="4">
        <v>13</v>
      </c>
      <c r="B19" s="6">
        <v>84</v>
      </c>
      <c r="C19" s="10" t="s">
        <v>203</v>
      </c>
      <c r="D19" s="10" t="s">
        <v>204</v>
      </c>
      <c r="E19" s="7" t="s">
        <v>186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ht="25.5" x14ac:dyDescent="0.2">
      <c r="A20" s="4">
        <v>14</v>
      </c>
      <c r="B20" s="6">
        <v>85</v>
      </c>
      <c r="C20" s="10" t="s">
        <v>205</v>
      </c>
      <c r="D20" s="10" t="s">
        <v>206</v>
      </c>
      <c r="E20" s="7" t="s">
        <v>186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ht="25.5" x14ac:dyDescent="0.2">
      <c r="A21" s="4">
        <v>15</v>
      </c>
      <c r="B21" s="6">
        <v>102</v>
      </c>
      <c r="C21" s="10" t="s">
        <v>207</v>
      </c>
      <c r="D21" s="10" t="s">
        <v>208</v>
      </c>
      <c r="E21" s="7" t="s">
        <v>186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ht="25.5" x14ac:dyDescent="0.2">
      <c r="A22" s="4">
        <v>16</v>
      </c>
      <c r="B22" s="6">
        <v>87</v>
      </c>
      <c r="C22" s="10" t="s">
        <v>159</v>
      </c>
      <c r="D22" s="10" t="s">
        <v>193</v>
      </c>
      <c r="E22" s="7" t="s">
        <v>186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ht="25.5" x14ac:dyDescent="0.2">
      <c r="A23" s="4">
        <v>17</v>
      </c>
      <c r="B23" s="6">
        <v>71</v>
      </c>
      <c r="C23" s="10" t="s">
        <v>209</v>
      </c>
      <c r="D23" s="10" t="s">
        <v>210</v>
      </c>
      <c r="E23" s="7" t="s">
        <v>186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ht="25.5" x14ac:dyDescent="0.2">
      <c r="A24" s="4">
        <v>18</v>
      </c>
      <c r="B24" s="6">
        <v>81</v>
      </c>
      <c r="C24" s="10" t="s">
        <v>211</v>
      </c>
      <c r="D24" s="10" t="s">
        <v>212</v>
      </c>
      <c r="E24" s="7" t="s">
        <v>186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ht="25.5" x14ac:dyDescent="0.2">
      <c r="A25" s="4">
        <v>19</v>
      </c>
      <c r="B25" s="6">
        <v>82</v>
      </c>
      <c r="C25" s="10" t="s">
        <v>213</v>
      </c>
      <c r="D25" s="10" t="s">
        <v>214</v>
      </c>
      <c r="E25" s="7" t="s">
        <v>186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ht="25.5" x14ac:dyDescent="0.2">
      <c r="A26" s="4">
        <v>20</v>
      </c>
      <c r="B26" s="6">
        <v>68</v>
      </c>
      <c r="C26" s="10" t="s">
        <v>215</v>
      </c>
      <c r="D26" s="10" t="s">
        <v>216</v>
      </c>
      <c r="E26" s="7" t="s">
        <v>186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ht="25.5" x14ac:dyDescent="0.2">
      <c r="A27" s="4">
        <v>21</v>
      </c>
      <c r="B27" s="6">
        <v>69</v>
      </c>
      <c r="C27" s="10" t="s">
        <v>217</v>
      </c>
      <c r="D27" s="10" t="s">
        <v>218</v>
      </c>
      <c r="E27" s="7" t="s">
        <v>186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ht="25.5" x14ac:dyDescent="0.2">
      <c r="A28" s="4">
        <v>22</v>
      </c>
      <c r="B28" s="6">
        <v>70</v>
      </c>
      <c r="C28" s="10" t="s">
        <v>219</v>
      </c>
      <c r="D28" s="10" t="s">
        <v>220</v>
      </c>
      <c r="E28" s="7" t="s">
        <v>186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ht="25.5" x14ac:dyDescent="0.2">
      <c r="A29" s="4">
        <v>23</v>
      </c>
      <c r="B29" s="6">
        <v>103</v>
      </c>
      <c r="C29" s="10" t="s">
        <v>221</v>
      </c>
      <c r="D29" s="10" t="s">
        <v>191</v>
      </c>
      <c r="E29" s="7" t="s">
        <v>186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ht="25.5" x14ac:dyDescent="0.2">
      <c r="A30" s="4">
        <v>24</v>
      </c>
      <c r="B30" s="4">
        <v>149</v>
      </c>
      <c r="C30" s="10" t="s">
        <v>222</v>
      </c>
      <c r="D30" s="10" t="s">
        <v>223</v>
      </c>
      <c r="E30" s="7" t="s">
        <v>186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ht="25.5" x14ac:dyDescent="0.2">
      <c r="A31" s="4">
        <v>25</v>
      </c>
      <c r="B31" s="4"/>
      <c r="C31" s="10" t="s">
        <v>224</v>
      </c>
      <c r="D31" s="10"/>
      <c r="E31" s="7" t="s">
        <v>186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ht="21" x14ac:dyDescent="0.2">
      <c r="A32" s="27" t="s">
        <v>225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9"/>
    </row>
    <row r="33" spans="1:19" ht="25.5" x14ac:dyDescent="0.2">
      <c r="A33" s="11">
        <v>26</v>
      </c>
      <c r="B33" s="16">
        <v>61</v>
      </c>
      <c r="C33" s="10" t="s">
        <v>226</v>
      </c>
      <c r="D33" s="12" t="s">
        <v>227</v>
      </c>
      <c r="E33" s="7" t="s">
        <v>186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ht="25.5" x14ac:dyDescent="0.2">
      <c r="A34" s="9">
        <v>27</v>
      </c>
      <c r="B34" s="4">
        <v>79</v>
      </c>
      <c r="C34" s="13" t="s">
        <v>228</v>
      </c>
      <c r="D34" s="14" t="s">
        <v>229</v>
      </c>
      <c r="E34" s="7" t="s">
        <v>186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ht="25.5" x14ac:dyDescent="0.2">
      <c r="A35" s="11">
        <v>28</v>
      </c>
      <c r="B35" s="4">
        <v>16</v>
      </c>
      <c r="C35" s="13" t="s">
        <v>230</v>
      </c>
      <c r="D35" s="14" t="s">
        <v>231</v>
      </c>
      <c r="E35" s="7" t="s">
        <v>186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ht="25.5" x14ac:dyDescent="0.2">
      <c r="A36" s="9">
        <v>29</v>
      </c>
      <c r="B36" s="4">
        <v>78</v>
      </c>
      <c r="C36" s="13" t="s">
        <v>232</v>
      </c>
      <c r="D36" s="14" t="s">
        <v>233</v>
      </c>
      <c r="E36" s="7" t="s">
        <v>186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ht="25.5" x14ac:dyDescent="0.2">
      <c r="A37" s="11">
        <v>30</v>
      </c>
      <c r="B37" s="4">
        <v>76</v>
      </c>
      <c r="C37" s="13" t="s">
        <v>234</v>
      </c>
      <c r="D37" s="14" t="s">
        <v>235</v>
      </c>
      <c r="E37" s="7" t="s">
        <v>186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ht="25.5" x14ac:dyDescent="0.2">
      <c r="A38" s="9">
        <v>31</v>
      </c>
      <c r="B38" s="4">
        <v>95</v>
      </c>
      <c r="C38" s="13" t="s">
        <v>236</v>
      </c>
      <c r="D38" s="14" t="s">
        <v>237</v>
      </c>
      <c r="E38" s="7" t="s">
        <v>186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 ht="25.5" x14ac:dyDescent="0.2">
      <c r="A39" s="11">
        <v>32</v>
      </c>
      <c r="B39" s="4">
        <v>96</v>
      </c>
      <c r="C39" s="13" t="s">
        <v>238</v>
      </c>
      <c r="D39" s="14" t="s">
        <v>239</v>
      </c>
      <c r="E39" s="7" t="s">
        <v>186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ht="25.5" x14ac:dyDescent="0.2">
      <c r="A40" s="9">
        <v>33</v>
      </c>
      <c r="B40" s="4">
        <v>108</v>
      </c>
      <c r="C40" s="13" t="s">
        <v>240</v>
      </c>
      <c r="D40" s="14" t="s">
        <v>241</v>
      </c>
      <c r="E40" s="7" t="s">
        <v>186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 ht="25.5" x14ac:dyDescent="0.2">
      <c r="A41" s="11">
        <v>34</v>
      </c>
      <c r="B41" s="4">
        <v>131</v>
      </c>
      <c r="C41" s="13" t="s">
        <v>242</v>
      </c>
      <c r="D41" s="14" t="s">
        <v>243</v>
      </c>
      <c r="E41" s="7" t="s">
        <v>186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ht="25.5" x14ac:dyDescent="0.2">
      <c r="A42" s="9">
        <v>35</v>
      </c>
      <c r="B42" s="4">
        <v>101</v>
      </c>
      <c r="C42" s="13" t="s">
        <v>244</v>
      </c>
      <c r="D42" s="14" t="s">
        <v>245</v>
      </c>
      <c r="E42" s="7" t="s">
        <v>186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 ht="25.5" x14ac:dyDescent="0.2">
      <c r="A43" s="11">
        <v>36</v>
      </c>
      <c r="B43" s="4">
        <v>100</v>
      </c>
      <c r="C43" s="13" t="s">
        <v>246</v>
      </c>
      <c r="D43" s="14" t="s">
        <v>247</v>
      </c>
      <c r="E43" s="7" t="s">
        <v>186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 ht="25.5" x14ac:dyDescent="0.2">
      <c r="A44" s="9">
        <v>37</v>
      </c>
      <c r="B44" s="4">
        <v>90</v>
      </c>
      <c r="C44" s="13" t="s">
        <v>248</v>
      </c>
      <c r="D44" s="14" t="s">
        <v>197</v>
      </c>
      <c r="E44" s="7" t="s">
        <v>186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 ht="25.5" x14ac:dyDescent="0.2">
      <c r="A45" s="11">
        <v>38</v>
      </c>
      <c r="B45" s="4">
        <v>73</v>
      </c>
      <c r="C45" s="13" t="s">
        <v>249</v>
      </c>
      <c r="D45" s="14" t="s">
        <v>250</v>
      </c>
      <c r="E45" s="7" t="s">
        <v>186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 ht="25.5" x14ac:dyDescent="0.2">
      <c r="A46" s="9">
        <v>39</v>
      </c>
      <c r="B46" s="4">
        <v>74</v>
      </c>
      <c r="C46" s="13" t="s">
        <v>251</v>
      </c>
      <c r="D46" s="14" t="s">
        <v>252</v>
      </c>
      <c r="E46" s="7" t="s">
        <v>186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19" ht="25.5" x14ac:dyDescent="0.2">
      <c r="A47" s="11">
        <v>40</v>
      </c>
      <c r="B47" s="4">
        <v>77</v>
      </c>
      <c r="C47" s="13" t="s">
        <v>253</v>
      </c>
      <c r="D47" s="14" t="s">
        <v>254</v>
      </c>
      <c r="E47" s="7" t="s">
        <v>186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 ht="25.5" x14ac:dyDescent="0.2">
      <c r="A48" s="9">
        <v>41</v>
      </c>
      <c r="B48" s="4">
        <v>80</v>
      </c>
      <c r="C48" s="13" t="s">
        <v>255</v>
      </c>
      <c r="D48" s="14" t="s">
        <v>256</v>
      </c>
      <c r="E48" s="7" t="s">
        <v>186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19" ht="25.5" x14ac:dyDescent="0.2">
      <c r="A49" s="11">
        <v>42</v>
      </c>
      <c r="B49" s="4">
        <v>93</v>
      </c>
      <c r="C49" s="13" t="s">
        <v>257</v>
      </c>
      <c r="D49" s="14" t="s">
        <v>58</v>
      </c>
      <c r="E49" s="7" t="s">
        <v>186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 ht="25.5" x14ac:dyDescent="0.2">
      <c r="A50" s="9">
        <v>43</v>
      </c>
      <c r="B50" s="4">
        <v>14</v>
      </c>
      <c r="C50" s="13" t="s">
        <v>258</v>
      </c>
      <c r="D50" s="14" t="s">
        <v>259</v>
      </c>
      <c r="E50" s="7" t="s">
        <v>186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 ht="25.5" x14ac:dyDescent="0.2">
      <c r="A51" s="11">
        <v>44</v>
      </c>
      <c r="B51" s="4">
        <v>94</v>
      </c>
      <c r="C51" s="13" t="s">
        <v>260</v>
      </c>
      <c r="D51" s="14" t="s">
        <v>259</v>
      </c>
      <c r="E51" s="7" t="s">
        <v>186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 ht="25.5" x14ac:dyDescent="0.2">
      <c r="A52" s="9">
        <v>45</v>
      </c>
      <c r="B52" s="4">
        <v>111</v>
      </c>
      <c r="C52" s="13" t="s">
        <v>261</v>
      </c>
      <c r="D52" s="14" t="s">
        <v>262</v>
      </c>
      <c r="E52" s="7" t="s">
        <v>186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 ht="25.5" x14ac:dyDescent="0.2">
      <c r="A53" s="11">
        <v>46</v>
      </c>
      <c r="B53" s="4">
        <v>113</v>
      </c>
      <c r="C53" s="13" t="s">
        <v>263</v>
      </c>
      <c r="D53" s="14" t="s">
        <v>79</v>
      </c>
      <c r="E53" s="7" t="s">
        <v>186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 ht="25.5" x14ac:dyDescent="0.2">
      <c r="A54" s="9">
        <v>47</v>
      </c>
      <c r="B54" s="4">
        <v>115</v>
      </c>
      <c r="C54" s="13" t="s">
        <v>264</v>
      </c>
      <c r="D54" s="14" t="s">
        <v>265</v>
      </c>
      <c r="E54" s="7" t="s">
        <v>186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 ht="25.5" x14ac:dyDescent="0.2">
      <c r="A55" s="11">
        <v>48</v>
      </c>
      <c r="B55" s="4">
        <v>114</v>
      </c>
      <c r="C55" s="13" t="s">
        <v>266</v>
      </c>
      <c r="D55" s="14" t="s">
        <v>265</v>
      </c>
      <c r="E55" s="7" t="s">
        <v>186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 ht="25.5" x14ac:dyDescent="0.2">
      <c r="A56" s="9">
        <v>49</v>
      </c>
      <c r="B56" s="4">
        <v>141</v>
      </c>
      <c r="C56" s="13" t="s">
        <v>131</v>
      </c>
      <c r="D56" s="14" t="s">
        <v>267</v>
      </c>
      <c r="E56" s="7" t="s">
        <v>186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 ht="25.5" x14ac:dyDescent="0.2">
      <c r="A57" s="11">
        <v>50</v>
      </c>
      <c r="B57" s="4">
        <v>140</v>
      </c>
      <c r="C57" s="13" t="s">
        <v>268</v>
      </c>
      <c r="D57" s="14" t="s">
        <v>267</v>
      </c>
      <c r="E57" s="7" t="s">
        <v>186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 ht="25.5" x14ac:dyDescent="0.2">
      <c r="A58" s="9">
        <v>51</v>
      </c>
      <c r="B58" s="4"/>
      <c r="C58" s="13" t="s">
        <v>269</v>
      </c>
      <c r="D58" s="14"/>
      <c r="E58" s="7" t="s">
        <v>186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19" ht="25.5" x14ac:dyDescent="0.2">
      <c r="A59" s="11">
        <v>52</v>
      </c>
      <c r="B59" s="4"/>
      <c r="C59" s="13" t="s">
        <v>270</v>
      </c>
      <c r="D59" s="14" t="s">
        <v>271</v>
      </c>
      <c r="E59" s="7" t="s">
        <v>186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 ht="25.5" x14ac:dyDescent="0.2">
      <c r="A60" s="9">
        <v>53</v>
      </c>
      <c r="B60" s="4"/>
      <c r="C60" s="13" t="s">
        <v>272</v>
      </c>
      <c r="D60" s="14"/>
      <c r="E60" s="7" t="s">
        <v>186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19" ht="25.5" x14ac:dyDescent="0.2">
      <c r="A61" s="11">
        <v>54</v>
      </c>
      <c r="B61" s="4">
        <v>72</v>
      </c>
      <c r="C61" s="13" t="s">
        <v>273</v>
      </c>
      <c r="D61" s="14" t="s">
        <v>274</v>
      </c>
      <c r="E61" s="7" t="s">
        <v>186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 ht="25.5" x14ac:dyDescent="0.2">
      <c r="A62" s="9">
        <v>55</v>
      </c>
      <c r="B62" s="4">
        <v>92</v>
      </c>
      <c r="C62" s="15" t="s">
        <v>275</v>
      </c>
      <c r="D62" s="15" t="s">
        <v>276</v>
      </c>
      <c r="E62" s="7" t="s">
        <v>186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 s="17" customFormat="1" ht="25.5" customHeight="1" x14ac:dyDescent="0.25">
      <c r="A63" s="16">
        <v>56</v>
      </c>
      <c r="B63" s="4"/>
      <c r="C63" s="15" t="s">
        <v>277</v>
      </c>
      <c r="D63" s="15"/>
      <c r="E63" s="7" t="s">
        <v>186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</sheetData>
  <mergeCells count="15">
    <mergeCell ref="A6:S6"/>
    <mergeCell ref="A32:S32"/>
    <mergeCell ref="P3:P5"/>
    <mergeCell ref="Q3:Q5"/>
    <mergeCell ref="A1:S1"/>
    <mergeCell ref="A2:S2"/>
    <mergeCell ref="F3:N3"/>
    <mergeCell ref="O3:O4"/>
    <mergeCell ref="R3:R5"/>
    <mergeCell ref="S3:S5"/>
    <mergeCell ref="A3:A5"/>
    <mergeCell ref="B3:B5"/>
    <mergeCell ref="C3:C5"/>
    <mergeCell ref="D3:D5"/>
    <mergeCell ref="E3:E5"/>
  </mergeCells>
  <conditionalFormatting sqref="B7:B31">
    <cfRule type="duplicateValues" dxfId="1" priority="2"/>
  </conditionalFormatting>
  <conditionalFormatting sqref="B33:B61">
    <cfRule type="duplicateValues" dxfId="0" priority="1"/>
  </conditionalFormatting>
  <printOptions horizontalCentered="1"/>
  <pageMargins left="0.25" right="0.25" top="0.5" bottom="0.5" header="0.05" footer="0.05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F9EA-7AB2-4D72-A4FF-B00D3E38A642}">
  <dimension ref="A1:P63"/>
  <sheetViews>
    <sheetView workbookViewId="0">
      <selection activeCell="J11" sqref="J11"/>
    </sheetView>
  </sheetViews>
  <sheetFormatPr defaultRowHeight="15" x14ac:dyDescent="0.25"/>
  <cols>
    <col min="1" max="2" width="3.140625" bestFit="1" customWidth="1"/>
    <col min="6" max="15" width="7.7109375" customWidth="1"/>
  </cols>
  <sheetData>
    <row r="1" spans="1:16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x14ac:dyDescent="0.25">
      <c r="A3" s="19" t="s">
        <v>2</v>
      </c>
      <c r="B3" s="19" t="s">
        <v>3</v>
      </c>
      <c r="C3" s="19" t="s">
        <v>5</v>
      </c>
      <c r="D3" s="19" t="s">
        <v>6</v>
      </c>
      <c r="E3" s="20" t="s">
        <v>4</v>
      </c>
      <c r="F3" s="23" t="s">
        <v>7</v>
      </c>
      <c r="G3" s="23"/>
      <c r="H3" s="23"/>
      <c r="I3" s="23"/>
      <c r="J3" s="23"/>
      <c r="K3" s="23"/>
      <c r="L3" s="19" t="s">
        <v>15</v>
      </c>
      <c r="M3" s="19" t="s">
        <v>16</v>
      </c>
      <c r="N3" s="19" t="s">
        <v>17</v>
      </c>
      <c r="O3" s="19" t="s">
        <v>13</v>
      </c>
      <c r="P3" s="19" t="s">
        <v>18</v>
      </c>
    </row>
    <row r="4" spans="1:16" ht="47.25" x14ac:dyDescent="0.25">
      <c r="A4" s="19"/>
      <c r="B4" s="19"/>
      <c r="C4" s="19"/>
      <c r="D4" s="19"/>
      <c r="E4" s="21"/>
      <c r="F4" s="2" t="s">
        <v>278</v>
      </c>
      <c r="G4" s="2" t="s">
        <v>10</v>
      </c>
      <c r="H4" s="2" t="s">
        <v>279</v>
      </c>
      <c r="I4" s="2" t="s">
        <v>11</v>
      </c>
      <c r="J4" s="2" t="s">
        <v>182</v>
      </c>
      <c r="K4" s="2" t="s">
        <v>280</v>
      </c>
      <c r="L4" s="19"/>
      <c r="M4" s="19"/>
      <c r="N4" s="19"/>
      <c r="O4" s="19"/>
      <c r="P4" s="19"/>
    </row>
    <row r="5" spans="1:16" x14ac:dyDescent="0.25">
      <c r="A5" s="19"/>
      <c r="B5" s="19"/>
      <c r="C5" s="19"/>
      <c r="D5" s="19"/>
      <c r="E5" s="22"/>
      <c r="F5" s="3">
        <v>100</v>
      </c>
      <c r="G5" s="3">
        <v>100</v>
      </c>
      <c r="H5" s="3">
        <v>100</v>
      </c>
      <c r="I5" s="3">
        <v>100</v>
      </c>
      <c r="J5" s="3">
        <v>100</v>
      </c>
      <c r="K5" s="3" t="s">
        <v>281</v>
      </c>
      <c r="L5" s="3">
        <v>500</v>
      </c>
      <c r="M5" s="19"/>
      <c r="N5" s="19"/>
      <c r="O5" s="19"/>
      <c r="P5" s="19"/>
    </row>
    <row r="6" spans="1:16" ht="21" x14ac:dyDescent="0.35">
      <c r="A6" s="24" t="s">
        <v>225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6"/>
    </row>
    <row r="7" spans="1:16" ht="20.100000000000001" customHeight="1" x14ac:dyDescent="0.25">
      <c r="A7" s="30">
        <v>1</v>
      </c>
      <c r="B7" s="31"/>
      <c r="C7" s="32" t="s">
        <v>282</v>
      </c>
      <c r="D7" s="33" t="s">
        <v>283</v>
      </c>
      <c r="E7" s="30" t="s">
        <v>284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20.100000000000001" customHeight="1" x14ac:dyDescent="0.25">
      <c r="A8" s="7">
        <v>2</v>
      </c>
      <c r="B8" s="34"/>
      <c r="C8" s="32" t="s">
        <v>282</v>
      </c>
      <c r="D8" s="33" t="s">
        <v>285</v>
      </c>
      <c r="E8" s="30" t="s">
        <v>284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20.100000000000001" customHeight="1" x14ac:dyDescent="0.25">
      <c r="A9" s="30">
        <v>3</v>
      </c>
      <c r="B9" s="34"/>
      <c r="C9" s="32" t="s">
        <v>286</v>
      </c>
      <c r="D9" s="33" t="s">
        <v>287</v>
      </c>
      <c r="E9" s="30" t="s">
        <v>284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20.100000000000001" customHeight="1" x14ac:dyDescent="0.25">
      <c r="A10" s="7">
        <v>4</v>
      </c>
      <c r="B10" s="34"/>
      <c r="C10" s="32" t="s">
        <v>288</v>
      </c>
      <c r="D10" s="33" t="s">
        <v>289</v>
      </c>
      <c r="E10" s="30" t="s">
        <v>284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20.100000000000001" customHeight="1" x14ac:dyDescent="0.25">
      <c r="A11" s="30">
        <v>5</v>
      </c>
      <c r="B11" s="34"/>
      <c r="C11" s="32" t="s">
        <v>112</v>
      </c>
      <c r="D11" s="33" t="s">
        <v>290</v>
      </c>
      <c r="E11" s="30" t="s">
        <v>284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20.100000000000001" customHeight="1" x14ac:dyDescent="0.25">
      <c r="A12" s="7">
        <v>6</v>
      </c>
      <c r="B12" s="34"/>
      <c r="C12" s="32" t="s">
        <v>291</v>
      </c>
      <c r="D12" s="33" t="s">
        <v>292</v>
      </c>
      <c r="E12" s="30" t="s">
        <v>284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20.100000000000001" customHeight="1" x14ac:dyDescent="0.25">
      <c r="A13" s="30">
        <v>7</v>
      </c>
      <c r="B13" s="34"/>
      <c r="C13" s="32" t="s">
        <v>293</v>
      </c>
      <c r="D13" s="33" t="s">
        <v>294</v>
      </c>
      <c r="E13" s="30" t="s">
        <v>284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20.100000000000001" customHeight="1" x14ac:dyDescent="0.25">
      <c r="A14" s="7">
        <v>8</v>
      </c>
      <c r="B14" s="34"/>
      <c r="C14" s="32" t="s">
        <v>295</v>
      </c>
      <c r="D14" s="33" t="s">
        <v>296</v>
      </c>
      <c r="E14" s="30" t="s">
        <v>284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20.100000000000001" customHeight="1" x14ac:dyDescent="0.25">
      <c r="A15" s="30">
        <v>9</v>
      </c>
      <c r="B15" s="34"/>
      <c r="C15" s="32" t="s">
        <v>96</v>
      </c>
      <c r="D15" s="33" t="s">
        <v>297</v>
      </c>
      <c r="E15" s="30" t="s">
        <v>284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20.100000000000001" customHeight="1" x14ac:dyDescent="0.25">
      <c r="A16" s="7">
        <v>10</v>
      </c>
      <c r="B16" s="34"/>
      <c r="C16" s="32" t="s">
        <v>298</v>
      </c>
      <c r="D16" s="33" t="s">
        <v>299</v>
      </c>
      <c r="E16" s="30" t="s">
        <v>284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20.100000000000001" customHeight="1" x14ac:dyDescent="0.25">
      <c r="A17" s="30">
        <v>11</v>
      </c>
      <c r="B17" s="34"/>
      <c r="C17" s="32" t="s">
        <v>300</v>
      </c>
      <c r="D17" s="33" t="s">
        <v>301</v>
      </c>
      <c r="E17" s="30" t="s">
        <v>284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20.100000000000001" customHeight="1" x14ac:dyDescent="0.25">
      <c r="A18" s="7">
        <v>12</v>
      </c>
      <c r="B18" s="34"/>
      <c r="C18" s="32" t="s">
        <v>302</v>
      </c>
      <c r="D18" s="33" t="s">
        <v>303</v>
      </c>
      <c r="E18" s="30" t="s">
        <v>284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20.100000000000001" customHeight="1" x14ac:dyDescent="0.25">
      <c r="A19" s="30">
        <v>13</v>
      </c>
      <c r="B19" s="34"/>
      <c r="C19" s="32" t="s">
        <v>302</v>
      </c>
      <c r="D19" s="33" t="s">
        <v>260</v>
      </c>
      <c r="E19" s="30" t="s">
        <v>284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20.100000000000001" customHeight="1" x14ac:dyDescent="0.25">
      <c r="A20" s="7">
        <v>14</v>
      </c>
      <c r="B20" s="34"/>
      <c r="C20" s="32" t="s">
        <v>248</v>
      </c>
      <c r="D20" s="33" t="s">
        <v>304</v>
      </c>
      <c r="E20" s="30" t="s">
        <v>284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20.100000000000001" customHeight="1" x14ac:dyDescent="0.25">
      <c r="A21" s="30">
        <v>15</v>
      </c>
      <c r="B21" s="34"/>
      <c r="C21" s="32" t="s">
        <v>305</v>
      </c>
      <c r="D21" s="33" t="s">
        <v>306</v>
      </c>
      <c r="E21" s="30" t="s">
        <v>284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20.100000000000001" customHeight="1" x14ac:dyDescent="0.25">
      <c r="A22" s="7">
        <v>16</v>
      </c>
      <c r="B22" s="34"/>
      <c r="C22" s="32" t="s">
        <v>307</v>
      </c>
      <c r="D22" s="33" t="s">
        <v>308</v>
      </c>
      <c r="E22" s="30" t="s">
        <v>284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20.100000000000001" customHeight="1" x14ac:dyDescent="0.25">
      <c r="A23" s="30">
        <v>17</v>
      </c>
      <c r="B23" s="34"/>
      <c r="C23" s="32" t="s">
        <v>309</v>
      </c>
      <c r="D23" s="33" t="s">
        <v>310</v>
      </c>
      <c r="E23" s="30" t="s">
        <v>284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20.100000000000001" customHeight="1" x14ac:dyDescent="0.25">
      <c r="A24" s="7">
        <v>18</v>
      </c>
      <c r="B24" s="34"/>
      <c r="C24" s="32" t="s">
        <v>311</v>
      </c>
      <c r="D24" s="33" t="s">
        <v>304</v>
      </c>
      <c r="E24" s="30" t="s">
        <v>284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20.100000000000001" customHeight="1" x14ac:dyDescent="0.25">
      <c r="A25" s="30">
        <v>19</v>
      </c>
      <c r="B25" s="34"/>
      <c r="C25" s="32" t="s">
        <v>312</v>
      </c>
      <c r="D25" s="33" t="s">
        <v>313</v>
      </c>
      <c r="E25" s="30" t="s">
        <v>284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20.100000000000001" customHeight="1" x14ac:dyDescent="0.25">
      <c r="A26" s="7">
        <v>20</v>
      </c>
      <c r="B26" s="34"/>
      <c r="C26" s="32" t="s">
        <v>314</v>
      </c>
      <c r="D26" s="33" t="s">
        <v>315</v>
      </c>
      <c r="E26" s="30" t="s">
        <v>284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20.100000000000001" customHeight="1" x14ac:dyDescent="0.25">
      <c r="A27" s="30">
        <v>21</v>
      </c>
      <c r="B27" s="34"/>
      <c r="C27" s="32" t="s">
        <v>316</v>
      </c>
      <c r="D27" s="33" t="s">
        <v>317</v>
      </c>
      <c r="E27" s="30" t="s">
        <v>284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20.100000000000001" customHeight="1" x14ac:dyDescent="0.25">
      <c r="A28" s="7">
        <v>22</v>
      </c>
      <c r="B28" s="34"/>
      <c r="C28" s="32" t="s">
        <v>318</v>
      </c>
      <c r="D28" s="33" t="s">
        <v>319</v>
      </c>
      <c r="E28" s="30" t="s">
        <v>284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20.100000000000001" customHeight="1" x14ac:dyDescent="0.25">
      <c r="A29" s="30">
        <v>23</v>
      </c>
      <c r="B29" s="34"/>
      <c r="C29" s="32" t="s">
        <v>320</v>
      </c>
      <c r="D29" s="33" t="s">
        <v>321</v>
      </c>
      <c r="E29" s="30" t="s">
        <v>284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20.100000000000001" customHeight="1" x14ac:dyDescent="0.25">
      <c r="A30" s="7">
        <v>24</v>
      </c>
      <c r="B30" s="34"/>
      <c r="C30" s="32" t="s">
        <v>322</v>
      </c>
      <c r="D30" s="33" t="s">
        <v>323</v>
      </c>
      <c r="E30" s="30" t="s">
        <v>284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20.100000000000001" customHeight="1" x14ac:dyDescent="0.25">
      <c r="A31" s="30">
        <v>25</v>
      </c>
      <c r="B31" s="34"/>
      <c r="C31" s="32" t="s">
        <v>324</v>
      </c>
      <c r="D31" s="33" t="s">
        <v>325</v>
      </c>
      <c r="E31" s="30" t="s">
        <v>284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20.100000000000001" customHeight="1" x14ac:dyDescent="0.25">
      <c r="A32" s="7">
        <v>26</v>
      </c>
      <c r="B32" s="34"/>
      <c r="C32" s="32" t="s">
        <v>326</v>
      </c>
      <c r="D32" s="33" t="s">
        <v>327</v>
      </c>
      <c r="E32" s="30" t="s">
        <v>284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20.100000000000001" customHeight="1" x14ac:dyDescent="0.25">
      <c r="A33" s="30">
        <v>27</v>
      </c>
      <c r="B33" s="34"/>
      <c r="C33" s="32" t="s">
        <v>328</v>
      </c>
      <c r="D33" s="33" t="s">
        <v>329</v>
      </c>
      <c r="E33" s="30" t="s">
        <v>284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20.100000000000001" customHeight="1" x14ac:dyDescent="0.25">
      <c r="A34" s="7">
        <v>28</v>
      </c>
      <c r="B34" s="34"/>
      <c r="C34" s="32" t="s">
        <v>330</v>
      </c>
      <c r="D34" s="33" t="s">
        <v>331</v>
      </c>
      <c r="E34" s="30" t="s">
        <v>284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20.100000000000001" customHeight="1" x14ac:dyDescent="0.25">
      <c r="A35" s="30">
        <v>29</v>
      </c>
      <c r="B35" s="34"/>
      <c r="C35" s="32" t="s">
        <v>332</v>
      </c>
      <c r="D35" s="33" t="s">
        <v>34</v>
      </c>
      <c r="E35" s="30" t="s">
        <v>284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20.100000000000001" customHeight="1" x14ac:dyDescent="0.25">
      <c r="A36" s="7">
        <v>30</v>
      </c>
      <c r="B36" s="34"/>
      <c r="C36" s="32" t="s">
        <v>333</v>
      </c>
      <c r="D36" s="33" t="s">
        <v>334</v>
      </c>
      <c r="E36" s="30" t="s">
        <v>284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20.100000000000001" customHeight="1" x14ac:dyDescent="0.25">
      <c r="A37" s="30">
        <v>31</v>
      </c>
      <c r="B37" s="34"/>
      <c r="C37" s="32" t="s">
        <v>333</v>
      </c>
      <c r="D37" s="33" t="s">
        <v>335</v>
      </c>
      <c r="E37" s="30" t="s">
        <v>284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20.100000000000001" customHeight="1" x14ac:dyDescent="0.25">
      <c r="A38" s="7">
        <v>32</v>
      </c>
      <c r="B38" s="34"/>
      <c r="C38" s="32" t="s">
        <v>336</v>
      </c>
      <c r="D38" s="33" t="s">
        <v>337</v>
      </c>
      <c r="E38" s="30" t="s">
        <v>284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21" x14ac:dyDescent="0.35">
      <c r="A39" s="24" t="s">
        <v>183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6"/>
    </row>
    <row r="40" spans="1:16" ht="20.100000000000001" customHeight="1" x14ac:dyDescent="0.25">
      <c r="A40" s="30">
        <v>1</v>
      </c>
      <c r="B40" s="31"/>
      <c r="C40" s="35" t="s">
        <v>338</v>
      </c>
      <c r="D40" s="36" t="s">
        <v>339</v>
      </c>
      <c r="E40" s="30" t="s">
        <v>284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20.100000000000001" customHeight="1" x14ac:dyDescent="0.25">
      <c r="A41" s="7">
        <v>2</v>
      </c>
      <c r="B41" s="34"/>
      <c r="C41" s="32" t="s">
        <v>340</v>
      </c>
      <c r="D41" s="33" t="s">
        <v>341</v>
      </c>
      <c r="E41" s="30" t="s">
        <v>284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20.100000000000001" customHeight="1" x14ac:dyDescent="0.25">
      <c r="A42" s="30">
        <v>3</v>
      </c>
      <c r="B42" s="34"/>
      <c r="C42" s="32" t="s">
        <v>161</v>
      </c>
      <c r="D42" s="33" t="s">
        <v>310</v>
      </c>
      <c r="E42" s="30" t="s">
        <v>284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20.100000000000001" customHeight="1" x14ac:dyDescent="0.25">
      <c r="A43" s="7">
        <v>4</v>
      </c>
      <c r="B43" s="34"/>
      <c r="C43" s="32" t="s">
        <v>342</v>
      </c>
      <c r="D43" s="33" t="s">
        <v>343</v>
      </c>
      <c r="E43" s="30" t="s">
        <v>284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20.100000000000001" customHeight="1" x14ac:dyDescent="0.25">
      <c r="A44" s="30">
        <v>5</v>
      </c>
      <c r="B44" s="34"/>
      <c r="C44" s="32" t="s">
        <v>344</v>
      </c>
      <c r="D44" s="33" t="s">
        <v>345</v>
      </c>
      <c r="E44" s="30" t="s">
        <v>284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20.100000000000001" customHeight="1" x14ac:dyDescent="0.25">
      <c r="A45" s="7">
        <v>6</v>
      </c>
      <c r="B45" s="34"/>
      <c r="C45" s="32" t="s">
        <v>346</v>
      </c>
      <c r="D45" s="33" t="s">
        <v>310</v>
      </c>
      <c r="E45" s="30" t="s">
        <v>284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20.100000000000001" customHeight="1" x14ac:dyDescent="0.25">
      <c r="A46" s="30">
        <v>7</v>
      </c>
      <c r="B46" s="34"/>
      <c r="C46" s="32" t="s">
        <v>347</v>
      </c>
      <c r="D46" s="33" t="s">
        <v>348</v>
      </c>
      <c r="E46" s="30" t="s">
        <v>284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20.100000000000001" customHeight="1" x14ac:dyDescent="0.25">
      <c r="A47" s="7">
        <v>8</v>
      </c>
      <c r="B47" s="34"/>
      <c r="C47" s="32" t="s">
        <v>349</v>
      </c>
      <c r="D47" s="33" t="s">
        <v>350</v>
      </c>
      <c r="E47" s="30" t="s">
        <v>284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20.100000000000001" customHeight="1" x14ac:dyDescent="0.25">
      <c r="A48" s="30">
        <v>9</v>
      </c>
      <c r="B48" s="34"/>
      <c r="C48" s="32" t="s">
        <v>351</v>
      </c>
      <c r="D48" s="33" t="s">
        <v>352</v>
      </c>
      <c r="E48" s="30" t="s">
        <v>284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ht="20.100000000000001" customHeight="1" x14ac:dyDescent="0.25">
      <c r="A49" s="7">
        <v>10</v>
      </c>
      <c r="B49" s="37"/>
      <c r="C49" s="32" t="s">
        <v>353</v>
      </c>
      <c r="D49" s="33" t="s">
        <v>354</v>
      </c>
      <c r="E49" s="30" t="s">
        <v>284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ht="20.100000000000001" customHeight="1" x14ac:dyDescent="0.25">
      <c r="A50" s="30">
        <v>11</v>
      </c>
      <c r="B50" s="34"/>
      <c r="C50" s="32" t="s">
        <v>355</v>
      </c>
      <c r="D50" s="33" t="s">
        <v>89</v>
      </c>
      <c r="E50" s="30" t="s">
        <v>284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20.100000000000001" customHeight="1" x14ac:dyDescent="0.25">
      <c r="A51" s="7">
        <v>12</v>
      </c>
      <c r="B51" s="34"/>
      <c r="C51" s="32" t="s">
        <v>356</v>
      </c>
      <c r="D51" s="33" t="s">
        <v>247</v>
      </c>
      <c r="E51" s="30" t="s">
        <v>284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ht="20.100000000000001" customHeight="1" x14ac:dyDescent="0.25">
      <c r="A52" s="30">
        <v>13</v>
      </c>
      <c r="B52" s="34"/>
      <c r="C52" s="32" t="s">
        <v>357</v>
      </c>
      <c r="D52" s="33" t="s">
        <v>358</v>
      </c>
      <c r="E52" s="30" t="s">
        <v>284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20.100000000000001" customHeight="1" x14ac:dyDescent="0.25">
      <c r="A53" s="7">
        <v>14</v>
      </c>
      <c r="B53" s="34"/>
      <c r="C53" s="32" t="s">
        <v>359</v>
      </c>
      <c r="D53" s="33" t="s">
        <v>360</v>
      </c>
      <c r="E53" s="30" t="s">
        <v>284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20.100000000000001" customHeight="1" x14ac:dyDescent="0.25">
      <c r="A54" s="30">
        <v>15</v>
      </c>
      <c r="B54" s="34"/>
      <c r="C54" s="32" t="s">
        <v>361</v>
      </c>
      <c r="D54" s="33" t="s">
        <v>362</v>
      </c>
      <c r="E54" s="30" t="s">
        <v>284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20.100000000000001" customHeight="1" x14ac:dyDescent="0.25">
      <c r="A55" s="7">
        <v>16</v>
      </c>
      <c r="B55" s="34"/>
      <c r="C55" s="32" t="s">
        <v>363</v>
      </c>
      <c r="D55" s="33" t="s">
        <v>364</v>
      </c>
      <c r="E55" s="30" t="s">
        <v>284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ht="20.100000000000001" customHeight="1" x14ac:dyDescent="0.25">
      <c r="A56" s="30">
        <v>17</v>
      </c>
      <c r="B56" s="34"/>
      <c r="C56" s="32" t="s">
        <v>365</v>
      </c>
      <c r="D56" s="33" t="s">
        <v>366</v>
      </c>
      <c r="E56" s="30" t="s">
        <v>284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20.100000000000001" customHeight="1" x14ac:dyDescent="0.25">
      <c r="A57" s="7">
        <v>18</v>
      </c>
      <c r="B57" s="34"/>
      <c r="C57" s="32" t="s">
        <v>367</v>
      </c>
      <c r="D57" s="33" t="s">
        <v>366</v>
      </c>
      <c r="E57" s="30" t="s">
        <v>284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20.100000000000001" customHeight="1" x14ac:dyDescent="0.25">
      <c r="A58" s="30">
        <v>19</v>
      </c>
      <c r="B58" s="34"/>
      <c r="C58" s="32" t="s">
        <v>368</v>
      </c>
      <c r="D58" s="33" t="s">
        <v>369</v>
      </c>
      <c r="E58" s="30" t="s">
        <v>284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20.100000000000001" customHeight="1" x14ac:dyDescent="0.25">
      <c r="A59" s="7">
        <v>20</v>
      </c>
      <c r="B59" s="34"/>
      <c r="C59" s="32" t="s">
        <v>149</v>
      </c>
      <c r="D59" s="33" t="s">
        <v>370</v>
      </c>
      <c r="E59" s="30" t="s">
        <v>284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20.100000000000001" customHeight="1" x14ac:dyDescent="0.25">
      <c r="A60" s="30">
        <v>21</v>
      </c>
      <c r="B60" s="34"/>
      <c r="C60" s="32" t="s">
        <v>149</v>
      </c>
      <c r="D60" s="33" t="s">
        <v>283</v>
      </c>
      <c r="E60" s="30" t="s">
        <v>284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ht="20.100000000000001" customHeight="1" x14ac:dyDescent="0.25">
      <c r="A61" s="7">
        <v>22</v>
      </c>
      <c r="B61" s="34"/>
      <c r="C61" s="32" t="s">
        <v>371</v>
      </c>
      <c r="D61" s="33" t="s">
        <v>372</v>
      </c>
      <c r="E61" s="30" t="s">
        <v>284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ht="20.100000000000001" customHeight="1" x14ac:dyDescent="0.25">
      <c r="A62" s="30">
        <v>23</v>
      </c>
      <c r="B62" s="34"/>
      <c r="C62" s="32" t="s">
        <v>373</v>
      </c>
      <c r="D62" s="33" t="s">
        <v>374</v>
      </c>
      <c r="E62" s="30" t="s">
        <v>284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ht="20.100000000000001" customHeight="1" x14ac:dyDescent="0.25">
      <c r="A63" s="7">
        <v>24</v>
      </c>
      <c r="B63" s="34"/>
      <c r="C63" s="32" t="s">
        <v>375</v>
      </c>
      <c r="D63" s="33" t="s">
        <v>376</v>
      </c>
      <c r="E63" s="30" t="s">
        <v>284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</sheetData>
  <mergeCells count="15">
    <mergeCell ref="N3:N5"/>
    <mergeCell ref="O3:O5"/>
    <mergeCell ref="P3:P5"/>
    <mergeCell ref="A6:P6"/>
    <mergeCell ref="A39:P39"/>
    <mergeCell ref="A1:P1"/>
    <mergeCell ref="A2:P2"/>
    <mergeCell ref="A3:A5"/>
    <mergeCell ref="B3:B5"/>
    <mergeCell ref="C3:C5"/>
    <mergeCell ref="D3:D5"/>
    <mergeCell ref="E3:E5"/>
    <mergeCell ref="F3:K3"/>
    <mergeCell ref="L3:L4"/>
    <mergeCell ref="M3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00F1-2E3F-4AFD-B2E7-53F053D9A79F}">
  <dimension ref="A1:P59"/>
  <sheetViews>
    <sheetView topLeftCell="A41" workbookViewId="0">
      <selection activeCell="O60" sqref="O60"/>
    </sheetView>
  </sheetViews>
  <sheetFormatPr defaultRowHeight="15" x14ac:dyDescent="0.25"/>
  <cols>
    <col min="1" max="2" width="3.140625" bestFit="1" customWidth="1"/>
    <col min="3" max="3" width="14.28515625" customWidth="1"/>
    <col min="4" max="4" width="18.28515625" customWidth="1"/>
    <col min="5" max="5" width="4.140625" bestFit="1" customWidth="1"/>
    <col min="6" max="15" width="7.7109375" customWidth="1"/>
    <col min="16" max="16" width="18.28515625" customWidth="1"/>
  </cols>
  <sheetData>
    <row r="1" spans="1:16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x14ac:dyDescent="0.25">
      <c r="A3" s="19" t="s">
        <v>2</v>
      </c>
      <c r="B3" s="19" t="s">
        <v>3</v>
      </c>
      <c r="C3" s="19" t="s">
        <v>5</v>
      </c>
      <c r="D3" s="19" t="s">
        <v>6</v>
      </c>
      <c r="E3" s="19" t="s">
        <v>4</v>
      </c>
      <c r="F3" s="23" t="s">
        <v>7</v>
      </c>
      <c r="G3" s="23"/>
      <c r="H3" s="23"/>
      <c r="I3" s="23"/>
      <c r="J3" s="23"/>
      <c r="K3" s="23"/>
      <c r="L3" s="19" t="s">
        <v>15</v>
      </c>
      <c r="M3" s="19" t="s">
        <v>16</v>
      </c>
      <c r="N3" s="19" t="s">
        <v>17</v>
      </c>
      <c r="O3" s="19" t="s">
        <v>13</v>
      </c>
      <c r="P3" s="19" t="s">
        <v>18</v>
      </c>
    </row>
    <row r="4" spans="1:16" ht="47.25" x14ac:dyDescent="0.25">
      <c r="A4" s="19"/>
      <c r="B4" s="19"/>
      <c r="C4" s="19"/>
      <c r="D4" s="19"/>
      <c r="E4" s="19"/>
      <c r="F4" s="2" t="s">
        <v>278</v>
      </c>
      <c r="G4" s="2" t="s">
        <v>10</v>
      </c>
      <c r="H4" s="2" t="s">
        <v>279</v>
      </c>
      <c r="I4" s="2" t="s">
        <v>11</v>
      </c>
      <c r="J4" s="2" t="s">
        <v>182</v>
      </c>
      <c r="K4" s="2" t="s">
        <v>280</v>
      </c>
      <c r="L4" s="19"/>
      <c r="M4" s="19"/>
      <c r="N4" s="19"/>
      <c r="O4" s="19"/>
      <c r="P4" s="19"/>
    </row>
    <row r="5" spans="1:16" x14ac:dyDescent="0.25">
      <c r="A5" s="19"/>
      <c r="B5" s="19"/>
      <c r="C5" s="19"/>
      <c r="D5" s="19"/>
      <c r="E5" s="19"/>
      <c r="F5" s="3">
        <v>5</v>
      </c>
      <c r="G5" s="3">
        <v>5</v>
      </c>
      <c r="H5" s="3">
        <v>5</v>
      </c>
      <c r="I5" s="3">
        <v>5</v>
      </c>
      <c r="J5" s="3">
        <v>5</v>
      </c>
      <c r="K5" s="3" t="s">
        <v>281</v>
      </c>
      <c r="L5" s="3">
        <v>25</v>
      </c>
      <c r="M5" s="19"/>
      <c r="N5" s="19"/>
      <c r="O5" s="19"/>
      <c r="P5" s="19"/>
    </row>
    <row r="6" spans="1:16" ht="21" x14ac:dyDescent="0.35">
      <c r="A6" s="38" t="s">
        <v>183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</row>
    <row r="7" spans="1:16" ht="20.100000000000001" customHeight="1" x14ac:dyDescent="0.25">
      <c r="A7" s="7">
        <v>1</v>
      </c>
      <c r="B7" s="34"/>
      <c r="C7" s="39" t="s">
        <v>377</v>
      </c>
      <c r="D7" s="39" t="s">
        <v>378</v>
      </c>
      <c r="E7" s="7" t="s">
        <v>379</v>
      </c>
      <c r="F7" s="4">
        <v>5</v>
      </c>
      <c r="G7" s="4">
        <v>4</v>
      </c>
      <c r="H7" s="4">
        <v>5</v>
      </c>
      <c r="I7" s="4">
        <v>4</v>
      </c>
      <c r="J7" s="4">
        <v>4</v>
      </c>
      <c r="K7" s="4" t="s">
        <v>446</v>
      </c>
      <c r="L7" s="4">
        <v>25</v>
      </c>
      <c r="M7" s="4">
        <f>SUM(F7:J7)</f>
        <v>22</v>
      </c>
      <c r="N7" s="40">
        <f>M7/L7*100</f>
        <v>88</v>
      </c>
      <c r="O7" s="4">
        <v>19</v>
      </c>
      <c r="P7" s="4"/>
    </row>
    <row r="8" spans="1:16" ht="20.100000000000001" customHeight="1" x14ac:dyDescent="0.25">
      <c r="A8" s="7">
        <v>2</v>
      </c>
      <c r="B8" s="34"/>
      <c r="C8" s="39" t="s">
        <v>380</v>
      </c>
      <c r="D8" s="39" t="s">
        <v>381</v>
      </c>
      <c r="E8" s="7" t="s">
        <v>379</v>
      </c>
      <c r="F8" s="4">
        <v>2</v>
      </c>
      <c r="G8" s="4">
        <v>4</v>
      </c>
      <c r="H8" s="4">
        <v>3</v>
      </c>
      <c r="I8" s="4">
        <v>2</v>
      </c>
      <c r="J8" s="4">
        <v>1</v>
      </c>
      <c r="K8" s="4" t="s">
        <v>446</v>
      </c>
      <c r="L8" s="4">
        <v>25</v>
      </c>
      <c r="M8" s="4">
        <f t="shared" ref="M8:M59" si="0">SUM(F8:J8)</f>
        <v>12</v>
      </c>
      <c r="N8" s="40">
        <f t="shared" ref="N8:N59" si="1">M8/L8*100</f>
        <v>48</v>
      </c>
      <c r="O8" s="4">
        <v>22</v>
      </c>
      <c r="P8" s="4"/>
    </row>
    <row r="9" spans="1:16" ht="20.100000000000001" customHeight="1" x14ac:dyDescent="0.25">
      <c r="A9" s="7">
        <v>3</v>
      </c>
      <c r="B9" s="34"/>
      <c r="C9" s="39" t="s">
        <v>382</v>
      </c>
      <c r="D9" s="39" t="s">
        <v>354</v>
      </c>
      <c r="E9" s="7" t="s">
        <v>379</v>
      </c>
      <c r="F9" s="4">
        <v>1</v>
      </c>
      <c r="G9" s="4">
        <v>2</v>
      </c>
      <c r="H9" s="4">
        <v>2</v>
      </c>
      <c r="I9" s="4">
        <v>1</v>
      </c>
      <c r="J9" s="4">
        <v>1</v>
      </c>
      <c r="K9" s="4" t="s">
        <v>446</v>
      </c>
      <c r="L9" s="4">
        <v>25</v>
      </c>
      <c r="M9" s="4">
        <f t="shared" si="0"/>
        <v>7</v>
      </c>
      <c r="N9" s="40">
        <f t="shared" si="1"/>
        <v>28.000000000000004</v>
      </c>
      <c r="O9" s="4">
        <v>20</v>
      </c>
      <c r="P9" s="4"/>
    </row>
    <row r="10" spans="1:16" ht="20.100000000000001" customHeight="1" x14ac:dyDescent="0.25">
      <c r="A10" s="7">
        <v>4</v>
      </c>
      <c r="B10" s="34"/>
      <c r="C10" s="39" t="s">
        <v>383</v>
      </c>
      <c r="D10" s="39" t="s">
        <v>384</v>
      </c>
      <c r="E10" s="7" t="s">
        <v>379</v>
      </c>
      <c r="F10" s="4">
        <v>0</v>
      </c>
      <c r="G10" s="4">
        <v>3</v>
      </c>
      <c r="H10" s="4">
        <v>4</v>
      </c>
      <c r="I10" s="4">
        <v>1</v>
      </c>
      <c r="J10" s="4">
        <v>1</v>
      </c>
      <c r="K10" s="4" t="s">
        <v>446</v>
      </c>
      <c r="L10" s="4">
        <v>25</v>
      </c>
      <c r="M10" s="4">
        <f t="shared" si="0"/>
        <v>9</v>
      </c>
      <c r="N10" s="40">
        <f t="shared" si="1"/>
        <v>36</v>
      </c>
      <c r="O10" s="4">
        <v>19</v>
      </c>
      <c r="P10" s="4"/>
    </row>
    <row r="11" spans="1:16" ht="20.100000000000001" customHeight="1" x14ac:dyDescent="0.25">
      <c r="A11" s="7">
        <v>5</v>
      </c>
      <c r="B11" s="34"/>
      <c r="C11" s="39" t="s">
        <v>340</v>
      </c>
      <c r="D11" s="39" t="s">
        <v>26</v>
      </c>
      <c r="E11" s="7" t="s">
        <v>379</v>
      </c>
      <c r="F11" s="4">
        <v>4</v>
      </c>
      <c r="G11" s="4">
        <v>5</v>
      </c>
      <c r="H11" s="4">
        <v>4</v>
      </c>
      <c r="I11" s="4">
        <v>5</v>
      </c>
      <c r="J11" s="4">
        <v>3</v>
      </c>
      <c r="K11" s="4" t="s">
        <v>446</v>
      </c>
      <c r="L11" s="4">
        <v>25</v>
      </c>
      <c r="M11" s="4">
        <f t="shared" si="0"/>
        <v>21</v>
      </c>
      <c r="N11" s="40">
        <f t="shared" si="1"/>
        <v>84</v>
      </c>
      <c r="O11" s="4">
        <v>24</v>
      </c>
      <c r="P11" s="4"/>
    </row>
    <row r="12" spans="1:16" ht="20.100000000000001" customHeight="1" x14ac:dyDescent="0.25">
      <c r="A12" s="7">
        <v>6</v>
      </c>
      <c r="B12" s="34"/>
      <c r="C12" s="39" t="s">
        <v>375</v>
      </c>
      <c r="D12" s="39" t="s">
        <v>385</v>
      </c>
      <c r="E12" s="7" t="s">
        <v>379</v>
      </c>
      <c r="F12" s="4">
        <v>0</v>
      </c>
      <c r="G12" s="4">
        <v>2</v>
      </c>
      <c r="H12" s="4">
        <v>3</v>
      </c>
      <c r="I12" s="4">
        <v>1</v>
      </c>
      <c r="J12" s="4">
        <v>0</v>
      </c>
      <c r="K12" s="4" t="s">
        <v>446</v>
      </c>
      <c r="L12" s="4">
        <v>25</v>
      </c>
      <c r="M12" s="4">
        <f t="shared" si="0"/>
        <v>6</v>
      </c>
      <c r="N12" s="40">
        <f t="shared" si="1"/>
        <v>24</v>
      </c>
      <c r="O12" s="4">
        <v>21</v>
      </c>
      <c r="P12" s="4"/>
    </row>
    <row r="13" spans="1:16" ht="20.100000000000001" customHeight="1" x14ac:dyDescent="0.25">
      <c r="A13" s="7">
        <v>7</v>
      </c>
      <c r="B13" s="34"/>
      <c r="C13" s="39" t="s">
        <v>192</v>
      </c>
      <c r="D13" s="39" t="s">
        <v>297</v>
      </c>
      <c r="E13" s="7" t="s">
        <v>379</v>
      </c>
      <c r="F13" s="4">
        <v>0</v>
      </c>
      <c r="G13" s="4">
        <v>3</v>
      </c>
      <c r="H13" s="4">
        <v>5</v>
      </c>
      <c r="I13" s="4">
        <v>0</v>
      </c>
      <c r="J13" s="4">
        <v>0</v>
      </c>
      <c r="K13" s="4" t="s">
        <v>446</v>
      </c>
      <c r="L13" s="4">
        <v>25</v>
      </c>
      <c r="M13" s="4">
        <f t="shared" si="0"/>
        <v>8</v>
      </c>
      <c r="N13" s="40">
        <f t="shared" si="1"/>
        <v>32</v>
      </c>
      <c r="O13" s="4">
        <v>25</v>
      </c>
      <c r="P13" s="4"/>
    </row>
    <row r="14" spans="1:16" ht="20.100000000000001" customHeight="1" x14ac:dyDescent="0.25">
      <c r="A14" s="7">
        <v>8</v>
      </c>
      <c r="B14" s="34"/>
      <c r="C14" s="39" t="s">
        <v>91</v>
      </c>
      <c r="D14" s="39" t="s">
        <v>50</v>
      </c>
      <c r="E14" s="7" t="s">
        <v>379</v>
      </c>
      <c r="F14" s="4">
        <v>4</v>
      </c>
      <c r="G14" s="4">
        <v>4</v>
      </c>
      <c r="H14" s="4">
        <v>5</v>
      </c>
      <c r="I14" s="4">
        <v>1</v>
      </c>
      <c r="J14" s="4">
        <v>3</v>
      </c>
      <c r="K14" s="4" t="s">
        <v>446</v>
      </c>
      <c r="L14" s="4">
        <v>25</v>
      </c>
      <c r="M14" s="4">
        <f t="shared" si="0"/>
        <v>17</v>
      </c>
      <c r="N14" s="40">
        <f t="shared" si="1"/>
        <v>68</v>
      </c>
      <c r="O14" s="4">
        <v>32</v>
      </c>
      <c r="P14" s="4"/>
    </row>
    <row r="15" spans="1:16" ht="20.100000000000001" customHeight="1" x14ac:dyDescent="0.25">
      <c r="A15" s="7">
        <v>9</v>
      </c>
      <c r="B15" s="34"/>
      <c r="C15" s="39" t="s">
        <v>386</v>
      </c>
      <c r="D15" s="39" t="s">
        <v>387</v>
      </c>
      <c r="E15" s="7" t="s">
        <v>379</v>
      </c>
      <c r="F15" s="4">
        <v>0</v>
      </c>
      <c r="G15" s="4">
        <v>0</v>
      </c>
      <c r="H15" s="4">
        <v>2</v>
      </c>
      <c r="I15" s="4">
        <v>0</v>
      </c>
      <c r="J15" s="4">
        <v>0</v>
      </c>
      <c r="K15" s="4" t="s">
        <v>447</v>
      </c>
      <c r="L15" s="4">
        <v>25</v>
      </c>
      <c r="M15" s="4">
        <f t="shared" si="0"/>
        <v>2</v>
      </c>
      <c r="N15" s="40">
        <f t="shared" si="1"/>
        <v>8</v>
      </c>
      <c r="O15" s="4">
        <v>20</v>
      </c>
      <c r="P15" s="4"/>
    </row>
    <row r="16" spans="1:16" ht="20.100000000000001" customHeight="1" x14ac:dyDescent="0.25">
      <c r="A16" s="7">
        <v>10</v>
      </c>
      <c r="B16" s="34"/>
      <c r="C16" s="39" t="s">
        <v>158</v>
      </c>
      <c r="D16" s="39" t="s">
        <v>22</v>
      </c>
      <c r="E16" s="7" t="s">
        <v>379</v>
      </c>
      <c r="F16" s="4">
        <v>3</v>
      </c>
      <c r="G16" s="4">
        <v>3</v>
      </c>
      <c r="H16" s="4">
        <v>4</v>
      </c>
      <c r="I16" s="4">
        <v>1</v>
      </c>
      <c r="J16" s="4">
        <v>3</v>
      </c>
      <c r="K16" s="4" t="s">
        <v>446</v>
      </c>
      <c r="L16" s="4">
        <v>25</v>
      </c>
      <c r="M16" s="4">
        <f t="shared" si="0"/>
        <v>14</v>
      </c>
      <c r="N16" s="40">
        <f t="shared" si="1"/>
        <v>56.000000000000007</v>
      </c>
      <c r="O16" s="4">
        <v>21</v>
      </c>
      <c r="P16" s="4"/>
    </row>
    <row r="17" spans="1:16" ht="20.100000000000001" customHeight="1" x14ac:dyDescent="0.25">
      <c r="A17" s="7">
        <v>11</v>
      </c>
      <c r="B17" s="34"/>
      <c r="C17" s="39" t="s">
        <v>25</v>
      </c>
      <c r="D17" s="39" t="s">
        <v>308</v>
      </c>
      <c r="E17" s="7" t="s">
        <v>379</v>
      </c>
      <c r="F17" s="4">
        <v>3</v>
      </c>
      <c r="G17" s="4">
        <v>0</v>
      </c>
      <c r="H17" s="4">
        <v>3</v>
      </c>
      <c r="I17" s="4">
        <v>0</v>
      </c>
      <c r="J17" s="4">
        <v>0</v>
      </c>
      <c r="K17" s="4" t="s">
        <v>446</v>
      </c>
      <c r="L17" s="4">
        <v>25</v>
      </c>
      <c r="M17" s="4">
        <f t="shared" si="0"/>
        <v>6</v>
      </c>
      <c r="N17" s="40">
        <f t="shared" si="1"/>
        <v>24</v>
      </c>
      <c r="O17" s="4">
        <v>22</v>
      </c>
      <c r="P17" s="4"/>
    </row>
    <row r="18" spans="1:16" ht="20.100000000000001" customHeight="1" x14ac:dyDescent="0.25">
      <c r="A18" s="7">
        <v>12</v>
      </c>
      <c r="B18" s="34"/>
      <c r="C18" s="39" t="s">
        <v>388</v>
      </c>
      <c r="D18" s="39" t="s">
        <v>389</v>
      </c>
      <c r="E18" s="7" t="s">
        <v>379</v>
      </c>
      <c r="F18" s="4">
        <v>2</v>
      </c>
      <c r="G18" s="4">
        <v>1</v>
      </c>
      <c r="H18" s="4">
        <v>2</v>
      </c>
      <c r="I18" s="4">
        <v>2</v>
      </c>
      <c r="J18" s="4">
        <v>1</v>
      </c>
      <c r="K18" s="4" t="s">
        <v>446</v>
      </c>
      <c r="L18" s="4">
        <v>25</v>
      </c>
      <c r="M18" s="4">
        <f t="shared" si="0"/>
        <v>8</v>
      </c>
      <c r="N18" s="40">
        <f t="shared" si="1"/>
        <v>32</v>
      </c>
      <c r="O18" s="4">
        <v>14</v>
      </c>
      <c r="P18" s="4"/>
    </row>
    <row r="19" spans="1:16" ht="20.100000000000001" customHeight="1" x14ac:dyDescent="0.25">
      <c r="A19" s="7">
        <v>13</v>
      </c>
      <c r="B19" s="34"/>
      <c r="C19" s="39" t="s">
        <v>390</v>
      </c>
      <c r="D19" s="39" t="s">
        <v>74</v>
      </c>
      <c r="E19" s="7" t="s">
        <v>379</v>
      </c>
      <c r="F19" s="4">
        <v>4</v>
      </c>
      <c r="G19" s="4">
        <v>2</v>
      </c>
      <c r="H19" s="4">
        <v>5</v>
      </c>
      <c r="I19" s="4">
        <v>1</v>
      </c>
      <c r="J19" s="4">
        <v>2</v>
      </c>
      <c r="K19" s="4" t="s">
        <v>446</v>
      </c>
      <c r="L19" s="4">
        <v>25</v>
      </c>
      <c r="M19" s="4">
        <f t="shared" si="0"/>
        <v>14</v>
      </c>
      <c r="N19" s="40">
        <f t="shared" si="1"/>
        <v>56.000000000000007</v>
      </c>
      <c r="O19" s="4">
        <v>10</v>
      </c>
      <c r="P19" s="4"/>
    </row>
    <row r="20" spans="1:16" ht="20.100000000000001" customHeight="1" x14ac:dyDescent="0.25">
      <c r="A20" s="7">
        <v>14</v>
      </c>
      <c r="B20" s="34"/>
      <c r="C20" s="39" t="s">
        <v>391</v>
      </c>
      <c r="D20" s="39" t="s">
        <v>392</v>
      </c>
      <c r="E20" s="7" t="s">
        <v>379</v>
      </c>
      <c r="F20" s="4">
        <v>4</v>
      </c>
      <c r="G20" s="4">
        <v>3</v>
      </c>
      <c r="H20" s="4">
        <v>5</v>
      </c>
      <c r="I20" s="4">
        <v>2</v>
      </c>
      <c r="J20" s="4">
        <v>1</v>
      </c>
      <c r="K20" s="4" t="s">
        <v>446</v>
      </c>
      <c r="L20" s="4">
        <v>25</v>
      </c>
      <c r="M20" s="4">
        <f t="shared" si="0"/>
        <v>15</v>
      </c>
      <c r="N20" s="40">
        <f t="shared" si="1"/>
        <v>60</v>
      </c>
      <c r="O20" s="4">
        <v>24</v>
      </c>
      <c r="P20" s="4"/>
    </row>
    <row r="21" spans="1:16" ht="20.100000000000001" customHeight="1" x14ac:dyDescent="0.25">
      <c r="A21" s="7">
        <v>15</v>
      </c>
      <c r="B21" s="34"/>
      <c r="C21" s="39" t="s">
        <v>393</v>
      </c>
      <c r="D21" s="39" t="s">
        <v>394</v>
      </c>
      <c r="E21" s="7" t="s">
        <v>379</v>
      </c>
      <c r="F21" s="4">
        <v>5</v>
      </c>
      <c r="G21" s="4">
        <v>4</v>
      </c>
      <c r="H21" s="4">
        <v>5</v>
      </c>
      <c r="I21" s="4">
        <v>1</v>
      </c>
      <c r="J21" s="4">
        <v>1</v>
      </c>
      <c r="K21" s="4" t="s">
        <v>446</v>
      </c>
      <c r="L21" s="4">
        <v>25</v>
      </c>
      <c r="M21" s="4">
        <f t="shared" si="0"/>
        <v>16</v>
      </c>
      <c r="N21" s="40">
        <f t="shared" si="1"/>
        <v>64</v>
      </c>
      <c r="O21" s="4">
        <v>25</v>
      </c>
      <c r="P21" s="4"/>
    </row>
    <row r="22" spans="1:16" ht="20.100000000000001" customHeight="1" x14ac:dyDescent="0.25">
      <c r="A22" s="7">
        <v>16</v>
      </c>
      <c r="B22" s="34"/>
      <c r="C22" s="39" t="s">
        <v>395</v>
      </c>
      <c r="D22" s="39" t="s">
        <v>396</v>
      </c>
      <c r="E22" s="7" t="s">
        <v>379</v>
      </c>
      <c r="F22" s="4">
        <v>1</v>
      </c>
      <c r="G22" s="4">
        <v>2</v>
      </c>
      <c r="H22" s="4">
        <v>1</v>
      </c>
      <c r="I22" s="4">
        <v>2</v>
      </c>
      <c r="J22" s="4">
        <v>1</v>
      </c>
      <c r="K22" s="4" t="s">
        <v>446</v>
      </c>
      <c r="L22" s="4">
        <v>25</v>
      </c>
      <c r="M22" s="4">
        <f t="shared" si="0"/>
        <v>7</v>
      </c>
      <c r="N22" s="40">
        <f t="shared" si="1"/>
        <v>28.000000000000004</v>
      </c>
      <c r="O22" s="4">
        <v>21</v>
      </c>
      <c r="P22" s="4"/>
    </row>
    <row r="23" spans="1:16" ht="20.100000000000001" customHeight="1" x14ac:dyDescent="0.25">
      <c r="A23" s="7">
        <v>17</v>
      </c>
      <c r="B23" s="34"/>
      <c r="C23" s="39" t="s">
        <v>397</v>
      </c>
      <c r="D23" s="39" t="s">
        <v>193</v>
      </c>
      <c r="E23" s="7" t="s">
        <v>379</v>
      </c>
      <c r="F23" s="4">
        <v>4</v>
      </c>
      <c r="G23" s="4">
        <v>4</v>
      </c>
      <c r="H23" s="4">
        <v>4</v>
      </c>
      <c r="I23" s="4">
        <v>5</v>
      </c>
      <c r="J23" s="4">
        <v>4</v>
      </c>
      <c r="K23" s="4" t="s">
        <v>446</v>
      </c>
      <c r="L23" s="4">
        <v>25</v>
      </c>
      <c r="M23" s="4">
        <f t="shared" si="0"/>
        <v>21</v>
      </c>
      <c r="N23" s="40">
        <f t="shared" si="1"/>
        <v>84</v>
      </c>
      <c r="O23" s="4">
        <v>20</v>
      </c>
      <c r="P23" s="4"/>
    </row>
    <row r="24" spans="1:16" ht="20.100000000000001" customHeight="1" x14ac:dyDescent="0.25">
      <c r="A24" s="7">
        <v>18</v>
      </c>
      <c r="B24" s="34"/>
      <c r="C24" s="39" t="s">
        <v>398</v>
      </c>
      <c r="D24" s="39" t="s">
        <v>190</v>
      </c>
      <c r="E24" s="7" t="s">
        <v>379</v>
      </c>
      <c r="F24" s="4">
        <v>5</v>
      </c>
      <c r="G24" s="4">
        <v>5</v>
      </c>
      <c r="H24" s="4">
        <v>5</v>
      </c>
      <c r="I24" s="4">
        <v>5</v>
      </c>
      <c r="J24" s="4">
        <v>5</v>
      </c>
      <c r="K24" s="4" t="s">
        <v>446</v>
      </c>
      <c r="L24" s="4">
        <v>25</v>
      </c>
      <c r="M24" s="4">
        <f t="shared" si="0"/>
        <v>25</v>
      </c>
      <c r="N24" s="40">
        <f t="shared" si="1"/>
        <v>100</v>
      </c>
      <c r="O24" s="4">
        <v>19</v>
      </c>
      <c r="P24" s="4"/>
    </row>
    <row r="25" spans="1:16" ht="20.100000000000001" customHeight="1" x14ac:dyDescent="0.25">
      <c r="A25" s="7">
        <v>19</v>
      </c>
      <c r="B25" s="34"/>
      <c r="C25" s="39" t="s">
        <v>399</v>
      </c>
      <c r="D25" s="39" t="s">
        <v>191</v>
      </c>
      <c r="E25" s="7" t="s">
        <v>379</v>
      </c>
      <c r="F25" s="4">
        <v>0</v>
      </c>
      <c r="G25" s="4">
        <v>4</v>
      </c>
      <c r="H25" s="4">
        <v>5</v>
      </c>
      <c r="I25" s="4">
        <v>3</v>
      </c>
      <c r="J25" s="4">
        <v>1</v>
      </c>
      <c r="K25" s="4" t="s">
        <v>446</v>
      </c>
      <c r="L25" s="4">
        <v>25</v>
      </c>
      <c r="M25" s="4">
        <f t="shared" si="0"/>
        <v>13</v>
      </c>
      <c r="N25" s="40">
        <f t="shared" si="1"/>
        <v>52</v>
      </c>
      <c r="O25" s="4">
        <v>20</v>
      </c>
      <c r="P25" s="4"/>
    </row>
    <row r="26" spans="1:16" ht="20.100000000000001" customHeight="1" x14ac:dyDescent="0.25">
      <c r="A26" s="7">
        <v>20</v>
      </c>
      <c r="B26" s="34"/>
      <c r="C26" s="39" t="s">
        <v>149</v>
      </c>
      <c r="D26" s="39" t="s">
        <v>235</v>
      </c>
      <c r="E26" s="7" t="s">
        <v>379</v>
      </c>
      <c r="F26" s="4">
        <v>3</v>
      </c>
      <c r="G26" s="4">
        <v>5</v>
      </c>
      <c r="H26" s="4">
        <v>1</v>
      </c>
      <c r="I26" s="4">
        <v>1</v>
      </c>
      <c r="J26" s="4">
        <v>1</v>
      </c>
      <c r="K26" s="4" t="s">
        <v>446</v>
      </c>
      <c r="L26" s="4">
        <v>25</v>
      </c>
      <c r="M26" s="4">
        <f t="shared" si="0"/>
        <v>11</v>
      </c>
      <c r="N26" s="40">
        <f t="shared" si="1"/>
        <v>44</v>
      </c>
      <c r="O26" s="4">
        <v>15</v>
      </c>
      <c r="P26" s="4"/>
    </row>
    <row r="27" spans="1:16" ht="20.100000000000001" customHeight="1" x14ac:dyDescent="0.25">
      <c r="A27" s="7">
        <v>21</v>
      </c>
      <c r="B27" s="34"/>
      <c r="C27" s="39" t="s">
        <v>400</v>
      </c>
      <c r="D27" s="39" t="s">
        <v>401</v>
      </c>
      <c r="E27" s="7" t="s">
        <v>379</v>
      </c>
      <c r="F27" s="4">
        <v>5</v>
      </c>
      <c r="G27" s="4">
        <v>4</v>
      </c>
      <c r="H27" s="4">
        <v>5</v>
      </c>
      <c r="I27" s="4">
        <v>1</v>
      </c>
      <c r="J27" s="4">
        <v>1</v>
      </c>
      <c r="K27" s="4" t="s">
        <v>446</v>
      </c>
      <c r="L27" s="4">
        <v>25</v>
      </c>
      <c r="M27" s="4">
        <f t="shared" si="0"/>
        <v>16</v>
      </c>
      <c r="N27" s="40">
        <f t="shared" si="1"/>
        <v>64</v>
      </c>
      <c r="O27" s="4">
        <v>10</v>
      </c>
      <c r="P27" s="4"/>
    </row>
    <row r="28" spans="1:16" ht="20.100000000000001" customHeight="1" x14ac:dyDescent="0.25">
      <c r="A28" s="7">
        <v>22</v>
      </c>
      <c r="B28" s="34"/>
      <c r="C28" s="39" t="s">
        <v>402</v>
      </c>
      <c r="D28" s="39" t="s">
        <v>403</v>
      </c>
      <c r="E28" s="7" t="s">
        <v>379</v>
      </c>
      <c r="F28" s="4">
        <v>0</v>
      </c>
      <c r="G28" s="4">
        <v>5</v>
      </c>
      <c r="H28" s="4">
        <v>5</v>
      </c>
      <c r="I28" s="4">
        <v>1</v>
      </c>
      <c r="J28" s="4">
        <v>0</v>
      </c>
      <c r="K28" s="4" t="s">
        <v>446</v>
      </c>
      <c r="L28" s="4">
        <v>25</v>
      </c>
      <c r="M28" s="4">
        <f t="shared" si="0"/>
        <v>11</v>
      </c>
      <c r="N28" s="40">
        <f t="shared" si="1"/>
        <v>44</v>
      </c>
      <c r="O28" s="4">
        <v>10</v>
      </c>
      <c r="P28" s="4"/>
    </row>
    <row r="29" spans="1:16" ht="20.100000000000001" customHeight="1" x14ac:dyDescent="0.25">
      <c r="A29" s="7">
        <v>23</v>
      </c>
      <c r="B29" s="34"/>
      <c r="C29" s="39" t="s">
        <v>404</v>
      </c>
      <c r="D29" s="39" t="s">
        <v>256</v>
      </c>
      <c r="E29" s="7" t="s">
        <v>379</v>
      </c>
      <c r="F29" s="4">
        <v>0</v>
      </c>
      <c r="G29" s="4">
        <v>0</v>
      </c>
      <c r="H29" s="4">
        <v>5</v>
      </c>
      <c r="I29" s="4">
        <v>0</v>
      </c>
      <c r="J29" s="4">
        <v>0</v>
      </c>
      <c r="K29" s="4" t="s">
        <v>447</v>
      </c>
      <c r="L29" s="4">
        <v>25</v>
      </c>
      <c r="M29" s="4">
        <f t="shared" si="0"/>
        <v>5</v>
      </c>
      <c r="N29" s="40">
        <f t="shared" si="1"/>
        <v>20</v>
      </c>
      <c r="O29" s="4">
        <v>25</v>
      </c>
      <c r="P29" s="4"/>
    </row>
    <row r="30" spans="1:16" ht="20.100000000000001" customHeight="1" x14ac:dyDescent="0.25">
      <c r="A30" s="7">
        <v>24</v>
      </c>
      <c r="B30" s="34"/>
      <c r="C30" s="39" t="s">
        <v>375</v>
      </c>
      <c r="D30" s="39" t="s">
        <v>256</v>
      </c>
      <c r="E30" s="7" t="s">
        <v>379</v>
      </c>
      <c r="F30" s="4">
        <v>1</v>
      </c>
      <c r="G30" s="4">
        <v>2</v>
      </c>
      <c r="H30" s="4">
        <v>1</v>
      </c>
      <c r="I30" s="4">
        <v>0</v>
      </c>
      <c r="J30" s="4">
        <v>0</v>
      </c>
      <c r="K30" s="4" t="s">
        <v>446</v>
      </c>
      <c r="L30" s="4">
        <v>25</v>
      </c>
      <c r="M30" s="4">
        <f t="shared" si="0"/>
        <v>4</v>
      </c>
      <c r="N30" s="40">
        <f t="shared" si="1"/>
        <v>16</v>
      </c>
      <c r="O30" s="4">
        <v>21</v>
      </c>
      <c r="P30" s="4"/>
    </row>
    <row r="31" spans="1:16" ht="20.100000000000001" customHeight="1" x14ac:dyDescent="0.25">
      <c r="A31" s="7">
        <v>25</v>
      </c>
      <c r="B31" s="34"/>
      <c r="C31" s="39" t="s">
        <v>405</v>
      </c>
      <c r="D31" s="39" t="s">
        <v>406</v>
      </c>
      <c r="E31" s="7" t="s">
        <v>379</v>
      </c>
      <c r="F31" s="4">
        <v>0</v>
      </c>
      <c r="G31" s="4">
        <v>0</v>
      </c>
      <c r="H31" s="4">
        <v>1</v>
      </c>
      <c r="I31" s="4">
        <v>0</v>
      </c>
      <c r="J31" s="4">
        <v>0</v>
      </c>
      <c r="K31" s="4" t="s">
        <v>148</v>
      </c>
      <c r="L31" s="4">
        <v>25</v>
      </c>
      <c r="M31" s="4">
        <f t="shared" si="0"/>
        <v>1</v>
      </c>
      <c r="N31" s="40">
        <f t="shared" si="1"/>
        <v>4</v>
      </c>
      <c r="O31" s="4" t="s">
        <v>148</v>
      </c>
      <c r="P31" s="4"/>
    </row>
    <row r="32" spans="1:16" ht="20.100000000000001" customHeight="1" x14ac:dyDescent="0.25">
      <c r="A32" s="7">
        <v>26</v>
      </c>
      <c r="B32" s="34"/>
      <c r="C32" s="39" t="s">
        <v>375</v>
      </c>
      <c r="D32" s="39" t="s">
        <v>407</v>
      </c>
      <c r="E32" s="7" t="s">
        <v>379</v>
      </c>
      <c r="F32" s="4" t="s">
        <v>148</v>
      </c>
      <c r="G32" s="4" t="s">
        <v>148</v>
      </c>
      <c r="H32" s="4" t="s">
        <v>148</v>
      </c>
      <c r="I32" s="4" t="s">
        <v>148</v>
      </c>
      <c r="J32" s="4" t="s">
        <v>148</v>
      </c>
      <c r="K32" s="4" t="s">
        <v>148</v>
      </c>
      <c r="L32" s="4">
        <v>25</v>
      </c>
      <c r="M32" s="4">
        <f t="shared" si="0"/>
        <v>0</v>
      </c>
      <c r="N32" s="40">
        <f t="shared" si="1"/>
        <v>0</v>
      </c>
      <c r="O32" s="4" t="s">
        <v>148</v>
      </c>
      <c r="P32" s="4"/>
    </row>
    <row r="33" spans="1:16" ht="21" x14ac:dyDescent="0.35">
      <c r="A33" s="38" t="s">
        <v>225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</row>
    <row r="34" spans="1:16" ht="20.100000000000001" customHeight="1" x14ac:dyDescent="0.25">
      <c r="A34" s="7">
        <v>27</v>
      </c>
      <c r="B34" s="34"/>
      <c r="C34" s="39" t="s">
        <v>408</v>
      </c>
      <c r="D34" s="39" t="s">
        <v>409</v>
      </c>
      <c r="E34" s="7" t="s">
        <v>379</v>
      </c>
      <c r="F34" s="4">
        <v>5</v>
      </c>
      <c r="G34" s="4">
        <v>5</v>
      </c>
      <c r="H34" s="4">
        <v>5</v>
      </c>
      <c r="I34" s="4">
        <v>4</v>
      </c>
      <c r="J34" s="4">
        <v>4</v>
      </c>
      <c r="K34" s="4" t="s">
        <v>446</v>
      </c>
      <c r="L34" s="4">
        <v>25</v>
      </c>
      <c r="M34" s="4">
        <f t="shared" si="0"/>
        <v>23</v>
      </c>
      <c r="N34" s="40">
        <f t="shared" si="1"/>
        <v>92</v>
      </c>
      <c r="O34" s="4">
        <v>22</v>
      </c>
      <c r="P34" s="4"/>
    </row>
    <row r="35" spans="1:16" ht="20.100000000000001" customHeight="1" x14ac:dyDescent="0.25">
      <c r="A35" s="7">
        <v>28</v>
      </c>
      <c r="B35" s="34"/>
      <c r="C35" s="39" t="s">
        <v>22</v>
      </c>
      <c r="D35" s="39" t="s">
        <v>396</v>
      </c>
      <c r="E35" s="7" t="s">
        <v>379</v>
      </c>
      <c r="F35" s="4">
        <v>0</v>
      </c>
      <c r="G35" s="4">
        <v>1</v>
      </c>
      <c r="H35" s="4">
        <v>5</v>
      </c>
      <c r="I35" s="4">
        <v>1</v>
      </c>
      <c r="J35" s="4">
        <v>0</v>
      </c>
      <c r="K35" s="4" t="s">
        <v>447</v>
      </c>
      <c r="L35" s="4">
        <v>25</v>
      </c>
      <c r="M35" s="4">
        <f t="shared" si="0"/>
        <v>7</v>
      </c>
      <c r="N35" s="40">
        <f t="shared" si="1"/>
        <v>28.000000000000004</v>
      </c>
      <c r="O35" s="4">
        <v>21</v>
      </c>
      <c r="P35" s="4"/>
    </row>
    <row r="36" spans="1:16" ht="20.100000000000001" customHeight="1" x14ac:dyDescent="0.25">
      <c r="A36" s="7">
        <v>29</v>
      </c>
      <c r="B36" s="34"/>
      <c r="C36" s="39" t="s">
        <v>410</v>
      </c>
      <c r="D36" s="39" t="s">
        <v>411</v>
      </c>
      <c r="E36" s="7" t="s">
        <v>379</v>
      </c>
      <c r="F36" s="4">
        <v>0</v>
      </c>
      <c r="G36" s="4">
        <v>0</v>
      </c>
      <c r="H36" s="4">
        <v>2</v>
      </c>
      <c r="I36" s="4">
        <v>0</v>
      </c>
      <c r="J36" s="4">
        <v>0</v>
      </c>
      <c r="K36" s="4" t="s">
        <v>446</v>
      </c>
      <c r="L36" s="4">
        <v>25</v>
      </c>
      <c r="M36" s="4">
        <f t="shared" si="0"/>
        <v>2</v>
      </c>
      <c r="N36" s="40">
        <f t="shared" si="1"/>
        <v>8</v>
      </c>
      <c r="O36" s="4">
        <v>20</v>
      </c>
      <c r="P36" s="4"/>
    </row>
    <row r="37" spans="1:16" ht="20.100000000000001" customHeight="1" x14ac:dyDescent="0.25">
      <c r="A37" s="7">
        <v>30</v>
      </c>
      <c r="B37" s="34"/>
      <c r="C37" s="39" t="s">
        <v>112</v>
      </c>
      <c r="D37" s="39" t="s">
        <v>412</v>
      </c>
      <c r="E37" s="7" t="s">
        <v>379</v>
      </c>
      <c r="F37" s="4">
        <v>0</v>
      </c>
      <c r="G37" s="4">
        <v>4</v>
      </c>
      <c r="H37" s="4">
        <v>4</v>
      </c>
      <c r="I37" s="4">
        <v>2</v>
      </c>
      <c r="J37" s="4">
        <v>1</v>
      </c>
      <c r="K37" s="4" t="s">
        <v>447</v>
      </c>
      <c r="L37" s="4">
        <v>25</v>
      </c>
      <c r="M37" s="4">
        <f t="shared" si="0"/>
        <v>11</v>
      </c>
      <c r="N37" s="40">
        <f t="shared" si="1"/>
        <v>44</v>
      </c>
      <c r="O37" s="4">
        <v>10</v>
      </c>
      <c r="P37" s="4"/>
    </row>
    <row r="38" spans="1:16" ht="20.100000000000001" customHeight="1" x14ac:dyDescent="0.25">
      <c r="A38" s="7">
        <v>31</v>
      </c>
      <c r="B38" s="34"/>
      <c r="C38" s="39" t="s">
        <v>413</v>
      </c>
      <c r="D38" s="39" t="s">
        <v>414</v>
      </c>
      <c r="E38" s="7" t="s">
        <v>379</v>
      </c>
      <c r="F38" s="4">
        <v>1</v>
      </c>
      <c r="G38" s="4">
        <v>4</v>
      </c>
      <c r="H38" s="4">
        <v>5</v>
      </c>
      <c r="I38" s="4">
        <v>3</v>
      </c>
      <c r="J38" s="4">
        <v>4</v>
      </c>
      <c r="K38" s="4" t="s">
        <v>447</v>
      </c>
      <c r="L38" s="4">
        <v>25</v>
      </c>
      <c r="M38" s="4">
        <f t="shared" si="0"/>
        <v>17</v>
      </c>
      <c r="N38" s="40">
        <f t="shared" si="1"/>
        <v>68</v>
      </c>
      <c r="O38" s="4">
        <v>15</v>
      </c>
      <c r="P38" s="4"/>
    </row>
    <row r="39" spans="1:16" ht="20.100000000000001" customHeight="1" x14ac:dyDescent="0.25">
      <c r="A39" s="7">
        <v>32</v>
      </c>
      <c r="B39" s="34"/>
      <c r="C39" s="39" t="s">
        <v>415</v>
      </c>
      <c r="D39" s="39" t="s">
        <v>416</v>
      </c>
      <c r="E39" s="7" t="s">
        <v>379</v>
      </c>
      <c r="F39" s="4">
        <v>2</v>
      </c>
      <c r="G39" s="4">
        <v>1</v>
      </c>
      <c r="H39" s="4">
        <v>0</v>
      </c>
      <c r="I39" s="4">
        <v>2</v>
      </c>
      <c r="J39" s="4">
        <v>1</v>
      </c>
      <c r="K39" s="4" t="s">
        <v>447</v>
      </c>
      <c r="L39" s="4">
        <v>25</v>
      </c>
      <c r="M39" s="4">
        <f t="shared" si="0"/>
        <v>6</v>
      </c>
      <c r="N39" s="40">
        <f t="shared" si="1"/>
        <v>24</v>
      </c>
      <c r="O39" s="4">
        <v>20</v>
      </c>
      <c r="P39" s="4"/>
    </row>
    <row r="40" spans="1:16" ht="20.100000000000001" customHeight="1" x14ac:dyDescent="0.25">
      <c r="A40" s="7">
        <v>33</v>
      </c>
      <c r="B40" s="34"/>
      <c r="C40" s="39" t="s">
        <v>417</v>
      </c>
      <c r="D40" s="39" t="s">
        <v>418</v>
      </c>
      <c r="E40" s="7" t="s">
        <v>379</v>
      </c>
      <c r="F40" s="4">
        <v>0</v>
      </c>
      <c r="G40" s="4">
        <v>2</v>
      </c>
      <c r="H40" s="4">
        <v>4</v>
      </c>
      <c r="I40" s="4">
        <v>0</v>
      </c>
      <c r="J40" s="4">
        <v>0</v>
      </c>
      <c r="K40" s="4" t="s">
        <v>447</v>
      </c>
      <c r="L40" s="4">
        <v>25</v>
      </c>
      <c r="M40" s="4">
        <f t="shared" si="0"/>
        <v>6</v>
      </c>
      <c r="N40" s="40">
        <f t="shared" si="1"/>
        <v>24</v>
      </c>
      <c r="O40" s="4">
        <v>21</v>
      </c>
      <c r="P40" s="4"/>
    </row>
    <row r="41" spans="1:16" ht="20.100000000000001" customHeight="1" x14ac:dyDescent="0.25">
      <c r="A41" s="7">
        <v>34</v>
      </c>
      <c r="B41" s="34"/>
      <c r="C41" s="39" t="s">
        <v>419</v>
      </c>
      <c r="D41" s="39" t="s">
        <v>62</v>
      </c>
      <c r="E41" s="7" t="s">
        <v>379</v>
      </c>
      <c r="F41" s="4">
        <v>0</v>
      </c>
      <c r="G41" s="4">
        <v>0</v>
      </c>
      <c r="H41" s="4">
        <v>1</v>
      </c>
      <c r="I41" s="4">
        <v>1</v>
      </c>
      <c r="J41" s="4">
        <v>1</v>
      </c>
      <c r="K41" s="4" t="s">
        <v>447</v>
      </c>
      <c r="L41" s="4">
        <v>25</v>
      </c>
      <c r="M41" s="4">
        <f t="shared" si="0"/>
        <v>3</v>
      </c>
      <c r="N41" s="40">
        <f t="shared" si="1"/>
        <v>12</v>
      </c>
      <c r="O41" s="4">
        <v>15</v>
      </c>
      <c r="P41" s="4"/>
    </row>
    <row r="42" spans="1:16" ht="20.100000000000001" customHeight="1" x14ac:dyDescent="0.25">
      <c r="A42" s="7">
        <v>35</v>
      </c>
      <c r="B42" s="34"/>
      <c r="C42" s="39" t="s">
        <v>104</v>
      </c>
      <c r="D42" s="39" t="s">
        <v>420</v>
      </c>
      <c r="E42" s="7" t="s">
        <v>379</v>
      </c>
      <c r="F42" s="4">
        <v>0</v>
      </c>
      <c r="G42" s="4">
        <v>4</v>
      </c>
      <c r="H42" s="4">
        <v>5</v>
      </c>
      <c r="I42" s="4">
        <v>4</v>
      </c>
      <c r="J42" s="4">
        <v>4</v>
      </c>
      <c r="K42" s="4" t="s">
        <v>446</v>
      </c>
      <c r="L42" s="4">
        <v>25</v>
      </c>
      <c r="M42" s="4">
        <f t="shared" si="0"/>
        <v>17</v>
      </c>
      <c r="N42" s="40">
        <f t="shared" si="1"/>
        <v>68</v>
      </c>
      <c r="O42" s="4">
        <v>20</v>
      </c>
      <c r="P42" s="4"/>
    </row>
    <row r="43" spans="1:16" ht="20.100000000000001" customHeight="1" x14ac:dyDescent="0.25">
      <c r="A43" s="7">
        <v>36</v>
      </c>
      <c r="B43" s="34"/>
      <c r="C43" s="39" t="s">
        <v>421</v>
      </c>
      <c r="D43" s="39" t="s">
        <v>60</v>
      </c>
      <c r="E43" s="7" t="s">
        <v>379</v>
      </c>
      <c r="F43" s="4">
        <v>2</v>
      </c>
      <c r="G43" s="4">
        <v>4</v>
      </c>
      <c r="H43" s="4">
        <v>5</v>
      </c>
      <c r="I43" s="4">
        <v>1</v>
      </c>
      <c r="J43" s="4">
        <v>1</v>
      </c>
      <c r="K43" s="4" t="s">
        <v>447</v>
      </c>
      <c r="L43" s="4">
        <v>25</v>
      </c>
      <c r="M43" s="4">
        <f t="shared" si="0"/>
        <v>13</v>
      </c>
      <c r="N43" s="40">
        <f t="shared" si="1"/>
        <v>52</v>
      </c>
      <c r="O43" s="4">
        <v>11</v>
      </c>
      <c r="P43" s="4"/>
    </row>
    <row r="44" spans="1:16" ht="20.100000000000001" customHeight="1" x14ac:dyDescent="0.25">
      <c r="A44" s="7">
        <v>37</v>
      </c>
      <c r="B44" s="34"/>
      <c r="C44" s="39" t="s">
        <v>422</v>
      </c>
      <c r="D44" s="39" t="s">
        <v>297</v>
      </c>
      <c r="E44" s="7" t="s">
        <v>379</v>
      </c>
      <c r="F44" s="4">
        <v>1</v>
      </c>
      <c r="G44" s="4">
        <v>1</v>
      </c>
      <c r="H44" s="4">
        <v>2</v>
      </c>
      <c r="I44" s="4">
        <v>2</v>
      </c>
      <c r="J44" s="4">
        <v>2</v>
      </c>
      <c r="K44" s="4" t="s">
        <v>447</v>
      </c>
      <c r="L44" s="4">
        <v>25</v>
      </c>
      <c r="M44" s="4">
        <f t="shared" si="0"/>
        <v>8</v>
      </c>
      <c r="N44" s="40">
        <f t="shared" si="1"/>
        <v>32</v>
      </c>
      <c r="O44" s="4">
        <v>20</v>
      </c>
      <c r="P44" s="4"/>
    </row>
    <row r="45" spans="1:16" ht="20.100000000000001" customHeight="1" x14ac:dyDescent="0.25">
      <c r="A45" s="7">
        <v>38</v>
      </c>
      <c r="B45" s="34"/>
      <c r="C45" s="39" t="s">
        <v>248</v>
      </c>
      <c r="D45" s="39" t="s">
        <v>354</v>
      </c>
      <c r="E45" s="7" t="s">
        <v>379</v>
      </c>
      <c r="F45" s="4">
        <v>2</v>
      </c>
      <c r="G45" s="4">
        <v>5</v>
      </c>
      <c r="H45" s="4">
        <v>5</v>
      </c>
      <c r="I45" s="4">
        <v>4</v>
      </c>
      <c r="J45" s="4">
        <v>4</v>
      </c>
      <c r="K45" s="4" t="s">
        <v>446</v>
      </c>
      <c r="L45" s="4">
        <v>25</v>
      </c>
      <c r="M45" s="4">
        <f t="shared" si="0"/>
        <v>20</v>
      </c>
      <c r="N45" s="40">
        <f t="shared" si="1"/>
        <v>80</v>
      </c>
      <c r="O45" s="4">
        <v>10</v>
      </c>
      <c r="P45" s="4"/>
    </row>
    <row r="46" spans="1:16" ht="20.100000000000001" customHeight="1" x14ac:dyDescent="0.25">
      <c r="A46" s="7">
        <v>39</v>
      </c>
      <c r="B46" s="34"/>
      <c r="C46" s="39" t="s">
        <v>423</v>
      </c>
      <c r="D46" s="39" t="s">
        <v>424</v>
      </c>
      <c r="E46" s="7" t="s">
        <v>379</v>
      </c>
      <c r="F46" s="4">
        <v>0</v>
      </c>
      <c r="G46" s="4">
        <v>0</v>
      </c>
      <c r="H46" s="4">
        <v>3</v>
      </c>
      <c r="I46" s="4">
        <v>0</v>
      </c>
      <c r="J46" s="4">
        <v>0</v>
      </c>
      <c r="K46" s="4" t="s">
        <v>447</v>
      </c>
      <c r="L46" s="4">
        <v>25</v>
      </c>
      <c r="M46" s="4">
        <f t="shared" si="0"/>
        <v>3</v>
      </c>
      <c r="N46" s="40">
        <f t="shared" si="1"/>
        <v>12</v>
      </c>
      <c r="O46" s="4">
        <v>24</v>
      </c>
      <c r="P46" s="4"/>
    </row>
    <row r="47" spans="1:16" ht="20.100000000000001" customHeight="1" x14ac:dyDescent="0.25">
      <c r="A47" s="7">
        <v>40</v>
      </c>
      <c r="B47" s="34"/>
      <c r="C47" s="39" t="s">
        <v>425</v>
      </c>
      <c r="D47" s="39" t="s">
        <v>96</v>
      </c>
      <c r="E47" s="7" t="s">
        <v>379</v>
      </c>
      <c r="F47" s="4">
        <v>1</v>
      </c>
      <c r="G47" s="4">
        <v>5</v>
      </c>
      <c r="H47" s="4">
        <v>1</v>
      </c>
      <c r="I47" s="4">
        <v>1</v>
      </c>
      <c r="J47" s="4">
        <v>1</v>
      </c>
      <c r="K47" s="4" t="s">
        <v>447</v>
      </c>
      <c r="L47" s="4">
        <v>25</v>
      </c>
      <c r="M47" s="4">
        <f t="shared" si="0"/>
        <v>9</v>
      </c>
      <c r="N47" s="40">
        <f t="shared" si="1"/>
        <v>36</v>
      </c>
      <c r="O47" s="4">
        <v>19</v>
      </c>
      <c r="P47" s="4"/>
    </row>
    <row r="48" spans="1:16" ht="20.100000000000001" customHeight="1" x14ac:dyDescent="0.25">
      <c r="A48" s="7">
        <v>41</v>
      </c>
      <c r="B48" s="34"/>
      <c r="C48" s="39" t="s">
        <v>426</v>
      </c>
      <c r="D48" s="39" t="s">
        <v>427</v>
      </c>
      <c r="E48" s="7" t="s">
        <v>379</v>
      </c>
      <c r="F48" s="4">
        <v>2</v>
      </c>
      <c r="G48" s="4">
        <v>1</v>
      </c>
      <c r="H48" s="4">
        <v>1</v>
      </c>
      <c r="I48" s="4">
        <v>2</v>
      </c>
      <c r="J48" s="4">
        <v>1</v>
      </c>
      <c r="K48" s="4" t="s">
        <v>447</v>
      </c>
      <c r="L48" s="4">
        <v>25</v>
      </c>
      <c r="M48" s="4">
        <f t="shared" si="0"/>
        <v>7</v>
      </c>
      <c r="N48" s="40">
        <f t="shared" si="1"/>
        <v>28.000000000000004</v>
      </c>
      <c r="O48" s="4">
        <v>21</v>
      </c>
      <c r="P48" s="4"/>
    </row>
    <row r="49" spans="1:16" ht="20.100000000000001" customHeight="1" x14ac:dyDescent="0.25">
      <c r="A49" s="7">
        <v>42</v>
      </c>
      <c r="B49" s="37"/>
      <c r="C49" s="39" t="s">
        <v>428</v>
      </c>
      <c r="D49" s="39" t="s">
        <v>231</v>
      </c>
      <c r="E49" s="7" t="s">
        <v>379</v>
      </c>
      <c r="F49" s="4">
        <v>2</v>
      </c>
      <c r="G49" s="4">
        <v>4</v>
      </c>
      <c r="H49" s="4">
        <v>5</v>
      </c>
      <c r="I49" s="4">
        <v>2</v>
      </c>
      <c r="J49" s="4">
        <v>0</v>
      </c>
      <c r="K49" s="4" t="s">
        <v>447</v>
      </c>
      <c r="L49" s="4">
        <v>25</v>
      </c>
      <c r="M49" s="4">
        <f t="shared" si="0"/>
        <v>13</v>
      </c>
      <c r="N49" s="40">
        <f t="shared" si="1"/>
        <v>52</v>
      </c>
      <c r="O49" s="4">
        <v>24</v>
      </c>
      <c r="P49" s="4"/>
    </row>
    <row r="50" spans="1:16" ht="20.100000000000001" customHeight="1" x14ac:dyDescent="0.25">
      <c r="A50" s="7">
        <v>43</v>
      </c>
      <c r="B50" s="34"/>
      <c r="C50" s="39" t="s">
        <v>429</v>
      </c>
      <c r="D50" s="39" t="s">
        <v>430</v>
      </c>
      <c r="E50" s="7" t="s">
        <v>379</v>
      </c>
      <c r="F50" s="4">
        <v>2</v>
      </c>
      <c r="G50" s="4">
        <v>5</v>
      </c>
      <c r="H50" s="4">
        <v>5</v>
      </c>
      <c r="I50" s="4">
        <v>4</v>
      </c>
      <c r="J50" s="4">
        <v>4</v>
      </c>
      <c r="K50" s="4" t="s">
        <v>446</v>
      </c>
      <c r="L50" s="4">
        <v>25</v>
      </c>
      <c r="M50" s="4">
        <f t="shared" si="0"/>
        <v>20</v>
      </c>
      <c r="N50" s="40">
        <f t="shared" si="1"/>
        <v>80</v>
      </c>
      <c r="O50" s="4">
        <v>22</v>
      </c>
      <c r="P50" s="4"/>
    </row>
    <row r="51" spans="1:16" ht="20.100000000000001" customHeight="1" x14ac:dyDescent="0.25">
      <c r="A51" s="7">
        <v>44</v>
      </c>
      <c r="B51" s="34"/>
      <c r="C51" s="39" t="s">
        <v>431</v>
      </c>
      <c r="D51" s="39" t="s">
        <v>58</v>
      </c>
      <c r="E51" s="7" t="s">
        <v>379</v>
      </c>
      <c r="F51" s="4">
        <v>1</v>
      </c>
      <c r="G51" s="4">
        <v>4</v>
      </c>
      <c r="H51" s="4">
        <v>4</v>
      </c>
      <c r="I51" s="4">
        <v>3</v>
      </c>
      <c r="J51" s="4">
        <v>1</v>
      </c>
      <c r="K51" s="4" t="s">
        <v>447</v>
      </c>
      <c r="L51" s="4">
        <v>25</v>
      </c>
      <c r="M51" s="4">
        <f t="shared" si="0"/>
        <v>13</v>
      </c>
      <c r="N51" s="40">
        <f t="shared" si="1"/>
        <v>52</v>
      </c>
      <c r="O51" s="4">
        <v>20</v>
      </c>
      <c r="P51" s="4"/>
    </row>
    <row r="52" spans="1:16" ht="20.100000000000001" customHeight="1" x14ac:dyDescent="0.25">
      <c r="A52" s="7">
        <v>45</v>
      </c>
      <c r="B52" s="34"/>
      <c r="C52" s="39" t="s">
        <v>432</v>
      </c>
      <c r="D52" s="39" t="s">
        <v>433</v>
      </c>
      <c r="E52" s="7" t="s">
        <v>379</v>
      </c>
      <c r="F52" s="4">
        <v>5</v>
      </c>
      <c r="G52" s="4">
        <v>5</v>
      </c>
      <c r="H52" s="4">
        <v>5</v>
      </c>
      <c r="I52" s="4">
        <v>1</v>
      </c>
      <c r="J52" s="4">
        <v>1</v>
      </c>
      <c r="K52" s="4" t="s">
        <v>446</v>
      </c>
      <c r="L52" s="4">
        <v>25</v>
      </c>
      <c r="M52" s="4">
        <f t="shared" si="0"/>
        <v>17</v>
      </c>
      <c r="N52" s="40">
        <f t="shared" si="1"/>
        <v>68</v>
      </c>
      <c r="O52" s="4">
        <v>21</v>
      </c>
      <c r="P52" s="4"/>
    </row>
    <row r="53" spans="1:16" ht="20.100000000000001" customHeight="1" x14ac:dyDescent="0.25">
      <c r="A53" s="7">
        <v>46</v>
      </c>
      <c r="B53" s="34"/>
      <c r="C53" s="39" t="s">
        <v>434</v>
      </c>
      <c r="D53" s="39" t="s">
        <v>435</v>
      </c>
      <c r="E53" s="7" t="s">
        <v>379</v>
      </c>
      <c r="F53" s="4">
        <v>0</v>
      </c>
      <c r="G53" s="4">
        <v>3</v>
      </c>
      <c r="H53" s="4">
        <v>5</v>
      </c>
      <c r="I53" s="4">
        <v>2</v>
      </c>
      <c r="J53" s="4">
        <v>2</v>
      </c>
      <c r="K53" s="4" t="s">
        <v>447</v>
      </c>
      <c r="L53" s="4">
        <v>25</v>
      </c>
      <c r="M53" s="4">
        <f t="shared" si="0"/>
        <v>12</v>
      </c>
      <c r="N53" s="40">
        <f t="shared" si="1"/>
        <v>48</v>
      </c>
      <c r="O53" s="4">
        <v>26</v>
      </c>
      <c r="P53" s="4"/>
    </row>
    <row r="54" spans="1:16" ht="20.100000000000001" customHeight="1" x14ac:dyDescent="0.25">
      <c r="A54" s="7">
        <v>47</v>
      </c>
      <c r="B54" s="34"/>
      <c r="C54" s="39" t="s">
        <v>436</v>
      </c>
      <c r="D54" s="39" t="s">
        <v>437</v>
      </c>
      <c r="E54" s="7" t="s">
        <v>379</v>
      </c>
      <c r="F54" s="4" t="s">
        <v>148</v>
      </c>
      <c r="G54" s="4" t="s">
        <v>148</v>
      </c>
      <c r="H54" s="4" t="s">
        <v>148</v>
      </c>
      <c r="I54" s="4" t="s">
        <v>148</v>
      </c>
      <c r="J54" s="4" t="s">
        <v>148</v>
      </c>
      <c r="K54" s="4" t="s">
        <v>447</v>
      </c>
      <c r="L54" s="4">
        <v>25</v>
      </c>
      <c r="M54" s="4">
        <f t="shared" si="0"/>
        <v>0</v>
      </c>
      <c r="N54" s="40">
        <f t="shared" si="1"/>
        <v>0</v>
      </c>
      <c r="O54" s="4" t="s">
        <v>148</v>
      </c>
      <c r="P54" s="4"/>
    </row>
    <row r="55" spans="1:16" ht="20.100000000000001" customHeight="1" x14ac:dyDescent="0.25">
      <c r="A55" s="7">
        <v>48</v>
      </c>
      <c r="B55" s="34"/>
      <c r="C55" s="39" t="s">
        <v>326</v>
      </c>
      <c r="D55" s="39" t="s">
        <v>438</v>
      </c>
      <c r="E55" s="7" t="s">
        <v>379</v>
      </c>
      <c r="F55" s="4">
        <v>0</v>
      </c>
      <c r="G55" s="4">
        <v>1</v>
      </c>
      <c r="H55" s="4">
        <v>2</v>
      </c>
      <c r="I55" s="4">
        <v>0</v>
      </c>
      <c r="J55" s="4">
        <v>0</v>
      </c>
      <c r="K55" s="4">
        <v>0</v>
      </c>
      <c r="L55" s="4">
        <v>25</v>
      </c>
      <c r="M55" s="4">
        <f t="shared" si="0"/>
        <v>3</v>
      </c>
      <c r="N55" s="40">
        <f t="shared" si="1"/>
        <v>12</v>
      </c>
      <c r="O55" s="4">
        <v>17</v>
      </c>
      <c r="P55" s="4"/>
    </row>
    <row r="56" spans="1:16" ht="20.100000000000001" customHeight="1" x14ac:dyDescent="0.25">
      <c r="A56" s="7">
        <v>49</v>
      </c>
      <c r="B56" s="34"/>
      <c r="C56" s="39" t="s">
        <v>439</v>
      </c>
      <c r="D56" s="39" t="s">
        <v>440</v>
      </c>
      <c r="E56" s="7" t="s">
        <v>379</v>
      </c>
      <c r="F56" s="4">
        <v>0</v>
      </c>
      <c r="G56" s="4">
        <v>2</v>
      </c>
      <c r="H56" s="4">
        <v>1</v>
      </c>
      <c r="I56" s="4">
        <v>0</v>
      </c>
      <c r="J56" s="4">
        <v>0</v>
      </c>
      <c r="K56" s="4">
        <v>0</v>
      </c>
      <c r="L56" s="4">
        <v>25</v>
      </c>
      <c r="M56" s="4">
        <f t="shared" si="0"/>
        <v>3</v>
      </c>
      <c r="N56" s="40">
        <f t="shared" si="1"/>
        <v>12</v>
      </c>
      <c r="O56" s="4">
        <v>20</v>
      </c>
      <c r="P56" s="4"/>
    </row>
    <row r="57" spans="1:16" ht="20.100000000000001" customHeight="1" x14ac:dyDescent="0.25">
      <c r="A57" s="7">
        <v>50</v>
      </c>
      <c r="B57" s="34"/>
      <c r="C57" s="39" t="s">
        <v>441</v>
      </c>
      <c r="D57" s="39" t="s">
        <v>435</v>
      </c>
      <c r="E57" s="7" t="s">
        <v>379</v>
      </c>
      <c r="F57" s="4">
        <v>0</v>
      </c>
      <c r="G57" s="4">
        <v>1</v>
      </c>
      <c r="H57" s="4">
        <v>2</v>
      </c>
      <c r="I57" s="4">
        <v>1</v>
      </c>
      <c r="J57" s="4">
        <v>3</v>
      </c>
      <c r="K57" s="4" t="s">
        <v>446</v>
      </c>
      <c r="L57" s="4">
        <v>25</v>
      </c>
      <c r="M57" s="4">
        <f t="shared" si="0"/>
        <v>7</v>
      </c>
      <c r="N57" s="40">
        <f t="shared" si="1"/>
        <v>28.000000000000004</v>
      </c>
      <c r="O57" s="4">
        <v>23</v>
      </c>
      <c r="P57" s="4"/>
    </row>
    <row r="58" spans="1:16" ht="20.100000000000001" customHeight="1" x14ac:dyDescent="0.25">
      <c r="A58" s="7">
        <v>51</v>
      </c>
      <c r="B58" s="34"/>
      <c r="C58" s="39" t="s">
        <v>442</v>
      </c>
      <c r="D58" s="39" t="s">
        <v>443</v>
      </c>
      <c r="E58" s="7" t="s">
        <v>379</v>
      </c>
      <c r="F58" s="4">
        <v>0</v>
      </c>
      <c r="G58" s="4">
        <v>0</v>
      </c>
      <c r="H58" s="4">
        <v>2</v>
      </c>
      <c r="I58" s="4">
        <v>0</v>
      </c>
      <c r="J58" s="4">
        <v>0</v>
      </c>
      <c r="K58" s="4" t="s">
        <v>447</v>
      </c>
      <c r="L58" s="4">
        <v>25</v>
      </c>
      <c r="M58" s="4">
        <f t="shared" si="0"/>
        <v>2</v>
      </c>
      <c r="N58" s="40">
        <f t="shared" si="1"/>
        <v>8</v>
      </c>
      <c r="O58" s="4">
        <v>24</v>
      </c>
      <c r="P58" s="4"/>
    </row>
    <row r="59" spans="1:16" ht="20.100000000000001" customHeight="1" x14ac:dyDescent="0.25">
      <c r="A59" s="7">
        <v>52</v>
      </c>
      <c r="B59" s="34"/>
      <c r="C59" s="39" t="s">
        <v>444</v>
      </c>
      <c r="D59" s="39" t="s">
        <v>445</v>
      </c>
      <c r="E59" s="7" t="s">
        <v>379</v>
      </c>
      <c r="F59" s="4">
        <v>0</v>
      </c>
      <c r="G59" s="4">
        <v>4</v>
      </c>
      <c r="H59" s="4">
        <v>3</v>
      </c>
      <c r="I59" s="4">
        <v>1</v>
      </c>
      <c r="J59" s="4">
        <v>0</v>
      </c>
      <c r="K59" s="4" t="s">
        <v>446</v>
      </c>
      <c r="L59" s="4">
        <v>25</v>
      </c>
      <c r="M59" s="4">
        <f t="shared" si="0"/>
        <v>8</v>
      </c>
      <c r="N59" s="40">
        <f t="shared" si="1"/>
        <v>32</v>
      </c>
      <c r="O59" s="4">
        <v>26</v>
      </c>
      <c r="P59" s="4"/>
    </row>
  </sheetData>
  <mergeCells count="15">
    <mergeCell ref="N3:N5"/>
    <mergeCell ref="O3:O5"/>
    <mergeCell ref="P3:P5"/>
    <mergeCell ref="A6:P6"/>
    <mergeCell ref="A33:P33"/>
    <mergeCell ref="A1:P1"/>
    <mergeCell ref="A2:P2"/>
    <mergeCell ref="A3:A5"/>
    <mergeCell ref="B3:B5"/>
    <mergeCell ref="C3:C5"/>
    <mergeCell ref="D3:D5"/>
    <mergeCell ref="E3:E5"/>
    <mergeCell ref="F3:K3"/>
    <mergeCell ref="L3:L4"/>
    <mergeCell ref="M3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343F-7B33-45F4-9A84-961828A8936B}">
  <dimension ref="A1:Q61"/>
  <sheetViews>
    <sheetView topLeftCell="A51" workbookViewId="0">
      <selection activeCell="P62" sqref="P62"/>
    </sheetView>
  </sheetViews>
  <sheetFormatPr defaultRowHeight="15" x14ac:dyDescent="0.25"/>
  <cols>
    <col min="1" max="2" width="3.140625" bestFit="1" customWidth="1"/>
    <col min="3" max="3" width="12.28515625" customWidth="1"/>
    <col min="4" max="4" width="13.7109375" customWidth="1"/>
    <col min="6" max="16" width="7.7109375" customWidth="1"/>
  </cols>
  <sheetData>
    <row r="1" spans="1:17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25">
      <c r="A3" s="19" t="s">
        <v>2</v>
      </c>
      <c r="B3" s="19" t="s">
        <v>3</v>
      </c>
      <c r="C3" s="19" t="s">
        <v>5</v>
      </c>
      <c r="D3" s="19" t="s">
        <v>6</v>
      </c>
      <c r="E3" s="19" t="s">
        <v>4</v>
      </c>
      <c r="F3" s="23" t="s">
        <v>7</v>
      </c>
      <c r="G3" s="23"/>
      <c r="H3" s="23"/>
      <c r="I3" s="23"/>
      <c r="J3" s="23"/>
      <c r="K3" s="23"/>
      <c r="L3" s="23"/>
      <c r="M3" s="19" t="s">
        <v>15</v>
      </c>
      <c r="N3" s="19" t="s">
        <v>16</v>
      </c>
      <c r="O3" s="19" t="s">
        <v>17</v>
      </c>
      <c r="P3" s="19" t="s">
        <v>13</v>
      </c>
      <c r="Q3" s="19" t="s">
        <v>18</v>
      </c>
    </row>
    <row r="4" spans="1:17" ht="36.75" x14ac:dyDescent="0.25">
      <c r="A4" s="19"/>
      <c r="B4" s="19"/>
      <c r="C4" s="19"/>
      <c r="D4" s="19"/>
      <c r="E4" s="19"/>
      <c r="F4" s="2" t="s">
        <v>125</v>
      </c>
      <c r="G4" s="2" t="s">
        <v>10</v>
      </c>
      <c r="H4" s="2" t="s">
        <v>279</v>
      </c>
      <c r="I4" s="2" t="s">
        <v>11</v>
      </c>
      <c r="J4" s="2" t="s">
        <v>9</v>
      </c>
      <c r="K4" s="2" t="s">
        <v>182</v>
      </c>
      <c r="L4" s="2" t="s">
        <v>280</v>
      </c>
      <c r="M4" s="19"/>
      <c r="N4" s="19"/>
      <c r="O4" s="19"/>
      <c r="P4" s="19"/>
      <c r="Q4" s="19"/>
    </row>
    <row r="5" spans="1:17" x14ac:dyDescent="0.25">
      <c r="A5" s="19"/>
      <c r="B5" s="19"/>
      <c r="C5" s="19"/>
      <c r="D5" s="19"/>
      <c r="E5" s="19"/>
      <c r="F5" s="3">
        <v>5</v>
      </c>
      <c r="G5" s="3">
        <v>5</v>
      </c>
      <c r="H5" s="3">
        <v>5</v>
      </c>
      <c r="I5" s="3">
        <v>5</v>
      </c>
      <c r="J5" s="3">
        <v>5</v>
      </c>
      <c r="K5" s="3">
        <v>5</v>
      </c>
      <c r="L5" s="3" t="s">
        <v>281</v>
      </c>
      <c r="M5" s="3">
        <v>30</v>
      </c>
      <c r="N5" s="19"/>
      <c r="O5" s="19"/>
      <c r="P5" s="19"/>
      <c r="Q5" s="19"/>
    </row>
    <row r="6" spans="1:17" ht="21" x14ac:dyDescent="0.35">
      <c r="A6" s="38" t="s">
        <v>225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</row>
    <row r="7" spans="1:17" ht="27" customHeight="1" x14ac:dyDescent="0.25">
      <c r="A7" s="7">
        <v>1</v>
      </c>
      <c r="B7" s="34"/>
      <c r="C7" s="41" t="s">
        <v>448</v>
      </c>
      <c r="D7" s="41" t="s">
        <v>449</v>
      </c>
      <c r="E7" s="7" t="s">
        <v>450</v>
      </c>
      <c r="F7" s="4">
        <v>1</v>
      </c>
      <c r="G7" s="4">
        <v>4</v>
      </c>
      <c r="H7" s="4">
        <v>4</v>
      </c>
      <c r="I7" s="4">
        <v>3</v>
      </c>
      <c r="J7" s="4">
        <v>3.5</v>
      </c>
      <c r="K7" s="4">
        <v>2.5</v>
      </c>
      <c r="L7" s="4" t="s">
        <v>447</v>
      </c>
      <c r="M7" s="4">
        <v>30</v>
      </c>
      <c r="N7" s="4">
        <f>SUM(F7:K7)</f>
        <v>18</v>
      </c>
      <c r="O7" s="4">
        <f>N7/M7*100</f>
        <v>60</v>
      </c>
      <c r="P7" s="4">
        <v>39</v>
      </c>
      <c r="Q7" s="4"/>
    </row>
    <row r="8" spans="1:17" ht="27" customHeight="1" x14ac:dyDescent="0.25">
      <c r="A8" s="7">
        <v>2</v>
      </c>
      <c r="B8" s="34"/>
      <c r="C8" s="41" t="s">
        <v>451</v>
      </c>
      <c r="D8" s="41" t="s">
        <v>352</v>
      </c>
      <c r="E8" s="7" t="s">
        <v>450</v>
      </c>
      <c r="F8" s="4">
        <v>0</v>
      </c>
      <c r="G8" s="4">
        <v>2.5</v>
      </c>
      <c r="H8" s="4">
        <v>1.5</v>
      </c>
      <c r="I8" s="4">
        <v>1</v>
      </c>
      <c r="J8" s="4">
        <v>2.5</v>
      </c>
      <c r="K8" s="4">
        <v>0.5</v>
      </c>
      <c r="L8" s="4" t="s">
        <v>447</v>
      </c>
      <c r="M8" s="4">
        <v>30</v>
      </c>
      <c r="N8" s="4">
        <f t="shared" ref="N8:N61" si="0">SUM(F8:K8)</f>
        <v>8</v>
      </c>
      <c r="O8" s="4">
        <f t="shared" ref="O8:O61" si="1">N8/M8*100</f>
        <v>26.666666666666668</v>
      </c>
      <c r="P8" s="4">
        <v>39</v>
      </c>
      <c r="Q8" s="4"/>
    </row>
    <row r="9" spans="1:17" ht="27" customHeight="1" x14ac:dyDescent="0.25">
      <c r="A9" s="7">
        <v>3</v>
      </c>
      <c r="B9" s="34"/>
      <c r="C9" s="41" t="s">
        <v>452</v>
      </c>
      <c r="D9" s="41" t="s">
        <v>453</v>
      </c>
      <c r="E9" s="7" t="s">
        <v>450</v>
      </c>
      <c r="F9" s="4">
        <v>4</v>
      </c>
      <c r="G9" s="4">
        <v>0.5</v>
      </c>
      <c r="H9" s="4">
        <v>5</v>
      </c>
      <c r="I9" s="4">
        <v>4.5</v>
      </c>
      <c r="J9" s="4">
        <v>5</v>
      </c>
      <c r="K9" s="4">
        <v>3.5</v>
      </c>
      <c r="L9" s="4" t="s">
        <v>446</v>
      </c>
      <c r="M9" s="4">
        <v>30</v>
      </c>
      <c r="N9" s="4">
        <f t="shared" si="0"/>
        <v>22.5</v>
      </c>
      <c r="O9" s="4">
        <f t="shared" si="1"/>
        <v>75</v>
      </c>
      <c r="P9" s="4">
        <v>43</v>
      </c>
      <c r="Q9" s="4"/>
    </row>
    <row r="10" spans="1:17" ht="27" customHeight="1" x14ac:dyDescent="0.25">
      <c r="A10" s="7">
        <v>4</v>
      </c>
      <c r="B10" s="34"/>
      <c r="C10" s="41" t="s">
        <v>454</v>
      </c>
      <c r="D10" s="41" t="s">
        <v>411</v>
      </c>
      <c r="E10" s="7" t="s">
        <v>450</v>
      </c>
      <c r="F10" s="4">
        <v>0</v>
      </c>
      <c r="G10" s="4">
        <v>3</v>
      </c>
      <c r="H10" s="4">
        <v>1.5</v>
      </c>
      <c r="I10" s="4">
        <v>0.5</v>
      </c>
      <c r="J10" s="4">
        <v>3.5</v>
      </c>
      <c r="K10" s="4">
        <v>0</v>
      </c>
      <c r="L10" s="4" t="s">
        <v>446</v>
      </c>
      <c r="M10" s="4">
        <v>30</v>
      </c>
      <c r="N10" s="4">
        <f t="shared" si="0"/>
        <v>8.5</v>
      </c>
      <c r="O10" s="4">
        <f t="shared" si="1"/>
        <v>28.333333333333332</v>
      </c>
      <c r="P10" s="4">
        <v>34</v>
      </c>
      <c r="Q10" s="4"/>
    </row>
    <row r="11" spans="1:17" ht="27" customHeight="1" x14ac:dyDescent="0.25">
      <c r="A11" s="7">
        <v>5</v>
      </c>
      <c r="B11" s="34"/>
      <c r="C11" s="41" t="s">
        <v>112</v>
      </c>
      <c r="D11" s="41" t="s">
        <v>455</v>
      </c>
      <c r="E11" s="7" t="s">
        <v>450</v>
      </c>
      <c r="F11" s="4">
        <v>0</v>
      </c>
      <c r="G11" s="4">
        <v>2.5</v>
      </c>
      <c r="H11" s="4">
        <v>4</v>
      </c>
      <c r="I11" s="4">
        <v>2</v>
      </c>
      <c r="J11" s="4">
        <v>2.5</v>
      </c>
      <c r="K11" s="4">
        <v>0</v>
      </c>
      <c r="L11" s="4" t="s">
        <v>447</v>
      </c>
      <c r="M11" s="4">
        <v>30</v>
      </c>
      <c r="N11" s="4">
        <f t="shared" si="0"/>
        <v>11</v>
      </c>
      <c r="O11" s="4">
        <f t="shared" si="1"/>
        <v>36.666666666666664</v>
      </c>
      <c r="P11" s="4">
        <v>38</v>
      </c>
      <c r="Q11" s="4"/>
    </row>
    <row r="12" spans="1:17" ht="27" customHeight="1" x14ac:dyDescent="0.25">
      <c r="A12" s="7">
        <v>6</v>
      </c>
      <c r="B12" s="34"/>
      <c r="C12" s="41" t="s">
        <v>456</v>
      </c>
      <c r="D12" s="41" t="s">
        <v>457</v>
      </c>
      <c r="E12" s="7" t="s">
        <v>450</v>
      </c>
      <c r="F12" s="4">
        <v>0</v>
      </c>
      <c r="G12" s="4">
        <v>4</v>
      </c>
      <c r="H12" s="4">
        <v>3.5</v>
      </c>
      <c r="I12" s="4">
        <v>2.5</v>
      </c>
      <c r="J12" s="4">
        <v>4.5</v>
      </c>
      <c r="K12" s="4">
        <v>0</v>
      </c>
      <c r="L12" s="4" t="s">
        <v>447</v>
      </c>
      <c r="M12" s="4">
        <v>30</v>
      </c>
      <c r="N12" s="4">
        <f t="shared" si="0"/>
        <v>14.5</v>
      </c>
      <c r="O12" s="4">
        <f t="shared" si="1"/>
        <v>48.333333333333336</v>
      </c>
      <c r="P12" s="4">
        <v>42</v>
      </c>
      <c r="Q12" s="4"/>
    </row>
    <row r="13" spans="1:17" ht="27" customHeight="1" x14ac:dyDescent="0.25">
      <c r="A13" s="7">
        <v>7</v>
      </c>
      <c r="B13" s="34"/>
      <c r="C13" s="41" t="s">
        <v>458</v>
      </c>
      <c r="D13" s="41" t="s">
        <v>56</v>
      </c>
      <c r="E13" s="7" t="s">
        <v>450</v>
      </c>
      <c r="F13" s="4">
        <v>0</v>
      </c>
      <c r="G13" s="4">
        <v>3.5</v>
      </c>
      <c r="H13" s="4">
        <v>2.5</v>
      </c>
      <c r="I13" s="4">
        <v>1</v>
      </c>
      <c r="J13" s="4">
        <v>3</v>
      </c>
      <c r="K13" s="4">
        <v>0</v>
      </c>
      <c r="L13" s="4" t="s">
        <v>446</v>
      </c>
      <c r="M13" s="4">
        <v>30</v>
      </c>
      <c r="N13" s="4">
        <f t="shared" si="0"/>
        <v>10</v>
      </c>
      <c r="O13" s="4">
        <f t="shared" si="1"/>
        <v>33.333333333333329</v>
      </c>
      <c r="P13" s="4">
        <v>37</v>
      </c>
      <c r="Q13" s="4"/>
    </row>
    <row r="14" spans="1:17" ht="27" customHeight="1" x14ac:dyDescent="0.25">
      <c r="A14" s="7">
        <v>8</v>
      </c>
      <c r="B14" s="34"/>
      <c r="C14" s="41" t="s">
        <v>372</v>
      </c>
      <c r="D14" s="41" t="s">
        <v>459</v>
      </c>
      <c r="E14" s="7" t="s">
        <v>450</v>
      </c>
      <c r="F14" s="4" t="s">
        <v>148</v>
      </c>
      <c r="G14" s="4" t="s">
        <v>148</v>
      </c>
      <c r="H14" s="4" t="s">
        <v>148</v>
      </c>
      <c r="I14" s="4" t="s">
        <v>148</v>
      </c>
      <c r="J14" s="4" t="s">
        <v>148</v>
      </c>
      <c r="K14" s="4" t="s">
        <v>148</v>
      </c>
      <c r="L14" s="4" t="s">
        <v>148</v>
      </c>
      <c r="M14" s="4">
        <v>30</v>
      </c>
      <c r="N14" s="4">
        <f t="shared" si="0"/>
        <v>0</v>
      </c>
      <c r="O14" s="4">
        <f t="shared" si="1"/>
        <v>0</v>
      </c>
      <c r="P14" s="4" t="s">
        <v>148</v>
      </c>
      <c r="Q14" s="4"/>
    </row>
    <row r="15" spans="1:17" ht="27" customHeight="1" x14ac:dyDescent="0.25">
      <c r="A15" s="7">
        <v>9</v>
      </c>
      <c r="B15" s="34"/>
      <c r="C15" s="41" t="s">
        <v>58</v>
      </c>
      <c r="D15" s="41" t="s">
        <v>460</v>
      </c>
      <c r="E15" s="7" t="s">
        <v>450</v>
      </c>
      <c r="F15" s="4">
        <v>0</v>
      </c>
      <c r="G15" s="4">
        <v>4</v>
      </c>
      <c r="H15" s="4">
        <v>4</v>
      </c>
      <c r="I15" s="4">
        <v>2.5</v>
      </c>
      <c r="J15" s="4">
        <v>4</v>
      </c>
      <c r="K15" s="4">
        <v>0</v>
      </c>
      <c r="L15" s="4" t="s">
        <v>447</v>
      </c>
      <c r="M15" s="4">
        <v>30</v>
      </c>
      <c r="N15" s="4">
        <f t="shared" si="0"/>
        <v>14.5</v>
      </c>
      <c r="O15" s="4">
        <f t="shared" si="1"/>
        <v>48.333333333333336</v>
      </c>
      <c r="P15" s="4">
        <v>13</v>
      </c>
      <c r="Q15" s="4"/>
    </row>
    <row r="16" spans="1:17" ht="27" customHeight="1" x14ac:dyDescent="0.25">
      <c r="A16" s="7">
        <v>10</v>
      </c>
      <c r="B16" s="34"/>
      <c r="C16" s="41" t="s">
        <v>461</v>
      </c>
      <c r="D16" s="41" t="s">
        <v>462</v>
      </c>
      <c r="E16" s="7" t="s">
        <v>450</v>
      </c>
      <c r="F16" s="4">
        <v>0</v>
      </c>
      <c r="G16" s="4">
        <v>3</v>
      </c>
      <c r="H16" s="4">
        <v>1.5</v>
      </c>
      <c r="I16" s="4">
        <v>1.5</v>
      </c>
      <c r="J16" s="4">
        <v>3.5</v>
      </c>
      <c r="K16" s="4">
        <v>0</v>
      </c>
      <c r="L16" s="4" t="s">
        <v>446</v>
      </c>
      <c r="M16" s="4">
        <v>30</v>
      </c>
      <c r="N16" s="4">
        <f t="shared" si="0"/>
        <v>9.5</v>
      </c>
      <c r="O16" s="4">
        <f t="shared" si="1"/>
        <v>31.666666666666664</v>
      </c>
      <c r="P16" s="4">
        <v>28</v>
      </c>
      <c r="Q16" s="4"/>
    </row>
    <row r="17" spans="1:17" ht="27" customHeight="1" x14ac:dyDescent="0.25">
      <c r="A17" s="7">
        <v>11</v>
      </c>
      <c r="B17" s="34"/>
      <c r="C17" s="41" t="s">
        <v>463</v>
      </c>
      <c r="D17" s="41" t="s">
        <v>464</v>
      </c>
      <c r="E17" s="7" t="s">
        <v>450</v>
      </c>
      <c r="F17" s="4">
        <v>0</v>
      </c>
      <c r="G17" s="4">
        <v>0.5</v>
      </c>
      <c r="H17" s="4">
        <v>1.5</v>
      </c>
      <c r="I17" s="4">
        <v>0</v>
      </c>
      <c r="J17" s="4">
        <v>1.5</v>
      </c>
      <c r="K17" s="4">
        <v>0</v>
      </c>
      <c r="L17" s="4" t="s">
        <v>447</v>
      </c>
      <c r="M17" s="4">
        <v>30</v>
      </c>
      <c r="N17" s="4">
        <f t="shared" si="0"/>
        <v>3.5</v>
      </c>
      <c r="O17" s="4">
        <f t="shared" si="1"/>
        <v>11.666666666666666</v>
      </c>
      <c r="P17" s="4">
        <v>23</v>
      </c>
      <c r="Q17" s="4"/>
    </row>
    <row r="18" spans="1:17" ht="27" customHeight="1" x14ac:dyDescent="0.25">
      <c r="A18" s="7">
        <v>12</v>
      </c>
      <c r="B18" s="34"/>
      <c r="C18" s="41" t="s">
        <v>465</v>
      </c>
      <c r="D18" s="41" t="s">
        <v>466</v>
      </c>
      <c r="E18" s="7" t="s">
        <v>450</v>
      </c>
      <c r="F18" s="4">
        <v>1</v>
      </c>
      <c r="G18" s="4">
        <v>4.5</v>
      </c>
      <c r="H18" s="4">
        <v>0.5</v>
      </c>
      <c r="I18" s="4">
        <v>3.5</v>
      </c>
      <c r="J18" s="4">
        <v>5</v>
      </c>
      <c r="K18" s="4">
        <v>0</v>
      </c>
      <c r="L18" s="4" t="s">
        <v>446</v>
      </c>
      <c r="M18" s="4">
        <v>30</v>
      </c>
      <c r="N18" s="4">
        <f t="shared" si="0"/>
        <v>14.5</v>
      </c>
      <c r="O18" s="4">
        <f t="shared" si="1"/>
        <v>48.333333333333336</v>
      </c>
      <c r="P18" s="4">
        <v>31</v>
      </c>
      <c r="Q18" s="4"/>
    </row>
    <row r="19" spans="1:17" ht="27" customHeight="1" x14ac:dyDescent="0.25">
      <c r="A19" s="7">
        <v>13</v>
      </c>
      <c r="B19" s="34"/>
      <c r="C19" s="41" t="s">
        <v>467</v>
      </c>
      <c r="D19" s="41" t="s">
        <v>115</v>
      </c>
      <c r="E19" s="7" t="s">
        <v>450</v>
      </c>
      <c r="F19" s="4">
        <v>0</v>
      </c>
      <c r="G19" s="4">
        <v>3.5</v>
      </c>
      <c r="H19" s="4">
        <v>1.5</v>
      </c>
      <c r="I19" s="4">
        <v>0.5</v>
      </c>
      <c r="J19" s="4">
        <v>2</v>
      </c>
      <c r="K19" s="4">
        <v>0</v>
      </c>
      <c r="L19" s="4" t="s">
        <v>447</v>
      </c>
      <c r="M19" s="4">
        <v>30</v>
      </c>
      <c r="N19" s="4">
        <f t="shared" si="0"/>
        <v>7.5</v>
      </c>
      <c r="O19" s="4">
        <f t="shared" si="1"/>
        <v>25</v>
      </c>
      <c r="P19" s="4">
        <v>35</v>
      </c>
      <c r="Q19" s="4"/>
    </row>
    <row r="20" spans="1:17" ht="27" customHeight="1" x14ac:dyDescent="0.25">
      <c r="A20" s="7">
        <v>14</v>
      </c>
      <c r="B20" s="34"/>
      <c r="C20" s="41" t="s">
        <v>468</v>
      </c>
      <c r="D20" s="41" t="s">
        <v>66</v>
      </c>
      <c r="E20" s="7" t="s">
        <v>450</v>
      </c>
      <c r="F20" s="4">
        <v>3</v>
      </c>
      <c r="G20" s="4">
        <v>4</v>
      </c>
      <c r="H20" s="4">
        <v>2.5</v>
      </c>
      <c r="I20" s="4">
        <v>1.5</v>
      </c>
      <c r="J20" s="4">
        <v>2.5</v>
      </c>
      <c r="K20" s="4">
        <v>0.5</v>
      </c>
      <c r="L20" s="4" t="s">
        <v>447</v>
      </c>
      <c r="M20" s="4">
        <v>30</v>
      </c>
      <c r="N20" s="4">
        <f t="shared" si="0"/>
        <v>14</v>
      </c>
      <c r="O20" s="4">
        <f t="shared" si="1"/>
        <v>46.666666666666664</v>
      </c>
      <c r="P20" s="4">
        <v>40</v>
      </c>
      <c r="Q20" s="4"/>
    </row>
    <row r="21" spans="1:17" ht="27" customHeight="1" x14ac:dyDescent="0.25">
      <c r="A21" s="7">
        <v>15</v>
      </c>
      <c r="B21" s="34"/>
      <c r="C21" s="41" t="s">
        <v>469</v>
      </c>
      <c r="D21" s="41" t="s">
        <v>470</v>
      </c>
      <c r="E21" s="7" t="s">
        <v>450</v>
      </c>
      <c r="F21" s="4">
        <v>4</v>
      </c>
      <c r="G21" s="4">
        <v>5</v>
      </c>
      <c r="H21" s="4">
        <v>5</v>
      </c>
      <c r="I21" s="4">
        <v>4.5</v>
      </c>
      <c r="J21" s="4">
        <v>5</v>
      </c>
      <c r="K21" s="4">
        <v>2</v>
      </c>
      <c r="L21" s="4" t="s">
        <v>446</v>
      </c>
      <c r="M21" s="4">
        <v>30</v>
      </c>
      <c r="N21" s="4">
        <f t="shared" si="0"/>
        <v>25.5</v>
      </c>
      <c r="O21" s="4">
        <f t="shared" si="1"/>
        <v>85</v>
      </c>
      <c r="P21" s="4">
        <v>39</v>
      </c>
      <c r="Q21" s="4"/>
    </row>
    <row r="22" spans="1:17" ht="27" customHeight="1" x14ac:dyDescent="0.25">
      <c r="A22" s="7">
        <v>16</v>
      </c>
      <c r="B22" s="34"/>
      <c r="C22" s="41" t="s">
        <v>97</v>
      </c>
      <c r="D22" s="41" t="s">
        <v>85</v>
      </c>
      <c r="E22" s="7" t="s">
        <v>450</v>
      </c>
      <c r="F22" s="4">
        <v>0</v>
      </c>
      <c r="G22" s="4">
        <v>0</v>
      </c>
      <c r="H22" s="4">
        <v>2</v>
      </c>
      <c r="I22" s="4">
        <v>0</v>
      </c>
      <c r="J22" s="4">
        <v>2</v>
      </c>
      <c r="K22" s="4">
        <v>0</v>
      </c>
      <c r="L22" s="4" t="s">
        <v>446</v>
      </c>
      <c r="M22" s="4">
        <v>30</v>
      </c>
      <c r="N22" s="4">
        <f t="shared" si="0"/>
        <v>4</v>
      </c>
      <c r="O22" s="4">
        <f t="shared" si="1"/>
        <v>13.333333333333334</v>
      </c>
      <c r="P22" s="4">
        <v>20</v>
      </c>
      <c r="Q22" s="4"/>
    </row>
    <row r="23" spans="1:17" ht="27" customHeight="1" x14ac:dyDescent="0.25">
      <c r="A23" s="7">
        <v>17</v>
      </c>
      <c r="B23" s="34"/>
      <c r="C23" s="41" t="s">
        <v>471</v>
      </c>
      <c r="D23" s="41" t="s">
        <v>472</v>
      </c>
      <c r="E23" s="7" t="s">
        <v>450</v>
      </c>
      <c r="F23" s="4" t="s">
        <v>148</v>
      </c>
      <c r="G23" s="4" t="s">
        <v>148</v>
      </c>
      <c r="H23" s="4" t="s">
        <v>148</v>
      </c>
      <c r="I23" s="4" t="s">
        <v>148</v>
      </c>
      <c r="J23" s="4" t="s">
        <v>148</v>
      </c>
      <c r="K23" s="4" t="s">
        <v>148</v>
      </c>
      <c r="L23" s="4" t="s">
        <v>148</v>
      </c>
      <c r="M23" s="4">
        <v>30</v>
      </c>
      <c r="N23" s="4">
        <f t="shared" si="0"/>
        <v>0</v>
      </c>
      <c r="O23" s="4">
        <f t="shared" si="1"/>
        <v>0</v>
      </c>
      <c r="P23" s="4" t="s">
        <v>148</v>
      </c>
      <c r="Q23" s="4"/>
    </row>
    <row r="24" spans="1:17" ht="27" customHeight="1" x14ac:dyDescent="0.25">
      <c r="A24" s="7">
        <v>18</v>
      </c>
      <c r="B24" s="34"/>
      <c r="C24" s="41" t="s">
        <v>473</v>
      </c>
      <c r="D24" s="41" t="s">
        <v>387</v>
      </c>
      <c r="E24" s="7" t="s">
        <v>450</v>
      </c>
      <c r="F24" s="4">
        <v>0</v>
      </c>
      <c r="G24" s="4">
        <v>3.5</v>
      </c>
      <c r="H24" s="4">
        <v>3.5</v>
      </c>
      <c r="I24" s="4">
        <v>1</v>
      </c>
      <c r="J24" s="4">
        <v>2.5</v>
      </c>
      <c r="K24" s="4">
        <v>0</v>
      </c>
      <c r="L24" s="4" t="s">
        <v>446</v>
      </c>
      <c r="M24" s="4">
        <v>30</v>
      </c>
      <c r="N24" s="4">
        <f t="shared" si="0"/>
        <v>10.5</v>
      </c>
      <c r="O24" s="4">
        <f t="shared" si="1"/>
        <v>35</v>
      </c>
      <c r="P24" s="4">
        <v>37</v>
      </c>
      <c r="Q24" s="4"/>
    </row>
    <row r="25" spans="1:17" ht="27" customHeight="1" x14ac:dyDescent="0.25">
      <c r="A25" s="7">
        <v>19</v>
      </c>
      <c r="B25" s="34"/>
      <c r="C25" s="41" t="s">
        <v>474</v>
      </c>
      <c r="D25" s="41" t="s">
        <v>475</v>
      </c>
      <c r="E25" s="7" t="s">
        <v>450</v>
      </c>
      <c r="F25" s="4">
        <v>0</v>
      </c>
      <c r="G25" s="4">
        <v>4</v>
      </c>
      <c r="H25" s="4">
        <v>4.5</v>
      </c>
      <c r="I25" s="4">
        <v>2</v>
      </c>
      <c r="J25" s="4">
        <v>3</v>
      </c>
      <c r="K25" s="4">
        <v>0.5</v>
      </c>
      <c r="L25" s="4" t="s">
        <v>447</v>
      </c>
      <c r="M25" s="4">
        <v>30</v>
      </c>
      <c r="N25" s="4">
        <f t="shared" si="0"/>
        <v>14</v>
      </c>
      <c r="O25" s="4">
        <f t="shared" si="1"/>
        <v>46.666666666666664</v>
      </c>
      <c r="P25" s="4">
        <v>29</v>
      </c>
      <c r="Q25" s="4"/>
    </row>
    <row r="26" spans="1:17" ht="27" customHeight="1" x14ac:dyDescent="0.25">
      <c r="A26" s="7">
        <v>20</v>
      </c>
      <c r="B26" s="34"/>
      <c r="C26" s="41" t="s">
        <v>476</v>
      </c>
      <c r="D26" s="41" t="s">
        <v>41</v>
      </c>
      <c r="E26" s="7" t="s">
        <v>450</v>
      </c>
      <c r="F26" s="4">
        <v>0</v>
      </c>
      <c r="G26" s="4">
        <v>1.5</v>
      </c>
      <c r="H26" s="4">
        <v>2</v>
      </c>
      <c r="I26" s="4">
        <v>2</v>
      </c>
      <c r="J26" s="4">
        <v>2.5</v>
      </c>
      <c r="K26" s="4">
        <v>0</v>
      </c>
      <c r="L26" s="4" t="s">
        <v>447</v>
      </c>
      <c r="M26" s="4">
        <v>30</v>
      </c>
      <c r="N26" s="4">
        <f t="shared" si="0"/>
        <v>8</v>
      </c>
      <c r="O26" s="4">
        <f t="shared" si="1"/>
        <v>26.666666666666668</v>
      </c>
      <c r="P26" s="4">
        <v>39</v>
      </c>
      <c r="Q26" s="4"/>
    </row>
    <row r="27" spans="1:17" ht="27" customHeight="1" x14ac:dyDescent="0.25">
      <c r="A27" s="7">
        <v>21</v>
      </c>
      <c r="B27" s="34"/>
      <c r="C27" s="41" t="s">
        <v>477</v>
      </c>
      <c r="D27" s="41" t="s">
        <v>412</v>
      </c>
      <c r="E27" s="7" t="s">
        <v>450</v>
      </c>
      <c r="F27" s="4">
        <v>2.5</v>
      </c>
      <c r="G27" s="4">
        <v>5</v>
      </c>
      <c r="H27" s="4">
        <v>4.5</v>
      </c>
      <c r="I27" s="4">
        <v>3.5</v>
      </c>
      <c r="J27" s="4">
        <v>3.5</v>
      </c>
      <c r="K27" s="4">
        <v>1.5</v>
      </c>
      <c r="L27" s="4" t="s">
        <v>446</v>
      </c>
      <c r="M27" s="4">
        <v>30</v>
      </c>
      <c r="N27" s="4">
        <f t="shared" si="0"/>
        <v>20.5</v>
      </c>
      <c r="O27" s="4">
        <f t="shared" si="1"/>
        <v>68.333333333333329</v>
      </c>
      <c r="P27" s="4">
        <v>41</v>
      </c>
      <c r="Q27" s="4"/>
    </row>
    <row r="28" spans="1:17" ht="27" customHeight="1" x14ac:dyDescent="0.25">
      <c r="A28" s="7">
        <v>22</v>
      </c>
      <c r="B28" s="34"/>
      <c r="C28" s="41" t="s">
        <v>478</v>
      </c>
      <c r="D28" s="41" t="s">
        <v>354</v>
      </c>
      <c r="E28" s="7" t="s">
        <v>450</v>
      </c>
      <c r="F28" s="4">
        <v>0</v>
      </c>
      <c r="G28" s="4">
        <v>3.5</v>
      </c>
      <c r="H28" s="4">
        <v>2.5</v>
      </c>
      <c r="I28" s="4">
        <v>2</v>
      </c>
      <c r="J28" s="4">
        <v>3.5</v>
      </c>
      <c r="K28" s="4">
        <v>0</v>
      </c>
      <c r="L28" s="4" t="s">
        <v>447</v>
      </c>
      <c r="M28" s="4">
        <v>30</v>
      </c>
      <c r="N28" s="4">
        <f t="shared" si="0"/>
        <v>11.5</v>
      </c>
      <c r="O28" s="4">
        <f t="shared" si="1"/>
        <v>38.333333333333336</v>
      </c>
      <c r="P28" s="4">
        <v>35</v>
      </c>
      <c r="Q28" s="4"/>
    </row>
    <row r="29" spans="1:17" ht="27" customHeight="1" x14ac:dyDescent="0.25">
      <c r="A29" s="7">
        <v>23</v>
      </c>
      <c r="B29" s="34"/>
      <c r="C29" s="41" t="s">
        <v>336</v>
      </c>
      <c r="D29" s="41" t="s">
        <v>354</v>
      </c>
      <c r="E29" s="7" t="s">
        <v>450</v>
      </c>
      <c r="F29" s="4">
        <v>0</v>
      </c>
      <c r="G29" s="4">
        <v>3.5</v>
      </c>
      <c r="H29" s="4">
        <v>3.5</v>
      </c>
      <c r="I29" s="4">
        <v>2.5</v>
      </c>
      <c r="J29" s="4">
        <v>3.5</v>
      </c>
      <c r="K29" s="4">
        <v>0</v>
      </c>
      <c r="L29" s="4" t="s">
        <v>447</v>
      </c>
      <c r="M29" s="4">
        <v>30</v>
      </c>
      <c r="N29" s="4">
        <f t="shared" si="0"/>
        <v>13</v>
      </c>
      <c r="O29" s="4">
        <f t="shared" si="1"/>
        <v>43.333333333333336</v>
      </c>
      <c r="P29" s="4">
        <v>43</v>
      </c>
      <c r="Q29" s="4"/>
    </row>
    <row r="30" spans="1:17" ht="27" customHeight="1" x14ac:dyDescent="0.25">
      <c r="A30" s="7">
        <v>24</v>
      </c>
      <c r="B30" s="34"/>
      <c r="C30" s="41" t="s">
        <v>479</v>
      </c>
      <c r="D30" s="41" t="s">
        <v>480</v>
      </c>
      <c r="E30" s="7" t="s">
        <v>450</v>
      </c>
      <c r="F30" s="4">
        <v>0</v>
      </c>
      <c r="G30" s="4">
        <v>0</v>
      </c>
      <c r="H30" s="4">
        <v>0</v>
      </c>
      <c r="I30" s="4">
        <v>0</v>
      </c>
      <c r="J30" s="4">
        <v>4.5</v>
      </c>
      <c r="K30" s="4">
        <v>0</v>
      </c>
      <c r="L30" s="4" t="s">
        <v>446</v>
      </c>
      <c r="M30" s="4">
        <v>30</v>
      </c>
      <c r="N30" s="4">
        <f t="shared" si="0"/>
        <v>4.5</v>
      </c>
      <c r="O30" s="4">
        <f t="shared" si="1"/>
        <v>15</v>
      </c>
      <c r="P30" s="4">
        <v>30</v>
      </c>
      <c r="Q30" s="4"/>
    </row>
    <row r="31" spans="1:17" ht="27" customHeight="1" x14ac:dyDescent="0.25">
      <c r="A31" s="7">
        <v>25</v>
      </c>
      <c r="B31" s="34"/>
      <c r="C31" s="41" t="s">
        <v>481</v>
      </c>
      <c r="D31" s="41" t="s">
        <v>438</v>
      </c>
      <c r="E31" s="7" t="s">
        <v>450</v>
      </c>
      <c r="F31" s="4">
        <v>0.5</v>
      </c>
      <c r="G31" s="4">
        <v>0</v>
      </c>
      <c r="H31" s="4">
        <v>1</v>
      </c>
      <c r="I31" s="4">
        <v>0.5</v>
      </c>
      <c r="J31" s="4">
        <v>4</v>
      </c>
      <c r="K31" s="4">
        <v>0</v>
      </c>
      <c r="L31" s="4" t="s">
        <v>446</v>
      </c>
      <c r="M31" s="4">
        <v>30</v>
      </c>
      <c r="N31" s="4">
        <f t="shared" si="0"/>
        <v>6</v>
      </c>
      <c r="O31" s="4">
        <f t="shared" si="1"/>
        <v>20</v>
      </c>
      <c r="P31" s="4">
        <v>29</v>
      </c>
      <c r="Q31" s="4"/>
    </row>
    <row r="32" spans="1:17" ht="27" customHeight="1" x14ac:dyDescent="0.25">
      <c r="A32" s="7">
        <v>26</v>
      </c>
      <c r="B32" s="34"/>
      <c r="C32" s="41" t="s">
        <v>482</v>
      </c>
      <c r="D32" s="41" t="s">
        <v>483</v>
      </c>
      <c r="E32" s="7" t="s">
        <v>450</v>
      </c>
      <c r="F32" s="4">
        <v>0</v>
      </c>
      <c r="G32" s="4">
        <v>4</v>
      </c>
      <c r="H32" s="4">
        <v>3.5</v>
      </c>
      <c r="I32" s="4">
        <v>0.5</v>
      </c>
      <c r="J32" s="4">
        <v>3</v>
      </c>
      <c r="K32" s="4">
        <v>0.5</v>
      </c>
      <c r="L32" s="4" t="s">
        <v>446</v>
      </c>
      <c r="M32" s="4">
        <v>30</v>
      </c>
      <c r="N32" s="4">
        <f t="shared" si="0"/>
        <v>11.5</v>
      </c>
      <c r="O32" s="4">
        <f t="shared" si="1"/>
        <v>38.333333333333336</v>
      </c>
      <c r="P32" s="4">
        <v>12</v>
      </c>
      <c r="Q32" s="4"/>
    </row>
    <row r="33" spans="1:17" ht="27" customHeight="1" x14ac:dyDescent="0.25">
      <c r="A33" s="7">
        <v>27</v>
      </c>
      <c r="B33" s="34"/>
      <c r="C33" s="41" t="s">
        <v>484</v>
      </c>
      <c r="D33" s="41" t="s">
        <v>485</v>
      </c>
      <c r="E33" s="7" t="s">
        <v>450</v>
      </c>
      <c r="F33" s="4">
        <v>2.5</v>
      </c>
      <c r="G33" s="4">
        <v>4.5</v>
      </c>
      <c r="H33" s="4">
        <v>2</v>
      </c>
      <c r="I33" s="4">
        <v>2.5</v>
      </c>
      <c r="J33" s="4">
        <v>3</v>
      </c>
      <c r="K33" s="4">
        <v>0</v>
      </c>
      <c r="L33" s="4" t="s">
        <v>446</v>
      </c>
      <c r="M33" s="4">
        <v>30</v>
      </c>
      <c r="N33" s="4">
        <f t="shared" si="0"/>
        <v>14.5</v>
      </c>
      <c r="O33" s="4">
        <f t="shared" si="1"/>
        <v>48.333333333333336</v>
      </c>
      <c r="P33" s="4">
        <v>32</v>
      </c>
      <c r="Q33" s="4"/>
    </row>
    <row r="34" spans="1:17" ht="27" customHeight="1" x14ac:dyDescent="0.25">
      <c r="A34" s="7">
        <v>28</v>
      </c>
      <c r="B34" s="34"/>
      <c r="C34" s="41" t="s">
        <v>486</v>
      </c>
      <c r="D34" s="41" t="s">
        <v>485</v>
      </c>
      <c r="E34" s="7" t="s">
        <v>450</v>
      </c>
      <c r="F34" s="4">
        <v>0</v>
      </c>
      <c r="G34" s="4">
        <v>3.5</v>
      </c>
      <c r="H34" s="4">
        <v>1.5</v>
      </c>
      <c r="I34" s="4">
        <v>1</v>
      </c>
      <c r="J34" s="4">
        <v>3.5</v>
      </c>
      <c r="K34" s="4">
        <v>0</v>
      </c>
      <c r="L34" s="4" t="s">
        <v>446</v>
      </c>
      <c r="M34" s="4">
        <v>30</v>
      </c>
      <c r="N34" s="4">
        <f t="shared" si="0"/>
        <v>9.5</v>
      </c>
      <c r="O34" s="4">
        <f t="shared" si="1"/>
        <v>31.666666666666664</v>
      </c>
      <c r="P34" s="4">
        <v>34</v>
      </c>
      <c r="Q34" s="4"/>
    </row>
    <row r="35" spans="1:17" ht="27" customHeight="1" x14ac:dyDescent="0.25">
      <c r="A35" s="7">
        <v>29</v>
      </c>
      <c r="B35" s="34"/>
      <c r="C35" s="41" t="s">
        <v>487</v>
      </c>
      <c r="D35" s="41" t="s">
        <v>488</v>
      </c>
      <c r="E35" s="7" t="s">
        <v>450</v>
      </c>
      <c r="F35" s="4">
        <v>0</v>
      </c>
      <c r="G35" s="4">
        <v>1.5</v>
      </c>
      <c r="H35" s="4">
        <v>2.5</v>
      </c>
      <c r="I35" s="4">
        <v>0</v>
      </c>
      <c r="J35" s="4">
        <v>2</v>
      </c>
      <c r="K35" s="4">
        <v>0</v>
      </c>
      <c r="L35" s="4" t="s">
        <v>447</v>
      </c>
      <c r="M35" s="4">
        <v>30</v>
      </c>
      <c r="N35" s="4">
        <f t="shared" si="0"/>
        <v>6</v>
      </c>
      <c r="O35" s="4">
        <f t="shared" si="1"/>
        <v>20</v>
      </c>
      <c r="P35" s="4">
        <v>14</v>
      </c>
      <c r="Q35" s="4"/>
    </row>
    <row r="36" spans="1:17" ht="21" x14ac:dyDescent="0.35">
      <c r="A36" s="38" t="s">
        <v>183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</row>
    <row r="37" spans="1:17" ht="27" customHeight="1" x14ac:dyDescent="0.25">
      <c r="A37" s="7">
        <v>30</v>
      </c>
      <c r="B37" s="34"/>
      <c r="C37" s="41" t="s">
        <v>489</v>
      </c>
      <c r="D37" s="41" t="s">
        <v>490</v>
      </c>
      <c r="E37" s="7" t="s">
        <v>450</v>
      </c>
      <c r="F37" s="4">
        <v>0</v>
      </c>
      <c r="G37" s="4">
        <v>3.5</v>
      </c>
      <c r="H37" s="4">
        <v>1.5</v>
      </c>
      <c r="I37" s="4">
        <v>1.5</v>
      </c>
      <c r="J37" s="4">
        <v>3.5</v>
      </c>
      <c r="K37" s="4">
        <v>0</v>
      </c>
      <c r="L37" s="4" t="s">
        <v>446</v>
      </c>
      <c r="M37" s="4">
        <v>30</v>
      </c>
      <c r="N37" s="4">
        <f t="shared" si="0"/>
        <v>10</v>
      </c>
      <c r="O37" s="4">
        <f t="shared" si="1"/>
        <v>33.333333333333329</v>
      </c>
      <c r="P37" s="4">
        <v>37</v>
      </c>
      <c r="Q37" s="4"/>
    </row>
    <row r="38" spans="1:17" ht="27" customHeight="1" x14ac:dyDescent="0.25">
      <c r="A38" s="7">
        <v>31</v>
      </c>
      <c r="B38" s="34"/>
      <c r="C38" s="41" t="s">
        <v>491</v>
      </c>
      <c r="D38" s="41" t="s">
        <v>492</v>
      </c>
      <c r="E38" s="7" t="s">
        <v>450</v>
      </c>
      <c r="F38" s="4">
        <v>5</v>
      </c>
      <c r="G38" s="4">
        <v>4.5</v>
      </c>
      <c r="H38" s="4">
        <v>5</v>
      </c>
      <c r="I38" s="4">
        <v>4.5</v>
      </c>
      <c r="J38" s="4">
        <v>4.5</v>
      </c>
      <c r="K38" s="4">
        <v>4.5</v>
      </c>
      <c r="L38" s="4" t="s">
        <v>446</v>
      </c>
      <c r="M38" s="4">
        <v>30</v>
      </c>
      <c r="N38" s="4">
        <f t="shared" si="0"/>
        <v>28</v>
      </c>
      <c r="O38" s="4">
        <f t="shared" si="1"/>
        <v>93.333333333333329</v>
      </c>
      <c r="P38" s="4">
        <v>40</v>
      </c>
      <c r="Q38" s="4"/>
    </row>
    <row r="39" spans="1:17" ht="27" customHeight="1" x14ac:dyDescent="0.25">
      <c r="A39" s="7">
        <v>32</v>
      </c>
      <c r="B39" s="34"/>
      <c r="C39" s="41" t="s">
        <v>493</v>
      </c>
      <c r="D39" s="41" t="s">
        <v>494</v>
      </c>
      <c r="E39" s="7" t="s">
        <v>450</v>
      </c>
      <c r="F39" s="4">
        <v>1.5</v>
      </c>
      <c r="G39" s="4">
        <v>4.5</v>
      </c>
      <c r="H39" s="4">
        <v>5</v>
      </c>
      <c r="I39" s="4">
        <v>3.5</v>
      </c>
      <c r="J39" s="4">
        <v>4.5</v>
      </c>
      <c r="K39" s="4">
        <v>3.5</v>
      </c>
      <c r="L39" s="4" t="s">
        <v>446</v>
      </c>
      <c r="M39" s="4">
        <v>30</v>
      </c>
      <c r="N39" s="4">
        <f t="shared" si="0"/>
        <v>22.5</v>
      </c>
      <c r="O39" s="4">
        <f t="shared" si="1"/>
        <v>75</v>
      </c>
      <c r="P39" s="4">
        <v>39</v>
      </c>
      <c r="Q39" s="4"/>
    </row>
    <row r="40" spans="1:17" ht="27" customHeight="1" x14ac:dyDescent="0.25">
      <c r="A40" s="7">
        <v>33</v>
      </c>
      <c r="B40" s="34"/>
      <c r="C40" s="41" t="s">
        <v>91</v>
      </c>
      <c r="D40" s="41" t="s">
        <v>495</v>
      </c>
      <c r="E40" s="7" t="s">
        <v>450</v>
      </c>
      <c r="F40" s="4">
        <v>2</v>
      </c>
      <c r="G40" s="4">
        <v>4</v>
      </c>
      <c r="H40" s="4">
        <v>4</v>
      </c>
      <c r="I40" s="4">
        <v>4</v>
      </c>
      <c r="J40" s="4">
        <v>4.5</v>
      </c>
      <c r="K40" s="4">
        <v>2.5</v>
      </c>
      <c r="L40" s="4" t="s">
        <v>446</v>
      </c>
      <c r="M40" s="4">
        <v>30</v>
      </c>
      <c r="N40" s="4">
        <f t="shared" si="0"/>
        <v>21</v>
      </c>
      <c r="O40" s="4">
        <f t="shared" si="1"/>
        <v>70</v>
      </c>
      <c r="P40" s="4">
        <v>37</v>
      </c>
      <c r="Q40" s="4"/>
    </row>
    <row r="41" spans="1:17" ht="27" customHeight="1" x14ac:dyDescent="0.25">
      <c r="A41" s="7">
        <v>34</v>
      </c>
      <c r="B41" s="34"/>
      <c r="C41" s="41" t="s">
        <v>496</v>
      </c>
      <c r="D41" s="41" t="s">
        <v>497</v>
      </c>
      <c r="E41" s="7" t="s">
        <v>450</v>
      </c>
      <c r="F41" s="4">
        <v>0</v>
      </c>
      <c r="G41" s="4">
        <v>4.5</v>
      </c>
      <c r="H41" s="4">
        <v>2.5</v>
      </c>
      <c r="I41" s="4">
        <v>4</v>
      </c>
      <c r="J41" s="4">
        <v>3.5</v>
      </c>
      <c r="K41" s="4">
        <v>1.5</v>
      </c>
      <c r="L41" s="4" t="s">
        <v>447</v>
      </c>
      <c r="M41" s="4">
        <v>30</v>
      </c>
      <c r="N41" s="4">
        <f t="shared" si="0"/>
        <v>16</v>
      </c>
      <c r="O41" s="4">
        <f t="shared" si="1"/>
        <v>53.333333333333336</v>
      </c>
      <c r="P41" s="4">
        <v>37</v>
      </c>
      <c r="Q41" s="4"/>
    </row>
    <row r="42" spans="1:17" ht="27" customHeight="1" x14ac:dyDescent="0.25">
      <c r="A42" s="7">
        <v>35</v>
      </c>
      <c r="B42" s="34"/>
      <c r="C42" s="41" t="s">
        <v>498</v>
      </c>
      <c r="D42" s="41" t="s">
        <v>499</v>
      </c>
      <c r="E42" s="7" t="s">
        <v>450</v>
      </c>
      <c r="F42" s="4">
        <v>0</v>
      </c>
      <c r="G42" s="4">
        <v>4.5</v>
      </c>
      <c r="H42" s="4">
        <v>2.5</v>
      </c>
      <c r="I42" s="4">
        <v>2</v>
      </c>
      <c r="J42" s="4">
        <v>3</v>
      </c>
      <c r="K42" s="4">
        <v>0</v>
      </c>
      <c r="L42" s="4" t="s">
        <v>446</v>
      </c>
      <c r="M42" s="4">
        <v>30</v>
      </c>
      <c r="N42" s="4">
        <f t="shared" si="0"/>
        <v>12</v>
      </c>
      <c r="O42" s="4">
        <f t="shared" si="1"/>
        <v>40</v>
      </c>
      <c r="P42" s="4">
        <v>37</v>
      </c>
      <c r="Q42" s="4"/>
    </row>
    <row r="43" spans="1:17" ht="27" customHeight="1" x14ac:dyDescent="0.25">
      <c r="A43" s="7">
        <v>36</v>
      </c>
      <c r="B43" s="34"/>
      <c r="C43" s="41" t="s">
        <v>500</v>
      </c>
      <c r="D43" s="41" t="s">
        <v>303</v>
      </c>
      <c r="E43" s="7" t="s">
        <v>450</v>
      </c>
      <c r="F43" s="4">
        <v>0</v>
      </c>
      <c r="G43" s="4">
        <v>4</v>
      </c>
      <c r="H43" s="4">
        <v>1.5</v>
      </c>
      <c r="I43" s="4">
        <v>0.5</v>
      </c>
      <c r="J43" s="4">
        <v>1.5</v>
      </c>
      <c r="K43" s="4">
        <v>0</v>
      </c>
      <c r="L43" s="4" t="s">
        <v>446</v>
      </c>
      <c r="M43" s="4">
        <v>30</v>
      </c>
      <c r="N43" s="4">
        <f t="shared" si="0"/>
        <v>7.5</v>
      </c>
      <c r="O43" s="4">
        <f t="shared" si="1"/>
        <v>25</v>
      </c>
      <c r="P43" s="4">
        <v>41</v>
      </c>
      <c r="Q43" s="4"/>
    </row>
    <row r="44" spans="1:17" ht="27" customHeight="1" x14ac:dyDescent="0.25">
      <c r="A44" s="7">
        <v>37</v>
      </c>
      <c r="B44" s="34"/>
      <c r="C44" s="41" t="s">
        <v>501</v>
      </c>
      <c r="D44" s="41" t="s">
        <v>502</v>
      </c>
      <c r="E44" s="7" t="s">
        <v>450</v>
      </c>
      <c r="F44" s="4" t="s">
        <v>148</v>
      </c>
      <c r="G44" s="4" t="s">
        <v>148</v>
      </c>
      <c r="H44" s="4" t="s">
        <v>148</v>
      </c>
      <c r="I44" s="4" t="s">
        <v>148</v>
      </c>
      <c r="J44" s="4" t="s">
        <v>148</v>
      </c>
      <c r="K44" s="4" t="s">
        <v>148</v>
      </c>
      <c r="L44" s="4" t="s">
        <v>148</v>
      </c>
      <c r="M44" s="4">
        <v>30</v>
      </c>
      <c r="N44" s="4">
        <f t="shared" si="0"/>
        <v>0</v>
      </c>
      <c r="O44" s="4">
        <f t="shared" si="1"/>
        <v>0</v>
      </c>
      <c r="P44" s="4">
        <v>39</v>
      </c>
      <c r="Q44" s="4"/>
    </row>
    <row r="45" spans="1:17" ht="27" customHeight="1" x14ac:dyDescent="0.25">
      <c r="A45" s="7">
        <v>38</v>
      </c>
      <c r="B45" s="34"/>
      <c r="C45" s="41" t="s">
        <v>158</v>
      </c>
      <c r="D45" s="41" t="s">
        <v>401</v>
      </c>
      <c r="E45" s="7" t="s">
        <v>450</v>
      </c>
      <c r="F45" s="4">
        <v>1</v>
      </c>
      <c r="G45" s="4">
        <v>4.5</v>
      </c>
      <c r="H45" s="4">
        <v>2</v>
      </c>
      <c r="I45" s="4">
        <v>3</v>
      </c>
      <c r="J45" s="4">
        <v>3.5</v>
      </c>
      <c r="K45" s="4">
        <v>0</v>
      </c>
      <c r="L45" s="4" t="s">
        <v>446</v>
      </c>
      <c r="M45" s="4">
        <v>30</v>
      </c>
      <c r="N45" s="4">
        <f t="shared" si="0"/>
        <v>14</v>
      </c>
      <c r="O45" s="4">
        <f t="shared" si="1"/>
        <v>46.666666666666664</v>
      </c>
      <c r="P45" s="4">
        <v>39</v>
      </c>
      <c r="Q45" s="4"/>
    </row>
    <row r="46" spans="1:17" ht="27" customHeight="1" x14ac:dyDescent="0.25">
      <c r="A46" s="7">
        <v>39</v>
      </c>
      <c r="B46" s="34"/>
      <c r="C46" s="41" t="s">
        <v>158</v>
      </c>
      <c r="D46" s="41" t="s">
        <v>503</v>
      </c>
      <c r="E46" s="7" t="s">
        <v>450</v>
      </c>
      <c r="F46" s="4">
        <v>0</v>
      </c>
      <c r="G46" s="4">
        <v>0</v>
      </c>
      <c r="H46" s="4">
        <v>1</v>
      </c>
      <c r="I46" s="4">
        <v>0</v>
      </c>
      <c r="J46" s="4">
        <v>0</v>
      </c>
      <c r="K46" s="4">
        <v>0</v>
      </c>
      <c r="L46" s="4" t="s">
        <v>447</v>
      </c>
      <c r="M46" s="4">
        <v>30</v>
      </c>
      <c r="N46" s="4">
        <f t="shared" si="0"/>
        <v>1</v>
      </c>
      <c r="O46" s="4">
        <f t="shared" si="1"/>
        <v>3.3333333333333335</v>
      </c>
      <c r="P46" s="4">
        <v>30</v>
      </c>
      <c r="Q46" s="4"/>
    </row>
    <row r="47" spans="1:17" ht="27" customHeight="1" x14ac:dyDescent="0.25">
      <c r="A47" s="7">
        <v>40</v>
      </c>
      <c r="B47" s="34"/>
      <c r="C47" s="41" t="s">
        <v>504</v>
      </c>
      <c r="D47" s="41" t="s">
        <v>389</v>
      </c>
      <c r="E47" s="7" t="s">
        <v>450</v>
      </c>
      <c r="F47" s="4" t="s">
        <v>148</v>
      </c>
      <c r="G47" s="4" t="s">
        <v>148</v>
      </c>
      <c r="H47" s="4" t="s">
        <v>148</v>
      </c>
      <c r="I47" s="4" t="s">
        <v>148</v>
      </c>
      <c r="J47" s="4" t="s">
        <v>148</v>
      </c>
      <c r="K47" s="4" t="s">
        <v>148</v>
      </c>
      <c r="L47" s="4" t="s">
        <v>148</v>
      </c>
      <c r="M47" s="4">
        <v>30</v>
      </c>
      <c r="N47" s="4">
        <f t="shared" si="0"/>
        <v>0</v>
      </c>
      <c r="O47" s="4">
        <f t="shared" si="1"/>
        <v>0</v>
      </c>
      <c r="P47" s="4">
        <v>37</v>
      </c>
      <c r="Q47" s="4"/>
    </row>
    <row r="48" spans="1:17" ht="27" customHeight="1" x14ac:dyDescent="0.25">
      <c r="A48" s="7">
        <v>41</v>
      </c>
      <c r="B48" s="34"/>
      <c r="C48" s="41" t="s">
        <v>505</v>
      </c>
      <c r="D48" s="41" t="s">
        <v>220</v>
      </c>
      <c r="E48" s="7" t="s">
        <v>450</v>
      </c>
      <c r="F48" s="4">
        <v>3</v>
      </c>
      <c r="G48" s="4">
        <v>4.5</v>
      </c>
      <c r="H48" s="4">
        <v>3.5</v>
      </c>
      <c r="I48" s="4">
        <v>3.5</v>
      </c>
      <c r="J48" s="4">
        <v>3.5</v>
      </c>
      <c r="K48" s="4">
        <v>0.5</v>
      </c>
      <c r="L48" s="4" t="s">
        <v>446</v>
      </c>
      <c r="M48" s="4">
        <v>30</v>
      </c>
      <c r="N48" s="4">
        <f t="shared" si="0"/>
        <v>18.5</v>
      </c>
      <c r="O48" s="4">
        <f t="shared" si="1"/>
        <v>61.666666666666671</v>
      </c>
      <c r="P48" s="4">
        <v>37</v>
      </c>
      <c r="Q48" s="4"/>
    </row>
    <row r="49" spans="1:17" ht="27" customHeight="1" x14ac:dyDescent="0.25">
      <c r="A49" s="7">
        <v>42</v>
      </c>
      <c r="B49" s="37"/>
      <c r="C49" s="41" t="s">
        <v>506</v>
      </c>
      <c r="D49" s="41" t="s">
        <v>507</v>
      </c>
      <c r="E49" s="7" t="s">
        <v>450</v>
      </c>
      <c r="F49" s="4">
        <v>0</v>
      </c>
      <c r="G49" s="4">
        <v>1.5</v>
      </c>
      <c r="H49" s="4">
        <v>2.5</v>
      </c>
      <c r="I49" s="4">
        <v>3.5</v>
      </c>
      <c r="J49" s="4">
        <v>3.5</v>
      </c>
      <c r="K49" s="4">
        <v>1.5</v>
      </c>
      <c r="L49" s="4" t="s">
        <v>447</v>
      </c>
      <c r="M49" s="4">
        <v>30</v>
      </c>
      <c r="N49" s="4">
        <f t="shared" si="0"/>
        <v>12.5</v>
      </c>
      <c r="O49" s="4">
        <f t="shared" si="1"/>
        <v>41.666666666666671</v>
      </c>
      <c r="P49" s="4">
        <v>22</v>
      </c>
      <c r="Q49" s="4"/>
    </row>
    <row r="50" spans="1:17" ht="27" customHeight="1" x14ac:dyDescent="0.25">
      <c r="A50" s="7">
        <v>43</v>
      </c>
      <c r="B50" s="34"/>
      <c r="C50" s="41" t="s">
        <v>508</v>
      </c>
      <c r="D50" s="41" t="s">
        <v>197</v>
      </c>
      <c r="E50" s="7" t="s">
        <v>450</v>
      </c>
      <c r="F50" s="9">
        <v>0</v>
      </c>
      <c r="G50" s="9">
        <v>2</v>
      </c>
      <c r="H50" s="9">
        <v>1</v>
      </c>
      <c r="I50" s="9">
        <v>3</v>
      </c>
      <c r="J50" s="9">
        <v>2</v>
      </c>
      <c r="K50" s="9">
        <v>0</v>
      </c>
      <c r="L50" s="9" t="s">
        <v>447</v>
      </c>
      <c r="M50" s="4">
        <v>30</v>
      </c>
      <c r="N50" s="4">
        <f t="shared" si="0"/>
        <v>8</v>
      </c>
      <c r="O50" s="4">
        <f t="shared" si="1"/>
        <v>26.666666666666668</v>
      </c>
      <c r="P50" s="4">
        <v>38</v>
      </c>
      <c r="Q50" s="4"/>
    </row>
    <row r="51" spans="1:17" ht="27" customHeight="1" x14ac:dyDescent="0.25">
      <c r="A51" s="7">
        <v>44</v>
      </c>
      <c r="B51" s="34"/>
      <c r="C51" s="41" t="s">
        <v>509</v>
      </c>
      <c r="D51" s="41" t="s">
        <v>510</v>
      </c>
      <c r="E51" s="7" t="s">
        <v>450</v>
      </c>
      <c r="F51" s="9">
        <v>0</v>
      </c>
      <c r="G51" s="9">
        <v>2.5</v>
      </c>
      <c r="H51" s="9">
        <v>3.5</v>
      </c>
      <c r="I51" s="9">
        <v>1.5</v>
      </c>
      <c r="J51" s="9">
        <v>4.5</v>
      </c>
      <c r="K51" s="9">
        <v>0</v>
      </c>
      <c r="L51" s="9" t="s">
        <v>446</v>
      </c>
      <c r="M51" s="4">
        <v>30</v>
      </c>
      <c r="N51" s="4">
        <f t="shared" si="0"/>
        <v>12</v>
      </c>
      <c r="O51" s="4">
        <f t="shared" si="1"/>
        <v>40</v>
      </c>
      <c r="P51" s="4">
        <v>39</v>
      </c>
      <c r="Q51" s="4"/>
    </row>
    <row r="52" spans="1:17" ht="27" customHeight="1" x14ac:dyDescent="0.25">
      <c r="A52" s="7">
        <v>45</v>
      </c>
      <c r="B52" s="34"/>
      <c r="C52" s="41" t="s">
        <v>511</v>
      </c>
      <c r="D52" s="41" t="s">
        <v>512</v>
      </c>
      <c r="E52" s="7" t="s">
        <v>450</v>
      </c>
      <c r="F52" s="9">
        <v>0</v>
      </c>
      <c r="G52" s="9">
        <v>2.5</v>
      </c>
      <c r="H52" s="9">
        <v>3.5</v>
      </c>
      <c r="I52" s="9">
        <v>0.5</v>
      </c>
      <c r="J52" s="9">
        <v>3</v>
      </c>
      <c r="K52" s="9">
        <v>0.5</v>
      </c>
      <c r="L52" s="9" t="s">
        <v>446</v>
      </c>
      <c r="M52" s="4">
        <v>30</v>
      </c>
      <c r="N52" s="4">
        <f t="shared" si="0"/>
        <v>10</v>
      </c>
      <c r="O52" s="4">
        <f t="shared" si="1"/>
        <v>33.333333333333329</v>
      </c>
      <c r="P52" s="4">
        <v>36</v>
      </c>
      <c r="Q52" s="4"/>
    </row>
    <row r="53" spans="1:17" ht="27" customHeight="1" x14ac:dyDescent="0.25">
      <c r="A53" s="7">
        <v>46</v>
      </c>
      <c r="B53" s="34"/>
      <c r="C53" s="41" t="s">
        <v>513</v>
      </c>
      <c r="D53" s="41" t="s">
        <v>514</v>
      </c>
      <c r="E53" s="7" t="s">
        <v>450</v>
      </c>
      <c r="F53" s="9">
        <v>0.5</v>
      </c>
      <c r="G53" s="9">
        <v>3</v>
      </c>
      <c r="H53" s="9">
        <v>1</v>
      </c>
      <c r="I53" s="9">
        <v>0</v>
      </c>
      <c r="J53" s="9">
        <v>3</v>
      </c>
      <c r="K53" s="9">
        <v>0</v>
      </c>
      <c r="L53" s="9" t="s">
        <v>447</v>
      </c>
      <c r="M53" s="4">
        <v>30</v>
      </c>
      <c r="N53" s="4">
        <f t="shared" si="0"/>
        <v>7.5</v>
      </c>
      <c r="O53" s="4">
        <f t="shared" si="1"/>
        <v>25</v>
      </c>
      <c r="P53" s="4">
        <v>33</v>
      </c>
      <c r="Q53" s="4"/>
    </row>
    <row r="54" spans="1:17" ht="27" customHeight="1" x14ac:dyDescent="0.25">
      <c r="A54" s="7">
        <v>47</v>
      </c>
      <c r="B54" s="34"/>
      <c r="C54" s="41" t="s">
        <v>156</v>
      </c>
      <c r="D54" s="41" t="s">
        <v>515</v>
      </c>
      <c r="E54" s="7" t="s">
        <v>450</v>
      </c>
      <c r="F54" s="9">
        <v>2</v>
      </c>
      <c r="G54" s="9">
        <v>5</v>
      </c>
      <c r="H54" s="9">
        <v>3</v>
      </c>
      <c r="I54" s="9">
        <v>4</v>
      </c>
      <c r="J54" s="9">
        <v>3.5</v>
      </c>
      <c r="K54" s="9">
        <v>3.5</v>
      </c>
      <c r="L54" s="9" t="s">
        <v>446</v>
      </c>
      <c r="M54" s="4">
        <v>30</v>
      </c>
      <c r="N54" s="4">
        <f t="shared" si="0"/>
        <v>21</v>
      </c>
      <c r="O54" s="4">
        <f t="shared" si="1"/>
        <v>70</v>
      </c>
      <c r="P54" s="4">
        <v>34</v>
      </c>
      <c r="Q54" s="4"/>
    </row>
    <row r="55" spans="1:17" ht="27" customHeight="1" x14ac:dyDescent="0.25">
      <c r="A55" s="7">
        <v>48</v>
      </c>
      <c r="B55" s="34"/>
      <c r="C55" s="41" t="s">
        <v>196</v>
      </c>
      <c r="D55" s="41" t="s">
        <v>102</v>
      </c>
      <c r="E55" s="7" t="s">
        <v>450</v>
      </c>
      <c r="F55" s="9">
        <v>1</v>
      </c>
      <c r="G55" s="9">
        <v>3</v>
      </c>
      <c r="H55" s="9">
        <v>2.5</v>
      </c>
      <c r="I55" s="9">
        <v>1.5</v>
      </c>
      <c r="J55" s="9">
        <v>2</v>
      </c>
      <c r="K55" s="9">
        <v>0</v>
      </c>
      <c r="L55" s="9" t="s">
        <v>447</v>
      </c>
      <c r="M55" s="4">
        <v>30</v>
      </c>
      <c r="N55" s="4">
        <f t="shared" si="0"/>
        <v>10</v>
      </c>
      <c r="O55" s="4">
        <f t="shared" si="1"/>
        <v>33.333333333333329</v>
      </c>
      <c r="P55" s="4">
        <v>34</v>
      </c>
      <c r="Q55" s="4"/>
    </row>
    <row r="56" spans="1:17" ht="27" customHeight="1" x14ac:dyDescent="0.25">
      <c r="A56" s="7">
        <v>49</v>
      </c>
      <c r="B56" s="34"/>
      <c r="C56" s="41" t="s">
        <v>516</v>
      </c>
      <c r="D56" s="41" t="s">
        <v>102</v>
      </c>
      <c r="E56" s="7" t="s">
        <v>450</v>
      </c>
      <c r="F56" s="9">
        <v>1.5</v>
      </c>
      <c r="G56" s="9">
        <v>4</v>
      </c>
      <c r="H56" s="9">
        <v>3</v>
      </c>
      <c r="I56" s="9">
        <v>2</v>
      </c>
      <c r="J56" s="9">
        <v>3</v>
      </c>
      <c r="K56" s="9">
        <v>1</v>
      </c>
      <c r="L56" s="9" t="s">
        <v>447</v>
      </c>
      <c r="M56" s="4">
        <v>30</v>
      </c>
      <c r="N56" s="4">
        <f t="shared" si="0"/>
        <v>14.5</v>
      </c>
      <c r="O56" s="4">
        <f t="shared" si="1"/>
        <v>48.333333333333336</v>
      </c>
      <c r="P56" s="4">
        <v>33</v>
      </c>
      <c r="Q56" s="4"/>
    </row>
    <row r="57" spans="1:17" ht="27" customHeight="1" x14ac:dyDescent="0.25">
      <c r="A57" s="7">
        <v>50</v>
      </c>
      <c r="B57" s="34"/>
      <c r="C57" s="41" t="s">
        <v>517</v>
      </c>
      <c r="D57" s="41" t="s">
        <v>85</v>
      </c>
      <c r="E57" s="7" t="s">
        <v>450</v>
      </c>
      <c r="F57" s="9">
        <v>0</v>
      </c>
      <c r="G57" s="9">
        <v>3.5</v>
      </c>
      <c r="H57" s="9">
        <v>2</v>
      </c>
      <c r="I57" s="9">
        <v>0</v>
      </c>
      <c r="J57" s="9">
        <v>3</v>
      </c>
      <c r="K57" s="9">
        <v>0</v>
      </c>
      <c r="L57" s="9" t="s">
        <v>446</v>
      </c>
      <c r="M57" s="4">
        <v>30</v>
      </c>
      <c r="N57" s="4">
        <f t="shared" si="0"/>
        <v>8.5</v>
      </c>
      <c r="O57" s="4">
        <f t="shared" si="1"/>
        <v>28.333333333333332</v>
      </c>
      <c r="P57" s="4">
        <v>32</v>
      </c>
      <c r="Q57" s="4"/>
    </row>
    <row r="58" spans="1:17" ht="27" customHeight="1" x14ac:dyDescent="0.25">
      <c r="A58" s="7">
        <v>51</v>
      </c>
      <c r="B58" s="34"/>
      <c r="C58" s="41" t="s">
        <v>518</v>
      </c>
      <c r="D58" s="41" t="s">
        <v>519</v>
      </c>
      <c r="E58" s="7" t="s">
        <v>450</v>
      </c>
      <c r="F58" s="9">
        <v>1.5</v>
      </c>
      <c r="G58" s="9">
        <v>3</v>
      </c>
      <c r="H58" s="9">
        <v>2</v>
      </c>
      <c r="I58" s="9">
        <v>3.5</v>
      </c>
      <c r="J58" s="9">
        <v>3</v>
      </c>
      <c r="K58" s="9">
        <v>0.5</v>
      </c>
      <c r="L58" s="9" t="s">
        <v>446</v>
      </c>
      <c r="M58" s="4">
        <v>30</v>
      </c>
      <c r="N58" s="4">
        <f t="shared" si="0"/>
        <v>13.5</v>
      </c>
      <c r="O58" s="4">
        <f t="shared" si="1"/>
        <v>45</v>
      </c>
      <c r="P58" s="4">
        <v>28</v>
      </c>
      <c r="Q58" s="4"/>
    </row>
    <row r="59" spans="1:17" ht="27" customHeight="1" x14ac:dyDescent="0.25">
      <c r="A59" s="7">
        <v>52</v>
      </c>
      <c r="B59" s="34"/>
      <c r="C59" s="41" t="s">
        <v>520</v>
      </c>
      <c r="D59" s="41" t="s">
        <v>521</v>
      </c>
      <c r="E59" s="7" t="s">
        <v>450</v>
      </c>
      <c r="F59" s="9">
        <v>0.5</v>
      </c>
      <c r="G59" s="9">
        <v>3</v>
      </c>
      <c r="H59" s="9">
        <v>3</v>
      </c>
      <c r="I59" s="9">
        <v>3.5</v>
      </c>
      <c r="J59" s="9">
        <v>3</v>
      </c>
      <c r="K59" s="9">
        <v>0</v>
      </c>
      <c r="L59" s="9" t="s">
        <v>447</v>
      </c>
      <c r="M59" s="4">
        <v>30</v>
      </c>
      <c r="N59" s="4">
        <f t="shared" si="0"/>
        <v>13</v>
      </c>
      <c r="O59" s="4">
        <f t="shared" si="1"/>
        <v>43.333333333333336</v>
      </c>
      <c r="P59" s="4">
        <v>15</v>
      </c>
      <c r="Q59" s="4"/>
    </row>
    <row r="60" spans="1:17" ht="27" customHeight="1" x14ac:dyDescent="0.25">
      <c r="A60" s="42">
        <v>53</v>
      </c>
      <c r="B60" s="42"/>
      <c r="C60" s="41" t="s">
        <v>522</v>
      </c>
      <c r="D60" s="41" t="s">
        <v>523</v>
      </c>
      <c r="E60" s="7" t="s">
        <v>450</v>
      </c>
      <c r="F60" s="43">
        <v>0</v>
      </c>
      <c r="G60" s="43">
        <v>4.5</v>
      </c>
      <c r="H60" s="43">
        <v>3.5</v>
      </c>
      <c r="I60" s="43">
        <v>0</v>
      </c>
      <c r="J60" s="43">
        <v>2.5</v>
      </c>
      <c r="K60" s="43">
        <v>2</v>
      </c>
      <c r="L60" s="43" t="s">
        <v>447</v>
      </c>
      <c r="M60" s="4">
        <v>30</v>
      </c>
      <c r="N60" s="4">
        <f t="shared" si="0"/>
        <v>12.5</v>
      </c>
      <c r="O60" s="4">
        <f t="shared" si="1"/>
        <v>41.666666666666671</v>
      </c>
      <c r="P60" s="42">
        <v>11</v>
      </c>
      <c r="Q60" s="42"/>
    </row>
    <row r="61" spans="1:17" ht="27" customHeight="1" x14ac:dyDescent="0.25">
      <c r="A61" s="42">
        <v>54</v>
      </c>
      <c r="B61" s="42"/>
      <c r="C61" s="41" t="s">
        <v>524</v>
      </c>
      <c r="D61" s="41" t="s">
        <v>525</v>
      </c>
      <c r="E61" s="7" t="s">
        <v>450</v>
      </c>
      <c r="F61" s="43" t="s">
        <v>148</v>
      </c>
      <c r="G61" s="43" t="s">
        <v>148</v>
      </c>
      <c r="H61" s="43" t="s">
        <v>148</v>
      </c>
      <c r="I61" s="43" t="s">
        <v>148</v>
      </c>
      <c r="J61" s="43" t="s">
        <v>148</v>
      </c>
      <c r="K61" s="43" t="s">
        <v>148</v>
      </c>
      <c r="L61" s="43" t="s">
        <v>148</v>
      </c>
      <c r="M61" s="4">
        <v>30</v>
      </c>
      <c r="N61" s="4">
        <f t="shared" si="0"/>
        <v>0</v>
      </c>
      <c r="O61" s="4">
        <f t="shared" si="1"/>
        <v>0</v>
      </c>
      <c r="P61" s="42">
        <v>9</v>
      </c>
      <c r="Q61" s="42"/>
    </row>
  </sheetData>
  <mergeCells count="15">
    <mergeCell ref="O3:O5"/>
    <mergeCell ref="P3:P5"/>
    <mergeCell ref="Q3:Q5"/>
    <mergeCell ref="A6:Q6"/>
    <mergeCell ref="A36:Q36"/>
    <mergeCell ref="A1:Q1"/>
    <mergeCell ref="A2:Q2"/>
    <mergeCell ref="A3:A5"/>
    <mergeCell ref="B3:B5"/>
    <mergeCell ref="C3:C5"/>
    <mergeCell ref="D3:D5"/>
    <mergeCell ref="E3:E5"/>
    <mergeCell ref="F3:L3"/>
    <mergeCell ref="M3:M4"/>
    <mergeCell ref="N3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103C-D8E3-4BCD-AD2B-4FD474784A49}">
  <dimension ref="A1:O39"/>
  <sheetViews>
    <sheetView topLeftCell="A37" workbookViewId="0">
      <selection activeCell="A40" sqref="A40:XFD57"/>
    </sheetView>
  </sheetViews>
  <sheetFormatPr defaultRowHeight="15" x14ac:dyDescent="0.25"/>
  <sheetData>
    <row r="1" spans="1:15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x14ac:dyDescent="0.25">
      <c r="A3" s="19" t="s">
        <v>2</v>
      </c>
      <c r="B3" s="19" t="s">
        <v>3</v>
      </c>
      <c r="C3" s="19" t="s">
        <v>5</v>
      </c>
      <c r="D3" s="20" t="s">
        <v>4</v>
      </c>
      <c r="E3" s="23" t="s">
        <v>7</v>
      </c>
      <c r="F3" s="23"/>
      <c r="G3" s="23"/>
      <c r="H3" s="23"/>
      <c r="I3" s="23"/>
      <c r="J3" s="23"/>
      <c r="K3" s="23"/>
      <c r="L3" s="19" t="s">
        <v>15</v>
      </c>
      <c r="M3" s="19" t="s">
        <v>16</v>
      </c>
      <c r="N3" s="19" t="s">
        <v>17</v>
      </c>
      <c r="O3" s="19" t="s">
        <v>18</v>
      </c>
    </row>
    <row r="4" spans="1:15" ht="42.75" x14ac:dyDescent="0.25">
      <c r="A4" s="19"/>
      <c r="B4" s="19"/>
      <c r="C4" s="19"/>
      <c r="D4" s="21"/>
      <c r="E4" s="2" t="s">
        <v>10</v>
      </c>
      <c r="F4" s="2" t="s">
        <v>120</v>
      </c>
      <c r="G4" s="2" t="s">
        <v>11</v>
      </c>
      <c r="H4" s="2" t="s">
        <v>122</v>
      </c>
      <c r="I4" s="2" t="s">
        <v>123</v>
      </c>
      <c r="J4" s="2" t="s">
        <v>124</v>
      </c>
      <c r="K4" s="2" t="s">
        <v>125</v>
      </c>
      <c r="L4" s="19"/>
      <c r="M4" s="19"/>
      <c r="N4" s="19"/>
      <c r="O4" s="19"/>
    </row>
    <row r="5" spans="1:15" x14ac:dyDescent="0.25">
      <c r="A5" s="19"/>
      <c r="B5" s="19"/>
      <c r="C5" s="19"/>
      <c r="D5" s="22"/>
      <c r="E5" s="3">
        <v>25</v>
      </c>
      <c r="F5" s="3">
        <v>25</v>
      </c>
      <c r="G5" s="3">
        <v>25</v>
      </c>
      <c r="H5" s="3">
        <v>25</v>
      </c>
      <c r="I5" s="3">
        <v>25</v>
      </c>
      <c r="J5" s="3">
        <v>25</v>
      </c>
      <c r="K5" s="3">
        <v>25</v>
      </c>
      <c r="L5" s="3">
        <f>SUM(E5:K5)</f>
        <v>175</v>
      </c>
      <c r="M5" s="19"/>
      <c r="N5" s="19"/>
      <c r="O5" s="19"/>
    </row>
    <row r="6" spans="1:15" x14ac:dyDescent="0.25">
      <c r="A6" s="4">
        <v>1</v>
      </c>
      <c r="B6" s="4"/>
      <c r="C6" s="5" t="s">
        <v>126</v>
      </c>
      <c r="D6" s="5" t="s">
        <v>127</v>
      </c>
      <c r="E6" s="4">
        <v>20</v>
      </c>
      <c r="F6" s="4">
        <v>20</v>
      </c>
      <c r="G6" s="4">
        <v>0</v>
      </c>
      <c r="H6" s="4">
        <v>12</v>
      </c>
      <c r="I6" s="4">
        <v>8</v>
      </c>
      <c r="J6" s="4">
        <v>10</v>
      </c>
      <c r="K6" s="4">
        <v>15</v>
      </c>
      <c r="L6" s="4">
        <v>175</v>
      </c>
      <c r="M6" s="4">
        <f t="shared" ref="M6:M39" si="0">SUM(E6:K6)</f>
        <v>85</v>
      </c>
      <c r="N6" s="8">
        <f>M6/L6*100</f>
        <v>48.571428571428569</v>
      </c>
      <c r="O6" s="4"/>
    </row>
    <row r="7" spans="1:15" ht="25.5" x14ac:dyDescent="0.25">
      <c r="A7" s="4">
        <v>2</v>
      </c>
      <c r="B7" s="4"/>
      <c r="C7" s="5" t="s">
        <v>128</v>
      </c>
      <c r="D7" s="5" t="s">
        <v>127</v>
      </c>
      <c r="E7" s="4">
        <v>17</v>
      </c>
      <c r="F7" s="4">
        <v>20</v>
      </c>
      <c r="G7" s="4">
        <v>1</v>
      </c>
      <c r="H7" s="4">
        <v>18</v>
      </c>
      <c r="I7" s="4">
        <v>8</v>
      </c>
      <c r="J7" s="4">
        <v>10</v>
      </c>
      <c r="K7" s="4">
        <v>18</v>
      </c>
      <c r="L7" s="4">
        <v>175</v>
      </c>
      <c r="M7" s="4">
        <f t="shared" si="0"/>
        <v>92</v>
      </c>
      <c r="N7" s="8">
        <f t="shared" ref="N7:N39" si="1">M7/L7*100</f>
        <v>52.571428571428569</v>
      </c>
      <c r="O7" s="4"/>
    </row>
    <row r="8" spans="1:15" x14ac:dyDescent="0.25">
      <c r="A8" s="4">
        <v>3</v>
      </c>
      <c r="B8" s="4"/>
      <c r="C8" s="5" t="s">
        <v>129</v>
      </c>
      <c r="D8" s="5" t="s">
        <v>127</v>
      </c>
      <c r="E8" s="4">
        <v>5</v>
      </c>
      <c r="F8" s="4">
        <v>15</v>
      </c>
      <c r="G8" s="4">
        <v>10</v>
      </c>
      <c r="H8" s="4">
        <v>8</v>
      </c>
      <c r="I8" s="4">
        <v>6</v>
      </c>
      <c r="J8" s="4">
        <v>5</v>
      </c>
      <c r="K8" s="4">
        <v>15</v>
      </c>
      <c r="L8" s="4">
        <v>175</v>
      </c>
      <c r="M8" s="4">
        <f t="shared" si="0"/>
        <v>64</v>
      </c>
      <c r="N8" s="8">
        <f t="shared" si="1"/>
        <v>36.571428571428569</v>
      </c>
      <c r="O8" s="4"/>
    </row>
    <row r="9" spans="1:15" x14ac:dyDescent="0.25">
      <c r="A9" s="4">
        <v>4</v>
      </c>
      <c r="B9" s="4"/>
      <c r="C9" s="5" t="s">
        <v>130</v>
      </c>
      <c r="D9" s="5" t="s">
        <v>127</v>
      </c>
      <c r="E9" s="4">
        <v>24</v>
      </c>
      <c r="F9" s="4">
        <v>25</v>
      </c>
      <c r="G9" s="4">
        <v>0</v>
      </c>
      <c r="H9" s="4">
        <v>24</v>
      </c>
      <c r="I9" s="4">
        <v>24</v>
      </c>
      <c r="J9" s="4">
        <v>24</v>
      </c>
      <c r="K9" s="4">
        <v>25</v>
      </c>
      <c r="L9" s="4">
        <v>175</v>
      </c>
      <c r="M9" s="4">
        <f t="shared" si="0"/>
        <v>146</v>
      </c>
      <c r="N9" s="8">
        <f t="shared" si="1"/>
        <v>83.428571428571431</v>
      </c>
      <c r="O9" s="4"/>
    </row>
    <row r="10" spans="1:15" x14ac:dyDescent="0.25">
      <c r="A10" s="4">
        <v>5</v>
      </c>
      <c r="B10" s="4"/>
      <c r="C10" s="5" t="s">
        <v>131</v>
      </c>
      <c r="D10" s="5" t="s">
        <v>127</v>
      </c>
      <c r="E10" s="4">
        <v>22</v>
      </c>
      <c r="F10" s="4">
        <v>22</v>
      </c>
      <c r="G10" s="4">
        <v>0</v>
      </c>
      <c r="H10" s="4">
        <v>20</v>
      </c>
      <c r="I10" s="4">
        <v>17</v>
      </c>
      <c r="J10" s="4">
        <v>15</v>
      </c>
      <c r="K10" s="4">
        <v>20</v>
      </c>
      <c r="L10" s="4">
        <v>175</v>
      </c>
      <c r="M10" s="4">
        <f t="shared" si="0"/>
        <v>116</v>
      </c>
      <c r="N10" s="8">
        <f t="shared" si="1"/>
        <v>66.285714285714278</v>
      </c>
      <c r="O10" s="4"/>
    </row>
    <row r="11" spans="1:15" x14ac:dyDescent="0.25">
      <c r="A11" s="4">
        <v>6</v>
      </c>
      <c r="B11" s="4"/>
      <c r="C11" s="5" t="s">
        <v>132</v>
      </c>
      <c r="D11" s="5" t="s">
        <v>127</v>
      </c>
      <c r="E11" s="4">
        <v>0</v>
      </c>
      <c r="F11" s="4">
        <v>15</v>
      </c>
      <c r="G11" s="4">
        <v>0</v>
      </c>
      <c r="H11" s="4">
        <v>8</v>
      </c>
      <c r="I11" s="4">
        <v>8</v>
      </c>
      <c r="J11" s="4">
        <v>10</v>
      </c>
      <c r="K11" s="4">
        <v>12</v>
      </c>
      <c r="L11" s="4">
        <v>175</v>
      </c>
      <c r="M11" s="4">
        <f t="shared" si="0"/>
        <v>53</v>
      </c>
      <c r="N11" s="8">
        <f t="shared" si="1"/>
        <v>30.285714285714288</v>
      </c>
      <c r="O11" s="4"/>
    </row>
    <row r="12" spans="1:15" x14ac:dyDescent="0.25">
      <c r="A12" s="4">
        <v>7</v>
      </c>
      <c r="B12" s="4"/>
      <c r="C12" s="5" t="s">
        <v>133</v>
      </c>
      <c r="D12" s="5" t="s">
        <v>127</v>
      </c>
      <c r="E12" s="4">
        <v>0</v>
      </c>
      <c r="F12" s="4">
        <v>10</v>
      </c>
      <c r="G12" s="4">
        <v>10</v>
      </c>
      <c r="H12" s="4">
        <v>8</v>
      </c>
      <c r="I12" s="4">
        <v>7</v>
      </c>
      <c r="J12" s="4">
        <v>8</v>
      </c>
      <c r="K12" s="4">
        <v>8</v>
      </c>
      <c r="L12" s="4">
        <v>175</v>
      </c>
      <c r="M12" s="4">
        <f t="shared" si="0"/>
        <v>51</v>
      </c>
      <c r="N12" s="8">
        <f t="shared" si="1"/>
        <v>29.142857142857142</v>
      </c>
      <c r="O12" s="4"/>
    </row>
    <row r="13" spans="1:15" x14ac:dyDescent="0.25">
      <c r="A13" s="4">
        <v>8</v>
      </c>
      <c r="B13" s="4"/>
      <c r="C13" s="5" t="s">
        <v>134</v>
      </c>
      <c r="D13" s="5" t="s">
        <v>127</v>
      </c>
      <c r="E13" s="4">
        <v>10</v>
      </c>
      <c r="F13" s="4">
        <v>15</v>
      </c>
      <c r="G13" s="4">
        <v>0</v>
      </c>
      <c r="H13" s="4">
        <v>8</v>
      </c>
      <c r="I13" s="4">
        <v>6</v>
      </c>
      <c r="J13" s="4">
        <v>5</v>
      </c>
      <c r="K13" s="4">
        <v>12</v>
      </c>
      <c r="L13" s="4">
        <v>175</v>
      </c>
      <c r="M13" s="4">
        <f t="shared" si="0"/>
        <v>56</v>
      </c>
      <c r="N13" s="8">
        <f t="shared" si="1"/>
        <v>32</v>
      </c>
      <c r="O13" s="4"/>
    </row>
    <row r="14" spans="1:15" x14ac:dyDescent="0.25">
      <c r="A14" s="4">
        <v>9</v>
      </c>
      <c r="B14" s="4"/>
      <c r="C14" s="5" t="s">
        <v>135</v>
      </c>
      <c r="D14" s="5" t="s">
        <v>127</v>
      </c>
      <c r="E14" s="4">
        <v>23</v>
      </c>
      <c r="F14" s="4">
        <v>25</v>
      </c>
      <c r="G14" s="4">
        <v>5</v>
      </c>
      <c r="H14" s="4">
        <v>24</v>
      </c>
      <c r="I14" s="4">
        <v>20</v>
      </c>
      <c r="J14" s="4">
        <v>23</v>
      </c>
      <c r="K14" s="4">
        <v>23</v>
      </c>
      <c r="L14" s="4">
        <v>175</v>
      </c>
      <c r="M14" s="4">
        <f t="shared" si="0"/>
        <v>143</v>
      </c>
      <c r="N14" s="8">
        <f t="shared" si="1"/>
        <v>81.714285714285722</v>
      </c>
      <c r="O14" s="4"/>
    </row>
    <row r="15" spans="1:15" ht="25.5" x14ac:dyDescent="0.25">
      <c r="A15" s="4">
        <v>10</v>
      </c>
      <c r="B15" s="6"/>
      <c r="C15" s="5" t="s">
        <v>136</v>
      </c>
      <c r="D15" s="5" t="s">
        <v>127</v>
      </c>
      <c r="E15" s="4">
        <v>12</v>
      </c>
      <c r="F15" s="4">
        <v>25</v>
      </c>
      <c r="G15" s="4">
        <v>0</v>
      </c>
      <c r="H15" s="4">
        <v>24</v>
      </c>
      <c r="I15" s="4">
        <v>6</v>
      </c>
      <c r="J15" s="4">
        <v>8</v>
      </c>
      <c r="K15" s="4">
        <v>12</v>
      </c>
      <c r="L15" s="4">
        <v>175</v>
      </c>
      <c r="M15" s="4">
        <f t="shared" si="0"/>
        <v>87</v>
      </c>
      <c r="N15" s="8">
        <f t="shared" si="1"/>
        <v>49.714285714285715</v>
      </c>
      <c r="O15" s="4"/>
    </row>
    <row r="16" spans="1:15" x14ac:dyDescent="0.25">
      <c r="A16" s="4">
        <v>11</v>
      </c>
      <c r="B16" s="6"/>
      <c r="C16" s="5" t="s">
        <v>137</v>
      </c>
      <c r="D16" s="5" t="s">
        <v>127</v>
      </c>
      <c r="E16" s="4">
        <v>17</v>
      </c>
      <c r="F16" s="4">
        <v>15</v>
      </c>
      <c r="G16" s="4">
        <v>0</v>
      </c>
      <c r="H16" s="4">
        <v>8</v>
      </c>
      <c r="I16" s="4">
        <v>6</v>
      </c>
      <c r="J16" s="4">
        <v>5</v>
      </c>
      <c r="K16" s="4">
        <v>17</v>
      </c>
      <c r="L16" s="4">
        <v>175</v>
      </c>
      <c r="M16" s="4">
        <f t="shared" si="0"/>
        <v>68</v>
      </c>
      <c r="N16" s="8">
        <f t="shared" si="1"/>
        <v>38.857142857142854</v>
      </c>
      <c r="O16" s="4"/>
    </row>
    <row r="17" spans="1:15" ht="25.5" x14ac:dyDescent="0.25">
      <c r="A17" s="4">
        <v>12</v>
      </c>
      <c r="B17" s="6"/>
      <c r="C17" s="5" t="s">
        <v>138</v>
      </c>
      <c r="D17" s="5" t="s">
        <v>127</v>
      </c>
      <c r="E17" s="4">
        <v>12</v>
      </c>
      <c r="F17" s="4">
        <v>10</v>
      </c>
      <c r="G17" s="4">
        <v>0</v>
      </c>
      <c r="H17" s="4">
        <v>8</v>
      </c>
      <c r="I17" s="4">
        <v>7</v>
      </c>
      <c r="J17" s="4">
        <v>8</v>
      </c>
      <c r="K17" s="4">
        <v>15</v>
      </c>
      <c r="L17" s="4">
        <v>175</v>
      </c>
      <c r="M17" s="4">
        <f t="shared" si="0"/>
        <v>60</v>
      </c>
      <c r="N17" s="8">
        <f t="shared" si="1"/>
        <v>34.285714285714285</v>
      </c>
      <c r="O17" s="4"/>
    </row>
    <row r="18" spans="1:15" x14ac:dyDescent="0.25">
      <c r="A18" s="4">
        <v>13</v>
      </c>
      <c r="B18" s="6"/>
      <c r="C18" s="5" t="s">
        <v>139</v>
      </c>
      <c r="D18" s="5" t="s">
        <v>127</v>
      </c>
      <c r="E18" s="4">
        <v>10</v>
      </c>
      <c r="F18" s="4">
        <v>10</v>
      </c>
      <c r="G18" s="4">
        <v>10</v>
      </c>
      <c r="H18" s="4">
        <v>10</v>
      </c>
      <c r="I18" s="4">
        <v>7</v>
      </c>
      <c r="J18" s="4">
        <v>6</v>
      </c>
      <c r="K18" s="4">
        <v>15</v>
      </c>
      <c r="L18" s="4">
        <v>175</v>
      </c>
      <c r="M18" s="4">
        <f t="shared" si="0"/>
        <v>68</v>
      </c>
      <c r="N18" s="8">
        <f t="shared" si="1"/>
        <v>38.857142857142854</v>
      </c>
      <c r="O18" s="4"/>
    </row>
    <row r="19" spans="1:15" x14ac:dyDescent="0.25">
      <c r="A19" s="4">
        <v>14</v>
      </c>
      <c r="B19" s="6"/>
      <c r="C19" s="5" t="s">
        <v>140</v>
      </c>
      <c r="D19" s="5" t="s">
        <v>127</v>
      </c>
      <c r="E19" s="4">
        <v>15</v>
      </c>
      <c r="F19" s="4">
        <v>10</v>
      </c>
      <c r="G19" s="4">
        <v>10</v>
      </c>
      <c r="H19" s="4">
        <v>15</v>
      </c>
      <c r="I19" s="4">
        <v>6</v>
      </c>
      <c r="J19" s="4">
        <v>8</v>
      </c>
      <c r="K19" s="4">
        <v>17</v>
      </c>
      <c r="L19" s="4">
        <v>175</v>
      </c>
      <c r="M19" s="4">
        <f t="shared" si="0"/>
        <v>81</v>
      </c>
      <c r="N19" s="8">
        <f t="shared" si="1"/>
        <v>46.285714285714285</v>
      </c>
      <c r="O19" s="4"/>
    </row>
    <row r="20" spans="1:15" x14ac:dyDescent="0.25">
      <c r="A20" s="4">
        <v>15</v>
      </c>
      <c r="B20" s="6"/>
      <c r="C20" s="5" t="s">
        <v>141</v>
      </c>
      <c r="D20" s="5" t="s">
        <v>127</v>
      </c>
      <c r="E20" s="4">
        <v>20</v>
      </c>
      <c r="F20" s="4">
        <v>18</v>
      </c>
      <c r="G20" s="4">
        <v>20</v>
      </c>
      <c r="H20" s="4">
        <v>20</v>
      </c>
      <c r="I20" s="4">
        <v>8</v>
      </c>
      <c r="J20" s="4">
        <v>7</v>
      </c>
      <c r="K20" s="4">
        <v>18</v>
      </c>
      <c r="L20" s="4">
        <v>175</v>
      </c>
      <c r="M20" s="4">
        <f t="shared" si="0"/>
        <v>111</v>
      </c>
      <c r="N20" s="8">
        <f t="shared" si="1"/>
        <v>63.428571428571423</v>
      </c>
      <c r="O20" s="4"/>
    </row>
    <row r="21" spans="1:15" x14ac:dyDescent="0.25">
      <c r="A21" s="4">
        <v>16</v>
      </c>
      <c r="B21" s="6"/>
      <c r="C21" s="5" t="s">
        <v>50</v>
      </c>
      <c r="D21" s="5" t="s">
        <v>127</v>
      </c>
      <c r="E21" s="4">
        <v>4</v>
      </c>
      <c r="F21" s="4">
        <v>10</v>
      </c>
      <c r="G21" s="4">
        <v>5</v>
      </c>
      <c r="H21" s="4">
        <v>10</v>
      </c>
      <c r="I21" s="4">
        <v>6</v>
      </c>
      <c r="J21" s="4">
        <v>5</v>
      </c>
      <c r="K21" s="4">
        <v>10</v>
      </c>
      <c r="L21" s="4">
        <v>175</v>
      </c>
      <c r="M21" s="4">
        <f t="shared" si="0"/>
        <v>50</v>
      </c>
      <c r="N21" s="8">
        <f t="shared" si="1"/>
        <v>28.571428571428569</v>
      </c>
      <c r="O21" s="4"/>
    </row>
    <row r="22" spans="1:15" ht="25.5" x14ac:dyDescent="0.25">
      <c r="A22" s="4">
        <v>17</v>
      </c>
      <c r="B22" s="6"/>
      <c r="C22" s="5" t="s">
        <v>142</v>
      </c>
      <c r="D22" s="5" t="s">
        <v>127</v>
      </c>
      <c r="E22" s="4">
        <v>24</v>
      </c>
      <c r="F22" s="4">
        <v>25</v>
      </c>
      <c r="G22" s="4">
        <v>24</v>
      </c>
      <c r="H22" s="4">
        <v>24</v>
      </c>
      <c r="I22" s="4">
        <v>25</v>
      </c>
      <c r="J22" s="4">
        <v>24</v>
      </c>
      <c r="K22" s="4">
        <v>25</v>
      </c>
      <c r="L22" s="4">
        <v>175</v>
      </c>
      <c r="M22" s="4">
        <f t="shared" si="0"/>
        <v>171</v>
      </c>
      <c r="N22" s="8">
        <f t="shared" si="1"/>
        <v>97.714285714285708</v>
      </c>
      <c r="O22" s="4"/>
    </row>
    <row r="23" spans="1:15" x14ac:dyDescent="0.25">
      <c r="A23" s="4">
        <v>18</v>
      </c>
      <c r="B23" s="6"/>
      <c r="C23" s="5" t="s">
        <v>143</v>
      </c>
      <c r="D23" s="5" t="s">
        <v>127</v>
      </c>
      <c r="E23" s="4">
        <v>22</v>
      </c>
      <c r="F23" s="4">
        <v>20</v>
      </c>
      <c r="G23" s="4">
        <v>25</v>
      </c>
      <c r="H23" s="4">
        <v>25</v>
      </c>
      <c r="I23" s="4">
        <v>25</v>
      </c>
      <c r="J23" s="4">
        <v>24</v>
      </c>
      <c r="K23" s="4">
        <v>23</v>
      </c>
      <c r="L23" s="4">
        <v>175</v>
      </c>
      <c r="M23" s="4">
        <f t="shared" si="0"/>
        <v>164</v>
      </c>
      <c r="N23" s="8">
        <f t="shared" si="1"/>
        <v>93.714285714285722</v>
      </c>
      <c r="O23" s="4"/>
    </row>
    <row r="24" spans="1:15" x14ac:dyDescent="0.25">
      <c r="A24" s="4">
        <v>19</v>
      </c>
      <c r="B24" s="6"/>
      <c r="C24" s="5" t="s">
        <v>144</v>
      </c>
      <c r="D24" s="5" t="s">
        <v>127</v>
      </c>
      <c r="E24" s="4">
        <v>24</v>
      </c>
      <c r="F24" s="4">
        <v>20</v>
      </c>
      <c r="G24" s="4">
        <v>25</v>
      </c>
      <c r="H24" s="4">
        <v>23</v>
      </c>
      <c r="I24" s="4">
        <v>20</v>
      </c>
      <c r="J24" s="4">
        <v>23</v>
      </c>
      <c r="K24" s="4">
        <v>21</v>
      </c>
      <c r="L24" s="4">
        <v>175</v>
      </c>
      <c r="M24" s="4">
        <f t="shared" si="0"/>
        <v>156</v>
      </c>
      <c r="N24" s="8">
        <f t="shared" si="1"/>
        <v>89.142857142857139</v>
      </c>
      <c r="O24" s="4"/>
    </row>
    <row r="25" spans="1:15" x14ac:dyDescent="0.25">
      <c r="A25" s="4">
        <v>20</v>
      </c>
      <c r="B25" s="6"/>
      <c r="C25" s="5" t="s">
        <v>145</v>
      </c>
      <c r="D25" s="5" t="s">
        <v>127</v>
      </c>
      <c r="E25" s="4">
        <v>13</v>
      </c>
      <c r="F25" s="4">
        <v>0</v>
      </c>
      <c r="G25" s="4">
        <v>10</v>
      </c>
      <c r="H25" s="4">
        <v>10</v>
      </c>
      <c r="I25" s="4">
        <v>10</v>
      </c>
      <c r="J25" s="4">
        <v>10</v>
      </c>
      <c r="K25" s="4">
        <v>8</v>
      </c>
      <c r="L25" s="4">
        <v>175</v>
      </c>
      <c r="M25" s="4">
        <f t="shared" si="0"/>
        <v>61</v>
      </c>
      <c r="N25" s="8">
        <f t="shared" si="1"/>
        <v>34.857142857142861</v>
      </c>
      <c r="O25" s="4"/>
    </row>
    <row r="26" spans="1:15" x14ac:dyDescent="0.25">
      <c r="A26" s="4">
        <v>21</v>
      </c>
      <c r="B26" s="6"/>
      <c r="C26" s="5" t="s">
        <v>146</v>
      </c>
      <c r="D26" s="5" t="s">
        <v>127</v>
      </c>
      <c r="E26" s="4">
        <v>17</v>
      </c>
      <c r="F26" s="4">
        <v>0</v>
      </c>
      <c r="G26" s="4">
        <v>15</v>
      </c>
      <c r="H26" s="4">
        <v>15</v>
      </c>
      <c r="I26" s="4">
        <v>23</v>
      </c>
      <c r="J26" s="4">
        <v>23</v>
      </c>
      <c r="K26" s="4">
        <v>22</v>
      </c>
      <c r="L26" s="4">
        <v>175</v>
      </c>
      <c r="M26" s="4">
        <f t="shared" si="0"/>
        <v>115</v>
      </c>
      <c r="N26" s="8">
        <f t="shared" si="1"/>
        <v>65.714285714285708</v>
      </c>
      <c r="O26" s="4"/>
    </row>
    <row r="27" spans="1:15" x14ac:dyDescent="0.25">
      <c r="A27" s="4">
        <v>22</v>
      </c>
      <c r="B27" s="6"/>
      <c r="C27" s="5" t="s">
        <v>147</v>
      </c>
      <c r="D27" s="5" t="s">
        <v>127</v>
      </c>
      <c r="E27" s="4">
        <v>12</v>
      </c>
      <c r="F27" s="4">
        <v>0</v>
      </c>
      <c r="G27" s="4">
        <v>15</v>
      </c>
      <c r="H27" s="4">
        <v>15</v>
      </c>
      <c r="I27" s="4">
        <v>10</v>
      </c>
      <c r="J27" s="4">
        <v>8</v>
      </c>
      <c r="K27" s="4">
        <v>6</v>
      </c>
      <c r="L27" s="4">
        <v>175</v>
      </c>
      <c r="M27" s="4">
        <f t="shared" si="0"/>
        <v>66</v>
      </c>
      <c r="N27" s="8">
        <f t="shared" si="1"/>
        <v>37.714285714285715</v>
      </c>
      <c r="O27" s="4"/>
    </row>
    <row r="28" spans="1:15" x14ac:dyDescent="0.25">
      <c r="A28" s="4">
        <v>23</v>
      </c>
      <c r="B28" s="4"/>
      <c r="C28" s="5" t="s">
        <v>148</v>
      </c>
      <c r="D28" s="5" t="s">
        <v>127</v>
      </c>
      <c r="E28" s="4">
        <v>5</v>
      </c>
      <c r="F28" s="4">
        <v>0</v>
      </c>
      <c r="G28" s="4">
        <v>15</v>
      </c>
      <c r="H28" s="4">
        <v>15</v>
      </c>
      <c r="I28" s="4">
        <v>23</v>
      </c>
      <c r="J28" s="4">
        <v>6</v>
      </c>
      <c r="K28" s="4">
        <v>7</v>
      </c>
      <c r="L28" s="4">
        <v>175</v>
      </c>
      <c r="M28" s="4">
        <f t="shared" si="0"/>
        <v>71</v>
      </c>
      <c r="N28" s="8">
        <f t="shared" si="1"/>
        <v>40.571428571428569</v>
      </c>
      <c r="O28" s="4"/>
    </row>
    <row r="29" spans="1:15" x14ac:dyDescent="0.25">
      <c r="A29" s="4">
        <v>24</v>
      </c>
      <c r="B29" s="4"/>
      <c r="C29" s="5" t="s">
        <v>149</v>
      </c>
      <c r="D29" s="5" t="s">
        <v>127</v>
      </c>
      <c r="E29" s="4">
        <v>10</v>
      </c>
      <c r="F29" s="4">
        <v>0</v>
      </c>
      <c r="G29" s="4">
        <v>18</v>
      </c>
      <c r="H29" s="4">
        <v>12</v>
      </c>
      <c r="I29" s="4">
        <v>10</v>
      </c>
      <c r="J29" s="4">
        <v>10</v>
      </c>
      <c r="K29" s="4">
        <v>8</v>
      </c>
      <c r="L29" s="4">
        <v>175</v>
      </c>
      <c r="M29" s="4">
        <f t="shared" si="0"/>
        <v>68</v>
      </c>
      <c r="N29" s="8">
        <f t="shared" si="1"/>
        <v>38.857142857142854</v>
      </c>
      <c r="O29" s="4"/>
    </row>
    <row r="30" spans="1:15" x14ac:dyDescent="0.25">
      <c r="A30" s="4">
        <v>25</v>
      </c>
      <c r="B30" s="4"/>
      <c r="C30" s="5" t="s">
        <v>150</v>
      </c>
      <c r="D30" s="5" t="s">
        <v>127</v>
      </c>
      <c r="E30" s="4">
        <v>21</v>
      </c>
      <c r="F30" s="4">
        <v>20</v>
      </c>
      <c r="G30" s="4">
        <v>19</v>
      </c>
      <c r="H30" s="4">
        <v>10</v>
      </c>
      <c r="I30" s="4">
        <v>22</v>
      </c>
      <c r="J30" s="4">
        <v>12</v>
      </c>
      <c r="K30" s="4">
        <v>10</v>
      </c>
      <c r="L30" s="4">
        <v>175</v>
      </c>
      <c r="M30" s="4">
        <f t="shared" si="0"/>
        <v>114</v>
      </c>
      <c r="N30" s="8">
        <f t="shared" si="1"/>
        <v>65.142857142857153</v>
      </c>
      <c r="O30" s="4"/>
    </row>
    <row r="31" spans="1:15" x14ac:dyDescent="0.25">
      <c r="A31" s="4">
        <v>26</v>
      </c>
      <c r="B31" s="4"/>
      <c r="C31" s="5" t="s">
        <v>151</v>
      </c>
      <c r="D31" s="5" t="s">
        <v>127</v>
      </c>
      <c r="E31" s="4">
        <v>17</v>
      </c>
      <c r="F31" s="4">
        <v>0</v>
      </c>
      <c r="G31" s="4">
        <v>10</v>
      </c>
      <c r="H31" s="4">
        <v>0</v>
      </c>
      <c r="I31" s="4">
        <v>24</v>
      </c>
      <c r="J31" s="4">
        <v>11</v>
      </c>
      <c r="K31" s="4">
        <v>12</v>
      </c>
      <c r="L31" s="4">
        <v>175</v>
      </c>
      <c r="M31" s="4">
        <f t="shared" si="0"/>
        <v>74</v>
      </c>
      <c r="N31" s="8">
        <f t="shared" si="1"/>
        <v>42.285714285714285</v>
      </c>
      <c r="O31" s="4"/>
    </row>
    <row r="32" spans="1:15" x14ac:dyDescent="0.25">
      <c r="A32" s="4">
        <v>27</v>
      </c>
      <c r="B32" s="4"/>
      <c r="C32" s="5" t="s">
        <v>152</v>
      </c>
      <c r="D32" s="5" t="s">
        <v>127</v>
      </c>
      <c r="E32" s="4">
        <v>18</v>
      </c>
      <c r="F32" s="4">
        <v>0</v>
      </c>
      <c r="G32" s="4">
        <v>12</v>
      </c>
      <c r="H32" s="4">
        <v>12</v>
      </c>
      <c r="I32" s="4">
        <v>23</v>
      </c>
      <c r="J32" s="4">
        <v>15</v>
      </c>
      <c r="K32" s="4">
        <v>23</v>
      </c>
      <c r="L32" s="4">
        <v>175</v>
      </c>
      <c r="M32" s="4">
        <f t="shared" si="0"/>
        <v>103</v>
      </c>
      <c r="N32" s="8">
        <f t="shared" si="1"/>
        <v>58.857142857142854</v>
      </c>
      <c r="O32" s="4"/>
    </row>
    <row r="33" spans="1:15" x14ac:dyDescent="0.25">
      <c r="A33" s="4">
        <v>28</v>
      </c>
      <c r="B33" s="4"/>
      <c r="C33" s="5" t="s">
        <v>153</v>
      </c>
      <c r="D33" s="5" t="s">
        <v>127</v>
      </c>
      <c r="E33" s="4">
        <v>8</v>
      </c>
      <c r="F33" s="4">
        <v>0</v>
      </c>
      <c r="G33" s="4">
        <v>18</v>
      </c>
      <c r="H33" s="4">
        <v>12</v>
      </c>
      <c r="I33" s="4">
        <v>13</v>
      </c>
      <c r="J33" s="4">
        <v>13</v>
      </c>
      <c r="K33" s="4">
        <v>24</v>
      </c>
      <c r="L33" s="4">
        <v>175</v>
      </c>
      <c r="M33" s="4">
        <f t="shared" si="0"/>
        <v>88</v>
      </c>
      <c r="N33" s="8">
        <f t="shared" si="1"/>
        <v>50.285714285714292</v>
      </c>
      <c r="O33" s="4"/>
    </row>
    <row r="34" spans="1:15" x14ac:dyDescent="0.25">
      <c r="A34" s="4">
        <v>29</v>
      </c>
      <c r="B34" s="4"/>
      <c r="C34" s="5" t="s">
        <v>154</v>
      </c>
      <c r="D34" s="5" t="s">
        <v>127</v>
      </c>
      <c r="E34" s="4">
        <v>23</v>
      </c>
      <c r="F34" s="4">
        <v>0</v>
      </c>
      <c r="G34" s="4">
        <v>10</v>
      </c>
      <c r="H34" s="4">
        <v>10</v>
      </c>
      <c r="I34" s="4">
        <v>12</v>
      </c>
      <c r="J34" s="4">
        <v>23</v>
      </c>
      <c r="K34" s="4">
        <v>22</v>
      </c>
      <c r="L34" s="4">
        <v>175</v>
      </c>
      <c r="M34" s="4">
        <f t="shared" si="0"/>
        <v>100</v>
      </c>
      <c r="N34" s="8">
        <f t="shared" si="1"/>
        <v>57.142857142857139</v>
      </c>
      <c r="O34" s="4"/>
    </row>
    <row r="35" spans="1:15" x14ac:dyDescent="0.25">
      <c r="A35" s="4">
        <v>30</v>
      </c>
      <c r="B35" s="4"/>
      <c r="C35" s="5" t="s">
        <v>155</v>
      </c>
      <c r="D35" s="5" t="s">
        <v>127</v>
      </c>
      <c r="E35" s="4">
        <v>10</v>
      </c>
      <c r="F35" s="4">
        <v>0</v>
      </c>
      <c r="G35" s="4">
        <v>7</v>
      </c>
      <c r="H35" s="4">
        <v>8</v>
      </c>
      <c r="I35" s="4">
        <v>10</v>
      </c>
      <c r="J35" s="4">
        <v>10</v>
      </c>
      <c r="K35" s="4">
        <v>15</v>
      </c>
      <c r="L35" s="4">
        <v>175</v>
      </c>
      <c r="M35" s="4">
        <f t="shared" si="0"/>
        <v>60</v>
      </c>
      <c r="N35" s="8">
        <f t="shared" si="1"/>
        <v>34.285714285714285</v>
      </c>
      <c r="O35" s="4"/>
    </row>
    <row r="36" spans="1:15" x14ac:dyDescent="0.25">
      <c r="A36" s="4">
        <v>31</v>
      </c>
      <c r="B36" s="4"/>
      <c r="C36" s="5" t="s">
        <v>156</v>
      </c>
      <c r="D36" s="5" t="s">
        <v>127</v>
      </c>
      <c r="E36" s="4">
        <v>22</v>
      </c>
      <c r="F36" s="4">
        <v>10</v>
      </c>
      <c r="G36" s="4">
        <v>24</v>
      </c>
      <c r="H36" s="4">
        <v>20</v>
      </c>
      <c r="I36" s="4">
        <v>8</v>
      </c>
      <c r="J36" s="4">
        <v>16</v>
      </c>
      <c r="K36" s="4">
        <v>20</v>
      </c>
      <c r="L36" s="4">
        <v>175</v>
      </c>
      <c r="M36" s="4">
        <f t="shared" si="0"/>
        <v>120</v>
      </c>
      <c r="N36" s="8">
        <f t="shared" si="1"/>
        <v>68.571428571428569</v>
      </c>
      <c r="O36" s="4"/>
    </row>
    <row r="37" spans="1:15" x14ac:dyDescent="0.25">
      <c r="A37" s="4">
        <v>32</v>
      </c>
      <c r="B37" s="4"/>
      <c r="C37" s="5" t="s">
        <v>157</v>
      </c>
      <c r="D37" s="5" t="s">
        <v>127</v>
      </c>
      <c r="E37" s="4">
        <v>23</v>
      </c>
      <c r="F37" s="4">
        <v>20</v>
      </c>
      <c r="G37" s="4">
        <v>20</v>
      </c>
      <c r="H37" s="4">
        <v>15</v>
      </c>
      <c r="I37" s="4">
        <v>6</v>
      </c>
      <c r="J37" s="4">
        <v>15</v>
      </c>
      <c r="K37" s="4">
        <v>21</v>
      </c>
      <c r="L37" s="4">
        <v>175</v>
      </c>
      <c r="M37" s="4">
        <f t="shared" si="0"/>
        <v>120</v>
      </c>
      <c r="N37" s="8">
        <f t="shared" si="1"/>
        <v>68.571428571428569</v>
      </c>
      <c r="O37" s="4"/>
    </row>
    <row r="38" spans="1:15" x14ac:dyDescent="0.25">
      <c r="A38" s="4">
        <v>33</v>
      </c>
      <c r="B38" s="4"/>
      <c r="C38" s="5" t="s">
        <v>158</v>
      </c>
      <c r="D38" s="5" t="s">
        <v>127</v>
      </c>
      <c r="E38" s="4">
        <v>7</v>
      </c>
      <c r="F38" s="4">
        <v>10</v>
      </c>
      <c r="G38" s="4">
        <v>20</v>
      </c>
      <c r="H38" s="4">
        <v>15</v>
      </c>
      <c r="I38" s="4">
        <v>20</v>
      </c>
      <c r="J38" s="4">
        <v>14</v>
      </c>
      <c r="K38" s="4">
        <v>8</v>
      </c>
      <c r="L38" s="4">
        <v>175</v>
      </c>
      <c r="M38" s="4">
        <f t="shared" si="0"/>
        <v>94</v>
      </c>
      <c r="N38" s="8">
        <f t="shared" si="1"/>
        <v>53.714285714285715</v>
      </c>
      <c r="O38" s="4"/>
    </row>
    <row r="39" spans="1:15" x14ac:dyDescent="0.25">
      <c r="A39" s="4">
        <v>34</v>
      </c>
      <c r="B39" s="4"/>
      <c r="C39" s="5" t="s">
        <v>159</v>
      </c>
      <c r="D39" s="5" t="s">
        <v>127</v>
      </c>
      <c r="E39" s="4">
        <v>5</v>
      </c>
      <c r="F39" s="4">
        <v>5</v>
      </c>
      <c r="G39" s="4">
        <v>15</v>
      </c>
      <c r="H39" s="4">
        <v>10</v>
      </c>
      <c r="I39" s="4">
        <v>20</v>
      </c>
      <c r="J39" s="4">
        <v>12</v>
      </c>
      <c r="K39" s="4">
        <v>7</v>
      </c>
      <c r="L39" s="4">
        <v>175</v>
      </c>
      <c r="M39" s="4">
        <f t="shared" si="0"/>
        <v>74</v>
      </c>
      <c r="N39" s="8">
        <f t="shared" si="1"/>
        <v>42.285714285714285</v>
      </c>
      <c r="O39" s="4"/>
    </row>
  </sheetData>
  <mergeCells count="11">
    <mergeCell ref="O3:O5"/>
    <mergeCell ref="A1:O1"/>
    <mergeCell ref="A2:O2"/>
    <mergeCell ref="A3:A5"/>
    <mergeCell ref="B3:B5"/>
    <mergeCell ref="C3:C5"/>
    <mergeCell ref="D3:D5"/>
    <mergeCell ref="E3:K3"/>
    <mergeCell ref="L3:L4"/>
    <mergeCell ref="M3:M5"/>
    <mergeCell ref="N3:N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26F0-31A4-4159-8F3E-B47BD81EC81C}">
  <dimension ref="A1:O39"/>
  <sheetViews>
    <sheetView topLeftCell="A30" workbookViewId="0">
      <selection activeCell="C28" sqref="C28"/>
    </sheetView>
  </sheetViews>
  <sheetFormatPr defaultRowHeight="15" x14ac:dyDescent="0.25"/>
  <cols>
    <col min="1" max="2" width="3.140625" bestFit="1" customWidth="1"/>
    <col min="4" max="11" width="4.7109375" customWidth="1"/>
  </cols>
  <sheetData>
    <row r="1" spans="1:15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x14ac:dyDescent="0.25">
      <c r="A3" s="19" t="s">
        <v>2</v>
      </c>
      <c r="B3" s="19" t="s">
        <v>3</v>
      </c>
      <c r="C3" s="19" t="s">
        <v>5</v>
      </c>
      <c r="D3" s="20" t="s">
        <v>4</v>
      </c>
      <c r="E3" s="23" t="s">
        <v>7</v>
      </c>
      <c r="F3" s="23"/>
      <c r="G3" s="23"/>
      <c r="H3" s="23"/>
      <c r="I3" s="23"/>
      <c r="J3" s="23"/>
      <c r="K3" s="23"/>
      <c r="L3" s="19" t="s">
        <v>15</v>
      </c>
      <c r="M3" s="19" t="s">
        <v>16</v>
      </c>
      <c r="N3" s="19" t="s">
        <v>17</v>
      </c>
      <c r="O3" s="19" t="s">
        <v>18</v>
      </c>
    </row>
    <row r="4" spans="1:15" ht="42.75" x14ac:dyDescent="0.25">
      <c r="A4" s="19"/>
      <c r="B4" s="19"/>
      <c r="C4" s="19"/>
      <c r="D4" s="21"/>
      <c r="E4" s="2" t="s">
        <v>10</v>
      </c>
      <c r="F4" s="2" t="s">
        <v>120</v>
      </c>
      <c r="G4" s="2" t="s">
        <v>11</v>
      </c>
      <c r="H4" s="2" t="s">
        <v>122</v>
      </c>
      <c r="I4" s="2" t="s">
        <v>123</v>
      </c>
      <c r="J4" s="2" t="s">
        <v>124</v>
      </c>
      <c r="K4" s="2" t="s">
        <v>125</v>
      </c>
      <c r="L4" s="19"/>
      <c r="M4" s="19"/>
      <c r="N4" s="19"/>
      <c r="O4" s="19"/>
    </row>
    <row r="5" spans="1:15" x14ac:dyDescent="0.25">
      <c r="A5" s="19"/>
      <c r="B5" s="19"/>
      <c r="C5" s="19"/>
      <c r="D5" s="22"/>
      <c r="E5" s="3">
        <v>25</v>
      </c>
      <c r="F5" s="3">
        <v>25</v>
      </c>
      <c r="G5" s="3">
        <v>25</v>
      </c>
      <c r="H5" s="3">
        <v>25</v>
      </c>
      <c r="I5" s="3">
        <v>25</v>
      </c>
      <c r="J5" s="3">
        <v>25</v>
      </c>
      <c r="K5" s="3">
        <v>25</v>
      </c>
      <c r="L5" s="3">
        <f>SUM(E5:K5)</f>
        <v>175</v>
      </c>
      <c r="M5" s="19"/>
      <c r="N5" s="19"/>
      <c r="O5" s="19"/>
    </row>
    <row r="6" spans="1:15" ht="26.1" customHeight="1" x14ac:dyDescent="0.25">
      <c r="A6" s="4">
        <v>1</v>
      </c>
      <c r="B6" s="4"/>
      <c r="C6" s="5" t="s">
        <v>161</v>
      </c>
      <c r="D6" s="5" t="s">
        <v>160</v>
      </c>
      <c r="E6" s="4">
        <v>20</v>
      </c>
      <c r="F6" s="4">
        <v>20</v>
      </c>
      <c r="G6" s="4">
        <v>0</v>
      </c>
      <c r="H6" s="4">
        <v>12</v>
      </c>
      <c r="I6" s="4">
        <v>8</v>
      </c>
      <c r="J6" s="4">
        <v>10</v>
      </c>
      <c r="K6" s="4">
        <v>15</v>
      </c>
      <c r="L6" s="4">
        <v>175</v>
      </c>
      <c r="M6" s="4">
        <f t="shared" ref="M6:M39" si="0">SUM(E6:K6)</f>
        <v>85</v>
      </c>
      <c r="N6" s="8">
        <f>M6/L6*100</f>
        <v>48.571428571428569</v>
      </c>
      <c r="O6" s="4"/>
    </row>
    <row r="7" spans="1:15" ht="26.1" customHeight="1" x14ac:dyDescent="0.25">
      <c r="A7" s="4">
        <v>2</v>
      </c>
      <c r="B7" s="4"/>
      <c r="C7" s="5" t="s">
        <v>162</v>
      </c>
      <c r="D7" s="5" t="s">
        <v>160</v>
      </c>
      <c r="E7" s="4">
        <v>17</v>
      </c>
      <c r="F7" s="4">
        <v>20</v>
      </c>
      <c r="G7" s="4">
        <v>1</v>
      </c>
      <c r="H7" s="4">
        <v>18</v>
      </c>
      <c r="I7" s="4">
        <v>8</v>
      </c>
      <c r="J7" s="4">
        <v>10</v>
      </c>
      <c r="K7" s="4">
        <v>18</v>
      </c>
      <c r="L7" s="4">
        <v>175</v>
      </c>
      <c r="M7" s="4">
        <f t="shared" si="0"/>
        <v>92</v>
      </c>
      <c r="N7" s="8">
        <f t="shared" ref="N7:N39" si="1">M7/L7*100</f>
        <v>52.571428571428569</v>
      </c>
      <c r="O7" s="4"/>
    </row>
    <row r="8" spans="1:15" ht="26.1" customHeight="1" x14ac:dyDescent="0.25">
      <c r="A8" s="4">
        <v>3</v>
      </c>
      <c r="B8" s="4"/>
      <c r="C8" s="5" t="s">
        <v>163</v>
      </c>
      <c r="D8" s="5" t="s">
        <v>160</v>
      </c>
      <c r="E8" s="4">
        <v>5</v>
      </c>
      <c r="F8" s="4">
        <v>15</v>
      </c>
      <c r="G8" s="4">
        <v>10</v>
      </c>
      <c r="H8" s="4">
        <v>8</v>
      </c>
      <c r="I8" s="4">
        <v>6</v>
      </c>
      <c r="J8" s="4">
        <v>5</v>
      </c>
      <c r="K8" s="4">
        <v>15</v>
      </c>
      <c r="L8" s="4">
        <v>175</v>
      </c>
      <c r="M8" s="4">
        <f t="shared" si="0"/>
        <v>64</v>
      </c>
      <c r="N8" s="8">
        <f t="shared" si="1"/>
        <v>36.571428571428569</v>
      </c>
      <c r="O8" s="4"/>
    </row>
    <row r="9" spans="1:15" ht="26.1" customHeight="1" x14ac:dyDescent="0.25">
      <c r="A9" s="4">
        <v>4</v>
      </c>
      <c r="B9" s="4"/>
      <c r="C9" s="5" t="s">
        <v>164</v>
      </c>
      <c r="D9" s="5" t="s">
        <v>160</v>
      </c>
      <c r="E9" s="4">
        <v>24</v>
      </c>
      <c r="F9" s="4">
        <v>25</v>
      </c>
      <c r="G9" s="4">
        <v>0</v>
      </c>
      <c r="H9" s="4">
        <v>24</v>
      </c>
      <c r="I9" s="4">
        <v>24</v>
      </c>
      <c r="J9" s="4">
        <v>24</v>
      </c>
      <c r="K9" s="4">
        <v>25</v>
      </c>
      <c r="L9" s="4">
        <v>175</v>
      </c>
      <c r="M9" s="4">
        <f t="shared" si="0"/>
        <v>146</v>
      </c>
      <c r="N9" s="8">
        <f t="shared" si="1"/>
        <v>83.428571428571431</v>
      </c>
      <c r="O9" s="4"/>
    </row>
    <row r="10" spans="1:15" ht="26.1" customHeight="1" x14ac:dyDescent="0.25">
      <c r="A10" s="4">
        <v>5</v>
      </c>
      <c r="B10" s="4"/>
      <c r="C10" s="5" t="s">
        <v>165</v>
      </c>
      <c r="D10" s="5" t="s">
        <v>160</v>
      </c>
      <c r="E10" s="4">
        <v>22</v>
      </c>
      <c r="F10" s="4">
        <v>22</v>
      </c>
      <c r="G10" s="4">
        <v>0</v>
      </c>
      <c r="H10" s="4">
        <v>20</v>
      </c>
      <c r="I10" s="4">
        <v>17</v>
      </c>
      <c r="J10" s="4">
        <v>15</v>
      </c>
      <c r="K10" s="4">
        <v>20</v>
      </c>
      <c r="L10" s="4">
        <v>175</v>
      </c>
      <c r="M10" s="4">
        <f t="shared" si="0"/>
        <v>116</v>
      </c>
      <c r="N10" s="8">
        <f t="shared" si="1"/>
        <v>66.285714285714278</v>
      </c>
      <c r="O10" s="4"/>
    </row>
    <row r="11" spans="1:15" ht="26.1" customHeight="1" x14ac:dyDescent="0.25">
      <c r="A11" s="4">
        <v>6</v>
      </c>
      <c r="B11" s="4"/>
      <c r="C11" s="5" t="s">
        <v>166</v>
      </c>
      <c r="D11" s="5" t="s">
        <v>160</v>
      </c>
      <c r="E11" s="4">
        <v>0</v>
      </c>
      <c r="F11" s="4">
        <v>15</v>
      </c>
      <c r="G11" s="4">
        <v>0</v>
      </c>
      <c r="H11" s="4">
        <v>8</v>
      </c>
      <c r="I11" s="4">
        <v>8</v>
      </c>
      <c r="J11" s="4">
        <v>10</v>
      </c>
      <c r="K11" s="4">
        <v>12</v>
      </c>
      <c r="L11" s="4">
        <v>175</v>
      </c>
      <c r="M11" s="4">
        <f t="shared" si="0"/>
        <v>53</v>
      </c>
      <c r="N11" s="8">
        <f t="shared" si="1"/>
        <v>30.285714285714288</v>
      </c>
      <c r="O11" s="4"/>
    </row>
    <row r="12" spans="1:15" ht="26.1" customHeight="1" x14ac:dyDescent="0.25">
      <c r="A12" s="4">
        <v>7</v>
      </c>
      <c r="B12" s="4"/>
      <c r="C12" s="5" t="s">
        <v>167</v>
      </c>
      <c r="D12" s="5" t="s">
        <v>160</v>
      </c>
      <c r="E12" s="4">
        <v>0</v>
      </c>
      <c r="F12" s="4">
        <v>10</v>
      </c>
      <c r="G12" s="4">
        <v>10</v>
      </c>
      <c r="H12" s="4">
        <v>8</v>
      </c>
      <c r="I12" s="4">
        <v>7</v>
      </c>
      <c r="J12" s="4">
        <v>8</v>
      </c>
      <c r="K12" s="4">
        <v>8</v>
      </c>
      <c r="L12" s="4">
        <v>175</v>
      </c>
      <c r="M12" s="4">
        <f t="shared" si="0"/>
        <v>51</v>
      </c>
      <c r="N12" s="8">
        <f t="shared" si="1"/>
        <v>29.142857142857142</v>
      </c>
      <c r="O12" s="4"/>
    </row>
    <row r="13" spans="1:15" ht="26.1" customHeight="1" x14ac:dyDescent="0.25">
      <c r="A13" s="4">
        <v>8</v>
      </c>
      <c r="B13" s="4"/>
      <c r="C13" s="5" t="s">
        <v>168</v>
      </c>
      <c r="D13" s="5" t="s">
        <v>160</v>
      </c>
      <c r="E13" s="4">
        <v>10</v>
      </c>
      <c r="F13" s="4">
        <v>15</v>
      </c>
      <c r="G13" s="4">
        <v>0</v>
      </c>
      <c r="H13" s="4">
        <v>8</v>
      </c>
      <c r="I13" s="4">
        <v>6</v>
      </c>
      <c r="J13" s="4">
        <v>5</v>
      </c>
      <c r="K13" s="4">
        <v>12</v>
      </c>
      <c r="L13" s="4">
        <v>175</v>
      </c>
      <c r="M13" s="4">
        <f t="shared" si="0"/>
        <v>56</v>
      </c>
      <c r="N13" s="8">
        <f t="shared" si="1"/>
        <v>32</v>
      </c>
      <c r="O13" s="4"/>
    </row>
    <row r="14" spans="1:15" ht="26.1" customHeight="1" x14ac:dyDescent="0.25">
      <c r="A14" s="4">
        <v>9</v>
      </c>
      <c r="B14" s="4"/>
      <c r="C14" s="5" t="s">
        <v>169</v>
      </c>
      <c r="D14" s="5" t="s">
        <v>160</v>
      </c>
      <c r="E14" s="4">
        <v>23</v>
      </c>
      <c r="F14" s="4">
        <v>25</v>
      </c>
      <c r="G14" s="4">
        <v>5</v>
      </c>
      <c r="H14" s="4">
        <v>24</v>
      </c>
      <c r="I14" s="4">
        <v>20</v>
      </c>
      <c r="J14" s="4">
        <v>23</v>
      </c>
      <c r="K14" s="4">
        <v>23</v>
      </c>
      <c r="L14" s="4">
        <v>175</v>
      </c>
      <c r="M14" s="4">
        <f t="shared" si="0"/>
        <v>143</v>
      </c>
      <c r="N14" s="8">
        <f t="shared" si="1"/>
        <v>81.714285714285722</v>
      </c>
      <c r="O14" s="4"/>
    </row>
    <row r="15" spans="1:15" ht="26.1" customHeight="1" x14ac:dyDescent="0.25">
      <c r="A15" s="4">
        <v>10</v>
      </c>
      <c r="B15" s="6"/>
      <c r="C15" s="5" t="s">
        <v>170</v>
      </c>
      <c r="D15" s="5" t="s">
        <v>160</v>
      </c>
      <c r="E15" s="4">
        <v>12</v>
      </c>
      <c r="F15" s="4">
        <v>25</v>
      </c>
      <c r="G15" s="4">
        <v>0</v>
      </c>
      <c r="H15" s="4">
        <v>24</v>
      </c>
      <c r="I15" s="4">
        <v>6</v>
      </c>
      <c r="J15" s="4">
        <v>8</v>
      </c>
      <c r="K15" s="4">
        <v>12</v>
      </c>
      <c r="L15" s="4">
        <v>175</v>
      </c>
      <c r="M15" s="4">
        <f t="shared" si="0"/>
        <v>87</v>
      </c>
      <c r="N15" s="8">
        <f t="shared" si="1"/>
        <v>49.714285714285715</v>
      </c>
      <c r="O15" s="4"/>
    </row>
    <row r="16" spans="1:15" ht="26.1" customHeight="1" x14ac:dyDescent="0.25">
      <c r="A16" s="4">
        <v>11</v>
      </c>
      <c r="B16" s="6"/>
      <c r="C16" s="5" t="s">
        <v>171</v>
      </c>
      <c r="D16" s="5" t="s">
        <v>160</v>
      </c>
      <c r="E16" s="4">
        <v>17</v>
      </c>
      <c r="F16" s="4">
        <v>15</v>
      </c>
      <c r="G16" s="4">
        <v>0</v>
      </c>
      <c r="H16" s="4">
        <v>8</v>
      </c>
      <c r="I16" s="4">
        <v>6</v>
      </c>
      <c r="J16" s="4">
        <v>5</v>
      </c>
      <c r="K16" s="4">
        <v>17</v>
      </c>
      <c r="L16" s="4">
        <v>175</v>
      </c>
      <c r="M16" s="4">
        <f t="shared" si="0"/>
        <v>68</v>
      </c>
      <c r="N16" s="8">
        <f t="shared" si="1"/>
        <v>38.857142857142854</v>
      </c>
      <c r="O16" s="4"/>
    </row>
    <row r="17" spans="1:15" ht="26.1" customHeight="1" x14ac:dyDescent="0.25">
      <c r="A17" s="4">
        <v>12</v>
      </c>
      <c r="B17" s="6"/>
      <c r="C17" s="5" t="s">
        <v>172</v>
      </c>
      <c r="D17" s="5" t="s">
        <v>160</v>
      </c>
      <c r="E17" s="4">
        <v>12</v>
      </c>
      <c r="F17" s="4">
        <v>10</v>
      </c>
      <c r="G17" s="4">
        <v>0</v>
      </c>
      <c r="H17" s="4">
        <v>8</v>
      </c>
      <c r="I17" s="4">
        <v>7</v>
      </c>
      <c r="J17" s="4">
        <v>8</v>
      </c>
      <c r="K17" s="4">
        <v>15</v>
      </c>
      <c r="L17" s="4">
        <v>175</v>
      </c>
      <c r="M17" s="4">
        <f t="shared" si="0"/>
        <v>60</v>
      </c>
      <c r="N17" s="8">
        <f t="shared" si="1"/>
        <v>34.285714285714285</v>
      </c>
      <c r="O17" s="4"/>
    </row>
    <row r="18" spans="1:15" ht="26.1" customHeight="1" x14ac:dyDescent="0.25">
      <c r="A18" s="4">
        <v>13</v>
      </c>
      <c r="B18" s="6"/>
      <c r="C18" s="5" t="s">
        <v>173</v>
      </c>
      <c r="D18" s="5" t="s">
        <v>160</v>
      </c>
      <c r="E18" s="4">
        <v>10</v>
      </c>
      <c r="F18" s="4">
        <v>10</v>
      </c>
      <c r="G18" s="4">
        <v>10</v>
      </c>
      <c r="H18" s="4">
        <v>10</v>
      </c>
      <c r="I18" s="4">
        <v>7</v>
      </c>
      <c r="J18" s="4">
        <v>6</v>
      </c>
      <c r="K18" s="4">
        <v>15</v>
      </c>
      <c r="L18" s="4">
        <v>175</v>
      </c>
      <c r="M18" s="4">
        <f t="shared" si="0"/>
        <v>68</v>
      </c>
      <c r="N18" s="8">
        <f t="shared" si="1"/>
        <v>38.857142857142854</v>
      </c>
      <c r="O18" s="4"/>
    </row>
    <row r="19" spans="1:15" ht="26.1" customHeight="1" x14ac:dyDescent="0.25">
      <c r="A19" s="4">
        <v>14</v>
      </c>
      <c r="B19" s="6"/>
      <c r="C19" s="5" t="s">
        <v>174</v>
      </c>
      <c r="D19" s="5" t="s">
        <v>160</v>
      </c>
      <c r="E19" s="4">
        <v>15</v>
      </c>
      <c r="F19" s="4">
        <v>10</v>
      </c>
      <c r="G19" s="4">
        <v>10</v>
      </c>
      <c r="H19" s="4">
        <v>15</v>
      </c>
      <c r="I19" s="4">
        <v>6</v>
      </c>
      <c r="J19" s="4">
        <v>8</v>
      </c>
      <c r="K19" s="4">
        <v>17</v>
      </c>
      <c r="L19" s="4">
        <v>175</v>
      </c>
      <c r="M19" s="4">
        <f t="shared" si="0"/>
        <v>81</v>
      </c>
      <c r="N19" s="8">
        <f t="shared" si="1"/>
        <v>46.285714285714285</v>
      </c>
      <c r="O19" s="4"/>
    </row>
    <row r="20" spans="1:15" ht="26.1" customHeight="1" x14ac:dyDescent="0.25">
      <c r="A20" s="4">
        <v>15</v>
      </c>
      <c r="B20" s="6"/>
      <c r="C20" s="5" t="s">
        <v>175</v>
      </c>
      <c r="D20" s="5" t="s">
        <v>160</v>
      </c>
      <c r="E20" s="4">
        <v>20</v>
      </c>
      <c r="F20" s="4">
        <v>18</v>
      </c>
      <c r="G20" s="4">
        <v>20</v>
      </c>
      <c r="H20" s="4">
        <v>20</v>
      </c>
      <c r="I20" s="4">
        <v>8</v>
      </c>
      <c r="J20" s="4">
        <v>7</v>
      </c>
      <c r="K20" s="4">
        <v>18</v>
      </c>
      <c r="L20" s="4">
        <v>175</v>
      </c>
      <c r="M20" s="4">
        <f t="shared" si="0"/>
        <v>111</v>
      </c>
      <c r="N20" s="8">
        <f t="shared" si="1"/>
        <v>63.428571428571423</v>
      </c>
      <c r="O20" s="4"/>
    </row>
    <row r="21" spans="1:15" ht="26.1" customHeight="1" x14ac:dyDescent="0.25">
      <c r="A21" s="4">
        <v>16</v>
      </c>
      <c r="B21" s="6"/>
      <c r="C21" s="5" t="s">
        <v>176</v>
      </c>
      <c r="D21" s="5" t="s">
        <v>160</v>
      </c>
      <c r="E21" s="4">
        <v>4</v>
      </c>
      <c r="F21" s="4">
        <v>10</v>
      </c>
      <c r="G21" s="4">
        <v>5</v>
      </c>
      <c r="H21" s="4">
        <v>10</v>
      </c>
      <c r="I21" s="4">
        <v>6</v>
      </c>
      <c r="J21" s="4">
        <v>5</v>
      </c>
      <c r="K21" s="4">
        <v>10</v>
      </c>
      <c r="L21" s="4">
        <v>175</v>
      </c>
      <c r="M21" s="4">
        <f t="shared" si="0"/>
        <v>50</v>
      </c>
      <c r="N21" s="8">
        <f t="shared" si="1"/>
        <v>28.571428571428569</v>
      </c>
      <c r="O21" s="4"/>
    </row>
    <row r="22" spans="1:15" ht="26.1" customHeight="1" x14ac:dyDescent="0.25">
      <c r="A22" s="4">
        <v>17</v>
      </c>
      <c r="B22" s="6"/>
      <c r="C22" s="5" t="s">
        <v>177</v>
      </c>
      <c r="D22" s="5" t="s">
        <v>160</v>
      </c>
      <c r="E22" s="4">
        <v>24</v>
      </c>
      <c r="F22" s="4">
        <v>25</v>
      </c>
      <c r="G22" s="4">
        <v>24</v>
      </c>
      <c r="H22" s="4">
        <v>24</v>
      </c>
      <c r="I22" s="4">
        <v>25</v>
      </c>
      <c r="J22" s="4">
        <v>24</v>
      </c>
      <c r="K22" s="4">
        <v>25</v>
      </c>
      <c r="L22" s="4">
        <v>175</v>
      </c>
      <c r="M22" s="4">
        <f t="shared" si="0"/>
        <v>171</v>
      </c>
      <c r="N22" s="8">
        <f t="shared" si="1"/>
        <v>97.714285714285708</v>
      </c>
      <c r="O22" s="4"/>
    </row>
    <row r="23" spans="1:15" ht="26.1" customHeight="1" x14ac:dyDescent="0.25">
      <c r="A23" s="4">
        <v>18</v>
      </c>
      <c r="B23" s="6"/>
      <c r="C23" s="5" t="s">
        <v>178</v>
      </c>
      <c r="D23" s="5" t="s">
        <v>160</v>
      </c>
      <c r="E23" s="4">
        <v>22</v>
      </c>
      <c r="F23" s="4">
        <v>20</v>
      </c>
      <c r="G23" s="4">
        <v>25</v>
      </c>
      <c r="H23" s="4">
        <v>25</v>
      </c>
      <c r="I23" s="4">
        <v>25</v>
      </c>
      <c r="J23" s="4">
        <v>24</v>
      </c>
      <c r="K23" s="4">
        <v>23</v>
      </c>
      <c r="L23" s="4">
        <v>175</v>
      </c>
      <c r="M23" s="4">
        <f t="shared" si="0"/>
        <v>164</v>
      </c>
      <c r="N23" s="8">
        <f t="shared" si="1"/>
        <v>93.714285714285722</v>
      </c>
      <c r="O23" s="4"/>
    </row>
    <row r="24" spans="1:15" ht="26.1" customHeight="1" x14ac:dyDescent="0.25">
      <c r="A24" s="4">
        <v>19</v>
      </c>
      <c r="B24" s="6"/>
      <c r="C24" s="5" t="s">
        <v>179</v>
      </c>
      <c r="D24" s="5" t="s">
        <v>160</v>
      </c>
      <c r="E24" s="4">
        <v>24</v>
      </c>
      <c r="F24" s="4">
        <v>20</v>
      </c>
      <c r="G24" s="4">
        <v>25</v>
      </c>
      <c r="H24" s="4">
        <v>23</v>
      </c>
      <c r="I24" s="4">
        <v>20</v>
      </c>
      <c r="J24" s="4">
        <v>23</v>
      </c>
      <c r="K24" s="4">
        <v>21</v>
      </c>
      <c r="L24" s="4">
        <v>175</v>
      </c>
      <c r="M24" s="4">
        <f t="shared" si="0"/>
        <v>156</v>
      </c>
      <c r="N24" s="8">
        <f t="shared" si="1"/>
        <v>89.142857142857139</v>
      </c>
      <c r="O24" s="4"/>
    </row>
    <row r="25" spans="1:15" ht="26.1" customHeight="1" x14ac:dyDescent="0.25">
      <c r="A25" s="4">
        <v>20</v>
      </c>
      <c r="B25" s="6"/>
      <c r="C25" s="5" t="s">
        <v>149</v>
      </c>
      <c r="D25" s="5" t="s">
        <v>160</v>
      </c>
      <c r="E25" s="4">
        <v>13</v>
      </c>
      <c r="F25" s="4">
        <v>0</v>
      </c>
      <c r="G25" s="4">
        <v>10</v>
      </c>
      <c r="H25" s="4">
        <v>10</v>
      </c>
      <c r="I25" s="4">
        <v>10</v>
      </c>
      <c r="J25" s="4">
        <v>10</v>
      </c>
      <c r="K25" s="4">
        <v>8</v>
      </c>
      <c r="L25" s="4">
        <v>175</v>
      </c>
      <c r="M25" s="4">
        <f t="shared" si="0"/>
        <v>61</v>
      </c>
      <c r="N25" s="8">
        <f t="shared" si="1"/>
        <v>34.857142857142861</v>
      </c>
      <c r="O25" s="4"/>
    </row>
    <row r="26" spans="1:15" ht="26.1" customHeight="1" x14ac:dyDescent="0.25">
      <c r="A26" s="4">
        <v>21</v>
      </c>
      <c r="B26" s="6"/>
      <c r="C26" s="5" t="s">
        <v>180</v>
      </c>
      <c r="D26" s="5" t="s">
        <v>160</v>
      </c>
      <c r="E26" s="4">
        <v>17</v>
      </c>
      <c r="F26" s="4">
        <v>0</v>
      </c>
      <c r="G26" s="4">
        <v>15</v>
      </c>
      <c r="H26" s="4">
        <v>15</v>
      </c>
      <c r="I26" s="4">
        <v>23</v>
      </c>
      <c r="J26" s="4">
        <v>23</v>
      </c>
      <c r="K26" s="4">
        <v>22</v>
      </c>
      <c r="L26" s="4">
        <v>175</v>
      </c>
      <c r="M26" s="4">
        <f t="shared" si="0"/>
        <v>115</v>
      </c>
      <c r="N26" s="8">
        <f t="shared" si="1"/>
        <v>65.714285714285708</v>
      </c>
      <c r="O26" s="4"/>
    </row>
    <row r="27" spans="1:15" ht="26.1" customHeight="1" x14ac:dyDescent="0.25">
      <c r="A27" s="4">
        <v>22</v>
      </c>
      <c r="B27" s="6"/>
      <c r="C27" s="5" t="s">
        <v>181</v>
      </c>
      <c r="D27" s="5" t="s">
        <v>160</v>
      </c>
      <c r="E27" s="4">
        <v>12</v>
      </c>
      <c r="F27" s="4">
        <v>0</v>
      </c>
      <c r="G27" s="4">
        <v>15</v>
      </c>
      <c r="H27" s="4">
        <v>15</v>
      </c>
      <c r="I27" s="4">
        <v>10</v>
      </c>
      <c r="J27" s="4">
        <v>8</v>
      </c>
      <c r="K27" s="4">
        <v>6</v>
      </c>
      <c r="L27" s="4">
        <v>175</v>
      </c>
      <c r="M27" s="4">
        <f t="shared" si="0"/>
        <v>66</v>
      </c>
      <c r="N27" s="8">
        <f t="shared" si="1"/>
        <v>37.714285714285715</v>
      </c>
      <c r="O27" s="4"/>
    </row>
    <row r="28" spans="1:15" ht="26.1" customHeight="1" x14ac:dyDescent="0.25">
      <c r="A28" s="4">
        <v>23</v>
      </c>
      <c r="B28" s="4"/>
      <c r="C28" s="5" t="s">
        <v>148</v>
      </c>
      <c r="D28" s="5" t="s">
        <v>160</v>
      </c>
      <c r="E28" s="4">
        <v>5</v>
      </c>
      <c r="F28" s="4">
        <v>0</v>
      </c>
      <c r="G28" s="4">
        <v>15</v>
      </c>
      <c r="H28" s="4">
        <v>15</v>
      </c>
      <c r="I28" s="4">
        <v>23</v>
      </c>
      <c r="J28" s="4">
        <v>6</v>
      </c>
      <c r="K28" s="4">
        <v>7</v>
      </c>
      <c r="L28" s="4">
        <v>175</v>
      </c>
      <c r="M28" s="4">
        <f t="shared" si="0"/>
        <v>71</v>
      </c>
      <c r="N28" s="8">
        <f t="shared" si="1"/>
        <v>40.571428571428569</v>
      </c>
      <c r="O28" s="4"/>
    </row>
    <row r="29" spans="1:15" ht="26.1" customHeight="1" x14ac:dyDescent="0.25">
      <c r="A29" s="4">
        <v>24</v>
      </c>
      <c r="B29" s="4"/>
      <c r="C29" s="5" t="s">
        <v>149</v>
      </c>
      <c r="D29" s="5" t="s">
        <v>160</v>
      </c>
      <c r="E29" s="4">
        <v>10</v>
      </c>
      <c r="F29" s="4">
        <v>0</v>
      </c>
      <c r="G29" s="4">
        <v>18</v>
      </c>
      <c r="H29" s="4">
        <v>12</v>
      </c>
      <c r="I29" s="4">
        <v>10</v>
      </c>
      <c r="J29" s="4">
        <v>10</v>
      </c>
      <c r="K29" s="4">
        <v>8</v>
      </c>
      <c r="L29" s="4">
        <v>175</v>
      </c>
      <c r="M29" s="4">
        <f t="shared" si="0"/>
        <v>68</v>
      </c>
      <c r="N29" s="8">
        <f t="shared" si="1"/>
        <v>38.857142857142854</v>
      </c>
      <c r="O29" s="4"/>
    </row>
    <row r="30" spans="1:15" ht="26.1" customHeight="1" x14ac:dyDescent="0.25">
      <c r="A30" s="4">
        <v>25</v>
      </c>
      <c r="B30" s="4"/>
      <c r="C30" s="5" t="s">
        <v>150</v>
      </c>
      <c r="D30" s="5" t="s">
        <v>160</v>
      </c>
      <c r="E30" s="4">
        <v>21</v>
      </c>
      <c r="F30" s="4">
        <v>20</v>
      </c>
      <c r="G30" s="4">
        <v>19</v>
      </c>
      <c r="H30" s="4">
        <v>10</v>
      </c>
      <c r="I30" s="4">
        <v>22</v>
      </c>
      <c r="J30" s="4">
        <v>12</v>
      </c>
      <c r="K30" s="4">
        <v>10</v>
      </c>
      <c r="L30" s="4">
        <v>175</v>
      </c>
      <c r="M30" s="4">
        <f t="shared" si="0"/>
        <v>114</v>
      </c>
      <c r="N30" s="8">
        <f t="shared" si="1"/>
        <v>65.142857142857153</v>
      </c>
      <c r="O30" s="4"/>
    </row>
    <row r="31" spans="1:15" ht="26.1" customHeight="1" x14ac:dyDescent="0.25">
      <c r="A31" s="4">
        <v>26</v>
      </c>
      <c r="B31" s="4"/>
      <c r="C31" s="5" t="s">
        <v>151</v>
      </c>
      <c r="D31" s="5" t="s">
        <v>160</v>
      </c>
      <c r="E31" s="4">
        <v>17</v>
      </c>
      <c r="F31" s="4">
        <v>0</v>
      </c>
      <c r="G31" s="4">
        <v>10</v>
      </c>
      <c r="H31" s="4">
        <v>0</v>
      </c>
      <c r="I31" s="4">
        <v>24</v>
      </c>
      <c r="J31" s="4">
        <v>11</v>
      </c>
      <c r="K31" s="4">
        <v>12</v>
      </c>
      <c r="L31" s="4">
        <v>175</v>
      </c>
      <c r="M31" s="4">
        <f t="shared" si="0"/>
        <v>74</v>
      </c>
      <c r="N31" s="8">
        <f t="shared" si="1"/>
        <v>42.285714285714285</v>
      </c>
      <c r="O31" s="4"/>
    </row>
    <row r="32" spans="1:15" ht="26.1" customHeight="1" x14ac:dyDescent="0.25">
      <c r="A32" s="4">
        <v>27</v>
      </c>
      <c r="B32" s="4"/>
      <c r="C32" s="5" t="s">
        <v>152</v>
      </c>
      <c r="D32" s="5" t="s">
        <v>160</v>
      </c>
      <c r="E32" s="4">
        <v>18</v>
      </c>
      <c r="F32" s="4">
        <v>0</v>
      </c>
      <c r="G32" s="4">
        <v>12</v>
      </c>
      <c r="H32" s="4">
        <v>12</v>
      </c>
      <c r="I32" s="4">
        <v>23</v>
      </c>
      <c r="J32" s="4">
        <v>15</v>
      </c>
      <c r="K32" s="4">
        <v>23</v>
      </c>
      <c r="L32" s="4">
        <v>175</v>
      </c>
      <c r="M32" s="4">
        <f t="shared" si="0"/>
        <v>103</v>
      </c>
      <c r="N32" s="8">
        <f t="shared" si="1"/>
        <v>58.857142857142854</v>
      </c>
      <c r="O32" s="4"/>
    </row>
    <row r="33" spans="1:15" ht="26.1" customHeight="1" x14ac:dyDescent="0.25">
      <c r="A33" s="4">
        <v>28</v>
      </c>
      <c r="B33" s="4"/>
      <c r="C33" s="5" t="s">
        <v>153</v>
      </c>
      <c r="D33" s="5" t="s">
        <v>160</v>
      </c>
      <c r="E33" s="4">
        <v>8</v>
      </c>
      <c r="F33" s="4">
        <v>0</v>
      </c>
      <c r="G33" s="4">
        <v>18</v>
      </c>
      <c r="H33" s="4">
        <v>12</v>
      </c>
      <c r="I33" s="4">
        <v>13</v>
      </c>
      <c r="J33" s="4">
        <v>13</v>
      </c>
      <c r="K33" s="4">
        <v>24</v>
      </c>
      <c r="L33" s="4">
        <v>175</v>
      </c>
      <c r="M33" s="4">
        <f t="shared" si="0"/>
        <v>88</v>
      </c>
      <c r="N33" s="8">
        <f t="shared" si="1"/>
        <v>50.285714285714292</v>
      </c>
      <c r="O33" s="4"/>
    </row>
    <row r="34" spans="1:15" ht="26.1" customHeight="1" x14ac:dyDescent="0.25">
      <c r="A34" s="4">
        <v>29</v>
      </c>
      <c r="B34" s="4"/>
      <c r="C34" s="5" t="s">
        <v>154</v>
      </c>
      <c r="D34" s="5" t="s">
        <v>160</v>
      </c>
      <c r="E34" s="4">
        <v>23</v>
      </c>
      <c r="F34" s="4">
        <v>0</v>
      </c>
      <c r="G34" s="4">
        <v>10</v>
      </c>
      <c r="H34" s="4">
        <v>10</v>
      </c>
      <c r="I34" s="4">
        <v>12</v>
      </c>
      <c r="J34" s="4">
        <v>23</v>
      </c>
      <c r="K34" s="4">
        <v>22</v>
      </c>
      <c r="L34" s="4">
        <v>175</v>
      </c>
      <c r="M34" s="4">
        <f t="shared" si="0"/>
        <v>100</v>
      </c>
      <c r="N34" s="8">
        <f t="shared" si="1"/>
        <v>57.142857142857139</v>
      </c>
      <c r="O34" s="4"/>
    </row>
    <row r="35" spans="1:15" ht="26.1" customHeight="1" x14ac:dyDescent="0.25">
      <c r="A35" s="4">
        <v>30</v>
      </c>
      <c r="B35" s="4"/>
      <c r="C35" s="5" t="s">
        <v>155</v>
      </c>
      <c r="D35" s="5" t="s">
        <v>160</v>
      </c>
      <c r="E35" s="4">
        <v>10</v>
      </c>
      <c r="F35" s="4">
        <v>0</v>
      </c>
      <c r="G35" s="4">
        <v>7</v>
      </c>
      <c r="H35" s="4">
        <v>8</v>
      </c>
      <c r="I35" s="4">
        <v>10</v>
      </c>
      <c r="J35" s="4">
        <v>10</v>
      </c>
      <c r="K35" s="4">
        <v>15</v>
      </c>
      <c r="L35" s="4">
        <v>175</v>
      </c>
      <c r="M35" s="4">
        <f t="shared" si="0"/>
        <v>60</v>
      </c>
      <c r="N35" s="8">
        <f t="shared" si="1"/>
        <v>34.285714285714285</v>
      </c>
      <c r="O35" s="4"/>
    </row>
    <row r="36" spans="1:15" ht="26.1" customHeight="1" x14ac:dyDescent="0.25">
      <c r="A36" s="4">
        <v>31</v>
      </c>
      <c r="B36" s="4"/>
      <c r="C36" s="5" t="s">
        <v>156</v>
      </c>
      <c r="D36" s="5" t="s">
        <v>160</v>
      </c>
      <c r="E36" s="4">
        <v>22</v>
      </c>
      <c r="F36" s="4">
        <v>10</v>
      </c>
      <c r="G36" s="4">
        <v>24</v>
      </c>
      <c r="H36" s="4">
        <v>20</v>
      </c>
      <c r="I36" s="4">
        <v>8</v>
      </c>
      <c r="J36" s="4">
        <v>16</v>
      </c>
      <c r="K36" s="4">
        <v>20</v>
      </c>
      <c r="L36" s="4">
        <v>175</v>
      </c>
      <c r="M36" s="4">
        <f t="shared" si="0"/>
        <v>120</v>
      </c>
      <c r="N36" s="8">
        <f t="shared" si="1"/>
        <v>68.571428571428569</v>
      </c>
      <c r="O36" s="4"/>
    </row>
    <row r="37" spans="1:15" ht="26.1" customHeight="1" x14ac:dyDescent="0.25">
      <c r="A37" s="4">
        <v>32</v>
      </c>
      <c r="B37" s="4"/>
      <c r="C37" s="5" t="s">
        <v>157</v>
      </c>
      <c r="D37" s="5" t="s">
        <v>160</v>
      </c>
      <c r="E37" s="4">
        <v>23</v>
      </c>
      <c r="F37" s="4">
        <v>20</v>
      </c>
      <c r="G37" s="4">
        <v>20</v>
      </c>
      <c r="H37" s="4">
        <v>15</v>
      </c>
      <c r="I37" s="4">
        <v>6</v>
      </c>
      <c r="J37" s="4">
        <v>15</v>
      </c>
      <c r="K37" s="4">
        <v>21</v>
      </c>
      <c r="L37" s="4">
        <v>175</v>
      </c>
      <c r="M37" s="4">
        <f t="shared" si="0"/>
        <v>120</v>
      </c>
      <c r="N37" s="8">
        <f t="shared" si="1"/>
        <v>68.571428571428569</v>
      </c>
      <c r="O37" s="4"/>
    </row>
    <row r="38" spans="1:15" ht="26.1" customHeight="1" x14ac:dyDescent="0.25">
      <c r="A38" s="4">
        <v>33</v>
      </c>
      <c r="B38" s="4"/>
      <c r="C38" s="5" t="s">
        <v>158</v>
      </c>
      <c r="D38" s="5" t="s">
        <v>160</v>
      </c>
      <c r="E38" s="4">
        <v>7</v>
      </c>
      <c r="F38" s="4">
        <v>10</v>
      </c>
      <c r="G38" s="4">
        <v>20</v>
      </c>
      <c r="H38" s="4">
        <v>15</v>
      </c>
      <c r="I38" s="4">
        <v>20</v>
      </c>
      <c r="J38" s="4">
        <v>14</v>
      </c>
      <c r="K38" s="4">
        <v>8</v>
      </c>
      <c r="L38" s="4">
        <v>175</v>
      </c>
      <c r="M38" s="4">
        <f t="shared" si="0"/>
        <v>94</v>
      </c>
      <c r="N38" s="8">
        <f t="shared" si="1"/>
        <v>53.714285714285715</v>
      </c>
      <c r="O38" s="4"/>
    </row>
    <row r="39" spans="1:15" ht="26.1" customHeight="1" x14ac:dyDescent="0.25">
      <c r="A39" s="4">
        <v>34</v>
      </c>
      <c r="B39" s="4"/>
      <c r="C39" s="5" t="s">
        <v>159</v>
      </c>
      <c r="D39" s="5" t="s">
        <v>160</v>
      </c>
      <c r="E39" s="4">
        <v>5</v>
      </c>
      <c r="F39" s="4">
        <v>5</v>
      </c>
      <c r="G39" s="4">
        <v>15</v>
      </c>
      <c r="H39" s="4">
        <v>10</v>
      </c>
      <c r="I39" s="4">
        <v>20</v>
      </c>
      <c r="J39" s="4">
        <v>12</v>
      </c>
      <c r="K39" s="4">
        <v>7</v>
      </c>
      <c r="L39" s="4">
        <v>175</v>
      </c>
      <c r="M39" s="4">
        <f t="shared" si="0"/>
        <v>74</v>
      </c>
      <c r="N39" s="8">
        <f t="shared" si="1"/>
        <v>42.285714285714285</v>
      </c>
      <c r="O39" s="4"/>
    </row>
  </sheetData>
  <mergeCells count="11">
    <mergeCell ref="O3:O5"/>
    <mergeCell ref="A1:O1"/>
    <mergeCell ref="A2:O2"/>
    <mergeCell ref="A3:A5"/>
    <mergeCell ref="B3:B5"/>
    <mergeCell ref="C3:C5"/>
    <mergeCell ref="D3:D5"/>
    <mergeCell ref="E3:K3"/>
    <mergeCell ref="L3:L4"/>
    <mergeCell ref="M3:M5"/>
    <mergeCell ref="N3:N5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ECE (ROSE)</vt:lpstr>
      <vt:lpstr>ECE (Daffodil)</vt:lpstr>
      <vt:lpstr>Class-1</vt:lpstr>
      <vt:lpstr>Class-2</vt:lpstr>
      <vt:lpstr>Class-3</vt:lpstr>
      <vt:lpstr>9th</vt:lpstr>
      <vt:lpstr>6th</vt:lpstr>
      <vt:lpstr>'ECE (ROSE)'!Print_Titles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2024-11-30T06:34:00Z</cp:lastPrinted>
  <dcterms:created xsi:type="dcterms:W3CDTF">2024-11-06T06:16:13Z</dcterms:created>
  <dcterms:modified xsi:type="dcterms:W3CDTF">2024-12-04T06:22:34Z</dcterms:modified>
</cp:coreProperties>
</file>