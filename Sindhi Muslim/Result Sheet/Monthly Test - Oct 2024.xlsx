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"/>
    </mc:Choice>
  </mc:AlternateContent>
  <xr:revisionPtr revIDLastSave="0" documentId="13_ncr:1_{AADB497C-EF24-44CC-A935-65674E6642BC}" xr6:coauthVersionLast="47" xr6:coauthVersionMax="47" xr10:uidLastSave="{00000000-0000-0000-0000-000000000000}"/>
  <bookViews>
    <workbookView xWindow="-120" yWindow="-120" windowWidth="20730" windowHeight="11160" activeTab="2" xr2:uid="{A3810461-FCAA-4427-95C3-213E25AAD5DA}"/>
  </bookViews>
  <sheets>
    <sheet name="ECE (ROSE)" sheetId="1" r:id="rId1"/>
    <sheet name="9th" sheetId="2" r:id="rId2"/>
    <sheet name="6th" sheetId="3" r:id="rId3"/>
  </sheets>
  <definedNames>
    <definedName name="_xlnm.Print_Titles" localSheetId="0">'ECE (ROSE)'!$1:$5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9" i="3" l="1"/>
  <c r="N39" i="3" s="1"/>
  <c r="M38" i="3"/>
  <c r="N38" i="3" s="1"/>
  <c r="M37" i="3"/>
  <c r="N37" i="3" s="1"/>
  <c r="M36" i="3"/>
  <c r="N36" i="3" s="1"/>
  <c r="M35" i="3"/>
  <c r="N35" i="3" s="1"/>
  <c r="M34" i="3"/>
  <c r="N34" i="3" s="1"/>
  <c r="M33" i="3"/>
  <c r="N33" i="3" s="1"/>
  <c r="M32" i="3"/>
  <c r="N32" i="3" s="1"/>
  <c r="M31" i="3"/>
  <c r="N31" i="3" s="1"/>
  <c r="M30" i="3"/>
  <c r="N30" i="3" s="1"/>
  <c r="M29" i="3"/>
  <c r="N29" i="3" s="1"/>
  <c r="M28" i="3"/>
  <c r="N28" i="3" s="1"/>
  <c r="M27" i="3"/>
  <c r="N27" i="3" s="1"/>
  <c r="M26" i="3"/>
  <c r="N26" i="3" s="1"/>
  <c r="M25" i="3"/>
  <c r="N25" i="3" s="1"/>
  <c r="M24" i="3"/>
  <c r="N24" i="3" s="1"/>
  <c r="M23" i="3"/>
  <c r="N23" i="3" s="1"/>
  <c r="M22" i="3"/>
  <c r="N22" i="3" s="1"/>
  <c r="M21" i="3"/>
  <c r="N21" i="3" s="1"/>
  <c r="M20" i="3"/>
  <c r="N20" i="3" s="1"/>
  <c r="M19" i="3"/>
  <c r="N19" i="3" s="1"/>
  <c r="M18" i="3"/>
  <c r="N18" i="3" s="1"/>
  <c r="M17" i="3"/>
  <c r="N17" i="3" s="1"/>
  <c r="M16" i="3"/>
  <c r="N16" i="3" s="1"/>
  <c r="M15" i="3"/>
  <c r="N15" i="3" s="1"/>
  <c r="M14" i="3"/>
  <c r="N14" i="3" s="1"/>
  <c r="M13" i="3"/>
  <c r="N13" i="3" s="1"/>
  <c r="M12" i="3"/>
  <c r="N12" i="3" s="1"/>
  <c r="M11" i="3"/>
  <c r="N11" i="3" s="1"/>
  <c r="M10" i="3"/>
  <c r="N10" i="3" s="1"/>
  <c r="M9" i="3"/>
  <c r="N9" i="3" s="1"/>
  <c r="M8" i="3"/>
  <c r="N8" i="3" s="1"/>
  <c r="M7" i="3"/>
  <c r="N7" i="3" s="1"/>
  <c r="M6" i="3"/>
  <c r="N6" i="3" s="1"/>
  <c r="L5" i="3"/>
  <c r="M39" i="2"/>
  <c r="N39" i="2" s="1"/>
  <c r="M38" i="2"/>
  <c r="N38" i="2" s="1"/>
  <c r="N37" i="2"/>
  <c r="M37" i="2"/>
  <c r="M36" i="2"/>
  <c r="N36" i="2" s="1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7" i="2"/>
  <c r="M17" i="2"/>
  <c r="N16" i="2"/>
  <c r="M16" i="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2"/>
  <c r="M6" i="2"/>
  <c r="L5" i="2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6" i="1"/>
  <c r="Q6" i="1" s="1"/>
</calcChain>
</file>

<file path=xl/sharedStrings.xml><?xml version="1.0" encoding="utf-8"?>
<sst xmlns="http://schemas.openxmlformats.org/spreadsheetml/2006/main" count="347" uniqueCount="182">
  <si>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</si>
  <si>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</si>
  <si>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</si>
  <si>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</si>
  <si>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</si>
  <si>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</si>
  <si>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</si>
  <si>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</si>
  <si>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</si>
  <si>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</si>
  <si>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</si>
  <si>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</si>
  <si>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EPL</t>
  </si>
  <si>
    <t>Attendance</t>
  </si>
  <si>
    <t>Hygiene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</si>
  <si>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</si>
  <si>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</si>
  <si>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</si>
  <si>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</si>
  <si>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</si>
  <si>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</si>
  <si>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</si>
  <si>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</si>
  <si>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</si>
  <si>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</si>
  <si>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</si>
  <si>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</si>
  <si>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</si>
  <si>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</si>
  <si>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</si>
  <si>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</si>
  <si>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</si>
  <si>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</si>
  <si>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</si>
  <si>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</si>
  <si>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</si>
  <si>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</si>
  <si>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</si>
  <si>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</si>
  <si>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</si>
  <si>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</si>
  <si>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</si>
  <si>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</si>
  <si>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</si>
  <si>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</si>
  <si>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</si>
  <si>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</si>
  <si>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</si>
  <si>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</si>
  <si>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</si>
  <si>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</si>
  <si>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</si>
  <si>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</si>
  <si>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</si>
  <si>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</si>
  <si>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</si>
  <si>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</si>
  <si>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</si>
  <si>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</si>
  <si>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</si>
  <si>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</si>
  <si>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</si>
  <si>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</si>
  <si>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</si>
  <si>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</si>
  <si>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</si>
  <si>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</si>
  <si>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</si>
  <si>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</si>
  <si>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</si>
  <si>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</si>
  <si>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</si>
  <si>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</si>
  <si>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</si>
  <si>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</si>
  <si>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</si>
  <si>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</si>
  <si>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</si>
  <si>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</si>
  <si>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</si>
  <si>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</si>
  <si>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</si>
  <si>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</si>
  <si>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</si>
  <si>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</si>
  <si>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</si>
  <si>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</si>
  <si>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</si>
  <si>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</si>
  <si>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</si>
  <si>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</si>
  <si>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</si>
  <si>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</si>
  <si>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</si>
  <si>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</si>
  <si>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</si>
  <si>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</si>
  <si>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</si>
  <si>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</si>
  <si>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</si>
  <si>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</si>
  <si>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</si>
  <si>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</si>
  <si>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</si>
  <si>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</si>
  <si>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</si>
  <si>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</si>
  <si>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</si>
  <si>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</si>
  <si>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</si>
  <si>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</si>
  <si>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</si>
  <si>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</si>
  <si>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</si>
  <si>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</si>
  <si>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</si>
  <si>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</si>
  <si>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Anabia</t>
  </si>
  <si>
    <t>ECE (Rose)</t>
  </si>
  <si>
    <t>Poem</t>
  </si>
  <si>
    <t>Maths</t>
  </si>
  <si>
    <t>Masroor Ali</t>
  </si>
  <si>
    <t>Biology</t>
  </si>
  <si>
    <t>Physics</t>
  </si>
  <si>
    <t>Chemistry</t>
  </si>
  <si>
    <t>Islamiat</t>
  </si>
  <si>
    <t>Asim</t>
  </si>
  <si>
    <t>9th</t>
  </si>
  <si>
    <t>Haseeb Ullah</t>
  </si>
  <si>
    <t>Moiz</t>
  </si>
  <si>
    <t>Mudasir</t>
  </si>
  <si>
    <t>Taha</t>
  </si>
  <si>
    <t>Nawab</t>
  </si>
  <si>
    <t>Messum</t>
  </si>
  <si>
    <t>Manzar</t>
  </si>
  <si>
    <t>Nasrullah</t>
  </si>
  <si>
    <t>Saif Ur Rehman</t>
  </si>
  <si>
    <t>Shafique</t>
  </si>
  <si>
    <t>Mustaqeem</t>
  </si>
  <si>
    <t>Shaban</t>
  </si>
  <si>
    <t>Sufyan</t>
  </si>
  <si>
    <t>Shayan</t>
  </si>
  <si>
    <t>Khair Un Nisa</t>
  </si>
  <si>
    <t>Saima</t>
  </si>
  <si>
    <t>Frasha</t>
  </si>
  <si>
    <t>Haleema</t>
  </si>
  <si>
    <t>Maheen</t>
  </si>
  <si>
    <t>Qandeel</t>
  </si>
  <si>
    <t>-</t>
  </si>
  <si>
    <t>Zainab</t>
  </si>
  <si>
    <t>Asiya</t>
  </si>
  <si>
    <t>Tuba</t>
  </si>
  <si>
    <t>Afsheen</t>
  </si>
  <si>
    <t>Nosheen</t>
  </si>
  <si>
    <t>Salwa</t>
  </si>
  <si>
    <t>Madina</t>
  </si>
  <si>
    <t>Tayyaba</t>
  </si>
  <si>
    <t>Areesha</t>
  </si>
  <si>
    <t>Kashaf</t>
  </si>
  <si>
    <t>Sidra</t>
  </si>
  <si>
    <t>6th</t>
  </si>
  <si>
    <t>Amna</t>
  </si>
  <si>
    <t>Batool</t>
  </si>
  <si>
    <t>Fatima</t>
  </si>
  <si>
    <t>Faiza</t>
  </si>
  <si>
    <t>Iqra</t>
  </si>
  <si>
    <t>Kaneez</t>
  </si>
  <si>
    <t>Mahnoor</t>
  </si>
  <si>
    <t>Maryam Khan</t>
  </si>
  <si>
    <t>Maryam Soomro</t>
  </si>
  <si>
    <t>Naina</t>
  </si>
  <si>
    <t>Nida</t>
  </si>
  <si>
    <t>Noor e Muqaddas</t>
  </si>
  <si>
    <t>Rubina</t>
  </si>
  <si>
    <t>Sahar</t>
  </si>
  <si>
    <t>Sana</t>
  </si>
  <si>
    <t>Sawera</t>
  </si>
  <si>
    <t>Shabana</t>
  </si>
  <si>
    <t>Shaista</t>
  </si>
  <si>
    <t>Zehra</t>
  </si>
  <si>
    <t>Muskan</t>
  </si>
  <si>
    <t>Zara Bano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</si>
</sst>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R57"/>
  <sheetViews>
    <sheetView workbookViewId="0">
      <pane ySplit="5" topLeftCell="A49" activePane="bottomLeft" state="frozen"/>
      <selection pane="bottomLeft" activeCell="R3" sqref="R1:R1048576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2" style="1" bestFit="1" customWidth="1"/>
    <col min="4" max="4" width="14.7109375" style="1" customWidth="1"/>
    <col min="5" max="5" width="6" style="1" bestFit="1" customWidth="1"/>
    <col min="6" max="15" width="5.7109375" style="1" customWidth="1"/>
    <col min="16" max="17" width="6.7109375" style="1" customWidth="1"/>
    <col min="18" max="18" width="12.28515625" style="1" customWidth="1"/>
    <col min="19" max="16384" width="9.140625" style="1"/>
  </cols>
  <sheetData>
    <row r="1" spans="1:18" ht="15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5" x14ac:dyDescent="0.25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7.25" customHeight="1" x14ac:dyDescent="0.2">
      <c r="A3" s="10" t="s">
        <v>2</v>
      </c>
      <c r="B3" s="10" t="s">
        <v>3</v>
      </c>
      <c r="C3" s="10" t="s">
        <v>5</v>
      </c>
      <c r="D3" s="10" t="s">
        <v>6</v>
      </c>
      <c r="E3" s="11" t="s">
        <v>4</v>
      </c>
      <c r="F3" s="14" t="s">
        <v>7</v>
      </c>
      <c r="G3" s="14"/>
      <c r="H3" s="14"/>
      <c r="I3" s="14"/>
      <c r="J3" s="14"/>
      <c r="K3" s="14"/>
      <c r="L3" s="14"/>
      <c r="M3" s="14"/>
      <c r="N3" s="14"/>
      <c r="O3" s="10" t="s">
        <v>15</v>
      </c>
      <c r="P3" s="10" t="s">
        <v>16</v>
      </c>
      <c r="Q3" s="10" t="s">
        <v>17</v>
      </c>
      <c r="R3" s="10" t="s">
        <v>18</v>
      </c>
    </row>
    <row r="4" spans="1:18" ht="47.25" x14ac:dyDescent="0.2">
      <c r="A4" s="10"/>
      <c r="B4" s="10"/>
      <c r="C4" s="10"/>
      <c r="D4" s="10"/>
      <c r="E4" s="12"/>
      <c r="F4" s="2" t="s">
        <v>8</v>
      </c>
      <c r="G4" s="2" t="s">
        <v>9</v>
      </c>
      <c r="H4" s="2" t="s">
        <v>12</v>
      </c>
      <c r="I4" s="2" t="s">
        <v>119</v>
      </c>
      <c r="J4" s="2" t="s">
        <v>10</v>
      </c>
      <c r="K4" s="2" t="s">
        <v>120</v>
      </c>
      <c r="L4" s="2" t="s">
        <v>11</v>
      </c>
      <c r="M4" s="2" t="s">
        <v>13</v>
      </c>
      <c r="N4" s="2" t="s">
        <v>14</v>
      </c>
      <c r="O4" s="10"/>
      <c r="P4" s="10"/>
      <c r="Q4" s="10"/>
      <c r="R4" s="10"/>
    </row>
    <row r="5" spans="1:18" ht="15.75" customHeight="1" x14ac:dyDescent="0.2">
      <c r="A5" s="10"/>
      <c r="B5" s="10"/>
      <c r="C5" s="10"/>
      <c r="D5" s="10"/>
      <c r="E5" s="13"/>
      <c r="F5" s="3">
        <v>5</v>
      </c>
      <c r="G5" s="3">
        <v>5</v>
      </c>
      <c r="H5" s="3">
        <v>10</v>
      </c>
      <c r="I5" s="3">
        <v>5</v>
      </c>
      <c r="J5" s="3">
        <v>5</v>
      </c>
      <c r="K5" s="3">
        <v>5</v>
      </c>
      <c r="L5" s="3">
        <v>5</v>
      </c>
      <c r="M5" s="3">
        <v>10</v>
      </c>
      <c r="N5" s="3">
        <v>10</v>
      </c>
      <c r="O5" s="3">
        <v>60</v>
      </c>
      <c r="P5" s="10"/>
      <c r="Q5" s="10"/>
      <c r="R5" s="10"/>
    </row>
    <row r="6" spans="1:18" ht="24" customHeight="1" x14ac:dyDescent="0.2">
      <c r="A6" s="4">
        <v>1</v>
      </c>
      <c r="B6" s="4"/>
      <c r="C6" s="5" t="s">
        <v>19</v>
      </c>
      <c r="D6" s="5" t="s">
        <v>20</v>
      </c>
      <c r="E6" s="5" t="s">
        <v>118</v>
      </c>
      <c r="F6" s="4">
        <v>5</v>
      </c>
      <c r="G6" s="4">
        <v>3</v>
      </c>
      <c r="H6" s="4">
        <v>4</v>
      </c>
      <c r="I6" s="4">
        <v>1</v>
      </c>
      <c r="J6" s="4">
        <v>5</v>
      </c>
      <c r="K6" s="4">
        <v>0</v>
      </c>
      <c r="L6" s="4">
        <v>0</v>
      </c>
      <c r="M6" s="4">
        <v>7</v>
      </c>
      <c r="N6" s="4">
        <v>4</v>
      </c>
      <c r="O6" s="4">
        <v>60</v>
      </c>
      <c r="P6" s="4">
        <f>SUM(F6:N6)</f>
        <v>29</v>
      </c>
      <c r="Q6" s="8">
        <f>P6/O6*100</f>
        <v>48.333333333333336</v>
      </c>
      <c r="R6" s="4"/>
    </row>
    <row r="7" spans="1:18" ht="24" customHeight="1" x14ac:dyDescent="0.2">
      <c r="A7" s="4">
        <v>2</v>
      </c>
      <c r="B7" s="4"/>
      <c r="C7" s="5" t="s">
        <v>21</v>
      </c>
      <c r="D7" s="5" t="s">
        <v>22</v>
      </c>
      <c r="E7" s="5" t="s">
        <v>118</v>
      </c>
      <c r="F7" s="4">
        <v>5</v>
      </c>
      <c r="G7" s="4">
        <v>5</v>
      </c>
      <c r="H7" s="4">
        <v>6</v>
      </c>
      <c r="I7" s="4">
        <v>4</v>
      </c>
      <c r="J7" s="4">
        <v>5</v>
      </c>
      <c r="K7" s="4">
        <v>3</v>
      </c>
      <c r="L7" s="4">
        <v>5</v>
      </c>
      <c r="M7" s="4">
        <v>7</v>
      </c>
      <c r="N7" s="4">
        <v>7</v>
      </c>
      <c r="O7" s="4">
        <v>60</v>
      </c>
      <c r="P7" s="4">
        <f t="shared" ref="P7:P57" si="0">SUM(F7:N7)</f>
        <v>47</v>
      </c>
      <c r="Q7" s="8">
        <f t="shared" ref="Q7:Q57" si="1">P7/O7*100</f>
        <v>78.333333333333329</v>
      </c>
      <c r="R7" s="4"/>
    </row>
    <row r="8" spans="1:18" ht="24" customHeight="1" x14ac:dyDescent="0.2">
      <c r="A8" s="4">
        <v>3</v>
      </c>
      <c r="B8" s="4"/>
      <c r="C8" s="5" t="s">
        <v>23</v>
      </c>
      <c r="D8" s="5" t="s">
        <v>24</v>
      </c>
      <c r="E8" s="5" t="s">
        <v>118</v>
      </c>
      <c r="F8" s="4">
        <v>5</v>
      </c>
      <c r="G8" s="4">
        <v>5</v>
      </c>
      <c r="H8" s="4">
        <v>5</v>
      </c>
      <c r="I8" s="4">
        <v>4</v>
      </c>
      <c r="J8" s="4">
        <v>5</v>
      </c>
      <c r="K8" s="4">
        <v>5</v>
      </c>
      <c r="L8" s="4">
        <v>2</v>
      </c>
      <c r="M8" s="4">
        <v>8</v>
      </c>
      <c r="N8" s="4">
        <v>5</v>
      </c>
      <c r="O8" s="4">
        <v>60</v>
      </c>
      <c r="P8" s="4">
        <f t="shared" si="0"/>
        <v>44</v>
      </c>
      <c r="Q8" s="8">
        <f t="shared" si="1"/>
        <v>73.333333333333329</v>
      </c>
      <c r="R8" s="4"/>
    </row>
    <row r="9" spans="1:18" ht="24" customHeight="1" x14ac:dyDescent="0.2">
      <c r="A9" s="4">
        <v>4</v>
      </c>
      <c r="B9" s="4">
        <v>135</v>
      </c>
      <c r="C9" s="5" t="s">
        <v>25</v>
      </c>
      <c r="D9" s="5" t="s">
        <v>26</v>
      </c>
      <c r="E9" s="5" t="s">
        <v>118</v>
      </c>
      <c r="F9" s="4">
        <v>5</v>
      </c>
      <c r="G9" s="4">
        <v>5</v>
      </c>
      <c r="H9" s="4">
        <v>8</v>
      </c>
      <c r="I9" s="4">
        <v>5</v>
      </c>
      <c r="J9" s="4">
        <v>5</v>
      </c>
      <c r="K9" s="4">
        <v>5</v>
      </c>
      <c r="L9" s="4">
        <v>4</v>
      </c>
      <c r="M9" s="4">
        <v>8</v>
      </c>
      <c r="N9" s="4">
        <v>7</v>
      </c>
      <c r="O9" s="4">
        <v>60</v>
      </c>
      <c r="P9" s="4">
        <f t="shared" si="0"/>
        <v>52</v>
      </c>
      <c r="Q9" s="8">
        <f t="shared" si="1"/>
        <v>86.666666666666671</v>
      </c>
      <c r="R9" s="4"/>
    </row>
    <row r="10" spans="1:18" ht="24" customHeight="1" x14ac:dyDescent="0.2">
      <c r="A10" s="4">
        <v>5</v>
      </c>
      <c r="B10" s="4">
        <v>136</v>
      </c>
      <c r="C10" s="5" t="s">
        <v>27</v>
      </c>
      <c r="D10" s="5" t="s">
        <v>28</v>
      </c>
      <c r="E10" s="5" t="s">
        <v>118</v>
      </c>
      <c r="F10" s="4">
        <v>5</v>
      </c>
      <c r="G10" s="4">
        <v>5</v>
      </c>
      <c r="H10" s="4">
        <v>7</v>
      </c>
      <c r="I10" s="4">
        <v>5</v>
      </c>
      <c r="J10" s="4">
        <v>5</v>
      </c>
      <c r="K10" s="4">
        <v>4</v>
      </c>
      <c r="L10" s="4">
        <v>1</v>
      </c>
      <c r="M10" s="4">
        <v>7</v>
      </c>
      <c r="N10" s="4">
        <v>8</v>
      </c>
      <c r="O10" s="4">
        <v>60</v>
      </c>
      <c r="P10" s="4">
        <f t="shared" si="0"/>
        <v>47</v>
      </c>
      <c r="Q10" s="8">
        <f t="shared" si="1"/>
        <v>78.333333333333329</v>
      </c>
      <c r="R10" s="4"/>
    </row>
    <row r="11" spans="1:18" ht="24" customHeight="1" x14ac:dyDescent="0.2">
      <c r="A11" s="4">
        <v>6</v>
      </c>
      <c r="B11" s="4">
        <v>137</v>
      </c>
      <c r="C11" s="5" t="s">
        <v>29</v>
      </c>
      <c r="D11" s="5" t="s">
        <v>30</v>
      </c>
      <c r="E11" s="5" t="s">
        <v>118</v>
      </c>
      <c r="F11" s="4">
        <v>5</v>
      </c>
      <c r="G11" s="4">
        <v>4</v>
      </c>
      <c r="H11" s="4">
        <v>7</v>
      </c>
      <c r="I11" s="4">
        <v>5</v>
      </c>
      <c r="J11" s="4">
        <v>4</v>
      </c>
      <c r="K11" s="4">
        <v>0</v>
      </c>
      <c r="L11" s="4">
        <v>0</v>
      </c>
      <c r="M11" s="4">
        <v>5</v>
      </c>
      <c r="N11" s="4">
        <v>6</v>
      </c>
      <c r="O11" s="4">
        <v>60</v>
      </c>
      <c r="P11" s="4">
        <f t="shared" si="0"/>
        <v>36</v>
      </c>
      <c r="Q11" s="8">
        <f t="shared" si="1"/>
        <v>60</v>
      </c>
      <c r="R11" s="4"/>
    </row>
    <row r="12" spans="1:18" ht="24" customHeight="1" x14ac:dyDescent="0.2">
      <c r="A12" s="4">
        <v>7</v>
      </c>
      <c r="B12" s="4">
        <v>139</v>
      </c>
      <c r="C12" s="5" t="s">
        <v>31</v>
      </c>
      <c r="D12" s="5" t="s">
        <v>32</v>
      </c>
      <c r="E12" s="5" t="s">
        <v>118</v>
      </c>
      <c r="F12" s="4">
        <v>3</v>
      </c>
      <c r="G12" s="4">
        <v>4</v>
      </c>
      <c r="H12" s="4">
        <v>6</v>
      </c>
      <c r="I12" s="4">
        <v>4</v>
      </c>
      <c r="J12" s="4">
        <v>2</v>
      </c>
      <c r="K12" s="4">
        <v>1</v>
      </c>
      <c r="L12" s="4">
        <v>2</v>
      </c>
      <c r="M12" s="4">
        <v>7</v>
      </c>
      <c r="N12" s="4">
        <v>7</v>
      </c>
      <c r="O12" s="4">
        <v>60</v>
      </c>
      <c r="P12" s="4">
        <f t="shared" si="0"/>
        <v>36</v>
      </c>
      <c r="Q12" s="8">
        <f t="shared" si="1"/>
        <v>60</v>
      </c>
      <c r="R12" s="4"/>
    </row>
    <row r="13" spans="1:18" ht="24" customHeight="1" x14ac:dyDescent="0.2">
      <c r="A13" s="4">
        <v>8</v>
      </c>
      <c r="B13" s="4"/>
      <c r="C13" s="5" t="s">
        <v>33</v>
      </c>
      <c r="D13" s="5" t="s">
        <v>34</v>
      </c>
      <c r="E13" s="5" t="s">
        <v>118</v>
      </c>
      <c r="F13" s="4">
        <v>5</v>
      </c>
      <c r="G13" s="4">
        <v>5</v>
      </c>
      <c r="H13" s="4">
        <v>7</v>
      </c>
      <c r="I13" s="4">
        <v>5</v>
      </c>
      <c r="J13" s="4">
        <v>5</v>
      </c>
      <c r="K13" s="4">
        <v>5</v>
      </c>
      <c r="L13" s="4">
        <v>5</v>
      </c>
      <c r="M13" s="4">
        <v>7</v>
      </c>
      <c r="N13" s="4">
        <v>6</v>
      </c>
      <c r="O13" s="4">
        <v>60</v>
      </c>
      <c r="P13" s="4">
        <f t="shared" si="0"/>
        <v>50</v>
      </c>
      <c r="Q13" s="8">
        <f t="shared" si="1"/>
        <v>83.333333333333343</v>
      </c>
      <c r="R13" s="4"/>
    </row>
    <row r="14" spans="1:18" ht="24" customHeight="1" x14ac:dyDescent="0.2">
      <c r="A14" s="4">
        <v>9</v>
      </c>
      <c r="B14" s="4">
        <v>142</v>
      </c>
      <c r="C14" s="5" t="s">
        <v>35</v>
      </c>
      <c r="D14" s="5" t="s">
        <v>36</v>
      </c>
      <c r="E14" s="5" t="s">
        <v>118</v>
      </c>
      <c r="F14" s="4">
        <v>5</v>
      </c>
      <c r="G14" s="4">
        <v>5</v>
      </c>
      <c r="H14" s="4">
        <v>8</v>
      </c>
      <c r="I14" s="4">
        <v>5</v>
      </c>
      <c r="J14" s="4">
        <v>5</v>
      </c>
      <c r="K14" s="4">
        <v>5</v>
      </c>
      <c r="L14" s="4">
        <v>5</v>
      </c>
      <c r="M14" s="4">
        <v>9</v>
      </c>
      <c r="N14" s="4">
        <v>7</v>
      </c>
      <c r="O14" s="4">
        <v>60</v>
      </c>
      <c r="P14" s="4">
        <f t="shared" si="0"/>
        <v>54</v>
      </c>
      <c r="Q14" s="8">
        <f t="shared" si="1"/>
        <v>90</v>
      </c>
      <c r="R14" s="4"/>
    </row>
    <row r="15" spans="1:18" ht="24" customHeight="1" x14ac:dyDescent="0.2">
      <c r="A15" s="4">
        <v>10</v>
      </c>
      <c r="B15" s="6">
        <v>143</v>
      </c>
      <c r="C15" s="5" t="s">
        <v>37</v>
      </c>
      <c r="D15" s="5" t="s">
        <v>38</v>
      </c>
      <c r="E15" s="5" t="s">
        <v>118</v>
      </c>
      <c r="F15" s="4">
        <v>3</v>
      </c>
      <c r="G15" s="4">
        <v>5</v>
      </c>
      <c r="H15" s="4">
        <v>5</v>
      </c>
      <c r="I15" s="4">
        <v>5</v>
      </c>
      <c r="J15" s="4">
        <v>5</v>
      </c>
      <c r="K15" s="4">
        <v>0</v>
      </c>
      <c r="L15" s="4">
        <v>0</v>
      </c>
      <c r="M15" s="4">
        <v>9</v>
      </c>
      <c r="N15" s="4">
        <v>6</v>
      </c>
      <c r="O15" s="4">
        <v>60</v>
      </c>
      <c r="P15" s="4">
        <f t="shared" si="0"/>
        <v>38</v>
      </c>
      <c r="Q15" s="8">
        <f t="shared" si="1"/>
        <v>63.333333333333329</v>
      </c>
      <c r="R15" s="4"/>
    </row>
    <row r="16" spans="1:18" ht="24" customHeight="1" x14ac:dyDescent="0.2">
      <c r="A16" s="4">
        <v>11</v>
      </c>
      <c r="B16" s="6">
        <v>144</v>
      </c>
      <c r="C16" s="5" t="s">
        <v>39</v>
      </c>
      <c r="D16" s="5" t="s">
        <v>40</v>
      </c>
      <c r="E16" s="5" t="s">
        <v>118</v>
      </c>
      <c r="F16" s="4">
        <v>3</v>
      </c>
      <c r="G16" s="4">
        <v>4</v>
      </c>
      <c r="H16" s="4">
        <v>6</v>
      </c>
      <c r="I16" s="4">
        <v>5</v>
      </c>
      <c r="J16" s="4">
        <v>3</v>
      </c>
      <c r="K16" s="4">
        <v>5</v>
      </c>
      <c r="L16" s="4">
        <v>2</v>
      </c>
      <c r="M16" s="4">
        <v>7</v>
      </c>
      <c r="N16" s="4">
        <v>7</v>
      </c>
      <c r="O16" s="4">
        <v>60</v>
      </c>
      <c r="P16" s="4">
        <f t="shared" si="0"/>
        <v>42</v>
      </c>
      <c r="Q16" s="8">
        <f t="shared" si="1"/>
        <v>70</v>
      </c>
      <c r="R16" s="4"/>
    </row>
    <row r="17" spans="1:18" ht="24" customHeight="1" x14ac:dyDescent="0.2">
      <c r="A17" s="4">
        <v>12</v>
      </c>
      <c r="B17" s="6">
        <v>145</v>
      </c>
      <c r="C17" s="5" t="s">
        <v>41</v>
      </c>
      <c r="D17" s="5" t="s">
        <v>42</v>
      </c>
      <c r="E17" s="5" t="s">
        <v>118</v>
      </c>
      <c r="F17" s="4">
        <v>3</v>
      </c>
      <c r="G17" s="4">
        <v>3</v>
      </c>
      <c r="H17" s="4">
        <v>5</v>
      </c>
      <c r="I17" s="4">
        <v>2</v>
      </c>
      <c r="J17" s="4">
        <v>2</v>
      </c>
      <c r="K17" s="4">
        <v>4</v>
      </c>
      <c r="L17" s="4">
        <v>5</v>
      </c>
      <c r="M17" s="4">
        <v>7</v>
      </c>
      <c r="N17" s="4">
        <v>7</v>
      </c>
      <c r="O17" s="4">
        <v>60</v>
      </c>
      <c r="P17" s="4">
        <f t="shared" si="0"/>
        <v>38</v>
      </c>
      <c r="Q17" s="8">
        <f t="shared" si="1"/>
        <v>63.333333333333329</v>
      </c>
      <c r="R17" s="4"/>
    </row>
    <row r="18" spans="1:18" ht="24" customHeight="1" x14ac:dyDescent="0.2">
      <c r="A18" s="4">
        <v>13</v>
      </c>
      <c r="B18" s="6">
        <v>146</v>
      </c>
      <c r="C18" s="5" t="s">
        <v>43</v>
      </c>
      <c r="D18" s="5" t="s">
        <v>44</v>
      </c>
      <c r="E18" s="5" t="s">
        <v>118</v>
      </c>
      <c r="F18" s="4">
        <v>5</v>
      </c>
      <c r="G18" s="4">
        <v>3</v>
      </c>
      <c r="H18" s="4">
        <v>7</v>
      </c>
      <c r="I18" s="4">
        <v>2</v>
      </c>
      <c r="J18" s="4">
        <v>3</v>
      </c>
      <c r="K18" s="4">
        <v>4</v>
      </c>
      <c r="L18" s="4">
        <v>3</v>
      </c>
      <c r="M18" s="4">
        <v>8</v>
      </c>
      <c r="N18" s="4">
        <v>8</v>
      </c>
      <c r="O18" s="4">
        <v>60</v>
      </c>
      <c r="P18" s="4">
        <f t="shared" si="0"/>
        <v>43</v>
      </c>
      <c r="Q18" s="8">
        <f t="shared" si="1"/>
        <v>71.666666666666671</v>
      </c>
      <c r="R18" s="4"/>
    </row>
    <row r="19" spans="1:18" ht="24" customHeight="1" x14ac:dyDescent="0.2">
      <c r="A19" s="4">
        <v>14</v>
      </c>
      <c r="B19" s="6">
        <v>148</v>
      </c>
      <c r="C19" s="5" t="s">
        <v>45</v>
      </c>
      <c r="D19" s="5" t="s">
        <v>46</v>
      </c>
      <c r="E19" s="5" t="s">
        <v>118</v>
      </c>
      <c r="F19" s="4">
        <v>5</v>
      </c>
      <c r="G19" s="4">
        <v>3</v>
      </c>
      <c r="H19" s="4">
        <v>5</v>
      </c>
      <c r="I19" s="4">
        <v>3</v>
      </c>
      <c r="J19" s="4">
        <v>5</v>
      </c>
      <c r="K19" s="4">
        <v>5</v>
      </c>
      <c r="L19" s="4">
        <v>4</v>
      </c>
      <c r="M19" s="4">
        <v>5</v>
      </c>
      <c r="N19" s="4">
        <v>7</v>
      </c>
      <c r="O19" s="4">
        <v>60</v>
      </c>
      <c r="P19" s="4">
        <f t="shared" si="0"/>
        <v>42</v>
      </c>
      <c r="Q19" s="8">
        <f t="shared" si="1"/>
        <v>70</v>
      </c>
      <c r="R19" s="4"/>
    </row>
    <row r="20" spans="1:18" ht="24" customHeight="1" x14ac:dyDescent="0.2">
      <c r="A20" s="4">
        <v>15</v>
      </c>
      <c r="B20" s="6">
        <v>150</v>
      </c>
      <c r="C20" s="5" t="s">
        <v>47</v>
      </c>
      <c r="D20" s="5" t="s">
        <v>48</v>
      </c>
      <c r="E20" s="5" t="s">
        <v>118</v>
      </c>
      <c r="F20" s="4">
        <v>5</v>
      </c>
      <c r="G20" s="4">
        <v>3</v>
      </c>
      <c r="H20" s="4">
        <v>6</v>
      </c>
      <c r="I20" s="4">
        <v>3</v>
      </c>
      <c r="J20" s="4">
        <v>5</v>
      </c>
      <c r="K20" s="4">
        <v>2</v>
      </c>
      <c r="L20" s="4">
        <v>0</v>
      </c>
      <c r="M20" s="4">
        <v>5</v>
      </c>
      <c r="N20" s="4">
        <v>5</v>
      </c>
      <c r="O20" s="4">
        <v>60</v>
      </c>
      <c r="P20" s="4">
        <f t="shared" si="0"/>
        <v>34</v>
      </c>
      <c r="Q20" s="8">
        <f t="shared" si="1"/>
        <v>56.666666666666664</v>
      </c>
      <c r="R20" s="4"/>
    </row>
    <row r="21" spans="1:18" ht="24" customHeight="1" x14ac:dyDescent="0.2">
      <c r="A21" s="4">
        <v>16</v>
      </c>
      <c r="B21" s="6">
        <v>151</v>
      </c>
      <c r="C21" s="5" t="s">
        <v>49</v>
      </c>
      <c r="D21" s="5" t="s">
        <v>50</v>
      </c>
      <c r="E21" s="5" t="s">
        <v>118</v>
      </c>
      <c r="F21" s="4">
        <v>5</v>
      </c>
      <c r="G21" s="4">
        <v>4</v>
      </c>
      <c r="H21" s="4">
        <v>6</v>
      </c>
      <c r="I21" s="4">
        <v>4</v>
      </c>
      <c r="J21" s="4">
        <v>4</v>
      </c>
      <c r="K21" s="4">
        <v>4</v>
      </c>
      <c r="L21" s="4">
        <v>5</v>
      </c>
      <c r="M21" s="4">
        <v>6</v>
      </c>
      <c r="N21" s="4">
        <v>7</v>
      </c>
      <c r="O21" s="4">
        <v>60</v>
      </c>
      <c r="P21" s="4">
        <f t="shared" si="0"/>
        <v>45</v>
      </c>
      <c r="Q21" s="8">
        <f t="shared" si="1"/>
        <v>75</v>
      </c>
      <c r="R21" s="4"/>
    </row>
    <row r="22" spans="1:18" ht="24" customHeight="1" x14ac:dyDescent="0.2">
      <c r="A22" s="4">
        <v>17</v>
      </c>
      <c r="B22" s="6">
        <v>152</v>
      </c>
      <c r="C22" s="5" t="s">
        <v>51</v>
      </c>
      <c r="D22" s="5" t="s">
        <v>52</v>
      </c>
      <c r="E22" s="5" t="s">
        <v>118</v>
      </c>
      <c r="F22" s="4">
        <v>5</v>
      </c>
      <c r="G22" s="4">
        <v>5</v>
      </c>
      <c r="H22" s="4">
        <v>8</v>
      </c>
      <c r="I22" s="4">
        <v>5</v>
      </c>
      <c r="J22" s="4">
        <v>5</v>
      </c>
      <c r="K22" s="4">
        <v>5</v>
      </c>
      <c r="L22" s="4">
        <v>5</v>
      </c>
      <c r="M22" s="4">
        <v>9</v>
      </c>
      <c r="N22" s="4">
        <v>6</v>
      </c>
      <c r="O22" s="4">
        <v>60</v>
      </c>
      <c r="P22" s="4">
        <f t="shared" si="0"/>
        <v>53</v>
      </c>
      <c r="Q22" s="8">
        <f t="shared" si="1"/>
        <v>88.333333333333329</v>
      </c>
      <c r="R22" s="4"/>
    </row>
    <row r="23" spans="1:18" ht="24" customHeight="1" x14ac:dyDescent="0.2">
      <c r="A23" s="4">
        <v>18</v>
      </c>
      <c r="B23" s="6">
        <v>153</v>
      </c>
      <c r="C23" s="5" t="s">
        <v>53</v>
      </c>
      <c r="D23" s="5" t="s">
        <v>54</v>
      </c>
      <c r="E23" s="5" t="s">
        <v>118</v>
      </c>
      <c r="F23" s="4">
        <v>3</v>
      </c>
      <c r="G23" s="4">
        <v>4</v>
      </c>
      <c r="H23" s="4">
        <v>5</v>
      </c>
      <c r="I23" s="4">
        <v>2</v>
      </c>
      <c r="J23" s="4">
        <v>5</v>
      </c>
      <c r="K23" s="4">
        <v>5</v>
      </c>
      <c r="L23" s="4">
        <v>5</v>
      </c>
      <c r="M23" s="4">
        <v>8</v>
      </c>
      <c r="N23" s="4">
        <v>7</v>
      </c>
      <c r="O23" s="4">
        <v>60</v>
      </c>
      <c r="P23" s="4">
        <f t="shared" si="0"/>
        <v>44</v>
      </c>
      <c r="Q23" s="8">
        <f t="shared" si="1"/>
        <v>73.333333333333329</v>
      </c>
      <c r="R23" s="4"/>
    </row>
    <row r="24" spans="1:18" ht="24" customHeight="1" x14ac:dyDescent="0.2">
      <c r="A24" s="4">
        <v>19</v>
      </c>
      <c r="B24" s="6">
        <v>154</v>
      </c>
      <c r="C24" s="5" t="s">
        <v>55</v>
      </c>
      <c r="D24" s="5" t="s">
        <v>56</v>
      </c>
      <c r="E24" s="5" t="s">
        <v>118</v>
      </c>
      <c r="F24" s="4">
        <v>4</v>
      </c>
      <c r="G24" s="4">
        <v>5</v>
      </c>
      <c r="H24" s="4">
        <v>7</v>
      </c>
      <c r="I24" s="4">
        <v>4</v>
      </c>
      <c r="J24" s="4">
        <v>5</v>
      </c>
      <c r="K24" s="4">
        <v>1</v>
      </c>
      <c r="L24" s="4">
        <v>2</v>
      </c>
      <c r="M24" s="4">
        <v>9</v>
      </c>
      <c r="N24" s="4">
        <v>8</v>
      </c>
      <c r="O24" s="4">
        <v>60</v>
      </c>
      <c r="P24" s="4">
        <f t="shared" si="0"/>
        <v>45</v>
      </c>
      <c r="Q24" s="8">
        <f t="shared" si="1"/>
        <v>75</v>
      </c>
      <c r="R24" s="4"/>
    </row>
    <row r="25" spans="1:18" ht="24" customHeight="1" x14ac:dyDescent="0.2">
      <c r="A25" s="4">
        <v>20</v>
      </c>
      <c r="B25" s="6">
        <v>155</v>
      </c>
      <c r="C25" s="5" t="s">
        <v>57</v>
      </c>
      <c r="D25" s="5" t="s">
        <v>58</v>
      </c>
      <c r="E25" s="5" t="s">
        <v>118</v>
      </c>
      <c r="F25" s="4">
        <v>4</v>
      </c>
      <c r="G25" s="4">
        <v>3</v>
      </c>
      <c r="H25" s="4">
        <v>8</v>
      </c>
      <c r="I25" s="4">
        <v>3</v>
      </c>
      <c r="J25" s="4">
        <v>5</v>
      </c>
      <c r="K25" s="4">
        <v>2</v>
      </c>
      <c r="L25" s="4">
        <v>5</v>
      </c>
      <c r="M25" s="4">
        <v>9</v>
      </c>
      <c r="N25" s="4">
        <v>8</v>
      </c>
      <c r="O25" s="4">
        <v>60</v>
      </c>
      <c r="P25" s="4">
        <f t="shared" si="0"/>
        <v>47</v>
      </c>
      <c r="Q25" s="8">
        <f t="shared" si="1"/>
        <v>78.333333333333329</v>
      </c>
      <c r="R25" s="4"/>
    </row>
    <row r="26" spans="1:18" ht="24" customHeight="1" x14ac:dyDescent="0.2">
      <c r="A26" s="4">
        <v>21</v>
      </c>
      <c r="B26" s="6">
        <v>156</v>
      </c>
      <c r="C26" s="5" t="s">
        <v>59</v>
      </c>
      <c r="D26" s="5" t="s">
        <v>60</v>
      </c>
      <c r="E26" s="5" t="s">
        <v>118</v>
      </c>
      <c r="F26" s="4">
        <v>3</v>
      </c>
      <c r="G26" s="4">
        <v>3</v>
      </c>
      <c r="H26" s="4">
        <v>5</v>
      </c>
      <c r="I26" s="4">
        <v>3</v>
      </c>
      <c r="J26" s="4">
        <v>1</v>
      </c>
      <c r="K26" s="4">
        <v>3</v>
      </c>
      <c r="L26" s="4">
        <v>2</v>
      </c>
      <c r="M26" s="4">
        <v>8</v>
      </c>
      <c r="N26" s="4">
        <v>8</v>
      </c>
      <c r="O26" s="4">
        <v>60</v>
      </c>
      <c r="P26" s="4">
        <f t="shared" si="0"/>
        <v>36</v>
      </c>
      <c r="Q26" s="8">
        <f t="shared" si="1"/>
        <v>60</v>
      </c>
      <c r="R26" s="4"/>
    </row>
    <row r="27" spans="1:18" ht="24" customHeight="1" x14ac:dyDescent="0.2">
      <c r="A27" s="4">
        <v>22</v>
      </c>
      <c r="B27" s="6">
        <v>158</v>
      </c>
      <c r="C27" s="5" t="s">
        <v>61</v>
      </c>
      <c r="D27" s="5" t="s">
        <v>62</v>
      </c>
      <c r="E27" s="5" t="s">
        <v>118</v>
      </c>
      <c r="F27" s="4">
        <v>3</v>
      </c>
      <c r="G27" s="4">
        <v>3</v>
      </c>
      <c r="H27" s="4">
        <v>5</v>
      </c>
      <c r="I27" s="4">
        <v>3</v>
      </c>
      <c r="J27" s="4">
        <v>5</v>
      </c>
      <c r="K27" s="4">
        <v>2</v>
      </c>
      <c r="L27" s="4">
        <v>2</v>
      </c>
      <c r="M27" s="4">
        <v>8</v>
      </c>
      <c r="N27" s="4">
        <v>7</v>
      </c>
      <c r="O27" s="4">
        <v>60</v>
      </c>
      <c r="P27" s="4">
        <f t="shared" si="0"/>
        <v>38</v>
      </c>
      <c r="Q27" s="8">
        <f t="shared" si="1"/>
        <v>63.333333333333329</v>
      </c>
      <c r="R27" s="4"/>
    </row>
    <row r="28" spans="1:18" ht="24" customHeight="1" x14ac:dyDescent="0.2">
      <c r="A28" s="4">
        <v>23</v>
      </c>
      <c r="B28" s="4">
        <v>159</v>
      </c>
      <c r="C28" s="5" t="s">
        <v>63</v>
      </c>
      <c r="D28" s="5" t="s">
        <v>64</v>
      </c>
      <c r="E28" s="5" t="s">
        <v>118</v>
      </c>
      <c r="F28" s="4">
        <v>5</v>
      </c>
      <c r="G28" s="4">
        <v>4</v>
      </c>
      <c r="H28" s="4">
        <v>7</v>
      </c>
      <c r="I28" s="4">
        <v>4</v>
      </c>
      <c r="J28" s="4">
        <v>5</v>
      </c>
      <c r="K28" s="4">
        <v>5</v>
      </c>
      <c r="L28" s="4">
        <v>5</v>
      </c>
      <c r="M28" s="4">
        <v>4</v>
      </c>
      <c r="N28" s="4">
        <v>6</v>
      </c>
      <c r="O28" s="4">
        <v>60</v>
      </c>
      <c r="P28" s="4">
        <f t="shared" si="0"/>
        <v>45</v>
      </c>
      <c r="Q28" s="8">
        <f t="shared" si="1"/>
        <v>75</v>
      </c>
      <c r="R28" s="4"/>
    </row>
    <row r="29" spans="1:18" ht="24" customHeight="1" x14ac:dyDescent="0.2">
      <c r="A29" s="4">
        <v>24</v>
      </c>
      <c r="B29" s="4">
        <v>160</v>
      </c>
      <c r="C29" s="5" t="s">
        <v>65</v>
      </c>
      <c r="D29" s="5" t="s">
        <v>66</v>
      </c>
      <c r="E29" s="5" t="s">
        <v>118</v>
      </c>
      <c r="F29" s="4">
        <v>5</v>
      </c>
      <c r="G29" s="4">
        <v>5</v>
      </c>
      <c r="H29" s="4">
        <v>7</v>
      </c>
      <c r="I29" s="4">
        <v>5</v>
      </c>
      <c r="J29" s="4">
        <v>3</v>
      </c>
      <c r="K29" s="4">
        <v>5</v>
      </c>
      <c r="L29" s="4">
        <v>5</v>
      </c>
      <c r="M29" s="4">
        <v>7</v>
      </c>
      <c r="N29" s="4">
        <v>7</v>
      </c>
      <c r="O29" s="4">
        <v>60</v>
      </c>
      <c r="P29" s="4">
        <f t="shared" si="0"/>
        <v>49</v>
      </c>
      <c r="Q29" s="8">
        <f t="shared" si="1"/>
        <v>81.666666666666671</v>
      </c>
      <c r="R29" s="4"/>
    </row>
    <row r="30" spans="1:18" ht="24" customHeight="1" x14ac:dyDescent="0.2">
      <c r="A30" s="4">
        <v>25</v>
      </c>
      <c r="B30" s="4">
        <v>161</v>
      </c>
      <c r="C30" s="5" t="s">
        <v>67</v>
      </c>
      <c r="D30" s="5" t="s">
        <v>68</v>
      </c>
      <c r="E30" s="5" t="s">
        <v>118</v>
      </c>
      <c r="F30" s="4">
        <v>5</v>
      </c>
      <c r="G30" s="4">
        <v>3</v>
      </c>
      <c r="H30" s="4">
        <v>5</v>
      </c>
      <c r="I30" s="4">
        <v>2</v>
      </c>
      <c r="J30" s="4">
        <v>2</v>
      </c>
      <c r="K30" s="4">
        <v>1</v>
      </c>
      <c r="L30" s="4">
        <v>0</v>
      </c>
      <c r="M30" s="4">
        <v>7</v>
      </c>
      <c r="N30" s="4">
        <v>6</v>
      </c>
      <c r="O30" s="4">
        <v>60</v>
      </c>
      <c r="P30" s="4">
        <f t="shared" si="0"/>
        <v>31</v>
      </c>
      <c r="Q30" s="8">
        <f t="shared" si="1"/>
        <v>51.666666666666671</v>
      </c>
      <c r="R30" s="4"/>
    </row>
    <row r="31" spans="1:18" ht="24" customHeight="1" x14ac:dyDescent="0.2">
      <c r="A31" s="4">
        <v>26</v>
      </c>
      <c r="B31" s="4">
        <v>162</v>
      </c>
      <c r="C31" s="5" t="s">
        <v>69</v>
      </c>
      <c r="D31" s="5" t="s">
        <v>70</v>
      </c>
      <c r="E31" s="5" t="s">
        <v>118</v>
      </c>
      <c r="F31" s="4">
        <v>4</v>
      </c>
      <c r="G31" s="4">
        <v>4</v>
      </c>
      <c r="H31" s="4">
        <v>6</v>
      </c>
      <c r="I31" s="4">
        <v>4</v>
      </c>
      <c r="J31" s="4">
        <v>4</v>
      </c>
      <c r="K31" s="4">
        <v>2</v>
      </c>
      <c r="L31" s="4">
        <v>4</v>
      </c>
      <c r="M31" s="4">
        <v>8</v>
      </c>
      <c r="N31" s="4">
        <v>8</v>
      </c>
      <c r="O31" s="4">
        <v>60</v>
      </c>
      <c r="P31" s="4">
        <f t="shared" si="0"/>
        <v>44</v>
      </c>
      <c r="Q31" s="8">
        <f t="shared" si="1"/>
        <v>73.333333333333329</v>
      </c>
      <c r="R31" s="4"/>
    </row>
    <row r="32" spans="1:18" ht="24" customHeight="1" x14ac:dyDescent="0.2">
      <c r="A32" s="4">
        <v>27</v>
      </c>
      <c r="B32" s="4">
        <v>163</v>
      </c>
      <c r="C32" s="5" t="s">
        <v>71</v>
      </c>
      <c r="D32" s="5" t="s">
        <v>72</v>
      </c>
      <c r="E32" s="5" t="s">
        <v>118</v>
      </c>
      <c r="F32" s="4">
        <v>5</v>
      </c>
      <c r="G32" s="4">
        <v>4</v>
      </c>
      <c r="H32" s="4">
        <v>6</v>
      </c>
      <c r="I32" s="4">
        <v>3</v>
      </c>
      <c r="J32" s="4">
        <v>3</v>
      </c>
      <c r="K32" s="4">
        <v>1</v>
      </c>
      <c r="L32" s="4">
        <v>0</v>
      </c>
      <c r="M32" s="4">
        <v>8</v>
      </c>
      <c r="N32" s="4">
        <v>8</v>
      </c>
      <c r="O32" s="4">
        <v>60</v>
      </c>
      <c r="P32" s="4">
        <f t="shared" si="0"/>
        <v>38</v>
      </c>
      <c r="Q32" s="8">
        <f t="shared" si="1"/>
        <v>63.333333333333329</v>
      </c>
      <c r="R32" s="4"/>
    </row>
    <row r="33" spans="1:18" ht="24" customHeight="1" x14ac:dyDescent="0.2">
      <c r="A33" s="4">
        <v>28</v>
      </c>
      <c r="B33" s="4">
        <v>165</v>
      </c>
      <c r="C33" s="5" t="s">
        <v>73</v>
      </c>
      <c r="D33" s="5" t="s">
        <v>74</v>
      </c>
      <c r="E33" s="5" t="s">
        <v>118</v>
      </c>
      <c r="F33" s="4">
        <v>5</v>
      </c>
      <c r="G33" s="4">
        <v>5</v>
      </c>
      <c r="H33" s="4">
        <v>6</v>
      </c>
      <c r="I33" s="4">
        <v>5</v>
      </c>
      <c r="J33" s="4">
        <v>5</v>
      </c>
      <c r="K33" s="4">
        <v>5</v>
      </c>
      <c r="L33" s="4">
        <v>1</v>
      </c>
      <c r="M33" s="4">
        <v>7</v>
      </c>
      <c r="N33" s="4">
        <v>7</v>
      </c>
      <c r="O33" s="4">
        <v>60</v>
      </c>
      <c r="P33" s="4">
        <f t="shared" si="0"/>
        <v>46</v>
      </c>
      <c r="Q33" s="8">
        <f t="shared" si="1"/>
        <v>76.666666666666671</v>
      </c>
      <c r="R33" s="4"/>
    </row>
    <row r="34" spans="1:18" ht="24" customHeight="1" x14ac:dyDescent="0.2">
      <c r="A34" s="4">
        <v>29</v>
      </c>
      <c r="B34" s="4">
        <v>166</v>
      </c>
      <c r="C34" s="5" t="s">
        <v>75</v>
      </c>
      <c r="D34" s="5" t="s">
        <v>76</v>
      </c>
      <c r="E34" s="5" t="s">
        <v>118</v>
      </c>
      <c r="F34" s="4">
        <v>5</v>
      </c>
      <c r="G34" s="4">
        <v>5</v>
      </c>
      <c r="H34" s="4">
        <v>8</v>
      </c>
      <c r="I34" s="4">
        <v>5</v>
      </c>
      <c r="J34" s="4">
        <v>5</v>
      </c>
      <c r="K34" s="4">
        <v>5</v>
      </c>
      <c r="L34" s="4">
        <v>4</v>
      </c>
      <c r="M34" s="4">
        <v>8</v>
      </c>
      <c r="N34" s="4">
        <v>8</v>
      </c>
      <c r="O34" s="4">
        <v>60</v>
      </c>
      <c r="P34" s="4">
        <f t="shared" si="0"/>
        <v>53</v>
      </c>
      <c r="Q34" s="8">
        <f t="shared" si="1"/>
        <v>88.333333333333329</v>
      </c>
      <c r="R34" s="4"/>
    </row>
    <row r="35" spans="1:18" ht="24" customHeight="1" x14ac:dyDescent="0.2">
      <c r="A35" s="4">
        <v>30</v>
      </c>
      <c r="B35" s="4">
        <v>167</v>
      </c>
      <c r="C35" s="5" t="s">
        <v>77</v>
      </c>
      <c r="D35" s="5" t="s">
        <v>76</v>
      </c>
      <c r="E35" s="5" t="s">
        <v>118</v>
      </c>
      <c r="F35" s="4">
        <v>5</v>
      </c>
      <c r="G35" s="4">
        <v>4</v>
      </c>
      <c r="H35" s="4">
        <v>8</v>
      </c>
      <c r="I35" s="4">
        <v>5</v>
      </c>
      <c r="J35" s="4">
        <v>5</v>
      </c>
      <c r="K35" s="4">
        <v>5</v>
      </c>
      <c r="L35" s="4">
        <v>5</v>
      </c>
      <c r="M35" s="4">
        <v>8</v>
      </c>
      <c r="N35" s="4">
        <v>8</v>
      </c>
      <c r="O35" s="4">
        <v>60</v>
      </c>
      <c r="P35" s="4">
        <f t="shared" si="0"/>
        <v>53</v>
      </c>
      <c r="Q35" s="8">
        <f t="shared" si="1"/>
        <v>88.333333333333329</v>
      </c>
      <c r="R35" s="4"/>
    </row>
    <row r="36" spans="1:18" ht="24" customHeight="1" x14ac:dyDescent="0.2">
      <c r="A36" s="4">
        <v>31</v>
      </c>
      <c r="B36" s="4">
        <v>168</v>
      </c>
      <c r="C36" s="5" t="s">
        <v>78</v>
      </c>
      <c r="D36" s="5" t="s">
        <v>79</v>
      </c>
      <c r="E36" s="5" t="s">
        <v>118</v>
      </c>
      <c r="F36" s="4">
        <v>5</v>
      </c>
      <c r="G36" s="4">
        <v>4</v>
      </c>
      <c r="H36" s="4">
        <v>8</v>
      </c>
      <c r="I36" s="4">
        <v>5</v>
      </c>
      <c r="J36" s="4">
        <v>0</v>
      </c>
      <c r="K36" s="4">
        <v>5</v>
      </c>
      <c r="L36" s="4">
        <v>0</v>
      </c>
      <c r="M36" s="4">
        <v>8</v>
      </c>
      <c r="N36" s="4">
        <v>6</v>
      </c>
      <c r="O36" s="4">
        <v>60</v>
      </c>
      <c r="P36" s="4">
        <f t="shared" si="0"/>
        <v>41</v>
      </c>
      <c r="Q36" s="8">
        <f t="shared" si="1"/>
        <v>68.333333333333329</v>
      </c>
      <c r="R36" s="4"/>
    </row>
    <row r="37" spans="1:18" ht="24" customHeight="1" x14ac:dyDescent="0.2">
      <c r="A37" s="4">
        <v>32</v>
      </c>
      <c r="B37" s="4">
        <v>169</v>
      </c>
      <c r="C37" s="5" t="s">
        <v>80</v>
      </c>
      <c r="D37" s="5" t="s">
        <v>81</v>
      </c>
      <c r="E37" s="5" t="s">
        <v>118</v>
      </c>
      <c r="F37" s="4">
        <v>5</v>
      </c>
      <c r="G37" s="4">
        <v>4</v>
      </c>
      <c r="H37" s="4">
        <v>7</v>
      </c>
      <c r="I37" s="4">
        <v>5</v>
      </c>
      <c r="J37" s="4">
        <v>5</v>
      </c>
      <c r="K37" s="4">
        <v>1</v>
      </c>
      <c r="L37" s="4">
        <v>2</v>
      </c>
      <c r="M37" s="4">
        <v>8</v>
      </c>
      <c r="N37" s="4">
        <v>7</v>
      </c>
      <c r="O37" s="4">
        <v>60</v>
      </c>
      <c r="P37" s="4">
        <f t="shared" si="0"/>
        <v>44</v>
      </c>
      <c r="Q37" s="8">
        <f t="shared" si="1"/>
        <v>73.333333333333329</v>
      </c>
      <c r="R37" s="4"/>
    </row>
    <row r="38" spans="1:18" ht="24" customHeight="1" x14ac:dyDescent="0.2">
      <c r="A38" s="4">
        <v>33</v>
      </c>
      <c r="B38" s="4">
        <v>170</v>
      </c>
      <c r="C38" s="5" t="s">
        <v>82</v>
      </c>
      <c r="D38" s="5" t="s">
        <v>83</v>
      </c>
      <c r="E38" s="5" t="s">
        <v>118</v>
      </c>
      <c r="F38" s="4">
        <v>5</v>
      </c>
      <c r="G38" s="4">
        <v>3</v>
      </c>
      <c r="H38" s="4">
        <v>6</v>
      </c>
      <c r="I38" s="4">
        <v>5</v>
      </c>
      <c r="J38" s="4">
        <v>3</v>
      </c>
      <c r="K38" s="4">
        <v>4</v>
      </c>
      <c r="L38" s="4">
        <v>2</v>
      </c>
      <c r="M38" s="4">
        <v>8</v>
      </c>
      <c r="N38" s="4">
        <v>8</v>
      </c>
      <c r="O38" s="4">
        <v>60</v>
      </c>
      <c r="P38" s="4">
        <f t="shared" si="0"/>
        <v>44</v>
      </c>
      <c r="Q38" s="8">
        <f t="shared" si="1"/>
        <v>73.333333333333329</v>
      </c>
      <c r="R38" s="4"/>
    </row>
    <row r="39" spans="1:18" ht="24" customHeight="1" x14ac:dyDescent="0.2">
      <c r="A39" s="4">
        <v>34</v>
      </c>
      <c r="B39" s="4">
        <v>171</v>
      </c>
      <c r="C39" s="5" t="s">
        <v>84</v>
      </c>
      <c r="D39" s="5" t="s">
        <v>85</v>
      </c>
      <c r="E39" s="5" t="s">
        <v>118</v>
      </c>
      <c r="F39" s="4">
        <v>1</v>
      </c>
      <c r="G39" s="4">
        <v>2</v>
      </c>
      <c r="H39" s="4">
        <v>4</v>
      </c>
      <c r="I39" s="4">
        <v>1</v>
      </c>
      <c r="J39" s="4">
        <v>0</v>
      </c>
      <c r="K39" s="4">
        <v>0</v>
      </c>
      <c r="L39" s="4">
        <v>0</v>
      </c>
      <c r="M39" s="4">
        <v>3</v>
      </c>
      <c r="N39" s="4">
        <v>7</v>
      </c>
      <c r="O39" s="4">
        <v>60</v>
      </c>
      <c r="P39" s="4">
        <f t="shared" si="0"/>
        <v>18</v>
      </c>
      <c r="Q39" s="8">
        <f t="shared" si="1"/>
        <v>30</v>
      </c>
      <c r="R39" s="4"/>
    </row>
    <row r="40" spans="1:18" ht="24" customHeight="1" x14ac:dyDescent="0.2">
      <c r="A40" s="4">
        <v>35</v>
      </c>
      <c r="B40" s="4">
        <v>172</v>
      </c>
      <c r="C40" s="5" t="s">
        <v>86</v>
      </c>
      <c r="D40" s="5" t="s">
        <v>87</v>
      </c>
      <c r="E40" s="5" t="s">
        <v>118</v>
      </c>
      <c r="F40" s="4">
        <v>5</v>
      </c>
      <c r="G40" s="4">
        <v>4</v>
      </c>
      <c r="H40" s="4">
        <v>6</v>
      </c>
      <c r="I40" s="4">
        <v>5</v>
      </c>
      <c r="J40" s="4">
        <v>4</v>
      </c>
      <c r="K40" s="4">
        <v>3</v>
      </c>
      <c r="L40" s="4">
        <v>4</v>
      </c>
      <c r="M40" s="4">
        <v>7</v>
      </c>
      <c r="N40" s="4">
        <v>7</v>
      </c>
      <c r="O40" s="4">
        <v>60</v>
      </c>
      <c r="P40" s="4">
        <f t="shared" si="0"/>
        <v>45</v>
      </c>
      <c r="Q40" s="8">
        <f t="shared" si="1"/>
        <v>75</v>
      </c>
      <c r="R40" s="4"/>
    </row>
    <row r="41" spans="1:18" ht="24" customHeight="1" x14ac:dyDescent="0.2">
      <c r="A41" s="4">
        <v>36</v>
      </c>
      <c r="B41" s="4">
        <v>196</v>
      </c>
      <c r="C41" s="5" t="s">
        <v>88</v>
      </c>
      <c r="D41" s="5" t="s">
        <v>89</v>
      </c>
      <c r="E41" s="5" t="s">
        <v>118</v>
      </c>
      <c r="F41" s="4">
        <v>5</v>
      </c>
      <c r="G41" s="4">
        <v>4</v>
      </c>
      <c r="H41" s="4">
        <v>5</v>
      </c>
      <c r="I41" s="4">
        <v>5</v>
      </c>
      <c r="J41" s="4">
        <v>5</v>
      </c>
      <c r="K41" s="4">
        <v>4</v>
      </c>
      <c r="L41" s="4">
        <v>3</v>
      </c>
      <c r="M41" s="4">
        <v>6</v>
      </c>
      <c r="N41" s="4">
        <v>8</v>
      </c>
      <c r="O41" s="4">
        <v>60</v>
      </c>
      <c r="P41" s="4">
        <f t="shared" si="0"/>
        <v>45</v>
      </c>
      <c r="Q41" s="8">
        <f t="shared" si="1"/>
        <v>75</v>
      </c>
      <c r="R41" s="4"/>
    </row>
    <row r="42" spans="1:18" ht="24" customHeight="1" x14ac:dyDescent="0.2">
      <c r="A42" s="4">
        <v>37</v>
      </c>
      <c r="B42" s="4">
        <v>197</v>
      </c>
      <c r="C42" s="5" t="s">
        <v>90</v>
      </c>
      <c r="D42" s="5" t="s">
        <v>121</v>
      </c>
      <c r="E42" s="5" t="s">
        <v>118</v>
      </c>
      <c r="F42" s="4">
        <v>5</v>
      </c>
      <c r="G42" s="4">
        <v>3</v>
      </c>
      <c r="H42" s="4">
        <v>5</v>
      </c>
      <c r="I42" s="4">
        <v>2</v>
      </c>
      <c r="J42" s="4">
        <v>5</v>
      </c>
      <c r="K42" s="4">
        <v>5</v>
      </c>
      <c r="L42" s="4">
        <v>2</v>
      </c>
      <c r="M42" s="4">
        <v>8</v>
      </c>
      <c r="N42" s="4">
        <v>8</v>
      </c>
      <c r="O42" s="4">
        <v>60</v>
      </c>
      <c r="P42" s="4">
        <f t="shared" si="0"/>
        <v>43</v>
      </c>
      <c r="Q42" s="8">
        <f t="shared" si="1"/>
        <v>71.666666666666671</v>
      </c>
      <c r="R42" s="4"/>
    </row>
    <row r="43" spans="1:18" ht="24" customHeight="1" x14ac:dyDescent="0.2">
      <c r="A43" s="4">
        <v>38</v>
      </c>
      <c r="B43" s="4">
        <v>180</v>
      </c>
      <c r="C43" s="5" t="s">
        <v>91</v>
      </c>
      <c r="D43" s="5" t="s">
        <v>92</v>
      </c>
      <c r="E43" s="5" t="s">
        <v>118</v>
      </c>
      <c r="F43" s="4">
        <v>4</v>
      </c>
      <c r="G43" s="4">
        <v>3</v>
      </c>
      <c r="H43" s="4">
        <v>5</v>
      </c>
      <c r="I43" s="4">
        <v>3</v>
      </c>
      <c r="J43" s="4">
        <v>5</v>
      </c>
      <c r="K43" s="4">
        <v>0</v>
      </c>
      <c r="L43" s="4">
        <v>0</v>
      </c>
      <c r="M43" s="4">
        <v>8</v>
      </c>
      <c r="N43" s="4">
        <v>6</v>
      </c>
      <c r="O43" s="4">
        <v>60</v>
      </c>
      <c r="P43" s="4">
        <f t="shared" si="0"/>
        <v>34</v>
      </c>
      <c r="Q43" s="8">
        <f t="shared" si="1"/>
        <v>56.666666666666664</v>
      </c>
      <c r="R43" s="4"/>
    </row>
    <row r="44" spans="1:18" ht="24" customHeight="1" x14ac:dyDescent="0.2">
      <c r="A44" s="4">
        <v>39</v>
      </c>
      <c r="B44" s="4">
        <v>182</v>
      </c>
      <c r="C44" s="5" t="s">
        <v>93</v>
      </c>
      <c r="D44" s="5" t="s">
        <v>94</v>
      </c>
      <c r="E44" s="5" t="s">
        <v>118</v>
      </c>
      <c r="F44" s="4">
        <v>5</v>
      </c>
      <c r="G44" s="4">
        <v>5</v>
      </c>
      <c r="H44" s="4">
        <v>8</v>
      </c>
      <c r="I44" s="4">
        <v>5</v>
      </c>
      <c r="J44" s="4">
        <v>5</v>
      </c>
      <c r="K44" s="4">
        <v>5</v>
      </c>
      <c r="L44" s="4">
        <v>5</v>
      </c>
      <c r="M44" s="4">
        <v>7</v>
      </c>
      <c r="N44" s="4">
        <v>8</v>
      </c>
      <c r="O44" s="4">
        <v>60</v>
      </c>
      <c r="P44" s="4">
        <f t="shared" si="0"/>
        <v>53</v>
      </c>
      <c r="Q44" s="8">
        <f t="shared" si="1"/>
        <v>88.333333333333329</v>
      </c>
      <c r="R44" s="4"/>
    </row>
    <row r="45" spans="1:18" ht="24" customHeight="1" x14ac:dyDescent="0.2">
      <c r="A45" s="4">
        <v>40</v>
      </c>
      <c r="B45" s="4">
        <v>186</v>
      </c>
      <c r="C45" s="5" t="s">
        <v>95</v>
      </c>
      <c r="D45" s="5" t="s">
        <v>96</v>
      </c>
      <c r="E45" s="5" t="s">
        <v>118</v>
      </c>
      <c r="F45" s="4">
        <v>5</v>
      </c>
      <c r="G45" s="4">
        <v>4</v>
      </c>
      <c r="H45" s="4">
        <v>6</v>
      </c>
      <c r="I45" s="4">
        <v>5</v>
      </c>
      <c r="J45" s="4">
        <v>5</v>
      </c>
      <c r="K45" s="4">
        <v>1</v>
      </c>
      <c r="L45" s="4">
        <v>3</v>
      </c>
      <c r="M45" s="4">
        <v>8</v>
      </c>
      <c r="N45" s="4">
        <v>7</v>
      </c>
      <c r="O45" s="4">
        <v>60</v>
      </c>
      <c r="P45" s="4">
        <f t="shared" si="0"/>
        <v>44</v>
      </c>
      <c r="Q45" s="8">
        <f t="shared" si="1"/>
        <v>73.333333333333329</v>
      </c>
      <c r="R45" s="4"/>
    </row>
    <row r="46" spans="1:18" ht="24" customHeight="1" x14ac:dyDescent="0.2">
      <c r="A46" s="4">
        <v>41</v>
      </c>
      <c r="B46" s="4">
        <v>188</v>
      </c>
      <c r="C46" s="5" t="s">
        <v>97</v>
      </c>
      <c r="D46" s="5" t="s">
        <v>98</v>
      </c>
      <c r="E46" s="5" t="s">
        <v>118</v>
      </c>
      <c r="F46" s="4">
        <v>5</v>
      </c>
      <c r="G46" s="4">
        <v>4</v>
      </c>
      <c r="H46" s="4">
        <v>7</v>
      </c>
      <c r="I46" s="4">
        <v>5</v>
      </c>
      <c r="J46" s="4">
        <v>5</v>
      </c>
      <c r="K46" s="4">
        <v>1</v>
      </c>
      <c r="L46" s="4">
        <v>5</v>
      </c>
      <c r="M46" s="4">
        <v>7</v>
      </c>
      <c r="N46" s="4">
        <v>8</v>
      </c>
      <c r="O46" s="4">
        <v>60</v>
      </c>
      <c r="P46" s="4">
        <f t="shared" si="0"/>
        <v>47</v>
      </c>
      <c r="Q46" s="8">
        <f t="shared" si="1"/>
        <v>78.333333333333329</v>
      </c>
      <c r="R46" s="4"/>
    </row>
    <row r="47" spans="1:18" ht="24" customHeight="1" x14ac:dyDescent="0.2">
      <c r="A47" s="4">
        <v>42</v>
      </c>
      <c r="B47" s="4">
        <v>191</v>
      </c>
      <c r="C47" s="5" t="s">
        <v>99</v>
      </c>
      <c r="D47" s="5" t="s">
        <v>100</v>
      </c>
      <c r="E47" s="5" t="s">
        <v>118</v>
      </c>
      <c r="F47" s="4">
        <v>5</v>
      </c>
      <c r="G47" s="4">
        <v>4</v>
      </c>
      <c r="H47" s="4">
        <v>7</v>
      </c>
      <c r="I47" s="4">
        <v>5</v>
      </c>
      <c r="J47" s="4">
        <v>5</v>
      </c>
      <c r="K47" s="4">
        <v>5</v>
      </c>
      <c r="L47" s="4">
        <v>5</v>
      </c>
      <c r="M47" s="4">
        <v>8</v>
      </c>
      <c r="N47" s="4">
        <v>8</v>
      </c>
      <c r="O47" s="4">
        <v>60</v>
      </c>
      <c r="P47" s="4">
        <f t="shared" si="0"/>
        <v>52</v>
      </c>
      <c r="Q47" s="8">
        <f t="shared" si="1"/>
        <v>86.666666666666671</v>
      </c>
      <c r="R47" s="4"/>
    </row>
    <row r="48" spans="1:18" ht="24" customHeight="1" x14ac:dyDescent="0.2">
      <c r="A48" s="4">
        <v>43</v>
      </c>
      <c r="B48" s="4"/>
      <c r="C48" s="5" t="s">
        <v>101</v>
      </c>
      <c r="D48" s="5" t="s">
        <v>102</v>
      </c>
      <c r="E48" s="5" t="s">
        <v>118</v>
      </c>
      <c r="F48" s="4">
        <v>5</v>
      </c>
      <c r="G48" s="4">
        <v>5</v>
      </c>
      <c r="H48" s="4">
        <v>8</v>
      </c>
      <c r="I48" s="4">
        <v>5</v>
      </c>
      <c r="J48" s="4">
        <v>5</v>
      </c>
      <c r="K48" s="4">
        <v>5</v>
      </c>
      <c r="L48" s="4">
        <v>5</v>
      </c>
      <c r="M48" s="4">
        <v>8</v>
      </c>
      <c r="N48" s="4">
        <v>8</v>
      </c>
      <c r="O48" s="4">
        <v>60</v>
      </c>
      <c r="P48" s="4">
        <f t="shared" si="0"/>
        <v>54</v>
      </c>
      <c r="Q48" s="8">
        <f t="shared" si="1"/>
        <v>90</v>
      </c>
      <c r="R48" s="4"/>
    </row>
    <row r="49" spans="1:18" ht="24" customHeight="1" x14ac:dyDescent="0.2">
      <c r="A49" s="4">
        <v>44</v>
      </c>
      <c r="B49" s="4">
        <v>195</v>
      </c>
      <c r="C49" s="5" t="s">
        <v>103</v>
      </c>
      <c r="D49" s="5" t="s">
        <v>104</v>
      </c>
      <c r="E49" s="5" t="s">
        <v>118</v>
      </c>
      <c r="F49" s="4">
        <v>2</v>
      </c>
      <c r="G49" s="4">
        <v>2</v>
      </c>
      <c r="H49" s="4">
        <v>4</v>
      </c>
      <c r="I49" s="4">
        <v>2</v>
      </c>
      <c r="J49" s="4">
        <v>5</v>
      </c>
      <c r="K49" s="4">
        <v>2</v>
      </c>
      <c r="L49" s="4">
        <v>0</v>
      </c>
      <c r="M49" s="4">
        <v>8</v>
      </c>
      <c r="N49" s="4">
        <v>7</v>
      </c>
      <c r="O49" s="4">
        <v>60</v>
      </c>
      <c r="P49" s="4">
        <f t="shared" si="0"/>
        <v>32</v>
      </c>
      <c r="Q49" s="8">
        <f t="shared" si="1"/>
        <v>53.333333333333336</v>
      </c>
      <c r="R49" s="4"/>
    </row>
    <row r="50" spans="1:18" ht="24" customHeight="1" x14ac:dyDescent="0.2">
      <c r="A50" s="4">
        <v>45</v>
      </c>
      <c r="B50" s="4"/>
      <c r="C50" s="5" t="s">
        <v>105</v>
      </c>
      <c r="D50" s="5" t="s">
        <v>106</v>
      </c>
      <c r="E50" s="5" t="s">
        <v>118</v>
      </c>
      <c r="F50" s="4">
        <v>5</v>
      </c>
      <c r="G50" s="4">
        <v>3</v>
      </c>
      <c r="H50" s="4">
        <v>5</v>
      </c>
      <c r="I50" s="4">
        <v>3</v>
      </c>
      <c r="J50" s="4">
        <v>5</v>
      </c>
      <c r="K50" s="4">
        <v>0</v>
      </c>
      <c r="L50" s="4">
        <v>0</v>
      </c>
      <c r="M50" s="4">
        <v>4</v>
      </c>
      <c r="N50" s="4">
        <v>5</v>
      </c>
      <c r="O50" s="4">
        <v>60</v>
      </c>
      <c r="P50" s="4">
        <f t="shared" si="0"/>
        <v>30</v>
      </c>
      <c r="Q50" s="8">
        <f t="shared" si="1"/>
        <v>50</v>
      </c>
      <c r="R50" s="4"/>
    </row>
    <row r="51" spans="1:18" ht="24" customHeight="1" x14ac:dyDescent="0.2">
      <c r="A51" s="4">
        <v>46</v>
      </c>
      <c r="B51" s="4"/>
      <c r="C51" s="5" t="s">
        <v>107</v>
      </c>
      <c r="D51" s="5" t="s">
        <v>108</v>
      </c>
      <c r="E51" s="5" t="s">
        <v>118</v>
      </c>
      <c r="F51" s="4">
        <v>2</v>
      </c>
      <c r="G51" s="4">
        <v>3</v>
      </c>
      <c r="H51" s="4">
        <v>4</v>
      </c>
      <c r="I51" s="4">
        <v>2</v>
      </c>
      <c r="J51" s="4">
        <v>5</v>
      </c>
      <c r="K51" s="4">
        <v>1</v>
      </c>
      <c r="L51" s="4">
        <v>2</v>
      </c>
      <c r="M51" s="4">
        <v>3</v>
      </c>
      <c r="N51" s="4">
        <v>6</v>
      </c>
      <c r="O51" s="4">
        <v>60</v>
      </c>
      <c r="P51" s="4">
        <f t="shared" si="0"/>
        <v>28</v>
      </c>
      <c r="Q51" s="8">
        <f t="shared" si="1"/>
        <v>46.666666666666664</v>
      </c>
      <c r="R51" s="4"/>
    </row>
    <row r="52" spans="1:18" ht="24" customHeight="1" x14ac:dyDescent="0.2">
      <c r="A52" s="4">
        <v>47</v>
      </c>
      <c r="B52" s="4"/>
      <c r="C52" s="7" t="s">
        <v>109</v>
      </c>
      <c r="D52" s="7" t="s">
        <v>27</v>
      </c>
      <c r="E52" s="5" t="s">
        <v>118</v>
      </c>
      <c r="F52" s="4">
        <v>3</v>
      </c>
      <c r="G52" s="4">
        <v>3</v>
      </c>
      <c r="H52" s="4">
        <v>5</v>
      </c>
      <c r="I52" s="4">
        <v>3</v>
      </c>
      <c r="J52" s="4">
        <v>5</v>
      </c>
      <c r="K52" s="4">
        <v>2</v>
      </c>
      <c r="L52" s="4">
        <v>3</v>
      </c>
      <c r="M52" s="4">
        <v>4</v>
      </c>
      <c r="N52" s="4">
        <v>7</v>
      </c>
      <c r="O52" s="4">
        <v>60</v>
      </c>
      <c r="P52" s="4">
        <f t="shared" si="0"/>
        <v>35</v>
      </c>
      <c r="Q52" s="8">
        <f t="shared" si="1"/>
        <v>58.333333333333336</v>
      </c>
      <c r="R52" s="4"/>
    </row>
    <row r="53" spans="1:18" ht="24" customHeight="1" x14ac:dyDescent="0.2">
      <c r="A53" s="4">
        <v>48</v>
      </c>
      <c r="B53" s="4"/>
      <c r="C53" s="7" t="s">
        <v>110</v>
      </c>
      <c r="D53" s="7" t="s">
        <v>111</v>
      </c>
      <c r="E53" s="5" t="s">
        <v>118</v>
      </c>
      <c r="F53" s="4">
        <v>3</v>
      </c>
      <c r="G53" s="4">
        <v>4</v>
      </c>
      <c r="H53" s="4">
        <v>5</v>
      </c>
      <c r="I53" s="4">
        <v>3</v>
      </c>
      <c r="J53" s="4">
        <v>5</v>
      </c>
      <c r="K53" s="4">
        <v>5</v>
      </c>
      <c r="L53" s="4">
        <v>2</v>
      </c>
      <c r="M53" s="4">
        <v>4</v>
      </c>
      <c r="N53" s="4">
        <v>3</v>
      </c>
      <c r="O53" s="4">
        <v>60</v>
      </c>
      <c r="P53" s="4">
        <f t="shared" si="0"/>
        <v>34</v>
      </c>
      <c r="Q53" s="8">
        <f t="shared" si="1"/>
        <v>56.666666666666664</v>
      </c>
      <c r="R53" s="4"/>
    </row>
    <row r="54" spans="1:18" ht="24" customHeight="1" x14ac:dyDescent="0.2">
      <c r="A54" s="4">
        <v>49</v>
      </c>
      <c r="B54" s="4"/>
      <c r="C54" s="7" t="s">
        <v>112</v>
      </c>
      <c r="D54" s="7" t="s">
        <v>113</v>
      </c>
      <c r="E54" s="5" t="s">
        <v>118</v>
      </c>
      <c r="F54" s="4">
        <v>4</v>
      </c>
      <c r="G54" s="4">
        <v>3</v>
      </c>
      <c r="H54" s="4">
        <v>5</v>
      </c>
      <c r="I54" s="4">
        <v>3</v>
      </c>
      <c r="J54" s="4">
        <v>1</v>
      </c>
      <c r="K54" s="4">
        <v>2</v>
      </c>
      <c r="L54" s="4">
        <v>0</v>
      </c>
      <c r="M54" s="4">
        <v>3</v>
      </c>
      <c r="N54" s="4">
        <v>7</v>
      </c>
      <c r="O54" s="4">
        <v>60</v>
      </c>
      <c r="P54" s="4">
        <f t="shared" si="0"/>
        <v>28</v>
      </c>
      <c r="Q54" s="8">
        <f t="shared" si="1"/>
        <v>46.666666666666664</v>
      </c>
      <c r="R54" s="4"/>
    </row>
    <row r="55" spans="1:18" ht="24" customHeight="1" x14ac:dyDescent="0.2">
      <c r="A55" s="4">
        <v>50</v>
      </c>
      <c r="B55" s="4"/>
      <c r="C55" s="7" t="s">
        <v>114</v>
      </c>
      <c r="D55" s="7" t="s">
        <v>115</v>
      </c>
      <c r="E55" s="5" t="s">
        <v>118</v>
      </c>
      <c r="F55" s="4">
        <v>5</v>
      </c>
      <c r="G55" s="4">
        <v>5</v>
      </c>
      <c r="H55" s="4">
        <v>6</v>
      </c>
      <c r="I55" s="4">
        <v>4</v>
      </c>
      <c r="J55" s="4">
        <v>2</v>
      </c>
      <c r="K55" s="4">
        <v>1</v>
      </c>
      <c r="L55" s="4">
        <v>2</v>
      </c>
      <c r="M55" s="4">
        <v>3</v>
      </c>
      <c r="N55" s="4">
        <v>7</v>
      </c>
      <c r="O55" s="4">
        <v>60</v>
      </c>
      <c r="P55" s="4">
        <f t="shared" si="0"/>
        <v>35</v>
      </c>
      <c r="Q55" s="8">
        <f t="shared" si="1"/>
        <v>58.333333333333336</v>
      </c>
      <c r="R55" s="4"/>
    </row>
    <row r="56" spans="1:18" ht="24" customHeight="1" x14ac:dyDescent="0.2">
      <c r="A56" s="4">
        <v>51</v>
      </c>
      <c r="B56" s="4"/>
      <c r="C56" s="7" t="s">
        <v>116</v>
      </c>
      <c r="D56" s="7"/>
      <c r="E56" s="5" t="s">
        <v>118</v>
      </c>
      <c r="F56" s="4">
        <v>4</v>
      </c>
      <c r="G56" s="4">
        <v>4</v>
      </c>
      <c r="H56" s="4">
        <v>6</v>
      </c>
      <c r="I56" s="4">
        <v>4</v>
      </c>
      <c r="J56" s="4">
        <v>4</v>
      </c>
      <c r="K56" s="4">
        <v>5</v>
      </c>
      <c r="L56" s="4">
        <v>4</v>
      </c>
      <c r="M56" s="4">
        <v>6</v>
      </c>
      <c r="N56" s="4">
        <v>7</v>
      </c>
      <c r="O56" s="4">
        <v>60</v>
      </c>
      <c r="P56" s="4">
        <f t="shared" si="0"/>
        <v>44</v>
      </c>
      <c r="Q56" s="8">
        <f t="shared" si="1"/>
        <v>73.333333333333329</v>
      </c>
      <c r="R56" s="4"/>
    </row>
    <row r="57" spans="1:18" ht="24" customHeight="1" x14ac:dyDescent="0.2">
      <c r="A57" s="4">
        <v>52</v>
      </c>
      <c r="B57" s="4"/>
      <c r="C57" s="7" t="s">
        <v>117</v>
      </c>
      <c r="D57" s="7"/>
      <c r="E57" s="5" t="s">
        <v>118</v>
      </c>
      <c r="F57" s="4">
        <v>5</v>
      </c>
      <c r="G57" s="4">
        <v>4</v>
      </c>
      <c r="H57" s="4">
        <v>7</v>
      </c>
      <c r="I57" s="4">
        <v>4</v>
      </c>
      <c r="J57" s="4">
        <v>5</v>
      </c>
      <c r="K57" s="4">
        <v>4</v>
      </c>
      <c r="L57" s="4">
        <v>5</v>
      </c>
      <c r="M57" s="4">
        <v>7</v>
      </c>
      <c r="N57" s="4">
        <v>7</v>
      </c>
      <c r="O57" s="4">
        <v>60</v>
      </c>
      <c r="P57" s="4">
        <f t="shared" si="0"/>
        <v>48</v>
      </c>
      <c r="Q57" s="8">
        <f t="shared" si="1"/>
        <v>80</v>
      </c>
      <c r="R57" s="4"/>
    </row>
  </sheetData>
  <mergeCells count="12">
    <mergeCell ref="A1:R1"/>
    <mergeCell ref="A2:R2"/>
    <mergeCell ref="A3:A5"/>
    <mergeCell ref="B3:B5"/>
    <mergeCell ref="C3:C5"/>
    <mergeCell ref="D3:D5"/>
    <mergeCell ref="E3:E5"/>
    <mergeCell ref="F3:N3"/>
    <mergeCell ref="O3:O4"/>
    <mergeCell ref="P3:P5"/>
    <mergeCell ref="Q3:Q5"/>
    <mergeCell ref="R3:R5"/>
  </mergeCells>
  <printOptions horizontalCentered="1"/>
  <pageMargins left="0.25" right="0.25" top="0.5" bottom="0.5" header="0.05" footer="0.05"/>
  <pageSetup paperSize="9" fitToHeight="0" orientation="landscape" r:id="rId1"/>
  <ignoredErrors>
    <ignoredError sqref="P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103C-D8E3-4BCD-AD2B-4FD474784A49}">
  <dimension ref="A1:O39"/>
  <sheetViews>
    <sheetView workbookViewId="0">
      <selection activeCell="A40" sqref="A40:XFD57"/>
    </sheetView>
  </sheetViews>
  <sheetFormatPr defaultRowHeight="15" x14ac:dyDescent="0.25"/>
  <sheetData>
    <row r="1" spans="1:15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25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x14ac:dyDescent="0.25">
      <c r="A3" s="10" t="s">
        <v>2</v>
      </c>
      <c r="B3" s="10" t="s">
        <v>3</v>
      </c>
      <c r="C3" s="10" t="s">
        <v>5</v>
      </c>
      <c r="D3" s="11" t="s">
        <v>4</v>
      </c>
      <c r="E3" s="14" t="s">
        <v>7</v>
      </c>
      <c r="F3" s="14"/>
      <c r="G3" s="14"/>
      <c r="H3" s="14"/>
      <c r="I3" s="14"/>
      <c r="J3" s="14"/>
      <c r="K3" s="14"/>
      <c r="L3" s="10" t="s">
        <v>15</v>
      </c>
      <c r="M3" s="10" t="s">
        <v>16</v>
      </c>
      <c r="N3" s="10" t="s">
        <v>17</v>
      </c>
      <c r="O3" s="10" t="s">
        <v>18</v>
      </c>
    </row>
    <row r="4" spans="1:15" ht="42.75" x14ac:dyDescent="0.25">
      <c r="A4" s="10"/>
      <c r="B4" s="10"/>
      <c r="C4" s="10"/>
      <c r="D4" s="12"/>
      <c r="E4" s="2" t="s">
        <v>10</v>
      </c>
      <c r="F4" s="2" t="s">
        <v>120</v>
      </c>
      <c r="G4" s="2" t="s">
        <v>11</v>
      </c>
      <c r="H4" s="2" t="s">
        <v>122</v>
      </c>
      <c r="I4" s="2" t="s">
        <v>123</v>
      </c>
      <c r="J4" s="2" t="s">
        <v>124</v>
      </c>
      <c r="K4" s="2" t="s">
        <v>125</v>
      </c>
      <c r="L4" s="10"/>
      <c r="M4" s="10"/>
      <c r="N4" s="10"/>
      <c r="O4" s="10"/>
    </row>
    <row r="5" spans="1:15" x14ac:dyDescent="0.25">
      <c r="A5" s="10"/>
      <c r="B5" s="10"/>
      <c r="C5" s="10"/>
      <c r="D5" s="13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v>25</v>
      </c>
      <c r="L5" s="3">
        <f>SUM(E5:K5)</f>
        <v>175</v>
      </c>
      <c r="M5" s="10"/>
      <c r="N5" s="10"/>
      <c r="O5" s="10"/>
    </row>
    <row r="6" spans="1:15" x14ac:dyDescent="0.25">
      <c r="A6" s="4">
        <v>1</v>
      </c>
      <c r="B6" s="4"/>
      <c r="C6" s="5" t="s">
        <v>126</v>
      </c>
      <c r="D6" s="5" t="s">
        <v>127</v>
      </c>
      <c r="E6" s="4">
        <v>20</v>
      </c>
      <c r="F6" s="4">
        <v>20</v>
      </c>
      <c r="G6" s="4">
        <v>0</v>
      </c>
      <c r="H6" s="4">
        <v>12</v>
      </c>
      <c r="I6" s="4">
        <v>8</v>
      </c>
      <c r="J6" s="4">
        <v>10</v>
      </c>
      <c r="K6" s="4">
        <v>15</v>
      </c>
      <c r="L6" s="4">
        <v>175</v>
      </c>
      <c r="M6" s="4">
        <f>SUM(E6:K6)</f>
        <v>85</v>
      </c>
      <c r="N6" s="8">
        <f>M6/L6*100</f>
        <v>48.571428571428569</v>
      </c>
      <c r="O6" s="4"/>
    </row>
    <row r="7" spans="1:15" ht="25.5" x14ac:dyDescent="0.25">
      <c r="A7" s="4">
        <v>2</v>
      </c>
      <c r="B7" s="4"/>
      <c r="C7" s="5" t="s">
        <v>128</v>
      </c>
      <c r="D7" s="5" t="s">
        <v>127</v>
      </c>
      <c r="E7" s="4">
        <v>17</v>
      </c>
      <c r="F7" s="4">
        <v>20</v>
      </c>
      <c r="G7" s="4">
        <v>1</v>
      </c>
      <c r="H7" s="4">
        <v>18</v>
      </c>
      <c r="I7" s="4">
        <v>8</v>
      </c>
      <c r="J7" s="4">
        <v>10</v>
      </c>
      <c r="K7" s="4">
        <v>18</v>
      </c>
      <c r="L7" s="4">
        <v>175</v>
      </c>
      <c r="M7" s="4">
        <f>SUM(E7:K7)</f>
        <v>92</v>
      </c>
      <c r="N7" s="8">
        <f t="shared" ref="N7:N39" si="0">M7/L7*100</f>
        <v>52.571428571428569</v>
      </c>
      <c r="O7" s="4"/>
    </row>
    <row r="8" spans="1:15" x14ac:dyDescent="0.25">
      <c r="A8" s="4">
        <v>3</v>
      </c>
      <c r="B8" s="4"/>
      <c r="C8" s="5" t="s">
        <v>129</v>
      </c>
      <c r="D8" s="5" t="s">
        <v>127</v>
      </c>
      <c r="E8" s="4">
        <v>5</v>
      </c>
      <c r="F8" s="4">
        <v>15</v>
      </c>
      <c r="G8" s="4">
        <v>10</v>
      </c>
      <c r="H8" s="4">
        <v>8</v>
      </c>
      <c r="I8" s="4">
        <v>6</v>
      </c>
      <c r="J8" s="4">
        <v>5</v>
      </c>
      <c r="K8" s="4">
        <v>15</v>
      </c>
      <c r="L8" s="4">
        <v>175</v>
      </c>
      <c r="M8" s="4">
        <f>SUM(E8:K8)</f>
        <v>64</v>
      </c>
      <c r="N8" s="8">
        <f t="shared" si="0"/>
        <v>36.571428571428569</v>
      </c>
      <c r="O8" s="4"/>
    </row>
    <row r="9" spans="1:15" x14ac:dyDescent="0.25">
      <c r="A9" s="4">
        <v>4</v>
      </c>
      <c r="B9" s="4"/>
      <c r="C9" s="5" t="s">
        <v>130</v>
      </c>
      <c r="D9" s="5" t="s">
        <v>127</v>
      </c>
      <c r="E9" s="4">
        <v>24</v>
      </c>
      <c r="F9" s="4">
        <v>25</v>
      </c>
      <c r="G9" s="4">
        <v>0</v>
      </c>
      <c r="H9" s="4">
        <v>24</v>
      </c>
      <c r="I9" s="4">
        <v>24</v>
      </c>
      <c r="J9" s="4">
        <v>24</v>
      </c>
      <c r="K9" s="4">
        <v>25</v>
      </c>
      <c r="L9" s="4">
        <v>175</v>
      </c>
      <c r="M9" s="4">
        <f>SUM(E9:K9)</f>
        <v>146</v>
      </c>
      <c r="N9" s="8">
        <f t="shared" si="0"/>
        <v>83.428571428571431</v>
      </c>
      <c r="O9" s="4"/>
    </row>
    <row r="10" spans="1:15" x14ac:dyDescent="0.25">
      <c r="A10" s="4">
        <v>5</v>
      </c>
      <c r="B10" s="4"/>
      <c r="C10" s="5" t="s">
        <v>131</v>
      </c>
      <c r="D10" s="5" t="s">
        <v>127</v>
      </c>
      <c r="E10" s="4">
        <v>22</v>
      </c>
      <c r="F10" s="4">
        <v>22</v>
      </c>
      <c r="G10" s="4">
        <v>0</v>
      </c>
      <c r="H10" s="4">
        <v>20</v>
      </c>
      <c r="I10" s="4">
        <v>17</v>
      </c>
      <c r="J10" s="4">
        <v>15</v>
      </c>
      <c r="K10" s="4">
        <v>20</v>
      </c>
      <c r="L10" s="4">
        <v>175</v>
      </c>
      <c r="M10" s="4">
        <f>SUM(E10:K10)</f>
        <v>116</v>
      </c>
      <c r="N10" s="8">
        <f t="shared" si="0"/>
        <v>66.285714285714278</v>
      </c>
      <c r="O10" s="4"/>
    </row>
    <row r="11" spans="1:15" x14ac:dyDescent="0.25">
      <c r="A11" s="4">
        <v>6</v>
      </c>
      <c r="B11" s="4"/>
      <c r="C11" s="5" t="s">
        <v>132</v>
      </c>
      <c r="D11" s="5" t="s">
        <v>127</v>
      </c>
      <c r="E11" s="4">
        <v>0</v>
      </c>
      <c r="F11" s="4">
        <v>15</v>
      </c>
      <c r="G11" s="4">
        <v>0</v>
      </c>
      <c r="H11" s="4">
        <v>8</v>
      </c>
      <c r="I11" s="4">
        <v>8</v>
      </c>
      <c r="J11" s="4">
        <v>10</v>
      </c>
      <c r="K11" s="4">
        <v>12</v>
      </c>
      <c r="L11" s="4">
        <v>175</v>
      </c>
      <c r="M11" s="4">
        <f>SUM(E11:K11)</f>
        <v>53</v>
      </c>
      <c r="N11" s="8">
        <f t="shared" si="0"/>
        <v>30.285714285714288</v>
      </c>
      <c r="O11" s="4"/>
    </row>
    <row r="12" spans="1:15" x14ac:dyDescent="0.25">
      <c r="A12" s="4">
        <v>7</v>
      </c>
      <c r="B12" s="4"/>
      <c r="C12" s="5" t="s">
        <v>133</v>
      </c>
      <c r="D12" s="5" t="s">
        <v>127</v>
      </c>
      <c r="E12" s="4">
        <v>0</v>
      </c>
      <c r="F12" s="4">
        <v>10</v>
      </c>
      <c r="G12" s="4">
        <v>10</v>
      </c>
      <c r="H12" s="4">
        <v>8</v>
      </c>
      <c r="I12" s="4">
        <v>7</v>
      </c>
      <c r="J12" s="4">
        <v>8</v>
      </c>
      <c r="K12" s="4">
        <v>8</v>
      </c>
      <c r="L12" s="4">
        <v>175</v>
      </c>
      <c r="M12" s="4">
        <f>SUM(E12:K12)</f>
        <v>51</v>
      </c>
      <c r="N12" s="8">
        <f t="shared" si="0"/>
        <v>29.142857142857142</v>
      </c>
      <c r="O12" s="4"/>
    </row>
    <row r="13" spans="1:15" x14ac:dyDescent="0.25">
      <c r="A13" s="4">
        <v>8</v>
      </c>
      <c r="B13" s="4"/>
      <c r="C13" s="5" t="s">
        <v>134</v>
      </c>
      <c r="D13" s="5" t="s">
        <v>127</v>
      </c>
      <c r="E13" s="4">
        <v>10</v>
      </c>
      <c r="F13" s="4">
        <v>15</v>
      </c>
      <c r="G13" s="4">
        <v>0</v>
      </c>
      <c r="H13" s="4">
        <v>8</v>
      </c>
      <c r="I13" s="4">
        <v>6</v>
      </c>
      <c r="J13" s="4">
        <v>5</v>
      </c>
      <c r="K13" s="4">
        <v>12</v>
      </c>
      <c r="L13" s="4">
        <v>175</v>
      </c>
      <c r="M13" s="4">
        <f>SUM(E13:K13)</f>
        <v>56</v>
      </c>
      <c r="N13" s="8">
        <f t="shared" si="0"/>
        <v>32</v>
      </c>
      <c r="O13" s="4"/>
    </row>
    <row r="14" spans="1:15" x14ac:dyDescent="0.25">
      <c r="A14" s="4">
        <v>9</v>
      </c>
      <c r="B14" s="4"/>
      <c r="C14" s="5" t="s">
        <v>135</v>
      </c>
      <c r="D14" s="5" t="s">
        <v>127</v>
      </c>
      <c r="E14" s="4">
        <v>23</v>
      </c>
      <c r="F14" s="4">
        <v>25</v>
      </c>
      <c r="G14" s="4">
        <v>5</v>
      </c>
      <c r="H14" s="4">
        <v>24</v>
      </c>
      <c r="I14" s="4">
        <v>20</v>
      </c>
      <c r="J14" s="4">
        <v>23</v>
      </c>
      <c r="K14" s="4">
        <v>23</v>
      </c>
      <c r="L14" s="4">
        <v>175</v>
      </c>
      <c r="M14" s="4">
        <f>SUM(E14:K14)</f>
        <v>143</v>
      </c>
      <c r="N14" s="8">
        <f t="shared" si="0"/>
        <v>81.714285714285722</v>
      </c>
      <c r="O14" s="4"/>
    </row>
    <row r="15" spans="1:15" ht="25.5" x14ac:dyDescent="0.25">
      <c r="A15" s="4">
        <v>10</v>
      </c>
      <c r="B15" s="6"/>
      <c r="C15" s="5" t="s">
        <v>136</v>
      </c>
      <c r="D15" s="5" t="s">
        <v>127</v>
      </c>
      <c r="E15" s="4">
        <v>12</v>
      </c>
      <c r="F15" s="4">
        <v>25</v>
      </c>
      <c r="G15" s="4">
        <v>0</v>
      </c>
      <c r="H15" s="4">
        <v>24</v>
      </c>
      <c r="I15" s="4">
        <v>6</v>
      </c>
      <c r="J15" s="4">
        <v>8</v>
      </c>
      <c r="K15" s="4">
        <v>12</v>
      </c>
      <c r="L15" s="4">
        <v>175</v>
      </c>
      <c r="M15" s="4">
        <f>SUM(E15:K15)</f>
        <v>87</v>
      </c>
      <c r="N15" s="8">
        <f t="shared" si="0"/>
        <v>49.714285714285715</v>
      </c>
      <c r="O15" s="4"/>
    </row>
    <row r="16" spans="1:15" x14ac:dyDescent="0.25">
      <c r="A16" s="4">
        <v>11</v>
      </c>
      <c r="B16" s="6"/>
      <c r="C16" s="5" t="s">
        <v>137</v>
      </c>
      <c r="D16" s="5" t="s">
        <v>127</v>
      </c>
      <c r="E16" s="4">
        <v>17</v>
      </c>
      <c r="F16" s="4">
        <v>15</v>
      </c>
      <c r="G16" s="4">
        <v>0</v>
      </c>
      <c r="H16" s="4">
        <v>8</v>
      </c>
      <c r="I16" s="4">
        <v>6</v>
      </c>
      <c r="J16" s="4">
        <v>5</v>
      </c>
      <c r="K16" s="4">
        <v>17</v>
      </c>
      <c r="L16" s="4">
        <v>175</v>
      </c>
      <c r="M16" s="4">
        <f>SUM(E16:K16)</f>
        <v>68</v>
      </c>
      <c r="N16" s="8">
        <f t="shared" si="0"/>
        <v>38.857142857142854</v>
      </c>
      <c r="O16" s="4"/>
    </row>
    <row r="17" spans="1:15" ht="25.5" x14ac:dyDescent="0.25">
      <c r="A17" s="4">
        <v>12</v>
      </c>
      <c r="B17" s="6"/>
      <c r="C17" s="5" t="s">
        <v>138</v>
      </c>
      <c r="D17" s="5" t="s">
        <v>127</v>
      </c>
      <c r="E17" s="4">
        <v>12</v>
      </c>
      <c r="F17" s="4">
        <v>10</v>
      </c>
      <c r="G17" s="4">
        <v>0</v>
      </c>
      <c r="H17" s="4">
        <v>8</v>
      </c>
      <c r="I17" s="4">
        <v>7</v>
      </c>
      <c r="J17" s="4">
        <v>8</v>
      </c>
      <c r="K17" s="4">
        <v>15</v>
      </c>
      <c r="L17" s="4">
        <v>175</v>
      </c>
      <c r="M17" s="4">
        <f>SUM(E17:K17)</f>
        <v>60</v>
      </c>
      <c r="N17" s="8">
        <f t="shared" si="0"/>
        <v>34.285714285714285</v>
      </c>
      <c r="O17" s="4"/>
    </row>
    <row r="18" spans="1:15" x14ac:dyDescent="0.25">
      <c r="A18" s="4">
        <v>13</v>
      </c>
      <c r="B18" s="6"/>
      <c r="C18" s="5" t="s">
        <v>139</v>
      </c>
      <c r="D18" s="5" t="s">
        <v>127</v>
      </c>
      <c r="E18" s="4">
        <v>10</v>
      </c>
      <c r="F18" s="4">
        <v>10</v>
      </c>
      <c r="G18" s="4">
        <v>10</v>
      </c>
      <c r="H18" s="4">
        <v>10</v>
      </c>
      <c r="I18" s="4">
        <v>7</v>
      </c>
      <c r="J18" s="4">
        <v>6</v>
      </c>
      <c r="K18" s="4">
        <v>15</v>
      </c>
      <c r="L18" s="4">
        <v>175</v>
      </c>
      <c r="M18" s="4">
        <f>SUM(E18:K18)</f>
        <v>68</v>
      </c>
      <c r="N18" s="8">
        <f t="shared" si="0"/>
        <v>38.857142857142854</v>
      </c>
      <c r="O18" s="4"/>
    </row>
    <row r="19" spans="1:15" x14ac:dyDescent="0.25">
      <c r="A19" s="4">
        <v>14</v>
      </c>
      <c r="B19" s="6"/>
      <c r="C19" s="5" t="s">
        <v>140</v>
      </c>
      <c r="D19" s="5" t="s">
        <v>127</v>
      </c>
      <c r="E19" s="4">
        <v>15</v>
      </c>
      <c r="F19" s="4">
        <v>10</v>
      </c>
      <c r="G19" s="4">
        <v>10</v>
      </c>
      <c r="H19" s="4">
        <v>15</v>
      </c>
      <c r="I19" s="4">
        <v>6</v>
      </c>
      <c r="J19" s="4">
        <v>8</v>
      </c>
      <c r="K19" s="4">
        <v>17</v>
      </c>
      <c r="L19" s="4">
        <v>175</v>
      </c>
      <c r="M19" s="4">
        <f>SUM(E19:K19)</f>
        <v>81</v>
      </c>
      <c r="N19" s="8">
        <f t="shared" si="0"/>
        <v>46.285714285714285</v>
      </c>
      <c r="O19" s="4"/>
    </row>
    <row r="20" spans="1:15" x14ac:dyDescent="0.25">
      <c r="A20" s="4">
        <v>15</v>
      </c>
      <c r="B20" s="6"/>
      <c r="C20" s="5" t="s">
        <v>141</v>
      </c>
      <c r="D20" s="5" t="s">
        <v>127</v>
      </c>
      <c r="E20" s="4">
        <v>20</v>
      </c>
      <c r="F20" s="4">
        <v>18</v>
      </c>
      <c r="G20" s="4">
        <v>20</v>
      </c>
      <c r="H20" s="4">
        <v>20</v>
      </c>
      <c r="I20" s="4">
        <v>8</v>
      </c>
      <c r="J20" s="4">
        <v>7</v>
      </c>
      <c r="K20" s="4">
        <v>18</v>
      </c>
      <c r="L20" s="4">
        <v>175</v>
      </c>
      <c r="M20" s="4">
        <f>SUM(E20:K20)</f>
        <v>111</v>
      </c>
      <c r="N20" s="8">
        <f t="shared" si="0"/>
        <v>63.428571428571423</v>
      </c>
      <c r="O20" s="4"/>
    </row>
    <row r="21" spans="1:15" x14ac:dyDescent="0.25">
      <c r="A21" s="4">
        <v>16</v>
      </c>
      <c r="B21" s="6"/>
      <c r="C21" s="5" t="s">
        <v>50</v>
      </c>
      <c r="D21" s="5" t="s">
        <v>127</v>
      </c>
      <c r="E21" s="4">
        <v>4</v>
      </c>
      <c r="F21" s="4">
        <v>10</v>
      </c>
      <c r="G21" s="4">
        <v>5</v>
      </c>
      <c r="H21" s="4">
        <v>10</v>
      </c>
      <c r="I21" s="4">
        <v>6</v>
      </c>
      <c r="J21" s="4">
        <v>5</v>
      </c>
      <c r="K21" s="4">
        <v>10</v>
      </c>
      <c r="L21" s="4">
        <v>175</v>
      </c>
      <c r="M21" s="4">
        <f>SUM(E21:K21)</f>
        <v>50</v>
      </c>
      <c r="N21" s="8">
        <f t="shared" si="0"/>
        <v>28.571428571428569</v>
      </c>
      <c r="O21" s="4"/>
    </row>
    <row r="22" spans="1:15" ht="25.5" x14ac:dyDescent="0.25">
      <c r="A22" s="4">
        <v>17</v>
      </c>
      <c r="B22" s="6"/>
      <c r="C22" s="5" t="s">
        <v>142</v>
      </c>
      <c r="D22" s="5" t="s">
        <v>127</v>
      </c>
      <c r="E22" s="4">
        <v>24</v>
      </c>
      <c r="F22" s="4">
        <v>25</v>
      </c>
      <c r="G22" s="4">
        <v>24</v>
      </c>
      <c r="H22" s="4">
        <v>24</v>
      </c>
      <c r="I22" s="4">
        <v>25</v>
      </c>
      <c r="J22" s="4">
        <v>24</v>
      </c>
      <c r="K22" s="4">
        <v>25</v>
      </c>
      <c r="L22" s="4">
        <v>175</v>
      </c>
      <c r="M22" s="4">
        <f>SUM(E22:K22)</f>
        <v>171</v>
      </c>
      <c r="N22" s="8">
        <f t="shared" si="0"/>
        <v>97.714285714285708</v>
      </c>
      <c r="O22" s="4"/>
    </row>
    <row r="23" spans="1:15" x14ac:dyDescent="0.25">
      <c r="A23" s="4">
        <v>18</v>
      </c>
      <c r="B23" s="6"/>
      <c r="C23" s="5" t="s">
        <v>143</v>
      </c>
      <c r="D23" s="5" t="s">
        <v>127</v>
      </c>
      <c r="E23" s="4">
        <v>22</v>
      </c>
      <c r="F23" s="4">
        <v>20</v>
      </c>
      <c r="G23" s="4">
        <v>25</v>
      </c>
      <c r="H23" s="4">
        <v>25</v>
      </c>
      <c r="I23" s="4">
        <v>25</v>
      </c>
      <c r="J23" s="4">
        <v>24</v>
      </c>
      <c r="K23" s="4">
        <v>23</v>
      </c>
      <c r="L23" s="4">
        <v>175</v>
      </c>
      <c r="M23" s="4">
        <f>SUM(E23:K23)</f>
        <v>164</v>
      </c>
      <c r="N23" s="8">
        <f t="shared" si="0"/>
        <v>93.714285714285722</v>
      </c>
      <c r="O23" s="4"/>
    </row>
    <row r="24" spans="1:15" x14ac:dyDescent="0.25">
      <c r="A24" s="4">
        <v>19</v>
      </c>
      <c r="B24" s="6"/>
      <c r="C24" s="5" t="s">
        <v>144</v>
      </c>
      <c r="D24" s="5" t="s">
        <v>127</v>
      </c>
      <c r="E24" s="4">
        <v>24</v>
      </c>
      <c r="F24" s="4">
        <v>20</v>
      </c>
      <c r="G24" s="4">
        <v>25</v>
      </c>
      <c r="H24" s="4">
        <v>23</v>
      </c>
      <c r="I24" s="4">
        <v>20</v>
      </c>
      <c r="J24" s="4">
        <v>23</v>
      </c>
      <c r="K24" s="4">
        <v>21</v>
      </c>
      <c r="L24" s="4">
        <v>175</v>
      </c>
      <c r="M24" s="4">
        <f>SUM(E24:K24)</f>
        <v>156</v>
      </c>
      <c r="N24" s="8">
        <f t="shared" si="0"/>
        <v>89.142857142857139</v>
      </c>
      <c r="O24" s="4"/>
    </row>
    <row r="25" spans="1:15" x14ac:dyDescent="0.25">
      <c r="A25" s="4">
        <v>20</v>
      </c>
      <c r="B25" s="6"/>
      <c r="C25" s="5" t="s">
        <v>145</v>
      </c>
      <c r="D25" s="5" t="s">
        <v>127</v>
      </c>
      <c r="E25" s="4">
        <v>13</v>
      </c>
      <c r="F25" s="4">
        <v>0</v>
      </c>
      <c r="G25" s="4">
        <v>10</v>
      </c>
      <c r="H25" s="4">
        <v>10</v>
      </c>
      <c r="I25" s="4">
        <v>10</v>
      </c>
      <c r="J25" s="4">
        <v>10</v>
      </c>
      <c r="K25" s="4">
        <v>8</v>
      </c>
      <c r="L25" s="4">
        <v>175</v>
      </c>
      <c r="M25" s="4">
        <f>SUM(E25:K25)</f>
        <v>61</v>
      </c>
      <c r="N25" s="8">
        <f t="shared" si="0"/>
        <v>34.857142857142861</v>
      </c>
      <c r="O25" s="4"/>
    </row>
    <row r="26" spans="1:15" x14ac:dyDescent="0.25">
      <c r="A26" s="4">
        <v>21</v>
      </c>
      <c r="B26" s="6"/>
      <c r="C26" s="5" t="s">
        <v>146</v>
      </c>
      <c r="D26" s="5" t="s">
        <v>127</v>
      </c>
      <c r="E26" s="4">
        <v>17</v>
      </c>
      <c r="F26" s="4">
        <v>0</v>
      </c>
      <c r="G26" s="4">
        <v>15</v>
      </c>
      <c r="H26" s="4">
        <v>15</v>
      </c>
      <c r="I26" s="4">
        <v>23</v>
      </c>
      <c r="J26" s="4">
        <v>23</v>
      </c>
      <c r="K26" s="4">
        <v>22</v>
      </c>
      <c r="L26" s="4">
        <v>175</v>
      </c>
      <c r="M26" s="4">
        <f>SUM(E26:K26)</f>
        <v>115</v>
      </c>
      <c r="N26" s="8">
        <f t="shared" si="0"/>
        <v>65.714285714285708</v>
      </c>
      <c r="O26" s="4"/>
    </row>
    <row r="27" spans="1:15" x14ac:dyDescent="0.25">
      <c r="A27" s="4">
        <v>22</v>
      </c>
      <c r="B27" s="6"/>
      <c r="C27" s="5" t="s">
        <v>147</v>
      </c>
      <c r="D27" s="5" t="s">
        <v>127</v>
      </c>
      <c r="E27" s="4">
        <v>12</v>
      </c>
      <c r="F27" s="4">
        <v>0</v>
      </c>
      <c r="G27" s="4">
        <v>15</v>
      </c>
      <c r="H27" s="4">
        <v>15</v>
      </c>
      <c r="I27" s="4">
        <v>10</v>
      </c>
      <c r="J27" s="4">
        <v>8</v>
      </c>
      <c r="K27" s="4">
        <v>6</v>
      </c>
      <c r="L27" s="4">
        <v>175</v>
      </c>
      <c r="M27" s="4">
        <f>SUM(E27:K27)</f>
        <v>66</v>
      </c>
      <c r="N27" s="8">
        <f t="shared" si="0"/>
        <v>37.714285714285715</v>
      </c>
      <c r="O27" s="4"/>
    </row>
    <row r="28" spans="1:15" x14ac:dyDescent="0.25">
      <c r="A28" s="4">
        <v>23</v>
      </c>
      <c r="B28" s="4"/>
      <c r="C28" s="5" t="s">
        <v>148</v>
      </c>
      <c r="D28" s="5" t="s">
        <v>127</v>
      </c>
      <c r="E28" s="4">
        <v>5</v>
      </c>
      <c r="F28" s="4">
        <v>0</v>
      </c>
      <c r="G28" s="4">
        <v>15</v>
      </c>
      <c r="H28" s="4">
        <v>15</v>
      </c>
      <c r="I28" s="4">
        <v>23</v>
      </c>
      <c r="J28" s="4">
        <v>6</v>
      </c>
      <c r="K28" s="4">
        <v>7</v>
      </c>
      <c r="L28" s="4">
        <v>175</v>
      </c>
      <c r="M28" s="4">
        <f>SUM(E28:K28)</f>
        <v>71</v>
      </c>
      <c r="N28" s="8">
        <f t="shared" si="0"/>
        <v>40.571428571428569</v>
      </c>
      <c r="O28" s="4"/>
    </row>
    <row r="29" spans="1:15" x14ac:dyDescent="0.25">
      <c r="A29" s="4">
        <v>24</v>
      </c>
      <c r="B29" s="4"/>
      <c r="C29" s="5" t="s">
        <v>149</v>
      </c>
      <c r="D29" s="5" t="s">
        <v>127</v>
      </c>
      <c r="E29" s="4">
        <v>10</v>
      </c>
      <c r="F29" s="4">
        <v>0</v>
      </c>
      <c r="G29" s="4">
        <v>18</v>
      </c>
      <c r="H29" s="4">
        <v>12</v>
      </c>
      <c r="I29" s="4">
        <v>10</v>
      </c>
      <c r="J29" s="4">
        <v>10</v>
      </c>
      <c r="K29" s="4">
        <v>8</v>
      </c>
      <c r="L29" s="4">
        <v>175</v>
      </c>
      <c r="M29" s="4">
        <f>SUM(E29:K29)</f>
        <v>68</v>
      </c>
      <c r="N29" s="8">
        <f t="shared" si="0"/>
        <v>38.857142857142854</v>
      </c>
      <c r="O29" s="4"/>
    </row>
    <row r="30" spans="1:15" x14ac:dyDescent="0.25">
      <c r="A30" s="4">
        <v>25</v>
      </c>
      <c r="B30" s="4"/>
      <c r="C30" s="5" t="s">
        <v>150</v>
      </c>
      <c r="D30" s="5" t="s">
        <v>127</v>
      </c>
      <c r="E30" s="4">
        <v>21</v>
      </c>
      <c r="F30" s="4">
        <v>20</v>
      </c>
      <c r="G30" s="4">
        <v>19</v>
      </c>
      <c r="H30" s="4">
        <v>10</v>
      </c>
      <c r="I30" s="4">
        <v>22</v>
      </c>
      <c r="J30" s="4">
        <v>12</v>
      </c>
      <c r="K30" s="4">
        <v>10</v>
      </c>
      <c r="L30" s="4">
        <v>175</v>
      </c>
      <c r="M30" s="4">
        <f>SUM(E30:K30)</f>
        <v>114</v>
      </c>
      <c r="N30" s="8">
        <f t="shared" si="0"/>
        <v>65.142857142857153</v>
      </c>
      <c r="O30" s="4"/>
    </row>
    <row r="31" spans="1:15" x14ac:dyDescent="0.25">
      <c r="A31" s="4">
        <v>26</v>
      </c>
      <c r="B31" s="4"/>
      <c r="C31" s="5" t="s">
        <v>151</v>
      </c>
      <c r="D31" s="5" t="s">
        <v>127</v>
      </c>
      <c r="E31" s="4">
        <v>17</v>
      </c>
      <c r="F31" s="4">
        <v>0</v>
      </c>
      <c r="G31" s="4">
        <v>10</v>
      </c>
      <c r="H31" s="4">
        <v>0</v>
      </c>
      <c r="I31" s="4">
        <v>24</v>
      </c>
      <c r="J31" s="4">
        <v>11</v>
      </c>
      <c r="K31" s="4">
        <v>12</v>
      </c>
      <c r="L31" s="4">
        <v>175</v>
      </c>
      <c r="M31" s="4">
        <f>SUM(E31:K31)</f>
        <v>74</v>
      </c>
      <c r="N31" s="8">
        <f t="shared" si="0"/>
        <v>42.285714285714285</v>
      </c>
      <c r="O31" s="4"/>
    </row>
    <row r="32" spans="1:15" x14ac:dyDescent="0.25">
      <c r="A32" s="4">
        <v>27</v>
      </c>
      <c r="B32" s="4"/>
      <c r="C32" s="5" t="s">
        <v>152</v>
      </c>
      <c r="D32" s="5" t="s">
        <v>127</v>
      </c>
      <c r="E32" s="4">
        <v>18</v>
      </c>
      <c r="F32" s="4">
        <v>0</v>
      </c>
      <c r="G32" s="4">
        <v>12</v>
      </c>
      <c r="H32" s="4">
        <v>12</v>
      </c>
      <c r="I32" s="4">
        <v>23</v>
      </c>
      <c r="J32" s="4">
        <v>15</v>
      </c>
      <c r="K32" s="4">
        <v>23</v>
      </c>
      <c r="L32" s="4">
        <v>175</v>
      </c>
      <c r="M32" s="4">
        <f>SUM(E32:K32)</f>
        <v>103</v>
      </c>
      <c r="N32" s="8">
        <f t="shared" si="0"/>
        <v>58.857142857142854</v>
      </c>
      <c r="O32" s="4"/>
    </row>
    <row r="33" spans="1:15" x14ac:dyDescent="0.25">
      <c r="A33" s="4">
        <v>28</v>
      </c>
      <c r="B33" s="4"/>
      <c r="C33" s="5" t="s">
        <v>153</v>
      </c>
      <c r="D33" s="5" t="s">
        <v>127</v>
      </c>
      <c r="E33" s="4">
        <v>8</v>
      </c>
      <c r="F33" s="4">
        <v>0</v>
      </c>
      <c r="G33" s="4">
        <v>18</v>
      </c>
      <c r="H33" s="4">
        <v>12</v>
      </c>
      <c r="I33" s="4">
        <v>13</v>
      </c>
      <c r="J33" s="4">
        <v>13</v>
      </c>
      <c r="K33" s="4">
        <v>24</v>
      </c>
      <c r="L33" s="4">
        <v>175</v>
      </c>
      <c r="M33" s="4">
        <f>SUM(E33:K33)</f>
        <v>88</v>
      </c>
      <c r="N33" s="8">
        <f t="shared" si="0"/>
        <v>50.285714285714292</v>
      </c>
      <c r="O33" s="4"/>
    </row>
    <row r="34" spans="1:15" x14ac:dyDescent="0.25">
      <c r="A34" s="4">
        <v>29</v>
      </c>
      <c r="B34" s="4"/>
      <c r="C34" s="5" t="s">
        <v>154</v>
      </c>
      <c r="D34" s="5" t="s">
        <v>127</v>
      </c>
      <c r="E34" s="4">
        <v>23</v>
      </c>
      <c r="F34" s="4">
        <v>0</v>
      </c>
      <c r="G34" s="4">
        <v>10</v>
      </c>
      <c r="H34" s="4">
        <v>10</v>
      </c>
      <c r="I34" s="4">
        <v>12</v>
      </c>
      <c r="J34" s="4">
        <v>23</v>
      </c>
      <c r="K34" s="4">
        <v>22</v>
      </c>
      <c r="L34" s="4">
        <v>175</v>
      </c>
      <c r="M34" s="4">
        <f>SUM(E34:K34)</f>
        <v>100</v>
      </c>
      <c r="N34" s="8">
        <f t="shared" si="0"/>
        <v>57.142857142857139</v>
      </c>
      <c r="O34" s="4"/>
    </row>
    <row r="35" spans="1:15" x14ac:dyDescent="0.25">
      <c r="A35" s="4">
        <v>30</v>
      </c>
      <c r="B35" s="4"/>
      <c r="C35" s="5" t="s">
        <v>155</v>
      </c>
      <c r="D35" s="5" t="s">
        <v>127</v>
      </c>
      <c r="E35" s="4">
        <v>10</v>
      </c>
      <c r="F35" s="4">
        <v>0</v>
      </c>
      <c r="G35" s="4">
        <v>7</v>
      </c>
      <c r="H35" s="4">
        <v>8</v>
      </c>
      <c r="I35" s="4">
        <v>10</v>
      </c>
      <c r="J35" s="4">
        <v>10</v>
      </c>
      <c r="K35" s="4">
        <v>15</v>
      </c>
      <c r="L35" s="4">
        <v>175</v>
      </c>
      <c r="M35" s="4">
        <f>SUM(E35:K35)</f>
        <v>60</v>
      </c>
      <c r="N35" s="8">
        <f t="shared" si="0"/>
        <v>34.285714285714285</v>
      </c>
      <c r="O35" s="4"/>
    </row>
    <row r="36" spans="1:15" x14ac:dyDescent="0.25">
      <c r="A36" s="4">
        <v>31</v>
      </c>
      <c r="B36" s="4"/>
      <c r="C36" s="5" t="s">
        <v>156</v>
      </c>
      <c r="D36" s="5" t="s">
        <v>127</v>
      </c>
      <c r="E36" s="4">
        <v>22</v>
      </c>
      <c r="F36" s="4">
        <v>10</v>
      </c>
      <c r="G36" s="4">
        <v>24</v>
      </c>
      <c r="H36" s="4">
        <v>20</v>
      </c>
      <c r="I36" s="4">
        <v>8</v>
      </c>
      <c r="J36" s="4">
        <v>16</v>
      </c>
      <c r="K36" s="4">
        <v>20</v>
      </c>
      <c r="L36" s="4">
        <v>175</v>
      </c>
      <c r="M36" s="4">
        <f>SUM(E36:K36)</f>
        <v>120</v>
      </c>
      <c r="N36" s="8">
        <f t="shared" si="0"/>
        <v>68.571428571428569</v>
      </c>
      <c r="O36" s="4"/>
    </row>
    <row r="37" spans="1:15" x14ac:dyDescent="0.25">
      <c r="A37" s="4">
        <v>32</v>
      </c>
      <c r="B37" s="4"/>
      <c r="C37" s="5" t="s">
        <v>157</v>
      </c>
      <c r="D37" s="5" t="s">
        <v>127</v>
      </c>
      <c r="E37" s="4">
        <v>23</v>
      </c>
      <c r="F37" s="4">
        <v>20</v>
      </c>
      <c r="G37" s="4">
        <v>20</v>
      </c>
      <c r="H37" s="4">
        <v>15</v>
      </c>
      <c r="I37" s="4">
        <v>6</v>
      </c>
      <c r="J37" s="4">
        <v>15</v>
      </c>
      <c r="K37" s="4">
        <v>21</v>
      </c>
      <c r="L37" s="4">
        <v>175</v>
      </c>
      <c r="M37" s="4">
        <f>SUM(E37:K37)</f>
        <v>120</v>
      </c>
      <c r="N37" s="8">
        <f t="shared" si="0"/>
        <v>68.571428571428569</v>
      </c>
      <c r="O37" s="4"/>
    </row>
    <row r="38" spans="1:15" x14ac:dyDescent="0.25">
      <c r="A38" s="4">
        <v>33</v>
      </c>
      <c r="B38" s="4"/>
      <c r="C38" s="5" t="s">
        <v>158</v>
      </c>
      <c r="D38" s="5" t="s">
        <v>127</v>
      </c>
      <c r="E38" s="4">
        <v>7</v>
      </c>
      <c r="F38" s="4">
        <v>10</v>
      </c>
      <c r="G38" s="4">
        <v>20</v>
      </c>
      <c r="H38" s="4">
        <v>15</v>
      </c>
      <c r="I38" s="4">
        <v>20</v>
      </c>
      <c r="J38" s="4">
        <v>14</v>
      </c>
      <c r="K38" s="4">
        <v>8</v>
      </c>
      <c r="L38" s="4">
        <v>175</v>
      </c>
      <c r="M38" s="4">
        <f>SUM(E38:K38)</f>
        <v>94</v>
      </c>
      <c r="N38" s="8">
        <f t="shared" si="0"/>
        <v>53.714285714285715</v>
      </c>
      <c r="O38" s="4"/>
    </row>
    <row r="39" spans="1:15" x14ac:dyDescent="0.25">
      <c r="A39" s="4">
        <v>34</v>
      </c>
      <c r="B39" s="4"/>
      <c r="C39" s="5" t="s">
        <v>159</v>
      </c>
      <c r="D39" s="5" t="s">
        <v>127</v>
      </c>
      <c r="E39" s="4">
        <v>5</v>
      </c>
      <c r="F39" s="4">
        <v>5</v>
      </c>
      <c r="G39" s="4">
        <v>15</v>
      </c>
      <c r="H39" s="4">
        <v>10</v>
      </c>
      <c r="I39" s="4">
        <v>20</v>
      </c>
      <c r="J39" s="4">
        <v>12</v>
      </c>
      <c r="K39" s="4">
        <v>7</v>
      </c>
      <c r="L39" s="4">
        <v>175</v>
      </c>
      <c r="M39" s="4">
        <f>SUM(E39:K39)</f>
        <v>74</v>
      </c>
      <c r="N39" s="8">
        <f t="shared" si="0"/>
        <v>42.285714285714285</v>
      </c>
      <c r="O39" s="4"/>
    </row>
  </sheetData>
  <mergeCells count="11">
    <mergeCell ref="O3:O5"/>
    <mergeCell ref="A1:O1"/>
    <mergeCell ref="A2:O2"/>
    <mergeCell ref="A3:A5"/>
    <mergeCell ref="B3:B5"/>
    <mergeCell ref="C3:C5"/>
    <mergeCell ref="D3:D5"/>
    <mergeCell ref="E3:K3"/>
    <mergeCell ref="L3:L4"/>
    <mergeCell ref="M3:M5"/>
    <mergeCell ref="N3:N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26F0-31A4-4159-8F3E-B47BD81EC81C}">
  <dimension ref="A1:O39"/>
  <sheetViews>
    <sheetView tabSelected="1" topLeftCell="A17" workbookViewId="0">
      <selection activeCell="C28" sqref="C28"/>
    </sheetView>
  </sheetViews>
  <sheetFormatPr defaultRowHeight="15" x14ac:dyDescent="0.25"/>
  <cols>
    <col min="1" max="2" width="3.140625" bestFit="1" customWidth="1"/>
    <col min="4" max="11" width="4.7109375" customWidth="1"/>
  </cols>
  <sheetData>
    <row r="1" spans="1:15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25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x14ac:dyDescent="0.25">
      <c r="A3" s="10" t="s">
        <v>2</v>
      </c>
      <c r="B3" s="10" t="s">
        <v>3</v>
      </c>
      <c r="C3" s="10" t="s">
        <v>5</v>
      </c>
      <c r="D3" s="11" t="s">
        <v>4</v>
      </c>
      <c r="E3" s="14" t="s">
        <v>7</v>
      </c>
      <c r="F3" s="14"/>
      <c r="G3" s="14"/>
      <c r="H3" s="14"/>
      <c r="I3" s="14"/>
      <c r="J3" s="14"/>
      <c r="K3" s="14"/>
      <c r="L3" s="10" t="s">
        <v>15</v>
      </c>
      <c r="M3" s="10" t="s">
        <v>16</v>
      </c>
      <c r="N3" s="10" t="s">
        <v>17</v>
      </c>
      <c r="O3" s="10" t="s">
        <v>18</v>
      </c>
    </row>
    <row r="4" spans="1:15" ht="42.75" x14ac:dyDescent="0.25">
      <c r="A4" s="10"/>
      <c r="B4" s="10"/>
      <c r="C4" s="10"/>
      <c r="D4" s="12"/>
      <c r="E4" s="2" t="s">
        <v>10</v>
      </c>
      <c r="F4" s="2" t="s">
        <v>120</v>
      </c>
      <c r="G4" s="2" t="s">
        <v>11</v>
      </c>
      <c r="H4" s="2" t="s">
        <v>122</v>
      </c>
      <c r="I4" s="2" t="s">
        <v>123</v>
      </c>
      <c r="J4" s="2" t="s">
        <v>124</v>
      </c>
      <c r="K4" s="2" t="s">
        <v>125</v>
      </c>
      <c r="L4" s="10"/>
      <c r="M4" s="10"/>
      <c r="N4" s="10"/>
      <c r="O4" s="10"/>
    </row>
    <row r="5" spans="1:15" x14ac:dyDescent="0.25">
      <c r="A5" s="10"/>
      <c r="B5" s="10"/>
      <c r="C5" s="10"/>
      <c r="D5" s="13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v>25</v>
      </c>
      <c r="L5" s="3">
        <f>SUM(E5:K5)</f>
        <v>175</v>
      </c>
      <c r="M5" s="10"/>
      <c r="N5" s="10"/>
      <c r="O5" s="10"/>
    </row>
    <row r="6" spans="1:15" ht="26.1" customHeight="1" x14ac:dyDescent="0.25">
      <c r="A6" s="4">
        <v>1</v>
      </c>
      <c r="B6" s="4"/>
      <c r="C6" s="5" t="s">
        <v>161</v>
      </c>
      <c r="D6" s="5" t="s">
        <v>160</v>
      </c>
      <c r="E6" s="4">
        <v>20</v>
      </c>
      <c r="F6" s="4">
        <v>20</v>
      </c>
      <c r="G6" s="4">
        <v>0</v>
      </c>
      <c r="H6" s="4">
        <v>12</v>
      </c>
      <c r="I6" s="4">
        <v>8</v>
      </c>
      <c r="J6" s="4">
        <v>10</v>
      </c>
      <c r="K6" s="4">
        <v>15</v>
      </c>
      <c r="L6" s="4">
        <v>175</v>
      </c>
      <c r="M6" s="4">
        <f>SUM(E6:K6)</f>
        <v>85</v>
      </c>
      <c r="N6" s="8">
        <f>M6/L6*100</f>
        <v>48.571428571428569</v>
      </c>
      <c r="O6" s="4"/>
    </row>
    <row r="7" spans="1:15" ht="26.1" customHeight="1" x14ac:dyDescent="0.25">
      <c r="A7" s="4">
        <v>2</v>
      </c>
      <c r="B7" s="4"/>
      <c r="C7" s="5" t="s">
        <v>162</v>
      </c>
      <c r="D7" s="5" t="s">
        <v>160</v>
      </c>
      <c r="E7" s="4">
        <v>17</v>
      </c>
      <c r="F7" s="4">
        <v>20</v>
      </c>
      <c r="G7" s="4">
        <v>1</v>
      </c>
      <c r="H7" s="4">
        <v>18</v>
      </c>
      <c r="I7" s="4">
        <v>8</v>
      </c>
      <c r="J7" s="4">
        <v>10</v>
      </c>
      <c r="K7" s="4">
        <v>18</v>
      </c>
      <c r="L7" s="4">
        <v>175</v>
      </c>
      <c r="M7" s="4">
        <f>SUM(E7:K7)</f>
        <v>92</v>
      </c>
      <c r="N7" s="8">
        <f t="shared" ref="N7:N39" si="0">M7/L7*100</f>
        <v>52.571428571428569</v>
      </c>
      <c r="O7" s="4"/>
    </row>
    <row r="8" spans="1:15" ht="26.1" customHeight="1" x14ac:dyDescent="0.25">
      <c r="A8" s="4">
        <v>3</v>
      </c>
      <c r="B8" s="4"/>
      <c r="C8" s="5" t="s">
        <v>163</v>
      </c>
      <c r="D8" s="5" t="s">
        <v>160</v>
      </c>
      <c r="E8" s="4">
        <v>5</v>
      </c>
      <c r="F8" s="4">
        <v>15</v>
      </c>
      <c r="G8" s="4">
        <v>10</v>
      </c>
      <c r="H8" s="4">
        <v>8</v>
      </c>
      <c r="I8" s="4">
        <v>6</v>
      </c>
      <c r="J8" s="4">
        <v>5</v>
      </c>
      <c r="K8" s="4">
        <v>15</v>
      </c>
      <c r="L8" s="4">
        <v>175</v>
      </c>
      <c r="M8" s="4">
        <f>SUM(E8:K8)</f>
        <v>64</v>
      </c>
      <c r="N8" s="8">
        <f t="shared" si="0"/>
        <v>36.571428571428569</v>
      </c>
      <c r="O8" s="4"/>
    </row>
    <row r="9" spans="1:15" ht="26.1" customHeight="1" x14ac:dyDescent="0.25">
      <c r="A9" s="4">
        <v>4</v>
      </c>
      <c r="B9" s="4"/>
      <c r="C9" s="5" t="s">
        <v>164</v>
      </c>
      <c r="D9" s="5" t="s">
        <v>160</v>
      </c>
      <c r="E9" s="4">
        <v>24</v>
      </c>
      <c r="F9" s="4">
        <v>25</v>
      </c>
      <c r="G9" s="4">
        <v>0</v>
      </c>
      <c r="H9" s="4">
        <v>24</v>
      </c>
      <c r="I9" s="4">
        <v>24</v>
      </c>
      <c r="J9" s="4">
        <v>24</v>
      </c>
      <c r="K9" s="4">
        <v>25</v>
      </c>
      <c r="L9" s="4">
        <v>175</v>
      </c>
      <c r="M9" s="4">
        <f>SUM(E9:K9)</f>
        <v>146</v>
      </c>
      <c r="N9" s="8">
        <f t="shared" si="0"/>
        <v>83.428571428571431</v>
      </c>
      <c r="O9" s="4"/>
    </row>
    <row r="10" spans="1:15" ht="26.1" customHeight="1" x14ac:dyDescent="0.25">
      <c r="A10" s="4">
        <v>5</v>
      </c>
      <c r="B10" s="4"/>
      <c r="C10" s="5" t="s">
        <v>165</v>
      </c>
      <c r="D10" s="5" t="s">
        <v>160</v>
      </c>
      <c r="E10" s="4">
        <v>22</v>
      </c>
      <c r="F10" s="4">
        <v>22</v>
      </c>
      <c r="G10" s="4">
        <v>0</v>
      </c>
      <c r="H10" s="4">
        <v>20</v>
      </c>
      <c r="I10" s="4">
        <v>17</v>
      </c>
      <c r="J10" s="4">
        <v>15</v>
      </c>
      <c r="K10" s="4">
        <v>20</v>
      </c>
      <c r="L10" s="4">
        <v>175</v>
      </c>
      <c r="M10" s="4">
        <f>SUM(E10:K10)</f>
        <v>116</v>
      </c>
      <c r="N10" s="8">
        <f t="shared" si="0"/>
        <v>66.285714285714278</v>
      </c>
      <c r="O10" s="4"/>
    </row>
    <row r="11" spans="1:15" ht="26.1" customHeight="1" x14ac:dyDescent="0.25">
      <c r="A11" s="4">
        <v>6</v>
      </c>
      <c r="B11" s="4"/>
      <c r="C11" s="5" t="s">
        <v>166</v>
      </c>
      <c r="D11" s="5" t="s">
        <v>160</v>
      </c>
      <c r="E11" s="4">
        <v>0</v>
      </c>
      <c r="F11" s="4">
        <v>15</v>
      </c>
      <c r="G11" s="4">
        <v>0</v>
      </c>
      <c r="H11" s="4">
        <v>8</v>
      </c>
      <c r="I11" s="4">
        <v>8</v>
      </c>
      <c r="J11" s="4">
        <v>10</v>
      </c>
      <c r="K11" s="4">
        <v>12</v>
      </c>
      <c r="L11" s="4">
        <v>175</v>
      </c>
      <c r="M11" s="4">
        <f>SUM(E11:K11)</f>
        <v>53</v>
      </c>
      <c r="N11" s="8">
        <f t="shared" si="0"/>
        <v>30.285714285714288</v>
      </c>
      <c r="O11" s="4"/>
    </row>
    <row r="12" spans="1:15" ht="26.1" customHeight="1" x14ac:dyDescent="0.25">
      <c r="A12" s="4">
        <v>7</v>
      </c>
      <c r="B12" s="4"/>
      <c r="C12" s="5" t="s">
        <v>167</v>
      </c>
      <c r="D12" s="5" t="s">
        <v>160</v>
      </c>
      <c r="E12" s="4">
        <v>0</v>
      </c>
      <c r="F12" s="4">
        <v>10</v>
      </c>
      <c r="G12" s="4">
        <v>10</v>
      </c>
      <c r="H12" s="4">
        <v>8</v>
      </c>
      <c r="I12" s="4">
        <v>7</v>
      </c>
      <c r="J12" s="4">
        <v>8</v>
      </c>
      <c r="K12" s="4">
        <v>8</v>
      </c>
      <c r="L12" s="4">
        <v>175</v>
      </c>
      <c r="M12" s="4">
        <f>SUM(E12:K12)</f>
        <v>51</v>
      </c>
      <c r="N12" s="8">
        <f t="shared" si="0"/>
        <v>29.142857142857142</v>
      </c>
      <c r="O12" s="4"/>
    </row>
    <row r="13" spans="1:15" ht="26.1" customHeight="1" x14ac:dyDescent="0.25">
      <c r="A13" s="4">
        <v>8</v>
      </c>
      <c r="B13" s="4"/>
      <c r="C13" s="5" t="s">
        <v>168</v>
      </c>
      <c r="D13" s="5" t="s">
        <v>160</v>
      </c>
      <c r="E13" s="4">
        <v>10</v>
      </c>
      <c r="F13" s="4">
        <v>15</v>
      </c>
      <c r="G13" s="4">
        <v>0</v>
      </c>
      <c r="H13" s="4">
        <v>8</v>
      </c>
      <c r="I13" s="4">
        <v>6</v>
      </c>
      <c r="J13" s="4">
        <v>5</v>
      </c>
      <c r="K13" s="4">
        <v>12</v>
      </c>
      <c r="L13" s="4">
        <v>175</v>
      </c>
      <c r="M13" s="4">
        <f>SUM(E13:K13)</f>
        <v>56</v>
      </c>
      <c r="N13" s="8">
        <f t="shared" si="0"/>
        <v>32</v>
      </c>
      <c r="O13" s="4"/>
    </row>
    <row r="14" spans="1:15" ht="26.1" customHeight="1" x14ac:dyDescent="0.25">
      <c r="A14" s="4">
        <v>9</v>
      </c>
      <c r="B14" s="4"/>
      <c r="C14" s="5" t="s">
        <v>169</v>
      </c>
      <c r="D14" s="5" t="s">
        <v>160</v>
      </c>
      <c r="E14" s="4">
        <v>23</v>
      </c>
      <c r="F14" s="4">
        <v>25</v>
      </c>
      <c r="G14" s="4">
        <v>5</v>
      </c>
      <c r="H14" s="4">
        <v>24</v>
      </c>
      <c r="I14" s="4">
        <v>20</v>
      </c>
      <c r="J14" s="4">
        <v>23</v>
      </c>
      <c r="K14" s="4">
        <v>23</v>
      </c>
      <c r="L14" s="4">
        <v>175</v>
      </c>
      <c r="M14" s="4">
        <f>SUM(E14:K14)</f>
        <v>143</v>
      </c>
      <c r="N14" s="8">
        <f t="shared" si="0"/>
        <v>81.714285714285722</v>
      </c>
      <c r="O14" s="4"/>
    </row>
    <row r="15" spans="1:15" ht="26.1" customHeight="1" x14ac:dyDescent="0.25">
      <c r="A15" s="4">
        <v>10</v>
      </c>
      <c r="B15" s="6"/>
      <c r="C15" s="5" t="s">
        <v>170</v>
      </c>
      <c r="D15" s="5" t="s">
        <v>160</v>
      </c>
      <c r="E15" s="4">
        <v>12</v>
      </c>
      <c r="F15" s="4">
        <v>25</v>
      </c>
      <c r="G15" s="4">
        <v>0</v>
      </c>
      <c r="H15" s="4">
        <v>24</v>
      </c>
      <c r="I15" s="4">
        <v>6</v>
      </c>
      <c r="J15" s="4">
        <v>8</v>
      </c>
      <c r="K15" s="4">
        <v>12</v>
      </c>
      <c r="L15" s="4">
        <v>175</v>
      </c>
      <c r="M15" s="4">
        <f>SUM(E15:K15)</f>
        <v>87</v>
      </c>
      <c r="N15" s="8">
        <f t="shared" si="0"/>
        <v>49.714285714285715</v>
      </c>
      <c r="O15" s="4"/>
    </row>
    <row r="16" spans="1:15" ht="26.1" customHeight="1" x14ac:dyDescent="0.25">
      <c r="A16" s="4">
        <v>11</v>
      </c>
      <c r="B16" s="6"/>
      <c r="C16" s="5" t="s">
        <v>171</v>
      </c>
      <c r="D16" s="5" t="s">
        <v>160</v>
      </c>
      <c r="E16" s="4">
        <v>17</v>
      </c>
      <c r="F16" s="4">
        <v>15</v>
      </c>
      <c r="G16" s="4">
        <v>0</v>
      </c>
      <c r="H16" s="4">
        <v>8</v>
      </c>
      <c r="I16" s="4">
        <v>6</v>
      </c>
      <c r="J16" s="4">
        <v>5</v>
      </c>
      <c r="K16" s="4">
        <v>17</v>
      </c>
      <c r="L16" s="4">
        <v>175</v>
      </c>
      <c r="M16" s="4">
        <f>SUM(E16:K16)</f>
        <v>68</v>
      </c>
      <c r="N16" s="8">
        <f t="shared" si="0"/>
        <v>38.857142857142854</v>
      </c>
      <c r="O16" s="4"/>
    </row>
    <row r="17" spans="1:15" ht="26.1" customHeight="1" x14ac:dyDescent="0.25">
      <c r="A17" s="4">
        <v>12</v>
      </c>
      <c r="B17" s="6"/>
      <c r="C17" s="5" t="s">
        <v>172</v>
      </c>
      <c r="D17" s="5" t="s">
        <v>160</v>
      </c>
      <c r="E17" s="4">
        <v>12</v>
      </c>
      <c r="F17" s="4">
        <v>10</v>
      </c>
      <c r="G17" s="4">
        <v>0</v>
      </c>
      <c r="H17" s="4">
        <v>8</v>
      </c>
      <c r="I17" s="4">
        <v>7</v>
      </c>
      <c r="J17" s="4">
        <v>8</v>
      </c>
      <c r="K17" s="4">
        <v>15</v>
      </c>
      <c r="L17" s="4">
        <v>175</v>
      </c>
      <c r="M17" s="4">
        <f>SUM(E17:K17)</f>
        <v>60</v>
      </c>
      <c r="N17" s="8">
        <f t="shared" si="0"/>
        <v>34.285714285714285</v>
      </c>
      <c r="O17" s="4"/>
    </row>
    <row r="18" spans="1:15" ht="26.1" customHeight="1" x14ac:dyDescent="0.25">
      <c r="A18" s="4">
        <v>13</v>
      </c>
      <c r="B18" s="6"/>
      <c r="C18" s="5" t="s">
        <v>173</v>
      </c>
      <c r="D18" s="5" t="s">
        <v>160</v>
      </c>
      <c r="E18" s="4">
        <v>10</v>
      </c>
      <c r="F18" s="4">
        <v>10</v>
      </c>
      <c r="G18" s="4">
        <v>10</v>
      </c>
      <c r="H18" s="4">
        <v>10</v>
      </c>
      <c r="I18" s="4">
        <v>7</v>
      </c>
      <c r="J18" s="4">
        <v>6</v>
      </c>
      <c r="K18" s="4">
        <v>15</v>
      </c>
      <c r="L18" s="4">
        <v>175</v>
      </c>
      <c r="M18" s="4">
        <f>SUM(E18:K18)</f>
        <v>68</v>
      </c>
      <c r="N18" s="8">
        <f t="shared" si="0"/>
        <v>38.857142857142854</v>
      </c>
      <c r="O18" s="4"/>
    </row>
    <row r="19" spans="1:15" ht="26.1" customHeight="1" x14ac:dyDescent="0.25">
      <c r="A19" s="4">
        <v>14</v>
      </c>
      <c r="B19" s="6"/>
      <c r="C19" s="5" t="s">
        <v>174</v>
      </c>
      <c r="D19" s="5" t="s">
        <v>160</v>
      </c>
      <c r="E19" s="4">
        <v>15</v>
      </c>
      <c r="F19" s="4">
        <v>10</v>
      </c>
      <c r="G19" s="4">
        <v>10</v>
      </c>
      <c r="H19" s="4">
        <v>15</v>
      </c>
      <c r="I19" s="4">
        <v>6</v>
      </c>
      <c r="J19" s="4">
        <v>8</v>
      </c>
      <c r="K19" s="4">
        <v>17</v>
      </c>
      <c r="L19" s="4">
        <v>175</v>
      </c>
      <c r="M19" s="4">
        <f>SUM(E19:K19)</f>
        <v>81</v>
      </c>
      <c r="N19" s="8">
        <f t="shared" si="0"/>
        <v>46.285714285714285</v>
      </c>
      <c r="O19" s="4"/>
    </row>
    <row r="20" spans="1:15" ht="26.1" customHeight="1" x14ac:dyDescent="0.25">
      <c r="A20" s="4">
        <v>15</v>
      </c>
      <c r="B20" s="6"/>
      <c r="C20" s="5" t="s">
        <v>175</v>
      </c>
      <c r="D20" s="5" t="s">
        <v>160</v>
      </c>
      <c r="E20" s="4">
        <v>20</v>
      </c>
      <c r="F20" s="4">
        <v>18</v>
      </c>
      <c r="G20" s="4">
        <v>20</v>
      </c>
      <c r="H20" s="4">
        <v>20</v>
      </c>
      <c r="I20" s="4">
        <v>8</v>
      </c>
      <c r="J20" s="4">
        <v>7</v>
      </c>
      <c r="K20" s="4">
        <v>18</v>
      </c>
      <c r="L20" s="4">
        <v>175</v>
      </c>
      <c r="M20" s="4">
        <f>SUM(E20:K20)</f>
        <v>111</v>
      </c>
      <c r="N20" s="8">
        <f t="shared" si="0"/>
        <v>63.428571428571423</v>
      </c>
      <c r="O20" s="4"/>
    </row>
    <row r="21" spans="1:15" ht="26.1" customHeight="1" x14ac:dyDescent="0.25">
      <c r="A21" s="4">
        <v>16</v>
      </c>
      <c r="B21" s="6"/>
      <c r="C21" s="5" t="s">
        <v>176</v>
      </c>
      <c r="D21" s="5" t="s">
        <v>160</v>
      </c>
      <c r="E21" s="4">
        <v>4</v>
      </c>
      <c r="F21" s="4">
        <v>10</v>
      </c>
      <c r="G21" s="4">
        <v>5</v>
      </c>
      <c r="H21" s="4">
        <v>10</v>
      </c>
      <c r="I21" s="4">
        <v>6</v>
      </c>
      <c r="J21" s="4">
        <v>5</v>
      </c>
      <c r="K21" s="4">
        <v>10</v>
      </c>
      <c r="L21" s="4">
        <v>175</v>
      </c>
      <c r="M21" s="4">
        <f>SUM(E21:K21)</f>
        <v>50</v>
      </c>
      <c r="N21" s="8">
        <f t="shared" si="0"/>
        <v>28.571428571428569</v>
      </c>
      <c r="O21" s="4"/>
    </row>
    <row r="22" spans="1:15" ht="26.1" customHeight="1" x14ac:dyDescent="0.25">
      <c r="A22" s="4">
        <v>17</v>
      </c>
      <c r="B22" s="6"/>
      <c r="C22" s="5" t="s">
        <v>177</v>
      </c>
      <c r="D22" s="5" t="s">
        <v>160</v>
      </c>
      <c r="E22" s="4">
        <v>24</v>
      </c>
      <c r="F22" s="4">
        <v>25</v>
      </c>
      <c r="G22" s="4">
        <v>24</v>
      </c>
      <c r="H22" s="4">
        <v>24</v>
      </c>
      <c r="I22" s="4">
        <v>25</v>
      </c>
      <c r="J22" s="4">
        <v>24</v>
      </c>
      <c r="K22" s="4">
        <v>25</v>
      </c>
      <c r="L22" s="4">
        <v>175</v>
      </c>
      <c r="M22" s="4">
        <f>SUM(E22:K22)</f>
        <v>171</v>
      </c>
      <c r="N22" s="8">
        <f t="shared" si="0"/>
        <v>97.714285714285708</v>
      </c>
      <c r="O22" s="4"/>
    </row>
    <row r="23" spans="1:15" ht="26.1" customHeight="1" x14ac:dyDescent="0.25">
      <c r="A23" s="4">
        <v>18</v>
      </c>
      <c r="B23" s="6"/>
      <c r="C23" s="5" t="s">
        <v>178</v>
      </c>
      <c r="D23" s="5" t="s">
        <v>160</v>
      </c>
      <c r="E23" s="4">
        <v>22</v>
      </c>
      <c r="F23" s="4">
        <v>20</v>
      </c>
      <c r="G23" s="4">
        <v>25</v>
      </c>
      <c r="H23" s="4">
        <v>25</v>
      </c>
      <c r="I23" s="4">
        <v>25</v>
      </c>
      <c r="J23" s="4">
        <v>24</v>
      </c>
      <c r="K23" s="4">
        <v>23</v>
      </c>
      <c r="L23" s="4">
        <v>175</v>
      </c>
      <c r="M23" s="4">
        <f>SUM(E23:K23)</f>
        <v>164</v>
      </c>
      <c r="N23" s="8">
        <f t="shared" si="0"/>
        <v>93.714285714285722</v>
      </c>
      <c r="O23" s="4"/>
    </row>
    <row r="24" spans="1:15" ht="26.1" customHeight="1" x14ac:dyDescent="0.25">
      <c r="A24" s="4">
        <v>19</v>
      </c>
      <c r="B24" s="6"/>
      <c r="C24" s="5" t="s">
        <v>179</v>
      </c>
      <c r="D24" s="5" t="s">
        <v>160</v>
      </c>
      <c r="E24" s="4">
        <v>24</v>
      </c>
      <c r="F24" s="4">
        <v>20</v>
      </c>
      <c r="G24" s="4">
        <v>25</v>
      </c>
      <c r="H24" s="4">
        <v>23</v>
      </c>
      <c r="I24" s="4">
        <v>20</v>
      </c>
      <c r="J24" s="4">
        <v>23</v>
      </c>
      <c r="K24" s="4">
        <v>21</v>
      </c>
      <c r="L24" s="4">
        <v>175</v>
      </c>
      <c r="M24" s="4">
        <f>SUM(E24:K24)</f>
        <v>156</v>
      </c>
      <c r="N24" s="8">
        <f t="shared" si="0"/>
        <v>89.142857142857139</v>
      </c>
      <c r="O24" s="4"/>
    </row>
    <row r="25" spans="1:15" ht="26.1" customHeight="1" x14ac:dyDescent="0.25">
      <c r="A25" s="4">
        <v>20</v>
      </c>
      <c r="B25" s="6"/>
      <c r="C25" s="5" t="s">
        <v>149</v>
      </c>
      <c r="D25" s="5" t="s">
        <v>160</v>
      </c>
      <c r="E25" s="4">
        <v>13</v>
      </c>
      <c r="F25" s="4">
        <v>0</v>
      </c>
      <c r="G25" s="4">
        <v>10</v>
      </c>
      <c r="H25" s="4">
        <v>10</v>
      </c>
      <c r="I25" s="4">
        <v>10</v>
      </c>
      <c r="J25" s="4">
        <v>10</v>
      </c>
      <c r="K25" s="4">
        <v>8</v>
      </c>
      <c r="L25" s="4">
        <v>175</v>
      </c>
      <c r="M25" s="4">
        <f>SUM(E25:K25)</f>
        <v>61</v>
      </c>
      <c r="N25" s="8">
        <f t="shared" si="0"/>
        <v>34.857142857142861</v>
      </c>
      <c r="O25" s="4"/>
    </row>
    <row r="26" spans="1:15" ht="26.1" customHeight="1" x14ac:dyDescent="0.25">
      <c r="A26" s="4">
        <v>21</v>
      </c>
      <c r="B26" s="6"/>
      <c r="C26" s="5" t="s">
        <v>180</v>
      </c>
      <c r="D26" s="5" t="s">
        <v>160</v>
      </c>
      <c r="E26" s="4">
        <v>17</v>
      </c>
      <c r="F26" s="4">
        <v>0</v>
      </c>
      <c r="G26" s="4">
        <v>15</v>
      </c>
      <c r="H26" s="4">
        <v>15</v>
      </c>
      <c r="I26" s="4">
        <v>23</v>
      </c>
      <c r="J26" s="4">
        <v>23</v>
      </c>
      <c r="K26" s="4">
        <v>22</v>
      </c>
      <c r="L26" s="4">
        <v>175</v>
      </c>
      <c r="M26" s="4">
        <f>SUM(E26:K26)</f>
        <v>115</v>
      </c>
      <c r="N26" s="8">
        <f t="shared" si="0"/>
        <v>65.714285714285708</v>
      </c>
      <c r="O26" s="4"/>
    </row>
    <row r="27" spans="1:15" ht="26.1" customHeight="1" x14ac:dyDescent="0.25">
      <c r="A27" s="4">
        <v>22</v>
      </c>
      <c r="B27" s="6"/>
      <c r="C27" s="5" t="s">
        <v>181</v>
      </c>
      <c r="D27" s="5" t="s">
        <v>160</v>
      </c>
      <c r="E27" s="4">
        <v>12</v>
      </c>
      <c r="F27" s="4">
        <v>0</v>
      </c>
      <c r="G27" s="4">
        <v>15</v>
      </c>
      <c r="H27" s="4">
        <v>15</v>
      </c>
      <c r="I27" s="4">
        <v>10</v>
      </c>
      <c r="J27" s="4">
        <v>8</v>
      </c>
      <c r="K27" s="4">
        <v>6</v>
      </c>
      <c r="L27" s="4">
        <v>175</v>
      </c>
      <c r="M27" s="4">
        <f>SUM(E27:K27)</f>
        <v>66</v>
      </c>
      <c r="N27" s="8">
        <f t="shared" si="0"/>
        <v>37.714285714285715</v>
      </c>
      <c r="O27" s="4"/>
    </row>
    <row r="28" spans="1:15" ht="26.1" customHeight="1" x14ac:dyDescent="0.25">
      <c r="A28" s="4">
        <v>23</v>
      </c>
      <c r="B28" s="4"/>
      <c r="C28" s="5" t="s">
        <v>148</v>
      </c>
      <c r="D28" s="5" t="s">
        <v>160</v>
      </c>
      <c r="E28" s="4">
        <v>5</v>
      </c>
      <c r="F28" s="4">
        <v>0</v>
      </c>
      <c r="G28" s="4">
        <v>15</v>
      </c>
      <c r="H28" s="4">
        <v>15</v>
      </c>
      <c r="I28" s="4">
        <v>23</v>
      </c>
      <c r="J28" s="4">
        <v>6</v>
      </c>
      <c r="K28" s="4">
        <v>7</v>
      </c>
      <c r="L28" s="4">
        <v>175</v>
      </c>
      <c r="M28" s="4">
        <f>SUM(E28:K28)</f>
        <v>71</v>
      </c>
      <c r="N28" s="8">
        <f t="shared" si="0"/>
        <v>40.571428571428569</v>
      </c>
      <c r="O28" s="4"/>
    </row>
    <row r="29" spans="1:15" ht="26.1" customHeight="1" x14ac:dyDescent="0.25">
      <c r="A29" s="4">
        <v>24</v>
      </c>
      <c r="B29" s="4"/>
      <c r="C29" s="5" t="s">
        <v>149</v>
      </c>
      <c r="D29" s="5" t="s">
        <v>160</v>
      </c>
      <c r="E29" s="4">
        <v>10</v>
      </c>
      <c r="F29" s="4">
        <v>0</v>
      </c>
      <c r="G29" s="4">
        <v>18</v>
      </c>
      <c r="H29" s="4">
        <v>12</v>
      </c>
      <c r="I29" s="4">
        <v>10</v>
      </c>
      <c r="J29" s="4">
        <v>10</v>
      </c>
      <c r="K29" s="4">
        <v>8</v>
      </c>
      <c r="L29" s="4">
        <v>175</v>
      </c>
      <c r="M29" s="4">
        <f>SUM(E29:K29)</f>
        <v>68</v>
      </c>
      <c r="N29" s="8">
        <f t="shared" si="0"/>
        <v>38.857142857142854</v>
      </c>
      <c r="O29" s="4"/>
    </row>
    <row r="30" spans="1:15" ht="26.1" customHeight="1" x14ac:dyDescent="0.25">
      <c r="A30" s="4">
        <v>25</v>
      </c>
      <c r="B30" s="4"/>
      <c r="C30" s="5" t="s">
        <v>150</v>
      </c>
      <c r="D30" s="5" t="s">
        <v>160</v>
      </c>
      <c r="E30" s="4">
        <v>21</v>
      </c>
      <c r="F30" s="4">
        <v>20</v>
      </c>
      <c r="G30" s="4">
        <v>19</v>
      </c>
      <c r="H30" s="4">
        <v>10</v>
      </c>
      <c r="I30" s="4">
        <v>22</v>
      </c>
      <c r="J30" s="4">
        <v>12</v>
      </c>
      <c r="K30" s="4">
        <v>10</v>
      </c>
      <c r="L30" s="4">
        <v>175</v>
      </c>
      <c r="M30" s="4">
        <f>SUM(E30:K30)</f>
        <v>114</v>
      </c>
      <c r="N30" s="8">
        <f t="shared" si="0"/>
        <v>65.142857142857153</v>
      </c>
      <c r="O30" s="4"/>
    </row>
    <row r="31" spans="1:15" ht="26.1" customHeight="1" x14ac:dyDescent="0.25">
      <c r="A31" s="4">
        <v>26</v>
      </c>
      <c r="B31" s="4"/>
      <c r="C31" s="5" t="s">
        <v>151</v>
      </c>
      <c r="D31" s="5" t="s">
        <v>160</v>
      </c>
      <c r="E31" s="4">
        <v>17</v>
      </c>
      <c r="F31" s="4">
        <v>0</v>
      </c>
      <c r="G31" s="4">
        <v>10</v>
      </c>
      <c r="H31" s="4">
        <v>0</v>
      </c>
      <c r="I31" s="4">
        <v>24</v>
      </c>
      <c r="J31" s="4">
        <v>11</v>
      </c>
      <c r="K31" s="4">
        <v>12</v>
      </c>
      <c r="L31" s="4">
        <v>175</v>
      </c>
      <c r="M31" s="4">
        <f>SUM(E31:K31)</f>
        <v>74</v>
      </c>
      <c r="N31" s="8">
        <f t="shared" si="0"/>
        <v>42.285714285714285</v>
      </c>
      <c r="O31" s="4"/>
    </row>
    <row r="32" spans="1:15" ht="26.1" customHeight="1" x14ac:dyDescent="0.25">
      <c r="A32" s="4">
        <v>27</v>
      </c>
      <c r="B32" s="4"/>
      <c r="C32" s="5" t="s">
        <v>152</v>
      </c>
      <c r="D32" s="5" t="s">
        <v>160</v>
      </c>
      <c r="E32" s="4">
        <v>18</v>
      </c>
      <c r="F32" s="4">
        <v>0</v>
      </c>
      <c r="G32" s="4">
        <v>12</v>
      </c>
      <c r="H32" s="4">
        <v>12</v>
      </c>
      <c r="I32" s="4">
        <v>23</v>
      </c>
      <c r="J32" s="4">
        <v>15</v>
      </c>
      <c r="K32" s="4">
        <v>23</v>
      </c>
      <c r="L32" s="4">
        <v>175</v>
      </c>
      <c r="M32" s="4">
        <f>SUM(E32:K32)</f>
        <v>103</v>
      </c>
      <c r="N32" s="8">
        <f t="shared" si="0"/>
        <v>58.857142857142854</v>
      </c>
      <c r="O32" s="4"/>
    </row>
    <row r="33" spans="1:15" ht="26.1" customHeight="1" x14ac:dyDescent="0.25">
      <c r="A33" s="4">
        <v>28</v>
      </c>
      <c r="B33" s="4"/>
      <c r="C33" s="5" t="s">
        <v>153</v>
      </c>
      <c r="D33" s="5" t="s">
        <v>160</v>
      </c>
      <c r="E33" s="4">
        <v>8</v>
      </c>
      <c r="F33" s="4">
        <v>0</v>
      </c>
      <c r="G33" s="4">
        <v>18</v>
      </c>
      <c r="H33" s="4">
        <v>12</v>
      </c>
      <c r="I33" s="4">
        <v>13</v>
      </c>
      <c r="J33" s="4">
        <v>13</v>
      </c>
      <c r="K33" s="4">
        <v>24</v>
      </c>
      <c r="L33" s="4">
        <v>175</v>
      </c>
      <c r="M33" s="4">
        <f>SUM(E33:K33)</f>
        <v>88</v>
      </c>
      <c r="N33" s="8">
        <f t="shared" si="0"/>
        <v>50.285714285714292</v>
      </c>
      <c r="O33" s="4"/>
    </row>
    <row r="34" spans="1:15" ht="26.1" customHeight="1" x14ac:dyDescent="0.25">
      <c r="A34" s="4">
        <v>29</v>
      </c>
      <c r="B34" s="4"/>
      <c r="C34" s="5" t="s">
        <v>154</v>
      </c>
      <c r="D34" s="5" t="s">
        <v>160</v>
      </c>
      <c r="E34" s="4">
        <v>23</v>
      </c>
      <c r="F34" s="4">
        <v>0</v>
      </c>
      <c r="G34" s="4">
        <v>10</v>
      </c>
      <c r="H34" s="4">
        <v>10</v>
      </c>
      <c r="I34" s="4">
        <v>12</v>
      </c>
      <c r="J34" s="4">
        <v>23</v>
      </c>
      <c r="K34" s="4">
        <v>22</v>
      </c>
      <c r="L34" s="4">
        <v>175</v>
      </c>
      <c r="M34" s="4">
        <f>SUM(E34:K34)</f>
        <v>100</v>
      </c>
      <c r="N34" s="8">
        <f t="shared" si="0"/>
        <v>57.142857142857139</v>
      </c>
      <c r="O34" s="4"/>
    </row>
    <row r="35" spans="1:15" ht="26.1" customHeight="1" x14ac:dyDescent="0.25">
      <c r="A35" s="4">
        <v>30</v>
      </c>
      <c r="B35" s="4"/>
      <c r="C35" s="5" t="s">
        <v>155</v>
      </c>
      <c r="D35" s="5" t="s">
        <v>160</v>
      </c>
      <c r="E35" s="4">
        <v>10</v>
      </c>
      <c r="F35" s="4">
        <v>0</v>
      </c>
      <c r="G35" s="4">
        <v>7</v>
      </c>
      <c r="H35" s="4">
        <v>8</v>
      </c>
      <c r="I35" s="4">
        <v>10</v>
      </c>
      <c r="J35" s="4">
        <v>10</v>
      </c>
      <c r="K35" s="4">
        <v>15</v>
      </c>
      <c r="L35" s="4">
        <v>175</v>
      </c>
      <c r="M35" s="4">
        <f>SUM(E35:K35)</f>
        <v>60</v>
      </c>
      <c r="N35" s="8">
        <f t="shared" si="0"/>
        <v>34.285714285714285</v>
      </c>
      <c r="O35" s="4"/>
    </row>
    <row r="36" spans="1:15" ht="26.1" customHeight="1" x14ac:dyDescent="0.25">
      <c r="A36" s="4">
        <v>31</v>
      </c>
      <c r="B36" s="4"/>
      <c r="C36" s="5" t="s">
        <v>156</v>
      </c>
      <c r="D36" s="5" t="s">
        <v>160</v>
      </c>
      <c r="E36" s="4">
        <v>22</v>
      </c>
      <c r="F36" s="4">
        <v>10</v>
      </c>
      <c r="G36" s="4">
        <v>24</v>
      </c>
      <c r="H36" s="4">
        <v>20</v>
      </c>
      <c r="I36" s="4">
        <v>8</v>
      </c>
      <c r="J36" s="4">
        <v>16</v>
      </c>
      <c r="K36" s="4">
        <v>20</v>
      </c>
      <c r="L36" s="4">
        <v>175</v>
      </c>
      <c r="M36" s="4">
        <f>SUM(E36:K36)</f>
        <v>120</v>
      </c>
      <c r="N36" s="8">
        <f t="shared" si="0"/>
        <v>68.571428571428569</v>
      </c>
      <c r="O36" s="4"/>
    </row>
    <row r="37" spans="1:15" ht="26.1" customHeight="1" x14ac:dyDescent="0.25">
      <c r="A37" s="4">
        <v>32</v>
      </c>
      <c r="B37" s="4"/>
      <c r="C37" s="5" t="s">
        <v>157</v>
      </c>
      <c r="D37" s="5" t="s">
        <v>160</v>
      </c>
      <c r="E37" s="4">
        <v>23</v>
      </c>
      <c r="F37" s="4">
        <v>20</v>
      </c>
      <c r="G37" s="4">
        <v>20</v>
      </c>
      <c r="H37" s="4">
        <v>15</v>
      </c>
      <c r="I37" s="4">
        <v>6</v>
      </c>
      <c r="J37" s="4">
        <v>15</v>
      </c>
      <c r="K37" s="4">
        <v>21</v>
      </c>
      <c r="L37" s="4">
        <v>175</v>
      </c>
      <c r="M37" s="4">
        <f>SUM(E37:K37)</f>
        <v>120</v>
      </c>
      <c r="N37" s="8">
        <f t="shared" si="0"/>
        <v>68.571428571428569</v>
      </c>
      <c r="O37" s="4"/>
    </row>
    <row r="38" spans="1:15" ht="26.1" customHeight="1" x14ac:dyDescent="0.25">
      <c r="A38" s="4">
        <v>33</v>
      </c>
      <c r="B38" s="4"/>
      <c r="C38" s="5" t="s">
        <v>158</v>
      </c>
      <c r="D38" s="5" t="s">
        <v>160</v>
      </c>
      <c r="E38" s="4">
        <v>7</v>
      </c>
      <c r="F38" s="4">
        <v>10</v>
      </c>
      <c r="G38" s="4">
        <v>20</v>
      </c>
      <c r="H38" s="4">
        <v>15</v>
      </c>
      <c r="I38" s="4">
        <v>20</v>
      </c>
      <c r="J38" s="4">
        <v>14</v>
      </c>
      <c r="K38" s="4">
        <v>8</v>
      </c>
      <c r="L38" s="4">
        <v>175</v>
      </c>
      <c r="M38" s="4">
        <f>SUM(E38:K38)</f>
        <v>94</v>
      </c>
      <c r="N38" s="8">
        <f t="shared" si="0"/>
        <v>53.714285714285715</v>
      </c>
      <c r="O38" s="4"/>
    </row>
    <row r="39" spans="1:15" ht="26.1" customHeight="1" x14ac:dyDescent="0.25">
      <c r="A39" s="4">
        <v>34</v>
      </c>
      <c r="B39" s="4"/>
      <c r="C39" s="5" t="s">
        <v>159</v>
      </c>
      <c r="D39" s="5" t="s">
        <v>160</v>
      </c>
      <c r="E39" s="4">
        <v>5</v>
      </c>
      <c r="F39" s="4">
        <v>5</v>
      </c>
      <c r="G39" s="4">
        <v>15</v>
      </c>
      <c r="H39" s="4">
        <v>10</v>
      </c>
      <c r="I39" s="4">
        <v>20</v>
      </c>
      <c r="J39" s="4">
        <v>12</v>
      </c>
      <c r="K39" s="4">
        <v>7</v>
      </c>
      <c r="L39" s="4">
        <v>175</v>
      </c>
      <c r="M39" s="4">
        <f>SUM(E39:K39)</f>
        <v>74</v>
      </c>
      <c r="N39" s="8">
        <f t="shared" si="0"/>
        <v>42.285714285714285</v>
      </c>
      <c r="O39" s="4"/>
    </row>
  </sheetData>
  <mergeCells count="11">
    <mergeCell ref="O3:O5"/>
    <mergeCell ref="A1:O1"/>
    <mergeCell ref="A2:O2"/>
    <mergeCell ref="A3:A5"/>
    <mergeCell ref="B3:B5"/>
    <mergeCell ref="C3:C5"/>
    <mergeCell ref="D3:D5"/>
    <mergeCell ref="E3:K3"/>
    <mergeCell ref="L3:L4"/>
    <mergeCell ref="M3:M5"/>
    <mergeCell ref="N3:N5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ECE (ROSE)</vt:lpstr>
      <vt:lpstr>9th</vt:lpstr>
      <vt:lpstr>6th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2024-11-30T06:34:00Z</cp:lastPrinted>
  <dcterms:created xsi:type="dcterms:W3CDTF">2024-11-06T06:16:13Z</dcterms:created>
  <dcterms:modified xsi:type="dcterms:W3CDTF">2024-12-02T06:51:20Z</dcterms:modified>
</cp:coreProperties>
</file>