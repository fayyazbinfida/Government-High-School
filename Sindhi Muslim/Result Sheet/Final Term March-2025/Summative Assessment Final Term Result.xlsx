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Final Term March-2025\"/>
    </mc:Choice>
  </mc:AlternateContent>
  <xr:revisionPtr revIDLastSave="0" documentId="13_ncr:1_{182B82C6-C23F-4D60-8C6E-AB994A38AAB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 (ROSE)" sheetId="1" r:id="rId1"/>
    <sheet name="Sheet1" sheetId="12" r:id="rId2"/>
    <sheet name="ECE (Daffodils)" sheetId="2" r:id="rId3"/>
    <sheet name="Level-I" sheetId="4" r:id="rId4"/>
    <sheet name="Level-II" sheetId="3" r:id="rId5"/>
    <sheet name="Level-III" sheetId="5" r:id="rId6"/>
    <sheet name="Level-IV" sheetId="7" r:id="rId7"/>
    <sheet name="Level-V" sheetId="6" r:id="rId8"/>
    <sheet name="Level-VI" sheetId="8" r:id="rId9"/>
    <sheet name="Level-VII" sheetId="9" r:id="rId10"/>
    <sheet name="Level-VIII" sheetId="10" r:id="rId11"/>
    <sheet name="Level-IX" sheetId="11" r:id="rId12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5" i="3" l="1"/>
  <c r="X55" i="3" s="1"/>
  <c r="W54" i="3"/>
  <c r="X54" i="3" s="1"/>
  <c r="W53" i="3"/>
  <c r="X53" i="3" s="1"/>
  <c r="W52" i="3"/>
  <c r="X52" i="3" s="1"/>
  <c r="W51" i="3"/>
  <c r="X51" i="3" s="1"/>
  <c r="W50" i="3"/>
  <c r="X50" i="3" s="1"/>
  <c r="W49" i="3"/>
  <c r="X49" i="3" s="1"/>
  <c r="W48" i="3"/>
  <c r="X48" i="3" s="1"/>
  <c r="W47" i="3"/>
  <c r="X47" i="3" s="1"/>
  <c r="W46" i="3"/>
  <c r="X46" i="3" s="1"/>
  <c r="W45" i="3"/>
  <c r="X45" i="3" s="1"/>
  <c r="W44" i="3"/>
  <c r="X44" i="3" s="1"/>
  <c r="W43" i="3"/>
  <c r="X43" i="3" s="1"/>
  <c r="W42" i="3"/>
  <c r="X42" i="3" s="1"/>
  <c r="W41" i="3"/>
  <c r="X41" i="3" s="1"/>
  <c r="W40" i="3"/>
  <c r="X40" i="3" s="1"/>
  <c r="W39" i="3"/>
  <c r="X39" i="3" s="1"/>
  <c r="W38" i="3"/>
  <c r="X38" i="3" s="1"/>
  <c r="W37" i="3"/>
  <c r="X37" i="3" s="1"/>
  <c r="W36" i="3"/>
  <c r="X36" i="3" s="1"/>
  <c r="W35" i="3"/>
  <c r="X35" i="3" s="1"/>
  <c r="W34" i="3"/>
  <c r="X34" i="3" s="1"/>
  <c r="W33" i="3"/>
  <c r="X33" i="3" s="1"/>
  <c r="W32" i="3"/>
  <c r="X32" i="3" s="1"/>
  <c r="W30" i="3"/>
  <c r="X30" i="3" s="1"/>
  <c r="W29" i="3"/>
  <c r="X29" i="3" s="1"/>
  <c r="W28" i="3"/>
  <c r="X28" i="3" s="1"/>
  <c r="W27" i="3"/>
  <c r="X27" i="3" s="1"/>
  <c r="W26" i="3"/>
  <c r="X26" i="3" s="1"/>
  <c r="W25" i="3"/>
  <c r="X25" i="3" s="1"/>
  <c r="W24" i="3"/>
  <c r="X24" i="3" s="1"/>
  <c r="W23" i="3"/>
  <c r="X23" i="3" s="1"/>
  <c r="W22" i="3"/>
  <c r="X22" i="3" s="1"/>
  <c r="W21" i="3"/>
  <c r="X21" i="3" s="1"/>
  <c r="W20" i="3"/>
  <c r="X20" i="3" s="1"/>
  <c r="W19" i="3"/>
  <c r="X19" i="3" s="1"/>
  <c r="W18" i="3"/>
  <c r="X18" i="3" s="1"/>
  <c r="W17" i="3"/>
  <c r="X17" i="3" s="1"/>
  <c r="W16" i="3"/>
  <c r="X16" i="3" s="1"/>
  <c r="W15" i="3"/>
  <c r="X15" i="3" s="1"/>
  <c r="W14" i="3"/>
  <c r="X14" i="3" s="1"/>
  <c r="W13" i="3"/>
  <c r="X13" i="3" s="1"/>
  <c r="W12" i="3"/>
  <c r="X12" i="3" s="1"/>
  <c r="W11" i="3"/>
  <c r="X11" i="3" s="1"/>
  <c r="W10" i="3"/>
  <c r="X10" i="3" s="1"/>
  <c r="W9" i="3"/>
  <c r="X9" i="3" s="1"/>
  <c r="W8" i="3"/>
  <c r="X8" i="3" s="1"/>
  <c r="W6" i="3"/>
  <c r="Z8" i="3" l="1"/>
  <c r="Z29" i="3"/>
  <c r="Z9" i="3"/>
  <c r="Z49" i="3"/>
  <c r="Z41" i="3"/>
  <c r="Z20" i="3"/>
  <c r="Z16" i="3"/>
  <c r="Z12" i="3"/>
  <c r="Z52" i="3"/>
  <c r="Z48" i="3"/>
  <c r="Z44" i="3"/>
  <c r="Z36" i="3"/>
  <c r="Z35" i="3"/>
  <c r="Z25" i="3"/>
  <c r="Z17" i="3"/>
  <c r="Z13" i="3"/>
  <c r="Z53" i="3"/>
  <c r="Z45" i="3"/>
  <c r="Z37" i="3"/>
  <c r="Z28" i="3"/>
  <c r="Z27" i="3"/>
  <c r="Z23" i="3"/>
  <c r="Z19" i="3"/>
  <c r="Z15" i="3"/>
  <c r="Z11" i="3"/>
  <c r="Z55" i="3"/>
  <c r="Z51" i="3"/>
  <c r="Z47" i="3"/>
  <c r="Z43" i="3"/>
  <c r="Z39" i="3"/>
  <c r="Z30" i="3"/>
  <c r="Z26" i="3"/>
  <c r="Z22" i="3"/>
  <c r="Z18" i="3"/>
  <c r="Z14" i="3"/>
  <c r="Z54" i="3"/>
  <c r="Z50" i="3"/>
  <c r="Z46" i="3"/>
  <c r="Z42" i="3"/>
  <c r="Z38" i="3"/>
  <c r="Z34" i="3"/>
  <c r="Z33" i="3"/>
  <c r="X58" i="5" l="1"/>
  <c r="X57" i="5"/>
  <c r="X56" i="5"/>
  <c r="X55" i="5"/>
  <c r="X54" i="5"/>
  <c r="Y54" i="5" s="1"/>
  <c r="X53" i="5"/>
  <c r="X52" i="5"/>
  <c r="X51" i="5"/>
  <c r="X50" i="5"/>
  <c r="Y50" i="5" s="1"/>
  <c r="X49" i="5"/>
  <c r="X48" i="5"/>
  <c r="X47" i="5"/>
  <c r="X46" i="5"/>
  <c r="Y46" i="5" s="1"/>
  <c r="X45" i="5"/>
  <c r="X44" i="5"/>
  <c r="X43" i="5"/>
  <c r="X42" i="5"/>
  <c r="Y42" i="5" s="1"/>
  <c r="X41" i="5"/>
  <c r="X40" i="5"/>
  <c r="X39" i="5"/>
  <c r="X38" i="5"/>
  <c r="Y38" i="5" s="1"/>
  <c r="X37" i="5"/>
  <c r="X36" i="5"/>
  <c r="X35" i="5"/>
  <c r="X33" i="5"/>
  <c r="Y33" i="5" s="1"/>
  <c r="X32" i="5"/>
  <c r="X31" i="5"/>
  <c r="X30" i="5"/>
  <c r="X29" i="5"/>
  <c r="Y29" i="5" s="1"/>
  <c r="X28" i="5"/>
  <c r="X27" i="5"/>
  <c r="X26" i="5"/>
  <c r="X25" i="5"/>
  <c r="X24" i="5"/>
  <c r="X23" i="5"/>
  <c r="X22" i="5"/>
  <c r="X21" i="5"/>
  <c r="Y21" i="5" s="1"/>
  <c r="X20" i="5"/>
  <c r="X19" i="5"/>
  <c r="X18" i="5"/>
  <c r="X17" i="5"/>
  <c r="X16" i="5"/>
  <c r="X15" i="5"/>
  <c r="X14" i="5"/>
  <c r="Y14" i="5" s="1"/>
  <c r="X13" i="5"/>
  <c r="X12" i="5"/>
  <c r="X11" i="5"/>
  <c r="X10" i="5"/>
  <c r="Y10" i="5" s="1"/>
  <c r="X9" i="5"/>
  <c r="X8" i="5"/>
  <c r="X6" i="5"/>
  <c r="Y56" i="5" l="1"/>
  <c r="Y55" i="5"/>
  <c r="Y19" i="5"/>
  <c r="Y23" i="5"/>
  <c r="Y27" i="5"/>
  <c r="Y31" i="5"/>
  <c r="Y36" i="5"/>
  <c r="Y40" i="5"/>
  <c r="Y44" i="5"/>
  <c r="Y48" i="5"/>
  <c r="Y52" i="5"/>
  <c r="Y8" i="5"/>
  <c r="Y12" i="5"/>
  <c r="Y16" i="5"/>
  <c r="Y57" i="5"/>
  <c r="Y58" i="5"/>
  <c r="Y25" i="5"/>
  <c r="AA36" i="5"/>
  <c r="AA40" i="5"/>
  <c r="AA44" i="5"/>
  <c r="AA48" i="5"/>
  <c r="AA52" i="5"/>
  <c r="AA56" i="5"/>
  <c r="AA9" i="5"/>
  <c r="AA13" i="5"/>
  <c r="AA17" i="5"/>
  <c r="AA21" i="5"/>
  <c r="AA25" i="5"/>
  <c r="AA29" i="5"/>
  <c r="AA33" i="5"/>
  <c r="AA43" i="5"/>
  <c r="AA35" i="5"/>
  <c r="AA20" i="5"/>
  <c r="AA32" i="5"/>
  <c r="AA37" i="5"/>
  <c r="AA41" i="5"/>
  <c r="AA45" i="5"/>
  <c r="AA49" i="5"/>
  <c r="AA53" i="5"/>
  <c r="AA57" i="5"/>
  <c r="AA10" i="5"/>
  <c r="AA14" i="5"/>
  <c r="AA18" i="5"/>
  <c r="AA22" i="5"/>
  <c r="AA26" i="5"/>
  <c r="AA30" i="5"/>
  <c r="AA8" i="5"/>
  <c r="AA47" i="5"/>
  <c r="AA55" i="5"/>
  <c r="AA16" i="5"/>
  <c r="AA28" i="5"/>
  <c r="AA38" i="5"/>
  <c r="AA42" i="5"/>
  <c r="AA46" i="5"/>
  <c r="AA50" i="5"/>
  <c r="AA54" i="5"/>
  <c r="AA58" i="5"/>
  <c r="AA11" i="5"/>
  <c r="AA15" i="5"/>
  <c r="AA19" i="5"/>
  <c r="AA23" i="5"/>
  <c r="AA27" i="5"/>
  <c r="AA31" i="5"/>
  <c r="AA39" i="5"/>
  <c r="AA51" i="5"/>
  <c r="AA12" i="5"/>
  <c r="AA24" i="5"/>
  <c r="Y15" i="5"/>
  <c r="Y9" i="5"/>
  <c r="Y11" i="5"/>
  <c r="Y13" i="5"/>
  <c r="Y18" i="5"/>
  <c r="Y20" i="5"/>
  <c r="Y22" i="5"/>
  <c r="Y24" i="5"/>
  <c r="Y26" i="5"/>
  <c r="Y28" i="5"/>
  <c r="Y30" i="5"/>
  <c r="Y32" i="5"/>
  <c r="Y35" i="5"/>
  <c r="Y37" i="5"/>
  <c r="Y39" i="5"/>
  <c r="Y41" i="5"/>
  <c r="Y43" i="5"/>
  <c r="Y45" i="5"/>
  <c r="Y47" i="5"/>
  <c r="Y49" i="5"/>
  <c r="Y51" i="5"/>
  <c r="Y53" i="5"/>
  <c r="Y17" i="5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40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8" i="4"/>
  <c r="Z41" i="4" l="1"/>
  <c r="Z45" i="4"/>
  <c r="Z49" i="4"/>
  <c r="Z53" i="4"/>
  <c r="Z57" i="4"/>
  <c r="Z62" i="4"/>
  <c r="Z11" i="4"/>
  <c r="Z15" i="4"/>
  <c r="Z19" i="4"/>
  <c r="Z23" i="4"/>
  <c r="Z28" i="4"/>
  <c r="Z33" i="4"/>
  <c r="Z38" i="4"/>
  <c r="Z59" i="4"/>
  <c r="Z17" i="4"/>
  <c r="Z25" i="4"/>
  <c r="Z36" i="4"/>
  <c r="Z27" i="4"/>
  <c r="Z48" i="4"/>
  <c r="Z56" i="4"/>
  <c r="Z10" i="4"/>
  <c r="Z14" i="4"/>
  <c r="Z18" i="4"/>
  <c r="Z22" i="4"/>
  <c r="Z32" i="4"/>
  <c r="Z37" i="4"/>
  <c r="Z42" i="4"/>
  <c r="Z46" i="4"/>
  <c r="Z50" i="4"/>
  <c r="Z54" i="4"/>
  <c r="Z58" i="4"/>
  <c r="Z40" i="4"/>
  <c r="Z12" i="4"/>
  <c r="Z16" i="4"/>
  <c r="Z20" i="4"/>
  <c r="Z24" i="4"/>
  <c r="Z29" i="4"/>
  <c r="Z34" i="4"/>
  <c r="Z8" i="4"/>
  <c r="Z43" i="4"/>
  <c r="Z47" i="4"/>
  <c r="Z51" i="4"/>
  <c r="Z55" i="4"/>
  <c r="Z9" i="4"/>
  <c r="Z13" i="4"/>
  <c r="Z21" i="4"/>
  <c r="Z31" i="4"/>
  <c r="Z44" i="4"/>
  <c r="Z52" i="4"/>
  <c r="Z61" i="4"/>
  <c r="Z26" i="4"/>
  <c r="X21" i="4"/>
  <c r="X44" i="4"/>
  <c r="X42" i="4"/>
  <c r="X52" i="4"/>
  <c r="X57" i="4"/>
  <c r="X58" i="4"/>
  <c r="W6" i="4"/>
  <c r="X19" i="4" l="1"/>
  <c r="X31" i="4"/>
  <c r="X8" i="4"/>
  <c r="X16" i="4"/>
  <c r="X28" i="4"/>
  <c r="X36" i="4"/>
  <c r="X11" i="4"/>
  <c r="X15" i="4"/>
  <c r="X23" i="4"/>
  <c r="X27" i="4"/>
  <c r="X35" i="4"/>
  <c r="X40" i="4"/>
  <c r="X12" i="4"/>
  <c r="X20" i="4"/>
  <c r="X24" i="4"/>
  <c r="X32" i="4"/>
  <c r="X51" i="4"/>
  <c r="X46" i="4"/>
  <c r="X48" i="4"/>
  <c r="X30" i="4"/>
  <c r="X22" i="4"/>
  <c r="X55" i="4"/>
  <c r="X9" i="4"/>
  <c r="X18" i="4"/>
  <c r="X29" i="4"/>
  <c r="X14" i="4"/>
  <c r="X62" i="4"/>
  <c r="X60" i="4"/>
  <c r="X25" i="4"/>
  <c r="X37" i="4"/>
  <c r="X50" i="4"/>
  <c r="X56" i="4"/>
  <c r="X49" i="4"/>
  <c r="X43" i="4"/>
  <c r="X33" i="4"/>
  <c r="X38" i="4"/>
  <c r="X41" i="4"/>
  <c r="X26" i="4"/>
  <c r="X54" i="4"/>
  <c r="X53" i="4"/>
  <c r="X59" i="4"/>
  <c r="X61" i="4"/>
  <c r="X47" i="4"/>
  <c r="X17" i="4"/>
  <c r="X10" i="4"/>
  <c r="X13" i="4"/>
  <c r="X45" i="4"/>
  <c r="X34" i="4"/>
  <c r="M6" i="11"/>
  <c r="M6" i="10"/>
  <c r="M6" i="9"/>
  <c r="M6" i="8"/>
  <c r="M6" i="7"/>
  <c r="M6" i="6"/>
</calcChain>
</file>

<file path=xl/sharedStrings.xml><?xml version="1.0" encoding="utf-8"?>
<sst xmlns="http://schemas.openxmlformats.org/spreadsheetml/2006/main" count="3756" uniqueCount="892">
  <si>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</si>
  <si>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</si>
  <si>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</si>
  <si>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</si>
  <si>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</si>
  <si>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</si>
  <si>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</si>
  <si>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</si>
  <si>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</si>
  <si>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English</t>
  </si>
  <si>
    <t>Urdu</t>
  </si>
  <si>
    <t>EPL</t>
  </si>
  <si>
    <t>Attendance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</si>
  <si>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</si>
  <si>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</si>
  <si>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</si>
  <si>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</si>
  <si>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</si>
  <si>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</si>
  <si>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</si>
  <si>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</si>
  <si>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</si>
  <si>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</si>
  <si>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</si>
  <si>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</si>
  <si>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</si>
  <si>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</si>
  <si>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</si>
  <si>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</si>
  <si>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</si>
  <si>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</si>
  <si>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</si>
  <si>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</si>
  <si>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</si>
  <si>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</si>
  <si>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</si>
  <si>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</si>
  <si>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</si>
  <si>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</si>
  <si>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</si>
  <si>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</si>
  <si>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</si>
  <si>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</si>
  <si>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</si>
  <si>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</si>
  <si>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</si>
  <si>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</si>
  <si>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</si>
  <si>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</si>
  <si>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</si>
  <si>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</si>
  <si>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</si>
  <si>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</si>
  <si>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</si>
  <si>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</si>
  <si>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</si>
  <si>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</si>
  <si>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</si>
  <si>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</si>
  <si>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</si>
  <si>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</si>
  <si>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</si>
  <si>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</si>
  <si>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</si>
  <si>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</si>
  <si>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</si>
  <si>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</si>
  <si>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</si>
  <si>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</si>
  <si>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</si>
  <si>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</si>
  <si>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</si>
  <si>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</si>
  <si>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</si>
  <si>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</si>
  <si>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</si>
  <si>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</si>
  <si>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</si>
  <si>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</si>
  <si>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</si>
  <si>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</si>
  <si>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</si>
  <si>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</si>
  <si>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</si>
  <si>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</si>
  <si>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</si>
  <si>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</si>
  <si>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</si>
  <si>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</si>
  <si>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</si>
  <si>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</si>
  <si>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</si>
  <si>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</si>
  <si>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</si>
  <si>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</si>
  <si>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</si>
  <si>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</si>
  <si>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</si>
  <si>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</si>
  <si>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</si>
  <si>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</si>
  <si>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</si>
  <si>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</si>
  <si>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</si>
  <si>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</si>
  <si>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</si>
  <si>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</si>
  <si>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</si>
  <si>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</si>
  <si>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</si>
  <si>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</si>
  <si>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</si>
  <si>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</si>
  <si>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</si>
  <si>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ECE (Rose)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</si>
  <si>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</si>
  <si>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</si>
  <si>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</si>
  <si>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</si>
  <si>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</si>
  <si>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</si>
  <si>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</si>
  <si>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</si>
  <si>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</si>
  <si>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</si>
  <si>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</si>
  <si>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</si>
  <si>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</si>
  <si>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</si>
  <si>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</si>
  <si>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</si>
  <si>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</si>
  <si>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</si>
  <si>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</si>
  <si>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</si>
  <si>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</si>
  <si>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</si>
  <si>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</si>
  <si>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</si>
  <si>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</si>
  <si>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</si>
  <si>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</si>
  <si>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</si>
  <si>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</si>
  <si>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</si>
  <si>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</si>
  <si>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</si>
  <si>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</si>
  <si>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</si>
  <si>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</si>
  <si>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</si>
  <si>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</si>
  <si>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</si>
  <si>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</si>
  <si>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</si>
  <si>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</si>
  <si>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</si>
  <si>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</si>
  <si>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</si>
  <si>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</si>
  <si>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</si>
  <si>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</si>
  <si>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</si>
  <si>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</si>
  <si>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</si>
  <si>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</si>
  <si>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</si>
  <si>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</si>
  <si>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</si>
  <si>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</si>
  <si>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</si>
  <si>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</si>
  <si>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</si>
  <si>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</si>
  <si>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</si>
  <si>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</si>
  <si>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</si>
  <si>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</si>
  <si>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</si>
  <si>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</si>
  <si>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</si>
  <si>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</si>
  <si>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</si>
  <si>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</si>
  <si>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</si>
  <si>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</si>
  <si>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</si>
  <si>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</si>
  <si>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</si>
  <si>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</si>
  <si>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</si>
  <si>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</si>
  <si>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</si>
  <si>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</si>
  <si>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</si>
  <si>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</si>
  <si>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</si>
  <si>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</si>
  <si>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</si>
  <si>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</si>
  <si>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</si>
  <si>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</si>
  <si>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</si>
  <si>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</si>
  <si>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</si>
  <si>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</si>
  <si>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</si>
  <si>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</si>
  <si>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</si>
  <si>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</si>
  <si>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</si>
  <si>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</si>
  <si>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</si>
  <si>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</si>
  <si>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</si>
  <si>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</si>
  <si>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</si>
  <si>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</si>
  <si>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</si>
  <si>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</si>
  <si>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</si>
  <si>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</si>
  <si>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</si>
  <si>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</si>
  <si>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</si>
  <si>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</si>
  <si>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</si>
  <si>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</si>
  <si>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</si>
  <si>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</si>
  <si>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</si>
  <si>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</si>
  <si>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</si>
  <si>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</si>
  <si>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</si>
  <si>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</si>
  <si>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</si>
  <si>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</si>
  <si>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</si>
  <si>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</si>
  <si>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</si>
  <si>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</si>
  <si>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</si>
  <si>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</si>
  <si>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</si>
  <si>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</si>
  <si>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</si>
  <si>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</si>
  <si>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</si>
  <si>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</si>
  <si>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</si>
  <si>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</si>
  <si>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</si>
  <si>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</si>
  <si>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</si>
  <si>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</si>
  <si>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</si>
  <si>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</si>
  <si>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</si>
  <si>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</si>
  <si>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</si>
  <si>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</si>
  <si>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</si>
  <si>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</si>
  <si>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</si>
  <si>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</si>
  <si>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</si>
  <si>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</si>
  <si>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</si>
  <si>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</si>
  <si>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</si>
  <si>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</si>
  <si>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</si>
  <si>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</si>
  <si>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</si>
  <si>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</si>
  <si>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</si>
  <si>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</si>
  <si>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</si>
  <si>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</si>
  <si>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</si>
  <si>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</si>
  <si>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</si>
  <si>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</si>
  <si>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</si>
  <si>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</si>
  <si>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</si>
  <si>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</si>
  <si>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</si>
  <si>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</si>
  <si>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</si>
  <si>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</si>
  <si>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</si>
  <si>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</si>
  <si>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</si>
  <si>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</si>
  <si>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</si>
  <si>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</si>
  <si>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</si>
  <si>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</si>
  <si>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</si>
  <si>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</si>
  <si>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</si>
  <si>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</si>
  <si>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</si>
  <si>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</si>
  <si>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</si>
  <si>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</si>
  <si>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</si>
  <si>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</si>
  <si>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</si>
  <si>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</si>
  <si>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</si>
  <si>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</si>
  <si>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</si>
  <si>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</si>
  <si>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</si>
  <si>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</si>
  <si>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</si>
  <si>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</si>
  <si>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</si>
  <si>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</si>
  <si>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</si>
  <si>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</si>
  <si>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</si>
  <si>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</si>
  <si>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</si>
  <si>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</si>
  <si>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</si>
  <si>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</si>
  <si>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</si>
  <si>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</si>
  <si>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</si>
  <si>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</si>
  <si>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</si>
  <si>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</si>
  <si>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</si>
  <si>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</si>
  <si>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</si>
  <si>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</si>
  <si>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</si>
  <si>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</si>
  <si>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</si>
  <si>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</si>
  <si>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</si>
  <si>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</si>
  <si>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</si>
  <si>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</si>
  <si>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</si>
  <si>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</si>
  <si>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</si>
  <si>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</si>
  <si>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</si>
  <si>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</si>
  <si>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</si>
  <si>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</si>
  <si>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</si>
  <si>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</si>
  <si>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</si>
  <si>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</si>
  <si>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</si>
  <si>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</si>
  <si>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</si>
  <si>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</si>
  <si>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</si>
  <si>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</si>
  <si>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</si>
  <si>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</si>
  <si>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</si>
  <si>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</si>
  <si>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</si>
  <si>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</si>
  <si>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</si>
  <si>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</si>
  <si>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</si>
  <si>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</si>
  <si>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</si>
  <si>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</si>
  <si>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</si>
  <si>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</si>
  <si>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</si>
  <si>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</si>
  <si>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</si>
  <si>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</si>
  <si>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</si>
  <si>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</si>
  <si>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</si>
  <si>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</si>
  <si>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</si>
  <si>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</si>
  <si>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</si>
  <si>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</si>
  <si>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</si>
  <si>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</si>
  <si>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</si>
  <si>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</si>
  <si>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</si>
  <si>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</si>
  <si>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</si>
  <si>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</si>
  <si>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</si>
  <si>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</si>
  <si>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</si>
  <si>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</si>
  <si>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</si>
  <si>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</si>
  <si>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</si>
  <si>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</si>
  <si>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</si>
  <si>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</si>
  <si>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</si>
  <si>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</si>
  <si>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</si>
  <si>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</si>
  <si>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</si>
  <si>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</si>
  <si>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</si>
  <si>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</si>
  <si>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</si>
  <si>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</si>
  <si>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</si>
  <si>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</si>
  <si>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</si>
  <si>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</si>
  <si>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</si>
  <si>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</si>
  <si>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</si>
  <si>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</si>
  <si>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</si>
  <si>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</si>
  <si>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</si>
  <si>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</si>
  <si>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</si>
  <si>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</si>
  <si>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</si>
  <si>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</si>
  <si>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</si>
  <si>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</si>
  <si>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</si>
  <si>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</si>
  <si>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</si>
  <si>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</si>
  <si>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</si>
  <si>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</si>
  <si>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</si>
  <si>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</si>
  <si>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</si>
  <si>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Four</t>
  </si>
  <si>
    <t>Aqeel Ahmed</t>
  </si>
  <si>
    <t>Najeebullah</t>
  </si>
  <si>
    <t>Ali Jan</t>
  </si>
  <si>
    <t>Muhammad Shafique Soomro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</si>
  <si>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</si>
  <si>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</si>
  <si>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</si>
  <si>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</si>
  <si>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</si>
  <si>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</si>
  <si>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</si>
  <si>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</si>
  <si>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</si>
  <si>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</si>
  <si>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</si>
  <si>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</si>
  <si>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</si>
  <si>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</si>
  <si>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</si>
  <si>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</si>
  <si>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</si>
  <si>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</si>
  <si>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</si>
  <si>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</si>
  <si>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</si>
  <si>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</si>
  <si>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</si>
  <si>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</si>
  <si>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Gulab</t>
  </si>
  <si>
    <t>M.Aliyan Baqai</t>
  </si>
  <si>
    <t>Ghulam Nabi Baqai</t>
  </si>
  <si>
    <t>Muhammad Arif Memon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</si>
  <si>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</si>
  <si>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</si>
  <si>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</si>
  <si>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</si>
  <si>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</si>
  <si>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</si>
  <si>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</si>
  <si>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</si>
  <si>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</si>
  <si>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</si>
  <si>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</si>
  <si>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</si>
  <si>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</si>
  <si>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</si>
  <si>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</si>
  <si>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</si>
  <si>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</si>
  <si>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</si>
  <si>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</si>
  <si>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</si>
  <si>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</si>
  <si>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</si>
  <si>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</si>
  <si>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</si>
  <si>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</si>
  <si>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</si>
  <si>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</si>
  <si>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</si>
  <si>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Muhammad Ghafoor Jokhio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</si>
  <si>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</si>
  <si>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</si>
  <si>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</si>
  <si>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</si>
  <si>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</si>
  <si>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</si>
  <si>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</si>
  <si>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</si>
  <si>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</si>
  <si>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</si>
  <si>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</si>
  <si>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</si>
  <si>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</si>
  <si>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</si>
  <si>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</si>
  <si>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</si>
  <si>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</si>
  <si>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</si>
  <si>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</si>
  <si>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</si>
  <si>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</si>
  <si>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</si>
  <si>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</si>
  <si>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</si>
  <si>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</si>
  <si>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</si>
  <si>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</si>
  <si>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</si>
  <si>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</si>
  <si>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</si>
  <si>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</si>
  <si>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</si>
  <si>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</si>
  <si>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</si>
  <si>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</si>
  <si>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</si>
  <si>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</si>
  <si>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</si>
  <si>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</si>
  <si>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</si>
  <si>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</si>
  <si>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</si>
  <si>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</si>
  <si>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</si>
  <si>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</si>
  <si>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</si>
  <si>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</si>
  <si>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</si>
  <si>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</si>
  <si>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</si>
  <si>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</si>
  <si>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</si>
  <si>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</si>
  <si>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</si>
  <si>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</si>
  <si>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</si>
  <si>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</si>
  <si>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</si>
  <si>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</si>
  <si>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</si>
  <si>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</si>
  <si>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</si>
  <si>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</si>
  <si>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</si>
  <si>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</si>
  <si>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</si>
  <si>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</si>
  <si>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</si>
  <si>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</si>
  <si>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</si>
  <si>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</si>
  <si>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</si>
  <si>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</si>
  <si>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</si>
  <si>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</si>
  <si>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</si>
  <si>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</si>
  <si>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</si>
  <si>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</si>
  <si>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</si>
  <si>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</si>
  <si>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</si>
  <si>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</si>
  <si>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</si>
  <si>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</si>
  <si>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</si>
  <si>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</si>
  <si>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</si>
  <si>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</si>
  <si>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</si>
  <si>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</si>
  <si>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</si>
  <si>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</si>
  <si>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</si>
  <si>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</si>
  <si>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</si>
  <si>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</si>
  <si>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</si>
  <si>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</si>
  <si>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</si>
  <si>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</si>
  <si>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</si>
  <si>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</si>
  <si>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</si>
  <si>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</si>
  <si>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</si>
  <si>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</si>
  <si>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</si>
  <si>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</si>
  <si>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</si>
  <si>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</si>
  <si>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</si>
  <si>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</si>
  <si>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</si>
  <si>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</si>
  <si>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</si>
  <si>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</si>
  <si>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</si>
  <si>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</si>
  <si>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</si>
  <si>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</si>
  <si>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</si>
  <si>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</si>
  <si>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</si>
  <si>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</si>
  <si>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</si>
  <si>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</si>
  <si>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</si>
  <si>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</si>
  <si>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</si>
  <si>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Adil ali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</si>
  <si>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</si>
  <si>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</si>
  <si>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</si>
  <si>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</si>
  <si>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</si>
  <si>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</si>
  <si>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</si>
  <si>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</si>
  <si>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</si>
  <si>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</si>
  <si>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 xml:space="preserve">Hasnain 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</si>
  <si>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</si>
  <si>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</si>
  <si>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</si>
  <si>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</si>
  <si>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</si>
  <si>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</si>
  <si>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</si>
  <si>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</si>
  <si>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</si>
  <si>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</si>
  <si>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</si>
  <si>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</si>
  <si>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</si>
  <si>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</si>
  <si>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</si>
  <si>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</si>
  <si>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</si>
  <si>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</si>
  <si>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</si>
  <si>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</si>
  <si>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</si>
  <si>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</si>
  <si>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</si>
  <si>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</si>
  <si>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</si>
  <si>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>Ayesha Agha</t>
  </si>
  <si>
    <t>Riaz gul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</si>
  <si>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</si>
  <si>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</si>
  <si>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</si>
  <si>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</si>
  <si>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</si>
  <si>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</si>
  <si>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</si>
  <si>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</si>
  <si>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</si>
  <si>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</si>
  <si>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</si>
  <si>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</si>
  <si>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</si>
  <si>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</si>
  <si>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</si>
  <si>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</si>
  <si>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</si>
  <si>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</si>
  <si>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</si>
  <si>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</si>
  <si>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</si>
  <si>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</si>
  <si>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</si>
  <si>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</si>
  <si>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</si>
  <si>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</si>
  <si>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</si>
  <si>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</si>
  <si>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</si>
  <si>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</si>
  <si>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</si>
  <si>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</si>
  <si>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</si>
  <si>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</si>
  <si>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</si>
  <si>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</si>
  <si>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</si>
  <si>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</si>
  <si>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</si>
  <si>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</si>
  <si>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</si>
  <si>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</si>
  <si>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</si>
  <si>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Iqra Usman</t>
  </si>
  <si>
    <t>M.Usman</t>
  </si>
  <si>
    <t>Abdul Salam</t>
  </si>
  <si>
    <t xml:space="preserve">Ameer </t>
  </si>
  <si>
    <t>Faizan Ali</t>
  </si>
  <si>
    <t>Ghaibi Khan hakro</t>
  </si>
  <si>
    <t>Hasnain</t>
  </si>
  <si>
    <t>Kabeer Ahmed</t>
  </si>
  <si>
    <t>Shah Muhammad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</si>
  <si>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</si>
  <si>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</si>
  <si>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</si>
  <si>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</si>
  <si>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</si>
  <si>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</si>
  <si>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</si>
  <si>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</si>
  <si>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</si>
  <si>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</si>
  <si>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</si>
  <si>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</si>
  <si>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</si>
  <si>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</si>
  <si>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</si>
  <si>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</si>
  <si>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</si>
  <si>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</si>
  <si>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</si>
  <si>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</si>
  <si>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</si>
  <si>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</si>
  <si>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</si>
  <si>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</si>
  <si>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</si>
  <si>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</si>
  <si>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</si>
  <si>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</si>
  <si>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</si>
  <si>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</si>
  <si>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</si>
  <si>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</si>
  <si>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</si>
  <si>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</si>
  <si>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</si>
  <si>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</si>
  <si>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</si>
  <si>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</si>
  <si>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</si>
  <si>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</si>
  <si>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</si>
  <si>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</si>
  <si>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</si>
  <si>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</si>
  <si>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</si>
  <si>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</si>
  <si>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</si>
  <si>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</si>
  <si>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</si>
  <si>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</si>
  <si>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</si>
  <si>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</si>
  <si>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</si>
  <si>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</si>
  <si>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</si>
  <si>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</si>
  <si>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</si>
  <si>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</si>
  <si>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</si>
  <si>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</si>
  <si>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</si>
  <si>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</si>
  <si>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</si>
  <si>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</si>
  <si>
    <t>Physics</t>
  </si>
  <si>
    <t>Biology</t>
  </si>
  <si>
    <t>Chemistry</t>
  </si>
  <si>
    <t>Final Term Examination - 2024-25</t>
  </si>
  <si>
    <t>Rank</t>
  </si>
  <si>
    <t>Hoorain Noor</t>
  </si>
  <si>
    <t>Muhammad Akram</t>
  </si>
  <si>
    <t>Iqramudin</t>
  </si>
  <si>
    <t>masoor ali</t>
  </si>
  <si>
    <t>English Written</t>
  </si>
  <si>
    <t>English Reading</t>
  </si>
  <si>
    <t>English Dictation</t>
  </si>
  <si>
    <t>English Writing</t>
  </si>
  <si>
    <t>Maths Written</t>
  </si>
  <si>
    <t>Maths Oral</t>
  </si>
  <si>
    <t>Urdu Written</t>
  </si>
  <si>
    <t>Urdu Reading</t>
  </si>
  <si>
    <t>Urdu Dictation</t>
  </si>
  <si>
    <t>Urdu Writing</t>
  </si>
  <si>
    <t>G.K Written</t>
  </si>
  <si>
    <t>Islamiyat</t>
  </si>
  <si>
    <t>Sindhi Written</t>
  </si>
  <si>
    <t>Sindhi Reading</t>
  </si>
  <si>
    <t>Sindhi W+ Dictation</t>
  </si>
  <si>
    <t>AB</t>
  </si>
  <si>
    <t>A</t>
  </si>
  <si>
    <t>B</t>
  </si>
  <si>
    <t>C</t>
  </si>
  <si>
    <t>D</t>
  </si>
  <si>
    <t>A+</t>
  </si>
  <si>
    <t>L</t>
  </si>
  <si>
    <t xml:space="preserve"> B</t>
  </si>
  <si>
    <t xml:space="preserve">  B</t>
  </si>
  <si>
    <t xml:space="preserve">B </t>
  </si>
  <si>
    <t xml:space="preserve">  A</t>
  </si>
  <si>
    <t xml:space="preserve">AB </t>
  </si>
  <si>
    <t>Ghulam  hussain</t>
  </si>
  <si>
    <t>sajid ahmed</t>
  </si>
  <si>
    <t>Minha</t>
  </si>
  <si>
    <t>Imran ali</t>
  </si>
  <si>
    <t>M FAHEEM</t>
  </si>
  <si>
    <t>M.Ibrahim</t>
  </si>
  <si>
    <t xml:space="preserve"> </t>
  </si>
  <si>
    <t xml:space="preserve">G.K </t>
  </si>
  <si>
    <t>Sindhi  writing</t>
  </si>
  <si>
    <t>Sindhi  Dication</t>
  </si>
  <si>
    <t xml:space="preserve"> C</t>
  </si>
  <si>
    <t>Obtain Marks</t>
  </si>
  <si>
    <t>Rem arks</t>
  </si>
  <si>
    <t>Math Oral</t>
  </si>
  <si>
    <t>Assignment</t>
  </si>
  <si>
    <t>Essa</t>
  </si>
  <si>
    <t>150  days</t>
  </si>
  <si>
    <t>MusFirah</t>
  </si>
  <si>
    <t>Below Average</t>
  </si>
  <si>
    <t>Excellent</t>
  </si>
  <si>
    <t>Need Improvement</t>
  </si>
  <si>
    <t>Brilliant</t>
  </si>
  <si>
    <t>Very Good</t>
  </si>
  <si>
    <t>Fair</t>
  </si>
  <si>
    <t>Keep it Up</t>
  </si>
  <si>
    <t>Work Hard</t>
  </si>
  <si>
    <t>Good</t>
  </si>
  <si>
    <t>%</t>
  </si>
  <si>
    <t>Average</t>
  </si>
  <si>
    <t>F</t>
  </si>
  <si>
    <t>Nazra (O)</t>
  </si>
  <si>
    <t>G.K (O)</t>
  </si>
  <si>
    <t>English (O)</t>
  </si>
  <si>
    <t>Urdu (O)</t>
  </si>
  <si>
    <t>Sindhi (O)</t>
  </si>
  <si>
    <t>English (W)</t>
  </si>
  <si>
    <t>Maths (W)</t>
  </si>
  <si>
    <t>Urdu (W)</t>
  </si>
  <si>
    <t>Hygine</t>
  </si>
  <si>
    <t>Maths (O)</t>
  </si>
  <si>
    <t>B+</t>
  </si>
  <si>
    <t>hygine</t>
  </si>
  <si>
    <t>Maths oral</t>
  </si>
  <si>
    <t>Urdu  reading</t>
  </si>
  <si>
    <t xml:space="preserve">6 1 </t>
  </si>
  <si>
    <t xml:space="preserve">6 4 </t>
  </si>
  <si>
    <t>SS</t>
  </si>
  <si>
    <t>Satisfactory</t>
  </si>
  <si>
    <t>Hard Work Needed</t>
  </si>
  <si>
    <t>Admireable</t>
  </si>
  <si>
    <t>Be Punctual</t>
  </si>
  <si>
    <t>Superb</t>
  </si>
  <si>
    <t>Growing</t>
  </si>
  <si>
    <t>S.No</t>
  </si>
  <si>
    <t>Name</t>
  </si>
  <si>
    <t>Total</t>
  </si>
  <si>
    <t>Percentage</t>
  </si>
  <si>
    <t>Overall Grade</t>
  </si>
  <si>
    <t>School will Reopen On</t>
  </si>
  <si>
    <t>Best Regards</t>
  </si>
  <si>
    <t>Teacher Signature</t>
  </si>
  <si>
    <t>H.M 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</si>
</sst>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  <font>
      <sz val="11"/>
      <color rgb="FF000000"/>
      <name val="Times New Roman"/>
      <family val="1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6" fillId="0" borderId="2" xfId="0" applyFont="1" applyBorder="1" applyAlignment="1">
      <alignment horizontal="center"/>
    </xf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6" fillId="0" borderId="4" xfId="0" applyFont="1" applyBorder="1"/>
    <xf numFmtId="0" fontId="6" fillId="0" borderId="7" xfId="0" applyFont="1" applyBorder="1"/>
    <xf numFmtId="0" fontId="10" fillId="0" borderId="7" xfId="0" applyFont="1" applyBorder="1"/>
    <xf numFmtId="0" fontId="5" fillId="0" borderId="1" xfId="0" applyFont="1" applyBorder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0" fillId="4" borderId="4" xfId="0" applyFill="1" applyBorder="1"/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0" fillId="0" borderId="1" xfId="0" applyBorder="1"/>
    <xf numFmtId="0" fontId="4" fillId="0" borderId="4" xfId="0" applyFont="1" applyBorder="1" applyAlignment="1">
      <alignment horizontal="center" vertical="center"/>
    </xf>
    <xf numFmtId="9" fontId="4" fillId="0" borderId="4" xfId="1" applyFont="1" applyBorder="1" applyAlignment="1">
      <alignment horizontal="center" vertical="center"/>
    </xf>
    <xf numFmtId="0" fontId="0" fillId="0" borderId="4" xfId="0" applyBorder="1"/>
    <xf numFmtId="9" fontId="2" fillId="2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/>
    <xf numFmtId="9" fontId="12" fillId="0" borderId="5" xfId="0" applyNumberFormat="1" applyFont="1" applyBorder="1" applyAlignment="1">
      <alignment horizontal="center" vertical="center"/>
    </xf>
    <xf numFmtId="9" fontId="4" fillId="0" borderId="1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textRotation="90"/>
    </xf>
    <xf numFmtId="0" fontId="2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16" fillId="0" borderId="1" xfId="0" applyFont="1" applyBorder="1"/>
    <xf numFmtId="0" fontId="16" fillId="0" borderId="0" xfId="0" applyFont="1"/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6" fillId="0" borderId="30" xfId="0" applyFont="1" applyBorder="1"/>
    <xf numFmtId="0" fontId="16" fillId="0" borderId="31" xfId="0" applyFont="1" applyBorder="1"/>
    <xf numFmtId="0" fontId="16" fillId="0" borderId="25" xfId="0" applyFont="1" applyBorder="1"/>
    <xf numFmtId="0" fontId="0" fillId="0" borderId="9" xfId="0" applyBorder="1"/>
    <xf numFmtId="0" fontId="16" fillId="0" borderId="0" xfId="0" applyFont="1" applyAlignment="1">
      <alignment horizontal="right" vertical="center"/>
    </xf>
    <xf numFmtId="0" fontId="16" fillId="0" borderId="28" xfId="0" applyFont="1" applyBorder="1"/>
    <xf numFmtId="0" fontId="16" fillId="0" borderId="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5" xfId="0" applyFont="1" applyBorder="1" applyAlignment="1">
      <alignment vertical="center"/>
    </xf>
    <xf numFmtId="0" fontId="0" fillId="0" borderId="15" xfId="0" applyBorder="1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1" fillId="0" borderId="9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6" fillId="0" borderId="25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61"/>
  <sheetViews>
    <sheetView zoomScaleNormal="100" workbookViewId="0">
      <pane ySplit="6" topLeftCell="A7" activePane="bottomLeft" state="frozen"/>
      <selection pane="bottomLeft" activeCell="F5" sqref="F5:O5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8.28515625" style="1" bestFit="1" customWidth="1"/>
    <col min="4" max="4" width="22.5703125" style="1" bestFit="1" customWidth="1"/>
    <col min="5" max="5" width="6" style="1" bestFit="1" customWidth="1"/>
    <col min="6" max="19" width="5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15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</row>
    <row r="3" spans="1:20" ht="15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</row>
    <row r="4" spans="1:20" x14ac:dyDescent="0.2">
      <c r="A4" s="94" t="s">
        <v>2</v>
      </c>
      <c r="B4" s="94" t="s">
        <v>3</v>
      </c>
      <c r="C4" s="94" t="s">
        <v>5</v>
      </c>
      <c r="D4" s="94" t="s">
        <v>6</v>
      </c>
      <c r="E4" s="95" t="s">
        <v>4</v>
      </c>
      <c r="F4" s="65"/>
      <c r="G4" s="66" t="s">
        <v>7</v>
      </c>
      <c r="H4" s="67"/>
      <c r="I4" s="67"/>
      <c r="J4" s="67"/>
      <c r="K4" s="67"/>
      <c r="L4" s="67"/>
      <c r="M4" s="67"/>
      <c r="N4" s="67"/>
      <c r="O4" s="68"/>
      <c r="P4" s="95" t="s">
        <v>871</v>
      </c>
      <c r="Q4" s="95" t="s">
        <v>118</v>
      </c>
      <c r="R4" s="95" t="s">
        <v>12</v>
      </c>
      <c r="S4" s="95" t="s">
        <v>289</v>
      </c>
      <c r="T4" s="94" t="s">
        <v>16</v>
      </c>
    </row>
    <row r="5" spans="1:20" ht="48" x14ac:dyDescent="0.2">
      <c r="A5" s="94"/>
      <c r="B5" s="94"/>
      <c r="C5" s="94"/>
      <c r="D5" s="94"/>
      <c r="E5" s="96"/>
      <c r="F5" s="2" t="s">
        <v>8</v>
      </c>
      <c r="G5" s="2" t="s">
        <v>11</v>
      </c>
      <c r="H5" s="2" t="s">
        <v>861</v>
      </c>
      <c r="I5" s="2" t="s">
        <v>862</v>
      </c>
      <c r="J5" s="2" t="s">
        <v>865</v>
      </c>
      <c r="K5" s="2" t="s">
        <v>869</v>
      </c>
      <c r="L5" s="2" t="s">
        <v>866</v>
      </c>
      <c r="M5" s="2" t="s">
        <v>863</v>
      </c>
      <c r="N5" s="2" t="s">
        <v>867</v>
      </c>
      <c r="O5" s="2" t="s">
        <v>864</v>
      </c>
      <c r="P5" s="96"/>
      <c r="Q5" s="96"/>
      <c r="R5" s="96"/>
      <c r="S5" s="96"/>
      <c r="T5" s="94"/>
    </row>
    <row r="6" spans="1:20" ht="15.75" customHeight="1" x14ac:dyDescent="0.2">
      <c r="A6" s="94"/>
      <c r="B6" s="94"/>
      <c r="C6" s="94"/>
      <c r="D6" s="94"/>
      <c r="E6" s="97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>
        <v>150</v>
      </c>
      <c r="N6" s="3" t="s">
        <v>289</v>
      </c>
      <c r="O6" s="3" t="s">
        <v>289</v>
      </c>
      <c r="P6" s="3" t="s">
        <v>289</v>
      </c>
      <c r="Q6" s="3" t="s">
        <v>289</v>
      </c>
      <c r="R6" s="3" t="s">
        <v>857</v>
      </c>
      <c r="S6" s="97"/>
      <c r="T6" s="94"/>
    </row>
    <row r="7" spans="1:20" ht="26.25" x14ac:dyDescent="0.2">
      <c r="A7" s="90" t="s">
        <v>119</v>
      </c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2"/>
    </row>
    <row r="8" spans="1:20" ht="24" customHeight="1" x14ac:dyDescent="0.25">
      <c r="A8" s="46">
        <v>1</v>
      </c>
      <c r="B8" s="40">
        <v>112</v>
      </c>
      <c r="C8" s="45" t="s">
        <v>17</v>
      </c>
      <c r="D8" s="45" t="s">
        <v>18</v>
      </c>
      <c r="E8" s="5" t="s">
        <v>114</v>
      </c>
      <c r="F8" s="4" t="s">
        <v>819</v>
      </c>
      <c r="G8" s="4" t="s">
        <v>818</v>
      </c>
      <c r="H8" s="4" t="s">
        <v>820</v>
      </c>
      <c r="I8" s="4" t="s">
        <v>821</v>
      </c>
      <c r="J8" s="4" t="s">
        <v>821</v>
      </c>
      <c r="K8" s="4" t="s">
        <v>821</v>
      </c>
      <c r="L8" s="4" t="s">
        <v>823</v>
      </c>
      <c r="M8" s="4" t="s">
        <v>821</v>
      </c>
      <c r="N8" s="4" t="s">
        <v>818</v>
      </c>
      <c r="O8" s="4" t="s">
        <v>822</v>
      </c>
      <c r="P8" s="4" t="s">
        <v>820</v>
      </c>
      <c r="Q8" s="4" t="s">
        <v>820</v>
      </c>
      <c r="R8" s="52">
        <v>0.54</v>
      </c>
      <c r="S8" s="4" t="s">
        <v>821</v>
      </c>
      <c r="T8" s="4" t="s">
        <v>848</v>
      </c>
    </row>
    <row r="9" spans="1:20" ht="24" customHeight="1" x14ac:dyDescent="0.25">
      <c r="A9" s="46">
        <v>2</v>
      </c>
      <c r="B9" s="40">
        <v>135</v>
      </c>
      <c r="C9" s="45" t="s">
        <v>23</v>
      </c>
      <c r="D9" s="45" t="s">
        <v>24</v>
      </c>
      <c r="E9" s="5" t="s">
        <v>114</v>
      </c>
      <c r="F9" s="4" t="s">
        <v>823</v>
      </c>
      <c r="G9" s="4" t="s">
        <v>823</v>
      </c>
      <c r="H9" s="4" t="s">
        <v>823</v>
      </c>
      <c r="I9" s="4" t="s">
        <v>823</v>
      </c>
      <c r="J9" s="4" t="s">
        <v>819</v>
      </c>
      <c r="K9" s="4" t="s">
        <v>823</v>
      </c>
      <c r="L9" s="4" t="s">
        <v>820</v>
      </c>
      <c r="M9" s="4" t="s">
        <v>823</v>
      </c>
      <c r="N9" s="4" t="s">
        <v>820</v>
      </c>
      <c r="O9" s="4" t="s">
        <v>823</v>
      </c>
      <c r="P9" s="4" t="s">
        <v>819</v>
      </c>
      <c r="Q9" s="4" t="s">
        <v>820</v>
      </c>
      <c r="R9" s="52">
        <v>0.67</v>
      </c>
      <c r="S9" s="4" t="s">
        <v>819</v>
      </c>
      <c r="T9" s="4" t="s">
        <v>849</v>
      </c>
    </row>
    <row r="10" spans="1:20" ht="24" customHeight="1" x14ac:dyDescent="0.25">
      <c r="A10" s="46">
        <v>3</v>
      </c>
      <c r="B10" s="40">
        <v>137</v>
      </c>
      <c r="C10" s="45" t="s">
        <v>27</v>
      </c>
      <c r="D10" s="45" t="s">
        <v>28</v>
      </c>
      <c r="E10" s="5" t="s">
        <v>114</v>
      </c>
      <c r="F10" s="4" t="s">
        <v>823</v>
      </c>
      <c r="G10" s="4" t="s">
        <v>823</v>
      </c>
      <c r="H10" s="4" t="s">
        <v>823</v>
      </c>
      <c r="I10" s="4" t="s">
        <v>823</v>
      </c>
      <c r="J10" s="4" t="s">
        <v>823</v>
      </c>
      <c r="K10" s="4" t="s">
        <v>823</v>
      </c>
      <c r="L10" s="4" t="s">
        <v>823</v>
      </c>
      <c r="M10" s="4" t="s">
        <v>819</v>
      </c>
      <c r="N10" s="4" t="s">
        <v>823</v>
      </c>
      <c r="O10" s="4" t="s">
        <v>823</v>
      </c>
      <c r="P10" s="4" t="s">
        <v>819</v>
      </c>
      <c r="Q10" s="4" t="s">
        <v>820</v>
      </c>
      <c r="R10" s="52">
        <v>0.65</v>
      </c>
      <c r="S10" s="4" t="s">
        <v>823</v>
      </c>
      <c r="T10" s="4" t="s">
        <v>849</v>
      </c>
    </row>
    <row r="11" spans="1:20" ht="24" customHeight="1" x14ac:dyDescent="0.25">
      <c r="A11" s="46">
        <v>4</v>
      </c>
      <c r="B11" s="40">
        <v>173</v>
      </c>
      <c r="C11" s="45" t="s">
        <v>31</v>
      </c>
      <c r="D11" s="45" t="s">
        <v>32</v>
      </c>
      <c r="E11" s="5" t="s">
        <v>114</v>
      </c>
      <c r="F11" s="4" t="s">
        <v>823</v>
      </c>
      <c r="G11" s="4" t="s">
        <v>823</v>
      </c>
      <c r="H11" s="4" t="s">
        <v>823</v>
      </c>
      <c r="I11" s="4" t="s">
        <v>823</v>
      </c>
      <c r="J11" s="4" t="s">
        <v>823</v>
      </c>
      <c r="K11" s="4" t="s">
        <v>823</v>
      </c>
      <c r="L11" s="4" t="s">
        <v>819</v>
      </c>
      <c r="M11" s="4" t="s">
        <v>823</v>
      </c>
      <c r="N11" s="4" t="s">
        <v>823</v>
      </c>
      <c r="O11" s="4" t="s">
        <v>819</v>
      </c>
      <c r="P11" s="4" t="s">
        <v>819</v>
      </c>
      <c r="Q11" s="4" t="s">
        <v>819</v>
      </c>
      <c r="R11" s="52">
        <v>0.67</v>
      </c>
      <c r="S11" s="4" t="s">
        <v>823</v>
      </c>
      <c r="T11" s="4" t="s">
        <v>849</v>
      </c>
    </row>
    <row r="12" spans="1:20" ht="24" customHeight="1" x14ac:dyDescent="0.25">
      <c r="A12" s="46">
        <v>5</v>
      </c>
      <c r="B12" s="47">
        <v>143</v>
      </c>
      <c r="C12" s="45" t="s">
        <v>35</v>
      </c>
      <c r="D12" s="45" t="s">
        <v>36</v>
      </c>
      <c r="E12" s="5" t="s">
        <v>114</v>
      </c>
      <c r="F12" s="4" t="s">
        <v>820</v>
      </c>
      <c r="G12" s="4" t="s">
        <v>820</v>
      </c>
      <c r="H12" s="4" t="s">
        <v>823</v>
      </c>
      <c r="I12" s="4" t="s">
        <v>820</v>
      </c>
      <c r="J12" s="4" t="s">
        <v>823</v>
      </c>
      <c r="K12" s="4" t="s">
        <v>821</v>
      </c>
      <c r="L12" s="4" t="s">
        <v>820</v>
      </c>
      <c r="M12" s="4" t="s">
        <v>820</v>
      </c>
      <c r="N12" s="4" t="s">
        <v>820</v>
      </c>
      <c r="O12" s="4" t="s">
        <v>823</v>
      </c>
      <c r="P12" s="4" t="s">
        <v>820</v>
      </c>
      <c r="Q12" s="4" t="s">
        <v>819</v>
      </c>
      <c r="R12" s="52">
        <v>0.69</v>
      </c>
      <c r="S12" s="4" t="s">
        <v>820</v>
      </c>
      <c r="T12" s="4" t="s">
        <v>850</v>
      </c>
    </row>
    <row r="13" spans="1:20" ht="24" customHeight="1" x14ac:dyDescent="0.25">
      <c r="A13" s="46">
        <v>6</v>
      </c>
      <c r="B13" s="47">
        <v>146</v>
      </c>
      <c r="C13" s="45" t="s">
        <v>41</v>
      </c>
      <c r="D13" s="45" t="s">
        <v>42</v>
      </c>
      <c r="E13" s="5" t="s">
        <v>114</v>
      </c>
      <c r="F13" s="4" t="s">
        <v>823</v>
      </c>
      <c r="G13" s="4" t="s">
        <v>823</v>
      </c>
      <c r="H13" s="4" t="s">
        <v>823</v>
      </c>
      <c r="I13" s="4" t="s">
        <v>823</v>
      </c>
      <c r="J13" s="4" t="s">
        <v>823</v>
      </c>
      <c r="K13" s="4" t="s">
        <v>823</v>
      </c>
      <c r="L13" s="4" t="s">
        <v>823</v>
      </c>
      <c r="M13" s="4" t="s">
        <v>819</v>
      </c>
      <c r="N13" s="4" t="s">
        <v>823</v>
      </c>
      <c r="O13" s="4" t="s">
        <v>823</v>
      </c>
      <c r="P13" s="4" t="s">
        <v>819</v>
      </c>
      <c r="Q13" s="4" t="s">
        <v>819</v>
      </c>
      <c r="R13" s="52">
        <v>0.68</v>
      </c>
      <c r="S13" s="4" t="s">
        <v>823</v>
      </c>
      <c r="T13" s="4" t="s">
        <v>851</v>
      </c>
    </row>
    <row r="14" spans="1:20" ht="24" customHeight="1" x14ac:dyDescent="0.25">
      <c r="A14" s="46">
        <v>7</v>
      </c>
      <c r="B14" s="47">
        <v>148</v>
      </c>
      <c r="C14" s="45" t="s">
        <v>43</v>
      </c>
      <c r="D14" s="45" t="s">
        <v>44</v>
      </c>
      <c r="E14" s="5" t="s">
        <v>114</v>
      </c>
      <c r="F14" s="4" t="s">
        <v>823</v>
      </c>
      <c r="G14" s="4" t="s">
        <v>823</v>
      </c>
      <c r="H14" s="4" t="s">
        <v>823</v>
      </c>
      <c r="I14" s="4" t="s">
        <v>823</v>
      </c>
      <c r="J14" s="4" t="s">
        <v>819</v>
      </c>
      <c r="K14" s="4" t="s">
        <v>823</v>
      </c>
      <c r="L14" s="4" t="s">
        <v>823</v>
      </c>
      <c r="M14" s="4" t="s">
        <v>819</v>
      </c>
      <c r="N14" s="4" t="s">
        <v>819</v>
      </c>
      <c r="O14" s="4" t="s">
        <v>819</v>
      </c>
      <c r="P14" s="4" t="s">
        <v>819</v>
      </c>
      <c r="Q14" s="4" t="s">
        <v>823</v>
      </c>
      <c r="R14" s="52">
        <v>0.51</v>
      </c>
      <c r="S14" s="4" t="s">
        <v>823</v>
      </c>
      <c r="T14" s="4" t="s">
        <v>851</v>
      </c>
    </row>
    <row r="15" spans="1:20" ht="24" customHeight="1" x14ac:dyDescent="0.25">
      <c r="A15" s="46">
        <v>8</v>
      </c>
      <c r="B15" s="47">
        <v>150</v>
      </c>
      <c r="C15" s="45" t="s">
        <v>45</v>
      </c>
      <c r="D15" s="45" t="s">
        <v>46</v>
      </c>
      <c r="E15" s="5" t="s">
        <v>114</v>
      </c>
      <c r="F15" s="4" t="s">
        <v>823</v>
      </c>
      <c r="G15" s="4" t="s">
        <v>820</v>
      </c>
      <c r="H15" s="4" t="s">
        <v>823</v>
      </c>
      <c r="I15" s="4" t="s">
        <v>823</v>
      </c>
      <c r="J15" s="4" t="s">
        <v>820</v>
      </c>
      <c r="K15" s="4" t="s">
        <v>823</v>
      </c>
      <c r="L15" s="4" t="s">
        <v>823</v>
      </c>
      <c r="M15" s="4" t="s">
        <v>823</v>
      </c>
      <c r="N15" s="4" t="s">
        <v>823</v>
      </c>
      <c r="O15" s="4" t="s">
        <v>823</v>
      </c>
      <c r="P15" s="4" t="s">
        <v>819</v>
      </c>
      <c r="Q15" s="4" t="s">
        <v>819</v>
      </c>
      <c r="R15" s="52">
        <v>0.61</v>
      </c>
      <c r="S15" s="4" t="s">
        <v>819</v>
      </c>
      <c r="T15" s="4" t="s">
        <v>852</v>
      </c>
    </row>
    <row r="16" spans="1:20" ht="24" customHeight="1" x14ac:dyDescent="0.25">
      <c r="A16" s="46">
        <v>9</v>
      </c>
      <c r="B16" s="47">
        <v>151</v>
      </c>
      <c r="C16" s="45" t="s">
        <v>47</v>
      </c>
      <c r="D16" s="45" t="s">
        <v>48</v>
      </c>
      <c r="E16" s="5" t="s">
        <v>114</v>
      </c>
      <c r="F16" s="4" t="s">
        <v>823</v>
      </c>
      <c r="G16" s="4" t="s">
        <v>820</v>
      </c>
      <c r="H16" s="4" t="s">
        <v>823</v>
      </c>
      <c r="I16" s="4" t="s">
        <v>823</v>
      </c>
      <c r="J16" s="4" t="s">
        <v>820</v>
      </c>
      <c r="K16" s="4" t="s">
        <v>819</v>
      </c>
      <c r="L16" s="4" t="s">
        <v>819</v>
      </c>
      <c r="M16" s="4" t="s">
        <v>819</v>
      </c>
      <c r="N16" s="4" t="s">
        <v>820</v>
      </c>
      <c r="O16" s="4" t="s">
        <v>823</v>
      </c>
      <c r="P16" s="4" t="s">
        <v>820</v>
      </c>
      <c r="Q16" s="4" t="s">
        <v>819</v>
      </c>
      <c r="R16" s="52">
        <v>0.64</v>
      </c>
      <c r="S16" s="4" t="s">
        <v>820</v>
      </c>
      <c r="T16" s="4" t="s">
        <v>853</v>
      </c>
    </row>
    <row r="17" spans="1:20" ht="24" customHeight="1" x14ac:dyDescent="0.25">
      <c r="A17" s="46">
        <v>10</v>
      </c>
      <c r="B17" s="40">
        <v>160</v>
      </c>
      <c r="C17" s="45" t="s">
        <v>63</v>
      </c>
      <c r="D17" s="45" t="s">
        <v>64</v>
      </c>
      <c r="E17" s="5" t="s">
        <v>114</v>
      </c>
      <c r="F17" s="4" t="s">
        <v>823</v>
      </c>
      <c r="G17" s="4" t="s">
        <v>820</v>
      </c>
      <c r="H17" s="4" t="s">
        <v>819</v>
      </c>
      <c r="I17" s="4" t="s">
        <v>819</v>
      </c>
      <c r="J17" s="4" t="s">
        <v>819</v>
      </c>
      <c r="K17" s="4" t="s">
        <v>823</v>
      </c>
      <c r="L17" s="4" t="s">
        <v>823</v>
      </c>
      <c r="M17" s="4" t="s">
        <v>819</v>
      </c>
      <c r="N17" s="4" t="s">
        <v>823</v>
      </c>
      <c r="O17" s="4" t="s">
        <v>819</v>
      </c>
      <c r="P17" s="4" t="s">
        <v>819</v>
      </c>
      <c r="Q17" s="4" t="s">
        <v>819</v>
      </c>
      <c r="R17" s="52">
        <v>0.66</v>
      </c>
      <c r="S17" s="4" t="s">
        <v>823</v>
      </c>
      <c r="T17" s="4" t="s">
        <v>849</v>
      </c>
    </row>
    <row r="18" spans="1:20" ht="24" customHeight="1" x14ac:dyDescent="0.25">
      <c r="A18" s="46">
        <v>11</v>
      </c>
      <c r="B18" s="40">
        <v>161</v>
      </c>
      <c r="C18" s="45" t="s">
        <v>65</v>
      </c>
      <c r="D18" s="45" t="s">
        <v>66</v>
      </c>
      <c r="E18" s="5" t="s">
        <v>114</v>
      </c>
      <c r="F18" s="4" t="s">
        <v>818</v>
      </c>
      <c r="G18" s="4" t="s">
        <v>820</v>
      </c>
      <c r="H18" s="4" t="s">
        <v>818</v>
      </c>
      <c r="I18" s="4" t="s">
        <v>823</v>
      </c>
      <c r="J18" s="4" t="s">
        <v>821</v>
      </c>
      <c r="K18" s="4" t="s">
        <v>819</v>
      </c>
      <c r="L18" s="4" t="s">
        <v>818</v>
      </c>
      <c r="M18" s="4" t="s">
        <v>823</v>
      </c>
      <c r="N18" s="4" t="s">
        <v>819</v>
      </c>
      <c r="O18" s="4" t="s">
        <v>819</v>
      </c>
      <c r="P18" s="4" t="s">
        <v>820</v>
      </c>
      <c r="Q18" s="4" t="s">
        <v>820</v>
      </c>
      <c r="R18" s="52">
        <v>0.59</v>
      </c>
      <c r="S18" s="4" t="s">
        <v>821</v>
      </c>
      <c r="T18" s="4" t="s">
        <v>850</v>
      </c>
    </row>
    <row r="19" spans="1:20" ht="24" customHeight="1" x14ac:dyDescent="0.25">
      <c r="A19" s="46">
        <v>12</v>
      </c>
      <c r="B19" s="40">
        <v>162</v>
      </c>
      <c r="C19" s="45" t="s">
        <v>67</v>
      </c>
      <c r="D19" s="45" t="s">
        <v>68</v>
      </c>
      <c r="E19" s="5" t="s">
        <v>114</v>
      </c>
      <c r="F19" s="4" t="s">
        <v>823</v>
      </c>
      <c r="G19" s="4" t="s">
        <v>820</v>
      </c>
      <c r="H19" s="4" t="s">
        <v>823</v>
      </c>
      <c r="I19" s="4" t="s">
        <v>823</v>
      </c>
      <c r="J19" s="4" t="s">
        <v>819</v>
      </c>
      <c r="K19" s="4" t="s">
        <v>823</v>
      </c>
      <c r="L19" s="4" t="s">
        <v>819</v>
      </c>
      <c r="M19" s="4" t="s">
        <v>823</v>
      </c>
      <c r="N19" s="4" t="s">
        <v>819</v>
      </c>
      <c r="O19" s="4" t="s">
        <v>823</v>
      </c>
      <c r="P19" s="4" t="s">
        <v>819</v>
      </c>
      <c r="Q19" s="4" t="s">
        <v>819</v>
      </c>
      <c r="R19" s="52">
        <v>0.66</v>
      </c>
      <c r="S19" s="4" t="s">
        <v>823</v>
      </c>
      <c r="T19" s="4" t="s">
        <v>849</v>
      </c>
    </row>
    <row r="20" spans="1:20" ht="24" customHeight="1" x14ac:dyDescent="0.25">
      <c r="A20" s="46">
        <v>13</v>
      </c>
      <c r="B20" s="40">
        <v>163</v>
      </c>
      <c r="C20" s="45" t="s">
        <v>69</v>
      </c>
      <c r="D20" s="45" t="s">
        <v>70</v>
      </c>
      <c r="E20" s="5" t="s">
        <v>114</v>
      </c>
      <c r="F20" s="4" t="s">
        <v>823</v>
      </c>
      <c r="G20" s="4" t="s">
        <v>819</v>
      </c>
      <c r="H20" s="4" t="s">
        <v>819</v>
      </c>
      <c r="I20" s="4" t="s">
        <v>819</v>
      </c>
      <c r="J20" s="4" t="s">
        <v>820</v>
      </c>
      <c r="K20" s="4" t="s">
        <v>819</v>
      </c>
      <c r="L20" s="4" t="s">
        <v>819</v>
      </c>
      <c r="M20" s="4" t="s">
        <v>823</v>
      </c>
      <c r="N20" s="4" t="s">
        <v>823</v>
      </c>
      <c r="O20" s="4" t="s">
        <v>823</v>
      </c>
      <c r="P20" s="4" t="s">
        <v>819</v>
      </c>
      <c r="Q20" s="4" t="s">
        <v>819</v>
      </c>
      <c r="R20" s="52">
        <v>0.77</v>
      </c>
      <c r="S20" s="4" t="s">
        <v>819</v>
      </c>
      <c r="T20" s="4" t="s">
        <v>854</v>
      </c>
    </row>
    <row r="21" spans="1:20" ht="24" customHeight="1" x14ac:dyDescent="0.25">
      <c r="A21" s="46">
        <v>14</v>
      </c>
      <c r="B21" s="40">
        <v>166</v>
      </c>
      <c r="C21" s="45" t="s">
        <v>73</v>
      </c>
      <c r="D21" s="45" t="s">
        <v>74</v>
      </c>
      <c r="E21" s="5" t="s">
        <v>114</v>
      </c>
      <c r="F21" s="4" t="s">
        <v>823</v>
      </c>
      <c r="G21" s="4" t="s">
        <v>823</v>
      </c>
      <c r="H21" s="4" t="s">
        <v>823</v>
      </c>
      <c r="I21" s="4" t="s">
        <v>823</v>
      </c>
      <c r="J21" s="4" t="s">
        <v>819</v>
      </c>
      <c r="K21" s="4" t="s">
        <v>823</v>
      </c>
      <c r="L21" s="4" t="s">
        <v>823</v>
      </c>
      <c r="M21" s="4" t="s">
        <v>823</v>
      </c>
      <c r="N21" s="4" t="s">
        <v>823</v>
      </c>
      <c r="O21" s="4" t="s">
        <v>823</v>
      </c>
      <c r="P21" s="4" t="s">
        <v>819</v>
      </c>
      <c r="Q21" s="4" t="s">
        <v>819</v>
      </c>
      <c r="R21" s="52">
        <v>0.76</v>
      </c>
      <c r="S21" s="4" t="s">
        <v>823</v>
      </c>
      <c r="T21" s="4" t="s">
        <v>851</v>
      </c>
    </row>
    <row r="22" spans="1:20" ht="24" customHeight="1" x14ac:dyDescent="0.25">
      <c r="A22" s="46">
        <v>15</v>
      </c>
      <c r="B22" s="40">
        <v>168</v>
      </c>
      <c r="C22" s="45" t="s">
        <v>76</v>
      </c>
      <c r="D22" s="45" t="s">
        <v>77</v>
      </c>
      <c r="E22" s="5" t="s">
        <v>114</v>
      </c>
      <c r="F22" s="4" t="s">
        <v>823</v>
      </c>
      <c r="G22" s="4" t="s">
        <v>823</v>
      </c>
      <c r="H22" s="4" t="s">
        <v>823</v>
      </c>
      <c r="I22" s="4" t="s">
        <v>823</v>
      </c>
      <c r="J22" s="4" t="s">
        <v>823</v>
      </c>
      <c r="K22" s="4" t="s">
        <v>823</v>
      </c>
      <c r="L22" s="4" t="s">
        <v>823</v>
      </c>
      <c r="M22" s="4" t="s">
        <v>823</v>
      </c>
      <c r="N22" s="4" t="s">
        <v>823</v>
      </c>
      <c r="O22" s="4" t="s">
        <v>823</v>
      </c>
      <c r="P22" s="4" t="s">
        <v>820</v>
      </c>
      <c r="Q22" s="4" t="s">
        <v>819</v>
      </c>
      <c r="R22" s="52">
        <v>0.72</v>
      </c>
      <c r="S22" s="4" t="s">
        <v>823</v>
      </c>
      <c r="T22" s="4" t="s">
        <v>851</v>
      </c>
    </row>
    <row r="23" spans="1:20" ht="24" customHeight="1" x14ac:dyDescent="0.25">
      <c r="A23" s="46">
        <v>16</v>
      </c>
      <c r="B23" s="40">
        <v>170</v>
      </c>
      <c r="C23" s="45" t="s">
        <v>80</v>
      </c>
      <c r="D23" s="45" t="s">
        <v>81</v>
      </c>
      <c r="E23" s="5" t="s">
        <v>114</v>
      </c>
      <c r="F23" s="4" t="s">
        <v>823</v>
      </c>
      <c r="G23" s="4" t="s">
        <v>819</v>
      </c>
      <c r="H23" s="4" t="s">
        <v>823</v>
      </c>
      <c r="I23" s="4" t="s">
        <v>823</v>
      </c>
      <c r="J23" s="4" t="s">
        <v>819</v>
      </c>
      <c r="K23" s="4" t="s">
        <v>819</v>
      </c>
      <c r="L23" s="4" t="s">
        <v>823</v>
      </c>
      <c r="M23" s="4" t="s">
        <v>823</v>
      </c>
      <c r="N23" s="4" t="s">
        <v>820</v>
      </c>
      <c r="O23" s="4" t="s">
        <v>823</v>
      </c>
      <c r="P23" s="4" t="s">
        <v>820</v>
      </c>
      <c r="Q23" s="4" t="s">
        <v>820</v>
      </c>
      <c r="R23" s="52">
        <v>0.66</v>
      </c>
      <c r="S23" s="4" t="s">
        <v>819</v>
      </c>
      <c r="T23" s="4" t="s">
        <v>854</v>
      </c>
    </row>
    <row r="24" spans="1:20" ht="24" customHeight="1" x14ac:dyDescent="0.25">
      <c r="A24" s="46">
        <v>17</v>
      </c>
      <c r="B24" s="40">
        <v>171</v>
      </c>
      <c r="C24" s="45" t="s">
        <v>82</v>
      </c>
      <c r="D24" s="45" t="s">
        <v>83</v>
      </c>
      <c r="E24" s="5" t="s">
        <v>114</v>
      </c>
      <c r="F24" s="4" t="s">
        <v>819</v>
      </c>
      <c r="G24" s="4" t="s">
        <v>821</v>
      </c>
      <c r="H24" s="4" t="s">
        <v>821</v>
      </c>
      <c r="I24" s="4" t="s">
        <v>821</v>
      </c>
      <c r="J24" s="4" t="s">
        <v>824</v>
      </c>
      <c r="K24" s="4" t="s">
        <v>824</v>
      </c>
      <c r="L24" s="4" t="s">
        <v>824</v>
      </c>
      <c r="M24" s="4" t="s">
        <v>820</v>
      </c>
      <c r="N24" s="4" t="s">
        <v>824</v>
      </c>
      <c r="O24" s="4" t="s">
        <v>823</v>
      </c>
      <c r="P24" s="4" t="s">
        <v>819</v>
      </c>
      <c r="Q24" s="4" t="s">
        <v>821</v>
      </c>
      <c r="R24" s="52">
        <v>0.44</v>
      </c>
      <c r="S24" s="4" t="s">
        <v>821</v>
      </c>
      <c r="T24" s="4" t="s">
        <v>855</v>
      </c>
    </row>
    <row r="25" spans="1:20" ht="24" customHeight="1" x14ac:dyDescent="0.25">
      <c r="A25" s="46">
        <v>18</v>
      </c>
      <c r="B25" s="40">
        <v>172</v>
      </c>
      <c r="C25" s="45" t="s">
        <v>84</v>
      </c>
      <c r="D25" s="45" t="s">
        <v>85</v>
      </c>
      <c r="E25" s="5" t="s">
        <v>114</v>
      </c>
      <c r="F25" s="4" t="s">
        <v>823</v>
      </c>
      <c r="G25" s="4" t="s">
        <v>820</v>
      </c>
      <c r="H25" s="4" t="s">
        <v>823</v>
      </c>
      <c r="I25" s="4" t="s">
        <v>823</v>
      </c>
      <c r="J25" s="4" t="s">
        <v>823</v>
      </c>
      <c r="K25" s="4" t="s">
        <v>820</v>
      </c>
      <c r="L25" s="4" t="s">
        <v>819</v>
      </c>
      <c r="M25" s="4" t="s">
        <v>823</v>
      </c>
      <c r="N25" s="4" t="s">
        <v>823</v>
      </c>
      <c r="O25" s="4" t="s">
        <v>823</v>
      </c>
      <c r="P25" s="4" t="s">
        <v>819</v>
      </c>
      <c r="Q25" s="4" t="s">
        <v>819</v>
      </c>
      <c r="R25" s="52">
        <v>0.62</v>
      </c>
      <c r="S25" s="4" t="s">
        <v>819</v>
      </c>
      <c r="T25" s="4" t="s">
        <v>853</v>
      </c>
    </row>
    <row r="26" spans="1:20" ht="24" customHeight="1" x14ac:dyDescent="0.25">
      <c r="A26" s="46">
        <v>19</v>
      </c>
      <c r="B26" s="40">
        <v>180</v>
      </c>
      <c r="C26" s="45" t="s">
        <v>89</v>
      </c>
      <c r="D26" s="45" t="s">
        <v>90</v>
      </c>
      <c r="E26" s="5" t="s">
        <v>114</v>
      </c>
      <c r="F26" s="4" t="s">
        <v>823</v>
      </c>
      <c r="G26" s="4" t="s">
        <v>819</v>
      </c>
      <c r="H26" s="4" t="s">
        <v>823</v>
      </c>
      <c r="I26" s="4" t="s">
        <v>823</v>
      </c>
      <c r="J26" s="4" t="s">
        <v>823</v>
      </c>
      <c r="K26" s="4" t="s">
        <v>823</v>
      </c>
      <c r="L26" s="4" t="s">
        <v>819</v>
      </c>
      <c r="M26" s="4" t="s">
        <v>823</v>
      </c>
      <c r="N26" s="4" t="s">
        <v>823</v>
      </c>
      <c r="O26" s="4" t="s">
        <v>819</v>
      </c>
      <c r="P26" s="4" t="s">
        <v>819</v>
      </c>
      <c r="Q26" s="4" t="s">
        <v>819</v>
      </c>
      <c r="R26" s="52">
        <v>0.7</v>
      </c>
      <c r="S26" s="4" t="s">
        <v>823</v>
      </c>
      <c r="T26" s="4" t="s">
        <v>851</v>
      </c>
    </row>
    <row r="27" spans="1:20" ht="24" customHeight="1" x14ac:dyDescent="0.25">
      <c r="A27" s="46">
        <v>20</v>
      </c>
      <c r="B27" s="40">
        <v>181</v>
      </c>
      <c r="C27" s="45" t="s">
        <v>99</v>
      </c>
      <c r="D27" s="45" t="s">
        <v>100</v>
      </c>
      <c r="E27" s="5" t="s">
        <v>114</v>
      </c>
      <c r="F27" s="4" t="s">
        <v>823</v>
      </c>
      <c r="G27" s="4" t="s">
        <v>823</v>
      </c>
      <c r="H27" s="4" t="s">
        <v>823</v>
      </c>
      <c r="I27" s="4" t="s">
        <v>823</v>
      </c>
      <c r="J27" s="4" t="s">
        <v>823</v>
      </c>
      <c r="K27" s="4" t="s">
        <v>823</v>
      </c>
      <c r="L27" s="4" t="s">
        <v>823</v>
      </c>
      <c r="M27" s="4" t="s">
        <v>823</v>
      </c>
      <c r="N27" s="4" t="s">
        <v>823</v>
      </c>
      <c r="O27" s="4" t="s">
        <v>823</v>
      </c>
      <c r="P27" s="4" t="s">
        <v>819</v>
      </c>
      <c r="Q27" s="4" t="s">
        <v>819</v>
      </c>
      <c r="R27" s="52">
        <v>0.65</v>
      </c>
      <c r="S27" s="4" t="s">
        <v>823</v>
      </c>
      <c r="T27" s="4" t="s">
        <v>851</v>
      </c>
    </row>
    <row r="28" spans="1:20" ht="24" customHeight="1" x14ac:dyDescent="0.25">
      <c r="A28" s="46">
        <v>21</v>
      </c>
      <c r="B28" s="40">
        <v>195</v>
      </c>
      <c r="C28" s="45" t="s">
        <v>101</v>
      </c>
      <c r="D28" s="45" t="s">
        <v>102</v>
      </c>
      <c r="E28" s="5" t="s">
        <v>114</v>
      </c>
      <c r="F28" s="4" t="s">
        <v>820</v>
      </c>
      <c r="G28" s="4" t="s">
        <v>820</v>
      </c>
      <c r="H28" s="4" t="s">
        <v>819</v>
      </c>
      <c r="I28" s="4" t="s">
        <v>823</v>
      </c>
      <c r="J28" s="4" t="s">
        <v>818</v>
      </c>
      <c r="K28" s="4" t="s">
        <v>821</v>
      </c>
      <c r="L28" s="4" t="s">
        <v>818</v>
      </c>
      <c r="M28" s="4" t="s">
        <v>820</v>
      </c>
      <c r="N28" s="4" t="s">
        <v>819</v>
      </c>
      <c r="O28" s="4" t="s">
        <v>820</v>
      </c>
      <c r="P28" s="4" t="s">
        <v>819</v>
      </c>
      <c r="Q28" s="4" t="s">
        <v>819</v>
      </c>
      <c r="R28" s="52">
        <v>0.63</v>
      </c>
      <c r="S28" s="4" t="s">
        <v>820</v>
      </c>
      <c r="T28" s="4" t="s">
        <v>853</v>
      </c>
    </row>
    <row r="29" spans="1:20" ht="24" customHeight="1" x14ac:dyDescent="0.25">
      <c r="A29" s="46">
        <v>22</v>
      </c>
      <c r="B29" s="40">
        <v>183</v>
      </c>
      <c r="C29" s="45" t="s">
        <v>847</v>
      </c>
      <c r="D29" s="45" t="s">
        <v>103</v>
      </c>
      <c r="E29" s="5" t="s">
        <v>114</v>
      </c>
      <c r="F29" s="4" t="s">
        <v>823</v>
      </c>
      <c r="G29" s="4" t="s">
        <v>823</v>
      </c>
      <c r="H29" s="4" t="s">
        <v>823</v>
      </c>
      <c r="I29" s="4" t="s">
        <v>823</v>
      </c>
      <c r="J29" s="4" t="s">
        <v>820</v>
      </c>
      <c r="K29" s="4" t="s">
        <v>823</v>
      </c>
      <c r="L29" s="4" t="s">
        <v>823</v>
      </c>
      <c r="M29" s="4" t="s">
        <v>823</v>
      </c>
      <c r="N29" s="4" t="s">
        <v>823</v>
      </c>
      <c r="O29" s="4" t="s">
        <v>819</v>
      </c>
      <c r="P29" s="4" t="s">
        <v>819</v>
      </c>
      <c r="Q29" s="4" t="s">
        <v>819</v>
      </c>
      <c r="R29" s="52">
        <v>0.6</v>
      </c>
      <c r="S29" s="4" t="s">
        <v>823</v>
      </c>
      <c r="T29" s="4" t="s">
        <v>851</v>
      </c>
    </row>
    <row r="30" spans="1:20" ht="24" customHeight="1" x14ac:dyDescent="0.25">
      <c r="A30" s="46">
        <v>23</v>
      </c>
      <c r="B30" s="40">
        <v>170</v>
      </c>
      <c r="C30" s="41" t="s">
        <v>799</v>
      </c>
      <c r="D30" s="41" t="s">
        <v>800</v>
      </c>
      <c r="E30" s="5" t="s">
        <v>114</v>
      </c>
      <c r="F30" s="4" t="s">
        <v>823</v>
      </c>
      <c r="G30" s="4" t="s">
        <v>819</v>
      </c>
      <c r="H30" s="4" t="s">
        <v>823</v>
      </c>
      <c r="I30" s="4" t="s">
        <v>820</v>
      </c>
      <c r="J30" s="4" t="s">
        <v>819</v>
      </c>
      <c r="K30" s="4" t="s">
        <v>820</v>
      </c>
      <c r="L30" s="4" t="s">
        <v>820</v>
      </c>
      <c r="M30" s="4" t="s">
        <v>823</v>
      </c>
      <c r="N30" s="4" t="s">
        <v>823</v>
      </c>
      <c r="O30" s="4" t="s">
        <v>819</v>
      </c>
      <c r="P30" s="4" t="s">
        <v>820</v>
      </c>
      <c r="Q30" s="4" t="s">
        <v>819</v>
      </c>
      <c r="R30" s="52">
        <v>0.44</v>
      </c>
      <c r="S30" s="4" t="s">
        <v>820</v>
      </c>
      <c r="T30" s="4" t="s">
        <v>853</v>
      </c>
    </row>
    <row r="31" spans="1:20" ht="24" customHeight="1" x14ac:dyDescent="0.2">
      <c r="A31" s="90" t="s">
        <v>165</v>
      </c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2"/>
    </row>
    <row r="32" spans="1:20" ht="24" customHeight="1" x14ac:dyDescent="0.25">
      <c r="A32" s="46">
        <v>1</v>
      </c>
      <c r="B32" s="40">
        <v>99</v>
      </c>
      <c r="C32" s="45" t="s">
        <v>19</v>
      </c>
      <c r="D32" s="45" t="s">
        <v>20</v>
      </c>
      <c r="E32" s="5" t="s">
        <v>114</v>
      </c>
      <c r="F32" s="4" t="s">
        <v>819</v>
      </c>
      <c r="G32" s="4" t="s">
        <v>821</v>
      </c>
      <c r="H32" s="4" t="s">
        <v>819</v>
      </c>
      <c r="I32" s="4" t="s">
        <v>819</v>
      </c>
      <c r="J32" s="4" t="s">
        <v>820</v>
      </c>
      <c r="K32" s="4" t="s">
        <v>821</v>
      </c>
      <c r="L32" s="4" t="s">
        <v>820</v>
      </c>
      <c r="M32" s="4" t="s">
        <v>823</v>
      </c>
      <c r="N32" s="4" t="s">
        <v>819</v>
      </c>
      <c r="O32" s="4" t="s">
        <v>819</v>
      </c>
      <c r="P32" s="4" t="s">
        <v>820</v>
      </c>
      <c r="Q32" s="4" t="s">
        <v>820</v>
      </c>
      <c r="R32" s="52">
        <v>0.69</v>
      </c>
      <c r="S32" s="4" t="s">
        <v>820</v>
      </c>
      <c r="T32" s="4" t="s">
        <v>850</v>
      </c>
    </row>
    <row r="33" spans="1:20" ht="24" customHeight="1" x14ac:dyDescent="0.25">
      <c r="A33" s="46">
        <v>2</v>
      </c>
      <c r="B33" s="40">
        <v>98</v>
      </c>
      <c r="C33" s="45" t="s">
        <v>21</v>
      </c>
      <c r="D33" s="45" t="s">
        <v>22</v>
      </c>
      <c r="E33" s="5" t="s">
        <v>114</v>
      </c>
      <c r="F33" s="4" t="s">
        <v>823</v>
      </c>
      <c r="G33" s="4" t="s">
        <v>823</v>
      </c>
      <c r="H33" s="4" t="s">
        <v>823</v>
      </c>
      <c r="I33" s="4" t="s">
        <v>823</v>
      </c>
      <c r="J33" s="4" t="s">
        <v>823</v>
      </c>
      <c r="K33" s="4" t="s">
        <v>823</v>
      </c>
      <c r="L33" s="4" t="s">
        <v>823</v>
      </c>
      <c r="M33" s="4" t="s">
        <v>819</v>
      </c>
      <c r="N33" s="4" t="s">
        <v>819</v>
      </c>
      <c r="O33" s="4" t="s">
        <v>823</v>
      </c>
      <c r="P33" s="4" t="s">
        <v>820</v>
      </c>
      <c r="Q33" s="4" t="s">
        <v>820</v>
      </c>
      <c r="R33" s="52">
        <v>0.6</v>
      </c>
      <c r="S33" s="4" t="s">
        <v>823</v>
      </c>
      <c r="T33" s="4" t="s">
        <v>854</v>
      </c>
    </row>
    <row r="34" spans="1:20" ht="24" customHeight="1" x14ac:dyDescent="0.25">
      <c r="A34" s="46">
        <v>3</v>
      </c>
      <c r="B34" s="40">
        <v>136</v>
      </c>
      <c r="C34" s="45" t="s">
        <v>25</v>
      </c>
      <c r="D34" s="45" t="s">
        <v>26</v>
      </c>
      <c r="E34" s="5" t="s">
        <v>114</v>
      </c>
      <c r="F34" s="4" t="s">
        <v>823</v>
      </c>
      <c r="G34" s="4" t="s">
        <v>819</v>
      </c>
      <c r="H34" s="4" t="s">
        <v>819</v>
      </c>
      <c r="I34" s="4" t="s">
        <v>819</v>
      </c>
      <c r="J34" s="4" t="s">
        <v>819</v>
      </c>
      <c r="K34" s="4" t="s">
        <v>820</v>
      </c>
      <c r="L34" s="4" t="s">
        <v>823</v>
      </c>
      <c r="M34" s="4" t="s">
        <v>819</v>
      </c>
      <c r="N34" s="4" t="s">
        <v>819</v>
      </c>
      <c r="O34" s="4" t="s">
        <v>819</v>
      </c>
      <c r="P34" s="4" t="s">
        <v>819</v>
      </c>
      <c r="Q34" s="4" t="s">
        <v>819</v>
      </c>
      <c r="R34" s="52">
        <v>0.62</v>
      </c>
      <c r="S34" s="4" t="s">
        <v>819</v>
      </c>
      <c r="T34" s="4" t="s">
        <v>852</v>
      </c>
    </row>
    <row r="35" spans="1:20" ht="24" customHeight="1" x14ac:dyDescent="0.25">
      <c r="A35" s="46">
        <v>4</v>
      </c>
      <c r="B35" s="40">
        <v>139</v>
      </c>
      <c r="C35" s="45" t="s">
        <v>29</v>
      </c>
      <c r="D35" s="45" t="s">
        <v>30</v>
      </c>
      <c r="E35" s="5" t="s">
        <v>114</v>
      </c>
      <c r="F35" s="4" t="s">
        <v>819</v>
      </c>
      <c r="G35" s="4" t="s">
        <v>820</v>
      </c>
      <c r="H35" s="4" t="s">
        <v>820</v>
      </c>
      <c r="I35" s="4" t="s">
        <v>820</v>
      </c>
      <c r="J35" s="4" t="s">
        <v>819</v>
      </c>
      <c r="K35" s="4" t="s">
        <v>820</v>
      </c>
      <c r="L35" s="4" t="s">
        <v>819</v>
      </c>
      <c r="M35" s="4" t="s">
        <v>819</v>
      </c>
      <c r="N35" s="4" t="s">
        <v>823</v>
      </c>
      <c r="O35" s="4" t="s">
        <v>823</v>
      </c>
      <c r="P35" s="4" t="s">
        <v>819</v>
      </c>
      <c r="Q35" s="4" t="s">
        <v>819</v>
      </c>
      <c r="R35" s="52">
        <v>0.64</v>
      </c>
      <c r="S35" s="4" t="s">
        <v>820</v>
      </c>
      <c r="T35" s="4" t="s">
        <v>853</v>
      </c>
    </row>
    <row r="36" spans="1:20" ht="24" customHeight="1" x14ac:dyDescent="0.25">
      <c r="A36" s="46">
        <v>5</v>
      </c>
      <c r="B36" s="40">
        <v>142</v>
      </c>
      <c r="C36" s="45" t="s">
        <v>33</v>
      </c>
      <c r="D36" s="45" t="s">
        <v>34</v>
      </c>
      <c r="E36" s="5" t="s">
        <v>114</v>
      </c>
      <c r="F36" s="4" t="s">
        <v>823</v>
      </c>
      <c r="G36" s="4" t="s">
        <v>820</v>
      </c>
      <c r="H36" s="4" t="s">
        <v>820</v>
      </c>
      <c r="I36" s="4" t="s">
        <v>819</v>
      </c>
      <c r="J36" s="4" t="s">
        <v>823</v>
      </c>
      <c r="K36" s="4" t="s">
        <v>820</v>
      </c>
      <c r="L36" s="4" t="s">
        <v>819</v>
      </c>
      <c r="M36" s="4" t="s">
        <v>823</v>
      </c>
      <c r="N36" s="4" t="s">
        <v>819</v>
      </c>
      <c r="O36" s="4" t="s">
        <v>823</v>
      </c>
      <c r="P36" s="4" t="s">
        <v>820</v>
      </c>
      <c r="Q36" s="4" t="s">
        <v>819</v>
      </c>
      <c r="R36" s="52">
        <v>0.73</v>
      </c>
      <c r="S36" s="4" t="s">
        <v>820</v>
      </c>
      <c r="T36" s="4" t="s">
        <v>856</v>
      </c>
    </row>
    <row r="37" spans="1:20" ht="24" customHeight="1" x14ac:dyDescent="0.25">
      <c r="A37" s="46">
        <v>6</v>
      </c>
      <c r="B37" s="47">
        <v>144</v>
      </c>
      <c r="C37" s="45" t="s">
        <v>37</v>
      </c>
      <c r="D37" s="45" t="s">
        <v>38</v>
      </c>
      <c r="E37" s="5" t="s">
        <v>114</v>
      </c>
      <c r="F37" s="4" t="s">
        <v>819</v>
      </c>
      <c r="G37" s="4" t="s">
        <v>821</v>
      </c>
      <c r="H37" s="4" t="s">
        <v>823</v>
      </c>
      <c r="I37" s="4" t="s">
        <v>819</v>
      </c>
      <c r="J37" s="4" t="s">
        <v>820</v>
      </c>
      <c r="K37" s="4" t="s">
        <v>820</v>
      </c>
      <c r="L37" s="4" t="s">
        <v>823</v>
      </c>
      <c r="M37" s="4" t="s">
        <v>823</v>
      </c>
      <c r="N37" s="4" t="s">
        <v>823</v>
      </c>
      <c r="O37" s="4" t="s">
        <v>819</v>
      </c>
      <c r="P37" s="4" t="s">
        <v>819</v>
      </c>
      <c r="Q37" s="4" t="s">
        <v>819</v>
      </c>
      <c r="R37" s="52">
        <v>0.69</v>
      </c>
      <c r="S37" s="4" t="s">
        <v>819</v>
      </c>
      <c r="T37" s="4" t="s">
        <v>852</v>
      </c>
    </row>
    <row r="38" spans="1:20" ht="24" customHeight="1" x14ac:dyDescent="0.25">
      <c r="A38" s="46">
        <v>7</v>
      </c>
      <c r="B38" s="47">
        <v>145</v>
      </c>
      <c r="C38" s="45" t="s">
        <v>39</v>
      </c>
      <c r="D38" s="45" t="s">
        <v>40</v>
      </c>
      <c r="E38" s="5" t="s">
        <v>114</v>
      </c>
      <c r="F38" s="4" t="s">
        <v>823</v>
      </c>
      <c r="G38" s="4" t="s">
        <v>819</v>
      </c>
      <c r="H38" s="4" t="s">
        <v>823</v>
      </c>
      <c r="I38" s="4" t="s">
        <v>819</v>
      </c>
      <c r="J38" s="4" t="s">
        <v>823</v>
      </c>
      <c r="K38" s="4" t="s">
        <v>820</v>
      </c>
      <c r="L38" s="4" t="s">
        <v>819</v>
      </c>
      <c r="M38" s="4" t="s">
        <v>819</v>
      </c>
      <c r="N38" s="4" t="s">
        <v>820</v>
      </c>
      <c r="O38" s="4" t="s">
        <v>819</v>
      </c>
      <c r="P38" s="4" t="s">
        <v>819</v>
      </c>
      <c r="Q38" s="4" t="s">
        <v>819</v>
      </c>
      <c r="R38" s="52">
        <v>0.69</v>
      </c>
      <c r="S38" s="4" t="s">
        <v>819</v>
      </c>
      <c r="T38" s="4" t="s">
        <v>852</v>
      </c>
    </row>
    <row r="39" spans="1:20" ht="24" customHeight="1" x14ac:dyDescent="0.25">
      <c r="A39" s="46">
        <v>8</v>
      </c>
      <c r="B39" s="47">
        <v>152</v>
      </c>
      <c r="C39" s="45" t="s">
        <v>49</v>
      </c>
      <c r="D39" s="45" t="s">
        <v>50</v>
      </c>
      <c r="E39" s="5" t="s">
        <v>114</v>
      </c>
      <c r="F39" s="4" t="s">
        <v>823</v>
      </c>
      <c r="G39" s="4" t="s">
        <v>819</v>
      </c>
      <c r="H39" s="4" t="s">
        <v>823</v>
      </c>
      <c r="I39" s="4" t="s">
        <v>819</v>
      </c>
      <c r="J39" s="4" t="s">
        <v>821</v>
      </c>
      <c r="K39" s="4" t="s">
        <v>819</v>
      </c>
      <c r="L39" s="4" t="s">
        <v>819</v>
      </c>
      <c r="M39" s="4" t="s">
        <v>823</v>
      </c>
      <c r="N39" s="4" t="s">
        <v>821</v>
      </c>
      <c r="O39" s="4" t="s">
        <v>819</v>
      </c>
      <c r="P39" s="4" t="s">
        <v>820</v>
      </c>
      <c r="Q39" s="4" t="s">
        <v>819</v>
      </c>
      <c r="R39" s="52">
        <v>0.67</v>
      </c>
      <c r="S39" s="4" t="s">
        <v>819</v>
      </c>
      <c r="T39" s="4" t="s">
        <v>852</v>
      </c>
    </row>
    <row r="40" spans="1:20" ht="24" customHeight="1" x14ac:dyDescent="0.25">
      <c r="A40" s="46">
        <v>9</v>
      </c>
      <c r="B40" s="47">
        <v>153</v>
      </c>
      <c r="C40" s="45" t="s">
        <v>51</v>
      </c>
      <c r="D40" s="45" t="s">
        <v>52</v>
      </c>
      <c r="E40" s="5" t="s">
        <v>114</v>
      </c>
      <c r="F40" s="4" t="s">
        <v>820</v>
      </c>
      <c r="G40" s="4" t="s">
        <v>821</v>
      </c>
      <c r="H40" s="4" t="s">
        <v>821</v>
      </c>
      <c r="I40" s="4" t="s">
        <v>820</v>
      </c>
      <c r="J40" s="4" t="s">
        <v>821</v>
      </c>
      <c r="K40" s="4" t="s">
        <v>821</v>
      </c>
      <c r="L40" s="4" t="s">
        <v>820</v>
      </c>
      <c r="M40" s="4" t="s">
        <v>819</v>
      </c>
      <c r="N40" s="4" t="s">
        <v>822</v>
      </c>
      <c r="O40" s="4" t="s">
        <v>819</v>
      </c>
      <c r="P40" s="4" t="s">
        <v>820</v>
      </c>
      <c r="Q40" s="4" t="s">
        <v>819</v>
      </c>
      <c r="R40" s="52">
        <v>0.68</v>
      </c>
      <c r="S40" s="4" t="s">
        <v>821</v>
      </c>
      <c r="T40" s="4" t="s">
        <v>848</v>
      </c>
    </row>
    <row r="41" spans="1:20" ht="24" customHeight="1" x14ac:dyDescent="0.25">
      <c r="A41" s="46">
        <v>10</v>
      </c>
      <c r="B41" s="47">
        <v>154</v>
      </c>
      <c r="C41" s="45" t="s">
        <v>53</v>
      </c>
      <c r="D41" s="45" t="s">
        <v>54</v>
      </c>
      <c r="E41" s="5" t="s">
        <v>114</v>
      </c>
      <c r="F41" s="4" t="s">
        <v>819</v>
      </c>
      <c r="G41" s="4" t="s">
        <v>821</v>
      </c>
      <c r="H41" s="4" t="s">
        <v>820</v>
      </c>
      <c r="I41" s="4" t="s">
        <v>819</v>
      </c>
      <c r="J41" s="4" t="s">
        <v>819</v>
      </c>
      <c r="K41" s="4" t="s">
        <v>820</v>
      </c>
      <c r="L41" s="4" t="s">
        <v>819</v>
      </c>
      <c r="M41" s="4" t="s">
        <v>819</v>
      </c>
      <c r="N41" s="4" t="s">
        <v>821</v>
      </c>
      <c r="O41" s="4" t="s">
        <v>819</v>
      </c>
      <c r="P41" s="4" t="s">
        <v>820</v>
      </c>
      <c r="Q41" s="4" t="s">
        <v>821</v>
      </c>
      <c r="R41" s="52">
        <v>0.72</v>
      </c>
      <c r="S41" s="4" t="s">
        <v>820</v>
      </c>
      <c r="T41" s="4" t="s">
        <v>848</v>
      </c>
    </row>
    <row r="42" spans="1:20" ht="24" customHeight="1" x14ac:dyDescent="0.25">
      <c r="A42" s="46">
        <v>11</v>
      </c>
      <c r="B42" s="47">
        <v>155</v>
      </c>
      <c r="C42" s="45" t="s">
        <v>55</v>
      </c>
      <c r="D42" s="45" t="s">
        <v>56</v>
      </c>
      <c r="E42" s="5" t="s">
        <v>114</v>
      </c>
      <c r="F42" s="4" t="s">
        <v>823</v>
      </c>
      <c r="G42" s="4" t="s">
        <v>823</v>
      </c>
      <c r="H42" s="4" t="s">
        <v>823</v>
      </c>
      <c r="I42" s="4" t="s">
        <v>823</v>
      </c>
      <c r="J42" s="4" t="s">
        <v>819</v>
      </c>
      <c r="K42" s="4" t="s">
        <v>819</v>
      </c>
      <c r="L42" s="4" t="s">
        <v>823</v>
      </c>
      <c r="M42" s="4" t="s">
        <v>823</v>
      </c>
      <c r="N42" s="4" t="s">
        <v>819</v>
      </c>
      <c r="O42" s="4" t="s">
        <v>820</v>
      </c>
      <c r="P42" s="4" t="s">
        <v>820</v>
      </c>
      <c r="Q42" s="4" t="s">
        <v>819</v>
      </c>
      <c r="R42" s="52">
        <v>0.76</v>
      </c>
      <c r="S42" s="4" t="s">
        <v>819</v>
      </c>
      <c r="T42" s="4" t="s">
        <v>852</v>
      </c>
    </row>
    <row r="43" spans="1:20" ht="24" customHeight="1" x14ac:dyDescent="0.25">
      <c r="A43" s="46">
        <v>12</v>
      </c>
      <c r="B43" s="47">
        <v>156</v>
      </c>
      <c r="C43" s="45" t="s">
        <v>57</v>
      </c>
      <c r="D43" s="45" t="s">
        <v>58</v>
      </c>
      <c r="E43" s="5" t="s">
        <v>114</v>
      </c>
      <c r="F43" s="4" t="s">
        <v>819</v>
      </c>
      <c r="G43" s="4" t="s">
        <v>819</v>
      </c>
      <c r="H43" s="4" t="s">
        <v>820</v>
      </c>
      <c r="I43" s="4" t="s">
        <v>820</v>
      </c>
      <c r="J43" s="4" t="s">
        <v>823</v>
      </c>
      <c r="K43" s="4" t="s">
        <v>823</v>
      </c>
      <c r="L43" s="4" t="s">
        <v>820</v>
      </c>
      <c r="M43" s="4" t="s">
        <v>823</v>
      </c>
      <c r="N43" s="4" t="s">
        <v>823</v>
      </c>
      <c r="O43" s="4" t="s">
        <v>823</v>
      </c>
      <c r="P43" s="4" t="s">
        <v>819</v>
      </c>
      <c r="Q43" s="4" t="s">
        <v>820</v>
      </c>
      <c r="R43" s="52">
        <v>0.61</v>
      </c>
      <c r="S43" s="4" t="s">
        <v>819</v>
      </c>
      <c r="T43" s="4" t="s">
        <v>853</v>
      </c>
    </row>
    <row r="44" spans="1:20" ht="24" customHeight="1" x14ac:dyDescent="0.25">
      <c r="A44" s="46">
        <v>13</v>
      </c>
      <c r="B44" s="47">
        <v>158</v>
      </c>
      <c r="C44" s="45" t="s">
        <v>59</v>
      </c>
      <c r="D44" s="45" t="s">
        <v>60</v>
      </c>
      <c r="E44" s="5" t="s">
        <v>114</v>
      </c>
      <c r="F44" s="4" t="s">
        <v>823</v>
      </c>
      <c r="G44" s="4" t="s">
        <v>819</v>
      </c>
      <c r="H44" s="4" t="s">
        <v>823</v>
      </c>
      <c r="I44" s="4" t="s">
        <v>819</v>
      </c>
      <c r="J44" s="4" t="s">
        <v>823</v>
      </c>
      <c r="K44" s="4" t="s">
        <v>820</v>
      </c>
      <c r="L44" s="4" t="s">
        <v>819</v>
      </c>
      <c r="M44" s="4" t="s">
        <v>823</v>
      </c>
      <c r="N44" s="4" t="s">
        <v>820</v>
      </c>
      <c r="O44" s="4" t="s">
        <v>823</v>
      </c>
      <c r="P44" s="4" t="s">
        <v>820</v>
      </c>
      <c r="Q44" s="4" t="s">
        <v>819</v>
      </c>
      <c r="R44" s="52">
        <v>0.68</v>
      </c>
      <c r="S44" s="4" t="s">
        <v>819</v>
      </c>
      <c r="T44" s="4" t="s">
        <v>856</v>
      </c>
    </row>
    <row r="45" spans="1:20" ht="24" customHeight="1" x14ac:dyDescent="0.25">
      <c r="A45" s="46">
        <v>14</v>
      </c>
      <c r="B45" s="40">
        <v>159</v>
      </c>
      <c r="C45" s="45" t="s">
        <v>61</v>
      </c>
      <c r="D45" s="45" t="s">
        <v>62</v>
      </c>
      <c r="E45" s="5" t="s">
        <v>114</v>
      </c>
      <c r="F45" s="4" t="s">
        <v>823</v>
      </c>
      <c r="G45" s="4" t="s">
        <v>823</v>
      </c>
      <c r="H45" s="4" t="s">
        <v>823</v>
      </c>
      <c r="I45" s="4" t="s">
        <v>823</v>
      </c>
      <c r="J45" s="4" t="s">
        <v>823</v>
      </c>
      <c r="K45" s="4" t="s">
        <v>819</v>
      </c>
      <c r="L45" s="4" t="s">
        <v>819</v>
      </c>
      <c r="M45" s="4" t="s">
        <v>823</v>
      </c>
      <c r="N45" s="4" t="s">
        <v>823</v>
      </c>
      <c r="O45" s="4" t="s">
        <v>823</v>
      </c>
      <c r="P45" s="4" t="s">
        <v>819</v>
      </c>
      <c r="Q45" s="4" t="s">
        <v>819</v>
      </c>
      <c r="R45" s="52">
        <v>0.37</v>
      </c>
      <c r="S45" s="4" t="s">
        <v>823</v>
      </c>
      <c r="T45" s="4" t="s">
        <v>851</v>
      </c>
    </row>
    <row r="46" spans="1:20" ht="24" customHeight="1" x14ac:dyDescent="0.25">
      <c r="A46" s="46">
        <v>15</v>
      </c>
      <c r="B46" s="40">
        <v>165</v>
      </c>
      <c r="C46" s="45" t="s">
        <v>71</v>
      </c>
      <c r="D46" s="45" t="s">
        <v>72</v>
      </c>
      <c r="E46" s="5" t="s">
        <v>114</v>
      </c>
      <c r="F46" s="4" t="s">
        <v>819</v>
      </c>
      <c r="G46" s="4" t="s">
        <v>819</v>
      </c>
      <c r="H46" s="4" t="s">
        <v>819</v>
      </c>
      <c r="I46" s="4" t="s">
        <v>819</v>
      </c>
      <c r="J46" s="4" t="s">
        <v>820</v>
      </c>
      <c r="K46" s="4" t="s">
        <v>819</v>
      </c>
      <c r="L46" s="4" t="s">
        <v>819</v>
      </c>
      <c r="M46" s="4" t="s">
        <v>819</v>
      </c>
      <c r="N46" s="4" t="s">
        <v>820</v>
      </c>
      <c r="O46" s="4" t="s">
        <v>819</v>
      </c>
      <c r="P46" s="4" t="s">
        <v>819</v>
      </c>
      <c r="Q46" s="4" t="s">
        <v>820</v>
      </c>
      <c r="R46" s="52">
        <v>0.56999999999999995</v>
      </c>
      <c r="S46" s="4" t="s">
        <v>820</v>
      </c>
      <c r="T46" s="4" t="s">
        <v>853</v>
      </c>
    </row>
    <row r="47" spans="1:20" ht="24" customHeight="1" x14ac:dyDescent="0.25">
      <c r="A47" s="46">
        <v>16</v>
      </c>
      <c r="B47" s="40">
        <v>167</v>
      </c>
      <c r="C47" s="45" t="s">
        <v>75</v>
      </c>
      <c r="D47" s="45" t="s">
        <v>74</v>
      </c>
      <c r="E47" s="5" t="s">
        <v>114</v>
      </c>
      <c r="F47" s="4" t="s">
        <v>823</v>
      </c>
      <c r="G47" s="4" t="s">
        <v>823</v>
      </c>
      <c r="H47" s="4" t="s">
        <v>823</v>
      </c>
      <c r="I47" s="4" t="s">
        <v>823</v>
      </c>
      <c r="J47" s="4" t="s">
        <v>823</v>
      </c>
      <c r="K47" s="4" t="s">
        <v>823</v>
      </c>
      <c r="L47" s="4" t="s">
        <v>823</v>
      </c>
      <c r="M47" s="4" t="s">
        <v>823</v>
      </c>
      <c r="N47" s="4" t="s">
        <v>819</v>
      </c>
      <c r="O47" s="4" t="s">
        <v>823</v>
      </c>
      <c r="P47" s="4" t="s">
        <v>819</v>
      </c>
      <c r="Q47" s="4" t="s">
        <v>819</v>
      </c>
      <c r="R47" s="52">
        <v>0.7</v>
      </c>
      <c r="S47" s="4" t="s">
        <v>823</v>
      </c>
      <c r="T47" s="4" t="s">
        <v>851</v>
      </c>
    </row>
    <row r="48" spans="1:20" ht="24" customHeight="1" x14ac:dyDescent="0.25">
      <c r="A48" s="46">
        <v>17</v>
      </c>
      <c r="B48" s="40">
        <v>169</v>
      </c>
      <c r="C48" s="45" t="s">
        <v>78</v>
      </c>
      <c r="D48" s="45" t="s">
        <v>79</v>
      </c>
      <c r="E48" s="5" t="s">
        <v>114</v>
      </c>
      <c r="F48" s="4" t="s">
        <v>823</v>
      </c>
      <c r="G48" s="4" t="s">
        <v>820</v>
      </c>
      <c r="H48" s="4" t="s">
        <v>823</v>
      </c>
      <c r="I48" s="4" t="s">
        <v>823</v>
      </c>
      <c r="J48" s="4" t="s">
        <v>819</v>
      </c>
      <c r="K48" s="4" t="s">
        <v>819</v>
      </c>
      <c r="L48" s="4" t="s">
        <v>819</v>
      </c>
      <c r="M48" s="4" t="s">
        <v>819</v>
      </c>
      <c r="N48" s="4" t="s">
        <v>820</v>
      </c>
      <c r="O48" s="4" t="s">
        <v>819</v>
      </c>
      <c r="P48" s="4" t="s">
        <v>820</v>
      </c>
      <c r="Q48" s="4" t="s">
        <v>819</v>
      </c>
      <c r="R48" s="52">
        <v>0.67</v>
      </c>
      <c r="S48" s="4" t="s">
        <v>819</v>
      </c>
      <c r="T48" s="4" t="s">
        <v>856</v>
      </c>
    </row>
    <row r="49" spans="1:20" ht="24" customHeight="1" x14ac:dyDescent="0.25">
      <c r="A49" s="46">
        <v>18</v>
      </c>
      <c r="B49" s="40">
        <v>196</v>
      </c>
      <c r="C49" s="45" t="s">
        <v>86</v>
      </c>
      <c r="D49" s="45" t="s">
        <v>87</v>
      </c>
      <c r="E49" s="5" t="s">
        <v>114</v>
      </c>
      <c r="F49" s="4" t="s">
        <v>823</v>
      </c>
      <c r="G49" s="4" t="s">
        <v>820</v>
      </c>
      <c r="H49" s="4" t="s">
        <v>823</v>
      </c>
      <c r="I49" s="4" t="s">
        <v>819</v>
      </c>
      <c r="J49" s="4" t="s">
        <v>819</v>
      </c>
      <c r="K49" s="4" t="s">
        <v>819</v>
      </c>
      <c r="L49" s="4" t="s">
        <v>818</v>
      </c>
      <c r="M49" s="4" t="s">
        <v>819</v>
      </c>
      <c r="N49" s="4" t="s">
        <v>821</v>
      </c>
      <c r="O49" s="4" t="s">
        <v>819</v>
      </c>
      <c r="P49" s="4" t="s">
        <v>819</v>
      </c>
      <c r="Q49" s="4" t="s">
        <v>820</v>
      </c>
      <c r="R49" s="52">
        <v>0.64</v>
      </c>
      <c r="S49" s="4" t="s">
        <v>819</v>
      </c>
      <c r="T49" s="4" t="s">
        <v>856</v>
      </c>
    </row>
    <row r="50" spans="1:20" ht="24" customHeight="1" x14ac:dyDescent="0.25">
      <c r="A50" s="46">
        <v>19</v>
      </c>
      <c r="B50" s="40">
        <v>197</v>
      </c>
      <c r="C50" s="45" t="s">
        <v>88</v>
      </c>
      <c r="D50" s="45" t="s">
        <v>802</v>
      </c>
      <c r="E50" s="5" t="s">
        <v>114</v>
      </c>
      <c r="F50" s="4" t="s">
        <v>823</v>
      </c>
      <c r="G50" s="4" t="s">
        <v>820</v>
      </c>
      <c r="H50" s="4" t="s">
        <v>823</v>
      </c>
      <c r="I50" s="4" t="s">
        <v>823</v>
      </c>
      <c r="J50" s="4" t="s">
        <v>820</v>
      </c>
      <c r="K50" s="4" t="s">
        <v>819</v>
      </c>
      <c r="L50" s="4" t="s">
        <v>818</v>
      </c>
      <c r="M50" s="4" t="s">
        <v>819</v>
      </c>
      <c r="N50" s="4" t="s">
        <v>823</v>
      </c>
      <c r="O50" s="4" t="s">
        <v>819</v>
      </c>
      <c r="P50" s="4" t="s">
        <v>819</v>
      </c>
      <c r="Q50" s="4" t="s">
        <v>820</v>
      </c>
      <c r="R50" s="52">
        <v>0.64</v>
      </c>
      <c r="S50" s="4" t="s">
        <v>819</v>
      </c>
      <c r="T50" s="4" t="s">
        <v>856</v>
      </c>
    </row>
    <row r="51" spans="1:20" ht="24" customHeight="1" x14ac:dyDescent="0.25">
      <c r="A51" s="46">
        <v>20</v>
      </c>
      <c r="B51" s="40">
        <v>182</v>
      </c>
      <c r="C51" s="45" t="s">
        <v>91</v>
      </c>
      <c r="D51" s="45" t="s">
        <v>92</v>
      </c>
      <c r="E51" s="5" t="s">
        <v>114</v>
      </c>
      <c r="F51" s="4" t="s">
        <v>823</v>
      </c>
      <c r="G51" s="4" t="s">
        <v>823</v>
      </c>
      <c r="H51" s="4" t="s">
        <v>823</v>
      </c>
      <c r="I51" s="4" t="s">
        <v>823</v>
      </c>
      <c r="J51" s="4" t="s">
        <v>823</v>
      </c>
      <c r="K51" s="4" t="s">
        <v>819</v>
      </c>
      <c r="L51" s="4" t="s">
        <v>823</v>
      </c>
      <c r="M51" s="4" t="s">
        <v>823</v>
      </c>
      <c r="N51" s="4" t="s">
        <v>823</v>
      </c>
      <c r="O51" s="4" t="s">
        <v>823</v>
      </c>
      <c r="P51" s="4" t="s">
        <v>820</v>
      </c>
      <c r="Q51" s="4" t="s">
        <v>819</v>
      </c>
      <c r="R51" s="52">
        <v>0.67</v>
      </c>
      <c r="S51" s="4" t="s">
        <v>823</v>
      </c>
      <c r="T51" s="4" t="s">
        <v>851</v>
      </c>
    </row>
    <row r="52" spans="1:20" ht="24" customHeight="1" x14ac:dyDescent="0.25">
      <c r="A52" s="46">
        <v>21</v>
      </c>
      <c r="B52" s="40">
        <v>186</v>
      </c>
      <c r="C52" s="45" t="s">
        <v>93</v>
      </c>
      <c r="D52" s="45" t="s">
        <v>94</v>
      </c>
      <c r="E52" s="5" t="s">
        <v>114</v>
      </c>
      <c r="F52" s="4" t="s">
        <v>823</v>
      </c>
      <c r="G52" s="4" t="s">
        <v>819</v>
      </c>
      <c r="H52" s="4" t="s">
        <v>820</v>
      </c>
      <c r="I52" s="4" t="s">
        <v>820</v>
      </c>
      <c r="J52" s="4" t="s">
        <v>820</v>
      </c>
      <c r="K52" s="4" t="s">
        <v>820</v>
      </c>
      <c r="L52" s="4" t="s">
        <v>820</v>
      </c>
      <c r="M52" s="4" t="s">
        <v>823</v>
      </c>
      <c r="N52" s="4" t="s">
        <v>819</v>
      </c>
      <c r="O52" s="4" t="s">
        <v>819</v>
      </c>
      <c r="P52" s="4" t="s">
        <v>819</v>
      </c>
      <c r="Q52" s="4" t="s">
        <v>819</v>
      </c>
      <c r="R52" s="52">
        <v>0.68</v>
      </c>
      <c r="S52" s="4" t="s">
        <v>820</v>
      </c>
      <c r="T52" s="4" t="s">
        <v>850</v>
      </c>
    </row>
    <row r="53" spans="1:20" ht="24" customHeight="1" x14ac:dyDescent="0.25">
      <c r="A53" s="46">
        <v>22</v>
      </c>
      <c r="B53" s="40">
        <v>188</v>
      </c>
      <c r="C53" s="45" t="s">
        <v>95</v>
      </c>
      <c r="D53" s="45" t="s">
        <v>96</v>
      </c>
      <c r="E53" s="5" t="s">
        <v>114</v>
      </c>
      <c r="F53" s="4" t="s">
        <v>823</v>
      </c>
      <c r="G53" s="4" t="s">
        <v>823</v>
      </c>
      <c r="H53" s="4" t="s">
        <v>823</v>
      </c>
      <c r="I53" s="4" t="s">
        <v>823</v>
      </c>
      <c r="J53" s="4" t="s">
        <v>823</v>
      </c>
      <c r="K53" s="4" t="s">
        <v>823</v>
      </c>
      <c r="L53" s="4" t="s">
        <v>823</v>
      </c>
      <c r="M53" s="4" t="s">
        <v>819</v>
      </c>
      <c r="N53" s="4" t="s">
        <v>820</v>
      </c>
      <c r="O53" s="4" t="s">
        <v>819</v>
      </c>
      <c r="P53" s="4" t="s">
        <v>819</v>
      </c>
      <c r="Q53" s="4" t="s">
        <v>819</v>
      </c>
      <c r="R53" s="52">
        <v>0.66</v>
      </c>
      <c r="S53" s="4" t="s">
        <v>819</v>
      </c>
      <c r="T53" s="4" t="s">
        <v>856</v>
      </c>
    </row>
    <row r="54" spans="1:20" ht="24" customHeight="1" x14ac:dyDescent="0.25">
      <c r="A54" s="46">
        <v>23</v>
      </c>
      <c r="B54" s="40">
        <v>184</v>
      </c>
      <c r="C54" s="45" t="s">
        <v>104</v>
      </c>
      <c r="D54" s="45" t="s">
        <v>105</v>
      </c>
      <c r="E54" s="5" t="s">
        <v>114</v>
      </c>
      <c r="F54" s="4" t="s">
        <v>819</v>
      </c>
      <c r="G54" s="4" t="s">
        <v>820</v>
      </c>
      <c r="H54" s="4" t="s">
        <v>823</v>
      </c>
      <c r="I54" s="4" t="s">
        <v>819</v>
      </c>
      <c r="J54" s="4" t="s">
        <v>823</v>
      </c>
      <c r="K54" s="4" t="s">
        <v>819</v>
      </c>
      <c r="L54" s="4" t="s">
        <v>823</v>
      </c>
      <c r="M54" s="4" t="s">
        <v>820</v>
      </c>
      <c r="N54" s="4" t="s">
        <v>820</v>
      </c>
      <c r="O54" s="4" t="s">
        <v>819</v>
      </c>
      <c r="P54" s="4" t="s">
        <v>819</v>
      </c>
      <c r="Q54" s="4" t="s">
        <v>820</v>
      </c>
      <c r="R54" s="52">
        <v>0.41</v>
      </c>
      <c r="S54" s="4" t="s">
        <v>819</v>
      </c>
      <c r="T54" s="4" t="s">
        <v>856</v>
      </c>
    </row>
    <row r="55" spans="1:20" ht="24" customHeight="1" x14ac:dyDescent="0.25">
      <c r="A55" s="46">
        <v>24</v>
      </c>
      <c r="B55" s="40">
        <v>185</v>
      </c>
      <c r="C55" s="41" t="s">
        <v>106</v>
      </c>
      <c r="D55" s="41" t="s">
        <v>25</v>
      </c>
      <c r="E55" s="5" t="s">
        <v>114</v>
      </c>
      <c r="F55" s="4" t="s">
        <v>823</v>
      </c>
      <c r="G55" s="4" t="s">
        <v>820</v>
      </c>
      <c r="H55" s="4" t="s">
        <v>823</v>
      </c>
      <c r="I55" s="4" t="s">
        <v>819</v>
      </c>
      <c r="J55" s="4" t="s">
        <v>823</v>
      </c>
      <c r="K55" s="4" t="s">
        <v>820</v>
      </c>
      <c r="L55" s="4" t="s">
        <v>823</v>
      </c>
      <c r="M55" s="4" t="s">
        <v>820</v>
      </c>
      <c r="N55" s="4" t="s">
        <v>823</v>
      </c>
      <c r="O55" s="4" t="s">
        <v>820</v>
      </c>
      <c r="P55" s="4" t="s">
        <v>819</v>
      </c>
      <c r="Q55" s="4" t="s">
        <v>819</v>
      </c>
      <c r="R55" s="52">
        <v>0.62</v>
      </c>
      <c r="S55" s="4" t="s">
        <v>820</v>
      </c>
      <c r="T55" s="4" t="s">
        <v>853</v>
      </c>
    </row>
    <row r="56" spans="1:20" ht="24" customHeight="1" x14ac:dyDescent="0.25">
      <c r="A56" s="46">
        <v>25</v>
      </c>
      <c r="B56" s="40">
        <v>186</v>
      </c>
      <c r="C56" s="41" t="s">
        <v>107</v>
      </c>
      <c r="D56" s="41" t="s">
        <v>108</v>
      </c>
      <c r="E56" s="5" t="s">
        <v>114</v>
      </c>
      <c r="F56" s="4" t="s">
        <v>823</v>
      </c>
      <c r="G56" s="4" t="s">
        <v>823</v>
      </c>
      <c r="H56" s="4" t="s">
        <v>823</v>
      </c>
      <c r="I56" s="4" t="s">
        <v>823</v>
      </c>
      <c r="J56" s="4" t="s">
        <v>823</v>
      </c>
      <c r="K56" s="4" t="s">
        <v>823</v>
      </c>
      <c r="L56" s="4" t="s">
        <v>823</v>
      </c>
      <c r="M56" s="4" t="s">
        <v>823</v>
      </c>
      <c r="N56" s="4" t="s">
        <v>823</v>
      </c>
      <c r="O56" s="4" t="s">
        <v>823</v>
      </c>
      <c r="P56" s="4" t="s">
        <v>820</v>
      </c>
      <c r="Q56" s="4" t="s">
        <v>819</v>
      </c>
      <c r="R56" s="52">
        <v>0.6</v>
      </c>
      <c r="S56" s="4" t="s">
        <v>823</v>
      </c>
      <c r="T56" s="4" t="s">
        <v>851</v>
      </c>
    </row>
    <row r="57" spans="1:20" ht="24" customHeight="1" x14ac:dyDescent="0.25">
      <c r="A57" s="46">
        <v>26</v>
      </c>
      <c r="B57" s="40">
        <v>187</v>
      </c>
      <c r="C57" s="41" t="s">
        <v>109</v>
      </c>
      <c r="D57" s="41" t="s">
        <v>110</v>
      </c>
      <c r="E57" s="5" t="s">
        <v>114</v>
      </c>
      <c r="F57" s="4" t="s">
        <v>823</v>
      </c>
      <c r="G57" s="4" t="s">
        <v>819</v>
      </c>
      <c r="H57" s="4" t="s">
        <v>823</v>
      </c>
      <c r="I57" s="4" t="s">
        <v>823</v>
      </c>
      <c r="J57" s="4" t="s">
        <v>819</v>
      </c>
      <c r="K57" s="4" t="s">
        <v>823</v>
      </c>
      <c r="L57" s="4" t="s">
        <v>820</v>
      </c>
      <c r="M57" s="4" t="s">
        <v>823</v>
      </c>
      <c r="N57" s="4" t="s">
        <v>820</v>
      </c>
      <c r="O57" s="4" t="s">
        <v>823</v>
      </c>
      <c r="P57" s="4" t="s">
        <v>819</v>
      </c>
      <c r="Q57" s="4" t="s">
        <v>819</v>
      </c>
      <c r="R57" s="52">
        <v>0.54</v>
      </c>
      <c r="S57" s="4" t="s">
        <v>819</v>
      </c>
      <c r="T57" s="4" t="s">
        <v>856</v>
      </c>
    </row>
    <row r="58" spans="1:20" ht="24" customHeight="1" x14ac:dyDescent="0.25">
      <c r="A58" s="46">
        <v>27</v>
      </c>
      <c r="B58" s="40">
        <v>188</v>
      </c>
      <c r="C58" s="41" t="s">
        <v>111</v>
      </c>
      <c r="D58" s="41" t="s">
        <v>112</v>
      </c>
      <c r="E58" s="5" t="s">
        <v>114</v>
      </c>
      <c r="F58" s="4" t="s">
        <v>823</v>
      </c>
      <c r="G58" s="4" t="s">
        <v>819</v>
      </c>
      <c r="H58" s="4" t="s">
        <v>823</v>
      </c>
      <c r="I58" s="4" t="s">
        <v>823</v>
      </c>
      <c r="J58" s="4" t="s">
        <v>823</v>
      </c>
      <c r="K58" s="4" t="s">
        <v>823</v>
      </c>
      <c r="L58" s="4" t="s">
        <v>823</v>
      </c>
      <c r="M58" s="4" t="s">
        <v>823</v>
      </c>
      <c r="N58" s="4" t="s">
        <v>823</v>
      </c>
      <c r="O58" s="4" t="s">
        <v>823</v>
      </c>
      <c r="P58" s="4" t="s">
        <v>819</v>
      </c>
      <c r="Q58" s="4" t="s">
        <v>819</v>
      </c>
      <c r="R58" s="52">
        <v>0.57999999999999996</v>
      </c>
      <c r="S58" s="4" t="s">
        <v>823</v>
      </c>
      <c r="T58" s="4" t="s">
        <v>851</v>
      </c>
    </row>
    <row r="59" spans="1:20" ht="24" customHeight="1" x14ac:dyDescent="0.25">
      <c r="A59" s="46">
        <v>28</v>
      </c>
      <c r="B59" s="40">
        <v>177</v>
      </c>
      <c r="C59" s="41" t="s">
        <v>115</v>
      </c>
      <c r="D59" s="41" t="s">
        <v>800</v>
      </c>
      <c r="E59" s="5" t="s">
        <v>114</v>
      </c>
      <c r="F59" s="4" t="s">
        <v>823</v>
      </c>
      <c r="G59" s="4" t="s">
        <v>819</v>
      </c>
      <c r="H59" s="4" t="s">
        <v>823</v>
      </c>
      <c r="I59" s="4" t="s">
        <v>823</v>
      </c>
      <c r="J59" s="4" t="s">
        <v>820</v>
      </c>
      <c r="K59" s="4" t="s">
        <v>819</v>
      </c>
      <c r="L59" s="4" t="s">
        <v>820</v>
      </c>
      <c r="M59" s="4" t="s">
        <v>823</v>
      </c>
      <c r="N59" s="4" t="s">
        <v>819</v>
      </c>
      <c r="O59" s="4" t="s">
        <v>823</v>
      </c>
      <c r="P59" s="4" t="s">
        <v>819</v>
      </c>
      <c r="Q59" s="4" t="s">
        <v>819</v>
      </c>
      <c r="R59" s="52">
        <v>0.46</v>
      </c>
      <c r="S59" s="4" t="s">
        <v>819</v>
      </c>
      <c r="T59" s="4" t="s">
        <v>856</v>
      </c>
    </row>
    <row r="60" spans="1:20" ht="24" customHeight="1" x14ac:dyDescent="0.25">
      <c r="A60" s="46">
        <v>29</v>
      </c>
      <c r="B60" s="40">
        <v>191</v>
      </c>
      <c r="C60" s="45" t="s">
        <v>97</v>
      </c>
      <c r="D60" s="45" t="s">
        <v>98</v>
      </c>
      <c r="E60" s="5" t="s">
        <v>114</v>
      </c>
      <c r="F60" s="4" t="s">
        <v>823</v>
      </c>
      <c r="G60" s="4" t="s">
        <v>819</v>
      </c>
      <c r="H60" s="4" t="s">
        <v>823</v>
      </c>
      <c r="I60" s="4" t="s">
        <v>819</v>
      </c>
      <c r="J60" s="4" t="s">
        <v>823</v>
      </c>
      <c r="K60" s="4" t="s">
        <v>823</v>
      </c>
      <c r="L60" s="4" t="s">
        <v>820</v>
      </c>
      <c r="M60" s="4" t="s">
        <v>820</v>
      </c>
      <c r="N60" s="4" t="s">
        <v>820</v>
      </c>
      <c r="O60" s="4" t="s">
        <v>819</v>
      </c>
      <c r="P60" s="4" t="s">
        <v>820</v>
      </c>
      <c r="Q60" s="4" t="s">
        <v>819</v>
      </c>
      <c r="R60" s="52">
        <v>0.42</v>
      </c>
      <c r="S60" s="4" t="s">
        <v>819</v>
      </c>
      <c r="T60" s="4" t="s">
        <v>856</v>
      </c>
    </row>
    <row r="61" spans="1:20" ht="25.5" x14ac:dyDescent="0.25">
      <c r="A61" s="46">
        <v>30</v>
      </c>
      <c r="B61" s="40">
        <v>189</v>
      </c>
      <c r="C61" s="41" t="s">
        <v>113</v>
      </c>
      <c r="D61" s="41" t="s">
        <v>801</v>
      </c>
      <c r="E61" s="5" t="s">
        <v>114</v>
      </c>
      <c r="F61" s="4" t="s">
        <v>819</v>
      </c>
      <c r="G61" s="4" t="s">
        <v>820</v>
      </c>
      <c r="H61" s="4" t="s">
        <v>820</v>
      </c>
      <c r="I61" s="4" t="s">
        <v>819</v>
      </c>
      <c r="J61" s="4" t="s">
        <v>822</v>
      </c>
      <c r="K61" s="4" t="s">
        <v>823</v>
      </c>
      <c r="L61" s="4" t="s">
        <v>822</v>
      </c>
      <c r="M61" s="4" t="s">
        <v>820</v>
      </c>
      <c r="N61" s="4" t="s">
        <v>822</v>
      </c>
      <c r="O61" s="4" t="s">
        <v>821</v>
      </c>
      <c r="P61" s="4" t="s">
        <v>820</v>
      </c>
      <c r="Q61" s="4" t="s">
        <v>820</v>
      </c>
      <c r="R61" s="52">
        <v>0.67</v>
      </c>
      <c r="S61" s="4" t="s">
        <v>822</v>
      </c>
      <c r="T61" s="4" t="s">
        <v>848</v>
      </c>
    </row>
  </sheetData>
  <mergeCells count="15">
    <mergeCell ref="A7:T7"/>
    <mergeCell ref="A31:T31"/>
    <mergeCell ref="A1:T1"/>
    <mergeCell ref="A2:T2"/>
    <mergeCell ref="A4:A6"/>
    <mergeCell ref="B4:B6"/>
    <mergeCell ref="C4:C6"/>
    <mergeCell ref="D4:D6"/>
    <mergeCell ref="E4:E6"/>
    <mergeCell ref="T4:T6"/>
    <mergeCell ref="A3:T3"/>
    <mergeCell ref="S4:S6"/>
    <mergeCell ref="P4:P5"/>
    <mergeCell ref="Q4:Q5"/>
    <mergeCell ref="R4:R5"/>
  </mergeCells>
  <printOptions horizontalCentered="1"/>
  <pageMargins left="0.25" right="0.25" top="0.75" bottom="0.75" header="0.3" footer="0.3"/>
  <pageSetup paperSize="9" scale="9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D652-7196-4054-AA8A-FB229F378E10}">
  <sheetPr>
    <pageSetUpPr fitToPage="1"/>
  </sheetPr>
  <dimension ref="A1:F31"/>
  <sheetViews>
    <sheetView tabSelected="1" topLeftCell="A6" workbookViewId="0">
      <selection activeCell="F13" sqref="F13"/>
    </sheetView>
  </sheetViews>
  <sheetFormatPr defaultRowHeight="15" x14ac:dyDescent="0.25"/>
  <cols>
    <col min="1" max="1" width="5.5703125" bestFit="1" customWidth="1"/>
    <col min="2" max="2" width="15.5703125" customWidth="1"/>
    <col min="3" max="3" width="12.5703125" bestFit="1" customWidth="1"/>
    <col min="4" max="4" width="16.5703125" customWidth="1"/>
    <col min="5" max="5" width="8.85546875" customWidth="1"/>
    <col min="6" max="6" width="36.5703125" customWidth="1"/>
  </cols>
  <sheetData>
    <row r="1" spans="1:6" x14ac:dyDescent="0.25">
      <c r="A1" s="110" t="s">
        <v>0</v>
      </c>
      <c r="B1" s="111"/>
      <c r="C1" s="111"/>
      <c r="D1" s="111"/>
      <c r="E1" s="111"/>
      <c r="F1" s="112"/>
    </row>
    <row r="2" spans="1:6" x14ac:dyDescent="0.25">
      <c r="A2" s="113" t="s">
        <v>1</v>
      </c>
      <c r="B2" s="93"/>
      <c r="C2" s="93"/>
      <c r="D2" s="93"/>
      <c r="E2" s="93"/>
      <c r="F2" s="114"/>
    </row>
    <row r="3" spans="1:6" ht="15.75" thickBot="1" x14ac:dyDescent="0.3">
      <c r="A3" s="115" t="s">
        <v>797</v>
      </c>
      <c r="B3" s="116"/>
      <c r="C3" s="116"/>
      <c r="D3" s="116"/>
      <c r="E3" s="116"/>
      <c r="F3" s="117"/>
    </row>
    <row r="4" spans="1:6" ht="15.75" thickBot="1" x14ac:dyDescent="0.3"/>
    <row r="5" spans="1:6" ht="24.95" customHeight="1" thickBot="1" x14ac:dyDescent="0.3">
      <c r="A5" s="87" t="s">
        <v>4</v>
      </c>
      <c r="B5" s="88"/>
      <c r="C5" s="84" t="s">
        <v>3</v>
      </c>
      <c r="D5" s="88"/>
      <c r="E5" s="84" t="s">
        <v>884</v>
      </c>
      <c r="F5" s="89"/>
    </row>
    <row r="6" spans="1:6" ht="15.75" thickBot="1" x14ac:dyDescent="0.3"/>
    <row r="7" spans="1:6" ht="15.75" x14ac:dyDescent="0.25">
      <c r="A7" s="75" t="s">
        <v>883</v>
      </c>
      <c r="B7" s="76" t="s">
        <v>7</v>
      </c>
      <c r="C7" s="76" t="s">
        <v>13</v>
      </c>
      <c r="D7" s="76" t="s">
        <v>841</v>
      </c>
      <c r="E7" s="76" t="s">
        <v>289</v>
      </c>
      <c r="F7" s="77" t="s">
        <v>16</v>
      </c>
    </row>
    <row r="8" spans="1:6" ht="24.95" customHeight="1" x14ac:dyDescent="0.25">
      <c r="A8" s="78">
        <v>1</v>
      </c>
      <c r="B8" s="126" t="s">
        <v>860</v>
      </c>
      <c r="C8" s="72"/>
      <c r="D8" s="72"/>
      <c r="E8" s="72"/>
      <c r="F8" s="79"/>
    </row>
    <row r="9" spans="1:6" ht="24.95" customHeight="1" x14ac:dyDescent="0.25">
      <c r="A9" s="78">
        <v>2</v>
      </c>
      <c r="B9" s="126" t="s">
        <v>861</v>
      </c>
      <c r="C9" s="72"/>
      <c r="D9" s="72"/>
      <c r="E9" s="72"/>
      <c r="F9" s="79"/>
    </row>
    <row r="10" spans="1:6" ht="24.95" customHeight="1" x14ac:dyDescent="0.25">
      <c r="A10" s="78">
        <v>3</v>
      </c>
      <c r="B10" s="126" t="s">
        <v>11</v>
      </c>
      <c r="C10" s="72"/>
      <c r="D10" s="72"/>
      <c r="E10" s="72"/>
      <c r="F10" s="79"/>
    </row>
    <row r="11" spans="1:6" ht="24.95" customHeight="1" x14ac:dyDescent="0.25">
      <c r="A11" s="78">
        <v>4</v>
      </c>
      <c r="B11" s="126" t="s">
        <v>862</v>
      </c>
      <c r="C11" s="72"/>
      <c r="D11" s="72"/>
      <c r="E11" s="72"/>
      <c r="F11" s="79"/>
    </row>
    <row r="12" spans="1:6" ht="24.95" customHeight="1" x14ac:dyDescent="0.25">
      <c r="A12" s="78">
        <v>5</v>
      </c>
      <c r="B12" s="126" t="s">
        <v>869</v>
      </c>
      <c r="C12" s="72"/>
      <c r="D12" s="72"/>
      <c r="E12" s="72"/>
      <c r="F12" s="79"/>
    </row>
    <row r="13" spans="1:6" ht="24.95" customHeight="1" x14ac:dyDescent="0.25">
      <c r="A13" s="78">
        <v>6</v>
      </c>
      <c r="B13" s="126" t="s">
        <v>863</v>
      </c>
      <c r="C13" s="72"/>
      <c r="D13" s="72"/>
      <c r="E13" s="72"/>
      <c r="F13" s="79"/>
    </row>
    <row r="14" spans="1:6" ht="24.95" customHeight="1" x14ac:dyDescent="0.25">
      <c r="A14" s="78">
        <v>7</v>
      </c>
      <c r="B14" s="126" t="s">
        <v>864</v>
      </c>
      <c r="C14" s="72"/>
      <c r="D14" s="72"/>
      <c r="E14" s="72"/>
      <c r="F14" s="79"/>
    </row>
    <row r="15" spans="1:6" ht="24.95" customHeight="1" x14ac:dyDescent="0.25">
      <c r="A15" s="78">
        <v>8</v>
      </c>
      <c r="B15" s="126" t="s">
        <v>865</v>
      </c>
      <c r="C15" s="72"/>
      <c r="D15" s="72"/>
      <c r="E15" s="72"/>
      <c r="F15" s="79"/>
    </row>
    <row r="16" spans="1:6" ht="24.95" customHeight="1" x14ac:dyDescent="0.25">
      <c r="A16" s="78">
        <v>9</v>
      </c>
      <c r="B16" s="126" t="s">
        <v>866</v>
      </c>
      <c r="C16" s="72"/>
      <c r="D16" s="72"/>
      <c r="E16" s="72"/>
      <c r="F16" s="79"/>
    </row>
    <row r="17" spans="1:6" ht="24.95" customHeight="1" x14ac:dyDescent="0.25">
      <c r="A17" s="78">
        <v>10</v>
      </c>
      <c r="B17" s="126" t="s">
        <v>867</v>
      </c>
      <c r="C17" s="72"/>
      <c r="D17" s="72"/>
      <c r="E17" s="72"/>
      <c r="F17" s="79"/>
    </row>
    <row r="18" spans="1:6" ht="24.95" customHeight="1" x14ac:dyDescent="0.25">
      <c r="A18" s="78">
        <v>11</v>
      </c>
      <c r="B18" s="126" t="s">
        <v>868</v>
      </c>
      <c r="C18" s="72"/>
      <c r="D18" s="72"/>
      <c r="E18" s="72"/>
      <c r="F18" s="79"/>
    </row>
    <row r="19" spans="1:6" ht="24.95" customHeight="1" x14ac:dyDescent="0.25">
      <c r="A19" s="78">
        <v>12</v>
      </c>
      <c r="B19" s="126" t="s">
        <v>118</v>
      </c>
      <c r="C19" s="72"/>
      <c r="D19" s="72"/>
      <c r="E19" s="72"/>
      <c r="F19" s="79"/>
    </row>
    <row r="20" spans="1:6" ht="16.5" thickBot="1" x14ac:dyDescent="0.3">
      <c r="A20" s="104" t="s">
        <v>885</v>
      </c>
      <c r="B20" s="105"/>
      <c r="C20" s="80"/>
      <c r="D20" s="80"/>
      <c r="E20" s="80"/>
      <c r="F20" s="81"/>
    </row>
    <row r="21" spans="1:6" ht="24.95" customHeight="1" thickBot="1" x14ac:dyDescent="0.3"/>
    <row r="22" spans="1:6" ht="24.95" customHeight="1" x14ac:dyDescent="0.25">
      <c r="A22" s="106" t="s">
        <v>886</v>
      </c>
      <c r="B22" s="107"/>
      <c r="C22" s="82"/>
      <c r="D22" s="100" t="s">
        <v>888</v>
      </c>
      <c r="E22" s="100"/>
      <c r="F22" s="77" t="s">
        <v>12</v>
      </c>
    </row>
    <row r="23" spans="1:6" ht="24.95" customHeight="1" x14ac:dyDescent="0.25">
      <c r="A23" s="108" t="s">
        <v>887</v>
      </c>
      <c r="B23" s="109"/>
      <c r="C23" s="73"/>
      <c r="D23" s="101"/>
      <c r="E23" s="101"/>
      <c r="F23" s="85"/>
    </row>
    <row r="24" spans="1:6" ht="16.5" thickBot="1" x14ac:dyDescent="0.3">
      <c r="A24" s="104" t="s">
        <v>798</v>
      </c>
      <c r="B24" s="105"/>
      <c r="C24" s="80"/>
      <c r="D24" s="102"/>
      <c r="E24" s="102"/>
      <c r="F24" s="81"/>
    </row>
    <row r="26" spans="1:6" ht="24.95" customHeight="1" x14ac:dyDescent="0.25">
      <c r="A26" s="99" t="s">
        <v>889</v>
      </c>
      <c r="B26" s="99"/>
    </row>
    <row r="27" spans="1:6" x14ac:dyDescent="0.25">
      <c r="A27" s="83"/>
      <c r="B27" s="83"/>
      <c r="C27" s="83"/>
      <c r="D27" s="83"/>
      <c r="E27" s="83"/>
      <c r="F27" s="83"/>
    </row>
    <row r="31" spans="1:6" ht="15.75" x14ac:dyDescent="0.25">
      <c r="A31" s="103" t="s">
        <v>890</v>
      </c>
      <c r="B31" s="103"/>
      <c r="C31" s="103"/>
      <c r="D31" s="74"/>
      <c r="E31" s="74"/>
      <c r="F31" s="86" t="s">
        <v>891</v>
      </c>
    </row>
  </sheetData>
  <mergeCells count="11">
    <mergeCell ref="A1:F1"/>
    <mergeCell ref="A2:F2"/>
    <mergeCell ref="A3:F3"/>
    <mergeCell ref="A26:B26"/>
    <mergeCell ref="D22:E23"/>
    <mergeCell ref="D24:E24"/>
    <mergeCell ref="A31:C31"/>
    <mergeCell ref="A20:B20"/>
    <mergeCell ref="A22:B22"/>
    <mergeCell ref="A23:B23"/>
    <mergeCell ref="A24:B24"/>
  </mergeCells>
  <conditionalFormatting sqref="B8:B19">
    <cfRule type="cellIs" dxfId="53" priority="1" operator="equal">
      <formula>"AB"</formula>
    </cfRule>
  </conditionalFormatting>
  <printOptions horizontalCentered="1"/>
  <pageMargins left="0.25" right="0.25" top="0.75" bottom="0.75" header="0.3" footer="0.3"/>
  <pageSetup fitToWidth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65"/>
  <sheetViews>
    <sheetView workbookViewId="0">
      <pane ySplit="6" topLeftCell="A37" activePane="bottomLeft" state="frozen"/>
      <selection pane="bottomLeft" activeCell="F5" sqref="F5:O5"/>
    </sheetView>
  </sheetViews>
  <sheetFormatPr defaultRowHeight="12" x14ac:dyDescent="0.2"/>
  <cols>
    <col min="1" max="1" width="3.7109375" style="1" bestFit="1" customWidth="1"/>
    <col min="2" max="2" width="4" style="12" bestFit="1" customWidth="1"/>
    <col min="3" max="3" width="12.140625" style="1" customWidth="1"/>
    <col min="4" max="4" width="16.42578125" style="1" customWidth="1"/>
    <col min="5" max="5" width="8.28515625" style="1" customWidth="1"/>
    <col min="6" max="18" width="5.7109375" style="1" customWidth="1"/>
    <col min="19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15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</row>
    <row r="3" spans="1:20" ht="15" x14ac:dyDescent="0.25">
      <c r="A3" s="93" t="s">
        <v>797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</row>
    <row r="4" spans="1:20" x14ac:dyDescent="0.2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94" t="s">
        <v>12</v>
      </c>
      <c r="S4" s="94" t="s">
        <v>289</v>
      </c>
      <c r="T4" s="94" t="s">
        <v>16</v>
      </c>
    </row>
    <row r="5" spans="1:20" ht="48" x14ac:dyDescent="0.2">
      <c r="A5" s="94"/>
      <c r="B5" s="94"/>
      <c r="C5" s="94"/>
      <c r="D5" s="94"/>
      <c r="E5" s="94"/>
      <c r="F5" s="2" t="s">
        <v>860</v>
      </c>
      <c r="G5" s="2" t="s">
        <v>861</v>
      </c>
      <c r="H5" s="2" t="s">
        <v>11</v>
      </c>
      <c r="I5" s="2" t="s">
        <v>862</v>
      </c>
      <c r="J5" s="2" t="s">
        <v>869</v>
      </c>
      <c r="K5" s="2" t="s">
        <v>863</v>
      </c>
      <c r="L5" s="2" t="s">
        <v>864</v>
      </c>
      <c r="M5" s="2" t="s">
        <v>865</v>
      </c>
      <c r="N5" s="2" t="s">
        <v>866</v>
      </c>
      <c r="O5" s="2" t="s">
        <v>867</v>
      </c>
      <c r="P5" s="2" t="s">
        <v>868</v>
      </c>
      <c r="Q5" s="2" t="s">
        <v>118</v>
      </c>
      <c r="R5" s="94"/>
      <c r="S5" s="94"/>
      <c r="T5" s="94"/>
    </row>
    <row r="6" spans="1:20" x14ac:dyDescent="0.2">
      <c r="A6" s="94"/>
      <c r="B6" s="94"/>
      <c r="C6" s="94"/>
      <c r="D6" s="94"/>
      <c r="E6" s="94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 t="s">
        <v>289</v>
      </c>
      <c r="N6" s="3" t="s">
        <v>289</v>
      </c>
      <c r="O6" s="3">
        <v>150</v>
      </c>
      <c r="P6" s="3"/>
      <c r="Q6" s="3" t="s">
        <v>289</v>
      </c>
      <c r="R6" s="3" t="s">
        <v>857</v>
      </c>
      <c r="S6" s="94"/>
      <c r="T6" s="94"/>
    </row>
    <row r="7" spans="1:20" s="8" customFormat="1" ht="21" x14ac:dyDescent="0.35">
      <c r="A7" s="118" t="s">
        <v>119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</row>
    <row r="8" spans="1:20" s="8" customFormat="1" ht="24" customHeight="1" x14ac:dyDescent="0.2">
      <c r="A8" s="4">
        <v>1</v>
      </c>
      <c r="B8" s="4">
        <v>106</v>
      </c>
      <c r="C8" s="10" t="s">
        <v>120</v>
      </c>
      <c r="D8" s="10" t="s">
        <v>121</v>
      </c>
      <c r="E8" s="7" t="s">
        <v>122</v>
      </c>
      <c r="F8" s="4" t="s">
        <v>823</v>
      </c>
      <c r="G8" s="4" t="s">
        <v>819</v>
      </c>
      <c r="H8" s="4" t="s">
        <v>819</v>
      </c>
      <c r="I8" s="4" t="s">
        <v>820</v>
      </c>
      <c r="J8" s="4" t="s">
        <v>820</v>
      </c>
      <c r="K8" s="4" t="s">
        <v>823</v>
      </c>
      <c r="L8" s="4" t="s">
        <v>823</v>
      </c>
      <c r="M8" s="4" t="s">
        <v>820</v>
      </c>
      <c r="N8" s="4" t="s">
        <v>820</v>
      </c>
      <c r="O8" s="52" t="s">
        <v>820</v>
      </c>
      <c r="P8" s="4" t="s">
        <v>821</v>
      </c>
      <c r="Q8" s="4" t="s">
        <v>819</v>
      </c>
      <c r="R8" s="52">
        <v>0.96</v>
      </c>
      <c r="S8" s="4" t="s">
        <v>820</v>
      </c>
      <c r="T8" s="4" t="s">
        <v>858</v>
      </c>
    </row>
    <row r="9" spans="1:20" s="8" customFormat="1" ht="24" customHeight="1" x14ac:dyDescent="0.2">
      <c r="A9" s="4">
        <v>2</v>
      </c>
      <c r="B9" s="4">
        <v>75</v>
      </c>
      <c r="C9" s="10" t="s">
        <v>123</v>
      </c>
      <c r="D9" s="10" t="s">
        <v>124</v>
      </c>
      <c r="E9" s="7" t="s">
        <v>122</v>
      </c>
      <c r="F9" s="4" t="s">
        <v>823</v>
      </c>
      <c r="G9" s="4" t="s">
        <v>820</v>
      </c>
      <c r="H9" s="4" t="s">
        <v>819</v>
      </c>
      <c r="I9" s="4" t="s">
        <v>823</v>
      </c>
      <c r="J9" s="4" t="s">
        <v>823</v>
      </c>
      <c r="K9" s="4" t="s">
        <v>823</v>
      </c>
      <c r="L9" s="4" t="s">
        <v>823</v>
      </c>
      <c r="M9" s="4" t="s">
        <v>819</v>
      </c>
      <c r="N9" s="4" t="s">
        <v>823</v>
      </c>
      <c r="O9" s="52" t="s">
        <v>823</v>
      </c>
      <c r="P9" s="4" t="s">
        <v>819</v>
      </c>
      <c r="Q9" s="4" t="s">
        <v>819</v>
      </c>
      <c r="R9" s="52">
        <v>0.89</v>
      </c>
      <c r="S9" s="4" t="s">
        <v>823</v>
      </c>
      <c r="T9" s="4" t="s">
        <v>849</v>
      </c>
    </row>
    <row r="10" spans="1:20" s="8" customFormat="1" ht="24" customHeight="1" x14ac:dyDescent="0.2">
      <c r="A10" s="4">
        <v>3</v>
      </c>
      <c r="B10" s="4">
        <v>109</v>
      </c>
      <c r="C10" s="10" t="s">
        <v>125</v>
      </c>
      <c r="D10" s="10" t="s">
        <v>95</v>
      </c>
      <c r="E10" s="7" t="s">
        <v>122</v>
      </c>
      <c r="F10" s="4" t="s">
        <v>819</v>
      </c>
      <c r="G10" s="4" t="s">
        <v>821</v>
      </c>
      <c r="H10" s="4" t="s">
        <v>819</v>
      </c>
      <c r="I10" s="4" t="s">
        <v>822</v>
      </c>
      <c r="J10" s="4" t="s">
        <v>819</v>
      </c>
      <c r="K10" s="4" t="s">
        <v>823</v>
      </c>
      <c r="L10" s="4" t="s">
        <v>820</v>
      </c>
      <c r="M10" s="4" t="s">
        <v>859</v>
      </c>
      <c r="N10" s="4" t="s">
        <v>859</v>
      </c>
      <c r="O10" s="52" t="s">
        <v>859</v>
      </c>
      <c r="P10" s="4" t="s">
        <v>819</v>
      </c>
      <c r="Q10" s="4" t="s">
        <v>820</v>
      </c>
      <c r="R10" s="52">
        <v>0.86</v>
      </c>
      <c r="S10" s="4" t="s">
        <v>859</v>
      </c>
      <c r="T10" s="4"/>
    </row>
    <row r="11" spans="1:20" s="8" customFormat="1" ht="24" customHeight="1" x14ac:dyDescent="0.2">
      <c r="A11" s="4">
        <v>4</v>
      </c>
      <c r="B11" s="4">
        <v>49</v>
      </c>
      <c r="C11" s="10" t="s">
        <v>126</v>
      </c>
      <c r="D11" s="10" t="s">
        <v>127</v>
      </c>
      <c r="E11" s="7" t="s">
        <v>122</v>
      </c>
      <c r="F11" s="4" t="s">
        <v>821</v>
      </c>
      <c r="G11" s="4" t="s">
        <v>822</v>
      </c>
      <c r="H11" s="4" t="s">
        <v>820</v>
      </c>
      <c r="I11" s="4" t="s">
        <v>820</v>
      </c>
      <c r="J11" s="4" t="s">
        <v>820</v>
      </c>
      <c r="K11" s="4" t="s">
        <v>823</v>
      </c>
      <c r="L11" s="4" t="s">
        <v>820</v>
      </c>
      <c r="M11" s="4" t="s">
        <v>821</v>
      </c>
      <c r="N11" s="4" t="s">
        <v>821</v>
      </c>
      <c r="O11" s="52" t="s">
        <v>821</v>
      </c>
      <c r="P11" s="4" t="s">
        <v>820</v>
      </c>
      <c r="Q11" s="4" t="s">
        <v>820</v>
      </c>
      <c r="R11" s="52">
        <v>0.85</v>
      </c>
      <c r="S11" s="4" t="s">
        <v>820</v>
      </c>
      <c r="T11" s="4" t="s">
        <v>858</v>
      </c>
    </row>
    <row r="12" spans="1:20" s="8" customFormat="1" ht="24" customHeight="1" x14ac:dyDescent="0.2">
      <c r="A12" s="4">
        <v>5</v>
      </c>
      <c r="B12" s="4">
        <v>104</v>
      </c>
      <c r="C12" s="10" t="s">
        <v>128</v>
      </c>
      <c r="D12" s="10" t="s">
        <v>129</v>
      </c>
      <c r="E12" s="7" t="s">
        <v>122</v>
      </c>
      <c r="F12" s="4" t="s">
        <v>821</v>
      </c>
      <c r="G12" s="4" t="s">
        <v>821</v>
      </c>
      <c r="H12" s="4" t="s">
        <v>821</v>
      </c>
      <c r="I12" s="4" t="s">
        <v>820</v>
      </c>
      <c r="J12" s="4" t="s">
        <v>821</v>
      </c>
      <c r="K12" s="4" t="s">
        <v>819</v>
      </c>
      <c r="L12" s="4" t="s">
        <v>820</v>
      </c>
      <c r="M12" s="4" t="s">
        <v>821</v>
      </c>
      <c r="N12" s="4" t="s">
        <v>822</v>
      </c>
      <c r="O12" s="52" t="s">
        <v>819</v>
      </c>
      <c r="P12" s="4" t="s">
        <v>821</v>
      </c>
      <c r="Q12" s="4" t="s">
        <v>821</v>
      </c>
      <c r="R12" s="52">
        <v>0.87</v>
      </c>
      <c r="S12" s="4" t="s">
        <v>820</v>
      </c>
      <c r="T12" s="4" t="s">
        <v>858</v>
      </c>
    </row>
    <row r="13" spans="1:20" s="8" customFormat="1" ht="24" customHeight="1" x14ac:dyDescent="0.2">
      <c r="A13" s="4">
        <v>6</v>
      </c>
      <c r="B13" s="4">
        <v>88</v>
      </c>
      <c r="C13" s="10" t="s">
        <v>130</v>
      </c>
      <c r="D13" s="10" t="s">
        <v>131</v>
      </c>
      <c r="E13" s="7" t="s">
        <v>122</v>
      </c>
      <c r="F13" s="4" t="s">
        <v>823</v>
      </c>
      <c r="G13" s="4" t="s">
        <v>820</v>
      </c>
      <c r="H13" s="4" t="s">
        <v>823</v>
      </c>
      <c r="I13" s="4" t="s">
        <v>819</v>
      </c>
      <c r="J13" s="4" t="s">
        <v>823</v>
      </c>
      <c r="K13" s="4" t="s">
        <v>823</v>
      </c>
      <c r="L13" s="4" t="s">
        <v>823</v>
      </c>
      <c r="M13" s="4" t="s">
        <v>823</v>
      </c>
      <c r="N13" s="4" t="s">
        <v>823</v>
      </c>
      <c r="O13" s="52" t="s">
        <v>823</v>
      </c>
      <c r="P13" s="4" t="s">
        <v>819</v>
      </c>
      <c r="Q13" s="4" t="s">
        <v>819</v>
      </c>
      <c r="R13" s="52">
        <v>0.96</v>
      </c>
      <c r="S13" s="4" t="s">
        <v>823</v>
      </c>
      <c r="T13" s="4" t="s">
        <v>849</v>
      </c>
    </row>
    <row r="14" spans="1:20" s="8" customFormat="1" ht="24" customHeight="1" x14ac:dyDescent="0.2">
      <c r="A14" s="4">
        <v>7</v>
      </c>
      <c r="B14" s="4">
        <v>59</v>
      </c>
      <c r="C14" s="10" t="s">
        <v>132</v>
      </c>
      <c r="D14" s="10" t="s">
        <v>133</v>
      </c>
      <c r="E14" s="7" t="s">
        <v>122</v>
      </c>
      <c r="F14" s="4" t="s">
        <v>823</v>
      </c>
      <c r="G14" s="4" t="s">
        <v>820</v>
      </c>
      <c r="H14" s="4" t="s">
        <v>823</v>
      </c>
      <c r="I14" s="4" t="s">
        <v>819</v>
      </c>
      <c r="J14" s="4" t="s">
        <v>823</v>
      </c>
      <c r="K14" s="4" t="s">
        <v>819</v>
      </c>
      <c r="L14" s="4" t="s">
        <v>820</v>
      </c>
      <c r="M14" s="4" t="s">
        <v>820</v>
      </c>
      <c r="N14" s="4" t="s">
        <v>823</v>
      </c>
      <c r="O14" s="52" t="s">
        <v>819</v>
      </c>
      <c r="P14" s="4" t="s">
        <v>821</v>
      </c>
      <c r="Q14" s="4" t="s">
        <v>819</v>
      </c>
      <c r="R14" s="52">
        <v>0.91</v>
      </c>
      <c r="S14" s="4" t="s">
        <v>819</v>
      </c>
      <c r="T14" s="4" t="s">
        <v>856</v>
      </c>
    </row>
    <row r="15" spans="1:20" s="8" customFormat="1" ht="24" customHeight="1" x14ac:dyDescent="0.2">
      <c r="A15" s="4">
        <v>8</v>
      </c>
      <c r="B15" s="4">
        <v>83</v>
      </c>
      <c r="C15" s="10" t="s">
        <v>134</v>
      </c>
      <c r="D15" s="10" t="s">
        <v>135</v>
      </c>
      <c r="E15" s="7" t="s">
        <v>122</v>
      </c>
      <c r="F15" s="4" t="s">
        <v>823</v>
      </c>
      <c r="G15" s="4" t="s">
        <v>822</v>
      </c>
      <c r="H15" s="4" t="s">
        <v>820</v>
      </c>
      <c r="I15" s="4" t="s">
        <v>823</v>
      </c>
      <c r="J15" s="4" t="s">
        <v>820</v>
      </c>
      <c r="K15" s="4" t="s">
        <v>819</v>
      </c>
      <c r="L15" s="4" t="s">
        <v>819</v>
      </c>
      <c r="M15" s="4" t="s">
        <v>859</v>
      </c>
      <c r="N15" s="4" t="s">
        <v>859</v>
      </c>
      <c r="O15" s="52" t="s">
        <v>859</v>
      </c>
      <c r="P15" s="4" t="s">
        <v>819</v>
      </c>
      <c r="Q15" s="4" t="s">
        <v>819</v>
      </c>
      <c r="R15" s="52">
        <v>0.93</v>
      </c>
      <c r="S15" s="4" t="s">
        <v>859</v>
      </c>
      <c r="T15" s="4"/>
    </row>
    <row r="16" spans="1:20" s="8" customFormat="1" ht="24" customHeight="1" x14ac:dyDescent="0.2">
      <c r="A16" s="4">
        <v>9</v>
      </c>
      <c r="B16" s="4">
        <v>89</v>
      </c>
      <c r="C16" s="10" t="s">
        <v>136</v>
      </c>
      <c r="D16" s="10" t="s">
        <v>137</v>
      </c>
      <c r="E16" s="7" t="s">
        <v>122</v>
      </c>
      <c r="F16" s="4" t="s">
        <v>823</v>
      </c>
      <c r="G16" s="4" t="s">
        <v>819</v>
      </c>
      <c r="H16" s="4" t="s">
        <v>823</v>
      </c>
      <c r="I16" s="4" t="s">
        <v>819</v>
      </c>
      <c r="J16" s="4" t="s">
        <v>823</v>
      </c>
      <c r="K16" s="4" t="s">
        <v>823</v>
      </c>
      <c r="L16" s="4" t="s">
        <v>823</v>
      </c>
      <c r="M16" s="4" t="s">
        <v>823</v>
      </c>
      <c r="N16" s="4" t="s">
        <v>823</v>
      </c>
      <c r="O16" s="52" t="s">
        <v>823</v>
      </c>
      <c r="P16" s="4" t="s">
        <v>819</v>
      </c>
      <c r="Q16" s="4" t="s">
        <v>819</v>
      </c>
      <c r="R16" s="52">
        <v>0.92</v>
      </c>
      <c r="S16" s="4" t="s">
        <v>823</v>
      </c>
      <c r="T16" s="4" t="s">
        <v>849</v>
      </c>
    </row>
    <row r="17" spans="1:20" s="8" customFormat="1" ht="24" customHeight="1" x14ac:dyDescent="0.2">
      <c r="A17" s="4">
        <v>10</v>
      </c>
      <c r="B17" s="6">
        <v>86</v>
      </c>
      <c r="C17" s="10" t="s">
        <v>138</v>
      </c>
      <c r="D17" s="10" t="s">
        <v>139</v>
      </c>
      <c r="E17" s="7" t="s">
        <v>122</v>
      </c>
      <c r="F17" s="4" t="s">
        <v>820</v>
      </c>
      <c r="G17" s="4" t="s">
        <v>821</v>
      </c>
      <c r="H17" s="4" t="s">
        <v>821</v>
      </c>
      <c r="I17" s="4" t="s">
        <v>821</v>
      </c>
      <c r="J17" s="4" t="s">
        <v>821</v>
      </c>
      <c r="K17" s="4" t="s">
        <v>820</v>
      </c>
      <c r="L17" s="4" t="s">
        <v>820</v>
      </c>
      <c r="M17" s="4" t="s">
        <v>859</v>
      </c>
      <c r="N17" s="4" t="s">
        <v>859</v>
      </c>
      <c r="O17" s="52" t="s">
        <v>859</v>
      </c>
      <c r="P17" s="4" t="s">
        <v>820</v>
      </c>
      <c r="Q17" s="4" t="s">
        <v>819</v>
      </c>
      <c r="R17" s="52">
        <v>0.88</v>
      </c>
      <c r="S17" s="4" t="s">
        <v>859</v>
      </c>
      <c r="T17" s="4"/>
    </row>
    <row r="18" spans="1:20" s="8" customFormat="1" ht="24" customHeight="1" x14ac:dyDescent="0.2">
      <c r="A18" s="4">
        <v>11</v>
      </c>
      <c r="B18" s="6">
        <v>105</v>
      </c>
      <c r="C18" s="10" t="s">
        <v>140</v>
      </c>
      <c r="D18" s="10" t="s">
        <v>141</v>
      </c>
      <c r="E18" s="7" t="s">
        <v>122</v>
      </c>
      <c r="F18" s="4" t="s">
        <v>823</v>
      </c>
      <c r="G18" s="4" t="s">
        <v>821</v>
      </c>
      <c r="H18" s="4" t="s">
        <v>819</v>
      </c>
      <c r="I18" s="4" t="s">
        <v>823</v>
      </c>
      <c r="J18" s="4" t="s">
        <v>823</v>
      </c>
      <c r="K18" s="4" t="s">
        <v>823</v>
      </c>
      <c r="L18" s="4" t="s">
        <v>823</v>
      </c>
      <c r="M18" s="4" t="s">
        <v>823</v>
      </c>
      <c r="N18" s="4" t="s">
        <v>823</v>
      </c>
      <c r="O18" s="52" t="s">
        <v>823</v>
      </c>
      <c r="P18" s="4" t="s">
        <v>819</v>
      </c>
      <c r="Q18" s="4" t="s">
        <v>819</v>
      </c>
      <c r="R18" s="52">
        <v>0.86</v>
      </c>
      <c r="S18" s="4" t="s">
        <v>823</v>
      </c>
      <c r="T18" s="4" t="s">
        <v>849</v>
      </c>
    </row>
    <row r="19" spans="1:20" s="8" customFormat="1" ht="24" customHeight="1" x14ac:dyDescent="0.2">
      <c r="A19" s="4">
        <v>12</v>
      </c>
      <c r="B19" s="6">
        <v>107</v>
      </c>
      <c r="C19" s="10" t="s">
        <v>142</v>
      </c>
      <c r="D19" s="10" t="s">
        <v>36</v>
      </c>
      <c r="E19" s="7" t="s">
        <v>122</v>
      </c>
      <c r="F19" s="4" t="s">
        <v>823</v>
      </c>
      <c r="G19" s="4" t="s">
        <v>821</v>
      </c>
      <c r="H19" s="4" t="s">
        <v>819</v>
      </c>
      <c r="I19" s="4" t="s">
        <v>820</v>
      </c>
      <c r="J19" s="4" t="s">
        <v>820</v>
      </c>
      <c r="K19" s="4" t="s">
        <v>820</v>
      </c>
      <c r="L19" s="4" t="s">
        <v>820</v>
      </c>
      <c r="M19" s="4" t="s">
        <v>822</v>
      </c>
      <c r="N19" s="4" t="s">
        <v>821</v>
      </c>
      <c r="O19" s="52" t="s">
        <v>821</v>
      </c>
      <c r="P19" s="4" t="s">
        <v>820</v>
      </c>
      <c r="Q19" s="4" t="s">
        <v>820</v>
      </c>
      <c r="R19" s="52">
        <v>0.88</v>
      </c>
      <c r="S19" s="4" t="s">
        <v>820</v>
      </c>
      <c r="T19" s="4" t="s">
        <v>858</v>
      </c>
    </row>
    <row r="20" spans="1:20" s="8" customFormat="1" ht="24" customHeight="1" x14ac:dyDescent="0.2">
      <c r="A20" s="4">
        <v>13</v>
      </c>
      <c r="B20" s="6">
        <v>84</v>
      </c>
      <c r="C20" s="10" t="s">
        <v>832</v>
      </c>
      <c r="D20" s="10" t="s">
        <v>143</v>
      </c>
      <c r="E20" s="7" t="s">
        <v>122</v>
      </c>
      <c r="F20" s="4" t="s">
        <v>823</v>
      </c>
      <c r="G20" s="4" t="s">
        <v>820</v>
      </c>
      <c r="H20" s="4" t="s">
        <v>823</v>
      </c>
      <c r="I20" s="4" t="s">
        <v>823</v>
      </c>
      <c r="J20" s="4" t="s">
        <v>819</v>
      </c>
      <c r="K20" s="4" t="s">
        <v>823</v>
      </c>
      <c r="L20" s="4" t="s">
        <v>820</v>
      </c>
      <c r="M20" s="4" t="s">
        <v>821</v>
      </c>
      <c r="N20" s="4" t="s">
        <v>820</v>
      </c>
      <c r="O20" s="52" t="s">
        <v>820</v>
      </c>
      <c r="P20" s="4" t="s">
        <v>819</v>
      </c>
      <c r="Q20" s="4" t="s">
        <v>819</v>
      </c>
      <c r="R20" s="52">
        <v>0.89</v>
      </c>
      <c r="S20" s="4" t="s">
        <v>819</v>
      </c>
      <c r="T20" s="4" t="s">
        <v>856</v>
      </c>
    </row>
    <row r="21" spans="1:20" s="8" customFormat="1" ht="24" customHeight="1" x14ac:dyDescent="0.2">
      <c r="A21" s="4">
        <v>14</v>
      </c>
      <c r="B21" s="6">
        <v>85</v>
      </c>
      <c r="C21" s="10" t="s">
        <v>144</v>
      </c>
      <c r="D21" s="10" t="s">
        <v>145</v>
      </c>
      <c r="E21" s="7" t="s">
        <v>122</v>
      </c>
      <c r="F21" s="4" t="s">
        <v>819</v>
      </c>
      <c r="G21" s="4" t="s">
        <v>821</v>
      </c>
      <c r="H21" s="4" t="s">
        <v>819</v>
      </c>
      <c r="I21" s="4" t="s">
        <v>820</v>
      </c>
      <c r="J21" s="4" t="s">
        <v>823</v>
      </c>
      <c r="K21" s="4" t="s">
        <v>823</v>
      </c>
      <c r="L21" s="4" t="s">
        <v>823</v>
      </c>
      <c r="M21" s="4" t="s">
        <v>820</v>
      </c>
      <c r="N21" s="4" t="s">
        <v>823</v>
      </c>
      <c r="O21" s="52" t="s">
        <v>823</v>
      </c>
      <c r="P21" s="4" t="s">
        <v>820</v>
      </c>
      <c r="Q21" s="4" t="s">
        <v>819</v>
      </c>
      <c r="R21" s="52">
        <v>0.87</v>
      </c>
      <c r="S21" s="4" t="s">
        <v>819</v>
      </c>
      <c r="T21" s="4" t="s">
        <v>856</v>
      </c>
    </row>
    <row r="22" spans="1:20" s="8" customFormat="1" ht="24" customHeight="1" x14ac:dyDescent="0.2">
      <c r="A22" s="4">
        <v>15</v>
      </c>
      <c r="B22" s="6">
        <v>102</v>
      </c>
      <c r="C22" s="10" t="s">
        <v>146</v>
      </c>
      <c r="D22" s="10" t="s">
        <v>147</v>
      </c>
      <c r="E22" s="7" t="s">
        <v>122</v>
      </c>
      <c r="F22" s="4" t="s">
        <v>823</v>
      </c>
      <c r="G22" s="4" t="s">
        <v>819</v>
      </c>
      <c r="H22" s="4" t="s">
        <v>819</v>
      </c>
      <c r="I22" s="4" t="s">
        <v>819</v>
      </c>
      <c r="J22" s="4" t="s">
        <v>819</v>
      </c>
      <c r="K22" s="4" t="s">
        <v>823</v>
      </c>
      <c r="L22" s="4" t="s">
        <v>819</v>
      </c>
      <c r="M22" s="4" t="s">
        <v>822</v>
      </c>
      <c r="N22" s="4" t="s">
        <v>820</v>
      </c>
      <c r="O22" s="52" t="s">
        <v>821</v>
      </c>
      <c r="P22" s="4" t="s">
        <v>822</v>
      </c>
      <c r="Q22" s="4" t="s">
        <v>819</v>
      </c>
      <c r="R22" s="52">
        <v>0.88</v>
      </c>
      <c r="S22" s="4" t="s">
        <v>820</v>
      </c>
      <c r="T22" s="4" t="s">
        <v>858</v>
      </c>
    </row>
    <row r="23" spans="1:20" s="8" customFormat="1" ht="24" customHeight="1" x14ac:dyDescent="0.2">
      <c r="A23" s="4">
        <v>16</v>
      </c>
      <c r="B23" s="6">
        <v>87</v>
      </c>
      <c r="C23" s="10" t="s">
        <v>148</v>
      </c>
      <c r="D23" s="10" t="s">
        <v>131</v>
      </c>
      <c r="E23" s="7" t="s">
        <v>122</v>
      </c>
      <c r="F23" s="4" t="s">
        <v>823</v>
      </c>
      <c r="G23" s="4" t="s">
        <v>823</v>
      </c>
      <c r="H23" s="4" t="s">
        <v>823</v>
      </c>
      <c r="I23" s="4" t="s">
        <v>823</v>
      </c>
      <c r="J23" s="4" t="s">
        <v>823</v>
      </c>
      <c r="K23" s="4" t="s">
        <v>823</v>
      </c>
      <c r="L23" s="4" t="s">
        <v>823</v>
      </c>
      <c r="M23" s="4" t="s">
        <v>823</v>
      </c>
      <c r="N23" s="4" t="s">
        <v>823</v>
      </c>
      <c r="O23" s="4" t="s">
        <v>823</v>
      </c>
      <c r="P23" s="4" t="s">
        <v>819</v>
      </c>
      <c r="Q23" s="4" t="s">
        <v>819</v>
      </c>
      <c r="R23" s="52">
        <v>0.99</v>
      </c>
      <c r="S23" s="4" t="s">
        <v>823</v>
      </c>
      <c r="T23" s="4" t="s">
        <v>849</v>
      </c>
    </row>
    <row r="24" spans="1:20" s="8" customFormat="1" ht="24" customHeight="1" x14ac:dyDescent="0.2">
      <c r="A24" s="4">
        <v>17</v>
      </c>
      <c r="B24" s="6">
        <v>71</v>
      </c>
      <c r="C24" s="10" t="s">
        <v>149</v>
      </c>
      <c r="D24" s="10" t="s">
        <v>150</v>
      </c>
      <c r="E24" s="7" t="s">
        <v>122</v>
      </c>
      <c r="F24" s="4" t="s">
        <v>819</v>
      </c>
      <c r="G24" s="4" t="s">
        <v>827</v>
      </c>
      <c r="H24" s="4" t="s">
        <v>819</v>
      </c>
      <c r="I24" s="4" t="s">
        <v>819</v>
      </c>
      <c r="J24" s="4" t="s">
        <v>820</v>
      </c>
      <c r="K24" s="4" t="s">
        <v>823</v>
      </c>
      <c r="L24" s="4" t="s">
        <v>823</v>
      </c>
      <c r="M24" s="4" t="s">
        <v>818</v>
      </c>
      <c r="N24" s="4" t="s">
        <v>818</v>
      </c>
      <c r="O24" s="52" t="s">
        <v>819</v>
      </c>
      <c r="P24" s="4" t="s">
        <v>819</v>
      </c>
      <c r="Q24" s="4" t="s">
        <v>819</v>
      </c>
      <c r="R24" s="52">
        <v>0.99</v>
      </c>
      <c r="S24" s="4" t="s">
        <v>819</v>
      </c>
      <c r="T24" s="4" t="s">
        <v>856</v>
      </c>
    </row>
    <row r="25" spans="1:20" s="8" customFormat="1" ht="24" customHeight="1" x14ac:dyDescent="0.2">
      <c r="A25" s="4">
        <v>18</v>
      </c>
      <c r="B25" s="6">
        <v>81</v>
      </c>
      <c r="C25" s="10" t="s">
        <v>151</v>
      </c>
      <c r="D25" s="10" t="s">
        <v>152</v>
      </c>
      <c r="E25" s="7" t="s">
        <v>122</v>
      </c>
      <c r="F25" s="4" t="s">
        <v>818</v>
      </c>
      <c r="G25" s="4" t="s">
        <v>818</v>
      </c>
      <c r="H25" s="4" t="s">
        <v>818</v>
      </c>
      <c r="I25" s="4" t="s">
        <v>821</v>
      </c>
      <c r="J25" s="4" t="s">
        <v>822</v>
      </c>
      <c r="K25" s="4" t="s">
        <v>822</v>
      </c>
      <c r="L25" s="4" t="s">
        <v>821</v>
      </c>
      <c r="M25" s="4" t="s">
        <v>821</v>
      </c>
      <c r="N25" s="4" t="s">
        <v>859</v>
      </c>
      <c r="O25" s="52" t="s">
        <v>859</v>
      </c>
      <c r="P25" s="4" t="s">
        <v>821</v>
      </c>
      <c r="Q25" s="4" t="s">
        <v>822</v>
      </c>
      <c r="R25" s="52">
        <v>0.77</v>
      </c>
      <c r="S25" s="4" t="s">
        <v>859</v>
      </c>
      <c r="T25" s="4"/>
    </row>
    <row r="26" spans="1:20" s="8" customFormat="1" ht="24" customHeight="1" x14ac:dyDescent="0.2">
      <c r="A26" s="4">
        <v>19</v>
      </c>
      <c r="B26" s="6">
        <v>82</v>
      </c>
      <c r="C26" s="10" t="s">
        <v>153</v>
      </c>
      <c r="D26" s="10" t="s">
        <v>154</v>
      </c>
      <c r="E26" s="7" t="s">
        <v>122</v>
      </c>
      <c r="F26" s="4" t="s">
        <v>819</v>
      </c>
      <c r="G26" s="4" t="s">
        <v>821</v>
      </c>
      <c r="H26" s="4" t="s">
        <v>821</v>
      </c>
      <c r="I26" s="4" t="s">
        <v>821</v>
      </c>
      <c r="J26" s="4" t="s">
        <v>821</v>
      </c>
      <c r="K26" s="4" t="s">
        <v>821</v>
      </c>
      <c r="L26" s="4" t="s">
        <v>820</v>
      </c>
      <c r="M26" s="4" t="s">
        <v>859</v>
      </c>
      <c r="N26" s="4" t="s">
        <v>859</v>
      </c>
      <c r="O26" s="52" t="s">
        <v>859</v>
      </c>
      <c r="P26" s="4" t="s">
        <v>820</v>
      </c>
      <c r="Q26" s="4" t="s">
        <v>821</v>
      </c>
      <c r="R26" s="52">
        <v>0.91</v>
      </c>
      <c r="S26" s="4" t="s">
        <v>859</v>
      </c>
      <c r="T26" s="4"/>
    </row>
    <row r="27" spans="1:20" s="8" customFormat="1" ht="24" customHeight="1" x14ac:dyDescent="0.2">
      <c r="A27" s="4">
        <v>20</v>
      </c>
      <c r="B27" s="6">
        <v>68</v>
      </c>
      <c r="C27" s="10" t="s">
        <v>155</v>
      </c>
      <c r="D27" s="10" t="s">
        <v>156</v>
      </c>
      <c r="E27" s="7" t="s">
        <v>122</v>
      </c>
      <c r="F27" s="4" t="s">
        <v>819</v>
      </c>
      <c r="G27" s="4" t="s">
        <v>821</v>
      </c>
      <c r="H27" s="4" t="s">
        <v>819</v>
      </c>
      <c r="I27" s="4" t="s">
        <v>820</v>
      </c>
      <c r="J27" s="4" t="s">
        <v>819</v>
      </c>
      <c r="K27" s="4" t="s">
        <v>820</v>
      </c>
      <c r="L27" s="4" t="s">
        <v>821</v>
      </c>
      <c r="M27" s="4" t="s">
        <v>820</v>
      </c>
      <c r="N27" s="4" t="s">
        <v>823</v>
      </c>
      <c r="O27" s="52" t="s">
        <v>823</v>
      </c>
      <c r="P27" s="4" t="s">
        <v>820</v>
      </c>
      <c r="Q27" s="4" t="s">
        <v>819</v>
      </c>
      <c r="R27" s="52">
        <v>0.89</v>
      </c>
      <c r="S27" s="4" t="s">
        <v>819</v>
      </c>
      <c r="T27" s="4" t="s">
        <v>856</v>
      </c>
    </row>
    <row r="28" spans="1:20" s="8" customFormat="1" ht="24" customHeight="1" x14ac:dyDescent="0.2">
      <c r="A28" s="4">
        <v>21</v>
      </c>
      <c r="B28" s="6">
        <v>69</v>
      </c>
      <c r="C28" s="10" t="s">
        <v>157</v>
      </c>
      <c r="D28" s="10" t="s">
        <v>158</v>
      </c>
      <c r="E28" s="7" t="s">
        <v>122</v>
      </c>
      <c r="F28" s="4" t="s">
        <v>819</v>
      </c>
      <c r="G28" s="4" t="s">
        <v>819</v>
      </c>
      <c r="H28" s="4" t="s">
        <v>819</v>
      </c>
      <c r="I28" s="4" t="s">
        <v>820</v>
      </c>
      <c r="J28" s="4" t="s">
        <v>819</v>
      </c>
      <c r="K28" s="4" t="s">
        <v>820</v>
      </c>
      <c r="L28" s="4" t="s">
        <v>820</v>
      </c>
      <c r="M28" s="4" t="s">
        <v>822</v>
      </c>
      <c r="N28" s="4" t="s">
        <v>822</v>
      </c>
      <c r="O28" s="52" t="s">
        <v>821</v>
      </c>
      <c r="P28" s="4" t="s">
        <v>825</v>
      </c>
      <c r="Q28" s="4" t="s">
        <v>819</v>
      </c>
      <c r="R28" s="52">
        <v>0.84</v>
      </c>
      <c r="S28" s="4" t="s">
        <v>820</v>
      </c>
      <c r="T28" s="4" t="s">
        <v>858</v>
      </c>
    </row>
    <row r="29" spans="1:20" s="8" customFormat="1" ht="24" customHeight="1" x14ac:dyDescent="0.2">
      <c r="A29" s="4">
        <v>22</v>
      </c>
      <c r="B29" s="6">
        <v>70</v>
      </c>
      <c r="C29" s="10" t="s">
        <v>159</v>
      </c>
      <c r="D29" s="10" t="s">
        <v>160</v>
      </c>
      <c r="E29" s="7" t="s">
        <v>122</v>
      </c>
      <c r="F29" s="4" t="s">
        <v>826</v>
      </c>
      <c r="G29" s="4" t="s">
        <v>820</v>
      </c>
      <c r="H29" s="4" t="s">
        <v>819</v>
      </c>
      <c r="I29" s="4" t="s">
        <v>820</v>
      </c>
      <c r="J29" s="4" t="s">
        <v>820</v>
      </c>
      <c r="K29" s="4" t="s">
        <v>820</v>
      </c>
      <c r="L29" s="4" t="s">
        <v>819</v>
      </c>
      <c r="M29" s="4" t="s">
        <v>821</v>
      </c>
      <c r="N29" s="4" t="s">
        <v>820</v>
      </c>
      <c r="O29" s="52" t="s">
        <v>821</v>
      </c>
      <c r="P29" s="4" t="s">
        <v>825</v>
      </c>
      <c r="Q29" s="4" t="s">
        <v>820</v>
      </c>
      <c r="R29" s="52">
        <v>0.89</v>
      </c>
      <c r="S29" s="4" t="s">
        <v>820</v>
      </c>
      <c r="T29" s="4" t="s">
        <v>858</v>
      </c>
    </row>
    <row r="30" spans="1:20" s="8" customFormat="1" ht="24" customHeight="1" x14ac:dyDescent="0.2">
      <c r="A30" s="4">
        <v>23</v>
      </c>
      <c r="B30" s="6">
        <v>103</v>
      </c>
      <c r="C30" s="10" t="s">
        <v>161</v>
      </c>
      <c r="D30" s="10" t="s">
        <v>129</v>
      </c>
      <c r="E30" s="7" t="s">
        <v>122</v>
      </c>
      <c r="F30" s="4" t="s">
        <v>823</v>
      </c>
      <c r="G30" s="4" t="s">
        <v>820</v>
      </c>
      <c r="H30" s="4" t="s">
        <v>823</v>
      </c>
      <c r="I30" s="4" t="s">
        <v>820</v>
      </c>
      <c r="J30" s="4" t="s">
        <v>823</v>
      </c>
      <c r="K30" s="4" t="s">
        <v>823</v>
      </c>
      <c r="L30" s="4" t="s">
        <v>823</v>
      </c>
      <c r="M30" s="4" t="s">
        <v>822</v>
      </c>
      <c r="N30" s="4" t="s">
        <v>822</v>
      </c>
      <c r="O30" s="52" t="s">
        <v>823</v>
      </c>
      <c r="P30" s="4" t="s">
        <v>821</v>
      </c>
      <c r="Q30" s="4" t="s">
        <v>821</v>
      </c>
      <c r="R30" s="52">
        <v>0.83</v>
      </c>
      <c r="S30" s="4" t="s">
        <v>820</v>
      </c>
      <c r="T30" s="4" t="s">
        <v>858</v>
      </c>
    </row>
    <row r="31" spans="1:20" s="8" customFormat="1" ht="24" customHeight="1" x14ac:dyDescent="0.2">
      <c r="A31" s="4">
        <v>24</v>
      </c>
      <c r="B31" s="4">
        <v>149</v>
      </c>
      <c r="C31" s="10" t="s">
        <v>162</v>
      </c>
      <c r="D31" s="10" t="s">
        <v>163</v>
      </c>
      <c r="E31" s="7" t="s">
        <v>122</v>
      </c>
      <c r="F31" s="4" t="s">
        <v>823</v>
      </c>
      <c r="G31" s="4" t="s">
        <v>819</v>
      </c>
      <c r="H31" s="4" t="s">
        <v>819</v>
      </c>
      <c r="I31" s="4" t="s">
        <v>819</v>
      </c>
      <c r="J31" s="4" t="s">
        <v>820</v>
      </c>
      <c r="K31" s="4" t="s">
        <v>819</v>
      </c>
      <c r="L31" s="4" t="s">
        <v>820</v>
      </c>
      <c r="M31" s="4" t="s">
        <v>819</v>
      </c>
      <c r="N31" s="4" t="s">
        <v>820</v>
      </c>
      <c r="O31" s="52" t="s">
        <v>820</v>
      </c>
      <c r="P31" s="4" t="s">
        <v>819</v>
      </c>
      <c r="Q31" s="4" t="s">
        <v>821</v>
      </c>
      <c r="R31" s="52">
        <v>0.63</v>
      </c>
      <c r="S31" s="4" t="s">
        <v>820</v>
      </c>
      <c r="T31" s="4" t="s">
        <v>858</v>
      </c>
    </row>
    <row r="32" spans="1:20" s="8" customFormat="1" ht="24" customHeight="1" x14ac:dyDescent="0.2">
      <c r="A32" s="4">
        <v>25</v>
      </c>
      <c r="B32" s="4">
        <v>169</v>
      </c>
      <c r="C32" s="10" t="s">
        <v>164</v>
      </c>
      <c r="D32" s="10" t="s">
        <v>833</v>
      </c>
      <c r="E32" s="7" t="s">
        <v>122</v>
      </c>
      <c r="F32" s="4" t="s">
        <v>819</v>
      </c>
      <c r="G32" s="4" t="s">
        <v>821</v>
      </c>
      <c r="H32" s="4" t="s">
        <v>819</v>
      </c>
      <c r="I32" s="4" t="s">
        <v>820</v>
      </c>
      <c r="J32" s="4" t="s">
        <v>820</v>
      </c>
      <c r="K32" s="4" t="s">
        <v>823</v>
      </c>
      <c r="L32" s="4" t="s">
        <v>819</v>
      </c>
      <c r="M32" s="4" t="s">
        <v>821</v>
      </c>
      <c r="N32" s="4" t="s">
        <v>821</v>
      </c>
      <c r="O32" s="52" t="s">
        <v>820</v>
      </c>
      <c r="P32" s="4" t="s">
        <v>825</v>
      </c>
      <c r="Q32" s="4" t="s">
        <v>821</v>
      </c>
      <c r="R32" s="52">
        <v>0.69</v>
      </c>
      <c r="S32" s="4" t="s">
        <v>820</v>
      </c>
      <c r="T32" s="4" t="s">
        <v>858</v>
      </c>
    </row>
    <row r="33" spans="1:20" s="8" customFormat="1" ht="24" customHeight="1" x14ac:dyDescent="0.2">
      <c r="A33" s="119" t="s">
        <v>165</v>
      </c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</row>
    <row r="34" spans="1:20" s="8" customFormat="1" ht="24" customHeight="1" x14ac:dyDescent="0.2">
      <c r="A34" s="9">
        <v>1</v>
      </c>
      <c r="B34" s="4">
        <v>61</v>
      </c>
      <c r="C34" s="10" t="s">
        <v>166</v>
      </c>
      <c r="D34" s="10" t="s">
        <v>167</v>
      </c>
      <c r="E34" s="7" t="s">
        <v>122</v>
      </c>
      <c r="F34" s="4" t="s">
        <v>821</v>
      </c>
      <c r="G34" s="4" t="s">
        <v>821</v>
      </c>
      <c r="H34" s="4" t="s">
        <v>820</v>
      </c>
      <c r="I34" s="4" t="s">
        <v>820</v>
      </c>
      <c r="J34" s="4" t="s">
        <v>820</v>
      </c>
      <c r="K34" s="4" t="s">
        <v>823</v>
      </c>
      <c r="L34" s="4" t="s">
        <v>820</v>
      </c>
      <c r="M34" s="4" t="s">
        <v>820</v>
      </c>
      <c r="N34" s="4" t="s">
        <v>823</v>
      </c>
      <c r="O34" s="52" t="s">
        <v>823</v>
      </c>
      <c r="P34" s="4" t="s">
        <v>819</v>
      </c>
      <c r="Q34" s="4" t="s">
        <v>819</v>
      </c>
      <c r="R34" s="52">
        <v>0.92</v>
      </c>
      <c r="S34" s="4" t="s">
        <v>820</v>
      </c>
      <c r="T34" s="4" t="s">
        <v>858</v>
      </c>
    </row>
    <row r="35" spans="1:20" s="8" customFormat="1" ht="24" customHeight="1" x14ac:dyDescent="0.2">
      <c r="A35" s="9">
        <v>2</v>
      </c>
      <c r="B35" s="4">
        <v>79</v>
      </c>
      <c r="C35" s="10" t="s">
        <v>168</v>
      </c>
      <c r="D35" s="10" t="s">
        <v>169</v>
      </c>
      <c r="E35" s="7" t="s">
        <v>122</v>
      </c>
      <c r="F35" s="4" t="s">
        <v>820</v>
      </c>
      <c r="G35" s="4" t="s">
        <v>821</v>
      </c>
      <c r="H35" s="4" t="s">
        <v>823</v>
      </c>
      <c r="I35" s="4" t="s">
        <v>820</v>
      </c>
      <c r="J35" s="4" t="s">
        <v>820</v>
      </c>
      <c r="K35" s="4" t="s">
        <v>819</v>
      </c>
      <c r="L35" s="4" t="s">
        <v>819</v>
      </c>
      <c r="M35" s="4" t="s">
        <v>819</v>
      </c>
      <c r="N35" s="4" t="s">
        <v>823</v>
      </c>
      <c r="O35" s="52" t="s">
        <v>823</v>
      </c>
      <c r="P35" s="4" t="s">
        <v>820</v>
      </c>
      <c r="Q35" s="4" t="s">
        <v>819</v>
      </c>
      <c r="R35" s="52">
        <v>0.95</v>
      </c>
      <c r="S35" s="4" t="s">
        <v>820</v>
      </c>
      <c r="T35" s="4" t="s">
        <v>858</v>
      </c>
    </row>
    <row r="36" spans="1:20" s="8" customFormat="1" ht="24" customHeight="1" x14ac:dyDescent="0.2">
      <c r="A36" s="9">
        <v>3</v>
      </c>
      <c r="B36" s="4">
        <v>16</v>
      </c>
      <c r="C36" s="10" t="s">
        <v>170</v>
      </c>
      <c r="D36" s="10" t="s">
        <v>171</v>
      </c>
      <c r="E36" s="7" t="s">
        <v>122</v>
      </c>
      <c r="F36" s="4" t="s">
        <v>820</v>
      </c>
      <c r="G36" s="4" t="s">
        <v>822</v>
      </c>
      <c r="H36" s="4" t="s">
        <v>819</v>
      </c>
      <c r="I36" s="4" t="s">
        <v>820</v>
      </c>
      <c r="J36" s="4" t="s">
        <v>820</v>
      </c>
      <c r="K36" s="4" t="s">
        <v>821</v>
      </c>
      <c r="L36" s="4" t="s">
        <v>821</v>
      </c>
      <c r="M36" s="4" t="s">
        <v>821</v>
      </c>
      <c r="N36" s="4" t="s">
        <v>819</v>
      </c>
      <c r="O36" s="52" t="s">
        <v>819</v>
      </c>
      <c r="P36" s="4" t="s">
        <v>820</v>
      </c>
      <c r="Q36" s="4" t="s">
        <v>819</v>
      </c>
      <c r="R36" s="52">
        <v>0.96</v>
      </c>
      <c r="S36" s="4" t="s">
        <v>821</v>
      </c>
      <c r="T36" s="4" t="s">
        <v>848</v>
      </c>
    </row>
    <row r="37" spans="1:20" s="8" customFormat="1" ht="24" customHeight="1" x14ac:dyDescent="0.2">
      <c r="A37" s="9">
        <v>4</v>
      </c>
      <c r="B37" s="4">
        <v>78</v>
      </c>
      <c r="C37" s="10" t="s">
        <v>172</v>
      </c>
      <c r="D37" s="10" t="s">
        <v>173</v>
      </c>
      <c r="E37" s="7" t="s">
        <v>122</v>
      </c>
      <c r="F37" s="4" t="s">
        <v>822</v>
      </c>
      <c r="G37" s="4" t="s">
        <v>822</v>
      </c>
      <c r="H37" s="4" t="s">
        <v>820</v>
      </c>
      <c r="I37" s="4" t="s">
        <v>818</v>
      </c>
      <c r="J37" s="4" t="s">
        <v>820</v>
      </c>
      <c r="K37" s="4" t="s">
        <v>821</v>
      </c>
      <c r="L37" s="4" t="s">
        <v>821</v>
      </c>
      <c r="M37" s="4" t="s">
        <v>859</v>
      </c>
      <c r="N37" s="4" t="s">
        <v>859</v>
      </c>
      <c r="O37" s="52" t="s">
        <v>821</v>
      </c>
      <c r="P37" s="4" t="s">
        <v>821</v>
      </c>
      <c r="Q37" s="4" t="s">
        <v>821</v>
      </c>
      <c r="R37" s="52">
        <v>0.85</v>
      </c>
      <c r="S37" s="4" t="s">
        <v>859</v>
      </c>
      <c r="T37" s="4"/>
    </row>
    <row r="38" spans="1:20" s="8" customFormat="1" ht="24" customHeight="1" x14ac:dyDescent="0.2">
      <c r="A38" s="9">
        <v>5</v>
      </c>
      <c r="B38" s="4">
        <v>76</v>
      </c>
      <c r="C38" s="10" t="s">
        <v>174</v>
      </c>
      <c r="D38" s="10" t="s">
        <v>175</v>
      </c>
      <c r="E38" s="7" t="s">
        <v>122</v>
      </c>
      <c r="F38" s="4" t="s">
        <v>819</v>
      </c>
      <c r="G38" s="4" t="s">
        <v>819</v>
      </c>
      <c r="H38" s="4" t="s">
        <v>820</v>
      </c>
      <c r="I38" s="4" t="s">
        <v>820</v>
      </c>
      <c r="J38" s="4" t="s">
        <v>819</v>
      </c>
      <c r="K38" s="4" t="s">
        <v>819</v>
      </c>
      <c r="L38" s="4" t="s">
        <v>820</v>
      </c>
      <c r="M38" s="4" t="s">
        <v>821</v>
      </c>
      <c r="N38" s="4" t="s">
        <v>821</v>
      </c>
      <c r="O38" s="52" t="s">
        <v>819</v>
      </c>
      <c r="P38" s="4" t="s">
        <v>821</v>
      </c>
      <c r="Q38" s="4" t="s">
        <v>821</v>
      </c>
      <c r="R38" s="52">
        <v>0.92</v>
      </c>
      <c r="S38" s="4" t="s">
        <v>821</v>
      </c>
      <c r="T38" s="4" t="s">
        <v>848</v>
      </c>
    </row>
    <row r="39" spans="1:20" s="8" customFormat="1" ht="24" customHeight="1" x14ac:dyDescent="0.2">
      <c r="A39" s="9">
        <v>6</v>
      </c>
      <c r="B39" s="4">
        <v>96</v>
      </c>
      <c r="C39" s="10" t="s">
        <v>176</v>
      </c>
      <c r="D39" s="10" t="s">
        <v>177</v>
      </c>
      <c r="E39" s="7" t="s">
        <v>122</v>
      </c>
      <c r="F39" s="4" t="s">
        <v>823</v>
      </c>
      <c r="G39" s="4" t="s">
        <v>823</v>
      </c>
      <c r="H39" s="4" t="s">
        <v>823</v>
      </c>
      <c r="I39" s="4" t="s">
        <v>820</v>
      </c>
      <c r="J39" s="4" t="s">
        <v>823</v>
      </c>
      <c r="K39" s="4" t="s">
        <v>823</v>
      </c>
      <c r="L39" s="4" t="s">
        <v>823</v>
      </c>
      <c r="M39" s="4" t="s">
        <v>820</v>
      </c>
      <c r="N39" s="4" t="s">
        <v>823</v>
      </c>
      <c r="O39" s="52" t="s">
        <v>823</v>
      </c>
      <c r="P39" s="4" t="s">
        <v>819</v>
      </c>
      <c r="Q39" s="4" t="s">
        <v>819</v>
      </c>
      <c r="R39" s="52">
        <v>0.88</v>
      </c>
      <c r="S39" s="4" t="s">
        <v>823</v>
      </c>
      <c r="T39" s="4" t="s">
        <v>849</v>
      </c>
    </row>
    <row r="40" spans="1:20" s="8" customFormat="1" ht="24" customHeight="1" x14ac:dyDescent="0.2">
      <c r="A40" s="9">
        <v>7</v>
      </c>
      <c r="B40" s="4">
        <v>108</v>
      </c>
      <c r="C40" s="10" t="s">
        <v>178</v>
      </c>
      <c r="D40" s="10" t="s">
        <v>179</v>
      </c>
      <c r="E40" s="7" t="s">
        <v>122</v>
      </c>
      <c r="F40" s="4" t="s">
        <v>823</v>
      </c>
      <c r="G40" s="4" t="s">
        <v>819</v>
      </c>
      <c r="H40" s="4" t="s">
        <v>823</v>
      </c>
      <c r="I40" s="4" t="s">
        <v>870</v>
      </c>
      <c r="J40" s="4" t="s">
        <v>819</v>
      </c>
      <c r="K40" s="4" t="s">
        <v>819</v>
      </c>
      <c r="L40" s="4" t="s">
        <v>821</v>
      </c>
      <c r="M40" s="4" t="s">
        <v>821</v>
      </c>
      <c r="N40" s="4" t="s">
        <v>823</v>
      </c>
      <c r="O40" s="52" t="s">
        <v>823</v>
      </c>
      <c r="P40" s="4" t="s">
        <v>819</v>
      </c>
      <c r="Q40" s="4" t="s">
        <v>819</v>
      </c>
      <c r="R40" s="52">
        <v>0.85</v>
      </c>
      <c r="S40" s="4" t="s">
        <v>819</v>
      </c>
      <c r="T40" s="4" t="s">
        <v>856</v>
      </c>
    </row>
    <row r="41" spans="1:20" s="8" customFormat="1" ht="24" customHeight="1" x14ac:dyDescent="0.2">
      <c r="A41" s="9">
        <v>8</v>
      </c>
      <c r="B41" s="4">
        <v>131</v>
      </c>
      <c r="C41" s="10" t="s">
        <v>180</v>
      </c>
      <c r="D41" s="10" t="s">
        <v>181</v>
      </c>
      <c r="E41" s="7" t="s">
        <v>122</v>
      </c>
      <c r="F41" s="4" t="s">
        <v>825</v>
      </c>
      <c r="G41" s="4" t="s">
        <v>822</v>
      </c>
      <c r="H41" s="4" t="s">
        <v>819</v>
      </c>
      <c r="I41" s="4" t="s">
        <v>820</v>
      </c>
      <c r="J41" s="4" t="s">
        <v>820</v>
      </c>
      <c r="K41" s="4" t="s">
        <v>820</v>
      </c>
      <c r="L41" s="4" t="s">
        <v>820</v>
      </c>
      <c r="M41" s="4" t="s">
        <v>859</v>
      </c>
      <c r="N41" s="4" t="s">
        <v>819</v>
      </c>
      <c r="O41" s="52" t="s">
        <v>819</v>
      </c>
      <c r="P41" s="4" t="s">
        <v>819</v>
      </c>
      <c r="Q41" s="4" t="s">
        <v>821</v>
      </c>
      <c r="R41" s="52">
        <v>0.84</v>
      </c>
      <c r="S41" s="4" t="s">
        <v>859</v>
      </c>
      <c r="T41" s="4"/>
    </row>
    <row r="42" spans="1:20" s="8" customFormat="1" ht="24" customHeight="1" x14ac:dyDescent="0.2">
      <c r="A42" s="9">
        <v>9</v>
      </c>
      <c r="B42" s="4">
        <v>101</v>
      </c>
      <c r="C42" s="10" t="s">
        <v>182</v>
      </c>
      <c r="D42" s="10" t="s">
        <v>183</v>
      </c>
      <c r="E42" s="7" t="s">
        <v>122</v>
      </c>
      <c r="F42" s="4" t="s">
        <v>823</v>
      </c>
      <c r="G42" s="4" t="s">
        <v>823</v>
      </c>
      <c r="H42" s="4" t="s">
        <v>819</v>
      </c>
      <c r="I42" s="4" t="s">
        <v>819</v>
      </c>
      <c r="J42" s="4" t="s">
        <v>823</v>
      </c>
      <c r="K42" s="4" t="s">
        <v>823</v>
      </c>
      <c r="L42" s="4" t="s">
        <v>823</v>
      </c>
      <c r="M42" s="4" t="s">
        <v>819</v>
      </c>
      <c r="N42" s="4" t="s">
        <v>823</v>
      </c>
      <c r="O42" s="52" t="s">
        <v>819</v>
      </c>
      <c r="P42" s="4" t="s">
        <v>819</v>
      </c>
      <c r="Q42" s="4" t="s">
        <v>819</v>
      </c>
      <c r="R42" s="52">
        <v>0.93</v>
      </c>
      <c r="S42" s="4" t="s">
        <v>823</v>
      </c>
      <c r="T42" s="4" t="s">
        <v>849</v>
      </c>
    </row>
    <row r="43" spans="1:20" s="8" customFormat="1" ht="24" customHeight="1" x14ac:dyDescent="0.2">
      <c r="A43" s="9">
        <v>10</v>
      </c>
      <c r="B43" s="4">
        <v>100</v>
      </c>
      <c r="C43" s="10" t="s">
        <v>184</v>
      </c>
      <c r="D43" s="10" t="s">
        <v>185</v>
      </c>
      <c r="E43" s="7" t="s">
        <v>122</v>
      </c>
      <c r="F43" s="4" t="s">
        <v>822</v>
      </c>
      <c r="G43" s="4" t="s">
        <v>822</v>
      </c>
      <c r="H43" s="4" t="s">
        <v>822</v>
      </c>
      <c r="I43" s="4" t="s">
        <v>822</v>
      </c>
      <c r="J43" s="4" t="s">
        <v>818</v>
      </c>
      <c r="K43" s="4" t="s">
        <v>822</v>
      </c>
      <c r="L43" s="4" t="s">
        <v>822</v>
      </c>
      <c r="M43" s="4" t="s">
        <v>859</v>
      </c>
      <c r="N43" s="4" t="s">
        <v>859</v>
      </c>
      <c r="O43" s="52" t="s">
        <v>859</v>
      </c>
      <c r="P43" s="4" t="s">
        <v>825</v>
      </c>
      <c r="Q43" s="4" t="s">
        <v>822</v>
      </c>
      <c r="R43" s="52">
        <v>0.93</v>
      </c>
      <c r="S43" s="4" t="s">
        <v>859</v>
      </c>
      <c r="T43" s="4"/>
    </row>
    <row r="44" spans="1:20" s="8" customFormat="1" ht="24" customHeight="1" x14ac:dyDescent="0.2">
      <c r="A44" s="9">
        <v>11</v>
      </c>
      <c r="B44" s="4">
        <v>90</v>
      </c>
      <c r="C44" s="10" t="s">
        <v>186</v>
      </c>
      <c r="D44" s="10" t="s">
        <v>137</v>
      </c>
      <c r="E44" s="7" t="s">
        <v>122</v>
      </c>
      <c r="F44" s="4" t="s">
        <v>820</v>
      </c>
      <c r="G44" s="4" t="s">
        <v>820</v>
      </c>
      <c r="H44" s="4" t="s">
        <v>819</v>
      </c>
      <c r="I44" s="4" t="s">
        <v>820</v>
      </c>
      <c r="J44" s="4" t="s">
        <v>819</v>
      </c>
      <c r="K44" s="4" t="s">
        <v>819</v>
      </c>
      <c r="L44" s="4" t="s">
        <v>819</v>
      </c>
      <c r="M44" s="4" t="s">
        <v>822</v>
      </c>
      <c r="N44" s="4" t="s">
        <v>823</v>
      </c>
      <c r="O44" s="52" t="s">
        <v>823</v>
      </c>
      <c r="P44" s="4" t="s">
        <v>827</v>
      </c>
      <c r="Q44" s="4" t="s">
        <v>820</v>
      </c>
      <c r="R44" s="52">
        <v>0.89</v>
      </c>
      <c r="S44" s="4" t="s">
        <v>820</v>
      </c>
      <c r="T44" s="4" t="s">
        <v>858</v>
      </c>
    </row>
    <row r="45" spans="1:20" s="8" customFormat="1" ht="24" customHeight="1" x14ac:dyDescent="0.2">
      <c r="A45" s="9">
        <v>12</v>
      </c>
      <c r="B45" s="4">
        <v>73</v>
      </c>
      <c r="C45" s="10" t="s">
        <v>187</v>
      </c>
      <c r="D45" s="10" t="s">
        <v>188</v>
      </c>
      <c r="E45" s="7" t="s">
        <v>122</v>
      </c>
      <c r="F45" s="4" t="s">
        <v>826</v>
      </c>
      <c r="G45" s="4" t="s">
        <v>820</v>
      </c>
      <c r="H45" s="4" t="s">
        <v>823</v>
      </c>
      <c r="I45" s="4" t="s">
        <v>820</v>
      </c>
      <c r="J45" s="4" t="s">
        <v>820</v>
      </c>
      <c r="K45" s="4" t="s">
        <v>819</v>
      </c>
      <c r="L45" s="4" t="s">
        <v>819</v>
      </c>
      <c r="M45" s="4" t="s">
        <v>822</v>
      </c>
      <c r="N45" s="4" t="s">
        <v>820</v>
      </c>
      <c r="O45" s="52" t="s">
        <v>820</v>
      </c>
      <c r="P45" s="4" t="s">
        <v>820</v>
      </c>
      <c r="Q45" s="4" t="s">
        <v>819</v>
      </c>
      <c r="R45" s="52">
        <v>0.93</v>
      </c>
      <c r="S45" s="4" t="s">
        <v>820</v>
      </c>
      <c r="T45" s="4" t="s">
        <v>858</v>
      </c>
    </row>
    <row r="46" spans="1:20" s="8" customFormat="1" ht="24" customHeight="1" x14ac:dyDescent="0.2">
      <c r="A46" s="9">
        <v>13</v>
      </c>
      <c r="B46" s="4">
        <v>74</v>
      </c>
      <c r="C46" s="10" t="s">
        <v>189</v>
      </c>
      <c r="D46" s="10" t="s">
        <v>190</v>
      </c>
      <c r="E46" s="7" t="s">
        <v>122</v>
      </c>
      <c r="F46" s="4" t="s">
        <v>828</v>
      </c>
      <c r="G46" s="4" t="s">
        <v>819</v>
      </c>
      <c r="H46" s="4" t="s">
        <v>823</v>
      </c>
      <c r="I46" s="4" t="s">
        <v>819</v>
      </c>
      <c r="J46" s="4" t="s">
        <v>823</v>
      </c>
      <c r="K46" s="4" t="s">
        <v>819</v>
      </c>
      <c r="L46" s="4" t="s">
        <v>819</v>
      </c>
      <c r="M46" s="4" t="s">
        <v>822</v>
      </c>
      <c r="N46" s="4" t="s">
        <v>819</v>
      </c>
      <c r="O46" s="52" t="s">
        <v>819</v>
      </c>
      <c r="P46" s="4" t="s">
        <v>819</v>
      </c>
      <c r="Q46" s="4" t="s">
        <v>819</v>
      </c>
      <c r="R46" s="52">
        <v>0.88</v>
      </c>
      <c r="S46" s="4" t="s">
        <v>819</v>
      </c>
      <c r="T46" s="4" t="s">
        <v>856</v>
      </c>
    </row>
    <row r="47" spans="1:20" s="8" customFormat="1" ht="24" customHeight="1" x14ac:dyDescent="0.2">
      <c r="A47" s="9">
        <v>14</v>
      </c>
      <c r="B47" s="4">
        <v>77</v>
      </c>
      <c r="C47" s="10" t="s">
        <v>191</v>
      </c>
      <c r="D47" s="10" t="s">
        <v>192</v>
      </c>
      <c r="E47" s="7" t="s">
        <v>122</v>
      </c>
      <c r="F47" s="4" t="s">
        <v>820</v>
      </c>
      <c r="G47" s="4" t="s">
        <v>822</v>
      </c>
      <c r="H47" s="4" t="s">
        <v>819</v>
      </c>
      <c r="I47" s="4" t="s">
        <v>820</v>
      </c>
      <c r="J47" s="4" t="s">
        <v>820</v>
      </c>
      <c r="K47" s="4" t="s">
        <v>821</v>
      </c>
      <c r="L47" s="4" t="s">
        <v>821</v>
      </c>
      <c r="M47" s="4" t="s">
        <v>859</v>
      </c>
      <c r="N47" s="4" t="s">
        <v>859</v>
      </c>
      <c r="O47" s="52" t="s">
        <v>859</v>
      </c>
      <c r="P47" s="4" t="s">
        <v>821</v>
      </c>
      <c r="Q47" s="4" t="s">
        <v>821</v>
      </c>
      <c r="R47" s="52">
        <v>0.91</v>
      </c>
      <c r="S47" s="4" t="s">
        <v>859</v>
      </c>
      <c r="T47" s="4"/>
    </row>
    <row r="48" spans="1:20" s="8" customFormat="1" ht="24" customHeight="1" x14ac:dyDescent="0.2">
      <c r="A48" s="9">
        <v>15</v>
      </c>
      <c r="B48" s="4">
        <v>80</v>
      </c>
      <c r="C48" s="10" t="s">
        <v>193</v>
      </c>
      <c r="D48" s="10" t="s">
        <v>194</v>
      </c>
      <c r="E48" s="7" t="s">
        <v>122</v>
      </c>
      <c r="F48" s="4" t="s">
        <v>825</v>
      </c>
      <c r="G48" s="4" t="s">
        <v>821</v>
      </c>
      <c r="H48" s="4" t="s">
        <v>823</v>
      </c>
      <c r="I48" s="4" t="s">
        <v>818</v>
      </c>
      <c r="J48" s="4" t="s">
        <v>819</v>
      </c>
      <c r="K48" s="4" t="s">
        <v>823</v>
      </c>
      <c r="L48" s="4" t="s">
        <v>823</v>
      </c>
      <c r="M48" s="4" t="s">
        <v>821</v>
      </c>
      <c r="N48" s="4" t="s">
        <v>823</v>
      </c>
      <c r="O48" s="52" t="s">
        <v>823</v>
      </c>
      <c r="P48" s="4" t="s">
        <v>821</v>
      </c>
      <c r="Q48" s="4" t="s">
        <v>820</v>
      </c>
      <c r="R48" s="52">
        <v>0.75</v>
      </c>
      <c r="S48" s="4" t="s">
        <v>819</v>
      </c>
      <c r="T48" s="4" t="s">
        <v>856</v>
      </c>
    </row>
    <row r="49" spans="1:20" s="8" customFormat="1" ht="24" customHeight="1" x14ac:dyDescent="0.2">
      <c r="A49" s="9">
        <v>16</v>
      </c>
      <c r="B49" s="4">
        <v>93</v>
      </c>
      <c r="C49" s="10" t="s">
        <v>195</v>
      </c>
      <c r="D49" s="10" t="s">
        <v>56</v>
      </c>
      <c r="E49" s="7" t="s">
        <v>122</v>
      </c>
      <c r="F49" s="4" t="s">
        <v>819</v>
      </c>
      <c r="G49" s="4" t="s">
        <v>823</v>
      </c>
      <c r="H49" s="4" t="s">
        <v>819</v>
      </c>
      <c r="I49" s="4" t="s">
        <v>819</v>
      </c>
      <c r="J49" s="4" t="s">
        <v>823</v>
      </c>
      <c r="K49" s="4" t="s">
        <v>823</v>
      </c>
      <c r="L49" s="4" t="s">
        <v>820</v>
      </c>
      <c r="M49" s="4" t="s">
        <v>823</v>
      </c>
      <c r="N49" s="4" t="s">
        <v>823</v>
      </c>
      <c r="O49" s="52" t="s">
        <v>819</v>
      </c>
      <c r="P49" s="4" t="s">
        <v>819</v>
      </c>
      <c r="Q49" s="4" t="s">
        <v>819</v>
      </c>
      <c r="R49" s="52">
        <v>0.93</v>
      </c>
      <c r="S49" s="4" t="s">
        <v>823</v>
      </c>
      <c r="T49" s="4" t="s">
        <v>849</v>
      </c>
    </row>
    <row r="50" spans="1:20" s="8" customFormat="1" ht="24" customHeight="1" x14ac:dyDescent="0.2">
      <c r="A50" s="9">
        <v>17</v>
      </c>
      <c r="B50" s="4">
        <v>14</v>
      </c>
      <c r="C50" s="10" t="s">
        <v>196</v>
      </c>
      <c r="D50" s="10" t="s">
        <v>197</v>
      </c>
      <c r="E50" s="7" t="s">
        <v>122</v>
      </c>
      <c r="F50" s="4" t="s">
        <v>819</v>
      </c>
      <c r="G50" s="4" t="s">
        <v>820</v>
      </c>
      <c r="H50" s="4" t="s">
        <v>819</v>
      </c>
      <c r="I50" s="4" t="s">
        <v>821</v>
      </c>
      <c r="J50" s="4" t="s">
        <v>820</v>
      </c>
      <c r="K50" s="4" t="s">
        <v>821</v>
      </c>
      <c r="L50" s="4" t="s">
        <v>820</v>
      </c>
      <c r="M50" s="4" t="s">
        <v>859</v>
      </c>
      <c r="N50" s="4" t="s">
        <v>859</v>
      </c>
      <c r="O50" s="52" t="s">
        <v>822</v>
      </c>
      <c r="P50" s="4" t="s">
        <v>819</v>
      </c>
      <c r="Q50" s="4" t="s">
        <v>820</v>
      </c>
      <c r="R50" s="52">
        <v>0.92</v>
      </c>
      <c r="S50" s="4" t="s">
        <v>859</v>
      </c>
      <c r="T50" s="4"/>
    </row>
    <row r="51" spans="1:20" s="8" customFormat="1" ht="24" customHeight="1" x14ac:dyDescent="0.2">
      <c r="A51" s="9">
        <v>18</v>
      </c>
      <c r="B51" s="4">
        <v>94</v>
      </c>
      <c r="C51" s="10" t="s">
        <v>198</v>
      </c>
      <c r="D51" s="10" t="s">
        <v>197</v>
      </c>
      <c r="E51" s="7" t="s">
        <v>122</v>
      </c>
      <c r="F51" s="4" t="s">
        <v>825</v>
      </c>
      <c r="G51" s="4" t="s">
        <v>822</v>
      </c>
      <c r="H51" s="4" t="s">
        <v>819</v>
      </c>
      <c r="I51" s="4" t="s">
        <v>820</v>
      </c>
      <c r="J51" s="4" t="s">
        <v>821</v>
      </c>
      <c r="K51" s="4" t="s">
        <v>820</v>
      </c>
      <c r="L51" s="4" t="s">
        <v>825</v>
      </c>
      <c r="M51" s="4" t="s">
        <v>859</v>
      </c>
      <c r="N51" s="4" t="s">
        <v>859</v>
      </c>
      <c r="O51" s="52" t="s">
        <v>859</v>
      </c>
      <c r="P51" s="4" t="s">
        <v>820</v>
      </c>
      <c r="Q51" s="4" t="s">
        <v>821</v>
      </c>
      <c r="R51" s="52">
        <v>0.84</v>
      </c>
      <c r="S51" s="4" t="s">
        <v>859</v>
      </c>
      <c r="T51" s="4"/>
    </row>
    <row r="52" spans="1:20" s="8" customFormat="1" ht="24" customHeight="1" x14ac:dyDescent="0.2">
      <c r="A52" s="9">
        <v>19</v>
      </c>
      <c r="B52" s="4">
        <v>111</v>
      </c>
      <c r="C52" s="10" t="s">
        <v>199</v>
      </c>
      <c r="D52" s="10" t="s">
        <v>200</v>
      </c>
      <c r="E52" s="7" t="s">
        <v>122</v>
      </c>
      <c r="F52" s="4" t="s">
        <v>823</v>
      </c>
      <c r="G52" s="4" t="s">
        <v>820</v>
      </c>
      <c r="H52" s="4" t="s">
        <v>823</v>
      </c>
      <c r="I52" s="4" t="s">
        <v>819</v>
      </c>
      <c r="J52" s="4" t="s">
        <v>820</v>
      </c>
      <c r="K52" s="4" t="s">
        <v>823</v>
      </c>
      <c r="L52" s="4" t="s">
        <v>820</v>
      </c>
      <c r="M52" s="4" t="s">
        <v>821</v>
      </c>
      <c r="N52" s="4" t="s">
        <v>821</v>
      </c>
      <c r="O52" s="52" t="s">
        <v>821</v>
      </c>
      <c r="P52" s="4" t="s">
        <v>819</v>
      </c>
      <c r="Q52" s="4" t="s">
        <v>819</v>
      </c>
      <c r="R52" s="52">
        <v>0.83</v>
      </c>
      <c r="S52" s="4" t="s">
        <v>821</v>
      </c>
      <c r="T52" s="4" t="s">
        <v>848</v>
      </c>
    </row>
    <row r="53" spans="1:20" s="8" customFormat="1" ht="24" customHeight="1" x14ac:dyDescent="0.2">
      <c r="A53" s="9">
        <v>20</v>
      </c>
      <c r="B53" s="4">
        <v>113</v>
      </c>
      <c r="C53" s="10" t="s">
        <v>201</v>
      </c>
      <c r="D53" s="10" t="s">
        <v>77</v>
      </c>
      <c r="E53" s="7" t="s">
        <v>122</v>
      </c>
      <c r="F53" s="4" t="s">
        <v>823</v>
      </c>
      <c r="G53" s="4" t="s">
        <v>820</v>
      </c>
      <c r="H53" s="4" t="s">
        <v>823</v>
      </c>
      <c r="I53" s="4" t="s">
        <v>819</v>
      </c>
      <c r="J53" s="4" t="s">
        <v>823</v>
      </c>
      <c r="K53" s="4" t="s">
        <v>823</v>
      </c>
      <c r="L53" s="4" t="s">
        <v>823</v>
      </c>
      <c r="M53" s="4" t="s">
        <v>820</v>
      </c>
      <c r="N53" s="4" t="s">
        <v>823</v>
      </c>
      <c r="O53" s="52" t="s">
        <v>819</v>
      </c>
      <c r="P53" s="4" t="s">
        <v>819</v>
      </c>
      <c r="Q53" s="4" t="s">
        <v>819</v>
      </c>
      <c r="R53" s="52">
        <v>0.99</v>
      </c>
      <c r="S53" s="4" t="s">
        <v>819</v>
      </c>
      <c r="T53" s="4" t="s">
        <v>856</v>
      </c>
    </row>
    <row r="54" spans="1:20" s="8" customFormat="1" ht="24" customHeight="1" x14ac:dyDescent="0.2">
      <c r="A54" s="9">
        <v>21</v>
      </c>
      <c r="B54" s="4">
        <v>115</v>
      </c>
      <c r="C54" s="10" t="s">
        <v>202</v>
      </c>
      <c r="D54" s="10" t="s">
        <v>203</v>
      </c>
      <c r="E54" s="7" t="s">
        <v>122</v>
      </c>
      <c r="F54" s="4" t="s">
        <v>829</v>
      </c>
      <c r="G54" s="4" t="s">
        <v>818</v>
      </c>
      <c r="H54" s="4" t="s">
        <v>818</v>
      </c>
      <c r="I54" s="4" t="s">
        <v>822</v>
      </c>
      <c r="J54" s="4" t="s">
        <v>822</v>
      </c>
      <c r="K54" s="4" t="s">
        <v>822</v>
      </c>
      <c r="L54" s="4" t="s">
        <v>821</v>
      </c>
      <c r="M54" s="4" t="s">
        <v>859</v>
      </c>
      <c r="N54" s="4" t="s">
        <v>859</v>
      </c>
      <c r="O54" s="52" t="s">
        <v>859</v>
      </c>
      <c r="P54" s="4" t="s">
        <v>820</v>
      </c>
      <c r="Q54" s="4" t="s">
        <v>822</v>
      </c>
      <c r="R54" s="52">
        <v>0.72</v>
      </c>
      <c r="S54" s="4" t="s">
        <v>859</v>
      </c>
      <c r="T54" s="4"/>
    </row>
    <row r="55" spans="1:20" s="8" customFormat="1" ht="24" customHeight="1" x14ac:dyDescent="0.2">
      <c r="A55" s="9">
        <v>22</v>
      </c>
      <c r="B55" s="4">
        <v>114</v>
      </c>
      <c r="C55" s="10" t="s">
        <v>204</v>
      </c>
      <c r="D55" s="10" t="s">
        <v>203</v>
      </c>
      <c r="E55" s="7" t="s">
        <v>122</v>
      </c>
      <c r="F55" s="4" t="s">
        <v>818</v>
      </c>
      <c r="G55" s="4" t="s">
        <v>818</v>
      </c>
      <c r="H55" s="4" t="s">
        <v>818</v>
      </c>
      <c r="I55" s="4" t="s">
        <v>822</v>
      </c>
      <c r="J55" s="4" t="s">
        <v>822</v>
      </c>
      <c r="K55" s="4" t="s">
        <v>822</v>
      </c>
      <c r="L55" s="4" t="s">
        <v>821</v>
      </c>
      <c r="M55" s="4" t="s">
        <v>859</v>
      </c>
      <c r="N55" s="4" t="s">
        <v>859</v>
      </c>
      <c r="O55" s="52" t="s">
        <v>859</v>
      </c>
      <c r="P55" s="4" t="s">
        <v>820</v>
      </c>
      <c r="Q55" s="4" t="s">
        <v>822</v>
      </c>
      <c r="R55" s="52">
        <v>0.72</v>
      </c>
      <c r="S55" s="4" t="s">
        <v>859</v>
      </c>
      <c r="T55" s="4"/>
    </row>
    <row r="56" spans="1:20" s="8" customFormat="1" ht="24" customHeight="1" x14ac:dyDescent="0.2">
      <c r="A56" s="9">
        <v>23</v>
      </c>
      <c r="B56" s="4">
        <v>141</v>
      </c>
      <c r="C56" s="10" t="s">
        <v>205</v>
      </c>
      <c r="D56" s="10" t="s">
        <v>206</v>
      </c>
      <c r="E56" s="7" t="s">
        <v>122</v>
      </c>
      <c r="F56" s="4" t="s">
        <v>823</v>
      </c>
      <c r="G56" s="4" t="s">
        <v>823</v>
      </c>
      <c r="H56" s="4" t="s">
        <v>823</v>
      </c>
      <c r="I56" s="4" t="s">
        <v>819</v>
      </c>
      <c r="J56" s="4" t="s">
        <v>823</v>
      </c>
      <c r="K56" s="4" t="s">
        <v>823</v>
      </c>
      <c r="L56" s="4" t="s">
        <v>823</v>
      </c>
      <c r="M56" s="4" t="s">
        <v>821</v>
      </c>
      <c r="N56" s="4" t="s">
        <v>823</v>
      </c>
      <c r="O56" s="52" t="s">
        <v>820</v>
      </c>
      <c r="P56" s="4" t="s">
        <v>819</v>
      </c>
      <c r="Q56" s="4" t="s">
        <v>819</v>
      </c>
      <c r="R56" s="52">
        <v>0.77</v>
      </c>
      <c r="S56" s="4" t="s">
        <v>823</v>
      </c>
      <c r="T56" s="4" t="s">
        <v>849</v>
      </c>
    </row>
    <row r="57" spans="1:20" s="8" customFormat="1" ht="24" customHeight="1" x14ac:dyDescent="0.2">
      <c r="A57" s="9">
        <v>24</v>
      </c>
      <c r="B57" s="4">
        <v>140</v>
      </c>
      <c r="C57" s="10" t="s">
        <v>207</v>
      </c>
      <c r="D57" s="10" t="s">
        <v>206</v>
      </c>
      <c r="E57" s="7" t="s">
        <v>122</v>
      </c>
      <c r="F57" s="4" t="s">
        <v>823</v>
      </c>
      <c r="G57" s="4" t="s">
        <v>823</v>
      </c>
      <c r="H57" s="4" t="s">
        <v>823</v>
      </c>
      <c r="I57" s="4" t="s">
        <v>819</v>
      </c>
      <c r="J57" s="4" t="s">
        <v>820</v>
      </c>
      <c r="K57" s="4" t="s">
        <v>823</v>
      </c>
      <c r="L57" s="4" t="s">
        <v>819</v>
      </c>
      <c r="M57" s="4" t="s">
        <v>821</v>
      </c>
      <c r="N57" s="4" t="s">
        <v>823</v>
      </c>
      <c r="O57" s="52" t="s">
        <v>820</v>
      </c>
      <c r="P57" s="4" t="s">
        <v>819</v>
      </c>
      <c r="Q57" s="4" t="s">
        <v>819</v>
      </c>
      <c r="R57" s="52">
        <v>0.77</v>
      </c>
      <c r="S57" s="4" t="s">
        <v>823</v>
      </c>
      <c r="T57" s="4" t="s">
        <v>849</v>
      </c>
    </row>
    <row r="58" spans="1:20" s="8" customFormat="1" ht="24" customHeight="1" x14ac:dyDescent="0.2">
      <c r="A58" s="9">
        <v>25</v>
      </c>
      <c r="B58" s="4">
        <v>190</v>
      </c>
      <c r="C58" s="10" t="s">
        <v>208</v>
      </c>
      <c r="D58" s="10" t="s">
        <v>131</v>
      </c>
      <c r="E58" s="7" t="s">
        <v>122</v>
      </c>
      <c r="F58" s="4" t="s">
        <v>819</v>
      </c>
      <c r="G58" s="4" t="s">
        <v>821</v>
      </c>
      <c r="H58" s="4" t="s">
        <v>819</v>
      </c>
      <c r="I58" s="4" t="s">
        <v>821</v>
      </c>
      <c r="J58" s="4" t="s">
        <v>820</v>
      </c>
      <c r="K58" s="4" t="s">
        <v>823</v>
      </c>
      <c r="L58" s="4" t="s">
        <v>819</v>
      </c>
      <c r="M58" s="4" t="s">
        <v>822</v>
      </c>
      <c r="N58" s="4" t="s">
        <v>820</v>
      </c>
      <c r="O58" s="52" t="s">
        <v>821</v>
      </c>
      <c r="P58" s="4" t="s">
        <v>819</v>
      </c>
      <c r="Q58" s="4" t="s">
        <v>820</v>
      </c>
      <c r="R58" s="52">
        <v>0.76</v>
      </c>
      <c r="S58" s="4" t="s">
        <v>821</v>
      </c>
      <c r="T58" s="4" t="s">
        <v>848</v>
      </c>
    </row>
    <row r="59" spans="1:20" s="8" customFormat="1" ht="24" customHeight="1" x14ac:dyDescent="0.2">
      <c r="A59" s="9">
        <v>26</v>
      </c>
      <c r="B59" s="4">
        <v>192</v>
      </c>
      <c r="C59" s="10" t="s">
        <v>209</v>
      </c>
      <c r="D59" s="10" t="s">
        <v>210</v>
      </c>
      <c r="E59" s="7" t="s">
        <v>122</v>
      </c>
      <c r="F59" s="4" t="s">
        <v>823</v>
      </c>
      <c r="G59" s="4" t="s">
        <v>819</v>
      </c>
      <c r="H59" s="4" t="s">
        <v>823</v>
      </c>
      <c r="I59" s="4" t="s">
        <v>823</v>
      </c>
      <c r="J59" s="4" t="s">
        <v>823</v>
      </c>
      <c r="K59" s="4" t="s">
        <v>823</v>
      </c>
      <c r="L59" s="4" t="s">
        <v>819</v>
      </c>
      <c r="M59" s="4" t="s">
        <v>821</v>
      </c>
      <c r="N59" s="4" t="s">
        <v>823</v>
      </c>
      <c r="O59" s="52" t="s">
        <v>823</v>
      </c>
      <c r="P59" s="4" t="s">
        <v>819</v>
      </c>
      <c r="Q59" s="4" t="s">
        <v>819</v>
      </c>
      <c r="R59" s="52">
        <v>0.86</v>
      </c>
      <c r="S59" s="4" t="s">
        <v>823</v>
      </c>
      <c r="T59" s="4" t="s">
        <v>849</v>
      </c>
    </row>
    <row r="60" spans="1:20" s="8" customFormat="1" ht="24" customHeight="1" x14ac:dyDescent="0.2">
      <c r="A60" s="9">
        <v>27</v>
      </c>
      <c r="B60" s="4">
        <v>193</v>
      </c>
      <c r="C60" s="10" t="s">
        <v>211</v>
      </c>
      <c r="D60" s="10" t="s">
        <v>830</v>
      </c>
      <c r="E60" s="7" t="s">
        <v>122</v>
      </c>
      <c r="F60" s="4" t="s">
        <v>823</v>
      </c>
      <c r="G60" s="4" t="s">
        <v>823</v>
      </c>
      <c r="H60" s="4" t="s">
        <v>823</v>
      </c>
      <c r="I60" s="4" t="s">
        <v>823</v>
      </c>
      <c r="J60" s="4" t="s">
        <v>823</v>
      </c>
      <c r="K60" s="4" t="s">
        <v>823</v>
      </c>
      <c r="L60" s="4" t="s">
        <v>823</v>
      </c>
      <c r="M60" s="4" t="s">
        <v>823</v>
      </c>
      <c r="N60" s="4" t="s">
        <v>823</v>
      </c>
      <c r="O60" s="52" t="s">
        <v>823</v>
      </c>
      <c r="P60" s="4" t="s">
        <v>819</v>
      </c>
      <c r="Q60" s="4" t="s">
        <v>819</v>
      </c>
      <c r="R60" s="52">
        <v>0.84</v>
      </c>
      <c r="S60" s="4" t="s">
        <v>823</v>
      </c>
      <c r="T60" s="4" t="s">
        <v>849</v>
      </c>
    </row>
    <row r="61" spans="1:20" s="8" customFormat="1" ht="24" customHeight="1" x14ac:dyDescent="0.2">
      <c r="A61" s="9">
        <v>28</v>
      </c>
      <c r="B61" s="4">
        <v>72</v>
      </c>
      <c r="C61" s="10" t="s">
        <v>212</v>
      </c>
      <c r="D61" s="10" t="s">
        <v>213</v>
      </c>
      <c r="E61" s="7" t="s">
        <v>122</v>
      </c>
      <c r="F61" s="4" t="s">
        <v>821</v>
      </c>
      <c r="G61" s="4" t="s">
        <v>822</v>
      </c>
      <c r="H61" s="4" t="s">
        <v>822</v>
      </c>
      <c r="I61" s="4" t="s">
        <v>821</v>
      </c>
      <c r="J61" s="4" t="s">
        <v>822</v>
      </c>
      <c r="K61" s="4" t="s">
        <v>821</v>
      </c>
      <c r="L61" s="4" t="s">
        <v>819</v>
      </c>
      <c r="M61" s="4" t="s">
        <v>859</v>
      </c>
      <c r="N61" s="4" t="s">
        <v>859</v>
      </c>
      <c r="O61" s="52" t="s">
        <v>859</v>
      </c>
      <c r="P61" s="4" t="s">
        <v>819</v>
      </c>
      <c r="Q61" s="4" t="s">
        <v>820</v>
      </c>
      <c r="R61" s="52">
        <v>0.93</v>
      </c>
      <c r="S61" s="4" t="s">
        <v>859</v>
      </c>
      <c r="T61" s="4"/>
    </row>
    <row r="62" spans="1:20" s="8" customFormat="1" ht="24" customHeight="1" x14ac:dyDescent="0.2">
      <c r="A62" s="9">
        <v>29</v>
      </c>
      <c r="B62" s="4">
        <v>92</v>
      </c>
      <c r="C62" s="11" t="s">
        <v>214</v>
      </c>
      <c r="D62" s="11" t="s">
        <v>215</v>
      </c>
      <c r="E62" s="7" t="s">
        <v>122</v>
      </c>
      <c r="F62" s="4" t="s">
        <v>823</v>
      </c>
      <c r="G62" s="4" t="s">
        <v>823</v>
      </c>
      <c r="H62" s="4" t="s">
        <v>823</v>
      </c>
      <c r="I62" s="4" t="s">
        <v>819</v>
      </c>
      <c r="J62" s="4" t="s">
        <v>823</v>
      </c>
      <c r="K62" s="4" t="s">
        <v>823</v>
      </c>
      <c r="L62" s="4" t="s">
        <v>823</v>
      </c>
      <c r="M62" s="4" t="s">
        <v>819</v>
      </c>
      <c r="N62" s="4" t="s">
        <v>823</v>
      </c>
      <c r="O62" s="52" t="s">
        <v>820</v>
      </c>
      <c r="P62" s="4" t="s">
        <v>820</v>
      </c>
      <c r="Q62" s="4" t="s">
        <v>819</v>
      </c>
      <c r="R62" s="52">
        <v>0.84</v>
      </c>
      <c r="S62" s="4" t="s">
        <v>823</v>
      </c>
      <c r="T62" s="4" t="s">
        <v>849</v>
      </c>
    </row>
    <row r="63" spans="1:20" s="8" customFormat="1" ht="24" customHeight="1" x14ac:dyDescent="0.2">
      <c r="A63" s="9">
        <v>30</v>
      </c>
      <c r="B63" s="4">
        <v>191</v>
      </c>
      <c r="C63" s="11" t="s">
        <v>216</v>
      </c>
      <c r="D63" s="11" t="s">
        <v>831</v>
      </c>
      <c r="E63" s="7" t="s">
        <v>122</v>
      </c>
      <c r="F63" s="4" t="s">
        <v>820</v>
      </c>
      <c r="G63" s="4" t="s">
        <v>820</v>
      </c>
      <c r="H63" s="4" t="s">
        <v>818</v>
      </c>
      <c r="I63" s="4" t="s">
        <v>821</v>
      </c>
      <c r="J63" s="4" t="s">
        <v>819</v>
      </c>
      <c r="K63" s="4" t="s">
        <v>823</v>
      </c>
      <c r="L63" s="4" t="s">
        <v>820</v>
      </c>
      <c r="M63" s="4" t="s">
        <v>822</v>
      </c>
      <c r="N63" s="4" t="s">
        <v>820</v>
      </c>
      <c r="O63" s="52" t="s">
        <v>820</v>
      </c>
      <c r="P63" s="4" t="s">
        <v>820</v>
      </c>
      <c r="Q63" s="4" t="s">
        <v>820</v>
      </c>
      <c r="R63" s="52">
        <v>0.87</v>
      </c>
      <c r="S63" s="4" t="s">
        <v>820</v>
      </c>
      <c r="T63" s="4" t="s">
        <v>858</v>
      </c>
    </row>
    <row r="64" spans="1:20" ht="24" customHeight="1" x14ac:dyDescent="0.2">
      <c r="A64" s="4">
        <v>31</v>
      </c>
      <c r="B64" s="50">
        <v>97</v>
      </c>
      <c r="C64" s="50" t="s">
        <v>834</v>
      </c>
      <c r="D64" s="50" t="s">
        <v>835</v>
      </c>
      <c r="E64" s="64" t="s">
        <v>122</v>
      </c>
      <c r="F64" s="50" t="s">
        <v>821</v>
      </c>
      <c r="G64" s="50" t="s">
        <v>821</v>
      </c>
      <c r="H64" s="50" t="s">
        <v>822</v>
      </c>
      <c r="I64" s="50" t="s">
        <v>818</v>
      </c>
      <c r="J64" s="50" t="s">
        <v>821</v>
      </c>
      <c r="K64" s="50" t="s">
        <v>821</v>
      </c>
      <c r="L64" s="50" t="s">
        <v>819</v>
      </c>
      <c r="M64" s="50" t="s">
        <v>859</v>
      </c>
      <c r="N64" s="50" t="s">
        <v>822</v>
      </c>
      <c r="O64" s="52" t="s">
        <v>822</v>
      </c>
      <c r="P64" s="50" t="s">
        <v>820</v>
      </c>
      <c r="Q64" s="50" t="s">
        <v>821</v>
      </c>
      <c r="R64" s="52">
        <v>0.38</v>
      </c>
      <c r="S64" s="50" t="s">
        <v>859</v>
      </c>
      <c r="T64" s="50"/>
    </row>
    <row r="65" spans="5:5" x14ac:dyDescent="0.2">
      <c r="E65" s="49"/>
    </row>
  </sheetData>
  <mergeCells count="14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Q4"/>
    <mergeCell ref="S4:S6"/>
    <mergeCell ref="T4:T6"/>
    <mergeCell ref="R4:R5"/>
  </mergeCells>
  <conditionalFormatting sqref="B8:B32">
    <cfRule type="duplicateValues" dxfId="52" priority="2"/>
  </conditionalFormatting>
  <conditionalFormatting sqref="B34:B61">
    <cfRule type="duplicateValues" dxfId="51" priority="11"/>
  </conditionalFormatting>
  <printOptions horizontalCentered="1"/>
  <pageMargins left="0.25" right="0.25" top="0.75" bottom="0.75" header="0.3" footer="0.3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62"/>
  <sheetViews>
    <sheetView workbookViewId="0">
      <selection activeCell="F5" sqref="F5:V5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4.42578125" bestFit="1" customWidth="1"/>
    <col min="4" max="4" width="15" bestFit="1" customWidth="1"/>
    <col min="5" max="5" width="4.140625" bestFit="1" customWidth="1"/>
    <col min="6" max="22" width="5.7109375" customWidth="1"/>
    <col min="23" max="23" width="6" bestFit="1" customWidth="1"/>
    <col min="24" max="24" width="4.85546875" bestFit="1" customWidth="1"/>
    <col min="25" max="25" width="7.7109375" customWidth="1"/>
    <col min="26" max="26" width="3.140625" bestFit="1" customWidth="1"/>
    <col min="27" max="27" width="18.7109375" bestFit="1" customWidth="1"/>
  </cols>
  <sheetData>
    <row r="1" spans="1:27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</row>
    <row r="2" spans="1:27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</row>
    <row r="3" spans="1:27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</row>
    <row r="4" spans="1:27" ht="15" customHeight="1" x14ac:dyDescent="0.25">
      <c r="A4" s="94" t="s">
        <v>2</v>
      </c>
      <c r="B4" s="94" t="s">
        <v>3</v>
      </c>
      <c r="C4" s="94" t="s">
        <v>5</v>
      </c>
      <c r="D4" s="94" t="s">
        <v>6</v>
      </c>
      <c r="E4" s="95" t="s">
        <v>4</v>
      </c>
      <c r="F4" s="124" t="s">
        <v>7</v>
      </c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94" t="s">
        <v>841</v>
      </c>
      <c r="X4" s="95" t="s">
        <v>15</v>
      </c>
      <c r="Y4" s="95" t="s">
        <v>12</v>
      </c>
      <c r="Z4" s="94" t="s">
        <v>798</v>
      </c>
      <c r="AA4" s="94" t="s">
        <v>842</v>
      </c>
    </row>
    <row r="5" spans="1:27" ht="67.5" x14ac:dyDescent="0.25">
      <c r="A5" s="94"/>
      <c r="B5" s="94"/>
      <c r="C5" s="94"/>
      <c r="D5" s="94"/>
      <c r="E5" s="96"/>
      <c r="F5" s="71" t="s">
        <v>8</v>
      </c>
      <c r="G5" s="71" t="s">
        <v>803</v>
      </c>
      <c r="H5" s="71" t="s">
        <v>804</v>
      </c>
      <c r="I5" s="71" t="s">
        <v>805</v>
      </c>
      <c r="J5" s="71" t="s">
        <v>806</v>
      </c>
      <c r="K5" s="71" t="s">
        <v>807</v>
      </c>
      <c r="L5" s="71" t="s">
        <v>808</v>
      </c>
      <c r="M5" s="71" t="s">
        <v>809</v>
      </c>
      <c r="N5" s="71" t="s">
        <v>810</v>
      </c>
      <c r="O5" s="71" t="s">
        <v>811</v>
      </c>
      <c r="P5" s="71" t="s">
        <v>812</v>
      </c>
      <c r="Q5" s="71" t="s">
        <v>837</v>
      </c>
      <c r="R5" s="71" t="s">
        <v>815</v>
      </c>
      <c r="S5" s="71" t="s">
        <v>816</v>
      </c>
      <c r="T5" s="71" t="s">
        <v>839</v>
      </c>
      <c r="U5" s="71" t="s">
        <v>838</v>
      </c>
      <c r="V5" s="71" t="s">
        <v>217</v>
      </c>
      <c r="W5" s="94"/>
      <c r="X5" s="96"/>
      <c r="Y5" s="96"/>
      <c r="Z5" s="94"/>
      <c r="AA5" s="94"/>
    </row>
    <row r="6" spans="1:27" x14ac:dyDescent="0.25">
      <c r="A6" s="94"/>
      <c r="B6" s="94"/>
      <c r="C6" s="94"/>
      <c r="D6" s="94"/>
      <c r="E6" s="97"/>
      <c r="F6" s="70">
        <v>25</v>
      </c>
      <c r="G6" s="70">
        <v>50</v>
      </c>
      <c r="H6" s="70">
        <v>5</v>
      </c>
      <c r="I6" s="70">
        <v>10</v>
      </c>
      <c r="J6" s="70">
        <v>5</v>
      </c>
      <c r="K6" s="70">
        <v>50</v>
      </c>
      <c r="L6" s="70">
        <v>10</v>
      </c>
      <c r="M6" s="70">
        <v>50</v>
      </c>
      <c r="N6" s="70">
        <v>5</v>
      </c>
      <c r="O6" s="70">
        <v>10</v>
      </c>
      <c r="P6" s="70">
        <v>5</v>
      </c>
      <c r="Q6" s="70">
        <v>50</v>
      </c>
      <c r="R6" s="70">
        <v>55</v>
      </c>
      <c r="S6" s="70">
        <v>5</v>
      </c>
      <c r="T6" s="70">
        <v>10</v>
      </c>
      <c r="U6" s="70">
        <v>5</v>
      </c>
      <c r="V6" s="70" t="s">
        <v>289</v>
      </c>
      <c r="W6" s="3">
        <f>SUM(F6:U6)</f>
        <v>350</v>
      </c>
      <c r="X6" s="58">
        <v>1</v>
      </c>
      <c r="Y6" s="3" t="s">
        <v>846</v>
      </c>
      <c r="Z6" s="94"/>
      <c r="AA6" s="94"/>
    </row>
    <row r="7" spans="1:27" ht="20.100000000000001" customHeight="1" x14ac:dyDescent="0.35">
      <c r="A7" s="118" t="s">
        <v>165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</row>
    <row r="8" spans="1:27" ht="20.100000000000001" customHeight="1" x14ac:dyDescent="0.25">
      <c r="A8" s="18">
        <v>1</v>
      </c>
      <c r="B8" s="19">
        <v>824</v>
      </c>
      <c r="C8" s="20" t="s">
        <v>290</v>
      </c>
      <c r="D8" s="21" t="s">
        <v>291</v>
      </c>
      <c r="E8" s="18" t="s">
        <v>292</v>
      </c>
      <c r="F8" s="55">
        <v>20</v>
      </c>
      <c r="G8" s="55">
        <v>46</v>
      </c>
      <c r="H8" s="55">
        <v>5</v>
      </c>
      <c r="I8" s="55">
        <v>6</v>
      </c>
      <c r="J8" s="55">
        <v>4</v>
      </c>
      <c r="K8" s="55">
        <v>37</v>
      </c>
      <c r="L8" s="55">
        <v>3</v>
      </c>
      <c r="M8" s="55">
        <v>47</v>
      </c>
      <c r="N8" s="55">
        <v>4</v>
      </c>
      <c r="O8" s="55">
        <v>5</v>
      </c>
      <c r="P8" s="55">
        <v>4</v>
      </c>
      <c r="Q8" s="55">
        <v>43</v>
      </c>
      <c r="R8" s="55">
        <v>45</v>
      </c>
      <c r="S8" s="55">
        <v>3</v>
      </c>
      <c r="T8" s="55">
        <v>7</v>
      </c>
      <c r="U8" s="55">
        <v>5</v>
      </c>
      <c r="V8" s="55" t="s">
        <v>820</v>
      </c>
      <c r="W8" s="55">
        <f>SUM(F8:V8)</f>
        <v>284</v>
      </c>
      <c r="X8" s="56">
        <f>W8/$W$6</f>
        <v>0.81142857142857139</v>
      </c>
      <c r="Y8" s="63">
        <v>0.77</v>
      </c>
      <c r="Z8" s="57">
        <f>RANK(W8,$W:$W,0)</f>
        <v>22</v>
      </c>
      <c r="AA8" s="57" t="s">
        <v>856</v>
      </c>
    </row>
    <row r="9" spans="1:27" ht="20.100000000000001" customHeight="1" x14ac:dyDescent="0.25">
      <c r="A9" s="7">
        <v>2</v>
      </c>
      <c r="B9" s="13">
        <v>791</v>
      </c>
      <c r="C9" s="20" t="s">
        <v>290</v>
      </c>
      <c r="D9" s="21" t="s">
        <v>293</v>
      </c>
      <c r="E9" s="18" t="s">
        <v>292</v>
      </c>
      <c r="F9" s="4">
        <v>21</v>
      </c>
      <c r="G9" s="4">
        <v>46</v>
      </c>
      <c r="H9" s="4">
        <v>5</v>
      </c>
      <c r="I9" s="4">
        <v>5</v>
      </c>
      <c r="J9" s="4">
        <v>5</v>
      </c>
      <c r="K9" s="4">
        <v>43</v>
      </c>
      <c r="L9" s="4">
        <v>3</v>
      </c>
      <c r="M9" s="4">
        <v>44</v>
      </c>
      <c r="N9" s="4">
        <v>4</v>
      </c>
      <c r="O9" s="4">
        <v>7</v>
      </c>
      <c r="P9" s="4">
        <v>5</v>
      </c>
      <c r="Q9" s="4">
        <v>42</v>
      </c>
      <c r="R9" s="4">
        <v>36</v>
      </c>
      <c r="S9" s="4">
        <v>3</v>
      </c>
      <c r="T9" s="4">
        <v>7</v>
      </c>
      <c r="U9" s="4">
        <v>5</v>
      </c>
      <c r="V9" s="4" t="s">
        <v>821</v>
      </c>
      <c r="W9" s="4">
        <f t="shared" ref="W9:W38" si="0">SUM(F9:V9)</f>
        <v>281</v>
      </c>
      <c r="X9" s="16">
        <f t="shared" ref="X9:X38" si="1">W9/$W$6</f>
        <v>0.80285714285714282</v>
      </c>
      <c r="Y9" s="53">
        <v>0.7</v>
      </c>
      <c r="Z9" s="57">
        <f t="shared" ref="Z9:Z62" si="2">RANK(W9,$W:$W,0)</f>
        <v>25</v>
      </c>
      <c r="AA9" s="54" t="s">
        <v>856</v>
      </c>
    </row>
    <row r="10" spans="1:27" ht="20.100000000000001" customHeight="1" x14ac:dyDescent="0.25">
      <c r="A10" s="18">
        <v>3</v>
      </c>
      <c r="B10" s="13">
        <v>809</v>
      </c>
      <c r="C10" s="20" t="s">
        <v>294</v>
      </c>
      <c r="D10" s="21" t="s">
        <v>295</v>
      </c>
      <c r="E10" s="18" t="s">
        <v>292</v>
      </c>
      <c r="F10" s="4">
        <v>16</v>
      </c>
      <c r="G10" s="4">
        <v>48</v>
      </c>
      <c r="H10" s="4">
        <v>5</v>
      </c>
      <c r="I10" s="4">
        <v>6</v>
      </c>
      <c r="J10" s="4">
        <v>3</v>
      </c>
      <c r="K10" s="4">
        <v>41</v>
      </c>
      <c r="L10" s="4">
        <v>2</v>
      </c>
      <c r="M10" s="4">
        <v>42</v>
      </c>
      <c r="N10" s="4">
        <v>3</v>
      </c>
      <c r="O10" s="4">
        <v>7</v>
      </c>
      <c r="P10" s="4">
        <v>4</v>
      </c>
      <c r="Q10" s="4">
        <v>36</v>
      </c>
      <c r="R10" s="4">
        <v>46</v>
      </c>
      <c r="S10" s="4">
        <v>3</v>
      </c>
      <c r="T10" s="4">
        <v>6</v>
      </c>
      <c r="U10" s="4">
        <v>5</v>
      </c>
      <c r="V10" s="4" t="s">
        <v>821</v>
      </c>
      <c r="W10" s="4">
        <f t="shared" si="0"/>
        <v>273</v>
      </c>
      <c r="X10" s="16">
        <f t="shared" si="1"/>
        <v>0.78</v>
      </c>
      <c r="Y10" s="53">
        <v>0.89</v>
      </c>
      <c r="Z10" s="57">
        <f t="shared" si="2"/>
        <v>30</v>
      </c>
      <c r="AA10" s="54" t="s">
        <v>850</v>
      </c>
    </row>
    <row r="11" spans="1:27" ht="20.100000000000001" customHeight="1" x14ac:dyDescent="0.25">
      <c r="A11" s="7">
        <v>4</v>
      </c>
      <c r="B11" s="13">
        <v>837</v>
      </c>
      <c r="C11" s="20" t="s">
        <v>296</v>
      </c>
      <c r="D11" s="21" t="s">
        <v>297</v>
      </c>
      <c r="E11" s="18" t="s">
        <v>292</v>
      </c>
      <c r="F11" s="4">
        <v>22</v>
      </c>
      <c r="G11" s="4">
        <v>41</v>
      </c>
      <c r="H11" s="4">
        <v>3</v>
      </c>
      <c r="I11" s="4">
        <v>6</v>
      </c>
      <c r="J11" s="4">
        <v>5</v>
      </c>
      <c r="K11" s="4">
        <v>42</v>
      </c>
      <c r="L11" s="4">
        <v>5</v>
      </c>
      <c r="M11" s="4">
        <v>38</v>
      </c>
      <c r="N11" s="4">
        <v>3</v>
      </c>
      <c r="O11" s="4">
        <v>5</v>
      </c>
      <c r="P11" s="4">
        <v>3</v>
      </c>
      <c r="Q11" s="4">
        <v>37</v>
      </c>
      <c r="R11" s="4">
        <v>44</v>
      </c>
      <c r="S11" s="4">
        <v>3</v>
      </c>
      <c r="T11" s="4">
        <v>6</v>
      </c>
      <c r="U11" s="4">
        <v>5</v>
      </c>
      <c r="V11" s="4" t="s">
        <v>820</v>
      </c>
      <c r="W11" s="4">
        <f t="shared" si="0"/>
        <v>268</v>
      </c>
      <c r="X11" s="16">
        <f t="shared" si="1"/>
        <v>0.76571428571428568</v>
      </c>
      <c r="Y11" s="53">
        <v>0.67</v>
      </c>
      <c r="Z11" s="57">
        <f t="shared" si="2"/>
        <v>33</v>
      </c>
      <c r="AA11" s="54" t="s">
        <v>850</v>
      </c>
    </row>
    <row r="12" spans="1:27" ht="20.100000000000001" customHeight="1" x14ac:dyDescent="0.25">
      <c r="A12" s="18">
        <v>5</v>
      </c>
      <c r="B12" s="13">
        <v>798</v>
      </c>
      <c r="C12" s="20" t="s">
        <v>109</v>
      </c>
      <c r="D12" s="21" t="s">
        <v>298</v>
      </c>
      <c r="E12" s="18" t="s">
        <v>292</v>
      </c>
      <c r="F12" s="4">
        <v>24</v>
      </c>
      <c r="G12" s="4">
        <v>42</v>
      </c>
      <c r="H12" s="4">
        <v>5</v>
      </c>
      <c r="I12" s="4">
        <v>9</v>
      </c>
      <c r="J12" s="4">
        <v>5</v>
      </c>
      <c r="K12" s="4">
        <v>44</v>
      </c>
      <c r="L12" s="4">
        <v>5</v>
      </c>
      <c r="M12" s="4">
        <v>44</v>
      </c>
      <c r="N12" s="4">
        <v>5</v>
      </c>
      <c r="O12" s="4">
        <v>8</v>
      </c>
      <c r="P12" s="4">
        <v>5</v>
      </c>
      <c r="Q12" s="4">
        <v>48</v>
      </c>
      <c r="R12" s="4">
        <v>46</v>
      </c>
      <c r="S12" s="4">
        <v>3</v>
      </c>
      <c r="T12" s="4">
        <v>6</v>
      </c>
      <c r="U12" s="4">
        <v>5</v>
      </c>
      <c r="V12" s="4" t="s">
        <v>820</v>
      </c>
      <c r="W12" s="4">
        <f t="shared" si="0"/>
        <v>304</v>
      </c>
      <c r="X12" s="16">
        <f t="shared" si="1"/>
        <v>0.86857142857142855</v>
      </c>
      <c r="Y12" s="53">
        <v>0.86</v>
      </c>
      <c r="Z12" s="57">
        <f t="shared" si="2"/>
        <v>15</v>
      </c>
      <c r="AA12" s="54" t="s">
        <v>856</v>
      </c>
    </row>
    <row r="13" spans="1:27" ht="20.100000000000001" customHeight="1" x14ac:dyDescent="0.25">
      <c r="A13" s="7">
        <v>6</v>
      </c>
      <c r="B13" s="13">
        <v>816</v>
      </c>
      <c r="C13" s="20" t="s">
        <v>299</v>
      </c>
      <c r="D13" s="21" t="s">
        <v>300</v>
      </c>
      <c r="E13" s="18" t="s">
        <v>292</v>
      </c>
      <c r="F13" s="4">
        <v>18</v>
      </c>
      <c r="G13" s="4">
        <v>47</v>
      </c>
      <c r="H13" s="4">
        <v>2</v>
      </c>
      <c r="I13" s="4">
        <v>6</v>
      </c>
      <c r="J13" s="4">
        <v>2</v>
      </c>
      <c r="K13" s="4">
        <v>32</v>
      </c>
      <c r="L13" s="4">
        <v>3</v>
      </c>
      <c r="M13" s="4">
        <v>35</v>
      </c>
      <c r="N13" s="4">
        <v>2</v>
      </c>
      <c r="O13" s="4">
        <v>8</v>
      </c>
      <c r="P13" s="4">
        <v>4</v>
      </c>
      <c r="Q13" s="4">
        <v>38</v>
      </c>
      <c r="R13" s="4">
        <v>37</v>
      </c>
      <c r="S13" s="4">
        <v>3</v>
      </c>
      <c r="T13" s="4">
        <v>6</v>
      </c>
      <c r="U13" s="4">
        <v>5</v>
      </c>
      <c r="V13" s="4" t="s">
        <v>821</v>
      </c>
      <c r="W13" s="4">
        <f t="shared" si="0"/>
        <v>248</v>
      </c>
      <c r="X13" s="16">
        <f t="shared" si="1"/>
        <v>0.70857142857142852</v>
      </c>
      <c r="Y13" s="53">
        <v>0.91</v>
      </c>
      <c r="Z13" s="57">
        <f t="shared" si="2"/>
        <v>40</v>
      </c>
      <c r="AA13" s="54" t="s">
        <v>850</v>
      </c>
    </row>
    <row r="14" spans="1:27" ht="20.100000000000001" customHeight="1" x14ac:dyDescent="0.25">
      <c r="A14" s="7">
        <v>8</v>
      </c>
      <c r="B14" s="13" t="s">
        <v>836</v>
      </c>
      <c r="C14" s="20" t="s">
        <v>301</v>
      </c>
      <c r="D14" s="21" t="s">
        <v>302</v>
      </c>
      <c r="E14" s="18" t="s">
        <v>292</v>
      </c>
      <c r="F14" s="44">
        <v>5</v>
      </c>
      <c r="G14" s="44">
        <v>43</v>
      </c>
      <c r="H14" s="44">
        <v>2</v>
      </c>
      <c r="I14" s="44">
        <v>5</v>
      </c>
      <c r="J14" s="44">
        <v>2</v>
      </c>
      <c r="K14" s="44">
        <v>40</v>
      </c>
      <c r="L14" s="44">
        <v>3</v>
      </c>
      <c r="M14" s="44">
        <v>44</v>
      </c>
      <c r="N14" s="44">
        <v>4</v>
      </c>
      <c r="O14" s="44">
        <v>8</v>
      </c>
      <c r="P14" s="44">
        <v>5</v>
      </c>
      <c r="Q14" s="44" t="s">
        <v>818</v>
      </c>
      <c r="R14" s="44">
        <v>28</v>
      </c>
      <c r="S14" s="44">
        <v>3</v>
      </c>
      <c r="T14" s="44">
        <v>6</v>
      </c>
      <c r="U14" s="44">
        <v>5</v>
      </c>
      <c r="V14" s="44" t="s">
        <v>821</v>
      </c>
      <c r="W14" s="4">
        <f t="shared" si="0"/>
        <v>203</v>
      </c>
      <c r="X14" s="16">
        <f t="shared" si="1"/>
        <v>0.57999999999999996</v>
      </c>
      <c r="Y14" s="53">
        <v>0.7</v>
      </c>
      <c r="Z14" s="57">
        <f t="shared" si="2"/>
        <v>52</v>
      </c>
      <c r="AA14" s="54" t="s">
        <v>880</v>
      </c>
    </row>
    <row r="15" spans="1:27" ht="20.100000000000001" customHeight="1" x14ac:dyDescent="0.25">
      <c r="A15" s="18">
        <v>9</v>
      </c>
      <c r="B15" s="13">
        <v>795</v>
      </c>
      <c r="C15" s="20" t="s">
        <v>94</v>
      </c>
      <c r="D15" s="21" t="s">
        <v>229</v>
      </c>
      <c r="E15" s="18" t="s">
        <v>292</v>
      </c>
      <c r="F15" s="4">
        <v>10</v>
      </c>
      <c r="G15" s="4">
        <v>48.5</v>
      </c>
      <c r="H15" s="4">
        <v>3</v>
      </c>
      <c r="I15" s="4">
        <v>4</v>
      </c>
      <c r="J15" s="4">
        <v>5</v>
      </c>
      <c r="K15" s="4">
        <v>40</v>
      </c>
      <c r="L15" s="4">
        <v>3</v>
      </c>
      <c r="M15" s="4">
        <v>44</v>
      </c>
      <c r="N15" s="4">
        <v>4</v>
      </c>
      <c r="O15" s="4">
        <v>8</v>
      </c>
      <c r="P15" s="4">
        <v>5</v>
      </c>
      <c r="Q15" s="4">
        <v>44</v>
      </c>
      <c r="R15" s="4">
        <v>50</v>
      </c>
      <c r="S15" s="4">
        <v>4</v>
      </c>
      <c r="T15" s="4">
        <v>9</v>
      </c>
      <c r="U15" s="4">
        <v>5</v>
      </c>
      <c r="V15" s="4" t="s">
        <v>821</v>
      </c>
      <c r="W15" s="4">
        <f t="shared" si="0"/>
        <v>286.5</v>
      </c>
      <c r="X15" s="16">
        <f t="shared" si="1"/>
        <v>0.81857142857142862</v>
      </c>
      <c r="Y15" s="53">
        <v>0.9</v>
      </c>
      <c r="Z15" s="57">
        <f t="shared" si="2"/>
        <v>21</v>
      </c>
      <c r="AA15" s="54" t="s">
        <v>856</v>
      </c>
    </row>
    <row r="16" spans="1:27" ht="20.100000000000001" customHeight="1" x14ac:dyDescent="0.25">
      <c r="A16" s="7">
        <v>10</v>
      </c>
      <c r="B16" s="13">
        <v>796</v>
      </c>
      <c r="C16" s="20" t="s">
        <v>303</v>
      </c>
      <c r="D16" s="21" t="s">
        <v>304</v>
      </c>
      <c r="E16" s="18" t="s">
        <v>292</v>
      </c>
      <c r="F16" s="4">
        <v>25</v>
      </c>
      <c r="G16" s="4">
        <v>46</v>
      </c>
      <c r="H16" s="4">
        <v>3</v>
      </c>
      <c r="I16" s="4">
        <v>6</v>
      </c>
      <c r="J16" s="4">
        <v>4</v>
      </c>
      <c r="K16" s="4">
        <v>48</v>
      </c>
      <c r="L16" s="4">
        <v>5</v>
      </c>
      <c r="M16" s="4">
        <v>44</v>
      </c>
      <c r="N16" s="4">
        <v>3</v>
      </c>
      <c r="O16" s="4">
        <v>7</v>
      </c>
      <c r="P16" s="4">
        <v>4</v>
      </c>
      <c r="Q16" s="4">
        <v>40</v>
      </c>
      <c r="R16" s="4">
        <v>53</v>
      </c>
      <c r="S16" s="4">
        <v>3</v>
      </c>
      <c r="T16" s="4">
        <v>7</v>
      </c>
      <c r="U16" s="4">
        <v>5</v>
      </c>
      <c r="V16" s="4" t="s">
        <v>821</v>
      </c>
      <c r="W16" s="4">
        <f t="shared" si="0"/>
        <v>303</v>
      </c>
      <c r="X16" s="16">
        <f t="shared" si="1"/>
        <v>0.86571428571428577</v>
      </c>
      <c r="Y16" s="53">
        <v>0.91</v>
      </c>
      <c r="Z16" s="57">
        <f t="shared" si="2"/>
        <v>16</v>
      </c>
      <c r="AA16" s="54" t="s">
        <v>856</v>
      </c>
    </row>
    <row r="17" spans="1:27" ht="20.100000000000001" customHeight="1" x14ac:dyDescent="0.25">
      <c r="A17" s="18">
        <v>11</v>
      </c>
      <c r="B17" s="13">
        <v>821</v>
      </c>
      <c r="C17" s="20" t="s">
        <v>305</v>
      </c>
      <c r="D17" s="21" t="s">
        <v>306</v>
      </c>
      <c r="E17" s="18" t="s">
        <v>292</v>
      </c>
      <c r="F17" s="4">
        <v>5</v>
      </c>
      <c r="G17" s="4">
        <v>49</v>
      </c>
      <c r="H17" s="4">
        <v>2</v>
      </c>
      <c r="I17" s="4">
        <v>4</v>
      </c>
      <c r="J17" s="4">
        <v>4</v>
      </c>
      <c r="K17" s="4">
        <v>38</v>
      </c>
      <c r="L17" s="4">
        <v>5</v>
      </c>
      <c r="M17" s="4">
        <v>41</v>
      </c>
      <c r="N17" s="4">
        <v>2</v>
      </c>
      <c r="O17" s="4">
        <v>6</v>
      </c>
      <c r="P17" s="4">
        <v>3</v>
      </c>
      <c r="Q17" s="4">
        <v>41</v>
      </c>
      <c r="R17" s="4">
        <v>41</v>
      </c>
      <c r="S17" s="4">
        <v>3</v>
      </c>
      <c r="T17" s="4">
        <v>7</v>
      </c>
      <c r="U17" s="4">
        <v>5</v>
      </c>
      <c r="V17" s="4" t="s">
        <v>819</v>
      </c>
      <c r="W17" s="4">
        <f t="shared" si="0"/>
        <v>256</v>
      </c>
      <c r="X17" s="16">
        <f t="shared" si="1"/>
        <v>0.73142857142857143</v>
      </c>
      <c r="Y17" s="53">
        <v>0.79</v>
      </c>
      <c r="Z17" s="57">
        <f t="shared" si="2"/>
        <v>37</v>
      </c>
      <c r="AA17" s="54" t="s">
        <v>850</v>
      </c>
    </row>
    <row r="18" spans="1:27" ht="20.100000000000001" customHeight="1" x14ac:dyDescent="0.25">
      <c r="A18" s="7">
        <v>12</v>
      </c>
      <c r="B18" s="13">
        <v>776</v>
      </c>
      <c r="C18" s="20" t="s">
        <v>307</v>
      </c>
      <c r="D18" s="21" t="s">
        <v>308</v>
      </c>
      <c r="E18" s="18" t="s">
        <v>292</v>
      </c>
      <c r="F18" s="4">
        <v>15</v>
      </c>
      <c r="G18" s="4">
        <v>34</v>
      </c>
      <c r="H18" s="4">
        <v>4</v>
      </c>
      <c r="I18" s="4">
        <v>5</v>
      </c>
      <c r="J18" s="4">
        <v>3</v>
      </c>
      <c r="K18" s="4">
        <v>42</v>
      </c>
      <c r="L18" s="4">
        <v>3</v>
      </c>
      <c r="M18" s="4">
        <v>39</v>
      </c>
      <c r="N18" s="4">
        <v>4</v>
      </c>
      <c r="O18" s="4">
        <v>7</v>
      </c>
      <c r="P18" s="4">
        <v>3</v>
      </c>
      <c r="Q18" s="4">
        <v>42</v>
      </c>
      <c r="R18" s="4">
        <v>40</v>
      </c>
      <c r="S18" s="4">
        <v>3</v>
      </c>
      <c r="T18" s="4">
        <v>6</v>
      </c>
      <c r="U18" s="4">
        <v>5</v>
      </c>
      <c r="V18" s="4" t="s">
        <v>821</v>
      </c>
      <c r="W18" s="4">
        <f t="shared" si="0"/>
        <v>255</v>
      </c>
      <c r="X18" s="16">
        <f t="shared" si="1"/>
        <v>0.72857142857142854</v>
      </c>
      <c r="Y18" s="53">
        <v>0.93</v>
      </c>
      <c r="Z18" s="57">
        <f t="shared" si="2"/>
        <v>38</v>
      </c>
      <c r="AA18" s="54" t="s">
        <v>850</v>
      </c>
    </row>
    <row r="19" spans="1:27" ht="20.100000000000001" customHeight="1" x14ac:dyDescent="0.25">
      <c r="A19" s="18">
        <v>13</v>
      </c>
      <c r="B19" s="13">
        <v>829</v>
      </c>
      <c r="C19" s="20" t="s">
        <v>307</v>
      </c>
      <c r="D19" s="21" t="s">
        <v>198</v>
      </c>
      <c r="E19" s="18" t="s">
        <v>292</v>
      </c>
      <c r="F19" s="4">
        <v>15</v>
      </c>
      <c r="G19" s="4">
        <v>48</v>
      </c>
      <c r="H19" s="4">
        <v>4</v>
      </c>
      <c r="I19" s="4">
        <v>4</v>
      </c>
      <c r="J19" s="4">
        <v>5</v>
      </c>
      <c r="K19" s="4">
        <v>32</v>
      </c>
      <c r="L19" s="4">
        <v>3</v>
      </c>
      <c r="M19" s="4">
        <v>43</v>
      </c>
      <c r="N19" s="4">
        <v>4</v>
      </c>
      <c r="O19" s="4">
        <v>6</v>
      </c>
      <c r="P19" s="4">
        <v>4</v>
      </c>
      <c r="Q19" s="4">
        <v>39</v>
      </c>
      <c r="R19" s="4">
        <v>37</v>
      </c>
      <c r="S19" s="4">
        <v>4</v>
      </c>
      <c r="T19" s="4">
        <v>8</v>
      </c>
      <c r="U19" s="4">
        <v>5</v>
      </c>
      <c r="V19" s="4" t="s">
        <v>821</v>
      </c>
      <c r="W19" s="4">
        <f t="shared" si="0"/>
        <v>261</v>
      </c>
      <c r="X19" s="16">
        <f t="shared" si="1"/>
        <v>0.74571428571428566</v>
      </c>
      <c r="Y19" s="53">
        <v>0.83</v>
      </c>
      <c r="Z19" s="57">
        <f t="shared" si="2"/>
        <v>36</v>
      </c>
      <c r="AA19" s="54" t="s">
        <v>850</v>
      </c>
    </row>
    <row r="20" spans="1:27" ht="20.100000000000001" customHeight="1" x14ac:dyDescent="0.25">
      <c r="A20" s="7">
        <v>14</v>
      </c>
      <c r="B20" s="13">
        <v>832</v>
      </c>
      <c r="C20" s="20" t="s">
        <v>186</v>
      </c>
      <c r="D20" s="21" t="s">
        <v>309</v>
      </c>
      <c r="E20" s="18" t="s">
        <v>292</v>
      </c>
      <c r="F20" s="4">
        <v>2</v>
      </c>
      <c r="G20" s="4">
        <v>38</v>
      </c>
      <c r="H20" s="4">
        <v>2</v>
      </c>
      <c r="I20" s="4">
        <v>5</v>
      </c>
      <c r="J20" s="4">
        <v>3</v>
      </c>
      <c r="K20" s="4">
        <v>32</v>
      </c>
      <c r="L20" s="4">
        <v>3</v>
      </c>
      <c r="M20" s="4">
        <v>41</v>
      </c>
      <c r="N20" s="4">
        <v>5</v>
      </c>
      <c r="O20" s="4">
        <v>7</v>
      </c>
      <c r="P20" s="4">
        <v>3</v>
      </c>
      <c r="Q20" s="4">
        <v>42</v>
      </c>
      <c r="R20" s="4">
        <v>37</v>
      </c>
      <c r="S20" s="4">
        <v>3</v>
      </c>
      <c r="T20" s="4">
        <v>6</v>
      </c>
      <c r="U20" s="4">
        <v>5</v>
      </c>
      <c r="V20" s="4" t="s">
        <v>821</v>
      </c>
      <c r="W20" s="4">
        <f t="shared" si="0"/>
        <v>234</v>
      </c>
      <c r="X20" s="16">
        <f t="shared" si="1"/>
        <v>0.66857142857142859</v>
      </c>
      <c r="Y20" s="53">
        <v>0.96</v>
      </c>
      <c r="Z20" s="57">
        <f t="shared" si="2"/>
        <v>45</v>
      </c>
      <c r="AA20" s="54" t="s">
        <v>850</v>
      </c>
    </row>
    <row r="21" spans="1:27" ht="20.100000000000001" customHeight="1" x14ac:dyDescent="0.25">
      <c r="A21" s="18">
        <v>15</v>
      </c>
      <c r="B21" s="13">
        <v>818</v>
      </c>
      <c r="C21" s="20" t="s">
        <v>310</v>
      </c>
      <c r="D21" s="21" t="s">
        <v>311</v>
      </c>
      <c r="E21" s="18" t="s">
        <v>292</v>
      </c>
      <c r="F21" s="4">
        <v>19</v>
      </c>
      <c r="G21" s="4">
        <v>44</v>
      </c>
      <c r="H21" s="4">
        <v>4</v>
      </c>
      <c r="I21" s="4">
        <v>6</v>
      </c>
      <c r="J21" s="4">
        <v>4</v>
      </c>
      <c r="K21" s="4">
        <v>42</v>
      </c>
      <c r="L21" s="4">
        <v>5</v>
      </c>
      <c r="M21" s="4">
        <v>41</v>
      </c>
      <c r="N21" s="4">
        <v>5</v>
      </c>
      <c r="O21" s="4">
        <v>7</v>
      </c>
      <c r="P21" s="4">
        <v>3</v>
      </c>
      <c r="Q21" s="4">
        <v>44</v>
      </c>
      <c r="R21" s="4">
        <v>38</v>
      </c>
      <c r="S21" s="4">
        <v>5</v>
      </c>
      <c r="T21" s="4">
        <v>10</v>
      </c>
      <c r="U21" s="4">
        <v>5</v>
      </c>
      <c r="V21" s="4" t="s">
        <v>820</v>
      </c>
      <c r="W21" s="4">
        <f t="shared" si="0"/>
        <v>282</v>
      </c>
      <c r="X21" s="16">
        <f t="shared" si="1"/>
        <v>0.80571428571428572</v>
      </c>
      <c r="Y21" s="53">
        <v>0.83</v>
      </c>
      <c r="Z21" s="57">
        <f t="shared" si="2"/>
        <v>24</v>
      </c>
      <c r="AA21" s="54" t="s">
        <v>856</v>
      </c>
    </row>
    <row r="22" spans="1:27" ht="20.100000000000001" customHeight="1" x14ac:dyDescent="0.25">
      <c r="A22" s="7">
        <v>16</v>
      </c>
      <c r="B22" s="13"/>
      <c r="C22" s="20" t="s">
        <v>312</v>
      </c>
      <c r="D22" s="21" t="s">
        <v>233</v>
      </c>
      <c r="E22" s="18" t="s">
        <v>292</v>
      </c>
      <c r="F22" s="4">
        <v>6</v>
      </c>
      <c r="G22" s="4">
        <v>34</v>
      </c>
      <c r="H22" s="4">
        <v>3</v>
      </c>
      <c r="I22" s="4">
        <v>5</v>
      </c>
      <c r="J22" s="4">
        <v>2</v>
      </c>
      <c r="K22" s="4">
        <v>29</v>
      </c>
      <c r="L22" s="4">
        <v>3</v>
      </c>
      <c r="M22" s="4">
        <v>27</v>
      </c>
      <c r="N22" s="4">
        <v>3</v>
      </c>
      <c r="O22" s="4">
        <v>6</v>
      </c>
      <c r="P22" s="4">
        <v>2</v>
      </c>
      <c r="Q22" s="4">
        <v>35</v>
      </c>
      <c r="R22" s="4">
        <v>32</v>
      </c>
      <c r="S22" s="4">
        <v>3</v>
      </c>
      <c r="T22" s="4">
        <v>6</v>
      </c>
      <c r="U22" s="4">
        <v>5</v>
      </c>
      <c r="V22" s="4" t="s">
        <v>821</v>
      </c>
      <c r="W22" s="4">
        <f t="shared" si="0"/>
        <v>201</v>
      </c>
      <c r="X22" s="16">
        <f t="shared" si="1"/>
        <v>0.57428571428571429</v>
      </c>
      <c r="Y22" s="53">
        <v>0.85</v>
      </c>
      <c r="Z22" s="57">
        <f t="shared" si="2"/>
        <v>53</v>
      </c>
      <c r="AA22" s="54" t="s">
        <v>850</v>
      </c>
    </row>
    <row r="23" spans="1:27" ht="20.100000000000001" customHeight="1" x14ac:dyDescent="0.25">
      <c r="A23" s="18">
        <v>17</v>
      </c>
      <c r="B23" s="13">
        <v>825</v>
      </c>
      <c r="C23" s="20" t="s">
        <v>313</v>
      </c>
      <c r="D23" s="21" t="s">
        <v>314</v>
      </c>
      <c r="E23" s="18" t="s">
        <v>292</v>
      </c>
      <c r="F23" s="4">
        <v>10</v>
      </c>
      <c r="G23" s="4">
        <v>42</v>
      </c>
      <c r="H23" s="4">
        <v>3</v>
      </c>
      <c r="I23" s="4">
        <v>6</v>
      </c>
      <c r="J23" s="4">
        <v>4</v>
      </c>
      <c r="K23" s="4">
        <v>31</v>
      </c>
      <c r="L23" s="4">
        <v>4</v>
      </c>
      <c r="M23" s="4">
        <v>44</v>
      </c>
      <c r="N23" s="4">
        <v>3</v>
      </c>
      <c r="O23" s="4">
        <v>6</v>
      </c>
      <c r="P23" s="4">
        <v>5</v>
      </c>
      <c r="Q23" s="4">
        <v>32</v>
      </c>
      <c r="R23" s="4">
        <v>34</v>
      </c>
      <c r="S23" s="4">
        <v>4</v>
      </c>
      <c r="T23" s="4">
        <v>7</v>
      </c>
      <c r="U23" s="4">
        <v>5</v>
      </c>
      <c r="V23" s="4" t="s">
        <v>820</v>
      </c>
      <c r="W23" s="4">
        <f t="shared" si="0"/>
        <v>240</v>
      </c>
      <c r="X23" s="16">
        <f t="shared" si="1"/>
        <v>0.68571428571428572</v>
      </c>
      <c r="Y23" s="53">
        <v>0.81</v>
      </c>
      <c r="Z23" s="57">
        <f t="shared" si="2"/>
        <v>44</v>
      </c>
      <c r="AA23" s="54" t="s">
        <v>850</v>
      </c>
    </row>
    <row r="24" spans="1:27" ht="20.100000000000001" customHeight="1" x14ac:dyDescent="0.25">
      <c r="A24" s="7">
        <v>18</v>
      </c>
      <c r="B24" s="13">
        <v>831</v>
      </c>
      <c r="C24" s="20" t="s">
        <v>315</v>
      </c>
      <c r="D24" s="21" t="s">
        <v>309</v>
      </c>
      <c r="E24" s="18" t="s">
        <v>292</v>
      </c>
      <c r="F24" s="4">
        <v>15</v>
      </c>
      <c r="G24" s="4">
        <v>45</v>
      </c>
      <c r="H24" s="4">
        <v>2</v>
      </c>
      <c r="I24" s="4">
        <v>6</v>
      </c>
      <c r="J24" s="4">
        <v>2</v>
      </c>
      <c r="K24" s="4">
        <v>38</v>
      </c>
      <c r="L24" s="4">
        <v>4</v>
      </c>
      <c r="M24" s="4">
        <v>40</v>
      </c>
      <c r="N24" s="4">
        <v>3</v>
      </c>
      <c r="O24" s="4">
        <v>7</v>
      </c>
      <c r="P24" s="4">
        <v>4</v>
      </c>
      <c r="Q24" s="4">
        <v>42</v>
      </c>
      <c r="R24" s="4">
        <v>49</v>
      </c>
      <c r="S24" s="4">
        <v>5</v>
      </c>
      <c r="T24" s="4">
        <v>10</v>
      </c>
      <c r="U24" s="4">
        <v>5</v>
      </c>
      <c r="V24" s="4" t="s">
        <v>819</v>
      </c>
      <c r="W24" s="4">
        <f t="shared" si="0"/>
        <v>277</v>
      </c>
      <c r="X24" s="16">
        <f t="shared" si="1"/>
        <v>0.79142857142857148</v>
      </c>
      <c r="Y24" s="53">
        <v>0.94</v>
      </c>
      <c r="Z24" s="57">
        <f t="shared" si="2"/>
        <v>27</v>
      </c>
      <c r="AA24" s="54" t="s">
        <v>856</v>
      </c>
    </row>
    <row r="25" spans="1:27" ht="20.100000000000001" customHeight="1" x14ac:dyDescent="0.25">
      <c r="A25" s="18">
        <v>19</v>
      </c>
      <c r="B25" s="13">
        <v>833</v>
      </c>
      <c r="C25" s="20" t="s">
        <v>316</v>
      </c>
      <c r="D25" s="21" t="s">
        <v>317</v>
      </c>
      <c r="E25" s="18" t="s">
        <v>292</v>
      </c>
      <c r="F25" s="4">
        <v>23</v>
      </c>
      <c r="G25" s="4">
        <v>42</v>
      </c>
      <c r="H25" s="4">
        <v>5</v>
      </c>
      <c r="I25" s="4">
        <v>8</v>
      </c>
      <c r="J25" s="4">
        <v>5</v>
      </c>
      <c r="K25" s="4">
        <v>47</v>
      </c>
      <c r="L25" s="4">
        <v>5</v>
      </c>
      <c r="M25" s="4">
        <v>44</v>
      </c>
      <c r="N25" s="4">
        <v>4</v>
      </c>
      <c r="O25" s="4">
        <v>6</v>
      </c>
      <c r="P25" s="4">
        <v>5</v>
      </c>
      <c r="Q25" s="4">
        <v>44</v>
      </c>
      <c r="R25" s="4">
        <v>43</v>
      </c>
      <c r="S25" s="4">
        <v>3</v>
      </c>
      <c r="T25" s="4">
        <v>7</v>
      </c>
      <c r="U25" s="4">
        <v>5</v>
      </c>
      <c r="V25" s="4" t="s">
        <v>819</v>
      </c>
      <c r="W25" s="4">
        <f t="shared" si="0"/>
        <v>296</v>
      </c>
      <c r="X25" s="16">
        <f t="shared" si="1"/>
        <v>0.84571428571428575</v>
      </c>
      <c r="Y25" s="53">
        <v>0.94</v>
      </c>
      <c r="Z25" s="57">
        <f t="shared" si="2"/>
        <v>19</v>
      </c>
      <c r="AA25" s="54" t="s">
        <v>856</v>
      </c>
    </row>
    <row r="26" spans="1:27" ht="20.100000000000001" customHeight="1" x14ac:dyDescent="0.25">
      <c r="A26" s="7">
        <v>20</v>
      </c>
      <c r="B26" s="13">
        <v>839</v>
      </c>
      <c r="C26" s="20" t="s">
        <v>318</v>
      </c>
      <c r="D26" s="21" t="s">
        <v>319</v>
      </c>
      <c r="E26" s="18" t="s">
        <v>292</v>
      </c>
      <c r="F26" s="4">
        <v>7</v>
      </c>
      <c r="G26" s="4">
        <v>49</v>
      </c>
      <c r="H26" s="4">
        <v>4</v>
      </c>
      <c r="I26" s="4">
        <v>8</v>
      </c>
      <c r="J26" s="4">
        <v>4</v>
      </c>
      <c r="K26" s="4">
        <v>44</v>
      </c>
      <c r="L26" s="4">
        <v>3</v>
      </c>
      <c r="M26" s="4">
        <v>47</v>
      </c>
      <c r="N26" s="4">
        <v>4</v>
      </c>
      <c r="O26" s="4">
        <v>6</v>
      </c>
      <c r="P26" s="4">
        <v>5</v>
      </c>
      <c r="Q26" s="4">
        <v>44</v>
      </c>
      <c r="R26" s="4">
        <v>43</v>
      </c>
      <c r="S26" s="4">
        <v>3</v>
      </c>
      <c r="T26" s="4">
        <v>7</v>
      </c>
      <c r="U26" s="4">
        <v>5</v>
      </c>
      <c r="V26" s="4" t="s">
        <v>821</v>
      </c>
      <c r="W26" s="4">
        <f t="shared" si="0"/>
        <v>283</v>
      </c>
      <c r="X26" s="16">
        <f t="shared" si="1"/>
        <v>0.80857142857142861</v>
      </c>
      <c r="Y26" s="53">
        <v>0.88</v>
      </c>
      <c r="Z26" s="57">
        <f t="shared" si="2"/>
        <v>23</v>
      </c>
      <c r="AA26" s="54" t="s">
        <v>856</v>
      </c>
    </row>
    <row r="27" spans="1:27" ht="20.100000000000001" customHeight="1" x14ac:dyDescent="0.25">
      <c r="A27" s="18">
        <v>21</v>
      </c>
      <c r="B27" s="13">
        <v>813</v>
      </c>
      <c r="C27" s="20" t="s">
        <v>320</v>
      </c>
      <c r="D27" s="21" t="s">
        <v>321</v>
      </c>
      <c r="E27" s="18" t="s">
        <v>292</v>
      </c>
      <c r="F27" s="4">
        <v>10</v>
      </c>
      <c r="G27" s="4">
        <v>49</v>
      </c>
      <c r="H27" s="4">
        <v>4</v>
      </c>
      <c r="I27" s="4">
        <v>9</v>
      </c>
      <c r="J27" s="4">
        <v>4</v>
      </c>
      <c r="K27" s="4">
        <v>43</v>
      </c>
      <c r="L27" s="4">
        <v>3</v>
      </c>
      <c r="M27" s="4">
        <v>46</v>
      </c>
      <c r="N27" s="4">
        <v>5</v>
      </c>
      <c r="O27" s="4">
        <v>9</v>
      </c>
      <c r="P27" s="4">
        <v>4</v>
      </c>
      <c r="Q27" s="4">
        <v>43</v>
      </c>
      <c r="R27" s="4">
        <v>46</v>
      </c>
      <c r="S27" s="4">
        <v>3</v>
      </c>
      <c r="T27" s="4">
        <v>8</v>
      </c>
      <c r="U27" s="4">
        <v>5</v>
      </c>
      <c r="V27" s="4" t="s">
        <v>820</v>
      </c>
      <c r="W27" s="4">
        <f t="shared" si="0"/>
        <v>291</v>
      </c>
      <c r="X27" s="16">
        <f t="shared" si="1"/>
        <v>0.83142857142857141</v>
      </c>
      <c r="Y27" s="53">
        <v>0.79</v>
      </c>
      <c r="Z27" s="57">
        <f t="shared" si="2"/>
        <v>20</v>
      </c>
      <c r="AA27" s="54" t="s">
        <v>856</v>
      </c>
    </row>
    <row r="28" spans="1:27" ht="20.100000000000001" customHeight="1" x14ac:dyDescent="0.25">
      <c r="A28" s="7">
        <v>22</v>
      </c>
      <c r="B28" s="13"/>
      <c r="C28" s="20" t="s">
        <v>322</v>
      </c>
      <c r="D28" s="21" t="s">
        <v>323</v>
      </c>
      <c r="E28" s="18" t="s">
        <v>292</v>
      </c>
      <c r="F28" s="4">
        <v>4</v>
      </c>
      <c r="G28" s="4">
        <v>46</v>
      </c>
      <c r="H28" s="4">
        <v>3</v>
      </c>
      <c r="I28" s="4">
        <v>7</v>
      </c>
      <c r="J28" s="4">
        <v>4</v>
      </c>
      <c r="K28" s="4">
        <v>36</v>
      </c>
      <c r="L28" s="4">
        <v>3</v>
      </c>
      <c r="M28" s="4">
        <v>42</v>
      </c>
      <c r="N28" s="4">
        <v>3</v>
      </c>
      <c r="O28" s="4">
        <v>4</v>
      </c>
      <c r="P28" s="4">
        <v>3</v>
      </c>
      <c r="Q28" s="4">
        <v>37</v>
      </c>
      <c r="R28" s="4">
        <v>41</v>
      </c>
      <c r="S28" s="4">
        <v>3</v>
      </c>
      <c r="T28" s="4">
        <v>6</v>
      </c>
      <c r="U28" s="4">
        <v>5</v>
      </c>
      <c r="V28" s="4" t="s">
        <v>820</v>
      </c>
      <c r="W28" s="4">
        <f t="shared" si="0"/>
        <v>247</v>
      </c>
      <c r="X28" s="16">
        <f t="shared" si="1"/>
        <v>0.70571428571428574</v>
      </c>
      <c r="Y28" s="53">
        <v>0.95</v>
      </c>
      <c r="Z28" s="57">
        <f t="shared" si="2"/>
        <v>41</v>
      </c>
      <c r="AA28" s="54" t="s">
        <v>850</v>
      </c>
    </row>
    <row r="29" spans="1:27" ht="20.100000000000001" customHeight="1" x14ac:dyDescent="0.25">
      <c r="A29" s="18">
        <v>23</v>
      </c>
      <c r="B29" s="13">
        <v>804</v>
      </c>
      <c r="C29" s="20" t="s">
        <v>324</v>
      </c>
      <c r="D29" s="21" t="s">
        <v>325</v>
      </c>
      <c r="E29" s="18" t="s">
        <v>292</v>
      </c>
      <c r="F29" s="4">
        <v>12</v>
      </c>
      <c r="G29" s="4">
        <v>41</v>
      </c>
      <c r="H29" s="4">
        <v>3</v>
      </c>
      <c r="I29" s="4">
        <v>8</v>
      </c>
      <c r="J29" s="4">
        <v>3</v>
      </c>
      <c r="K29" s="4">
        <v>43</v>
      </c>
      <c r="L29" s="4">
        <v>4</v>
      </c>
      <c r="M29" s="4">
        <v>44</v>
      </c>
      <c r="N29" s="4">
        <v>3</v>
      </c>
      <c r="O29" s="4">
        <v>6</v>
      </c>
      <c r="P29" s="4">
        <v>4</v>
      </c>
      <c r="Q29" s="4">
        <v>40</v>
      </c>
      <c r="R29" s="4">
        <v>36</v>
      </c>
      <c r="S29" s="4">
        <v>3</v>
      </c>
      <c r="T29" s="4">
        <v>7</v>
      </c>
      <c r="U29" s="4">
        <v>5</v>
      </c>
      <c r="V29" s="4" t="s">
        <v>819</v>
      </c>
      <c r="W29" s="4">
        <f t="shared" si="0"/>
        <v>262</v>
      </c>
      <c r="X29" s="16">
        <f t="shared" si="1"/>
        <v>0.74857142857142855</v>
      </c>
      <c r="Y29" s="53">
        <v>0.87</v>
      </c>
      <c r="Z29" s="57">
        <f t="shared" si="2"/>
        <v>35</v>
      </c>
      <c r="AA29" s="54" t="s">
        <v>850</v>
      </c>
    </row>
    <row r="30" spans="1:27" ht="20.100000000000001" customHeight="1" x14ac:dyDescent="0.25">
      <c r="A30" s="7">
        <v>24</v>
      </c>
      <c r="B30" s="13">
        <v>794</v>
      </c>
      <c r="C30" s="20" t="s">
        <v>326</v>
      </c>
      <c r="D30" s="21" t="s">
        <v>327</v>
      </c>
      <c r="E30" s="18" t="s">
        <v>292</v>
      </c>
      <c r="F30" s="4">
        <v>25</v>
      </c>
      <c r="G30" s="4">
        <v>45</v>
      </c>
      <c r="H30" s="4">
        <v>5</v>
      </c>
      <c r="I30" s="4">
        <v>7</v>
      </c>
      <c r="J30" s="4">
        <v>5</v>
      </c>
      <c r="K30" s="4">
        <v>42</v>
      </c>
      <c r="L30" s="4">
        <v>5</v>
      </c>
      <c r="M30" s="4">
        <v>47</v>
      </c>
      <c r="N30" s="4">
        <v>5</v>
      </c>
      <c r="O30" s="4">
        <v>9</v>
      </c>
      <c r="P30" s="4">
        <v>5</v>
      </c>
      <c r="Q30" s="4">
        <v>45</v>
      </c>
      <c r="R30" s="4">
        <v>53</v>
      </c>
      <c r="S30" s="4">
        <v>5</v>
      </c>
      <c r="T30" s="4">
        <v>10</v>
      </c>
      <c r="U30" s="4">
        <v>5</v>
      </c>
      <c r="V30" s="4" t="s">
        <v>819</v>
      </c>
      <c r="W30" s="4">
        <f t="shared" si="0"/>
        <v>318</v>
      </c>
      <c r="X30" s="16">
        <f t="shared" si="1"/>
        <v>0.90857142857142859</v>
      </c>
      <c r="Y30" s="53">
        <v>0.87</v>
      </c>
      <c r="Z30" s="57">
        <v>3</v>
      </c>
      <c r="AA30" s="54" t="s">
        <v>881</v>
      </c>
    </row>
    <row r="31" spans="1:27" ht="20.100000000000001" customHeight="1" x14ac:dyDescent="0.25">
      <c r="A31" s="18">
        <v>25</v>
      </c>
      <c r="B31" s="13">
        <v>826</v>
      </c>
      <c r="C31" s="20" t="s">
        <v>328</v>
      </c>
      <c r="D31" s="21" t="s">
        <v>329</v>
      </c>
      <c r="E31" s="18" t="s">
        <v>292</v>
      </c>
      <c r="F31" s="4">
        <v>22</v>
      </c>
      <c r="G31" s="4">
        <v>49</v>
      </c>
      <c r="H31" s="4">
        <v>4</v>
      </c>
      <c r="I31" s="4">
        <v>8</v>
      </c>
      <c r="J31" s="4">
        <v>6</v>
      </c>
      <c r="K31" s="4">
        <v>42</v>
      </c>
      <c r="L31" s="4">
        <v>5</v>
      </c>
      <c r="M31" s="4">
        <v>47</v>
      </c>
      <c r="N31" s="4">
        <v>3</v>
      </c>
      <c r="O31" s="4">
        <v>7</v>
      </c>
      <c r="P31" s="4">
        <v>5</v>
      </c>
      <c r="Q31" s="4">
        <v>44</v>
      </c>
      <c r="R31" s="4">
        <v>46</v>
      </c>
      <c r="S31" s="4">
        <v>4</v>
      </c>
      <c r="T31" s="4">
        <v>9</v>
      </c>
      <c r="U31" s="4">
        <v>5</v>
      </c>
      <c r="V31" s="4" t="s">
        <v>825</v>
      </c>
      <c r="W31" s="4">
        <f t="shared" si="0"/>
        <v>306</v>
      </c>
      <c r="X31" s="16">
        <f t="shared" si="1"/>
        <v>0.87428571428571433</v>
      </c>
      <c r="Y31" s="53">
        <v>0.86</v>
      </c>
      <c r="Z31" s="57">
        <f t="shared" si="2"/>
        <v>13</v>
      </c>
      <c r="AA31" s="54" t="s">
        <v>853</v>
      </c>
    </row>
    <row r="32" spans="1:27" ht="20.100000000000001" customHeight="1" x14ac:dyDescent="0.25">
      <c r="A32" s="7">
        <v>26</v>
      </c>
      <c r="B32" s="13">
        <v>803</v>
      </c>
      <c r="C32" s="20" t="s">
        <v>280</v>
      </c>
      <c r="D32" s="21" t="s">
        <v>330</v>
      </c>
      <c r="E32" s="18" t="s">
        <v>292</v>
      </c>
      <c r="F32" s="4" t="s">
        <v>818</v>
      </c>
      <c r="G32" s="4" t="s">
        <v>818</v>
      </c>
      <c r="H32" s="4" t="s">
        <v>818</v>
      </c>
      <c r="I32" s="4" t="s">
        <v>818</v>
      </c>
      <c r="J32" s="4" t="s">
        <v>818</v>
      </c>
      <c r="K32" s="4" t="s">
        <v>818</v>
      </c>
      <c r="L32" s="4" t="s">
        <v>818</v>
      </c>
      <c r="M32" s="4" t="s">
        <v>818</v>
      </c>
      <c r="N32" s="4" t="s">
        <v>818</v>
      </c>
      <c r="O32" s="4" t="s">
        <v>818</v>
      </c>
      <c r="P32" s="4" t="s">
        <v>818</v>
      </c>
      <c r="Q32" s="4" t="s">
        <v>818</v>
      </c>
      <c r="R32" s="4" t="s">
        <v>818</v>
      </c>
      <c r="S32" s="4" t="s">
        <v>818</v>
      </c>
      <c r="T32" s="4" t="s">
        <v>818</v>
      </c>
      <c r="U32" s="4" t="s">
        <v>818</v>
      </c>
      <c r="V32" s="44" t="s">
        <v>829</v>
      </c>
      <c r="W32" s="4">
        <f t="shared" si="0"/>
        <v>0</v>
      </c>
      <c r="X32" s="16">
        <f t="shared" si="1"/>
        <v>0</v>
      </c>
      <c r="Y32" s="53">
        <v>0.57999999999999996</v>
      </c>
      <c r="Z32" s="57">
        <f t="shared" si="2"/>
        <v>54</v>
      </c>
      <c r="AA32" s="54" t="s">
        <v>880</v>
      </c>
    </row>
    <row r="33" spans="1:27" ht="20.100000000000001" customHeight="1" x14ac:dyDescent="0.25">
      <c r="A33" s="18">
        <v>27</v>
      </c>
      <c r="B33" s="13">
        <v>810</v>
      </c>
      <c r="C33" s="20" t="s">
        <v>331</v>
      </c>
      <c r="D33" s="21" t="s">
        <v>332</v>
      </c>
      <c r="E33" s="18" t="s">
        <v>292</v>
      </c>
      <c r="F33" s="4">
        <v>24</v>
      </c>
      <c r="G33" s="4">
        <v>41</v>
      </c>
      <c r="H33" s="4">
        <v>4</v>
      </c>
      <c r="I33" s="4">
        <v>8</v>
      </c>
      <c r="J33" s="4">
        <v>5</v>
      </c>
      <c r="K33" s="4">
        <v>38</v>
      </c>
      <c r="L33" s="4">
        <v>5</v>
      </c>
      <c r="M33" s="4">
        <v>44</v>
      </c>
      <c r="N33" s="4">
        <v>5</v>
      </c>
      <c r="O33" s="4">
        <v>5</v>
      </c>
      <c r="P33" s="4">
        <v>2</v>
      </c>
      <c r="Q33" s="4">
        <v>42</v>
      </c>
      <c r="R33" s="4">
        <v>38</v>
      </c>
      <c r="S33" s="4">
        <v>3</v>
      </c>
      <c r="T33" s="4">
        <v>7</v>
      </c>
      <c r="U33" s="4">
        <v>5</v>
      </c>
      <c r="V33" s="4" t="s">
        <v>820</v>
      </c>
      <c r="W33" s="4">
        <f t="shared" si="0"/>
        <v>276</v>
      </c>
      <c r="X33" s="16">
        <f t="shared" si="1"/>
        <v>0.78857142857142859</v>
      </c>
      <c r="Y33" s="53">
        <v>0.79</v>
      </c>
      <c r="Z33" s="57">
        <f t="shared" si="2"/>
        <v>28</v>
      </c>
      <c r="AA33" s="54" t="s">
        <v>856</v>
      </c>
    </row>
    <row r="34" spans="1:27" ht="20.100000000000001" customHeight="1" x14ac:dyDescent="0.25">
      <c r="A34" s="7">
        <v>28</v>
      </c>
      <c r="B34" s="13">
        <v>834</v>
      </c>
      <c r="C34" s="20" t="s">
        <v>333</v>
      </c>
      <c r="D34" s="21" t="s">
        <v>334</v>
      </c>
      <c r="E34" s="18" t="s">
        <v>292</v>
      </c>
      <c r="F34" s="4">
        <v>10</v>
      </c>
      <c r="G34" s="4">
        <v>43</v>
      </c>
      <c r="H34" s="4">
        <v>4</v>
      </c>
      <c r="I34" s="4">
        <v>7</v>
      </c>
      <c r="J34" s="4">
        <v>5</v>
      </c>
      <c r="K34" s="4">
        <v>46</v>
      </c>
      <c r="L34" s="4">
        <v>3</v>
      </c>
      <c r="M34" s="4">
        <v>41</v>
      </c>
      <c r="N34" s="4">
        <v>3</v>
      </c>
      <c r="O34" s="4">
        <v>9</v>
      </c>
      <c r="P34" s="4">
        <v>5</v>
      </c>
      <c r="Q34" s="4">
        <v>41</v>
      </c>
      <c r="R34" s="4">
        <v>40</v>
      </c>
      <c r="S34" s="4">
        <v>4</v>
      </c>
      <c r="T34" s="4">
        <v>8</v>
      </c>
      <c r="U34" s="4">
        <v>5</v>
      </c>
      <c r="V34" s="4" t="s">
        <v>820</v>
      </c>
      <c r="W34" s="4">
        <f t="shared" si="0"/>
        <v>274</v>
      </c>
      <c r="X34" s="16">
        <f t="shared" si="1"/>
        <v>0.78285714285714281</v>
      </c>
      <c r="Y34" s="53">
        <v>0.69</v>
      </c>
      <c r="Z34" s="57">
        <f t="shared" si="2"/>
        <v>29</v>
      </c>
      <c r="AA34" s="54" t="s">
        <v>856</v>
      </c>
    </row>
    <row r="35" spans="1:27" ht="20.100000000000001" customHeight="1" x14ac:dyDescent="0.25">
      <c r="A35" s="18">
        <v>29</v>
      </c>
      <c r="B35" s="13">
        <v>806</v>
      </c>
      <c r="C35" s="20" t="s">
        <v>335</v>
      </c>
      <c r="D35" s="21" t="s">
        <v>32</v>
      </c>
      <c r="E35" s="18" t="s">
        <v>292</v>
      </c>
      <c r="F35" s="4">
        <v>25</v>
      </c>
      <c r="G35" s="4">
        <v>47</v>
      </c>
      <c r="H35" s="4">
        <v>5</v>
      </c>
      <c r="I35" s="4">
        <v>10</v>
      </c>
      <c r="J35" s="4">
        <v>5</v>
      </c>
      <c r="K35" s="4">
        <v>47</v>
      </c>
      <c r="L35" s="4">
        <v>5</v>
      </c>
      <c r="M35" s="4">
        <v>47</v>
      </c>
      <c r="N35" s="4">
        <v>5</v>
      </c>
      <c r="O35" s="4">
        <v>8</v>
      </c>
      <c r="P35" s="4">
        <v>5</v>
      </c>
      <c r="Q35" s="4">
        <v>45</v>
      </c>
      <c r="R35" s="4">
        <v>51</v>
      </c>
      <c r="S35" s="4">
        <v>5</v>
      </c>
      <c r="T35" s="4">
        <v>10</v>
      </c>
      <c r="U35" s="4">
        <v>5</v>
      </c>
      <c r="V35" s="4" t="s">
        <v>821</v>
      </c>
      <c r="W35" s="4">
        <f t="shared" si="0"/>
        <v>325</v>
      </c>
      <c r="X35" s="16">
        <f t="shared" si="1"/>
        <v>0.9285714285714286</v>
      </c>
      <c r="Y35" s="53">
        <v>0.93</v>
      </c>
      <c r="Z35" s="57">
        <v>2</v>
      </c>
      <c r="AA35" s="54" t="s">
        <v>849</v>
      </c>
    </row>
    <row r="36" spans="1:27" ht="20.100000000000001" customHeight="1" x14ac:dyDescent="0.25">
      <c r="A36" s="7">
        <v>30</v>
      </c>
      <c r="B36" s="13">
        <v>799</v>
      </c>
      <c r="C36" s="20" t="s">
        <v>336</v>
      </c>
      <c r="D36" s="21" t="s">
        <v>337</v>
      </c>
      <c r="E36" s="18" t="s">
        <v>292</v>
      </c>
      <c r="F36" s="4">
        <v>23</v>
      </c>
      <c r="G36" s="4">
        <v>44</v>
      </c>
      <c r="H36" s="4">
        <v>4</v>
      </c>
      <c r="I36" s="4">
        <v>6</v>
      </c>
      <c r="J36" s="4">
        <v>5</v>
      </c>
      <c r="K36" s="4">
        <v>46</v>
      </c>
      <c r="L36" s="4">
        <v>3</v>
      </c>
      <c r="M36" s="4">
        <v>47</v>
      </c>
      <c r="N36" s="4">
        <v>4</v>
      </c>
      <c r="O36" s="4">
        <v>3</v>
      </c>
      <c r="P36" s="4">
        <v>4</v>
      </c>
      <c r="Q36" s="4">
        <v>46</v>
      </c>
      <c r="R36" s="4">
        <v>42</v>
      </c>
      <c r="S36" s="4">
        <v>5</v>
      </c>
      <c r="T36" s="4">
        <v>10</v>
      </c>
      <c r="U36" s="4">
        <v>5</v>
      </c>
      <c r="V36" s="4" t="s">
        <v>840</v>
      </c>
      <c r="W36" s="4">
        <f t="shared" si="0"/>
        <v>297</v>
      </c>
      <c r="X36" s="16">
        <f t="shared" si="1"/>
        <v>0.84857142857142853</v>
      </c>
      <c r="Y36" s="53">
        <v>0.79</v>
      </c>
      <c r="Z36" s="57">
        <f t="shared" si="2"/>
        <v>18</v>
      </c>
      <c r="AA36" s="54" t="s">
        <v>856</v>
      </c>
    </row>
    <row r="37" spans="1:27" ht="20.100000000000001" customHeight="1" x14ac:dyDescent="0.25">
      <c r="A37" s="18">
        <v>31</v>
      </c>
      <c r="B37" s="13">
        <v>805</v>
      </c>
      <c r="C37" s="20" t="s">
        <v>336</v>
      </c>
      <c r="D37" s="21" t="s">
        <v>338</v>
      </c>
      <c r="E37" s="18" t="s">
        <v>292</v>
      </c>
      <c r="F37" s="4">
        <v>16</v>
      </c>
      <c r="G37" s="4">
        <v>39</v>
      </c>
      <c r="H37" s="4">
        <v>3</v>
      </c>
      <c r="I37" s="4">
        <v>8</v>
      </c>
      <c r="J37" s="4">
        <v>5</v>
      </c>
      <c r="K37" s="4">
        <v>36</v>
      </c>
      <c r="L37" s="4">
        <v>5</v>
      </c>
      <c r="M37" s="4">
        <v>47</v>
      </c>
      <c r="N37" s="4">
        <v>3</v>
      </c>
      <c r="O37" s="4">
        <v>6</v>
      </c>
      <c r="P37" s="4">
        <v>5</v>
      </c>
      <c r="Q37" s="4">
        <v>42</v>
      </c>
      <c r="R37" s="4">
        <v>46</v>
      </c>
      <c r="S37" s="4">
        <v>5</v>
      </c>
      <c r="T37" s="4">
        <v>9</v>
      </c>
      <c r="U37" s="4">
        <v>5</v>
      </c>
      <c r="V37" s="4" t="s">
        <v>821</v>
      </c>
      <c r="W37" s="4">
        <f t="shared" si="0"/>
        <v>280</v>
      </c>
      <c r="X37" s="16">
        <f t="shared" si="1"/>
        <v>0.8</v>
      </c>
      <c r="Y37" s="53">
        <v>0.88</v>
      </c>
      <c r="Z37" s="57">
        <f t="shared" si="2"/>
        <v>26</v>
      </c>
      <c r="AA37" s="54" t="s">
        <v>856</v>
      </c>
    </row>
    <row r="38" spans="1:27" x14ac:dyDescent="0.25">
      <c r="A38" s="7">
        <v>32</v>
      </c>
      <c r="B38" s="13"/>
      <c r="C38" s="20" t="s">
        <v>339</v>
      </c>
      <c r="D38" s="21" t="s">
        <v>340</v>
      </c>
      <c r="E38" s="18" t="s">
        <v>292</v>
      </c>
      <c r="F38" s="4">
        <v>20</v>
      </c>
      <c r="G38" s="4">
        <v>41</v>
      </c>
      <c r="H38" s="4">
        <v>4</v>
      </c>
      <c r="I38" s="4">
        <v>5</v>
      </c>
      <c r="J38" s="4">
        <v>5</v>
      </c>
      <c r="K38" s="4">
        <v>42</v>
      </c>
      <c r="L38" s="4">
        <v>3</v>
      </c>
      <c r="M38" s="4">
        <v>31</v>
      </c>
      <c r="N38" s="4">
        <v>4</v>
      </c>
      <c r="O38" s="4">
        <v>8</v>
      </c>
      <c r="P38" s="4">
        <v>5</v>
      </c>
      <c r="Q38" s="4">
        <v>45</v>
      </c>
      <c r="R38" s="4">
        <v>39</v>
      </c>
      <c r="S38" s="4">
        <v>4</v>
      </c>
      <c r="T38" s="4">
        <v>9</v>
      </c>
      <c r="U38" s="4">
        <v>5</v>
      </c>
      <c r="V38" s="4" t="s">
        <v>821</v>
      </c>
      <c r="W38" s="4">
        <f t="shared" si="0"/>
        <v>270</v>
      </c>
      <c r="X38" s="16">
        <f t="shared" si="1"/>
        <v>0.77142857142857146</v>
      </c>
      <c r="Y38" s="53">
        <v>0.77</v>
      </c>
      <c r="Z38" s="57">
        <f t="shared" si="2"/>
        <v>32</v>
      </c>
      <c r="AA38" s="54" t="s">
        <v>856</v>
      </c>
    </row>
    <row r="39" spans="1:27" ht="20.100000000000001" customHeight="1" x14ac:dyDescent="0.35">
      <c r="A39" s="121" t="s">
        <v>119</v>
      </c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3"/>
    </row>
    <row r="40" spans="1:27" ht="20.100000000000001" customHeight="1" x14ac:dyDescent="0.25">
      <c r="A40" s="18">
        <v>1</v>
      </c>
      <c r="B40" s="19">
        <v>815</v>
      </c>
      <c r="C40" s="22" t="s">
        <v>341</v>
      </c>
      <c r="D40" s="23" t="s">
        <v>342</v>
      </c>
      <c r="E40" s="18" t="s">
        <v>292</v>
      </c>
      <c r="F40" s="4">
        <v>25</v>
      </c>
      <c r="G40" s="4">
        <v>49</v>
      </c>
      <c r="H40" s="4">
        <v>5</v>
      </c>
      <c r="I40" s="4">
        <v>8</v>
      </c>
      <c r="J40" s="4">
        <v>5</v>
      </c>
      <c r="K40" s="4">
        <v>42</v>
      </c>
      <c r="L40" s="4">
        <v>5</v>
      </c>
      <c r="M40" s="4">
        <v>46</v>
      </c>
      <c r="N40" s="4">
        <v>4</v>
      </c>
      <c r="O40" s="4">
        <v>8</v>
      </c>
      <c r="P40" s="4">
        <v>5</v>
      </c>
      <c r="Q40" s="4">
        <v>42</v>
      </c>
      <c r="R40" s="4">
        <v>49</v>
      </c>
      <c r="S40" s="4">
        <v>5</v>
      </c>
      <c r="T40" s="4">
        <v>10</v>
      </c>
      <c r="U40" s="4">
        <v>5</v>
      </c>
      <c r="V40" s="4" t="s">
        <v>820</v>
      </c>
      <c r="W40" s="4">
        <f>SUM(F40:V40)</f>
        <v>313</v>
      </c>
      <c r="X40" s="16">
        <f>W40/$W$6</f>
        <v>0.89428571428571424</v>
      </c>
      <c r="Y40" s="53">
        <v>0.96</v>
      </c>
      <c r="Z40" s="57">
        <f t="shared" si="2"/>
        <v>6</v>
      </c>
      <c r="AA40" s="54" t="s">
        <v>854</v>
      </c>
    </row>
    <row r="41" spans="1:27" ht="20.100000000000001" customHeight="1" x14ac:dyDescent="0.25">
      <c r="A41" s="18">
        <v>2</v>
      </c>
      <c r="B41" s="13">
        <v>822</v>
      </c>
      <c r="C41" s="20" t="s">
        <v>226</v>
      </c>
      <c r="D41" s="21" t="s">
        <v>343</v>
      </c>
      <c r="E41" s="18" t="s">
        <v>292</v>
      </c>
      <c r="F41" s="4" t="s">
        <v>818</v>
      </c>
      <c r="G41" s="4" t="s">
        <v>818</v>
      </c>
      <c r="H41" s="4" t="s">
        <v>818</v>
      </c>
      <c r="I41" s="4" t="s">
        <v>818</v>
      </c>
      <c r="J41" s="4" t="s">
        <v>818</v>
      </c>
      <c r="K41" s="4" t="s">
        <v>818</v>
      </c>
      <c r="L41" s="4" t="s">
        <v>818</v>
      </c>
      <c r="M41" s="4" t="s">
        <v>818</v>
      </c>
      <c r="N41" s="4" t="s">
        <v>818</v>
      </c>
      <c r="O41" s="4" t="s">
        <v>818</v>
      </c>
      <c r="P41" s="4" t="s">
        <v>818</v>
      </c>
      <c r="Q41" s="4" t="s">
        <v>818</v>
      </c>
      <c r="R41" s="4" t="s">
        <v>818</v>
      </c>
      <c r="S41" s="4" t="s">
        <v>818</v>
      </c>
      <c r="T41" s="4" t="s">
        <v>818</v>
      </c>
      <c r="U41" s="4" t="s">
        <v>818</v>
      </c>
      <c r="V41" s="4" t="s">
        <v>829</v>
      </c>
      <c r="W41" s="4">
        <f t="shared" ref="W41:W62" si="3">SUM(F41:V41)</f>
        <v>0</v>
      </c>
      <c r="X41" s="16">
        <f t="shared" ref="X41:X62" si="4">W41/$W$6</f>
        <v>0</v>
      </c>
      <c r="Y41" s="53">
        <v>0.38</v>
      </c>
      <c r="Z41" s="57">
        <f t="shared" si="2"/>
        <v>54</v>
      </c>
      <c r="AA41" s="54" t="s">
        <v>880</v>
      </c>
    </row>
    <row r="42" spans="1:27" ht="20.100000000000001" customHeight="1" x14ac:dyDescent="0.25">
      <c r="A42" s="18">
        <v>3</v>
      </c>
      <c r="B42" s="13">
        <v>819</v>
      </c>
      <c r="C42" s="20" t="s">
        <v>123</v>
      </c>
      <c r="D42" s="21" t="s">
        <v>314</v>
      </c>
      <c r="E42" s="18" t="s">
        <v>292</v>
      </c>
      <c r="F42" s="4">
        <v>15</v>
      </c>
      <c r="G42" s="4">
        <v>48</v>
      </c>
      <c r="H42" s="4">
        <v>3</v>
      </c>
      <c r="I42" s="4">
        <v>8</v>
      </c>
      <c r="J42" s="4">
        <v>5</v>
      </c>
      <c r="K42" s="4">
        <v>45</v>
      </c>
      <c r="L42" s="4">
        <v>5</v>
      </c>
      <c r="M42" s="4">
        <v>15</v>
      </c>
      <c r="N42" s="4">
        <v>3</v>
      </c>
      <c r="O42" s="4">
        <v>7</v>
      </c>
      <c r="P42" s="4">
        <v>4</v>
      </c>
      <c r="Q42" s="4">
        <v>40</v>
      </c>
      <c r="R42" s="4">
        <v>29</v>
      </c>
      <c r="S42" s="4">
        <v>3</v>
      </c>
      <c r="T42" s="4">
        <v>7</v>
      </c>
      <c r="U42" s="4">
        <v>5</v>
      </c>
      <c r="V42" s="4" t="s">
        <v>821</v>
      </c>
      <c r="W42" s="4">
        <f t="shared" si="3"/>
        <v>242</v>
      </c>
      <c r="X42" s="16">
        <f t="shared" si="4"/>
        <v>0.69142857142857139</v>
      </c>
      <c r="Y42" s="53">
        <v>0.82</v>
      </c>
      <c r="Z42" s="57">
        <f t="shared" si="2"/>
        <v>42</v>
      </c>
      <c r="AA42" s="54" t="s">
        <v>850</v>
      </c>
    </row>
    <row r="43" spans="1:27" ht="20.100000000000001" customHeight="1" x14ac:dyDescent="0.25">
      <c r="A43" s="18">
        <v>4</v>
      </c>
      <c r="B43" s="13">
        <v>812</v>
      </c>
      <c r="C43" s="20" t="s">
        <v>344</v>
      </c>
      <c r="D43" s="21" t="s">
        <v>345</v>
      </c>
      <c r="E43" s="18" t="s">
        <v>292</v>
      </c>
      <c r="F43" s="4">
        <v>14</v>
      </c>
      <c r="G43" s="4">
        <v>47</v>
      </c>
      <c r="H43" s="4">
        <v>3</v>
      </c>
      <c r="I43" s="4">
        <v>6</v>
      </c>
      <c r="J43" s="4">
        <v>5</v>
      </c>
      <c r="K43" s="4">
        <v>43</v>
      </c>
      <c r="L43" s="4">
        <v>3</v>
      </c>
      <c r="M43" s="4">
        <v>31</v>
      </c>
      <c r="N43" s="4">
        <v>3</v>
      </c>
      <c r="O43" s="4">
        <v>6</v>
      </c>
      <c r="P43" s="4">
        <v>3</v>
      </c>
      <c r="Q43" s="4">
        <v>33</v>
      </c>
      <c r="R43" s="4">
        <v>30</v>
      </c>
      <c r="S43" s="4">
        <v>3</v>
      </c>
      <c r="T43" s="4">
        <v>6</v>
      </c>
      <c r="U43" s="4">
        <v>5</v>
      </c>
      <c r="V43" s="4" t="s">
        <v>821</v>
      </c>
      <c r="W43" s="4">
        <f t="shared" si="3"/>
        <v>241</v>
      </c>
      <c r="X43" s="16">
        <f t="shared" si="4"/>
        <v>0.68857142857142861</v>
      </c>
      <c r="Y43" s="53">
        <v>0.86</v>
      </c>
      <c r="Z43" s="57">
        <f t="shared" si="2"/>
        <v>43</v>
      </c>
      <c r="AA43" s="54" t="s">
        <v>850</v>
      </c>
    </row>
    <row r="44" spans="1:27" ht="20.100000000000001" customHeight="1" x14ac:dyDescent="0.25">
      <c r="A44" s="18">
        <v>5</v>
      </c>
      <c r="B44" s="13">
        <v>801</v>
      </c>
      <c r="C44" s="20" t="s">
        <v>346</v>
      </c>
      <c r="D44" s="21" t="s">
        <v>347</v>
      </c>
      <c r="E44" s="18" t="s">
        <v>292</v>
      </c>
      <c r="F44" s="4">
        <v>16</v>
      </c>
      <c r="G44" s="4">
        <v>49</v>
      </c>
      <c r="H44" s="4">
        <v>4</v>
      </c>
      <c r="I44" s="4">
        <v>9</v>
      </c>
      <c r="J44" s="4">
        <v>5</v>
      </c>
      <c r="K44" s="4">
        <v>50</v>
      </c>
      <c r="L44" s="4">
        <v>5</v>
      </c>
      <c r="M44" s="4">
        <v>47</v>
      </c>
      <c r="N44" s="4">
        <v>4</v>
      </c>
      <c r="O44" s="4">
        <v>10</v>
      </c>
      <c r="P44" s="4">
        <v>4</v>
      </c>
      <c r="Q44" s="4">
        <v>43</v>
      </c>
      <c r="R44" s="4">
        <v>49</v>
      </c>
      <c r="S44" s="4">
        <v>3</v>
      </c>
      <c r="T44" s="4">
        <v>7</v>
      </c>
      <c r="U44" s="4">
        <v>5</v>
      </c>
      <c r="V44" s="4" t="s">
        <v>820</v>
      </c>
      <c r="W44" s="4">
        <f t="shared" si="3"/>
        <v>310</v>
      </c>
      <c r="X44" s="16">
        <f t="shared" si="4"/>
        <v>0.88571428571428568</v>
      </c>
      <c r="Y44" s="53">
        <v>0.84</v>
      </c>
      <c r="Z44" s="57">
        <f t="shared" si="2"/>
        <v>9</v>
      </c>
      <c r="AA44" s="54" t="s">
        <v>854</v>
      </c>
    </row>
    <row r="45" spans="1:27" ht="20.100000000000001" customHeight="1" x14ac:dyDescent="0.25">
      <c r="A45" s="18">
        <v>6</v>
      </c>
      <c r="B45" s="13">
        <v>828</v>
      </c>
      <c r="C45" s="20" t="s">
        <v>348</v>
      </c>
      <c r="D45" s="21" t="s">
        <v>314</v>
      </c>
      <c r="E45" s="18" t="s">
        <v>292</v>
      </c>
      <c r="F45" s="4">
        <v>7</v>
      </c>
      <c r="G45" s="4">
        <v>40</v>
      </c>
      <c r="H45" s="4">
        <v>2</v>
      </c>
      <c r="I45" s="4">
        <v>5</v>
      </c>
      <c r="J45" s="4">
        <v>2</v>
      </c>
      <c r="K45" s="4">
        <v>30</v>
      </c>
      <c r="L45" s="4">
        <v>3</v>
      </c>
      <c r="M45" s="4">
        <v>38</v>
      </c>
      <c r="N45" s="4">
        <v>3</v>
      </c>
      <c r="O45" s="4">
        <v>7</v>
      </c>
      <c r="P45" s="4">
        <v>3</v>
      </c>
      <c r="Q45" s="4">
        <v>34</v>
      </c>
      <c r="R45" s="4">
        <v>37</v>
      </c>
      <c r="S45" s="4">
        <v>3</v>
      </c>
      <c r="T45" s="4">
        <v>7</v>
      </c>
      <c r="U45" s="4">
        <v>5</v>
      </c>
      <c r="V45" s="4" t="s">
        <v>821</v>
      </c>
      <c r="W45" s="4">
        <f t="shared" si="3"/>
        <v>226</v>
      </c>
      <c r="X45" s="16">
        <f t="shared" si="4"/>
        <v>0.64571428571428569</v>
      </c>
      <c r="Y45" s="53">
        <v>0.73</v>
      </c>
      <c r="Z45" s="57">
        <f t="shared" si="2"/>
        <v>49</v>
      </c>
      <c r="AA45" s="54" t="s">
        <v>850</v>
      </c>
    </row>
    <row r="46" spans="1:27" ht="20.100000000000001" customHeight="1" x14ac:dyDescent="0.25">
      <c r="A46" s="18">
        <v>7</v>
      </c>
      <c r="B46" s="13">
        <v>829</v>
      </c>
      <c r="C46" s="20" t="s">
        <v>349</v>
      </c>
      <c r="D46" s="21" t="s">
        <v>350</v>
      </c>
      <c r="E46" s="18" t="s">
        <v>292</v>
      </c>
      <c r="F46" s="4">
        <v>25</v>
      </c>
      <c r="G46" s="4">
        <v>48</v>
      </c>
      <c r="H46" s="4">
        <v>4</v>
      </c>
      <c r="I46" s="4">
        <v>7</v>
      </c>
      <c r="J46" s="4">
        <v>5</v>
      </c>
      <c r="K46" s="4">
        <v>50</v>
      </c>
      <c r="L46" s="4">
        <v>5</v>
      </c>
      <c r="M46" s="4">
        <v>47</v>
      </c>
      <c r="N46" s="4">
        <v>4</v>
      </c>
      <c r="O46" s="4">
        <v>7</v>
      </c>
      <c r="P46" s="4">
        <v>4</v>
      </c>
      <c r="Q46" s="4">
        <v>45</v>
      </c>
      <c r="R46" s="4">
        <v>47</v>
      </c>
      <c r="S46" s="4">
        <v>4</v>
      </c>
      <c r="T46" s="4">
        <v>7</v>
      </c>
      <c r="U46" s="4">
        <v>5</v>
      </c>
      <c r="V46" s="4" t="s">
        <v>819</v>
      </c>
      <c r="W46" s="4">
        <f t="shared" si="3"/>
        <v>314</v>
      </c>
      <c r="X46" s="16">
        <f t="shared" si="4"/>
        <v>0.89714285714285713</v>
      </c>
      <c r="Y46" s="53">
        <v>0.82</v>
      </c>
      <c r="Z46" s="57">
        <f t="shared" si="2"/>
        <v>5</v>
      </c>
      <c r="AA46" s="54" t="s">
        <v>854</v>
      </c>
    </row>
    <row r="47" spans="1:27" ht="20.100000000000001" customHeight="1" x14ac:dyDescent="0.25">
      <c r="A47" s="18">
        <v>8</v>
      </c>
      <c r="B47" s="13">
        <v>814</v>
      </c>
      <c r="C47" s="20" t="s">
        <v>351</v>
      </c>
      <c r="D47" s="21" t="s">
        <v>352</v>
      </c>
      <c r="E47" s="18" t="s">
        <v>292</v>
      </c>
      <c r="F47" s="4">
        <v>24</v>
      </c>
      <c r="G47" s="4">
        <v>47</v>
      </c>
      <c r="H47" s="4">
        <v>4</v>
      </c>
      <c r="I47" s="4">
        <v>8</v>
      </c>
      <c r="J47" s="4">
        <v>5</v>
      </c>
      <c r="K47" s="4">
        <v>44</v>
      </c>
      <c r="L47" s="4">
        <v>5</v>
      </c>
      <c r="M47" s="4">
        <v>44</v>
      </c>
      <c r="N47" s="4">
        <v>4</v>
      </c>
      <c r="O47" s="4">
        <v>6</v>
      </c>
      <c r="P47" s="4">
        <v>5</v>
      </c>
      <c r="Q47" s="4">
        <v>45</v>
      </c>
      <c r="R47" s="4">
        <v>45</v>
      </c>
      <c r="S47" s="4">
        <v>4</v>
      </c>
      <c r="T47" s="4">
        <v>7</v>
      </c>
      <c r="U47" s="4">
        <v>5</v>
      </c>
      <c r="V47" s="4" t="s">
        <v>821</v>
      </c>
      <c r="W47" s="4">
        <f t="shared" si="3"/>
        <v>302</v>
      </c>
      <c r="X47" s="16">
        <f t="shared" si="4"/>
        <v>0.86285714285714288</v>
      </c>
      <c r="Y47" s="53">
        <v>0.83</v>
      </c>
      <c r="Z47" s="57">
        <f t="shared" si="2"/>
        <v>17</v>
      </c>
      <c r="AA47" s="54" t="s">
        <v>856</v>
      </c>
    </row>
    <row r="48" spans="1:27" ht="20.100000000000001" customHeight="1" x14ac:dyDescent="0.25">
      <c r="A48" s="18">
        <v>9</v>
      </c>
      <c r="B48" s="13">
        <v>817</v>
      </c>
      <c r="C48" s="20" t="s">
        <v>353</v>
      </c>
      <c r="D48" s="21" t="s">
        <v>354</v>
      </c>
      <c r="E48" s="18" t="s">
        <v>292</v>
      </c>
      <c r="F48" s="4">
        <v>23</v>
      </c>
      <c r="G48" s="4">
        <v>47</v>
      </c>
      <c r="H48" s="4">
        <v>5</v>
      </c>
      <c r="I48" s="4">
        <v>10</v>
      </c>
      <c r="J48" s="4">
        <v>5</v>
      </c>
      <c r="K48" s="4">
        <v>42</v>
      </c>
      <c r="L48" s="4">
        <v>5</v>
      </c>
      <c r="M48" s="4">
        <v>46</v>
      </c>
      <c r="N48" s="4">
        <v>5</v>
      </c>
      <c r="O48" s="4">
        <v>9</v>
      </c>
      <c r="P48" s="4">
        <v>5</v>
      </c>
      <c r="Q48" s="4">
        <v>47</v>
      </c>
      <c r="R48" s="4">
        <v>40</v>
      </c>
      <c r="S48" s="4">
        <v>5</v>
      </c>
      <c r="T48" s="4">
        <v>9</v>
      </c>
      <c r="U48" s="4">
        <v>5</v>
      </c>
      <c r="V48" s="4" t="s">
        <v>819</v>
      </c>
      <c r="W48" s="4">
        <f t="shared" si="3"/>
        <v>308</v>
      </c>
      <c r="X48" s="16">
        <f t="shared" si="4"/>
        <v>0.88</v>
      </c>
      <c r="Y48" s="53">
        <v>0.89</v>
      </c>
      <c r="Z48" s="57">
        <f t="shared" si="2"/>
        <v>11</v>
      </c>
      <c r="AA48" s="54" t="s">
        <v>853</v>
      </c>
    </row>
    <row r="49" spans="1:27" ht="20.100000000000001" customHeight="1" x14ac:dyDescent="0.25">
      <c r="A49" s="18">
        <v>10</v>
      </c>
      <c r="B49" s="15">
        <v>807</v>
      </c>
      <c r="C49" s="20" t="s">
        <v>355</v>
      </c>
      <c r="D49" s="21" t="s">
        <v>224</v>
      </c>
      <c r="E49" s="18" t="s">
        <v>292</v>
      </c>
      <c r="F49" s="4">
        <v>19</v>
      </c>
      <c r="G49" s="4">
        <v>50</v>
      </c>
      <c r="H49" s="4">
        <v>4</v>
      </c>
      <c r="I49" s="4">
        <v>10</v>
      </c>
      <c r="J49" s="4">
        <v>5</v>
      </c>
      <c r="K49" s="4">
        <v>35</v>
      </c>
      <c r="L49" s="4">
        <v>5</v>
      </c>
      <c r="M49" s="4">
        <v>48</v>
      </c>
      <c r="N49" s="4">
        <v>5</v>
      </c>
      <c r="O49" s="4">
        <v>7</v>
      </c>
      <c r="P49" s="4">
        <v>4</v>
      </c>
      <c r="Q49" s="4">
        <v>46</v>
      </c>
      <c r="R49" s="4">
        <v>47</v>
      </c>
      <c r="S49" s="4">
        <v>5</v>
      </c>
      <c r="T49" s="4">
        <v>10</v>
      </c>
      <c r="U49" s="4">
        <v>5</v>
      </c>
      <c r="V49" s="4" t="s">
        <v>821</v>
      </c>
      <c r="W49" s="4">
        <f t="shared" si="3"/>
        <v>305</v>
      </c>
      <c r="X49" s="16">
        <f t="shared" si="4"/>
        <v>0.87142857142857144</v>
      </c>
      <c r="Y49" s="53">
        <v>0.84</v>
      </c>
      <c r="Z49" s="57">
        <f t="shared" si="2"/>
        <v>14</v>
      </c>
      <c r="AA49" s="54" t="s">
        <v>853</v>
      </c>
    </row>
    <row r="50" spans="1:27" ht="20.100000000000001" customHeight="1" x14ac:dyDescent="0.25">
      <c r="A50" s="18">
        <v>11</v>
      </c>
      <c r="B50" s="13">
        <v>827</v>
      </c>
      <c r="C50" s="20" t="s">
        <v>356</v>
      </c>
      <c r="D50" s="21" t="s">
        <v>87</v>
      </c>
      <c r="E50" s="18" t="s">
        <v>292</v>
      </c>
      <c r="F50" s="4">
        <v>15</v>
      </c>
      <c r="G50" s="4">
        <v>32</v>
      </c>
      <c r="H50" s="4">
        <v>2</v>
      </c>
      <c r="I50" s="4">
        <v>1</v>
      </c>
      <c r="J50" s="4">
        <v>3</v>
      </c>
      <c r="K50" s="4">
        <v>40</v>
      </c>
      <c r="L50" s="4">
        <v>2</v>
      </c>
      <c r="M50" s="4">
        <v>36</v>
      </c>
      <c r="N50" s="4">
        <v>3</v>
      </c>
      <c r="O50" s="4">
        <v>6</v>
      </c>
      <c r="P50" s="4">
        <v>2</v>
      </c>
      <c r="Q50" s="4">
        <v>40</v>
      </c>
      <c r="R50" s="4">
        <v>37</v>
      </c>
      <c r="S50" s="4">
        <v>3</v>
      </c>
      <c r="T50" s="4">
        <v>6</v>
      </c>
      <c r="U50" s="4">
        <v>5</v>
      </c>
      <c r="V50" s="4" t="s">
        <v>819</v>
      </c>
      <c r="W50" s="4">
        <f t="shared" si="3"/>
        <v>233</v>
      </c>
      <c r="X50" s="16">
        <f t="shared" si="4"/>
        <v>0.6657142857142857</v>
      </c>
      <c r="Y50" s="53">
        <v>0.81</v>
      </c>
      <c r="Z50" s="57">
        <f t="shared" si="2"/>
        <v>46</v>
      </c>
      <c r="AA50" s="54" t="s">
        <v>850</v>
      </c>
    </row>
    <row r="51" spans="1:27" ht="20.100000000000001" customHeight="1" x14ac:dyDescent="0.25">
      <c r="A51" s="18">
        <v>12</v>
      </c>
      <c r="B51" s="13">
        <v>802</v>
      </c>
      <c r="C51" s="20" t="s">
        <v>357</v>
      </c>
      <c r="D51" s="21" t="s">
        <v>185</v>
      </c>
      <c r="E51" s="18" t="s">
        <v>292</v>
      </c>
      <c r="F51" s="4">
        <v>25</v>
      </c>
      <c r="G51" s="4">
        <v>50</v>
      </c>
      <c r="H51" s="4">
        <v>5</v>
      </c>
      <c r="I51" s="4">
        <v>9</v>
      </c>
      <c r="J51" s="4">
        <v>4</v>
      </c>
      <c r="K51" s="4">
        <v>34</v>
      </c>
      <c r="L51" s="4">
        <v>3</v>
      </c>
      <c r="M51" s="4">
        <v>48</v>
      </c>
      <c r="N51" s="4">
        <v>5</v>
      </c>
      <c r="O51" s="4">
        <v>10</v>
      </c>
      <c r="P51" s="4">
        <v>4</v>
      </c>
      <c r="Q51" s="4">
        <v>46</v>
      </c>
      <c r="R51" s="4">
        <v>49</v>
      </c>
      <c r="S51" s="4">
        <v>5</v>
      </c>
      <c r="T51" s="4">
        <v>10</v>
      </c>
      <c r="U51" s="4">
        <v>5</v>
      </c>
      <c r="V51" s="4" t="s">
        <v>819</v>
      </c>
      <c r="W51" s="4">
        <f t="shared" si="3"/>
        <v>312</v>
      </c>
      <c r="X51" s="16">
        <f t="shared" si="4"/>
        <v>0.89142857142857146</v>
      </c>
      <c r="Y51" s="53">
        <v>0.84</v>
      </c>
      <c r="Z51" s="57">
        <f t="shared" si="2"/>
        <v>7</v>
      </c>
      <c r="AA51" s="54" t="s">
        <v>854</v>
      </c>
    </row>
    <row r="52" spans="1:27" ht="20.100000000000001" customHeight="1" x14ac:dyDescent="0.25">
      <c r="A52" s="18">
        <v>13</v>
      </c>
      <c r="B52" s="13"/>
      <c r="C52" s="20" t="s">
        <v>358</v>
      </c>
      <c r="D52" s="21" t="s">
        <v>359</v>
      </c>
      <c r="E52" s="18" t="s">
        <v>292</v>
      </c>
      <c r="F52" s="4">
        <v>25</v>
      </c>
      <c r="G52" s="4">
        <v>41</v>
      </c>
      <c r="H52" s="4">
        <v>3</v>
      </c>
      <c r="I52" s="4">
        <v>7</v>
      </c>
      <c r="J52" s="4">
        <v>5</v>
      </c>
      <c r="K52" s="4">
        <v>34</v>
      </c>
      <c r="L52" s="4">
        <v>3</v>
      </c>
      <c r="M52" s="4">
        <v>40</v>
      </c>
      <c r="N52" s="4">
        <v>4</v>
      </c>
      <c r="O52" s="4">
        <v>5</v>
      </c>
      <c r="P52" s="4">
        <v>4</v>
      </c>
      <c r="Q52" s="4">
        <v>44</v>
      </c>
      <c r="R52" s="4" t="s">
        <v>818</v>
      </c>
      <c r="S52" s="4">
        <v>3</v>
      </c>
      <c r="T52" s="4">
        <v>7</v>
      </c>
      <c r="U52" s="4">
        <v>5</v>
      </c>
      <c r="V52" s="4" t="s">
        <v>820</v>
      </c>
      <c r="W52" s="4">
        <f t="shared" si="3"/>
        <v>230</v>
      </c>
      <c r="X52" s="16">
        <f t="shared" si="4"/>
        <v>0.65714285714285714</v>
      </c>
      <c r="Y52" s="53">
        <v>0.6</v>
      </c>
      <c r="Z52" s="57">
        <f t="shared" si="2"/>
        <v>48</v>
      </c>
      <c r="AA52" s="54" t="s">
        <v>850</v>
      </c>
    </row>
    <row r="53" spans="1:27" ht="20.100000000000001" customHeight="1" x14ac:dyDescent="0.25">
      <c r="A53" s="18">
        <v>14</v>
      </c>
      <c r="B53" s="13">
        <v>836</v>
      </c>
      <c r="C53" s="20" t="s">
        <v>360</v>
      </c>
      <c r="D53" s="21" t="s">
        <v>361</v>
      </c>
      <c r="E53" s="18" t="s">
        <v>292</v>
      </c>
      <c r="F53" s="44">
        <v>18</v>
      </c>
      <c r="G53" s="44">
        <v>49</v>
      </c>
      <c r="H53" s="44">
        <v>5</v>
      </c>
      <c r="I53" s="44">
        <v>8</v>
      </c>
      <c r="J53" s="44">
        <v>4</v>
      </c>
      <c r="K53" s="44">
        <v>44</v>
      </c>
      <c r="L53" s="44">
        <v>5</v>
      </c>
      <c r="M53" s="44">
        <v>46</v>
      </c>
      <c r="N53" s="44">
        <v>5</v>
      </c>
      <c r="O53" s="44">
        <v>10</v>
      </c>
      <c r="P53" s="44">
        <v>5</v>
      </c>
      <c r="Q53" s="44">
        <v>44</v>
      </c>
      <c r="R53" s="44">
        <v>51</v>
      </c>
      <c r="S53" s="44">
        <v>4</v>
      </c>
      <c r="T53" s="44">
        <v>8</v>
      </c>
      <c r="U53" s="44">
        <v>5</v>
      </c>
      <c r="V53" s="44" t="s">
        <v>823</v>
      </c>
      <c r="W53" s="44">
        <f t="shared" si="3"/>
        <v>311</v>
      </c>
      <c r="X53" s="60">
        <f t="shared" si="4"/>
        <v>0.88857142857142857</v>
      </c>
      <c r="Y53" s="62">
        <v>0.61</v>
      </c>
      <c r="Z53" s="57">
        <f t="shared" si="2"/>
        <v>8</v>
      </c>
      <c r="AA53" s="61" t="s">
        <v>854</v>
      </c>
    </row>
    <row r="54" spans="1:27" ht="20.100000000000001" customHeight="1" x14ac:dyDescent="0.25">
      <c r="A54" s="18">
        <v>15</v>
      </c>
      <c r="B54" s="13">
        <v>835</v>
      </c>
      <c r="C54" s="20" t="s">
        <v>362</v>
      </c>
      <c r="D54" s="21" t="s">
        <v>363</v>
      </c>
      <c r="E54" s="18" t="s">
        <v>292</v>
      </c>
      <c r="F54" s="4">
        <v>17</v>
      </c>
      <c r="G54" s="4">
        <v>43</v>
      </c>
      <c r="H54" s="44">
        <v>2</v>
      </c>
      <c r="I54" s="44">
        <v>7</v>
      </c>
      <c r="J54" s="44">
        <v>3</v>
      </c>
      <c r="K54" s="44">
        <v>43</v>
      </c>
      <c r="L54" s="44">
        <v>2</v>
      </c>
      <c r="M54" s="44">
        <v>37</v>
      </c>
      <c r="N54" s="44">
        <v>4</v>
      </c>
      <c r="O54" s="44">
        <v>6</v>
      </c>
      <c r="P54" s="44">
        <v>2</v>
      </c>
      <c r="Q54" s="44">
        <v>44</v>
      </c>
      <c r="R54" s="44">
        <v>29</v>
      </c>
      <c r="S54" s="44">
        <v>3</v>
      </c>
      <c r="T54" s="44">
        <v>7</v>
      </c>
      <c r="U54" s="44">
        <v>5</v>
      </c>
      <c r="V54" s="44" t="s">
        <v>820</v>
      </c>
      <c r="W54" s="44">
        <f t="shared" si="3"/>
        <v>254</v>
      </c>
      <c r="X54" s="60">
        <f t="shared" si="4"/>
        <v>0.72571428571428576</v>
      </c>
      <c r="Y54" s="62">
        <v>0.65</v>
      </c>
      <c r="Z54" s="57">
        <f t="shared" si="2"/>
        <v>39</v>
      </c>
      <c r="AA54" s="61" t="s">
        <v>850</v>
      </c>
    </row>
    <row r="55" spans="1:27" ht="20.100000000000001" customHeight="1" x14ac:dyDescent="0.25">
      <c r="A55" s="18">
        <v>16</v>
      </c>
      <c r="B55" s="13"/>
      <c r="C55" s="20" t="s">
        <v>364</v>
      </c>
      <c r="D55" s="21" t="s">
        <v>365</v>
      </c>
      <c r="E55" s="18" t="s">
        <v>292</v>
      </c>
      <c r="F55" s="4">
        <v>10</v>
      </c>
      <c r="G55" s="4">
        <v>42</v>
      </c>
      <c r="H55" s="44">
        <v>2</v>
      </c>
      <c r="I55" s="44">
        <v>6</v>
      </c>
      <c r="J55" s="44">
        <v>4</v>
      </c>
      <c r="K55" s="44">
        <v>42</v>
      </c>
      <c r="L55" s="44">
        <v>2</v>
      </c>
      <c r="M55" s="44">
        <v>41</v>
      </c>
      <c r="N55" s="44">
        <v>3</v>
      </c>
      <c r="O55" s="44">
        <v>5</v>
      </c>
      <c r="P55" s="44">
        <v>4</v>
      </c>
      <c r="Q55" s="44">
        <v>29</v>
      </c>
      <c r="R55" s="44">
        <v>29</v>
      </c>
      <c r="S55" s="44">
        <v>3</v>
      </c>
      <c r="T55" s="44">
        <v>6</v>
      </c>
      <c r="U55" s="44">
        <v>4</v>
      </c>
      <c r="V55" s="44" t="s">
        <v>819</v>
      </c>
      <c r="W55" s="44">
        <f t="shared" si="3"/>
        <v>232</v>
      </c>
      <c r="X55" s="60">
        <f t="shared" si="4"/>
        <v>0.66285714285714281</v>
      </c>
      <c r="Y55" s="62">
        <v>0.71</v>
      </c>
      <c r="Z55" s="57">
        <f t="shared" si="2"/>
        <v>47</v>
      </c>
      <c r="AA55" s="61" t="s">
        <v>850</v>
      </c>
    </row>
    <row r="56" spans="1:27" ht="20.100000000000001" customHeight="1" x14ac:dyDescent="0.25">
      <c r="A56" s="18">
        <v>17</v>
      </c>
      <c r="B56" s="13">
        <v>892</v>
      </c>
      <c r="C56" s="20" t="s">
        <v>366</v>
      </c>
      <c r="D56" s="21" t="s">
        <v>367</v>
      </c>
      <c r="E56" s="18" t="s">
        <v>292</v>
      </c>
      <c r="F56" s="4">
        <v>12</v>
      </c>
      <c r="G56" s="4">
        <v>40</v>
      </c>
      <c r="H56" s="44">
        <v>2</v>
      </c>
      <c r="I56" s="44">
        <v>5</v>
      </c>
      <c r="J56" s="44">
        <v>3</v>
      </c>
      <c r="K56" s="44">
        <v>38</v>
      </c>
      <c r="L56" s="44">
        <v>3</v>
      </c>
      <c r="M56" s="44">
        <v>39</v>
      </c>
      <c r="N56" s="44">
        <v>2</v>
      </c>
      <c r="O56" s="44">
        <v>5</v>
      </c>
      <c r="P56" s="44">
        <v>2</v>
      </c>
      <c r="Q56" s="44">
        <v>28</v>
      </c>
      <c r="R56" s="44">
        <v>29</v>
      </c>
      <c r="S56" s="44">
        <v>2</v>
      </c>
      <c r="T56" s="44">
        <v>4</v>
      </c>
      <c r="U56" s="44">
        <v>5</v>
      </c>
      <c r="V56" s="44" t="s">
        <v>821</v>
      </c>
      <c r="W56" s="44">
        <f t="shared" si="3"/>
        <v>219</v>
      </c>
      <c r="X56" s="60">
        <f t="shared" si="4"/>
        <v>0.62571428571428567</v>
      </c>
      <c r="Y56" s="62">
        <v>0.73</v>
      </c>
      <c r="Z56" s="57">
        <f t="shared" si="2"/>
        <v>50</v>
      </c>
      <c r="AA56" s="61" t="s">
        <v>850</v>
      </c>
    </row>
    <row r="57" spans="1:27" ht="20.100000000000001" customHeight="1" x14ac:dyDescent="0.25">
      <c r="A57" s="18">
        <v>18</v>
      </c>
      <c r="B57" s="13">
        <v>838</v>
      </c>
      <c r="C57" s="20" t="s">
        <v>368</v>
      </c>
      <c r="D57" s="21" t="s">
        <v>367</v>
      </c>
      <c r="E57" s="18" t="s">
        <v>292</v>
      </c>
      <c r="F57" s="4">
        <v>20</v>
      </c>
      <c r="G57" s="4">
        <v>48</v>
      </c>
      <c r="H57" s="44">
        <v>3</v>
      </c>
      <c r="I57" s="44">
        <v>8</v>
      </c>
      <c r="J57" s="44">
        <v>3</v>
      </c>
      <c r="K57" s="44">
        <v>40</v>
      </c>
      <c r="L57" s="44">
        <v>3</v>
      </c>
      <c r="M57" s="44">
        <v>42</v>
      </c>
      <c r="N57" s="44">
        <v>2</v>
      </c>
      <c r="O57" s="44">
        <v>6</v>
      </c>
      <c r="P57" s="44">
        <v>2</v>
      </c>
      <c r="Q57" s="44">
        <v>39</v>
      </c>
      <c r="R57" s="44">
        <v>41</v>
      </c>
      <c r="S57" s="44">
        <v>3</v>
      </c>
      <c r="T57" s="44">
        <v>7</v>
      </c>
      <c r="U57" s="44">
        <v>5</v>
      </c>
      <c r="V57" s="44" t="s">
        <v>821</v>
      </c>
      <c r="W57" s="44">
        <f t="shared" si="3"/>
        <v>272</v>
      </c>
      <c r="X57" s="60">
        <f t="shared" si="4"/>
        <v>0.77714285714285714</v>
      </c>
      <c r="Y57" s="62">
        <v>0.83</v>
      </c>
      <c r="Z57" s="57">
        <f t="shared" si="2"/>
        <v>31</v>
      </c>
      <c r="AA57" s="61" t="s">
        <v>856</v>
      </c>
    </row>
    <row r="58" spans="1:27" ht="20.100000000000001" customHeight="1" x14ac:dyDescent="0.25">
      <c r="A58" s="18">
        <v>19</v>
      </c>
      <c r="B58" s="13">
        <v>823</v>
      </c>
      <c r="C58" s="20" t="s">
        <v>369</v>
      </c>
      <c r="D58" s="21" t="s">
        <v>370</v>
      </c>
      <c r="E58" s="18" t="s">
        <v>292</v>
      </c>
      <c r="F58" s="4">
        <v>20</v>
      </c>
      <c r="G58" s="4">
        <v>48</v>
      </c>
      <c r="H58" s="44">
        <v>4</v>
      </c>
      <c r="I58" s="44">
        <v>10</v>
      </c>
      <c r="J58" s="44">
        <v>5</v>
      </c>
      <c r="K58" s="44">
        <v>44</v>
      </c>
      <c r="L58" s="44">
        <v>5</v>
      </c>
      <c r="M58" s="44">
        <v>46</v>
      </c>
      <c r="N58" s="44">
        <v>5</v>
      </c>
      <c r="O58" s="44">
        <v>8</v>
      </c>
      <c r="P58" s="44">
        <v>4</v>
      </c>
      <c r="Q58" s="44">
        <v>45</v>
      </c>
      <c r="R58" s="44">
        <v>46</v>
      </c>
      <c r="S58" s="44">
        <v>4</v>
      </c>
      <c r="T58" s="44">
        <v>8</v>
      </c>
      <c r="U58" s="44">
        <v>5</v>
      </c>
      <c r="V58" s="44" t="s">
        <v>820</v>
      </c>
      <c r="W58" s="44">
        <f t="shared" si="3"/>
        <v>307</v>
      </c>
      <c r="X58" s="60">
        <f t="shared" si="4"/>
        <v>0.87714285714285711</v>
      </c>
      <c r="Y58" s="62">
        <v>0.76</v>
      </c>
      <c r="Z58" s="57">
        <f t="shared" si="2"/>
        <v>12</v>
      </c>
      <c r="AA58" s="61" t="s">
        <v>853</v>
      </c>
    </row>
    <row r="59" spans="1:27" ht="20.100000000000001" customHeight="1" x14ac:dyDescent="0.25">
      <c r="A59" s="18">
        <v>20</v>
      </c>
      <c r="B59" s="13">
        <v>793</v>
      </c>
      <c r="C59" s="20" t="s">
        <v>246</v>
      </c>
      <c r="D59" s="21" t="s">
        <v>371</v>
      </c>
      <c r="E59" s="18" t="s">
        <v>292</v>
      </c>
      <c r="F59" s="4">
        <v>23</v>
      </c>
      <c r="G59" s="4">
        <v>49</v>
      </c>
      <c r="H59" s="44">
        <v>5</v>
      </c>
      <c r="I59" s="44">
        <v>10</v>
      </c>
      <c r="J59" s="44">
        <v>5</v>
      </c>
      <c r="K59" s="44">
        <v>50</v>
      </c>
      <c r="L59" s="44">
        <v>5</v>
      </c>
      <c r="M59" s="44">
        <v>46</v>
      </c>
      <c r="N59" s="44">
        <v>5</v>
      </c>
      <c r="O59" s="44">
        <v>10</v>
      </c>
      <c r="P59" s="44">
        <v>3</v>
      </c>
      <c r="Q59" s="44">
        <v>41</v>
      </c>
      <c r="R59" s="44">
        <v>40</v>
      </c>
      <c r="S59" s="44">
        <v>4</v>
      </c>
      <c r="T59" s="44">
        <v>8</v>
      </c>
      <c r="U59" s="44">
        <v>5</v>
      </c>
      <c r="V59" s="44" t="s">
        <v>823</v>
      </c>
      <c r="W59" s="44">
        <f t="shared" si="3"/>
        <v>309</v>
      </c>
      <c r="X59" s="60">
        <f t="shared" si="4"/>
        <v>0.8828571428571429</v>
      </c>
      <c r="Y59" s="62">
        <v>0.95</v>
      </c>
      <c r="Z59" s="57">
        <f t="shared" si="2"/>
        <v>10</v>
      </c>
      <c r="AA59" s="61" t="s">
        <v>853</v>
      </c>
    </row>
    <row r="60" spans="1:27" ht="20.100000000000001" customHeight="1" x14ac:dyDescent="0.25">
      <c r="A60" s="18">
        <v>21</v>
      </c>
      <c r="B60" s="13">
        <v>811</v>
      </c>
      <c r="C60" s="20" t="s">
        <v>246</v>
      </c>
      <c r="D60" s="21" t="s">
        <v>291</v>
      </c>
      <c r="E60" s="18" t="s">
        <v>292</v>
      </c>
      <c r="F60" s="4">
        <v>24</v>
      </c>
      <c r="G60" s="4">
        <v>49</v>
      </c>
      <c r="H60" s="44">
        <v>5</v>
      </c>
      <c r="I60" s="44">
        <v>10</v>
      </c>
      <c r="J60" s="44">
        <v>5</v>
      </c>
      <c r="K60" s="44">
        <v>50</v>
      </c>
      <c r="L60" s="44">
        <v>5</v>
      </c>
      <c r="M60" s="44">
        <v>48</v>
      </c>
      <c r="N60" s="44">
        <v>4</v>
      </c>
      <c r="O60" s="44">
        <v>10</v>
      </c>
      <c r="P60" s="44">
        <v>5</v>
      </c>
      <c r="Q60" s="44">
        <v>48</v>
      </c>
      <c r="R60" s="44">
        <v>54</v>
      </c>
      <c r="S60" s="44">
        <v>5</v>
      </c>
      <c r="T60" s="44">
        <v>10</v>
      </c>
      <c r="U60" s="44">
        <v>5</v>
      </c>
      <c r="V60" s="44" t="s">
        <v>823</v>
      </c>
      <c r="W60" s="44">
        <f t="shared" si="3"/>
        <v>337</v>
      </c>
      <c r="X60" s="60">
        <f t="shared" si="4"/>
        <v>0.96285714285714286</v>
      </c>
      <c r="Y60" s="62">
        <v>0.91</v>
      </c>
      <c r="Z60" s="57">
        <v>1</v>
      </c>
      <c r="AA60" s="61" t="s">
        <v>851</v>
      </c>
    </row>
    <row r="61" spans="1:27" ht="20.100000000000001" customHeight="1" x14ac:dyDescent="0.25">
      <c r="A61" s="18">
        <v>22</v>
      </c>
      <c r="B61" s="13">
        <v>808</v>
      </c>
      <c r="C61" s="20" t="s">
        <v>372</v>
      </c>
      <c r="D61" s="21" t="s">
        <v>373</v>
      </c>
      <c r="E61" s="18" t="s">
        <v>292</v>
      </c>
      <c r="F61" s="4">
        <v>22</v>
      </c>
      <c r="G61" s="4">
        <v>42</v>
      </c>
      <c r="H61" s="44">
        <v>3</v>
      </c>
      <c r="I61" s="44">
        <v>5</v>
      </c>
      <c r="J61" s="44">
        <v>3</v>
      </c>
      <c r="K61" s="44">
        <v>43</v>
      </c>
      <c r="L61" s="44">
        <v>5</v>
      </c>
      <c r="M61" s="44">
        <v>30</v>
      </c>
      <c r="N61" s="44">
        <v>2</v>
      </c>
      <c r="O61" s="44">
        <v>5</v>
      </c>
      <c r="P61" s="44">
        <v>2</v>
      </c>
      <c r="Q61" s="44">
        <v>43</v>
      </c>
      <c r="R61" s="44">
        <v>45</v>
      </c>
      <c r="S61" s="44">
        <v>3</v>
      </c>
      <c r="T61" s="44">
        <v>8</v>
      </c>
      <c r="U61" s="44">
        <v>5</v>
      </c>
      <c r="V61" s="44" t="s">
        <v>819</v>
      </c>
      <c r="W61" s="44">
        <f t="shared" si="3"/>
        <v>266</v>
      </c>
      <c r="X61" s="60">
        <f t="shared" si="4"/>
        <v>0.76</v>
      </c>
      <c r="Y61" s="62">
        <v>0.69</v>
      </c>
      <c r="Z61" s="57">
        <f t="shared" si="2"/>
        <v>34</v>
      </c>
      <c r="AA61" s="61" t="s">
        <v>850</v>
      </c>
    </row>
    <row r="62" spans="1:27" x14ac:dyDescent="0.25">
      <c r="A62" s="18">
        <v>23</v>
      </c>
      <c r="B62" s="13">
        <v>800</v>
      </c>
      <c r="C62" s="20" t="s">
        <v>227</v>
      </c>
      <c r="D62" s="21" t="s">
        <v>374</v>
      </c>
      <c r="E62" s="18" t="s">
        <v>292</v>
      </c>
      <c r="F62" s="4">
        <v>13</v>
      </c>
      <c r="G62" s="4">
        <v>22</v>
      </c>
      <c r="H62" s="44">
        <v>2</v>
      </c>
      <c r="I62" s="44">
        <v>2</v>
      </c>
      <c r="J62" s="44">
        <v>2</v>
      </c>
      <c r="K62" s="44">
        <v>30</v>
      </c>
      <c r="L62" s="44">
        <v>3</v>
      </c>
      <c r="M62" s="44">
        <v>38</v>
      </c>
      <c r="N62" s="44">
        <v>2</v>
      </c>
      <c r="O62" s="44">
        <v>4</v>
      </c>
      <c r="P62" s="44">
        <v>3</v>
      </c>
      <c r="Q62" s="44">
        <v>39</v>
      </c>
      <c r="R62" s="44">
        <v>37</v>
      </c>
      <c r="S62" s="44">
        <v>3</v>
      </c>
      <c r="T62" s="44">
        <v>6</v>
      </c>
      <c r="U62" s="44">
        <v>5</v>
      </c>
      <c r="V62" s="44" t="s">
        <v>821</v>
      </c>
      <c r="W62" s="44">
        <f t="shared" si="3"/>
        <v>211</v>
      </c>
      <c r="X62" s="60">
        <f t="shared" si="4"/>
        <v>0.60285714285714287</v>
      </c>
      <c r="Y62" s="62">
        <v>0.72</v>
      </c>
      <c r="Z62" s="57">
        <f t="shared" si="2"/>
        <v>51</v>
      </c>
      <c r="AA62" s="61" t="s">
        <v>850</v>
      </c>
    </row>
  </sheetData>
  <mergeCells count="16">
    <mergeCell ref="A3:Y3"/>
    <mergeCell ref="A1:Y1"/>
    <mergeCell ref="A2:Y2"/>
    <mergeCell ref="A4:A6"/>
    <mergeCell ref="B4:B6"/>
    <mergeCell ref="C4:C6"/>
    <mergeCell ref="D4:D6"/>
    <mergeCell ref="E4:E6"/>
    <mergeCell ref="F4:V4"/>
    <mergeCell ref="W4:W5"/>
    <mergeCell ref="X4:X5"/>
    <mergeCell ref="Z4:Z6"/>
    <mergeCell ref="AA4:AA6"/>
    <mergeCell ref="A7:AA7"/>
    <mergeCell ref="A39:AA39"/>
    <mergeCell ref="Y4:Y5"/>
  </mergeCells>
  <conditionalFormatting sqref="F1:V1048576">
    <cfRule type="cellIs" dxfId="50" priority="1" operator="equal">
      <formula>"AB"</formula>
    </cfRule>
  </conditionalFormatting>
  <conditionalFormatting sqref="Z1:Z1048576">
    <cfRule type="top10" dxfId="49" priority="5" bottom="1" rank="3"/>
    <cfRule type="duplicateValues" dxfId="48" priority="6"/>
  </conditionalFormatting>
  <pageMargins left="0.25" right="0.25" top="0.75" bottom="0.75" header="0.3" footer="0.3"/>
  <pageSetup paperSize="9" scale="8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55"/>
  <sheetViews>
    <sheetView workbookViewId="0">
      <pane ySplit="6" topLeftCell="A7" activePane="bottomLeft" state="frozen"/>
      <selection pane="bottomLeft" activeCell="F5" sqref="F5:V5"/>
    </sheetView>
  </sheetViews>
  <sheetFormatPr defaultRowHeight="12" x14ac:dyDescent="0.2"/>
  <cols>
    <col min="1" max="1" width="3.7109375" style="1" bestFit="1" customWidth="1"/>
    <col min="2" max="2" width="5" style="1" bestFit="1" customWidth="1"/>
    <col min="3" max="3" width="14.42578125" style="1" bestFit="1" customWidth="1"/>
    <col min="4" max="4" width="19.42578125" style="1" bestFit="1" customWidth="1"/>
    <col min="5" max="23" width="5.7109375" style="1" customWidth="1"/>
    <col min="24" max="24" width="4.85546875" style="1" bestFit="1" customWidth="1"/>
    <col min="25" max="25" width="7.7109375" style="1" customWidth="1"/>
    <col min="26" max="26" width="8.42578125" style="1" customWidth="1"/>
    <col min="27" max="27" width="15.7109375" style="1" bestFit="1" customWidth="1"/>
    <col min="28" max="16384" width="9.140625" style="1"/>
  </cols>
  <sheetData>
    <row r="1" spans="1:27" ht="15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2" spans="1:27" ht="15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</row>
    <row r="3" spans="1:27" ht="15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</row>
    <row r="4" spans="1:27" x14ac:dyDescent="0.2">
      <c r="A4" s="94" t="s">
        <v>2</v>
      </c>
      <c r="B4" s="94" t="s">
        <v>3</v>
      </c>
      <c r="C4" s="94" t="s">
        <v>5</v>
      </c>
      <c r="D4" s="94" t="s">
        <v>6</v>
      </c>
      <c r="E4" s="95" t="s">
        <v>4</v>
      </c>
      <c r="F4" s="124" t="s">
        <v>7</v>
      </c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94" t="s">
        <v>841</v>
      </c>
      <c r="X4" s="95" t="s">
        <v>15</v>
      </c>
      <c r="Y4" s="95" t="s">
        <v>12</v>
      </c>
      <c r="Z4" s="94" t="s">
        <v>798</v>
      </c>
      <c r="AA4" s="94" t="s">
        <v>842</v>
      </c>
    </row>
    <row r="5" spans="1:27" ht="67.5" x14ac:dyDescent="0.2">
      <c r="A5" s="94"/>
      <c r="B5" s="94"/>
      <c r="C5" s="94"/>
      <c r="D5" s="94"/>
      <c r="E5" s="96"/>
      <c r="F5" s="71" t="s">
        <v>8</v>
      </c>
      <c r="G5" s="71" t="s">
        <v>803</v>
      </c>
      <c r="H5" s="71" t="s">
        <v>804</v>
      </c>
      <c r="I5" s="71" t="s">
        <v>805</v>
      </c>
      <c r="J5" s="71" t="s">
        <v>806</v>
      </c>
      <c r="K5" s="71" t="s">
        <v>807</v>
      </c>
      <c r="L5" s="71" t="s">
        <v>872</v>
      </c>
      <c r="M5" s="71" t="s">
        <v>809</v>
      </c>
      <c r="N5" s="71" t="s">
        <v>873</v>
      </c>
      <c r="O5" s="71" t="s">
        <v>811</v>
      </c>
      <c r="P5" s="71" t="s">
        <v>812</v>
      </c>
      <c r="Q5" s="71" t="s">
        <v>837</v>
      </c>
      <c r="R5" s="71" t="s">
        <v>815</v>
      </c>
      <c r="S5" s="71" t="s">
        <v>816</v>
      </c>
      <c r="T5" s="71" t="s">
        <v>839</v>
      </c>
      <c r="U5" s="71" t="s">
        <v>838</v>
      </c>
      <c r="V5" s="71" t="s">
        <v>217</v>
      </c>
      <c r="W5" s="94"/>
      <c r="X5" s="96"/>
      <c r="Y5" s="96"/>
      <c r="Z5" s="94"/>
      <c r="AA5" s="94"/>
    </row>
    <row r="6" spans="1:27" x14ac:dyDescent="0.2">
      <c r="A6" s="94"/>
      <c r="B6" s="94"/>
      <c r="C6" s="94"/>
      <c r="D6" s="94"/>
      <c r="E6" s="97"/>
      <c r="F6" s="70">
        <v>25</v>
      </c>
      <c r="G6" s="70">
        <v>75</v>
      </c>
      <c r="H6" s="70">
        <v>10</v>
      </c>
      <c r="I6" s="70">
        <v>10</v>
      </c>
      <c r="J6" s="70">
        <v>5</v>
      </c>
      <c r="K6" s="70">
        <v>90</v>
      </c>
      <c r="L6" s="70">
        <v>10</v>
      </c>
      <c r="M6" s="70">
        <v>75</v>
      </c>
      <c r="N6" s="70">
        <v>10</v>
      </c>
      <c r="O6" s="70">
        <v>10</v>
      </c>
      <c r="P6" s="70">
        <v>5</v>
      </c>
      <c r="Q6" s="70">
        <v>75</v>
      </c>
      <c r="R6" s="70">
        <v>60</v>
      </c>
      <c r="S6" s="70">
        <v>5</v>
      </c>
      <c r="T6" s="70">
        <v>5</v>
      </c>
      <c r="U6" s="70">
        <v>5</v>
      </c>
      <c r="V6" s="70" t="s">
        <v>289</v>
      </c>
      <c r="W6" s="3">
        <f>SUM(F6:U6)</f>
        <v>475</v>
      </c>
      <c r="X6" s="58">
        <v>1</v>
      </c>
      <c r="Y6" s="3" t="s">
        <v>846</v>
      </c>
      <c r="Z6" s="94"/>
      <c r="AA6" s="94"/>
    </row>
    <row r="7" spans="1:27" s="8" customFormat="1" ht="21" x14ac:dyDescent="0.35">
      <c r="A7" s="125" t="s">
        <v>119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</row>
    <row r="8" spans="1:27" s="8" customFormat="1" ht="24" customHeight="1" x14ac:dyDescent="0.2">
      <c r="A8" s="7">
        <v>1</v>
      </c>
      <c r="B8" s="13">
        <v>772</v>
      </c>
      <c r="C8" s="14" t="s">
        <v>218</v>
      </c>
      <c r="D8" s="69" t="s">
        <v>219</v>
      </c>
      <c r="E8" s="7" t="s">
        <v>220</v>
      </c>
      <c r="F8" s="4">
        <v>20</v>
      </c>
      <c r="G8" s="4">
        <v>66</v>
      </c>
      <c r="H8" s="4">
        <v>7</v>
      </c>
      <c r="I8" s="4">
        <v>1</v>
      </c>
      <c r="J8" s="4">
        <v>1</v>
      </c>
      <c r="K8" s="4">
        <v>70</v>
      </c>
      <c r="L8" s="4">
        <v>7</v>
      </c>
      <c r="M8" s="4">
        <v>59</v>
      </c>
      <c r="N8" s="4">
        <v>3</v>
      </c>
      <c r="O8" s="4">
        <v>2</v>
      </c>
      <c r="P8" s="4">
        <v>1</v>
      </c>
      <c r="Q8" s="4">
        <v>60</v>
      </c>
      <c r="R8" s="4">
        <v>49</v>
      </c>
      <c r="S8" s="4">
        <v>2</v>
      </c>
      <c r="T8" s="4">
        <v>2</v>
      </c>
      <c r="U8" s="4">
        <v>3</v>
      </c>
      <c r="V8" s="4" t="s">
        <v>819</v>
      </c>
      <c r="W8" s="4">
        <f>SUM(F8:V8)</f>
        <v>353</v>
      </c>
      <c r="X8" s="16">
        <f>W8/$W$6</f>
        <v>0.74315789473684213</v>
      </c>
      <c r="Y8" s="16">
        <v>0.74</v>
      </c>
      <c r="Z8" s="4">
        <f>RANK(W8,$W:$W,0)</f>
        <v>20</v>
      </c>
      <c r="AA8" s="4" t="s">
        <v>877</v>
      </c>
    </row>
    <row r="9" spans="1:27" s="8" customFormat="1" ht="24" customHeight="1" x14ac:dyDescent="0.2">
      <c r="A9" s="7">
        <v>2</v>
      </c>
      <c r="B9" s="13">
        <v>673</v>
      </c>
      <c r="C9" s="14" t="s">
        <v>221</v>
      </c>
      <c r="D9" s="69" t="s">
        <v>222</v>
      </c>
      <c r="E9" s="7" t="s">
        <v>220</v>
      </c>
      <c r="F9" s="4">
        <v>20</v>
      </c>
      <c r="G9" s="4">
        <v>33</v>
      </c>
      <c r="H9" s="4">
        <v>6</v>
      </c>
      <c r="I9" s="4">
        <v>1</v>
      </c>
      <c r="J9" s="4">
        <v>5</v>
      </c>
      <c r="K9" s="4">
        <v>40</v>
      </c>
      <c r="L9" s="4">
        <v>6</v>
      </c>
      <c r="M9" s="4">
        <v>30</v>
      </c>
      <c r="N9" s="4">
        <v>2</v>
      </c>
      <c r="O9" s="4">
        <v>2</v>
      </c>
      <c r="P9" s="4">
        <v>5</v>
      </c>
      <c r="Q9" s="4">
        <v>48</v>
      </c>
      <c r="R9" s="4">
        <v>30</v>
      </c>
      <c r="S9" s="4">
        <v>3</v>
      </c>
      <c r="T9" s="4">
        <v>4</v>
      </c>
      <c r="U9" s="4">
        <v>5</v>
      </c>
      <c r="V9" s="4" t="s">
        <v>823</v>
      </c>
      <c r="W9" s="4">
        <f t="shared" ref="W9:W30" si="0">SUM(F9:V9)</f>
        <v>240</v>
      </c>
      <c r="X9" s="16">
        <f t="shared" ref="X9:X30" si="1">W9/$W$6</f>
        <v>0.50526315789473686</v>
      </c>
      <c r="Y9" s="16">
        <v>0.74</v>
      </c>
      <c r="Z9" s="4">
        <f t="shared" ref="Z9:Z55" si="2">RANK(W9,$W:$W,0)</f>
        <v>37</v>
      </c>
      <c r="AA9" s="4" t="s">
        <v>850</v>
      </c>
    </row>
    <row r="10" spans="1:27" s="8" customFormat="1" ht="24" customHeight="1" x14ac:dyDescent="0.2">
      <c r="A10" s="7">
        <v>3</v>
      </c>
      <c r="B10" s="13">
        <v>523</v>
      </c>
      <c r="C10" s="14" t="s">
        <v>223</v>
      </c>
      <c r="D10" s="69" t="s">
        <v>224</v>
      </c>
      <c r="E10" s="7" t="s">
        <v>220</v>
      </c>
      <c r="F10" s="4">
        <v>23</v>
      </c>
      <c r="G10" s="4">
        <v>37</v>
      </c>
      <c r="H10" s="4">
        <v>3</v>
      </c>
      <c r="I10" s="4">
        <v>2</v>
      </c>
      <c r="J10" s="4">
        <v>2</v>
      </c>
      <c r="K10" s="4">
        <v>40</v>
      </c>
      <c r="L10" s="4">
        <v>6</v>
      </c>
      <c r="M10" s="4">
        <v>35</v>
      </c>
      <c r="N10" s="4">
        <v>1</v>
      </c>
      <c r="O10" s="4">
        <v>2</v>
      </c>
      <c r="P10" s="4">
        <v>1</v>
      </c>
      <c r="Q10" s="4" t="s">
        <v>818</v>
      </c>
      <c r="R10" s="4">
        <v>33</v>
      </c>
      <c r="S10" s="4">
        <v>3</v>
      </c>
      <c r="T10" s="4">
        <v>4</v>
      </c>
      <c r="U10" s="4">
        <v>5</v>
      </c>
      <c r="V10" s="4" t="s">
        <v>820</v>
      </c>
      <c r="W10" s="4">
        <f t="shared" si="0"/>
        <v>197</v>
      </c>
      <c r="X10" s="16">
        <f t="shared" si="1"/>
        <v>0.41473684210526318</v>
      </c>
      <c r="Y10" s="16">
        <v>0.84</v>
      </c>
      <c r="Z10" s="4"/>
      <c r="AA10" s="4" t="s">
        <v>878</v>
      </c>
    </row>
    <row r="11" spans="1:27" s="8" customFormat="1" ht="24" customHeight="1" x14ac:dyDescent="0.2">
      <c r="A11" s="7">
        <v>4</v>
      </c>
      <c r="B11" s="13">
        <v>665</v>
      </c>
      <c r="C11" s="14" t="s">
        <v>226</v>
      </c>
      <c r="D11" s="69" t="s">
        <v>24</v>
      </c>
      <c r="E11" s="7" t="s">
        <v>220</v>
      </c>
      <c r="F11" s="4">
        <v>24</v>
      </c>
      <c r="G11" s="4">
        <v>73</v>
      </c>
      <c r="H11" s="4">
        <v>5</v>
      </c>
      <c r="I11" s="4">
        <v>10</v>
      </c>
      <c r="J11" s="4">
        <v>5</v>
      </c>
      <c r="K11" s="4">
        <v>78</v>
      </c>
      <c r="L11" s="4">
        <v>0</v>
      </c>
      <c r="M11" s="4">
        <v>71</v>
      </c>
      <c r="N11" s="4">
        <v>4</v>
      </c>
      <c r="O11" s="4">
        <v>10</v>
      </c>
      <c r="P11" s="4">
        <v>5</v>
      </c>
      <c r="Q11" s="4">
        <v>71</v>
      </c>
      <c r="R11" s="4">
        <v>59</v>
      </c>
      <c r="S11" s="4">
        <v>5</v>
      </c>
      <c r="T11" s="4">
        <v>5</v>
      </c>
      <c r="U11" s="4">
        <v>5</v>
      </c>
      <c r="V11" s="4" t="s">
        <v>823</v>
      </c>
      <c r="W11" s="4">
        <f t="shared" si="0"/>
        <v>430</v>
      </c>
      <c r="X11" s="16">
        <f t="shared" si="1"/>
        <v>0.90526315789473688</v>
      </c>
      <c r="Y11" s="16">
        <v>0.86</v>
      </c>
      <c r="Z11" s="4">
        <f t="shared" si="2"/>
        <v>5</v>
      </c>
      <c r="AA11" s="4" t="s">
        <v>849</v>
      </c>
    </row>
    <row r="12" spans="1:27" s="8" customFormat="1" ht="24" customHeight="1" x14ac:dyDescent="0.2">
      <c r="A12" s="7">
        <v>5</v>
      </c>
      <c r="B12" s="13">
        <v>656</v>
      </c>
      <c r="C12" s="14" t="s">
        <v>227</v>
      </c>
      <c r="D12" s="69" t="s">
        <v>228</v>
      </c>
      <c r="E12" s="7" t="s">
        <v>220</v>
      </c>
      <c r="F12" s="4">
        <v>24</v>
      </c>
      <c r="G12" s="4">
        <v>56</v>
      </c>
      <c r="H12" s="4">
        <v>6</v>
      </c>
      <c r="I12" s="4">
        <v>6</v>
      </c>
      <c r="J12" s="4">
        <v>5</v>
      </c>
      <c r="K12" s="4">
        <v>70</v>
      </c>
      <c r="L12" s="4">
        <v>5</v>
      </c>
      <c r="M12" s="4">
        <v>69</v>
      </c>
      <c r="N12" s="4">
        <v>5</v>
      </c>
      <c r="O12" s="4">
        <v>4</v>
      </c>
      <c r="P12" s="4">
        <v>5</v>
      </c>
      <c r="Q12" s="4">
        <v>69</v>
      </c>
      <c r="R12" s="4">
        <v>50</v>
      </c>
      <c r="S12" s="4">
        <v>5</v>
      </c>
      <c r="T12" s="4">
        <v>5</v>
      </c>
      <c r="U12" s="4">
        <v>5</v>
      </c>
      <c r="V12" s="4" t="s">
        <v>823</v>
      </c>
      <c r="W12" s="4">
        <f t="shared" si="0"/>
        <v>389</v>
      </c>
      <c r="X12" s="16">
        <f t="shared" si="1"/>
        <v>0.81894736842105265</v>
      </c>
      <c r="Y12" s="16">
        <v>0.87</v>
      </c>
      <c r="Z12" s="4">
        <f t="shared" si="2"/>
        <v>11</v>
      </c>
      <c r="AA12" s="4" t="s">
        <v>856</v>
      </c>
    </row>
    <row r="13" spans="1:27" s="8" customFormat="1" ht="24" customHeight="1" x14ac:dyDescent="0.2">
      <c r="A13" s="7">
        <v>6</v>
      </c>
      <c r="B13" s="13">
        <v>679</v>
      </c>
      <c r="C13" s="14" t="s">
        <v>130</v>
      </c>
      <c r="D13" s="69" t="s">
        <v>229</v>
      </c>
      <c r="E13" s="7" t="s">
        <v>220</v>
      </c>
      <c r="F13" s="4">
        <v>24</v>
      </c>
      <c r="G13" s="4">
        <v>40</v>
      </c>
      <c r="H13" s="4">
        <v>4</v>
      </c>
      <c r="I13" s="4">
        <v>5</v>
      </c>
      <c r="J13" s="4">
        <v>5</v>
      </c>
      <c r="K13" s="4">
        <v>50</v>
      </c>
      <c r="L13" s="4">
        <v>4</v>
      </c>
      <c r="M13" s="4">
        <v>47</v>
      </c>
      <c r="N13" s="4">
        <v>4</v>
      </c>
      <c r="O13" s="4">
        <v>6</v>
      </c>
      <c r="P13" s="4">
        <v>5</v>
      </c>
      <c r="Q13" s="4">
        <v>64</v>
      </c>
      <c r="R13" s="4">
        <v>38</v>
      </c>
      <c r="S13" s="4">
        <v>3</v>
      </c>
      <c r="T13" s="4">
        <v>4</v>
      </c>
      <c r="U13" s="4">
        <v>5</v>
      </c>
      <c r="V13" s="4" t="s">
        <v>823</v>
      </c>
      <c r="W13" s="4">
        <f t="shared" si="0"/>
        <v>308</v>
      </c>
      <c r="X13" s="16">
        <f t="shared" si="1"/>
        <v>0.6484210526315789</v>
      </c>
      <c r="Y13" s="16">
        <v>0.99</v>
      </c>
      <c r="Z13" s="4">
        <f t="shared" si="2"/>
        <v>27</v>
      </c>
      <c r="AA13" s="4" t="s">
        <v>856</v>
      </c>
    </row>
    <row r="14" spans="1:27" s="8" customFormat="1" ht="24" customHeight="1" x14ac:dyDescent="0.2">
      <c r="A14" s="7">
        <v>7</v>
      </c>
      <c r="B14" s="13">
        <v>675</v>
      </c>
      <c r="C14" s="14" t="s">
        <v>89</v>
      </c>
      <c r="D14" s="69" t="s">
        <v>48</v>
      </c>
      <c r="E14" s="7" t="s">
        <v>220</v>
      </c>
      <c r="F14" s="4">
        <v>24</v>
      </c>
      <c r="G14" s="4">
        <v>74</v>
      </c>
      <c r="H14" s="4">
        <v>5</v>
      </c>
      <c r="I14" s="4">
        <v>10</v>
      </c>
      <c r="J14" s="4">
        <v>5</v>
      </c>
      <c r="K14" s="4">
        <v>65</v>
      </c>
      <c r="L14" s="4">
        <v>8</v>
      </c>
      <c r="M14" s="4">
        <v>72</v>
      </c>
      <c r="N14" s="4">
        <v>6</v>
      </c>
      <c r="O14" s="4">
        <v>10</v>
      </c>
      <c r="P14" s="4">
        <v>5</v>
      </c>
      <c r="Q14" s="4">
        <v>71</v>
      </c>
      <c r="R14" s="4">
        <v>59</v>
      </c>
      <c r="S14" s="4">
        <v>5</v>
      </c>
      <c r="T14" s="4">
        <v>5</v>
      </c>
      <c r="U14" s="4">
        <v>5</v>
      </c>
      <c r="V14" s="4" t="s">
        <v>823</v>
      </c>
      <c r="W14" s="4">
        <f t="shared" si="0"/>
        <v>429</v>
      </c>
      <c r="X14" s="16">
        <f t="shared" si="1"/>
        <v>0.90315789473684216</v>
      </c>
      <c r="Y14" s="16">
        <v>0.98</v>
      </c>
      <c r="Z14" s="4">
        <f t="shared" si="2"/>
        <v>6</v>
      </c>
      <c r="AA14" s="4" t="s">
        <v>849</v>
      </c>
    </row>
    <row r="15" spans="1:27" s="8" customFormat="1" ht="24" customHeight="1" x14ac:dyDescent="0.2">
      <c r="A15" s="7">
        <v>8</v>
      </c>
      <c r="B15" s="13">
        <v>774</v>
      </c>
      <c r="C15" s="14" t="s">
        <v>230</v>
      </c>
      <c r="D15" s="69" t="s">
        <v>231</v>
      </c>
      <c r="E15" s="7" t="s">
        <v>220</v>
      </c>
      <c r="F15" s="4">
        <v>18</v>
      </c>
      <c r="G15" s="4">
        <v>29</v>
      </c>
      <c r="H15" s="4">
        <v>6</v>
      </c>
      <c r="I15" s="4">
        <v>3</v>
      </c>
      <c r="J15" s="4">
        <v>2</v>
      </c>
      <c r="K15" s="4">
        <v>66</v>
      </c>
      <c r="L15" s="4">
        <v>4</v>
      </c>
      <c r="M15" s="4">
        <v>30</v>
      </c>
      <c r="N15" s="4">
        <v>2</v>
      </c>
      <c r="O15" s="4">
        <v>1</v>
      </c>
      <c r="P15" s="4">
        <v>2</v>
      </c>
      <c r="Q15" s="4">
        <v>49</v>
      </c>
      <c r="R15" s="4">
        <v>35</v>
      </c>
      <c r="S15" s="4">
        <v>3</v>
      </c>
      <c r="T15" s="4">
        <v>3</v>
      </c>
      <c r="U15" s="4">
        <v>5</v>
      </c>
      <c r="V15" s="4" t="s">
        <v>825</v>
      </c>
      <c r="W15" s="4">
        <f t="shared" si="0"/>
        <v>258</v>
      </c>
      <c r="X15" s="16">
        <f t="shared" si="1"/>
        <v>0.54315789473684206</v>
      </c>
      <c r="Y15" s="16">
        <v>0.86</v>
      </c>
      <c r="Z15" s="4">
        <f t="shared" si="2"/>
        <v>31</v>
      </c>
      <c r="AA15" s="4" t="s">
        <v>850</v>
      </c>
    </row>
    <row r="16" spans="1:27" s="8" customFormat="1" ht="24" customHeight="1" x14ac:dyDescent="0.2">
      <c r="A16" s="7">
        <v>9</v>
      </c>
      <c r="B16" s="13">
        <v>655</v>
      </c>
      <c r="C16" s="14" t="s">
        <v>232</v>
      </c>
      <c r="D16" s="69" t="s">
        <v>20</v>
      </c>
      <c r="E16" s="7" t="s">
        <v>220</v>
      </c>
      <c r="F16" s="4">
        <v>24</v>
      </c>
      <c r="G16" s="4">
        <v>60</v>
      </c>
      <c r="H16" s="4">
        <v>7</v>
      </c>
      <c r="I16" s="4">
        <v>10</v>
      </c>
      <c r="J16" s="4">
        <v>5</v>
      </c>
      <c r="K16" s="4">
        <v>81</v>
      </c>
      <c r="L16" s="4">
        <v>7</v>
      </c>
      <c r="M16" s="4">
        <v>37</v>
      </c>
      <c r="N16" s="4">
        <v>3</v>
      </c>
      <c r="O16" s="4">
        <v>9</v>
      </c>
      <c r="P16" s="4">
        <v>5</v>
      </c>
      <c r="Q16" s="4">
        <v>67</v>
      </c>
      <c r="R16" s="4">
        <v>58</v>
      </c>
      <c r="S16" s="4">
        <v>5</v>
      </c>
      <c r="T16" s="4">
        <v>3</v>
      </c>
      <c r="U16" s="4">
        <v>5</v>
      </c>
      <c r="V16" s="4" t="s">
        <v>823</v>
      </c>
      <c r="W16" s="4">
        <f t="shared" si="0"/>
        <v>386</v>
      </c>
      <c r="X16" s="16">
        <f t="shared" si="1"/>
        <v>0.81263157894736837</v>
      </c>
      <c r="Y16" s="16">
        <v>0.9</v>
      </c>
      <c r="Z16" s="4">
        <f t="shared" si="2"/>
        <v>14</v>
      </c>
      <c r="AA16" s="4" t="s">
        <v>856</v>
      </c>
    </row>
    <row r="17" spans="1:27" s="8" customFormat="1" ht="24" customHeight="1" x14ac:dyDescent="0.2">
      <c r="A17" s="7">
        <v>10</v>
      </c>
      <c r="B17" s="13">
        <v>657</v>
      </c>
      <c r="C17" s="14" t="s">
        <v>23</v>
      </c>
      <c r="D17" s="69" t="s">
        <v>233</v>
      </c>
      <c r="E17" s="7" t="s">
        <v>220</v>
      </c>
      <c r="F17" s="4">
        <v>10</v>
      </c>
      <c r="G17" s="4">
        <v>38</v>
      </c>
      <c r="H17" s="4">
        <v>2</v>
      </c>
      <c r="I17" s="4">
        <v>1</v>
      </c>
      <c r="J17" s="4">
        <v>2</v>
      </c>
      <c r="K17" s="4">
        <v>40</v>
      </c>
      <c r="L17" s="4">
        <v>2</v>
      </c>
      <c r="M17" s="4">
        <v>30</v>
      </c>
      <c r="N17" s="4">
        <v>5</v>
      </c>
      <c r="O17" s="4">
        <v>1</v>
      </c>
      <c r="P17" s="4">
        <v>1</v>
      </c>
      <c r="Q17" s="4">
        <v>40</v>
      </c>
      <c r="R17" s="4">
        <v>29</v>
      </c>
      <c r="S17" s="4">
        <v>1</v>
      </c>
      <c r="T17" s="4">
        <v>3</v>
      </c>
      <c r="U17" s="4">
        <v>5</v>
      </c>
      <c r="V17" s="4" t="s">
        <v>821</v>
      </c>
      <c r="W17" s="4">
        <f t="shared" si="0"/>
        <v>210</v>
      </c>
      <c r="X17" s="16">
        <f t="shared" si="1"/>
        <v>0.44210526315789472</v>
      </c>
      <c r="Y17" s="16">
        <v>0.97</v>
      </c>
      <c r="Z17" s="4">
        <f t="shared" si="2"/>
        <v>45</v>
      </c>
      <c r="AA17" s="4" t="s">
        <v>850</v>
      </c>
    </row>
    <row r="18" spans="1:27" s="8" customFormat="1" ht="24" customHeight="1" x14ac:dyDescent="0.2">
      <c r="A18" s="7">
        <v>11</v>
      </c>
      <c r="B18" s="13">
        <v>672</v>
      </c>
      <c r="C18" s="14" t="s">
        <v>234</v>
      </c>
      <c r="D18" s="69" t="s">
        <v>235</v>
      </c>
      <c r="E18" s="7" t="s">
        <v>220</v>
      </c>
      <c r="F18" s="4">
        <v>24</v>
      </c>
      <c r="G18" s="4">
        <v>56</v>
      </c>
      <c r="H18" s="4">
        <v>8</v>
      </c>
      <c r="I18" s="4">
        <v>3</v>
      </c>
      <c r="J18" s="4">
        <v>2</v>
      </c>
      <c r="K18" s="4">
        <v>76</v>
      </c>
      <c r="L18" s="4">
        <v>6</v>
      </c>
      <c r="M18" s="4">
        <v>66</v>
      </c>
      <c r="N18" s="4">
        <v>6</v>
      </c>
      <c r="O18" s="4">
        <v>10</v>
      </c>
      <c r="P18" s="4">
        <v>5</v>
      </c>
      <c r="Q18" s="4">
        <v>67</v>
      </c>
      <c r="R18" s="4">
        <v>46</v>
      </c>
      <c r="S18" s="4">
        <v>5</v>
      </c>
      <c r="T18" s="4">
        <v>5</v>
      </c>
      <c r="U18" s="4">
        <v>5</v>
      </c>
      <c r="V18" s="4" t="s">
        <v>819</v>
      </c>
      <c r="W18" s="4">
        <f t="shared" si="0"/>
        <v>390</v>
      </c>
      <c r="X18" s="16">
        <f t="shared" si="1"/>
        <v>0.82105263157894737</v>
      </c>
      <c r="Y18" s="16">
        <v>0.75</v>
      </c>
      <c r="Z18" s="4">
        <f t="shared" si="2"/>
        <v>10</v>
      </c>
      <c r="AA18" s="4" t="s">
        <v>849</v>
      </c>
    </row>
    <row r="19" spans="1:27" s="8" customFormat="1" ht="24" customHeight="1" x14ac:dyDescent="0.2">
      <c r="A19" s="7">
        <v>12</v>
      </c>
      <c r="B19" s="13">
        <v>702</v>
      </c>
      <c r="C19" s="14" t="s">
        <v>236</v>
      </c>
      <c r="D19" s="69" t="s">
        <v>72</v>
      </c>
      <c r="E19" s="7" t="s">
        <v>220</v>
      </c>
      <c r="F19" s="4">
        <v>24</v>
      </c>
      <c r="G19" s="4">
        <v>48</v>
      </c>
      <c r="H19" s="4">
        <v>7</v>
      </c>
      <c r="I19" s="4">
        <v>4</v>
      </c>
      <c r="J19" s="4">
        <v>5</v>
      </c>
      <c r="K19" s="4">
        <v>68</v>
      </c>
      <c r="L19" s="4">
        <v>8</v>
      </c>
      <c r="M19" s="4">
        <v>62</v>
      </c>
      <c r="N19" s="4">
        <v>6</v>
      </c>
      <c r="O19" s="4">
        <v>5</v>
      </c>
      <c r="P19" s="4">
        <v>3</v>
      </c>
      <c r="Q19" s="4">
        <v>61</v>
      </c>
      <c r="R19" s="4">
        <v>46</v>
      </c>
      <c r="S19" s="4">
        <v>3</v>
      </c>
      <c r="T19" s="4">
        <v>4</v>
      </c>
      <c r="U19" s="4">
        <v>5</v>
      </c>
      <c r="V19" s="4" t="s">
        <v>819</v>
      </c>
      <c r="W19" s="4">
        <f t="shared" si="0"/>
        <v>359</v>
      </c>
      <c r="X19" s="16">
        <f t="shared" si="1"/>
        <v>0.75578947368421057</v>
      </c>
      <c r="Y19" s="16">
        <v>0.77</v>
      </c>
      <c r="Z19" s="4">
        <f t="shared" si="2"/>
        <v>16</v>
      </c>
      <c r="AA19" s="4" t="s">
        <v>849</v>
      </c>
    </row>
    <row r="20" spans="1:27" s="8" customFormat="1" ht="24" customHeight="1" x14ac:dyDescent="0.2">
      <c r="A20" s="7">
        <v>13</v>
      </c>
      <c r="B20" s="13">
        <v>659</v>
      </c>
      <c r="C20" s="14" t="s">
        <v>237</v>
      </c>
      <c r="D20" s="69" t="s">
        <v>238</v>
      </c>
      <c r="E20" s="7" t="s">
        <v>220</v>
      </c>
      <c r="F20" s="4">
        <v>23</v>
      </c>
      <c r="G20" s="4">
        <v>55</v>
      </c>
      <c r="H20" s="4">
        <v>7</v>
      </c>
      <c r="I20" s="4">
        <v>5</v>
      </c>
      <c r="J20" s="4">
        <v>5</v>
      </c>
      <c r="K20" s="4">
        <v>70</v>
      </c>
      <c r="L20" s="4">
        <v>4</v>
      </c>
      <c r="M20" s="4">
        <v>67</v>
      </c>
      <c r="N20" s="4">
        <v>7</v>
      </c>
      <c r="O20" s="4">
        <v>5</v>
      </c>
      <c r="P20" s="4">
        <v>4</v>
      </c>
      <c r="Q20" s="4">
        <v>63</v>
      </c>
      <c r="R20" s="4">
        <v>57</v>
      </c>
      <c r="S20" s="4">
        <v>5</v>
      </c>
      <c r="T20" s="4">
        <v>5</v>
      </c>
      <c r="U20" s="4">
        <v>5</v>
      </c>
      <c r="V20" s="4" t="s">
        <v>819</v>
      </c>
      <c r="W20" s="4">
        <f t="shared" si="0"/>
        <v>387</v>
      </c>
      <c r="X20" s="16">
        <f t="shared" si="1"/>
        <v>0.8147368421052632</v>
      </c>
      <c r="Y20" s="16">
        <v>0.94</v>
      </c>
      <c r="Z20" s="4">
        <f t="shared" si="2"/>
        <v>13</v>
      </c>
      <c r="AA20" s="4" t="s">
        <v>849</v>
      </c>
    </row>
    <row r="21" spans="1:27" s="8" customFormat="1" ht="24" customHeight="1" x14ac:dyDescent="0.2">
      <c r="A21" s="7">
        <v>14</v>
      </c>
      <c r="B21" s="13">
        <v>661</v>
      </c>
      <c r="C21" s="14" t="s">
        <v>239</v>
      </c>
      <c r="D21" s="69" t="s">
        <v>240</v>
      </c>
      <c r="E21" s="7" t="s">
        <v>220</v>
      </c>
      <c r="F21" s="4">
        <v>22</v>
      </c>
      <c r="G21" s="4">
        <v>73</v>
      </c>
      <c r="H21" s="4">
        <v>8</v>
      </c>
      <c r="I21" s="4">
        <v>10</v>
      </c>
      <c r="J21" s="4">
        <v>5</v>
      </c>
      <c r="K21" s="4">
        <v>80</v>
      </c>
      <c r="L21" s="4">
        <v>4</v>
      </c>
      <c r="M21" s="4">
        <v>70</v>
      </c>
      <c r="N21" s="4">
        <v>8</v>
      </c>
      <c r="O21" s="4">
        <v>10</v>
      </c>
      <c r="P21" s="4">
        <v>5</v>
      </c>
      <c r="Q21" s="4">
        <v>71</v>
      </c>
      <c r="R21" s="4">
        <v>57</v>
      </c>
      <c r="S21" s="4">
        <v>5</v>
      </c>
      <c r="T21" s="4">
        <v>5</v>
      </c>
      <c r="U21" s="4">
        <v>5</v>
      </c>
      <c r="V21" s="4" t="s">
        <v>823</v>
      </c>
      <c r="W21" s="4">
        <f t="shared" si="0"/>
        <v>438</v>
      </c>
      <c r="X21" s="16">
        <f t="shared" si="1"/>
        <v>0.92210526315789476</v>
      </c>
      <c r="Y21" s="16">
        <v>0.94</v>
      </c>
      <c r="Z21" s="4">
        <v>3</v>
      </c>
      <c r="AA21" s="4" t="s">
        <v>854</v>
      </c>
    </row>
    <row r="22" spans="1:27" s="8" customFormat="1" ht="24" customHeight="1" x14ac:dyDescent="0.2">
      <c r="A22" s="7">
        <v>15</v>
      </c>
      <c r="B22" s="13">
        <v>522</v>
      </c>
      <c r="C22" s="14" t="s">
        <v>241</v>
      </c>
      <c r="D22" s="69" t="s">
        <v>242</v>
      </c>
      <c r="E22" s="7" t="s">
        <v>220</v>
      </c>
      <c r="F22" s="4">
        <v>24</v>
      </c>
      <c r="G22" s="4">
        <v>35</v>
      </c>
      <c r="H22" s="4">
        <v>5</v>
      </c>
      <c r="I22" s="4">
        <v>4</v>
      </c>
      <c r="J22" s="4">
        <v>5</v>
      </c>
      <c r="K22" s="4">
        <v>34</v>
      </c>
      <c r="L22" s="4">
        <v>4</v>
      </c>
      <c r="M22" s="4">
        <v>33</v>
      </c>
      <c r="N22" s="4">
        <v>5</v>
      </c>
      <c r="O22" s="4">
        <v>3</v>
      </c>
      <c r="P22" s="4">
        <v>5</v>
      </c>
      <c r="Q22" s="4">
        <v>56</v>
      </c>
      <c r="R22" s="4">
        <v>36</v>
      </c>
      <c r="S22" s="4">
        <v>2</v>
      </c>
      <c r="T22" s="4">
        <v>3</v>
      </c>
      <c r="U22" s="4">
        <v>5</v>
      </c>
      <c r="V22" s="4" t="s">
        <v>823</v>
      </c>
      <c r="W22" s="4">
        <f t="shared" si="0"/>
        <v>259</v>
      </c>
      <c r="X22" s="16">
        <f t="shared" si="1"/>
        <v>0.54526315789473689</v>
      </c>
      <c r="Y22" s="16">
        <v>0.91</v>
      </c>
      <c r="Z22" s="4">
        <f t="shared" si="2"/>
        <v>30</v>
      </c>
      <c r="AA22" s="4" t="s">
        <v>877</v>
      </c>
    </row>
    <row r="23" spans="1:27" s="8" customFormat="1" ht="24" customHeight="1" x14ac:dyDescent="0.2">
      <c r="A23" s="7">
        <v>16</v>
      </c>
      <c r="B23" s="13">
        <v>676</v>
      </c>
      <c r="C23" s="14" t="s">
        <v>243</v>
      </c>
      <c r="D23" s="69" t="s">
        <v>131</v>
      </c>
      <c r="E23" s="7" t="s">
        <v>220</v>
      </c>
      <c r="F23" s="4">
        <v>23</v>
      </c>
      <c r="G23" s="4">
        <v>43</v>
      </c>
      <c r="H23" s="4">
        <v>7</v>
      </c>
      <c r="I23" s="4">
        <v>6</v>
      </c>
      <c r="J23" s="4">
        <v>5</v>
      </c>
      <c r="K23" s="4">
        <v>87</v>
      </c>
      <c r="L23" s="4">
        <v>7</v>
      </c>
      <c r="M23" s="4">
        <v>52</v>
      </c>
      <c r="N23" s="4">
        <v>4</v>
      </c>
      <c r="O23" s="4">
        <v>3</v>
      </c>
      <c r="P23" s="4">
        <v>5</v>
      </c>
      <c r="Q23" s="4">
        <v>64</v>
      </c>
      <c r="R23" s="4">
        <v>38</v>
      </c>
      <c r="S23" s="4">
        <v>3</v>
      </c>
      <c r="T23" s="4">
        <v>5</v>
      </c>
      <c r="U23" s="4">
        <v>5</v>
      </c>
      <c r="V23" s="4" t="s">
        <v>823</v>
      </c>
      <c r="W23" s="4">
        <f t="shared" si="0"/>
        <v>357</v>
      </c>
      <c r="X23" s="16">
        <f t="shared" si="1"/>
        <v>0.75157894736842101</v>
      </c>
      <c r="Y23" s="16">
        <v>0.82</v>
      </c>
      <c r="Z23" s="4">
        <f t="shared" si="2"/>
        <v>18</v>
      </c>
      <c r="AA23" s="4" t="s">
        <v>856</v>
      </c>
    </row>
    <row r="24" spans="1:27" s="8" customFormat="1" ht="24" customHeight="1" x14ac:dyDescent="0.2">
      <c r="A24" s="7">
        <v>17</v>
      </c>
      <c r="B24" s="13">
        <v>654</v>
      </c>
      <c r="C24" s="14" t="s">
        <v>244</v>
      </c>
      <c r="D24" s="69" t="s">
        <v>127</v>
      </c>
      <c r="E24" s="7" t="s">
        <v>220</v>
      </c>
      <c r="F24" s="4">
        <v>24</v>
      </c>
      <c r="G24" s="4">
        <v>73</v>
      </c>
      <c r="H24" s="4">
        <v>8</v>
      </c>
      <c r="I24" s="4">
        <v>10</v>
      </c>
      <c r="J24" s="4">
        <v>5</v>
      </c>
      <c r="K24" s="4">
        <v>90</v>
      </c>
      <c r="L24" s="4">
        <v>7</v>
      </c>
      <c r="M24" s="4">
        <v>72</v>
      </c>
      <c r="N24" s="4">
        <v>8</v>
      </c>
      <c r="O24" s="4">
        <v>10</v>
      </c>
      <c r="P24" s="4">
        <v>5</v>
      </c>
      <c r="Q24" s="4">
        <v>71</v>
      </c>
      <c r="R24" s="4">
        <v>59</v>
      </c>
      <c r="S24" s="4">
        <v>5</v>
      </c>
      <c r="T24" s="4">
        <v>5</v>
      </c>
      <c r="U24" s="4">
        <v>5</v>
      </c>
      <c r="V24" s="4" t="s">
        <v>823</v>
      </c>
      <c r="W24" s="4">
        <f t="shared" si="0"/>
        <v>457</v>
      </c>
      <c r="X24" s="16">
        <f t="shared" si="1"/>
        <v>0.96210526315789469</v>
      </c>
      <c r="Y24" s="16">
        <v>0.8</v>
      </c>
      <c r="Z24" s="4">
        <v>1</v>
      </c>
      <c r="AA24" s="4" t="s">
        <v>854</v>
      </c>
    </row>
    <row r="25" spans="1:27" s="8" customFormat="1" ht="24" customHeight="1" x14ac:dyDescent="0.2">
      <c r="A25" s="7">
        <v>18</v>
      </c>
      <c r="B25" s="13">
        <v>658</v>
      </c>
      <c r="C25" s="14" t="s">
        <v>245</v>
      </c>
      <c r="D25" s="69" t="s">
        <v>129</v>
      </c>
      <c r="E25" s="7" t="s">
        <v>220</v>
      </c>
      <c r="F25" s="4">
        <v>24</v>
      </c>
      <c r="G25" s="4">
        <v>48</v>
      </c>
      <c r="H25" s="4">
        <v>7</v>
      </c>
      <c r="I25" s="4">
        <v>9</v>
      </c>
      <c r="J25" s="4">
        <v>5</v>
      </c>
      <c r="K25" s="4">
        <v>50</v>
      </c>
      <c r="L25" s="4">
        <v>7</v>
      </c>
      <c r="M25" s="4">
        <v>50</v>
      </c>
      <c r="N25" s="4">
        <v>5</v>
      </c>
      <c r="O25" s="4">
        <v>2</v>
      </c>
      <c r="P25" s="4">
        <v>1</v>
      </c>
      <c r="Q25" s="4">
        <v>63</v>
      </c>
      <c r="R25" s="4">
        <v>43</v>
      </c>
      <c r="S25" s="4">
        <v>1</v>
      </c>
      <c r="T25" s="4">
        <v>3</v>
      </c>
      <c r="U25" s="4">
        <v>5</v>
      </c>
      <c r="V25" s="4" t="s">
        <v>823</v>
      </c>
      <c r="W25" s="4">
        <f t="shared" si="0"/>
        <v>323</v>
      </c>
      <c r="X25" s="16">
        <f t="shared" si="1"/>
        <v>0.68</v>
      </c>
      <c r="Y25" s="16">
        <v>0.89</v>
      </c>
      <c r="Z25" s="4">
        <f t="shared" si="2"/>
        <v>25</v>
      </c>
      <c r="AA25" s="4" t="s">
        <v>856</v>
      </c>
    </row>
    <row r="26" spans="1:27" s="8" customFormat="1" ht="24" customHeight="1" x14ac:dyDescent="0.2">
      <c r="A26" s="7">
        <v>19</v>
      </c>
      <c r="B26" s="13">
        <v>785</v>
      </c>
      <c r="C26" s="14" t="s">
        <v>246</v>
      </c>
      <c r="D26" s="69" t="s">
        <v>175</v>
      </c>
      <c r="E26" s="7" t="s">
        <v>220</v>
      </c>
      <c r="F26" s="4">
        <v>15</v>
      </c>
      <c r="G26" s="4">
        <v>53</v>
      </c>
      <c r="H26" s="4">
        <v>7</v>
      </c>
      <c r="I26" s="4">
        <v>9</v>
      </c>
      <c r="J26" s="4">
        <v>5</v>
      </c>
      <c r="K26" s="4">
        <v>66</v>
      </c>
      <c r="L26" s="4">
        <v>5</v>
      </c>
      <c r="M26" s="4">
        <v>47</v>
      </c>
      <c r="N26" s="4">
        <v>4</v>
      </c>
      <c r="O26" s="4">
        <v>10</v>
      </c>
      <c r="P26" s="4">
        <v>5</v>
      </c>
      <c r="Q26" s="4">
        <v>63</v>
      </c>
      <c r="R26" s="4">
        <v>37</v>
      </c>
      <c r="S26" s="4">
        <v>3</v>
      </c>
      <c r="T26" s="4">
        <v>4</v>
      </c>
      <c r="U26" s="4">
        <v>5</v>
      </c>
      <c r="V26" s="4" t="s">
        <v>823</v>
      </c>
      <c r="W26" s="4">
        <f t="shared" si="0"/>
        <v>338</v>
      </c>
      <c r="X26" s="16">
        <f t="shared" si="1"/>
        <v>0.71157894736842109</v>
      </c>
      <c r="Y26" s="16">
        <v>0.99</v>
      </c>
      <c r="Z26" s="4">
        <f t="shared" si="2"/>
        <v>23</v>
      </c>
      <c r="AA26" s="4" t="s">
        <v>856</v>
      </c>
    </row>
    <row r="27" spans="1:27" s="8" customFormat="1" ht="24" customHeight="1" x14ac:dyDescent="0.2">
      <c r="A27" s="7">
        <v>20</v>
      </c>
      <c r="B27" s="13">
        <v>653</v>
      </c>
      <c r="C27" s="14" t="s">
        <v>247</v>
      </c>
      <c r="D27" s="69" t="s">
        <v>248</v>
      </c>
      <c r="E27" s="7" t="s">
        <v>220</v>
      </c>
      <c r="F27" s="4">
        <v>24</v>
      </c>
      <c r="G27" s="4">
        <v>35</v>
      </c>
      <c r="H27" s="4">
        <v>7</v>
      </c>
      <c r="I27" s="4">
        <v>1</v>
      </c>
      <c r="J27" s="4">
        <v>5</v>
      </c>
      <c r="K27" s="4">
        <v>59</v>
      </c>
      <c r="L27" s="4">
        <v>6</v>
      </c>
      <c r="M27" s="4">
        <v>48</v>
      </c>
      <c r="N27" s="4">
        <v>4</v>
      </c>
      <c r="O27" s="4">
        <v>3</v>
      </c>
      <c r="P27" s="4">
        <v>5</v>
      </c>
      <c r="Q27" s="4">
        <v>63</v>
      </c>
      <c r="R27" s="4">
        <v>35</v>
      </c>
      <c r="S27" s="4">
        <v>4</v>
      </c>
      <c r="T27" s="4">
        <v>3</v>
      </c>
      <c r="U27" s="4">
        <v>5</v>
      </c>
      <c r="V27" s="4" t="s">
        <v>823</v>
      </c>
      <c r="W27" s="4">
        <f t="shared" si="0"/>
        <v>307</v>
      </c>
      <c r="X27" s="16">
        <f t="shared" si="1"/>
        <v>0.64631578947368418</v>
      </c>
      <c r="Y27" s="16">
        <v>0.96</v>
      </c>
      <c r="Z27" s="4">
        <f t="shared" si="2"/>
        <v>28</v>
      </c>
      <c r="AA27" s="4" t="s">
        <v>877</v>
      </c>
    </row>
    <row r="28" spans="1:27" s="8" customFormat="1" ht="24" customHeight="1" x14ac:dyDescent="0.2">
      <c r="A28" s="7">
        <v>21</v>
      </c>
      <c r="B28" s="13">
        <v>660</v>
      </c>
      <c r="C28" s="14" t="s">
        <v>249</v>
      </c>
      <c r="D28" s="69" t="s">
        <v>250</v>
      </c>
      <c r="E28" s="7" t="s">
        <v>220</v>
      </c>
      <c r="F28" s="4">
        <v>20</v>
      </c>
      <c r="G28" s="4">
        <v>43</v>
      </c>
      <c r="H28" s="4">
        <v>7</v>
      </c>
      <c r="I28" s="4">
        <v>10</v>
      </c>
      <c r="J28" s="4">
        <v>5</v>
      </c>
      <c r="K28" s="4">
        <v>70</v>
      </c>
      <c r="L28" s="4">
        <v>5</v>
      </c>
      <c r="M28" s="4">
        <v>47</v>
      </c>
      <c r="N28" s="4">
        <v>2</v>
      </c>
      <c r="O28" s="4">
        <v>10</v>
      </c>
      <c r="P28" s="4">
        <v>4</v>
      </c>
      <c r="Q28" s="4">
        <v>55</v>
      </c>
      <c r="R28" s="4">
        <v>33</v>
      </c>
      <c r="S28" s="4">
        <v>3</v>
      </c>
      <c r="T28" s="4">
        <v>3</v>
      </c>
      <c r="U28" s="4">
        <v>5</v>
      </c>
      <c r="V28" s="4" t="s">
        <v>823</v>
      </c>
      <c r="W28" s="4">
        <f t="shared" si="0"/>
        <v>322</v>
      </c>
      <c r="X28" s="16">
        <f t="shared" si="1"/>
        <v>0.67789473684210522</v>
      </c>
      <c r="Y28" s="16">
        <v>0.78</v>
      </c>
      <c r="Z28" s="4">
        <f t="shared" si="2"/>
        <v>26</v>
      </c>
      <c r="AA28" s="4" t="s">
        <v>850</v>
      </c>
    </row>
    <row r="29" spans="1:27" s="8" customFormat="1" ht="24" customHeight="1" x14ac:dyDescent="0.2">
      <c r="A29" s="7">
        <v>22</v>
      </c>
      <c r="B29" s="13">
        <v>841</v>
      </c>
      <c r="C29" s="14" t="s">
        <v>251</v>
      </c>
      <c r="D29" s="69" t="s">
        <v>252</v>
      </c>
      <c r="E29" s="7" t="s">
        <v>220</v>
      </c>
      <c r="F29" s="4">
        <v>10</v>
      </c>
      <c r="G29" s="4">
        <v>22</v>
      </c>
      <c r="H29" s="4">
        <v>2</v>
      </c>
      <c r="I29" s="4">
        <v>3</v>
      </c>
      <c r="J29" s="4">
        <v>5</v>
      </c>
      <c r="K29" s="4">
        <v>33</v>
      </c>
      <c r="L29" s="4">
        <v>1</v>
      </c>
      <c r="M29" s="4">
        <v>26</v>
      </c>
      <c r="N29" s="4">
        <v>3</v>
      </c>
      <c r="O29" s="4">
        <v>1</v>
      </c>
      <c r="P29" s="4">
        <v>1</v>
      </c>
      <c r="Q29" s="4">
        <v>41</v>
      </c>
      <c r="R29" s="4">
        <v>29</v>
      </c>
      <c r="S29" s="4">
        <v>3</v>
      </c>
      <c r="T29" s="4">
        <v>3</v>
      </c>
      <c r="U29" s="4">
        <v>5</v>
      </c>
      <c r="V29" s="4" t="s">
        <v>821</v>
      </c>
      <c r="W29" s="4">
        <f t="shared" si="0"/>
        <v>188</v>
      </c>
      <c r="X29" s="16">
        <f t="shared" si="1"/>
        <v>0.39578947368421052</v>
      </c>
      <c r="Y29" s="16">
        <v>0.7</v>
      </c>
      <c r="Z29" s="4">
        <f t="shared" si="2"/>
        <v>47</v>
      </c>
      <c r="AA29" s="4" t="s">
        <v>850</v>
      </c>
    </row>
    <row r="30" spans="1:27" s="8" customFormat="1" ht="24" customHeight="1" x14ac:dyDescent="0.2">
      <c r="A30" s="7">
        <v>23</v>
      </c>
      <c r="B30" s="13">
        <v>910</v>
      </c>
      <c r="C30" s="14" t="s">
        <v>227</v>
      </c>
      <c r="D30" s="69" t="s">
        <v>253</v>
      </c>
      <c r="E30" s="7" t="s">
        <v>220</v>
      </c>
      <c r="F30" s="4">
        <v>24</v>
      </c>
      <c r="G30" s="4">
        <v>56</v>
      </c>
      <c r="H30" s="4">
        <v>6</v>
      </c>
      <c r="I30" s="4">
        <v>6</v>
      </c>
      <c r="J30" s="4">
        <v>5</v>
      </c>
      <c r="K30" s="4">
        <v>70</v>
      </c>
      <c r="L30" s="4">
        <v>5</v>
      </c>
      <c r="M30" s="4">
        <v>68</v>
      </c>
      <c r="N30" s="4">
        <v>5</v>
      </c>
      <c r="O30" s="4">
        <v>4</v>
      </c>
      <c r="P30" s="4">
        <v>5</v>
      </c>
      <c r="Q30" s="4">
        <v>69</v>
      </c>
      <c r="R30" s="4">
        <v>50</v>
      </c>
      <c r="S30" s="4">
        <v>5</v>
      </c>
      <c r="T30" s="4">
        <v>5</v>
      </c>
      <c r="U30" s="4">
        <v>5</v>
      </c>
      <c r="V30" s="4" t="s">
        <v>823</v>
      </c>
      <c r="W30" s="4">
        <f t="shared" si="0"/>
        <v>388</v>
      </c>
      <c r="X30" s="16">
        <f t="shared" si="1"/>
        <v>0.81684210526315792</v>
      </c>
      <c r="Y30" s="16">
        <v>0.87</v>
      </c>
      <c r="Z30" s="4">
        <f t="shared" si="2"/>
        <v>12</v>
      </c>
      <c r="AA30" s="4" t="s">
        <v>849</v>
      </c>
    </row>
    <row r="31" spans="1:27" s="8" customFormat="1" ht="24" customHeight="1" x14ac:dyDescent="0.35">
      <c r="A31" s="125" t="s">
        <v>165</v>
      </c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</row>
    <row r="32" spans="1:27" s="8" customFormat="1" ht="24" customHeight="1" x14ac:dyDescent="0.2">
      <c r="A32" s="7">
        <v>27</v>
      </c>
      <c r="B32" s="13">
        <v>784</v>
      </c>
      <c r="C32" s="14" t="s">
        <v>254</v>
      </c>
      <c r="D32" s="69" t="s">
        <v>255</v>
      </c>
      <c r="E32" s="7" t="s">
        <v>220</v>
      </c>
      <c r="F32" s="4">
        <v>25</v>
      </c>
      <c r="G32" s="4">
        <v>74</v>
      </c>
      <c r="H32" s="4">
        <v>8</v>
      </c>
      <c r="I32" s="4">
        <v>1</v>
      </c>
      <c r="J32" s="4">
        <v>1</v>
      </c>
      <c r="K32" s="4">
        <v>84</v>
      </c>
      <c r="L32" s="4">
        <v>9</v>
      </c>
      <c r="M32" s="4">
        <v>72</v>
      </c>
      <c r="N32" s="4">
        <v>6</v>
      </c>
      <c r="O32" s="4">
        <v>10</v>
      </c>
      <c r="P32" s="4">
        <v>5</v>
      </c>
      <c r="Q32" s="4">
        <v>74</v>
      </c>
      <c r="R32" s="4">
        <v>59</v>
      </c>
      <c r="S32" s="4">
        <v>5</v>
      </c>
      <c r="T32" s="4">
        <v>5</v>
      </c>
      <c r="U32" s="4">
        <v>5</v>
      </c>
      <c r="V32" s="4" t="s">
        <v>825</v>
      </c>
      <c r="W32" s="4">
        <f>SUM(F32:V32)</f>
        <v>443</v>
      </c>
      <c r="X32" s="16">
        <f>W32/$W$6</f>
        <v>0.93263157894736837</v>
      </c>
      <c r="Y32" s="16">
        <v>0.99</v>
      </c>
      <c r="Z32" s="4">
        <v>2</v>
      </c>
      <c r="AA32" s="4" t="s">
        <v>854</v>
      </c>
    </row>
    <row r="33" spans="1:27" s="8" customFormat="1" ht="24" customHeight="1" x14ac:dyDescent="0.2">
      <c r="A33" s="7">
        <v>28</v>
      </c>
      <c r="B33" s="13">
        <v>700</v>
      </c>
      <c r="C33" s="14" t="s">
        <v>20</v>
      </c>
      <c r="D33" s="69" t="s">
        <v>242</v>
      </c>
      <c r="E33" s="7" t="s">
        <v>220</v>
      </c>
      <c r="F33" s="4">
        <v>18</v>
      </c>
      <c r="G33" s="4">
        <v>62</v>
      </c>
      <c r="H33" s="4">
        <v>6</v>
      </c>
      <c r="I33" s="4">
        <v>8</v>
      </c>
      <c r="J33" s="4">
        <v>5</v>
      </c>
      <c r="K33" s="4">
        <v>70</v>
      </c>
      <c r="L33" s="4">
        <v>9</v>
      </c>
      <c r="M33" s="4">
        <v>49</v>
      </c>
      <c r="N33" s="4">
        <v>4</v>
      </c>
      <c r="O33" s="4">
        <v>10</v>
      </c>
      <c r="P33" s="4">
        <v>5</v>
      </c>
      <c r="Q33" s="4">
        <v>64</v>
      </c>
      <c r="R33" s="4">
        <v>35</v>
      </c>
      <c r="S33" s="4">
        <v>3</v>
      </c>
      <c r="T33" s="4">
        <v>3</v>
      </c>
      <c r="U33" s="4">
        <v>5</v>
      </c>
      <c r="V33" s="4" t="s">
        <v>827</v>
      </c>
      <c r="W33" s="4">
        <f t="shared" ref="W33:W55" si="3">SUM(F33:V33)</f>
        <v>356</v>
      </c>
      <c r="X33" s="16">
        <f t="shared" ref="X33:X55" si="4">W33/$W$6</f>
        <v>0.74947368421052629</v>
      </c>
      <c r="Y33" s="16">
        <v>0.97</v>
      </c>
      <c r="Z33" s="4">
        <f t="shared" si="2"/>
        <v>19</v>
      </c>
      <c r="AA33" s="4" t="s">
        <v>856</v>
      </c>
    </row>
    <row r="34" spans="1:27" s="8" customFormat="1" ht="24" customHeight="1" x14ac:dyDescent="0.2">
      <c r="A34" s="7">
        <v>29</v>
      </c>
      <c r="B34" s="13">
        <v>680</v>
      </c>
      <c r="C34" s="14" t="s">
        <v>256</v>
      </c>
      <c r="D34" s="69" t="s">
        <v>257</v>
      </c>
      <c r="E34" s="7" t="s">
        <v>220</v>
      </c>
      <c r="F34" s="4">
        <v>15</v>
      </c>
      <c r="G34" s="4">
        <v>31</v>
      </c>
      <c r="H34" s="4">
        <v>3</v>
      </c>
      <c r="I34" s="4">
        <v>1</v>
      </c>
      <c r="J34" s="4">
        <v>2</v>
      </c>
      <c r="K34" s="4">
        <v>60</v>
      </c>
      <c r="L34" s="4">
        <v>9</v>
      </c>
      <c r="M34" s="4">
        <v>34</v>
      </c>
      <c r="N34" s="4">
        <v>3</v>
      </c>
      <c r="O34" s="4">
        <v>1</v>
      </c>
      <c r="P34" s="4">
        <v>5</v>
      </c>
      <c r="Q34" s="4">
        <v>51</v>
      </c>
      <c r="R34" s="4">
        <v>30</v>
      </c>
      <c r="S34" s="4">
        <v>2</v>
      </c>
      <c r="T34" s="4">
        <v>2</v>
      </c>
      <c r="U34" s="4">
        <v>5</v>
      </c>
      <c r="V34" s="4" t="s">
        <v>820</v>
      </c>
      <c r="W34" s="4">
        <f t="shared" si="3"/>
        <v>254</v>
      </c>
      <c r="X34" s="16">
        <f t="shared" si="4"/>
        <v>0.53473684210526318</v>
      </c>
      <c r="Y34" s="16">
        <v>0.96</v>
      </c>
      <c r="Z34" s="4">
        <f t="shared" si="2"/>
        <v>34</v>
      </c>
      <c r="AA34" s="4" t="s">
        <v>850</v>
      </c>
    </row>
    <row r="35" spans="1:27" s="8" customFormat="1" ht="24" customHeight="1" x14ac:dyDescent="0.2">
      <c r="A35" s="7">
        <v>30</v>
      </c>
      <c r="B35" s="13">
        <v>650</v>
      </c>
      <c r="C35" s="14" t="s">
        <v>109</v>
      </c>
      <c r="D35" s="69" t="s">
        <v>258</v>
      </c>
      <c r="E35" s="7" t="s">
        <v>220</v>
      </c>
      <c r="F35" s="4">
        <v>20</v>
      </c>
      <c r="G35" s="4" t="s">
        <v>874</v>
      </c>
      <c r="H35" s="4">
        <v>7</v>
      </c>
      <c r="I35" s="4">
        <v>9</v>
      </c>
      <c r="J35" s="4">
        <v>5</v>
      </c>
      <c r="K35" s="4" t="s">
        <v>875</v>
      </c>
      <c r="L35" s="4">
        <v>10</v>
      </c>
      <c r="M35" s="4">
        <v>48</v>
      </c>
      <c r="N35" s="4">
        <v>4</v>
      </c>
      <c r="O35" s="4">
        <v>6</v>
      </c>
      <c r="P35" s="4">
        <v>3</v>
      </c>
      <c r="Q35" s="4">
        <v>62</v>
      </c>
      <c r="R35" s="4">
        <v>34</v>
      </c>
      <c r="S35" s="4">
        <v>2</v>
      </c>
      <c r="T35" s="4">
        <v>4</v>
      </c>
      <c r="U35" s="4">
        <v>5</v>
      </c>
      <c r="V35" s="4" t="s">
        <v>819</v>
      </c>
      <c r="W35" s="4">
        <f t="shared" si="3"/>
        <v>219</v>
      </c>
      <c r="X35" s="16">
        <f t="shared" si="4"/>
        <v>0.46105263157894738</v>
      </c>
      <c r="Y35" s="16">
        <v>0.86</v>
      </c>
      <c r="Z35" s="4">
        <f t="shared" si="2"/>
        <v>43</v>
      </c>
      <c r="AA35" s="4" t="s">
        <v>877</v>
      </c>
    </row>
    <row r="36" spans="1:27" s="8" customFormat="1" ht="24" customHeight="1" x14ac:dyDescent="0.2">
      <c r="A36" s="7">
        <v>31</v>
      </c>
      <c r="B36" s="13">
        <v>683</v>
      </c>
      <c r="C36" s="14" t="s">
        <v>259</v>
      </c>
      <c r="D36" s="69" t="s">
        <v>260</v>
      </c>
      <c r="E36" s="7" t="s">
        <v>220</v>
      </c>
      <c r="F36" s="4">
        <v>13</v>
      </c>
      <c r="G36" s="4">
        <v>37</v>
      </c>
      <c r="H36" s="4">
        <v>3</v>
      </c>
      <c r="I36" s="4">
        <v>1</v>
      </c>
      <c r="J36" s="4">
        <v>2</v>
      </c>
      <c r="K36" s="4">
        <v>41</v>
      </c>
      <c r="L36" s="4">
        <v>9</v>
      </c>
      <c r="M36" s="4">
        <v>27</v>
      </c>
      <c r="N36" s="4">
        <v>2</v>
      </c>
      <c r="O36" s="4">
        <v>1</v>
      </c>
      <c r="P36" s="4">
        <v>4</v>
      </c>
      <c r="Q36" s="4">
        <v>52</v>
      </c>
      <c r="R36" s="4">
        <v>34</v>
      </c>
      <c r="S36" s="4">
        <v>2</v>
      </c>
      <c r="T36" s="4">
        <v>2</v>
      </c>
      <c r="U36" s="4">
        <v>5</v>
      </c>
      <c r="V36" s="4" t="s">
        <v>820</v>
      </c>
      <c r="W36" s="4">
        <f t="shared" si="3"/>
        <v>235</v>
      </c>
      <c r="X36" s="16">
        <f t="shared" si="4"/>
        <v>0.49473684210526314</v>
      </c>
      <c r="Y36" s="16">
        <v>0.89</v>
      </c>
      <c r="Z36" s="4">
        <f t="shared" si="2"/>
        <v>38</v>
      </c>
      <c r="AA36" s="4" t="s">
        <v>850</v>
      </c>
    </row>
    <row r="37" spans="1:27" s="8" customFormat="1" ht="24" customHeight="1" x14ac:dyDescent="0.2">
      <c r="A37" s="7">
        <v>32</v>
      </c>
      <c r="B37" s="13">
        <v>662</v>
      </c>
      <c r="C37" s="14" t="s">
        <v>261</v>
      </c>
      <c r="D37" s="69" t="s">
        <v>262</v>
      </c>
      <c r="E37" s="7" t="s">
        <v>220</v>
      </c>
      <c r="F37" s="4">
        <v>12</v>
      </c>
      <c r="G37" s="4">
        <v>36</v>
      </c>
      <c r="H37" s="4">
        <v>4</v>
      </c>
      <c r="I37" s="4">
        <v>1</v>
      </c>
      <c r="J37" s="4">
        <v>4</v>
      </c>
      <c r="K37" s="4">
        <v>28</v>
      </c>
      <c r="L37" s="4">
        <v>10</v>
      </c>
      <c r="M37" s="4">
        <v>30</v>
      </c>
      <c r="N37" s="4">
        <v>2</v>
      </c>
      <c r="O37" s="4">
        <v>1</v>
      </c>
      <c r="P37" s="4">
        <v>5</v>
      </c>
      <c r="Q37" s="4">
        <v>48</v>
      </c>
      <c r="R37" s="4">
        <v>30</v>
      </c>
      <c r="S37" s="4">
        <v>3</v>
      </c>
      <c r="T37" s="4">
        <v>2</v>
      </c>
      <c r="U37" s="4">
        <v>5</v>
      </c>
      <c r="V37" s="4" t="s">
        <v>820</v>
      </c>
      <c r="W37" s="4">
        <f t="shared" si="3"/>
        <v>221</v>
      </c>
      <c r="X37" s="16">
        <f t="shared" si="4"/>
        <v>0.46526315789473682</v>
      </c>
      <c r="Y37" s="16">
        <v>0.86</v>
      </c>
      <c r="Z37" s="4">
        <f t="shared" si="2"/>
        <v>42</v>
      </c>
      <c r="AA37" s="4" t="s">
        <v>878</v>
      </c>
    </row>
    <row r="38" spans="1:27" s="8" customFormat="1" ht="24" customHeight="1" x14ac:dyDescent="0.2">
      <c r="A38" s="7">
        <v>33</v>
      </c>
      <c r="B38" s="13">
        <v>681</v>
      </c>
      <c r="C38" s="14" t="s">
        <v>263</v>
      </c>
      <c r="D38" s="69" t="s">
        <v>60</v>
      </c>
      <c r="E38" s="7" t="s">
        <v>220</v>
      </c>
      <c r="F38" s="4">
        <v>18</v>
      </c>
      <c r="G38" s="4">
        <v>35</v>
      </c>
      <c r="H38" s="4">
        <v>3</v>
      </c>
      <c r="I38" s="4">
        <v>5</v>
      </c>
      <c r="J38" s="4">
        <v>5</v>
      </c>
      <c r="K38" s="4">
        <v>47</v>
      </c>
      <c r="L38" s="4">
        <v>9</v>
      </c>
      <c r="M38" s="4">
        <v>34</v>
      </c>
      <c r="N38" s="4">
        <v>2</v>
      </c>
      <c r="O38" s="4">
        <v>2</v>
      </c>
      <c r="P38" s="4">
        <v>4</v>
      </c>
      <c r="Q38" s="4">
        <v>46</v>
      </c>
      <c r="R38" s="4">
        <v>36</v>
      </c>
      <c r="S38" s="4">
        <v>2</v>
      </c>
      <c r="T38" s="4">
        <v>3</v>
      </c>
      <c r="U38" s="4">
        <v>5</v>
      </c>
      <c r="V38" s="4" t="s">
        <v>819</v>
      </c>
      <c r="W38" s="4">
        <f t="shared" si="3"/>
        <v>256</v>
      </c>
      <c r="X38" s="16">
        <f t="shared" si="4"/>
        <v>0.53894736842105262</v>
      </c>
      <c r="Y38" s="16">
        <v>0.76</v>
      </c>
      <c r="Z38" s="4">
        <f t="shared" si="2"/>
        <v>32</v>
      </c>
      <c r="AA38" s="4" t="s">
        <v>850</v>
      </c>
    </row>
    <row r="39" spans="1:27" s="8" customFormat="1" ht="24" customHeight="1" x14ac:dyDescent="0.2">
      <c r="A39" s="7">
        <v>34</v>
      </c>
      <c r="B39" s="13">
        <v>664</v>
      </c>
      <c r="C39" s="14" t="s">
        <v>102</v>
      </c>
      <c r="D39" s="69" t="s">
        <v>264</v>
      </c>
      <c r="E39" s="7" t="s">
        <v>220</v>
      </c>
      <c r="F39" s="4">
        <v>20</v>
      </c>
      <c r="G39" s="4">
        <v>60</v>
      </c>
      <c r="H39" s="4">
        <v>4</v>
      </c>
      <c r="I39" s="4">
        <v>10</v>
      </c>
      <c r="J39" s="4">
        <v>5</v>
      </c>
      <c r="K39" s="4">
        <v>76</v>
      </c>
      <c r="L39" s="4">
        <v>9</v>
      </c>
      <c r="M39" s="4">
        <v>60</v>
      </c>
      <c r="N39" s="4">
        <v>4</v>
      </c>
      <c r="O39" s="4">
        <v>10</v>
      </c>
      <c r="P39" s="4">
        <v>5</v>
      </c>
      <c r="Q39" s="4">
        <v>64</v>
      </c>
      <c r="R39" s="4">
        <v>49</v>
      </c>
      <c r="S39" s="4">
        <v>5</v>
      </c>
      <c r="T39" s="4">
        <v>5</v>
      </c>
      <c r="U39" s="4">
        <v>5</v>
      </c>
      <c r="V39" s="4" t="s">
        <v>820</v>
      </c>
      <c r="W39" s="4">
        <f t="shared" si="3"/>
        <v>391</v>
      </c>
      <c r="X39" s="16">
        <f t="shared" si="4"/>
        <v>0.82315789473684209</v>
      </c>
      <c r="Y39" s="16">
        <v>0.99</v>
      </c>
      <c r="Z39" s="4">
        <f t="shared" si="2"/>
        <v>9</v>
      </c>
      <c r="AA39" s="4" t="s">
        <v>849</v>
      </c>
    </row>
    <row r="40" spans="1:27" s="8" customFormat="1" ht="24" customHeight="1" x14ac:dyDescent="0.2">
      <c r="A40" s="7">
        <v>35</v>
      </c>
      <c r="B40" s="13">
        <v>663</v>
      </c>
      <c r="C40" s="14" t="s">
        <v>265</v>
      </c>
      <c r="D40" s="69" t="s">
        <v>58</v>
      </c>
      <c r="E40" s="7" t="s">
        <v>220</v>
      </c>
      <c r="F40" s="4">
        <v>5</v>
      </c>
      <c r="G40" s="4" t="s">
        <v>818</v>
      </c>
      <c r="H40" s="4">
        <v>3</v>
      </c>
      <c r="I40" s="4">
        <v>1</v>
      </c>
      <c r="J40" s="4">
        <v>4</v>
      </c>
      <c r="K40" s="4">
        <v>27</v>
      </c>
      <c r="L40" s="4">
        <v>10</v>
      </c>
      <c r="M40" s="4">
        <v>35</v>
      </c>
      <c r="N40" s="4">
        <v>2</v>
      </c>
      <c r="O40" s="4">
        <v>1</v>
      </c>
      <c r="P40" s="4">
        <v>3</v>
      </c>
      <c r="Q40" s="4">
        <v>46</v>
      </c>
      <c r="R40" s="4">
        <v>32</v>
      </c>
      <c r="S40" s="4">
        <v>2</v>
      </c>
      <c r="T40" s="4">
        <v>2</v>
      </c>
      <c r="U40" s="4">
        <v>5</v>
      </c>
      <c r="V40" s="4" t="s">
        <v>821</v>
      </c>
      <c r="W40" s="4">
        <f t="shared" si="3"/>
        <v>178</v>
      </c>
      <c r="X40" s="16">
        <f t="shared" si="4"/>
        <v>0.37473684210526315</v>
      </c>
      <c r="Y40" s="16">
        <v>0.84</v>
      </c>
      <c r="Z40" s="4"/>
      <c r="AA40" s="4" t="s">
        <v>878</v>
      </c>
    </row>
    <row r="41" spans="1:27" s="8" customFormat="1" ht="24" customHeight="1" x14ac:dyDescent="0.2">
      <c r="A41" s="7">
        <v>36</v>
      </c>
      <c r="B41" s="13">
        <v>771</v>
      </c>
      <c r="C41" s="14" t="s">
        <v>266</v>
      </c>
      <c r="D41" s="69" t="s">
        <v>229</v>
      </c>
      <c r="E41" s="7" t="s">
        <v>220</v>
      </c>
      <c r="F41" s="4">
        <v>22</v>
      </c>
      <c r="G41" s="4">
        <v>56</v>
      </c>
      <c r="H41" s="4">
        <v>4</v>
      </c>
      <c r="I41" s="4">
        <v>10</v>
      </c>
      <c r="J41" s="4">
        <v>5</v>
      </c>
      <c r="K41" s="4">
        <v>66</v>
      </c>
      <c r="L41" s="4">
        <v>6</v>
      </c>
      <c r="M41" s="4">
        <v>44</v>
      </c>
      <c r="N41" s="4">
        <v>4</v>
      </c>
      <c r="O41" s="4">
        <v>6</v>
      </c>
      <c r="P41" s="4">
        <v>4</v>
      </c>
      <c r="Q41" s="4">
        <v>68</v>
      </c>
      <c r="R41" s="4">
        <v>53</v>
      </c>
      <c r="S41" s="4">
        <v>3</v>
      </c>
      <c r="T41" s="4">
        <v>2</v>
      </c>
      <c r="U41" s="4">
        <v>5</v>
      </c>
      <c r="V41" s="4" t="s">
        <v>820</v>
      </c>
      <c r="W41" s="4">
        <f t="shared" si="3"/>
        <v>358</v>
      </c>
      <c r="X41" s="16">
        <f t="shared" si="4"/>
        <v>0.75368421052631573</v>
      </c>
      <c r="Y41" s="16">
        <v>0.96</v>
      </c>
      <c r="Z41" s="4">
        <f t="shared" si="2"/>
        <v>17</v>
      </c>
      <c r="AA41" s="4" t="s">
        <v>877</v>
      </c>
    </row>
    <row r="42" spans="1:27" s="8" customFormat="1" ht="24" customHeight="1" x14ac:dyDescent="0.2">
      <c r="A42" s="7">
        <v>37</v>
      </c>
      <c r="B42" s="13">
        <v>773</v>
      </c>
      <c r="C42" s="14" t="s">
        <v>186</v>
      </c>
      <c r="D42" s="69" t="s">
        <v>224</v>
      </c>
      <c r="E42" s="7" t="s">
        <v>220</v>
      </c>
      <c r="F42" s="4">
        <v>20</v>
      </c>
      <c r="G42" s="4">
        <v>51</v>
      </c>
      <c r="H42" s="4">
        <v>4</v>
      </c>
      <c r="I42" s="4">
        <v>9</v>
      </c>
      <c r="J42" s="4">
        <v>5</v>
      </c>
      <c r="K42" s="4">
        <v>70</v>
      </c>
      <c r="L42" s="4">
        <v>9</v>
      </c>
      <c r="M42" s="4">
        <v>53</v>
      </c>
      <c r="N42" s="4">
        <v>3</v>
      </c>
      <c r="O42" s="4">
        <v>8</v>
      </c>
      <c r="P42" s="4">
        <v>5</v>
      </c>
      <c r="Q42" s="4">
        <v>69</v>
      </c>
      <c r="R42" s="4">
        <v>36</v>
      </c>
      <c r="S42" s="4">
        <v>2</v>
      </c>
      <c r="T42" s="4">
        <v>3</v>
      </c>
      <c r="U42" s="4">
        <v>5</v>
      </c>
      <c r="V42" s="4" t="s">
        <v>820</v>
      </c>
      <c r="W42" s="4">
        <f t="shared" si="3"/>
        <v>352</v>
      </c>
      <c r="X42" s="16">
        <f t="shared" si="4"/>
        <v>0.74105263157894741</v>
      </c>
      <c r="Y42" s="16">
        <v>0.92</v>
      </c>
      <c r="Z42" s="4">
        <f t="shared" si="2"/>
        <v>21</v>
      </c>
      <c r="AA42" s="4" t="s">
        <v>877</v>
      </c>
    </row>
    <row r="43" spans="1:27" s="8" customFormat="1" ht="24" customHeight="1" x14ac:dyDescent="0.2">
      <c r="A43" s="7">
        <v>38</v>
      </c>
      <c r="B43" s="13">
        <v>652</v>
      </c>
      <c r="C43" s="14" t="s">
        <v>267</v>
      </c>
      <c r="D43" s="69" t="s">
        <v>268</v>
      </c>
      <c r="E43" s="7" t="s">
        <v>220</v>
      </c>
      <c r="F43" s="4">
        <v>18</v>
      </c>
      <c r="G43" s="4">
        <v>46</v>
      </c>
      <c r="H43" s="4">
        <v>4</v>
      </c>
      <c r="I43" s="4">
        <v>1</v>
      </c>
      <c r="J43" s="4">
        <v>3</v>
      </c>
      <c r="K43" s="4">
        <v>30</v>
      </c>
      <c r="L43" s="4">
        <v>8</v>
      </c>
      <c r="M43" s="4">
        <v>40</v>
      </c>
      <c r="N43" s="4">
        <v>3</v>
      </c>
      <c r="O43" s="4">
        <v>2</v>
      </c>
      <c r="P43" s="4">
        <v>2</v>
      </c>
      <c r="Q43" s="4">
        <v>52</v>
      </c>
      <c r="R43" s="4">
        <v>29</v>
      </c>
      <c r="S43" s="4">
        <v>3</v>
      </c>
      <c r="T43" s="4">
        <v>2</v>
      </c>
      <c r="U43" s="4">
        <v>5</v>
      </c>
      <c r="V43" s="4" t="s">
        <v>821</v>
      </c>
      <c r="W43" s="4">
        <f t="shared" si="3"/>
        <v>248</v>
      </c>
      <c r="X43" s="16">
        <f t="shared" si="4"/>
        <v>0.52210526315789474</v>
      </c>
      <c r="Y43" s="16">
        <v>0.89</v>
      </c>
      <c r="Z43" s="4">
        <f t="shared" si="2"/>
        <v>36</v>
      </c>
      <c r="AA43" s="4" t="s">
        <v>878</v>
      </c>
    </row>
    <row r="44" spans="1:27" s="8" customFormat="1" ht="24" customHeight="1" x14ac:dyDescent="0.2">
      <c r="A44" s="7">
        <v>39</v>
      </c>
      <c r="B44" s="13">
        <v>682</v>
      </c>
      <c r="C44" s="14" t="s">
        <v>269</v>
      </c>
      <c r="D44" s="69" t="s">
        <v>94</v>
      </c>
      <c r="E44" s="7" t="s">
        <v>220</v>
      </c>
      <c r="F44" s="4">
        <v>15</v>
      </c>
      <c r="G44" s="4">
        <v>44</v>
      </c>
      <c r="H44" s="4">
        <v>3</v>
      </c>
      <c r="I44" s="4">
        <v>7</v>
      </c>
      <c r="J44" s="4">
        <v>5</v>
      </c>
      <c r="K44" s="4">
        <v>38</v>
      </c>
      <c r="L44" s="4">
        <v>9</v>
      </c>
      <c r="M44" s="4">
        <v>36</v>
      </c>
      <c r="N44" s="4">
        <v>3</v>
      </c>
      <c r="O44" s="4">
        <v>2</v>
      </c>
      <c r="P44" s="4">
        <v>5</v>
      </c>
      <c r="Q44" s="4">
        <v>50</v>
      </c>
      <c r="R44" s="4">
        <v>36</v>
      </c>
      <c r="S44" s="4">
        <v>3</v>
      </c>
      <c r="T44" s="4">
        <v>3</v>
      </c>
      <c r="U44" s="4">
        <v>5</v>
      </c>
      <c r="V44" s="4" t="s">
        <v>820</v>
      </c>
      <c r="W44" s="4">
        <f t="shared" si="3"/>
        <v>264</v>
      </c>
      <c r="X44" s="16">
        <f t="shared" si="4"/>
        <v>0.5557894736842105</v>
      </c>
      <c r="Y44" s="16">
        <v>0.98</v>
      </c>
      <c r="Z44" s="4">
        <f t="shared" si="2"/>
        <v>29</v>
      </c>
      <c r="AA44" s="4" t="s">
        <v>877</v>
      </c>
    </row>
    <row r="45" spans="1:27" s="8" customFormat="1" ht="24" customHeight="1" x14ac:dyDescent="0.2">
      <c r="A45" s="7">
        <v>40</v>
      </c>
      <c r="B45" s="13">
        <v>775</v>
      </c>
      <c r="C45" s="14" t="s">
        <v>270</v>
      </c>
      <c r="D45" s="69" t="s">
        <v>271</v>
      </c>
      <c r="E45" s="7" t="s">
        <v>220</v>
      </c>
      <c r="F45" s="4">
        <v>12</v>
      </c>
      <c r="G45" s="4">
        <v>37</v>
      </c>
      <c r="H45" s="4">
        <v>3</v>
      </c>
      <c r="I45" s="4">
        <v>7</v>
      </c>
      <c r="J45" s="4">
        <v>3</v>
      </c>
      <c r="K45" s="4">
        <v>58</v>
      </c>
      <c r="L45" s="4">
        <v>8</v>
      </c>
      <c r="M45" s="4">
        <v>30</v>
      </c>
      <c r="N45" s="4">
        <v>2</v>
      </c>
      <c r="O45" s="4">
        <v>3</v>
      </c>
      <c r="P45" s="4">
        <v>2</v>
      </c>
      <c r="Q45" s="4">
        <v>50</v>
      </c>
      <c r="R45" s="4">
        <v>30</v>
      </c>
      <c r="S45" s="4">
        <v>2</v>
      </c>
      <c r="T45" s="4">
        <v>3</v>
      </c>
      <c r="U45" s="4">
        <v>5</v>
      </c>
      <c r="V45" s="4" t="s">
        <v>820</v>
      </c>
      <c r="W45" s="4">
        <f t="shared" si="3"/>
        <v>255</v>
      </c>
      <c r="X45" s="16">
        <f t="shared" si="4"/>
        <v>0.5368421052631579</v>
      </c>
      <c r="Y45" s="16">
        <v>0.74</v>
      </c>
      <c r="Z45" s="4">
        <f t="shared" si="2"/>
        <v>33</v>
      </c>
      <c r="AA45" s="4" t="s">
        <v>878</v>
      </c>
    </row>
    <row r="46" spans="1:27" s="8" customFormat="1" ht="24" customHeight="1" x14ac:dyDescent="0.2">
      <c r="A46" s="7">
        <v>41</v>
      </c>
      <c r="B46" s="15">
        <v>651</v>
      </c>
      <c r="C46" s="14" t="s">
        <v>272</v>
      </c>
      <c r="D46" s="69" t="s">
        <v>171</v>
      </c>
      <c r="E46" s="7" t="s">
        <v>220</v>
      </c>
      <c r="F46" s="4">
        <v>21</v>
      </c>
      <c r="G46" s="4">
        <v>64</v>
      </c>
      <c r="H46" s="4">
        <v>4</v>
      </c>
      <c r="I46" s="4">
        <v>10</v>
      </c>
      <c r="J46" s="4">
        <v>5</v>
      </c>
      <c r="K46" s="4">
        <v>77</v>
      </c>
      <c r="L46" s="4">
        <v>7</v>
      </c>
      <c r="M46" s="4">
        <v>56</v>
      </c>
      <c r="N46" s="4">
        <v>3</v>
      </c>
      <c r="O46" s="4">
        <v>8</v>
      </c>
      <c r="P46" s="4">
        <v>5</v>
      </c>
      <c r="Q46" s="4">
        <v>70</v>
      </c>
      <c r="R46" s="4">
        <v>39</v>
      </c>
      <c r="S46" s="4">
        <v>3</v>
      </c>
      <c r="T46" s="4">
        <v>4</v>
      </c>
      <c r="U46" s="4">
        <v>5</v>
      </c>
      <c r="V46" s="4" t="s">
        <v>819</v>
      </c>
      <c r="W46" s="4">
        <f t="shared" si="3"/>
        <v>381</v>
      </c>
      <c r="X46" s="16">
        <f t="shared" si="4"/>
        <v>0.80210526315789477</v>
      </c>
      <c r="Y46" s="16">
        <v>0.99</v>
      </c>
      <c r="Z46" s="4">
        <f t="shared" si="2"/>
        <v>15</v>
      </c>
      <c r="AA46" s="4" t="s">
        <v>856</v>
      </c>
    </row>
    <row r="47" spans="1:27" s="8" customFormat="1" ht="24" customHeight="1" x14ac:dyDescent="0.2">
      <c r="A47" s="7">
        <v>42</v>
      </c>
      <c r="B47" s="13">
        <v>678</v>
      </c>
      <c r="C47" s="14" t="s">
        <v>273</v>
      </c>
      <c r="D47" s="69" t="s">
        <v>274</v>
      </c>
      <c r="E47" s="7" t="s">
        <v>220</v>
      </c>
      <c r="F47" s="4" t="s">
        <v>818</v>
      </c>
      <c r="G47" s="4">
        <v>70</v>
      </c>
      <c r="H47" s="4">
        <v>8</v>
      </c>
      <c r="I47" s="4">
        <v>10</v>
      </c>
      <c r="J47" s="4">
        <v>4</v>
      </c>
      <c r="K47" s="4">
        <v>48</v>
      </c>
      <c r="L47" s="4">
        <v>9</v>
      </c>
      <c r="M47" s="4">
        <v>66</v>
      </c>
      <c r="N47" s="4">
        <v>6</v>
      </c>
      <c r="O47" s="4">
        <v>6</v>
      </c>
      <c r="P47" s="4">
        <v>5</v>
      </c>
      <c r="Q47" s="4">
        <v>48</v>
      </c>
      <c r="R47" s="4">
        <v>58</v>
      </c>
      <c r="S47" s="4">
        <v>3</v>
      </c>
      <c r="T47" s="4">
        <v>5</v>
      </c>
      <c r="U47" s="4">
        <v>5</v>
      </c>
      <c r="V47" s="4" t="s">
        <v>820</v>
      </c>
      <c r="W47" s="4">
        <f t="shared" si="3"/>
        <v>351</v>
      </c>
      <c r="X47" s="16">
        <f t="shared" si="4"/>
        <v>0.73894736842105269</v>
      </c>
      <c r="Y47" s="16">
        <v>0.94</v>
      </c>
      <c r="Z47" s="4">
        <f t="shared" si="2"/>
        <v>22</v>
      </c>
      <c r="AA47" s="4" t="s">
        <v>856</v>
      </c>
    </row>
    <row r="48" spans="1:27" s="8" customFormat="1" ht="24" customHeight="1" x14ac:dyDescent="0.2">
      <c r="A48" s="7">
        <v>43</v>
      </c>
      <c r="B48" s="13">
        <v>674</v>
      </c>
      <c r="C48" s="14" t="s">
        <v>275</v>
      </c>
      <c r="D48" s="69" t="s">
        <v>56</v>
      </c>
      <c r="E48" s="7" t="s">
        <v>220</v>
      </c>
      <c r="F48" s="4">
        <v>15</v>
      </c>
      <c r="G48" s="4">
        <v>39</v>
      </c>
      <c r="H48" s="4">
        <v>3</v>
      </c>
      <c r="I48" s="4">
        <v>4</v>
      </c>
      <c r="J48" s="4">
        <v>5</v>
      </c>
      <c r="K48" s="4">
        <v>49</v>
      </c>
      <c r="L48" s="4">
        <v>10</v>
      </c>
      <c r="M48" s="4">
        <v>32</v>
      </c>
      <c r="N48" s="4">
        <v>3</v>
      </c>
      <c r="O48" s="4">
        <v>2</v>
      </c>
      <c r="P48" s="4">
        <v>1</v>
      </c>
      <c r="Q48" s="4">
        <v>45</v>
      </c>
      <c r="R48" s="4">
        <v>35</v>
      </c>
      <c r="S48" s="4">
        <v>2</v>
      </c>
      <c r="T48" s="4">
        <v>2</v>
      </c>
      <c r="U48" s="4">
        <v>5</v>
      </c>
      <c r="V48" s="4" t="s">
        <v>820</v>
      </c>
      <c r="W48" s="4">
        <f t="shared" si="3"/>
        <v>252</v>
      </c>
      <c r="X48" s="16">
        <f t="shared" si="4"/>
        <v>0.53052631578947373</v>
      </c>
      <c r="Y48" s="16">
        <v>0.78</v>
      </c>
      <c r="Z48" s="4">
        <f t="shared" si="2"/>
        <v>35</v>
      </c>
      <c r="AA48" s="4" t="s">
        <v>850</v>
      </c>
    </row>
    <row r="49" spans="1:27" s="8" customFormat="1" ht="24" customHeight="1" x14ac:dyDescent="0.2">
      <c r="A49" s="7">
        <v>44</v>
      </c>
      <c r="B49" s="13">
        <v>666</v>
      </c>
      <c r="C49" s="14" t="s">
        <v>276</v>
      </c>
      <c r="D49" s="69" t="s">
        <v>277</v>
      </c>
      <c r="E49" s="7" t="s">
        <v>220</v>
      </c>
      <c r="F49" s="4">
        <v>18</v>
      </c>
      <c r="G49" s="4">
        <v>48</v>
      </c>
      <c r="H49" s="4">
        <v>7</v>
      </c>
      <c r="I49" s="4">
        <v>10</v>
      </c>
      <c r="J49" s="4">
        <v>5</v>
      </c>
      <c r="K49" s="4">
        <v>48</v>
      </c>
      <c r="L49" s="4">
        <v>8</v>
      </c>
      <c r="M49" s="4">
        <v>58</v>
      </c>
      <c r="N49" s="4">
        <v>3</v>
      </c>
      <c r="O49" s="4">
        <v>6</v>
      </c>
      <c r="P49" s="4">
        <v>3</v>
      </c>
      <c r="Q49" s="4">
        <v>60</v>
      </c>
      <c r="R49" s="4">
        <v>41</v>
      </c>
      <c r="S49" s="4">
        <v>5</v>
      </c>
      <c r="T49" s="4">
        <v>3</v>
      </c>
      <c r="U49" s="4">
        <v>5</v>
      </c>
      <c r="V49" s="4" t="s">
        <v>820</v>
      </c>
      <c r="W49" s="4">
        <f t="shared" si="3"/>
        <v>328</v>
      </c>
      <c r="X49" s="16">
        <f t="shared" si="4"/>
        <v>0.69052631578947365</v>
      </c>
      <c r="Y49" s="16">
        <v>0.88</v>
      </c>
      <c r="Z49" s="4">
        <f t="shared" si="2"/>
        <v>24</v>
      </c>
      <c r="AA49" s="4" t="s">
        <v>856</v>
      </c>
    </row>
    <row r="50" spans="1:27" s="8" customFormat="1" ht="24" customHeight="1" x14ac:dyDescent="0.2">
      <c r="A50" s="7">
        <v>45</v>
      </c>
      <c r="B50" s="13">
        <v>786</v>
      </c>
      <c r="C50" s="14" t="s">
        <v>278</v>
      </c>
      <c r="D50" s="69" t="s">
        <v>279</v>
      </c>
      <c r="E50" s="7" t="s">
        <v>220</v>
      </c>
      <c r="F50" s="4">
        <v>20</v>
      </c>
      <c r="G50" s="4">
        <v>66</v>
      </c>
      <c r="H50" s="4">
        <v>4</v>
      </c>
      <c r="I50" s="4">
        <v>7</v>
      </c>
      <c r="J50" s="4">
        <v>4</v>
      </c>
      <c r="K50" s="4">
        <v>67</v>
      </c>
      <c r="L50" s="4">
        <v>9</v>
      </c>
      <c r="M50" s="4">
        <v>60</v>
      </c>
      <c r="N50" s="4">
        <v>3</v>
      </c>
      <c r="O50" s="4">
        <v>10</v>
      </c>
      <c r="P50" s="4">
        <v>5</v>
      </c>
      <c r="Q50" s="4">
        <v>69</v>
      </c>
      <c r="R50" s="4">
        <v>57</v>
      </c>
      <c r="S50" s="4">
        <v>3</v>
      </c>
      <c r="T50" s="4">
        <v>4</v>
      </c>
      <c r="U50" s="4">
        <v>5</v>
      </c>
      <c r="V50" s="4" t="s">
        <v>820</v>
      </c>
      <c r="W50" s="4">
        <f t="shared" si="3"/>
        <v>393</v>
      </c>
      <c r="X50" s="16">
        <f t="shared" si="4"/>
        <v>0.82736842105263153</v>
      </c>
      <c r="Y50" s="16">
        <v>0.87</v>
      </c>
      <c r="Z50" s="4">
        <f t="shared" si="2"/>
        <v>8</v>
      </c>
      <c r="AA50" s="4" t="s">
        <v>849</v>
      </c>
    </row>
    <row r="51" spans="1:27" s="8" customFormat="1" ht="24" customHeight="1" x14ac:dyDescent="0.2">
      <c r="A51" s="7">
        <v>46</v>
      </c>
      <c r="B51" s="13">
        <v>667</v>
      </c>
      <c r="C51" s="14" t="s">
        <v>280</v>
      </c>
      <c r="D51" s="69" t="s">
        <v>281</v>
      </c>
      <c r="E51" s="7" t="s">
        <v>220</v>
      </c>
      <c r="F51" s="4">
        <v>5</v>
      </c>
      <c r="G51" s="4">
        <v>37</v>
      </c>
      <c r="H51" s="4">
        <v>3</v>
      </c>
      <c r="I51" s="4">
        <v>1</v>
      </c>
      <c r="J51" s="4">
        <v>1</v>
      </c>
      <c r="K51" s="4">
        <v>27</v>
      </c>
      <c r="L51" s="4">
        <v>10</v>
      </c>
      <c r="M51" s="4">
        <v>34</v>
      </c>
      <c r="N51" s="4">
        <v>2</v>
      </c>
      <c r="O51" s="4">
        <v>1</v>
      </c>
      <c r="P51" s="4">
        <v>1</v>
      </c>
      <c r="Q51" s="4">
        <v>55</v>
      </c>
      <c r="R51" s="4">
        <v>30</v>
      </c>
      <c r="S51" s="4">
        <v>3</v>
      </c>
      <c r="T51" s="4">
        <v>2</v>
      </c>
      <c r="U51" s="4">
        <v>5</v>
      </c>
      <c r="V51" s="4" t="s">
        <v>820</v>
      </c>
      <c r="W51" s="4">
        <f t="shared" si="3"/>
        <v>217</v>
      </c>
      <c r="X51" s="16">
        <f t="shared" si="4"/>
        <v>0.45684210526315788</v>
      </c>
      <c r="Y51" s="16">
        <v>0.88</v>
      </c>
      <c r="Z51" s="4">
        <f t="shared" si="2"/>
        <v>44</v>
      </c>
      <c r="AA51" s="4" t="s">
        <v>878</v>
      </c>
    </row>
    <row r="52" spans="1:27" s="8" customFormat="1" ht="24" customHeight="1" x14ac:dyDescent="0.2">
      <c r="A52" s="7">
        <v>47</v>
      </c>
      <c r="B52" s="13">
        <v>669</v>
      </c>
      <c r="C52" s="14" t="s">
        <v>282</v>
      </c>
      <c r="D52" s="69" t="s">
        <v>283</v>
      </c>
      <c r="E52" s="7" t="s">
        <v>220</v>
      </c>
      <c r="F52" s="4">
        <v>15</v>
      </c>
      <c r="G52" s="4">
        <v>41</v>
      </c>
      <c r="H52" s="4">
        <v>2</v>
      </c>
      <c r="I52" s="4">
        <v>3</v>
      </c>
      <c r="J52" s="4">
        <v>2</v>
      </c>
      <c r="K52" s="4">
        <v>33</v>
      </c>
      <c r="L52" s="4">
        <v>10</v>
      </c>
      <c r="M52" s="4">
        <v>30</v>
      </c>
      <c r="N52" s="4">
        <v>2</v>
      </c>
      <c r="O52" s="4">
        <v>1</v>
      </c>
      <c r="P52" s="4">
        <v>1</v>
      </c>
      <c r="Q52" s="4">
        <v>52</v>
      </c>
      <c r="R52" s="4">
        <v>29</v>
      </c>
      <c r="S52" s="4">
        <v>4</v>
      </c>
      <c r="T52" s="4">
        <v>2</v>
      </c>
      <c r="U52" s="4">
        <v>5</v>
      </c>
      <c r="V52" s="4" t="s">
        <v>820</v>
      </c>
      <c r="W52" s="4">
        <f t="shared" si="3"/>
        <v>232</v>
      </c>
      <c r="X52" s="16">
        <f t="shared" si="4"/>
        <v>0.48842105263157892</v>
      </c>
      <c r="Y52" s="16">
        <v>0.7</v>
      </c>
      <c r="Z52" s="4">
        <f t="shared" si="2"/>
        <v>41</v>
      </c>
      <c r="AA52" s="4" t="s">
        <v>850</v>
      </c>
    </row>
    <row r="53" spans="1:27" s="8" customFormat="1" ht="24" customHeight="1" x14ac:dyDescent="0.2">
      <c r="A53" s="7">
        <v>48</v>
      </c>
      <c r="B53" s="13">
        <v>677</v>
      </c>
      <c r="C53" s="14" t="s">
        <v>284</v>
      </c>
      <c r="D53" s="69" t="s">
        <v>279</v>
      </c>
      <c r="E53" s="7" t="s">
        <v>220</v>
      </c>
      <c r="F53" s="4">
        <v>22</v>
      </c>
      <c r="G53" s="4">
        <v>70</v>
      </c>
      <c r="H53" s="4">
        <v>5</v>
      </c>
      <c r="I53" s="4">
        <v>9</v>
      </c>
      <c r="J53" s="4">
        <v>5</v>
      </c>
      <c r="K53" s="4">
        <v>60</v>
      </c>
      <c r="L53" s="4">
        <v>9</v>
      </c>
      <c r="M53" s="4">
        <v>59</v>
      </c>
      <c r="N53" s="4">
        <v>4</v>
      </c>
      <c r="O53" s="4">
        <v>10</v>
      </c>
      <c r="P53" s="4">
        <v>4</v>
      </c>
      <c r="Q53" s="4">
        <v>70</v>
      </c>
      <c r="R53" s="4">
        <v>55</v>
      </c>
      <c r="S53" s="4">
        <v>3</v>
      </c>
      <c r="T53" s="4">
        <v>4</v>
      </c>
      <c r="U53" s="4">
        <v>5</v>
      </c>
      <c r="V53" s="4" t="s">
        <v>819</v>
      </c>
      <c r="W53" s="4">
        <f t="shared" si="3"/>
        <v>394</v>
      </c>
      <c r="X53" s="16">
        <f t="shared" si="4"/>
        <v>0.82947368421052636</v>
      </c>
      <c r="Y53" s="16">
        <v>0.89</v>
      </c>
      <c r="Z53" s="4">
        <f t="shared" si="2"/>
        <v>7</v>
      </c>
      <c r="AA53" s="4" t="s">
        <v>849</v>
      </c>
    </row>
    <row r="54" spans="1:27" s="8" customFormat="1" ht="24" customHeight="1" x14ac:dyDescent="0.2">
      <c r="A54" s="7">
        <v>49</v>
      </c>
      <c r="B54" s="13">
        <v>783</v>
      </c>
      <c r="C54" s="14" t="s">
        <v>285</v>
      </c>
      <c r="D54" s="69" t="s">
        <v>286</v>
      </c>
      <c r="E54" s="7" t="s">
        <v>220</v>
      </c>
      <c r="F54" s="4">
        <v>15</v>
      </c>
      <c r="G54" s="4">
        <v>35</v>
      </c>
      <c r="H54" s="4">
        <v>3</v>
      </c>
      <c r="I54" s="4">
        <v>2</v>
      </c>
      <c r="J54" s="4">
        <v>1</v>
      </c>
      <c r="K54" s="4">
        <v>40</v>
      </c>
      <c r="L54" s="4">
        <v>8</v>
      </c>
      <c r="M54" s="4">
        <v>30</v>
      </c>
      <c r="N54" s="4">
        <v>3</v>
      </c>
      <c r="O54" s="4">
        <v>1</v>
      </c>
      <c r="P54" s="4">
        <v>1</v>
      </c>
      <c r="Q54" s="4">
        <v>54</v>
      </c>
      <c r="R54" s="4">
        <v>32</v>
      </c>
      <c r="S54" s="4">
        <v>2</v>
      </c>
      <c r="T54" s="4">
        <v>2</v>
      </c>
      <c r="U54" s="4">
        <v>5</v>
      </c>
      <c r="V54" s="4" t="s">
        <v>819</v>
      </c>
      <c r="W54" s="4">
        <f t="shared" si="3"/>
        <v>234</v>
      </c>
      <c r="X54" s="16">
        <f t="shared" si="4"/>
        <v>0.49263157894736842</v>
      </c>
      <c r="Y54" s="16">
        <v>0.8</v>
      </c>
      <c r="Z54" s="4">
        <f t="shared" si="2"/>
        <v>39</v>
      </c>
      <c r="AA54" s="4" t="s">
        <v>878</v>
      </c>
    </row>
    <row r="55" spans="1:27" s="8" customFormat="1" ht="24" customHeight="1" x14ac:dyDescent="0.2">
      <c r="A55" s="7">
        <v>50</v>
      </c>
      <c r="B55" s="13">
        <v>911</v>
      </c>
      <c r="C55" s="14" t="s">
        <v>287</v>
      </c>
      <c r="D55" s="69" t="s">
        <v>288</v>
      </c>
      <c r="E55" s="7" t="s">
        <v>220</v>
      </c>
      <c r="F55" s="4">
        <v>13</v>
      </c>
      <c r="G55" s="4">
        <v>48</v>
      </c>
      <c r="H55" s="4">
        <v>8</v>
      </c>
      <c r="I55" s="4">
        <v>2</v>
      </c>
      <c r="J55" s="4">
        <v>1</v>
      </c>
      <c r="K55" s="4" t="s">
        <v>876</v>
      </c>
      <c r="L55" s="4">
        <v>8</v>
      </c>
      <c r="M55" s="4">
        <v>42</v>
      </c>
      <c r="N55" s="4">
        <v>3</v>
      </c>
      <c r="O55" s="4">
        <v>5</v>
      </c>
      <c r="P55" s="4">
        <v>3</v>
      </c>
      <c r="Q55" s="4">
        <v>60</v>
      </c>
      <c r="R55" s="4">
        <v>30</v>
      </c>
      <c r="S55" s="4">
        <v>2</v>
      </c>
      <c r="T55" s="4">
        <v>3</v>
      </c>
      <c r="U55" s="4">
        <v>5</v>
      </c>
      <c r="V55" s="4" t="s">
        <v>820</v>
      </c>
      <c r="W55" s="4">
        <f t="shared" si="3"/>
        <v>233</v>
      </c>
      <c r="X55" s="16">
        <f t="shared" si="4"/>
        <v>0.4905263157894737</v>
      </c>
      <c r="Y55" s="16">
        <v>0.9</v>
      </c>
      <c r="Z55" s="4">
        <f t="shared" si="2"/>
        <v>40</v>
      </c>
      <c r="AA55" s="4" t="s">
        <v>878</v>
      </c>
    </row>
  </sheetData>
  <mergeCells count="16">
    <mergeCell ref="A7:AA7"/>
    <mergeCell ref="A31:AA31"/>
    <mergeCell ref="A1:AA1"/>
    <mergeCell ref="A2:AA2"/>
    <mergeCell ref="A3:AA3"/>
    <mergeCell ref="F4:V4"/>
    <mergeCell ref="W4:W5"/>
    <mergeCell ref="Y4:Y5"/>
    <mergeCell ref="AA4:AA6"/>
    <mergeCell ref="A4:A6"/>
    <mergeCell ref="B4:B6"/>
    <mergeCell ref="C4:C6"/>
    <mergeCell ref="D4:D6"/>
    <mergeCell ref="E4:E6"/>
    <mergeCell ref="X4:X5"/>
    <mergeCell ref="Z4:Z6"/>
  </mergeCells>
  <conditionalFormatting sqref="F1:V1048576">
    <cfRule type="cellIs" dxfId="47" priority="1" operator="equal">
      <formula>"AB"</formula>
    </cfRule>
  </conditionalFormatting>
  <conditionalFormatting sqref="Z1:Z1048576">
    <cfRule type="top10" dxfId="46" priority="2" bottom="1" rank="3"/>
    <cfRule type="duplicateValues" dxfId="45" priority="3"/>
  </conditionalFormatting>
  <pageMargins left="0.25" right="0.25" top="0.75" bottom="0.75" header="0.3" footer="0.3"/>
  <pageSetup paperSize="9" scale="7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58"/>
  <sheetViews>
    <sheetView topLeftCell="B1" workbookViewId="0">
      <selection activeCell="F5" sqref="F5:W5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6.7109375" bestFit="1" customWidth="1"/>
    <col min="4" max="4" width="20.28515625" bestFit="1" customWidth="1"/>
    <col min="5" max="5" width="5.28515625" bestFit="1" customWidth="1"/>
    <col min="6" max="27" width="5.7109375" customWidth="1"/>
    <col min="28" max="28" width="15.7109375" bestFit="1" customWidth="1"/>
  </cols>
  <sheetData>
    <row r="1" spans="1:28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</row>
    <row r="3" spans="1:28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</row>
    <row r="4" spans="1:28" ht="15" customHeight="1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94" t="s">
        <v>14</v>
      </c>
      <c r="Y4" s="94" t="s">
        <v>15</v>
      </c>
      <c r="Z4" s="94" t="s">
        <v>12</v>
      </c>
      <c r="AA4" s="95" t="s">
        <v>798</v>
      </c>
      <c r="AB4" s="120" t="s">
        <v>16</v>
      </c>
    </row>
    <row r="5" spans="1:28" ht="79.5" x14ac:dyDescent="0.25">
      <c r="A5" s="94"/>
      <c r="B5" s="94"/>
      <c r="C5" s="94"/>
      <c r="D5" s="94"/>
      <c r="E5" s="94"/>
      <c r="F5" s="2" t="s">
        <v>8</v>
      </c>
      <c r="G5" s="2" t="s">
        <v>814</v>
      </c>
      <c r="H5" s="2" t="s">
        <v>803</v>
      </c>
      <c r="I5" s="2" t="s">
        <v>804</v>
      </c>
      <c r="J5" s="2" t="s">
        <v>806</v>
      </c>
      <c r="K5" s="2" t="s">
        <v>805</v>
      </c>
      <c r="L5" s="2" t="s">
        <v>807</v>
      </c>
      <c r="M5" s="2" t="s">
        <v>843</v>
      </c>
      <c r="N5" s="2" t="s">
        <v>809</v>
      </c>
      <c r="O5" s="2" t="s">
        <v>810</v>
      </c>
      <c r="P5" s="2" t="s">
        <v>811</v>
      </c>
      <c r="Q5" s="2" t="s">
        <v>812</v>
      </c>
      <c r="R5" s="2" t="s">
        <v>813</v>
      </c>
      <c r="S5" s="2" t="s">
        <v>844</v>
      </c>
      <c r="T5" s="2" t="s">
        <v>815</v>
      </c>
      <c r="U5" s="2" t="s">
        <v>816</v>
      </c>
      <c r="V5" s="2" t="s">
        <v>817</v>
      </c>
      <c r="W5" s="2" t="s">
        <v>217</v>
      </c>
      <c r="X5" s="94"/>
      <c r="Y5" s="94"/>
      <c r="Z5" s="94"/>
      <c r="AA5" s="96"/>
      <c r="AB5" s="120"/>
    </row>
    <row r="6" spans="1:28" x14ac:dyDescent="0.25">
      <c r="A6" s="94"/>
      <c r="B6" s="94"/>
      <c r="C6" s="94"/>
      <c r="D6" s="94"/>
      <c r="E6" s="94"/>
      <c r="F6" s="3">
        <v>25</v>
      </c>
      <c r="G6" s="3">
        <v>50</v>
      </c>
      <c r="H6" s="3">
        <v>75</v>
      </c>
      <c r="I6" s="3">
        <v>10</v>
      </c>
      <c r="J6" s="3">
        <v>5</v>
      </c>
      <c r="K6" s="3">
        <v>10</v>
      </c>
      <c r="L6" s="3">
        <v>90</v>
      </c>
      <c r="M6" s="3">
        <v>10</v>
      </c>
      <c r="N6" s="3">
        <v>75</v>
      </c>
      <c r="O6" s="3">
        <v>10</v>
      </c>
      <c r="P6" s="3">
        <v>10</v>
      </c>
      <c r="Q6" s="3">
        <v>5</v>
      </c>
      <c r="R6" s="3">
        <v>60</v>
      </c>
      <c r="S6" s="3">
        <v>15</v>
      </c>
      <c r="T6" s="3">
        <v>60</v>
      </c>
      <c r="U6" s="3">
        <v>5</v>
      </c>
      <c r="V6" s="3">
        <v>10</v>
      </c>
      <c r="W6" s="3" t="s">
        <v>289</v>
      </c>
      <c r="X6" s="3">
        <f>SUM(F6:W6)</f>
        <v>525</v>
      </c>
      <c r="Y6" s="94"/>
      <c r="Z6" s="94"/>
      <c r="AA6" s="97"/>
      <c r="AB6" s="120"/>
    </row>
    <row r="7" spans="1:28" ht="21" x14ac:dyDescent="0.35">
      <c r="A7" s="125" t="s">
        <v>165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</row>
    <row r="8" spans="1:28" x14ac:dyDescent="0.25">
      <c r="A8" s="7">
        <v>1</v>
      </c>
      <c r="B8" s="26">
        <v>490</v>
      </c>
      <c r="C8" s="38" t="s">
        <v>376</v>
      </c>
      <c r="D8" s="38" t="s">
        <v>377</v>
      </c>
      <c r="E8" s="7" t="s">
        <v>378</v>
      </c>
      <c r="F8" s="4">
        <v>15</v>
      </c>
      <c r="G8" s="4">
        <v>31</v>
      </c>
      <c r="H8" s="4">
        <v>48</v>
      </c>
      <c r="I8" s="4">
        <v>7</v>
      </c>
      <c r="J8" s="4">
        <v>4</v>
      </c>
      <c r="K8" s="4">
        <v>7</v>
      </c>
      <c r="L8" s="4">
        <v>60</v>
      </c>
      <c r="M8" s="4">
        <v>7</v>
      </c>
      <c r="N8" s="4">
        <v>52</v>
      </c>
      <c r="O8" s="4">
        <v>8</v>
      </c>
      <c r="P8" s="4">
        <v>8</v>
      </c>
      <c r="Q8" s="4">
        <v>3</v>
      </c>
      <c r="R8" s="4">
        <v>41</v>
      </c>
      <c r="S8" s="4">
        <v>10</v>
      </c>
      <c r="T8" s="4">
        <v>50</v>
      </c>
      <c r="U8" s="4">
        <v>3</v>
      </c>
      <c r="V8" s="4">
        <v>7</v>
      </c>
      <c r="W8" s="4" t="s">
        <v>819</v>
      </c>
      <c r="X8" s="4">
        <f>SUM(F8:W8)</f>
        <v>361</v>
      </c>
      <c r="Y8" s="16">
        <f>X8/$X$6</f>
        <v>0.68761904761904757</v>
      </c>
      <c r="Z8" s="16">
        <v>0.88</v>
      </c>
      <c r="AA8" s="54">
        <f>RANK(X8,$X$8:$X$58,0)</f>
        <v>28</v>
      </c>
      <c r="AB8" s="4" t="s">
        <v>856</v>
      </c>
    </row>
    <row r="9" spans="1:28" x14ac:dyDescent="0.25">
      <c r="A9" s="7">
        <v>2</v>
      </c>
      <c r="B9" s="29">
        <v>646</v>
      </c>
      <c r="C9" s="38" t="s">
        <v>379</v>
      </c>
      <c r="D9" s="38" t="s">
        <v>354</v>
      </c>
      <c r="E9" s="7" t="s">
        <v>378</v>
      </c>
      <c r="F9" s="4">
        <v>15</v>
      </c>
      <c r="G9" s="4">
        <v>35</v>
      </c>
      <c r="H9" s="4">
        <v>58</v>
      </c>
      <c r="I9" s="4">
        <v>5</v>
      </c>
      <c r="J9" s="4">
        <v>5</v>
      </c>
      <c r="K9" s="4">
        <v>5</v>
      </c>
      <c r="L9" s="4">
        <v>60</v>
      </c>
      <c r="M9" s="4">
        <v>7</v>
      </c>
      <c r="N9" s="4">
        <v>39</v>
      </c>
      <c r="O9" s="4">
        <v>5</v>
      </c>
      <c r="P9" s="4">
        <v>6</v>
      </c>
      <c r="Q9" s="4">
        <v>4</v>
      </c>
      <c r="R9" s="4">
        <v>39</v>
      </c>
      <c r="S9" s="4">
        <v>10</v>
      </c>
      <c r="T9" s="4">
        <v>43</v>
      </c>
      <c r="U9" s="4">
        <v>3</v>
      </c>
      <c r="V9" s="4">
        <v>7</v>
      </c>
      <c r="W9" s="4" t="s">
        <v>819</v>
      </c>
      <c r="X9" s="4">
        <f t="shared" ref="X9:X33" si="0">SUM(F9:W9)</f>
        <v>346</v>
      </c>
      <c r="Y9" s="16">
        <f t="shared" ref="Y9:Y33" si="1">X9/$X$6</f>
        <v>0.65904761904761899</v>
      </c>
      <c r="Z9" s="52">
        <v>0.9</v>
      </c>
      <c r="AA9" s="54">
        <f t="shared" ref="AA9:AA58" si="2">RANK(X9,$X$8:$X$58,0)</f>
        <v>32</v>
      </c>
      <c r="AB9" s="4" t="s">
        <v>856</v>
      </c>
    </row>
    <row r="10" spans="1:28" x14ac:dyDescent="0.25">
      <c r="A10" s="7">
        <v>3</v>
      </c>
      <c r="B10" s="29">
        <v>690</v>
      </c>
      <c r="C10" s="38" t="s">
        <v>380</v>
      </c>
      <c r="D10" s="38" t="s">
        <v>381</v>
      </c>
      <c r="E10" s="7" t="s">
        <v>378</v>
      </c>
      <c r="F10" s="4">
        <v>24</v>
      </c>
      <c r="G10" s="4">
        <v>50</v>
      </c>
      <c r="H10" s="4">
        <v>74</v>
      </c>
      <c r="I10" s="4">
        <v>10</v>
      </c>
      <c r="J10" s="4">
        <v>4</v>
      </c>
      <c r="K10" s="4">
        <v>10</v>
      </c>
      <c r="L10" s="4">
        <v>88</v>
      </c>
      <c r="M10" s="4">
        <v>10</v>
      </c>
      <c r="N10" s="4">
        <v>75</v>
      </c>
      <c r="O10" s="4">
        <v>10</v>
      </c>
      <c r="P10" s="4">
        <v>10</v>
      </c>
      <c r="Q10" s="4">
        <v>5</v>
      </c>
      <c r="R10" s="4">
        <v>59</v>
      </c>
      <c r="S10" s="4">
        <v>14</v>
      </c>
      <c r="T10" s="4">
        <v>59</v>
      </c>
      <c r="U10" s="4">
        <v>5</v>
      </c>
      <c r="V10" s="4">
        <v>10</v>
      </c>
      <c r="W10" s="4" t="s">
        <v>823</v>
      </c>
      <c r="X10" s="4">
        <f t="shared" si="0"/>
        <v>517</v>
      </c>
      <c r="Y10" s="16">
        <f t="shared" si="1"/>
        <v>0.98476190476190473</v>
      </c>
      <c r="Z10" s="52">
        <v>0.95</v>
      </c>
      <c r="AA10" s="54">
        <f t="shared" si="2"/>
        <v>2</v>
      </c>
      <c r="AB10" s="4" t="s">
        <v>849</v>
      </c>
    </row>
    <row r="11" spans="1:28" x14ac:dyDescent="0.25">
      <c r="A11" s="7">
        <v>4</v>
      </c>
      <c r="B11" s="29">
        <v>684</v>
      </c>
      <c r="C11" s="38" t="s">
        <v>382</v>
      </c>
      <c r="D11" s="38" t="s">
        <v>257</v>
      </c>
      <c r="E11" s="7" t="s">
        <v>378</v>
      </c>
      <c r="F11" s="4">
        <v>15</v>
      </c>
      <c r="G11" s="4">
        <v>25</v>
      </c>
      <c r="H11" s="4">
        <v>44</v>
      </c>
      <c r="I11" s="4">
        <v>5</v>
      </c>
      <c r="J11" s="4">
        <v>4</v>
      </c>
      <c r="K11" s="4">
        <v>5</v>
      </c>
      <c r="L11" s="4">
        <v>72</v>
      </c>
      <c r="M11" s="4">
        <v>5</v>
      </c>
      <c r="N11" s="4">
        <v>36</v>
      </c>
      <c r="O11" s="4">
        <v>5</v>
      </c>
      <c r="P11" s="4">
        <v>5</v>
      </c>
      <c r="Q11" s="4">
        <v>4</v>
      </c>
      <c r="R11" s="4">
        <v>44</v>
      </c>
      <c r="S11" s="4">
        <v>10</v>
      </c>
      <c r="T11" s="4">
        <v>39</v>
      </c>
      <c r="U11" s="4">
        <v>3</v>
      </c>
      <c r="V11" s="4">
        <v>7</v>
      </c>
      <c r="W11" s="4" t="s">
        <v>819</v>
      </c>
      <c r="X11" s="4">
        <f t="shared" si="0"/>
        <v>328</v>
      </c>
      <c r="Y11" s="16">
        <f t="shared" si="1"/>
        <v>0.62476190476190474</v>
      </c>
      <c r="Z11" s="52">
        <v>0.8</v>
      </c>
      <c r="AA11" s="54">
        <f t="shared" si="2"/>
        <v>37</v>
      </c>
      <c r="AB11" s="4" t="s">
        <v>850</v>
      </c>
    </row>
    <row r="12" spans="1:28" x14ac:dyDescent="0.25">
      <c r="A12" s="7">
        <v>5</v>
      </c>
      <c r="B12" s="29">
        <v>551</v>
      </c>
      <c r="C12" s="38" t="s">
        <v>109</v>
      </c>
      <c r="D12" s="38" t="s">
        <v>383</v>
      </c>
      <c r="E12" s="7" t="s">
        <v>378</v>
      </c>
      <c r="F12" s="4">
        <v>15</v>
      </c>
      <c r="G12" s="4">
        <v>27</v>
      </c>
      <c r="H12" s="4">
        <v>50</v>
      </c>
      <c r="I12" s="4">
        <v>6</v>
      </c>
      <c r="J12" s="4">
        <v>4</v>
      </c>
      <c r="K12" s="4">
        <v>2</v>
      </c>
      <c r="L12" s="4">
        <v>54</v>
      </c>
      <c r="M12" s="4">
        <v>8</v>
      </c>
      <c r="N12" s="4">
        <v>31</v>
      </c>
      <c r="O12" s="4">
        <v>5</v>
      </c>
      <c r="P12" s="4">
        <v>8</v>
      </c>
      <c r="Q12" s="4">
        <v>3</v>
      </c>
      <c r="R12" s="4">
        <v>51</v>
      </c>
      <c r="S12" s="4">
        <v>10</v>
      </c>
      <c r="T12" s="4">
        <v>43</v>
      </c>
      <c r="U12" s="4">
        <v>3</v>
      </c>
      <c r="V12" s="4">
        <v>7</v>
      </c>
      <c r="W12" s="4" t="s">
        <v>819</v>
      </c>
      <c r="X12" s="4">
        <f t="shared" si="0"/>
        <v>327</v>
      </c>
      <c r="Y12" s="16">
        <f t="shared" si="1"/>
        <v>0.62285714285714289</v>
      </c>
      <c r="Z12" s="52">
        <v>0.92</v>
      </c>
      <c r="AA12" s="54">
        <f t="shared" si="2"/>
        <v>38</v>
      </c>
      <c r="AB12" s="4" t="s">
        <v>850</v>
      </c>
    </row>
    <row r="13" spans="1:28" x14ac:dyDescent="0.25">
      <c r="A13" s="7">
        <v>6</v>
      </c>
      <c r="B13" s="29">
        <v>647</v>
      </c>
      <c r="C13" s="38" t="s">
        <v>384</v>
      </c>
      <c r="D13" s="38" t="s">
        <v>385</v>
      </c>
      <c r="E13" s="7" t="s">
        <v>378</v>
      </c>
      <c r="F13" s="4">
        <v>24</v>
      </c>
      <c r="G13" s="4">
        <v>49</v>
      </c>
      <c r="H13" s="4">
        <v>69</v>
      </c>
      <c r="I13" s="4">
        <v>7</v>
      </c>
      <c r="J13" s="4">
        <v>5</v>
      </c>
      <c r="K13" s="4">
        <v>9</v>
      </c>
      <c r="L13" s="4">
        <v>49</v>
      </c>
      <c r="M13" s="4">
        <v>8</v>
      </c>
      <c r="N13" s="4">
        <v>71</v>
      </c>
      <c r="O13" s="4">
        <v>7</v>
      </c>
      <c r="P13" s="4">
        <v>10</v>
      </c>
      <c r="Q13" s="4">
        <v>4</v>
      </c>
      <c r="R13" s="4">
        <v>55</v>
      </c>
      <c r="S13" s="4">
        <v>12</v>
      </c>
      <c r="T13" s="4">
        <v>58</v>
      </c>
      <c r="U13" s="4">
        <v>3</v>
      </c>
      <c r="V13" s="4">
        <v>8</v>
      </c>
      <c r="W13" s="4" t="s">
        <v>819</v>
      </c>
      <c r="X13" s="4">
        <f t="shared" si="0"/>
        <v>448</v>
      </c>
      <c r="Y13" s="16">
        <f t="shared" si="1"/>
        <v>0.85333333333333339</v>
      </c>
      <c r="Z13" s="52">
        <v>0.94</v>
      </c>
      <c r="AA13" s="54">
        <f t="shared" si="2"/>
        <v>13</v>
      </c>
      <c r="AB13" s="4" t="s">
        <v>877</v>
      </c>
    </row>
    <row r="14" spans="1:28" x14ac:dyDescent="0.25">
      <c r="A14" s="7">
        <v>7</v>
      </c>
      <c r="B14" s="29">
        <v>585</v>
      </c>
      <c r="C14" s="38" t="s">
        <v>386</v>
      </c>
      <c r="D14" s="38" t="s">
        <v>54</v>
      </c>
      <c r="E14" s="7" t="s">
        <v>378</v>
      </c>
      <c r="F14" s="4">
        <v>15</v>
      </c>
      <c r="G14" s="4">
        <v>25</v>
      </c>
      <c r="H14" s="4">
        <v>49</v>
      </c>
      <c r="I14" s="4">
        <v>3</v>
      </c>
      <c r="J14" s="4">
        <v>4</v>
      </c>
      <c r="K14" s="4">
        <v>4</v>
      </c>
      <c r="L14" s="4">
        <v>58</v>
      </c>
      <c r="M14" s="4">
        <v>3</v>
      </c>
      <c r="N14" s="4">
        <v>29</v>
      </c>
      <c r="O14" s="4">
        <v>3</v>
      </c>
      <c r="P14" s="4">
        <v>4</v>
      </c>
      <c r="Q14" s="4">
        <v>3</v>
      </c>
      <c r="R14" s="4">
        <v>41</v>
      </c>
      <c r="S14" s="4">
        <v>5</v>
      </c>
      <c r="T14" s="4">
        <v>37</v>
      </c>
      <c r="U14" s="4">
        <v>3</v>
      </c>
      <c r="V14" s="4">
        <v>7</v>
      </c>
      <c r="W14" s="4" t="s">
        <v>819</v>
      </c>
      <c r="X14" s="4">
        <f t="shared" si="0"/>
        <v>293</v>
      </c>
      <c r="Y14" s="16">
        <f t="shared" si="1"/>
        <v>0.55809523809523809</v>
      </c>
      <c r="Z14" s="52">
        <v>0.81</v>
      </c>
      <c r="AA14" s="54">
        <f t="shared" si="2"/>
        <v>42</v>
      </c>
      <c r="AB14" s="4" t="s">
        <v>850</v>
      </c>
    </row>
    <row r="15" spans="1:28" x14ac:dyDescent="0.25">
      <c r="A15" s="7">
        <v>8</v>
      </c>
      <c r="B15" s="13">
        <v>555</v>
      </c>
      <c r="C15" s="38" t="s">
        <v>56</v>
      </c>
      <c r="D15" s="38" t="s">
        <v>387</v>
      </c>
      <c r="E15" s="7" t="s">
        <v>378</v>
      </c>
      <c r="F15" s="4">
        <v>20</v>
      </c>
      <c r="G15" s="4">
        <v>47</v>
      </c>
      <c r="H15" s="4">
        <v>59</v>
      </c>
      <c r="I15" s="4">
        <v>5</v>
      </c>
      <c r="J15" s="4">
        <v>4</v>
      </c>
      <c r="K15" s="4">
        <v>6</v>
      </c>
      <c r="L15" s="4">
        <v>69</v>
      </c>
      <c r="M15" s="4">
        <v>5</v>
      </c>
      <c r="N15" s="4">
        <v>62</v>
      </c>
      <c r="O15" s="4">
        <v>5</v>
      </c>
      <c r="P15" s="4">
        <v>10</v>
      </c>
      <c r="Q15" s="4">
        <v>3</v>
      </c>
      <c r="R15" s="4">
        <v>50</v>
      </c>
      <c r="S15" s="4">
        <v>10</v>
      </c>
      <c r="T15" s="4">
        <v>53</v>
      </c>
      <c r="U15" s="4">
        <v>3</v>
      </c>
      <c r="V15" s="44">
        <v>6</v>
      </c>
      <c r="W15" s="44" t="s">
        <v>819</v>
      </c>
      <c r="X15" s="4">
        <f t="shared" si="0"/>
        <v>417</v>
      </c>
      <c r="Y15" s="16">
        <f t="shared" si="1"/>
        <v>0.79428571428571426</v>
      </c>
      <c r="Z15" s="52">
        <v>0.62</v>
      </c>
      <c r="AA15" s="54">
        <f t="shared" si="2"/>
        <v>20</v>
      </c>
      <c r="AB15" s="4" t="s">
        <v>856</v>
      </c>
    </row>
    <row r="16" spans="1:28" x14ac:dyDescent="0.25">
      <c r="A16" s="7">
        <v>9</v>
      </c>
      <c r="B16" s="13">
        <v>691</v>
      </c>
      <c r="C16" s="38" t="s">
        <v>388</v>
      </c>
      <c r="D16" s="38" t="s">
        <v>389</v>
      </c>
      <c r="E16" s="7" t="s">
        <v>378</v>
      </c>
      <c r="F16" s="4">
        <v>15</v>
      </c>
      <c r="G16" s="4">
        <v>40</v>
      </c>
      <c r="H16" s="4">
        <v>64</v>
      </c>
      <c r="I16" s="4">
        <v>5</v>
      </c>
      <c r="J16" s="4">
        <v>4</v>
      </c>
      <c r="K16" s="4">
        <v>5</v>
      </c>
      <c r="L16" s="4">
        <v>71</v>
      </c>
      <c r="M16" s="4">
        <v>5</v>
      </c>
      <c r="N16" s="4">
        <v>36</v>
      </c>
      <c r="O16" s="4">
        <v>5</v>
      </c>
      <c r="P16" s="4">
        <v>9</v>
      </c>
      <c r="Q16" s="4">
        <v>3</v>
      </c>
      <c r="R16" s="4">
        <v>44</v>
      </c>
      <c r="S16" s="4">
        <v>8</v>
      </c>
      <c r="T16" s="4">
        <v>43</v>
      </c>
      <c r="U16" s="4">
        <v>3</v>
      </c>
      <c r="V16" s="4">
        <v>7</v>
      </c>
      <c r="W16" s="4" t="s">
        <v>820</v>
      </c>
      <c r="X16" s="4">
        <f t="shared" si="0"/>
        <v>367</v>
      </c>
      <c r="Y16" s="16">
        <f t="shared" si="1"/>
        <v>0.69904761904761903</v>
      </c>
      <c r="Z16" s="52">
        <v>0.62</v>
      </c>
      <c r="AA16" s="54">
        <f t="shared" si="2"/>
        <v>27</v>
      </c>
      <c r="AB16" s="4" t="s">
        <v>856</v>
      </c>
    </row>
    <row r="17" spans="1:28" x14ac:dyDescent="0.25">
      <c r="A17" s="7">
        <v>10</v>
      </c>
      <c r="B17" s="29">
        <v>528</v>
      </c>
      <c r="C17" s="38" t="s">
        <v>390</v>
      </c>
      <c r="D17" s="38" t="s">
        <v>391</v>
      </c>
      <c r="E17" s="7" t="s">
        <v>378</v>
      </c>
      <c r="F17" s="4">
        <v>15</v>
      </c>
      <c r="G17" s="4">
        <v>21</v>
      </c>
      <c r="H17" s="4">
        <v>46</v>
      </c>
      <c r="I17" s="4">
        <v>4</v>
      </c>
      <c r="J17" s="4">
        <v>4</v>
      </c>
      <c r="K17" s="4">
        <v>4</v>
      </c>
      <c r="L17" s="4">
        <v>44</v>
      </c>
      <c r="M17" s="4">
        <v>5</v>
      </c>
      <c r="N17" s="4">
        <v>27</v>
      </c>
      <c r="O17" s="4">
        <v>4</v>
      </c>
      <c r="P17" s="4">
        <v>3</v>
      </c>
      <c r="Q17" s="4">
        <v>3</v>
      </c>
      <c r="R17" s="4" t="s">
        <v>819</v>
      </c>
      <c r="S17" s="4">
        <v>8</v>
      </c>
      <c r="T17" s="4">
        <v>39</v>
      </c>
      <c r="U17" s="4">
        <v>3</v>
      </c>
      <c r="V17" s="4">
        <v>6</v>
      </c>
      <c r="W17" s="51" t="s">
        <v>818</v>
      </c>
      <c r="X17" s="4">
        <f t="shared" si="0"/>
        <v>236</v>
      </c>
      <c r="Y17" s="16">
        <f t="shared" si="1"/>
        <v>0.44952380952380955</v>
      </c>
      <c r="Z17" s="52">
        <v>0.51</v>
      </c>
      <c r="AA17" s="54">
        <f t="shared" si="2"/>
        <v>48</v>
      </c>
      <c r="AB17" s="4" t="s">
        <v>850</v>
      </c>
    </row>
    <row r="18" spans="1:28" x14ac:dyDescent="0.25">
      <c r="A18" s="7">
        <v>11</v>
      </c>
      <c r="B18" s="29">
        <v>689</v>
      </c>
      <c r="C18" s="38" t="s">
        <v>392</v>
      </c>
      <c r="D18" s="38" t="s">
        <v>393</v>
      </c>
      <c r="E18" s="7" t="s">
        <v>378</v>
      </c>
      <c r="F18" s="4">
        <v>15</v>
      </c>
      <c r="G18" s="4">
        <v>25</v>
      </c>
      <c r="H18" s="4">
        <v>53</v>
      </c>
      <c r="I18" s="4">
        <v>4</v>
      </c>
      <c r="J18" s="4">
        <v>4</v>
      </c>
      <c r="K18" s="4">
        <v>2</v>
      </c>
      <c r="L18" s="4">
        <v>74</v>
      </c>
      <c r="M18" s="4">
        <v>4</v>
      </c>
      <c r="N18" s="4">
        <v>34</v>
      </c>
      <c r="O18" s="4">
        <v>5</v>
      </c>
      <c r="P18" s="4">
        <v>7</v>
      </c>
      <c r="Q18" s="4">
        <v>4</v>
      </c>
      <c r="R18" s="4">
        <v>44</v>
      </c>
      <c r="S18" s="4">
        <v>10</v>
      </c>
      <c r="T18" s="4">
        <v>39</v>
      </c>
      <c r="U18" s="4">
        <v>3</v>
      </c>
      <c r="V18" s="4">
        <v>7</v>
      </c>
      <c r="W18" s="4" t="s">
        <v>819</v>
      </c>
      <c r="X18" s="4">
        <f t="shared" si="0"/>
        <v>334</v>
      </c>
      <c r="Y18" s="16">
        <f t="shared" si="1"/>
        <v>0.6361904761904762</v>
      </c>
      <c r="Z18" s="52">
        <v>0.68</v>
      </c>
      <c r="AA18" s="54">
        <f t="shared" si="2"/>
        <v>35</v>
      </c>
      <c r="AB18" s="4" t="s">
        <v>850</v>
      </c>
    </row>
    <row r="19" spans="1:28" x14ac:dyDescent="0.25">
      <c r="A19" s="7">
        <v>12</v>
      </c>
      <c r="B19" s="29">
        <v>479</v>
      </c>
      <c r="C19" s="38" t="s">
        <v>394</v>
      </c>
      <c r="D19" s="38" t="s">
        <v>112</v>
      </c>
      <c r="E19" s="7" t="s">
        <v>378</v>
      </c>
      <c r="F19" s="4">
        <v>15</v>
      </c>
      <c r="G19" s="4">
        <v>23</v>
      </c>
      <c r="H19" s="4">
        <v>46</v>
      </c>
      <c r="I19" s="4">
        <v>6</v>
      </c>
      <c r="J19" s="4">
        <v>4</v>
      </c>
      <c r="K19" s="4">
        <v>5</v>
      </c>
      <c r="L19" s="4">
        <v>50</v>
      </c>
      <c r="M19" s="4">
        <v>5</v>
      </c>
      <c r="N19" s="4">
        <v>23</v>
      </c>
      <c r="O19" s="4">
        <v>4</v>
      </c>
      <c r="P19" s="4">
        <v>4</v>
      </c>
      <c r="Q19" s="4">
        <v>3</v>
      </c>
      <c r="R19" s="4">
        <v>42</v>
      </c>
      <c r="S19" s="4">
        <v>10</v>
      </c>
      <c r="T19" s="4">
        <v>39</v>
      </c>
      <c r="U19" s="4">
        <v>3</v>
      </c>
      <c r="V19" s="4">
        <v>6</v>
      </c>
      <c r="W19" s="4" t="s">
        <v>818</v>
      </c>
      <c r="X19" s="4">
        <f t="shared" si="0"/>
        <v>288</v>
      </c>
      <c r="Y19" s="16">
        <f t="shared" si="1"/>
        <v>0.5485714285714286</v>
      </c>
      <c r="Z19" s="52">
        <v>0.73</v>
      </c>
      <c r="AA19" s="54">
        <f t="shared" si="2"/>
        <v>44</v>
      </c>
      <c r="AB19" s="4" t="s">
        <v>850</v>
      </c>
    </row>
    <row r="20" spans="1:28" x14ac:dyDescent="0.25">
      <c r="A20" s="7">
        <v>13</v>
      </c>
      <c r="B20" s="29">
        <v>648</v>
      </c>
      <c r="C20" s="38" t="s">
        <v>395</v>
      </c>
      <c r="D20" s="38" t="s">
        <v>64</v>
      </c>
      <c r="E20" s="7" t="s">
        <v>378</v>
      </c>
      <c r="F20" s="4">
        <v>15</v>
      </c>
      <c r="G20" s="4">
        <v>22</v>
      </c>
      <c r="H20" s="4">
        <v>36</v>
      </c>
      <c r="I20" s="4">
        <v>5</v>
      </c>
      <c r="J20" s="4">
        <v>4</v>
      </c>
      <c r="K20" s="4">
        <v>2</v>
      </c>
      <c r="L20" s="4">
        <v>65</v>
      </c>
      <c r="M20" s="4">
        <v>5</v>
      </c>
      <c r="N20" s="4">
        <v>34</v>
      </c>
      <c r="O20" s="4">
        <v>4</v>
      </c>
      <c r="P20" s="4">
        <v>4</v>
      </c>
      <c r="Q20" s="4">
        <v>4</v>
      </c>
      <c r="R20" s="4">
        <v>39</v>
      </c>
      <c r="S20" s="4">
        <v>10</v>
      </c>
      <c r="T20" s="4">
        <v>43</v>
      </c>
      <c r="U20" s="4">
        <v>3</v>
      </c>
      <c r="V20" s="4">
        <v>6</v>
      </c>
      <c r="W20" s="4" t="s">
        <v>819</v>
      </c>
      <c r="X20" s="4">
        <f t="shared" si="0"/>
        <v>301</v>
      </c>
      <c r="Y20" s="16">
        <f t="shared" si="1"/>
        <v>0.57333333333333336</v>
      </c>
      <c r="Z20" s="52">
        <v>0.85</v>
      </c>
      <c r="AA20" s="54">
        <f t="shared" si="2"/>
        <v>41</v>
      </c>
      <c r="AB20" s="4" t="s">
        <v>850</v>
      </c>
    </row>
    <row r="21" spans="1:28" x14ac:dyDescent="0.25">
      <c r="A21" s="7">
        <v>14</v>
      </c>
      <c r="B21" s="29">
        <v>578</v>
      </c>
      <c r="C21" s="38" t="s">
        <v>396</v>
      </c>
      <c r="D21" s="38" t="s">
        <v>397</v>
      </c>
      <c r="E21" s="7" t="s">
        <v>378</v>
      </c>
      <c r="F21" s="4">
        <v>24</v>
      </c>
      <c r="G21" s="4">
        <v>50</v>
      </c>
      <c r="H21" s="4">
        <v>74</v>
      </c>
      <c r="I21" s="4">
        <v>10</v>
      </c>
      <c r="J21" s="4">
        <v>4</v>
      </c>
      <c r="K21" s="4">
        <v>10</v>
      </c>
      <c r="L21" s="4">
        <v>86</v>
      </c>
      <c r="M21" s="4">
        <v>9</v>
      </c>
      <c r="N21" s="4">
        <v>73</v>
      </c>
      <c r="O21" s="4">
        <v>10</v>
      </c>
      <c r="P21" s="4">
        <v>10</v>
      </c>
      <c r="Q21" s="4">
        <v>5</v>
      </c>
      <c r="R21" s="4">
        <v>55</v>
      </c>
      <c r="S21" s="4">
        <v>14</v>
      </c>
      <c r="T21" s="4">
        <v>57</v>
      </c>
      <c r="U21" s="4">
        <v>5</v>
      </c>
      <c r="V21" s="4">
        <v>10</v>
      </c>
      <c r="W21" s="4" t="s">
        <v>823</v>
      </c>
      <c r="X21" s="4">
        <f t="shared" si="0"/>
        <v>506</v>
      </c>
      <c r="Y21" s="16">
        <f t="shared" si="1"/>
        <v>0.96380952380952378</v>
      </c>
      <c r="Z21" s="52">
        <v>0.95</v>
      </c>
      <c r="AA21" s="54">
        <f t="shared" si="2"/>
        <v>4</v>
      </c>
      <c r="AB21" s="4" t="s">
        <v>879</v>
      </c>
    </row>
    <row r="22" spans="1:28" x14ac:dyDescent="0.25">
      <c r="A22" s="7">
        <v>15</v>
      </c>
      <c r="B22" s="29">
        <v>573</v>
      </c>
      <c r="C22" s="38" t="s">
        <v>95</v>
      </c>
      <c r="D22" s="38" t="s">
        <v>83</v>
      </c>
      <c r="E22" s="7" t="s">
        <v>378</v>
      </c>
      <c r="F22" s="4">
        <v>15</v>
      </c>
      <c r="G22" s="4">
        <v>26</v>
      </c>
      <c r="H22" s="4" t="s">
        <v>818</v>
      </c>
      <c r="I22" s="4">
        <v>5</v>
      </c>
      <c r="J22" s="4">
        <v>5</v>
      </c>
      <c r="K22" s="4">
        <v>2</v>
      </c>
      <c r="L22" s="4">
        <v>65</v>
      </c>
      <c r="M22" s="4">
        <v>5</v>
      </c>
      <c r="N22" s="4" t="s">
        <v>818</v>
      </c>
      <c r="O22" s="4">
        <v>4</v>
      </c>
      <c r="P22" s="4">
        <v>3</v>
      </c>
      <c r="Q22" s="4">
        <v>5</v>
      </c>
      <c r="R22" s="4" t="s">
        <v>818</v>
      </c>
      <c r="S22" s="4">
        <v>10</v>
      </c>
      <c r="T22" s="4">
        <v>40</v>
      </c>
      <c r="U22" s="4">
        <v>3</v>
      </c>
      <c r="V22" s="4">
        <v>7</v>
      </c>
      <c r="W22" s="51" t="s">
        <v>818</v>
      </c>
      <c r="X22" s="4">
        <f t="shared" si="0"/>
        <v>195</v>
      </c>
      <c r="Y22" s="16">
        <f t="shared" si="1"/>
        <v>0.37142857142857144</v>
      </c>
      <c r="Z22" s="52">
        <v>0.76</v>
      </c>
      <c r="AA22" s="54">
        <f t="shared" si="2"/>
        <v>50</v>
      </c>
      <c r="AB22" s="4" t="s">
        <v>880</v>
      </c>
    </row>
    <row r="23" spans="1:28" x14ac:dyDescent="0.25">
      <c r="A23" s="7">
        <v>16</v>
      </c>
      <c r="B23" s="29">
        <v>575</v>
      </c>
      <c r="C23" s="38" t="s">
        <v>398</v>
      </c>
      <c r="D23" s="38" t="s">
        <v>231</v>
      </c>
      <c r="E23" s="7" t="s">
        <v>378</v>
      </c>
      <c r="F23" s="4">
        <v>20</v>
      </c>
      <c r="G23" s="4">
        <v>44</v>
      </c>
      <c r="H23" s="4">
        <v>63</v>
      </c>
      <c r="I23" s="4">
        <v>9</v>
      </c>
      <c r="J23" s="4">
        <v>4</v>
      </c>
      <c r="K23" s="4">
        <v>7</v>
      </c>
      <c r="L23" s="4">
        <v>74</v>
      </c>
      <c r="M23" s="4">
        <v>10</v>
      </c>
      <c r="N23" s="4">
        <v>41</v>
      </c>
      <c r="O23" s="4">
        <v>5</v>
      </c>
      <c r="P23" s="4">
        <v>9</v>
      </c>
      <c r="Q23" s="4">
        <v>4</v>
      </c>
      <c r="R23" s="4">
        <v>44</v>
      </c>
      <c r="S23" s="4">
        <v>12</v>
      </c>
      <c r="T23" s="4">
        <v>45</v>
      </c>
      <c r="U23" s="4">
        <v>5</v>
      </c>
      <c r="V23" s="4">
        <v>10</v>
      </c>
      <c r="W23" s="4" t="s">
        <v>820</v>
      </c>
      <c r="X23" s="4">
        <f t="shared" si="0"/>
        <v>406</v>
      </c>
      <c r="Y23" s="16">
        <f t="shared" si="1"/>
        <v>0.77333333333333332</v>
      </c>
      <c r="Z23" s="52">
        <v>0.84</v>
      </c>
      <c r="AA23" s="54">
        <f t="shared" si="2"/>
        <v>21</v>
      </c>
      <c r="AB23" s="4" t="s">
        <v>856</v>
      </c>
    </row>
    <row r="24" spans="1:28" x14ac:dyDescent="0.25">
      <c r="A24" s="7">
        <v>17</v>
      </c>
      <c r="B24" s="29">
        <v>586</v>
      </c>
      <c r="C24" s="38" t="s">
        <v>399</v>
      </c>
      <c r="D24" s="38" t="s">
        <v>400</v>
      </c>
      <c r="E24" s="7" t="s">
        <v>378</v>
      </c>
      <c r="F24" s="4">
        <v>24</v>
      </c>
      <c r="G24" s="4">
        <v>36</v>
      </c>
      <c r="H24" s="4">
        <v>67</v>
      </c>
      <c r="I24" s="4">
        <v>10</v>
      </c>
      <c r="J24" s="4">
        <v>4</v>
      </c>
      <c r="K24" s="4">
        <v>9</v>
      </c>
      <c r="L24" s="4">
        <v>52</v>
      </c>
      <c r="M24" s="4">
        <v>8</v>
      </c>
      <c r="N24" s="4">
        <v>63</v>
      </c>
      <c r="O24" s="4">
        <v>9</v>
      </c>
      <c r="P24" s="4">
        <v>10</v>
      </c>
      <c r="Q24" s="4">
        <v>4</v>
      </c>
      <c r="R24" s="4">
        <v>43</v>
      </c>
      <c r="S24" s="4">
        <v>14</v>
      </c>
      <c r="T24" s="4">
        <v>52</v>
      </c>
      <c r="U24" s="4">
        <v>5</v>
      </c>
      <c r="V24" s="4">
        <v>9</v>
      </c>
      <c r="W24" s="4" t="s">
        <v>820</v>
      </c>
      <c r="X24" s="4">
        <f t="shared" si="0"/>
        <v>419</v>
      </c>
      <c r="Y24" s="16">
        <f t="shared" si="1"/>
        <v>0.79809523809523808</v>
      </c>
      <c r="Z24" s="52">
        <v>0.85</v>
      </c>
      <c r="AA24" s="54">
        <f t="shared" si="2"/>
        <v>19</v>
      </c>
      <c r="AB24" s="4" t="s">
        <v>856</v>
      </c>
    </row>
    <row r="25" spans="1:28" x14ac:dyDescent="0.25">
      <c r="A25" s="7">
        <v>18</v>
      </c>
      <c r="B25" s="29">
        <v>583</v>
      </c>
      <c r="C25" s="38" t="s">
        <v>401</v>
      </c>
      <c r="D25" s="38" t="s">
        <v>39</v>
      </c>
      <c r="E25" s="7" t="s">
        <v>378</v>
      </c>
      <c r="F25" s="4">
        <v>15</v>
      </c>
      <c r="G25" s="4">
        <v>30</v>
      </c>
      <c r="H25" s="4">
        <v>59</v>
      </c>
      <c r="I25" s="4">
        <v>5</v>
      </c>
      <c r="J25" s="4">
        <v>5</v>
      </c>
      <c r="K25" s="4">
        <v>3</v>
      </c>
      <c r="L25" s="4">
        <v>66</v>
      </c>
      <c r="M25" s="4">
        <v>9</v>
      </c>
      <c r="N25" s="4">
        <v>36</v>
      </c>
      <c r="O25" s="4">
        <v>4</v>
      </c>
      <c r="P25" s="4">
        <v>2</v>
      </c>
      <c r="Q25" s="4">
        <v>5</v>
      </c>
      <c r="R25" s="4">
        <v>45</v>
      </c>
      <c r="S25" s="4">
        <v>10</v>
      </c>
      <c r="T25" s="4">
        <v>43</v>
      </c>
      <c r="U25" s="4">
        <v>3</v>
      </c>
      <c r="V25" s="4">
        <v>7</v>
      </c>
      <c r="W25" s="4" t="s">
        <v>819</v>
      </c>
      <c r="X25" s="4">
        <f t="shared" si="0"/>
        <v>347</v>
      </c>
      <c r="Y25" s="16">
        <f t="shared" si="1"/>
        <v>0.66095238095238096</v>
      </c>
      <c r="Z25" s="52">
        <v>0.81</v>
      </c>
      <c r="AA25" s="54">
        <f t="shared" si="2"/>
        <v>31</v>
      </c>
      <c r="AB25" s="4" t="s">
        <v>856</v>
      </c>
    </row>
    <row r="26" spans="1:28" x14ac:dyDescent="0.25">
      <c r="A26" s="7">
        <v>19</v>
      </c>
      <c r="B26" s="29">
        <v>580</v>
      </c>
      <c r="C26" s="38" t="s">
        <v>402</v>
      </c>
      <c r="D26" s="38" t="s">
        <v>258</v>
      </c>
      <c r="E26" s="7" t="s">
        <v>378</v>
      </c>
      <c r="F26" s="4">
        <v>24</v>
      </c>
      <c r="G26" s="4">
        <v>48</v>
      </c>
      <c r="H26" s="4">
        <v>74</v>
      </c>
      <c r="I26" s="4">
        <v>9</v>
      </c>
      <c r="J26" s="4">
        <v>5</v>
      </c>
      <c r="K26" s="4">
        <v>10</v>
      </c>
      <c r="L26" s="4">
        <v>77</v>
      </c>
      <c r="M26" s="4">
        <v>9</v>
      </c>
      <c r="N26" s="4">
        <v>73</v>
      </c>
      <c r="O26" s="4">
        <v>10</v>
      </c>
      <c r="P26" s="4">
        <v>10</v>
      </c>
      <c r="Q26" s="4">
        <v>4</v>
      </c>
      <c r="R26" s="4">
        <v>53</v>
      </c>
      <c r="S26" s="4">
        <v>13</v>
      </c>
      <c r="T26" s="4">
        <v>54</v>
      </c>
      <c r="U26" s="4">
        <v>5</v>
      </c>
      <c r="V26" s="4">
        <v>10</v>
      </c>
      <c r="W26" s="4" t="s">
        <v>820</v>
      </c>
      <c r="X26" s="4">
        <f t="shared" si="0"/>
        <v>488</v>
      </c>
      <c r="Y26" s="16">
        <f t="shared" si="1"/>
        <v>0.92952380952380953</v>
      </c>
      <c r="Z26" s="52">
        <v>0.9</v>
      </c>
      <c r="AA26" s="54">
        <f t="shared" si="2"/>
        <v>8</v>
      </c>
      <c r="AB26" s="4" t="s">
        <v>853</v>
      </c>
    </row>
    <row r="27" spans="1:28" x14ac:dyDescent="0.25">
      <c r="A27" s="7">
        <v>20</v>
      </c>
      <c r="B27" s="29">
        <v>480</v>
      </c>
      <c r="C27" s="38" t="s">
        <v>403</v>
      </c>
      <c r="D27" s="38" t="s">
        <v>224</v>
      </c>
      <c r="E27" s="7" t="s">
        <v>378</v>
      </c>
      <c r="F27" s="4">
        <v>15</v>
      </c>
      <c r="G27" s="4">
        <v>25</v>
      </c>
      <c r="H27" s="4">
        <v>42</v>
      </c>
      <c r="I27" s="4">
        <v>5</v>
      </c>
      <c r="J27" s="4">
        <v>3</v>
      </c>
      <c r="K27" s="4">
        <v>6</v>
      </c>
      <c r="L27" s="4">
        <v>41</v>
      </c>
      <c r="M27" s="4">
        <v>8</v>
      </c>
      <c r="N27" s="4">
        <v>33</v>
      </c>
      <c r="O27" s="4">
        <v>5</v>
      </c>
      <c r="P27" s="4">
        <v>7</v>
      </c>
      <c r="Q27" s="4">
        <v>3</v>
      </c>
      <c r="R27" s="4">
        <v>37</v>
      </c>
      <c r="S27" s="4">
        <v>10</v>
      </c>
      <c r="T27" s="4">
        <v>39</v>
      </c>
      <c r="U27" s="4">
        <v>3</v>
      </c>
      <c r="V27" s="4">
        <v>7</v>
      </c>
      <c r="W27" s="4" t="s">
        <v>820</v>
      </c>
      <c r="X27" s="4">
        <f t="shared" si="0"/>
        <v>289</v>
      </c>
      <c r="Y27" s="16">
        <f t="shared" si="1"/>
        <v>0.55047619047619045</v>
      </c>
      <c r="Z27" s="52">
        <v>0.81</v>
      </c>
      <c r="AA27" s="54">
        <f t="shared" si="2"/>
        <v>43</v>
      </c>
      <c r="AB27" s="4" t="s">
        <v>850</v>
      </c>
    </row>
    <row r="28" spans="1:28" x14ac:dyDescent="0.25">
      <c r="A28" s="7">
        <v>21</v>
      </c>
      <c r="B28" s="29">
        <v>576</v>
      </c>
      <c r="C28" s="38" t="s">
        <v>339</v>
      </c>
      <c r="D28" s="38" t="s">
        <v>224</v>
      </c>
      <c r="E28" s="7" t="s">
        <v>378</v>
      </c>
      <c r="F28" s="4">
        <v>24</v>
      </c>
      <c r="G28" s="4">
        <v>45</v>
      </c>
      <c r="H28" s="4">
        <v>62</v>
      </c>
      <c r="I28" s="4">
        <v>7</v>
      </c>
      <c r="J28" s="4">
        <v>4</v>
      </c>
      <c r="K28" s="4">
        <v>8</v>
      </c>
      <c r="L28" s="4">
        <v>57</v>
      </c>
      <c r="M28" s="4">
        <v>10</v>
      </c>
      <c r="N28" s="4">
        <v>66</v>
      </c>
      <c r="O28" s="4">
        <v>7</v>
      </c>
      <c r="P28" s="4">
        <v>9</v>
      </c>
      <c r="Q28" s="4">
        <v>3</v>
      </c>
      <c r="R28" s="4">
        <v>52</v>
      </c>
      <c r="S28" s="4">
        <v>14</v>
      </c>
      <c r="T28" s="4">
        <v>43</v>
      </c>
      <c r="U28" s="4">
        <v>4</v>
      </c>
      <c r="V28" s="4">
        <v>9</v>
      </c>
      <c r="W28" s="4" t="s">
        <v>820</v>
      </c>
      <c r="X28" s="4">
        <f t="shared" si="0"/>
        <v>424</v>
      </c>
      <c r="Y28" s="16">
        <f t="shared" si="1"/>
        <v>0.80761904761904757</v>
      </c>
      <c r="Z28" s="52">
        <v>0.9</v>
      </c>
      <c r="AA28" s="54">
        <f t="shared" si="2"/>
        <v>18</v>
      </c>
      <c r="AB28" s="4" t="s">
        <v>856</v>
      </c>
    </row>
    <row r="29" spans="1:28" x14ac:dyDescent="0.25">
      <c r="A29" s="7">
        <v>22</v>
      </c>
      <c r="B29" s="29">
        <v>685</v>
      </c>
      <c r="C29" s="38" t="s">
        <v>404</v>
      </c>
      <c r="D29" s="38" t="s">
        <v>405</v>
      </c>
      <c r="E29" s="7" t="s">
        <v>378</v>
      </c>
      <c r="F29" s="4">
        <v>15</v>
      </c>
      <c r="G29" s="4">
        <v>26</v>
      </c>
      <c r="H29" s="4">
        <v>64</v>
      </c>
      <c r="I29" s="4">
        <v>7</v>
      </c>
      <c r="J29" s="4">
        <v>4</v>
      </c>
      <c r="K29" s="4">
        <v>5</v>
      </c>
      <c r="L29" s="4">
        <v>55</v>
      </c>
      <c r="M29" s="4">
        <v>5</v>
      </c>
      <c r="N29" s="4">
        <v>50</v>
      </c>
      <c r="O29" s="4">
        <v>5</v>
      </c>
      <c r="P29" s="4">
        <v>4</v>
      </c>
      <c r="Q29" s="4">
        <v>3</v>
      </c>
      <c r="R29" s="4">
        <v>54</v>
      </c>
      <c r="S29" s="4">
        <v>10</v>
      </c>
      <c r="T29" s="4">
        <v>39</v>
      </c>
      <c r="U29" s="4">
        <v>3</v>
      </c>
      <c r="V29" s="4">
        <v>7</v>
      </c>
      <c r="W29" s="4" t="s">
        <v>823</v>
      </c>
      <c r="X29" s="4">
        <f t="shared" si="0"/>
        <v>356</v>
      </c>
      <c r="Y29" s="16">
        <f t="shared" si="1"/>
        <v>0.67809523809523808</v>
      </c>
      <c r="Z29" s="52">
        <v>0.84</v>
      </c>
      <c r="AA29" s="54">
        <f t="shared" si="2"/>
        <v>30</v>
      </c>
      <c r="AB29" s="4" t="s">
        <v>856</v>
      </c>
    </row>
    <row r="30" spans="1:28" x14ac:dyDescent="0.25">
      <c r="A30" s="7">
        <v>23</v>
      </c>
      <c r="B30" s="29">
        <v>688</v>
      </c>
      <c r="C30" s="38" t="s">
        <v>406</v>
      </c>
      <c r="D30" s="38" t="s">
        <v>281</v>
      </c>
      <c r="E30" s="7" t="s">
        <v>378</v>
      </c>
      <c r="F30" s="4">
        <v>15</v>
      </c>
      <c r="G30" s="4">
        <v>26</v>
      </c>
      <c r="H30" s="4">
        <v>42</v>
      </c>
      <c r="I30" s="4">
        <v>5</v>
      </c>
      <c r="J30" s="4">
        <v>5</v>
      </c>
      <c r="K30" s="4">
        <v>3</v>
      </c>
      <c r="L30" s="4">
        <v>70</v>
      </c>
      <c r="M30" s="4">
        <v>5</v>
      </c>
      <c r="N30" s="4">
        <v>30</v>
      </c>
      <c r="O30" s="4">
        <v>3</v>
      </c>
      <c r="P30" s="4">
        <v>3</v>
      </c>
      <c r="Q30" s="4">
        <v>5</v>
      </c>
      <c r="R30" s="4">
        <v>40</v>
      </c>
      <c r="S30" s="4">
        <v>8</v>
      </c>
      <c r="T30" s="4" t="s">
        <v>819</v>
      </c>
      <c r="U30" s="4">
        <v>4</v>
      </c>
      <c r="V30" s="4">
        <v>7</v>
      </c>
      <c r="W30" s="4" t="s">
        <v>823</v>
      </c>
      <c r="X30" s="4">
        <f t="shared" si="0"/>
        <v>271</v>
      </c>
      <c r="Y30" s="16">
        <f t="shared" si="1"/>
        <v>0.5161904761904762</v>
      </c>
      <c r="Z30" s="52">
        <v>0.68</v>
      </c>
      <c r="AA30" s="54">
        <f t="shared" si="2"/>
        <v>45</v>
      </c>
      <c r="AB30" s="4" t="s">
        <v>850</v>
      </c>
    </row>
    <row r="31" spans="1:28" x14ac:dyDescent="0.25">
      <c r="A31" s="7">
        <v>24</v>
      </c>
      <c r="B31" s="29">
        <v>546</v>
      </c>
      <c r="C31" s="38" t="s">
        <v>407</v>
      </c>
      <c r="D31" s="38" t="s">
        <v>408</v>
      </c>
      <c r="E31" s="7" t="s">
        <v>378</v>
      </c>
      <c r="F31" s="4">
        <v>15</v>
      </c>
      <c r="G31" s="4">
        <v>24</v>
      </c>
      <c r="H31" s="4">
        <v>55</v>
      </c>
      <c r="I31" s="4">
        <v>5</v>
      </c>
      <c r="J31" s="4">
        <v>4</v>
      </c>
      <c r="K31" s="4">
        <v>5</v>
      </c>
      <c r="L31" s="4">
        <v>61</v>
      </c>
      <c r="M31" s="4">
        <v>5</v>
      </c>
      <c r="N31" s="4">
        <v>25</v>
      </c>
      <c r="O31" s="4">
        <v>3</v>
      </c>
      <c r="P31" s="4">
        <v>5</v>
      </c>
      <c r="Q31" s="4">
        <v>5</v>
      </c>
      <c r="R31" s="4">
        <v>46</v>
      </c>
      <c r="S31" s="4">
        <v>8</v>
      </c>
      <c r="T31" s="4">
        <v>38</v>
      </c>
      <c r="U31" s="4">
        <v>3</v>
      </c>
      <c r="V31" s="4">
        <v>6</v>
      </c>
      <c r="W31" s="4" t="s">
        <v>819</v>
      </c>
      <c r="X31" s="4">
        <f t="shared" si="0"/>
        <v>313</v>
      </c>
      <c r="Y31" s="16">
        <f t="shared" si="1"/>
        <v>0.59619047619047616</v>
      </c>
      <c r="Z31" s="52">
        <v>0.66</v>
      </c>
      <c r="AA31" s="54">
        <f t="shared" si="2"/>
        <v>39</v>
      </c>
      <c r="AB31" s="4" t="s">
        <v>850</v>
      </c>
    </row>
    <row r="32" spans="1:28" x14ac:dyDescent="0.25">
      <c r="A32" s="7">
        <v>25</v>
      </c>
      <c r="B32" s="13">
        <v>913</v>
      </c>
      <c r="C32" s="38" t="s">
        <v>845</v>
      </c>
      <c r="D32" s="38" t="s">
        <v>242</v>
      </c>
      <c r="E32" s="7" t="s">
        <v>378</v>
      </c>
      <c r="F32" s="4">
        <v>15</v>
      </c>
      <c r="G32" s="4" t="s">
        <v>818</v>
      </c>
      <c r="H32" s="4">
        <v>42</v>
      </c>
      <c r="I32" s="4" t="s">
        <v>818</v>
      </c>
      <c r="J32" s="4" t="s">
        <v>818</v>
      </c>
      <c r="K32" s="4" t="s">
        <v>818</v>
      </c>
      <c r="L32" s="4">
        <v>44</v>
      </c>
      <c r="M32" s="4">
        <v>7</v>
      </c>
      <c r="N32" s="4">
        <v>36</v>
      </c>
      <c r="O32" s="4">
        <v>5</v>
      </c>
      <c r="P32" s="4">
        <v>7</v>
      </c>
      <c r="Q32" s="4">
        <v>3</v>
      </c>
      <c r="R32" s="4">
        <v>55</v>
      </c>
      <c r="S32" s="4">
        <v>8</v>
      </c>
      <c r="T32" s="4">
        <v>39</v>
      </c>
      <c r="U32" s="4">
        <v>3</v>
      </c>
      <c r="V32" s="4">
        <v>6</v>
      </c>
      <c r="W32" s="4" t="s">
        <v>819</v>
      </c>
      <c r="X32" s="4">
        <f t="shared" si="0"/>
        <v>270</v>
      </c>
      <c r="Y32" s="16">
        <f t="shared" si="1"/>
        <v>0.51428571428571423</v>
      </c>
      <c r="Z32" s="52">
        <v>0.56999999999999995</v>
      </c>
      <c r="AA32" s="54">
        <f t="shared" si="2"/>
        <v>46</v>
      </c>
      <c r="AB32" s="4" t="s">
        <v>880</v>
      </c>
    </row>
    <row r="33" spans="1:28" x14ac:dyDescent="0.25">
      <c r="A33" s="7">
        <v>26</v>
      </c>
      <c r="B33" s="13">
        <v>908</v>
      </c>
      <c r="C33" s="38" t="s">
        <v>409</v>
      </c>
      <c r="D33" s="38" t="s">
        <v>410</v>
      </c>
      <c r="E33" s="7" t="s">
        <v>378</v>
      </c>
      <c r="F33" s="4">
        <v>15</v>
      </c>
      <c r="G33" s="4">
        <v>31</v>
      </c>
      <c r="H33" s="4">
        <v>50</v>
      </c>
      <c r="I33" s="4">
        <v>6</v>
      </c>
      <c r="J33" s="4">
        <v>4</v>
      </c>
      <c r="K33" s="4">
        <v>4</v>
      </c>
      <c r="L33" s="4">
        <v>60</v>
      </c>
      <c r="M33" s="4">
        <v>7</v>
      </c>
      <c r="N33" s="4">
        <v>37</v>
      </c>
      <c r="O33" s="4">
        <v>5</v>
      </c>
      <c r="P33" s="4">
        <v>4</v>
      </c>
      <c r="Q33" s="4">
        <v>3</v>
      </c>
      <c r="R33" s="4">
        <v>52</v>
      </c>
      <c r="S33" s="4">
        <v>10</v>
      </c>
      <c r="T33" s="4">
        <v>47</v>
      </c>
      <c r="U33" s="4">
        <v>3</v>
      </c>
      <c r="V33" s="4">
        <v>7</v>
      </c>
      <c r="W33" s="4" t="s">
        <v>820</v>
      </c>
      <c r="X33" s="4">
        <f t="shared" si="0"/>
        <v>345</v>
      </c>
      <c r="Y33" s="16">
        <f t="shared" si="1"/>
        <v>0.65714285714285714</v>
      </c>
      <c r="Z33" s="52">
        <v>0.74</v>
      </c>
      <c r="AA33" s="54">
        <f t="shared" si="2"/>
        <v>33</v>
      </c>
      <c r="AB33" s="4" t="s">
        <v>850</v>
      </c>
    </row>
    <row r="34" spans="1:28" ht="21" x14ac:dyDescent="0.35">
      <c r="A34" s="125" t="s">
        <v>119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</row>
    <row r="35" spans="1:28" x14ac:dyDescent="0.25">
      <c r="A35" s="7">
        <v>1</v>
      </c>
      <c r="B35" s="29">
        <v>544</v>
      </c>
      <c r="C35" s="38" t="s">
        <v>411</v>
      </c>
      <c r="D35" s="38" t="s">
        <v>412</v>
      </c>
      <c r="E35" s="7" t="s">
        <v>378</v>
      </c>
      <c r="F35" s="4">
        <v>15</v>
      </c>
      <c r="G35" s="4">
        <v>34</v>
      </c>
      <c r="H35" s="4">
        <v>41</v>
      </c>
      <c r="I35" s="4">
        <v>5</v>
      </c>
      <c r="J35" s="4">
        <v>4</v>
      </c>
      <c r="K35" s="4">
        <v>5</v>
      </c>
      <c r="L35" s="4">
        <v>68</v>
      </c>
      <c r="M35" s="4">
        <v>5</v>
      </c>
      <c r="N35" s="4">
        <v>38</v>
      </c>
      <c r="O35" s="4">
        <v>5</v>
      </c>
      <c r="P35" s="4">
        <v>9</v>
      </c>
      <c r="Q35" s="4">
        <v>4</v>
      </c>
      <c r="R35" s="4">
        <v>37</v>
      </c>
      <c r="S35" s="4">
        <v>10</v>
      </c>
      <c r="T35" s="4">
        <v>39</v>
      </c>
      <c r="U35" s="4">
        <v>3</v>
      </c>
      <c r="V35" s="4">
        <v>7</v>
      </c>
      <c r="W35" s="4" t="s">
        <v>819</v>
      </c>
      <c r="X35" s="4">
        <f>SUM(F35:W35)</f>
        <v>329</v>
      </c>
      <c r="Y35" s="16">
        <f>X35/$X$6</f>
        <v>0.62666666666666671</v>
      </c>
      <c r="Z35" s="52">
        <v>0.9</v>
      </c>
      <c r="AA35" s="54">
        <f t="shared" si="2"/>
        <v>36</v>
      </c>
      <c r="AB35" s="4" t="s">
        <v>850</v>
      </c>
    </row>
    <row r="36" spans="1:28" x14ac:dyDescent="0.25">
      <c r="A36" s="7">
        <v>2</v>
      </c>
      <c r="B36" s="29">
        <v>780</v>
      </c>
      <c r="C36" s="38" t="s">
        <v>413</v>
      </c>
      <c r="D36" s="38" t="s">
        <v>414</v>
      </c>
      <c r="E36" s="7" t="s">
        <v>378</v>
      </c>
      <c r="F36" s="4">
        <v>23</v>
      </c>
      <c r="G36" s="4">
        <v>50</v>
      </c>
      <c r="H36" s="4">
        <v>73</v>
      </c>
      <c r="I36" s="4">
        <v>10</v>
      </c>
      <c r="J36" s="4">
        <v>5</v>
      </c>
      <c r="K36" s="4">
        <v>10</v>
      </c>
      <c r="L36" s="4">
        <v>88</v>
      </c>
      <c r="M36" s="4">
        <v>10</v>
      </c>
      <c r="N36" s="4">
        <v>75</v>
      </c>
      <c r="O36" s="4">
        <v>9</v>
      </c>
      <c r="P36" s="4">
        <v>10</v>
      </c>
      <c r="Q36" s="4">
        <v>9</v>
      </c>
      <c r="R36" s="4">
        <v>59</v>
      </c>
      <c r="S36" s="4">
        <v>14</v>
      </c>
      <c r="T36" s="4">
        <v>59</v>
      </c>
      <c r="U36" s="4">
        <v>5</v>
      </c>
      <c r="V36" s="4">
        <v>10</v>
      </c>
      <c r="W36" s="4" t="s">
        <v>819</v>
      </c>
      <c r="X36" s="4">
        <f t="shared" ref="X36:X58" si="3">SUM(F36:W36)</f>
        <v>519</v>
      </c>
      <c r="Y36" s="16">
        <f t="shared" ref="Y36:Y58" si="4">X36/$X$6</f>
        <v>0.98857142857142855</v>
      </c>
      <c r="Z36" s="52">
        <v>0.76</v>
      </c>
      <c r="AA36" s="54">
        <f t="shared" si="2"/>
        <v>1</v>
      </c>
      <c r="AB36" s="4" t="s">
        <v>851</v>
      </c>
    </row>
    <row r="37" spans="1:28" x14ac:dyDescent="0.25">
      <c r="A37" s="7">
        <v>3</v>
      </c>
      <c r="B37" s="13">
        <v>844</v>
      </c>
      <c r="C37" s="38" t="s">
        <v>443</v>
      </c>
      <c r="D37" s="38" t="s">
        <v>444</v>
      </c>
      <c r="E37" s="7" t="s">
        <v>378</v>
      </c>
      <c r="F37" s="4">
        <v>20</v>
      </c>
      <c r="G37" s="4">
        <v>45</v>
      </c>
      <c r="H37" s="4">
        <v>75</v>
      </c>
      <c r="I37" s="4">
        <v>7</v>
      </c>
      <c r="J37" s="4">
        <v>4</v>
      </c>
      <c r="K37" s="4">
        <v>8</v>
      </c>
      <c r="L37" s="4">
        <v>77</v>
      </c>
      <c r="M37" s="4">
        <v>5</v>
      </c>
      <c r="N37" s="4">
        <v>62</v>
      </c>
      <c r="O37" s="4">
        <v>7</v>
      </c>
      <c r="P37" s="4">
        <v>8</v>
      </c>
      <c r="Q37" s="4">
        <v>4</v>
      </c>
      <c r="R37" s="4">
        <v>50</v>
      </c>
      <c r="S37" s="4">
        <v>12</v>
      </c>
      <c r="T37" s="4">
        <v>42</v>
      </c>
      <c r="U37" s="4">
        <v>3</v>
      </c>
      <c r="V37" s="4">
        <v>7</v>
      </c>
      <c r="W37" s="4" t="s">
        <v>820</v>
      </c>
      <c r="X37" s="4">
        <f t="shared" si="3"/>
        <v>436</v>
      </c>
      <c r="Y37" s="16">
        <f t="shared" si="4"/>
        <v>0.83047619047619048</v>
      </c>
      <c r="Z37" s="52">
        <v>0.62</v>
      </c>
      <c r="AA37" s="54">
        <f t="shared" si="2"/>
        <v>16</v>
      </c>
      <c r="AB37" s="4" t="s">
        <v>853</v>
      </c>
    </row>
    <row r="38" spans="1:28" x14ac:dyDescent="0.25">
      <c r="A38" s="7">
        <v>4</v>
      </c>
      <c r="B38" s="29">
        <v>569</v>
      </c>
      <c r="C38" s="38" t="s">
        <v>415</v>
      </c>
      <c r="D38" s="38" t="s">
        <v>416</v>
      </c>
      <c r="E38" s="7" t="s">
        <v>378</v>
      </c>
      <c r="F38" s="4">
        <v>24</v>
      </c>
      <c r="G38" s="4">
        <v>38</v>
      </c>
      <c r="H38" s="4">
        <v>66</v>
      </c>
      <c r="I38" s="4">
        <v>7</v>
      </c>
      <c r="J38" s="4">
        <v>4</v>
      </c>
      <c r="K38" s="4">
        <v>9</v>
      </c>
      <c r="L38" s="4">
        <v>73</v>
      </c>
      <c r="M38" s="4">
        <v>8</v>
      </c>
      <c r="N38" s="4">
        <v>39</v>
      </c>
      <c r="O38" s="4">
        <v>8</v>
      </c>
      <c r="P38" s="4">
        <v>7</v>
      </c>
      <c r="Q38" s="4">
        <v>4</v>
      </c>
      <c r="R38" s="4">
        <v>51</v>
      </c>
      <c r="S38" s="4">
        <v>13</v>
      </c>
      <c r="T38" s="4">
        <v>39</v>
      </c>
      <c r="U38" s="4">
        <v>4</v>
      </c>
      <c r="V38" s="4">
        <v>8</v>
      </c>
      <c r="W38" s="4" t="s">
        <v>819</v>
      </c>
      <c r="X38" s="4">
        <f t="shared" si="3"/>
        <v>402</v>
      </c>
      <c r="Y38" s="16">
        <f t="shared" si="4"/>
        <v>0.76571428571428568</v>
      </c>
      <c r="Z38" s="52">
        <v>0.86</v>
      </c>
      <c r="AA38" s="54">
        <f t="shared" si="2"/>
        <v>22</v>
      </c>
      <c r="AB38" s="4" t="s">
        <v>856</v>
      </c>
    </row>
    <row r="39" spans="1:28" x14ac:dyDescent="0.25">
      <c r="A39" s="7">
        <v>5</v>
      </c>
      <c r="B39" s="29">
        <v>582</v>
      </c>
      <c r="C39" s="38" t="s">
        <v>89</v>
      </c>
      <c r="D39" s="38" t="s">
        <v>417</v>
      </c>
      <c r="E39" s="7" t="s">
        <v>378</v>
      </c>
      <c r="F39" s="4">
        <v>26</v>
      </c>
      <c r="G39" s="4">
        <v>50</v>
      </c>
      <c r="H39" s="4">
        <v>74</v>
      </c>
      <c r="I39" s="4">
        <v>9</v>
      </c>
      <c r="J39" s="4">
        <v>5</v>
      </c>
      <c r="K39" s="4">
        <v>10</v>
      </c>
      <c r="L39" s="4">
        <v>77</v>
      </c>
      <c r="M39" s="4">
        <v>9</v>
      </c>
      <c r="N39" s="4">
        <v>73</v>
      </c>
      <c r="O39" s="4">
        <v>9</v>
      </c>
      <c r="P39" s="4">
        <v>10</v>
      </c>
      <c r="Q39" s="4">
        <v>5</v>
      </c>
      <c r="R39" s="4">
        <v>56</v>
      </c>
      <c r="S39" s="4">
        <v>13</v>
      </c>
      <c r="T39" s="4">
        <v>51</v>
      </c>
      <c r="U39" s="4">
        <v>5</v>
      </c>
      <c r="V39" s="4">
        <v>10</v>
      </c>
      <c r="W39" s="4" t="s">
        <v>819</v>
      </c>
      <c r="X39" s="4">
        <f t="shared" si="3"/>
        <v>492</v>
      </c>
      <c r="Y39" s="16">
        <f t="shared" si="4"/>
        <v>0.93714285714285717</v>
      </c>
      <c r="Z39" s="52">
        <v>0.8</v>
      </c>
      <c r="AA39" s="54">
        <f t="shared" si="2"/>
        <v>7</v>
      </c>
      <c r="AB39" s="4" t="s">
        <v>877</v>
      </c>
    </row>
    <row r="40" spans="1:28" x14ac:dyDescent="0.25">
      <c r="A40" s="7">
        <v>6</v>
      </c>
      <c r="B40" s="29">
        <v>574</v>
      </c>
      <c r="C40" s="38" t="s">
        <v>418</v>
      </c>
      <c r="D40" s="38" t="s">
        <v>419</v>
      </c>
      <c r="E40" s="7" t="s">
        <v>378</v>
      </c>
      <c r="F40" s="4">
        <v>20</v>
      </c>
      <c r="G40" s="4">
        <v>29</v>
      </c>
      <c r="H40" s="4">
        <v>64</v>
      </c>
      <c r="I40" s="4">
        <v>7</v>
      </c>
      <c r="J40" s="4">
        <v>4</v>
      </c>
      <c r="K40" s="4">
        <v>6</v>
      </c>
      <c r="L40" s="4">
        <v>68</v>
      </c>
      <c r="M40" s="4">
        <v>5</v>
      </c>
      <c r="N40" s="4">
        <v>59</v>
      </c>
      <c r="O40" s="4">
        <v>8</v>
      </c>
      <c r="P40" s="4">
        <v>10</v>
      </c>
      <c r="Q40" s="4">
        <v>4</v>
      </c>
      <c r="R40" s="4">
        <v>45</v>
      </c>
      <c r="S40" s="4">
        <v>10</v>
      </c>
      <c r="T40" s="4">
        <v>43</v>
      </c>
      <c r="U40" s="4">
        <v>3</v>
      </c>
      <c r="V40" s="4">
        <v>6</v>
      </c>
      <c r="W40" s="4" t="s">
        <v>819</v>
      </c>
      <c r="X40" s="4">
        <f t="shared" si="3"/>
        <v>391</v>
      </c>
      <c r="Y40" s="16">
        <f t="shared" si="4"/>
        <v>0.74476190476190474</v>
      </c>
      <c r="Z40" s="52">
        <v>0.82</v>
      </c>
      <c r="AA40" s="54">
        <f t="shared" si="2"/>
        <v>25</v>
      </c>
      <c r="AB40" s="4" t="s">
        <v>856</v>
      </c>
    </row>
    <row r="41" spans="1:28" x14ac:dyDescent="0.25">
      <c r="A41" s="7">
        <v>7</v>
      </c>
      <c r="B41" s="29">
        <v>571</v>
      </c>
      <c r="C41" s="38" t="s">
        <v>420</v>
      </c>
      <c r="D41" s="38" t="s">
        <v>421</v>
      </c>
      <c r="E41" s="7" t="s">
        <v>378</v>
      </c>
      <c r="F41" s="4">
        <v>20</v>
      </c>
      <c r="G41" s="4">
        <v>32</v>
      </c>
      <c r="H41" s="4">
        <v>71</v>
      </c>
      <c r="I41" s="4">
        <v>5</v>
      </c>
      <c r="J41" s="4">
        <v>4</v>
      </c>
      <c r="K41" s="4">
        <v>9</v>
      </c>
      <c r="L41" s="4">
        <v>71</v>
      </c>
      <c r="M41" s="4">
        <v>5</v>
      </c>
      <c r="N41" s="4">
        <v>46</v>
      </c>
      <c r="O41" s="4">
        <v>7</v>
      </c>
      <c r="P41" s="4">
        <v>10</v>
      </c>
      <c r="Q41" s="4">
        <v>4</v>
      </c>
      <c r="R41" s="4">
        <v>53</v>
      </c>
      <c r="S41" s="4">
        <v>10</v>
      </c>
      <c r="T41" s="4">
        <v>39</v>
      </c>
      <c r="U41" s="4">
        <v>3</v>
      </c>
      <c r="V41" s="4">
        <v>6</v>
      </c>
      <c r="W41" s="4" t="s">
        <v>823</v>
      </c>
      <c r="X41" s="4">
        <f t="shared" si="3"/>
        <v>395</v>
      </c>
      <c r="Y41" s="16">
        <f t="shared" si="4"/>
        <v>0.75238095238095237</v>
      </c>
      <c r="Z41" s="52">
        <v>0.84</v>
      </c>
      <c r="AA41" s="54">
        <f t="shared" si="2"/>
        <v>23</v>
      </c>
      <c r="AB41" s="4" t="s">
        <v>856</v>
      </c>
    </row>
    <row r="42" spans="1:28" x14ac:dyDescent="0.25">
      <c r="A42" s="7">
        <v>8</v>
      </c>
      <c r="B42" s="29">
        <v>526</v>
      </c>
      <c r="C42" s="38" t="s">
        <v>422</v>
      </c>
      <c r="D42" s="38" t="s">
        <v>308</v>
      </c>
      <c r="E42" s="7" t="s">
        <v>378</v>
      </c>
      <c r="F42" s="4">
        <v>15</v>
      </c>
      <c r="G42" s="4">
        <v>33</v>
      </c>
      <c r="H42" s="4">
        <v>42</v>
      </c>
      <c r="I42" s="4">
        <v>4</v>
      </c>
      <c r="J42" s="4">
        <v>4</v>
      </c>
      <c r="K42" s="4">
        <v>3</v>
      </c>
      <c r="L42" s="4">
        <v>61</v>
      </c>
      <c r="M42" s="4">
        <v>6</v>
      </c>
      <c r="N42" s="4">
        <v>35</v>
      </c>
      <c r="O42" s="4">
        <v>4</v>
      </c>
      <c r="P42" s="4">
        <v>3</v>
      </c>
      <c r="Q42" s="4">
        <v>4</v>
      </c>
      <c r="R42" s="4">
        <v>36</v>
      </c>
      <c r="S42" s="4">
        <v>12</v>
      </c>
      <c r="T42" s="4">
        <v>38</v>
      </c>
      <c r="U42" s="4">
        <v>3</v>
      </c>
      <c r="V42" s="4">
        <v>6</v>
      </c>
      <c r="W42" s="4" t="s">
        <v>819</v>
      </c>
      <c r="X42" s="4">
        <f t="shared" si="3"/>
        <v>309</v>
      </c>
      <c r="Y42" s="16">
        <f t="shared" si="4"/>
        <v>0.58857142857142852</v>
      </c>
      <c r="Z42" s="52">
        <v>0.97</v>
      </c>
      <c r="AA42" s="54">
        <f t="shared" si="2"/>
        <v>40</v>
      </c>
      <c r="AB42" s="4" t="s">
        <v>850</v>
      </c>
    </row>
    <row r="43" spans="1:28" x14ac:dyDescent="0.25">
      <c r="A43" s="7">
        <v>9</v>
      </c>
      <c r="B43" s="13">
        <v>914</v>
      </c>
      <c r="C43" s="38" t="s">
        <v>136</v>
      </c>
      <c r="D43" s="38" t="s">
        <v>100</v>
      </c>
      <c r="E43" s="7" t="s">
        <v>378</v>
      </c>
      <c r="F43" s="4">
        <v>20</v>
      </c>
      <c r="G43" s="4">
        <v>48</v>
      </c>
      <c r="H43" s="4">
        <v>67</v>
      </c>
      <c r="I43" s="4">
        <v>8</v>
      </c>
      <c r="J43" s="4">
        <v>5</v>
      </c>
      <c r="K43" s="4">
        <v>8</v>
      </c>
      <c r="L43" s="4">
        <v>72</v>
      </c>
      <c r="M43" s="4">
        <v>7</v>
      </c>
      <c r="N43" s="4">
        <v>68</v>
      </c>
      <c r="O43" s="4">
        <v>9</v>
      </c>
      <c r="P43" s="4">
        <v>5</v>
      </c>
      <c r="Q43" s="4">
        <v>4</v>
      </c>
      <c r="R43" s="4">
        <v>56</v>
      </c>
      <c r="S43" s="4">
        <v>14</v>
      </c>
      <c r="T43" s="4">
        <v>50</v>
      </c>
      <c r="U43" s="4">
        <v>5</v>
      </c>
      <c r="V43" s="4">
        <v>10</v>
      </c>
      <c r="W43" s="4" t="s">
        <v>823</v>
      </c>
      <c r="X43" s="4">
        <f t="shared" si="3"/>
        <v>456</v>
      </c>
      <c r="Y43" s="16">
        <f t="shared" si="4"/>
        <v>0.86857142857142855</v>
      </c>
      <c r="Z43" s="52">
        <v>0.87</v>
      </c>
      <c r="AA43" s="54">
        <f t="shared" si="2"/>
        <v>12</v>
      </c>
      <c r="AB43" s="4" t="s">
        <v>853</v>
      </c>
    </row>
    <row r="44" spans="1:28" x14ac:dyDescent="0.25">
      <c r="A44" s="7">
        <v>10</v>
      </c>
      <c r="B44" s="13"/>
      <c r="C44" s="38" t="s">
        <v>439</v>
      </c>
      <c r="D44" s="38" t="s">
        <v>100</v>
      </c>
      <c r="E44" s="7" t="s">
        <v>378</v>
      </c>
      <c r="F44" s="4">
        <v>24</v>
      </c>
      <c r="G44" s="4">
        <v>49</v>
      </c>
      <c r="H44" s="4">
        <v>74</v>
      </c>
      <c r="I44" s="4">
        <v>10</v>
      </c>
      <c r="J44" s="4">
        <v>5</v>
      </c>
      <c r="K44" s="4">
        <v>10</v>
      </c>
      <c r="L44" s="4">
        <v>85</v>
      </c>
      <c r="M44" s="4">
        <v>7</v>
      </c>
      <c r="N44" s="4">
        <v>75</v>
      </c>
      <c r="O44" s="4">
        <v>9</v>
      </c>
      <c r="P44" s="4">
        <v>10</v>
      </c>
      <c r="Q44" s="4">
        <v>4</v>
      </c>
      <c r="R44" s="4">
        <v>59</v>
      </c>
      <c r="S44" s="4">
        <v>14</v>
      </c>
      <c r="T44" s="4">
        <v>58</v>
      </c>
      <c r="U44" s="4">
        <v>5</v>
      </c>
      <c r="V44" s="4">
        <v>10</v>
      </c>
      <c r="W44" s="4" t="s">
        <v>823</v>
      </c>
      <c r="X44" s="4">
        <f t="shared" si="3"/>
        <v>508</v>
      </c>
      <c r="Y44" s="16">
        <f t="shared" si="4"/>
        <v>0.9676190476190476</v>
      </c>
      <c r="Z44" s="52">
        <v>0.86</v>
      </c>
      <c r="AA44" s="54">
        <f t="shared" si="2"/>
        <v>3</v>
      </c>
      <c r="AB44" s="4" t="s">
        <v>881</v>
      </c>
    </row>
    <row r="45" spans="1:28" x14ac:dyDescent="0.25">
      <c r="A45" s="7">
        <v>11</v>
      </c>
      <c r="B45" s="13">
        <v>537</v>
      </c>
      <c r="C45" s="38" t="s">
        <v>423</v>
      </c>
      <c r="D45" s="38" t="s">
        <v>424</v>
      </c>
      <c r="E45" s="7" t="s">
        <v>378</v>
      </c>
      <c r="F45" s="4">
        <v>15</v>
      </c>
      <c r="G45" s="4">
        <v>27</v>
      </c>
      <c r="H45" s="4">
        <v>47</v>
      </c>
      <c r="I45" s="4">
        <v>4</v>
      </c>
      <c r="J45" s="4">
        <v>3</v>
      </c>
      <c r="K45" s="4">
        <v>10</v>
      </c>
      <c r="L45" s="4">
        <v>76</v>
      </c>
      <c r="M45" s="4">
        <v>5</v>
      </c>
      <c r="N45" s="4">
        <v>45</v>
      </c>
      <c r="O45" s="4">
        <v>4</v>
      </c>
      <c r="P45" s="4">
        <v>1</v>
      </c>
      <c r="Q45" s="4">
        <v>2</v>
      </c>
      <c r="R45" s="4">
        <v>43</v>
      </c>
      <c r="S45" s="4">
        <v>8</v>
      </c>
      <c r="T45" s="4">
        <v>38</v>
      </c>
      <c r="U45" s="4">
        <v>3</v>
      </c>
      <c r="V45" s="4">
        <v>6</v>
      </c>
      <c r="W45" s="4" t="s">
        <v>819</v>
      </c>
      <c r="X45" s="4">
        <f t="shared" si="3"/>
        <v>337</v>
      </c>
      <c r="Y45" s="16">
        <f t="shared" si="4"/>
        <v>0.64190476190476187</v>
      </c>
      <c r="Z45" s="52">
        <v>0.94</v>
      </c>
      <c r="AA45" s="54">
        <f t="shared" si="2"/>
        <v>34</v>
      </c>
      <c r="AB45" s="4" t="s">
        <v>856</v>
      </c>
    </row>
    <row r="46" spans="1:28" x14ac:dyDescent="0.25">
      <c r="A46" s="7">
        <v>12</v>
      </c>
      <c r="B46" s="13">
        <v>584</v>
      </c>
      <c r="C46" s="38" t="s">
        <v>232</v>
      </c>
      <c r="D46" s="38" t="s">
        <v>248</v>
      </c>
      <c r="E46" s="7" t="s">
        <v>378</v>
      </c>
      <c r="F46" s="4">
        <v>20</v>
      </c>
      <c r="G46" s="4">
        <v>46</v>
      </c>
      <c r="H46" s="4">
        <v>68</v>
      </c>
      <c r="I46" s="4">
        <v>8</v>
      </c>
      <c r="J46" s="4">
        <v>5</v>
      </c>
      <c r="K46" s="4">
        <v>7</v>
      </c>
      <c r="L46" s="4">
        <v>68</v>
      </c>
      <c r="M46" s="4">
        <v>6</v>
      </c>
      <c r="N46" s="4">
        <v>65</v>
      </c>
      <c r="O46" s="4">
        <v>8</v>
      </c>
      <c r="P46" s="4">
        <v>10</v>
      </c>
      <c r="Q46" s="4">
        <v>5</v>
      </c>
      <c r="R46" s="4">
        <v>56</v>
      </c>
      <c r="S46" s="4">
        <v>12</v>
      </c>
      <c r="T46" s="4">
        <v>51</v>
      </c>
      <c r="U46" s="4">
        <v>4</v>
      </c>
      <c r="V46" s="4">
        <v>8</v>
      </c>
      <c r="W46" s="4" t="s">
        <v>819</v>
      </c>
      <c r="X46" s="4">
        <f t="shared" si="3"/>
        <v>447</v>
      </c>
      <c r="Y46" s="16">
        <f t="shared" si="4"/>
        <v>0.85142857142857142</v>
      </c>
      <c r="Z46" s="52">
        <v>0.94</v>
      </c>
      <c r="AA46" s="54">
        <f t="shared" si="2"/>
        <v>14</v>
      </c>
      <c r="AB46" s="4" t="s">
        <v>853</v>
      </c>
    </row>
    <row r="47" spans="1:28" x14ac:dyDescent="0.25">
      <c r="A47" s="7">
        <v>13</v>
      </c>
      <c r="B47" s="13">
        <v>520</v>
      </c>
      <c r="C47" s="38" t="s">
        <v>232</v>
      </c>
      <c r="D47" s="38" t="s">
        <v>425</v>
      </c>
      <c r="E47" s="7" t="s">
        <v>378</v>
      </c>
      <c r="F47" s="4">
        <v>15</v>
      </c>
      <c r="G47" s="4">
        <v>25</v>
      </c>
      <c r="H47" s="4">
        <v>42</v>
      </c>
      <c r="I47" s="4">
        <v>3</v>
      </c>
      <c r="J47" s="4">
        <v>5</v>
      </c>
      <c r="K47" s="4">
        <v>0</v>
      </c>
      <c r="L47" s="4">
        <v>45</v>
      </c>
      <c r="M47" s="4">
        <v>3</v>
      </c>
      <c r="N47" s="4">
        <v>25</v>
      </c>
      <c r="O47" s="4">
        <v>3</v>
      </c>
      <c r="P47" s="4">
        <v>0</v>
      </c>
      <c r="Q47" s="4">
        <v>5</v>
      </c>
      <c r="R47" s="4">
        <v>33</v>
      </c>
      <c r="S47" s="4">
        <v>8</v>
      </c>
      <c r="T47" s="4">
        <v>37</v>
      </c>
      <c r="U47" s="4">
        <v>2</v>
      </c>
      <c r="V47" s="4">
        <v>4</v>
      </c>
      <c r="W47" s="4" t="s">
        <v>820</v>
      </c>
      <c r="X47" s="4">
        <f t="shared" si="3"/>
        <v>255</v>
      </c>
      <c r="Y47" s="16">
        <f t="shared" si="4"/>
        <v>0.48571428571428571</v>
      </c>
      <c r="Z47" s="52">
        <v>0.73</v>
      </c>
      <c r="AA47" s="54">
        <f t="shared" si="2"/>
        <v>47</v>
      </c>
      <c r="AB47" s="4" t="s">
        <v>850</v>
      </c>
    </row>
    <row r="48" spans="1:28" x14ac:dyDescent="0.25">
      <c r="A48" s="7">
        <v>14</v>
      </c>
      <c r="B48" s="13">
        <v>915</v>
      </c>
      <c r="C48" s="38" t="s">
        <v>445</v>
      </c>
      <c r="D48" s="38" t="s">
        <v>446</v>
      </c>
      <c r="E48" s="7" t="s">
        <v>378</v>
      </c>
      <c r="F48" s="4">
        <v>15</v>
      </c>
      <c r="G48" s="4">
        <v>47</v>
      </c>
      <c r="H48" s="4">
        <v>64</v>
      </c>
      <c r="I48" s="4">
        <v>8</v>
      </c>
      <c r="J48" s="4">
        <v>5</v>
      </c>
      <c r="K48" s="4">
        <v>9</v>
      </c>
      <c r="L48" s="4">
        <v>77</v>
      </c>
      <c r="M48" s="4">
        <v>5</v>
      </c>
      <c r="N48" s="4">
        <v>62</v>
      </c>
      <c r="O48" s="4">
        <v>8</v>
      </c>
      <c r="P48" s="4">
        <v>8</v>
      </c>
      <c r="Q48" s="4">
        <v>4</v>
      </c>
      <c r="R48" s="4">
        <v>54</v>
      </c>
      <c r="S48" s="4">
        <v>10</v>
      </c>
      <c r="T48" s="4">
        <v>53</v>
      </c>
      <c r="U48" s="4">
        <v>3</v>
      </c>
      <c r="V48" s="4">
        <v>8</v>
      </c>
      <c r="W48" s="4" t="s">
        <v>820</v>
      </c>
      <c r="X48" s="4">
        <f t="shared" si="3"/>
        <v>440</v>
      </c>
      <c r="Y48" s="16">
        <f t="shared" si="4"/>
        <v>0.83809523809523812</v>
      </c>
      <c r="Z48" s="52">
        <v>0.68</v>
      </c>
      <c r="AA48" s="54">
        <f t="shared" si="2"/>
        <v>15</v>
      </c>
      <c r="AB48" s="4" t="s">
        <v>854</v>
      </c>
    </row>
    <row r="49" spans="1:28" x14ac:dyDescent="0.25">
      <c r="A49" s="7">
        <v>15</v>
      </c>
      <c r="B49" s="13">
        <v>687</v>
      </c>
      <c r="C49" s="38" t="s">
        <v>426</v>
      </c>
      <c r="D49" s="38" t="s">
        <v>235</v>
      </c>
      <c r="E49" s="7" t="s">
        <v>378</v>
      </c>
      <c r="F49" s="4">
        <v>20</v>
      </c>
      <c r="G49" s="4">
        <v>36</v>
      </c>
      <c r="H49" s="4">
        <v>72</v>
      </c>
      <c r="I49" s="4">
        <v>8</v>
      </c>
      <c r="J49" s="4">
        <v>5</v>
      </c>
      <c r="K49" s="4">
        <v>9</v>
      </c>
      <c r="L49" s="4">
        <v>82</v>
      </c>
      <c r="M49" s="4">
        <v>5</v>
      </c>
      <c r="N49" s="4">
        <v>70</v>
      </c>
      <c r="O49" s="4">
        <v>7</v>
      </c>
      <c r="P49" s="4">
        <v>10</v>
      </c>
      <c r="Q49" s="4">
        <v>5</v>
      </c>
      <c r="R49" s="4">
        <v>51</v>
      </c>
      <c r="S49" s="4">
        <v>14</v>
      </c>
      <c r="T49" s="4">
        <v>48</v>
      </c>
      <c r="U49" s="4">
        <v>5</v>
      </c>
      <c r="V49" s="4">
        <v>10</v>
      </c>
      <c r="W49" s="4" t="s">
        <v>819</v>
      </c>
      <c r="X49" s="4">
        <f t="shared" si="3"/>
        <v>457</v>
      </c>
      <c r="Y49" s="16">
        <f t="shared" si="4"/>
        <v>0.87047619047619051</v>
      </c>
      <c r="Z49" s="52">
        <v>0.9</v>
      </c>
      <c r="AA49" s="54">
        <f t="shared" si="2"/>
        <v>11</v>
      </c>
      <c r="AB49" s="4" t="s">
        <v>854</v>
      </c>
    </row>
    <row r="50" spans="1:28" x14ac:dyDescent="0.25">
      <c r="A50" s="7">
        <v>16</v>
      </c>
      <c r="B50" s="13">
        <v>649</v>
      </c>
      <c r="C50" s="38" t="s">
        <v>441</v>
      </c>
      <c r="D50" s="38" t="s">
        <v>442</v>
      </c>
      <c r="E50" s="7" t="s">
        <v>378</v>
      </c>
      <c r="F50" s="4">
        <v>23</v>
      </c>
      <c r="G50" s="4">
        <v>48</v>
      </c>
      <c r="H50" s="4">
        <v>75</v>
      </c>
      <c r="I50" s="4">
        <v>8</v>
      </c>
      <c r="J50" s="4">
        <v>5</v>
      </c>
      <c r="K50" s="4">
        <v>9</v>
      </c>
      <c r="L50" s="4">
        <v>81</v>
      </c>
      <c r="M50" s="4">
        <v>10</v>
      </c>
      <c r="N50" s="4">
        <v>70</v>
      </c>
      <c r="O50" s="4">
        <v>7</v>
      </c>
      <c r="P50" s="4">
        <v>10</v>
      </c>
      <c r="Q50" s="4">
        <v>4</v>
      </c>
      <c r="R50" s="4">
        <v>59</v>
      </c>
      <c r="S50" s="4">
        <v>13</v>
      </c>
      <c r="T50" s="4">
        <v>51</v>
      </c>
      <c r="U50" s="4">
        <v>3</v>
      </c>
      <c r="V50" s="4">
        <v>7</v>
      </c>
      <c r="W50" s="4" t="s">
        <v>819</v>
      </c>
      <c r="X50" s="4">
        <f t="shared" si="3"/>
        <v>483</v>
      </c>
      <c r="Y50" s="16">
        <f t="shared" si="4"/>
        <v>0.92</v>
      </c>
      <c r="Z50" s="52">
        <v>0.81</v>
      </c>
      <c r="AA50" s="54">
        <f t="shared" si="2"/>
        <v>9</v>
      </c>
      <c r="AB50" s="4" t="s">
        <v>853</v>
      </c>
    </row>
    <row r="51" spans="1:28" x14ac:dyDescent="0.25">
      <c r="A51" s="7">
        <v>17</v>
      </c>
      <c r="B51" s="13">
        <v>686</v>
      </c>
      <c r="C51" s="38" t="s">
        <v>430</v>
      </c>
      <c r="D51" s="38" t="s">
        <v>137</v>
      </c>
      <c r="E51" s="7" t="s">
        <v>378</v>
      </c>
      <c r="F51" s="4">
        <v>24</v>
      </c>
      <c r="G51" s="4">
        <v>49</v>
      </c>
      <c r="H51" s="4">
        <v>60</v>
      </c>
      <c r="I51" s="4">
        <v>9</v>
      </c>
      <c r="J51" s="4">
        <v>5</v>
      </c>
      <c r="K51" s="4">
        <v>9</v>
      </c>
      <c r="L51" s="4">
        <v>69</v>
      </c>
      <c r="M51" s="4">
        <v>10</v>
      </c>
      <c r="N51" s="4">
        <v>73</v>
      </c>
      <c r="O51" s="4">
        <v>10</v>
      </c>
      <c r="P51" s="4">
        <v>10</v>
      </c>
      <c r="Q51" s="4">
        <v>5</v>
      </c>
      <c r="R51" s="4">
        <v>49</v>
      </c>
      <c r="S51" s="4">
        <v>14</v>
      </c>
      <c r="T51" s="4">
        <v>57</v>
      </c>
      <c r="U51" s="4">
        <v>5</v>
      </c>
      <c r="V51" s="4">
        <v>10</v>
      </c>
      <c r="W51" s="4" t="s">
        <v>823</v>
      </c>
      <c r="X51" s="4">
        <f t="shared" si="3"/>
        <v>468</v>
      </c>
      <c r="Y51" s="16">
        <f t="shared" si="4"/>
        <v>0.89142857142857146</v>
      </c>
      <c r="Z51" s="52">
        <v>0.91</v>
      </c>
      <c r="AA51" s="54">
        <f t="shared" si="2"/>
        <v>10</v>
      </c>
      <c r="AB51" s="4" t="s">
        <v>853</v>
      </c>
    </row>
    <row r="52" spans="1:28" x14ac:dyDescent="0.25">
      <c r="A52" s="7">
        <v>18</v>
      </c>
      <c r="B52" s="13">
        <v>581</v>
      </c>
      <c r="C52" s="38" t="s">
        <v>427</v>
      </c>
      <c r="D52" s="38" t="s">
        <v>160</v>
      </c>
      <c r="E52" s="7" t="s">
        <v>378</v>
      </c>
      <c r="F52" s="4">
        <v>20</v>
      </c>
      <c r="G52" s="4">
        <v>36</v>
      </c>
      <c r="H52" s="4">
        <v>72</v>
      </c>
      <c r="I52" s="4">
        <v>7</v>
      </c>
      <c r="J52" s="4">
        <v>5</v>
      </c>
      <c r="K52" s="4">
        <v>6</v>
      </c>
      <c r="L52" s="4">
        <v>76</v>
      </c>
      <c r="M52" s="44">
        <v>8</v>
      </c>
      <c r="N52" s="4">
        <v>56</v>
      </c>
      <c r="O52" s="4">
        <v>7</v>
      </c>
      <c r="P52" s="4">
        <v>10</v>
      </c>
      <c r="Q52" s="4">
        <v>5</v>
      </c>
      <c r="R52" s="4">
        <v>46</v>
      </c>
      <c r="S52" s="4">
        <v>14</v>
      </c>
      <c r="T52" s="4">
        <v>47</v>
      </c>
      <c r="U52" s="4">
        <v>3</v>
      </c>
      <c r="V52" s="4">
        <v>7</v>
      </c>
      <c r="W52" s="4" t="s">
        <v>823</v>
      </c>
      <c r="X52" s="4">
        <f t="shared" si="3"/>
        <v>425</v>
      </c>
      <c r="Y52" s="16">
        <f t="shared" si="4"/>
        <v>0.80952380952380953</v>
      </c>
      <c r="Z52" s="52">
        <v>0.84</v>
      </c>
      <c r="AA52" s="54">
        <f t="shared" si="2"/>
        <v>17</v>
      </c>
      <c r="AB52" s="4" t="s">
        <v>856</v>
      </c>
    </row>
    <row r="53" spans="1:28" x14ac:dyDescent="0.25">
      <c r="A53" s="7">
        <v>19</v>
      </c>
      <c r="B53" s="15">
        <v>588</v>
      </c>
      <c r="C53" s="38" t="s">
        <v>428</v>
      </c>
      <c r="D53" s="38" t="s">
        <v>429</v>
      </c>
      <c r="E53" s="7" t="s">
        <v>378</v>
      </c>
      <c r="F53" s="44">
        <v>20</v>
      </c>
      <c r="G53" s="44">
        <v>36</v>
      </c>
      <c r="H53" s="44">
        <v>44</v>
      </c>
      <c r="I53" s="44">
        <v>7</v>
      </c>
      <c r="J53" s="44">
        <v>5</v>
      </c>
      <c r="K53" s="44">
        <v>7</v>
      </c>
      <c r="L53" s="44">
        <v>64</v>
      </c>
      <c r="M53" s="59">
        <v>7</v>
      </c>
      <c r="N53" s="44">
        <v>46</v>
      </c>
      <c r="O53" s="44">
        <v>5</v>
      </c>
      <c r="P53" s="44">
        <v>7</v>
      </c>
      <c r="Q53" s="44">
        <v>4</v>
      </c>
      <c r="R53" s="44">
        <v>42</v>
      </c>
      <c r="S53" s="44">
        <v>12</v>
      </c>
      <c r="T53" s="44">
        <v>42</v>
      </c>
      <c r="U53" s="44">
        <v>3</v>
      </c>
      <c r="V53" s="44">
        <v>7</v>
      </c>
      <c r="W53" s="44" t="s">
        <v>819</v>
      </c>
      <c r="X53" s="4">
        <f t="shared" si="3"/>
        <v>358</v>
      </c>
      <c r="Y53" s="16">
        <f t="shared" si="4"/>
        <v>0.6819047619047619</v>
      </c>
      <c r="Z53" s="52">
        <v>0.46</v>
      </c>
      <c r="AA53" s="54">
        <f t="shared" si="2"/>
        <v>29</v>
      </c>
      <c r="AB53" s="4" t="s">
        <v>856</v>
      </c>
    </row>
    <row r="54" spans="1:28" x14ac:dyDescent="0.25">
      <c r="A54" s="7">
        <v>20</v>
      </c>
      <c r="B54" s="13">
        <v>525</v>
      </c>
      <c r="C54" s="38" t="s">
        <v>431</v>
      </c>
      <c r="D54" s="38" t="s">
        <v>432</v>
      </c>
      <c r="E54" s="7" t="s">
        <v>378</v>
      </c>
      <c r="F54" s="9">
        <v>23</v>
      </c>
      <c r="G54" s="9">
        <v>48</v>
      </c>
      <c r="H54" s="9">
        <v>74</v>
      </c>
      <c r="I54" s="9">
        <v>10</v>
      </c>
      <c r="J54" s="9">
        <v>5</v>
      </c>
      <c r="K54" s="9">
        <v>10</v>
      </c>
      <c r="L54" s="9">
        <v>73</v>
      </c>
      <c r="M54" s="9">
        <v>10</v>
      </c>
      <c r="N54" s="9">
        <v>74</v>
      </c>
      <c r="O54" s="9">
        <v>9</v>
      </c>
      <c r="P54" s="9">
        <v>10</v>
      </c>
      <c r="Q54" s="9">
        <v>5</v>
      </c>
      <c r="R54" s="9">
        <v>56</v>
      </c>
      <c r="S54" s="9">
        <v>14</v>
      </c>
      <c r="T54" s="9">
        <v>58</v>
      </c>
      <c r="U54" s="9">
        <v>5</v>
      </c>
      <c r="V54" s="9">
        <v>10</v>
      </c>
      <c r="W54" s="9" t="s">
        <v>819</v>
      </c>
      <c r="X54" s="4">
        <f t="shared" si="3"/>
        <v>494</v>
      </c>
      <c r="Y54" s="16">
        <f t="shared" si="4"/>
        <v>0.94095238095238098</v>
      </c>
      <c r="Z54" s="52">
        <v>0.94</v>
      </c>
      <c r="AA54" s="54">
        <f t="shared" si="2"/>
        <v>6</v>
      </c>
      <c r="AB54" s="4" t="s">
        <v>854</v>
      </c>
    </row>
    <row r="55" spans="1:28" x14ac:dyDescent="0.25">
      <c r="A55" s="7">
        <v>21</v>
      </c>
      <c r="B55" s="13">
        <v>577</v>
      </c>
      <c r="C55" s="38" t="s">
        <v>433</v>
      </c>
      <c r="D55" s="38" t="s">
        <v>434</v>
      </c>
      <c r="E55" s="7" t="s">
        <v>378</v>
      </c>
      <c r="F55" s="9">
        <v>20</v>
      </c>
      <c r="G55" s="9">
        <v>32</v>
      </c>
      <c r="H55" s="9">
        <v>54</v>
      </c>
      <c r="I55" s="9">
        <v>6</v>
      </c>
      <c r="J55" s="9">
        <v>5</v>
      </c>
      <c r="K55" s="9">
        <v>9</v>
      </c>
      <c r="L55" s="9">
        <v>66</v>
      </c>
      <c r="M55" s="9">
        <v>10</v>
      </c>
      <c r="N55" s="9">
        <v>39</v>
      </c>
      <c r="O55" s="9">
        <v>7</v>
      </c>
      <c r="P55" s="9">
        <v>9</v>
      </c>
      <c r="Q55" s="9">
        <v>4</v>
      </c>
      <c r="R55" s="9">
        <v>47</v>
      </c>
      <c r="S55" s="9">
        <v>13</v>
      </c>
      <c r="T55" s="9">
        <v>38</v>
      </c>
      <c r="U55" s="9">
        <v>3</v>
      </c>
      <c r="V55" s="9">
        <v>7</v>
      </c>
      <c r="W55" s="9" t="s">
        <v>823</v>
      </c>
      <c r="X55" s="4">
        <f t="shared" si="3"/>
        <v>369</v>
      </c>
      <c r="Y55" s="16">
        <f t="shared" si="4"/>
        <v>0.70285714285714285</v>
      </c>
      <c r="Z55" s="52">
        <v>0.82</v>
      </c>
      <c r="AA55" s="54">
        <f t="shared" si="2"/>
        <v>26</v>
      </c>
      <c r="AB55" s="4" t="s">
        <v>856</v>
      </c>
    </row>
    <row r="56" spans="1:28" x14ac:dyDescent="0.25">
      <c r="A56" s="7">
        <v>22</v>
      </c>
      <c r="B56" s="13">
        <v>589</v>
      </c>
      <c r="C56" s="38" t="s">
        <v>435</v>
      </c>
      <c r="D56" s="38" t="s">
        <v>436</v>
      </c>
      <c r="E56" s="7" t="s">
        <v>378</v>
      </c>
      <c r="F56" s="9">
        <v>20</v>
      </c>
      <c r="G56" s="9">
        <v>35</v>
      </c>
      <c r="H56" s="9">
        <v>49</v>
      </c>
      <c r="I56" s="9">
        <v>6</v>
      </c>
      <c r="J56" s="9">
        <v>4</v>
      </c>
      <c r="K56" s="9">
        <v>6</v>
      </c>
      <c r="L56" s="9">
        <v>73</v>
      </c>
      <c r="M56" s="9">
        <v>7</v>
      </c>
      <c r="N56" s="9">
        <v>57</v>
      </c>
      <c r="O56" s="9">
        <v>7</v>
      </c>
      <c r="P56" s="9">
        <v>8</v>
      </c>
      <c r="Q56" s="9">
        <v>4</v>
      </c>
      <c r="R56" s="9">
        <v>45</v>
      </c>
      <c r="S56" s="9">
        <v>13</v>
      </c>
      <c r="T56" s="9">
        <v>49</v>
      </c>
      <c r="U56" s="9">
        <v>3</v>
      </c>
      <c r="V56" s="9">
        <v>7</v>
      </c>
      <c r="W56" s="9" t="s">
        <v>819</v>
      </c>
      <c r="X56" s="4">
        <f t="shared" si="3"/>
        <v>393</v>
      </c>
      <c r="Y56" s="16">
        <f t="shared" si="4"/>
        <v>0.74857142857142855</v>
      </c>
      <c r="Z56" s="52">
        <v>0.79</v>
      </c>
      <c r="AA56" s="54">
        <f t="shared" si="2"/>
        <v>24</v>
      </c>
      <c r="AB56" s="4" t="s">
        <v>856</v>
      </c>
    </row>
    <row r="57" spans="1:28" x14ac:dyDescent="0.25">
      <c r="A57" s="7">
        <v>23</v>
      </c>
      <c r="B57" s="13">
        <v>912</v>
      </c>
      <c r="C57" s="38" t="s">
        <v>437</v>
      </c>
      <c r="D57" s="38" t="s">
        <v>438</v>
      </c>
      <c r="E57" s="7" t="s">
        <v>378</v>
      </c>
      <c r="F57" s="9">
        <v>20</v>
      </c>
      <c r="G57" s="9">
        <v>50</v>
      </c>
      <c r="H57" s="9">
        <v>74</v>
      </c>
      <c r="I57" s="9">
        <v>9</v>
      </c>
      <c r="J57" s="9">
        <v>5</v>
      </c>
      <c r="K57" s="9">
        <v>10</v>
      </c>
      <c r="L57" s="9">
        <v>84</v>
      </c>
      <c r="M57" s="9">
        <v>9</v>
      </c>
      <c r="N57" s="9">
        <v>75</v>
      </c>
      <c r="O57" s="9">
        <v>8</v>
      </c>
      <c r="P57" s="9">
        <v>9</v>
      </c>
      <c r="Q57" s="9">
        <v>4</v>
      </c>
      <c r="R57" s="9">
        <v>59</v>
      </c>
      <c r="S57" s="9">
        <v>14</v>
      </c>
      <c r="T57" s="9">
        <v>56</v>
      </c>
      <c r="U57" s="9">
        <v>4</v>
      </c>
      <c r="V57" s="9">
        <v>9</v>
      </c>
      <c r="W57" s="9" t="s">
        <v>823</v>
      </c>
      <c r="X57" s="4">
        <f t="shared" si="3"/>
        <v>499</v>
      </c>
      <c r="Y57" s="16">
        <f t="shared" si="4"/>
        <v>0.95047619047619047</v>
      </c>
      <c r="Z57" s="52">
        <v>0.77</v>
      </c>
      <c r="AA57" s="54">
        <f t="shared" si="2"/>
        <v>5</v>
      </c>
      <c r="AB57" s="4" t="s">
        <v>882</v>
      </c>
    </row>
    <row r="58" spans="1:28" x14ac:dyDescent="0.25">
      <c r="A58" s="7">
        <v>24</v>
      </c>
      <c r="B58" s="13">
        <v>572</v>
      </c>
      <c r="C58" s="38" t="s">
        <v>440</v>
      </c>
      <c r="D58" s="38" t="s">
        <v>83</v>
      </c>
      <c r="E58" s="7" t="s">
        <v>378</v>
      </c>
      <c r="F58" s="9">
        <v>15</v>
      </c>
      <c r="G58" s="9">
        <v>25</v>
      </c>
      <c r="H58" s="9" t="s">
        <v>819</v>
      </c>
      <c r="I58" s="9">
        <v>5</v>
      </c>
      <c r="J58" s="9">
        <v>5</v>
      </c>
      <c r="K58" s="9">
        <v>2</v>
      </c>
      <c r="L58" s="9">
        <v>71</v>
      </c>
      <c r="M58" s="9">
        <v>5</v>
      </c>
      <c r="N58" s="9" t="s">
        <v>819</v>
      </c>
      <c r="O58" s="9">
        <v>5</v>
      </c>
      <c r="P58" s="9">
        <v>5</v>
      </c>
      <c r="Q58" s="9">
        <v>4</v>
      </c>
      <c r="R58" s="9" t="s">
        <v>819</v>
      </c>
      <c r="S58" s="9">
        <v>10</v>
      </c>
      <c r="T58" s="9">
        <v>38</v>
      </c>
      <c r="U58" s="9">
        <v>3</v>
      </c>
      <c r="V58" s="9">
        <v>6</v>
      </c>
      <c r="W58" s="9" t="s">
        <v>818</v>
      </c>
      <c r="X58" s="4">
        <f t="shared" si="3"/>
        <v>199</v>
      </c>
      <c r="Y58" s="16">
        <f t="shared" si="4"/>
        <v>0.37904761904761902</v>
      </c>
      <c r="Z58" s="52">
        <v>0.88</v>
      </c>
      <c r="AA58" s="54">
        <f t="shared" si="2"/>
        <v>49</v>
      </c>
      <c r="AB58" s="4" t="s">
        <v>850</v>
      </c>
    </row>
  </sheetData>
  <mergeCells count="16">
    <mergeCell ref="A34:AB34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A3:AB3"/>
    <mergeCell ref="Z4:Z6"/>
    <mergeCell ref="AA4:AA6"/>
    <mergeCell ref="AB4:AB6"/>
    <mergeCell ref="A7:AB7"/>
  </mergeCells>
  <conditionalFormatting sqref="B8:B14">
    <cfRule type="duplicateValues" dxfId="44" priority="13"/>
    <cfRule type="duplicateValues" dxfId="43" priority="14"/>
  </conditionalFormatting>
  <conditionalFormatting sqref="B17:B22">
    <cfRule type="duplicateValues" dxfId="42" priority="11"/>
    <cfRule type="duplicateValues" dxfId="41" priority="12"/>
  </conditionalFormatting>
  <conditionalFormatting sqref="B23:B31">
    <cfRule type="duplicateValues" dxfId="40" priority="9"/>
    <cfRule type="duplicateValues" dxfId="39" priority="10"/>
  </conditionalFormatting>
  <conditionalFormatting sqref="B35:B36">
    <cfRule type="duplicateValues" dxfId="38" priority="7"/>
    <cfRule type="duplicateValues" dxfId="37" priority="8"/>
  </conditionalFormatting>
  <conditionalFormatting sqref="B38:B42">
    <cfRule type="duplicateValues" dxfId="36" priority="5"/>
    <cfRule type="duplicateValues" dxfId="35" priority="6"/>
  </conditionalFormatting>
  <conditionalFormatting sqref="F1:W1048576">
    <cfRule type="cellIs" dxfId="34" priority="4" operator="equal">
      <formula>"AB"</formula>
    </cfRule>
  </conditionalFormatting>
  <conditionalFormatting sqref="AA1:AA1048576">
    <cfRule type="top10" dxfId="33" priority="2" bottom="1" rank="3"/>
    <cfRule type="duplicateValues" dxfId="32" priority="3"/>
  </conditionalFormatting>
  <pageMargins left="0.25" right="0.25" top="0.75" bottom="0.75" header="0.3" footer="0.3"/>
  <pageSetup paperSize="9" scale="72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9"/>
  <sheetViews>
    <sheetView workbookViewId="0">
      <selection activeCell="F8" sqref="F8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3.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117</v>
      </c>
      <c r="J5" s="2" t="s">
        <v>525</v>
      </c>
      <c r="K5" s="2" t="s">
        <v>524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165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26">
        <v>527</v>
      </c>
      <c r="C8" s="27" t="s">
        <v>448</v>
      </c>
      <c r="D8" s="28" t="s">
        <v>449</v>
      </c>
      <c r="E8" s="7" t="s">
        <v>447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29">
        <v>472</v>
      </c>
      <c r="C9" s="30" t="s">
        <v>450</v>
      </c>
      <c r="D9" s="28" t="s">
        <v>451</v>
      </c>
      <c r="E9" s="7" t="s">
        <v>447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29">
        <v>549</v>
      </c>
      <c r="C10" s="30" t="s">
        <v>452</v>
      </c>
      <c r="D10" s="28" t="s">
        <v>453</v>
      </c>
      <c r="E10" s="7" t="s">
        <v>447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29">
        <v>593</v>
      </c>
      <c r="C11" s="30" t="s">
        <v>454</v>
      </c>
      <c r="D11" s="28" t="s">
        <v>417</v>
      </c>
      <c r="E11" s="7" t="s">
        <v>447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29">
        <v>548</v>
      </c>
      <c r="C12" s="30" t="s">
        <v>455</v>
      </c>
      <c r="D12" s="28" t="s">
        <v>453</v>
      </c>
      <c r="E12" s="7" t="s">
        <v>447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29">
        <v>447</v>
      </c>
      <c r="C13" s="30" t="s">
        <v>456</v>
      </c>
      <c r="D13" s="28" t="s">
        <v>457</v>
      </c>
      <c r="E13" s="7" t="s">
        <v>447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29">
        <v>501</v>
      </c>
      <c r="C14" s="30" t="s">
        <v>458</v>
      </c>
      <c r="D14" s="28" t="s">
        <v>354</v>
      </c>
      <c r="E14" s="7" t="s">
        <v>447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29">
        <v>497</v>
      </c>
      <c r="C15" s="30" t="s">
        <v>459</v>
      </c>
      <c r="D15" s="28" t="s">
        <v>460</v>
      </c>
      <c r="E15" s="7" t="s">
        <v>447</v>
      </c>
      <c r="F15" s="4"/>
      <c r="G15" s="4"/>
      <c r="H15" s="4"/>
      <c r="I15" s="4"/>
      <c r="J15" s="4"/>
      <c r="K15" s="4"/>
      <c r="L15" s="4"/>
      <c r="M15" s="4"/>
      <c r="N15" s="4"/>
      <c r="O15" s="39"/>
      <c r="P15" s="4"/>
    </row>
    <row r="16" spans="1:16" x14ac:dyDescent="0.25">
      <c r="A16" s="7">
        <v>9</v>
      </c>
      <c r="B16" s="29">
        <v>550</v>
      </c>
      <c r="C16" s="30" t="s">
        <v>285</v>
      </c>
      <c r="D16" s="28" t="s">
        <v>461</v>
      </c>
      <c r="E16" s="7" t="s">
        <v>447</v>
      </c>
      <c r="F16" s="4"/>
      <c r="G16" s="4"/>
      <c r="H16" s="4"/>
      <c r="I16" s="4"/>
      <c r="J16" s="17"/>
      <c r="K16" s="17"/>
      <c r="L16" s="4"/>
      <c r="M16" s="4"/>
      <c r="N16" s="4"/>
      <c r="O16" s="39"/>
      <c r="P16" s="4"/>
    </row>
    <row r="17" spans="1:16" x14ac:dyDescent="0.25">
      <c r="A17" s="7">
        <v>10</v>
      </c>
      <c r="B17" s="29">
        <v>433</v>
      </c>
      <c r="C17" s="30" t="s">
        <v>112</v>
      </c>
      <c r="D17" s="28" t="s">
        <v>462</v>
      </c>
      <c r="E17" s="7" t="s">
        <v>447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29">
        <v>495</v>
      </c>
      <c r="C18" s="30" t="s">
        <v>463</v>
      </c>
      <c r="D18" s="28" t="s">
        <v>48</v>
      </c>
      <c r="E18" s="7" t="s">
        <v>447</v>
      </c>
      <c r="F18" s="4"/>
      <c r="G18" s="4"/>
      <c r="H18" s="4"/>
      <c r="I18" s="4"/>
      <c r="J18" s="4"/>
      <c r="K18" s="17"/>
      <c r="L18" s="4"/>
      <c r="M18" s="4"/>
      <c r="N18" s="4"/>
      <c r="O18" s="39"/>
      <c r="P18" s="4"/>
    </row>
    <row r="19" spans="1:16" x14ac:dyDescent="0.25">
      <c r="A19" s="7">
        <v>12</v>
      </c>
      <c r="B19" s="29">
        <v>758</v>
      </c>
      <c r="C19" s="30" t="s">
        <v>464</v>
      </c>
      <c r="D19" s="28" t="s">
        <v>465</v>
      </c>
      <c r="E19" s="7" t="s">
        <v>447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29">
        <v>595</v>
      </c>
      <c r="C20" s="30" t="s">
        <v>466</v>
      </c>
      <c r="D20" s="28" t="s">
        <v>64</v>
      </c>
      <c r="E20" s="7" t="s">
        <v>447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29">
        <v>883</v>
      </c>
      <c r="C21" s="30" t="s">
        <v>467</v>
      </c>
      <c r="D21" s="28" t="s">
        <v>468</v>
      </c>
      <c r="E21" s="7" t="s">
        <v>447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29">
        <v>865</v>
      </c>
      <c r="C22" s="30" t="s">
        <v>469</v>
      </c>
      <c r="D22" s="28" t="s">
        <v>470</v>
      </c>
      <c r="E22" s="7" t="s">
        <v>447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x14ac:dyDescent="0.25">
      <c r="A23" s="7">
        <v>16</v>
      </c>
      <c r="B23" s="29">
        <v>779</v>
      </c>
      <c r="C23" s="30" t="s">
        <v>471</v>
      </c>
      <c r="D23" s="28" t="s">
        <v>472</v>
      </c>
      <c r="E23" s="7" t="s">
        <v>447</v>
      </c>
      <c r="F23" s="4"/>
      <c r="G23" s="4"/>
      <c r="H23" s="4"/>
      <c r="I23" s="4"/>
      <c r="J23" s="4"/>
      <c r="K23" s="4"/>
      <c r="L23" s="4"/>
      <c r="M23" s="4"/>
      <c r="N23" s="4"/>
      <c r="O23" s="39"/>
      <c r="P23" s="4"/>
    </row>
    <row r="24" spans="1:16" x14ac:dyDescent="0.25">
      <c r="A24" s="7">
        <v>17</v>
      </c>
      <c r="B24" s="29">
        <v>848</v>
      </c>
      <c r="C24" s="30" t="s">
        <v>473</v>
      </c>
      <c r="D24" s="28" t="s">
        <v>474</v>
      </c>
      <c r="E24" s="7" t="s">
        <v>447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18</v>
      </c>
      <c r="B25" s="29"/>
      <c r="C25" s="30" t="s">
        <v>475</v>
      </c>
      <c r="D25" s="28" t="s">
        <v>46</v>
      </c>
      <c r="E25" s="7" t="s">
        <v>447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x14ac:dyDescent="0.25">
      <c r="A26" s="7">
        <v>19</v>
      </c>
      <c r="B26" s="29"/>
      <c r="C26" s="30" t="s">
        <v>464</v>
      </c>
      <c r="D26" s="28" t="s">
        <v>476</v>
      </c>
      <c r="E26" s="7" t="s">
        <v>447</v>
      </c>
      <c r="F26" s="4"/>
      <c r="G26" s="4"/>
      <c r="H26" s="4"/>
      <c r="I26" s="4"/>
      <c r="J26" s="4"/>
      <c r="K26" s="4"/>
      <c r="L26" s="4"/>
      <c r="M26" s="4"/>
      <c r="N26" s="4"/>
      <c r="O26" s="39"/>
      <c r="P26" s="4"/>
    </row>
    <row r="27" spans="1:16" x14ac:dyDescent="0.25">
      <c r="A27" s="7">
        <v>20</v>
      </c>
      <c r="B27" s="29">
        <v>904</v>
      </c>
      <c r="C27" s="30" t="s">
        <v>477</v>
      </c>
      <c r="D27" s="28" t="s">
        <v>478</v>
      </c>
      <c r="E27" s="7" t="s">
        <v>447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ht="21" x14ac:dyDescent="0.35">
      <c r="A28" s="125" t="s">
        <v>119</v>
      </c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</row>
    <row r="29" spans="1:16" x14ac:dyDescent="0.25">
      <c r="A29" s="7">
        <v>30</v>
      </c>
      <c r="B29" s="29">
        <v>596</v>
      </c>
      <c r="C29" s="30" t="s">
        <v>126</v>
      </c>
      <c r="D29" s="28" t="s">
        <v>479</v>
      </c>
      <c r="E29" s="7" t="s">
        <v>447</v>
      </c>
      <c r="F29" s="4"/>
      <c r="G29" s="4"/>
      <c r="H29" s="4"/>
      <c r="I29" s="4"/>
      <c r="J29" s="4"/>
      <c r="K29" s="4"/>
      <c r="L29" s="4"/>
      <c r="M29" s="4"/>
      <c r="N29" s="4"/>
      <c r="O29" s="39"/>
      <c r="P29" s="4"/>
    </row>
    <row r="30" spans="1:16" x14ac:dyDescent="0.25">
      <c r="A30" s="7">
        <v>31</v>
      </c>
      <c r="B30" s="29">
        <v>543</v>
      </c>
      <c r="C30" s="30" t="s">
        <v>480</v>
      </c>
      <c r="D30" s="28" t="s">
        <v>54</v>
      </c>
      <c r="E30" s="7" t="s">
        <v>447</v>
      </c>
      <c r="F30" s="4"/>
      <c r="G30" s="4"/>
      <c r="H30" s="4"/>
      <c r="I30" s="4"/>
      <c r="J30" s="4"/>
      <c r="K30" s="4"/>
      <c r="L30" s="4"/>
      <c r="M30" s="4"/>
      <c r="N30" s="4"/>
      <c r="O30" s="39"/>
      <c r="P30" s="4"/>
    </row>
    <row r="31" spans="1:16" x14ac:dyDescent="0.25">
      <c r="A31" s="7">
        <v>32</v>
      </c>
      <c r="B31" s="29">
        <v>590</v>
      </c>
      <c r="C31" s="30" t="s">
        <v>481</v>
      </c>
      <c r="D31" s="28" t="s">
        <v>482</v>
      </c>
      <c r="E31" s="7" t="s">
        <v>447</v>
      </c>
      <c r="F31" s="4"/>
      <c r="G31" s="4"/>
      <c r="H31" s="4"/>
      <c r="I31" s="4"/>
      <c r="J31" s="4"/>
      <c r="K31" s="4"/>
      <c r="L31" s="4"/>
      <c r="M31" s="4"/>
      <c r="N31" s="4"/>
      <c r="O31" s="39"/>
      <c r="P31" s="4"/>
    </row>
    <row r="32" spans="1:16" x14ac:dyDescent="0.25">
      <c r="A32" s="7">
        <v>33</v>
      </c>
      <c r="B32" s="29">
        <v>594</v>
      </c>
      <c r="C32" s="30" t="s">
        <v>483</v>
      </c>
      <c r="D32" s="28" t="s">
        <v>133</v>
      </c>
      <c r="E32" s="7" t="s">
        <v>447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34</v>
      </c>
      <c r="B33" s="29">
        <v>554</v>
      </c>
      <c r="C33" s="30" t="s">
        <v>443</v>
      </c>
      <c r="D33" s="28" t="s">
        <v>484</v>
      </c>
      <c r="E33" s="7" t="s">
        <v>447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35</v>
      </c>
      <c r="B34" s="29">
        <v>496</v>
      </c>
      <c r="C34" s="30" t="s">
        <v>485</v>
      </c>
      <c r="D34" s="28" t="s">
        <v>486</v>
      </c>
      <c r="E34" s="7" t="s">
        <v>447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x14ac:dyDescent="0.25">
      <c r="A35" s="7">
        <v>36</v>
      </c>
      <c r="B35" s="29">
        <v>599</v>
      </c>
      <c r="C35" s="30" t="s">
        <v>487</v>
      </c>
      <c r="D35" s="28" t="s">
        <v>18</v>
      </c>
      <c r="E35" s="7" t="s">
        <v>447</v>
      </c>
      <c r="F35" s="4"/>
      <c r="G35" s="4"/>
      <c r="H35" s="4"/>
      <c r="I35" s="4"/>
      <c r="J35" s="4"/>
      <c r="K35" s="4"/>
      <c r="L35" s="4"/>
      <c r="M35" s="4"/>
      <c r="N35" s="4"/>
      <c r="O35" s="39"/>
      <c r="P35" s="4"/>
    </row>
    <row r="36" spans="1:16" x14ac:dyDescent="0.25">
      <c r="A36" s="7">
        <v>37</v>
      </c>
      <c r="B36" s="29">
        <v>694</v>
      </c>
      <c r="C36" s="30" t="s">
        <v>488</v>
      </c>
      <c r="D36" s="28" t="s">
        <v>489</v>
      </c>
      <c r="E36" s="7" t="s">
        <v>447</v>
      </c>
      <c r="F36" s="4"/>
      <c r="G36" s="4"/>
      <c r="H36" s="4"/>
      <c r="I36" s="4"/>
      <c r="J36" s="4"/>
      <c r="K36" s="4"/>
      <c r="L36" s="4"/>
      <c r="M36" s="4"/>
      <c r="N36" s="4"/>
      <c r="O36" s="39"/>
      <c r="P36" s="4"/>
    </row>
    <row r="37" spans="1:16" x14ac:dyDescent="0.25">
      <c r="A37" s="7">
        <v>38</v>
      </c>
      <c r="B37" s="29">
        <v>506</v>
      </c>
      <c r="C37" s="30" t="s">
        <v>490</v>
      </c>
      <c r="D37" s="28" t="s">
        <v>491</v>
      </c>
      <c r="E37" s="7" t="s">
        <v>447</v>
      </c>
      <c r="F37" s="4"/>
      <c r="G37" s="4"/>
      <c r="H37" s="4"/>
      <c r="I37" s="4"/>
      <c r="J37" s="4"/>
      <c r="K37" s="4"/>
      <c r="L37" s="4"/>
      <c r="M37" s="4"/>
      <c r="N37" s="4"/>
      <c r="O37" s="39"/>
      <c r="P37" s="4"/>
    </row>
    <row r="38" spans="1:16" x14ac:dyDescent="0.25">
      <c r="A38" s="7">
        <v>39</v>
      </c>
      <c r="B38" s="29">
        <v>471</v>
      </c>
      <c r="C38" s="30" t="s">
        <v>492</v>
      </c>
      <c r="D38" s="28" t="s">
        <v>493</v>
      </c>
      <c r="E38" s="7" t="s">
        <v>447</v>
      </c>
      <c r="F38" s="4"/>
      <c r="G38" s="4"/>
      <c r="H38" s="4"/>
      <c r="I38" s="4"/>
      <c r="J38" s="4"/>
      <c r="K38" s="4"/>
      <c r="L38" s="4"/>
      <c r="M38" s="4"/>
      <c r="N38" s="4"/>
      <c r="O38" s="39"/>
      <c r="P38" s="4"/>
    </row>
    <row r="39" spans="1:16" x14ac:dyDescent="0.25">
      <c r="A39" s="7">
        <v>40</v>
      </c>
      <c r="B39" s="29">
        <v>537</v>
      </c>
      <c r="C39" s="30" t="s">
        <v>423</v>
      </c>
      <c r="D39" s="28" t="s">
        <v>494</v>
      </c>
      <c r="E39" s="7" t="s">
        <v>447</v>
      </c>
      <c r="F39" s="4"/>
      <c r="G39" s="4"/>
      <c r="H39" s="4"/>
      <c r="I39" s="4"/>
      <c r="J39" s="4"/>
      <c r="K39" s="4"/>
      <c r="L39" s="4"/>
      <c r="M39" s="4"/>
      <c r="N39" s="4"/>
      <c r="O39" s="39"/>
      <c r="P39" s="4"/>
    </row>
    <row r="40" spans="1:16" x14ac:dyDescent="0.25">
      <c r="A40" s="7">
        <v>41</v>
      </c>
      <c r="B40" s="29">
        <v>698</v>
      </c>
      <c r="C40" s="30" t="s">
        <v>495</v>
      </c>
      <c r="D40" s="28" t="s">
        <v>496</v>
      </c>
      <c r="E40" s="7" t="s">
        <v>447</v>
      </c>
      <c r="F40" s="4"/>
      <c r="G40" s="4"/>
      <c r="H40" s="4"/>
      <c r="I40" s="4"/>
      <c r="J40" s="4"/>
      <c r="K40" s="4"/>
      <c r="L40" s="4"/>
      <c r="M40" s="4"/>
      <c r="N40" s="4"/>
      <c r="O40" s="39"/>
      <c r="P40" s="4"/>
    </row>
    <row r="41" spans="1:16" x14ac:dyDescent="0.25">
      <c r="A41" s="7">
        <v>42</v>
      </c>
      <c r="B41" s="29">
        <v>524</v>
      </c>
      <c r="C41" s="30" t="s">
        <v>497</v>
      </c>
      <c r="D41" s="28" t="s">
        <v>20</v>
      </c>
      <c r="E41" s="7" t="s">
        <v>447</v>
      </c>
      <c r="F41" s="17"/>
      <c r="G41" s="17"/>
      <c r="H41" s="17"/>
      <c r="I41" s="17"/>
      <c r="J41" s="17"/>
      <c r="K41" s="17"/>
      <c r="L41" s="17"/>
      <c r="M41" s="4"/>
      <c r="N41" s="4"/>
      <c r="O41" s="39"/>
      <c r="P41" s="4"/>
    </row>
    <row r="42" spans="1:16" x14ac:dyDescent="0.25">
      <c r="A42" s="7">
        <v>43</v>
      </c>
      <c r="B42" s="29">
        <v>438</v>
      </c>
      <c r="C42" s="30" t="s">
        <v>498</v>
      </c>
      <c r="D42" s="28" t="s">
        <v>112</v>
      </c>
      <c r="E42" s="7" t="s">
        <v>447</v>
      </c>
      <c r="F42" s="9"/>
      <c r="G42" s="9"/>
      <c r="H42" s="9"/>
      <c r="I42" s="9"/>
      <c r="J42" s="9"/>
      <c r="K42" s="9"/>
      <c r="L42" s="9"/>
      <c r="M42" s="4"/>
      <c r="N42" s="4"/>
      <c r="O42" s="39"/>
      <c r="P42" s="4"/>
    </row>
    <row r="43" spans="1:16" x14ac:dyDescent="0.25">
      <c r="A43" s="7">
        <v>44</v>
      </c>
      <c r="B43" s="29">
        <v>445</v>
      </c>
      <c r="C43" s="30" t="s">
        <v>499</v>
      </c>
      <c r="D43" s="28" t="s">
        <v>500</v>
      </c>
      <c r="E43" s="7" t="s">
        <v>447</v>
      </c>
      <c r="F43" s="9"/>
      <c r="G43" s="9"/>
      <c r="H43" s="9"/>
      <c r="I43" s="9"/>
      <c r="J43" s="9"/>
      <c r="K43" s="9"/>
      <c r="L43" s="9"/>
      <c r="M43" s="4"/>
      <c r="N43" s="4"/>
      <c r="O43" s="39"/>
      <c r="P43" s="4"/>
    </row>
    <row r="44" spans="1:16" x14ac:dyDescent="0.25">
      <c r="A44" s="7">
        <v>45</v>
      </c>
      <c r="B44" s="29">
        <v>532</v>
      </c>
      <c r="C44" s="30" t="s">
        <v>501</v>
      </c>
      <c r="D44" s="28" t="s">
        <v>502</v>
      </c>
      <c r="E44" s="7" t="s">
        <v>447</v>
      </c>
      <c r="F44" s="9"/>
      <c r="G44" s="9"/>
      <c r="H44" s="9"/>
      <c r="I44" s="9"/>
      <c r="J44" s="9"/>
      <c r="K44" s="9"/>
      <c r="L44" s="9"/>
      <c r="M44" s="4"/>
      <c r="N44" s="4"/>
      <c r="O44" s="39"/>
      <c r="P44" s="4"/>
    </row>
    <row r="45" spans="1:16" x14ac:dyDescent="0.25">
      <c r="A45" s="7">
        <v>46</v>
      </c>
      <c r="B45" s="29">
        <v>643</v>
      </c>
      <c r="C45" s="30" t="s">
        <v>503</v>
      </c>
      <c r="D45" s="28" t="s">
        <v>442</v>
      </c>
      <c r="E45" s="7" t="s">
        <v>447</v>
      </c>
      <c r="F45" s="9"/>
      <c r="G45" s="9"/>
      <c r="H45" s="9"/>
      <c r="I45" s="9"/>
      <c r="J45" s="9"/>
      <c r="K45" s="9"/>
      <c r="L45" s="9"/>
      <c r="M45" s="4"/>
      <c r="N45" s="4"/>
      <c r="O45" s="39"/>
      <c r="P45" s="4"/>
    </row>
    <row r="46" spans="1:16" x14ac:dyDescent="0.25">
      <c r="A46" s="7">
        <v>47</v>
      </c>
      <c r="B46" s="29">
        <v>519</v>
      </c>
      <c r="C46" s="30" t="s">
        <v>504</v>
      </c>
      <c r="D46" s="28" t="s">
        <v>173</v>
      </c>
      <c r="E46" s="7" t="s">
        <v>447</v>
      </c>
      <c r="F46" s="9"/>
      <c r="G46" s="9"/>
      <c r="H46" s="9"/>
      <c r="I46" s="9"/>
      <c r="J46" s="9"/>
      <c r="K46" s="9"/>
      <c r="L46" s="9"/>
      <c r="M46" s="4"/>
      <c r="N46" s="4"/>
      <c r="O46" s="39"/>
      <c r="P46" s="4"/>
    </row>
    <row r="47" spans="1:16" x14ac:dyDescent="0.25">
      <c r="A47" s="7">
        <v>48</v>
      </c>
      <c r="B47" s="29">
        <v>611</v>
      </c>
      <c r="C47" s="30" t="s">
        <v>505</v>
      </c>
      <c r="D47" s="28" t="s">
        <v>506</v>
      </c>
      <c r="E47" s="7" t="s">
        <v>447</v>
      </c>
      <c r="F47" s="9"/>
      <c r="G47" s="9"/>
      <c r="H47" s="9"/>
      <c r="I47" s="9"/>
      <c r="J47" s="9"/>
      <c r="K47" s="9"/>
      <c r="L47" s="9"/>
      <c r="M47" s="4"/>
      <c r="N47" s="4"/>
      <c r="O47" s="39"/>
      <c r="P47" s="4"/>
    </row>
    <row r="48" spans="1:16" x14ac:dyDescent="0.25">
      <c r="A48" s="7">
        <v>49</v>
      </c>
      <c r="B48" s="29">
        <v>695</v>
      </c>
      <c r="C48" s="30" t="s">
        <v>507</v>
      </c>
      <c r="D48" s="28" t="s">
        <v>508</v>
      </c>
      <c r="E48" s="7" t="s">
        <v>447</v>
      </c>
      <c r="F48" s="9"/>
      <c r="G48" s="9"/>
      <c r="H48" s="9"/>
      <c r="I48" s="9"/>
      <c r="J48" s="9"/>
      <c r="K48" s="9"/>
      <c r="L48" s="9"/>
      <c r="M48" s="4"/>
      <c r="N48" s="4"/>
      <c r="O48" s="39"/>
      <c r="P48" s="4"/>
    </row>
    <row r="49" spans="1:16" x14ac:dyDescent="0.25">
      <c r="A49" s="7">
        <v>50</v>
      </c>
      <c r="B49" s="29">
        <v>598</v>
      </c>
      <c r="C49" s="30" t="s">
        <v>509</v>
      </c>
      <c r="D49" s="28" t="s">
        <v>510</v>
      </c>
      <c r="E49" s="7" t="s">
        <v>447</v>
      </c>
      <c r="F49" s="9"/>
      <c r="G49" s="9"/>
      <c r="H49" s="9"/>
      <c r="I49" s="9"/>
      <c r="J49" s="9"/>
      <c r="K49" s="9"/>
      <c r="L49" s="9"/>
      <c r="M49" s="4"/>
      <c r="N49" s="4"/>
      <c r="O49" s="39"/>
      <c r="P49" s="4"/>
    </row>
    <row r="50" spans="1:16" x14ac:dyDescent="0.25">
      <c r="A50" s="7">
        <v>51</v>
      </c>
      <c r="B50" s="29">
        <v>874</v>
      </c>
      <c r="C50" s="30" t="s">
        <v>511</v>
      </c>
      <c r="D50" s="30" t="s">
        <v>133</v>
      </c>
      <c r="E50" s="7" t="s">
        <v>447</v>
      </c>
      <c r="F50" s="9"/>
      <c r="G50" s="9"/>
      <c r="H50" s="9"/>
      <c r="I50" s="9"/>
      <c r="J50" s="9"/>
      <c r="K50" s="9"/>
      <c r="L50" s="9"/>
      <c r="M50" s="4"/>
      <c r="N50" s="4"/>
      <c r="O50" s="39"/>
      <c r="P50" s="4"/>
    </row>
    <row r="51" spans="1:16" x14ac:dyDescent="0.25">
      <c r="A51" s="7">
        <v>52</v>
      </c>
      <c r="B51" s="29">
        <v>699</v>
      </c>
      <c r="C51" s="30" t="s">
        <v>512</v>
      </c>
      <c r="D51" s="28" t="s">
        <v>72</v>
      </c>
      <c r="E51" s="7" t="s">
        <v>447</v>
      </c>
      <c r="F51" s="9"/>
      <c r="G51" s="9"/>
      <c r="H51" s="9"/>
      <c r="I51" s="9"/>
      <c r="J51" s="9"/>
      <c r="K51" s="9"/>
      <c r="L51" s="9"/>
      <c r="M51" s="4"/>
      <c r="N51" s="4"/>
      <c r="O51" s="39"/>
      <c r="P51" s="4"/>
    </row>
    <row r="52" spans="1:16" x14ac:dyDescent="0.25">
      <c r="A52" s="24">
        <v>53</v>
      </c>
      <c r="B52" s="31">
        <v>638</v>
      </c>
      <c r="C52" s="32" t="s">
        <v>513</v>
      </c>
      <c r="D52" s="33" t="s">
        <v>514</v>
      </c>
      <c r="E52" s="7" t="s">
        <v>447</v>
      </c>
      <c r="F52" s="25"/>
      <c r="G52" s="25"/>
      <c r="H52" s="25"/>
      <c r="I52" s="25"/>
      <c r="J52" s="25"/>
      <c r="K52" s="25"/>
      <c r="L52" s="25"/>
      <c r="M52" s="4"/>
      <c r="N52" s="4"/>
      <c r="O52" s="39"/>
      <c r="P52" s="24"/>
    </row>
    <row r="53" spans="1:16" x14ac:dyDescent="0.25">
      <c r="A53" s="24">
        <v>54</v>
      </c>
      <c r="B53" s="34">
        <v>696</v>
      </c>
      <c r="C53" s="34" t="s">
        <v>515</v>
      </c>
      <c r="D53" s="34" t="s">
        <v>465</v>
      </c>
      <c r="E53" s="7" t="s">
        <v>447</v>
      </c>
      <c r="F53" s="25"/>
      <c r="G53" s="25"/>
      <c r="H53" s="25"/>
      <c r="I53" s="25"/>
      <c r="J53" s="25"/>
      <c r="K53" s="25"/>
      <c r="L53" s="25"/>
      <c r="M53" s="4"/>
      <c r="N53" s="4"/>
      <c r="O53" s="39"/>
      <c r="P53" s="24"/>
    </row>
    <row r="54" spans="1:16" x14ac:dyDescent="0.25">
      <c r="A54" s="24">
        <v>55</v>
      </c>
      <c r="B54" s="34">
        <v>697</v>
      </c>
      <c r="C54" s="34" t="s">
        <v>516</v>
      </c>
      <c r="D54" s="34" t="s">
        <v>286</v>
      </c>
      <c r="E54" s="7" t="s">
        <v>447</v>
      </c>
      <c r="F54" s="25"/>
      <c r="G54" s="25"/>
      <c r="H54" s="25"/>
      <c r="I54" s="25"/>
      <c r="J54" s="25"/>
      <c r="K54" s="25"/>
      <c r="L54" s="25"/>
      <c r="M54" s="4"/>
      <c r="N54" s="4"/>
      <c r="O54" s="39"/>
      <c r="P54" s="24"/>
    </row>
    <row r="55" spans="1:16" x14ac:dyDescent="0.25">
      <c r="A55" s="24">
        <v>56</v>
      </c>
      <c r="B55" s="34">
        <v>558</v>
      </c>
      <c r="C55" s="34" t="s">
        <v>517</v>
      </c>
      <c r="D55" s="34" t="s">
        <v>389</v>
      </c>
      <c r="E55" s="7" t="s">
        <v>447</v>
      </c>
      <c r="F55" s="25"/>
      <c r="G55" s="25"/>
      <c r="H55" s="25"/>
      <c r="I55" s="25"/>
      <c r="J55" s="25"/>
      <c r="K55" s="25"/>
      <c r="L55" s="25"/>
      <c r="M55" s="4"/>
      <c r="N55" s="4"/>
      <c r="O55" s="39"/>
      <c r="P55" s="24"/>
    </row>
    <row r="56" spans="1:16" x14ac:dyDescent="0.25">
      <c r="A56" s="24">
        <v>57</v>
      </c>
      <c r="B56" s="35">
        <v>612</v>
      </c>
      <c r="C56" s="34" t="s">
        <v>518</v>
      </c>
      <c r="D56" s="36" t="s">
        <v>48</v>
      </c>
      <c r="E56" s="7" t="s">
        <v>447</v>
      </c>
      <c r="F56" s="25"/>
      <c r="G56" s="25"/>
      <c r="H56" s="25"/>
      <c r="I56" s="25"/>
      <c r="J56" s="25"/>
      <c r="K56" s="25"/>
      <c r="L56" s="25"/>
      <c r="M56" s="4"/>
      <c r="N56" s="4"/>
      <c r="O56" s="39"/>
      <c r="P56" s="24"/>
    </row>
    <row r="57" spans="1:16" x14ac:dyDescent="0.25">
      <c r="A57" s="24">
        <v>58</v>
      </c>
      <c r="B57" s="26">
        <v>432</v>
      </c>
      <c r="C57" s="27" t="s">
        <v>519</v>
      </c>
      <c r="D57" s="37" t="s">
        <v>520</v>
      </c>
      <c r="E57" s="7" t="s">
        <v>447</v>
      </c>
      <c r="F57" s="25"/>
      <c r="G57" s="25"/>
      <c r="H57" s="25"/>
      <c r="I57" s="25"/>
      <c r="J57" s="25"/>
      <c r="K57" s="25"/>
      <c r="L57" s="25"/>
      <c r="M57" s="4"/>
      <c r="N57" s="4"/>
      <c r="O57" s="39"/>
      <c r="P57" s="24"/>
    </row>
    <row r="58" spans="1:16" x14ac:dyDescent="0.25">
      <c r="A58" s="24">
        <v>59</v>
      </c>
      <c r="B58" s="29">
        <v>592</v>
      </c>
      <c r="C58" s="30" t="s">
        <v>521</v>
      </c>
      <c r="D58" s="28" t="s">
        <v>522</v>
      </c>
      <c r="E58" s="7" t="s">
        <v>447</v>
      </c>
      <c r="F58" s="25"/>
      <c r="G58" s="25"/>
      <c r="H58" s="25"/>
      <c r="I58" s="25"/>
      <c r="J58" s="25"/>
      <c r="K58" s="25"/>
      <c r="L58" s="25"/>
      <c r="M58" s="4"/>
      <c r="N58" s="4"/>
      <c r="O58" s="39"/>
      <c r="P58" s="24"/>
    </row>
    <row r="59" spans="1:16" x14ac:dyDescent="0.25">
      <c r="A59" s="24">
        <v>60</v>
      </c>
      <c r="B59" s="29">
        <v>864</v>
      </c>
      <c r="C59" s="30" t="s">
        <v>523</v>
      </c>
      <c r="D59" s="28" t="s">
        <v>110</v>
      </c>
      <c r="E59" s="7" t="s">
        <v>447</v>
      </c>
      <c r="F59" s="25"/>
      <c r="G59" s="25"/>
      <c r="H59" s="25"/>
      <c r="I59" s="25"/>
      <c r="J59" s="25"/>
      <c r="K59" s="25"/>
      <c r="L59" s="25"/>
      <c r="M59" s="4"/>
      <c r="N59" s="4"/>
      <c r="O59" s="39"/>
      <c r="P59" s="24"/>
    </row>
  </sheetData>
  <mergeCells count="15">
    <mergeCell ref="A7:P7"/>
    <mergeCell ref="A28:P28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7">
    <cfRule type="duplicateValues" dxfId="31" priority="3"/>
  </conditionalFormatting>
  <conditionalFormatting sqref="B29:B59">
    <cfRule type="duplicateValues" dxfId="30" priority="2"/>
  </conditionalFormatting>
  <conditionalFormatting sqref="B57:B59">
    <cfRule type="duplicateValues" dxfId="29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3"/>
  <sheetViews>
    <sheetView workbookViewId="0">
      <selection activeCell="H27" sqref="H27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3.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117</v>
      </c>
      <c r="J5" s="2" t="s">
        <v>525</v>
      </c>
      <c r="K5" s="2" t="s">
        <v>524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165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29">
        <v>605</v>
      </c>
      <c r="C8" s="30" t="s">
        <v>526</v>
      </c>
      <c r="D8" s="28" t="s">
        <v>421</v>
      </c>
      <c r="E8" s="7" t="s">
        <v>670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29">
        <v>609</v>
      </c>
      <c r="C9" s="30" t="s">
        <v>44</v>
      </c>
      <c r="D9" s="28" t="s">
        <v>377</v>
      </c>
      <c r="E9" s="7" t="s">
        <v>670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29">
        <v>757</v>
      </c>
      <c r="C10" s="30" t="s">
        <v>93</v>
      </c>
      <c r="D10" s="28" t="s">
        <v>527</v>
      </c>
      <c r="E10" s="7" t="s">
        <v>670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29">
        <v>604</v>
      </c>
      <c r="C11" s="30" t="s">
        <v>528</v>
      </c>
      <c r="D11" s="28" t="s">
        <v>139</v>
      </c>
      <c r="E11" s="7" t="s">
        <v>670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29">
        <v>464</v>
      </c>
      <c r="C12" s="30" t="s">
        <v>529</v>
      </c>
      <c r="D12" s="28" t="s">
        <v>87</v>
      </c>
      <c r="E12" s="7" t="s">
        <v>670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29">
        <v>601</v>
      </c>
      <c r="C13" s="30" t="s">
        <v>530</v>
      </c>
      <c r="D13" s="28" t="s">
        <v>531</v>
      </c>
      <c r="E13" s="7" t="s">
        <v>670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29">
        <v>494</v>
      </c>
      <c r="C14" s="30" t="s">
        <v>532</v>
      </c>
      <c r="D14" s="28" t="s">
        <v>48</v>
      </c>
      <c r="E14" s="7" t="s">
        <v>670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29">
        <v>508</v>
      </c>
      <c r="C15" s="30" t="s">
        <v>533</v>
      </c>
      <c r="D15" s="28" t="s">
        <v>491</v>
      </c>
      <c r="E15" s="7" t="s">
        <v>670</v>
      </c>
      <c r="F15" s="4"/>
      <c r="G15" s="4"/>
      <c r="H15" s="4"/>
      <c r="I15" s="4"/>
      <c r="J15" s="4"/>
      <c r="K15" s="4"/>
      <c r="L15" s="4"/>
      <c r="M15" s="4"/>
      <c r="N15" s="4"/>
      <c r="O15" s="39"/>
      <c r="P15" s="4"/>
    </row>
    <row r="16" spans="1:16" x14ac:dyDescent="0.25">
      <c r="A16" s="7">
        <v>9</v>
      </c>
      <c r="B16" s="29">
        <v>710</v>
      </c>
      <c r="C16" s="30" t="s">
        <v>534</v>
      </c>
      <c r="D16" s="28" t="s">
        <v>535</v>
      </c>
      <c r="E16" s="7" t="s">
        <v>670</v>
      </c>
      <c r="F16" s="4"/>
      <c r="G16" s="4"/>
      <c r="H16" s="4"/>
      <c r="I16" s="4"/>
      <c r="J16" s="17"/>
      <c r="K16" s="17"/>
      <c r="L16" s="4"/>
      <c r="M16" s="4"/>
      <c r="N16" s="4"/>
      <c r="O16" s="39"/>
      <c r="P16" s="4"/>
    </row>
    <row r="17" spans="1:16" x14ac:dyDescent="0.25">
      <c r="A17" s="7">
        <v>10</v>
      </c>
      <c r="B17" s="29">
        <v>711</v>
      </c>
      <c r="C17" s="30" t="s">
        <v>536</v>
      </c>
      <c r="D17" s="28" t="s">
        <v>72</v>
      </c>
      <c r="E17" s="7" t="s">
        <v>670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29">
        <v>600</v>
      </c>
      <c r="C18" s="30" t="s">
        <v>537</v>
      </c>
      <c r="D18" s="28" t="s">
        <v>538</v>
      </c>
      <c r="E18" s="7" t="s">
        <v>670</v>
      </c>
      <c r="F18" s="4"/>
      <c r="G18" s="4"/>
      <c r="H18" s="4"/>
      <c r="I18" s="4"/>
      <c r="J18" s="4"/>
      <c r="K18" s="17"/>
      <c r="L18" s="4"/>
      <c r="M18" s="4"/>
      <c r="N18" s="4"/>
      <c r="O18" s="39"/>
      <c r="P18" s="4"/>
    </row>
    <row r="19" spans="1:16" x14ac:dyDescent="0.25">
      <c r="A19" s="7">
        <v>12</v>
      </c>
      <c r="B19" s="29">
        <v>640</v>
      </c>
      <c r="C19" s="30" t="s">
        <v>539</v>
      </c>
      <c r="D19" s="28" t="s">
        <v>540</v>
      </c>
      <c r="E19" s="7" t="s">
        <v>670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29">
        <v>761</v>
      </c>
      <c r="C20" s="30" t="s">
        <v>541</v>
      </c>
      <c r="D20" s="28" t="s">
        <v>542</v>
      </c>
      <c r="E20" s="7" t="s">
        <v>670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29">
        <v>470</v>
      </c>
      <c r="C21" s="30" t="s">
        <v>543</v>
      </c>
      <c r="D21" s="28" t="s">
        <v>493</v>
      </c>
      <c r="E21" s="7" t="s">
        <v>670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29">
        <v>642</v>
      </c>
      <c r="C22" s="30" t="s">
        <v>83</v>
      </c>
      <c r="D22" s="28" t="s">
        <v>544</v>
      </c>
      <c r="E22" s="7" t="s">
        <v>670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x14ac:dyDescent="0.25">
      <c r="A23" s="7">
        <v>16</v>
      </c>
      <c r="B23" s="29">
        <v>607</v>
      </c>
      <c r="C23" s="30" t="s">
        <v>545</v>
      </c>
      <c r="D23" s="28" t="s">
        <v>258</v>
      </c>
      <c r="E23" s="7" t="s">
        <v>670</v>
      </c>
      <c r="F23" s="4"/>
      <c r="G23" s="4"/>
      <c r="H23" s="4"/>
      <c r="I23" s="4"/>
      <c r="J23" s="4"/>
      <c r="K23" s="4"/>
      <c r="L23" s="4"/>
      <c r="M23" s="4"/>
      <c r="N23" s="4"/>
      <c r="O23" s="39"/>
      <c r="P23" s="4"/>
    </row>
    <row r="24" spans="1:16" x14ac:dyDescent="0.25">
      <c r="A24" s="7">
        <v>17</v>
      </c>
      <c r="B24" s="29">
        <v>437</v>
      </c>
      <c r="C24" s="30" t="s">
        <v>546</v>
      </c>
      <c r="D24" s="28" t="s">
        <v>20</v>
      </c>
      <c r="E24" s="7" t="s">
        <v>670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18</v>
      </c>
      <c r="B25" s="29">
        <v>504</v>
      </c>
      <c r="C25" s="30" t="s">
        <v>547</v>
      </c>
      <c r="D25" s="28" t="s">
        <v>548</v>
      </c>
      <c r="E25" s="7" t="s">
        <v>670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x14ac:dyDescent="0.25">
      <c r="A26" s="7">
        <v>19</v>
      </c>
      <c r="B26" s="29">
        <v>705</v>
      </c>
      <c r="C26" s="30" t="s">
        <v>549</v>
      </c>
      <c r="D26" s="28" t="s">
        <v>94</v>
      </c>
      <c r="E26" s="7" t="s">
        <v>670</v>
      </c>
      <c r="F26" s="4"/>
      <c r="G26" s="4"/>
      <c r="H26" s="4"/>
      <c r="I26" s="4"/>
      <c r="J26" s="4"/>
      <c r="K26" s="4"/>
      <c r="L26" s="4"/>
      <c r="M26" s="4"/>
      <c r="N26" s="4"/>
      <c r="O26" s="39"/>
      <c r="P26" s="4"/>
    </row>
    <row r="27" spans="1:16" x14ac:dyDescent="0.25">
      <c r="A27" s="7">
        <v>20</v>
      </c>
      <c r="B27" s="29">
        <v>868</v>
      </c>
      <c r="C27" s="30" t="s">
        <v>532</v>
      </c>
      <c r="D27" s="28" t="s">
        <v>550</v>
      </c>
      <c r="E27" s="7" t="s">
        <v>670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x14ac:dyDescent="0.25">
      <c r="A28" s="7">
        <v>21</v>
      </c>
      <c r="B28" s="29">
        <v>860</v>
      </c>
      <c r="C28" s="30" t="s">
        <v>551</v>
      </c>
      <c r="D28" s="28" t="s">
        <v>552</v>
      </c>
      <c r="E28" s="7" t="s">
        <v>670</v>
      </c>
      <c r="F28" s="4"/>
      <c r="G28" s="4"/>
      <c r="H28" s="4"/>
      <c r="I28" s="4"/>
      <c r="J28" s="4"/>
      <c r="K28" s="4"/>
      <c r="L28" s="4"/>
      <c r="M28" s="4"/>
      <c r="N28" s="4"/>
      <c r="O28" s="39"/>
      <c r="P28" s="4"/>
    </row>
    <row r="29" spans="1:16" ht="21" x14ac:dyDescent="0.35">
      <c r="A29" s="125" t="s">
        <v>119</v>
      </c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</row>
    <row r="30" spans="1:16" x14ac:dyDescent="0.25">
      <c r="A30" s="7">
        <v>30</v>
      </c>
      <c r="B30" s="29">
        <v>634</v>
      </c>
      <c r="C30" s="30" t="s">
        <v>553</v>
      </c>
      <c r="D30" s="28" t="s">
        <v>554</v>
      </c>
      <c r="E30" s="7" t="s">
        <v>670</v>
      </c>
      <c r="F30" s="4"/>
      <c r="G30" s="4"/>
      <c r="H30" s="4"/>
      <c r="I30" s="4"/>
      <c r="J30" s="4"/>
      <c r="K30" s="4"/>
      <c r="L30" s="4"/>
      <c r="M30" s="4"/>
      <c r="N30" s="4"/>
      <c r="O30" s="39"/>
      <c r="P30" s="4"/>
    </row>
    <row r="31" spans="1:16" x14ac:dyDescent="0.25">
      <c r="A31" s="7">
        <v>31</v>
      </c>
      <c r="B31" s="29">
        <v>507</v>
      </c>
      <c r="C31" s="30" t="s">
        <v>555</v>
      </c>
      <c r="D31" s="28" t="s">
        <v>491</v>
      </c>
      <c r="E31" s="7" t="s">
        <v>670</v>
      </c>
      <c r="F31" s="4"/>
      <c r="G31" s="4"/>
      <c r="H31" s="4"/>
      <c r="I31" s="4"/>
      <c r="J31" s="4"/>
      <c r="K31" s="4"/>
      <c r="L31" s="4"/>
      <c r="M31" s="4"/>
      <c r="N31" s="4"/>
      <c r="O31" s="39"/>
      <c r="P31" s="4"/>
    </row>
    <row r="32" spans="1:16" x14ac:dyDescent="0.25">
      <c r="A32" s="7">
        <v>32</v>
      </c>
      <c r="B32" s="29">
        <v>706</v>
      </c>
      <c r="C32" s="30" t="s">
        <v>556</v>
      </c>
      <c r="D32" s="28" t="s">
        <v>557</v>
      </c>
      <c r="E32" s="7" t="s">
        <v>670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33</v>
      </c>
      <c r="B33" s="29">
        <v>608</v>
      </c>
      <c r="C33" s="30" t="s">
        <v>225</v>
      </c>
      <c r="D33" s="28" t="s">
        <v>127</v>
      </c>
      <c r="E33" s="7" t="s">
        <v>670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34</v>
      </c>
      <c r="B34" s="29">
        <v>603</v>
      </c>
      <c r="C34" s="30" t="s">
        <v>415</v>
      </c>
      <c r="D34" s="28" t="s">
        <v>24</v>
      </c>
      <c r="E34" s="7" t="s">
        <v>670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x14ac:dyDescent="0.25">
      <c r="A35" s="7">
        <v>35</v>
      </c>
      <c r="B35" s="26">
        <v>503</v>
      </c>
      <c r="C35" s="27" t="s">
        <v>558</v>
      </c>
      <c r="D35" s="37" t="s">
        <v>548</v>
      </c>
      <c r="E35" s="7" t="s">
        <v>670</v>
      </c>
      <c r="F35" s="4"/>
      <c r="G35" s="4"/>
      <c r="H35" s="4"/>
      <c r="I35" s="4"/>
      <c r="J35" s="4"/>
      <c r="K35" s="4"/>
      <c r="L35" s="4"/>
      <c r="M35" s="4"/>
      <c r="N35" s="4"/>
      <c r="O35" s="39"/>
      <c r="P35" s="4"/>
    </row>
    <row r="36" spans="1:16" x14ac:dyDescent="0.25">
      <c r="A36" s="7">
        <v>36</v>
      </c>
      <c r="B36" s="29">
        <v>606</v>
      </c>
      <c r="C36" s="30" t="s">
        <v>559</v>
      </c>
      <c r="D36" s="28" t="s">
        <v>560</v>
      </c>
      <c r="E36" s="7" t="s">
        <v>670</v>
      </c>
      <c r="F36" s="4"/>
      <c r="G36" s="4"/>
      <c r="H36" s="4"/>
      <c r="I36" s="4"/>
      <c r="J36" s="4"/>
      <c r="K36" s="4"/>
      <c r="L36" s="4"/>
      <c r="M36" s="4"/>
      <c r="N36" s="4"/>
      <c r="O36" s="39"/>
      <c r="P36" s="4"/>
    </row>
    <row r="37" spans="1:16" x14ac:dyDescent="0.25">
      <c r="A37" s="7">
        <v>37</v>
      </c>
      <c r="B37" s="29">
        <v>358</v>
      </c>
      <c r="C37" s="30" t="s">
        <v>561</v>
      </c>
      <c r="D37" s="28" t="s">
        <v>383</v>
      </c>
      <c r="E37" s="7" t="s">
        <v>670</v>
      </c>
      <c r="F37" s="4"/>
      <c r="G37" s="4"/>
      <c r="H37" s="4"/>
      <c r="I37" s="4"/>
      <c r="J37" s="4"/>
      <c r="K37" s="4"/>
      <c r="L37" s="4"/>
      <c r="M37" s="4"/>
      <c r="N37" s="4"/>
      <c r="O37" s="39"/>
      <c r="P37" s="4"/>
    </row>
    <row r="38" spans="1:16" x14ac:dyDescent="0.25">
      <c r="A38" s="7">
        <v>38</v>
      </c>
      <c r="B38" s="29">
        <v>610</v>
      </c>
      <c r="C38" s="30" t="s">
        <v>562</v>
      </c>
      <c r="D38" s="28" t="s">
        <v>393</v>
      </c>
      <c r="E38" s="7" t="s">
        <v>670</v>
      </c>
      <c r="F38" s="4"/>
      <c r="G38" s="4"/>
      <c r="H38" s="4"/>
      <c r="I38" s="4"/>
      <c r="J38" s="4"/>
      <c r="K38" s="4"/>
      <c r="L38" s="4"/>
      <c r="M38" s="4"/>
      <c r="N38" s="4"/>
      <c r="O38" s="39"/>
      <c r="P38" s="4"/>
    </row>
    <row r="39" spans="1:16" x14ac:dyDescent="0.25">
      <c r="A39" s="7">
        <v>39</v>
      </c>
      <c r="B39" s="29">
        <v>709</v>
      </c>
      <c r="C39" s="30" t="s">
        <v>563</v>
      </c>
      <c r="D39" s="28" t="s">
        <v>564</v>
      </c>
      <c r="E39" s="7" t="s">
        <v>670</v>
      </c>
      <c r="F39" s="4"/>
      <c r="G39" s="4"/>
      <c r="H39" s="4"/>
      <c r="I39" s="4"/>
      <c r="J39" s="4"/>
      <c r="K39" s="4"/>
      <c r="L39" s="4"/>
      <c r="M39" s="4"/>
      <c r="N39" s="4"/>
      <c r="O39" s="39"/>
      <c r="P39" s="4"/>
    </row>
    <row r="40" spans="1:16" x14ac:dyDescent="0.25">
      <c r="A40" s="7">
        <v>40</v>
      </c>
      <c r="B40" s="29">
        <v>318</v>
      </c>
      <c r="C40" s="30" t="s">
        <v>565</v>
      </c>
      <c r="D40" s="28" t="s">
        <v>129</v>
      </c>
      <c r="E40" s="7" t="s">
        <v>670</v>
      </c>
      <c r="F40" s="4"/>
      <c r="G40" s="4"/>
      <c r="H40" s="4"/>
      <c r="I40" s="4"/>
      <c r="J40" s="4"/>
      <c r="K40" s="4"/>
      <c r="L40" s="4"/>
      <c r="M40" s="4"/>
      <c r="N40" s="4"/>
      <c r="O40" s="39"/>
      <c r="P40" s="4"/>
    </row>
    <row r="41" spans="1:16" x14ac:dyDescent="0.25">
      <c r="A41" s="7">
        <v>41</v>
      </c>
      <c r="B41" s="29">
        <v>707</v>
      </c>
      <c r="C41" s="30" t="s">
        <v>566</v>
      </c>
      <c r="D41" s="28" t="s">
        <v>567</v>
      </c>
      <c r="E41" s="7" t="s">
        <v>670</v>
      </c>
      <c r="F41" s="4"/>
      <c r="G41" s="4"/>
      <c r="H41" s="4"/>
      <c r="I41" s="4"/>
      <c r="J41" s="4"/>
      <c r="K41" s="4"/>
      <c r="L41" s="4"/>
      <c r="M41" s="4"/>
      <c r="N41" s="4"/>
      <c r="O41" s="39"/>
      <c r="P41" s="4"/>
    </row>
    <row r="42" spans="1:16" x14ac:dyDescent="0.25">
      <c r="A42" s="7">
        <v>42</v>
      </c>
      <c r="B42" s="29">
        <v>486</v>
      </c>
      <c r="C42" s="30" t="s">
        <v>568</v>
      </c>
      <c r="D42" s="28" t="s">
        <v>569</v>
      </c>
      <c r="E42" s="7" t="s">
        <v>670</v>
      </c>
      <c r="F42" s="17"/>
      <c r="G42" s="17"/>
      <c r="H42" s="17"/>
      <c r="I42" s="17"/>
      <c r="J42" s="17"/>
      <c r="K42" s="17"/>
      <c r="L42" s="17"/>
      <c r="M42" s="4"/>
      <c r="N42" s="4"/>
      <c r="O42" s="39"/>
      <c r="P42" s="4"/>
    </row>
    <row r="43" spans="1:16" x14ac:dyDescent="0.25">
      <c r="A43" s="7">
        <v>43</v>
      </c>
      <c r="B43" s="29">
        <v>602</v>
      </c>
      <c r="C43" s="30" t="s">
        <v>570</v>
      </c>
      <c r="D43" s="28" t="s">
        <v>48</v>
      </c>
      <c r="E43" s="7" t="s">
        <v>670</v>
      </c>
      <c r="F43" s="9"/>
      <c r="G43" s="9"/>
      <c r="H43" s="9"/>
      <c r="I43" s="9"/>
      <c r="J43" s="9"/>
      <c r="K43" s="9"/>
      <c r="L43" s="9"/>
      <c r="M43" s="4"/>
      <c r="N43" s="4"/>
      <c r="O43" s="39"/>
      <c r="P43" s="4"/>
    </row>
    <row r="44" spans="1:16" x14ac:dyDescent="0.25">
      <c r="A44" s="7">
        <v>44</v>
      </c>
      <c r="B44" s="29">
        <v>708</v>
      </c>
      <c r="C44" s="30" t="s">
        <v>571</v>
      </c>
      <c r="D44" s="28" t="s">
        <v>564</v>
      </c>
      <c r="E44" s="7" t="s">
        <v>670</v>
      </c>
      <c r="F44" s="9"/>
      <c r="G44" s="9"/>
      <c r="H44" s="9"/>
      <c r="I44" s="9"/>
      <c r="J44" s="9"/>
      <c r="K44" s="9"/>
      <c r="L44" s="9"/>
      <c r="M44" s="4"/>
      <c r="N44" s="4"/>
      <c r="O44" s="39"/>
      <c r="P44" s="4"/>
    </row>
    <row r="45" spans="1:16" x14ac:dyDescent="0.25">
      <c r="A45" s="7">
        <v>45</v>
      </c>
      <c r="B45" s="29">
        <v>641</v>
      </c>
      <c r="C45" s="30" t="s">
        <v>572</v>
      </c>
      <c r="D45" s="28" t="s">
        <v>506</v>
      </c>
      <c r="E45" s="7" t="s">
        <v>670</v>
      </c>
      <c r="F45" s="9"/>
      <c r="G45" s="9"/>
      <c r="H45" s="9"/>
      <c r="I45" s="9"/>
      <c r="J45" s="9"/>
      <c r="K45" s="9"/>
      <c r="L45" s="9"/>
      <c r="M45" s="4"/>
      <c r="N45" s="4"/>
      <c r="O45" s="39"/>
      <c r="P45" s="4"/>
    </row>
    <row r="46" spans="1:16" x14ac:dyDescent="0.25">
      <c r="A46" s="7">
        <v>46</v>
      </c>
      <c r="B46" s="29">
        <v>782</v>
      </c>
      <c r="C46" s="30" t="s">
        <v>573</v>
      </c>
      <c r="D46" s="28" t="s">
        <v>574</v>
      </c>
      <c r="E46" s="7" t="s">
        <v>670</v>
      </c>
      <c r="F46" s="9"/>
      <c r="G46" s="9"/>
      <c r="H46" s="9"/>
      <c r="I46" s="9"/>
      <c r="J46" s="9"/>
      <c r="K46" s="9"/>
      <c r="L46" s="9"/>
      <c r="M46" s="4"/>
      <c r="N46" s="4"/>
      <c r="O46" s="39"/>
      <c r="P46" s="4"/>
    </row>
    <row r="47" spans="1:16" x14ac:dyDescent="0.25">
      <c r="A47" s="7">
        <v>47</v>
      </c>
      <c r="B47" s="29">
        <v>469</v>
      </c>
      <c r="C47" s="30" t="s">
        <v>575</v>
      </c>
      <c r="D47" s="28" t="s">
        <v>127</v>
      </c>
      <c r="E47" s="7" t="s">
        <v>670</v>
      </c>
      <c r="F47" s="9"/>
      <c r="G47" s="9"/>
      <c r="H47" s="9"/>
      <c r="I47" s="9"/>
      <c r="J47" s="9"/>
      <c r="K47" s="9"/>
      <c r="L47" s="9"/>
      <c r="M47" s="4"/>
      <c r="N47" s="4"/>
      <c r="O47" s="39"/>
      <c r="P47" s="4"/>
    </row>
    <row r="48" spans="1:16" x14ac:dyDescent="0.25">
      <c r="A48" s="7">
        <v>48</v>
      </c>
      <c r="B48" s="29">
        <v>388</v>
      </c>
      <c r="C48" s="30" t="s">
        <v>576</v>
      </c>
      <c r="D48" s="28" t="s">
        <v>577</v>
      </c>
      <c r="E48" s="7" t="s">
        <v>670</v>
      </c>
      <c r="F48" s="9"/>
      <c r="G48" s="9"/>
      <c r="H48" s="9"/>
      <c r="I48" s="9"/>
      <c r="J48" s="9"/>
      <c r="K48" s="9"/>
      <c r="L48" s="9"/>
      <c r="M48" s="4"/>
      <c r="N48" s="4"/>
      <c r="O48" s="39"/>
      <c r="P48" s="4"/>
    </row>
    <row r="49" spans="1:16" x14ac:dyDescent="0.25">
      <c r="A49" s="7">
        <v>49</v>
      </c>
      <c r="B49" s="29">
        <v>510</v>
      </c>
      <c r="C49" s="30" t="s">
        <v>578</v>
      </c>
      <c r="D49" s="28" t="s">
        <v>548</v>
      </c>
      <c r="E49" s="7" t="s">
        <v>670</v>
      </c>
      <c r="F49" s="9"/>
      <c r="G49" s="9"/>
      <c r="H49" s="9"/>
      <c r="I49" s="9"/>
      <c r="J49" s="9"/>
      <c r="K49" s="9"/>
      <c r="L49" s="9"/>
      <c r="M49" s="4"/>
      <c r="N49" s="4"/>
      <c r="O49" s="39"/>
      <c r="P49" s="4"/>
    </row>
    <row r="50" spans="1:16" x14ac:dyDescent="0.25">
      <c r="A50" s="7">
        <v>50</v>
      </c>
      <c r="B50" s="29">
        <v>704</v>
      </c>
      <c r="C50" s="30" t="s">
        <v>579</v>
      </c>
      <c r="D50" s="28" t="s">
        <v>580</v>
      </c>
      <c r="E50" s="7" t="s">
        <v>670</v>
      </c>
      <c r="F50" s="9"/>
      <c r="G50" s="9"/>
      <c r="H50" s="9"/>
      <c r="I50" s="9"/>
      <c r="J50" s="9"/>
      <c r="K50" s="9"/>
      <c r="L50" s="9"/>
      <c r="M50" s="4"/>
      <c r="N50" s="4"/>
      <c r="O50" s="39"/>
      <c r="P50" s="4"/>
    </row>
    <row r="51" spans="1:16" x14ac:dyDescent="0.25">
      <c r="A51" s="7">
        <v>51</v>
      </c>
      <c r="B51" s="29">
        <v>852</v>
      </c>
      <c r="C51" s="30" t="s">
        <v>581</v>
      </c>
      <c r="D51" s="28" t="s">
        <v>582</v>
      </c>
      <c r="E51" s="7" t="s">
        <v>670</v>
      </c>
      <c r="F51" s="9"/>
      <c r="G51" s="9"/>
      <c r="H51" s="9"/>
      <c r="I51" s="9"/>
      <c r="J51" s="9"/>
      <c r="K51" s="9"/>
      <c r="L51" s="9"/>
      <c r="M51" s="4"/>
      <c r="N51" s="4"/>
      <c r="O51" s="39"/>
      <c r="P51" s="4"/>
    </row>
    <row r="52" spans="1:16" x14ac:dyDescent="0.25">
      <c r="A52" s="7">
        <v>52</v>
      </c>
      <c r="B52" s="29">
        <v>712</v>
      </c>
      <c r="C52" s="30" t="s">
        <v>583</v>
      </c>
      <c r="D52" s="28" t="s">
        <v>584</v>
      </c>
      <c r="E52" s="7" t="s">
        <v>670</v>
      </c>
      <c r="F52" s="9"/>
      <c r="G52" s="9"/>
      <c r="H52" s="9"/>
      <c r="I52" s="9"/>
      <c r="J52" s="9"/>
      <c r="K52" s="9"/>
      <c r="L52" s="9"/>
      <c r="M52" s="4"/>
      <c r="N52" s="4"/>
      <c r="O52" s="39"/>
      <c r="P52" s="4"/>
    </row>
    <row r="53" spans="1:16" x14ac:dyDescent="0.25">
      <c r="A53" s="24">
        <v>53</v>
      </c>
      <c r="B53" s="29">
        <v>888</v>
      </c>
      <c r="C53" s="30" t="s">
        <v>585</v>
      </c>
      <c r="D53" s="28" t="s">
        <v>586</v>
      </c>
      <c r="E53" s="7" t="s">
        <v>670</v>
      </c>
      <c r="F53" s="25"/>
      <c r="G53" s="25"/>
      <c r="H53" s="25"/>
      <c r="I53" s="25"/>
      <c r="J53" s="25"/>
      <c r="K53" s="25"/>
      <c r="L53" s="25"/>
      <c r="M53" s="4"/>
      <c r="N53" s="4"/>
      <c r="O53" s="39"/>
      <c r="P53" s="24"/>
    </row>
  </sheetData>
  <mergeCells count="15">
    <mergeCell ref="A7:P7"/>
    <mergeCell ref="A29:P29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8">
    <cfRule type="duplicateValues" dxfId="28" priority="4"/>
    <cfRule type="duplicateValues" dxfId="27" priority="5"/>
  </conditionalFormatting>
  <conditionalFormatting sqref="B30:B34">
    <cfRule type="duplicateValues" dxfId="26" priority="2"/>
  </conditionalFormatting>
  <conditionalFormatting sqref="B30:B53">
    <cfRule type="duplicateValues" dxfId="25" priority="3"/>
  </conditionalFormatting>
  <conditionalFormatting sqref="B35:B53">
    <cfRule type="duplicateValues" dxfId="2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7"/>
  <sheetViews>
    <sheetView workbookViewId="0">
      <selection activeCell="F8" sqref="F8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3.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117</v>
      </c>
      <c r="J5" s="2" t="s">
        <v>525</v>
      </c>
      <c r="K5" s="2" t="s">
        <v>524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165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29">
        <v>615</v>
      </c>
      <c r="C8" s="30" t="s">
        <v>587</v>
      </c>
      <c r="D8" s="28" t="s">
        <v>308</v>
      </c>
      <c r="E8" s="7" t="s">
        <v>671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29">
        <v>343</v>
      </c>
      <c r="C9" s="30" t="s">
        <v>55</v>
      </c>
      <c r="D9" s="28" t="s">
        <v>454</v>
      </c>
      <c r="E9" s="7" t="s">
        <v>671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29">
        <v>565</v>
      </c>
      <c r="C10" s="30" t="s">
        <v>588</v>
      </c>
      <c r="D10" s="28" t="s">
        <v>494</v>
      </c>
      <c r="E10" s="7" t="s">
        <v>671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29">
        <v>635</v>
      </c>
      <c r="C11" s="30" t="s">
        <v>589</v>
      </c>
      <c r="D11" s="28" t="s">
        <v>590</v>
      </c>
      <c r="E11" s="7" t="s">
        <v>671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26">
        <v>250</v>
      </c>
      <c r="C12" s="27" t="s">
        <v>591</v>
      </c>
      <c r="D12" s="37" t="s">
        <v>173</v>
      </c>
      <c r="E12" s="7" t="s">
        <v>671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29">
        <v>616</v>
      </c>
      <c r="C13" s="30" t="s">
        <v>592</v>
      </c>
      <c r="D13" s="28" t="s">
        <v>593</v>
      </c>
      <c r="E13" s="7" t="s">
        <v>671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29">
        <v>347</v>
      </c>
      <c r="C14" s="30" t="s">
        <v>594</v>
      </c>
      <c r="D14" s="28" t="s">
        <v>595</v>
      </c>
      <c r="E14" s="7" t="s">
        <v>671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29">
        <v>401</v>
      </c>
      <c r="C15" s="30" t="s">
        <v>34</v>
      </c>
      <c r="D15" s="28" t="s">
        <v>419</v>
      </c>
      <c r="E15" s="7" t="s">
        <v>671</v>
      </c>
      <c r="F15" s="4"/>
      <c r="G15" s="4"/>
      <c r="H15" s="4"/>
      <c r="I15" s="4"/>
      <c r="J15" s="4"/>
      <c r="K15" s="4"/>
      <c r="L15" s="4"/>
      <c r="M15" s="4"/>
      <c r="N15" s="4"/>
      <c r="O15" s="39"/>
      <c r="P15" s="4"/>
    </row>
    <row r="16" spans="1:16" x14ac:dyDescent="0.25">
      <c r="A16" s="7">
        <v>9</v>
      </c>
      <c r="B16" s="29">
        <v>568</v>
      </c>
      <c r="C16" s="30" t="s">
        <v>596</v>
      </c>
      <c r="D16" s="28" t="s">
        <v>457</v>
      </c>
      <c r="E16" s="7" t="s">
        <v>671</v>
      </c>
      <c r="F16" s="4"/>
      <c r="G16" s="4"/>
      <c r="H16" s="4"/>
      <c r="I16" s="4"/>
      <c r="J16" s="17"/>
      <c r="K16" s="17"/>
      <c r="L16" s="4"/>
      <c r="M16" s="4"/>
      <c r="N16" s="4"/>
      <c r="O16" s="39"/>
      <c r="P16" s="4"/>
    </row>
    <row r="17" spans="1:16" x14ac:dyDescent="0.25">
      <c r="A17" s="7">
        <v>10</v>
      </c>
      <c r="B17" s="29">
        <v>715</v>
      </c>
      <c r="C17" s="30" t="s">
        <v>597</v>
      </c>
      <c r="D17" s="28" t="s">
        <v>598</v>
      </c>
      <c r="E17" s="7" t="s">
        <v>671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29">
        <v>474</v>
      </c>
      <c r="C18" s="30" t="s">
        <v>599</v>
      </c>
      <c r="D18" s="28" t="s">
        <v>93</v>
      </c>
      <c r="E18" s="7" t="s">
        <v>671</v>
      </c>
      <c r="F18" s="4"/>
      <c r="G18" s="4"/>
      <c r="H18" s="4"/>
      <c r="I18" s="4"/>
      <c r="J18" s="4"/>
      <c r="K18" s="17"/>
      <c r="L18" s="4"/>
      <c r="M18" s="4"/>
      <c r="N18" s="4"/>
      <c r="O18" s="39"/>
      <c r="P18" s="4"/>
    </row>
    <row r="19" spans="1:16" x14ac:dyDescent="0.25">
      <c r="A19" s="7">
        <v>12</v>
      </c>
      <c r="B19" s="29">
        <v>475</v>
      </c>
      <c r="C19" s="30" t="s">
        <v>600</v>
      </c>
      <c r="D19" s="28" t="s">
        <v>93</v>
      </c>
      <c r="E19" s="7" t="s">
        <v>671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29">
        <v>620</v>
      </c>
      <c r="C20" s="30" t="s">
        <v>601</v>
      </c>
      <c r="D20" s="28" t="s">
        <v>393</v>
      </c>
      <c r="E20" s="7" t="s">
        <v>671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29">
        <v>426</v>
      </c>
      <c r="C21" s="30" t="s">
        <v>602</v>
      </c>
      <c r="D21" s="28" t="s">
        <v>603</v>
      </c>
      <c r="E21" s="7" t="s">
        <v>671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29">
        <v>790</v>
      </c>
      <c r="C22" s="30" t="s">
        <v>604</v>
      </c>
      <c r="D22" s="28" t="s">
        <v>539</v>
      </c>
      <c r="E22" s="7" t="s">
        <v>671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ht="21" x14ac:dyDescent="0.35">
      <c r="A23" s="125" t="s">
        <v>119</v>
      </c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</row>
    <row r="24" spans="1:16" x14ac:dyDescent="0.25">
      <c r="A24" s="7">
        <v>30</v>
      </c>
      <c r="B24" s="29">
        <v>436</v>
      </c>
      <c r="C24" s="30" t="s">
        <v>605</v>
      </c>
      <c r="D24" s="28" t="s">
        <v>308</v>
      </c>
      <c r="E24" s="7" t="s">
        <v>671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31</v>
      </c>
      <c r="B25" s="29">
        <v>443</v>
      </c>
      <c r="C25" s="30" t="s">
        <v>606</v>
      </c>
      <c r="D25" s="28" t="s">
        <v>607</v>
      </c>
      <c r="E25" s="7" t="s">
        <v>671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x14ac:dyDescent="0.25">
      <c r="A26" s="7">
        <v>32</v>
      </c>
      <c r="B26" s="29">
        <v>348</v>
      </c>
      <c r="C26" s="30" t="s">
        <v>608</v>
      </c>
      <c r="D26" s="28" t="s">
        <v>609</v>
      </c>
      <c r="E26" s="7" t="s">
        <v>671</v>
      </c>
      <c r="F26" s="4"/>
      <c r="G26" s="4"/>
      <c r="H26" s="4"/>
      <c r="I26" s="4"/>
      <c r="J26" s="4"/>
      <c r="K26" s="4"/>
      <c r="L26" s="4"/>
      <c r="M26" s="4"/>
      <c r="N26" s="4"/>
      <c r="O26" s="39"/>
      <c r="P26" s="4"/>
    </row>
    <row r="27" spans="1:16" x14ac:dyDescent="0.25">
      <c r="A27" s="7">
        <v>33</v>
      </c>
      <c r="B27" s="29">
        <v>619</v>
      </c>
      <c r="C27" s="30" t="s">
        <v>610</v>
      </c>
      <c r="D27" s="28" t="s">
        <v>611</v>
      </c>
      <c r="E27" s="7" t="s">
        <v>671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x14ac:dyDescent="0.25">
      <c r="A28" s="7">
        <v>34</v>
      </c>
      <c r="B28" s="29">
        <v>442</v>
      </c>
      <c r="C28" s="30" t="s">
        <v>612</v>
      </c>
      <c r="D28" s="28" t="s">
        <v>613</v>
      </c>
      <c r="E28" s="7" t="s">
        <v>671</v>
      </c>
      <c r="F28" s="4"/>
      <c r="G28" s="4"/>
      <c r="H28" s="4"/>
      <c r="I28" s="4"/>
      <c r="J28" s="4"/>
      <c r="K28" s="4"/>
      <c r="L28" s="4"/>
      <c r="M28" s="4"/>
      <c r="N28" s="4"/>
      <c r="O28" s="39"/>
      <c r="P28" s="4"/>
    </row>
    <row r="29" spans="1:16" x14ac:dyDescent="0.25">
      <c r="A29" s="7">
        <v>35</v>
      </c>
      <c r="B29" s="29">
        <v>618</v>
      </c>
      <c r="C29" s="30" t="s">
        <v>614</v>
      </c>
      <c r="D29" s="28" t="s">
        <v>615</v>
      </c>
      <c r="E29" s="7" t="s">
        <v>671</v>
      </c>
      <c r="F29" s="4"/>
      <c r="G29" s="4"/>
      <c r="H29" s="4"/>
      <c r="I29" s="4"/>
      <c r="J29" s="4"/>
      <c r="K29" s="4"/>
      <c r="L29" s="4"/>
      <c r="M29" s="4"/>
      <c r="N29" s="4"/>
      <c r="O29" s="39"/>
      <c r="P29" s="4"/>
    </row>
    <row r="30" spans="1:16" x14ac:dyDescent="0.25">
      <c r="A30" s="7">
        <v>36</v>
      </c>
      <c r="B30" s="29">
        <v>633</v>
      </c>
      <c r="C30" s="30" t="s">
        <v>616</v>
      </c>
      <c r="D30" s="28" t="s">
        <v>617</v>
      </c>
      <c r="E30" s="7" t="s">
        <v>671</v>
      </c>
      <c r="F30" s="4"/>
      <c r="G30" s="4"/>
      <c r="H30" s="4"/>
      <c r="I30" s="4"/>
      <c r="J30" s="4"/>
      <c r="K30" s="4"/>
      <c r="L30" s="4"/>
      <c r="M30" s="4"/>
      <c r="N30" s="4"/>
      <c r="O30" s="39"/>
      <c r="P30" s="4"/>
    </row>
    <row r="31" spans="1:16" x14ac:dyDescent="0.25">
      <c r="A31" s="7">
        <v>37</v>
      </c>
      <c r="B31" s="29">
        <v>614</v>
      </c>
      <c r="C31" s="30" t="s">
        <v>618</v>
      </c>
      <c r="D31" s="28" t="s">
        <v>619</v>
      </c>
      <c r="E31" s="7" t="s">
        <v>671</v>
      </c>
      <c r="F31" s="4"/>
      <c r="G31" s="4"/>
      <c r="H31" s="4"/>
      <c r="I31" s="4"/>
      <c r="J31" s="4"/>
      <c r="K31" s="4"/>
      <c r="L31" s="4"/>
      <c r="M31" s="4"/>
      <c r="N31" s="4"/>
      <c r="O31" s="39"/>
      <c r="P31" s="4"/>
    </row>
    <row r="32" spans="1:16" x14ac:dyDescent="0.25">
      <c r="A32" s="7">
        <v>38</v>
      </c>
      <c r="B32" s="29">
        <v>778</v>
      </c>
      <c r="C32" s="30" t="s">
        <v>620</v>
      </c>
      <c r="D32" s="28" t="s">
        <v>472</v>
      </c>
      <c r="E32" s="7" t="s">
        <v>671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39</v>
      </c>
      <c r="B33" s="29">
        <v>379</v>
      </c>
      <c r="C33" s="30" t="s">
        <v>621</v>
      </c>
      <c r="D33" s="28" t="s">
        <v>96</v>
      </c>
      <c r="E33" s="7" t="s">
        <v>671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40</v>
      </c>
      <c r="B34" s="29">
        <v>566</v>
      </c>
      <c r="C34" s="30" t="s">
        <v>622</v>
      </c>
      <c r="D34" s="28" t="s">
        <v>548</v>
      </c>
      <c r="E34" s="7" t="s">
        <v>671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x14ac:dyDescent="0.25">
      <c r="A35" s="7">
        <v>41</v>
      </c>
      <c r="B35" s="29">
        <v>716</v>
      </c>
      <c r="C35" s="30" t="s">
        <v>132</v>
      </c>
      <c r="D35" s="28" t="s">
        <v>623</v>
      </c>
      <c r="E35" s="7" t="s">
        <v>671</v>
      </c>
      <c r="F35" s="4"/>
      <c r="G35" s="4"/>
      <c r="H35" s="4"/>
      <c r="I35" s="4"/>
      <c r="J35" s="4"/>
      <c r="K35" s="4"/>
      <c r="L35" s="4"/>
      <c r="M35" s="4"/>
      <c r="N35" s="4"/>
      <c r="O35" s="39"/>
      <c r="P35" s="4"/>
    </row>
    <row r="36" spans="1:16" x14ac:dyDescent="0.25">
      <c r="A36" s="7">
        <v>42</v>
      </c>
      <c r="B36" s="29">
        <v>769</v>
      </c>
      <c r="C36" s="30" t="s">
        <v>561</v>
      </c>
      <c r="D36" s="28" t="s">
        <v>624</v>
      </c>
      <c r="E36" s="7" t="s">
        <v>671</v>
      </c>
      <c r="F36" s="17"/>
      <c r="G36" s="17"/>
      <c r="H36" s="17"/>
      <c r="I36" s="17"/>
      <c r="J36" s="17"/>
      <c r="K36" s="17"/>
      <c r="L36" s="17"/>
      <c r="M36" s="4"/>
      <c r="N36" s="4"/>
      <c r="O36" s="39"/>
      <c r="P36" s="4"/>
    </row>
    <row r="37" spans="1:16" x14ac:dyDescent="0.25">
      <c r="A37" s="7">
        <v>43</v>
      </c>
      <c r="B37" s="29">
        <v>613</v>
      </c>
      <c r="C37" s="27" t="s">
        <v>625</v>
      </c>
      <c r="D37" s="37" t="s">
        <v>619</v>
      </c>
      <c r="E37" s="7" t="s">
        <v>671</v>
      </c>
      <c r="F37" s="9"/>
      <c r="G37" s="9"/>
      <c r="H37" s="9"/>
      <c r="I37" s="9"/>
      <c r="J37" s="9"/>
      <c r="K37" s="9"/>
      <c r="L37" s="9"/>
      <c r="M37" s="4"/>
      <c r="N37" s="4"/>
      <c r="O37" s="39"/>
      <c r="P37" s="4"/>
    </row>
    <row r="38" spans="1:16" x14ac:dyDescent="0.25">
      <c r="A38" s="7">
        <v>44</v>
      </c>
      <c r="B38" s="29">
        <v>907</v>
      </c>
      <c r="C38" s="30" t="s">
        <v>626</v>
      </c>
      <c r="D38" s="28" t="s">
        <v>215</v>
      </c>
      <c r="E38" s="7" t="s">
        <v>671</v>
      </c>
      <c r="F38" s="9"/>
      <c r="G38" s="9"/>
      <c r="H38" s="9"/>
      <c r="I38" s="9"/>
      <c r="J38" s="9"/>
      <c r="K38" s="9"/>
      <c r="L38" s="9"/>
      <c r="M38" s="4"/>
      <c r="N38" s="4"/>
      <c r="O38" s="39"/>
      <c r="P38" s="4"/>
    </row>
    <row r="39" spans="1:16" x14ac:dyDescent="0.25">
      <c r="A39" s="7">
        <v>45</v>
      </c>
      <c r="B39" s="29">
        <v>354</v>
      </c>
      <c r="C39" s="30" t="s">
        <v>128</v>
      </c>
      <c r="D39" s="28" t="s">
        <v>627</v>
      </c>
      <c r="E39" s="7" t="s">
        <v>671</v>
      </c>
      <c r="F39" s="9"/>
      <c r="G39" s="9"/>
      <c r="H39" s="9"/>
      <c r="I39" s="9"/>
      <c r="J39" s="9"/>
      <c r="K39" s="9"/>
      <c r="L39" s="9"/>
      <c r="M39" s="4"/>
      <c r="N39" s="4"/>
      <c r="O39" s="39"/>
      <c r="P39" s="4"/>
    </row>
    <row r="40" spans="1:16" x14ac:dyDescent="0.25">
      <c r="A40" s="7">
        <v>46</v>
      </c>
      <c r="B40" s="29">
        <v>339</v>
      </c>
      <c r="C40" s="30" t="s">
        <v>628</v>
      </c>
      <c r="D40" s="28" t="s">
        <v>629</v>
      </c>
      <c r="E40" s="7" t="s">
        <v>671</v>
      </c>
      <c r="F40" s="9"/>
      <c r="G40" s="9"/>
      <c r="H40" s="9"/>
      <c r="I40" s="9"/>
      <c r="J40" s="9"/>
      <c r="K40" s="9"/>
      <c r="L40" s="9"/>
      <c r="M40" s="4"/>
      <c r="N40" s="4"/>
      <c r="O40" s="39"/>
      <c r="P40" s="4"/>
    </row>
    <row r="41" spans="1:16" x14ac:dyDescent="0.25">
      <c r="A41" s="7">
        <v>47</v>
      </c>
      <c r="B41" s="29">
        <v>855</v>
      </c>
      <c r="C41" s="30" t="s">
        <v>630</v>
      </c>
      <c r="D41" s="28" t="s">
        <v>631</v>
      </c>
      <c r="E41" s="7" t="s">
        <v>671</v>
      </c>
      <c r="F41" s="9"/>
      <c r="G41" s="9"/>
      <c r="H41" s="9"/>
      <c r="I41" s="9"/>
      <c r="J41" s="9"/>
      <c r="K41" s="9"/>
      <c r="L41" s="9"/>
      <c r="M41" s="4"/>
      <c r="N41" s="4"/>
      <c r="O41" s="39"/>
      <c r="P41" s="4"/>
    </row>
    <row r="42" spans="1:16" x14ac:dyDescent="0.25">
      <c r="A42" s="7">
        <v>48</v>
      </c>
      <c r="B42" s="29">
        <v>879</v>
      </c>
      <c r="C42" s="30" t="s">
        <v>632</v>
      </c>
      <c r="D42" s="28" t="s">
        <v>633</v>
      </c>
      <c r="E42" s="7" t="s">
        <v>671</v>
      </c>
      <c r="F42" s="9"/>
      <c r="G42" s="9"/>
      <c r="H42" s="9"/>
      <c r="I42" s="9"/>
      <c r="J42" s="9"/>
      <c r="K42" s="9"/>
      <c r="L42" s="9"/>
      <c r="M42" s="4"/>
      <c r="N42" s="4"/>
      <c r="O42" s="39"/>
      <c r="P42" s="4"/>
    </row>
    <row r="43" spans="1:16" x14ac:dyDescent="0.25">
      <c r="A43" s="7">
        <v>49</v>
      </c>
      <c r="B43" s="29">
        <v>305</v>
      </c>
      <c r="C43" s="30" t="s">
        <v>634</v>
      </c>
      <c r="D43" s="28" t="s">
        <v>461</v>
      </c>
      <c r="E43" s="7" t="s">
        <v>671</v>
      </c>
      <c r="F43" s="9"/>
      <c r="G43" s="9"/>
      <c r="H43" s="9"/>
      <c r="I43" s="9"/>
      <c r="J43" s="9"/>
      <c r="K43" s="9"/>
      <c r="L43" s="9"/>
      <c r="M43" s="4"/>
      <c r="N43" s="4"/>
      <c r="O43" s="39"/>
      <c r="P43" s="4"/>
    </row>
    <row r="44" spans="1:16" x14ac:dyDescent="0.25">
      <c r="A44" s="7">
        <v>50</v>
      </c>
      <c r="B44" s="29">
        <v>713</v>
      </c>
      <c r="C44" s="30" t="s">
        <v>123</v>
      </c>
      <c r="D44" s="28" t="s">
        <v>94</v>
      </c>
      <c r="E44" s="7" t="s">
        <v>671</v>
      </c>
      <c r="F44" s="9"/>
      <c r="G44" s="9"/>
      <c r="H44" s="9"/>
      <c r="I44" s="9"/>
      <c r="J44" s="9"/>
      <c r="K44" s="9"/>
      <c r="L44" s="9"/>
      <c r="M44" s="4"/>
      <c r="N44" s="4"/>
      <c r="O44" s="39"/>
      <c r="P44" s="4"/>
    </row>
    <row r="45" spans="1:16" x14ac:dyDescent="0.25">
      <c r="A45" s="7">
        <v>51</v>
      </c>
      <c r="B45" s="29">
        <v>789</v>
      </c>
      <c r="C45" s="30" t="s">
        <v>635</v>
      </c>
      <c r="D45" s="28" t="s">
        <v>539</v>
      </c>
      <c r="E45" s="7" t="s">
        <v>671</v>
      </c>
      <c r="F45" s="9"/>
      <c r="G45" s="9"/>
      <c r="H45" s="9"/>
      <c r="I45" s="9"/>
      <c r="J45" s="9"/>
      <c r="K45" s="9"/>
      <c r="L45" s="9"/>
      <c r="M45" s="4"/>
      <c r="N45" s="4"/>
      <c r="O45" s="39"/>
      <c r="P45" s="4"/>
    </row>
    <row r="46" spans="1:16" x14ac:dyDescent="0.25">
      <c r="A46" s="7">
        <v>52</v>
      </c>
      <c r="B46" s="29">
        <v>435</v>
      </c>
      <c r="C46" s="30" t="s">
        <v>636</v>
      </c>
      <c r="D46" s="28" t="s">
        <v>87</v>
      </c>
      <c r="E46" s="7" t="s">
        <v>671</v>
      </c>
      <c r="F46" s="9"/>
      <c r="G46" s="9"/>
      <c r="H46" s="9"/>
      <c r="I46" s="9"/>
      <c r="J46" s="9"/>
      <c r="K46" s="9"/>
      <c r="L46" s="9"/>
      <c r="M46" s="4"/>
      <c r="N46" s="4"/>
      <c r="O46" s="39"/>
      <c r="P46" s="4"/>
    </row>
    <row r="47" spans="1:16" x14ac:dyDescent="0.25">
      <c r="A47" s="24">
        <v>53</v>
      </c>
      <c r="B47" s="29">
        <v>903</v>
      </c>
      <c r="C47" s="30" t="s">
        <v>504</v>
      </c>
      <c r="D47" s="28" t="s">
        <v>637</v>
      </c>
      <c r="E47" s="7" t="s">
        <v>671</v>
      </c>
      <c r="F47" s="25"/>
      <c r="G47" s="25"/>
      <c r="H47" s="25"/>
      <c r="I47" s="25"/>
      <c r="J47" s="25"/>
      <c r="K47" s="25"/>
      <c r="L47" s="25"/>
      <c r="M47" s="4"/>
      <c r="N47" s="4"/>
      <c r="O47" s="39"/>
      <c r="P47" s="24"/>
    </row>
  </sheetData>
  <mergeCells count="15">
    <mergeCell ref="A7:P7"/>
    <mergeCell ref="A23:P23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1">
    <cfRule type="duplicateValues" dxfId="23" priority="4"/>
  </conditionalFormatting>
  <conditionalFormatting sqref="B8:B22">
    <cfRule type="duplicateValues" dxfId="22" priority="5"/>
  </conditionalFormatting>
  <conditionalFormatting sqref="B12:B22">
    <cfRule type="duplicateValues" dxfId="21" priority="3"/>
  </conditionalFormatting>
  <conditionalFormatting sqref="B24:B37">
    <cfRule type="duplicateValues" dxfId="20" priority="1"/>
  </conditionalFormatting>
  <conditionalFormatting sqref="B24:B47">
    <cfRule type="duplicateValues" dxfId="19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53"/>
  <sheetViews>
    <sheetView topLeftCell="A25" workbookViewId="0">
      <selection activeCell="F24" sqref="F24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3.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117</v>
      </c>
      <c r="J5" s="2" t="s">
        <v>525</v>
      </c>
      <c r="K5" s="2" t="s">
        <v>524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165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40">
        <v>885</v>
      </c>
      <c r="C8" s="30" t="s">
        <v>109</v>
      </c>
      <c r="D8" s="28" t="s">
        <v>638</v>
      </c>
      <c r="E8" s="7" t="s">
        <v>672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40">
        <v>482</v>
      </c>
      <c r="C9" s="30" t="s">
        <v>639</v>
      </c>
      <c r="D9" s="28" t="s">
        <v>640</v>
      </c>
      <c r="E9" s="7" t="s">
        <v>672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40">
        <v>331</v>
      </c>
      <c r="C10" s="30" t="s">
        <v>641</v>
      </c>
      <c r="D10" s="28" t="s">
        <v>613</v>
      </c>
      <c r="E10" s="7" t="s">
        <v>672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40">
        <v>306</v>
      </c>
      <c r="C11" s="30" t="s">
        <v>642</v>
      </c>
      <c r="D11" s="28" t="s">
        <v>173</v>
      </c>
      <c r="E11" s="7" t="s">
        <v>672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40">
        <v>567</v>
      </c>
      <c r="C12" s="30" t="s">
        <v>643</v>
      </c>
      <c r="D12" s="28" t="s">
        <v>644</v>
      </c>
      <c r="E12" s="7" t="s">
        <v>672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40">
        <v>721</v>
      </c>
      <c r="C13" s="30" t="s">
        <v>55</v>
      </c>
      <c r="D13" s="28" t="s">
        <v>567</v>
      </c>
      <c r="E13" s="7" t="s">
        <v>672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40">
        <v>342</v>
      </c>
      <c r="C14" s="30" t="s">
        <v>645</v>
      </c>
      <c r="D14" s="28" t="s">
        <v>454</v>
      </c>
      <c r="E14" s="7" t="s">
        <v>672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40">
        <v>625</v>
      </c>
      <c r="C15" s="30" t="s">
        <v>646</v>
      </c>
      <c r="D15" s="28" t="s">
        <v>647</v>
      </c>
      <c r="E15" s="7" t="s">
        <v>672</v>
      </c>
      <c r="F15" s="4"/>
      <c r="G15" s="4"/>
      <c r="H15" s="4"/>
      <c r="I15" s="4"/>
      <c r="J15" s="4"/>
      <c r="K15" s="4"/>
      <c r="L15" s="4"/>
      <c r="M15" s="4"/>
      <c r="N15" s="4"/>
      <c r="O15" s="39"/>
      <c r="P15" s="4"/>
    </row>
    <row r="16" spans="1:16" x14ac:dyDescent="0.25">
      <c r="A16" s="7">
        <v>9</v>
      </c>
      <c r="B16" s="40">
        <v>627</v>
      </c>
      <c r="C16" s="30" t="s">
        <v>648</v>
      </c>
      <c r="D16" s="28" t="s">
        <v>649</v>
      </c>
      <c r="E16" s="7" t="s">
        <v>672</v>
      </c>
      <c r="F16" s="4"/>
      <c r="G16" s="4"/>
      <c r="H16" s="4"/>
      <c r="I16" s="4"/>
      <c r="J16" s="4"/>
      <c r="K16" s="4"/>
      <c r="L16" s="4"/>
      <c r="M16" s="4"/>
      <c r="N16" s="4"/>
      <c r="O16" s="39"/>
      <c r="P16" s="4"/>
    </row>
    <row r="17" spans="1:16" x14ac:dyDescent="0.25">
      <c r="A17" s="7">
        <v>10</v>
      </c>
      <c r="B17" s="40">
        <v>723</v>
      </c>
      <c r="C17" s="30" t="s">
        <v>650</v>
      </c>
      <c r="D17" s="28" t="s">
        <v>651</v>
      </c>
      <c r="E17" s="7" t="s">
        <v>672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40">
        <v>717</v>
      </c>
      <c r="C18" s="30" t="s">
        <v>652</v>
      </c>
      <c r="D18" s="28" t="s">
        <v>653</v>
      </c>
      <c r="E18" s="7" t="s">
        <v>672</v>
      </c>
      <c r="F18" s="4"/>
      <c r="G18" s="4"/>
      <c r="H18" s="4"/>
      <c r="I18" s="4"/>
      <c r="J18" s="4"/>
      <c r="K18" s="4"/>
      <c r="L18" s="4"/>
      <c r="M18" s="4"/>
      <c r="N18" s="4"/>
      <c r="O18" s="39"/>
      <c r="P18" s="4"/>
    </row>
    <row r="19" spans="1:16" x14ac:dyDescent="0.25">
      <c r="A19" s="7">
        <v>12</v>
      </c>
      <c r="B19" s="40">
        <v>624</v>
      </c>
      <c r="C19" s="30" t="s">
        <v>654</v>
      </c>
      <c r="D19" s="28" t="s">
        <v>655</v>
      </c>
      <c r="E19" s="7" t="s">
        <v>672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40">
        <v>718</v>
      </c>
      <c r="C20" s="48" t="s">
        <v>650</v>
      </c>
      <c r="D20" s="28" t="s">
        <v>361</v>
      </c>
      <c r="E20" s="7" t="s">
        <v>672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40">
        <v>628</v>
      </c>
      <c r="C21" s="30" t="s">
        <v>121</v>
      </c>
      <c r="D21" s="28" t="s">
        <v>656</v>
      </c>
      <c r="E21" s="7" t="s">
        <v>672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40">
        <v>621</v>
      </c>
      <c r="C22" s="30" t="s">
        <v>657</v>
      </c>
      <c r="D22" s="28" t="s">
        <v>658</v>
      </c>
      <c r="E22" s="7" t="s">
        <v>672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x14ac:dyDescent="0.25">
      <c r="A23" s="7">
        <v>16</v>
      </c>
      <c r="B23" s="40">
        <v>259</v>
      </c>
      <c r="C23" s="30" t="s">
        <v>280</v>
      </c>
      <c r="D23" s="28" t="s">
        <v>659</v>
      </c>
      <c r="E23" s="7" t="s">
        <v>672</v>
      </c>
      <c r="F23" s="4"/>
      <c r="G23" s="4"/>
      <c r="H23" s="4"/>
      <c r="I23" s="4"/>
      <c r="J23" s="4"/>
      <c r="K23" s="4"/>
      <c r="L23" s="4"/>
      <c r="M23" s="4"/>
      <c r="N23" s="4"/>
      <c r="O23" s="39"/>
      <c r="P23" s="4"/>
    </row>
    <row r="24" spans="1:16" x14ac:dyDescent="0.25">
      <c r="A24" s="7">
        <v>17</v>
      </c>
      <c r="B24" s="40">
        <v>518</v>
      </c>
      <c r="C24" s="30" t="s">
        <v>660</v>
      </c>
      <c r="D24" s="28" t="s">
        <v>661</v>
      </c>
      <c r="E24" s="7" t="s">
        <v>672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18</v>
      </c>
      <c r="B25" s="40">
        <v>639</v>
      </c>
      <c r="C25" s="30" t="s">
        <v>662</v>
      </c>
      <c r="D25" s="28" t="s">
        <v>619</v>
      </c>
      <c r="E25" s="7" t="s">
        <v>672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x14ac:dyDescent="0.25">
      <c r="A26" s="7">
        <v>19</v>
      </c>
      <c r="B26" s="40">
        <v>762</v>
      </c>
      <c r="C26" s="30" t="s">
        <v>320</v>
      </c>
      <c r="D26" s="28" t="s">
        <v>542</v>
      </c>
      <c r="E26" s="7" t="s">
        <v>672</v>
      </c>
      <c r="F26" s="4"/>
      <c r="G26" s="4"/>
      <c r="H26" s="4"/>
      <c r="I26" s="4"/>
      <c r="J26" s="4"/>
      <c r="K26" s="4"/>
      <c r="L26" s="4"/>
      <c r="M26" s="4"/>
      <c r="N26" s="4"/>
      <c r="O26" s="39"/>
      <c r="P26" s="4"/>
    </row>
    <row r="27" spans="1:16" x14ac:dyDescent="0.25">
      <c r="A27" s="7">
        <v>20</v>
      </c>
      <c r="B27" s="40">
        <v>719</v>
      </c>
      <c r="C27" s="30" t="s">
        <v>324</v>
      </c>
      <c r="D27" s="28" t="s">
        <v>658</v>
      </c>
      <c r="E27" s="7" t="s">
        <v>672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x14ac:dyDescent="0.25">
      <c r="A28" s="7">
        <v>21</v>
      </c>
      <c r="B28" s="40">
        <v>725</v>
      </c>
      <c r="C28" s="30" t="s">
        <v>663</v>
      </c>
      <c r="D28" s="30" t="s">
        <v>664</v>
      </c>
      <c r="E28" s="7" t="s">
        <v>672</v>
      </c>
      <c r="F28" s="4"/>
      <c r="G28" s="4"/>
      <c r="H28" s="4"/>
      <c r="I28" s="4"/>
      <c r="J28" s="4"/>
      <c r="K28" s="4"/>
      <c r="L28" s="4"/>
      <c r="M28" s="4"/>
      <c r="N28" s="4"/>
      <c r="O28" s="39"/>
      <c r="P28" s="4"/>
    </row>
    <row r="29" spans="1:16" x14ac:dyDescent="0.25">
      <c r="A29" s="7">
        <v>22</v>
      </c>
      <c r="B29" s="40">
        <v>724</v>
      </c>
      <c r="C29" s="30" t="s">
        <v>665</v>
      </c>
      <c r="D29" s="28" t="s">
        <v>664</v>
      </c>
      <c r="E29" s="7" t="s">
        <v>672</v>
      </c>
      <c r="F29" s="4"/>
      <c r="G29" s="4"/>
      <c r="H29" s="4"/>
      <c r="I29" s="4"/>
      <c r="J29" s="17"/>
      <c r="K29" s="17"/>
      <c r="L29" s="4"/>
      <c r="M29" s="4"/>
      <c r="N29" s="4"/>
      <c r="O29" s="39"/>
      <c r="P29" s="4"/>
    </row>
    <row r="30" spans="1:16" x14ac:dyDescent="0.25">
      <c r="A30" s="7">
        <v>23</v>
      </c>
      <c r="B30" s="40">
        <v>630</v>
      </c>
      <c r="C30" s="32" t="s">
        <v>666</v>
      </c>
      <c r="D30" s="33" t="s">
        <v>667</v>
      </c>
      <c r="E30" s="7" t="s">
        <v>672</v>
      </c>
      <c r="F30" s="4"/>
      <c r="G30" s="4"/>
      <c r="H30" s="4"/>
      <c r="I30" s="4"/>
      <c r="J30" s="4"/>
      <c r="K30" s="4"/>
      <c r="L30" s="4"/>
      <c r="M30" s="4"/>
      <c r="N30" s="4"/>
      <c r="O30" s="39"/>
      <c r="P30" s="4"/>
    </row>
    <row r="31" spans="1:16" x14ac:dyDescent="0.25">
      <c r="A31" s="7">
        <v>24</v>
      </c>
      <c r="B31" s="40">
        <v>622</v>
      </c>
      <c r="C31" s="34" t="s">
        <v>668</v>
      </c>
      <c r="D31" s="34" t="s">
        <v>359</v>
      </c>
      <c r="E31" s="7" t="s">
        <v>672</v>
      </c>
      <c r="F31" s="4"/>
      <c r="G31" s="4"/>
      <c r="H31" s="4"/>
      <c r="I31" s="4"/>
      <c r="J31" s="4"/>
      <c r="K31" s="17"/>
      <c r="L31" s="4"/>
      <c r="M31" s="4"/>
      <c r="N31" s="4"/>
      <c r="O31" s="39"/>
      <c r="P31" s="4"/>
    </row>
    <row r="32" spans="1:16" x14ac:dyDescent="0.25">
      <c r="A32" s="7">
        <v>25</v>
      </c>
      <c r="B32" s="40">
        <v>849</v>
      </c>
      <c r="C32" s="34" t="s">
        <v>669</v>
      </c>
      <c r="D32" s="34" t="s">
        <v>474</v>
      </c>
      <c r="E32" s="7" t="s">
        <v>672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26</v>
      </c>
      <c r="B33" s="40">
        <v>514</v>
      </c>
      <c r="C33" s="34" t="s">
        <v>500</v>
      </c>
      <c r="D33" s="41" t="s">
        <v>93</v>
      </c>
      <c r="E33" s="7" t="s">
        <v>672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27</v>
      </c>
      <c r="B34" s="40">
        <v>454</v>
      </c>
      <c r="C34" s="27" t="s">
        <v>548</v>
      </c>
      <c r="D34" s="41" t="s">
        <v>87</v>
      </c>
      <c r="E34" s="7" t="s">
        <v>672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ht="21" x14ac:dyDescent="0.35">
      <c r="A35" s="125" t="s">
        <v>119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</row>
    <row r="36" spans="1:16" x14ac:dyDescent="0.25">
      <c r="A36" s="7">
        <v>30</v>
      </c>
      <c r="B36" s="40">
        <v>636</v>
      </c>
      <c r="C36" s="30" t="s">
        <v>673</v>
      </c>
      <c r="D36" s="28" t="s">
        <v>385</v>
      </c>
      <c r="E36" s="7" t="s">
        <v>672</v>
      </c>
      <c r="F36" s="4"/>
      <c r="G36" s="4"/>
      <c r="H36" s="4"/>
      <c r="I36" s="4"/>
      <c r="J36" s="4"/>
      <c r="K36" s="4"/>
      <c r="L36" s="4"/>
      <c r="M36" s="4"/>
      <c r="N36" s="4"/>
      <c r="O36" s="39"/>
      <c r="P36" s="4"/>
    </row>
    <row r="37" spans="1:16" x14ac:dyDescent="0.25">
      <c r="A37" s="7">
        <v>31</v>
      </c>
      <c r="B37" s="40">
        <v>862</v>
      </c>
      <c r="C37" s="30" t="s">
        <v>674</v>
      </c>
      <c r="D37" s="28" t="s">
        <v>675</v>
      </c>
      <c r="E37" s="7" t="s">
        <v>672</v>
      </c>
      <c r="F37" s="4"/>
      <c r="G37" s="4"/>
      <c r="H37" s="4"/>
      <c r="I37" s="4"/>
      <c r="J37" s="4"/>
      <c r="K37" s="4"/>
      <c r="L37" s="4"/>
      <c r="M37" s="4"/>
      <c r="N37" s="4"/>
      <c r="O37" s="39"/>
      <c r="P37" s="4"/>
    </row>
    <row r="38" spans="1:16" x14ac:dyDescent="0.25">
      <c r="A38" s="7">
        <v>32</v>
      </c>
      <c r="B38" s="41">
        <v>870</v>
      </c>
      <c r="C38" s="41" t="s">
        <v>674</v>
      </c>
      <c r="D38" s="41" t="s">
        <v>550</v>
      </c>
      <c r="E38" s="7" t="s">
        <v>672</v>
      </c>
      <c r="F38" s="4"/>
      <c r="G38" s="4"/>
      <c r="H38" s="4"/>
      <c r="I38" s="4"/>
      <c r="J38" s="4"/>
      <c r="K38" s="4"/>
      <c r="L38" s="4"/>
      <c r="M38" s="4"/>
      <c r="N38" s="4"/>
      <c r="O38" s="39"/>
      <c r="P38" s="4"/>
    </row>
    <row r="39" spans="1:16" x14ac:dyDescent="0.25">
      <c r="A39" s="7">
        <v>33</v>
      </c>
      <c r="B39" s="41">
        <v>626</v>
      </c>
      <c r="C39" s="41" t="s">
        <v>47</v>
      </c>
      <c r="D39" s="41" t="s">
        <v>139</v>
      </c>
      <c r="E39" s="7" t="s">
        <v>672</v>
      </c>
      <c r="F39" s="4"/>
      <c r="G39" s="4"/>
      <c r="H39" s="4"/>
      <c r="I39" s="4"/>
      <c r="J39" s="4"/>
      <c r="K39" s="4"/>
      <c r="L39" s="4"/>
      <c r="M39" s="4"/>
      <c r="N39" s="4"/>
      <c r="O39" s="39"/>
      <c r="P39" s="4"/>
    </row>
    <row r="40" spans="1:16" x14ac:dyDescent="0.25">
      <c r="A40" s="7">
        <v>34</v>
      </c>
      <c r="B40" s="41">
        <v>853</v>
      </c>
      <c r="C40" s="41" t="s">
        <v>676</v>
      </c>
      <c r="D40" s="41" t="s">
        <v>677</v>
      </c>
      <c r="E40" s="7" t="s">
        <v>672</v>
      </c>
      <c r="F40" s="17"/>
      <c r="G40" s="17"/>
      <c r="H40" s="17"/>
      <c r="I40" s="17"/>
      <c r="J40" s="17"/>
      <c r="K40" s="17"/>
      <c r="L40" s="17"/>
      <c r="M40" s="4"/>
      <c r="N40" s="4"/>
      <c r="O40" s="39"/>
      <c r="P40" s="4"/>
    </row>
    <row r="41" spans="1:16" x14ac:dyDescent="0.25">
      <c r="A41" s="7">
        <v>35</v>
      </c>
      <c r="B41" s="41">
        <v>871</v>
      </c>
      <c r="C41" s="41" t="s">
        <v>678</v>
      </c>
      <c r="D41" s="41" t="s">
        <v>446</v>
      </c>
      <c r="E41" s="7" t="s">
        <v>672</v>
      </c>
      <c r="F41" s="44"/>
      <c r="G41" s="44"/>
      <c r="H41" s="44"/>
      <c r="I41" s="44"/>
      <c r="J41" s="44"/>
      <c r="K41" s="44"/>
      <c r="L41" s="44"/>
      <c r="M41" s="4"/>
      <c r="N41" s="4"/>
      <c r="O41" s="39"/>
      <c r="P41" s="4"/>
    </row>
    <row r="42" spans="1:16" x14ac:dyDescent="0.25">
      <c r="A42" s="7">
        <v>36</v>
      </c>
      <c r="B42" s="41">
        <v>637</v>
      </c>
      <c r="C42" s="41" t="s">
        <v>679</v>
      </c>
      <c r="D42" s="41" t="s">
        <v>224</v>
      </c>
      <c r="E42" s="7" t="s">
        <v>672</v>
      </c>
      <c r="F42" s="44"/>
      <c r="G42" s="44"/>
      <c r="H42" s="44"/>
      <c r="I42" s="44"/>
      <c r="J42" s="44"/>
      <c r="K42" s="44"/>
      <c r="L42" s="44"/>
      <c r="M42" s="4"/>
      <c r="N42" s="4"/>
      <c r="O42" s="39"/>
      <c r="P42" s="4"/>
    </row>
    <row r="43" spans="1:16" x14ac:dyDescent="0.25">
      <c r="A43" s="7">
        <v>37</v>
      </c>
      <c r="B43" s="41">
        <v>720</v>
      </c>
      <c r="C43" s="41" t="s">
        <v>680</v>
      </c>
      <c r="D43" s="41" t="s">
        <v>681</v>
      </c>
      <c r="E43" s="7" t="s">
        <v>672</v>
      </c>
      <c r="F43" s="44"/>
      <c r="G43" s="44"/>
      <c r="H43" s="44"/>
      <c r="I43" s="44"/>
      <c r="J43" s="44"/>
      <c r="K43" s="44"/>
      <c r="L43" s="44"/>
      <c r="M43" s="4"/>
      <c r="N43" s="4"/>
      <c r="O43" s="39"/>
      <c r="P43" s="4"/>
    </row>
    <row r="44" spans="1:16" x14ac:dyDescent="0.25">
      <c r="A44" s="7">
        <v>38</v>
      </c>
      <c r="B44" s="41">
        <v>722</v>
      </c>
      <c r="C44" s="41" t="s">
        <v>89</v>
      </c>
      <c r="D44" s="41" t="s">
        <v>682</v>
      </c>
      <c r="E44" s="7" t="s">
        <v>672</v>
      </c>
      <c r="F44" s="44"/>
      <c r="G44" s="44"/>
      <c r="H44" s="44"/>
      <c r="I44" s="44"/>
      <c r="J44" s="44"/>
      <c r="K44" s="44"/>
      <c r="L44" s="44"/>
      <c r="M44" s="4"/>
      <c r="N44" s="4"/>
      <c r="O44" s="39"/>
      <c r="P44" s="4"/>
    </row>
    <row r="45" spans="1:16" x14ac:dyDescent="0.25">
      <c r="A45" s="7">
        <v>39</v>
      </c>
      <c r="B45" s="41">
        <v>352</v>
      </c>
      <c r="C45" s="41" t="s">
        <v>683</v>
      </c>
      <c r="D45" s="41" t="s">
        <v>684</v>
      </c>
      <c r="E45" s="7" t="s">
        <v>672</v>
      </c>
      <c r="F45" s="44"/>
      <c r="G45" s="44"/>
      <c r="H45" s="44"/>
      <c r="I45" s="44"/>
      <c r="J45" s="44"/>
      <c r="K45" s="44"/>
      <c r="L45" s="44"/>
      <c r="M45" s="4"/>
      <c r="N45" s="4"/>
      <c r="O45" s="39"/>
      <c r="P45" s="4"/>
    </row>
    <row r="46" spans="1:16" x14ac:dyDescent="0.25">
      <c r="A46" s="7">
        <v>40</v>
      </c>
      <c r="B46" s="41">
        <v>350</v>
      </c>
      <c r="C46" s="41" t="s">
        <v>499</v>
      </c>
      <c r="D46" s="41" t="s">
        <v>359</v>
      </c>
      <c r="E46" s="7" t="s">
        <v>672</v>
      </c>
      <c r="F46" s="44"/>
      <c r="G46" s="44"/>
      <c r="H46" s="17"/>
      <c r="I46" s="44"/>
      <c r="J46" s="44"/>
      <c r="K46" s="44"/>
      <c r="L46" s="44"/>
      <c r="M46" s="4"/>
      <c r="N46" s="4"/>
      <c r="O46" s="39"/>
      <c r="P46" s="4"/>
    </row>
    <row r="47" spans="1:16" x14ac:dyDescent="0.25">
      <c r="A47" s="7">
        <v>41</v>
      </c>
      <c r="B47" s="41">
        <v>629</v>
      </c>
      <c r="C47" s="41" t="s">
        <v>685</v>
      </c>
      <c r="D47" s="41" t="s">
        <v>417</v>
      </c>
      <c r="E47" s="7" t="s">
        <v>672</v>
      </c>
      <c r="F47" s="44"/>
      <c r="G47" s="44"/>
      <c r="H47" s="44"/>
      <c r="I47" s="44"/>
      <c r="J47" s="44"/>
      <c r="K47" s="44"/>
      <c r="L47" s="44"/>
      <c r="M47" s="4"/>
      <c r="N47" s="4"/>
      <c r="O47" s="39"/>
      <c r="P47" s="4"/>
    </row>
    <row r="48" spans="1:16" x14ac:dyDescent="0.25">
      <c r="A48" s="7">
        <v>42</v>
      </c>
      <c r="B48" s="41">
        <v>726</v>
      </c>
      <c r="C48" s="41" t="s">
        <v>686</v>
      </c>
      <c r="D48" s="41" t="s">
        <v>687</v>
      </c>
      <c r="E48" s="7" t="s">
        <v>672</v>
      </c>
      <c r="F48" s="44"/>
      <c r="G48" s="44"/>
      <c r="H48" s="44"/>
      <c r="I48" s="44"/>
      <c r="J48" s="44"/>
      <c r="K48" s="44"/>
      <c r="L48" s="44"/>
      <c r="M48" s="4"/>
      <c r="N48" s="4"/>
      <c r="O48" s="39"/>
      <c r="P48" s="4"/>
    </row>
    <row r="49" spans="1:16" x14ac:dyDescent="0.25">
      <c r="A49" s="7">
        <v>43</v>
      </c>
      <c r="B49" s="41">
        <v>726</v>
      </c>
      <c r="C49" s="41" t="s">
        <v>688</v>
      </c>
      <c r="D49" s="41" t="s">
        <v>689</v>
      </c>
      <c r="E49" s="7" t="s">
        <v>672</v>
      </c>
      <c r="F49" s="43"/>
      <c r="G49" s="43"/>
      <c r="H49" s="43"/>
      <c r="I49" s="43"/>
      <c r="J49" s="43"/>
      <c r="K49" s="43"/>
      <c r="L49" s="43"/>
      <c r="M49" s="4"/>
      <c r="N49" s="4"/>
      <c r="O49" s="39"/>
      <c r="P49" s="4"/>
    </row>
    <row r="50" spans="1:16" x14ac:dyDescent="0.25">
      <c r="A50" s="7">
        <v>44</v>
      </c>
      <c r="B50" s="41">
        <v>390</v>
      </c>
      <c r="C50" s="41" t="s">
        <v>690</v>
      </c>
      <c r="D50" s="41" t="s">
        <v>240</v>
      </c>
      <c r="E50" s="7" t="s">
        <v>672</v>
      </c>
      <c r="F50" s="9"/>
      <c r="G50" s="9"/>
      <c r="H50" s="9"/>
      <c r="I50" s="9"/>
      <c r="J50" s="9"/>
      <c r="K50" s="9"/>
      <c r="L50" s="9"/>
      <c r="M50" s="4"/>
      <c r="N50" s="4"/>
      <c r="O50" s="39"/>
      <c r="P50" s="4"/>
    </row>
    <row r="51" spans="1:16" x14ac:dyDescent="0.25">
      <c r="A51" s="7">
        <v>45</v>
      </c>
      <c r="B51" s="41">
        <v>357</v>
      </c>
      <c r="C51" s="41" t="s">
        <v>691</v>
      </c>
      <c r="D51" s="41" t="s">
        <v>382</v>
      </c>
      <c r="E51" s="7" t="s">
        <v>672</v>
      </c>
      <c r="F51" s="9"/>
      <c r="G51" s="9"/>
      <c r="H51" s="9"/>
      <c r="I51" s="9"/>
      <c r="J51" s="9"/>
      <c r="K51" s="9"/>
      <c r="L51" s="9"/>
      <c r="M51" s="4"/>
      <c r="N51" s="4"/>
      <c r="O51" s="39"/>
      <c r="P51" s="4"/>
    </row>
    <row r="52" spans="1:16" x14ac:dyDescent="0.25">
      <c r="A52" s="7">
        <v>46</v>
      </c>
      <c r="B52" s="41">
        <v>623</v>
      </c>
      <c r="C52" s="41" t="s">
        <v>692</v>
      </c>
      <c r="D52" s="41" t="s">
        <v>619</v>
      </c>
      <c r="E52" s="7" t="s">
        <v>672</v>
      </c>
      <c r="F52" s="9"/>
      <c r="G52" s="9"/>
      <c r="H52" s="9"/>
      <c r="I52" s="9"/>
      <c r="J52" s="9"/>
      <c r="K52" s="9"/>
      <c r="L52" s="9"/>
      <c r="M52" s="4"/>
      <c r="N52" s="4"/>
      <c r="O52" s="39"/>
      <c r="P52" s="4"/>
    </row>
    <row r="53" spans="1:16" x14ac:dyDescent="0.25">
      <c r="A53" s="7">
        <v>47</v>
      </c>
      <c r="B53" s="41">
        <v>905</v>
      </c>
      <c r="C53" s="41" t="s">
        <v>693</v>
      </c>
      <c r="D53" s="41" t="s">
        <v>694</v>
      </c>
      <c r="E53" s="7" t="s">
        <v>672</v>
      </c>
      <c r="F53" s="9"/>
      <c r="G53" s="9"/>
      <c r="H53" s="9"/>
      <c r="I53" s="9"/>
      <c r="J53" s="9"/>
      <c r="K53" s="9"/>
      <c r="L53" s="9"/>
      <c r="M53" s="4"/>
      <c r="N53" s="4"/>
      <c r="O53" s="39"/>
      <c r="P53" s="4"/>
    </row>
  </sheetData>
  <mergeCells count="15">
    <mergeCell ref="A7:P7"/>
    <mergeCell ref="A35:P35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34">
    <cfRule type="duplicateValues" dxfId="18" priority="2"/>
  </conditionalFormatting>
  <conditionalFormatting sqref="B36:B37">
    <cfRule type="duplicateValues" dxfId="17" priority="1"/>
  </conditionalFormatting>
  <conditionalFormatting sqref="C8:C34">
    <cfRule type="duplicateValues" dxfId="16" priority="3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49"/>
  <sheetViews>
    <sheetView topLeftCell="A13" workbookViewId="0">
      <selection activeCell="I16" sqref="I16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3.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117</v>
      </c>
      <c r="J5" s="2" t="s">
        <v>525</v>
      </c>
      <c r="K5" s="2" t="s">
        <v>524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119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40">
        <v>737</v>
      </c>
      <c r="C8" s="30" t="s">
        <v>696</v>
      </c>
      <c r="D8" s="28" t="s">
        <v>453</v>
      </c>
      <c r="E8" s="7" t="s">
        <v>695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40">
        <v>734</v>
      </c>
      <c r="C9" s="30" t="s">
        <v>697</v>
      </c>
      <c r="D9" s="28" t="s">
        <v>389</v>
      </c>
      <c r="E9" s="7" t="s">
        <v>695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40">
        <v>787</v>
      </c>
      <c r="C10" s="30" t="s">
        <v>123</v>
      </c>
      <c r="D10" s="28" t="s">
        <v>393</v>
      </c>
      <c r="E10" s="7" t="s">
        <v>695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40">
        <v>742</v>
      </c>
      <c r="C11" s="30" t="s">
        <v>698</v>
      </c>
      <c r="D11" s="28" t="s">
        <v>684</v>
      </c>
      <c r="E11" s="7" t="s">
        <v>695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40">
        <v>740</v>
      </c>
      <c r="C12" s="30" t="s">
        <v>561</v>
      </c>
      <c r="D12" s="28" t="s">
        <v>173</v>
      </c>
      <c r="E12" s="7" t="s">
        <v>695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40">
        <v>738</v>
      </c>
      <c r="C13" s="30" t="s">
        <v>699</v>
      </c>
      <c r="D13" s="28" t="s">
        <v>453</v>
      </c>
      <c r="E13" s="7" t="s">
        <v>695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40">
        <v>739</v>
      </c>
      <c r="C14" s="30" t="s">
        <v>700</v>
      </c>
      <c r="D14" s="28" t="s">
        <v>548</v>
      </c>
      <c r="E14" s="7" t="s">
        <v>695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40">
        <v>743</v>
      </c>
      <c r="C15" s="30" t="s">
        <v>701</v>
      </c>
      <c r="D15" s="28" t="s">
        <v>702</v>
      </c>
      <c r="E15" s="7" t="s">
        <v>695</v>
      </c>
      <c r="F15" s="4"/>
      <c r="G15" s="4"/>
      <c r="H15" s="4"/>
      <c r="I15" s="4"/>
      <c r="J15" s="4"/>
      <c r="K15" s="4"/>
      <c r="L15" s="4"/>
      <c r="M15" s="4"/>
      <c r="N15" s="4"/>
      <c r="O15" s="39"/>
      <c r="P15" s="4"/>
    </row>
    <row r="16" spans="1:16" x14ac:dyDescent="0.25">
      <c r="A16" s="7">
        <v>9</v>
      </c>
      <c r="B16" s="40">
        <v>729</v>
      </c>
      <c r="C16" s="30" t="s">
        <v>703</v>
      </c>
      <c r="D16" s="28" t="s">
        <v>704</v>
      </c>
      <c r="E16" s="7" t="s">
        <v>695</v>
      </c>
      <c r="F16" s="4"/>
      <c r="G16" s="4"/>
      <c r="H16" s="4"/>
      <c r="I16" s="4"/>
      <c r="J16" s="4"/>
      <c r="K16" s="4"/>
      <c r="L16" s="4"/>
      <c r="M16" s="4"/>
      <c r="N16" s="4"/>
      <c r="O16" s="39"/>
      <c r="P16" s="4"/>
    </row>
    <row r="17" spans="1:16" x14ac:dyDescent="0.25">
      <c r="A17" s="7">
        <v>10</v>
      </c>
      <c r="B17" s="40">
        <v>735</v>
      </c>
      <c r="C17" s="30" t="s">
        <v>705</v>
      </c>
      <c r="D17" s="28" t="s">
        <v>706</v>
      </c>
      <c r="E17" s="7" t="s">
        <v>695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40">
        <v>736</v>
      </c>
      <c r="C18" s="30" t="s">
        <v>707</v>
      </c>
      <c r="D18" s="28" t="s">
        <v>240</v>
      </c>
      <c r="E18" s="7" t="s">
        <v>695</v>
      </c>
      <c r="F18" s="4"/>
      <c r="G18" s="4"/>
      <c r="H18" s="4"/>
      <c r="I18" s="4"/>
      <c r="J18" s="4"/>
      <c r="K18" s="4"/>
      <c r="L18" s="4"/>
      <c r="M18" s="4"/>
      <c r="N18" s="4"/>
      <c r="O18" s="39"/>
      <c r="P18" s="4"/>
    </row>
    <row r="19" spans="1:16" x14ac:dyDescent="0.25">
      <c r="A19" s="7">
        <v>12</v>
      </c>
      <c r="B19" s="40">
        <v>759</v>
      </c>
      <c r="C19" s="30" t="s">
        <v>616</v>
      </c>
      <c r="D19" s="28" t="s">
        <v>708</v>
      </c>
      <c r="E19" s="7" t="s">
        <v>695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40">
        <v>746</v>
      </c>
      <c r="C20" s="30" t="s">
        <v>709</v>
      </c>
      <c r="D20" s="28" t="s">
        <v>710</v>
      </c>
      <c r="E20" s="7" t="s">
        <v>695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40">
        <v>745</v>
      </c>
      <c r="C21" s="30" t="s">
        <v>711</v>
      </c>
      <c r="D21" s="28" t="s">
        <v>710</v>
      </c>
      <c r="E21" s="7" t="s">
        <v>695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40">
        <v>731</v>
      </c>
      <c r="C22" s="30" t="s">
        <v>712</v>
      </c>
      <c r="D22" s="28" t="s">
        <v>713</v>
      </c>
      <c r="E22" s="7" t="s">
        <v>695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x14ac:dyDescent="0.25">
      <c r="A23" s="7">
        <v>16</v>
      </c>
      <c r="B23" s="40">
        <v>788</v>
      </c>
      <c r="C23" s="30" t="s">
        <v>561</v>
      </c>
      <c r="D23" s="28" t="s">
        <v>714</v>
      </c>
      <c r="E23" s="7" t="s">
        <v>695</v>
      </c>
      <c r="F23" s="4"/>
      <c r="G23" s="4"/>
      <c r="H23" s="4"/>
      <c r="I23" s="4"/>
      <c r="J23" s="4"/>
      <c r="K23" s="4"/>
      <c r="L23" s="4"/>
      <c r="M23" s="4"/>
      <c r="N23" s="4"/>
      <c r="O23" s="39"/>
      <c r="P23" s="4"/>
    </row>
    <row r="24" spans="1:16" x14ac:dyDescent="0.25">
      <c r="A24" s="7">
        <v>17</v>
      </c>
      <c r="B24" s="40">
        <v>856</v>
      </c>
      <c r="C24" s="30" t="s">
        <v>715</v>
      </c>
      <c r="D24" s="28" t="s">
        <v>548</v>
      </c>
      <c r="E24" s="7" t="s">
        <v>695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18</v>
      </c>
      <c r="B25" s="40">
        <v>906</v>
      </c>
      <c r="C25" s="30" t="s">
        <v>485</v>
      </c>
      <c r="D25" s="28" t="s">
        <v>716</v>
      </c>
      <c r="E25" s="7" t="s">
        <v>695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x14ac:dyDescent="0.25">
      <c r="A26" s="7">
        <v>19</v>
      </c>
      <c r="B26" s="40">
        <v>866</v>
      </c>
      <c r="C26" s="30" t="s">
        <v>717</v>
      </c>
      <c r="D26" s="28" t="s">
        <v>718</v>
      </c>
      <c r="E26" s="7" t="s">
        <v>695</v>
      </c>
      <c r="F26" s="4"/>
      <c r="G26" s="4"/>
      <c r="H26" s="4"/>
      <c r="I26" s="4"/>
      <c r="J26" s="4"/>
      <c r="K26" s="4"/>
      <c r="L26" s="4"/>
      <c r="M26" s="4"/>
      <c r="N26" s="4"/>
      <c r="O26" s="39"/>
      <c r="P26" s="4"/>
    </row>
    <row r="27" spans="1:16" x14ac:dyDescent="0.25">
      <c r="A27" s="7">
        <v>20</v>
      </c>
      <c r="B27" s="40">
        <v>846</v>
      </c>
      <c r="C27" s="30" t="s">
        <v>719</v>
      </c>
      <c r="D27" s="28" t="s">
        <v>720</v>
      </c>
      <c r="E27" s="7" t="s">
        <v>695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x14ac:dyDescent="0.25">
      <c r="A28" s="7">
        <v>21</v>
      </c>
      <c r="B28" s="40">
        <v>857</v>
      </c>
      <c r="C28" s="30" t="s">
        <v>717</v>
      </c>
      <c r="D28" s="30" t="s">
        <v>393</v>
      </c>
      <c r="E28" s="7" t="s">
        <v>695</v>
      </c>
      <c r="F28" s="4"/>
      <c r="G28" s="4"/>
      <c r="H28" s="4"/>
      <c r="I28" s="4"/>
      <c r="J28" s="4"/>
      <c r="K28" s="4"/>
      <c r="L28" s="4"/>
      <c r="M28" s="4"/>
      <c r="N28" s="4"/>
      <c r="O28" s="39"/>
      <c r="P28" s="4"/>
    </row>
    <row r="29" spans="1:16" x14ac:dyDescent="0.25">
      <c r="A29" s="7">
        <v>22</v>
      </c>
      <c r="B29" s="40">
        <v>738</v>
      </c>
      <c r="C29" s="34" t="s">
        <v>721</v>
      </c>
      <c r="D29" s="34" t="s">
        <v>722</v>
      </c>
      <c r="E29" s="7" t="s">
        <v>695</v>
      </c>
      <c r="F29" s="4"/>
      <c r="G29" s="4"/>
      <c r="H29" s="4"/>
      <c r="I29" s="44"/>
      <c r="J29" s="44"/>
      <c r="K29" s="44"/>
      <c r="L29" s="44"/>
      <c r="M29" s="4"/>
      <c r="N29" s="4"/>
      <c r="O29" s="39"/>
      <c r="P29" s="4"/>
    </row>
    <row r="30" spans="1:16" ht="21" x14ac:dyDescent="0.35">
      <c r="A30" s="125" t="s">
        <v>165</v>
      </c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</row>
    <row r="31" spans="1:16" x14ac:dyDescent="0.25">
      <c r="A31" s="7">
        <v>30</v>
      </c>
      <c r="B31" s="40">
        <v>730</v>
      </c>
      <c r="C31" s="30" t="s">
        <v>723</v>
      </c>
      <c r="D31" s="28" t="s">
        <v>20</v>
      </c>
      <c r="E31" s="7" t="s">
        <v>695</v>
      </c>
      <c r="F31" s="4"/>
      <c r="G31" s="4"/>
      <c r="H31" s="4"/>
      <c r="I31" s="4"/>
      <c r="J31" s="4"/>
      <c r="K31" s="4"/>
      <c r="L31" s="4"/>
      <c r="M31" s="4"/>
      <c r="N31" s="4"/>
      <c r="O31" s="39"/>
      <c r="P31" s="4"/>
    </row>
    <row r="32" spans="1:16" x14ac:dyDescent="0.25">
      <c r="A32" s="7">
        <v>31</v>
      </c>
      <c r="B32" s="40">
        <v>732</v>
      </c>
      <c r="C32" s="30" t="s">
        <v>724</v>
      </c>
      <c r="D32" s="28" t="s">
        <v>465</v>
      </c>
      <c r="E32" s="7" t="s">
        <v>695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32</v>
      </c>
      <c r="B33" s="40">
        <v>728</v>
      </c>
      <c r="C33" s="30" t="s">
        <v>725</v>
      </c>
      <c r="D33" s="28" t="s">
        <v>500</v>
      </c>
      <c r="E33" s="7" t="s">
        <v>695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33</v>
      </c>
      <c r="B34" s="40">
        <v>760</v>
      </c>
      <c r="C34" s="30" t="s">
        <v>726</v>
      </c>
      <c r="D34" s="30" t="s">
        <v>457</v>
      </c>
      <c r="E34" s="7" t="s">
        <v>695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x14ac:dyDescent="0.25">
      <c r="A35" s="7">
        <v>34</v>
      </c>
      <c r="B35" s="40">
        <v>741</v>
      </c>
      <c r="C35" s="30" t="s">
        <v>727</v>
      </c>
      <c r="D35" s="28" t="s">
        <v>560</v>
      </c>
      <c r="E35" s="7" t="s">
        <v>695</v>
      </c>
      <c r="F35" s="4"/>
      <c r="G35" s="4"/>
      <c r="H35" s="4"/>
      <c r="I35" s="4"/>
      <c r="J35" s="4"/>
      <c r="K35" s="4"/>
      <c r="L35" s="4"/>
      <c r="M35" s="4"/>
      <c r="N35" s="4"/>
      <c r="O35" s="39"/>
      <c r="P35" s="4"/>
    </row>
    <row r="36" spans="1:16" x14ac:dyDescent="0.25">
      <c r="A36" s="7">
        <v>35</v>
      </c>
      <c r="B36" s="40">
        <v>733</v>
      </c>
      <c r="C36" s="32" t="s">
        <v>728</v>
      </c>
      <c r="D36" s="33" t="s">
        <v>729</v>
      </c>
      <c r="E36" s="7" t="s">
        <v>695</v>
      </c>
      <c r="F36" s="4"/>
      <c r="G36" s="4"/>
      <c r="H36" s="4"/>
      <c r="I36" s="4"/>
      <c r="J36" s="4"/>
      <c r="K36" s="4"/>
      <c r="L36" s="4"/>
      <c r="M36" s="4"/>
      <c r="N36" s="4"/>
      <c r="O36" s="39"/>
      <c r="P36" s="4"/>
    </row>
    <row r="37" spans="1:16" x14ac:dyDescent="0.25">
      <c r="A37" s="7">
        <v>36</v>
      </c>
      <c r="B37" s="40">
        <v>744</v>
      </c>
      <c r="C37" s="34" t="s">
        <v>730</v>
      </c>
      <c r="D37" s="34" t="s">
        <v>72</v>
      </c>
      <c r="E37" s="7" t="s">
        <v>695</v>
      </c>
      <c r="F37" s="4"/>
      <c r="G37" s="4"/>
      <c r="H37" s="4"/>
      <c r="I37" s="4"/>
      <c r="J37" s="4"/>
      <c r="K37" s="4"/>
      <c r="L37" s="4"/>
      <c r="M37" s="4"/>
      <c r="N37" s="4"/>
      <c r="O37" s="39"/>
      <c r="P37" s="4"/>
    </row>
    <row r="38" spans="1:16" x14ac:dyDescent="0.25">
      <c r="A38" s="7">
        <v>37</v>
      </c>
      <c r="B38" s="40">
        <v>850</v>
      </c>
      <c r="C38" s="30" t="s">
        <v>731</v>
      </c>
      <c r="D38" s="30" t="s">
        <v>661</v>
      </c>
      <c r="E38" s="7" t="s">
        <v>695</v>
      </c>
      <c r="F38" s="4"/>
      <c r="G38" s="4"/>
      <c r="H38" s="4"/>
      <c r="I38" s="4"/>
      <c r="J38" s="4"/>
      <c r="K38" s="4"/>
      <c r="L38" s="4"/>
      <c r="M38" s="4"/>
      <c r="N38" s="4"/>
      <c r="O38" s="39"/>
      <c r="P38" s="4"/>
    </row>
    <row r="39" spans="1:16" x14ac:dyDescent="0.25">
      <c r="A39" s="7">
        <v>38</v>
      </c>
      <c r="B39" s="41">
        <v>767</v>
      </c>
      <c r="C39" s="41" t="s">
        <v>83</v>
      </c>
      <c r="D39" s="41" t="s">
        <v>732</v>
      </c>
      <c r="E39" s="7" t="s">
        <v>695</v>
      </c>
      <c r="F39" s="17"/>
      <c r="G39" s="17"/>
      <c r="H39" s="17"/>
      <c r="I39" s="17"/>
      <c r="J39" s="17"/>
      <c r="K39" s="17"/>
      <c r="L39" s="17"/>
      <c r="M39" s="4"/>
      <c r="N39" s="4"/>
      <c r="O39" s="39"/>
      <c r="P39" s="4"/>
    </row>
    <row r="40" spans="1:16" x14ac:dyDescent="0.25">
      <c r="A40" s="7">
        <v>39</v>
      </c>
      <c r="B40" s="41">
        <v>875</v>
      </c>
      <c r="C40" s="41" t="s">
        <v>733</v>
      </c>
      <c r="D40" s="41" t="s">
        <v>538</v>
      </c>
      <c r="E40" s="7" t="s">
        <v>695</v>
      </c>
      <c r="F40" s="4"/>
      <c r="G40" s="4"/>
      <c r="H40" s="4"/>
      <c r="I40" s="4"/>
      <c r="J40" s="4"/>
      <c r="K40" s="4"/>
      <c r="L40" s="4"/>
      <c r="M40" s="4"/>
      <c r="N40" s="4"/>
      <c r="O40" s="39"/>
      <c r="P40" s="4"/>
    </row>
    <row r="41" spans="1:16" x14ac:dyDescent="0.25">
      <c r="A41" s="7">
        <v>40</v>
      </c>
      <c r="B41" s="41">
        <v>727</v>
      </c>
      <c r="C41" s="41" t="s">
        <v>734</v>
      </c>
      <c r="D41" s="41" t="s">
        <v>658</v>
      </c>
      <c r="E41" s="7" t="s">
        <v>695</v>
      </c>
      <c r="F41" s="4"/>
      <c r="G41" s="4"/>
      <c r="H41" s="4"/>
      <c r="I41" s="4"/>
      <c r="J41" s="4"/>
      <c r="K41" s="4"/>
      <c r="L41" s="4"/>
      <c r="M41" s="4"/>
      <c r="N41" s="4"/>
      <c r="O41" s="39"/>
      <c r="P41" s="4"/>
    </row>
    <row r="42" spans="1:16" x14ac:dyDescent="0.25">
      <c r="A42" s="7">
        <v>41</v>
      </c>
      <c r="B42" s="41">
        <v>880</v>
      </c>
      <c r="C42" s="41" t="s">
        <v>735</v>
      </c>
      <c r="D42" s="41" t="s">
        <v>736</v>
      </c>
      <c r="E42" s="7" t="s">
        <v>695</v>
      </c>
      <c r="F42" s="4"/>
      <c r="G42" s="4"/>
      <c r="H42" s="4"/>
      <c r="I42" s="4"/>
      <c r="J42" s="4"/>
      <c r="K42" s="4"/>
      <c r="L42" s="4"/>
      <c r="M42" s="4"/>
      <c r="N42" s="4"/>
      <c r="O42" s="39"/>
      <c r="P42" s="4"/>
    </row>
    <row r="43" spans="1:16" x14ac:dyDescent="0.25">
      <c r="A43" s="7">
        <v>42</v>
      </c>
      <c r="B43" s="41">
        <v>777</v>
      </c>
      <c r="C43" s="41" t="s">
        <v>737</v>
      </c>
      <c r="D43" s="41" t="s">
        <v>738</v>
      </c>
      <c r="E43" s="7" t="s">
        <v>695</v>
      </c>
      <c r="F43" s="44"/>
      <c r="G43" s="44"/>
      <c r="H43" s="44"/>
      <c r="I43" s="44"/>
      <c r="J43" s="44"/>
      <c r="K43" s="44"/>
      <c r="L43" s="44"/>
      <c r="M43" s="4"/>
      <c r="N43" s="4"/>
      <c r="O43" s="39"/>
      <c r="P43" s="4"/>
    </row>
    <row r="44" spans="1:16" x14ac:dyDescent="0.25">
      <c r="A44" s="7">
        <v>43</v>
      </c>
      <c r="B44" s="41">
        <v>873</v>
      </c>
      <c r="C44" s="41" t="s">
        <v>739</v>
      </c>
      <c r="D44" s="41" t="s">
        <v>32</v>
      </c>
      <c r="E44" s="7" t="s">
        <v>695</v>
      </c>
      <c r="F44" s="9"/>
      <c r="G44" s="9"/>
      <c r="H44" s="9"/>
      <c r="I44" s="9"/>
      <c r="J44" s="9"/>
      <c r="K44" s="9"/>
      <c r="L44" s="9"/>
      <c r="M44" s="4"/>
      <c r="N44" s="4"/>
      <c r="O44" s="39"/>
      <c r="P44" s="4"/>
    </row>
    <row r="45" spans="1:16" x14ac:dyDescent="0.25">
      <c r="A45" s="7">
        <v>44</v>
      </c>
      <c r="B45" s="41">
        <v>909</v>
      </c>
      <c r="C45" s="41" t="s">
        <v>740</v>
      </c>
      <c r="D45" s="41" t="s">
        <v>741</v>
      </c>
      <c r="E45" s="7" t="s">
        <v>695</v>
      </c>
      <c r="F45" s="9"/>
      <c r="G45" s="9"/>
      <c r="H45" s="9"/>
      <c r="I45" s="9"/>
      <c r="J45" s="9"/>
      <c r="K45" s="9"/>
      <c r="L45" s="9"/>
      <c r="M45" s="4"/>
      <c r="N45" s="4"/>
      <c r="O45" s="39"/>
      <c r="P45" s="4"/>
    </row>
    <row r="46" spans="1:16" x14ac:dyDescent="0.25">
      <c r="A46" s="7">
        <v>45</v>
      </c>
      <c r="B46" s="41">
        <v>854</v>
      </c>
      <c r="C46" s="41" t="s">
        <v>742</v>
      </c>
      <c r="D46" s="41" t="s">
        <v>743</v>
      </c>
      <c r="E46" s="7" t="s">
        <v>695</v>
      </c>
      <c r="F46" s="9"/>
      <c r="G46" s="43"/>
      <c r="H46" s="43"/>
      <c r="I46" s="43"/>
      <c r="J46" s="43"/>
      <c r="K46" s="43"/>
      <c r="L46" s="43"/>
      <c r="M46" s="4"/>
      <c r="N46" s="4"/>
      <c r="O46" s="39"/>
      <c r="P46" s="4"/>
    </row>
    <row r="47" spans="1:16" x14ac:dyDescent="0.25">
      <c r="A47" s="7">
        <v>46</v>
      </c>
      <c r="B47" s="41">
        <v>863</v>
      </c>
      <c r="C47" s="41" t="s">
        <v>744</v>
      </c>
      <c r="D47" s="41" t="s">
        <v>745</v>
      </c>
      <c r="E47" s="7" t="s">
        <v>695</v>
      </c>
      <c r="F47" s="9"/>
      <c r="G47" s="43"/>
      <c r="H47" s="43"/>
      <c r="I47" s="43"/>
      <c r="J47" s="43"/>
      <c r="K47" s="43"/>
      <c r="L47" s="43"/>
      <c r="M47" s="4"/>
      <c r="N47" s="4"/>
      <c r="O47" s="39"/>
      <c r="P47" s="4"/>
    </row>
    <row r="48" spans="1:16" x14ac:dyDescent="0.25">
      <c r="A48" s="7">
        <v>47</v>
      </c>
      <c r="B48" s="42">
        <v>902</v>
      </c>
      <c r="C48" s="42" t="s">
        <v>284</v>
      </c>
      <c r="D48" s="42" t="s">
        <v>746</v>
      </c>
      <c r="E48" s="7" t="s">
        <v>695</v>
      </c>
      <c r="F48" s="9"/>
      <c r="G48" s="9"/>
      <c r="H48" s="9"/>
      <c r="I48" s="9"/>
      <c r="J48" s="9"/>
      <c r="K48" s="9"/>
      <c r="L48" s="9"/>
      <c r="M48" s="4"/>
      <c r="N48" s="4"/>
      <c r="O48" s="39"/>
      <c r="P48" s="4"/>
    </row>
    <row r="49" spans="1:16" x14ac:dyDescent="0.25">
      <c r="A49" s="7">
        <v>47</v>
      </c>
      <c r="B49" s="41">
        <v>886</v>
      </c>
      <c r="C49" s="41" t="s">
        <v>747</v>
      </c>
      <c r="D49" s="41" t="s">
        <v>748</v>
      </c>
      <c r="E49" s="7" t="s">
        <v>695</v>
      </c>
      <c r="F49" s="9"/>
      <c r="G49" s="9"/>
      <c r="H49" s="9"/>
      <c r="I49" s="9"/>
      <c r="J49" s="9"/>
      <c r="K49" s="9"/>
      <c r="L49" s="9"/>
      <c r="M49" s="4"/>
      <c r="N49" s="4"/>
      <c r="O49" s="39"/>
      <c r="P49" s="4"/>
    </row>
  </sheetData>
  <mergeCells count="15">
    <mergeCell ref="A7:P7"/>
    <mergeCell ref="A30:P30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2">
    <cfRule type="duplicateValues" dxfId="15" priority="8"/>
    <cfRule type="duplicateValues" dxfId="14" priority="9"/>
  </conditionalFormatting>
  <conditionalFormatting sqref="B23">
    <cfRule type="duplicateValues" dxfId="13" priority="5"/>
    <cfRule type="duplicateValues" dxfId="12" priority="6"/>
  </conditionalFormatting>
  <conditionalFormatting sqref="B24:B28">
    <cfRule type="duplicateValues" dxfId="11" priority="10"/>
  </conditionalFormatting>
  <conditionalFormatting sqref="B29">
    <cfRule type="duplicateValues" dxfId="10" priority="7"/>
  </conditionalFormatting>
  <conditionalFormatting sqref="B31:B37">
    <cfRule type="duplicateValues" dxfId="9" priority="1"/>
    <cfRule type="duplicateValues" dxfId="8" priority="2"/>
  </conditionalFormatting>
  <conditionalFormatting sqref="B38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42"/>
  <sheetViews>
    <sheetView workbookViewId="0">
      <selection activeCell="H12" sqref="H1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3" bestFit="1" customWidth="1"/>
    <col min="4" max="4" width="23.28515625" bestFit="1" customWidth="1"/>
    <col min="6" max="15" width="5.7109375" customWidth="1"/>
    <col min="16" max="16" width="20.7109375" customWidth="1"/>
  </cols>
  <sheetData>
    <row r="1" spans="1:16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</row>
    <row r="2" spans="1:16" x14ac:dyDescent="0.25">
      <c r="A2" s="93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x14ac:dyDescent="0.25">
      <c r="A3" s="98" t="s">
        <v>797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</row>
    <row r="4" spans="1:16" x14ac:dyDescent="0.25">
      <c r="A4" s="94" t="s">
        <v>2</v>
      </c>
      <c r="B4" s="94" t="s">
        <v>3</v>
      </c>
      <c r="C4" s="94" t="s">
        <v>5</v>
      </c>
      <c r="D4" s="94" t="s">
        <v>6</v>
      </c>
      <c r="E4" s="94" t="s">
        <v>4</v>
      </c>
      <c r="F4" s="120" t="s">
        <v>7</v>
      </c>
      <c r="G4" s="120"/>
      <c r="H4" s="120"/>
      <c r="I4" s="120"/>
      <c r="J4" s="120"/>
      <c r="K4" s="120"/>
      <c r="L4" s="120"/>
      <c r="M4" s="94" t="s">
        <v>13</v>
      </c>
      <c r="N4" s="94" t="s">
        <v>14</v>
      </c>
      <c r="O4" s="94" t="s">
        <v>15</v>
      </c>
      <c r="P4" s="120" t="s">
        <v>16</v>
      </c>
    </row>
    <row r="5" spans="1:16" ht="42.75" x14ac:dyDescent="0.25">
      <c r="A5" s="94"/>
      <c r="B5" s="94"/>
      <c r="C5" s="94"/>
      <c r="D5" s="94"/>
      <c r="E5" s="94"/>
      <c r="F5" s="2" t="s">
        <v>9</v>
      </c>
      <c r="G5" s="2" t="s">
        <v>116</v>
      </c>
      <c r="H5" s="2" t="s">
        <v>10</v>
      </c>
      <c r="I5" s="2" t="s">
        <v>794</v>
      </c>
      <c r="J5" s="2" t="s">
        <v>795</v>
      </c>
      <c r="K5" s="2" t="s">
        <v>796</v>
      </c>
      <c r="L5" s="2" t="s">
        <v>375</v>
      </c>
      <c r="M5" s="94"/>
      <c r="N5" s="94"/>
      <c r="O5" s="94"/>
      <c r="P5" s="120"/>
    </row>
    <row r="6" spans="1:16" x14ac:dyDescent="0.25">
      <c r="A6" s="94"/>
      <c r="B6" s="94"/>
      <c r="C6" s="94"/>
      <c r="D6" s="94"/>
      <c r="E6" s="9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94"/>
      <c r="O6" s="94"/>
      <c r="P6" s="120"/>
    </row>
    <row r="7" spans="1:16" ht="21" x14ac:dyDescent="0.35">
      <c r="A7" s="125" t="s">
        <v>119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</row>
    <row r="8" spans="1:16" x14ac:dyDescent="0.25">
      <c r="A8" s="7">
        <v>1</v>
      </c>
      <c r="B8" s="29">
        <v>858</v>
      </c>
      <c r="C8" s="30" t="s">
        <v>227</v>
      </c>
      <c r="D8" s="28" t="s">
        <v>87</v>
      </c>
      <c r="E8" s="7" t="s">
        <v>749</v>
      </c>
      <c r="F8" s="4"/>
      <c r="G8" s="4"/>
      <c r="H8" s="4"/>
      <c r="I8" s="4"/>
      <c r="J8" s="4"/>
      <c r="K8" s="4"/>
      <c r="L8" s="4"/>
      <c r="M8" s="4"/>
      <c r="N8" s="4"/>
      <c r="O8" s="39"/>
      <c r="P8" s="4"/>
    </row>
    <row r="9" spans="1:16" x14ac:dyDescent="0.25">
      <c r="A9" s="7">
        <v>2</v>
      </c>
      <c r="B9" s="29">
        <v>872</v>
      </c>
      <c r="C9" s="30" t="s">
        <v>750</v>
      </c>
      <c r="D9" s="28" t="s">
        <v>751</v>
      </c>
      <c r="E9" s="7" t="s">
        <v>749</v>
      </c>
      <c r="F9" s="4"/>
      <c r="G9" s="4"/>
      <c r="H9" s="4"/>
      <c r="I9" s="4"/>
      <c r="J9" s="4"/>
      <c r="K9" s="4"/>
      <c r="L9" s="4"/>
      <c r="M9" s="4"/>
      <c r="N9" s="4"/>
      <c r="O9" s="39"/>
      <c r="P9" s="4"/>
    </row>
    <row r="10" spans="1:16" x14ac:dyDescent="0.25">
      <c r="A10" s="7">
        <v>3</v>
      </c>
      <c r="B10" s="29">
        <v>876</v>
      </c>
      <c r="C10" s="30" t="s">
        <v>752</v>
      </c>
      <c r="D10" s="28" t="s">
        <v>753</v>
      </c>
      <c r="E10" s="7" t="s">
        <v>749</v>
      </c>
      <c r="F10" s="4"/>
      <c r="G10" s="4"/>
      <c r="H10" s="4"/>
      <c r="I10" s="4"/>
      <c r="J10" s="4"/>
      <c r="K10" s="4"/>
      <c r="L10" s="4"/>
      <c r="M10" s="4"/>
      <c r="N10" s="4"/>
      <c r="O10" s="39"/>
      <c r="P10" s="4"/>
    </row>
    <row r="11" spans="1:16" x14ac:dyDescent="0.25">
      <c r="A11" s="7">
        <v>4</v>
      </c>
      <c r="B11" s="29">
        <v>887</v>
      </c>
      <c r="C11" s="30" t="s">
        <v>754</v>
      </c>
      <c r="D11" s="28" t="s">
        <v>586</v>
      </c>
      <c r="E11" s="7" t="s">
        <v>749</v>
      </c>
      <c r="F11" s="4"/>
      <c r="G11" s="4"/>
      <c r="H11" s="4"/>
      <c r="I11" s="4"/>
      <c r="J11" s="4"/>
      <c r="K11" s="4"/>
      <c r="L11" s="4"/>
      <c r="M11" s="4"/>
      <c r="N11" s="4"/>
      <c r="O11" s="39"/>
      <c r="P11" s="4"/>
    </row>
    <row r="12" spans="1:16" x14ac:dyDescent="0.25">
      <c r="A12" s="7">
        <v>5</v>
      </c>
      <c r="B12" s="29">
        <v>884</v>
      </c>
      <c r="C12" s="30" t="s">
        <v>755</v>
      </c>
      <c r="D12" s="28" t="s">
        <v>756</v>
      </c>
      <c r="E12" s="7" t="s">
        <v>749</v>
      </c>
      <c r="F12" s="4"/>
      <c r="G12" s="4"/>
      <c r="H12" s="4"/>
      <c r="I12" s="4"/>
      <c r="J12" s="4"/>
      <c r="K12" s="4"/>
      <c r="L12" s="4"/>
      <c r="M12" s="4"/>
      <c r="N12" s="4"/>
      <c r="O12" s="39"/>
      <c r="P12" s="4"/>
    </row>
    <row r="13" spans="1:16" x14ac:dyDescent="0.25">
      <c r="A13" s="7">
        <v>6</v>
      </c>
      <c r="B13" s="29">
        <v>752</v>
      </c>
      <c r="C13" s="30" t="s">
        <v>757</v>
      </c>
      <c r="D13" s="28" t="s">
        <v>758</v>
      </c>
      <c r="E13" s="7" t="s">
        <v>749</v>
      </c>
      <c r="F13" s="4"/>
      <c r="G13" s="4"/>
      <c r="H13" s="4"/>
      <c r="I13" s="4"/>
      <c r="J13" s="4"/>
      <c r="K13" s="4"/>
      <c r="L13" s="4"/>
      <c r="M13" s="4"/>
      <c r="N13" s="4"/>
      <c r="O13" s="39"/>
      <c r="P13" s="4"/>
    </row>
    <row r="14" spans="1:16" x14ac:dyDescent="0.25">
      <c r="A14" s="7">
        <v>7</v>
      </c>
      <c r="B14" s="29">
        <v>893</v>
      </c>
      <c r="C14" s="30" t="s">
        <v>232</v>
      </c>
      <c r="D14" s="28" t="s">
        <v>759</v>
      </c>
      <c r="E14" s="7" t="s">
        <v>749</v>
      </c>
      <c r="F14" s="4"/>
      <c r="G14" s="4"/>
      <c r="H14" s="4"/>
      <c r="I14" s="4"/>
      <c r="J14" s="4"/>
      <c r="K14" s="4"/>
      <c r="L14" s="4"/>
      <c r="M14" s="4"/>
      <c r="N14" s="4"/>
      <c r="O14" s="39"/>
      <c r="P14" s="4"/>
    </row>
    <row r="15" spans="1:16" x14ac:dyDescent="0.25">
      <c r="A15" s="7">
        <v>8</v>
      </c>
      <c r="B15" s="26">
        <v>897</v>
      </c>
      <c r="C15" s="30" t="s">
        <v>606</v>
      </c>
      <c r="D15" s="28" t="s">
        <v>760</v>
      </c>
      <c r="E15" s="7" t="s">
        <v>749</v>
      </c>
      <c r="F15" s="17"/>
      <c r="G15" s="17"/>
      <c r="H15" s="17"/>
      <c r="I15" s="17"/>
      <c r="J15" s="17"/>
      <c r="K15" s="17"/>
      <c r="L15" s="17"/>
      <c r="M15" s="4"/>
      <c r="N15" s="4"/>
      <c r="O15" s="39"/>
      <c r="P15" s="4"/>
    </row>
    <row r="16" spans="1:16" x14ac:dyDescent="0.25">
      <c r="A16" s="7">
        <v>9</v>
      </c>
      <c r="B16" s="29">
        <v>751</v>
      </c>
      <c r="C16" s="30" t="s">
        <v>761</v>
      </c>
      <c r="D16" s="28" t="s">
        <v>112</v>
      </c>
      <c r="E16" s="7" t="s">
        <v>749</v>
      </c>
      <c r="F16" s="4"/>
      <c r="G16" s="4"/>
      <c r="H16" s="4"/>
      <c r="I16" s="4"/>
      <c r="J16" s="4"/>
      <c r="K16" s="4"/>
      <c r="L16" s="4"/>
      <c r="M16" s="4"/>
      <c r="N16" s="4"/>
      <c r="O16" s="39"/>
      <c r="P16" s="4"/>
    </row>
    <row r="17" spans="1:16" x14ac:dyDescent="0.25">
      <c r="A17" s="7">
        <v>10</v>
      </c>
      <c r="B17" s="29">
        <v>901</v>
      </c>
      <c r="C17" s="30" t="s">
        <v>762</v>
      </c>
      <c r="D17" s="28" t="s">
        <v>751</v>
      </c>
      <c r="E17" s="7" t="s">
        <v>749</v>
      </c>
      <c r="F17" s="4"/>
      <c r="G17" s="4"/>
      <c r="H17" s="4"/>
      <c r="I17" s="4"/>
      <c r="J17" s="4"/>
      <c r="K17" s="4"/>
      <c r="L17" s="4"/>
      <c r="M17" s="4"/>
      <c r="N17" s="4"/>
      <c r="O17" s="39"/>
      <c r="P17" s="4"/>
    </row>
    <row r="18" spans="1:16" x14ac:dyDescent="0.25">
      <c r="A18" s="7">
        <v>11</v>
      </c>
      <c r="B18" s="29">
        <v>763</v>
      </c>
      <c r="C18" s="30" t="s">
        <v>763</v>
      </c>
      <c r="D18" s="28" t="s">
        <v>764</v>
      </c>
      <c r="E18" s="7" t="s">
        <v>749</v>
      </c>
      <c r="F18" s="4"/>
      <c r="G18" s="4"/>
      <c r="H18" s="4"/>
      <c r="I18" s="4"/>
      <c r="J18" s="4"/>
      <c r="K18" s="4"/>
      <c r="L18" s="4"/>
      <c r="M18" s="4"/>
      <c r="N18" s="4"/>
      <c r="O18" s="39"/>
      <c r="P18" s="4"/>
    </row>
    <row r="19" spans="1:16" x14ac:dyDescent="0.25">
      <c r="A19" s="7">
        <v>12</v>
      </c>
      <c r="B19" s="29">
        <v>749</v>
      </c>
      <c r="C19" s="30" t="s">
        <v>765</v>
      </c>
      <c r="D19" s="28" t="s">
        <v>421</v>
      </c>
      <c r="E19" s="7" t="s">
        <v>749</v>
      </c>
      <c r="F19" s="4"/>
      <c r="G19" s="4"/>
      <c r="H19" s="4"/>
      <c r="I19" s="4"/>
      <c r="J19" s="4"/>
      <c r="K19" s="4"/>
      <c r="L19" s="4"/>
      <c r="M19" s="4"/>
      <c r="N19" s="4"/>
      <c r="O19" s="39"/>
      <c r="P19" s="4"/>
    </row>
    <row r="20" spans="1:16" x14ac:dyDescent="0.25">
      <c r="A20" s="7">
        <v>13</v>
      </c>
      <c r="B20" s="29">
        <v>890</v>
      </c>
      <c r="C20" s="30" t="s">
        <v>148</v>
      </c>
      <c r="D20" s="28" t="s">
        <v>766</v>
      </c>
      <c r="E20" s="7" t="s">
        <v>749</v>
      </c>
      <c r="F20" s="4"/>
      <c r="G20" s="4"/>
      <c r="H20" s="4"/>
      <c r="I20" s="4"/>
      <c r="J20" s="4"/>
      <c r="K20" s="4"/>
      <c r="L20" s="4"/>
      <c r="M20" s="4"/>
      <c r="N20" s="4"/>
      <c r="O20" s="39"/>
      <c r="P20" s="4"/>
    </row>
    <row r="21" spans="1:16" x14ac:dyDescent="0.25">
      <c r="A21" s="7">
        <v>14</v>
      </c>
      <c r="B21" s="29">
        <v>889</v>
      </c>
      <c r="C21" s="30" t="s">
        <v>767</v>
      </c>
      <c r="D21" s="28" t="s">
        <v>455</v>
      </c>
      <c r="E21" s="7" t="s">
        <v>749</v>
      </c>
      <c r="F21" s="4"/>
      <c r="G21" s="4"/>
      <c r="H21" s="4"/>
      <c r="I21" s="4"/>
      <c r="J21" s="4"/>
      <c r="K21" s="4"/>
      <c r="L21" s="4"/>
      <c r="M21" s="4"/>
      <c r="N21" s="4"/>
      <c r="O21" s="39"/>
      <c r="P21" s="4"/>
    </row>
    <row r="22" spans="1:16" x14ac:dyDescent="0.25">
      <c r="A22" s="7">
        <v>15</v>
      </c>
      <c r="B22" s="29">
        <v>898</v>
      </c>
      <c r="C22" s="30" t="s">
        <v>768</v>
      </c>
      <c r="D22" s="28" t="s">
        <v>46</v>
      </c>
      <c r="E22" s="7" t="s">
        <v>749</v>
      </c>
      <c r="F22" s="4"/>
      <c r="G22" s="4"/>
      <c r="H22" s="4"/>
      <c r="I22" s="4"/>
      <c r="J22" s="4"/>
      <c r="K22" s="4"/>
      <c r="L22" s="4"/>
      <c r="M22" s="4"/>
      <c r="N22" s="4"/>
      <c r="O22" s="39"/>
      <c r="P22" s="4"/>
    </row>
    <row r="23" spans="1:16" x14ac:dyDescent="0.25">
      <c r="A23" s="7">
        <v>16</v>
      </c>
      <c r="B23" s="29">
        <v>899</v>
      </c>
      <c r="C23" s="30" t="s">
        <v>437</v>
      </c>
      <c r="D23" s="28" t="s">
        <v>474</v>
      </c>
      <c r="E23" s="7" t="s">
        <v>749</v>
      </c>
      <c r="F23" s="4"/>
      <c r="G23" s="4"/>
      <c r="H23" s="4"/>
      <c r="I23" s="4"/>
      <c r="J23" s="4"/>
      <c r="K23" s="4"/>
      <c r="L23" s="4"/>
      <c r="M23" s="4"/>
      <c r="N23" s="4"/>
      <c r="O23" s="39"/>
      <c r="P23" s="4"/>
    </row>
    <row r="24" spans="1:16" x14ac:dyDescent="0.25">
      <c r="A24" s="7">
        <v>17</v>
      </c>
      <c r="B24" s="29">
        <v>900</v>
      </c>
      <c r="C24" s="30" t="s">
        <v>769</v>
      </c>
      <c r="D24" s="28" t="s">
        <v>361</v>
      </c>
      <c r="E24" s="7" t="s">
        <v>749</v>
      </c>
      <c r="F24" s="4"/>
      <c r="G24" s="4"/>
      <c r="H24" s="4"/>
      <c r="I24" s="4"/>
      <c r="J24" s="4"/>
      <c r="K24" s="4"/>
      <c r="L24" s="4"/>
      <c r="M24" s="4"/>
      <c r="N24" s="4"/>
      <c r="O24" s="39"/>
      <c r="P24" s="4"/>
    </row>
    <row r="25" spans="1:16" x14ac:dyDescent="0.25">
      <c r="A25" s="7">
        <v>18</v>
      </c>
      <c r="B25" s="29">
        <v>756</v>
      </c>
      <c r="C25" s="30" t="s">
        <v>246</v>
      </c>
      <c r="D25" s="28" t="s">
        <v>770</v>
      </c>
      <c r="E25" s="7" t="s">
        <v>749</v>
      </c>
      <c r="F25" s="4"/>
      <c r="G25" s="4"/>
      <c r="H25" s="4"/>
      <c r="I25" s="4"/>
      <c r="J25" s="4"/>
      <c r="K25" s="4"/>
      <c r="L25" s="4"/>
      <c r="M25" s="4"/>
      <c r="N25" s="4"/>
      <c r="O25" s="39"/>
      <c r="P25" s="4"/>
    </row>
    <row r="26" spans="1:16" ht="21" x14ac:dyDescent="0.35">
      <c r="A26" s="125" t="s">
        <v>165</v>
      </c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</row>
    <row r="27" spans="1:16" x14ac:dyDescent="0.25">
      <c r="A27" s="7">
        <v>30</v>
      </c>
      <c r="B27" s="29">
        <v>750</v>
      </c>
      <c r="C27" s="30" t="s">
        <v>771</v>
      </c>
      <c r="D27" s="28" t="s">
        <v>772</v>
      </c>
      <c r="E27" s="7" t="s">
        <v>749</v>
      </c>
      <c r="F27" s="4"/>
      <c r="G27" s="4"/>
      <c r="H27" s="4"/>
      <c r="I27" s="4"/>
      <c r="J27" s="4"/>
      <c r="K27" s="4"/>
      <c r="L27" s="4"/>
      <c r="M27" s="4"/>
      <c r="N27" s="4"/>
      <c r="O27" s="39"/>
      <c r="P27" s="4"/>
    </row>
    <row r="28" spans="1:16" x14ac:dyDescent="0.25">
      <c r="A28" s="7">
        <v>31</v>
      </c>
      <c r="B28" s="29">
        <v>867</v>
      </c>
      <c r="C28" s="30" t="s">
        <v>773</v>
      </c>
      <c r="D28" s="28" t="s">
        <v>774</v>
      </c>
      <c r="E28" s="7" t="s">
        <v>749</v>
      </c>
      <c r="F28" s="4"/>
      <c r="G28" s="4"/>
      <c r="H28" s="4"/>
      <c r="I28" s="4"/>
      <c r="J28" s="4"/>
      <c r="K28" s="4"/>
      <c r="L28" s="4"/>
      <c r="M28" s="4"/>
      <c r="N28" s="4"/>
      <c r="O28" s="39"/>
      <c r="P28" s="4"/>
    </row>
    <row r="29" spans="1:16" x14ac:dyDescent="0.25">
      <c r="A29" s="7">
        <v>32</v>
      </c>
      <c r="B29" s="29">
        <v>754</v>
      </c>
      <c r="C29" s="30" t="s">
        <v>775</v>
      </c>
      <c r="D29" s="28" t="s">
        <v>776</v>
      </c>
      <c r="E29" s="7" t="s">
        <v>749</v>
      </c>
      <c r="F29" s="4"/>
      <c r="G29" s="4"/>
      <c r="H29" s="4"/>
      <c r="I29" s="4"/>
      <c r="J29" s="4"/>
      <c r="K29" s="4"/>
      <c r="L29" s="4"/>
      <c r="M29" s="4"/>
      <c r="N29" s="4"/>
      <c r="O29" s="39"/>
      <c r="P29" s="4"/>
    </row>
    <row r="30" spans="1:16" x14ac:dyDescent="0.25">
      <c r="A30" s="7">
        <v>33</v>
      </c>
      <c r="B30" s="29">
        <v>878</v>
      </c>
      <c r="C30" s="30" t="s">
        <v>777</v>
      </c>
      <c r="D30" s="28" t="s">
        <v>764</v>
      </c>
      <c r="E30" s="7" t="s">
        <v>749</v>
      </c>
      <c r="F30" s="4"/>
      <c r="G30" s="4"/>
      <c r="H30" s="4"/>
      <c r="I30" s="4"/>
      <c r="J30" s="4"/>
      <c r="K30" s="4"/>
      <c r="L30" s="4"/>
      <c r="M30" s="4"/>
      <c r="N30" s="4"/>
      <c r="O30" s="39"/>
      <c r="P30" s="4"/>
    </row>
    <row r="31" spans="1:16" x14ac:dyDescent="0.25">
      <c r="A31" s="7">
        <v>34</v>
      </c>
      <c r="B31" s="29">
        <v>847</v>
      </c>
      <c r="C31" s="30" t="s">
        <v>778</v>
      </c>
      <c r="D31" s="28" t="s">
        <v>779</v>
      </c>
      <c r="E31" s="7" t="s">
        <v>749</v>
      </c>
      <c r="F31" s="4"/>
      <c r="G31" s="4"/>
      <c r="H31" s="4"/>
      <c r="I31" s="4"/>
      <c r="J31" s="4"/>
      <c r="K31" s="4"/>
      <c r="L31" s="4"/>
      <c r="M31" s="4"/>
      <c r="N31" s="4"/>
      <c r="O31" s="39"/>
      <c r="P31" s="4"/>
    </row>
    <row r="32" spans="1:16" x14ac:dyDescent="0.25">
      <c r="A32" s="7">
        <v>35</v>
      </c>
      <c r="B32" s="29">
        <v>895</v>
      </c>
      <c r="C32" s="30" t="s">
        <v>780</v>
      </c>
      <c r="D32" s="28" t="s">
        <v>781</v>
      </c>
      <c r="E32" s="7" t="s">
        <v>749</v>
      </c>
      <c r="F32" s="4"/>
      <c r="G32" s="4"/>
      <c r="H32" s="4"/>
      <c r="I32" s="4"/>
      <c r="J32" s="4"/>
      <c r="K32" s="4"/>
      <c r="L32" s="4"/>
      <c r="M32" s="4"/>
      <c r="N32" s="4"/>
      <c r="O32" s="39"/>
      <c r="P32" s="4"/>
    </row>
    <row r="33" spans="1:16" x14ac:dyDescent="0.25">
      <c r="A33" s="7">
        <v>36</v>
      </c>
      <c r="B33" s="29">
        <v>747</v>
      </c>
      <c r="C33" s="30" t="s">
        <v>602</v>
      </c>
      <c r="D33" s="28" t="s">
        <v>658</v>
      </c>
      <c r="E33" s="7" t="s">
        <v>749</v>
      </c>
      <c r="F33" s="4"/>
      <c r="G33" s="4"/>
      <c r="H33" s="4"/>
      <c r="I33" s="4"/>
      <c r="J33" s="4"/>
      <c r="K33" s="4"/>
      <c r="L33" s="4"/>
      <c r="M33" s="4"/>
      <c r="N33" s="4"/>
      <c r="O33" s="39"/>
      <c r="P33" s="4"/>
    </row>
    <row r="34" spans="1:16" x14ac:dyDescent="0.25">
      <c r="A34" s="7">
        <v>37</v>
      </c>
      <c r="B34" s="29">
        <v>851</v>
      </c>
      <c r="C34" s="30" t="s">
        <v>782</v>
      </c>
      <c r="D34" s="28" t="s">
        <v>783</v>
      </c>
      <c r="E34" s="7" t="s">
        <v>749</v>
      </c>
      <c r="F34" s="4"/>
      <c r="G34" s="4"/>
      <c r="H34" s="4"/>
      <c r="I34" s="4"/>
      <c r="J34" s="4"/>
      <c r="K34" s="4"/>
      <c r="L34" s="4"/>
      <c r="M34" s="4"/>
      <c r="N34" s="4"/>
      <c r="O34" s="39"/>
      <c r="P34" s="4"/>
    </row>
    <row r="35" spans="1:16" x14ac:dyDescent="0.25">
      <c r="A35" s="7">
        <v>38</v>
      </c>
      <c r="B35" s="29">
        <v>882</v>
      </c>
      <c r="C35" s="30" t="s">
        <v>784</v>
      </c>
      <c r="D35" s="28" t="s">
        <v>661</v>
      </c>
      <c r="E35" s="7" t="s">
        <v>749</v>
      </c>
      <c r="F35" s="4"/>
      <c r="G35" s="4"/>
      <c r="H35" s="4"/>
      <c r="I35" s="4"/>
      <c r="J35" s="4"/>
      <c r="K35" s="4"/>
      <c r="L35" s="4"/>
      <c r="M35" s="4"/>
      <c r="N35" s="4"/>
      <c r="O35" s="39"/>
      <c r="P35" s="4"/>
    </row>
    <row r="36" spans="1:16" x14ac:dyDescent="0.25">
      <c r="A36" s="7">
        <v>39</v>
      </c>
      <c r="B36" s="29">
        <v>877</v>
      </c>
      <c r="C36" s="30" t="s">
        <v>785</v>
      </c>
      <c r="D36" s="28" t="s">
        <v>753</v>
      </c>
      <c r="E36" s="7" t="s">
        <v>749</v>
      </c>
      <c r="F36" s="4"/>
      <c r="G36" s="4"/>
      <c r="H36" s="4"/>
      <c r="I36" s="4"/>
      <c r="J36" s="4"/>
      <c r="K36" s="4"/>
      <c r="L36" s="4"/>
      <c r="M36" s="4"/>
      <c r="N36" s="4"/>
      <c r="O36" s="39"/>
      <c r="P36" s="4"/>
    </row>
    <row r="37" spans="1:16" x14ac:dyDescent="0.25">
      <c r="A37" s="7">
        <v>40</v>
      </c>
      <c r="B37" s="29">
        <v>881</v>
      </c>
      <c r="C37" s="30" t="s">
        <v>786</v>
      </c>
      <c r="D37" s="28" t="s">
        <v>787</v>
      </c>
      <c r="E37" s="7" t="s">
        <v>749</v>
      </c>
      <c r="F37" s="4"/>
      <c r="G37" s="4"/>
      <c r="H37" s="4"/>
      <c r="I37" s="4"/>
      <c r="J37" s="4"/>
      <c r="K37" s="4"/>
      <c r="L37" s="4"/>
      <c r="M37" s="4"/>
      <c r="N37" s="4"/>
      <c r="O37" s="39"/>
      <c r="P37" s="4"/>
    </row>
    <row r="38" spans="1:16" x14ac:dyDescent="0.25">
      <c r="A38" s="7">
        <v>41</v>
      </c>
      <c r="B38" s="29">
        <v>891</v>
      </c>
      <c r="C38" s="30" t="s">
        <v>788</v>
      </c>
      <c r="D38" s="28" t="s">
        <v>789</v>
      </c>
      <c r="E38" s="7" t="s">
        <v>749</v>
      </c>
      <c r="F38" s="4"/>
      <c r="G38" s="4"/>
      <c r="H38" s="4"/>
      <c r="I38" s="4"/>
      <c r="J38" s="4"/>
      <c r="K38" s="4"/>
      <c r="L38" s="4"/>
      <c r="M38" s="4"/>
      <c r="N38" s="4"/>
      <c r="O38" s="39"/>
      <c r="P38" s="4"/>
    </row>
    <row r="39" spans="1:16" x14ac:dyDescent="0.25">
      <c r="A39" s="7">
        <v>42</v>
      </c>
      <c r="B39" s="29">
        <v>896</v>
      </c>
      <c r="C39" s="30" t="s">
        <v>790</v>
      </c>
      <c r="D39" s="28" t="s">
        <v>46</v>
      </c>
      <c r="E39" s="7" t="s">
        <v>749</v>
      </c>
      <c r="F39" s="17"/>
      <c r="G39" s="17"/>
      <c r="H39" s="17"/>
      <c r="I39" s="17"/>
      <c r="J39" s="17"/>
      <c r="K39" s="17"/>
      <c r="L39" s="17"/>
      <c r="M39" s="4"/>
      <c r="N39" s="4"/>
      <c r="O39" s="39"/>
      <c r="P39" s="4"/>
    </row>
    <row r="40" spans="1:16" x14ac:dyDescent="0.25">
      <c r="A40" s="7">
        <v>43</v>
      </c>
      <c r="B40" s="29">
        <v>765</v>
      </c>
      <c r="C40" s="30" t="s">
        <v>205</v>
      </c>
      <c r="D40" s="28" t="s">
        <v>389</v>
      </c>
      <c r="E40" s="7" t="s">
        <v>749</v>
      </c>
      <c r="F40" s="9"/>
      <c r="G40" s="9"/>
      <c r="H40" s="9"/>
      <c r="I40" s="9"/>
      <c r="J40" s="9"/>
      <c r="K40" s="9"/>
      <c r="L40" s="9"/>
      <c r="M40" s="4"/>
      <c r="N40" s="4"/>
      <c r="O40" s="39"/>
      <c r="P40" s="4"/>
    </row>
    <row r="41" spans="1:16" x14ac:dyDescent="0.25">
      <c r="A41" s="7">
        <v>44</v>
      </c>
      <c r="B41" s="29">
        <v>894</v>
      </c>
      <c r="C41" s="30" t="s">
        <v>48</v>
      </c>
      <c r="D41" s="28" t="s">
        <v>791</v>
      </c>
      <c r="E41" s="7" t="s">
        <v>749</v>
      </c>
      <c r="F41" s="9"/>
      <c r="G41" s="9"/>
      <c r="H41" s="9"/>
      <c r="I41" s="9"/>
      <c r="J41" s="9"/>
      <c r="K41" s="9"/>
      <c r="L41" s="9"/>
      <c r="M41" s="4"/>
      <c r="N41" s="4"/>
      <c r="O41" s="39"/>
      <c r="P41" s="4"/>
    </row>
    <row r="42" spans="1:16" x14ac:dyDescent="0.25">
      <c r="A42" s="7">
        <v>45</v>
      </c>
      <c r="B42" s="29">
        <v>859</v>
      </c>
      <c r="C42" s="30" t="s">
        <v>792</v>
      </c>
      <c r="D42" s="28" t="s">
        <v>793</v>
      </c>
      <c r="E42" s="7" t="s">
        <v>749</v>
      </c>
      <c r="F42" s="9"/>
      <c r="G42" s="9"/>
      <c r="H42" s="9"/>
      <c r="I42" s="9"/>
      <c r="J42" s="9"/>
      <c r="K42" s="9"/>
      <c r="L42" s="9"/>
      <c r="M42" s="4"/>
      <c r="N42" s="4"/>
      <c r="O42" s="39"/>
      <c r="P42" s="4"/>
    </row>
  </sheetData>
  <mergeCells count="15">
    <mergeCell ref="A7:P7"/>
    <mergeCell ref="A26:P26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ECE (ROSE)</vt:lpstr>
      <vt:lpstr>Sheet1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2025-04-11T06:58:12Z</cp:lastPrinted>
  <dcterms:created xsi:type="dcterms:W3CDTF">2024-11-06T06:16:13Z</dcterms:created>
  <dcterms:modified xsi:type="dcterms:W3CDTF">2025-04-11T06:58:52Z</dcterms:modified>
</cp:coreProperties>
</file>