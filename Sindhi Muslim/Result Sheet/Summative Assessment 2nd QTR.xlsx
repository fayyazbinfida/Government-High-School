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Result Sheet\"/>
    </mc:Choice>
  </mc:AlternateContent>
  <xr:revisionPtr revIDLastSave="0" documentId="13_ncr:1_{63D9D549-F6AB-4580-94A8-67F6DFB90428}" xr6:coauthVersionLast="47" xr6:coauthVersionMax="47" xr10:uidLastSave="{00000000-0000-0000-0000-000000000000}"/>
  <bookViews>
    <workbookView xWindow="30" yWindow="30" windowWidth="20460" windowHeight="10890" xr2:uid="{A3810461-FCAA-4427-95C3-213E25AAD5DA}"/>
  </bookViews>
  <sheets>
    <sheet name="ECE (ROSE)" sheetId="1" r:id="rId1"/>
    <sheet name="ECE (Daffodil)" sheetId="4" r:id="rId2"/>
    <sheet name="1st" sheetId="5" r:id="rId3"/>
    <sheet name="2nd" sheetId="6" r:id="rId4"/>
    <sheet name="3rd" sheetId="7" r:id="rId5"/>
    <sheet name="6th" sheetId="3" r:id="rId6"/>
    <sheet name="7th" sheetId="8" r:id="rId7"/>
    <sheet name="8th" sheetId="9" r:id="rId8"/>
    <sheet name="9th" sheetId="2" r:id="rId9"/>
  </sheets>
  <definedNames>
    <definedName name="_xlnm.Print_Titles" localSheetId="1">'ECE (Daffodil)'!#REF!</definedName>
    <definedName name="_xlnm.Print_Titles" localSheetId="0">'ECE (ROSE)'!$1:$5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2" i="5" l="1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41" i="5"/>
  <c r="M41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8" i="5"/>
  <c r="M8" i="5" s="1"/>
  <c r="K6" i="5"/>
  <c r="P35" i="4"/>
  <c r="Q35" i="4" s="1"/>
  <c r="P36" i="4"/>
  <c r="Q36" i="4" s="1"/>
  <c r="P37" i="4"/>
  <c r="Q37" i="4" s="1"/>
  <c r="P38" i="4"/>
  <c r="Q38" i="4" s="1"/>
  <c r="P39" i="4"/>
  <c r="Q39" i="4" s="1"/>
  <c r="P40" i="4"/>
  <c r="Q40" i="4" s="1"/>
  <c r="P41" i="4"/>
  <c r="Q41" i="4" s="1"/>
  <c r="P42" i="4"/>
  <c r="Q42" i="4" s="1"/>
  <c r="P43" i="4"/>
  <c r="Q43" i="4" s="1"/>
  <c r="P44" i="4"/>
  <c r="Q44" i="4" s="1"/>
  <c r="P45" i="4"/>
  <c r="Q45" i="4" s="1"/>
  <c r="P46" i="4"/>
  <c r="Q46" i="4" s="1"/>
  <c r="P47" i="4"/>
  <c r="Q47" i="4" s="1"/>
  <c r="P48" i="4"/>
  <c r="Q48" i="4" s="1"/>
  <c r="P49" i="4"/>
  <c r="Q49" i="4" s="1"/>
  <c r="P50" i="4"/>
  <c r="Q50" i="4" s="1"/>
  <c r="P51" i="4"/>
  <c r="Q51" i="4" s="1"/>
  <c r="P52" i="4"/>
  <c r="Q52" i="4" s="1"/>
  <c r="P53" i="4"/>
  <c r="Q53" i="4" s="1"/>
  <c r="P54" i="4"/>
  <c r="Q54" i="4" s="1"/>
  <c r="P55" i="4"/>
  <c r="Q55" i="4" s="1"/>
  <c r="P56" i="4"/>
  <c r="Q56" i="4" s="1"/>
  <c r="P57" i="4"/>
  <c r="Q57" i="4" s="1"/>
  <c r="P58" i="4"/>
  <c r="Q58" i="4" s="1"/>
  <c r="P59" i="4"/>
  <c r="Q59" i="4" s="1"/>
  <c r="P60" i="4"/>
  <c r="Q60" i="4" s="1"/>
  <c r="P61" i="4"/>
  <c r="Q61" i="4" s="1"/>
  <c r="P62" i="4"/>
  <c r="Q62" i="4" s="1"/>
  <c r="P63" i="4"/>
  <c r="Q63" i="4" s="1"/>
  <c r="P64" i="4"/>
  <c r="Q64" i="4" s="1"/>
  <c r="P34" i="4"/>
  <c r="Q34" i="4" s="1"/>
  <c r="P32" i="4"/>
  <c r="Q32" i="4" s="1"/>
  <c r="P9" i="4"/>
  <c r="Q9" i="4" s="1"/>
  <c r="P10" i="4"/>
  <c r="Q10" i="4" s="1"/>
  <c r="P11" i="4"/>
  <c r="Q11" i="4" s="1"/>
  <c r="P12" i="4"/>
  <c r="Q12" i="4" s="1"/>
  <c r="P13" i="4"/>
  <c r="Q13" i="4" s="1"/>
  <c r="P14" i="4"/>
  <c r="Q14" i="4" s="1"/>
  <c r="P15" i="4"/>
  <c r="Q15" i="4" s="1"/>
  <c r="P16" i="4"/>
  <c r="Q16" i="4" s="1"/>
  <c r="P17" i="4"/>
  <c r="Q17" i="4" s="1"/>
  <c r="P18" i="4"/>
  <c r="Q18" i="4" s="1"/>
  <c r="P19" i="4"/>
  <c r="Q19" i="4" s="1"/>
  <c r="P20" i="4"/>
  <c r="Q20" i="4" s="1"/>
  <c r="P21" i="4"/>
  <c r="Q21" i="4" s="1"/>
  <c r="P22" i="4"/>
  <c r="Q22" i="4" s="1"/>
  <c r="P23" i="4"/>
  <c r="Q23" i="4" s="1"/>
  <c r="P24" i="4"/>
  <c r="Q24" i="4" s="1"/>
  <c r="P25" i="4"/>
  <c r="Q25" i="4" s="1"/>
  <c r="P26" i="4"/>
  <c r="Q26" i="4" s="1"/>
  <c r="P27" i="4"/>
  <c r="Q27" i="4" s="1"/>
  <c r="P28" i="4"/>
  <c r="Q28" i="4" s="1"/>
  <c r="P29" i="4"/>
  <c r="Q29" i="4" s="1"/>
  <c r="P30" i="4"/>
  <c r="Q30" i="4" s="1"/>
  <c r="P31" i="4"/>
  <c r="Q31" i="4" s="1"/>
  <c r="P8" i="4"/>
  <c r="Q8" i="4" s="1"/>
  <c r="J53" i="8"/>
  <c r="K53" i="8" s="1"/>
  <c r="J52" i="8"/>
  <c r="K52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36" i="8"/>
  <c r="K36" i="8" s="1"/>
  <c r="I29" i="9"/>
  <c r="J29" i="9" s="1"/>
  <c r="I28" i="9"/>
  <c r="J28" i="9" s="1"/>
  <c r="I27" i="9"/>
  <c r="J27" i="9" s="1"/>
  <c r="I26" i="9"/>
  <c r="J26" i="9" s="1"/>
  <c r="I25" i="9"/>
  <c r="J25" i="9" s="1"/>
  <c r="I24" i="9"/>
  <c r="J24" i="9" s="1"/>
  <c r="I23" i="9"/>
  <c r="J23" i="9" s="1"/>
  <c r="I22" i="9"/>
  <c r="J22" i="9" s="1"/>
  <c r="I21" i="9"/>
  <c r="J21" i="9" s="1"/>
  <c r="I20" i="9"/>
  <c r="J20" i="9" s="1"/>
  <c r="I19" i="9"/>
  <c r="J19" i="9" s="1"/>
  <c r="I18" i="9"/>
  <c r="J18" i="9" s="1"/>
  <c r="I17" i="9"/>
  <c r="J17" i="9" s="1"/>
  <c r="I16" i="9"/>
  <c r="J16" i="9" s="1"/>
  <c r="I15" i="9"/>
  <c r="J15" i="9" s="1"/>
  <c r="I14" i="9"/>
  <c r="J14" i="9" s="1"/>
  <c r="I13" i="9"/>
  <c r="J13" i="9" s="1"/>
  <c r="I12" i="9"/>
  <c r="J12" i="9" s="1"/>
  <c r="I11" i="9"/>
  <c r="J11" i="9" s="1"/>
  <c r="I10" i="9"/>
  <c r="J10" i="9" s="1"/>
  <c r="I9" i="9"/>
  <c r="J9" i="9" s="1"/>
  <c r="I8" i="9"/>
  <c r="J8" i="9" s="1"/>
  <c r="I7" i="9"/>
  <c r="J7" i="9" s="1"/>
  <c r="H6" i="9"/>
  <c r="J35" i="8"/>
  <c r="K35" i="8" s="1"/>
  <c r="J34" i="8"/>
  <c r="K34" i="8" s="1"/>
  <c r="J33" i="8"/>
  <c r="K33" i="8" s="1"/>
  <c r="J32" i="8"/>
  <c r="K32" i="8" s="1"/>
  <c r="J31" i="8"/>
  <c r="K31" i="8" s="1"/>
  <c r="J30" i="8"/>
  <c r="K30" i="8" s="1"/>
  <c r="J29" i="8"/>
  <c r="K29" i="8" s="1"/>
  <c r="J28" i="8"/>
  <c r="K28" i="8" s="1"/>
  <c r="J27" i="8"/>
  <c r="K27" i="8" s="1"/>
  <c r="J26" i="8"/>
  <c r="K26" i="8" s="1"/>
  <c r="J25" i="8"/>
  <c r="K25" i="8" s="1"/>
  <c r="J24" i="8"/>
  <c r="K24" i="8" s="1"/>
  <c r="J23" i="8"/>
  <c r="K23" i="8" s="1"/>
  <c r="J22" i="8"/>
  <c r="K22" i="8" s="1"/>
  <c r="J21" i="8"/>
  <c r="K21" i="8" s="1"/>
  <c r="J20" i="8"/>
  <c r="K20" i="8" s="1"/>
  <c r="J19" i="8"/>
  <c r="K19" i="8" s="1"/>
  <c r="J18" i="8"/>
  <c r="K18" i="8" s="1"/>
  <c r="J17" i="8"/>
  <c r="K17" i="8" s="1"/>
  <c r="J16" i="8"/>
  <c r="K16" i="8" s="1"/>
  <c r="J15" i="8"/>
  <c r="K15" i="8" s="1"/>
  <c r="J14" i="8"/>
  <c r="K14" i="8" s="1"/>
  <c r="J13" i="8"/>
  <c r="K13" i="8" s="1"/>
  <c r="J12" i="8"/>
  <c r="K12" i="8" s="1"/>
  <c r="J11" i="8"/>
  <c r="K11" i="8" s="1"/>
  <c r="J10" i="8"/>
  <c r="K10" i="8" s="1"/>
  <c r="J9" i="8"/>
  <c r="K9" i="8" s="1"/>
  <c r="J8" i="8"/>
  <c r="K8" i="8" s="1"/>
  <c r="J7" i="8"/>
  <c r="K7" i="8" s="1"/>
  <c r="I6" i="8"/>
  <c r="L43" i="3"/>
  <c r="K45" i="3"/>
  <c r="L45" i="3" s="1"/>
  <c r="K46" i="3"/>
  <c r="L46" i="3" s="1"/>
  <c r="K47" i="3"/>
  <c r="L47" i="3" s="1"/>
  <c r="K48" i="3"/>
  <c r="L48" i="3" s="1"/>
  <c r="K49" i="3"/>
  <c r="L49" i="3" s="1"/>
  <c r="K50" i="3"/>
  <c r="L50" i="3" s="1"/>
  <c r="K44" i="3"/>
  <c r="L44" i="3" s="1"/>
  <c r="K43" i="3"/>
  <c r="K42" i="3"/>
  <c r="L42" i="3" s="1"/>
  <c r="K41" i="3"/>
  <c r="L41" i="3" s="1"/>
  <c r="M39" i="7"/>
  <c r="N39" i="7" s="1"/>
  <c r="M40" i="7"/>
  <c r="N40" i="7" s="1"/>
  <c r="M41" i="7"/>
  <c r="N41" i="7" s="1"/>
  <c r="M42" i="7"/>
  <c r="N42" i="7" s="1"/>
  <c r="M43" i="7"/>
  <c r="N43" i="7" s="1"/>
  <c r="M44" i="7"/>
  <c r="N44" i="7" s="1"/>
  <c r="M45" i="7"/>
  <c r="N45" i="7" s="1"/>
  <c r="M46" i="7"/>
  <c r="N46" i="7" s="1"/>
  <c r="M47" i="7"/>
  <c r="N47" i="7" s="1"/>
  <c r="M48" i="7"/>
  <c r="N48" i="7" s="1"/>
  <c r="M49" i="7"/>
  <c r="N49" i="7" s="1"/>
  <c r="M50" i="7"/>
  <c r="N50" i="7" s="1"/>
  <c r="M51" i="7"/>
  <c r="N51" i="7" s="1"/>
  <c r="M52" i="7"/>
  <c r="N52" i="7" s="1"/>
  <c r="M53" i="7"/>
  <c r="N53" i="7" s="1"/>
  <c r="M54" i="7"/>
  <c r="N54" i="7" s="1"/>
  <c r="M55" i="7"/>
  <c r="N55" i="7" s="1"/>
  <c r="M56" i="7"/>
  <c r="N56" i="7" s="1"/>
  <c r="M57" i="7"/>
  <c r="N57" i="7" s="1"/>
  <c r="M58" i="7"/>
  <c r="N58" i="7" s="1"/>
  <c r="M59" i="7"/>
  <c r="N59" i="7" s="1"/>
  <c r="M60" i="7"/>
  <c r="N60" i="7" s="1"/>
  <c r="M61" i="7"/>
  <c r="N61" i="7" s="1"/>
  <c r="M62" i="7"/>
  <c r="N62" i="7" s="1"/>
  <c r="M38" i="7"/>
  <c r="N38" i="7" s="1"/>
  <c r="M9" i="7"/>
  <c r="N9" i="7" s="1"/>
  <c r="M10" i="7"/>
  <c r="N10" i="7" s="1"/>
  <c r="M11" i="7"/>
  <c r="N11" i="7" s="1"/>
  <c r="M12" i="7"/>
  <c r="N12" i="7" s="1"/>
  <c r="M13" i="7"/>
  <c r="N13" i="7" s="1"/>
  <c r="M14" i="7"/>
  <c r="N14" i="7" s="1"/>
  <c r="M15" i="7"/>
  <c r="N15" i="7" s="1"/>
  <c r="M16" i="7"/>
  <c r="N16" i="7" s="1"/>
  <c r="M17" i="7"/>
  <c r="N17" i="7" s="1"/>
  <c r="M18" i="7"/>
  <c r="N18" i="7" s="1"/>
  <c r="M19" i="7"/>
  <c r="N19" i="7" s="1"/>
  <c r="M20" i="7"/>
  <c r="N20" i="7" s="1"/>
  <c r="M21" i="7"/>
  <c r="N21" i="7" s="1"/>
  <c r="M22" i="7"/>
  <c r="N22" i="7" s="1"/>
  <c r="M23" i="7"/>
  <c r="N23" i="7" s="1"/>
  <c r="M24" i="7"/>
  <c r="N24" i="7" s="1"/>
  <c r="M25" i="7"/>
  <c r="N25" i="7" s="1"/>
  <c r="M26" i="7"/>
  <c r="N26" i="7" s="1"/>
  <c r="M27" i="7"/>
  <c r="N27" i="7" s="1"/>
  <c r="M28" i="7"/>
  <c r="N28" i="7" s="1"/>
  <c r="M29" i="7"/>
  <c r="N29" i="7" s="1"/>
  <c r="M30" i="7"/>
  <c r="N30" i="7" s="1"/>
  <c r="M31" i="7"/>
  <c r="N31" i="7" s="1"/>
  <c r="M32" i="7"/>
  <c r="N32" i="7" s="1"/>
  <c r="M33" i="7"/>
  <c r="N33" i="7" s="1"/>
  <c r="M34" i="7"/>
  <c r="N34" i="7" s="1"/>
  <c r="M35" i="7"/>
  <c r="N35" i="7" s="1"/>
  <c r="M36" i="7"/>
  <c r="N36" i="7" s="1"/>
  <c r="M8" i="7"/>
  <c r="N8" i="7" s="1"/>
  <c r="L36" i="6"/>
  <c r="M36" i="6" s="1"/>
  <c r="L37" i="6"/>
  <c r="M37" i="6" s="1"/>
  <c r="L38" i="6"/>
  <c r="M38" i="6" s="1"/>
  <c r="L39" i="6"/>
  <c r="M39" i="6" s="1"/>
  <c r="L40" i="6"/>
  <c r="M40" i="6" s="1"/>
  <c r="L41" i="6"/>
  <c r="M41" i="6" s="1"/>
  <c r="L42" i="6"/>
  <c r="M42" i="6" s="1"/>
  <c r="L43" i="6"/>
  <c r="M43" i="6" s="1"/>
  <c r="L44" i="6"/>
  <c r="M44" i="6" s="1"/>
  <c r="L45" i="6"/>
  <c r="M45" i="6" s="1"/>
  <c r="L46" i="6"/>
  <c r="M46" i="6" s="1"/>
  <c r="L47" i="6"/>
  <c r="M47" i="6" s="1"/>
  <c r="L48" i="6"/>
  <c r="M48" i="6" s="1"/>
  <c r="L49" i="6"/>
  <c r="M49" i="6" s="1"/>
  <c r="L50" i="6"/>
  <c r="M50" i="6" s="1"/>
  <c r="L51" i="6"/>
  <c r="M51" i="6" s="1"/>
  <c r="L52" i="6"/>
  <c r="M52" i="6" s="1"/>
  <c r="L53" i="6"/>
  <c r="M53" i="6" s="1"/>
  <c r="L54" i="6"/>
  <c r="M54" i="6" s="1"/>
  <c r="L55" i="6"/>
  <c r="M55" i="6" s="1"/>
  <c r="L56" i="6"/>
  <c r="M56" i="6" s="1"/>
  <c r="L57" i="6"/>
  <c r="M57" i="6" s="1"/>
  <c r="L58" i="6"/>
  <c r="M58" i="6" s="1"/>
  <c r="L59" i="6"/>
  <c r="M59" i="6" s="1"/>
  <c r="L60" i="6"/>
  <c r="M60" i="6" s="1"/>
  <c r="L35" i="6"/>
  <c r="M35" i="6" s="1"/>
  <c r="L9" i="6"/>
  <c r="M9" i="6" s="1"/>
  <c r="L10" i="6"/>
  <c r="M10" i="6" s="1"/>
  <c r="L11" i="6"/>
  <c r="M11" i="6" s="1"/>
  <c r="L12" i="6"/>
  <c r="M12" i="6" s="1"/>
  <c r="L13" i="6"/>
  <c r="M13" i="6" s="1"/>
  <c r="L14" i="6"/>
  <c r="M14" i="6" s="1"/>
  <c r="L15" i="6"/>
  <c r="M15" i="6" s="1"/>
  <c r="L16" i="6"/>
  <c r="M16" i="6" s="1"/>
  <c r="L17" i="6"/>
  <c r="M17" i="6" s="1"/>
  <c r="L18" i="6"/>
  <c r="M18" i="6" s="1"/>
  <c r="L19" i="6"/>
  <c r="M19" i="6" s="1"/>
  <c r="L20" i="6"/>
  <c r="M20" i="6" s="1"/>
  <c r="L21" i="6"/>
  <c r="M21" i="6" s="1"/>
  <c r="L22" i="6"/>
  <c r="M22" i="6" s="1"/>
  <c r="L23" i="6"/>
  <c r="M23" i="6" s="1"/>
  <c r="L24" i="6"/>
  <c r="M24" i="6" s="1"/>
  <c r="L25" i="6"/>
  <c r="M25" i="6" s="1"/>
  <c r="L26" i="6"/>
  <c r="M26" i="6" s="1"/>
  <c r="L27" i="6"/>
  <c r="M27" i="6" s="1"/>
  <c r="L28" i="6"/>
  <c r="M28" i="6" s="1"/>
  <c r="L29" i="6"/>
  <c r="M29" i="6" s="1"/>
  <c r="L30" i="6"/>
  <c r="M30" i="6" s="1"/>
  <c r="L31" i="6"/>
  <c r="M31" i="6" s="1"/>
  <c r="L32" i="6"/>
  <c r="M32" i="6" s="1"/>
  <c r="L33" i="6"/>
  <c r="M33" i="6" s="1"/>
  <c r="L8" i="6"/>
  <c r="M8" i="6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6" i="3"/>
  <c r="L26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K16" i="3"/>
  <c r="L16" i="3" s="1"/>
  <c r="K15" i="3"/>
  <c r="L15" i="3" s="1"/>
  <c r="K14" i="3"/>
  <c r="L14" i="3" s="1"/>
  <c r="K13" i="3"/>
  <c r="L13" i="3" s="1"/>
  <c r="K12" i="3"/>
  <c r="L12" i="3" s="1"/>
  <c r="K11" i="3"/>
  <c r="L11" i="3" s="1"/>
  <c r="K10" i="3"/>
  <c r="L10" i="3" s="1"/>
  <c r="K9" i="3"/>
  <c r="L9" i="3" s="1"/>
  <c r="K8" i="3"/>
  <c r="L8" i="3" s="1"/>
  <c r="K7" i="3"/>
  <c r="L7" i="3" s="1"/>
  <c r="J6" i="3"/>
  <c r="L40" i="2"/>
  <c r="M40" i="2" s="1"/>
  <c r="L39" i="2"/>
  <c r="M39" i="2" s="1"/>
  <c r="L38" i="2"/>
  <c r="M38" i="2" s="1"/>
  <c r="L37" i="2"/>
  <c r="M37" i="2" s="1"/>
  <c r="M36" i="2"/>
  <c r="L36" i="2"/>
  <c r="L35" i="2"/>
  <c r="M35" i="2" s="1"/>
  <c r="L34" i="2"/>
  <c r="M34" i="2" s="1"/>
  <c r="L33" i="2"/>
  <c r="M33" i="2" s="1"/>
  <c r="L32" i="2"/>
  <c r="M32" i="2" s="1"/>
  <c r="L31" i="2"/>
  <c r="M31" i="2" s="1"/>
  <c r="L30" i="2"/>
  <c r="M30" i="2" s="1"/>
  <c r="L29" i="2"/>
  <c r="M29" i="2" s="1"/>
  <c r="L28" i="2"/>
  <c r="M28" i="2" s="1"/>
  <c r="L27" i="2"/>
  <c r="M27" i="2" s="1"/>
  <c r="L26" i="2"/>
  <c r="M26" i="2" s="1"/>
  <c r="L25" i="2"/>
  <c r="M25" i="2" s="1"/>
  <c r="L24" i="2"/>
  <c r="M24" i="2" s="1"/>
  <c r="L23" i="2"/>
  <c r="M23" i="2" s="1"/>
  <c r="L22" i="2"/>
  <c r="M22" i="2" s="1"/>
  <c r="L21" i="2"/>
  <c r="M21" i="2" s="1"/>
  <c r="L20" i="2"/>
  <c r="M20" i="2" s="1"/>
  <c r="L19" i="2"/>
  <c r="M19" i="2" s="1"/>
  <c r="L18" i="2"/>
  <c r="M18" i="2" s="1"/>
  <c r="L17" i="2"/>
  <c r="M17" i="2" s="1"/>
  <c r="L16" i="2"/>
  <c r="M16" i="2" s="1"/>
  <c r="L15" i="2"/>
  <c r="M15" i="2" s="1"/>
  <c r="L14" i="2"/>
  <c r="M14" i="2" s="1"/>
  <c r="L13" i="2"/>
  <c r="M13" i="2" s="1"/>
  <c r="L12" i="2"/>
  <c r="M12" i="2" s="1"/>
  <c r="L11" i="2"/>
  <c r="M11" i="2" s="1"/>
  <c r="M10" i="2"/>
  <c r="L10" i="2"/>
  <c r="L9" i="2"/>
  <c r="M9" i="2" s="1"/>
  <c r="L8" i="2"/>
  <c r="M8" i="2" s="1"/>
  <c r="L7" i="2"/>
  <c r="M7" i="2" s="1"/>
  <c r="K6" i="2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7" i="1"/>
  <c r="P7" i="1" s="1"/>
</calcChain>
</file>

<file path=xl/sharedStrings.xml><?xml version="1.0" encoding="utf-8"?>
<sst xmlns="http://schemas.openxmlformats.org/spreadsheetml/2006/main" count="1554" uniqueCount="601">
  <si>
    <t>GOVERNMENT HIGH SCHOOL SINDHI JAMAAT CO-OPERATIVE HOUSING SOCIETY</t>
  </si>
  <si>
    <t>MALIR KARACHI SEMIS CODE# 408170153</t>
  </si>
  <si>
    <t>S No</t>
  </si>
  <si>
    <t>Class</t>
  </si>
  <si>
    <t>Student Name</t>
  </si>
  <si>
    <t>Father Name</t>
  </si>
  <si>
    <t>Subjects</t>
  </si>
  <si>
    <t>Nazra</t>
  </si>
  <si>
    <t>G.K</t>
  </si>
  <si>
    <t>English</t>
  </si>
  <si>
    <t>Urdu</t>
  </si>
  <si>
    <t>EPL</t>
  </si>
  <si>
    <t>Attendance</t>
  </si>
  <si>
    <t>Hygiene</t>
  </si>
  <si>
    <t>Total Marks</t>
  </si>
  <si>
    <t>Obtained Marks</t>
  </si>
  <si>
    <t>Percentage %</t>
  </si>
  <si>
    <t>Remarks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</si>
  <si>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</si>
  <si>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</si>
  <si>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</si>
  <si>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</si>
  <si>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</si>
  <si>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</si>
  <si>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</si>
  <si>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</si>
  <si>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</si>
  <si>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</si>
  <si>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</si>
  <si>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</si>
  <si>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</si>
  <si>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</si>
  <si>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</si>
  <si>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</si>
  <si>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</si>
  <si>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</si>
  <si>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</si>
  <si>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</si>
  <si>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</si>
  <si>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</si>
  <si>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</si>
  <si>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</si>
  <si>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</si>
  <si>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</si>
  <si>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</si>
  <si>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</si>
  <si>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</si>
  <si>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</si>
  <si>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</si>
  <si>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</si>
  <si>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</si>
  <si>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</si>
  <si>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</si>
  <si>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</si>
  <si>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</si>
  <si>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</si>
  <si>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</si>
  <si>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</si>
  <si>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</si>
  <si>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</si>
  <si>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</si>
  <si>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</si>
  <si>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</si>
  <si>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</si>
  <si>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</si>
  <si>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</si>
  <si>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</si>
  <si>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</si>
  <si>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</si>
  <si>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</si>
  <si>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</si>
  <si>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</si>
  <si>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</si>
  <si>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</si>
  <si>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</si>
  <si>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</si>
  <si>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Muhammad Hamza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</si>
  <si>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</si>
  <si>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</si>
  <si>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</si>
  <si>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</si>
  <si>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</si>
  <si>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</si>
  <si>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</si>
  <si>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</si>
  <si>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</si>
  <si>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</si>
  <si>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</si>
  <si>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</si>
  <si>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</si>
  <si>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</si>
  <si>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</si>
  <si>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</si>
  <si>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</si>
  <si>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</si>
  <si>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</si>
  <si>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</si>
  <si>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</si>
  <si>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Shahbaz Ali</t>
  </si>
  <si>
    <t>Muhammad Ibrahim</t>
  </si>
  <si>
    <t>Eshaal</t>
  </si>
  <si>
    <t>M. Fahad</t>
  </si>
  <si>
    <t>Rija Batool</t>
  </si>
  <si>
    <t>Ghulam Mehdi</t>
  </si>
  <si>
    <t>Musfiral</t>
  </si>
  <si>
    <t>Faisal</t>
  </si>
  <si>
    <t>Saifullah</t>
  </si>
  <si>
    <t>Farooq Ali</t>
  </si>
  <si>
    <t>Ali Usman</t>
  </si>
  <si>
    <t>Ali Sher</t>
  </si>
  <si>
    <t>Rajab Ali</t>
  </si>
  <si>
    <t>Abdullah</t>
  </si>
  <si>
    <t>Jameel Hussain</t>
  </si>
  <si>
    <t>Israr</t>
  </si>
  <si>
    <t>Zulfiqar Ali</t>
  </si>
  <si>
    <t>Zakria</t>
  </si>
  <si>
    <t>Anabia</t>
  </si>
  <si>
    <t>ECE (Rose)</t>
  </si>
  <si>
    <t>Poem</t>
  </si>
  <si>
    <t>Maths</t>
  </si>
  <si>
    <t>Masroor Ali</t>
  </si>
  <si>
    <t>Biology</t>
  </si>
  <si>
    <t>Physics</t>
  </si>
  <si>
    <t>Chemistry</t>
  </si>
  <si>
    <t>Islamiat</t>
  </si>
  <si>
    <t>Asim</t>
  </si>
  <si>
    <t>9th</t>
  </si>
  <si>
    <t>Haseeb Ullah</t>
  </si>
  <si>
    <t>Moiz</t>
  </si>
  <si>
    <t>Mudasir</t>
  </si>
  <si>
    <t>Taha</t>
  </si>
  <si>
    <t>Nawab</t>
  </si>
  <si>
    <t>Messum</t>
  </si>
  <si>
    <t>Manzar</t>
  </si>
  <si>
    <t>Nasrullah</t>
  </si>
  <si>
    <t>Saif Ur Rehman</t>
  </si>
  <si>
    <t>Shafique</t>
  </si>
  <si>
    <t>Mustaqeem</t>
  </si>
  <si>
    <t>Shaban</t>
  </si>
  <si>
    <t>Sufyan</t>
  </si>
  <si>
    <t>Shayan</t>
  </si>
  <si>
    <t>Khair Un Nisa</t>
  </si>
  <si>
    <t>Saima</t>
  </si>
  <si>
    <t>Frasha</t>
  </si>
  <si>
    <t>Haleema</t>
  </si>
  <si>
    <t>Maheen</t>
  </si>
  <si>
    <t>Qandeel</t>
  </si>
  <si>
    <t>-</t>
  </si>
  <si>
    <t>Zainab</t>
  </si>
  <si>
    <t>Asiya</t>
  </si>
  <si>
    <t>Tuba</t>
  </si>
  <si>
    <t>Afsheen</t>
  </si>
  <si>
    <t>Nosheen</t>
  </si>
  <si>
    <t>Salwa</t>
  </si>
  <si>
    <t>Madina</t>
  </si>
  <si>
    <t>Tayyaba</t>
  </si>
  <si>
    <t>Areesha</t>
  </si>
  <si>
    <t>Kashaf</t>
  </si>
  <si>
    <t>Sidra</t>
  </si>
  <si>
    <t>6th</t>
  </si>
  <si>
    <t>Amna</t>
  </si>
  <si>
    <t>Batool</t>
  </si>
  <si>
    <t>Fatima</t>
  </si>
  <si>
    <t>Faiza</t>
  </si>
  <si>
    <t>Iqra</t>
  </si>
  <si>
    <t>Kaneez</t>
  </si>
  <si>
    <t>Mahnoor</t>
  </si>
  <si>
    <t>Maryam Khan</t>
  </si>
  <si>
    <t>Maryam Soomro</t>
  </si>
  <si>
    <t>Naina</t>
  </si>
  <si>
    <t>Nida</t>
  </si>
  <si>
    <t>Noor e Muqaddas</t>
  </si>
  <si>
    <t>Rubina</t>
  </si>
  <si>
    <t>Sahar</t>
  </si>
  <si>
    <t>Sana</t>
  </si>
  <si>
    <t>Sawera</t>
  </si>
  <si>
    <t>Shabana</t>
  </si>
  <si>
    <t>Shaista</t>
  </si>
  <si>
    <t>Zehra</t>
  </si>
  <si>
    <t>Muskan</t>
  </si>
  <si>
    <t>Zara Bano</t>
  </si>
  <si>
    <t>Sindhi</t>
  </si>
  <si>
    <t>Girls</t>
  </si>
  <si>
    <t>Alishba Batool</t>
  </si>
  <si>
    <t>Irfan Ali</t>
  </si>
  <si>
    <t>ECE (Daffodil)</t>
  </si>
  <si>
    <t>Imtiaz Hussain</t>
  </si>
  <si>
    <t>Aniza Memon</t>
  </si>
  <si>
    <t>Areeba</t>
  </si>
  <si>
    <t>Altaf Hussain</t>
  </si>
  <si>
    <t>Amjad Ali</t>
  </si>
  <si>
    <t>Dua</t>
  </si>
  <si>
    <t>Khalid Hussain</t>
  </si>
  <si>
    <t>Liaqat Ali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</si>
  <si>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</si>
  <si>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</si>
  <si>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</si>
  <si>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</si>
  <si>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</si>
  <si>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</si>
  <si>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</si>
  <si>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</si>
  <si>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</si>
  <si>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</si>
  <si>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</si>
  <si>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</si>
  <si>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</si>
  <si>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</si>
  <si>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</si>
  <si>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M. Khan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</si>
  <si>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</si>
  <si>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</si>
  <si>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</si>
  <si>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</si>
  <si>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</si>
  <si>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</si>
  <si>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</si>
  <si>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</si>
  <si>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</si>
  <si>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</si>
  <si>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</si>
  <si>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</si>
  <si>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</si>
  <si>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</si>
  <si>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Boys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</si>
  <si>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</si>
  <si>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</si>
  <si>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</si>
  <si>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</si>
  <si>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</si>
  <si>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</si>
  <si>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</si>
  <si>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</si>
  <si>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</si>
  <si>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</si>
  <si>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</si>
  <si>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</si>
  <si>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</si>
  <si>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</si>
  <si>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</si>
  <si>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</si>
  <si>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</si>
  <si>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</si>
  <si>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</si>
  <si>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</si>
  <si>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</si>
  <si>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</si>
  <si>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</si>
  <si>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</si>
  <si>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</si>
  <si>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</si>
  <si>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</si>
  <si>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</si>
  <si>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</si>
  <si>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</si>
  <si>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</si>
  <si>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</si>
  <si>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</si>
  <si>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</si>
  <si>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</si>
  <si>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</si>
  <si>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</si>
  <si>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</si>
  <si>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</si>
  <si>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</si>
  <si>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</si>
  <si>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Shabir Ahmed</t>
  </si>
  <si>
    <t>Immadullah</t>
  </si>
  <si>
    <t>M Fahad</t>
  </si>
  <si>
    <t>Bilal Faheem</t>
  </si>
  <si>
    <t>M. Faheem</t>
  </si>
  <si>
    <t>Ab. Barri</t>
  </si>
  <si>
    <t>Hasnain Naeem</t>
  </si>
  <si>
    <t>Naeem Ahmed</t>
  </si>
  <si>
    <t>M. Ahad</t>
  </si>
  <si>
    <t>Aman Badshah</t>
  </si>
  <si>
    <t>Ab. Hadi</t>
  </si>
  <si>
    <t>Nazra + GK</t>
  </si>
  <si>
    <t>Math</t>
  </si>
  <si>
    <t>Drawing</t>
  </si>
  <si>
    <t>Grade</t>
  </si>
  <si>
    <t>Arsalan</t>
  </si>
  <si>
    <t>Zulfiqar</t>
  </si>
  <si>
    <t>One</t>
  </si>
  <si>
    <t>Faheem</t>
  </si>
  <si>
    <t>A. Nawaz</t>
  </si>
  <si>
    <t>M.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</si>
  <si>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</si>
  <si>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</si>
  <si>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</si>
  <si>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</si>
  <si>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</si>
  <si>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</si>
  <si>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</si>
  <si>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</si>
  <si>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</si>
  <si>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</si>
  <si>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</si>
  <si>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</si>
  <si>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</si>
  <si>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</si>
  <si>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</si>
  <si>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</si>
  <si>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</si>
  <si>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</si>
  <si>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</si>
  <si>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</si>
  <si>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</si>
  <si>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</si>
  <si>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Saeed Ahmed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</si>
  <si>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</si>
  <si>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</si>
  <si>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</si>
  <si>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</si>
  <si>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</si>
  <si>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</si>
  <si>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</si>
  <si>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</si>
  <si>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</si>
  <si>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</si>
  <si>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</si>
  <si>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</si>
  <si>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</si>
  <si>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</si>
  <si>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</si>
  <si>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</si>
  <si>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</si>
  <si>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</si>
  <si>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</si>
  <si>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</si>
  <si>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</si>
  <si>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</si>
  <si>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</si>
  <si>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</si>
  <si>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</si>
  <si>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</si>
  <si>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</si>
  <si>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Anum</t>
  </si>
  <si>
    <t>M. Arif</t>
  </si>
  <si>
    <t>Ayat</t>
  </si>
  <si>
    <t>Meer Mohammad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</si>
  <si>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</si>
  <si>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</si>
  <si>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</si>
  <si>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</si>
  <si>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</si>
  <si>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</si>
  <si>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</si>
  <si>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</si>
  <si>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</si>
  <si>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</si>
  <si>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</si>
  <si>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</si>
  <si>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</si>
  <si>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</si>
  <si>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</si>
  <si>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</si>
  <si>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</si>
  <si>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</si>
  <si>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</si>
  <si>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</si>
  <si>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</si>
  <si>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</si>
  <si>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</si>
  <si>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</si>
  <si>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</si>
  <si>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</si>
  <si>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</si>
  <si>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</si>
  <si>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A. Aziz</t>
  </si>
  <si>
    <t>Waniya</t>
  </si>
  <si>
    <t>Asad Ali</t>
  </si>
  <si>
    <t>Haram</t>
  </si>
  <si>
    <t>Moien Khan</t>
  </si>
  <si>
    <t>Ayesha</t>
  </si>
  <si>
    <t>A. Latif</t>
  </si>
  <si>
    <t>Abiha Zehra</t>
  </si>
  <si>
    <t>Abdul Mateen Sahito</t>
  </si>
  <si>
    <t>Two</t>
  </si>
  <si>
    <t>Aleena Zia</t>
  </si>
  <si>
    <t>Khuda Bux Zia</t>
  </si>
  <si>
    <t>Anamta Jamali</t>
  </si>
  <si>
    <t>Anosha</t>
  </si>
  <si>
    <t>Mukhtiyar Ali Soomro</t>
  </si>
  <si>
    <t>Ali Muhammad</t>
  </si>
  <si>
    <t>Jannat Fatima</t>
  </si>
  <si>
    <t>Zulfiqar Ali Mangi</t>
  </si>
  <si>
    <t>Muneeza</t>
  </si>
  <si>
    <t>Mir Amir Udin Mirzada</t>
  </si>
  <si>
    <t>Nayyara</t>
  </si>
  <si>
    <t>Rashida</t>
  </si>
  <si>
    <t>Sajjad Ahmed</t>
  </si>
  <si>
    <t>Rubab Zahra</t>
  </si>
  <si>
    <t>Abdul Aziz</t>
  </si>
  <si>
    <t>Sooha Jamali</t>
  </si>
  <si>
    <t>Sajid Ali</t>
  </si>
  <si>
    <t>Tahreem Fatima</t>
  </si>
  <si>
    <t>Sehar Fatima</t>
  </si>
  <si>
    <t>Taskeen</t>
  </si>
  <si>
    <t>Kashish</t>
  </si>
  <si>
    <t>M. Noman</t>
  </si>
  <si>
    <t>Saba</t>
  </si>
  <si>
    <t>Asif Ali</t>
  </si>
  <si>
    <t>Afsana</t>
  </si>
  <si>
    <t>Sehrish</t>
  </si>
  <si>
    <t>Fida Hussain</t>
  </si>
  <si>
    <t>Zulfiqar Ali Soomro</t>
  </si>
  <si>
    <t>Abdul Musawir</t>
  </si>
  <si>
    <t>M. Ismail</t>
  </si>
  <si>
    <t>Abdul Wahab</t>
  </si>
  <si>
    <t>Abdul Hafeez</t>
  </si>
  <si>
    <t>Riaz uddin Qureshi</t>
  </si>
  <si>
    <t>Ali Shanawar</t>
  </si>
  <si>
    <t>Mukhtiyar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</si>
  <si>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</si>
  <si>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</si>
  <si>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</si>
  <si>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</si>
  <si>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</si>
  <si>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</si>
  <si>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</si>
  <si>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</si>
  <si>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M. Arsalan</t>
  </si>
  <si>
    <t>Shahbaz Ahmed</t>
  </si>
  <si>
    <t>Mohammad Ali</t>
  </si>
  <si>
    <t>Mehar Ali</t>
  </si>
  <si>
    <t>Faiz Mohammad</t>
  </si>
  <si>
    <t>Mohammad Ayan</t>
  </si>
  <si>
    <t>Ahmed Nawaz</t>
  </si>
  <si>
    <t>Ali Nawaz</t>
  </si>
  <si>
    <t>Mohammad Rafay</t>
  </si>
  <si>
    <t>Mohammad Waseem</t>
  </si>
  <si>
    <t>Mohammad Azeem</t>
  </si>
  <si>
    <t>Mohammad Shayan</t>
  </si>
  <si>
    <t>Mohammad Shareef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</si>
  <si>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</si>
  <si>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</si>
  <si>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</si>
  <si>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</si>
  <si>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</si>
  <si>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</si>
  <si>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</si>
  <si>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</si>
  <si>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Burair Abbas</t>
  </si>
  <si>
    <t>Azhar Abbas</t>
  </si>
  <si>
    <t>A</t>
  </si>
  <si>
    <t>B</t>
  </si>
  <si>
    <t>Abdul Qudoos</t>
  </si>
  <si>
    <t>Waheed Ahmed</t>
  </si>
  <si>
    <t>Three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</si>
  <si>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</si>
  <si>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</si>
  <si>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</si>
  <si>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</si>
  <si>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</si>
  <si>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</si>
  <si>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</si>
  <si>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</si>
  <si>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Ali Ejaz</t>
  </si>
  <si>
    <t>Arbab Ali Panhwar</t>
  </si>
  <si>
    <t>Azan</t>
  </si>
  <si>
    <t>Nisar Ahmed</t>
  </si>
  <si>
    <t>Faizan Ahmed</t>
  </si>
  <si>
    <t>Riaz Ahmed</t>
  </si>
  <si>
    <t>Haider Ali</t>
  </si>
  <si>
    <t>Imran Ali</t>
  </si>
  <si>
    <t>M. Shayan</t>
  </si>
  <si>
    <t>Meer Alam</t>
  </si>
  <si>
    <t>M. Ahsan</t>
  </si>
  <si>
    <t>M. Arif Memon</t>
  </si>
  <si>
    <t>M. Yasin</t>
  </si>
  <si>
    <t>Shah Nawaz Khan</t>
  </si>
  <si>
    <t>M. Zawiyar</t>
  </si>
  <si>
    <t>Muneer Ahmed</t>
  </si>
  <si>
    <t>Ghous Bux</t>
  </si>
  <si>
    <t>Shah Fahad</t>
  </si>
  <si>
    <t>Saif Ali</t>
  </si>
  <si>
    <t>Shehbaz Ali</t>
  </si>
  <si>
    <t>Zain Zulfiqar</t>
  </si>
  <si>
    <t>Zulfiqar Qureshi</t>
  </si>
  <si>
    <t>Zeeshan</t>
  </si>
  <si>
    <t>Zeeshan Hussain</t>
  </si>
  <si>
    <t>M. Hussain</t>
  </si>
  <si>
    <t>Roohan</t>
  </si>
  <si>
    <t>Ishfaque</t>
  </si>
  <si>
    <t>Subhan</t>
  </si>
  <si>
    <t>Atteeque ur Rehman</t>
  </si>
  <si>
    <t>Raffique Ahmed</t>
  </si>
  <si>
    <t>Anjuman</t>
  </si>
  <si>
    <t>Ab. Ghaffar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</si>
  <si>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</si>
  <si>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</si>
  <si>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</si>
  <si>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</si>
  <si>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</si>
  <si>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</si>
  <si>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</si>
  <si>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</si>
  <si>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</si>
  <si>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</si>
  <si>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</si>
  <si>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</si>
  <si>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</si>
  <si>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</si>
  <si>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Sehrish Ali</t>
  </si>
  <si>
    <t>Shafia</t>
  </si>
  <si>
    <t>Mir Mohammad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</si>
  <si>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</si>
  <si>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</si>
  <si>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</si>
  <si>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</si>
  <si>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</si>
  <si>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</si>
  <si>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</si>
  <si>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</si>
  <si>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</si>
  <si>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</si>
  <si>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</si>
  <si>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</si>
  <si>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</si>
  <si>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</si>
  <si>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Alisha</t>
  </si>
  <si>
    <t>Ghulam Asghar</t>
  </si>
  <si>
    <t>Mubashira</t>
  </si>
  <si>
    <t>Ubaidullah</t>
  </si>
  <si>
    <t>Rafia</t>
  </si>
  <si>
    <t>Fahmida</t>
  </si>
  <si>
    <t>Maham</t>
  </si>
  <si>
    <t>Abdul Samad</t>
  </si>
  <si>
    <t>Abdul Wasay</t>
  </si>
  <si>
    <t>Abid Ali</t>
  </si>
  <si>
    <t>John Ali</t>
  </si>
  <si>
    <t>Muhammad Muzammil</t>
  </si>
  <si>
    <t>Muhammad Sameer</t>
  </si>
  <si>
    <t>Meer Majid</t>
  </si>
  <si>
    <t>Muhammad Tayyab</t>
  </si>
  <si>
    <t>Uzair Ahmed</t>
  </si>
  <si>
    <t>Muhammad Yaseen</t>
  </si>
  <si>
    <t>Wajid Ali</t>
  </si>
  <si>
    <t>Ayan Ali</t>
  </si>
  <si>
    <t>Science</t>
  </si>
  <si>
    <t>7th</t>
  </si>
  <si>
    <t>S.S.T</t>
  </si>
  <si>
    <t>Ali Khan</t>
  </si>
  <si>
    <t>Ameer Hamza</t>
  </si>
  <si>
    <t>Bismillah</t>
  </si>
  <si>
    <t>Daniyal</t>
  </si>
  <si>
    <t>Hamza Nisar</t>
  </si>
  <si>
    <t>Hasnain Yasir</t>
  </si>
  <si>
    <t>Hasnain Raza</t>
  </si>
  <si>
    <t>Hasnain Ali Soomro</t>
  </si>
  <si>
    <t>Hasnain G. Nabi</t>
  </si>
  <si>
    <t>Muhammad Hassan</t>
  </si>
  <si>
    <t>Muhammad Raza</t>
  </si>
  <si>
    <t>Muhammad Usman</t>
  </si>
  <si>
    <t>Muhammad Mairaj</t>
  </si>
  <si>
    <t>Muhammad Anwar</t>
  </si>
  <si>
    <t>Muhammad Mudasir</t>
  </si>
  <si>
    <t>Mubashir</t>
  </si>
  <si>
    <t>Muzamil</t>
  </si>
  <si>
    <t>Nisar Ali</t>
  </si>
  <si>
    <t>Rizwan Razique</t>
  </si>
  <si>
    <t>Rizwan Ali Arbab</t>
  </si>
  <si>
    <t>Sohail Ahmed</t>
  </si>
  <si>
    <t>Shahzed</t>
  </si>
  <si>
    <t>Safiullah</t>
  </si>
  <si>
    <t>Hassan Mumtaz</t>
  </si>
  <si>
    <t>Haseeb Hyder</t>
  </si>
  <si>
    <t>8th</t>
  </si>
  <si>
    <t>Seema Zulfiqar Ali</t>
  </si>
  <si>
    <t>Asma Akbar Ali</t>
  </si>
  <si>
    <t>Erum Zaheer</t>
  </si>
  <si>
    <t>Fatima Zahra</t>
  </si>
  <si>
    <t>Aiman Safdar Ali</t>
  </si>
  <si>
    <t>Tamanna Farooq</t>
  </si>
  <si>
    <t>Muneeza Ali</t>
  </si>
  <si>
    <t>Hira</t>
  </si>
  <si>
    <t>Sadaf</t>
  </si>
  <si>
    <t>Rimsha Khatoon</t>
  </si>
  <si>
    <t>Ayesha Agha</t>
  </si>
  <si>
    <t>Aiman Khan</t>
  </si>
  <si>
    <t>Sania</t>
  </si>
  <si>
    <t>Saira M. Salah</t>
  </si>
  <si>
    <t>Azra</t>
  </si>
  <si>
    <t>Bisma</t>
  </si>
  <si>
    <t>Iqra Faiz Muhammad</t>
  </si>
  <si>
    <t xml:space="preserve">Kanwal </t>
  </si>
  <si>
    <t>Murk</t>
  </si>
  <si>
    <t>Noshira</t>
  </si>
  <si>
    <t>Shadab Aziz</t>
  </si>
  <si>
    <t>Shaista Abdul Wahid</t>
  </si>
  <si>
    <t>Shaista Rani</t>
  </si>
  <si>
    <t>tasleem Rani</t>
  </si>
  <si>
    <t>Zarmeena</t>
  </si>
  <si>
    <t>Naghma Naz</t>
  </si>
  <si>
    <t>Aliya</t>
  </si>
  <si>
    <t>Dua Bahar</t>
  </si>
  <si>
    <t>Muskan Imran</t>
  </si>
  <si>
    <t>Sara</t>
  </si>
  <si>
    <t>Activity</t>
  </si>
  <si>
    <t>December - Mid-Term Examination - 2024-25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</si>
</sst>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\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Altona Sans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2" fillId="2" borderId="1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textRotation="90"/>
    </xf>
    <xf numFmtId="0" fontId="2" fillId="2" borderId="2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2" fillId="2" borderId="4" xfId="0" applyFont="1" applyFill="1" applyBorder="1" applyAlignment="1">
      <alignment horizontal="center" vertical="center" textRotation="90"/>
    </xf>
    <xf numFmtId="0" fontId="2" fillId="2" borderId="1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3" borderId="7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textRotation="90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A395-62C8-4729-ACFE-11909EA87482}">
  <dimension ref="A1:Q58"/>
  <sheetViews>
    <sheetView tabSelected="1" workbookViewId="0">
      <pane ySplit="5" topLeftCell="A6" activePane="bottomLeft" state="frozen"/>
      <selection pane="bottomLeft" activeCell="B4" sqref="B4:B6"/>
    </sheetView>
  </sheetViews>
  <sheetFormatPr defaultRowHeight="12" x14ac:dyDescent="0.2"/>
  <cols>
    <col min="1" max="1" width="3.7109375" style="1" bestFit="1" customWidth="1"/>
    <col min="2" max="2" width="16.7109375" style="46" bestFit="1" customWidth="1"/>
    <col min="3" max="3" width="20.85546875" style="46" bestFit="1" customWidth="1"/>
    <col min="4" max="4" width="6" style="1" bestFit="1" customWidth="1"/>
    <col min="5" max="14" width="5.7109375" style="1" customWidth="1"/>
    <col min="15" max="16" width="6.7109375" style="1" customWidth="1"/>
    <col min="17" max="17" width="12.28515625" style="1" customWidth="1"/>
    <col min="18" max="16384" width="9.140625" style="1"/>
  </cols>
  <sheetData>
    <row r="1" spans="1:17" ht="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</row>
    <row r="2" spans="1:17" ht="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ht="17.25" customHeight="1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x14ac:dyDescent="0.2">
      <c r="A4" s="25" t="s">
        <v>2</v>
      </c>
      <c r="B4" s="25" t="s">
        <v>4</v>
      </c>
      <c r="C4" s="25" t="s">
        <v>5</v>
      </c>
      <c r="D4" s="26" t="s">
        <v>3</v>
      </c>
      <c r="E4" s="29" t="s">
        <v>6</v>
      </c>
      <c r="F4" s="29"/>
      <c r="G4" s="29"/>
      <c r="H4" s="29"/>
      <c r="I4" s="29"/>
      <c r="J4" s="29"/>
      <c r="K4" s="29"/>
      <c r="L4" s="29"/>
      <c r="M4" s="29"/>
      <c r="N4" s="25" t="s">
        <v>14</v>
      </c>
      <c r="O4" s="25" t="s">
        <v>15</v>
      </c>
      <c r="P4" s="25" t="s">
        <v>16</v>
      </c>
      <c r="Q4" s="25" t="s">
        <v>17</v>
      </c>
    </row>
    <row r="5" spans="1:17" ht="72" customHeight="1" x14ac:dyDescent="0.2">
      <c r="A5" s="25"/>
      <c r="B5" s="25"/>
      <c r="C5" s="25"/>
      <c r="D5" s="27"/>
      <c r="E5" s="2" t="s">
        <v>7</v>
      </c>
      <c r="F5" s="2" t="s">
        <v>8</v>
      </c>
      <c r="G5" s="2" t="s">
        <v>11</v>
      </c>
      <c r="H5" s="2" t="s">
        <v>118</v>
      </c>
      <c r="I5" s="2" t="s">
        <v>9</v>
      </c>
      <c r="J5" s="2" t="s">
        <v>119</v>
      </c>
      <c r="K5" s="2" t="s">
        <v>10</v>
      </c>
      <c r="L5" s="2" t="s">
        <v>12</v>
      </c>
      <c r="M5" s="2" t="s">
        <v>13</v>
      </c>
      <c r="N5" s="25"/>
      <c r="O5" s="25"/>
      <c r="P5" s="25"/>
      <c r="Q5" s="25"/>
    </row>
    <row r="6" spans="1:17" x14ac:dyDescent="0.2">
      <c r="A6" s="25"/>
      <c r="B6" s="25"/>
      <c r="C6" s="25"/>
      <c r="D6" s="28"/>
      <c r="E6" s="3">
        <v>5</v>
      </c>
      <c r="F6" s="3">
        <v>5</v>
      </c>
      <c r="G6" s="3">
        <v>10</v>
      </c>
      <c r="H6" s="3">
        <v>5</v>
      </c>
      <c r="I6" s="3">
        <v>5</v>
      </c>
      <c r="J6" s="3">
        <v>5</v>
      </c>
      <c r="K6" s="3">
        <v>5</v>
      </c>
      <c r="L6" s="3">
        <v>10</v>
      </c>
      <c r="M6" s="3">
        <v>10</v>
      </c>
      <c r="N6" s="3">
        <v>60</v>
      </c>
      <c r="O6" s="25"/>
      <c r="P6" s="25"/>
      <c r="Q6" s="25"/>
    </row>
    <row r="7" spans="1:17" ht="24" customHeight="1" x14ac:dyDescent="0.2">
      <c r="A7" s="4">
        <v>1</v>
      </c>
      <c r="B7" s="41" t="s">
        <v>18</v>
      </c>
      <c r="C7" s="41" t="s">
        <v>19</v>
      </c>
      <c r="D7" s="5" t="s">
        <v>117</v>
      </c>
      <c r="E7" s="4">
        <v>5</v>
      </c>
      <c r="F7" s="4">
        <v>3</v>
      </c>
      <c r="G7" s="4">
        <v>4</v>
      </c>
      <c r="H7" s="4">
        <v>1</v>
      </c>
      <c r="I7" s="4">
        <v>5</v>
      </c>
      <c r="J7" s="4">
        <v>0</v>
      </c>
      <c r="K7" s="4">
        <v>0</v>
      </c>
      <c r="L7" s="4">
        <v>7</v>
      </c>
      <c r="M7" s="4">
        <v>4</v>
      </c>
      <c r="N7" s="4">
        <v>60</v>
      </c>
      <c r="O7" s="4">
        <f>SUM(E7:M7)</f>
        <v>29</v>
      </c>
      <c r="P7" s="7">
        <f>O7/N7*100</f>
        <v>48.333333333333336</v>
      </c>
      <c r="Q7" s="4"/>
    </row>
    <row r="8" spans="1:17" ht="24" customHeight="1" x14ac:dyDescent="0.2">
      <c r="A8" s="4">
        <v>2</v>
      </c>
      <c r="B8" s="41" t="s">
        <v>20</v>
      </c>
      <c r="C8" s="41" t="s">
        <v>21</v>
      </c>
      <c r="D8" s="5" t="s">
        <v>117</v>
      </c>
      <c r="E8" s="4">
        <v>5</v>
      </c>
      <c r="F8" s="4">
        <v>5</v>
      </c>
      <c r="G8" s="4">
        <v>6</v>
      </c>
      <c r="H8" s="4">
        <v>4</v>
      </c>
      <c r="I8" s="4">
        <v>5</v>
      </c>
      <c r="J8" s="4">
        <v>3</v>
      </c>
      <c r="K8" s="4">
        <v>5</v>
      </c>
      <c r="L8" s="4">
        <v>7</v>
      </c>
      <c r="M8" s="4">
        <v>7</v>
      </c>
      <c r="N8" s="4">
        <v>60</v>
      </c>
      <c r="O8" s="4">
        <f t="shared" ref="O8:O58" si="0">SUM(E8:M8)</f>
        <v>47</v>
      </c>
      <c r="P8" s="7">
        <f t="shared" ref="P8:P58" si="1">O8/N8*100</f>
        <v>78.333333333333329</v>
      </c>
      <c r="Q8" s="4"/>
    </row>
    <row r="9" spans="1:17" ht="24" customHeight="1" x14ac:dyDescent="0.2">
      <c r="A9" s="4">
        <v>3</v>
      </c>
      <c r="B9" s="41" t="s">
        <v>22</v>
      </c>
      <c r="C9" s="41" t="s">
        <v>23</v>
      </c>
      <c r="D9" s="5" t="s">
        <v>117</v>
      </c>
      <c r="E9" s="4">
        <v>5</v>
      </c>
      <c r="F9" s="4">
        <v>5</v>
      </c>
      <c r="G9" s="4">
        <v>5</v>
      </c>
      <c r="H9" s="4">
        <v>4</v>
      </c>
      <c r="I9" s="4">
        <v>5</v>
      </c>
      <c r="J9" s="4">
        <v>5</v>
      </c>
      <c r="K9" s="4">
        <v>2</v>
      </c>
      <c r="L9" s="4">
        <v>8</v>
      </c>
      <c r="M9" s="4">
        <v>5</v>
      </c>
      <c r="N9" s="4">
        <v>60</v>
      </c>
      <c r="O9" s="4">
        <f t="shared" si="0"/>
        <v>44</v>
      </c>
      <c r="P9" s="7">
        <f t="shared" si="1"/>
        <v>73.333333333333329</v>
      </c>
      <c r="Q9" s="4"/>
    </row>
    <row r="10" spans="1:17" ht="24" customHeight="1" x14ac:dyDescent="0.2">
      <c r="A10" s="4">
        <v>4</v>
      </c>
      <c r="B10" s="41" t="s">
        <v>24</v>
      </c>
      <c r="C10" s="41" t="s">
        <v>25</v>
      </c>
      <c r="D10" s="5" t="s">
        <v>117</v>
      </c>
      <c r="E10" s="4">
        <v>5</v>
      </c>
      <c r="F10" s="4">
        <v>5</v>
      </c>
      <c r="G10" s="4">
        <v>8</v>
      </c>
      <c r="H10" s="4">
        <v>5</v>
      </c>
      <c r="I10" s="4">
        <v>5</v>
      </c>
      <c r="J10" s="4">
        <v>5</v>
      </c>
      <c r="K10" s="4">
        <v>4</v>
      </c>
      <c r="L10" s="4">
        <v>8</v>
      </c>
      <c r="M10" s="4">
        <v>7</v>
      </c>
      <c r="N10" s="4">
        <v>60</v>
      </c>
      <c r="O10" s="4">
        <f t="shared" si="0"/>
        <v>52</v>
      </c>
      <c r="P10" s="7">
        <f t="shared" si="1"/>
        <v>86.666666666666671</v>
      </c>
      <c r="Q10" s="4"/>
    </row>
    <row r="11" spans="1:17" ht="24" customHeight="1" x14ac:dyDescent="0.2">
      <c r="A11" s="4">
        <v>5</v>
      </c>
      <c r="B11" s="41" t="s">
        <v>26</v>
      </c>
      <c r="C11" s="41" t="s">
        <v>27</v>
      </c>
      <c r="D11" s="5" t="s">
        <v>117</v>
      </c>
      <c r="E11" s="4">
        <v>5</v>
      </c>
      <c r="F11" s="4">
        <v>5</v>
      </c>
      <c r="G11" s="4">
        <v>7</v>
      </c>
      <c r="H11" s="4">
        <v>5</v>
      </c>
      <c r="I11" s="4">
        <v>5</v>
      </c>
      <c r="J11" s="4">
        <v>4</v>
      </c>
      <c r="K11" s="4">
        <v>1</v>
      </c>
      <c r="L11" s="4">
        <v>7</v>
      </c>
      <c r="M11" s="4">
        <v>8</v>
      </c>
      <c r="N11" s="4">
        <v>60</v>
      </c>
      <c r="O11" s="4">
        <f t="shared" si="0"/>
        <v>47</v>
      </c>
      <c r="P11" s="7">
        <f t="shared" si="1"/>
        <v>78.333333333333329</v>
      </c>
      <c r="Q11" s="4"/>
    </row>
    <row r="12" spans="1:17" ht="24" customHeight="1" x14ac:dyDescent="0.2">
      <c r="A12" s="4">
        <v>6</v>
      </c>
      <c r="B12" s="41" t="s">
        <v>28</v>
      </c>
      <c r="C12" s="41" t="s">
        <v>29</v>
      </c>
      <c r="D12" s="5" t="s">
        <v>117</v>
      </c>
      <c r="E12" s="4">
        <v>5</v>
      </c>
      <c r="F12" s="4">
        <v>4</v>
      </c>
      <c r="G12" s="4">
        <v>7</v>
      </c>
      <c r="H12" s="4">
        <v>5</v>
      </c>
      <c r="I12" s="4">
        <v>4</v>
      </c>
      <c r="J12" s="4">
        <v>0</v>
      </c>
      <c r="K12" s="4">
        <v>0</v>
      </c>
      <c r="L12" s="4">
        <v>5</v>
      </c>
      <c r="M12" s="4">
        <v>6</v>
      </c>
      <c r="N12" s="4">
        <v>60</v>
      </c>
      <c r="O12" s="4">
        <f t="shared" si="0"/>
        <v>36</v>
      </c>
      <c r="P12" s="7">
        <f t="shared" si="1"/>
        <v>60</v>
      </c>
      <c r="Q12" s="4"/>
    </row>
    <row r="13" spans="1:17" ht="24" customHeight="1" x14ac:dyDescent="0.2">
      <c r="A13" s="4">
        <v>7</v>
      </c>
      <c r="B13" s="41" t="s">
        <v>30</v>
      </c>
      <c r="C13" s="41" t="s">
        <v>31</v>
      </c>
      <c r="D13" s="5" t="s">
        <v>117</v>
      </c>
      <c r="E13" s="4">
        <v>3</v>
      </c>
      <c r="F13" s="4">
        <v>4</v>
      </c>
      <c r="G13" s="4">
        <v>6</v>
      </c>
      <c r="H13" s="4">
        <v>4</v>
      </c>
      <c r="I13" s="4">
        <v>2</v>
      </c>
      <c r="J13" s="4">
        <v>1</v>
      </c>
      <c r="K13" s="4">
        <v>2</v>
      </c>
      <c r="L13" s="4">
        <v>7</v>
      </c>
      <c r="M13" s="4">
        <v>7</v>
      </c>
      <c r="N13" s="4">
        <v>60</v>
      </c>
      <c r="O13" s="4">
        <f t="shared" si="0"/>
        <v>36</v>
      </c>
      <c r="P13" s="7">
        <f t="shared" si="1"/>
        <v>60</v>
      </c>
      <c r="Q13" s="4"/>
    </row>
    <row r="14" spans="1:17" ht="24" customHeight="1" x14ac:dyDescent="0.2">
      <c r="A14" s="4">
        <v>8</v>
      </c>
      <c r="B14" s="41" t="s">
        <v>32</v>
      </c>
      <c r="C14" s="41" t="s">
        <v>33</v>
      </c>
      <c r="D14" s="5" t="s">
        <v>117</v>
      </c>
      <c r="E14" s="4">
        <v>5</v>
      </c>
      <c r="F14" s="4">
        <v>5</v>
      </c>
      <c r="G14" s="4">
        <v>7</v>
      </c>
      <c r="H14" s="4">
        <v>5</v>
      </c>
      <c r="I14" s="4">
        <v>5</v>
      </c>
      <c r="J14" s="4">
        <v>5</v>
      </c>
      <c r="K14" s="4">
        <v>5</v>
      </c>
      <c r="L14" s="4">
        <v>7</v>
      </c>
      <c r="M14" s="4">
        <v>6</v>
      </c>
      <c r="N14" s="4">
        <v>60</v>
      </c>
      <c r="O14" s="4">
        <f t="shared" si="0"/>
        <v>50</v>
      </c>
      <c r="P14" s="7">
        <f t="shared" si="1"/>
        <v>83.333333333333343</v>
      </c>
      <c r="Q14" s="4"/>
    </row>
    <row r="15" spans="1:17" ht="24" customHeight="1" x14ac:dyDescent="0.2">
      <c r="A15" s="4">
        <v>9</v>
      </c>
      <c r="B15" s="41" t="s">
        <v>34</v>
      </c>
      <c r="C15" s="41" t="s">
        <v>35</v>
      </c>
      <c r="D15" s="5" t="s">
        <v>117</v>
      </c>
      <c r="E15" s="4">
        <v>5</v>
      </c>
      <c r="F15" s="4">
        <v>5</v>
      </c>
      <c r="G15" s="4">
        <v>8</v>
      </c>
      <c r="H15" s="4">
        <v>5</v>
      </c>
      <c r="I15" s="4">
        <v>5</v>
      </c>
      <c r="J15" s="4">
        <v>5</v>
      </c>
      <c r="K15" s="4">
        <v>5</v>
      </c>
      <c r="L15" s="4">
        <v>9</v>
      </c>
      <c r="M15" s="4">
        <v>7</v>
      </c>
      <c r="N15" s="4">
        <v>60</v>
      </c>
      <c r="O15" s="4">
        <f t="shared" si="0"/>
        <v>54</v>
      </c>
      <c r="P15" s="7">
        <f t="shared" si="1"/>
        <v>90</v>
      </c>
      <c r="Q15" s="4"/>
    </row>
    <row r="16" spans="1:17" ht="24" customHeight="1" x14ac:dyDescent="0.2">
      <c r="A16" s="4">
        <v>10</v>
      </c>
      <c r="B16" s="41" t="s">
        <v>36</v>
      </c>
      <c r="C16" s="41" t="s">
        <v>37</v>
      </c>
      <c r="D16" s="5" t="s">
        <v>117</v>
      </c>
      <c r="E16" s="4">
        <v>3</v>
      </c>
      <c r="F16" s="4">
        <v>5</v>
      </c>
      <c r="G16" s="4">
        <v>5</v>
      </c>
      <c r="H16" s="4">
        <v>5</v>
      </c>
      <c r="I16" s="4">
        <v>5</v>
      </c>
      <c r="J16" s="4">
        <v>0</v>
      </c>
      <c r="K16" s="4">
        <v>0</v>
      </c>
      <c r="L16" s="4">
        <v>9</v>
      </c>
      <c r="M16" s="4">
        <v>6</v>
      </c>
      <c r="N16" s="4">
        <v>60</v>
      </c>
      <c r="O16" s="4">
        <f t="shared" si="0"/>
        <v>38</v>
      </c>
      <c r="P16" s="7">
        <f t="shared" si="1"/>
        <v>63.333333333333329</v>
      </c>
      <c r="Q16" s="4"/>
    </row>
    <row r="17" spans="1:17" ht="24" customHeight="1" x14ac:dyDescent="0.2">
      <c r="A17" s="4">
        <v>11</v>
      </c>
      <c r="B17" s="41" t="s">
        <v>38</v>
      </c>
      <c r="C17" s="41" t="s">
        <v>39</v>
      </c>
      <c r="D17" s="5" t="s">
        <v>117</v>
      </c>
      <c r="E17" s="4">
        <v>3</v>
      </c>
      <c r="F17" s="4">
        <v>4</v>
      </c>
      <c r="G17" s="4">
        <v>6</v>
      </c>
      <c r="H17" s="4">
        <v>5</v>
      </c>
      <c r="I17" s="4">
        <v>3</v>
      </c>
      <c r="J17" s="4">
        <v>5</v>
      </c>
      <c r="K17" s="4">
        <v>2</v>
      </c>
      <c r="L17" s="4">
        <v>7</v>
      </c>
      <c r="M17" s="4">
        <v>7</v>
      </c>
      <c r="N17" s="4">
        <v>60</v>
      </c>
      <c r="O17" s="4">
        <f t="shared" si="0"/>
        <v>42</v>
      </c>
      <c r="P17" s="7">
        <f t="shared" si="1"/>
        <v>70</v>
      </c>
      <c r="Q17" s="4"/>
    </row>
    <row r="18" spans="1:17" ht="24" customHeight="1" x14ac:dyDescent="0.2">
      <c r="A18" s="4">
        <v>12</v>
      </c>
      <c r="B18" s="41" t="s">
        <v>40</v>
      </c>
      <c r="C18" s="41" t="s">
        <v>41</v>
      </c>
      <c r="D18" s="5" t="s">
        <v>117</v>
      </c>
      <c r="E18" s="4">
        <v>3</v>
      </c>
      <c r="F18" s="4">
        <v>3</v>
      </c>
      <c r="G18" s="4">
        <v>5</v>
      </c>
      <c r="H18" s="4">
        <v>2</v>
      </c>
      <c r="I18" s="4">
        <v>2</v>
      </c>
      <c r="J18" s="4">
        <v>4</v>
      </c>
      <c r="K18" s="4">
        <v>5</v>
      </c>
      <c r="L18" s="4">
        <v>7</v>
      </c>
      <c r="M18" s="4">
        <v>7</v>
      </c>
      <c r="N18" s="4">
        <v>60</v>
      </c>
      <c r="O18" s="4">
        <f t="shared" si="0"/>
        <v>38</v>
      </c>
      <c r="P18" s="7">
        <f t="shared" si="1"/>
        <v>63.333333333333329</v>
      </c>
      <c r="Q18" s="4"/>
    </row>
    <row r="19" spans="1:17" ht="24" customHeight="1" x14ac:dyDescent="0.2">
      <c r="A19" s="4">
        <v>13</v>
      </c>
      <c r="B19" s="41" t="s">
        <v>42</v>
      </c>
      <c r="C19" s="41" t="s">
        <v>43</v>
      </c>
      <c r="D19" s="5" t="s">
        <v>117</v>
      </c>
      <c r="E19" s="4">
        <v>5</v>
      </c>
      <c r="F19" s="4">
        <v>3</v>
      </c>
      <c r="G19" s="4">
        <v>7</v>
      </c>
      <c r="H19" s="4">
        <v>2</v>
      </c>
      <c r="I19" s="4">
        <v>3</v>
      </c>
      <c r="J19" s="4">
        <v>4</v>
      </c>
      <c r="K19" s="4">
        <v>3</v>
      </c>
      <c r="L19" s="4">
        <v>8</v>
      </c>
      <c r="M19" s="4">
        <v>8</v>
      </c>
      <c r="N19" s="4">
        <v>60</v>
      </c>
      <c r="O19" s="4">
        <f t="shared" si="0"/>
        <v>43</v>
      </c>
      <c r="P19" s="7">
        <f t="shared" si="1"/>
        <v>71.666666666666671</v>
      </c>
      <c r="Q19" s="4"/>
    </row>
    <row r="20" spans="1:17" ht="24" customHeight="1" x14ac:dyDescent="0.2">
      <c r="A20" s="4">
        <v>14</v>
      </c>
      <c r="B20" s="41" t="s">
        <v>44</v>
      </c>
      <c r="C20" s="41" t="s">
        <v>45</v>
      </c>
      <c r="D20" s="5" t="s">
        <v>117</v>
      </c>
      <c r="E20" s="4">
        <v>5</v>
      </c>
      <c r="F20" s="4">
        <v>3</v>
      </c>
      <c r="G20" s="4">
        <v>5</v>
      </c>
      <c r="H20" s="4">
        <v>3</v>
      </c>
      <c r="I20" s="4">
        <v>5</v>
      </c>
      <c r="J20" s="4">
        <v>5</v>
      </c>
      <c r="K20" s="4">
        <v>4</v>
      </c>
      <c r="L20" s="4">
        <v>5</v>
      </c>
      <c r="M20" s="4">
        <v>7</v>
      </c>
      <c r="N20" s="4">
        <v>60</v>
      </c>
      <c r="O20" s="4">
        <f t="shared" si="0"/>
        <v>42</v>
      </c>
      <c r="P20" s="7">
        <f t="shared" si="1"/>
        <v>70</v>
      </c>
      <c r="Q20" s="4"/>
    </row>
    <row r="21" spans="1:17" ht="24" customHeight="1" x14ac:dyDescent="0.2">
      <c r="A21" s="4">
        <v>15</v>
      </c>
      <c r="B21" s="41" t="s">
        <v>46</v>
      </c>
      <c r="C21" s="41" t="s">
        <v>47</v>
      </c>
      <c r="D21" s="5" t="s">
        <v>117</v>
      </c>
      <c r="E21" s="4">
        <v>5</v>
      </c>
      <c r="F21" s="4">
        <v>3</v>
      </c>
      <c r="G21" s="4">
        <v>6</v>
      </c>
      <c r="H21" s="4">
        <v>3</v>
      </c>
      <c r="I21" s="4">
        <v>5</v>
      </c>
      <c r="J21" s="4">
        <v>2</v>
      </c>
      <c r="K21" s="4">
        <v>0</v>
      </c>
      <c r="L21" s="4">
        <v>5</v>
      </c>
      <c r="M21" s="4">
        <v>5</v>
      </c>
      <c r="N21" s="4">
        <v>60</v>
      </c>
      <c r="O21" s="4">
        <f t="shared" si="0"/>
        <v>34</v>
      </c>
      <c r="P21" s="7">
        <f t="shared" si="1"/>
        <v>56.666666666666664</v>
      </c>
      <c r="Q21" s="4"/>
    </row>
    <row r="22" spans="1:17" ht="24" customHeight="1" x14ac:dyDescent="0.2">
      <c r="A22" s="4">
        <v>16</v>
      </c>
      <c r="B22" s="41" t="s">
        <v>48</v>
      </c>
      <c r="C22" s="41" t="s">
        <v>49</v>
      </c>
      <c r="D22" s="5" t="s">
        <v>117</v>
      </c>
      <c r="E22" s="4">
        <v>5</v>
      </c>
      <c r="F22" s="4">
        <v>4</v>
      </c>
      <c r="G22" s="4">
        <v>6</v>
      </c>
      <c r="H22" s="4">
        <v>4</v>
      </c>
      <c r="I22" s="4">
        <v>4</v>
      </c>
      <c r="J22" s="4">
        <v>4</v>
      </c>
      <c r="K22" s="4">
        <v>5</v>
      </c>
      <c r="L22" s="4">
        <v>6</v>
      </c>
      <c r="M22" s="4">
        <v>7</v>
      </c>
      <c r="N22" s="4">
        <v>60</v>
      </c>
      <c r="O22" s="4">
        <f t="shared" si="0"/>
        <v>45</v>
      </c>
      <c r="P22" s="7">
        <f t="shared" si="1"/>
        <v>75</v>
      </c>
      <c r="Q22" s="4"/>
    </row>
    <row r="23" spans="1:17" ht="24" customHeight="1" x14ac:dyDescent="0.2">
      <c r="A23" s="4">
        <v>17</v>
      </c>
      <c r="B23" s="41" t="s">
        <v>50</v>
      </c>
      <c r="C23" s="41" t="s">
        <v>51</v>
      </c>
      <c r="D23" s="5" t="s">
        <v>117</v>
      </c>
      <c r="E23" s="4">
        <v>5</v>
      </c>
      <c r="F23" s="4">
        <v>5</v>
      </c>
      <c r="G23" s="4">
        <v>8</v>
      </c>
      <c r="H23" s="4">
        <v>5</v>
      </c>
      <c r="I23" s="4">
        <v>5</v>
      </c>
      <c r="J23" s="4">
        <v>5</v>
      </c>
      <c r="K23" s="4">
        <v>5</v>
      </c>
      <c r="L23" s="4">
        <v>9</v>
      </c>
      <c r="M23" s="4">
        <v>6</v>
      </c>
      <c r="N23" s="4">
        <v>60</v>
      </c>
      <c r="O23" s="4">
        <f t="shared" si="0"/>
        <v>53</v>
      </c>
      <c r="P23" s="7">
        <f t="shared" si="1"/>
        <v>88.333333333333329</v>
      </c>
      <c r="Q23" s="4"/>
    </row>
    <row r="24" spans="1:17" ht="24" customHeight="1" x14ac:dyDescent="0.2">
      <c r="A24" s="4">
        <v>18</v>
      </c>
      <c r="B24" s="41" t="s">
        <v>52</v>
      </c>
      <c r="C24" s="41" t="s">
        <v>53</v>
      </c>
      <c r="D24" s="5" t="s">
        <v>117</v>
      </c>
      <c r="E24" s="4">
        <v>3</v>
      </c>
      <c r="F24" s="4">
        <v>4</v>
      </c>
      <c r="G24" s="4">
        <v>5</v>
      </c>
      <c r="H24" s="4">
        <v>2</v>
      </c>
      <c r="I24" s="4">
        <v>5</v>
      </c>
      <c r="J24" s="4">
        <v>5</v>
      </c>
      <c r="K24" s="4">
        <v>5</v>
      </c>
      <c r="L24" s="4">
        <v>8</v>
      </c>
      <c r="M24" s="4">
        <v>7</v>
      </c>
      <c r="N24" s="4">
        <v>60</v>
      </c>
      <c r="O24" s="4">
        <f t="shared" si="0"/>
        <v>44</v>
      </c>
      <c r="P24" s="7">
        <f t="shared" si="1"/>
        <v>73.333333333333329</v>
      </c>
      <c r="Q24" s="4"/>
    </row>
    <row r="25" spans="1:17" ht="24" customHeight="1" x14ac:dyDescent="0.2">
      <c r="A25" s="4">
        <v>19</v>
      </c>
      <c r="B25" s="41" t="s">
        <v>54</v>
      </c>
      <c r="C25" s="41" t="s">
        <v>55</v>
      </c>
      <c r="D25" s="5" t="s">
        <v>117</v>
      </c>
      <c r="E25" s="4">
        <v>4</v>
      </c>
      <c r="F25" s="4">
        <v>5</v>
      </c>
      <c r="G25" s="4">
        <v>7</v>
      </c>
      <c r="H25" s="4">
        <v>4</v>
      </c>
      <c r="I25" s="4">
        <v>5</v>
      </c>
      <c r="J25" s="4">
        <v>1</v>
      </c>
      <c r="K25" s="4">
        <v>2</v>
      </c>
      <c r="L25" s="4">
        <v>9</v>
      </c>
      <c r="M25" s="4">
        <v>8</v>
      </c>
      <c r="N25" s="4">
        <v>60</v>
      </c>
      <c r="O25" s="4">
        <f t="shared" si="0"/>
        <v>45</v>
      </c>
      <c r="P25" s="7">
        <f t="shared" si="1"/>
        <v>75</v>
      </c>
      <c r="Q25" s="4"/>
    </row>
    <row r="26" spans="1:17" ht="24" customHeight="1" x14ac:dyDescent="0.2">
      <c r="A26" s="4">
        <v>20</v>
      </c>
      <c r="B26" s="41" t="s">
        <v>56</v>
      </c>
      <c r="C26" s="41" t="s">
        <v>57</v>
      </c>
      <c r="D26" s="5" t="s">
        <v>117</v>
      </c>
      <c r="E26" s="4">
        <v>4</v>
      </c>
      <c r="F26" s="4">
        <v>3</v>
      </c>
      <c r="G26" s="4">
        <v>8</v>
      </c>
      <c r="H26" s="4">
        <v>3</v>
      </c>
      <c r="I26" s="4">
        <v>5</v>
      </c>
      <c r="J26" s="4">
        <v>2</v>
      </c>
      <c r="K26" s="4">
        <v>5</v>
      </c>
      <c r="L26" s="4">
        <v>9</v>
      </c>
      <c r="M26" s="4">
        <v>8</v>
      </c>
      <c r="N26" s="4">
        <v>60</v>
      </c>
      <c r="O26" s="4">
        <f t="shared" si="0"/>
        <v>47</v>
      </c>
      <c r="P26" s="7">
        <f t="shared" si="1"/>
        <v>78.333333333333329</v>
      </c>
      <c r="Q26" s="4"/>
    </row>
    <row r="27" spans="1:17" ht="24" customHeight="1" x14ac:dyDescent="0.2">
      <c r="A27" s="4">
        <v>21</v>
      </c>
      <c r="B27" s="41" t="s">
        <v>58</v>
      </c>
      <c r="C27" s="41" t="s">
        <v>59</v>
      </c>
      <c r="D27" s="5" t="s">
        <v>117</v>
      </c>
      <c r="E27" s="4">
        <v>3</v>
      </c>
      <c r="F27" s="4">
        <v>3</v>
      </c>
      <c r="G27" s="4">
        <v>5</v>
      </c>
      <c r="H27" s="4">
        <v>3</v>
      </c>
      <c r="I27" s="4">
        <v>1</v>
      </c>
      <c r="J27" s="4">
        <v>3</v>
      </c>
      <c r="K27" s="4">
        <v>2</v>
      </c>
      <c r="L27" s="4">
        <v>8</v>
      </c>
      <c r="M27" s="4">
        <v>8</v>
      </c>
      <c r="N27" s="4">
        <v>60</v>
      </c>
      <c r="O27" s="4">
        <f t="shared" si="0"/>
        <v>36</v>
      </c>
      <c r="P27" s="7">
        <f t="shared" si="1"/>
        <v>60</v>
      </c>
      <c r="Q27" s="4"/>
    </row>
    <row r="28" spans="1:17" ht="24" customHeight="1" x14ac:dyDescent="0.2">
      <c r="A28" s="4">
        <v>22</v>
      </c>
      <c r="B28" s="41" t="s">
        <v>60</v>
      </c>
      <c r="C28" s="41" t="s">
        <v>61</v>
      </c>
      <c r="D28" s="5" t="s">
        <v>117</v>
      </c>
      <c r="E28" s="4">
        <v>3</v>
      </c>
      <c r="F28" s="4">
        <v>3</v>
      </c>
      <c r="G28" s="4">
        <v>5</v>
      </c>
      <c r="H28" s="4">
        <v>3</v>
      </c>
      <c r="I28" s="4">
        <v>5</v>
      </c>
      <c r="J28" s="4">
        <v>2</v>
      </c>
      <c r="K28" s="4">
        <v>2</v>
      </c>
      <c r="L28" s="4">
        <v>8</v>
      </c>
      <c r="M28" s="4">
        <v>7</v>
      </c>
      <c r="N28" s="4">
        <v>60</v>
      </c>
      <c r="O28" s="4">
        <f t="shared" si="0"/>
        <v>38</v>
      </c>
      <c r="P28" s="7">
        <f t="shared" si="1"/>
        <v>63.333333333333329</v>
      </c>
      <c r="Q28" s="4"/>
    </row>
    <row r="29" spans="1:17" ht="24" customHeight="1" x14ac:dyDescent="0.2">
      <c r="A29" s="4">
        <v>23</v>
      </c>
      <c r="B29" s="41" t="s">
        <v>62</v>
      </c>
      <c r="C29" s="41" t="s">
        <v>63</v>
      </c>
      <c r="D29" s="5" t="s">
        <v>117</v>
      </c>
      <c r="E29" s="4">
        <v>5</v>
      </c>
      <c r="F29" s="4">
        <v>4</v>
      </c>
      <c r="G29" s="4">
        <v>7</v>
      </c>
      <c r="H29" s="4">
        <v>4</v>
      </c>
      <c r="I29" s="4">
        <v>5</v>
      </c>
      <c r="J29" s="4">
        <v>5</v>
      </c>
      <c r="K29" s="4">
        <v>5</v>
      </c>
      <c r="L29" s="4">
        <v>4</v>
      </c>
      <c r="M29" s="4">
        <v>6</v>
      </c>
      <c r="N29" s="4">
        <v>60</v>
      </c>
      <c r="O29" s="4">
        <f t="shared" si="0"/>
        <v>45</v>
      </c>
      <c r="P29" s="7">
        <f t="shared" si="1"/>
        <v>75</v>
      </c>
      <c r="Q29" s="4"/>
    </row>
    <row r="30" spans="1:17" ht="24" customHeight="1" x14ac:dyDescent="0.2">
      <c r="A30" s="4">
        <v>24</v>
      </c>
      <c r="B30" s="41" t="s">
        <v>64</v>
      </c>
      <c r="C30" s="41" t="s">
        <v>65</v>
      </c>
      <c r="D30" s="5" t="s">
        <v>117</v>
      </c>
      <c r="E30" s="4">
        <v>5</v>
      </c>
      <c r="F30" s="4">
        <v>5</v>
      </c>
      <c r="G30" s="4">
        <v>7</v>
      </c>
      <c r="H30" s="4">
        <v>5</v>
      </c>
      <c r="I30" s="4">
        <v>3</v>
      </c>
      <c r="J30" s="4">
        <v>5</v>
      </c>
      <c r="K30" s="4">
        <v>5</v>
      </c>
      <c r="L30" s="4">
        <v>7</v>
      </c>
      <c r="M30" s="4">
        <v>7</v>
      </c>
      <c r="N30" s="4">
        <v>60</v>
      </c>
      <c r="O30" s="4">
        <f t="shared" si="0"/>
        <v>49</v>
      </c>
      <c r="P30" s="7">
        <f t="shared" si="1"/>
        <v>81.666666666666671</v>
      </c>
      <c r="Q30" s="4"/>
    </row>
    <row r="31" spans="1:17" ht="24" customHeight="1" x14ac:dyDescent="0.2">
      <c r="A31" s="4">
        <v>25</v>
      </c>
      <c r="B31" s="41" t="s">
        <v>66</v>
      </c>
      <c r="C31" s="41" t="s">
        <v>67</v>
      </c>
      <c r="D31" s="5" t="s">
        <v>117</v>
      </c>
      <c r="E31" s="4">
        <v>5</v>
      </c>
      <c r="F31" s="4">
        <v>3</v>
      </c>
      <c r="G31" s="4">
        <v>5</v>
      </c>
      <c r="H31" s="4">
        <v>2</v>
      </c>
      <c r="I31" s="4">
        <v>2</v>
      </c>
      <c r="J31" s="4">
        <v>1</v>
      </c>
      <c r="K31" s="4">
        <v>0</v>
      </c>
      <c r="L31" s="4">
        <v>7</v>
      </c>
      <c r="M31" s="4">
        <v>6</v>
      </c>
      <c r="N31" s="4">
        <v>60</v>
      </c>
      <c r="O31" s="4">
        <f t="shared" si="0"/>
        <v>31</v>
      </c>
      <c r="P31" s="7">
        <f t="shared" si="1"/>
        <v>51.666666666666671</v>
      </c>
      <c r="Q31" s="4"/>
    </row>
    <row r="32" spans="1:17" ht="24" customHeight="1" x14ac:dyDescent="0.2">
      <c r="A32" s="4">
        <v>26</v>
      </c>
      <c r="B32" s="41" t="s">
        <v>68</v>
      </c>
      <c r="C32" s="41" t="s">
        <v>69</v>
      </c>
      <c r="D32" s="5" t="s">
        <v>117</v>
      </c>
      <c r="E32" s="4">
        <v>4</v>
      </c>
      <c r="F32" s="4">
        <v>4</v>
      </c>
      <c r="G32" s="4">
        <v>6</v>
      </c>
      <c r="H32" s="4">
        <v>4</v>
      </c>
      <c r="I32" s="4">
        <v>4</v>
      </c>
      <c r="J32" s="4">
        <v>2</v>
      </c>
      <c r="K32" s="4">
        <v>4</v>
      </c>
      <c r="L32" s="4">
        <v>8</v>
      </c>
      <c r="M32" s="4">
        <v>8</v>
      </c>
      <c r="N32" s="4">
        <v>60</v>
      </c>
      <c r="O32" s="4">
        <f t="shared" si="0"/>
        <v>44</v>
      </c>
      <c r="P32" s="7">
        <f t="shared" si="1"/>
        <v>73.333333333333329</v>
      </c>
      <c r="Q32" s="4"/>
    </row>
    <row r="33" spans="1:17" ht="24" customHeight="1" x14ac:dyDescent="0.2">
      <c r="A33" s="4">
        <v>27</v>
      </c>
      <c r="B33" s="41" t="s">
        <v>70</v>
      </c>
      <c r="C33" s="41" t="s">
        <v>71</v>
      </c>
      <c r="D33" s="5" t="s">
        <v>117</v>
      </c>
      <c r="E33" s="4">
        <v>5</v>
      </c>
      <c r="F33" s="4">
        <v>4</v>
      </c>
      <c r="G33" s="4">
        <v>6</v>
      </c>
      <c r="H33" s="4">
        <v>3</v>
      </c>
      <c r="I33" s="4">
        <v>3</v>
      </c>
      <c r="J33" s="4">
        <v>1</v>
      </c>
      <c r="K33" s="4">
        <v>0</v>
      </c>
      <c r="L33" s="4">
        <v>8</v>
      </c>
      <c r="M33" s="4">
        <v>8</v>
      </c>
      <c r="N33" s="4">
        <v>60</v>
      </c>
      <c r="O33" s="4">
        <f t="shared" si="0"/>
        <v>38</v>
      </c>
      <c r="P33" s="7">
        <f t="shared" si="1"/>
        <v>63.333333333333329</v>
      </c>
      <c r="Q33" s="4"/>
    </row>
    <row r="34" spans="1:17" ht="24" customHeight="1" x14ac:dyDescent="0.2">
      <c r="A34" s="4">
        <v>28</v>
      </c>
      <c r="B34" s="41" t="s">
        <v>72</v>
      </c>
      <c r="C34" s="41" t="s">
        <v>73</v>
      </c>
      <c r="D34" s="5" t="s">
        <v>117</v>
      </c>
      <c r="E34" s="4">
        <v>5</v>
      </c>
      <c r="F34" s="4">
        <v>5</v>
      </c>
      <c r="G34" s="4">
        <v>6</v>
      </c>
      <c r="H34" s="4">
        <v>5</v>
      </c>
      <c r="I34" s="4">
        <v>5</v>
      </c>
      <c r="J34" s="4">
        <v>5</v>
      </c>
      <c r="K34" s="4">
        <v>1</v>
      </c>
      <c r="L34" s="4">
        <v>7</v>
      </c>
      <c r="M34" s="4">
        <v>7</v>
      </c>
      <c r="N34" s="4">
        <v>60</v>
      </c>
      <c r="O34" s="4">
        <f t="shared" si="0"/>
        <v>46</v>
      </c>
      <c r="P34" s="7">
        <f t="shared" si="1"/>
        <v>76.666666666666671</v>
      </c>
      <c r="Q34" s="4"/>
    </row>
    <row r="35" spans="1:17" ht="24" customHeight="1" x14ac:dyDescent="0.2">
      <c r="A35" s="4">
        <v>29</v>
      </c>
      <c r="B35" s="41" t="s">
        <v>74</v>
      </c>
      <c r="C35" s="41" t="s">
        <v>75</v>
      </c>
      <c r="D35" s="5" t="s">
        <v>117</v>
      </c>
      <c r="E35" s="4">
        <v>5</v>
      </c>
      <c r="F35" s="4">
        <v>5</v>
      </c>
      <c r="G35" s="4">
        <v>8</v>
      </c>
      <c r="H35" s="4">
        <v>5</v>
      </c>
      <c r="I35" s="4">
        <v>5</v>
      </c>
      <c r="J35" s="4">
        <v>5</v>
      </c>
      <c r="K35" s="4">
        <v>4</v>
      </c>
      <c r="L35" s="4">
        <v>8</v>
      </c>
      <c r="M35" s="4">
        <v>8</v>
      </c>
      <c r="N35" s="4">
        <v>60</v>
      </c>
      <c r="O35" s="4">
        <f t="shared" si="0"/>
        <v>53</v>
      </c>
      <c r="P35" s="7">
        <f t="shared" si="1"/>
        <v>88.333333333333329</v>
      </c>
      <c r="Q35" s="4"/>
    </row>
    <row r="36" spans="1:17" ht="24" customHeight="1" x14ac:dyDescent="0.2">
      <c r="A36" s="4">
        <v>30</v>
      </c>
      <c r="B36" s="41" t="s">
        <v>76</v>
      </c>
      <c r="C36" s="41" t="s">
        <v>75</v>
      </c>
      <c r="D36" s="5" t="s">
        <v>117</v>
      </c>
      <c r="E36" s="4">
        <v>5</v>
      </c>
      <c r="F36" s="4">
        <v>4</v>
      </c>
      <c r="G36" s="4">
        <v>8</v>
      </c>
      <c r="H36" s="4">
        <v>5</v>
      </c>
      <c r="I36" s="4">
        <v>5</v>
      </c>
      <c r="J36" s="4">
        <v>5</v>
      </c>
      <c r="K36" s="4">
        <v>5</v>
      </c>
      <c r="L36" s="4">
        <v>8</v>
      </c>
      <c r="M36" s="4">
        <v>8</v>
      </c>
      <c r="N36" s="4">
        <v>60</v>
      </c>
      <c r="O36" s="4">
        <f t="shared" si="0"/>
        <v>53</v>
      </c>
      <c r="P36" s="7">
        <f t="shared" si="1"/>
        <v>88.333333333333329</v>
      </c>
      <c r="Q36" s="4"/>
    </row>
    <row r="37" spans="1:17" ht="24" customHeight="1" x14ac:dyDescent="0.2">
      <c r="A37" s="4">
        <v>31</v>
      </c>
      <c r="B37" s="41" t="s">
        <v>77</v>
      </c>
      <c r="C37" s="41" t="s">
        <v>78</v>
      </c>
      <c r="D37" s="5" t="s">
        <v>117</v>
      </c>
      <c r="E37" s="4">
        <v>5</v>
      </c>
      <c r="F37" s="4">
        <v>4</v>
      </c>
      <c r="G37" s="4">
        <v>8</v>
      </c>
      <c r="H37" s="4">
        <v>5</v>
      </c>
      <c r="I37" s="4">
        <v>0</v>
      </c>
      <c r="J37" s="4">
        <v>5</v>
      </c>
      <c r="K37" s="4">
        <v>0</v>
      </c>
      <c r="L37" s="4">
        <v>8</v>
      </c>
      <c r="M37" s="4">
        <v>6</v>
      </c>
      <c r="N37" s="4">
        <v>60</v>
      </c>
      <c r="O37" s="4">
        <f t="shared" si="0"/>
        <v>41</v>
      </c>
      <c r="P37" s="7">
        <f t="shared" si="1"/>
        <v>68.333333333333329</v>
      </c>
      <c r="Q37" s="4"/>
    </row>
    <row r="38" spans="1:17" ht="24" customHeight="1" x14ac:dyDescent="0.2">
      <c r="A38" s="4">
        <v>32</v>
      </c>
      <c r="B38" s="41" t="s">
        <v>79</v>
      </c>
      <c r="C38" s="41" t="s">
        <v>80</v>
      </c>
      <c r="D38" s="5" t="s">
        <v>117</v>
      </c>
      <c r="E38" s="4">
        <v>5</v>
      </c>
      <c r="F38" s="4">
        <v>4</v>
      </c>
      <c r="G38" s="4">
        <v>7</v>
      </c>
      <c r="H38" s="4">
        <v>5</v>
      </c>
      <c r="I38" s="4">
        <v>5</v>
      </c>
      <c r="J38" s="4">
        <v>1</v>
      </c>
      <c r="K38" s="4">
        <v>2</v>
      </c>
      <c r="L38" s="4">
        <v>8</v>
      </c>
      <c r="M38" s="4">
        <v>7</v>
      </c>
      <c r="N38" s="4">
        <v>60</v>
      </c>
      <c r="O38" s="4">
        <f t="shared" si="0"/>
        <v>44</v>
      </c>
      <c r="P38" s="7">
        <f t="shared" si="1"/>
        <v>73.333333333333329</v>
      </c>
      <c r="Q38" s="4"/>
    </row>
    <row r="39" spans="1:17" ht="24" customHeight="1" x14ac:dyDescent="0.2">
      <c r="A39" s="4">
        <v>33</v>
      </c>
      <c r="B39" s="41" t="s">
        <v>81</v>
      </c>
      <c r="C39" s="41" t="s">
        <v>82</v>
      </c>
      <c r="D39" s="5" t="s">
        <v>117</v>
      </c>
      <c r="E39" s="4">
        <v>5</v>
      </c>
      <c r="F39" s="4">
        <v>3</v>
      </c>
      <c r="G39" s="4">
        <v>6</v>
      </c>
      <c r="H39" s="4">
        <v>5</v>
      </c>
      <c r="I39" s="4">
        <v>3</v>
      </c>
      <c r="J39" s="4">
        <v>4</v>
      </c>
      <c r="K39" s="4">
        <v>2</v>
      </c>
      <c r="L39" s="4">
        <v>8</v>
      </c>
      <c r="M39" s="4">
        <v>8</v>
      </c>
      <c r="N39" s="4">
        <v>60</v>
      </c>
      <c r="O39" s="4">
        <f t="shared" si="0"/>
        <v>44</v>
      </c>
      <c r="P39" s="7">
        <f t="shared" si="1"/>
        <v>73.333333333333329</v>
      </c>
      <c r="Q39" s="4"/>
    </row>
    <row r="40" spans="1:17" ht="24" customHeight="1" x14ac:dyDescent="0.2">
      <c r="A40" s="4">
        <v>34</v>
      </c>
      <c r="B40" s="41" t="s">
        <v>83</v>
      </c>
      <c r="C40" s="41" t="s">
        <v>84</v>
      </c>
      <c r="D40" s="5" t="s">
        <v>117</v>
      </c>
      <c r="E40" s="4">
        <v>1</v>
      </c>
      <c r="F40" s="4">
        <v>2</v>
      </c>
      <c r="G40" s="4">
        <v>4</v>
      </c>
      <c r="H40" s="4">
        <v>1</v>
      </c>
      <c r="I40" s="4">
        <v>0</v>
      </c>
      <c r="J40" s="4">
        <v>0</v>
      </c>
      <c r="K40" s="4">
        <v>0</v>
      </c>
      <c r="L40" s="4">
        <v>3</v>
      </c>
      <c r="M40" s="4">
        <v>7</v>
      </c>
      <c r="N40" s="4">
        <v>60</v>
      </c>
      <c r="O40" s="4">
        <f t="shared" si="0"/>
        <v>18</v>
      </c>
      <c r="P40" s="7">
        <f t="shared" si="1"/>
        <v>30</v>
      </c>
      <c r="Q40" s="4"/>
    </row>
    <row r="41" spans="1:17" ht="24" customHeight="1" x14ac:dyDescent="0.2">
      <c r="A41" s="4">
        <v>35</v>
      </c>
      <c r="B41" s="41" t="s">
        <v>85</v>
      </c>
      <c r="C41" s="41" t="s">
        <v>86</v>
      </c>
      <c r="D41" s="5" t="s">
        <v>117</v>
      </c>
      <c r="E41" s="4">
        <v>5</v>
      </c>
      <c r="F41" s="4">
        <v>4</v>
      </c>
      <c r="G41" s="4">
        <v>6</v>
      </c>
      <c r="H41" s="4">
        <v>5</v>
      </c>
      <c r="I41" s="4">
        <v>4</v>
      </c>
      <c r="J41" s="4">
        <v>3</v>
      </c>
      <c r="K41" s="4">
        <v>4</v>
      </c>
      <c r="L41" s="4">
        <v>7</v>
      </c>
      <c r="M41" s="4">
        <v>7</v>
      </c>
      <c r="N41" s="4">
        <v>60</v>
      </c>
      <c r="O41" s="4">
        <f t="shared" si="0"/>
        <v>45</v>
      </c>
      <c r="P41" s="7">
        <f t="shared" si="1"/>
        <v>75</v>
      </c>
      <c r="Q41" s="4"/>
    </row>
    <row r="42" spans="1:17" ht="24" customHeight="1" x14ac:dyDescent="0.2">
      <c r="A42" s="4">
        <v>36</v>
      </c>
      <c r="B42" s="41" t="s">
        <v>87</v>
      </c>
      <c r="C42" s="41" t="s">
        <v>88</v>
      </c>
      <c r="D42" s="5" t="s">
        <v>117</v>
      </c>
      <c r="E42" s="4">
        <v>5</v>
      </c>
      <c r="F42" s="4">
        <v>4</v>
      </c>
      <c r="G42" s="4">
        <v>5</v>
      </c>
      <c r="H42" s="4">
        <v>5</v>
      </c>
      <c r="I42" s="4">
        <v>5</v>
      </c>
      <c r="J42" s="4">
        <v>4</v>
      </c>
      <c r="K42" s="4">
        <v>3</v>
      </c>
      <c r="L42" s="4">
        <v>6</v>
      </c>
      <c r="M42" s="4">
        <v>8</v>
      </c>
      <c r="N42" s="4">
        <v>60</v>
      </c>
      <c r="O42" s="4">
        <f t="shared" si="0"/>
        <v>45</v>
      </c>
      <c r="P42" s="7">
        <f t="shared" si="1"/>
        <v>75</v>
      </c>
      <c r="Q42" s="4"/>
    </row>
    <row r="43" spans="1:17" ht="24" customHeight="1" x14ac:dyDescent="0.2">
      <c r="A43" s="4">
        <v>37</v>
      </c>
      <c r="B43" s="41" t="s">
        <v>89</v>
      </c>
      <c r="C43" s="41" t="s">
        <v>120</v>
      </c>
      <c r="D43" s="5" t="s">
        <v>117</v>
      </c>
      <c r="E43" s="4">
        <v>5</v>
      </c>
      <c r="F43" s="4">
        <v>3</v>
      </c>
      <c r="G43" s="4">
        <v>5</v>
      </c>
      <c r="H43" s="4">
        <v>2</v>
      </c>
      <c r="I43" s="4">
        <v>5</v>
      </c>
      <c r="J43" s="4">
        <v>5</v>
      </c>
      <c r="K43" s="4">
        <v>2</v>
      </c>
      <c r="L43" s="4">
        <v>8</v>
      </c>
      <c r="M43" s="4">
        <v>8</v>
      </c>
      <c r="N43" s="4">
        <v>60</v>
      </c>
      <c r="O43" s="4">
        <f t="shared" si="0"/>
        <v>43</v>
      </c>
      <c r="P43" s="7">
        <f t="shared" si="1"/>
        <v>71.666666666666671</v>
      </c>
      <c r="Q43" s="4"/>
    </row>
    <row r="44" spans="1:17" ht="24" customHeight="1" x14ac:dyDescent="0.2">
      <c r="A44" s="4">
        <v>38</v>
      </c>
      <c r="B44" s="41" t="s">
        <v>90</v>
      </c>
      <c r="C44" s="41" t="s">
        <v>91</v>
      </c>
      <c r="D44" s="5" t="s">
        <v>117</v>
      </c>
      <c r="E44" s="4">
        <v>4</v>
      </c>
      <c r="F44" s="4">
        <v>3</v>
      </c>
      <c r="G44" s="4">
        <v>5</v>
      </c>
      <c r="H44" s="4">
        <v>3</v>
      </c>
      <c r="I44" s="4">
        <v>5</v>
      </c>
      <c r="J44" s="4">
        <v>0</v>
      </c>
      <c r="K44" s="4">
        <v>0</v>
      </c>
      <c r="L44" s="4">
        <v>8</v>
      </c>
      <c r="M44" s="4">
        <v>6</v>
      </c>
      <c r="N44" s="4">
        <v>60</v>
      </c>
      <c r="O44" s="4">
        <f t="shared" si="0"/>
        <v>34</v>
      </c>
      <c r="P44" s="7">
        <f t="shared" si="1"/>
        <v>56.666666666666664</v>
      </c>
      <c r="Q44" s="4"/>
    </row>
    <row r="45" spans="1:17" ht="24" customHeight="1" x14ac:dyDescent="0.2">
      <c r="A45" s="4">
        <v>39</v>
      </c>
      <c r="B45" s="41" t="s">
        <v>92</v>
      </c>
      <c r="C45" s="41" t="s">
        <v>93</v>
      </c>
      <c r="D45" s="5" t="s">
        <v>117</v>
      </c>
      <c r="E45" s="4">
        <v>5</v>
      </c>
      <c r="F45" s="4">
        <v>5</v>
      </c>
      <c r="G45" s="4">
        <v>8</v>
      </c>
      <c r="H45" s="4">
        <v>5</v>
      </c>
      <c r="I45" s="4">
        <v>5</v>
      </c>
      <c r="J45" s="4">
        <v>5</v>
      </c>
      <c r="K45" s="4">
        <v>5</v>
      </c>
      <c r="L45" s="4">
        <v>7</v>
      </c>
      <c r="M45" s="4">
        <v>8</v>
      </c>
      <c r="N45" s="4">
        <v>60</v>
      </c>
      <c r="O45" s="4">
        <f t="shared" si="0"/>
        <v>53</v>
      </c>
      <c r="P45" s="7">
        <f t="shared" si="1"/>
        <v>88.333333333333329</v>
      </c>
      <c r="Q45" s="4"/>
    </row>
    <row r="46" spans="1:17" ht="24" customHeight="1" x14ac:dyDescent="0.2">
      <c r="A46" s="4">
        <v>40</v>
      </c>
      <c r="B46" s="41" t="s">
        <v>94</v>
      </c>
      <c r="C46" s="41" t="s">
        <v>95</v>
      </c>
      <c r="D46" s="5" t="s">
        <v>117</v>
      </c>
      <c r="E46" s="4">
        <v>5</v>
      </c>
      <c r="F46" s="4">
        <v>4</v>
      </c>
      <c r="G46" s="4">
        <v>6</v>
      </c>
      <c r="H46" s="4">
        <v>5</v>
      </c>
      <c r="I46" s="4">
        <v>5</v>
      </c>
      <c r="J46" s="4">
        <v>1</v>
      </c>
      <c r="K46" s="4">
        <v>3</v>
      </c>
      <c r="L46" s="4">
        <v>8</v>
      </c>
      <c r="M46" s="4">
        <v>7</v>
      </c>
      <c r="N46" s="4">
        <v>60</v>
      </c>
      <c r="O46" s="4">
        <f t="shared" si="0"/>
        <v>44</v>
      </c>
      <c r="P46" s="7">
        <f t="shared" si="1"/>
        <v>73.333333333333329</v>
      </c>
      <c r="Q46" s="4"/>
    </row>
    <row r="47" spans="1:17" ht="24" customHeight="1" x14ac:dyDescent="0.2">
      <c r="A47" s="4">
        <v>41</v>
      </c>
      <c r="B47" s="41" t="s">
        <v>96</v>
      </c>
      <c r="C47" s="41" t="s">
        <v>97</v>
      </c>
      <c r="D47" s="5" t="s">
        <v>117</v>
      </c>
      <c r="E47" s="4">
        <v>5</v>
      </c>
      <c r="F47" s="4">
        <v>4</v>
      </c>
      <c r="G47" s="4">
        <v>7</v>
      </c>
      <c r="H47" s="4">
        <v>5</v>
      </c>
      <c r="I47" s="4">
        <v>5</v>
      </c>
      <c r="J47" s="4">
        <v>1</v>
      </c>
      <c r="K47" s="4">
        <v>5</v>
      </c>
      <c r="L47" s="4">
        <v>7</v>
      </c>
      <c r="M47" s="4">
        <v>8</v>
      </c>
      <c r="N47" s="4">
        <v>60</v>
      </c>
      <c r="O47" s="4">
        <f t="shared" si="0"/>
        <v>47</v>
      </c>
      <c r="P47" s="7">
        <f t="shared" si="1"/>
        <v>78.333333333333329</v>
      </c>
      <c r="Q47" s="4"/>
    </row>
    <row r="48" spans="1:17" ht="24" customHeight="1" x14ac:dyDescent="0.2">
      <c r="A48" s="4">
        <v>42</v>
      </c>
      <c r="B48" s="41" t="s">
        <v>98</v>
      </c>
      <c r="C48" s="41" t="s">
        <v>99</v>
      </c>
      <c r="D48" s="5" t="s">
        <v>117</v>
      </c>
      <c r="E48" s="4">
        <v>5</v>
      </c>
      <c r="F48" s="4">
        <v>4</v>
      </c>
      <c r="G48" s="4">
        <v>7</v>
      </c>
      <c r="H48" s="4">
        <v>5</v>
      </c>
      <c r="I48" s="4">
        <v>5</v>
      </c>
      <c r="J48" s="4">
        <v>5</v>
      </c>
      <c r="K48" s="4">
        <v>5</v>
      </c>
      <c r="L48" s="4">
        <v>8</v>
      </c>
      <c r="M48" s="4">
        <v>8</v>
      </c>
      <c r="N48" s="4">
        <v>60</v>
      </c>
      <c r="O48" s="4">
        <f t="shared" si="0"/>
        <v>52</v>
      </c>
      <c r="P48" s="7">
        <f t="shared" si="1"/>
        <v>86.666666666666671</v>
      </c>
      <c r="Q48" s="4"/>
    </row>
    <row r="49" spans="1:17" ht="24" customHeight="1" x14ac:dyDescent="0.2">
      <c r="A49" s="4">
        <v>43</v>
      </c>
      <c r="B49" s="41" t="s">
        <v>100</v>
      </c>
      <c r="C49" s="41" t="s">
        <v>101</v>
      </c>
      <c r="D49" s="5" t="s">
        <v>117</v>
      </c>
      <c r="E49" s="4">
        <v>5</v>
      </c>
      <c r="F49" s="4">
        <v>5</v>
      </c>
      <c r="G49" s="4">
        <v>8</v>
      </c>
      <c r="H49" s="4">
        <v>5</v>
      </c>
      <c r="I49" s="4">
        <v>5</v>
      </c>
      <c r="J49" s="4">
        <v>5</v>
      </c>
      <c r="K49" s="4">
        <v>5</v>
      </c>
      <c r="L49" s="4">
        <v>8</v>
      </c>
      <c r="M49" s="4">
        <v>8</v>
      </c>
      <c r="N49" s="4">
        <v>60</v>
      </c>
      <c r="O49" s="4">
        <f t="shared" si="0"/>
        <v>54</v>
      </c>
      <c r="P49" s="7">
        <f t="shared" si="1"/>
        <v>90</v>
      </c>
      <c r="Q49" s="4"/>
    </row>
    <row r="50" spans="1:17" ht="24" customHeight="1" x14ac:dyDescent="0.2">
      <c r="A50" s="4">
        <v>44</v>
      </c>
      <c r="B50" s="41" t="s">
        <v>102</v>
      </c>
      <c r="C50" s="41" t="s">
        <v>103</v>
      </c>
      <c r="D50" s="5" t="s">
        <v>117</v>
      </c>
      <c r="E50" s="4">
        <v>2</v>
      </c>
      <c r="F50" s="4">
        <v>2</v>
      </c>
      <c r="G50" s="4">
        <v>4</v>
      </c>
      <c r="H50" s="4">
        <v>2</v>
      </c>
      <c r="I50" s="4">
        <v>5</v>
      </c>
      <c r="J50" s="4">
        <v>2</v>
      </c>
      <c r="K50" s="4">
        <v>0</v>
      </c>
      <c r="L50" s="4">
        <v>8</v>
      </c>
      <c r="M50" s="4">
        <v>7</v>
      </c>
      <c r="N50" s="4">
        <v>60</v>
      </c>
      <c r="O50" s="4">
        <f t="shared" si="0"/>
        <v>32</v>
      </c>
      <c r="P50" s="7">
        <f t="shared" si="1"/>
        <v>53.333333333333336</v>
      </c>
      <c r="Q50" s="4"/>
    </row>
    <row r="51" spans="1:17" ht="24" customHeight="1" x14ac:dyDescent="0.2">
      <c r="A51" s="4">
        <v>45</v>
      </c>
      <c r="B51" s="41" t="s">
        <v>104</v>
      </c>
      <c r="C51" s="41" t="s">
        <v>105</v>
      </c>
      <c r="D51" s="5" t="s">
        <v>117</v>
      </c>
      <c r="E51" s="4">
        <v>5</v>
      </c>
      <c r="F51" s="4">
        <v>3</v>
      </c>
      <c r="G51" s="4">
        <v>5</v>
      </c>
      <c r="H51" s="4">
        <v>3</v>
      </c>
      <c r="I51" s="4">
        <v>5</v>
      </c>
      <c r="J51" s="4">
        <v>0</v>
      </c>
      <c r="K51" s="4">
        <v>0</v>
      </c>
      <c r="L51" s="4">
        <v>4</v>
      </c>
      <c r="M51" s="4">
        <v>5</v>
      </c>
      <c r="N51" s="4">
        <v>60</v>
      </c>
      <c r="O51" s="4">
        <f t="shared" si="0"/>
        <v>30</v>
      </c>
      <c r="P51" s="7">
        <f t="shared" si="1"/>
        <v>50</v>
      </c>
      <c r="Q51" s="4"/>
    </row>
    <row r="52" spans="1:17" ht="24" customHeight="1" x14ac:dyDescent="0.2">
      <c r="A52" s="4">
        <v>46</v>
      </c>
      <c r="B52" s="41" t="s">
        <v>106</v>
      </c>
      <c r="C52" s="41" t="s">
        <v>107</v>
      </c>
      <c r="D52" s="5" t="s">
        <v>117</v>
      </c>
      <c r="E52" s="4">
        <v>2</v>
      </c>
      <c r="F52" s="4">
        <v>3</v>
      </c>
      <c r="G52" s="4">
        <v>4</v>
      </c>
      <c r="H52" s="4">
        <v>2</v>
      </c>
      <c r="I52" s="4">
        <v>5</v>
      </c>
      <c r="J52" s="4">
        <v>1</v>
      </c>
      <c r="K52" s="4">
        <v>2</v>
      </c>
      <c r="L52" s="4">
        <v>3</v>
      </c>
      <c r="M52" s="4">
        <v>6</v>
      </c>
      <c r="N52" s="4">
        <v>60</v>
      </c>
      <c r="O52" s="4">
        <f t="shared" si="0"/>
        <v>28</v>
      </c>
      <c r="P52" s="7">
        <f t="shared" si="1"/>
        <v>46.666666666666664</v>
      </c>
      <c r="Q52" s="4"/>
    </row>
    <row r="53" spans="1:17" ht="24" customHeight="1" x14ac:dyDescent="0.2">
      <c r="A53" s="4">
        <v>47</v>
      </c>
      <c r="B53" s="4" t="s">
        <v>108</v>
      </c>
      <c r="C53" s="4" t="s">
        <v>26</v>
      </c>
      <c r="D53" s="5" t="s">
        <v>117</v>
      </c>
      <c r="E53" s="4">
        <v>3</v>
      </c>
      <c r="F53" s="4">
        <v>3</v>
      </c>
      <c r="G53" s="4">
        <v>5</v>
      </c>
      <c r="H53" s="4">
        <v>3</v>
      </c>
      <c r="I53" s="4">
        <v>5</v>
      </c>
      <c r="J53" s="4">
        <v>2</v>
      </c>
      <c r="K53" s="4">
        <v>3</v>
      </c>
      <c r="L53" s="4">
        <v>4</v>
      </c>
      <c r="M53" s="4">
        <v>7</v>
      </c>
      <c r="N53" s="4">
        <v>60</v>
      </c>
      <c r="O53" s="4">
        <f t="shared" si="0"/>
        <v>35</v>
      </c>
      <c r="P53" s="7">
        <f t="shared" si="1"/>
        <v>58.333333333333336</v>
      </c>
      <c r="Q53" s="4"/>
    </row>
    <row r="54" spans="1:17" ht="24" customHeight="1" x14ac:dyDescent="0.2">
      <c r="A54" s="4">
        <v>48</v>
      </c>
      <c r="B54" s="4" t="s">
        <v>109</v>
      </c>
      <c r="C54" s="4" t="s">
        <v>110</v>
      </c>
      <c r="D54" s="5" t="s">
        <v>117</v>
      </c>
      <c r="E54" s="4">
        <v>3</v>
      </c>
      <c r="F54" s="4">
        <v>4</v>
      </c>
      <c r="G54" s="4">
        <v>5</v>
      </c>
      <c r="H54" s="4">
        <v>3</v>
      </c>
      <c r="I54" s="4">
        <v>5</v>
      </c>
      <c r="J54" s="4">
        <v>5</v>
      </c>
      <c r="K54" s="4">
        <v>2</v>
      </c>
      <c r="L54" s="4">
        <v>4</v>
      </c>
      <c r="M54" s="4">
        <v>3</v>
      </c>
      <c r="N54" s="4">
        <v>60</v>
      </c>
      <c r="O54" s="4">
        <f t="shared" si="0"/>
        <v>34</v>
      </c>
      <c r="P54" s="7">
        <f t="shared" si="1"/>
        <v>56.666666666666664</v>
      </c>
      <c r="Q54" s="4"/>
    </row>
    <row r="55" spans="1:17" ht="24" customHeight="1" x14ac:dyDescent="0.2">
      <c r="A55" s="4">
        <v>49</v>
      </c>
      <c r="B55" s="4" t="s">
        <v>111</v>
      </c>
      <c r="C55" s="4" t="s">
        <v>112</v>
      </c>
      <c r="D55" s="5" t="s">
        <v>117</v>
      </c>
      <c r="E55" s="4">
        <v>4</v>
      </c>
      <c r="F55" s="4">
        <v>3</v>
      </c>
      <c r="G55" s="4">
        <v>5</v>
      </c>
      <c r="H55" s="4">
        <v>3</v>
      </c>
      <c r="I55" s="4">
        <v>1</v>
      </c>
      <c r="J55" s="4">
        <v>2</v>
      </c>
      <c r="K55" s="4">
        <v>0</v>
      </c>
      <c r="L55" s="4">
        <v>3</v>
      </c>
      <c r="M55" s="4">
        <v>7</v>
      </c>
      <c r="N55" s="4">
        <v>60</v>
      </c>
      <c r="O55" s="4">
        <f t="shared" si="0"/>
        <v>28</v>
      </c>
      <c r="P55" s="7">
        <f t="shared" si="1"/>
        <v>46.666666666666664</v>
      </c>
      <c r="Q55" s="4"/>
    </row>
    <row r="56" spans="1:17" ht="24" customHeight="1" x14ac:dyDescent="0.2">
      <c r="A56" s="4">
        <v>50</v>
      </c>
      <c r="B56" s="4" t="s">
        <v>113</v>
      </c>
      <c r="C56" s="4" t="s">
        <v>114</v>
      </c>
      <c r="D56" s="5" t="s">
        <v>117</v>
      </c>
      <c r="E56" s="4">
        <v>5</v>
      </c>
      <c r="F56" s="4">
        <v>5</v>
      </c>
      <c r="G56" s="4">
        <v>6</v>
      </c>
      <c r="H56" s="4">
        <v>4</v>
      </c>
      <c r="I56" s="4">
        <v>2</v>
      </c>
      <c r="J56" s="4">
        <v>1</v>
      </c>
      <c r="K56" s="4">
        <v>2</v>
      </c>
      <c r="L56" s="4">
        <v>3</v>
      </c>
      <c r="M56" s="4">
        <v>7</v>
      </c>
      <c r="N56" s="4">
        <v>60</v>
      </c>
      <c r="O56" s="4">
        <f t="shared" si="0"/>
        <v>35</v>
      </c>
      <c r="P56" s="7">
        <f t="shared" si="1"/>
        <v>58.333333333333336</v>
      </c>
      <c r="Q56" s="4"/>
    </row>
    <row r="57" spans="1:17" ht="24" customHeight="1" x14ac:dyDescent="0.2">
      <c r="A57" s="4">
        <v>51</v>
      </c>
      <c r="B57" s="4" t="s">
        <v>115</v>
      </c>
      <c r="C57" s="4"/>
      <c r="D57" s="5" t="s">
        <v>117</v>
      </c>
      <c r="E57" s="4">
        <v>4</v>
      </c>
      <c r="F57" s="4">
        <v>4</v>
      </c>
      <c r="G57" s="4">
        <v>6</v>
      </c>
      <c r="H57" s="4">
        <v>4</v>
      </c>
      <c r="I57" s="4">
        <v>4</v>
      </c>
      <c r="J57" s="4">
        <v>5</v>
      </c>
      <c r="K57" s="4">
        <v>4</v>
      </c>
      <c r="L57" s="4">
        <v>6</v>
      </c>
      <c r="M57" s="4">
        <v>7</v>
      </c>
      <c r="N57" s="4">
        <v>60</v>
      </c>
      <c r="O57" s="4">
        <f t="shared" si="0"/>
        <v>44</v>
      </c>
      <c r="P57" s="7">
        <f t="shared" si="1"/>
        <v>73.333333333333329</v>
      </c>
      <c r="Q57" s="4"/>
    </row>
    <row r="58" spans="1:17" ht="25.5" x14ac:dyDescent="0.2">
      <c r="A58" s="4">
        <v>52</v>
      </c>
      <c r="B58" s="4" t="s">
        <v>116</v>
      </c>
      <c r="C58" s="4"/>
      <c r="D58" s="5" t="s">
        <v>117</v>
      </c>
      <c r="E58" s="4">
        <v>5</v>
      </c>
      <c r="F58" s="4">
        <v>4</v>
      </c>
      <c r="G58" s="4">
        <v>7</v>
      </c>
      <c r="H58" s="4">
        <v>4</v>
      </c>
      <c r="I58" s="4">
        <v>5</v>
      </c>
      <c r="J58" s="4">
        <v>4</v>
      </c>
      <c r="K58" s="4">
        <v>5</v>
      </c>
      <c r="L58" s="4">
        <v>7</v>
      </c>
      <c r="M58" s="4">
        <v>7</v>
      </c>
      <c r="N58" s="4">
        <v>60</v>
      </c>
      <c r="O58" s="4">
        <f t="shared" si="0"/>
        <v>48</v>
      </c>
      <c r="P58" s="7">
        <f t="shared" si="1"/>
        <v>80</v>
      </c>
      <c r="Q58" s="4"/>
    </row>
  </sheetData>
  <mergeCells count="12">
    <mergeCell ref="A1:Q1"/>
    <mergeCell ref="A3:Q3"/>
    <mergeCell ref="A4:A6"/>
    <mergeCell ref="B4:B6"/>
    <mergeCell ref="C4:C6"/>
    <mergeCell ref="D4:D6"/>
    <mergeCell ref="E4:M4"/>
    <mergeCell ref="N4:N5"/>
    <mergeCell ref="O4:O6"/>
    <mergeCell ref="P4:P6"/>
    <mergeCell ref="Q4:Q6"/>
    <mergeCell ref="A2:Q2"/>
  </mergeCells>
  <printOptions horizontalCentered="1"/>
  <pageMargins left="0.25" right="0.25" top="0.5" bottom="0.5" header="0.05" footer="0.05"/>
  <pageSetup paperSize="9" fitToHeight="0" orientation="landscape" r:id="rId1"/>
  <ignoredErrors>
    <ignoredError sqref="O7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3CBCD-1F78-4D0E-8FCF-9D808A1A2F00}">
  <dimension ref="A1:R64"/>
  <sheetViews>
    <sheetView topLeftCell="A40" workbookViewId="0">
      <selection activeCell="B4" sqref="B1:C1048576"/>
    </sheetView>
  </sheetViews>
  <sheetFormatPr defaultRowHeight="12" x14ac:dyDescent="0.2"/>
  <cols>
    <col min="1" max="1" width="3.140625" style="1" bestFit="1" customWidth="1"/>
    <col min="2" max="2" width="14.28515625" style="46" bestFit="1" customWidth="1"/>
    <col min="3" max="3" width="16.28515625" style="46" bestFit="1" customWidth="1"/>
    <col min="4" max="4" width="9.140625" style="1"/>
    <col min="5" max="17" width="6.7109375" style="1" customWidth="1"/>
    <col min="18" max="18" width="15.85546875" style="1" customWidth="1"/>
    <col min="19" max="16384" width="9.140625" style="1"/>
  </cols>
  <sheetData>
    <row r="1" spans="1:18" ht="15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15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3" spans="1:18" ht="15" x14ac:dyDescent="0.2">
      <c r="A3" s="38" t="s">
        <v>600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</row>
    <row r="4" spans="1:18" x14ac:dyDescent="0.2">
      <c r="A4" s="25" t="s">
        <v>2</v>
      </c>
      <c r="B4" s="25" t="s">
        <v>4</v>
      </c>
      <c r="C4" s="25" t="s">
        <v>5</v>
      </c>
      <c r="D4" s="25" t="s">
        <v>3</v>
      </c>
      <c r="E4" s="29" t="s">
        <v>6</v>
      </c>
      <c r="F4" s="29"/>
      <c r="G4" s="29"/>
      <c r="H4" s="29"/>
      <c r="I4" s="29"/>
      <c r="J4" s="29"/>
      <c r="K4" s="29"/>
      <c r="L4" s="29"/>
      <c r="M4" s="29"/>
      <c r="N4" s="29"/>
      <c r="O4" s="25" t="s">
        <v>14</v>
      </c>
      <c r="P4" s="25" t="s">
        <v>15</v>
      </c>
      <c r="Q4" s="25" t="s">
        <v>16</v>
      </c>
      <c r="R4" s="25" t="s">
        <v>17</v>
      </c>
    </row>
    <row r="5" spans="1:18" ht="47.25" x14ac:dyDescent="0.2">
      <c r="A5" s="25"/>
      <c r="B5" s="25"/>
      <c r="C5" s="25"/>
      <c r="D5" s="25"/>
      <c r="E5" s="2" t="s">
        <v>7</v>
      </c>
      <c r="F5" s="2" t="s">
        <v>8</v>
      </c>
      <c r="G5" s="2" t="s">
        <v>9</v>
      </c>
      <c r="H5" s="2" t="s">
        <v>278</v>
      </c>
      <c r="I5" s="2" t="s">
        <v>10</v>
      </c>
      <c r="J5" s="2" t="s">
        <v>181</v>
      </c>
      <c r="K5" s="2" t="s">
        <v>11</v>
      </c>
      <c r="L5" s="2" t="s">
        <v>599</v>
      </c>
      <c r="M5" s="2" t="s">
        <v>12</v>
      </c>
      <c r="N5" s="2" t="s">
        <v>13</v>
      </c>
      <c r="O5" s="25"/>
      <c r="P5" s="25"/>
      <c r="Q5" s="25"/>
      <c r="R5" s="25"/>
    </row>
    <row r="6" spans="1:18" x14ac:dyDescent="0.2">
      <c r="A6" s="25"/>
      <c r="B6" s="25"/>
      <c r="C6" s="25"/>
      <c r="D6" s="25"/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10</v>
      </c>
      <c r="L6" s="3">
        <v>10</v>
      </c>
      <c r="M6" s="3">
        <v>10</v>
      </c>
      <c r="N6" s="3">
        <v>10</v>
      </c>
      <c r="O6" s="3">
        <v>70</v>
      </c>
      <c r="P6" s="25"/>
      <c r="Q6" s="25"/>
      <c r="R6" s="25"/>
    </row>
    <row r="7" spans="1:18" ht="21" x14ac:dyDescent="0.35">
      <c r="A7" s="30" t="s">
        <v>182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1:18" ht="25.5" x14ac:dyDescent="0.2">
      <c r="A8" s="4">
        <v>1</v>
      </c>
      <c r="B8" s="15" t="s">
        <v>183</v>
      </c>
      <c r="C8" s="15" t="s">
        <v>184</v>
      </c>
      <c r="D8" s="6" t="s">
        <v>185</v>
      </c>
      <c r="E8" s="4">
        <v>5</v>
      </c>
      <c r="F8" s="4">
        <v>5</v>
      </c>
      <c r="G8" s="4">
        <v>4</v>
      </c>
      <c r="H8" s="4">
        <v>4</v>
      </c>
      <c r="I8" s="4">
        <v>5</v>
      </c>
      <c r="J8" s="4">
        <v>4</v>
      </c>
      <c r="K8" s="4">
        <v>8</v>
      </c>
      <c r="L8" s="4">
        <v>8</v>
      </c>
      <c r="M8" s="4">
        <v>10</v>
      </c>
      <c r="N8" s="4">
        <v>8</v>
      </c>
      <c r="O8" s="4">
        <v>70</v>
      </c>
      <c r="P8" s="4">
        <f>SUM(E8:N8)</f>
        <v>61</v>
      </c>
      <c r="Q8" s="4">
        <f>P8/O8*100</f>
        <v>87.142857142857139</v>
      </c>
      <c r="R8" s="4"/>
    </row>
    <row r="9" spans="1:18" ht="25.5" x14ac:dyDescent="0.2">
      <c r="A9" s="4">
        <v>2</v>
      </c>
      <c r="B9" s="15" t="s">
        <v>160</v>
      </c>
      <c r="C9" s="15" t="s">
        <v>186</v>
      </c>
      <c r="D9" s="6" t="s">
        <v>185</v>
      </c>
      <c r="E9" s="4">
        <v>5</v>
      </c>
      <c r="F9" s="4">
        <v>4</v>
      </c>
      <c r="G9" s="4">
        <v>4</v>
      </c>
      <c r="H9" s="4">
        <v>4</v>
      </c>
      <c r="I9" s="4">
        <v>5</v>
      </c>
      <c r="J9" s="4">
        <v>5</v>
      </c>
      <c r="K9" s="4">
        <v>8</v>
      </c>
      <c r="L9" s="4">
        <v>8</v>
      </c>
      <c r="M9" s="4">
        <v>9</v>
      </c>
      <c r="N9" s="4">
        <v>10</v>
      </c>
      <c r="O9" s="4">
        <v>70</v>
      </c>
      <c r="P9" s="4">
        <f>SUM(E9:N9)</f>
        <v>62</v>
      </c>
      <c r="Q9" s="4">
        <f>P9/O9*100</f>
        <v>88.571428571428569</v>
      </c>
      <c r="R9" s="4"/>
    </row>
    <row r="10" spans="1:18" ht="25.5" x14ac:dyDescent="0.2">
      <c r="A10" s="4">
        <v>3</v>
      </c>
      <c r="B10" s="15" t="s">
        <v>187</v>
      </c>
      <c r="C10" s="15" t="s">
        <v>96</v>
      </c>
      <c r="D10" s="6" t="s">
        <v>185</v>
      </c>
      <c r="E10" s="4">
        <v>5</v>
      </c>
      <c r="F10" s="4">
        <v>5</v>
      </c>
      <c r="G10" s="4">
        <v>5</v>
      </c>
      <c r="H10" s="4">
        <v>5</v>
      </c>
      <c r="I10" s="4">
        <v>5</v>
      </c>
      <c r="J10" s="4">
        <v>5</v>
      </c>
      <c r="K10" s="4">
        <v>8</v>
      </c>
      <c r="L10" s="4">
        <v>8</v>
      </c>
      <c r="M10" s="4">
        <v>8</v>
      </c>
      <c r="N10" s="4">
        <v>10</v>
      </c>
      <c r="O10" s="4">
        <v>70</v>
      </c>
      <c r="P10" s="4">
        <f>SUM(E10:N10)</f>
        <v>64</v>
      </c>
      <c r="Q10" s="4">
        <f>P10/O10*100</f>
        <v>91.428571428571431</v>
      </c>
      <c r="R10" s="4"/>
    </row>
    <row r="11" spans="1:18" ht="25.5" x14ac:dyDescent="0.2">
      <c r="A11" s="4">
        <v>4</v>
      </c>
      <c r="B11" s="15" t="s">
        <v>188</v>
      </c>
      <c r="C11" s="15" t="s">
        <v>189</v>
      </c>
      <c r="D11" s="6" t="s">
        <v>185</v>
      </c>
      <c r="E11" s="4">
        <v>4</v>
      </c>
      <c r="F11" s="4">
        <v>4</v>
      </c>
      <c r="G11" s="4">
        <v>5</v>
      </c>
      <c r="H11" s="4">
        <v>5</v>
      </c>
      <c r="I11" s="4">
        <v>4</v>
      </c>
      <c r="J11" s="4">
        <v>5</v>
      </c>
      <c r="K11" s="4">
        <v>9</v>
      </c>
      <c r="L11" s="4">
        <v>9</v>
      </c>
      <c r="M11" s="4">
        <v>8</v>
      </c>
      <c r="N11" s="4">
        <v>10</v>
      </c>
      <c r="O11" s="4">
        <v>70</v>
      </c>
      <c r="P11" s="4">
        <f>SUM(E11:N11)</f>
        <v>63</v>
      </c>
      <c r="Q11" s="4">
        <f>P11/O11*100</f>
        <v>90</v>
      </c>
      <c r="R11" s="4"/>
    </row>
    <row r="12" spans="1:18" ht="25.5" x14ac:dyDescent="0.2">
      <c r="A12" s="4">
        <v>5</v>
      </c>
      <c r="B12" s="15" t="s">
        <v>161</v>
      </c>
      <c r="C12" s="15" t="s">
        <v>190</v>
      </c>
      <c r="D12" s="6" t="s">
        <v>185</v>
      </c>
      <c r="E12" s="4">
        <v>5</v>
      </c>
      <c r="F12" s="4">
        <v>5</v>
      </c>
      <c r="G12" s="4">
        <v>5</v>
      </c>
      <c r="H12" s="4">
        <v>4</v>
      </c>
      <c r="I12" s="4">
        <v>4</v>
      </c>
      <c r="J12" s="4">
        <v>5</v>
      </c>
      <c r="K12" s="4">
        <v>9</v>
      </c>
      <c r="L12" s="4">
        <v>9</v>
      </c>
      <c r="M12" s="4">
        <v>7</v>
      </c>
      <c r="N12" s="4">
        <v>10</v>
      </c>
      <c r="O12" s="4">
        <v>70</v>
      </c>
      <c r="P12" s="4">
        <f>SUM(E12:N12)</f>
        <v>63</v>
      </c>
      <c r="Q12" s="4">
        <f>P12/O12*100</f>
        <v>90</v>
      </c>
      <c r="R12" s="4"/>
    </row>
    <row r="13" spans="1:18" ht="25.5" x14ac:dyDescent="0.2">
      <c r="A13" s="4">
        <v>6</v>
      </c>
      <c r="B13" s="15" t="s">
        <v>191</v>
      </c>
      <c r="C13" s="15" t="s">
        <v>192</v>
      </c>
      <c r="D13" s="6" t="s">
        <v>185</v>
      </c>
      <c r="E13" s="4">
        <v>5</v>
      </c>
      <c r="F13" s="4">
        <v>5</v>
      </c>
      <c r="G13" s="4">
        <v>5</v>
      </c>
      <c r="H13" s="4">
        <v>5</v>
      </c>
      <c r="I13" s="4">
        <v>4</v>
      </c>
      <c r="J13" s="4">
        <v>4</v>
      </c>
      <c r="K13" s="4">
        <v>9</v>
      </c>
      <c r="L13" s="4">
        <v>9</v>
      </c>
      <c r="M13" s="4">
        <v>10</v>
      </c>
      <c r="N13" s="4">
        <v>10</v>
      </c>
      <c r="O13" s="4">
        <v>70</v>
      </c>
      <c r="P13" s="4">
        <f>SUM(E13:N13)</f>
        <v>66</v>
      </c>
      <c r="Q13" s="4">
        <f>P13/O13*100</f>
        <v>94.285714285714278</v>
      </c>
      <c r="R13" s="4"/>
    </row>
    <row r="14" spans="1:18" ht="25.5" x14ac:dyDescent="0.2">
      <c r="A14" s="4">
        <v>7</v>
      </c>
      <c r="B14" s="15" t="s">
        <v>163</v>
      </c>
      <c r="C14" s="15" t="s">
        <v>193</v>
      </c>
      <c r="D14" s="6" t="s">
        <v>185</v>
      </c>
      <c r="E14" s="4">
        <v>5</v>
      </c>
      <c r="F14" s="4">
        <v>5</v>
      </c>
      <c r="G14" s="4">
        <v>4</v>
      </c>
      <c r="H14" s="4">
        <v>4</v>
      </c>
      <c r="I14" s="4">
        <v>4</v>
      </c>
      <c r="J14" s="4">
        <v>4</v>
      </c>
      <c r="K14" s="4">
        <v>9</v>
      </c>
      <c r="L14" s="4">
        <v>9</v>
      </c>
      <c r="M14" s="4">
        <v>9</v>
      </c>
      <c r="N14" s="4">
        <v>10</v>
      </c>
      <c r="O14" s="4">
        <v>70</v>
      </c>
      <c r="P14" s="4">
        <f>SUM(E14:N14)</f>
        <v>63</v>
      </c>
      <c r="Q14" s="4">
        <f>P14/O14*100</f>
        <v>90</v>
      </c>
      <c r="R14" s="4"/>
    </row>
    <row r="15" spans="1:18" ht="25.5" x14ac:dyDescent="0.2">
      <c r="A15" s="4">
        <v>8</v>
      </c>
      <c r="B15" s="15" t="s">
        <v>162</v>
      </c>
      <c r="C15" s="15" t="s">
        <v>194</v>
      </c>
      <c r="D15" s="6" t="s">
        <v>185</v>
      </c>
      <c r="E15" s="4">
        <v>4</v>
      </c>
      <c r="F15" s="4">
        <v>4</v>
      </c>
      <c r="G15" s="4">
        <v>4</v>
      </c>
      <c r="H15" s="4">
        <v>4</v>
      </c>
      <c r="I15" s="4">
        <v>3</v>
      </c>
      <c r="J15" s="4">
        <v>4</v>
      </c>
      <c r="K15" s="4">
        <v>7</v>
      </c>
      <c r="L15" s="4">
        <v>7</v>
      </c>
      <c r="M15" s="4">
        <v>9</v>
      </c>
      <c r="N15" s="4">
        <v>10</v>
      </c>
      <c r="O15" s="4">
        <v>70</v>
      </c>
      <c r="P15" s="4">
        <f>SUM(E15:N15)</f>
        <v>56</v>
      </c>
      <c r="Q15" s="4">
        <f>P15/O15*100</f>
        <v>80</v>
      </c>
      <c r="R15" s="4"/>
    </row>
    <row r="16" spans="1:18" ht="25.5" x14ac:dyDescent="0.2">
      <c r="A16" s="4">
        <v>9</v>
      </c>
      <c r="B16" s="15" t="s">
        <v>195</v>
      </c>
      <c r="C16" s="15" t="s">
        <v>196</v>
      </c>
      <c r="D16" s="6" t="s">
        <v>185</v>
      </c>
      <c r="E16" s="4">
        <v>5</v>
      </c>
      <c r="F16" s="4">
        <v>5</v>
      </c>
      <c r="G16" s="4">
        <v>5</v>
      </c>
      <c r="H16" s="4">
        <v>5</v>
      </c>
      <c r="I16" s="4">
        <v>4</v>
      </c>
      <c r="J16" s="4">
        <v>5</v>
      </c>
      <c r="K16" s="4">
        <v>8</v>
      </c>
      <c r="L16" s="4">
        <v>9</v>
      </c>
      <c r="M16" s="4">
        <v>7</v>
      </c>
      <c r="N16" s="4">
        <v>10</v>
      </c>
      <c r="O16" s="4">
        <v>70</v>
      </c>
      <c r="P16" s="4">
        <f>SUM(E16:N16)</f>
        <v>63</v>
      </c>
      <c r="Q16" s="4">
        <f>P16/O16*100</f>
        <v>90</v>
      </c>
      <c r="R16" s="4"/>
    </row>
    <row r="17" spans="1:18" ht="25.5" x14ac:dyDescent="0.2">
      <c r="A17" s="4">
        <v>10</v>
      </c>
      <c r="B17" s="15" t="s">
        <v>197</v>
      </c>
      <c r="C17" s="15" t="s">
        <v>198</v>
      </c>
      <c r="D17" s="6" t="s">
        <v>185</v>
      </c>
      <c r="E17" s="4">
        <v>3</v>
      </c>
      <c r="F17" s="4">
        <v>3</v>
      </c>
      <c r="G17" s="4">
        <v>4</v>
      </c>
      <c r="H17" s="4">
        <v>4</v>
      </c>
      <c r="I17" s="4">
        <v>3</v>
      </c>
      <c r="J17" s="4">
        <v>4</v>
      </c>
      <c r="K17" s="4">
        <v>7</v>
      </c>
      <c r="L17" s="4">
        <v>7</v>
      </c>
      <c r="M17" s="4">
        <v>7</v>
      </c>
      <c r="N17" s="4">
        <v>10</v>
      </c>
      <c r="O17" s="4">
        <v>70</v>
      </c>
      <c r="P17" s="4">
        <f>SUM(E17:N17)</f>
        <v>52</v>
      </c>
      <c r="Q17" s="4">
        <f>P17/O17*100</f>
        <v>74.285714285714292</v>
      </c>
      <c r="R17" s="4"/>
    </row>
    <row r="18" spans="1:18" ht="25.5" x14ac:dyDescent="0.2">
      <c r="A18" s="4">
        <v>11</v>
      </c>
      <c r="B18" s="15" t="s">
        <v>199</v>
      </c>
      <c r="C18" s="15" t="s">
        <v>200</v>
      </c>
      <c r="D18" s="6" t="s">
        <v>185</v>
      </c>
      <c r="E18" s="4">
        <v>5</v>
      </c>
      <c r="F18" s="4">
        <v>5</v>
      </c>
      <c r="G18" s="4">
        <v>5</v>
      </c>
      <c r="H18" s="4">
        <v>5</v>
      </c>
      <c r="I18" s="4">
        <v>5</v>
      </c>
      <c r="J18" s="4">
        <v>4</v>
      </c>
      <c r="K18" s="4">
        <v>8</v>
      </c>
      <c r="L18" s="4">
        <v>9</v>
      </c>
      <c r="M18" s="4">
        <v>7</v>
      </c>
      <c r="N18" s="4">
        <v>10</v>
      </c>
      <c r="O18" s="4">
        <v>70</v>
      </c>
      <c r="P18" s="4">
        <f>SUM(E18:N18)</f>
        <v>63</v>
      </c>
      <c r="Q18" s="4">
        <f>P18/O18*100</f>
        <v>90</v>
      </c>
      <c r="R18" s="4"/>
    </row>
    <row r="19" spans="1:18" ht="25.5" x14ac:dyDescent="0.2">
      <c r="A19" s="4">
        <v>12</v>
      </c>
      <c r="B19" s="15" t="s">
        <v>201</v>
      </c>
      <c r="C19" s="15" t="s">
        <v>37</v>
      </c>
      <c r="D19" s="6" t="s">
        <v>185</v>
      </c>
      <c r="E19" s="4">
        <v>5</v>
      </c>
      <c r="F19" s="4">
        <v>4</v>
      </c>
      <c r="G19" s="4">
        <v>4</v>
      </c>
      <c r="H19" s="4">
        <v>4</v>
      </c>
      <c r="I19" s="4">
        <v>3</v>
      </c>
      <c r="J19" s="4">
        <v>4</v>
      </c>
      <c r="K19" s="4">
        <v>8</v>
      </c>
      <c r="L19" s="4">
        <v>8</v>
      </c>
      <c r="M19" s="4">
        <v>7</v>
      </c>
      <c r="N19" s="4">
        <v>10</v>
      </c>
      <c r="O19" s="4">
        <v>70</v>
      </c>
      <c r="P19" s="4">
        <f>SUM(E19:N19)</f>
        <v>57</v>
      </c>
      <c r="Q19" s="4">
        <f>P19/O19*100</f>
        <v>81.428571428571431</v>
      </c>
      <c r="R19" s="4"/>
    </row>
    <row r="20" spans="1:18" ht="25.5" x14ac:dyDescent="0.2">
      <c r="A20" s="4">
        <v>13</v>
      </c>
      <c r="B20" s="15" t="s">
        <v>202</v>
      </c>
      <c r="C20" s="15" t="s">
        <v>203</v>
      </c>
      <c r="D20" s="6" t="s">
        <v>185</v>
      </c>
      <c r="E20" s="4">
        <v>5</v>
      </c>
      <c r="F20" s="4">
        <v>5</v>
      </c>
      <c r="G20" s="4">
        <v>5</v>
      </c>
      <c r="H20" s="4">
        <v>5</v>
      </c>
      <c r="I20" s="4">
        <v>4</v>
      </c>
      <c r="J20" s="4">
        <v>4</v>
      </c>
      <c r="K20" s="4">
        <v>8</v>
      </c>
      <c r="L20" s="4">
        <v>9</v>
      </c>
      <c r="M20" s="4">
        <v>8</v>
      </c>
      <c r="N20" s="4">
        <v>10</v>
      </c>
      <c r="O20" s="4">
        <v>70</v>
      </c>
      <c r="P20" s="4">
        <f>SUM(E20:N20)</f>
        <v>63</v>
      </c>
      <c r="Q20" s="4">
        <f>P20/O20*100</f>
        <v>90</v>
      </c>
      <c r="R20" s="4"/>
    </row>
    <row r="21" spans="1:18" ht="25.5" x14ac:dyDescent="0.2">
      <c r="A21" s="4">
        <v>14</v>
      </c>
      <c r="B21" s="15" t="s">
        <v>204</v>
      </c>
      <c r="C21" s="15" t="s">
        <v>205</v>
      </c>
      <c r="D21" s="6" t="s">
        <v>185</v>
      </c>
      <c r="E21" s="4">
        <v>5</v>
      </c>
      <c r="F21" s="4">
        <v>5</v>
      </c>
      <c r="G21" s="4">
        <v>5</v>
      </c>
      <c r="H21" s="4">
        <v>5</v>
      </c>
      <c r="I21" s="4">
        <v>4</v>
      </c>
      <c r="J21" s="4">
        <v>4</v>
      </c>
      <c r="K21" s="4">
        <v>8</v>
      </c>
      <c r="L21" s="4">
        <v>9</v>
      </c>
      <c r="M21" s="4">
        <v>8</v>
      </c>
      <c r="N21" s="4">
        <v>10</v>
      </c>
      <c r="O21" s="4">
        <v>70</v>
      </c>
      <c r="P21" s="4">
        <f>SUM(E21:N21)</f>
        <v>63</v>
      </c>
      <c r="Q21" s="4">
        <f>P21/O21*100</f>
        <v>90</v>
      </c>
      <c r="R21" s="4"/>
    </row>
    <row r="22" spans="1:18" ht="25.5" x14ac:dyDescent="0.2">
      <c r="A22" s="4">
        <v>15</v>
      </c>
      <c r="B22" s="15" t="s">
        <v>206</v>
      </c>
      <c r="C22" s="15" t="s">
        <v>207</v>
      </c>
      <c r="D22" s="6" t="s">
        <v>185</v>
      </c>
      <c r="E22" s="4">
        <v>5</v>
      </c>
      <c r="F22" s="4">
        <v>5</v>
      </c>
      <c r="G22" s="4">
        <v>5</v>
      </c>
      <c r="H22" s="4">
        <v>5</v>
      </c>
      <c r="I22" s="4">
        <v>4</v>
      </c>
      <c r="J22" s="4">
        <v>4</v>
      </c>
      <c r="K22" s="4">
        <v>8</v>
      </c>
      <c r="L22" s="4">
        <v>9</v>
      </c>
      <c r="M22" s="4">
        <v>8</v>
      </c>
      <c r="N22" s="4">
        <v>10</v>
      </c>
      <c r="O22" s="4">
        <v>70</v>
      </c>
      <c r="P22" s="4">
        <f>SUM(E22:N22)</f>
        <v>63</v>
      </c>
      <c r="Q22" s="4">
        <f>P22/O22*100</f>
        <v>90</v>
      </c>
      <c r="R22" s="4"/>
    </row>
    <row r="23" spans="1:18" ht="25.5" x14ac:dyDescent="0.2">
      <c r="A23" s="4">
        <v>16</v>
      </c>
      <c r="B23" s="15" t="s">
        <v>158</v>
      </c>
      <c r="C23" s="15" t="s">
        <v>192</v>
      </c>
      <c r="D23" s="6" t="s">
        <v>185</v>
      </c>
      <c r="E23" s="4">
        <v>5</v>
      </c>
      <c r="F23" s="4">
        <v>5</v>
      </c>
      <c r="G23" s="4">
        <v>5</v>
      </c>
      <c r="H23" s="4">
        <v>5</v>
      </c>
      <c r="I23" s="4">
        <v>5</v>
      </c>
      <c r="J23" s="4">
        <v>5</v>
      </c>
      <c r="K23" s="4">
        <v>9</v>
      </c>
      <c r="L23" s="4">
        <v>9</v>
      </c>
      <c r="M23" s="4">
        <v>9</v>
      </c>
      <c r="N23" s="4">
        <v>10</v>
      </c>
      <c r="O23" s="4">
        <v>70</v>
      </c>
      <c r="P23" s="4">
        <f>SUM(E23:N23)</f>
        <v>67</v>
      </c>
      <c r="Q23" s="4">
        <f>P23/O23*100</f>
        <v>95.714285714285722</v>
      </c>
      <c r="R23" s="4"/>
    </row>
    <row r="24" spans="1:18" ht="25.5" x14ac:dyDescent="0.2">
      <c r="A24" s="4">
        <v>17</v>
      </c>
      <c r="B24" s="15" t="s">
        <v>208</v>
      </c>
      <c r="C24" s="15" t="s">
        <v>209</v>
      </c>
      <c r="D24" s="6" t="s">
        <v>185</v>
      </c>
      <c r="E24" s="4">
        <v>5</v>
      </c>
      <c r="F24" s="4">
        <v>4</v>
      </c>
      <c r="G24" s="4">
        <v>4</v>
      </c>
      <c r="H24" s="4">
        <v>4</v>
      </c>
      <c r="I24" s="4">
        <v>4</v>
      </c>
      <c r="J24" s="4">
        <v>4</v>
      </c>
      <c r="K24" s="4">
        <v>8</v>
      </c>
      <c r="L24" s="4">
        <v>8</v>
      </c>
      <c r="M24" s="4">
        <v>9</v>
      </c>
      <c r="N24" s="4">
        <v>10</v>
      </c>
      <c r="O24" s="4">
        <v>70</v>
      </c>
      <c r="P24" s="4">
        <f>SUM(E24:N24)</f>
        <v>60</v>
      </c>
      <c r="Q24" s="4">
        <f>P24/O24*100</f>
        <v>85.714285714285708</v>
      </c>
      <c r="R24" s="4"/>
    </row>
    <row r="25" spans="1:18" ht="25.5" x14ac:dyDescent="0.2">
      <c r="A25" s="4">
        <v>18</v>
      </c>
      <c r="B25" s="15" t="s">
        <v>210</v>
      </c>
      <c r="C25" s="15" t="s">
        <v>211</v>
      </c>
      <c r="D25" s="6" t="s">
        <v>185</v>
      </c>
      <c r="E25" s="4">
        <v>5</v>
      </c>
      <c r="F25" s="4">
        <v>5</v>
      </c>
      <c r="G25" s="4">
        <v>4</v>
      </c>
      <c r="H25" s="4">
        <v>5</v>
      </c>
      <c r="I25" s="4">
        <v>4</v>
      </c>
      <c r="J25" s="4">
        <v>5</v>
      </c>
      <c r="K25" s="4">
        <v>9</v>
      </c>
      <c r="L25" s="4">
        <v>9</v>
      </c>
      <c r="M25" s="4">
        <v>7</v>
      </c>
      <c r="N25" s="4">
        <v>10</v>
      </c>
      <c r="O25" s="4">
        <v>70</v>
      </c>
      <c r="P25" s="4">
        <f>SUM(E25:N25)</f>
        <v>63</v>
      </c>
      <c r="Q25" s="4">
        <f>P25/O25*100</f>
        <v>90</v>
      </c>
      <c r="R25" s="4"/>
    </row>
    <row r="26" spans="1:18" ht="25.5" x14ac:dyDescent="0.2">
      <c r="A26" s="4">
        <v>19</v>
      </c>
      <c r="B26" s="15" t="s">
        <v>212</v>
      </c>
      <c r="C26" s="15" t="s">
        <v>213</v>
      </c>
      <c r="D26" s="6" t="s">
        <v>185</v>
      </c>
      <c r="E26" s="4">
        <v>5</v>
      </c>
      <c r="F26" s="4">
        <v>5</v>
      </c>
      <c r="G26" s="4">
        <v>4</v>
      </c>
      <c r="H26" s="4">
        <v>5</v>
      </c>
      <c r="I26" s="4">
        <v>4</v>
      </c>
      <c r="J26" s="4">
        <v>5</v>
      </c>
      <c r="K26" s="4">
        <v>9</v>
      </c>
      <c r="L26" s="4">
        <v>9</v>
      </c>
      <c r="M26" s="4">
        <v>7</v>
      </c>
      <c r="N26" s="4">
        <v>10</v>
      </c>
      <c r="O26" s="4">
        <v>70</v>
      </c>
      <c r="P26" s="4">
        <f>SUM(E26:N26)</f>
        <v>63</v>
      </c>
      <c r="Q26" s="4">
        <f>P26/O26*100</f>
        <v>90</v>
      </c>
      <c r="R26" s="4"/>
    </row>
    <row r="27" spans="1:18" ht="25.5" x14ac:dyDescent="0.2">
      <c r="A27" s="4">
        <v>20</v>
      </c>
      <c r="B27" s="15" t="s">
        <v>214</v>
      </c>
      <c r="C27" s="15" t="s">
        <v>215</v>
      </c>
      <c r="D27" s="6" t="s">
        <v>185</v>
      </c>
      <c r="E27" s="4">
        <v>5</v>
      </c>
      <c r="F27" s="4">
        <v>5</v>
      </c>
      <c r="G27" s="4">
        <v>4</v>
      </c>
      <c r="H27" s="4">
        <v>5</v>
      </c>
      <c r="I27" s="4">
        <v>4</v>
      </c>
      <c r="J27" s="4">
        <v>5</v>
      </c>
      <c r="K27" s="4">
        <v>9</v>
      </c>
      <c r="L27" s="4">
        <v>9</v>
      </c>
      <c r="M27" s="4">
        <v>7</v>
      </c>
      <c r="N27" s="4">
        <v>10</v>
      </c>
      <c r="O27" s="4">
        <v>70</v>
      </c>
      <c r="P27" s="4">
        <f>SUM(E27:N27)</f>
        <v>63</v>
      </c>
      <c r="Q27" s="4">
        <f>P27/O27*100</f>
        <v>90</v>
      </c>
      <c r="R27" s="4"/>
    </row>
    <row r="28" spans="1:18" ht="25.5" x14ac:dyDescent="0.2">
      <c r="A28" s="4">
        <v>21</v>
      </c>
      <c r="B28" s="15" t="s">
        <v>216</v>
      </c>
      <c r="C28" s="15" t="s">
        <v>217</v>
      </c>
      <c r="D28" s="6" t="s">
        <v>185</v>
      </c>
      <c r="E28" s="4">
        <v>5</v>
      </c>
      <c r="F28" s="4">
        <v>5</v>
      </c>
      <c r="G28" s="4">
        <v>4</v>
      </c>
      <c r="H28" s="4">
        <v>5</v>
      </c>
      <c r="I28" s="4">
        <v>4</v>
      </c>
      <c r="J28" s="4">
        <v>5</v>
      </c>
      <c r="K28" s="4">
        <v>9</v>
      </c>
      <c r="L28" s="4">
        <v>9</v>
      </c>
      <c r="M28" s="4">
        <v>7</v>
      </c>
      <c r="N28" s="4">
        <v>10</v>
      </c>
      <c r="O28" s="4">
        <v>70</v>
      </c>
      <c r="P28" s="4">
        <f>SUM(E28:N28)</f>
        <v>63</v>
      </c>
      <c r="Q28" s="4">
        <f>P28/O28*100</f>
        <v>90</v>
      </c>
      <c r="R28" s="4"/>
    </row>
    <row r="29" spans="1:18" ht="25.5" x14ac:dyDescent="0.2">
      <c r="A29" s="4">
        <v>22</v>
      </c>
      <c r="B29" s="15" t="s">
        <v>218</v>
      </c>
      <c r="C29" s="15" t="s">
        <v>219</v>
      </c>
      <c r="D29" s="6" t="s">
        <v>185</v>
      </c>
      <c r="E29" s="4">
        <v>5</v>
      </c>
      <c r="F29" s="4">
        <v>5</v>
      </c>
      <c r="G29" s="4">
        <v>4</v>
      </c>
      <c r="H29" s="4">
        <v>5</v>
      </c>
      <c r="I29" s="4">
        <v>4</v>
      </c>
      <c r="J29" s="4">
        <v>5</v>
      </c>
      <c r="K29" s="4">
        <v>9</v>
      </c>
      <c r="L29" s="4">
        <v>9</v>
      </c>
      <c r="M29" s="4">
        <v>7</v>
      </c>
      <c r="N29" s="4">
        <v>10</v>
      </c>
      <c r="O29" s="4">
        <v>70</v>
      </c>
      <c r="P29" s="4">
        <f>SUM(E29:N29)</f>
        <v>63</v>
      </c>
      <c r="Q29" s="4">
        <f>P29/O29*100</f>
        <v>90</v>
      </c>
      <c r="R29" s="4"/>
    </row>
    <row r="30" spans="1:18" ht="25.5" x14ac:dyDescent="0.2">
      <c r="A30" s="4">
        <v>23</v>
      </c>
      <c r="B30" s="15" t="s">
        <v>220</v>
      </c>
      <c r="C30" s="15" t="s">
        <v>190</v>
      </c>
      <c r="D30" s="6" t="s">
        <v>185</v>
      </c>
      <c r="E30" s="4">
        <v>5</v>
      </c>
      <c r="F30" s="4">
        <v>5</v>
      </c>
      <c r="G30" s="4">
        <v>4</v>
      </c>
      <c r="H30" s="4">
        <v>5</v>
      </c>
      <c r="I30" s="4">
        <v>4</v>
      </c>
      <c r="J30" s="4">
        <v>5</v>
      </c>
      <c r="K30" s="4">
        <v>9</v>
      </c>
      <c r="L30" s="4">
        <v>9</v>
      </c>
      <c r="M30" s="4">
        <v>7</v>
      </c>
      <c r="N30" s="4">
        <v>10</v>
      </c>
      <c r="O30" s="4">
        <v>70</v>
      </c>
      <c r="P30" s="4">
        <f>SUM(E30:N30)</f>
        <v>63</v>
      </c>
      <c r="Q30" s="4">
        <f>P30/O30*100</f>
        <v>90</v>
      </c>
      <c r="R30" s="4"/>
    </row>
    <row r="31" spans="1:18" ht="25.5" x14ac:dyDescent="0.2">
      <c r="A31" s="4">
        <v>24</v>
      </c>
      <c r="B31" s="15" t="s">
        <v>221</v>
      </c>
      <c r="C31" s="15" t="s">
        <v>222</v>
      </c>
      <c r="D31" s="6" t="s">
        <v>185</v>
      </c>
      <c r="E31" s="4">
        <v>5</v>
      </c>
      <c r="F31" s="4">
        <v>5</v>
      </c>
      <c r="G31" s="4">
        <v>4</v>
      </c>
      <c r="H31" s="4">
        <v>5</v>
      </c>
      <c r="I31" s="4">
        <v>4</v>
      </c>
      <c r="J31" s="4">
        <v>5</v>
      </c>
      <c r="K31" s="4">
        <v>9</v>
      </c>
      <c r="L31" s="4">
        <v>9</v>
      </c>
      <c r="M31" s="4">
        <v>7</v>
      </c>
      <c r="N31" s="4">
        <v>10</v>
      </c>
      <c r="O31" s="4">
        <v>70</v>
      </c>
      <c r="P31" s="4">
        <f>SUM(E31:N31)</f>
        <v>63</v>
      </c>
      <c r="Q31" s="4">
        <f>P31/O31*100</f>
        <v>90</v>
      </c>
      <c r="R31" s="4"/>
    </row>
    <row r="32" spans="1:18" ht="25.5" x14ac:dyDescent="0.2">
      <c r="A32" s="4">
        <v>25</v>
      </c>
      <c r="B32" s="15" t="s">
        <v>223</v>
      </c>
      <c r="C32" s="15"/>
      <c r="D32" s="6" t="s">
        <v>185</v>
      </c>
      <c r="E32" s="4">
        <v>5</v>
      </c>
      <c r="F32" s="4">
        <v>5</v>
      </c>
      <c r="G32" s="4">
        <v>4</v>
      </c>
      <c r="H32" s="4">
        <v>5</v>
      </c>
      <c r="I32" s="4">
        <v>4</v>
      </c>
      <c r="J32" s="4">
        <v>5</v>
      </c>
      <c r="K32" s="4">
        <v>9</v>
      </c>
      <c r="L32" s="4">
        <v>9</v>
      </c>
      <c r="M32" s="4">
        <v>7</v>
      </c>
      <c r="N32" s="4">
        <v>7</v>
      </c>
      <c r="O32" s="4">
        <v>70</v>
      </c>
      <c r="P32" s="4">
        <f>SUM(E32:N32)</f>
        <v>60</v>
      </c>
      <c r="Q32" s="4">
        <f>P32/O32*100</f>
        <v>85.714285714285708</v>
      </c>
      <c r="R32" s="4"/>
    </row>
    <row r="33" spans="1:18" ht="21" x14ac:dyDescent="0.2">
      <c r="A33" s="33" t="s">
        <v>224</v>
      </c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5"/>
    </row>
    <row r="34" spans="1:18" ht="25.5" x14ac:dyDescent="0.2">
      <c r="A34" s="9">
        <v>26</v>
      </c>
      <c r="B34" s="15" t="s">
        <v>225</v>
      </c>
      <c r="C34" s="16" t="s">
        <v>226</v>
      </c>
      <c r="D34" s="6" t="s">
        <v>185</v>
      </c>
      <c r="E34" s="4">
        <v>5</v>
      </c>
      <c r="F34" s="4">
        <v>4</v>
      </c>
      <c r="G34" s="4">
        <v>4</v>
      </c>
      <c r="H34" s="4">
        <v>5</v>
      </c>
      <c r="I34" s="4">
        <v>5</v>
      </c>
      <c r="J34" s="4">
        <v>5</v>
      </c>
      <c r="K34" s="4">
        <v>8</v>
      </c>
      <c r="L34" s="4">
        <v>8</v>
      </c>
      <c r="M34" s="4">
        <v>9</v>
      </c>
      <c r="N34" s="4">
        <v>10</v>
      </c>
      <c r="O34" s="4">
        <v>70</v>
      </c>
      <c r="P34" s="4">
        <f>SUM(E34:N34)</f>
        <v>63</v>
      </c>
      <c r="Q34" s="4">
        <f>P34/O34*100</f>
        <v>90</v>
      </c>
      <c r="R34" s="4"/>
    </row>
    <row r="35" spans="1:18" ht="25.5" x14ac:dyDescent="0.2">
      <c r="A35" s="8">
        <v>27</v>
      </c>
      <c r="B35" s="13" t="s">
        <v>227</v>
      </c>
      <c r="C35" s="14" t="s">
        <v>228</v>
      </c>
      <c r="D35" s="6" t="s">
        <v>185</v>
      </c>
      <c r="E35" s="4">
        <v>4</v>
      </c>
      <c r="F35" s="4">
        <v>4</v>
      </c>
      <c r="G35" s="4">
        <v>4</v>
      </c>
      <c r="H35" s="4">
        <v>4</v>
      </c>
      <c r="I35" s="4">
        <v>4</v>
      </c>
      <c r="J35" s="4">
        <v>4</v>
      </c>
      <c r="K35" s="4">
        <v>9</v>
      </c>
      <c r="L35" s="4">
        <v>9</v>
      </c>
      <c r="M35" s="4">
        <v>9</v>
      </c>
      <c r="N35" s="4">
        <v>10</v>
      </c>
      <c r="O35" s="4">
        <v>70</v>
      </c>
      <c r="P35" s="4">
        <f>SUM(E35:N35)</f>
        <v>61</v>
      </c>
      <c r="Q35" s="4">
        <f>P35/O35*100</f>
        <v>87.142857142857139</v>
      </c>
      <c r="R35" s="4"/>
    </row>
    <row r="36" spans="1:18" ht="25.5" x14ac:dyDescent="0.2">
      <c r="A36" s="9">
        <v>28</v>
      </c>
      <c r="B36" s="13" t="s">
        <v>229</v>
      </c>
      <c r="C36" s="14" t="s">
        <v>230</v>
      </c>
      <c r="D36" s="6" t="s">
        <v>185</v>
      </c>
      <c r="E36" s="4">
        <v>5</v>
      </c>
      <c r="F36" s="4">
        <v>5</v>
      </c>
      <c r="G36" s="4">
        <v>3</v>
      </c>
      <c r="H36" s="4">
        <v>4</v>
      </c>
      <c r="I36" s="4">
        <v>3</v>
      </c>
      <c r="J36" s="4">
        <v>4</v>
      </c>
      <c r="K36" s="4">
        <v>8</v>
      </c>
      <c r="L36" s="4">
        <v>8</v>
      </c>
      <c r="M36" s="4">
        <v>8</v>
      </c>
      <c r="N36" s="4">
        <v>10</v>
      </c>
      <c r="O36" s="4">
        <v>70</v>
      </c>
      <c r="P36" s="4">
        <f>SUM(E36:N36)</f>
        <v>58</v>
      </c>
      <c r="Q36" s="4">
        <f>P36/O36*100</f>
        <v>82.857142857142861</v>
      </c>
      <c r="R36" s="4"/>
    </row>
    <row r="37" spans="1:18" ht="25.5" x14ac:dyDescent="0.2">
      <c r="A37" s="8">
        <v>29</v>
      </c>
      <c r="B37" s="13" t="s">
        <v>231</v>
      </c>
      <c r="C37" s="14" t="s">
        <v>232</v>
      </c>
      <c r="D37" s="6" t="s">
        <v>185</v>
      </c>
      <c r="E37" s="4">
        <v>5</v>
      </c>
      <c r="F37" s="4">
        <v>4</v>
      </c>
      <c r="G37" s="4">
        <v>3</v>
      </c>
      <c r="H37" s="4">
        <v>4</v>
      </c>
      <c r="I37" s="4">
        <v>3</v>
      </c>
      <c r="J37" s="4">
        <v>4</v>
      </c>
      <c r="K37" s="4">
        <v>7</v>
      </c>
      <c r="L37" s="4">
        <v>7</v>
      </c>
      <c r="M37" s="4">
        <v>8</v>
      </c>
      <c r="N37" s="4">
        <v>6</v>
      </c>
      <c r="O37" s="4">
        <v>70</v>
      </c>
      <c r="P37" s="4">
        <f>SUM(E37:N37)</f>
        <v>51</v>
      </c>
      <c r="Q37" s="4">
        <f>P37/O37*100</f>
        <v>72.857142857142847</v>
      </c>
      <c r="R37" s="4"/>
    </row>
    <row r="38" spans="1:18" ht="25.5" x14ac:dyDescent="0.2">
      <c r="A38" s="9">
        <v>30</v>
      </c>
      <c r="B38" s="13" t="s">
        <v>233</v>
      </c>
      <c r="C38" s="14" t="s">
        <v>234</v>
      </c>
      <c r="D38" s="6" t="s">
        <v>185</v>
      </c>
      <c r="E38" s="4">
        <v>3</v>
      </c>
      <c r="F38" s="4">
        <v>4</v>
      </c>
      <c r="G38" s="4">
        <v>2.5</v>
      </c>
      <c r="H38" s="4">
        <v>3</v>
      </c>
      <c r="I38" s="4">
        <v>2.5</v>
      </c>
      <c r="J38" s="4">
        <v>4</v>
      </c>
      <c r="K38" s="4">
        <v>8</v>
      </c>
      <c r="L38" s="4">
        <v>8</v>
      </c>
      <c r="M38" s="4">
        <v>8</v>
      </c>
      <c r="N38" s="4">
        <v>8</v>
      </c>
      <c r="O38" s="4">
        <v>70</v>
      </c>
      <c r="P38" s="4">
        <f>SUM(E38:N38)</f>
        <v>51</v>
      </c>
      <c r="Q38" s="4">
        <f>P38/O38*100</f>
        <v>72.857142857142847</v>
      </c>
      <c r="R38" s="4"/>
    </row>
    <row r="39" spans="1:18" ht="25.5" x14ac:dyDescent="0.2">
      <c r="A39" s="8">
        <v>31</v>
      </c>
      <c r="B39" s="13" t="s">
        <v>235</v>
      </c>
      <c r="C39" s="14" t="s">
        <v>236</v>
      </c>
      <c r="D39" s="6" t="s">
        <v>185</v>
      </c>
      <c r="E39" s="4">
        <v>4</v>
      </c>
      <c r="F39" s="4">
        <v>4</v>
      </c>
      <c r="G39" s="4">
        <v>3</v>
      </c>
      <c r="H39" s="4">
        <v>3</v>
      </c>
      <c r="I39" s="4">
        <v>3</v>
      </c>
      <c r="J39" s="4">
        <v>4</v>
      </c>
      <c r="K39" s="4">
        <v>8</v>
      </c>
      <c r="L39" s="4">
        <v>8</v>
      </c>
      <c r="M39" s="4">
        <v>7</v>
      </c>
      <c r="N39" s="4">
        <v>10</v>
      </c>
      <c r="O39" s="4">
        <v>70</v>
      </c>
      <c r="P39" s="4">
        <f>SUM(E39:N39)</f>
        <v>54</v>
      </c>
      <c r="Q39" s="4">
        <f>P39/O39*100</f>
        <v>77.142857142857153</v>
      </c>
      <c r="R39" s="4"/>
    </row>
    <row r="40" spans="1:18" ht="25.5" x14ac:dyDescent="0.2">
      <c r="A40" s="9">
        <v>32</v>
      </c>
      <c r="B40" s="13" t="s">
        <v>237</v>
      </c>
      <c r="C40" s="14" t="s">
        <v>238</v>
      </c>
      <c r="D40" s="6" t="s">
        <v>185</v>
      </c>
      <c r="E40" s="4">
        <v>5</v>
      </c>
      <c r="F40" s="4">
        <v>5</v>
      </c>
      <c r="G40" s="4">
        <v>2</v>
      </c>
      <c r="H40" s="4">
        <v>3</v>
      </c>
      <c r="I40" s="4">
        <v>2</v>
      </c>
      <c r="J40" s="4">
        <v>4</v>
      </c>
      <c r="K40" s="4">
        <v>8</v>
      </c>
      <c r="L40" s="4">
        <v>8</v>
      </c>
      <c r="M40" s="4">
        <v>8</v>
      </c>
      <c r="N40" s="4">
        <v>10</v>
      </c>
      <c r="O40" s="4">
        <v>70</v>
      </c>
      <c r="P40" s="4">
        <f>SUM(E40:N40)</f>
        <v>55</v>
      </c>
      <c r="Q40" s="4">
        <f>P40/O40*100</f>
        <v>78.571428571428569</v>
      </c>
      <c r="R40" s="4"/>
    </row>
    <row r="41" spans="1:18" ht="25.5" x14ac:dyDescent="0.2">
      <c r="A41" s="8">
        <v>33</v>
      </c>
      <c r="B41" s="13" t="s">
        <v>239</v>
      </c>
      <c r="C41" s="14" t="s">
        <v>240</v>
      </c>
      <c r="D41" s="6" t="s">
        <v>185</v>
      </c>
      <c r="E41" s="4">
        <v>5</v>
      </c>
      <c r="F41" s="4">
        <v>5</v>
      </c>
      <c r="G41" s="4">
        <v>5</v>
      </c>
      <c r="H41" s="4">
        <v>5</v>
      </c>
      <c r="I41" s="4">
        <v>5</v>
      </c>
      <c r="J41" s="4">
        <v>4</v>
      </c>
      <c r="K41" s="4">
        <v>8</v>
      </c>
      <c r="L41" s="4">
        <v>8</v>
      </c>
      <c r="M41" s="4">
        <v>8</v>
      </c>
      <c r="N41" s="4">
        <v>10</v>
      </c>
      <c r="O41" s="4">
        <v>70</v>
      </c>
      <c r="P41" s="4">
        <f>SUM(E41:N41)</f>
        <v>63</v>
      </c>
      <c r="Q41" s="4">
        <f>P41/O41*100</f>
        <v>90</v>
      </c>
      <c r="R41" s="4"/>
    </row>
    <row r="42" spans="1:18" ht="25.5" x14ac:dyDescent="0.2">
      <c r="A42" s="9">
        <v>34</v>
      </c>
      <c r="B42" s="13" t="s">
        <v>241</v>
      </c>
      <c r="C42" s="14" t="s">
        <v>242</v>
      </c>
      <c r="D42" s="6" t="s">
        <v>185</v>
      </c>
      <c r="E42" s="4">
        <v>5</v>
      </c>
      <c r="F42" s="4">
        <v>5</v>
      </c>
      <c r="G42" s="4">
        <v>4</v>
      </c>
      <c r="H42" s="4">
        <v>5</v>
      </c>
      <c r="I42" s="4">
        <v>4</v>
      </c>
      <c r="J42" s="4">
        <v>5</v>
      </c>
      <c r="K42" s="4">
        <v>9</v>
      </c>
      <c r="L42" s="4">
        <v>9</v>
      </c>
      <c r="M42" s="4">
        <v>7</v>
      </c>
      <c r="N42" s="4">
        <v>10</v>
      </c>
      <c r="O42" s="4">
        <v>70</v>
      </c>
      <c r="P42" s="4">
        <f>SUM(E42:N42)</f>
        <v>63</v>
      </c>
      <c r="Q42" s="4">
        <f>P42/O42*100</f>
        <v>90</v>
      </c>
      <c r="R42" s="4"/>
    </row>
    <row r="43" spans="1:18" ht="25.5" x14ac:dyDescent="0.2">
      <c r="A43" s="8">
        <v>35</v>
      </c>
      <c r="B43" s="13" t="s">
        <v>243</v>
      </c>
      <c r="C43" s="14" t="s">
        <v>244</v>
      </c>
      <c r="D43" s="6" t="s">
        <v>185</v>
      </c>
      <c r="E43" s="4">
        <v>5</v>
      </c>
      <c r="F43" s="4">
        <v>5</v>
      </c>
      <c r="G43" s="4">
        <v>4</v>
      </c>
      <c r="H43" s="4">
        <v>4</v>
      </c>
      <c r="I43" s="4">
        <v>5</v>
      </c>
      <c r="J43" s="4">
        <v>5</v>
      </c>
      <c r="K43" s="4">
        <v>8</v>
      </c>
      <c r="L43" s="4">
        <v>9</v>
      </c>
      <c r="M43" s="4">
        <v>8</v>
      </c>
      <c r="N43" s="4">
        <v>10</v>
      </c>
      <c r="O43" s="4">
        <v>70</v>
      </c>
      <c r="P43" s="4">
        <f>SUM(E43:N43)</f>
        <v>63</v>
      </c>
      <c r="Q43" s="4">
        <f>P43/O43*100</f>
        <v>90</v>
      </c>
      <c r="R43" s="4"/>
    </row>
    <row r="44" spans="1:18" ht="25.5" x14ac:dyDescent="0.2">
      <c r="A44" s="9">
        <v>36</v>
      </c>
      <c r="B44" s="13" t="s">
        <v>245</v>
      </c>
      <c r="C44" s="14" t="s">
        <v>246</v>
      </c>
      <c r="D44" s="6" t="s">
        <v>185</v>
      </c>
      <c r="E44" s="4">
        <v>5</v>
      </c>
      <c r="F44" s="4">
        <v>5</v>
      </c>
      <c r="G44" s="4">
        <v>4</v>
      </c>
      <c r="H44" s="4">
        <v>5</v>
      </c>
      <c r="I44" s="4">
        <v>4</v>
      </c>
      <c r="J44" s="4">
        <v>4</v>
      </c>
      <c r="K44" s="4">
        <v>8</v>
      </c>
      <c r="L44" s="4">
        <v>9</v>
      </c>
      <c r="M44" s="4">
        <v>7</v>
      </c>
      <c r="N44" s="4">
        <v>10</v>
      </c>
      <c r="O44" s="4">
        <v>70</v>
      </c>
      <c r="P44" s="4">
        <f>SUM(E44:N44)</f>
        <v>61</v>
      </c>
      <c r="Q44" s="4">
        <f>P44/O44*100</f>
        <v>87.142857142857139</v>
      </c>
      <c r="R44" s="4"/>
    </row>
    <row r="45" spans="1:18" ht="25.5" x14ac:dyDescent="0.2">
      <c r="A45" s="8">
        <v>37</v>
      </c>
      <c r="B45" s="13" t="s">
        <v>247</v>
      </c>
      <c r="C45" s="14" t="s">
        <v>196</v>
      </c>
      <c r="D45" s="6" t="s">
        <v>185</v>
      </c>
      <c r="E45" s="4">
        <v>5</v>
      </c>
      <c r="F45" s="4">
        <v>5</v>
      </c>
      <c r="G45" s="4">
        <v>4</v>
      </c>
      <c r="H45" s="4">
        <v>5</v>
      </c>
      <c r="I45" s="4">
        <v>4</v>
      </c>
      <c r="J45" s="4">
        <v>4</v>
      </c>
      <c r="K45" s="4">
        <v>9</v>
      </c>
      <c r="L45" s="4">
        <v>8</v>
      </c>
      <c r="M45" s="4">
        <v>9</v>
      </c>
      <c r="N45" s="4">
        <v>8</v>
      </c>
      <c r="O45" s="4">
        <v>70</v>
      </c>
      <c r="P45" s="4">
        <f>SUM(E45:N45)</f>
        <v>61</v>
      </c>
      <c r="Q45" s="4">
        <f>P45/O45*100</f>
        <v>87.142857142857139</v>
      </c>
      <c r="R45" s="4"/>
    </row>
    <row r="46" spans="1:18" ht="25.5" x14ac:dyDescent="0.2">
      <c r="A46" s="9">
        <v>38</v>
      </c>
      <c r="B46" s="13" t="s">
        <v>248</v>
      </c>
      <c r="C46" s="14" t="s">
        <v>249</v>
      </c>
      <c r="D46" s="6" t="s">
        <v>185</v>
      </c>
      <c r="E46" s="4">
        <v>5</v>
      </c>
      <c r="F46" s="4">
        <v>5</v>
      </c>
      <c r="G46" s="4">
        <v>4</v>
      </c>
      <c r="H46" s="4">
        <v>5</v>
      </c>
      <c r="I46" s="4">
        <v>4</v>
      </c>
      <c r="J46" s="4">
        <v>5</v>
      </c>
      <c r="K46" s="4">
        <v>9</v>
      </c>
      <c r="L46" s="4">
        <v>8</v>
      </c>
      <c r="M46" s="4">
        <v>9</v>
      </c>
      <c r="N46" s="4">
        <v>9</v>
      </c>
      <c r="O46" s="4">
        <v>70</v>
      </c>
      <c r="P46" s="4">
        <f>SUM(E46:N46)</f>
        <v>63</v>
      </c>
      <c r="Q46" s="4">
        <f>P46/O46*100</f>
        <v>90</v>
      </c>
      <c r="R46" s="4"/>
    </row>
    <row r="47" spans="1:18" ht="25.5" x14ac:dyDescent="0.2">
      <c r="A47" s="8">
        <v>39</v>
      </c>
      <c r="B47" s="13" t="s">
        <v>250</v>
      </c>
      <c r="C47" s="14" t="s">
        <v>251</v>
      </c>
      <c r="D47" s="6" t="s">
        <v>185</v>
      </c>
      <c r="E47" s="4">
        <v>4</v>
      </c>
      <c r="F47" s="4">
        <v>4</v>
      </c>
      <c r="G47" s="4">
        <v>4</v>
      </c>
      <c r="H47" s="4">
        <v>5</v>
      </c>
      <c r="I47" s="4">
        <v>4</v>
      </c>
      <c r="J47" s="4">
        <v>4</v>
      </c>
      <c r="K47" s="4">
        <v>8</v>
      </c>
      <c r="L47" s="4">
        <v>8</v>
      </c>
      <c r="M47" s="4">
        <v>8</v>
      </c>
      <c r="N47" s="4">
        <v>9</v>
      </c>
      <c r="O47" s="4">
        <v>70</v>
      </c>
      <c r="P47" s="4">
        <f>SUM(E47:N47)</f>
        <v>58</v>
      </c>
      <c r="Q47" s="4">
        <f>P47/O47*100</f>
        <v>82.857142857142861</v>
      </c>
      <c r="R47" s="4"/>
    </row>
    <row r="48" spans="1:18" ht="25.5" x14ac:dyDescent="0.2">
      <c r="A48" s="9">
        <v>40</v>
      </c>
      <c r="B48" s="13" t="s">
        <v>252</v>
      </c>
      <c r="C48" s="14" t="s">
        <v>253</v>
      </c>
      <c r="D48" s="6" t="s">
        <v>185</v>
      </c>
      <c r="E48" s="4">
        <v>4</v>
      </c>
      <c r="F48" s="4">
        <v>4</v>
      </c>
      <c r="G48" s="4">
        <v>3</v>
      </c>
      <c r="H48" s="4">
        <v>3</v>
      </c>
      <c r="I48" s="4">
        <v>3</v>
      </c>
      <c r="J48" s="4">
        <v>4</v>
      </c>
      <c r="K48" s="4">
        <v>8</v>
      </c>
      <c r="L48" s="4">
        <v>7</v>
      </c>
      <c r="M48" s="4">
        <v>6</v>
      </c>
      <c r="N48" s="4">
        <v>8</v>
      </c>
      <c r="O48" s="4">
        <v>70</v>
      </c>
      <c r="P48" s="4">
        <f>SUM(E48:N48)</f>
        <v>50</v>
      </c>
      <c r="Q48" s="4">
        <f>P48/O48*100</f>
        <v>71.428571428571431</v>
      </c>
      <c r="R48" s="4"/>
    </row>
    <row r="49" spans="1:18" ht="25.5" x14ac:dyDescent="0.2">
      <c r="A49" s="8">
        <v>41</v>
      </c>
      <c r="B49" s="13" t="s">
        <v>254</v>
      </c>
      <c r="C49" s="14" t="s">
        <v>255</v>
      </c>
      <c r="D49" s="6" t="s">
        <v>185</v>
      </c>
      <c r="E49" s="4">
        <v>4</v>
      </c>
      <c r="F49" s="4">
        <v>4</v>
      </c>
      <c r="G49" s="4">
        <v>3</v>
      </c>
      <c r="H49" s="4">
        <v>3</v>
      </c>
      <c r="I49" s="4">
        <v>3</v>
      </c>
      <c r="J49" s="4">
        <v>3</v>
      </c>
      <c r="K49" s="4">
        <v>7</v>
      </c>
      <c r="L49" s="4">
        <v>7</v>
      </c>
      <c r="M49" s="4">
        <v>8</v>
      </c>
      <c r="N49" s="4">
        <v>7</v>
      </c>
      <c r="O49" s="4">
        <v>70</v>
      </c>
      <c r="P49" s="4">
        <f>SUM(E49:N49)</f>
        <v>49</v>
      </c>
      <c r="Q49" s="4">
        <f>P49/O49*100</f>
        <v>70</v>
      </c>
      <c r="R49" s="4"/>
    </row>
    <row r="50" spans="1:18" ht="25.5" x14ac:dyDescent="0.2">
      <c r="A50" s="9">
        <v>42</v>
      </c>
      <c r="B50" s="13" t="s">
        <v>256</v>
      </c>
      <c r="C50" s="14" t="s">
        <v>57</v>
      </c>
      <c r="D50" s="6" t="s">
        <v>185</v>
      </c>
      <c r="E50" s="4">
        <v>4</v>
      </c>
      <c r="F50" s="4">
        <v>4</v>
      </c>
      <c r="G50" s="4">
        <v>5</v>
      </c>
      <c r="H50" s="4">
        <v>5</v>
      </c>
      <c r="I50" s="4">
        <v>4</v>
      </c>
      <c r="J50" s="4">
        <v>4</v>
      </c>
      <c r="K50" s="4">
        <v>8</v>
      </c>
      <c r="L50" s="4">
        <v>9</v>
      </c>
      <c r="M50" s="4">
        <v>9</v>
      </c>
      <c r="N50" s="4">
        <v>10</v>
      </c>
      <c r="O50" s="4">
        <v>70</v>
      </c>
      <c r="P50" s="4">
        <f>SUM(E50:N50)</f>
        <v>62</v>
      </c>
      <c r="Q50" s="4">
        <f>P50/O50*100</f>
        <v>88.571428571428569</v>
      </c>
      <c r="R50" s="4"/>
    </row>
    <row r="51" spans="1:18" ht="25.5" x14ac:dyDescent="0.2">
      <c r="A51" s="8">
        <v>43</v>
      </c>
      <c r="B51" s="13" t="s">
        <v>257</v>
      </c>
      <c r="C51" s="14" t="s">
        <v>258</v>
      </c>
      <c r="D51" s="6" t="s">
        <v>185</v>
      </c>
      <c r="E51" s="4">
        <v>4</v>
      </c>
      <c r="F51" s="4">
        <v>4</v>
      </c>
      <c r="G51" s="4">
        <v>4</v>
      </c>
      <c r="H51" s="4">
        <v>4</v>
      </c>
      <c r="I51" s="4">
        <v>3</v>
      </c>
      <c r="J51" s="4">
        <v>4</v>
      </c>
      <c r="K51" s="4">
        <v>8</v>
      </c>
      <c r="L51" s="4">
        <v>9</v>
      </c>
      <c r="M51" s="4">
        <v>7</v>
      </c>
      <c r="N51" s="4">
        <v>10</v>
      </c>
      <c r="O51" s="4">
        <v>70</v>
      </c>
      <c r="P51" s="4">
        <f>SUM(E51:N51)</f>
        <v>57</v>
      </c>
      <c r="Q51" s="4">
        <f>P51/O51*100</f>
        <v>81.428571428571431</v>
      </c>
      <c r="R51" s="4"/>
    </row>
    <row r="52" spans="1:18" ht="25.5" x14ac:dyDescent="0.2">
      <c r="A52" s="9">
        <v>44</v>
      </c>
      <c r="B52" s="13" t="s">
        <v>259</v>
      </c>
      <c r="C52" s="14" t="s">
        <v>258</v>
      </c>
      <c r="D52" s="6" t="s">
        <v>185</v>
      </c>
      <c r="E52" s="4">
        <v>4</v>
      </c>
      <c r="F52" s="4">
        <v>4</v>
      </c>
      <c r="G52" s="4">
        <v>2</v>
      </c>
      <c r="H52" s="4">
        <v>5</v>
      </c>
      <c r="I52" s="4">
        <v>2</v>
      </c>
      <c r="J52" s="4">
        <v>4</v>
      </c>
      <c r="K52" s="4">
        <v>8</v>
      </c>
      <c r="L52" s="4">
        <v>8</v>
      </c>
      <c r="M52" s="4">
        <v>8</v>
      </c>
      <c r="N52" s="4">
        <v>9</v>
      </c>
      <c r="O52" s="4">
        <v>70</v>
      </c>
      <c r="P52" s="4">
        <f>SUM(E52:N52)</f>
        <v>54</v>
      </c>
      <c r="Q52" s="4">
        <f>P52/O52*100</f>
        <v>77.142857142857153</v>
      </c>
      <c r="R52" s="4"/>
    </row>
    <row r="53" spans="1:18" ht="25.5" x14ac:dyDescent="0.2">
      <c r="A53" s="8">
        <v>45</v>
      </c>
      <c r="B53" s="13" t="s">
        <v>260</v>
      </c>
      <c r="C53" s="14" t="s">
        <v>261</v>
      </c>
      <c r="D53" s="6" t="s">
        <v>185</v>
      </c>
      <c r="E53" s="4">
        <v>5</v>
      </c>
      <c r="F53" s="4">
        <v>4</v>
      </c>
      <c r="G53" s="4">
        <v>4</v>
      </c>
      <c r="H53" s="4">
        <v>5</v>
      </c>
      <c r="I53" s="4">
        <v>4</v>
      </c>
      <c r="J53" s="4">
        <v>4</v>
      </c>
      <c r="K53" s="4">
        <v>9</v>
      </c>
      <c r="L53" s="4">
        <v>9</v>
      </c>
      <c r="M53" s="4">
        <v>9</v>
      </c>
      <c r="N53" s="4">
        <v>10</v>
      </c>
      <c r="O53" s="4">
        <v>70</v>
      </c>
      <c r="P53" s="4">
        <f>SUM(E53:N53)</f>
        <v>63</v>
      </c>
      <c r="Q53" s="4">
        <f>P53/O53*100</f>
        <v>90</v>
      </c>
      <c r="R53" s="4"/>
    </row>
    <row r="54" spans="1:18" ht="25.5" x14ac:dyDescent="0.2">
      <c r="A54" s="9">
        <v>46</v>
      </c>
      <c r="B54" s="13" t="s">
        <v>262</v>
      </c>
      <c r="C54" s="14" t="s">
        <v>78</v>
      </c>
      <c r="D54" s="6" t="s">
        <v>185</v>
      </c>
      <c r="E54" s="4">
        <v>5</v>
      </c>
      <c r="F54" s="4">
        <v>5</v>
      </c>
      <c r="G54" s="4">
        <v>5</v>
      </c>
      <c r="H54" s="4">
        <v>5</v>
      </c>
      <c r="I54" s="4">
        <v>5</v>
      </c>
      <c r="J54" s="4">
        <v>5</v>
      </c>
      <c r="K54" s="4">
        <v>9</v>
      </c>
      <c r="L54" s="4">
        <v>10</v>
      </c>
      <c r="M54" s="4">
        <v>9</v>
      </c>
      <c r="N54" s="4">
        <v>10</v>
      </c>
      <c r="O54" s="4">
        <v>70</v>
      </c>
      <c r="P54" s="4">
        <f>SUM(E54:N54)</f>
        <v>68</v>
      </c>
      <c r="Q54" s="4">
        <f>P54/O54*100</f>
        <v>97.142857142857139</v>
      </c>
      <c r="R54" s="4"/>
    </row>
    <row r="55" spans="1:18" ht="25.5" x14ac:dyDescent="0.2">
      <c r="A55" s="8">
        <v>47</v>
      </c>
      <c r="B55" s="13" t="s">
        <v>263</v>
      </c>
      <c r="C55" s="14" t="s">
        <v>264</v>
      </c>
      <c r="D55" s="6" t="s">
        <v>185</v>
      </c>
      <c r="E55" s="4">
        <v>5</v>
      </c>
      <c r="F55" s="4">
        <v>4</v>
      </c>
      <c r="G55" s="4">
        <v>5</v>
      </c>
      <c r="H55" s="4">
        <v>5</v>
      </c>
      <c r="I55" s="4">
        <v>5</v>
      </c>
      <c r="J55" s="4">
        <v>4</v>
      </c>
      <c r="K55" s="4">
        <v>9</v>
      </c>
      <c r="L55" s="4">
        <v>9</v>
      </c>
      <c r="M55" s="4">
        <v>9</v>
      </c>
      <c r="N55" s="4">
        <v>9</v>
      </c>
      <c r="O55" s="4">
        <v>70</v>
      </c>
      <c r="P55" s="4">
        <f>SUM(E55:N55)</f>
        <v>64</v>
      </c>
      <c r="Q55" s="4">
        <f>P55/O55*100</f>
        <v>91.428571428571431</v>
      </c>
      <c r="R55" s="4"/>
    </row>
    <row r="56" spans="1:18" ht="25.5" x14ac:dyDescent="0.2">
      <c r="A56" s="9">
        <v>48</v>
      </c>
      <c r="B56" s="13" t="s">
        <v>265</v>
      </c>
      <c r="C56" s="14" t="s">
        <v>264</v>
      </c>
      <c r="D56" s="6" t="s">
        <v>185</v>
      </c>
      <c r="E56" s="4">
        <v>5</v>
      </c>
      <c r="F56" s="4">
        <v>4</v>
      </c>
      <c r="G56" s="4">
        <v>5</v>
      </c>
      <c r="H56" s="4">
        <v>5</v>
      </c>
      <c r="I56" s="4">
        <v>4</v>
      </c>
      <c r="J56" s="4">
        <v>4</v>
      </c>
      <c r="K56" s="4">
        <v>8</v>
      </c>
      <c r="L56" s="4">
        <v>9</v>
      </c>
      <c r="M56" s="4">
        <v>8</v>
      </c>
      <c r="N56" s="4">
        <v>9</v>
      </c>
      <c r="O56" s="4">
        <v>70</v>
      </c>
      <c r="P56" s="4">
        <f>SUM(E56:N56)</f>
        <v>61</v>
      </c>
      <c r="Q56" s="4">
        <f>P56/O56*100</f>
        <v>87.142857142857139</v>
      </c>
      <c r="R56" s="4"/>
    </row>
    <row r="57" spans="1:18" ht="25.5" x14ac:dyDescent="0.2">
      <c r="A57" s="8">
        <v>49</v>
      </c>
      <c r="B57" s="13" t="s">
        <v>130</v>
      </c>
      <c r="C57" s="14" t="s">
        <v>266</v>
      </c>
      <c r="D57" s="6" t="s">
        <v>185</v>
      </c>
      <c r="E57" s="4">
        <v>5</v>
      </c>
      <c r="F57" s="4">
        <v>5</v>
      </c>
      <c r="G57" s="4">
        <v>5</v>
      </c>
      <c r="H57" s="4">
        <v>5</v>
      </c>
      <c r="I57" s="4">
        <v>5</v>
      </c>
      <c r="J57" s="4">
        <v>5</v>
      </c>
      <c r="K57" s="4">
        <v>9</v>
      </c>
      <c r="L57" s="4">
        <v>10</v>
      </c>
      <c r="M57" s="4">
        <v>7</v>
      </c>
      <c r="N57" s="4">
        <v>10</v>
      </c>
      <c r="O57" s="4">
        <v>70</v>
      </c>
      <c r="P57" s="4">
        <f>SUM(E57:N57)</f>
        <v>66</v>
      </c>
      <c r="Q57" s="4">
        <f>P57/O57*100</f>
        <v>94.285714285714278</v>
      </c>
      <c r="R57" s="4"/>
    </row>
    <row r="58" spans="1:18" ht="25.5" x14ac:dyDescent="0.2">
      <c r="A58" s="9">
        <v>50</v>
      </c>
      <c r="B58" s="13" t="s">
        <v>267</v>
      </c>
      <c r="C58" s="14" t="s">
        <v>266</v>
      </c>
      <c r="D58" s="6" t="s">
        <v>185</v>
      </c>
      <c r="E58" s="4">
        <v>5</v>
      </c>
      <c r="F58" s="4">
        <v>5</v>
      </c>
      <c r="G58" s="4">
        <v>5</v>
      </c>
      <c r="H58" s="4">
        <v>5</v>
      </c>
      <c r="I58" s="4">
        <v>5</v>
      </c>
      <c r="J58" s="4">
        <v>5</v>
      </c>
      <c r="K58" s="4">
        <v>9</v>
      </c>
      <c r="L58" s="4">
        <v>10</v>
      </c>
      <c r="M58" s="4">
        <v>8</v>
      </c>
      <c r="N58" s="4">
        <v>10</v>
      </c>
      <c r="O58" s="4">
        <v>70</v>
      </c>
      <c r="P58" s="4">
        <f>SUM(E58:N58)</f>
        <v>67</v>
      </c>
      <c r="Q58" s="4">
        <f>P58/O58*100</f>
        <v>95.714285714285722</v>
      </c>
      <c r="R58" s="4"/>
    </row>
    <row r="59" spans="1:18" ht="25.5" x14ac:dyDescent="0.2">
      <c r="A59" s="8">
        <v>51</v>
      </c>
      <c r="B59" s="13" t="s">
        <v>268</v>
      </c>
      <c r="C59" s="14"/>
      <c r="D59" s="6" t="s">
        <v>185</v>
      </c>
      <c r="E59" s="4">
        <v>5</v>
      </c>
      <c r="F59" s="4">
        <v>4</v>
      </c>
      <c r="G59" s="4">
        <v>5</v>
      </c>
      <c r="H59" s="4">
        <v>5</v>
      </c>
      <c r="I59" s="4">
        <v>4</v>
      </c>
      <c r="J59" s="4">
        <v>4</v>
      </c>
      <c r="K59" s="4">
        <v>9</v>
      </c>
      <c r="L59" s="4">
        <v>9</v>
      </c>
      <c r="M59" s="4">
        <v>9</v>
      </c>
      <c r="N59" s="4">
        <v>10</v>
      </c>
      <c r="O59" s="4">
        <v>70</v>
      </c>
      <c r="P59" s="4">
        <f>SUM(E59:N59)</f>
        <v>64</v>
      </c>
      <c r="Q59" s="4">
        <f>P59/O59*100</f>
        <v>91.428571428571431</v>
      </c>
      <c r="R59" s="4"/>
    </row>
    <row r="60" spans="1:18" ht="25.5" x14ac:dyDescent="0.2">
      <c r="A60" s="9">
        <v>52</v>
      </c>
      <c r="B60" s="13" t="s">
        <v>269</v>
      </c>
      <c r="C60" s="14" t="s">
        <v>270</v>
      </c>
      <c r="D60" s="6" t="s">
        <v>185</v>
      </c>
      <c r="E60" s="4">
        <v>5</v>
      </c>
      <c r="F60" s="4">
        <v>4</v>
      </c>
      <c r="G60" s="4">
        <v>5</v>
      </c>
      <c r="H60" s="4">
        <v>5</v>
      </c>
      <c r="I60" s="4">
        <v>4</v>
      </c>
      <c r="J60" s="4">
        <v>4</v>
      </c>
      <c r="K60" s="4">
        <v>9</v>
      </c>
      <c r="L60" s="4">
        <v>9</v>
      </c>
      <c r="M60" s="4">
        <v>6</v>
      </c>
      <c r="N60" s="4">
        <v>10</v>
      </c>
      <c r="O60" s="4">
        <v>70</v>
      </c>
      <c r="P60" s="4">
        <f>SUM(E60:N60)</f>
        <v>61</v>
      </c>
      <c r="Q60" s="4">
        <f>P60/O60*100</f>
        <v>87.142857142857139</v>
      </c>
      <c r="R60" s="4"/>
    </row>
    <row r="61" spans="1:18" ht="25.5" x14ac:dyDescent="0.2">
      <c r="A61" s="8">
        <v>53</v>
      </c>
      <c r="B61" s="13" t="s">
        <v>271</v>
      </c>
      <c r="C61" s="14"/>
      <c r="D61" s="6" t="s">
        <v>185</v>
      </c>
      <c r="E61" s="4">
        <v>5</v>
      </c>
      <c r="F61" s="4">
        <v>5</v>
      </c>
      <c r="G61" s="4">
        <v>5</v>
      </c>
      <c r="H61" s="4">
        <v>5</v>
      </c>
      <c r="I61" s="4">
        <v>5</v>
      </c>
      <c r="J61" s="4">
        <v>5</v>
      </c>
      <c r="K61" s="4">
        <v>9</v>
      </c>
      <c r="L61" s="4">
        <v>9</v>
      </c>
      <c r="M61" s="4">
        <v>6</v>
      </c>
      <c r="N61" s="4">
        <v>10</v>
      </c>
      <c r="O61" s="4">
        <v>70</v>
      </c>
      <c r="P61" s="4">
        <f>SUM(E61:N61)</f>
        <v>64</v>
      </c>
      <c r="Q61" s="4">
        <f>P61/O61*100</f>
        <v>91.428571428571431</v>
      </c>
      <c r="R61" s="4"/>
    </row>
    <row r="62" spans="1:18" ht="25.5" x14ac:dyDescent="0.2">
      <c r="A62" s="9">
        <v>54</v>
      </c>
      <c r="B62" s="13" t="s">
        <v>272</v>
      </c>
      <c r="C62" s="14" t="s">
        <v>273</v>
      </c>
      <c r="D62" s="6" t="s">
        <v>185</v>
      </c>
      <c r="E62" s="4">
        <v>5</v>
      </c>
      <c r="F62" s="4">
        <v>5</v>
      </c>
      <c r="G62" s="4">
        <v>5</v>
      </c>
      <c r="H62" s="4">
        <v>5</v>
      </c>
      <c r="I62" s="4">
        <v>4</v>
      </c>
      <c r="J62" s="4">
        <v>4</v>
      </c>
      <c r="K62" s="4">
        <v>9</v>
      </c>
      <c r="L62" s="4">
        <v>9</v>
      </c>
      <c r="M62" s="4">
        <v>9</v>
      </c>
      <c r="N62" s="4">
        <v>8</v>
      </c>
      <c r="O62" s="4">
        <v>70</v>
      </c>
      <c r="P62" s="4">
        <f>SUM(E62:N62)</f>
        <v>63</v>
      </c>
      <c r="Q62" s="4">
        <f>P62/O62*100</f>
        <v>90</v>
      </c>
      <c r="R62" s="4"/>
    </row>
    <row r="63" spans="1:18" s="11" customFormat="1" ht="25.5" customHeight="1" x14ac:dyDescent="0.2">
      <c r="A63" s="8">
        <v>55</v>
      </c>
      <c r="B63" s="45" t="s">
        <v>274</v>
      </c>
      <c r="C63" s="45" t="s">
        <v>275</v>
      </c>
      <c r="D63" s="6" t="s">
        <v>185</v>
      </c>
      <c r="E63" s="4">
        <v>4</v>
      </c>
      <c r="F63" s="4">
        <v>4</v>
      </c>
      <c r="G63" s="4">
        <v>3</v>
      </c>
      <c r="H63" s="4">
        <v>3</v>
      </c>
      <c r="I63" s="4">
        <v>3</v>
      </c>
      <c r="J63" s="4">
        <v>3</v>
      </c>
      <c r="K63" s="4">
        <v>8</v>
      </c>
      <c r="L63" s="4">
        <v>8</v>
      </c>
      <c r="M63" s="4">
        <v>9</v>
      </c>
      <c r="N63" s="4">
        <v>7</v>
      </c>
      <c r="O63" s="4">
        <v>70</v>
      </c>
      <c r="P63" s="4">
        <f>SUM(E63:N63)</f>
        <v>52</v>
      </c>
      <c r="Q63" s="4">
        <f>P63/O63*100</f>
        <v>74.285714285714292</v>
      </c>
      <c r="R63" s="4"/>
    </row>
    <row r="64" spans="1:18" ht="25.5" x14ac:dyDescent="0.2">
      <c r="A64" s="10">
        <v>56</v>
      </c>
      <c r="B64" s="45" t="s">
        <v>276</v>
      </c>
      <c r="C64" s="45"/>
      <c r="D64" s="6" t="s">
        <v>185</v>
      </c>
      <c r="E64" s="4">
        <v>4</v>
      </c>
      <c r="F64" s="4">
        <v>5</v>
      </c>
      <c r="G64" s="4">
        <v>4</v>
      </c>
      <c r="H64" s="4">
        <v>5</v>
      </c>
      <c r="I64" s="4">
        <v>4</v>
      </c>
      <c r="J64" s="4">
        <v>4</v>
      </c>
      <c r="K64" s="4">
        <v>9</v>
      </c>
      <c r="L64" s="4">
        <v>9</v>
      </c>
      <c r="M64" s="4">
        <v>7</v>
      </c>
      <c r="N64" s="4">
        <v>10</v>
      </c>
      <c r="O64" s="4">
        <v>70</v>
      </c>
      <c r="P64" s="4">
        <f>SUM(E64:N64)</f>
        <v>61</v>
      </c>
      <c r="Q64" s="4">
        <f>P64/O64*100</f>
        <v>87.142857142857139</v>
      </c>
      <c r="R64" s="4"/>
    </row>
  </sheetData>
  <mergeCells count="14">
    <mergeCell ref="A2:R2"/>
    <mergeCell ref="A7:R7"/>
    <mergeCell ref="A33:R33"/>
    <mergeCell ref="P4:P6"/>
    <mergeCell ref="Q4:Q6"/>
    <mergeCell ref="A1:R1"/>
    <mergeCell ref="A3:R3"/>
    <mergeCell ref="E4:N4"/>
    <mergeCell ref="O4:O5"/>
    <mergeCell ref="R4:R6"/>
    <mergeCell ref="A4:A6"/>
    <mergeCell ref="B4:B6"/>
    <mergeCell ref="C4:C6"/>
    <mergeCell ref="D4:D6"/>
  </mergeCells>
  <printOptions horizontalCentered="1"/>
  <pageMargins left="0.25" right="0.25" top="0.5" bottom="0.5" header="0.05" footer="0.05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F9EA-7AB2-4D72-A4FF-B00D3E38A642}">
  <dimension ref="A1:O64"/>
  <sheetViews>
    <sheetView topLeftCell="A7" workbookViewId="0">
      <selection activeCell="B4" sqref="B1:B1048576"/>
    </sheetView>
  </sheetViews>
  <sheetFormatPr defaultRowHeight="15" x14ac:dyDescent="0.25"/>
  <cols>
    <col min="1" max="1" width="3.140625" bestFit="1" customWidth="1"/>
    <col min="2" max="2" width="14.42578125" bestFit="1" customWidth="1"/>
    <col min="3" max="3" width="15" bestFit="1" customWidth="1"/>
    <col min="5" max="14" width="7.7109375" customWidth="1"/>
  </cols>
  <sheetData>
    <row r="1" spans="1: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25">
      <c r="A4" s="25" t="s">
        <v>2</v>
      </c>
      <c r="B4" s="25" t="s">
        <v>4</v>
      </c>
      <c r="C4" s="25" t="s">
        <v>5</v>
      </c>
      <c r="D4" s="26" t="s">
        <v>3</v>
      </c>
      <c r="E4" s="29" t="s">
        <v>6</v>
      </c>
      <c r="F4" s="29"/>
      <c r="G4" s="29"/>
      <c r="H4" s="29"/>
      <c r="I4" s="29"/>
      <c r="J4" s="29"/>
      <c r="K4" s="25" t="s">
        <v>14</v>
      </c>
      <c r="L4" s="25" t="s">
        <v>15</v>
      </c>
      <c r="M4" s="25" t="s">
        <v>16</v>
      </c>
      <c r="N4" s="25" t="s">
        <v>12</v>
      </c>
      <c r="O4" s="25" t="s">
        <v>17</v>
      </c>
    </row>
    <row r="5" spans="1:15" ht="47.25" x14ac:dyDescent="0.25">
      <c r="A5" s="25"/>
      <c r="B5" s="25"/>
      <c r="C5" s="25"/>
      <c r="D5" s="27"/>
      <c r="E5" s="2" t="s">
        <v>277</v>
      </c>
      <c r="F5" s="2" t="s">
        <v>9</v>
      </c>
      <c r="G5" s="2" t="s">
        <v>278</v>
      </c>
      <c r="H5" s="2" t="s">
        <v>10</v>
      </c>
      <c r="I5" s="2" t="s">
        <v>181</v>
      </c>
      <c r="J5" s="2" t="s">
        <v>279</v>
      </c>
      <c r="K5" s="25"/>
      <c r="L5" s="25"/>
      <c r="M5" s="25"/>
      <c r="N5" s="25"/>
      <c r="O5" s="25"/>
    </row>
    <row r="6" spans="1:15" x14ac:dyDescent="0.25">
      <c r="A6" s="25"/>
      <c r="B6" s="25"/>
      <c r="C6" s="25"/>
      <c r="D6" s="28"/>
      <c r="E6" s="3">
        <v>5</v>
      </c>
      <c r="F6" s="3">
        <v>5</v>
      </c>
      <c r="G6" s="3">
        <v>5</v>
      </c>
      <c r="H6" s="3">
        <v>5</v>
      </c>
      <c r="I6" s="3">
        <v>5</v>
      </c>
      <c r="J6" s="3" t="s">
        <v>280</v>
      </c>
      <c r="K6" s="3">
        <f>SUM(E6:I6)</f>
        <v>25</v>
      </c>
      <c r="L6" s="25"/>
      <c r="M6" s="25"/>
      <c r="N6" s="25"/>
      <c r="O6" s="25"/>
    </row>
    <row r="7" spans="1:15" ht="21" x14ac:dyDescent="0.35">
      <c r="A7" s="30" t="s">
        <v>224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2"/>
    </row>
    <row r="8" spans="1:15" ht="20.100000000000001" customHeight="1" x14ac:dyDescent="0.25">
      <c r="A8" s="12">
        <v>1</v>
      </c>
      <c r="B8" s="13" t="s">
        <v>281</v>
      </c>
      <c r="C8" s="14" t="s">
        <v>282</v>
      </c>
      <c r="D8" s="12" t="s">
        <v>283</v>
      </c>
      <c r="E8" s="4">
        <v>0</v>
      </c>
      <c r="F8" s="4">
        <v>4</v>
      </c>
      <c r="G8" s="4">
        <v>5</v>
      </c>
      <c r="H8" s="4">
        <v>4</v>
      </c>
      <c r="I8" s="4">
        <v>4</v>
      </c>
      <c r="J8" s="4" t="s">
        <v>446</v>
      </c>
      <c r="K8" s="4">
        <v>25</v>
      </c>
      <c r="L8" s="4">
        <f>SUM(E8:I8)</f>
        <v>17</v>
      </c>
      <c r="M8" s="4">
        <f>L8/K8*100</f>
        <v>68</v>
      </c>
      <c r="N8" s="4">
        <v>24</v>
      </c>
      <c r="O8" s="4"/>
    </row>
    <row r="9" spans="1:15" ht="20.100000000000001" customHeight="1" x14ac:dyDescent="0.25">
      <c r="A9" s="6">
        <v>2</v>
      </c>
      <c r="B9" s="13" t="s">
        <v>281</v>
      </c>
      <c r="C9" s="14" t="s">
        <v>284</v>
      </c>
      <c r="D9" s="12" t="s">
        <v>283</v>
      </c>
      <c r="E9" s="4">
        <v>2</v>
      </c>
      <c r="F9" s="4">
        <v>4</v>
      </c>
      <c r="G9" s="4">
        <v>5</v>
      </c>
      <c r="H9" s="4">
        <v>5</v>
      </c>
      <c r="I9" s="4">
        <v>0</v>
      </c>
      <c r="J9" s="4" t="s">
        <v>445</v>
      </c>
      <c r="K9" s="4">
        <v>25</v>
      </c>
      <c r="L9" s="4">
        <f t="shared" ref="L9:L39" si="0">SUM(E9:I9)</f>
        <v>16</v>
      </c>
      <c r="M9" s="4">
        <f t="shared" ref="M9:M39" si="1">L9/K9*100</f>
        <v>64</v>
      </c>
      <c r="N9" s="4">
        <v>22</v>
      </c>
      <c r="O9" s="4"/>
    </row>
    <row r="10" spans="1:15" ht="20.100000000000001" customHeight="1" x14ac:dyDescent="0.25">
      <c r="A10" s="12">
        <v>3</v>
      </c>
      <c r="B10" s="13" t="s">
        <v>285</v>
      </c>
      <c r="C10" s="14" t="s">
        <v>286</v>
      </c>
      <c r="D10" s="12" t="s">
        <v>283</v>
      </c>
      <c r="E10" s="4">
        <v>1</v>
      </c>
      <c r="F10" s="4">
        <v>5</v>
      </c>
      <c r="G10" s="4">
        <v>1</v>
      </c>
      <c r="H10" s="4">
        <v>1</v>
      </c>
      <c r="I10" s="4">
        <v>1</v>
      </c>
      <c r="J10" s="4" t="s">
        <v>446</v>
      </c>
      <c r="K10" s="4">
        <v>25</v>
      </c>
      <c r="L10" s="4">
        <f t="shared" si="0"/>
        <v>9</v>
      </c>
      <c r="M10" s="4">
        <f t="shared" si="1"/>
        <v>36</v>
      </c>
      <c r="N10" s="4">
        <v>22</v>
      </c>
      <c r="O10" s="4"/>
    </row>
    <row r="11" spans="1:15" ht="20.100000000000001" customHeight="1" x14ac:dyDescent="0.25">
      <c r="A11" s="6">
        <v>4</v>
      </c>
      <c r="B11" s="13" t="s">
        <v>287</v>
      </c>
      <c r="C11" s="14" t="s">
        <v>288</v>
      </c>
      <c r="D11" s="12" t="s">
        <v>283</v>
      </c>
      <c r="E11" s="4">
        <v>1</v>
      </c>
      <c r="F11" s="4">
        <v>4</v>
      </c>
      <c r="G11" s="4">
        <v>1</v>
      </c>
      <c r="H11" s="4">
        <v>4</v>
      </c>
      <c r="I11" s="4">
        <v>3</v>
      </c>
      <c r="J11" s="4" t="s">
        <v>446</v>
      </c>
      <c r="K11" s="4">
        <v>25</v>
      </c>
      <c r="L11" s="4">
        <f t="shared" si="0"/>
        <v>13</v>
      </c>
      <c r="M11" s="4">
        <f t="shared" si="1"/>
        <v>52</v>
      </c>
      <c r="N11" s="4">
        <v>18</v>
      </c>
      <c r="O11" s="4"/>
    </row>
    <row r="12" spans="1:15" ht="20.100000000000001" customHeight="1" x14ac:dyDescent="0.25">
      <c r="A12" s="12">
        <v>5</v>
      </c>
      <c r="B12" s="13" t="s">
        <v>111</v>
      </c>
      <c r="C12" s="14" t="s">
        <v>289</v>
      </c>
      <c r="D12" s="12" t="s">
        <v>283</v>
      </c>
      <c r="E12" s="4">
        <v>2</v>
      </c>
      <c r="F12" s="4">
        <v>1</v>
      </c>
      <c r="G12" s="4">
        <v>1</v>
      </c>
      <c r="H12" s="4">
        <v>2</v>
      </c>
      <c r="I12" s="4">
        <v>1</v>
      </c>
      <c r="J12" s="4" t="s">
        <v>446</v>
      </c>
      <c r="K12" s="4">
        <v>25</v>
      </c>
      <c r="L12" s="4">
        <f t="shared" si="0"/>
        <v>7</v>
      </c>
      <c r="M12" s="4">
        <f t="shared" si="1"/>
        <v>28.000000000000004</v>
      </c>
      <c r="N12" s="4">
        <v>26</v>
      </c>
      <c r="O12" s="4"/>
    </row>
    <row r="13" spans="1:15" ht="20.100000000000001" customHeight="1" x14ac:dyDescent="0.25">
      <c r="A13" s="6">
        <v>6</v>
      </c>
      <c r="B13" s="13" t="s">
        <v>290</v>
      </c>
      <c r="C13" s="14" t="s">
        <v>291</v>
      </c>
      <c r="D13" s="12" t="s">
        <v>283</v>
      </c>
      <c r="E13" s="4">
        <v>0</v>
      </c>
      <c r="F13" s="4">
        <v>2</v>
      </c>
      <c r="G13" s="4">
        <v>1</v>
      </c>
      <c r="H13" s="4">
        <v>0</v>
      </c>
      <c r="I13" s="4">
        <v>0</v>
      </c>
      <c r="J13" s="4" t="s">
        <v>445</v>
      </c>
      <c r="K13" s="4">
        <v>25</v>
      </c>
      <c r="L13" s="4">
        <f t="shared" si="0"/>
        <v>3</v>
      </c>
      <c r="M13" s="4">
        <f t="shared" si="1"/>
        <v>12</v>
      </c>
      <c r="N13" s="4">
        <v>24</v>
      </c>
      <c r="O13" s="4"/>
    </row>
    <row r="14" spans="1:15" ht="20.100000000000001" customHeight="1" x14ac:dyDescent="0.25">
      <c r="A14" s="12">
        <v>7</v>
      </c>
      <c r="B14" s="13" t="s">
        <v>292</v>
      </c>
      <c r="C14" s="14" t="s">
        <v>293</v>
      </c>
      <c r="D14" s="12" t="s">
        <v>283</v>
      </c>
      <c r="E14" s="4">
        <v>0</v>
      </c>
      <c r="F14" s="4">
        <v>4</v>
      </c>
      <c r="G14" s="4">
        <v>3</v>
      </c>
      <c r="H14" s="4">
        <v>1</v>
      </c>
      <c r="I14" s="4">
        <v>0</v>
      </c>
      <c r="J14" s="4" t="s">
        <v>446</v>
      </c>
      <c r="K14" s="4">
        <v>25</v>
      </c>
      <c r="L14" s="4">
        <f t="shared" si="0"/>
        <v>8</v>
      </c>
      <c r="M14" s="4">
        <f t="shared" si="1"/>
        <v>32</v>
      </c>
      <c r="N14" s="4">
        <v>24</v>
      </c>
      <c r="O14" s="4"/>
    </row>
    <row r="15" spans="1:15" ht="20.100000000000001" customHeight="1" x14ac:dyDescent="0.25">
      <c r="A15" s="6">
        <v>8</v>
      </c>
      <c r="B15" s="13" t="s">
        <v>294</v>
      </c>
      <c r="C15" s="14" t="s">
        <v>295</v>
      </c>
      <c r="D15" s="12" t="s">
        <v>283</v>
      </c>
      <c r="E15" s="4">
        <v>1</v>
      </c>
      <c r="F15" s="4">
        <v>1</v>
      </c>
      <c r="G15" s="4">
        <v>4</v>
      </c>
      <c r="H15" s="4">
        <v>4</v>
      </c>
      <c r="I15" s="4">
        <v>3</v>
      </c>
      <c r="J15" s="4" t="s">
        <v>446</v>
      </c>
      <c r="K15" s="4">
        <v>25</v>
      </c>
      <c r="L15" s="4">
        <f t="shared" si="0"/>
        <v>13</v>
      </c>
      <c r="M15" s="4">
        <f t="shared" si="1"/>
        <v>52</v>
      </c>
      <c r="N15" s="4">
        <v>23</v>
      </c>
      <c r="O15" s="4"/>
    </row>
    <row r="16" spans="1:15" ht="20.100000000000001" customHeight="1" x14ac:dyDescent="0.25">
      <c r="A16" s="12">
        <v>9</v>
      </c>
      <c r="B16" s="13" t="s">
        <v>95</v>
      </c>
      <c r="C16" s="14" t="s">
        <v>296</v>
      </c>
      <c r="D16" s="12" t="s">
        <v>283</v>
      </c>
      <c r="E16" s="4">
        <v>0</v>
      </c>
      <c r="F16" s="4">
        <v>3</v>
      </c>
      <c r="G16" s="4">
        <v>5</v>
      </c>
      <c r="H16" s="4">
        <v>2</v>
      </c>
      <c r="I16" s="4">
        <v>2</v>
      </c>
      <c r="J16" s="4" t="s">
        <v>446</v>
      </c>
      <c r="K16" s="4">
        <v>25</v>
      </c>
      <c r="L16" s="4">
        <f t="shared" si="0"/>
        <v>12</v>
      </c>
      <c r="M16" s="4">
        <f t="shared" si="1"/>
        <v>48</v>
      </c>
      <c r="N16" s="4">
        <v>26</v>
      </c>
      <c r="O16" s="4"/>
    </row>
    <row r="17" spans="1:15" ht="20.100000000000001" customHeight="1" x14ac:dyDescent="0.25">
      <c r="A17" s="6">
        <v>10</v>
      </c>
      <c r="B17" s="13" t="s">
        <v>297</v>
      </c>
      <c r="C17" s="14" t="s">
        <v>298</v>
      </c>
      <c r="D17" s="12" t="s">
        <v>283</v>
      </c>
      <c r="E17" s="4">
        <v>5</v>
      </c>
      <c r="F17" s="4">
        <v>5</v>
      </c>
      <c r="G17" s="4">
        <v>5</v>
      </c>
      <c r="H17" s="4">
        <v>1</v>
      </c>
      <c r="I17" s="4">
        <v>1</v>
      </c>
      <c r="J17" s="4" t="s">
        <v>445</v>
      </c>
      <c r="K17" s="4">
        <v>25</v>
      </c>
      <c r="L17" s="4">
        <f t="shared" si="0"/>
        <v>17</v>
      </c>
      <c r="M17" s="4">
        <f t="shared" si="1"/>
        <v>68</v>
      </c>
      <c r="N17" s="4">
        <v>26</v>
      </c>
      <c r="O17" s="4"/>
    </row>
    <row r="18" spans="1:15" ht="20.100000000000001" customHeight="1" x14ac:dyDescent="0.25">
      <c r="A18" s="12">
        <v>11</v>
      </c>
      <c r="B18" s="13" t="s">
        <v>299</v>
      </c>
      <c r="C18" s="14" t="s">
        <v>300</v>
      </c>
      <c r="D18" s="12" t="s">
        <v>283</v>
      </c>
      <c r="E18" s="4">
        <v>0</v>
      </c>
      <c r="F18" s="4">
        <v>1</v>
      </c>
      <c r="G18" s="4">
        <v>3</v>
      </c>
      <c r="H18" s="4">
        <v>4</v>
      </c>
      <c r="I18" s="4">
        <v>0</v>
      </c>
      <c r="J18" s="4" t="s">
        <v>445</v>
      </c>
      <c r="K18" s="4">
        <v>25</v>
      </c>
      <c r="L18" s="4">
        <f t="shared" si="0"/>
        <v>8</v>
      </c>
      <c r="M18" s="4">
        <f t="shared" si="1"/>
        <v>32</v>
      </c>
      <c r="N18" s="4">
        <v>20</v>
      </c>
      <c r="O18" s="4"/>
    </row>
    <row r="19" spans="1:15" ht="20.100000000000001" customHeight="1" x14ac:dyDescent="0.25">
      <c r="A19" s="6">
        <v>12</v>
      </c>
      <c r="B19" s="13" t="s">
        <v>301</v>
      </c>
      <c r="C19" s="14" t="s">
        <v>302</v>
      </c>
      <c r="D19" s="12" t="s">
        <v>283</v>
      </c>
      <c r="E19" s="4">
        <v>4</v>
      </c>
      <c r="F19" s="4">
        <v>3</v>
      </c>
      <c r="G19" s="4">
        <v>4</v>
      </c>
      <c r="H19" s="4">
        <v>1</v>
      </c>
      <c r="I19" s="4">
        <v>1</v>
      </c>
      <c r="J19" s="4" t="s">
        <v>445</v>
      </c>
      <c r="K19" s="4">
        <v>25</v>
      </c>
      <c r="L19" s="4">
        <f t="shared" si="0"/>
        <v>13</v>
      </c>
      <c r="M19" s="4">
        <f t="shared" si="1"/>
        <v>52</v>
      </c>
      <c r="N19" s="4">
        <v>24</v>
      </c>
      <c r="O19" s="4"/>
    </row>
    <row r="20" spans="1:15" ht="20.100000000000001" customHeight="1" x14ac:dyDescent="0.25">
      <c r="A20" s="12">
        <v>13</v>
      </c>
      <c r="B20" s="13" t="s">
        <v>301</v>
      </c>
      <c r="C20" s="14" t="s">
        <v>259</v>
      </c>
      <c r="D20" s="12" t="s">
        <v>283</v>
      </c>
      <c r="E20" s="4">
        <v>2</v>
      </c>
      <c r="F20" s="4">
        <v>3</v>
      </c>
      <c r="G20" s="4">
        <v>5</v>
      </c>
      <c r="H20" s="4">
        <v>2</v>
      </c>
      <c r="I20" s="4">
        <v>0</v>
      </c>
      <c r="J20" s="4" t="s">
        <v>446</v>
      </c>
      <c r="K20" s="4">
        <v>25</v>
      </c>
      <c r="L20" s="4">
        <f t="shared" si="0"/>
        <v>12</v>
      </c>
      <c r="M20" s="4">
        <f t="shared" si="1"/>
        <v>48</v>
      </c>
      <c r="N20" s="4">
        <v>25</v>
      </c>
      <c r="O20" s="4"/>
    </row>
    <row r="21" spans="1:15" ht="20.100000000000001" customHeight="1" x14ac:dyDescent="0.25">
      <c r="A21" s="6">
        <v>14</v>
      </c>
      <c r="B21" s="13" t="s">
        <v>247</v>
      </c>
      <c r="C21" s="14" t="s">
        <v>303</v>
      </c>
      <c r="D21" s="12" t="s">
        <v>283</v>
      </c>
      <c r="E21" s="4">
        <v>4</v>
      </c>
      <c r="F21" s="4">
        <v>5</v>
      </c>
      <c r="G21" s="4">
        <v>0</v>
      </c>
      <c r="H21" s="4">
        <v>4</v>
      </c>
      <c r="I21" s="4">
        <v>4</v>
      </c>
      <c r="J21" s="4" t="s">
        <v>445</v>
      </c>
      <c r="K21" s="4">
        <v>25</v>
      </c>
      <c r="L21" s="4">
        <f t="shared" si="0"/>
        <v>17</v>
      </c>
      <c r="M21" s="4">
        <f t="shared" si="1"/>
        <v>68</v>
      </c>
      <c r="N21" s="4">
        <v>26</v>
      </c>
      <c r="O21" s="4"/>
    </row>
    <row r="22" spans="1:15" ht="20.100000000000001" customHeight="1" x14ac:dyDescent="0.25">
      <c r="A22" s="12">
        <v>15</v>
      </c>
      <c r="B22" s="13" t="s">
        <v>304</v>
      </c>
      <c r="C22" s="14" t="s">
        <v>305</v>
      </c>
      <c r="D22" s="12" t="s">
        <v>283</v>
      </c>
      <c r="E22" s="4">
        <v>4</v>
      </c>
      <c r="F22" s="4">
        <v>5</v>
      </c>
      <c r="G22" s="4">
        <v>2</v>
      </c>
      <c r="H22" s="4">
        <v>4</v>
      </c>
      <c r="I22" s="4">
        <v>5</v>
      </c>
      <c r="J22" s="4" t="s">
        <v>446</v>
      </c>
      <c r="K22" s="4">
        <v>25</v>
      </c>
      <c r="L22" s="4">
        <f t="shared" si="0"/>
        <v>20</v>
      </c>
      <c r="M22" s="4">
        <f t="shared" si="1"/>
        <v>80</v>
      </c>
      <c r="N22" s="4">
        <v>27</v>
      </c>
      <c r="O22" s="4"/>
    </row>
    <row r="23" spans="1:15" ht="20.100000000000001" customHeight="1" x14ac:dyDescent="0.25">
      <c r="A23" s="6">
        <v>16</v>
      </c>
      <c r="B23" s="13" t="s">
        <v>306</v>
      </c>
      <c r="C23" s="14" t="s">
        <v>307</v>
      </c>
      <c r="D23" s="12" t="s">
        <v>283</v>
      </c>
      <c r="E23" s="4">
        <v>3</v>
      </c>
      <c r="F23" s="4">
        <v>0</v>
      </c>
      <c r="G23" s="4">
        <v>5</v>
      </c>
      <c r="H23" s="4">
        <v>2</v>
      </c>
      <c r="I23" s="4">
        <v>0</v>
      </c>
      <c r="J23" s="4" t="s">
        <v>445</v>
      </c>
      <c r="K23" s="4">
        <v>25</v>
      </c>
      <c r="L23" s="4">
        <f t="shared" si="0"/>
        <v>10</v>
      </c>
      <c r="M23" s="4">
        <f t="shared" si="1"/>
        <v>40</v>
      </c>
      <c r="N23" s="4">
        <v>22</v>
      </c>
      <c r="O23" s="4"/>
    </row>
    <row r="24" spans="1:15" ht="20.100000000000001" customHeight="1" x14ac:dyDescent="0.25">
      <c r="A24" s="12">
        <v>17</v>
      </c>
      <c r="B24" s="13" t="s">
        <v>308</v>
      </c>
      <c r="C24" s="14" t="s">
        <v>309</v>
      </c>
      <c r="D24" s="12" t="s">
        <v>283</v>
      </c>
      <c r="E24" s="4">
        <v>0</v>
      </c>
      <c r="F24" s="4">
        <v>1</v>
      </c>
      <c r="G24" s="4">
        <v>4</v>
      </c>
      <c r="H24" s="4">
        <v>3</v>
      </c>
      <c r="I24" s="4">
        <v>0</v>
      </c>
      <c r="J24" s="4" t="s">
        <v>445</v>
      </c>
      <c r="K24" s="4">
        <v>25</v>
      </c>
      <c r="L24" s="4">
        <f t="shared" si="0"/>
        <v>8</v>
      </c>
      <c r="M24" s="4">
        <f t="shared" si="1"/>
        <v>32</v>
      </c>
      <c r="N24" s="4">
        <v>21</v>
      </c>
      <c r="O24" s="4"/>
    </row>
    <row r="25" spans="1:15" ht="20.100000000000001" customHeight="1" x14ac:dyDescent="0.25">
      <c r="A25" s="6">
        <v>18</v>
      </c>
      <c r="B25" s="13" t="s">
        <v>310</v>
      </c>
      <c r="C25" s="14" t="s">
        <v>303</v>
      </c>
      <c r="D25" s="12" t="s">
        <v>283</v>
      </c>
      <c r="E25" s="4">
        <v>1</v>
      </c>
      <c r="F25" s="4">
        <v>2</v>
      </c>
      <c r="G25" s="4">
        <v>0</v>
      </c>
      <c r="H25" s="4">
        <v>0</v>
      </c>
      <c r="I25" s="4">
        <v>0</v>
      </c>
      <c r="J25" s="4" t="s">
        <v>445</v>
      </c>
      <c r="K25" s="4">
        <v>25</v>
      </c>
      <c r="L25" s="4">
        <f t="shared" si="0"/>
        <v>3</v>
      </c>
      <c r="M25" s="4">
        <f t="shared" si="1"/>
        <v>12</v>
      </c>
      <c r="N25" s="4">
        <v>26</v>
      </c>
      <c r="O25" s="4"/>
    </row>
    <row r="26" spans="1:15" ht="20.100000000000001" customHeight="1" x14ac:dyDescent="0.25">
      <c r="A26" s="12">
        <v>19</v>
      </c>
      <c r="B26" s="13" t="s">
        <v>311</v>
      </c>
      <c r="C26" s="14" t="s">
        <v>312</v>
      </c>
      <c r="D26" s="12" t="s">
        <v>283</v>
      </c>
      <c r="E26" s="4">
        <v>1</v>
      </c>
      <c r="F26" s="4">
        <v>3</v>
      </c>
      <c r="G26" s="4">
        <v>2</v>
      </c>
      <c r="H26" s="4">
        <v>1</v>
      </c>
      <c r="I26" s="4">
        <v>0</v>
      </c>
      <c r="J26" s="4" t="s">
        <v>446</v>
      </c>
      <c r="K26" s="4">
        <v>25</v>
      </c>
      <c r="L26" s="4">
        <f t="shared" si="0"/>
        <v>7</v>
      </c>
      <c r="M26" s="4">
        <f t="shared" si="1"/>
        <v>28.000000000000004</v>
      </c>
      <c r="N26" s="4">
        <v>26</v>
      </c>
      <c r="O26" s="4"/>
    </row>
    <row r="27" spans="1:15" ht="20.100000000000001" customHeight="1" x14ac:dyDescent="0.25">
      <c r="A27" s="6">
        <v>20</v>
      </c>
      <c r="B27" s="13" t="s">
        <v>313</v>
      </c>
      <c r="C27" s="14" t="s">
        <v>314</v>
      </c>
      <c r="D27" s="12" t="s">
        <v>283</v>
      </c>
      <c r="E27" s="4">
        <v>1</v>
      </c>
      <c r="F27" s="4">
        <v>5</v>
      </c>
      <c r="G27" s="4">
        <v>1</v>
      </c>
      <c r="H27" s="4">
        <v>1</v>
      </c>
      <c r="I27" s="4">
        <v>1</v>
      </c>
      <c r="J27" s="4" t="s">
        <v>446</v>
      </c>
      <c r="K27" s="4">
        <v>25</v>
      </c>
      <c r="L27" s="4">
        <f t="shared" si="0"/>
        <v>9</v>
      </c>
      <c r="M27" s="4">
        <f t="shared" si="1"/>
        <v>36</v>
      </c>
      <c r="N27" s="4">
        <v>26</v>
      </c>
      <c r="O27" s="4"/>
    </row>
    <row r="28" spans="1:15" ht="20.100000000000001" customHeight="1" x14ac:dyDescent="0.25">
      <c r="A28" s="12">
        <v>21</v>
      </c>
      <c r="B28" s="13" t="s">
        <v>315</v>
      </c>
      <c r="C28" s="14" t="s">
        <v>316</v>
      </c>
      <c r="D28" s="12" t="s">
        <v>283</v>
      </c>
      <c r="E28" s="4">
        <v>0</v>
      </c>
      <c r="F28" s="4">
        <v>0</v>
      </c>
      <c r="G28" s="4">
        <v>1</v>
      </c>
      <c r="H28" s="4">
        <v>2</v>
      </c>
      <c r="I28" s="4">
        <v>0</v>
      </c>
      <c r="J28" s="4" t="s">
        <v>445</v>
      </c>
      <c r="K28" s="4">
        <v>25</v>
      </c>
      <c r="L28" s="4">
        <f t="shared" si="0"/>
        <v>3</v>
      </c>
      <c r="M28" s="4">
        <f t="shared" si="1"/>
        <v>12</v>
      </c>
      <c r="N28" s="4">
        <v>24</v>
      </c>
      <c r="O28" s="4"/>
    </row>
    <row r="29" spans="1:15" ht="20.100000000000001" customHeight="1" x14ac:dyDescent="0.25">
      <c r="A29" s="6">
        <v>22</v>
      </c>
      <c r="B29" s="13" t="s">
        <v>317</v>
      </c>
      <c r="C29" s="14" t="s">
        <v>318</v>
      </c>
      <c r="D29" s="12" t="s">
        <v>283</v>
      </c>
      <c r="E29" s="4">
        <v>0</v>
      </c>
      <c r="F29" s="4">
        <v>4</v>
      </c>
      <c r="G29" s="4">
        <v>3</v>
      </c>
      <c r="H29" s="4">
        <v>1</v>
      </c>
      <c r="I29" s="4">
        <v>1</v>
      </c>
      <c r="J29" s="4" t="s">
        <v>446</v>
      </c>
      <c r="K29" s="4">
        <v>25</v>
      </c>
      <c r="L29" s="4">
        <f t="shared" si="0"/>
        <v>9</v>
      </c>
      <c r="M29" s="4">
        <f t="shared" si="1"/>
        <v>36</v>
      </c>
      <c r="N29" s="4">
        <v>26</v>
      </c>
      <c r="O29" s="4"/>
    </row>
    <row r="30" spans="1:15" ht="20.100000000000001" customHeight="1" x14ac:dyDescent="0.25">
      <c r="A30" s="12">
        <v>23</v>
      </c>
      <c r="B30" s="13" t="s">
        <v>319</v>
      </c>
      <c r="C30" s="14" t="s">
        <v>320</v>
      </c>
      <c r="D30" s="12" t="s">
        <v>283</v>
      </c>
      <c r="E30" s="4">
        <v>0</v>
      </c>
      <c r="F30" s="4">
        <v>1</v>
      </c>
      <c r="G30" s="4">
        <v>2</v>
      </c>
      <c r="H30" s="4">
        <v>1</v>
      </c>
      <c r="I30" s="4">
        <v>3</v>
      </c>
      <c r="J30" s="4" t="s">
        <v>446</v>
      </c>
      <c r="K30" s="4">
        <v>25</v>
      </c>
      <c r="L30" s="4">
        <f t="shared" si="0"/>
        <v>7</v>
      </c>
      <c r="M30" s="4">
        <f t="shared" si="1"/>
        <v>28.000000000000004</v>
      </c>
      <c r="N30" s="4">
        <v>18</v>
      </c>
      <c r="O30" s="4"/>
    </row>
    <row r="31" spans="1:15" ht="20.100000000000001" customHeight="1" x14ac:dyDescent="0.25">
      <c r="A31" s="6">
        <v>24</v>
      </c>
      <c r="B31" s="13" t="s">
        <v>321</v>
      </c>
      <c r="C31" s="14" t="s">
        <v>322</v>
      </c>
      <c r="D31" s="12" t="s">
        <v>283</v>
      </c>
      <c r="E31" s="4">
        <v>2</v>
      </c>
      <c r="F31" s="4">
        <v>4</v>
      </c>
      <c r="G31" s="4">
        <v>5</v>
      </c>
      <c r="H31" s="4">
        <v>2</v>
      </c>
      <c r="I31" s="4">
        <v>0</v>
      </c>
      <c r="J31" s="4" t="s">
        <v>445</v>
      </c>
      <c r="K31" s="4">
        <v>25</v>
      </c>
      <c r="L31" s="4">
        <f t="shared" si="0"/>
        <v>13</v>
      </c>
      <c r="M31" s="4">
        <f t="shared" si="1"/>
        <v>52</v>
      </c>
      <c r="N31" s="4">
        <v>20</v>
      </c>
      <c r="O31" s="4"/>
    </row>
    <row r="32" spans="1:15" ht="20.100000000000001" customHeight="1" x14ac:dyDescent="0.25">
      <c r="A32" s="12">
        <v>25</v>
      </c>
      <c r="B32" s="13" t="s">
        <v>323</v>
      </c>
      <c r="C32" s="14" t="s">
        <v>324</v>
      </c>
      <c r="D32" s="12" t="s">
        <v>283</v>
      </c>
      <c r="E32" s="4">
        <v>2</v>
      </c>
      <c r="F32" s="4">
        <v>1</v>
      </c>
      <c r="G32" s="4">
        <v>1</v>
      </c>
      <c r="H32" s="4">
        <v>2</v>
      </c>
      <c r="I32" s="4">
        <v>1</v>
      </c>
      <c r="J32" s="4" t="s">
        <v>446</v>
      </c>
      <c r="K32" s="4">
        <v>25</v>
      </c>
      <c r="L32" s="4">
        <f t="shared" si="0"/>
        <v>7</v>
      </c>
      <c r="M32" s="4">
        <f t="shared" si="1"/>
        <v>28.000000000000004</v>
      </c>
      <c r="N32" s="4">
        <v>22</v>
      </c>
      <c r="O32" s="4"/>
    </row>
    <row r="33" spans="1:15" ht="20.100000000000001" customHeight="1" x14ac:dyDescent="0.25">
      <c r="A33" s="6">
        <v>26</v>
      </c>
      <c r="B33" s="13" t="s">
        <v>325</v>
      </c>
      <c r="C33" s="14" t="s">
        <v>326</v>
      </c>
      <c r="D33" s="12" t="s">
        <v>283</v>
      </c>
      <c r="E33" s="4">
        <v>0</v>
      </c>
      <c r="F33" s="4">
        <v>3</v>
      </c>
      <c r="G33" s="4">
        <v>5</v>
      </c>
      <c r="H33" s="4">
        <v>2</v>
      </c>
      <c r="I33" s="4">
        <v>2</v>
      </c>
      <c r="J33" s="4" t="s">
        <v>445</v>
      </c>
      <c r="K33" s="4">
        <v>25</v>
      </c>
      <c r="L33" s="4">
        <f t="shared" si="0"/>
        <v>12</v>
      </c>
      <c r="M33" s="4">
        <f t="shared" si="1"/>
        <v>48</v>
      </c>
      <c r="N33" s="4">
        <v>16</v>
      </c>
      <c r="O33" s="4"/>
    </row>
    <row r="34" spans="1:15" ht="20.100000000000001" customHeight="1" x14ac:dyDescent="0.25">
      <c r="A34" s="12">
        <v>27</v>
      </c>
      <c r="B34" s="13" t="s">
        <v>327</v>
      </c>
      <c r="C34" s="14" t="s">
        <v>328</v>
      </c>
      <c r="D34" s="12" t="s">
        <v>283</v>
      </c>
      <c r="E34" s="4">
        <v>1</v>
      </c>
      <c r="F34" s="4">
        <v>4</v>
      </c>
      <c r="G34" s="4">
        <v>4</v>
      </c>
      <c r="H34" s="4">
        <v>3</v>
      </c>
      <c r="I34" s="4">
        <v>1</v>
      </c>
      <c r="J34" s="4" t="s">
        <v>445</v>
      </c>
      <c r="K34" s="4">
        <v>25</v>
      </c>
      <c r="L34" s="4">
        <f t="shared" si="0"/>
        <v>13</v>
      </c>
      <c r="M34" s="4">
        <f t="shared" si="1"/>
        <v>52</v>
      </c>
      <c r="N34" s="4">
        <v>26</v>
      </c>
      <c r="O34" s="4"/>
    </row>
    <row r="35" spans="1:15" ht="20.100000000000001" customHeight="1" x14ac:dyDescent="0.25">
      <c r="A35" s="6">
        <v>28</v>
      </c>
      <c r="B35" s="13" t="s">
        <v>329</v>
      </c>
      <c r="C35" s="14" t="s">
        <v>330</v>
      </c>
      <c r="D35" s="12" t="s">
        <v>283</v>
      </c>
      <c r="E35" s="4">
        <v>0</v>
      </c>
      <c r="F35" s="4">
        <v>1</v>
      </c>
      <c r="G35" s="4">
        <v>2</v>
      </c>
      <c r="H35" s="4">
        <v>1</v>
      </c>
      <c r="I35" s="4">
        <v>3</v>
      </c>
      <c r="J35" s="4" t="s">
        <v>445</v>
      </c>
      <c r="K35" s="4">
        <v>25</v>
      </c>
      <c r="L35" s="4">
        <f t="shared" si="0"/>
        <v>7</v>
      </c>
      <c r="M35" s="4">
        <f t="shared" si="1"/>
        <v>28.000000000000004</v>
      </c>
      <c r="N35" s="4">
        <v>20</v>
      </c>
      <c r="O35" s="4"/>
    </row>
    <row r="36" spans="1:15" ht="20.100000000000001" customHeight="1" x14ac:dyDescent="0.25">
      <c r="A36" s="12">
        <v>29</v>
      </c>
      <c r="B36" s="13" t="s">
        <v>331</v>
      </c>
      <c r="C36" s="14" t="s">
        <v>33</v>
      </c>
      <c r="D36" s="12" t="s">
        <v>283</v>
      </c>
      <c r="E36" s="4">
        <v>2</v>
      </c>
      <c r="F36" s="4">
        <v>5</v>
      </c>
      <c r="G36" s="4">
        <v>5</v>
      </c>
      <c r="H36" s="4">
        <v>4</v>
      </c>
      <c r="I36" s="4">
        <v>4</v>
      </c>
      <c r="J36" s="4" t="s">
        <v>446</v>
      </c>
      <c r="K36" s="4">
        <v>25</v>
      </c>
      <c r="L36" s="4">
        <f t="shared" si="0"/>
        <v>20</v>
      </c>
      <c r="M36" s="4">
        <f t="shared" si="1"/>
        <v>80</v>
      </c>
      <c r="N36" s="4">
        <v>25</v>
      </c>
      <c r="O36" s="4"/>
    </row>
    <row r="37" spans="1:15" ht="20.100000000000001" customHeight="1" x14ac:dyDescent="0.25">
      <c r="A37" s="6">
        <v>30</v>
      </c>
      <c r="B37" s="13" t="s">
        <v>332</v>
      </c>
      <c r="C37" s="14" t="s">
        <v>333</v>
      </c>
      <c r="D37" s="12" t="s">
        <v>283</v>
      </c>
      <c r="E37" s="4">
        <v>2</v>
      </c>
      <c r="F37" s="4">
        <v>4</v>
      </c>
      <c r="G37" s="4">
        <v>5</v>
      </c>
      <c r="H37" s="4">
        <v>1</v>
      </c>
      <c r="I37" s="4">
        <v>1</v>
      </c>
      <c r="J37" s="4" t="s">
        <v>446</v>
      </c>
      <c r="K37" s="4">
        <v>25</v>
      </c>
      <c r="L37" s="4">
        <f t="shared" si="0"/>
        <v>13</v>
      </c>
      <c r="M37" s="4">
        <f t="shared" si="1"/>
        <v>52</v>
      </c>
      <c r="N37" s="4">
        <v>25</v>
      </c>
      <c r="O37" s="4"/>
    </row>
    <row r="38" spans="1:15" ht="20.100000000000001" customHeight="1" x14ac:dyDescent="0.25">
      <c r="A38" s="12">
        <v>31</v>
      </c>
      <c r="B38" s="13" t="s">
        <v>332</v>
      </c>
      <c r="C38" s="14" t="s">
        <v>334</v>
      </c>
      <c r="D38" s="12" t="s">
        <v>283</v>
      </c>
      <c r="E38" s="4">
        <v>2</v>
      </c>
      <c r="F38" s="4">
        <v>5</v>
      </c>
      <c r="G38" s="4">
        <v>4</v>
      </c>
      <c r="H38" s="4">
        <v>2</v>
      </c>
      <c r="I38" s="4">
        <v>0</v>
      </c>
      <c r="J38" s="4" t="s">
        <v>445</v>
      </c>
      <c r="K38" s="4">
        <v>25</v>
      </c>
      <c r="L38" s="4">
        <f t="shared" si="0"/>
        <v>13</v>
      </c>
      <c r="M38" s="4">
        <f t="shared" si="1"/>
        <v>52</v>
      </c>
      <c r="N38" s="4">
        <v>19</v>
      </c>
      <c r="O38" s="4"/>
    </row>
    <row r="39" spans="1:15" ht="20.100000000000001" customHeight="1" x14ac:dyDescent="0.25">
      <c r="A39" s="6">
        <v>32</v>
      </c>
      <c r="B39" s="13" t="s">
        <v>335</v>
      </c>
      <c r="C39" s="14" t="s">
        <v>336</v>
      </c>
      <c r="D39" s="12" t="s">
        <v>283</v>
      </c>
      <c r="E39" s="4">
        <v>0</v>
      </c>
      <c r="F39" s="4">
        <v>3</v>
      </c>
      <c r="G39" s="4">
        <v>5</v>
      </c>
      <c r="H39" s="4">
        <v>2</v>
      </c>
      <c r="I39" s="4">
        <v>0</v>
      </c>
      <c r="J39" s="4" t="s">
        <v>446</v>
      </c>
      <c r="K39" s="4">
        <v>25</v>
      </c>
      <c r="L39" s="4">
        <f t="shared" si="0"/>
        <v>10</v>
      </c>
      <c r="M39" s="4">
        <f t="shared" si="1"/>
        <v>40</v>
      </c>
      <c r="N39" s="4">
        <v>23</v>
      </c>
      <c r="O39" s="4"/>
    </row>
    <row r="40" spans="1:15" ht="21" x14ac:dyDescent="0.35">
      <c r="A40" s="30" t="s">
        <v>182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2"/>
    </row>
    <row r="41" spans="1:15" ht="20.100000000000001" customHeight="1" x14ac:dyDescent="0.25">
      <c r="A41" s="12">
        <v>1</v>
      </c>
      <c r="B41" s="15" t="s">
        <v>337</v>
      </c>
      <c r="C41" s="16" t="s">
        <v>338</v>
      </c>
      <c r="D41" s="12" t="s">
        <v>283</v>
      </c>
      <c r="E41" s="4">
        <v>2</v>
      </c>
      <c r="F41" s="4">
        <v>4</v>
      </c>
      <c r="G41" s="4">
        <v>5</v>
      </c>
      <c r="H41" s="4">
        <v>2</v>
      </c>
      <c r="I41" s="4">
        <v>0</v>
      </c>
      <c r="J41" s="4" t="s">
        <v>446</v>
      </c>
      <c r="K41" s="4">
        <v>25</v>
      </c>
      <c r="L41" s="4">
        <f>SUM(E41:I41)</f>
        <v>13</v>
      </c>
      <c r="M41" s="4">
        <f>L41/K41*100</f>
        <v>52</v>
      </c>
      <c r="N41" s="4">
        <v>26</v>
      </c>
      <c r="O41" s="4"/>
    </row>
    <row r="42" spans="1:15" ht="20.100000000000001" customHeight="1" x14ac:dyDescent="0.25">
      <c r="A42" s="6">
        <v>2</v>
      </c>
      <c r="B42" s="13" t="s">
        <v>339</v>
      </c>
      <c r="C42" s="14" t="s">
        <v>340</v>
      </c>
      <c r="D42" s="12" t="s">
        <v>283</v>
      </c>
      <c r="E42" s="4">
        <v>1</v>
      </c>
      <c r="F42" s="4">
        <v>5</v>
      </c>
      <c r="G42" s="4">
        <v>1</v>
      </c>
      <c r="H42" s="4">
        <v>1</v>
      </c>
      <c r="I42" s="4">
        <v>1</v>
      </c>
      <c r="J42" s="4" t="s">
        <v>445</v>
      </c>
      <c r="K42" s="4">
        <v>25</v>
      </c>
      <c r="L42" s="4">
        <f t="shared" ref="L42:L64" si="2">SUM(E42:I42)</f>
        <v>9</v>
      </c>
      <c r="M42" s="4">
        <f t="shared" ref="M42:M64" si="3">L42/K42*100</f>
        <v>36</v>
      </c>
      <c r="N42" s="4">
        <v>16</v>
      </c>
      <c r="O42" s="4"/>
    </row>
    <row r="43" spans="1:15" ht="20.100000000000001" customHeight="1" x14ac:dyDescent="0.25">
      <c r="A43" s="12">
        <v>3</v>
      </c>
      <c r="B43" s="13" t="s">
        <v>160</v>
      </c>
      <c r="C43" s="14" t="s">
        <v>309</v>
      </c>
      <c r="D43" s="12" t="s">
        <v>283</v>
      </c>
      <c r="E43" s="4">
        <v>2</v>
      </c>
      <c r="F43" s="4">
        <v>5</v>
      </c>
      <c r="G43" s="4">
        <v>5</v>
      </c>
      <c r="H43" s="4">
        <v>4</v>
      </c>
      <c r="I43" s="4">
        <v>4</v>
      </c>
      <c r="J43" s="4" t="s">
        <v>445</v>
      </c>
      <c r="K43" s="4">
        <v>25</v>
      </c>
      <c r="L43" s="4">
        <f t="shared" si="2"/>
        <v>20</v>
      </c>
      <c r="M43" s="4">
        <f t="shared" si="3"/>
        <v>80</v>
      </c>
      <c r="N43" s="4">
        <v>26</v>
      </c>
      <c r="O43" s="4"/>
    </row>
    <row r="44" spans="1:15" ht="20.100000000000001" customHeight="1" x14ac:dyDescent="0.25">
      <c r="A44" s="6">
        <v>4</v>
      </c>
      <c r="B44" s="13" t="s">
        <v>341</v>
      </c>
      <c r="C44" s="14" t="s">
        <v>342</v>
      </c>
      <c r="D44" s="12" t="s">
        <v>283</v>
      </c>
      <c r="E44" s="4">
        <v>5</v>
      </c>
      <c r="F44" s="4">
        <v>5</v>
      </c>
      <c r="G44" s="4">
        <v>1</v>
      </c>
      <c r="H44" s="4">
        <v>5</v>
      </c>
      <c r="I44" s="4">
        <v>1</v>
      </c>
      <c r="J44" s="4" t="s">
        <v>446</v>
      </c>
      <c r="K44" s="4">
        <v>25</v>
      </c>
      <c r="L44" s="4">
        <f t="shared" si="2"/>
        <v>17</v>
      </c>
      <c r="M44" s="4">
        <f t="shared" si="3"/>
        <v>68</v>
      </c>
      <c r="N44" s="4">
        <v>21</v>
      </c>
      <c r="O44" s="4"/>
    </row>
    <row r="45" spans="1:15" ht="20.100000000000001" customHeight="1" x14ac:dyDescent="0.25">
      <c r="A45" s="12">
        <v>5</v>
      </c>
      <c r="B45" s="13" t="s">
        <v>343</v>
      </c>
      <c r="C45" s="14" t="s">
        <v>344</v>
      </c>
      <c r="D45" s="12" t="s">
        <v>283</v>
      </c>
      <c r="E45" s="4">
        <v>2</v>
      </c>
      <c r="F45" s="4">
        <v>5</v>
      </c>
      <c r="G45" s="4">
        <v>5</v>
      </c>
      <c r="H45" s="4">
        <v>4</v>
      </c>
      <c r="I45" s="4">
        <v>4</v>
      </c>
      <c r="J45" s="4" t="s">
        <v>445</v>
      </c>
      <c r="K45" s="4">
        <v>25</v>
      </c>
      <c r="L45" s="4">
        <f t="shared" si="2"/>
        <v>20</v>
      </c>
      <c r="M45" s="4">
        <f t="shared" si="3"/>
        <v>80</v>
      </c>
      <c r="N45" s="4">
        <v>26</v>
      </c>
      <c r="O45" s="4"/>
    </row>
    <row r="46" spans="1:15" ht="20.100000000000001" customHeight="1" x14ac:dyDescent="0.25">
      <c r="A46" s="6">
        <v>6</v>
      </c>
      <c r="B46" s="13" t="s">
        <v>345</v>
      </c>
      <c r="C46" s="14" t="s">
        <v>309</v>
      </c>
      <c r="D46" s="12" t="s">
        <v>283</v>
      </c>
      <c r="E46" s="4">
        <v>5</v>
      </c>
      <c r="F46" s="4">
        <v>4</v>
      </c>
      <c r="G46" s="4">
        <v>5</v>
      </c>
      <c r="H46" s="4">
        <v>1</v>
      </c>
      <c r="I46" s="4">
        <v>1</v>
      </c>
      <c r="J46" s="4" t="s">
        <v>445</v>
      </c>
      <c r="K46" s="4">
        <v>25</v>
      </c>
      <c r="L46" s="4">
        <f t="shared" si="2"/>
        <v>16</v>
      </c>
      <c r="M46" s="4">
        <f t="shared" si="3"/>
        <v>64</v>
      </c>
      <c r="N46" s="4">
        <v>21</v>
      </c>
      <c r="O46" s="4"/>
    </row>
    <row r="47" spans="1:15" ht="20.100000000000001" customHeight="1" x14ac:dyDescent="0.25">
      <c r="A47" s="12">
        <v>7</v>
      </c>
      <c r="B47" s="13" t="s">
        <v>346</v>
      </c>
      <c r="C47" s="14" t="s">
        <v>347</v>
      </c>
      <c r="D47" s="12" t="s">
        <v>283</v>
      </c>
      <c r="E47" s="4">
        <v>1</v>
      </c>
      <c r="F47" s="4">
        <v>5</v>
      </c>
      <c r="G47" s="4">
        <v>3</v>
      </c>
      <c r="H47" s="4">
        <v>1</v>
      </c>
      <c r="I47" s="4">
        <v>1</v>
      </c>
      <c r="J47" s="4" t="s">
        <v>445</v>
      </c>
      <c r="K47" s="4">
        <v>25</v>
      </c>
      <c r="L47" s="4">
        <f t="shared" si="2"/>
        <v>11</v>
      </c>
      <c r="M47" s="4">
        <f t="shared" si="3"/>
        <v>44</v>
      </c>
      <c r="N47" s="4">
        <v>25</v>
      </c>
      <c r="O47" s="4"/>
    </row>
    <row r="48" spans="1:15" ht="20.100000000000001" customHeight="1" x14ac:dyDescent="0.25">
      <c r="A48" s="6">
        <v>8</v>
      </c>
      <c r="B48" s="13" t="s">
        <v>348</v>
      </c>
      <c r="C48" s="14" t="s">
        <v>349</v>
      </c>
      <c r="D48" s="12" t="s">
        <v>283</v>
      </c>
      <c r="E48" s="4">
        <v>1</v>
      </c>
      <c r="F48" s="4">
        <v>4</v>
      </c>
      <c r="G48" s="4">
        <v>5</v>
      </c>
      <c r="H48" s="4">
        <v>3</v>
      </c>
      <c r="I48" s="4">
        <v>4</v>
      </c>
      <c r="J48" s="4" t="s">
        <v>445</v>
      </c>
      <c r="K48" s="4">
        <v>25</v>
      </c>
      <c r="L48" s="4">
        <f t="shared" si="2"/>
        <v>17</v>
      </c>
      <c r="M48" s="4">
        <f t="shared" si="3"/>
        <v>68</v>
      </c>
      <c r="N48" s="4">
        <v>25</v>
      </c>
      <c r="O48" s="4"/>
    </row>
    <row r="49" spans="1:15" ht="20.100000000000001" customHeight="1" x14ac:dyDescent="0.25">
      <c r="A49" s="12">
        <v>9</v>
      </c>
      <c r="B49" s="13" t="s">
        <v>350</v>
      </c>
      <c r="C49" s="14" t="s">
        <v>351</v>
      </c>
      <c r="D49" s="12" t="s">
        <v>283</v>
      </c>
      <c r="E49" s="4">
        <v>1</v>
      </c>
      <c r="F49" s="4">
        <v>5</v>
      </c>
      <c r="G49" s="4">
        <v>5</v>
      </c>
      <c r="H49" s="4">
        <v>0</v>
      </c>
      <c r="I49" s="4">
        <v>0</v>
      </c>
      <c r="J49" s="4" t="s">
        <v>445</v>
      </c>
      <c r="K49" s="4">
        <v>25</v>
      </c>
      <c r="L49" s="4">
        <f t="shared" si="2"/>
        <v>11</v>
      </c>
      <c r="M49" s="4">
        <f t="shared" si="3"/>
        <v>44</v>
      </c>
      <c r="N49" s="4">
        <v>25</v>
      </c>
      <c r="O49" s="4"/>
    </row>
    <row r="50" spans="1:15" ht="20.100000000000001" customHeight="1" x14ac:dyDescent="0.25">
      <c r="A50" s="6">
        <v>10</v>
      </c>
      <c r="B50" s="13" t="s">
        <v>352</v>
      </c>
      <c r="C50" s="14" t="s">
        <v>353</v>
      </c>
      <c r="D50" s="12" t="s">
        <v>283</v>
      </c>
      <c r="E50" s="4">
        <v>1</v>
      </c>
      <c r="F50" s="4">
        <v>4</v>
      </c>
      <c r="G50" s="4">
        <v>5</v>
      </c>
      <c r="H50" s="4">
        <v>3</v>
      </c>
      <c r="I50" s="4">
        <v>4</v>
      </c>
      <c r="J50" s="4" t="s">
        <v>446</v>
      </c>
      <c r="K50" s="4">
        <v>25</v>
      </c>
      <c r="L50" s="4">
        <f t="shared" si="2"/>
        <v>17</v>
      </c>
      <c r="M50" s="4">
        <f t="shared" si="3"/>
        <v>68</v>
      </c>
      <c r="N50" s="4">
        <v>26</v>
      </c>
      <c r="O50" s="4"/>
    </row>
    <row r="51" spans="1:15" ht="20.100000000000001" customHeight="1" x14ac:dyDescent="0.25">
      <c r="A51" s="12">
        <v>11</v>
      </c>
      <c r="B51" s="13" t="s">
        <v>354</v>
      </c>
      <c r="C51" s="14" t="s">
        <v>88</v>
      </c>
      <c r="D51" s="12" t="s">
        <v>283</v>
      </c>
      <c r="E51" s="4">
        <v>4</v>
      </c>
      <c r="F51" s="4">
        <v>0</v>
      </c>
      <c r="G51" s="4">
        <v>4</v>
      </c>
      <c r="H51" s="4">
        <v>2</v>
      </c>
      <c r="I51" s="4">
        <v>1</v>
      </c>
      <c r="J51" s="4" t="s">
        <v>446</v>
      </c>
      <c r="K51" s="4">
        <v>25</v>
      </c>
      <c r="L51" s="4">
        <f t="shared" si="2"/>
        <v>11</v>
      </c>
      <c r="M51" s="4">
        <f t="shared" si="3"/>
        <v>44</v>
      </c>
      <c r="N51" s="4">
        <v>11</v>
      </c>
      <c r="O51" s="4"/>
    </row>
    <row r="52" spans="1:15" ht="20.100000000000001" customHeight="1" x14ac:dyDescent="0.25">
      <c r="A52" s="6">
        <v>12</v>
      </c>
      <c r="B52" s="13" t="s">
        <v>355</v>
      </c>
      <c r="C52" s="14" t="s">
        <v>246</v>
      </c>
      <c r="D52" s="12" t="s">
        <v>283</v>
      </c>
      <c r="E52" s="4">
        <v>4</v>
      </c>
      <c r="F52" s="4">
        <v>0</v>
      </c>
      <c r="G52" s="4">
        <v>5</v>
      </c>
      <c r="H52" s="4">
        <v>3</v>
      </c>
      <c r="I52" s="4">
        <v>1</v>
      </c>
      <c r="J52" s="4" t="s">
        <v>446</v>
      </c>
      <c r="K52" s="4">
        <v>25</v>
      </c>
      <c r="L52" s="4">
        <f t="shared" si="2"/>
        <v>13</v>
      </c>
      <c r="M52" s="4">
        <f t="shared" si="3"/>
        <v>52</v>
      </c>
      <c r="N52" s="4">
        <v>21</v>
      </c>
      <c r="O52" s="4"/>
    </row>
    <row r="53" spans="1:15" ht="20.100000000000001" customHeight="1" x14ac:dyDescent="0.25">
      <c r="A53" s="12">
        <v>13</v>
      </c>
      <c r="B53" s="13" t="s">
        <v>356</v>
      </c>
      <c r="C53" s="14" t="s">
        <v>357</v>
      </c>
      <c r="D53" s="12" t="s">
        <v>283</v>
      </c>
      <c r="E53" s="4">
        <v>5</v>
      </c>
      <c r="F53" s="4">
        <v>4</v>
      </c>
      <c r="G53" s="4">
        <v>5</v>
      </c>
      <c r="H53" s="4">
        <v>1</v>
      </c>
      <c r="I53" s="4">
        <v>1</v>
      </c>
      <c r="J53" s="4" t="s">
        <v>446</v>
      </c>
      <c r="K53" s="4">
        <v>25</v>
      </c>
      <c r="L53" s="4">
        <f t="shared" si="2"/>
        <v>16</v>
      </c>
      <c r="M53" s="4">
        <f t="shared" si="3"/>
        <v>64</v>
      </c>
      <c r="N53" s="4">
        <v>14</v>
      </c>
      <c r="O53" s="4"/>
    </row>
    <row r="54" spans="1:15" ht="20.100000000000001" customHeight="1" x14ac:dyDescent="0.25">
      <c r="A54" s="6">
        <v>14</v>
      </c>
      <c r="B54" s="13" t="s">
        <v>358</v>
      </c>
      <c r="C54" s="14" t="s">
        <v>359</v>
      </c>
      <c r="D54" s="12" t="s">
        <v>283</v>
      </c>
      <c r="E54" s="4">
        <v>3</v>
      </c>
      <c r="F54" s="4">
        <v>0</v>
      </c>
      <c r="G54" s="4">
        <v>4</v>
      </c>
      <c r="H54" s="4">
        <v>0</v>
      </c>
      <c r="I54" s="4">
        <v>1</v>
      </c>
      <c r="J54" s="4" t="s">
        <v>446</v>
      </c>
      <c r="K54" s="4">
        <v>25</v>
      </c>
      <c r="L54" s="4">
        <f t="shared" si="2"/>
        <v>8</v>
      </c>
      <c r="M54" s="4">
        <f t="shared" si="3"/>
        <v>32</v>
      </c>
      <c r="N54" s="4">
        <v>16</v>
      </c>
      <c r="O54" s="4"/>
    </row>
    <row r="55" spans="1:15" ht="20.100000000000001" customHeight="1" x14ac:dyDescent="0.25">
      <c r="A55" s="12">
        <v>15</v>
      </c>
      <c r="B55" s="13" t="s">
        <v>360</v>
      </c>
      <c r="C55" s="14" t="s">
        <v>361</v>
      </c>
      <c r="D55" s="12" t="s">
        <v>283</v>
      </c>
      <c r="E55" s="4">
        <v>0</v>
      </c>
      <c r="F55" s="4">
        <v>1</v>
      </c>
      <c r="G55" s="4">
        <v>2</v>
      </c>
      <c r="H55" s="4">
        <v>1</v>
      </c>
      <c r="I55" s="4">
        <v>3</v>
      </c>
      <c r="J55" s="4" t="s">
        <v>445</v>
      </c>
      <c r="K55" s="4">
        <v>25</v>
      </c>
      <c r="L55" s="4">
        <f t="shared" si="2"/>
        <v>7</v>
      </c>
      <c r="M55" s="4">
        <f t="shared" si="3"/>
        <v>28.000000000000004</v>
      </c>
      <c r="N55" s="4">
        <v>24</v>
      </c>
      <c r="O55" s="4"/>
    </row>
    <row r="56" spans="1:15" ht="20.100000000000001" customHeight="1" x14ac:dyDescent="0.25">
      <c r="A56" s="6">
        <v>16</v>
      </c>
      <c r="B56" s="13" t="s">
        <v>362</v>
      </c>
      <c r="C56" s="14" t="s">
        <v>363</v>
      </c>
      <c r="D56" s="12" t="s">
        <v>283</v>
      </c>
      <c r="E56" s="4">
        <v>1</v>
      </c>
      <c r="F56" s="4">
        <v>5</v>
      </c>
      <c r="G56" s="4">
        <v>1</v>
      </c>
      <c r="H56" s="4">
        <v>1</v>
      </c>
      <c r="I56" s="4">
        <v>1</v>
      </c>
      <c r="J56" s="4" t="s">
        <v>446</v>
      </c>
      <c r="K56" s="4">
        <v>25</v>
      </c>
      <c r="L56" s="4">
        <f t="shared" si="2"/>
        <v>9</v>
      </c>
      <c r="M56" s="4">
        <f t="shared" si="3"/>
        <v>36</v>
      </c>
      <c r="N56" s="4">
        <v>22</v>
      </c>
      <c r="O56" s="4"/>
    </row>
    <row r="57" spans="1:15" ht="20.100000000000001" customHeight="1" x14ac:dyDescent="0.25">
      <c r="A57" s="12">
        <v>17</v>
      </c>
      <c r="B57" s="13" t="s">
        <v>364</v>
      </c>
      <c r="C57" s="14" t="s">
        <v>365</v>
      </c>
      <c r="D57" s="12" t="s">
        <v>283</v>
      </c>
      <c r="E57" s="4">
        <v>0</v>
      </c>
      <c r="F57" s="4">
        <v>3</v>
      </c>
      <c r="G57" s="4">
        <v>5</v>
      </c>
      <c r="H57" s="4">
        <v>2</v>
      </c>
      <c r="I57" s="4">
        <v>0</v>
      </c>
      <c r="J57" s="4" t="s">
        <v>445</v>
      </c>
      <c r="K57" s="4">
        <v>25</v>
      </c>
      <c r="L57" s="4">
        <f t="shared" si="2"/>
        <v>10</v>
      </c>
      <c r="M57" s="4">
        <f t="shared" si="3"/>
        <v>40</v>
      </c>
      <c r="N57" s="4">
        <v>22</v>
      </c>
      <c r="O57" s="4"/>
    </row>
    <row r="58" spans="1:15" ht="20.100000000000001" customHeight="1" x14ac:dyDescent="0.25">
      <c r="A58" s="6">
        <v>18</v>
      </c>
      <c r="B58" s="13" t="s">
        <v>366</v>
      </c>
      <c r="C58" s="14" t="s">
        <v>365</v>
      </c>
      <c r="D58" s="12" t="s">
        <v>283</v>
      </c>
      <c r="E58" s="4">
        <v>2</v>
      </c>
      <c r="F58" s="4">
        <v>1</v>
      </c>
      <c r="G58" s="4">
        <v>1</v>
      </c>
      <c r="H58" s="4">
        <v>2</v>
      </c>
      <c r="I58" s="4">
        <v>1</v>
      </c>
      <c r="J58" s="4" t="s">
        <v>445</v>
      </c>
      <c r="K58" s="4">
        <v>25</v>
      </c>
      <c r="L58" s="4">
        <f t="shared" si="2"/>
        <v>7</v>
      </c>
      <c r="M58" s="4">
        <f t="shared" si="3"/>
        <v>28.000000000000004</v>
      </c>
      <c r="N58" s="4">
        <v>22</v>
      </c>
      <c r="O58" s="4"/>
    </row>
    <row r="59" spans="1:15" ht="20.100000000000001" customHeight="1" x14ac:dyDescent="0.25">
      <c r="A59" s="12">
        <v>19</v>
      </c>
      <c r="B59" s="13" t="s">
        <v>367</v>
      </c>
      <c r="C59" s="14" t="s">
        <v>368</v>
      </c>
      <c r="D59" s="12" t="s">
        <v>283</v>
      </c>
      <c r="E59" s="4">
        <v>4</v>
      </c>
      <c r="F59" s="4">
        <v>0</v>
      </c>
      <c r="G59" s="4">
        <v>5</v>
      </c>
      <c r="H59" s="4">
        <v>4</v>
      </c>
      <c r="I59" s="4">
        <v>4</v>
      </c>
      <c r="J59" s="4" t="s">
        <v>446</v>
      </c>
      <c r="K59" s="4">
        <v>25</v>
      </c>
      <c r="L59" s="4">
        <f t="shared" si="2"/>
        <v>17</v>
      </c>
      <c r="M59" s="4">
        <f t="shared" si="3"/>
        <v>68</v>
      </c>
      <c r="N59" s="4">
        <v>24</v>
      </c>
      <c r="O59" s="4"/>
    </row>
    <row r="60" spans="1:15" ht="20.100000000000001" customHeight="1" x14ac:dyDescent="0.25">
      <c r="A60" s="6">
        <v>20</v>
      </c>
      <c r="B60" s="13" t="s">
        <v>148</v>
      </c>
      <c r="C60" s="14" t="s">
        <v>369</v>
      </c>
      <c r="D60" s="12" t="s">
        <v>283</v>
      </c>
      <c r="E60" s="4">
        <v>1</v>
      </c>
      <c r="F60" s="4">
        <v>4</v>
      </c>
      <c r="G60" s="4">
        <v>4</v>
      </c>
      <c r="H60" s="4">
        <v>3</v>
      </c>
      <c r="I60" s="4">
        <v>1</v>
      </c>
      <c r="J60" s="4" t="s">
        <v>445</v>
      </c>
      <c r="K60" s="4">
        <v>25</v>
      </c>
      <c r="L60" s="4">
        <f t="shared" si="2"/>
        <v>13</v>
      </c>
      <c r="M60" s="4">
        <f t="shared" si="3"/>
        <v>52</v>
      </c>
      <c r="N60" s="4">
        <v>25</v>
      </c>
      <c r="O60" s="4"/>
    </row>
    <row r="61" spans="1:15" ht="20.100000000000001" customHeight="1" x14ac:dyDescent="0.25">
      <c r="A61" s="12">
        <v>21</v>
      </c>
      <c r="B61" s="13" t="s">
        <v>148</v>
      </c>
      <c r="C61" s="14" t="s">
        <v>282</v>
      </c>
      <c r="D61" s="12" t="s">
        <v>283</v>
      </c>
      <c r="E61" s="4">
        <v>2</v>
      </c>
      <c r="F61" s="4">
        <v>4</v>
      </c>
      <c r="G61" s="4">
        <v>5</v>
      </c>
      <c r="H61" s="4">
        <v>1</v>
      </c>
      <c r="I61" s="4">
        <v>1</v>
      </c>
      <c r="J61" s="4" t="s">
        <v>446</v>
      </c>
      <c r="K61" s="4">
        <v>25</v>
      </c>
      <c r="L61" s="4">
        <f t="shared" si="2"/>
        <v>13</v>
      </c>
      <c r="M61" s="4">
        <f t="shared" si="3"/>
        <v>52</v>
      </c>
      <c r="N61" s="4">
        <v>25</v>
      </c>
      <c r="O61" s="4"/>
    </row>
    <row r="62" spans="1:15" ht="20.100000000000001" customHeight="1" x14ac:dyDescent="0.25">
      <c r="A62" s="6">
        <v>22</v>
      </c>
      <c r="B62" s="13" t="s">
        <v>370</v>
      </c>
      <c r="C62" s="14" t="s">
        <v>371</v>
      </c>
      <c r="D62" s="12" t="s">
        <v>283</v>
      </c>
      <c r="E62" s="4">
        <v>0</v>
      </c>
      <c r="F62" s="4">
        <v>4</v>
      </c>
      <c r="G62" s="4">
        <v>5</v>
      </c>
      <c r="H62" s="4">
        <v>4</v>
      </c>
      <c r="I62" s="4">
        <v>4</v>
      </c>
      <c r="J62" s="4" t="s">
        <v>445</v>
      </c>
      <c r="K62" s="4">
        <v>25</v>
      </c>
      <c r="L62" s="4">
        <f t="shared" si="2"/>
        <v>17</v>
      </c>
      <c r="M62" s="4">
        <f t="shared" si="3"/>
        <v>68</v>
      </c>
      <c r="N62" s="4">
        <v>22</v>
      </c>
      <c r="O62" s="4"/>
    </row>
    <row r="63" spans="1:15" ht="20.100000000000001" customHeight="1" x14ac:dyDescent="0.25">
      <c r="A63" s="12">
        <v>23</v>
      </c>
      <c r="B63" s="13" t="s">
        <v>372</v>
      </c>
      <c r="C63" s="14" t="s">
        <v>373</v>
      </c>
      <c r="D63" s="12" t="s">
        <v>283</v>
      </c>
      <c r="E63" s="4">
        <v>2</v>
      </c>
      <c r="F63" s="4">
        <v>5</v>
      </c>
      <c r="G63" s="4">
        <v>5</v>
      </c>
      <c r="H63" s="4">
        <v>4</v>
      </c>
      <c r="I63" s="4">
        <v>4</v>
      </c>
      <c r="J63" s="4" t="s">
        <v>445</v>
      </c>
      <c r="K63" s="4">
        <v>25</v>
      </c>
      <c r="L63" s="4">
        <f t="shared" si="2"/>
        <v>20</v>
      </c>
      <c r="M63" s="4">
        <f t="shared" si="3"/>
        <v>80</v>
      </c>
      <c r="N63" s="4">
        <v>23</v>
      </c>
      <c r="O63" s="4"/>
    </row>
    <row r="64" spans="1:15" ht="20.100000000000001" customHeight="1" x14ac:dyDescent="0.25">
      <c r="A64" s="6">
        <v>24</v>
      </c>
      <c r="B64" s="13" t="s">
        <v>374</v>
      </c>
      <c r="C64" s="14" t="s">
        <v>375</v>
      </c>
      <c r="D64" s="12" t="s">
        <v>283</v>
      </c>
      <c r="E64" s="4">
        <v>2</v>
      </c>
      <c r="F64" s="4">
        <v>4</v>
      </c>
      <c r="G64" s="4">
        <v>5</v>
      </c>
      <c r="H64" s="4">
        <v>2</v>
      </c>
      <c r="I64" s="4">
        <v>0</v>
      </c>
      <c r="J64" s="4" t="s">
        <v>446</v>
      </c>
      <c r="K64" s="4">
        <v>25</v>
      </c>
      <c r="L64" s="4">
        <f t="shared" si="2"/>
        <v>13</v>
      </c>
      <c r="M64" s="4">
        <f t="shared" si="3"/>
        <v>52</v>
      </c>
      <c r="N64" s="4">
        <v>18</v>
      </c>
      <c r="O64" s="4"/>
    </row>
  </sheetData>
  <mergeCells count="15">
    <mergeCell ref="A7:O7"/>
    <mergeCell ref="A40:O40"/>
    <mergeCell ref="A1:O1"/>
    <mergeCell ref="A3:O3"/>
    <mergeCell ref="A4:A6"/>
    <mergeCell ref="B4:B6"/>
    <mergeCell ref="C4:C6"/>
    <mergeCell ref="D4:D6"/>
    <mergeCell ref="E4:J4"/>
    <mergeCell ref="K4:K5"/>
    <mergeCell ref="L4:L6"/>
    <mergeCell ref="M4:M6"/>
    <mergeCell ref="N4:N6"/>
    <mergeCell ref="O4:O6"/>
    <mergeCell ref="A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00F1-2E3F-4AFD-B2E7-53F053D9A79F}">
  <dimension ref="A1:O60"/>
  <sheetViews>
    <sheetView topLeftCell="A49" workbookViewId="0">
      <selection activeCell="B4" sqref="B1:B1048576"/>
    </sheetView>
  </sheetViews>
  <sheetFormatPr defaultRowHeight="15" x14ac:dyDescent="0.25"/>
  <cols>
    <col min="1" max="1" width="3.140625" bestFit="1" customWidth="1"/>
    <col min="2" max="2" width="14.28515625" customWidth="1"/>
    <col min="3" max="3" width="18.28515625" customWidth="1"/>
    <col min="4" max="4" width="4.140625" bestFit="1" customWidth="1"/>
    <col min="5" max="14" width="7.7109375" customWidth="1"/>
    <col min="15" max="15" width="18.28515625" customWidth="1"/>
  </cols>
  <sheetData>
    <row r="1" spans="1:15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</row>
    <row r="2" spans="1:15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spans="1:15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spans="1:15" x14ac:dyDescent="0.25">
      <c r="A4" s="25" t="s">
        <v>2</v>
      </c>
      <c r="B4" s="25" t="s">
        <v>4</v>
      </c>
      <c r="C4" s="25" t="s">
        <v>5</v>
      </c>
      <c r="D4" s="25" t="s">
        <v>3</v>
      </c>
      <c r="E4" s="29" t="s">
        <v>6</v>
      </c>
      <c r="F4" s="29"/>
      <c r="G4" s="29"/>
      <c r="H4" s="29"/>
      <c r="I4" s="29"/>
      <c r="J4" s="29"/>
      <c r="K4" s="25" t="s">
        <v>14</v>
      </c>
      <c r="L4" s="25" t="s">
        <v>15</v>
      </c>
      <c r="M4" s="25" t="s">
        <v>16</v>
      </c>
      <c r="N4" s="25" t="s">
        <v>12</v>
      </c>
      <c r="O4" s="25" t="s">
        <v>17</v>
      </c>
    </row>
    <row r="5" spans="1:15" ht="47.25" x14ac:dyDescent="0.25">
      <c r="A5" s="25"/>
      <c r="B5" s="25"/>
      <c r="C5" s="25"/>
      <c r="D5" s="25"/>
      <c r="E5" s="2" t="s">
        <v>277</v>
      </c>
      <c r="F5" s="2" t="s">
        <v>9</v>
      </c>
      <c r="G5" s="2" t="s">
        <v>278</v>
      </c>
      <c r="H5" s="2" t="s">
        <v>10</v>
      </c>
      <c r="I5" s="2" t="s">
        <v>181</v>
      </c>
      <c r="J5" s="2" t="s">
        <v>279</v>
      </c>
      <c r="K5" s="25"/>
      <c r="L5" s="25"/>
      <c r="M5" s="25"/>
      <c r="N5" s="25"/>
      <c r="O5" s="25"/>
    </row>
    <row r="6" spans="1:15" x14ac:dyDescent="0.25">
      <c r="A6" s="25"/>
      <c r="B6" s="25"/>
      <c r="C6" s="25"/>
      <c r="D6" s="25"/>
      <c r="E6" s="3">
        <v>5</v>
      </c>
      <c r="F6" s="3">
        <v>5</v>
      </c>
      <c r="G6" s="3">
        <v>5</v>
      </c>
      <c r="H6" s="3">
        <v>5</v>
      </c>
      <c r="I6" s="3">
        <v>5</v>
      </c>
      <c r="J6" s="3" t="s">
        <v>280</v>
      </c>
      <c r="K6" s="3">
        <v>25</v>
      </c>
      <c r="L6" s="25"/>
      <c r="M6" s="25"/>
      <c r="N6" s="25"/>
      <c r="O6" s="25"/>
    </row>
    <row r="7" spans="1:15" ht="20.100000000000001" customHeight="1" x14ac:dyDescent="0.35">
      <c r="A7" s="36" t="s">
        <v>182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</row>
    <row r="8" spans="1:15" ht="20.100000000000001" customHeight="1" x14ac:dyDescent="0.25">
      <c r="A8" s="6">
        <v>1</v>
      </c>
      <c r="B8" s="17" t="s">
        <v>376</v>
      </c>
      <c r="C8" s="17" t="s">
        <v>377</v>
      </c>
      <c r="D8" s="6" t="s">
        <v>378</v>
      </c>
      <c r="E8" s="4">
        <v>5</v>
      </c>
      <c r="F8" s="4">
        <v>4</v>
      </c>
      <c r="G8" s="4">
        <v>5</v>
      </c>
      <c r="H8" s="4">
        <v>4</v>
      </c>
      <c r="I8" s="4">
        <v>4</v>
      </c>
      <c r="J8" s="4" t="s">
        <v>445</v>
      </c>
      <c r="K8" s="4">
        <v>25</v>
      </c>
      <c r="L8" s="4">
        <f>SUM(E8:I8)</f>
        <v>22</v>
      </c>
      <c r="M8" s="18">
        <f>L8/K8*100</f>
        <v>88</v>
      </c>
      <c r="N8" s="4">
        <v>19</v>
      </c>
      <c r="O8" s="4"/>
    </row>
    <row r="9" spans="1:15" ht="20.100000000000001" customHeight="1" x14ac:dyDescent="0.25">
      <c r="A9" s="6">
        <v>2</v>
      </c>
      <c r="B9" s="17" t="s">
        <v>379</v>
      </c>
      <c r="C9" s="17" t="s">
        <v>380</v>
      </c>
      <c r="D9" s="6" t="s">
        <v>378</v>
      </c>
      <c r="E9" s="4">
        <v>2</v>
      </c>
      <c r="F9" s="4">
        <v>4</v>
      </c>
      <c r="G9" s="4">
        <v>3</v>
      </c>
      <c r="H9" s="4">
        <v>2</v>
      </c>
      <c r="I9" s="4">
        <v>1</v>
      </c>
      <c r="J9" s="4" t="s">
        <v>445</v>
      </c>
      <c r="K9" s="4">
        <v>25</v>
      </c>
      <c r="L9" s="4">
        <f t="shared" ref="L9:L60" si="0">SUM(E9:I9)</f>
        <v>12</v>
      </c>
      <c r="M9" s="18">
        <f t="shared" ref="M9:M60" si="1">L9/K9*100</f>
        <v>48</v>
      </c>
      <c r="N9" s="4">
        <v>22</v>
      </c>
      <c r="O9" s="4"/>
    </row>
    <row r="10" spans="1:15" ht="20.100000000000001" customHeight="1" x14ac:dyDescent="0.25">
      <c r="A10" s="6">
        <v>3</v>
      </c>
      <c r="B10" s="17" t="s">
        <v>381</v>
      </c>
      <c r="C10" s="17" t="s">
        <v>353</v>
      </c>
      <c r="D10" s="6" t="s">
        <v>378</v>
      </c>
      <c r="E10" s="4">
        <v>1</v>
      </c>
      <c r="F10" s="4">
        <v>2</v>
      </c>
      <c r="G10" s="4">
        <v>2</v>
      </c>
      <c r="H10" s="4">
        <v>1</v>
      </c>
      <c r="I10" s="4">
        <v>1</v>
      </c>
      <c r="J10" s="4" t="s">
        <v>445</v>
      </c>
      <c r="K10" s="4">
        <v>25</v>
      </c>
      <c r="L10" s="4">
        <f t="shared" si="0"/>
        <v>7</v>
      </c>
      <c r="M10" s="18">
        <f t="shared" si="1"/>
        <v>28.000000000000004</v>
      </c>
      <c r="N10" s="4">
        <v>20</v>
      </c>
      <c r="O10" s="4"/>
    </row>
    <row r="11" spans="1:15" ht="20.100000000000001" customHeight="1" x14ac:dyDescent="0.25">
      <c r="A11" s="6">
        <v>4</v>
      </c>
      <c r="B11" s="17" t="s">
        <v>382</v>
      </c>
      <c r="C11" s="17" t="s">
        <v>383</v>
      </c>
      <c r="D11" s="6" t="s">
        <v>378</v>
      </c>
      <c r="E11" s="4">
        <v>0</v>
      </c>
      <c r="F11" s="4">
        <v>3</v>
      </c>
      <c r="G11" s="4">
        <v>4</v>
      </c>
      <c r="H11" s="4">
        <v>1</v>
      </c>
      <c r="I11" s="4">
        <v>1</v>
      </c>
      <c r="J11" s="4" t="s">
        <v>445</v>
      </c>
      <c r="K11" s="4">
        <v>25</v>
      </c>
      <c r="L11" s="4">
        <f t="shared" si="0"/>
        <v>9</v>
      </c>
      <c r="M11" s="18">
        <f t="shared" si="1"/>
        <v>36</v>
      </c>
      <c r="N11" s="4">
        <v>19</v>
      </c>
      <c r="O11" s="4"/>
    </row>
    <row r="12" spans="1:15" ht="20.100000000000001" customHeight="1" x14ac:dyDescent="0.25">
      <c r="A12" s="6">
        <v>5</v>
      </c>
      <c r="B12" s="17" t="s">
        <v>339</v>
      </c>
      <c r="C12" s="17" t="s">
        <v>25</v>
      </c>
      <c r="D12" s="6" t="s">
        <v>378</v>
      </c>
      <c r="E12" s="4">
        <v>4</v>
      </c>
      <c r="F12" s="4">
        <v>5</v>
      </c>
      <c r="G12" s="4">
        <v>4</v>
      </c>
      <c r="H12" s="4">
        <v>5</v>
      </c>
      <c r="I12" s="4">
        <v>3</v>
      </c>
      <c r="J12" s="4" t="s">
        <v>445</v>
      </c>
      <c r="K12" s="4">
        <v>25</v>
      </c>
      <c r="L12" s="4">
        <f t="shared" si="0"/>
        <v>21</v>
      </c>
      <c r="M12" s="18">
        <f t="shared" si="1"/>
        <v>84</v>
      </c>
      <c r="N12" s="4">
        <v>24</v>
      </c>
      <c r="O12" s="4"/>
    </row>
    <row r="13" spans="1:15" ht="20.100000000000001" customHeight="1" x14ac:dyDescent="0.25">
      <c r="A13" s="6">
        <v>6</v>
      </c>
      <c r="B13" s="17" t="s">
        <v>374</v>
      </c>
      <c r="C13" s="17" t="s">
        <v>384</v>
      </c>
      <c r="D13" s="6" t="s">
        <v>378</v>
      </c>
      <c r="E13" s="4">
        <v>0</v>
      </c>
      <c r="F13" s="4">
        <v>2</v>
      </c>
      <c r="G13" s="4">
        <v>3</v>
      </c>
      <c r="H13" s="4">
        <v>1</v>
      </c>
      <c r="I13" s="4">
        <v>0</v>
      </c>
      <c r="J13" s="4" t="s">
        <v>445</v>
      </c>
      <c r="K13" s="4">
        <v>25</v>
      </c>
      <c r="L13" s="4">
        <f t="shared" si="0"/>
        <v>6</v>
      </c>
      <c r="M13" s="18">
        <f t="shared" si="1"/>
        <v>24</v>
      </c>
      <c r="N13" s="4">
        <v>21</v>
      </c>
      <c r="O13" s="4"/>
    </row>
    <row r="14" spans="1:15" ht="20.100000000000001" customHeight="1" x14ac:dyDescent="0.25">
      <c r="A14" s="6">
        <v>7</v>
      </c>
      <c r="B14" s="17" t="s">
        <v>191</v>
      </c>
      <c r="C14" s="17" t="s">
        <v>296</v>
      </c>
      <c r="D14" s="6" t="s">
        <v>378</v>
      </c>
      <c r="E14" s="4">
        <v>0</v>
      </c>
      <c r="F14" s="4">
        <v>3</v>
      </c>
      <c r="G14" s="4">
        <v>5</v>
      </c>
      <c r="H14" s="4">
        <v>0</v>
      </c>
      <c r="I14" s="4">
        <v>0</v>
      </c>
      <c r="J14" s="4" t="s">
        <v>445</v>
      </c>
      <c r="K14" s="4">
        <v>25</v>
      </c>
      <c r="L14" s="4">
        <f t="shared" si="0"/>
        <v>8</v>
      </c>
      <c r="M14" s="18">
        <f t="shared" si="1"/>
        <v>32</v>
      </c>
      <c r="N14" s="4">
        <v>25</v>
      </c>
      <c r="O14" s="4"/>
    </row>
    <row r="15" spans="1:15" ht="20.100000000000001" customHeight="1" x14ac:dyDescent="0.25">
      <c r="A15" s="6">
        <v>8</v>
      </c>
      <c r="B15" s="17" t="s">
        <v>90</v>
      </c>
      <c r="C15" s="17" t="s">
        <v>49</v>
      </c>
      <c r="D15" s="6" t="s">
        <v>378</v>
      </c>
      <c r="E15" s="4">
        <v>4</v>
      </c>
      <c r="F15" s="4">
        <v>4</v>
      </c>
      <c r="G15" s="4">
        <v>5</v>
      </c>
      <c r="H15" s="4">
        <v>1</v>
      </c>
      <c r="I15" s="4">
        <v>3</v>
      </c>
      <c r="J15" s="4" t="s">
        <v>445</v>
      </c>
      <c r="K15" s="4">
        <v>25</v>
      </c>
      <c r="L15" s="4">
        <f t="shared" si="0"/>
        <v>17</v>
      </c>
      <c r="M15" s="18">
        <f t="shared" si="1"/>
        <v>68</v>
      </c>
      <c r="N15" s="4">
        <v>32</v>
      </c>
      <c r="O15" s="4"/>
    </row>
    <row r="16" spans="1:15" ht="20.100000000000001" customHeight="1" x14ac:dyDescent="0.25">
      <c r="A16" s="6">
        <v>9</v>
      </c>
      <c r="B16" s="17" t="s">
        <v>385</v>
      </c>
      <c r="C16" s="17" t="s">
        <v>386</v>
      </c>
      <c r="D16" s="6" t="s">
        <v>378</v>
      </c>
      <c r="E16" s="4">
        <v>0</v>
      </c>
      <c r="F16" s="4">
        <v>0</v>
      </c>
      <c r="G16" s="4">
        <v>2</v>
      </c>
      <c r="H16" s="4">
        <v>0</v>
      </c>
      <c r="I16" s="4">
        <v>0</v>
      </c>
      <c r="J16" s="4" t="s">
        <v>446</v>
      </c>
      <c r="K16" s="4">
        <v>25</v>
      </c>
      <c r="L16" s="4">
        <f t="shared" si="0"/>
        <v>2</v>
      </c>
      <c r="M16" s="18">
        <f t="shared" si="1"/>
        <v>8</v>
      </c>
      <c r="N16" s="4">
        <v>20</v>
      </c>
      <c r="O16" s="4"/>
    </row>
    <row r="17" spans="1:15" ht="20.100000000000001" customHeight="1" x14ac:dyDescent="0.25">
      <c r="A17" s="6">
        <v>10</v>
      </c>
      <c r="B17" s="17" t="s">
        <v>157</v>
      </c>
      <c r="C17" s="17" t="s">
        <v>21</v>
      </c>
      <c r="D17" s="6" t="s">
        <v>378</v>
      </c>
      <c r="E17" s="4">
        <v>3</v>
      </c>
      <c r="F17" s="4">
        <v>3</v>
      </c>
      <c r="G17" s="4">
        <v>4</v>
      </c>
      <c r="H17" s="4">
        <v>1</v>
      </c>
      <c r="I17" s="4">
        <v>3</v>
      </c>
      <c r="J17" s="4" t="s">
        <v>445</v>
      </c>
      <c r="K17" s="4">
        <v>25</v>
      </c>
      <c r="L17" s="4">
        <f t="shared" si="0"/>
        <v>14</v>
      </c>
      <c r="M17" s="18">
        <f t="shared" si="1"/>
        <v>56.000000000000007</v>
      </c>
      <c r="N17" s="4">
        <v>21</v>
      </c>
      <c r="O17" s="4"/>
    </row>
    <row r="18" spans="1:15" ht="20.100000000000001" customHeight="1" x14ac:dyDescent="0.25">
      <c r="A18" s="6">
        <v>11</v>
      </c>
      <c r="B18" s="17" t="s">
        <v>24</v>
      </c>
      <c r="C18" s="17" t="s">
        <v>307</v>
      </c>
      <c r="D18" s="6" t="s">
        <v>378</v>
      </c>
      <c r="E18" s="4">
        <v>3</v>
      </c>
      <c r="F18" s="4">
        <v>0</v>
      </c>
      <c r="G18" s="4">
        <v>3</v>
      </c>
      <c r="H18" s="4">
        <v>0</v>
      </c>
      <c r="I18" s="4">
        <v>0</v>
      </c>
      <c r="J18" s="4" t="s">
        <v>445</v>
      </c>
      <c r="K18" s="4">
        <v>25</v>
      </c>
      <c r="L18" s="4">
        <f t="shared" si="0"/>
        <v>6</v>
      </c>
      <c r="M18" s="18">
        <f t="shared" si="1"/>
        <v>24</v>
      </c>
      <c r="N18" s="4">
        <v>22</v>
      </c>
      <c r="O18" s="4"/>
    </row>
    <row r="19" spans="1:15" ht="20.100000000000001" customHeight="1" x14ac:dyDescent="0.25">
      <c r="A19" s="6">
        <v>12</v>
      </c>
      <c r="B19" s="17" t="s">
        <v>387</v>
      </c>
      <c r="C19" s="17" t="s">
        <v>388</v>
      </c>
      <c r="D19" s="6" t="s">
        <v>378</v>
      </c>
      <c r="E19" s="4">
        <v>2</v>
      </c>
      <c r="F19" s="4">
        <v>1</v>
      </c>
      <c r="G19" s="4">
        <v>2</v>
      </c>
      <c r="H19" s="4">
        <v>2</v>
      </c>
      <c r="I19" s="4">
        <v>1</v>
      </c>
      <c r="J19" s="4" t="s">
        <v>445</v>
      </c>
      <c r="K19" s="4">
        <v>25</v>
      </c>
      <c r="L19" s="4">
        <f t="shared" si="0"/>
        <v>8</v>
      </c>
      <c r="M19" s="18">
        <f t="shared" si="1"/>
        <v>32</v>
      </c>
      <c r="N19" s="4">
        <v>14</v>
      </c>
      <c r="O19" s="4"/>
    </row>
    <row r="20" spans="1:15" ht="20.100000000000001" customHeight="1" x14ac:dyDescent="0.25">
      <c r="A20" s="6">
        <v>13</v>
      </c>
      <c r="B20" s="17" t="s">
        <v>389</v>
      </c>
      <c r="C20" s="17" t="s">
        <v>73</v>
      </c>
      <c r="D20" s="6" t="s">
        <v>378</v>
      </c>
      <c r="E20" s="4">
        <v>4</v>
      </c>
      <c r="F20" s="4">
        <v>2</v>
      </c>
      <c r="G20" s="4">
        <v>5</v>
      </c>
      <c r="H20" s="4">
        <v>1</v>
      </c>
      <c r="I20" s="4">
        <v>2</v>
      </c>
      <c r="J20" s="4" t="s">
        <v>445</v>
      </c>
      <c r="K20" s="4">
        <v>25</v>
      </c>
      <c r="L20" s="4">
        <f t="shared" si="0"/>
        <v>14</v>
      </c>
      <c r="M20" s="18">
        <f t="shared" si="1"/>
        <v>56.000000000000007</v>
      </c>
      <c r="N20" s="4">
        <v>10</v>
      </c>
      <c r="O20" s="4"/>
    </row>
    <row r="21" spans="1:15" ht="20.100000000000001" customHeight="1" x14ac:dyDescent="0.25">
      <c r="A21" s="6">
        <v>14</v>
      </c>
      <c r="B21" s="17" t="s">
        <v>390</v>
      </c>
      <c r="C21" s="17" t="s">
        <v>391</v>
      </c>
      <c r="D21" s="6" t="s">
        <v>378</v>
      </c>
      <c r="E21" s="4">
        <v>4</v>
      </c>
      <c r="F21" s="4">
        <v>3</v>
      </c>
      <c r="G21" s="4">
        <v>5</v>
      </c>
      <c r="H21" s="4">
        <v>2</v>
      </c>
      <c r="I21" s="4">
        <v>1</v>
      </c>
      <c r="J21" s="4" t="s">
        <v>445</v>
      </c>
      <c r="K21" s="4">
        <v>25</v>
      </c>
      <c r="L21" s="4">
        <f t="shared" si="0"/>
        <v>15</v>
      </c>
      <c r="M21" s="18">
        <f t="shared" si="1"/>
        <v>60</v>
      </c>
      <c r="N21" s="4">
        <v>24</v>
      </c>
      <c r="O21" s="4"/>
    </row>
    <row r="22" spans="1:15" ht="20.100000000000001" customHeight="1" x14ac:dyDescent="0.25">
      <c r="A22" s="6">
        <v>15</v>
      </c>
      <c r="B22" s="17" t="s">
        <v>392</v>
      </c>
      <c r="C22" s="17" t="s">
        <v>393</v>
      </c>
      <c r="D22" s="6" t="s">
        <v>378</v>
      </c>
      <c r="E22" s="4">
        <v>5</v>
      </c>
      <c r="F22" s="4">
        <v>4</v>
      </c>
      <c r="G22" s="4">
        <v>5</v>
      </c>
      <c r="H22" s="4">
        <v>1</v>
      </c>
      <c r="I22" s="4">
        <v>1</v>
      </c>
      <c r="J22" s="4" t="s">
        <v>445</v>
      </c>
      <c r="K22" s="4">
        <v>25</v>
      </c>
      <c r="L22" s="4">
        <f t="shared" si="0"/>
        <v>16</v>
      </c>
      <c r="M22" s="18">
        <f t="shared" si="1"/>
        <v>64</v>
      </c>
      <c r="N22" s="4">
        <v>25</v>
      </c>
      <c r="O22" s="4"/>
    </row>
    <row r="23" spans="1:15" ht="20.100000000000001" customHeight="1" x14ac:dyDescent="0.25">
      <c r="A23" s="6">
        <v>16</v>
      </c>
      <c r="B23" s="17" t="s">
        <v>394</v>
      </c>
      <c r="C23" s="17" t="s">
        <v>395</v>
      </c>
      <c r="D23" s="6" t="s">
        <v>378</v>
      </c>
      <c r="E23" s="4">
        <v>1</v>
      </c>
      <c r="F23" s="4">
        <v>2</v>
      </c>
      <c r="G23" s="4">
        <v>1</v>
      </c>
      <c r="H23" s="4">
        <v>2</v>
      </c>
      <c r="I23" s="4">
        <v>1</v>
      </c>
      <c r="J23" s="4" t="s">
        <v>445</v>
      </c>
      <c r="K23" s="4">
        <v>25</v>
      </c>
      <c r="L23" s="4">
        <f t="shared" si="0"/>
        <v>7</v>
      </c>
      <c r="M23" s="18">
        <f t="shared" si="1"/>
        <v>28.000000000000004</v>
      </c>
      <c r="N23" s="4">
        <v>21</v>
      </c>
      <c r="O23" s="4"/>
    </row>
    <row r="24" spans="1:15" ht="20.100000000000001" customHeight="1" x14ac:dyDescent="0.25">
      <c r="A24" s="6">
        <v>17</v>
      </c>
      <c r="B24" s="17" t="s">
        <v>396</v>
      </c>
      <c r="C24" s="17" t="s">
        <v>192</v>
      </c>
      <c r="D24" s="6" t="s">
        <v>378</v>
      </c>
      <c r="E24" s="4">
        <v>4</v>
      </c>
      <c r="F24" s="4">
        <v>4</v>
      </c>
      <c r="G24" s="4">
        <v>4</v>
      </c>
      <c r="H24" s="4">
        <v>5</v>
      </c>
      <c r="I24" s="4">
        <v>4</v>
      </c>
      <c r="J24" s="4" t="s">
        <v>445</v>
      </c>
      <c r="K24" s="4">
        <v>25</v>
      </c>
      <c r="L24" s="4">
        <f t="shared" si="0"/>
        <v>21</v>
      </c>
      <c r="M24" s="18">
        <f t="shared" si="1"/>
        <v>84</v>
      </c>
      <c r="N24" s="4">
        <v>20</v>
      </c>
      <c r="O24" s="4"/>
    </row>
    <row r="25" spans="1:15" ht="20.100000000000001" customHeight="1" x14ac:dyDescent="0.25">
      <c r="A25" s="6">
        <v>18</v>
      </c>
      <c r="B25" s="17" t="s">
        <v>397</v>
      </c>
      <c r="C25" s="17" t="s">
        <v>189</v>
      </c>
      <c r="D25" s="6" t="s">
        <v>378</v>
      </c>
      <c r="E25" s="4">
        <v>5</v>
      </c>
      <c r="F25" s="4">
        <v>5</v>
      </c>
      <c r="G25" s="4">
        <v>5</v>
      </c>
      <c r="H25" s="4">
        <v>5</v>
      </c>
      <c r="I25" s="4">
        <v>5</v>
      </c>
      <c r="J25" s="4" t="s">
        <v>445</v>
      </c>
      <c r="K25" s="4">
        <v>25</v>
      </c>
      <c r="L25" s="4">
        <f t="shared" si="0"/>
        <v>25</v>
      </c>
      <c r="M25" s="18">
        <f t="shared" si="1"/>
        <v>100</v>
      </c>
      <c r="N25" s="4">
        <v>19</v>
      </c>
      <c r="O25" s="4"/>
    </row>
    <row r="26" spans="1:15" ht="20.100000000000001" customHeight="1" x14ac:dyDescent="0.25">
      <c r="A26" s="6">
        <v>19</v>
      </c>
      <c r="B26" s="17" t="s">
        <v>398</v>
      </c>
      <c r="C26" s="17" t="s">
        <v>190</v>
      </c>
      <c r="D26" s="6" t="s">
        <v>378</v>
      </c>
      <c r="E26" s="4">
        <v>0</v>
      </c>
      <c r="F26" s="4">
        <v>4</v>
      </c>
      <c r="G26" s="4">
        <v>5</v>
      </c>
      <c r="H26" s="4">
        <v>3</v>
      </c>
      <c r="I26" s="4">
        <v>1</v>
      </c>
      <c r="J26" s="4" t="s">
        <v>445</v>
      </c>
      <c r="K26" s="4">
        <v>25</v>
      </c>
      <c r="L26" s="4">
        <f t="shared" si="0"/>
        <v>13</v>
      </c>
      <c r="M26" s="18">
        <f t="shared" si="1"/>
        <v>52</v>
      </c>
      <c r="N26" s="4">
        <v>20</v>
      </c>
      <c r="O26" s="4"/>
    </row>
    <row r="27" spans="1:15" ht="20.100000000000001" customHeight="1" x14ac:dyDescent="0.25">
      <c r="A27" s="6">
        <v>20</v>
      </c>
      <c r="B27" s="17" t="s">
        <v>148</v>
      </c>
      <c r="C27" s="17" t="s">
        <v>234</v>
      </c>
      <c r="D27" s="6" t="s">
        <v>378</v>
      </c>
      <c r="E27" s="4">
        <v>3</v>
      </c>
      <c r="F27" s="4">
        <v>5</v>
      </c>
      <c r="G27" s="4">
        <v>1</v>
      </c>
      <c r="H27" s="4">
        <v>1</v>
      </c>
      <c r="I27" s="4">
        <v>1</v>
      </c>
      <c r="J27" s="4" t="s">
        <v>445</v>
      </c>
      <c r="K27" s="4">
        <v>25</v>
      </c>
      <c r="L27" s="4">
        <f t="shared" si="0"/>
        <v>11</v>
      </c>
      <c r="M27" s="18">
        <f t="shared" si="1"/>
        <v>44</v>
      </c>
      <c r="N27" s="4">
        <v>15</v>
      </c>
      <c r="O27" s="4"/>
    </row>
    <row r="28" spans="1:15" ht="20.100000000000001" customHeight="1" x14ac:dyDescent="0.25">
      <c r="A28" s="6">
        <v>21</v>
      </c>
      <c r="B28" s="17" t="s">
        <v>399</v>
      </c>
      <c r="C28" s="17" t="s">
        <v>400</v>
      </c>
      <c r="D28" s="6" t="s">
        <v>378</v>
      </c>
      <c r="E28" s="4">
        <v>5</v>
      </c>
      <c r="F28" s="4">
        <v>4</v>
      </c>
      <c r="G28" s="4">
        <v>5</v>
      </c>
      <c r="H28" s="4">
        <v>1</v>
      </c>
      <c r="I28" s="4">
        <v>1</v>
      </c>
      <c r="J28" s="4" t="s">
        <v>445</v>
      </c>
      <c r="K28" s="4">
        <v>25</v>
      </c>
      <c r="L28" s="4">
        <f t="shared" si="0"/>
        <v>16</v>
      </c>
      <c r="M28" s="18">
        <f t="shared" si="1"/>
        <v>64</v>
      </c>
      <c r="N28" s="4">
        <v>10</v>
      </c>
      <c r="O28" s="4"/>
    </row>
    <row r="29" spans="1:15" ht="20.100000000000001" customHeight="1" x14ac:dyDescent="0.25">
      <c r="A29" s="6">
        <v>22</v>
      </c>
      <c r="B29" s="17" t="s">
        <v>401</v>
      </c>
      <c r="C29" s="17" t="s">
        <v>402</v>
      </c>
      <c r="D29" s="6" t="s">
        <v>378</v>
      </c>
      <c r="E29" s="4">
        <v>0</v>
      </c>
      <c r="F29" s="4">
        <v>5</v>
      </c>
      <c r="G29" s="4">
        <v>5</v>
      </c>
      <c r="H29" s="4">
        <v>1</v>
      </c>
      <c r="I29" s="4">
        <v>0</v>
      </c>
      <c r="J29" s="4" t="s">
        <v>445</v>
      </c>
      <c r="K29" s="4">
        <v>25</v>
      </c>
      <c r="L29" s="4">
        <f t="shared" si="0"/>
        <v>11</v>
      </c>
      <c r="M29" s="18">
        <f t="shared" si="1"/>
        <v>44</v>
      </c>
      <c r="N29" s="4">
        <v>10</v>
      </c>
      <c r="O29" s="4"/>
    </row>
    <row r="30" spans="1:15" ht="20.100000000000001" customHeight="1" x14ac:dyDescent="0.25">
      <c r="A30" s="6">
        <v>23</v>
      </c>
      <c r="B30" s="17" t="s">
        <v>403</v>
      </c>
      <c r="C30" s="17" t="s">
        <v>255</v>
      </c>
      <c r="D30" s="6" t="s">
        <v>378</v>
      </c>
      <c r="E30" s="4">
        <v>0</v>
      </c>
      <c r="F30" s="4">
        <v>0</v>
      </c>
      <c r="G30" s="4">
        <v>5</v>
      </c>
      <c r="H30" s="4">
        <v>0</v>
      </c>
      <c r="I30" s="4">
        <v>0</v>
      </c>
      <c r="J30" s="4" t="s">
        <v>446</v>
      </c>
      <c r="K30" s="4">
        <v>25</v>
      </c>
      <c r="L30" s="4">
        <f t="shared" si="0"/>
        <v>5</v>
      </c>
      <c r="M30" s="18">
        <f t="shared" si="1"/>
        <v>20</v>
      </c>
      <c r="N30" s="4">
        <v>25</v>
      </c>
      <c r="O30" s="4"/>
    </row>
    <row r="31" spans="1:15" ht="20.100000000000001" customHeight="1" x14ac:dyDescent="0.25">
      <c r="A31" s="6">
        <v>24</v>
      </c>
      <c r="B31" s="17" t="s">
        <v>374</v>
      </c>
      <c r="C31" s="17" t="s">
        <v>255</v>
      </c>
      <c r="D31" s="6" t="s">
        <v>378</v>
      </c>
      <c r="E31" s="4">
        <v>1</v>
      </c>
      <c r="F31" s="4">
        <v>2</v>
      </c>
      <c r="G31" s="4">
        <v>1</v>
      </c>
      <c r="H31" s="4">
        <v>0</v>
      </c>
      <c r="I31" s="4">
        <v>0</v>
      </c>
      <c r="J31" s="4" t="s">
        <v>445</v>
      </c>
      <c r="K31" s="4">
        <v>25</v>
      </c>
      <c r="L31" s="4">
        <f t="shared" si="0"/>
        <v>4</v>
      </c>
      <c r="M31" s="18">
        <f t="shared" si="1"/>
        <v>16</v>
      </c>
      <c r="N31" s="4">
        <v>21</v>
      </c>
      <c r="O31" s="4"/>
    </row>
    <row r="32" spans="1:15" ht="20.100000000000001" customHeight="1" x14ac:dyDescent="0.25">
      <c r="A32" s="6">
        <v>25</v>
      </c>
      <c r="B32" s="17" t="s">
        <v>404</v>
      </c>
      <c r="C32" s="17" t="s">
        <v>405</v>
      </c>
      <c r="D32" s="6" t="s">
        <v>378</v>
      </c>
      <c r="E32" s="4">
        <v>0</v>
      </c>
      <c r="F32" s="4">
        <v>0</v>
      </c>
      <c r="G32" s="4">
        <v>1</v>
      </c>
      <c r="H32" s="4">
        <v>0</v>
      </c>
      <c r="I32" s="4">
        <v>0</v>
      </c>
      <c r="J32" s="4" t="s">
        <v>147</v>
      </c>
      <c r="K32" s="4">
        <v>25</v>
      </c>
      <c r="L32" s="4">
        <f t="shared" si="0"/>
        <v>1</v>
      </c>
      <c r="M32" s="18">
        <f t="shared" si="1"/>
        <v>4</v>
      </c>
      <c r="N32" s="4" t="s">
        <v>147</v>
      </c>
      <c r="O32" s="4"/>
    </row>
    <row r="33" spans="1:15" x14ac:dyDescent="0.25">
      <c r="A33" s="6">
        <v>26</v>
      </c>
      <c r="B33" s="17" t="s">
        <v>374</v>
      </c>
      <c r="C33" s="17" t="s">
        <v>406</v>
      </c>
      <c r="D33" s="6" t="s">
        <v>378</v>
      </c>
      <c r="E33" s="4" t="s">
        <v>147</v>
      </c>
      <c r="F33" s="4" t="s">
        <v>147</v>
      </c>
      <c r="G33" s="4" t="s">
        <v>147</v>
      </c>
      <c r="H33" s="4" t="s">
        <v>147</v>
      </c>
      <c r="I33" s="4" t="s">
        <v>147</v>
      </c>
      <c r="J33" s="4" t="s">
        <v>147</v>
      </c>
      <c r="K33" s="4">
        <v>25</v>
      </c>
      <c r="L33" s="4">
        <f t="shared" si="0"/>
        <v>0</v>
      </c>
      <c r="M33" s="18">
        <f t="shared" si="1"/>
        <v>0</v>
      </c>
      <c r="N33" s="4" t="s">
        <v>147</v>
      </c>
      <c r="O33" s="4"/>
    </row>
    <row r="34" spans="1:15" ht="20.100000000000001" customHeight="1" x14ac:dyDescent="0.35">
      <c r="A34" s="36" t="s">
        <v>224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</row>
    <row r="35" spans="1:15" ht="20.100000000000001" customHeight="1" x14ac:dyDescent="0.25">
      <c r="A35" s="6">
        <v>27</v>
      </c>
      <c r="B35" s="17" t="s">
        <v>407</v>
      </c>
      <c r="C35" s="17" t="s">
        <v>408</v>
      </c>
      <c r="D35" s="6" t="s">
        <v>378</v>
      </c>
      <c r="E35" s="4">
        <v>5</v>
      </c>
      <c r="F35" s="4">
        <v>5</v>
      </c>
      <c r="G35" s="4">
        <v>5</v>
      </c>
      <c r="H35" s="4">
        <v>4</v>
      </c>
      <c r="I35" s="4">
        <v>4</v>
      </c>
      <c r="J35" s="4" t="s">
        <v>445</v>
      </c>
      <c r="K35" s="4">
        <v>25</v>
      </c>
      <c r="L35" s="4">
        <f t="shared" si="0"/>
        <v>23</v>
      </c>
      <c r="M35" s="18">
        <f t="shared" si="1"/>
        <v>92</v>
      </c>
      <c r="N35" s="4">
        <v>22</v>
      </c>
      <c r="O35" s="4"/>
    </row>
    <row r="36" spans="1:15" ht="20.100000000000001" customHeight="1" x14ac:dyDescent="0.25">
      <c r="A36" s="6">
        <v>28</v>
      </c>
      <c r="B36" s="17" t="s">
        <v>21</v>
      </c>
      <c r="C36" s="17" t="s">
        <v>395</v>
      </c>
      <c r="D36" s="6" t="s">
        <v>378</v>
      </c>
      <c r="E36" s="4">
        <v>0</v>
      </c>
      <c r="F36" s="4">
        <v>1</v>
      </c>
      <c r="G36" s="4">
        <v>5</v>
      </c>
      <c r="H36" s="4">
        <v>1</v>
      </c>
      <c r="I36" s="4">
        <v>0</v>
      </c>
      <c r="J36" s="4" t="s">
        <v>446</v>
      </c>
      <c r="K36" s="4">
        <v>25</v>
      </c>
      <c r="L36" s="4">
        <f t="shared" si="0"/>
        <v>7</v>
      </c>
      <c r="M36" s="18">
        <f t="shared" si="1"/>
        <v>28.000000000000004</v>
      </c>
      <c r="N36" s="4">
        <v>21</v>
      </c>
      <c r="O36" s="4"/>
    </row>
    <row r="37" spans="1:15" ht="20.100000000000001" customHeight="1" x14ac:dyDescent="0.25">
      <c r="A37" s="6">
        <v>29</v>
      </c>
      <c r="B37" s="17" t="s">
        <v>409</v>
      </c>
      <c r="C37" s="17" t="s">
        <v>410</v>
      </c>
      <c r="D37" s="6" t="s">
        <v>378</v>
      </c>
      <c r="E37" s="4">
        <v>0</v>
      </c>
      <c r="F37" s="4">
        <v>0</v>
      </c>
      <c r="G37" s="4">
        <v>2</v>
      </c>
      <c r="H37" s="4">
        <v>0</v>
      </c>
      <c r="I37" s="4">
        <v>0</v>
      </c>
      <c r="J37" s="4" t="s">
        <v>445</v>
      </c>
      <c r="K37" s="4">
        <v>25</v>
      </c>
      <c r="L37" s="4">
        <f t="shared" si="0"/>
        <v>2</v>
      </c>
      <c r="M37" s="18">
        <f t="shared" si="1"/>
        <v>8</v>
      </c>
      <c r="N37" s="4">
        <v>20</v>
      </c>
      <c r="O37" s="4"/>
    </row>
    <row r="38" spans="1:15" ht="20.100000000000001" customHeight="1" x14ac:dyDescent="0.25">
      <c r="A38" s="6">
        <v>30</v>
      </c>
      <c r="B38" s="17" t="s">
        <v>111</v>
      </c>
      <c r="C38" s="17" t="s">
        <v>411</v>
      </c>
      <c r="D38" s="6" t="s">
        <v>378</v>
      </c>
      <c r="E38" s="4">
        <v>0</v>
      </c>
      <c r="F38" s="4">
        <v>4</v>
      </c>
      <c r="G38" s="4">
        <v>4</v>
      </c>
      <c r="H38" s="4">
        <v>2</v>
      </c>
      <c r="I38" s="4">
        <v>1</v>
      </c>
      <c r="J38" s="4" t="s">
        <v>446</v>
      </c>
      <c r="K38" s="4">
        <v>25</v>
      </c>
      <c r="L38" s="4">
        <f t="shared" si="0"/>
        <v>11</v>
      </c>
      <c r="M38" s="18">
        <f t="shared" si="1"/>
        <v>44</v>
      </c>
      <c r="N38" s="4">
        <v>10</v>
      </c>
      <c r="O38" s="4"/>
    </row>
    <row r="39" spans="1:15" ht="20.100000000000001" customHeight="1" x14ac:dyDescent="0.25">
      <c r="A39" s="6">
        <v>31</v>
      </c>
      <c r="B39" s="17" t="s">
        <v>412</v>
      </c>
      <c r="C39" s="17" t="s">
        <v>413</v>
      </c>
      <c r="D39" s="6" t="s">
        <v>378</v>
      </c>
      <c r="E39" s="4">
        <v>1</v>
      </c>
      <c r="F39" s="4">
        <v>4</v>
      </c>
      <c r="G39" s="4">
        <v>5</v>
      </c>
      <c r="H39" s="4">
        <v>3</v>
      </c>
      <c r="I39" s="4">
        <v>4</v>
      </c>
      <c r="J39" s="4" t="s">
        <v>446</v>
      </c>
      <c r="K39" s="4">
        <v>25</v>
      </c>
      <c r="L39" s="4">
        <f t="shared" si="0"/>
        <v>17</v>
      </c>
      <c r="M39" s="18">
        <f t="shared" si="1"/>
        <v>68</v>
      </c>
      <c r="N39" s="4">
        <v>15</v>
      </c>
      <c r="O39" s="4"/>
    </row>
    <row r="40" spans="1:15" ht="20.100000000000001" customHeight="1" x14ac:dyDescent="0.25">
      <c r="A40" s="6">
        <v>32</v>
      </c>
      <c r="B40" s="17" t="s">
        <v>414</v>
      </c>
      <c r="C40" s="17" t="s">
        <v>415</v>
      </c>
      <c r="D40" s="6" t="s">
        <v>378</v>
      </c>
      <c r="E40" s="4">
        <v>2</v>
      </c>
      <c r="F40" s="4">
        <v>1</v>
      </c>
      <c r="G40" s="4">
        <v>0</v>
      </c>
      <c r="H40" s="4">
        <v>2</v>
      </c>
      <c r="I40" s="4">
        <v>1</v>
      </c>
      <c r="J40" s="4" t="s">
        <v>446</v>
      </c>
      <c r="K40" s="4">
        <v>25</v>
      </c>
      <c r="L40" s="4">
        <f t="shared" si="0"/>
        <v>6</v>
      </c>
      <c r="M40" s="18">
        <f t="shared" si="1"/>
        <v>24</v>
      </c>
      <c r="N40" s="4">
        <v>20</v>
      </c>
      <c r="O40" s="4"/>
    </row>
    <row r="41" spans="1:15" ht="20.100000000000001" customHeight="1" x14ac:dyDescent="0.25">
      <c r="A41" s="6">
        <v>33</v>
      </c>
      <c r="B41" s="17" t="s">
        <v>416</v>
      </c>
      <c r="C41" s="17" t="s">
        <v>417</v>
      </c>
      <c r="D41" s="6" t="s">
        <v>378</v>
      </c>
      <c r="E41" s="4">
        <v>0</v>
      </c>
      <c r="F41" s="4">
        <v>2</v>
      </c>
      <c r="G41" s="4">
        <v>4</v>
      </c>
      <c r="H41" s="4">
        <v>0</v>
      </c>
      <c r="I41" s="4">
        <v>0</v>
      </c>
      <c r="J41" s="4" t="s">
        <v>446</v>
      </c>
      <c r="K41" s="4">
        <v>25</v>
      </c>
      <c r="L41" s="4">
        <f t="shared" si="0"/>
        <v>6</v>
      </c>
      <c r="M41" s="18">
        <f t="shared" si="1"/>
        <v>24</v>
      </c>
      <c r="N41" s="4">
        <v>21</v>
      </c>
      <c r="O41" s="4"/>
    </row>
    <row r="42" spans="1:15" ht="20.100000000000001" customHeight="1" x14ac:dyDescent="0.25">
      <c r="A42" s="6">
        <v>34</v>
      </c>
      <c r="B42" s="17" t="s">
        <v>418</v>
      </c>
      <c r="C42" s="17" t="s">
        <v>61</v>
      </c>
      <c r="D42" s="6" t="s">
        <v>378</v>
      </c>
      <c r="E42" s="4">
        <v>0</v>
      </c>
      <c r="F42" s="4">
        <v>0</v>
      </c>
      <c r="G42" s="4">
        <v>1</v>
      </c>
      <c r="H42" s="4">
        <v>1</v>
      </c>
      <c r="I42" s="4">
        <v>1</v>
      </c>
      <c r="J42" s="4" t="s">
        <v>446</v>
      </c>
      <c r="K42" s="4">
        <v>25</v>
      </c>
      <c r="L42" s="4">
        <f t="shared" si="0"/>
        <v>3</v>
      </c>
      <c r="M42" s="18">
        <f t="shared" si="1"/>
        <v>12</v>
      </c>
      <c r="N42" s="4">
        <v>15</v>
      </c>
      <c r="O42" s="4"/>
    </row>
    <row r="43" spans="1:15" ht="20.100000000000001" customHeight="1" x14ac:dyDescent="0.25">
      <c r="A43" s="6">
        <v>35</v>
      </c>
      <c r="B43" s="17" t="s">
        <v>103</v>
      </c>
      <c r="C43" s="17" t="s">
        <v>419</v>
      </c>
      <c r="D43" s="6" t="s">
        <v>378</v>
      </c>
      <c r="E43" s="4">
        <v>0</v>
      </c>
      <c r="F43" s="4">
        <v>4</v>
      </c>
      <c r="G43" s="4">
        <v>5</v>
      </c>
      <c r="H43" s="4">
        <v>4</v>
      </c>
      <c r="I43" s="4">
        <v>4</v>
      </c>
      <c r="J43" s="4" t="s">
        <v>445</v>
      </c>
      <c r="K43" s="4">
        <v>25</v>
      </c>
      <c r="L43" s="4">
        <f t="shared" si="0"/>
        <v>17</v>
      </c>
      <c r="M43" s="18">
        <f t="shared" si="1"/>
        <v>68</v>
      </c>
      <c r="N43" s="4">
        <v>20</v>
      </c>
      <c r="O43" s="4"/>
    </row>
    <row r="44" spans="1:15" ht="20.100000000000001" customHeight="1" x14ac:dyDescent="0.25">
      <c r="A44" s="6">
        <v>36</v>
      </c>
      <c r="B44" s="17" t="s">
        <v>420</v>
      </c>
      <c r="C44" s="17" t="s">
        <v>59</v>
      </c>
      <c r="D44" s="6" t="s">
        <v>378</v>
      </c>
      <c r="E44" s="4">
        <v>2</v>
      </c>
      <c r="F44" s="4">
        <v>4</v>
      </c>
      <c r="G44" s="4">
        <v>5</v>
      </c>
      <c r="H44" s="4">
        <v>1</v>
      </c>
      <c r="I44" s="4">
        <v>1</v>
      </c>
      <c r="J44" s="4" t="s">
        <v>446</v>
      </c>
      <c r="K44" s="4">
        <v>25</v>
      </c>
      <c r="L44" s="4">
        <f t="shared" si="0"/>
        <v>13</v>
      </c>
      <c r="M44" s="18">
        <f t="shared" si="1"/>
        <v>52</v>
      </c>
      <c r="N44" s="4">
        <v>11</v>
      </c>
      <c r="O44" s="4"/>
    </row>
    <row r="45" spans="1:15" ht="20.100000000000001" customHeight="1" x14ac:dyDescent="0.25">
      <c r="A45" s="6">
        <v>37</v>
      </c>
      <c r="B45" s="17" t="s">
        <v>421</v>
      </c>
      <c r="C45" s="17" t="s">
        <v>296</v>
      </c>
      <c r="D45" s="6" t="s">
        <v>378</v>
      </c>
      <c r="E45" s="4">
        <v>1</v>
      </c>
      <c r="F45" s="4">
        <v>1</v>
      </c>
      <c r="G45" s="4">
        <v>2</v>
      </c>
      <c r="H45" s="4">
        <v>2</v>
      </c>
      <c r="I45" s="4">
        <v>2</v>
      </c>
      <c r="J45" s="4" t="s">
        <v>446</v>
      </c>
      <c r="K45" s="4">
        <v>25</v>
      </c>
      <c r="L45" s="4">
        <f t="shared" si="0"/>
        <v>8</v>
      </c>
      <c r="M45" s="18">
        <f t="shared" si="1"/>
        <v>32</v>
      </c>
      <c r="N45" s="4">
        <v>20</v>
      </c>
      <c r="O45" s="4"/>
    </row>
    <row r="46" spans="1:15" ht="20.100000000000001" customHeight="1" x14ac:dyDescent="0.25">
      <c r="A46" s="6">
        <v>38</v>
      </c>
      <c r="B46" s="17" t="s">
        <v>247</v>
      </c>
      <c r="C46" s="17" t="s">
        <v>353</v>
      </c>
      <c r="D46" s="6" t="s">
        <v>378</v>
      </c>
      <c r="E46" s="4">
        <v>2</v>
      </c>
      <c r="F46" s="4">
        <v>5</v>
      </c>
      <c r="G46" s="4">
        <v>5</v>
      </c>
      <c r="H46" s="4">
        <v>4</v>
      </c>
      <c r="I46" s="4">
        <v>4</v>
      </c>
      <c r="J46" s="4" t="s">
        <v>445</v>
      </c>
      <c r="K46" s="4">
        <v>25</v>
      </c>
      <c r="L46" s="4">
        <f t="shared" si="0"/>
        <v>20</v>
      </c>
      <c r="M46" s="18">
        <f t="shared" si="1"/>
        <v>80</v>
      </c>
      <c r="N46" s="4">
        <v>10</v>
      </c>
      <c r="O46" s="4"/>
    </row>
    <row r="47" spans="1:15" ht="20.100000000000001" customHeight="1" x14ac:dyDescent="0.25">
      <c r="A47" s="6">
        <v>39</v>
      </c>
      <c r="B47" s="17" t="s">
        <v>422</v>
      </c>
      <c r="C47" s="17" t="s">
        <v>423</v>
      </c>
      <c r="D47" s="6" t="s">
        <v>378</v>
      </c>
      <c r="E47" s="4">
        <v>0</v>
      </c>
      <c r="F47" s="4">
        <v>0</v>
      </c>
      <c r="G47" s="4">
        <v>3</v>
      </c>
      <c r="H47" s="4">
        <v>0</v>
      </c>
      <c r="I47" s="4">
        <v>0</v>
      </c>
      <c r="J47" s="4" t="s">
        <v>446</v>
      </c>
      <c r="K47" s="4">
        <v>25</v>
      </c>
      <c r="L47" s="4">
        <f t="shared" si="0"/>
        <v>3</v>
      </c>
      <c r="M47" s="18">
        <f t="shared" si="1"/>
        <v>12</v>
      </c>
      <c r="N47" s="4">
        <v>24</v>
      </c>
      <c r="O47" s="4"/>
    </row>
    <row r="48" spans="1:15" ht="20.100000000000001" customHeight="1" x14ac:dyDescent="0.25">
      <c r="A48" s="6">
        <v>40</v>
      </c>
      <c r="B48" s="17" t="s">
        <v>424</v>
      </c>
      <c r="C48" s="17" t="s">
        <v>95</v>
      </c>
      <c r="D48" s="6" t="s">
        <v>378</v>
      </c>
      <c r="E48" s="4">
        <v>1</v>
      </c>
      <c r="F48" s="4">
        <v>5</v>
      </c>
      <c r="G48" s="4">
        <v>1</v>
      </c>
      <c r="H48" s="4">
        <v>1</v>
      </c>
      <c r="I48" s="4">
        <v>1</v>
      </c>
      <c r="J48" s="4" t="s">
        <v>446</v>
      </c>
      <c r="K48" s="4">
        <v>25</v>
      </c>
      <c r="L48" s="4">
        <f t="shared" si="0"/>
        <v>9</v>
      </c>
      <c r="M48" s="18">
        <f t="shared" si="1"/>
        <v>36</v>
      </c>
      <c r="N48" s="4">
        <v>19</v>
      </c>
      <c r="O48" s="4"/>
    </row>
    <row r="49" spans="1:15" ht="20.100000000000001" customHeight="1" x14ac:dyDescent="0.25">
      <c r="A49" s="6">
        <v>41</v>
      </c>
      <c r="B49" s="17" t="s">
        <v>425</v>
      </c>
      <c r="C49" s="17" t="s">
        <v>426</v>
      </c>
      <c r="D49" s="6" t="s">
        <v>378</v>
      </c>
      <c r="E49" s="4">
        <v>2</v>
      </c>
      <c r="F49" s="4">
        <v>1</v>
      </c>
      <c r="G49" s="4">
        <v>1</v>
      </c>
      <c r="H49" s="4">
        <v>2</v>
      </c>
      <c r="I49" s="4">
        <v>1</v>
      </c>
      <c r="J49" s="4" t="s">
        <v>446</v>
      </c>
      <c r="K49" s="4">
        <v>25</v>
      </c>
      <c r="L49" s="4">
        <f t="shared" si="0"/>
        <v>7</v>
      </c>
      <c r="M49" s="18">
        <f t="shared" si="1"/>
        <v>28.000000000000004</v>
      </c>
      <c r="N49" s="4">
        <v>21</v>
      </c>
      <c r="O49" s="4"/>
    </row>
    <row r="50" spans="1:15" ht="20.100000000000001" customHeight="1" x14ac:dyDescent="0.25">
      <c r="A50" s="6">
        <v>42</v>
      </c>
      <c r="B50" s="17" t="s">
        <v>427</v>
      </c>
      <c r="C50" s="17" t="s">
        <v>230</v>
      </c>
      <c r="D50" s="6" t="s">
        <v>378</v>
      </c>
      <c r="E50" s="4">
        <v>2</v>
      </c>
      <c r="F50" s="4">
        <v>4</v>
      </c>
      <c r="G50" s="4">
        <v>5</v>
      </c>
      <c r="H50" s="4">
        <v>2</v>
      </c>
      <c r="I50" s="4">
        <v>0</v>
      </c>
      <c r="J50" s="4" t="s">
        <v>446</v>
      </c>
      <c r="K50" s="4">
        <v>25</v>
      </c>
      <c r="L50" s="4">
        <f t="shared" si="0"/>
        <v>13</v>
      </c>
      <c r="M50" s="18">
        <f t="shared" si="1"/>
        <v>52</v>
      </c>
      <c r="N50" s="4">
        <v>24</v>
      </c>
      <c r="O50" s="4"/>
    </row>
    <row r="51" spans="1:15" ht="20.100000000000001" customHeight="1" x14ac:dyDescent="0.25">
      <c r="A51" s="6">
        <v>43</v>
      </c>
      <c r="B51" s="17" t="s">
        <v>428</v>
      </c>
      <c r="C51" s="17" t="s">
        <v>429</v>
      </c>
      <c r="D51" s="6" t="s">
        <v>378</v>
      </c>
      <c r="E51" s="4">
        <v>2</v>
      </c>
      <c r="F51" s="4">
        <v>5</v>
      </c>
      <c r="G51" s="4">
        <v>5</v>
      </c>
      <c r="H51" s="4">
        <v>4</v>
      </c>
      <c r="I51" s="4">
        <v>4</v>
      </c>
      <c r="J51" s="4" t="s">
        <v>445</v>
      </c>
      <c r="K51" s="4">
        <v>25</v>
      </c>
      <c r="L51" s="4">
        <f t="shared" si="0"/>
        <v>20</v>
      </c>
      <c r="M51" s="18">
        <f t="shared" si="1"/>
        <v>80</v>
      </c>
      <c r="N51" s="4">
        <v>22</v>
      </c>
      <c r="O51" s="4"/>
    </row>
    <row r="52" spans="1:15" ht="20.100000000000001" customHeight="1" x14ac:dyDescent="0.25">
      <c r="A52" s="6">
        <v>44</v>
      </c>
      <c r="B52" s="17" t="s">
        <v>430</v>
      </c>
      <c r="C52" s="17" t="s">
        <v>57</v>
      </c>
      <c r="D52" s="6" t="s">
        <v>378</v>
      </c>
      <c r="E52" s="4">
        <v>1</v>
      </c>
      <c r="F52" s="4">
        <v>4</v>
      </c>
      <c r="G52" s="4">
        <v>4</v>
      </c>
      <c r="H52" s="4">
        <v>3</v>
      </c>
      <c r="I52" s="4">
        <v>1</v>
      </c>
      <c r="J52" s="4" t="s">
        <v>446</v>
      </c>
      <c r="K52" s="4">
        <v>25</v>
      </c>
      <c r="L52" s="4">
        <f t="shared" si="0"/>
        <v>13</v>
      </c>
      <c r="M52" s="18">
        <f t="shared" si="1"/>
        <v>52</v>
      </c>
      <c r="N52" s="4">
        <v>20</v>
      </c>
      <c r="O52" s="4"/>
    </row>
    <row r="53" spans="1:15" ht="20.100000000000001" customHeight="1" x14ac:dyDescent="0.25">
      <c r="A53" s="6">
        <v>45</v>
      </c>
      <c r="B53" s="17" t="s">
        <v>431</v>
      </c>
      <c r="C53" s="17" t="s">
        <v>432</v>
      </c>
      <c r="D53" s="6" t="s">
        <v>378</v>
      </c>
      <c r="E53" s="4">
        <v>5</v>
      </c>
      <c r="F53" s="4">
        <v>5</v>
      </c>
      <c r="G53" s="4">
        <v>5</v>
      </c>
      <c r="H53" s="4">
        <v>1</v>
      </c>
      <c r="I53" s="4">
        <v>1</v>
      </c>
      <c r="J53" s="4" t="s">
        <v>445</v>
      </c>
      <c r="K53" s="4">
        <v>25</v>
      </c>
      <c r="L53" s="4">
        <f t="shared" si="0"/>
        <v>17</v>
      </c>
      <c r="M53" s="18">
        <f t="shared" si="1"/>
        <v>68</v>
      </c>
      <c r="N53" s="4">
        <v>21</v>
      </c>
      <c r="O53" s="4"/>
    </row>
    <row r="54" spans="1:15" ht="20.100000000000001" customHeight="1" x14ac:dyDescent="0.25">
      <c r="A54" s="6">
        <v>46</v>
      </c>
      <c r="B54" s="17" t="s">
        <v>433</v>
      </c>
      <c r="C54" s="17" t="s">
        <v>434</v>
      </c>
      <c r="D54" s="6" t="s">
        <v>378</v>
      </c>
      <c r="E54" s="4">
        <v>0</v>
      </c>
      <c r="F54" s="4">
        <v>3</v>
      </c>
      <c r="G54" s="4">
        <v>5</v>
      </c>
      <c r="H54" s="4">
        <v>2</v>
      </c>
      <c r="I54" s="4">
        <v>2</v>
      </c>
      <c r="J54" s="4" t="s">
        <v>446</v>
      </c>
      <c r="K54" s="4">
        <v>25</v>
      </c>
      <c r="L54" s="4">
        <f t="shared" si="0"/>
        <v>12</v>
      </c>
      <c r="M54" s="18">
        <f t="shared" si="1"/>
        <v>48</v>
      </c>
      <c r="N54" s="4">
        <v>26</v>
      </c>
      <c r="O54" s="4"/>
    </row>
    <row r="55" spans="1:15" ht="20.100000000000001" customHeight="1" x14ac:dyDescent="0.25">
      <c r="A55" s="6">
        <v>47</v>
      </c>
      <c r="B55" s="17" t="s">
        <v>435</v>
      </c>
      <c r="C55" s="17" t="s">
        <v>436</v>
      </c>
      <c r="D55" s="6" t="s">
        <v>378</v>
      </c>
      <c r="E55" s="4" t="s">
        <v>147</v>
      </c>
      <c r="F55" s="4" t="s">
        <v>147</v>
      </c>
      <c r="G55" s="4" t="s">
        <v>147</v>
      </c>
      <c r="H55" s="4" t="s">
        <v>147</v>
      </c>
      <c r="I55" s="4" t="s">
        <v>147</v>
      </c>
      <c r="J55" s="4" t="s">
        <v>446</v>
      </c>
      <c r="K55" s="4">
        <v>25</v>
      </c>
      <c r="L55" s="4">
        <f t="shared" si="0"/>
        <v>0</v>
      </c>
      <c r="M55" s="18">
        <f t="shared" si="1"/>
        <v>0</v>
      </c>
      <c r="N55" s="4" t="s">
        <v>147</v>
      </c>
      <c r="O55" s="4"/>
    </row>
    <row r="56" spans="1:15" ht="20.100000000000001" customHeight="1" x14ac:dyDescent="0.25">
      <c r="A56" s="6">
        <v>48</v>
      </c>
      <c r="B56" s="17" t="s">
        <v>325</v>
      </c>
      <c r="C56" s="17" t="s">
        <v>437</v>
      </c>
      <c r="D56" s="6" t="s">
        <v>378</v>
      </c>
      <c r="E56" s="4">
        <v>0</v>
      </c>
      <c r="F56" s="4">
        <v>1</v>
      </c>
      <c r="G56" s="4">
        <v>2</v>
      </c>
      <c r="H56" s="4">
        <v>0</v>
      </c>
      <c r="I56" s="4">
        <v>0</v>
      </c>
      <c r="J56" s="4">
        <v>0</v>
      </c>
      <c r="K56" s="4">
        <v>25</v>
      </c>
      <c r="L56" s="4">
        <f t="shared" si="0"/>
        <v>3</v>
      </c>
      <c r="M56" s="18">
        <f t="shared" si="1"/>
        <v>12</v>
      </c>
      <c r="N56" s="4">
        <v>17</v>
      </c>
      <c r="O56" s="4"/>
    </row>
    <row r="57" spans="1:15" ht="20.100000000000001" customHeight="1" x14ac:dyDescent="0.25">
      <c r="A57" s="6">
        <v>49</v>
      </c>
      <c r="B57" s="17" t="s">
        <v>438</v>
      </c>
      <c r="C57" s="17" t="s">
        <v>439</v>
      </c>
      <c r="D57" s="6" t="s">
        <v>378</v>
      </c>
      <c r="E57" s="4">
        <v>0</v>
      </c>
      <c r="F57" s="4">
        <v>2</v>
      </c>
      <c r="G57" s="4">
        <v>1</v>
      </c>
      <c r="H57" s="4">
        <v>0</v>
      </c>
      <c r="I57" s="4">
        <v>0</v>
      </c>
      <c r="J57" s="4">
        <v>0</v>
      </c>
      <c r="K57" s="4">
        <v>25</v>
      </c>
      <c r="L57" s="4">
        <f t="shared" si="0"/>
        <v>3</v>
      </c>
      <c r="M57" s="18">
        <f t="shared" si="1"/>
        <v>12</v>
      </c>
      <c r="N57" s="4">
        <v>20</v>
      </c>
      <c r="O57" s="4"/>
    </row>
    <row r="58" spans="1:15" ht="20.100000000000001" customHeight="1" x14ac:dyDescent="0.25">
      <c r="A58" s="6">
        <v>50</v>
      </c>
      <c r="B58" s="17" t="s">
        <v>440</v>
      </c>
      <c r="C58" s="17" t="s">
        <v>434</v>
      </c>
      <c r="D58" s="6" t="s">
        <v>378</v>
      </c>
      <c r="E58" s="4">
        <v>0</v>
      </c>
      <c r="F58" s="4">
        <v>1</v>
      </c>
      <c r="G58" s="4">
        <v>2</v>
      </c>
      <c r="H58" s="4">
        <v>1</v>
      </c>
      <c r="I58" s="4">
        <v>3</v>
      </c>
      <c r="J58" s="4" t="s">
        <v>445</v>
      </c>
      <c r="K58" s="4">
        <v>25</v>
      </c>
      <c r="L58" s="4">
        <f t="shared" si="0"/>
        <v>7</v>
      </c>
      <c r="M58" s="18">
        <f t="shared" si="1"/>
        <v>28.000000000000004</v>
      </c>
      <c r="N58" s="4">
        <v>23</v>
      </c>
      <c r="O58" s="4"/>
    </row>
    <row r="59" spans="1:15" ht="20.100000000000001" customHeight="1" x14ac:dyDescent="0.25">
      <c r="A59" s="6">
        <v>51</v>
      </c>
      <c r="B59" s="17" t="s">
        <v>441</v>
      </c>
      <c r="C59" s="17" t="s">
        <v>442</v>
      </c>
      <c r="D59" s="6" t="s">
        <v>378</v>
      </c>
      <c r="E59" s="4">
        <v>0</v>
      </c>
      <c r="F59" s="4">
        <v>0</v>
      </c>
      <c r="G59" s="4">
        <v>2</v>
      </c>
      <c r="H59" s="4">
        <v>0</v>
      </c>
      <c r="I59" s="4">
        <v>0</v>
      </c>
      <c r="J59" s="4" t="s">
        <v>446</v>
      </c>
      <c r="K59" s="4">
        <v>25</v>
      </c>
      <c r="L59" s="4">
        <f t="shared" si="0"/>
        <v>2</v>
      </c>
      <c r="M59" s="18">
        <f t="shared" si="1"/>
        <v>8</v>
      </c>
      <c r="N59" s="4">
        <v>24</v>
      </c>
      <c r="O59" s="4"/>
    </row>
    <row r="60" spans="1:15" x14ac:dyDescent="0.25">
      <c r="A60" s="6">
        <v>52</v>
      </c>
      <c r="B60" s="17" t="s">
        <v>443</v>
      </c>
      <c r="C60" s="17" t="s">
        <v>444</v>
      </c>
      <c r="D60" s="6" t="s">
        <v>378</v>
      </c>
      <c r="E60" s="4">
        <v>0</v>
      </c>
      <c r="F60" s="4">
        <v>4</v>
      </c>
      <c r="G60" s="4">
        <v>3</v>
      </c>
      <c r="H60" s="4">
        <v>1</v>
      </c>
      <c r="I60" s="4">
        <v>0</v>
      </c>
      <c r="J60" s="4" t="s">
        <v>445</v>
      </c>
      <c r="K60" s="4">
        <v>25</v>
      </c>
      <c r="L60" s="4">
        <f t="shared" si="0"/>
        <v>8</v>
      </c>
      <c r="M60" s="18">
        <f t="shared" si="1"/>
        <v>32</v>
      </c>
      <c r="N60" s="4">
        <v>26</v>
      </c>
      <c r="O60" s="4"/>
    </row>
  </sheetData>
  <mergeCells count="15">
    <mergeCell ref="A7:O7"/>
    <mergeCell ref="A34:O34"/>
    <mergeCell ref="A1:O1"/>
    <mergeCell ref="A3:O3"/>
    <mergeCell ref="A4:A6"/>
    <mergeCell ref="B4:B6"/>
    <mergeCell ref="C4:C6"/>
    <mergeCell ref="D4:D6"/>
    <mergeCell ref="E4:J4"/>
    <mergeCell ref="K4:K5"/>
    <mergeCell ref="L4:L6"/>
    <mergeCell ref="M4:M6"/>
    <mergeCell ref="N4:N6"/>
    <mergeCell ref="O4:O6"/>
    <mergeCell ref="A2:O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343F-7B33-45F4-9A84-961828A8936B}">
  <dimension ref="A1:P62"/>
  <sheetViews>
    <sheetView workbookViewId="0">
      <selection activeCell="A62" sqref="A62:XFD62"/>
    </sheetView>
  </sheetViews>
  <sheetFormatPr defaultRowHeight="15" x14ac:dyDescent="0.25"/>
  <cols>
    <col min="1" max="1" width="3.140625" bestFit="1" customWidth="1"/>
    <col min="2" max="2" width="16.7109375" style="23" bestFit="1" customWidth="1"/>
    <col min="3" max="3" width="16.85546875" style="40" bestFit="1" customWidth="1"/>
    <col min="5" max="15" width="7.7109375" customWidth="1"/>
  </cols>
  <sheetData>
    <row r="1" spans="1:16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</row>
    <row r="4" spans="1:16" x14ac:dyDescent="0.25">
      <c r="A4" s="25" t="s">
        <v>2</v>
      </c>
      <c r="B4" s="25" t="s">
        <v>4</v>
      </c>
      <c r="C4" s="39" t="s">
        <v>5</v>
      </c>
      <c r="D4" s="25" t="s">
        <v>3</v>
      </c>
      <c r="E4" s="29" t="s">
        <v>6</v>
      </c>
      <c r="F4" s="29"/>
      <c r="G4" s="29"/>
      <c r="H4" s="29"/>
      <c r="I4" s="29"/>
      <c r="J4" s="29"/>
      <c r="K4" s="29"/>
      <c r="L4" s="25" t="s">
        <v>14</v>
      </c>
      <c r="M4" s="25" t="s">
        <v>15</v>
      </c>
      <c r="N4" s="25" t="s">
        <v>16</v>
      </c>
      <c r="O4" s="25" t="s">
        <v>12</v>
      </c>
      <c r="P4" s="25" t="s">
        <v>17</v>
      </c>
    </row>
    <row r="5" spans="1:16" ht="36.75" x14ac:dyDescent="0.25">
      <c r="A5" s="25"/>
      <c r="B5" s="25"/>
      <c r="C5" s="39"/>
      <c r="D5" s="25"/>
      <c r="E5" s="2" t="s">
        <v>124</v>
      </c>
      <c r="F5" s="2" t="s">
        <v>9</v>
      </c>
      <c r="G5" s="2" t="s">
        <v>278</v>
      </c>
      <c r="H5" s="2" t="s">
        <v>10</v>
      </c>
      <c r="I5" s="2" t="s">
        <v>8</v>
      </c>
      <c r="J5" s="2" t="s">
        <v>181</v>
      </c>
      <c r="K5" s="2" t="s">
        <v>279</v>
      </c>
      <c r="L5" s="25"/>
      <c r="M5" s="25"/>
      <c r="N5" s="25"/>
      <c r="O5" s="25"/>
      <c r="P5" s="25"/>
    </row>
    <row r="6" spans="1:16" x14ac:dyDescent="0.25">
      <c r="A6" s="25"/>
      <c r="B6" s="25"/>
      <c r="C6" s="39"/>
      <c r="D6" s="25"/>
      <c r="E6" s="3">
        <v>5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 t="s">
        <v>280</v>
      </c>
      <c r="L6" s="3">
        <v>30</v>
      </c>
      <c r="M6" s="25"/>
      <c r="N6" s="25"/>
      <c r="O6" s="25"/>
      <c r="P6" s="25"/>
    </row>
    <row r="7" spans="1:16" ht="27" customHeight="1" x14ac:dyDescent="0.35">
      <c r="A7" s="36" t="s">
        <v>224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</row>
    <row r="8" spans="1:16" ht="27" customHeight="1" x14ac:dyDescent="0.25">
      <c r="A8" s="6">
        <v>1</v>
      </c>
      <c r="B8" s="41" t="s">
        <v>447</v>
      </c>
      <c r="C8" s="19" t="s">
        <v>448</v>
      </c>
      <c r="D8" s="6" t="s">
        <v>449</v>
      </c>
      <c r="E8" s="4">
        <v>1</v>
      </c>
      <c r="F8" s="4">
        <v>4</v>
      </c>
      <c r="G8" s="4">
        <v>4</v>
      </c>
      <c r="H8" s="4">
        <v>3</v>
      </c>
      <c r="I8" s="4">
        <v>3.5</v>
      </c>
      <c r="J8" s="4">
        <v>2.5</v>
      </c>
      <c r="K8" s="4" t="s">
        <v>446</v>
      </c>
      <c r="L8" s="4">
        <v>30</v>
      </c>
      <c r="M8" s="4">
        <f>SUM(E8:J8)</f>
        <v>18</v>
      </c>
      <c r="N8" s="4">
        <f>M8/L8*100</f>
        <v>60</v>
      </c>
      <c r="O8" s="4">
        <v>39</v>
      </c>
      <c r="P8" s="4"/>
    </row>
    <row r="9" spans="1:16" ht="27" customHeight="1" x14ac:dyDescent="0.25">
      <c r="A9" s="6">
        <v>2</v>
      </c>
      <c r="B9" s="41" t="s">
        <v>450</v>
      </c>
      <c r="C9" s="19" t="s">
        <v>351</v>
      </c>
      <c r="D9" s="6" t="s">
        <v>449</v>
      </c>
      <c r="E9" s="4">
        <v>0</v>
      </c>
      <c r="F9" s="4">
        <v>2.5</v>
      </c>
      <c r="G9" s="4">
        <v>1.5</v>
      </c>
      <c r="H9" s="4">
        <v>1</v>
      </c>
      <c r="I9" s="4">
        <v>2.5</v>
      </c>
      <c r="J9" s="4">
        <v>0.5</v>
      </c>
      <c r="K9" s="4" t="s">
        <v>446</v>
      </c>
      <c r="L9" s="4">
        <v>30</v>
      </c>
      <c r="M9" s="4">
        <f t="shared" ref="M9:M62" si="0">SUM(E9:J9)</f>
        <v>8</v>
      </c>
      <c r="N9" s="4">
        <f t="shared" ref="N9:N62" si="1">M9/L9*100</f>
        <v>26.666666666666668</v>
      </c>
      <c r="O9" s="4">
        <v>39</v>
      </c>
      <c r="P9" s="4"/>
    </row>
    <row r="10" spans="1:16" ht="27" customHeight="1" x14ac:dyDescent="0.25">
      <c r="A10" s="6">
        <v>3</v>
      </c>
      <c r="B10" s="41" t="s">
        <v>451</v>
      </c>
      <c r="C10" s="19" t="s">
        <v>452</v>
      </c>
      <c r="D10" s="6" t="s">
        <v>449</v>
      </c>
      <c r="E10" s="4">
        <v>4</v>
      </c>
      <c r="F10" s="4">
        <v>0.5</v>
      </c>
      <c r="G10" s="4">
        <v>5</v>
      </c>
      <c r="H10" s="4">
        <v>4.5</v>
      </c>
      <c r="I10" s="4">
        <v>5</v>
      </c>
      <c r="J10" s="4">
        <v>3.5</v>
      </c>
      <c r="K10" s="4" t="s">
        <v>445</v>
      </c>
      <c r="L10" s="4">
        <v>30</v>
      </c>
      <c r="M10" s="4">
        <f t="shared" si="0"/>
        <v>22.5</v>
      </c>
      <c r="N10" s="4">
        <f t="shared" si="1"/>
        <v>75</v>
      </c>
      <c r="O10" s="4">
        <v>43</v>
      </c>
      <c r="P10" s="4"/>
    </row>
    <row r="11" spans="1:16" ht="27" customHeight="1" x14ac:dyDescent="0.25">
      <c r="A11" s="6">
        <v>4</v>
      </c>
      <c r="B11" s="41" t="s">
        <v>453</v>
      </c>
      <c r="C11" s="19" t="s">
        <v>410</v>
      </c>
      <c r="D11" s="6" t="s">
        <v>449</v>
      </c>
      <c r="E11" s="4">
        <v>0</v>
      </c>
      <c r="F11" s="4">
        <v>3</v>
      </c>
      <c r="G11" s="4">
        <v>1.5</v>
      </c>
      <c r="H11" s="4">
        <v>0.5</v>
      </c>
      <c r="I11" s="4">
        <v>3.5</v>
      </c>
      <c r="J11" s="4">
        <v>0</v>
      </c>
      <c r="K11" s="4" t="s">
        <v>445</v>
      </c>
      <c r="L11" s="4">
        <v>30</v>
      </c>
      <c r="M11" s="4">
        <f t="shared" si="0"/>
        <v>8.5</v>
      </c>
      <c r="N11" s="4">
        <f t="shared" si="1"/>
        <v>28.333333333333332</v>
      </c>
      <c r="O11" s="4">
        <v>34</v>
      </c>
      <c r="P11" s="4"/>
    </row>
    <row r="12" spans="1:16" ht="27" customHeight="1" x14ac:dyDescent="0.25">
      <c r="A12" s="6">
        <v>5</v>
      </c>
      <c r="B12" s="41" t="s">
        <v>111</v>
      </c>
      <c r="C12" s="19" t="s">
        <v>454</v>
      </c>
      <c r="D12" s="6" t="s">
        <v>449</v>
      </c>
      <c r="E12" s="4">
        <v>0</v>
      </c>
      <c r="F12" s="4">
        <v>2.5</v>
      </c>
      <c r="G12" s="4">
        <v>4</v>
      </c>
      <c r="H12" s="4">
        <v>2</v>
      </c>
      <c r="I12" s="4">
        <v>2.5</v>
      </c>
      <c r="J12" s="4">
        <v>0</v>
      </c>
      <c r="K12" s="4" t="s">
        <v>446</v>
      </c>
      <c r="L12" s="4">
        <v>30</v>
      </c>
      <c r="M12" s="4">
        <f t="shared" si="0"/>
        <v>11</v>
      </c>
      <c r="N12" s="4">
        <f t="shared" si="1"/>
        <v>36.666666666666664</v>
      </c>
      <c r="O12" s="4">
        <v>38</v>
      </c>
      <c r="P12" s="4"/>
    </row>
    <row r="13" spans="1:16" ht="27" customHeight="1" x14ac:dyDescent="0.25">
      <c r="A13" s="6">
        <v>6</v>
      </c>
      <c r="B13" s="41" t="s">
        <v>455</v>
      </c>
      <c r="C13" s="19" t="s">
        <v>456</v>
      </c>
      <c r="D13" s="6" t="s">
        <v>449</v>
      </c>
      <c r="E13" s="4">
        <v>0</v>
      </c>
      <c r="F13" s="4">
        <v>4</v>
      </c>
      <c r="G13" s="4">
        <v>3.5</v>
      </c>
      <c r="H13" s="4">
        <v>2.5</v>
      </c>
      <c r="I13" s="4">
        <v>4.5</v>
      </c>
      <c r="J13" s="4">
        <v>0</v>
      </c>
      <c r="K13" s="4" t="s">
        <v>446</v>
      </c>
      <c r="L13" s="4">
        <v>30</v>
      </c>
      <c r="M13" s="4">
        <f t="shared" si="0"/>
        <v>14.5</v>
      </c>
      <c r="N13" s="4">
        <f t="shared" si="1"/>
        <v>48.333333333333336</v>
      </c>
      <c r="O13" s="4">
        <v>42</v>
      </c>
      <c r="P13" s="4"/>
    </row>
    <row r="14" spans="1:16" ht="27" customHeight="1" x14ac:dyDescent="0.25">
      <c r="A14" s="6">
        <v>7</v>
      </c>
      <c r="B14" s="41" t="s">
        <v>457</v>
      </c>
      <c r="C14" s="19" t="s">
        <v>55</v>
      </c>
      <c r="D14" s="6" t="s">
        <v>449</v>
      </c>
      <c r="E14" s="4">
        <v>0</v>
      </c>
      <c r="F14" s="4">
        <v>3.5</v>
      </c>
      <c r="G14" s="4">
        <v>2.5</v>
      </c>
      <c r="H14" s="4">
        <v>1</v>
      </c>
      <c r="I14" s="4">
        <v>3</v>
      </c>
      <c r="J14" s="4">
        <v>0</v>
      </c>
      <c r="K14" s="4" t="s">
        <v>445</v>
      </c>
      <c r="L14" s="4">
        <v>30</v>
      </c>
      <c r="M14" s="4">
        <f t="shared" si="0"/>
        <v>10</v>
      </c>
      <c r="N14" s="4">
        <f t="shared" si="1"/>
        <v>33.333333333333329</v>
      </c>
      <c r="O14" s="4">
        <v>37</v>
      </c>
      <c r="P14" s="4"/>
    </row>
    <row r="15" spans="1:16" ht="27" customHeight="1" x14ac:dyDescent="0.25">
      <c r="A15" s="6">
        <v>8</v>
      </c>
      <c r="B15" s="41" t="s">
        <v>371</v>
      </c>
      <c r="C15" s="19" t="s">
        <v>458</v>
      </c>
      <c r="D15" s="6" t="s">
        <v>449</v>
      </c>
      <c r="E15" s="4" t="s">
        <v>147</v>
      </c>
      <c r="F15" s="4" t="s">
        <v>147</v>
      </c>
      <c r="G15" s="4" t="s">
        <v>147</v>
      </c>
      <c r="H15" s="4" t="s">
        <v>147</v>
      </c>
      <c r="I15" s="4" t="s">
        <v>147</v>
      </c>
      <c r="J15" s="4" t="s">
        <v>147</v>
      </c>
      <c r="K15" s="4" t="s">
        <v>147</v>
      </c>
      <c r="L15" s="4">
        <v>30</v>
      </c>
      <c r="M15" s="4">
        <f t="shared" si="0"/>
        <v>0</v>
      </c>
      <c r="N15" s="4">
        <f t="shared" si="1"/>
        <v>0</v>
      </c>
      <c r="O15" s="4" t="s">
        <v>147</v>
      </c>
      <c r="P15" s="4"/>
    </row>
    <row r="16" spans="1:16" ht="27" customHeight="1" x14ac:dyDescent="0.25">
      <c r="A16" s="6">
        <v>9</v>
      </c>
      <c r="B16" s="41" t="s">
        <v>57</v>
      </c>
      <c r="C16" s="19" t="s">
        <v>459</v>
      </c>
      <c r="D16" s="6" t="s">
        <v>449</v>
      </c>
      <c r="E16" s="4">
        <v>0</v>
      </c>
      <c r="F16" s="4">
        <v>4</v>
      </c>
      <c r="G16" s="4">
        <v>4</v>
      </c>
      <c r="H16" s="4">
        <v>2.5</v>
      </c>
      <c r="I16" s="4">
        <v>4</v>
      </c>
      <c r="J16" s="4">
        <v>0</v>
      </c>
      <c r="K16" s="4" t="s">
        <v>446</v>
      </c>
      <c r="L16" s="4">
        <v>30</v>
      </c>
      <c r="M16" s="4">
        <f t="shared" si="0"/>
        <v>14.5</v>
      </c>
      <c r="N16" s="4">
        <f t="shared" si="1"/>
        <v>48.333333333333336</v>
      </c>
      <c r="O16" s="4">
        <v>13</v>
      </c>
      <c r="P16" s="4"/>
    </row>
    <row r="17" spans="1:16" ht="27" customHeight="1" x14ac:dyDescent="0.25">
      <c r="A17" s="6">
        <v>10</v>
      </c>
      <c r="B17" s="41" t="s">
        <v>460</v>
      </c>
      <c r="C17" s="19" t="s">
        <v>461</v>
      </c>
      <c r="D17" s="6" t="s">
        <v>449</v>
      </c>
      <c r="E17" s="4">
        <v>0</v>
      </c>
      <c r="F17" s="4">
        <v>3</v>
      </c>
      <c r="G17" s="4">
        <v>1.5</v>
      </c>
      <c r="H17" s="4">
        <v>1.5</v>
      </c>
      <c r="I17" s="4">
        <v>3.5</v>
      </c>
      <c r="J17" s="4">
        <v>0</v>
      </c>
      <c r="K17" s="4" t="s">
        <v>445</v>
      </c>
      <c r="L17" s="4">
        <v>30</v>
      </c>
      <c r="M17" s="4">
        <f t="shared" si="0"/>
        <v>9.5</v>
      </c>
      <c r="N17" s="4">
        <f t="shared" si="1"/>
        <v>31.666666666666664</v>
      </c>
      <c r="O17" s="4">
        <v>28</v>
      </c>
      <c r="P17" s="4"/>
    </row>
    <row r="18" spans="1:16" ht="27" customHeight="1" x14ac:dyDescent="0.25">
      <c r="A18" s="6">
        <v>11</v>
      </c>
      <c r="B18" s="41" t="s">
        <v>462</v>
      </c>
      <c r="C18" s="19" t="s">
        <v>463</v>
      </c>
      <c r="D18" s="6" t="s">
        <v>449</v>
      </c>
      <c r="E18" s="4">
        <v>0</v>
      </c>
      <c r="F18" s="4">
        <v>0.5</v>
      </c>
      <c r="G18" s="4">
        <v>1.5</v>
      </c>
      <c r="H18" s="4">
        <v>0</v>
      </c>
      <c r="I18" s="4">
        <v>1.5</v>
      </c>
      <c r="J18" s="4">
        <v>0</v>
      </c>
      <c r="K18" s="4" t="s">
        <v>446</v>
      </c>
      <c r="L18" s="4">
        <v>30</v>
      </c>
      <c r="M18" s="4">
        <f t="shared" si="0"/>
        <v>3.5</v>
      </c>
      <c r="N18" s="4">
        <f t="shared" si="1"/>
        <v>11.666666666666666</v>
      </c>
      <c r="O18" s="4">
        <v>23</v>
      </c>
      <c r="P18" s="4"/>
    </row>
    <row r="19" spans="1:16" ht="27" customHeight="1" x14ac:dyDescent="0.25">
      <c r="A19" s="6">
        <v>12</v>
      </c>
      <c r="B19" s="41" t="s">
        <v>464</v>
      </c>
      <c r="C19" s="19" t="s">
        <v>465</v>
      </c>
      <c r="D19" s="6" t="s">
        <v>449</v>
      </c>
      <c r="E19" s="4">
        <v>1</v>
      </c>
      <c r="F19" s="4">
        <v>4.5</v>
      </c>
      <c r="G19" s="4">
        <v>0.5</v>
      </c>
      <c r="H19" s="4">
        <v>3.5</v>
      </c>
      <c r="I19" s="4">
        <v>5</v>
      </c>
      <c r="J19" s="4">
        <v>0</v>
      </c>
      <c r="K19" s="4" t="s">
        <v>445</v>
      </c>
      <c r="L19" s="4">
        <v>30</v>
      </c>
      <c r="M19" s="4">
        <f t="shared" si="0"/>
        <v>14.5</v>
      </c>
      <c r="N19" s="4">
        <f t="shared" si="1"/>
        <v>48.333333333333336</v>
      </c>
      <c r="O19" s="4">
        <v>31</v>
      </c>
      <c r="P19" s="4"/>
    </row>
    <row r="20" spans="1:16" ht="27" customHeight="1" x14ac:dyDescent="0.25">
      <c r="A20" s="6">
        <v>13</v>
      </c>
      <c r="B20" s="41" t="s">
        <v>466</v>
      </c>
      <c r="C20" s="19" t="s">
        <v>114</v>
      </c>
      <c r="D20" s="6" t="s">
        <v>449</v>
      </c>
      <c r="E20" s="4">
        <v>0</v>
      </c>
      <c r="F20" s="4">
        <v>3.5</v>
      </c>
      <c r="G20" s="4">
        <v>1.5</v>
      </c>
      <c r="H20" s="4">
        <v>0.5</v>
      </c>
      <c r="I20" s="4">
        <v>2</v>
      </c>
      <c r="J20" s="4">
        <v>0</v>
      </c>
      <c r="K20" s="4" t="s">
        <v>446</v>
      </c>
      <c r="L20" s="4">
        <v>30</v>
      </c>
      <c r="M20" s="4">
        <f t="shared" si="0"/>
        <v>7.5</v>
      </c>
      <c r="N20" s="4">
        <f t="shared" si="1"/>
        <v>25</v>
      </c>
      <c r="O20" s="4">
        <v>35</v>
      </c>
      <c r="P20" s="4"/>
    </row>
    <row r="21" spans="1:16" ht="27" customHeight="1" x14ac:dyDescent="0.25">
      <c r="A21" s="6">
        <v>14</v>
      </c>
      <c r="B21" s="41" t="s">
        <v>467</v>
      </c>
      <c r="C21" s="19" t="s">
        <v>65</v>
      </c>
      <c r="D21" s="6" t="s">
        <v>449</v>
      </c>
      <c r="E21" s="4">
        <v>3</v>
      </c>
      <c r="F21" s="4">
        <v>4</v>
      </c>
      <c r="G21" s="4">
        <v>2.5</v>
      </c>
      <c r="H21" s="4">
        <v>1.5</v>
      </c>
      <c r="I21" s="4">
        <v>2.5</v>
      </c>
      <c r="J21" s="4">
        <v>0.5</v>
      </c>
      <c r="K21" s="4" t="s">
        <v>446</v>
      </c>
      <c r="L21" s="4">
        <v>30</v>
      </c>
      <c r="M21" s="4">
        <f t="shared" si="0"/>
        <v>14</v>
      </c>
      <c r="N21" s="4">
        <f t="shared" si="1"/>
        <v>46.666666666666664</v>
      </c>
      <c r="O21" s="4">
        <v>40</v>
      </c>
      <c r="P21" s="4"/>
    </row>
    <row r="22" spans="1:16" ht="27" customHeight="1" x14ac:dyDescent="0.25">
      <c r="A22" s="6">
        <v>15</v>
      </c>
      <c r="B22" s="41" t="s">
        <v>468</v>
      </c>
      <c r="C22" s="19" t="s">
        <v>469</v>
      </c>
      <c r="D22" s="6" t="s">
        <v>449</v>
      </c>
      <c r="E22" s="4">
        <v>4</v>
      </c>
      <c r="F22" s="4">
        <v>5</v>
      </c>
      <c r="G22" s="4">
        <v>5</v>
      </c>
      <c r="H22" s="4">
        <v>4.5</v>
      </c>
      <c r="I22" s="4">
        <v>5</v>
      </c>
      <c r="J22" s="4">
        <v>2</v>
      </c>
      <c r="K22" s="4" t="s">
        <v>445</v>
      </c>
      <c r="L22" s="4">
        <v>30</v>
      </c>
      <c r="M22" s="4">
        <f t="shared" si="0"/>
        <v>25.5</v>
      </c>
      <c r="N22" s="4">
        <f t="shared" si="1"/>
        <v>85</v>
      </c>
      <c r="O22" s="4">
        <v>39</v>
      </c>
      <c r="P22" s="4"/>
    </row>
    <row r="23" spans="1:16" ht="27" customHeight="1" x14ac:dyDescent="0.25">
      <c r="A23" s="6">
        <v>16</v>
      </c>
      <c r="B23" s="41" t="s">
        <v>96</v>
      </c>
      <c r="C23" s="19" t="s">
        <v>84</v>
      </c>
      <c r="D23" s="6" t="s">
        <v>449</v>
      </c>
      <c r="E23" s="4">
        <v>0</v>
      </c>
      <c r="F23" s="4">
        <v>0</v>
      </c>
      <c r="G23" s="4">
        <v>2</v>
      </c>
      <c r="H23" s="4">
        <v>0</v>
      </c>
      <c r="I23" s="4">
        <v>2</v>
      </c>
      <c r="J23" s="4">
        <v>0</v>
      </c>
      <c r="K23" s="4" t="s">
        <v>445</v>
      </c>
      <c r="L23" s="4">
        <v>30</v>
      </c>
      <c r="M23" s="4">
        <f t="shared" si="0"/>
        <v>4</v>
      </c>
      <c r="N23" s="4">
        <f t="shared" si="1"/>
        <v>13.333333333333334</v>
      </c>
      <c r="O23" s="4">
        <v>20</v>
      </c>
      <c r="P23" s="4"/>
    </row>
    <row r="24" spans="1:16" ht="27" customHeight="1" x14ac:dyDescent="0.25">
      <c r="A24" s="6">
        <v>17</v>
      </c>
      <c r="B24" s="41" t="s">
        <v>470</v>
      </c>
      <c r="C24" s="19" t="s">
        <v>471</v>
      </c>
      <c r="D24" s="6" t="s">
        <v>449</v>
      </c>
      <c r="E24" s="4" t="s">
        <v>147</v>
      </c>
      <c r="F24" s="4" t="s">
        <v>147</v>
      </c>
      <c r="G24" s="4" t="s">
        <v>147</v>
      </c>
      <c r="H24" s="4" t="s">
        <v>147</v>
      </c>
      <c r="I24" s="4" t="s">
        <v>147</v>
      </c>
      <c r="J24" s="4" t="s">
        <v>147</v>
      </c>
      <c r="K24" s="4" t="s">
        <v>147</v>
      </c>
      <c r="L24" s="4">
        <v>30</v>
      </c>
      <c r="M24" s="4">
        <f t="shared" si="0"/>
        <v>0</v>
      </c>
      <c r="N24" s="4">
        <f t="shared" si="1"/>
        <v>0</v>
      </c>
      <c r="O24" s="4" t="s">
        <v>147</v>
      </c>
      <c r="P24" s="4"/>
    </row>
    <row r="25" spans="1:16" ht="27" customHeight="1" x14ac:dyDescent="0.25">
      <c r="A25" s="6">
        <v>18</v>
      </c>
      <c r="B25" s="41" t="s">
        <v>472</v>
      </c>
      <c r="C25" s="19" t="s">
        <v>386</v>
      </c>
      <c r="D25" s="6" t="s">
        <v>449</v>
      </c>
      <c r="E25" s="4">
        <v>0</v>
      </c>
      <c r="F25" s="4">
        <v>3.5</v>
      </c>
      <c r="G25" s="4">
        <v>3.5</v>
      </c>
      <c r="H25" s="4">
        <v>1</v>
      </c>
      <c r="I25" s="4">
        <v>2.5</v>
      </c>
      <c r="J25" s="4">
        <v>0</v>
      </c>
      <c r="K25" s="4" t="s">
        <v>445</v>
      </c>
      <c r="L25" s="4">
        <v>30</v>
      </c>
      <c r="M25" s="4">
        <f t="shared" si="0"/>
        <v>10.5</v>
      </c>
      <c r="N25" s="4">
        <f t="shared" si="1"/>
        <v>35</v>
      </c>
      <c r="O25" s="4">
        <v>37</v>
      </c>
      <c r="P25" s="4"/>
    </row>
    <row r="26" spans="1:16" ht="27" customHeight="1" x14ac:dyDescent="0.25">
      <c r="A26" s="6">
        <v>19</v>
      </c>
      <c r="B26" s="41" t="s">
        <v>473</v>
      </c>
      <c r="C26" s="19" t="s">
        <v>474</v>
      </c>
      <c r="D26" s="6" t="s">
        <v>449</v>
      </c>
      <c r="E26" s="4">
        <v>0</v>
      </c>
      <c r="F26" s="4">
        <v>4</v>
      </c>
      <c r="G26" s="4">
        <v>4.5</v>
      </c>
      <c r="H26" s="4">
        <v>2</v>
      </c>
      <c r="I26" s="4">
        <v>3</v>
      </c>
      <c r="J26" s="4">
        <v>0.5</v>
      </c>
      <c r="K26" s="4" t="s">
        <v>446</v>
      </c>
      <c r="L26" s="4">
        <v>30</v>
      </c>
      <c r="M26" s="4">
        <f t="shared" si="0"/>
        <v>14</v>
      </c>
      <c r="N26" s="4">
        <f t="shared" si="1"/>
        <v>46.666666666666664</v>
      </c>
      <c r="O26" s="4">
        <v>29</v>
      </c>
      <c r="P26" s="4"/>
    </row>
    <row r="27" spans="1:16" ht="27" customHeight="1" x14ac:dyDescent="0.25">
      <c r="A27" s="6">
        <v>20</v>
      </c>
      <c r="B27" s="41" t="s">
        <v>475</v>
      </c>
      <c r="C27" s="19" t="s">
        <v>40</v>
      </c>
      <c r="D27" s="6" t="s">
        <v>449</v>
      </c>
      <c r="E27" s="4">
        <v>0</v>
      </c>
      <c r="F27" s="4">
        <v>1.5</v>
      </c>
      <c r="G27" s="4">
        <v>2</v>
      </c>
      <c r="H27" s="4">
        <v>2</v>
      </c>
      <c r="I27" s="4">
        <v>2.5</v>
      </c>
      <c r="J27" s="4">
        <v>0</v>
      </c>
      <c r="K27" s="4" t="s">
        <v>446</v>
      </c>
      <c r="L27" s="4">
        <v>30</v>
      </c>
      <c r="M27" s="4">
        <f t="shared" si="0"/>
        <v>8</v>
      </c>
      <c r="N27" s="4">
        <f t="shared" si="1"/>
        <v>26.666666666666668</v>
      </c>
      <c r="O27" s="4">
        <v>39</v>
      </c>
      <c r="P27" s="4"/>
    </row>
    <row r="28" spans="1:16" ht="27" customHeight="1" x14ac:dyDescent="0.25">
      <c r="A28" s="6">
        <v>21</v>
      </c>
      <c r="B28" s="41" t="s">
        <v>476</v>
      </c>
      <c r="C28" s="19" t="s">
        <v>411</v>
      </c>
      <c r="D28" s="6" t="s">
        <v>449</v>
      </c>
      <c r="E28" s="4">
        <v>2.5</v>
      </c>
      <c r="F28" s="4">
        <v>5</v>
      </c>
      <c r="G28" s="4">
        <v>4.5</v>
      </c>
      <c r="H28" s="4">
        <v>3.5</v>
      </c>
      <c r="I28" s="4">
        <v>3.5</v>
      </c>
      <c r="J28" s="4">
        <v>1.5</v>
      </c>
      <c r="K28" s="4" t="s">
        <v>445</v>
      </c>
      <c r="L28" s="4">
        <v>30</v>
      </c>
      <c r="M28" s="4">
        <f t="shared" si="0"/>
        <v>20.5</v>
      </c>
      <c r="N28" s="4">
        <f t="shared" si="1"/>
        <v>68.333333333333329</v>
      </c>
      <c r="O28" s="4">
        <v>41</v>
      </c>
      <c r="P28" s="4"/>
    </row>
    <row r="29" spans="1:16" ht="27" customHeight="1" x14ac:dyDescent="0.25">
      <c r="A29" s="6">
        <v>22</v>
      </c>
      <c r="B29" s="41" t="s">
        <v>477</v>
      </c>
      <c r="C29" s="19" t="s">
        <v>353</v>
      </c>
      <c r="D29" s="6" t="s">
        <v>449</v>
      </c>
      <c r="E29" s="4">
        <v>0</v>
      </c>
      <c r="F29" s="4">
        <v>3.5</v>
      </c>
      <c r="G29" s="4">
        <v>2.5</v>
      </c>
      <c r="H29" s="4">
        <v>2</v>
      </c>
      <c r="I29" s="4">
        <v>3.5</v>
      </c>
      <c r="J29" s="4">
        <v>0</v>
      </c>
      <c r="K29" s="4" t="s">
        <v>446</v>
      </c>
      <c r="L29" s="4">
        <v>30</v>
      </c>
      <c r="M29" s="4">
        <f t="shared" si="0"/>
        <v>11.5</v>
      </c>
      <c r="N29" s="4">
        <f t="shared" si="1"/>
        <v>38.333333333333336</v>
      </c>
      <c r="O29" s="4">
        <v>35</v>
      </c>
      <c r="P29" s="4"/>
    </row>
    <row r="30" spans="1:16" ht="27" customHeight="1" x14ac:dyDescent="0.25">
      <c r="A30" s="6">
        <v>23</v>
      </c>
      <c r="B30" s="41" t="s">
        <v>335</v>
      </c>
      <c r="C30" s="19" t="s">
        <v>353</v>
      </c>
      <c r="D30" s="6" t="s">
        <v>449</v>
      </c>
      <c r="E30" s="4">
        <v>0</v>
      </c>
      <c r="F30" s="4">
        <v>3.5</v>
      </c>
      <c r="G30" s="4">
        <v>3.5</v>
      </c>
      <c r="H30" s="4">
        <v>2.5</v>
      </c>
      <c r="I30" s="4">
        <v>3.5</v>
      </c>
      <c r="J30" s="4">
        <v>0</v>
      </c>
      <c r="K30" s="4" t="s">
        <v>446</v>
      </c>
      <c r="L30" s="4">
        <v>30</v>
      </c>
      <c r="M30" s="4">
        <f t="shared" si="0"/>
        <v>13</v>
      </c>
      <c r="N30" s="4">
        <f t="shared" si="1"/>
        <v>43.333333333333336</v>
      </c>
      <c r="O30" s="4">
        <v>43</v>
      </c>
      <c r="P30" s="4"/>
    </row>
    <row r="31" spans="1:16" ht="27" customHeight="1" x14ac:dyDescent="0.25">
      <c r="A31" s="6">
        <v>24</v>
      </c>
      <c r="B31" s="41" t="s">
        <v>478</v>
      </c>
      <c r="C31" s="19" t="s">
        <v>479</v>
      </c>
      <c r="D31" s="6" t="s">
        <v>449</v>
      </c>
      <c r="E31" s="4">
        <v>0</v>
      </c>
      <c r="F31" s="4">
        <v>0</v>
      </c>
      <c r="G31" s="4">
        <v>0</v>
      </c>
      <c r="H31" s="4">
        <v>0</v>
      </c>
      <c r="I31" s="4">
        <v>4.5</v>
      </c>
      <c r="J31" s="4">
        <v>0</v>
      </c>
      <c r="K31" s="4" t="s">
        <v>445</v>
      </c>
      <c r="L31" s="4">
        <v>30</v>
      </c>
      <c r="M31" s="4">
        <f t="shared" si="0"/>
        <v>4.5</v>
      </c>
      <c r="N31" s="4">
        <f t="shared" si="1"/>
        <v>15</v>
      </c>
      <c r="O31" s="4">
        <v>30</v>
      </c>
      <c r="P31" s="4"/>
    </row>
    <row r="32" spans="1:16" ht="27" customHeight="1" x14ac:dyDescent="0.25">
      <c r="A32" s="6">
        <v>25</v>
      </c>
      <c r="B32" s="41" t="s">
        <v>480</v>
      </c>
      <c r="C32" s="19" t="s">
        <v>437</v>
      </c>
      <c r="D32" s="6" t="s">
        <v>449</v>
      </c>
      <c r="E32" s="4">
        <v>0.5</v>
      </c>
      <c r="F32" s="4">
        <v>0</v>
      </c>
      <c r="G32" s="4">
        <v>1</v>
      </c>
      <c r="H32" s="4">
        <v>0.5</v>
      </c>
      <c r="I32" s="4">
        <v>4</v>
      </c>
      <c r="J32" s="4">
        <v>0</v>
      </c>
      <c r="K32" s="4" t="s">
        <v>445</v>
      </c>
      <c r="L32" s="4">
        <v>30</v>
      </c>
      <c r="M32" s="4">
        <f t="shared" si="0"/>
        <v>6</v>
      </c>
      <c r="N32" s="4">
        <f t="shared" si="1"/>
        <v>20</v>
      </c>
      <c r="O32" s="4">
        <v>29</v>
      </c>
      <c r="P32" s="4"/>
    </row>
    <row r="33" spans="1:16" ht="27" customHeight="1" x14ac:dyDescent="0.25">
      <c r="A33" s="6">
        <v>26</v>
      </c>
      <c r="B33" s="41" t="s">
        <v>481</v>
      </c>
      <c r="C33" s="19" t="s">
        <v>482</v>
      </c>
      <c r="D33" s="6" t="s">
        <v>449</v>
      </c>
      <c r="E33" s="4">
        <v>0</v>
      </c>
      <c r="F33" s="4">
        <v>4</v>
      </c>
      <c r="G33" s="4">
        <v>3.5</v>
      </c>
      <c r="H33" s="4">
        <v>0.5</v>
      </c>
      <c r="I33" s="4">
        <v>3</v>
      </c>
      <c r="J33" s="4">
        <v>0.5</v>
      </c>
      <c r="K33" s="4" t="s">
        <v>445</v>
      </c>
      <c r="L33" s="4">
        <v>30</v>
      </c>
      <c r="M33" s="4">
        <f t="shared" si="0"/>
        <v>11.5</v>
      </c>
      <c r="N33" s="4">
        <f t="shared" si="1"/>
        <v>38.333333333333336</v>
      </c>
      <c r="O33" s="4">
        <v>12</v>
      </c>
      <c r="P33" s="4"/>
    </row>
    <row r="34" spans="1:16" ht="27" customHeight="1" x14ac:dyDescent="0.25">
      <c r="A34" s="6">
        <v>27</v>
      </c>
      <c r="B34" s="41" t="s">
        <v>483</v>
      </c>
      <c r="C34" s="19" t="s">
        <v>484</v>
      </c>
      <c r="D34" s="6" t="s">
        <v>449</v>
      </c>
      <c r="E34" s="4">
        <v>2.5</v>
      </c>
      <c r="F34" s="4">
        <v>4.5</v>
      </c>
      <c r="G34" s="4">
        <v>2</v>
      </c>
      <c r="H34" s="4">
        <v>2.5</v>
      </c>
      <c r="I34" s="4">
        <v>3</v>
      </c>
      <c r="J34" s="4">
        <v>0</v>
      </c>
      <c r="K34" s="4" t="s">
        <v>445</v>
      </c>
      <c r="L34" s="4">
        <v>30</v>
      </c>
      <c r="M34" s="4">
        <f t="shared" si="0"/>
        <v>14.5</v>
      </c>
      <c r="N34" s="4">
        <f t="shared" si="1"/>
        <v>48.333333333333336</v>
      </c>
      <c r="O34" s="4">
        <v>32</v>
      </c>
      <c r="P34" s="4"/>
    </row>
    <row r="35" spans="1:16" ht="27" customHeight="1" x14ac:dyDescent="0.25">
      <c r="A35" s="6">
        <v>28</v>
      </c>
      <c r="B35" s="41" t="s">
        <v>485</v>
      </c>
      <c r="C35" s="19" t="s">
        <v>484</v>
      </c>
      <c r="D35" s="6" t="s">
        <v>449</v>
      </c>
      <c r="E35" s="4">
        <v>0</v>
      </c>
      <c r="F35" s="4">
        <v>3.5</v>
      </c>
      <c r="G35" s="4">
        <v>1.5</v>
      </c>
      <c r="H35" s="4">
        <v>1</v>
      </c>
      <c r="I35" s="4">
        <v>3.5</v>
      </c>
      <c r="J35" s="4">
        <v>0</v>
      </c>
      <c r="K35" s="4" t="s">
        <v>445</v>
      </c>
      <c r="L35" s="4">
        <v>30</v>
      </c>
      <c r="M35" s="4">
        <f t="shared" si="0"/>
        <v>9.5</v>
      </c>
      <c r="N35" s="4">
        <f t="shared" si="1"/>
        <v>31.666666666666664</v>
      </c>
      <c r="O35" s="4">
        <v>34</v>
      </c>
      <c r="P35" s="4"/>
    </row>
    <row r="36" spans="1:16" s="43" customFormat="1" ht="27" customHeight="1" x14ac:dyDescent="0.25">
      <c r="A36" s="6">
        <v>29</v>
      </c>
      <c r="B36" s="41" t="s">
        <v>486</v>
      </c>
      <c r="C36" s="17" t="s">
        <v>487</v>
      </c>
      <c r="D36" s="6" t="s">
        <v>449</v>
      </c>
      <c r="E36" s="4">
        <v>0</v>
      </c>
      <c r="F36" s="4">
        <v>1.5</v>
      </c>
      <c r="G36" s="4">
        <v>2.5</v>
      </c>
      <c r="H36" s="4">
        <v>0</v>
      </c>
      <c r="I36" s="4">
        <v>2</v>
      </c>
      <c r="J36" s="4">
        <v>0</v>
      </c>
      <c r="K36" s="4" t="s">
        <v>446</v>
      </c>
      <c r="L36" s="4">
        <v>30</v>
      </c>
      <c r="M36" s="4">
        <f t="shared" si="0"/>
        <v>6</v>
      </c>
      <c r="N36" s="4">
        <f t="shared" si="1"/>
        <v>20</v>
      </c>
      <c r="O36" s="4">
        <v>14</v>
      </c>
      <c r="P36" s="4"/>
    </row>
    <row r="37" spans="1:16" ht="27" customHeight="1" x14ac:dyDescent="0.35">
      <c r="A37" s="36" t="s">
        <v>182</v>
      </c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</row>
    <row r="38" spans="1:16" ht="27" customHeight="1" x14ac:dyDescent="0.25">
      <c r="A38" s="6">
        <v>30</v>
      </c>
      <c r="B38" s="41" t="s">
        <v>488</v>
      </c>
      <c r="C38" s="19" t="s">
        <v>489</v>
      </c>
      <c r="D38" s="6" t="s">
        <v>449</v>
      </c>
      <c r="E38" s="4">
        <v>0</v>
      </c>
      <c r="F38" s="4">
        <v>3.5</v>
      </c>
      <c r="G38" s="4">
        <v>1.5</v>
      </c>
      <c r="H38" s="4">
        <v>1.5</v>
      </c>
      <c r="I38" s="4">
        <v>3.5</v>
      </c>
      <c r="J38" s="4">
        <v>0</v>
      </c>
      <c r="K38" s="4" t="s">
        <v>445</v>
      </c>
      <c r="L38" s="4">
        <v>30</v>
      </c>
      <c r="M38" s="4">
        <f t="shared" si="0"/>
        <v>10</v>
      </c>
      <c r="N38" s="4">
        <f t="shared" si="1"/>
        <v>33.333333333333329</v>
      </c>
      <c r="O38" s="4">
        <v>37</v>
      </c>
      <c r="P38" s="4"/>
    </row>
    <row r="39" spans="1:16" ht="27" customHeight="1" x14ac:dyDescent="0.25">
      <c r="A39" s="6">
        <v>31</v>
      </c>
      <c r="B39" s="41" t="s">
        <v>490</v>
      </c>
      <c r="C39" s="19" t="s">
        <v>491</v>
      </c>
      <c r="D39" s="6" t="s">
        <v>449</v>
      </c>
      <c r="E39" s="4">
        <v>5</v>
      </c>
      <c r="F39" s="4">
        <v>4.5</v>
      </c>
      <c r="G39" s="4">
        <v>5</v>
      </c>
      <c r="H39" s="4">
        <v>4.5</v>
      </c>
      <c r="I39" s="4">
        <v>4.5</v>
      </c>
      <c r="J39" s="4">
        <v>4.5</v>
      </c>
      <c r="K39" s="4" t="s">
        <v>445</v>
      </c>
      <c r="L39" s="4">
        <v>30</v>
      </c>
      <c r="M39" s="4">
        <f t="shared" si="0"/>
        <v>28</v>
      </c>
      <c r="N39" s="4">
        <f t="shared" si="1"/>
        <v>93.333333333333329</v>
      </c>
      <c r="O39" s="4">
        <v>40</v>
      </c>
      <c r="P39" s="4"/>
    </row>
    <row r="40" spans="1:16" ht="27" customHeight="1" x14ac:dyDescent="0.25">
      <c r="A40" s="6">
        <v>32</v>
      </c>
      <c r="B40" s="41" t="s">
        <v>492</v>
      </c>
      <c r="C40" s="19" t="s">
        <v>493</v>
      </c>
      <c r="D40" s="6" t="s">
        <v>449</v>
      </c>
      <c r="E40" s="4">
        <v>1.5</v>
      </c>
      <c r="F40" s="4">
        <v>4.5</v>
      </c>
      <c r="G40" s="4">
        <v>5</v>
      </c>
      <c r="H40" s="4">
        <v>3.5</v>
      </c>
      <c r="I40" s="4">
        <v>4.5</v>
      </c>
      <c r="J40" s="4">
        <v>3.5</v>
      </c>
      <c r="K40" s="4" t="s">
        <v>445</v>
      </c>
      <c r="L40" s="4">
        <v>30</v>
      </c>
      <c r="M40" s="4">
        <f t="shared" si="0"/>
        <v>22.5</v>
      </c>
      <c r="N40" s="4">
        <f t="shared" si="1"/>
        <v>75</v>
      </c>
      <c r="O40" s="4">
        <v>39</v>
      </c>
      <c r="P40" s="4"/>
    </row>
    <row r="41" spans="1:16" ht="27" customHeight="1" x14ac:dyDescent="0.25">
      <c r="A41" s="6">
        <v>33</v>
      </c>
      <c r="B41" s="41" t="s">
        <v>90</v>
      </c>
      <c r="C41" s="19" t="s">
        <v>494</v>
      </c>
      <c r="D41" s="6" t="s">
        <v>449</v>
      </c>
      <c r="E41" s="4">
        <v>2</v>
      </c>
      <c r="F41" s="4">
        <v>4</v>
      </c>
      <c r="G41" s="4">
        <v>4</v>
      </c>
      <c r="H41" s="4">
        <v>4</v>
      </c>
      <c r="I41" s="4">
        <v>4.5</v>
      </c>
      <c r="J41" s="4">
        <v>2.5</v>
      </c>
      <c r="K41" s="4" t="s">
        <v>445</v>
      </c>
      <c r="L41" s="4">
        <v>30</v>
      </c>
      <c r="M41" s="4">
        <f t="shared" si="0"/>
        <v>21</v>
      </c>
      <c r="N41" s="4">
        <f t="shared" si="1"/>
        <v>70</v>
      </c>
      <c r="O41" s="4">
        <v>37</v>
      </c>
      <c r="P41" s="4"/>
    </row>
    <row r="42" spans="1:16" ht="27" customHeight="1" x14ac:dyDescent="0.25">
      <c r="A42" s="6">
        <v>34</v>
      </c>
      <c r="B42" s="41" t="s">
        <v>495</v>
      </c>
      <c r="C42" s="19" t="s">
        <v>496</v>
      </c>
      <c r="D42" s="6" t="s">
        <v>449</v>
      </c>
      <c r="E42" s="4">
        <v>0</v>
      </c>
      <c r="F42" s="4">
        <v>4.5</v>
      </c>
      <c r="G42" s="4">
        <v>2.5</v>
      </c>
      <c r="H42" s="4">
        <v>4</v>
      </c>
      <c r="I42" s="4">
        <v>3.5</v>
      </c>
      <c r="J42" s="4">
        <v>1.5</v>
      </c>
      <c r="K42" s="4" t="s">
        <v>446</v>
      </c>
      <c r="L42" s="4">
        <v>30</v>
      </c>
      <c r="M42" s="4">
        <f t="shared" si="0"/>
        <v>16</v>
      </c>
      <c r="N42" s="4">
        <f t="shared" si="1"/>
        <v>53.333333333333336</v>
      </c>
      <c r="O42" s="4">
        <v>37</v>
      </c>
      <c r="P42" s="4"/>
    </row>
    <row r="43" spans="1:16" ht="27" customHeight="1" x14ac:dyDescent="0.25">
      <c r="A43" s="6">
        <v>35</v>
      </c>
      <c r="B43" s="41" t="s">
        <v>497</v>
      </c>
      <c r="C43" s="19" t="s">
        <v>498</v>
      </c>
      <c r="D43" s="6" t="s">
        <v>449</v>
      </c>
      <c r="E43" s="4">
        <v>0</v>
      </c>
      <c r="F43" s="4">
        <v>4.5</v>
      </c>
      <c r="G43" s="4">
        <v>2.5</v>
      </c>
      <c r="H43" s="4">
        <v>2</v>
      </c>
      <c r="I43" s="4">
        <v>3</v>
      </c>
      <c r="J43" s="4">
        <v>0</v>
      </c>
      <c r="K43" s="4" t="s">
        <v>445</v>
      </c>
      <c r="L43" s="4">
        <v>30</v>
      </c>
      <c r="M43" s="4">
        <f t="shared" si="0"/>
        <v>12</v>
      </c>
      <c r="N43" s="4">
        <f t="shared" si="1"/>
        <v>40</v>
      </c>
      <c r="O43" s="4">
        <v>37</v>
      </c>
      <c r="P43" s="4"/>
    </row>
    <row r="44" spans="1:16" ht="27" customHeight="1" x14ac:dyDescent="0.25">
      <c r="A44" s="6">
        <v>36</v>
      </c>
      <c r="B44" s="41" t="s">
        <v>499</v>
      </c>
      <c r="C44" s="19" t="s">
        <v>302</v>
      </c>
      <c r="D44" s="6" t="s">
        <v>449</v>
      </c>
      <c r="E44" s="4">
        <v>0</v>
      </c>
      <c r="F44" s="4">
        <v>4</v>
      </c>
      <c r="G44" s="4">
        <v>1.5</v>
      </c>
      <c r="H44" s="4">
        <v>0.5</v>
      </c>
      <c r="I44" s="4">
        <v>1.5</v>
      </c>
      <c r="J44" s="4">
        <v>0</v>
      </c>
      <c r="K44" s="4" t="s">
        <v>445</v>
      </c>
      <c r="L44" s="4">
        <v>30</v>
      </c>
      <c r="M44" s="4">
        <f t="shared" si="0"/>
        <v>7.5</v>
      </c>
      <c r="N44" s="4">
        <f t="shared" si="1"/>
        <v>25</v>
      </c>
      <c r="O44" s="4">
        <v>41</v>
      </c>
      <c r="P44" s="4"/>
    </row>
    <row r="45" spans="1:16" ht="27" customHeight="1" x14ac:dyDescent="0.25">
      <c r="A45" s="6">
        <v>37</v>
      </c>
      <c r="B45" s="41" t="s">
        <v>500</v>
      </c>
      <c r="C45" s="19" t="s">
        <v>501</v>
      </c>
      <c r="D45" s="6" t="s">
        <v>449</v>
      </c>
      <c r="E45" s="4" t="s">
        <v>147</v>
      </c>
      <c r="F45" s="4" t="s">
        <v>147</v>
      </c>
      <c r="G45" s="4" t="s">
        <v>147</v>
      </c>
      <c r="H45" s="4" t="s">
        <v>147</v>
      </c>
      <c r="I45" s="4" t="s">
        <v>147</v>
      </c>
      <c r="J45" s="4" t="s">
        <v>147</v>
      </c>
      <c r="K45" s="4" t="s">
        <v>147</v>
      </c>
      <c r="L45" s="4">
        <v>30</v>
      </c>
      <c r="M45" s="4">
        <f t="shared" si="0"/>
        <v>0</v>
      </c>
      <c r="N45" s="4">
        <f t="shared" si="1"/>
        <v>0</v>
      </c>
      <c r="O45" s="4">
        <v>39</v>
      </c>
      <c r="P45" s="4"/>
    </row>
    <row r="46" spans="1:16" ht="27" customHeight="1" x14ac:dyDescent="0.25">
      <c r="A46" s="6">
        <v>38</v>
      </c>
      <c r="B46" s="41" t="s">
        <v>157</v>
      </c>
      <c r="C46" s="19" t="s">
        <v>400</v>
      </c>
      <c r="D46" s="6" t="s">
        <v>449</v>
      </c>
      <c r="E46" s="4">
        <v>1</v>
      </c>
      <c r="F46" s="4">
        <v>4.5</v>
      </c>
      <c r="G46" s="4">
        <v>2</v>
      </c>
      <c r="H46" s="4">
        <v>3</v>
      </c>
      <c r="I46" s="4">
        <v>3.5</v>
      </c>
      <c r="J46" s="4">
        <v>0</v>
      </c>
      <c r="K46" s="4" t="s">
        <v>445</v>
      </c>
      <c r="L46" s="4">
        <v>30</v>
      </c>
      <c r="M46" s="4">
        <f t="shared" si="0"/>
        <v>14</v>
      </c>
      <c r="N46" s="4">
        <f t="shared" si="1"/>
        <v>46.666666666666664</v>
      </c>
      <c r="O46" s="4">
        <v>39</v>
      </c>
      <c r="P46" s="4"/>
    </row>
    <row r="47" spans="1:16" ht="27" customHeight="1" x14ac:dyDescent="0.25">
      <c r="A47" s="6">
        <v>39</v>
      </c>
      <c r="B47" s="41" t="s">
        <v>157</v>
      </c>
      <c r="C47" s="19" t="s">
        <v>502</v>
      </c>
      <c r="D47" s="6" t="s">
        <v>449</v>
      </c>
      <c r="E47" s="4">
        <v>0</v>
      </c>
      <c r="F47" s="4">
        <v>0</v>
      </c>
      <c r="G47" s="4">
        <v>1</v>
      </c>
      <c r="H47" s="4">
        <v>0</v>
      </c>
      <c r="I47" s="4">
        <v>0</v>
      </c>
      <c r="J47" s="4">
        <v>0</v>
      </c>
      <c r="K47" s="4" t="s">
        <v>446</v>
      </c>
      <c r="L47" s="4">
        <v>30</v>
      </c>
      <c r="M47" s="4">
        <f t="shared" si="0"/>
        <v>1</v>
      </c>
      <c r="N47" s="4">
        <f t="shared" si="1"/>
        <v>3.3333333333333335</v>
      </c>
      <c r="O47" s="4">
        <v>30</v>
      </c>
      <c r="P47" s="4"/>
    </row>
    <row r="48" spans="1:16" ht="27" customHeight="1" x14ac:dyDescent="0.25">
      <c r="A48" s="6">
        <v>40</v>
      </c>
      <c r="B48" s="41" t="s">
        <v>503</v>
      </c>
      <c r="C48" s="19" t="s">
        <v>388</v>
      </c>
      <c r="D48" s="6" t="s">
        <v>449</v>
      </c>
      <c r="E48" s="4" t="s">
        <v>147</v>
      </c>
      <c r="F48" s="4" t="s">
        <v>147</v>
      </c>
      <c r="G48" s="4" t="s">
        <v>147</v>
      </c>
      <c r="H48" s="4" t="s">
        <v>147</v>
      </c>
      <c r="I48" s="4" t="s">
        <v>147</v>
      </c>
      <c r="J48" s="4" t="s">
        <v>147</v>
      </c>
      <c r="K48" s="4" t="s">
        <v>147</v>
      </c>
      <c r="L48" s="4">
        <v>30</v>
      </c>
      <c r="M48" s="4">
        <f t="shared" si="0"/>
        <v>0</v>
      </c>
      <c r="N48" s="4">
        <f t="shared" si="1"/>
        <v>0</v>
      </c>
      <c r="O48" s="4">
        <v>37</v>
      </c>
      <c r="P48" s="4"/>
    </row>
    <row r="49" spans="1:16" ht="27" customHeight="1" x14ac:dyDescent="0.25">
      <c r="A49" s="6">
        <v>41</v>
      </c>
      <c r="B49" s="41" t="s">
        <v>504</v>
      </c>
      <c r="C49" s="19" t="s">
        <v>219</v>
      </c>
      <c r="D49" s="6" t="s">
        <v>449</v>
      </c>
      <c r="E49" s="4">
        <v>3</v>
      </c>
      <c r="F49" s="4">
        <v>4.5</v>
      </c>
      <c r="G49" s="4">
        <v>3.5</v>
      </c>
      <c r="H49" s="4">
        <v>3.5</v>
      </c>
      <c r="I49" s="4">
        <v>3.5</v>
      </c>
      <c r="J49" s="4">
        <v>0.5</v>
      </c>
      <c r="K49" s="4" t="s">
        <v>445</v>
      </c>
      <c r="L49" s="4">
        <v>30</v>
      </c>
      <c r="M49" s="4">
        <f t="shared" si="0"/>
        <v>18.5</v>
      </c>
      <c r="N49" s="4">
        <f t="shared" si="1"/>
        <v>61.666666666666671</v>
      </c>
      <c r="O49" s="4">
        <v>37</v>
      </c>
      <c r="P49" s="4"/>
    </row>
    <row r="50" spans="1:16" ht="27" customHeight="1" x14ac:dyDescent="0.25">
      <c r="A50" s="6">
        <v>42</v>
      </c>
      <c r="B50" s="41" t="s">
        <v>505</v>
      </c>
      <c r="C50" s="19" t="s">
        <v>506</v>
      </c>
      <c r="D50" s="6" t="s">
        <v>449</v>
      </c>
      <c r="E50" s="4">
        <v>0</v>
      </c>
      <c r="F50" s="4">
        <v>1.5</v>
      </c>
      <c r="G50" s="4">
        <v>2.5</v>
      </c>
      <c r="H50" s="4">
        <v>3.5</v>
      </c>
      <c r="I50" s="4">
        <v>3.5</v>
      </c>
      <c r="J50" s="4">
        <v>1.5</v>
      </c>
      <c r="K50" s="4" t="s">
        <v>446</v>
      </c>
      <c r="L50" s="4">
        <v>30</v>
      </c>
      <c r="M50" s="4">
        <f t="shared" si="0"/>
        <v>12.5</v>
      </c>
      <c r="N50" s="4">
        <f t="shared" si="1"/>
        <v>41.666666666666671</v>
      </c>
      <c r="O50" s="4">
        <v>22</v>
      </c>
      <c r="P50" s="4"/>
    </row>
    <row r="51" spans="1:16" ht="27" customHeight="1" x14ac:dyDescent="0.25">
      <c r="A51" s="6">
        <v>43</v>
      </c>
      <c r="B51" s="41" t="s">
        <v>507</v>
      </c>
      <c r="C51" s="19" t="s">
        <v>196</v>
      </c>
      <c r="D51" s="6" t="s">
        <v>449</v>
      </c>
      <c r="E51" s="8">
        <v>0</v>
      </c>
      <c r="F51" s="8">
        <v>2</v>
      </c>
      <c r="G51" s="8">
        <v>1</v>
      </c>
      <c r="H51" s="8">
        <v>3</v>
      </c>
      <c r="I51" s="8">
        <v>2</v>
      </c>
      <c r="J51" s="8">
        <v>0</v>
      </c>
      <c r="K51" s="8" t="s">
        <v>446</v>
      </c>
      <c r="L51" s="4">
        <v>30</v>
      </c>
      <c r="M51" s="4">
        <f t="shared" si="0"/>
        <v>8</v>
      </c>
      <c r="N51" s="4">
        <f t="shared" si="1"/>
        <v>26.666666666666668</v>
      </c>
      <c r="O51" s="4">
        <v>38</v>
      </c>
      <c r="P51" s="4"/>
    </row>
    <row r="52" spans="1:16" ht="27" customHeight="1" x14ac:dyDescent="0.25">
      <c r="A52" s="6">
        <v>44</v>
      </c>
      <c r="B52" s="41" t="s">
        <v>508</v>
      </c>
      <c r="C52" s="19" t="s">
        <v>509</v>
      </c>
      <c r="D52" s="6" t="s">
        <v>449</v>
      </c>
      <c r="E52" s="8">
        <v>0</v>
      </c>
      <c r="F52" s="8">
        <v>2.5</v>
      </c>
      <c r="G52" s="8">
        <v>3.5</v>
      </c>
      <c r="H52" s="8">
        <v>1.5</v>
      </c>
      <c r="I52" s="8">
        <v>4.5</v>
      </c>
      <c r="J52" s="8">
        <v>0</v>
      </c>
      <c r="K52" s="8" t="s">
        <v>445</v>
      </c>
      <c r="L52" s="4">
        <v>30</v>
      </c>
      <c r="M52" s="4">
        <f t="shared" si="0"/>
        <v>12</v>
      </c>
      <c r="N52" s="4">
        <f t="shared" si="1"/>
        <v>40</v>
      </c>
      <c r="O52" s="4">
        <v>39</v>
      </c>
      <c r="P52" s="4"/>
    </row>
    <row r="53" spans="1:16" ht="27" customHeight="1" x14ac:dyDescent="0.25">
      <c r="A53" s="6">
        <v>45</v>
      </c>
      <c r="B53" s="41" t="s">
        <v>510</v>
      </c>
      <c r="C53" s="19" t="s">
        <v>511</v>
      </c>
      <c r="D53" s="6" t="s">
        <v>449</v>
      </c>
      <c r="E53" s="8">
        <v>0</v>
      </c>
      <c r="F53" s="8">
        <v>2.5</v>
      </c>
      <c r="G53" s="8">
        <v>3.5</v>
      </c>
      <c r="H53" s="8">
        <v>0.5</v>
      </c>
      <c r="I53" s="8">
        <v>3</v>
      </c>
      <c r="J53" s="8">
        <v>0.5</v>
      </c>
      <c r="K53" s="8" t="s">
        <v>445</v>
      </c>
      <c r="L53" s="4">
        <v>30</v>
      </c>
      <c r="M53" s="4">
        <f t="shared" si="0"/>
        <v>10</v>
      </c>
      <c r="N53" s="4">
        <f t="shared" si="1"/>
        <v>33.333333333333329</v>
      </c>
      <c r="O53" s="4">
        <v>36</v>
      </c>
      <c r="P53" s="4"/>
    </row>
    <row r="54" spans="1:16" ht="27" customHeight="1" x14ac:dyDescent="0.25">
      <c r="A54" s="6">
        <v>46</v>
      </c>
      <c r="B54" s="41" t="s">
        <v>512</v>
      </c>
      <c r="C54" s="19" t="s">
        <v>513</v>
      </c>
      <c r="D54" s="6" t="s">
        <v>449</v>
      </c>
      <c r="E54" s="8">
        <v>0.5</v>
      </c>
      <c r="F54" s="8">
        <v>3</v>
      </c>
      <c r="G54" s="8">
        <v>1</v>
      </c>
      <c r="H54" s="8">
        <v>0</v>
      </c>
      <c r="I54" s="8">
        <v>3</v>
      </c>
      <c r="J54" s="8">
        <v>0</v>
      </c>
      <c r="K54" s="8" t="s">
        <v>446</v>
      </c>
      <c r="L54" s="4">
        <v>30</v>
      </c>
      <c r="M54" s="4">
        <f t="shared" si="0"/>
        <v>7.5</v>
      </c>
      <c r="N54" s="4">
        <f t="shared" si="1"/>
        <v>25</v>
      </c>
      <c r="O54" s="4">
        <v>33</v>
      </c>
      <c r="P54" s="4"/>
    </row>
    <row r="55" spans="1:16" ht="27" customHeight="1" x14ac:dyDescent="0.25">
      <c r="A55" s="6">
        <v>47</v>
      </c>
      <c r="B55" s="41" t="s">
        <v>155</v>
      </c>
      <c r="C55" s="19" t="s">
        <v>514</v>
      </c>
      <c r="D55" s="6" t="s">
        <v>449</v>
      </c>
      <c r="E55" s="8">
        <v>2</v>
      </c>
      <c r="F55" s="8">
        <v>5</v>
      </c>
      <c r="G55" s="8">
        <v>3</v>
      </c>
      <c r="H55" s="8">
        <v>4</v>
      </c>
      <c r="I55" s="8">
        <v>3.5</v>
      </c>
      <c r="J55" s="8">
        <v>3.5</v>
      </c>
      <c r="K55" s="8" t="s">
        <v>445</v>
      </c>
      <c r="L55" s="4">
        <v>30</v>
      </c>
      <c r="M55" s="4">
        <f t="shared" si="0"/>
        <v>21</v>
      </c>
      <c r="N55" s="4">
        <f t="shared" si="1"/>
        <v>70</v>
      </c>
      <c r="O55" s="4">
        <v>34</v>
      </c>
      <c r="P55" s="4"/>
    </row>
    <row r="56" spans="1:16" ht="27" customHeight="1" x14ac:dyDescent="0.25">
      <c r="A56" s="6">
        <v>48</v>
      </c>
      <c r="B56" s="41" t="s">
        <v>195</v>
      </c>
      <c r="C56" s="19" t="s">
        <v>101</v>
      </c>
      <c r="D56" s="6" t="s">
        <v>449</v>
      </c>
      <c r="E56" s="8">
        <v>1</v>
      </c>
      <c r="F56" s="8">
        <v>3</v>
      </c>
      <c r="G56" s="8">
        <v>2.5</v>
      </c>
      <c r="H56" s="8">
        <v>1.5</v>
      </c>
      <c r="I56" s="8">
        <v>2</v>
      </c>
      <c r="J56" s="8">
        <v>0</v>
      </c>
      <c r="K56" s="8" t="s">
        <v>446</v>
      </c>
      <c r="L56" s="4">
        <v>30</v>
      </c>
      <c r="M56" s="4">
        <f t="shared" si="0"/>
        <v>10</v>
      </c>
      <c r="N56" s="4">
        <f t="shared" si="1"/>
        <v>33.333333333333329</v>
      </c>
      <c r="O56" s="4">
        <v>34</v>
      </c>
      <c r="P56" s="4"/>
    </row>
    <row r="57" spans="1:16" ht="27" customHeight="1" x14ac:dyDescent="0.25">
      <c r="A57" s="6">
        <v>49</v>
      </c>
      <c r="B57" s="41" t="s">
        <v>515</v>
      </c>
      <c r="C57" s="19" t="s">
        <v>101</v>
      </c>
      <c r="D57" s="6" t="s">
        <v>449</v>
      </c>
      <c r="E57" s="8">
        <v>1.5</v>
      </c>
      <c r="F57" s="8">
        <v>4</v>
      </c>
      <c r="G57" s="8">
        <v>3</v>
      </c>
      <c r="H57" s="8">
        <v>2</v>
      </c>
      <c r="I57" s="8">
        <v>3</v>
      </c>
      <c r="J57" s="8">
        <v>1</v>
      </c>
      <c r="K57" s="8" t="s">
        <v>446</v>
      </c>
      <c r="L57" s="4">
        <v>30</v>
      </c>
      <c r="M57" s="4">
        <f t="shared" si="0"/>
        <v>14.5</v>
      </c>
      <c r="N57" s="4">
        <f t="shared" si="1"/>
        <v>48.333333333333336</v>
      </c>
      <c r="O57" s="4">
        <v>33</v>
      </c>
      <c r="P57" s="4"/>
    </row>
    <row r="58" spans="1:16" ht="27" customHeight="1" x14ac:dyDescent="0.25">
      <c r="A58" s="6">
        <v>50</v>
      </c>
      <c r="B58" s="41" t="s">
        <v>516</v>
      </c>
      <c r="C58" s="19" t="s">
        <v>84</v>
      </c>
      <c r="D58" s="6" t="s">
        <v>449</v>
      </c>
      <c r="E58" s="8">
        <v>0</v>
      </c>
      <c r="F58" s="8">
        <v>3.5</v>
      </c>
      <c r="G58" s="8">
        <v>2</v>
      </c>
      <c r="H58" s="8">
        <v>0</v>
      </c>
      <c r="I58" s="8">
        <v>3</v>
      </c>
      <c r="J58" s="8">
        <v>0</v>
      </c>
      <c r="K58" s="8" t="s">
        <v>445</v>
      </c>
      <c r="L58" s="4">
        <v>30</v>
      </c>
      <c r="M58" s="4">
        <f t="shared" si="0"/>
        <v>8.5</v>
      </c>
      <c r="N58" s="4">
        <f t="shared" si="1"/>
        <v>28.333333333333332</v>
      </c>
      <c r="O58" s="4">
        <v>32</v>
      </c>
      <c r="P58" s="4"/>
    </row>
    <row r="59" spans="1:16" ht="27" customHeight="1" x14ac:dyDescent="0.25">
      <c r="A59" s="6">
        <v>51</v>
      </c>
      <c r="B59" s="41" t="s">
        <v>517</v>
      </c>
      <c r="C59" s="19" t="s">
        <v>518</v>
      </c>
      <c r="D59" s="6" t="s">
        <v>449</v>
      </c>
      <c r="E59" s="8">
        <v>1.5</v>
      </c>
      <c r="F59" s="8">
        <v>3</v>
      </c>
      <c r="G59" s="8">
        <v>2</v>
      </c>
      <c r="H59" s="8">
        <v>3.5</v>
      </c>
      <c r="I59" s="8">
        <v>3</v>
      </c>
      <c r="J59" s="8">
        <v>0.5</v>
      </c>
      <c r="K59" s="8" t="s">
        <v>445</v>
      </c>
      <c r="L59" s="4">
        <v>30</v>
      </c>
      <c r="M59" s="4">
        <f t="shared" si="0"/>
        <v>13.5</v>
      </c>
      <c r="N59" s="4">
        <f t="shared" si="1"/>
        <v>45</v>
      </c>
      <c r="O59" s="4">
        <v>28</v>
      </c>
      <c r="P59" s="4"/>
    </row>
    <row r="60" spans="1:16" ht="27" customHeight="1" x14ac:dyDescent="0.25">
      <c r="A60" s="6">
        <v>52</v>
      </c>
      <c r="B60" s="41" t="s">
        <v>519</v>
      </c>
      <c r="C60" s="19" t="s">
        <v>520</v>
      </c>
      <c r="D60" s="6" t="s">
        <v>449</v>
      </c>
      <c r="E60" s="8">
        <v>0.5</v>
      </c>
      <c r="F60" s="8">
        <v>3</v>
      </c>
      <c r="G60" s="8">
        <v>3</v>
      </c>
      <c r="H60" s="8">
        <v>3.5</v>
      </c>
      <c r="I60" s="8">
        <v>3</v>
      </c>
      <c r="J60" s="8">
        <v>0</v>
      </c>
      <c r="K60" s="8" t="s">
        <v>446</v>
      </c>
      <c r="L60" s="4">
        <v>30</v>
      </c>
      <c r="M60" s="4">
        <f t="shared" si="0"/>
        <v>13</v>
      </c>
      <c r="N60" s="4">
        <f t="shared" si="1"/>
        <v>43.333333333333336</v>
      </c>
      <c r="O60" s="4">
        <v>15</v>
      </c>
      <c r="P60" s="4"/>
    </row>
    <row r="61" spans="1:16" ht="27" customHeight="1" x14ac:dyDescent="0.25">
      <c r="A61" s="20">
        <v>53</v>
      </c>
      <c r="B61" s="41" t="s">
        <v>521</v>
      </c>
      <c r="C61" s="19" t="s">
        <v>522</v>
      </c>
      <c r="D61" s="6" t="s">
        <v>449</v>
      </c>
      <c r="E61" s="21">
        <v>0</v>
      </c>
      <c r="F61" s="21">
        <v>4.5</v>
      </c>
      <c r="G61" s="21">
        <v>3.5</v>
      </c>
      <c r="H61" s="21">
        <v>0</v>
      </c>
      <c r="I61" s="21">
        <v>2.5</v>
      </c>
      <c r="J61" s="21">
        <v>2</v>
      </c>
      <c r="K61" s="21" t="s">
        <v>446</v>
      </c>
      <c r="L61" s="4">
        <v>30</v>
      </c>
      <c r="M61" s="4">
        <f t="shared" si="0"/>
        <v>12.5</v>
      </c>
      <c r="N61" s="4">
        <f t="shared" si="1"/>
        <v>41.666666666666671</v>
      </c>
      <c r="O61" s="20">
        <v>11</v>
      </c>
      <c r="P61" s="20"/>
    </row>
    <row r="62" spans="1:16" s="23" customFormat="1" ht="27" customHeight="1" x14ac:dyDescent="0.25">
      <c r="A62" s="44">
        <v>54</v>
      </c>
      <c r="B62" s="41" t="s">
        <v>523</v>
      </c>
      <c r="C62" s="5" t="s">
        <v>524</v>
      </c>
      <c r="D62" s="6" t="s">
        <v>449</v>
      </c>
      <c r="E62" s="44" t="s">
        <v>147</v>
      </c>
      <c r="F62" s="44" t="s">
        <v>147</v>
      </c>
      <c r="G62" s="44" t="s">
        <v>147</v>
      </c>
      <c r="H62" s="44" t="s">
        <v>147</v>
      </c>
      <c r="I62" s="44" t="s">
        <v>147</v>
      </c>
      <c r="J62" s="44" t="s">
        <v>147</v>
      </c>
      <c r="K62" s="44" t="s">
        <v>147</v>
      </c>
      <c r="L62" s="4">
        <v>30</v>
      </c>
      <c r="M62" s="4">
        <f t="shared" si="0"/>
        <v>0</v>
      </c>
      <c r="N62" s="4">
        <f t="shared" si="1"/>
        <v>0</v>
      </c>
      <c r="O62" s="44">
        <v>9</v>
      </c>
      <c r="P62" s="44"/>
    </row>
  </sheetData>
  <mergeCells count="15">
    <mergeCell ref="A7:P7"/>
    <mergeCell ref="A37:P37"/>
    <mergeCell ref="A1:P1"/>
    <mergeCell ref="A3:P3"/>
    <mergeCell ref="A4:A6"/>
    <mergeCell ref="B4:B6"/>
    <mergeCell ref="C4:C6"/>
    <mergeCell ref="D4:D6"/>
    <mergeCell ref="E4:K4"/>
    <mergeCell ref="L4:L5"/>
    <mergeCell ref="M4:M6"/>
    <mergeCell ref="N4:N6"/>
    <mergeCell ref="O4:O6"/>
    <mergeCell ref="P4:P6"/>
    <mergeCell ref="A2:P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26F0-31A4-4159-8F3E-B47BD81EC81C}">
  <dimension ref="A1:M50"/>
  <sheetViews>
    <sheetView workbookViewId="0">
      <selection activeCell="B4" sqref="B1:B1048576"/>
    </sheetView>
  </sheetViews>
  <sheetFormatPr defaultRowHeight="15" x14ac:dyDescent="0.25"/>
  <cols>
    <col min="1" max="1" width="3.140625" bestFit="1" customWidth="1"/>
    <col min="2" max="2" width="19.42578125" style="42" bestFit="1" customWidth="1"/>
    <col min="3" max="9" width="4.7109375" customWidth="1"/>
  </cols>
  <sheetData>
    <row r="1" spans="1:13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</row>
    <row r="4" spans="1:13" x14ac:dyDescent="0.25">
      <c r="A4" s="25" t="s">
        <v>2</v>
      </c>
      <c r="B4" s="25" t="s">
        <v>4</v>
      </c>
      <c r="C4" s="26" t="s">
        <v>3</v>
      </c>
      <c r="D4" s="29" t="s">
        <v>6</v>
      </c>
      <c r="E4" s="29"/>
      <c r="F4" s="29"/>
      <c r="G4" s="29"/>
      <c r="H4" s="29"/>
      <c r="I4" s="29"/>
      <c r="J4" s="25" t="s">
        <v>14</v>
      </c>
      <c r="K4" s="25" t="s">
        <v>15</v>
      </c>
      <c r="L4" s="25" t="s">
        <v>16</v>
      </c>
      <c r="M4" s="25" t="s">
        <v>17</v>
      </c>
    </row>
    <row r="5" spans="1:13" ht="35.25" x14ac:dyDescent="0.25">
      <c r="A5" s="25"/>
      <c r="B5" s="25"/>
      <c r="C5" s="27"/>
      <c r="D5" s="2" t="s">
        <v>9</v>
      </c>
      <c r="E5" s="2" t="s">
        <v>119</v>
      </c>
      <c r="F5" s="2" t="s">
        <v>181</v>
      </c>
      <c r="G5" s="2" t="s">
        <v>540</v>
      </c>
      <c r="H5" s="2" t="s">
        <v>124</v>
      </c>
      <c r="I5" s="2" t="s">
        <v>10</v>
      </c>
      <c r="J5" s="25"/>
      <c r="K5" s="25"/>
      <c r="L5" s="25"/>
      <c r="M5" s="25"/>
    </row>
    <row r="6" spans="1:13" ht="26.1" customHeight="1" x14ac:dyDescent="0.25">
      <c r="A6" s="25"/>
      <c r="B6" s="25"/>
      <c r="C6" s="28"/>
      <c r="D6" s="3">
        <v>25</v>
      </c>
      <c r="E6" s="3">
        <v>25</v>
      </c>
      <c r="F6" s="3">
        <v>25</v>
      </c>
      <c r="G6" s="3">
        <v>25</v>
      </c>
      <c r="H6" s="3">
        <v>25</v>
      </c>
      <c r="I6" s="3">
        <v>25</v>
      </c>
      <c r="J6" s="3">
        <f>SUM(D6:I6)</f>
        <v>150</v>
      </c>
      <c r="K6" s="25"/>
      <c r="L6" s="25"/>
      <c r="M6" s="25"/>
    </row>
    <row r="7" spans="1:13" ht="26.1" customHeight="1" x14ac:dyDescent="0.25">
      <c r="A7" s="4">
        <v>1</v>
      </c>
      <c r="B7" s="41" t="s">
        <v>160</v>
      </c>
      <c r="C7" s="5" t="s">
        <v>159</v>
      </c>
      <c r="D7" s="4">
        <v>24</v>
      </c>
      <c r="E7" s="4">
        <v>19</v>
      </c>
      <c r="F7" s="4">
        <v>19</v>
      </c>
      <c r="G7" s="4" t="s">
        <v>445</v>
      </c>
      <c r="H7" s="4">
        <v>16</v>
      </c>
      <c r="I7" s="4">
        <v>21</v>
      </c>
      <c r="J7" s="4">
        <v>150</v>
      </c>
      <c r="K7" s="4">
        <f t="shared" ref="K7:K44" si="0">SUM(D7:I7)</f>
        <v>99</v>
      </c>
      <c r="L7" s="7">
        <f>K7/J7*100</f>
        <v>66</v>
      </c>
      <c r="M7" s="4"/>
    </row>
    <row r="8" spans="1:13" ht="26.1" customHeight="1" x14ac:dyDescent="0.25">
      <c r="A8" s="4">
        <v>2</v>
      </c>
      <c r="B8" s="41" t="s">
        <v>161</v>
      </c>
      <c r="C8" s="5" t="s">
        <v>159</v>
      </c>
      <c r="D8" s="4">
        <v>16</v>
      </c>
      <c r="E8" s="4">
        <v>12</v>
      </c>
      <c r="F8" s="4">
        <v>19</v>
      </c>
      <c r="G8" s="4">
        <v>5</v>
      </c>
      <c r="H8" s="4">
        <v>23</v>
      </c>
      <c r="I8" s="4" t="s">
        <v>445</v>
      </c>
      <c r="J8" s="4">
        <v>150</v>
      </c>
      <c r="K8" s="4">
        <f t="shared" si="0"/>
        <v>75</v>
      </c>
      <c r="L8" s="7">
        <f t="shared" ref="L8:L50" si="1">K8/J8*100</f>
        <v>50</v>
      </c>
      <c r="M8" s="4"/>
    </row>
    <row r="9" spans="1:13" ht="26.1" customHeight="1" x14ac:dyDescent="0.25">
      <c r="A9" s="4">
        <v>3</v>
      </c>
      <c r="B9" s="41" t="s">
        <v>162</v>
      </c>
      <c r="C9" s="5" t="s">
        <v>159</v>
      </c>
      <c r="D9" s="4">
        <v>23.5</v>
      </c>
      <c r="E9" s="4">
        <v>18</v>
      </c>
      <c r="F9" s="4">
        <v>24.5</v>
      </c>
      <c r="G9" s="4">
        <v>8</v>
      </c>
      <c r="H9" s="4">
        <v>19</v>
      </c>
      <c r="I9" s="4">
        <v>25</v>
      </c>
      <c r="J9" s="4">
        <v>150</v>
      </c>
      <c r="K9" s="4">
        <f t="shared" si="0"/>
        <v>118</v>
      </c>
      <c r="L9" s="7">
        <f t="shared" si="1"/>
        <v>78.666666666666657</v>
      </c>
      <c r="M9" s="4"/>
    </row>
    <row r="10" spans="1:13" ht="26.1" customHeight="1" x14ac:dyDescent="0.25">
      <c r="A10" s="4">
        <v>4</v>
      </c>
      <c r="B10" s="41" t="s">
        <v>163</v>
      </c>
      <c r="C10" s="5" t="s">
        <v>159</v>
      </c>
      <c r="D10" s="4">
        <v>24</v>
      </c>
      <c r="E10" s="4">
        <v>17</v>
      </c>
      <c r="F10" s="4">
        <v>17</v>
      </c>
      <c r="G10" s="4">
        <v>4</v>
      </c>
      <c r="H10" s="4">
        <v>15</v>
      </c>
      <c r="I10" s="4" t="s">
        <v>445</v>
      </c>
      <c r="J10" s="4">
        <v>150</v>
      </c>
      <c r="K10" s="4">
        <f t="shared" si="0"/>
        <v>77</v>
      </c>
      <c r="L10" s="7">
        <f t="shared" si="1"/>
        <v>51.333333333333329</v>
      </c>
      <c r="M10" s="4"/>
    </row>
    <row r="11" spans="1:13" ht="26.1" customHeight="1" x14ac:dyDescent="0.25">
      <c r="A11" s="4">
        <v>5</v>
      </c>
      <c r="B11" s="41" t="s">
        <v>164</v>
      </c>
      <c r="C11" s="5" t="s">
        <v>159</v>
      </c>
      <c r="D11" s="4">
        <v>22</v>
      </c>
      <c r="E11" s="4">
        <v>7</v>
      </c>
      <c r="F11" s="4">
        <v>17</v>
      </c>
      <c r="G11" s="4">
        <v>2</v>
      </c>
      <c r="H11" s="4">
        <v>12</v>
      </c>
      <c r="I11" s="4">
        <v>23</v>
      </c>
      <c r="J11" s="4">
        <v>150</v>
      </c>
      <c r="K11" s="4">
        <f t="shared" si="0"/>
        <v>83</v>
      </c>
      <c r="L11" s="7">
        <f t="shared" si="1"/>
        <v>55.333333333333336</v>
      </c>
      <c r="M11" s="4"/>
    </row>
    <row r="12" spans="1:13" ht="26.1" customHeight="1" x14ac:dyDescent="0.25">
      <c r="A12" s="4">
        <v>6</v>
      </c>
      <c r="B12" s="41" t="s">
        <v>165</v>
      </c>
      <c r="C12" s="5" t="s">
        <v>159</v>
      </c>
      <c r="D12" s="4">
        <v>24</v>
      </c>
      <c r="E12" s="4">
        <v>18</v>
      </c>
      <c r="F12" s="4">
        <v>20</v>
      </c>
      <c r="G12" s="4">
        <v>3</v>
      </c>
      <c r="H12" s="4" t="s">
        <v>445</v>
      </c>
      <c r="I12" s="4" t="s">
        <v>445</v>
      </c>
      <c r="J12" s="4">
        <v>150</v>
      </c>
      <c r="K12" s="4">
        <f t="shared" si="0"/>
        <v>65</v>
      </c>
      <c r="L12" s="7">
        <f t="shared" si="1"/>
        <v>43.333333333333336</v>
      </c>
      <c r="M12" s="4"/>
    </row>
    <row r="13" spans="1:13" ht="26.1" customHeight="1" x14ac:dyDescent="0.25">
      <c r="A13" s="4">
        <v>7</v>
      </c>
      <c r="B13" s="41" t="s">
        <v>166</v>
      </c>
      <c r="C13" s="5" t="s">
        <v>159</v>
      </c>
      <c r="D13" s="4">
        <v>23.5</v>
      </c>
      <c r="E13" s="4">
        <v>19</v>
      </c>
      <c r="F13" s="4">
        <v>21</v>
      </c>
      <c r="G13" s="4">
        <v>0</v>
      </c>
      <c r="H13" s="4" t="s">
        <v>445</v>
      </c>
      <c r="I13" s="4">
        <v>25</v>
      </c>
      <c r="J13" s="4">
        <v>150</v>
      </c>
      <c r="K13" s="4">
        <f t="shared" si="0"/>
        <v>88.5</v>
      </c>
      <c r="L13" s="7">
        <f t="shared" si="1"/>
        <v>59</v>
      </c>
      <c r="M13" s="4"/>
    </row>
    <row r="14" spans="1:13" ht="26.1" customHeight="1" x14ac:dyDescent="0.25">
      <c r="A14" s="4">
        <v>8</v>
      </c>
      <c r="B14" s="41" t="s">
        <v>167</v>
      </c>
      <c r="C14" s="5" t="s">
        <v>159</v>
      </c>
      <c r="D14" s="4">
        <v>24</v>
      </c>
      <c r="E14" s="4">
        <v>24</v>
      </c>
      <c r="F14" s="4">
        <v>25</v>
      </c>
      <c r="G14" s="4">
        <v>10</v>
      </c>
      <c r="H14" s="4">
        <v>24</v>
      </c>
      <c r="I14" s="4">
        <v>25</v>
      </c>
      <c r="J14" s="4">
        <v>150</v>
      </c>
      <c r="K14" s="4">
        <f t="shared" si="0"/>
        <v>132</v>
      </c>
      <c r="L14" s="7">
        <f t="shared" si="1"/>
        <v>88</v>
      </c>
      <c r="M14" s="4"/>
    </row>
    <row r="15" spans="1:13" ht="26.1" customHeight="1" x14ac:dyDescent="0.25">
      <c r="A15" s="4">
        <v>9</v>
      </c>
      <c r="B15" s="41" t="s">
        <v>168</v>
      </c>
      <c r="C15" s="5" t="s">
        <v>159</v>
      </c>
      <c r="D15" s="4">
        <v>24.5</v>
      </c>
      <c r="E15" s="4">
        <v>22.5</v>
      </c>
      <c r="F15" s="4">
        <v>22</v>
      </c>
      <c r="G15" s="4">
        <v>10</v>
      </c>
      <c r="H15" s="4">
        <v>24</v>
      </c>
      <c r="I15" s="4">
        <v>25</v>
      </c>
      <c r="J15" s="4">
        <v>150</v>
      </c>
      <c r="K15" s="4">
        <f t="shared" si="0"/>
        <v>128</v>
      </c>
      <c r="L15" s="7">
        <f t="shared" si="1"/>
        <v>85.333333333333343</v>
      </c>
      <c r="M15" s="4"/>
    </row>
    <row r="16" spans="1:13" ht="26.1" customHeight="1" x14ac:dyDescent="0.25">
      <c r="A16" s="4">
        <v>10</v>
      </c>
      <c r="B16" s="41" t="s">
        <v>169</v>
      </c>
      <c r="C16" s="5" t="s">
        <v>159</v>
      </c>
      <c r="D16" s="4">
        <v>23.5</v>
      </c>
      <c r="E16" s="4">
        <v>16.5</v>
      </c>
      <c r="F16" s="4">
        <v>22</v>
      </c>
      <c r="G16" s="4">
        <v>6</v>
      </c>
      <c r="H16" s="4">
        <v>22</v>
      </c>
      <c r="I16" s="4">
        <v>22</v>
      </c>
      <c r="J16" s="4">
        <v>150</v>
      </c>
      <c r="K16" s="4">
        <f t="shared" si="0"/>
        <v>112</v>
      </c>
      <c r="L16" s="7">
        <f t="shared" si="1"/>
        <v>74.666666666666671</v>
      </c>
      <c r="M16" s="4"/>
    </row>
    <row r="17" spans="1:13" ht="26.1" customHeight="1" x14ac:dyDescent="0.25">
      <c r="A17" s="4">
        <v>11</v>
      </c>
      <c r="B17" s="41" t="s">
        <v>170</v>
      </c>
      <c r="C17" s="5" t="s">
        <v>159</v>
      </c>
      <c r="D17" s="4">
        <v>4</v>
      </c>
      <c r="E17" s="4">
        <v>2</v>
      </c>
      <c r="F17" s="4">
        <v>12</v>
      </c>
      <c r="G17" s="4">
        <v>6</v>
      </c>
      <c r="H17" s="4">
        <v>23</v>
      </c>
      <c r="I17" s="4">
        <v>22</v>
      </c>
      <c r="J17" s="4">
        <v>150</v>
      </c>
      <c r="K17" s="4">
        <f t="shared" si="0"/>
        <v>69</v>
      </c>
      <c r="L17" s="7">
        <f t="shared" si="1"/>
        <v>46</v>
      </c>
      <c r="M17" s="4"/>
    </row>
    <row r="18" spans="1:13" ht="26.1" customHeight="1" x14ac:dyDescent="0.25">
      <c r="A18" s="4">
        <v>12</v>
      </c>
      <c r="B18" s="41" t="s">
        <v>171</v>
      </c>
      <c r="C18" s="5" t="s">
        <v>159</v>
      </c>
      <c r="D18" s="4">
        <v>24.5</v>
      </c>
      <c r="E18" s="4">
        <v>24</v>
      </c>
      <c r="F18" s="4">
        <v>24.5</v>
      </c>
      <c r="G18" s="4">
        <v>9.5</v>
      </c>
      <c r="H18" s="4" t="s">
        <v>445</v>
      </c>
      <c r="I18" s="4">
        <v>22</v>
      </c>
      <c r="J18" s="4">
        <v>150</v>
      </c>
      <c r="K18" s="4">
        <f t="shared" si="0"/>
        <v>104.5</v>
      </c>
      <c r="L18" s="7">
        <f t="shared" si="1"/>
        <v>69.666666666666671</v>
      </c>
      <c r="M18" s="4"/>
    </row>
    <row r="19" spans="1:13" ht="26.1" customHeight="1" x14ac:dyDescent="0.25">
      <c r="A19" s="4">
        <v>13</v>
      </c>
      <c r="B19" s="41" t="s">
        <v>172</v>
      </c>
      <c r="C19" s="5" t="s">
        <v>159</v>
      </c>
      <c r="D19" s="4">
        <v>24.5</v>
      </c>
      <c r="E19" s="4">
        <v>15.5</v>
      </c>
      <c r="F19" s="4">
        <v>22</v>
      </c>
      <c r="G19" s="4">
        <v>7</v>
      </c>
      <c r="H19" s="4">
        <v>24</v>
      </c>
      <c r="I19" s="4">
        <v>25</v>
      </c>
      <c r="J19" s="4">
        <v>150</v>
      </c>
      <c r="K19" s="4">
        <f t="shared" si="0"/>
        <v>118</v>
      </c>
      <c r="L19" s="7">
        <f t="shared" si="1"/>
        <v>78.666666666666657</v>
      </c>
      <c r="M19" s="4"/>
    </row>
    <row r="20" spans="1:13" ht="26.1" customHeight="1" x14ac:dyDescent="0.25">
      <c r="A20" s="4">
        <v>14</v>
      </c>
      <c r="B20" s="41" t="s">
        <v>173</v>
      </c>
      <c r="C20" s="5" t="s">
        <v>159</v>
      </c>
      <c r="D20" s="4">
        <v>3</v>
      </c>
      <c r="E20" s="4">
        <v>12</v>
      </c>
      <c r="F20" s="4">
        <v>9</v>
      </c>
      <c r="G20" s="4">
        <v>1</v>
      </c>
      <c r="H20" s="4">
        <v>7</v>
      </c>
      <c r="I20" s="4">
        <v>7</v>
      </c>
      <c r="J20" s="4">
        <v>150</v>
      </c>
      <c r="K20" s="4">
        <f t="shared" si="0"/>
        <v>39</v>
      </c>
      <c r="L20" s="7">
        <f t="shared" si="1"/>
        <v>26</v>
      </c>
      <c r="M20" s="4"/>
    </row>
    <row r="21" spans="1:13" ht="26.1" customHeight="1" x14ac:dyDescent="0.25">
      <c r="A21" s="4">
        <v>15</v>
      </c>
      <c r="B21" s="41" t="s">
        <v>174</v>
      </c>
      <c r="C21" s="5" t="s">
        <v>159</v>
      </c>
      <c r="D21" s="4">
        <v>21</v>
      </c>
      <c r="E21" s="4">
        <v>14</v>
      </c>
      <c r="F21" s="4">
        <v>24.5</v>
      </c>
      <c r="G21" s="4">
        <v>9</v>
      </c>
      <c r="H21" s="4">
        <v>24</v>
      </c>
      <c r="I21" s="4">
        <v>21</v>
      </c>
      <c r="J21" s="4">
        <v>150</v>
      </c>
      <c r="K21" s="4">
        <f t="shared" si="0"/>
        <v>113.5</v>
      </c>
      <c r="L21" s="7">
        <f t="shared" si="1"/>
        <v>75.666666666666671</v>
      </c>
      <c r="M21" s="4"/>
    </row>
    <row r="22" spans="1:13" ht="26.1" customHeight="1" x14ac:dyDescent="0.25">
      <c r="A22" s="4">
        <v>16</v>
      </c>
      <c r="B22" s="41" t="s">
        <v>175</v>
      </c>
      <c r="C22" s="5" t="s">
        <v>159</v>
      </c>
      <c r="D22" s="4">
        <v>15</v>
      </c>
      <c r="E22" s="4">
        <v>14.5</v>
      </c>
      <c r="F22" s="4">
        <v>19</v>
      </c>
      <c r="G22" s="4">
        <v>2</v>
      </c>
      <c r="H22" s="4">
        <v>21</v>
      </c>
      <c r="I22" s="4">
        <v>21</v>
      </c>
      <c r="J22" s="4">
        <v>150</v>
      </c>
      <c r="K22" s="4">
        <f t="shared" si="0"/>
        <v>92.5</v>
      </c>
      <c r="L22" s="7">
        <f t="shared" si="1"/>
        <v>61.666666666666671</v>
      </c>
      <c r="M22" s="4"/>
    </row>
    <row r="23" spans="1:13" ht="26.1" customHeight="1" x14ac:dyDescent="0.25">
      <c r="A23" s="4">
        <v>17</v>
      </c>
      <c r="B23" s="41" t="s">
        <v>176</v>
      </c>
      <c r="C23" s="5" t="s">
        <v>159</v>
      </c>
      <c r="D23" s="4">
        <v>24</v>
      </c>
      <c r="E23" s="4">
        <v>22.5</v>
      </c>
      <c r="F23" s="4">
        <v>25</v>
      </c>
      <c r="G23" s="4">
        <v>7</v>
      </c>
      <c r="H23" s="4">
        <v>23</v>
      </c>
      <c r="I23" s="4">
        <v>21</v>
      </c>
      <c r="J23" s="4">
        <v>150</v>
      </c>
      <c r="K23" s="4">
        <f t="shared" si="0"/>
        <v>122.5</v>
      </c>
      <c r="L23" s="7">
        <f t="shared" si="1"/>
        <v>81.666666666666671</v>
      </c>
      <c r="M23" s="4"/>
    </row>
    <row r="24" spans="1:13" ht="26.1" customHeight="1" x14ac:dyDescent="0.25">
      <c r="A24" s="4">
        <v>18</v>
      </c>
      <c r="B24" s="41" t="s">
        <v>177</v>
      </c>
      <c r="C24" s="5" t="s">
        <v>159</v>
      </c>
      <c r="D24" s="4">
        <v>24</v>
      </c>
      <c r="E24" s="4">
        <v>24</v>
      </c>
      <c r="F24" s="4">
        <v>19</v>
      </c>
      <c r="G24" s="4">
        <v>10</v>
      </c>
      <c r="H24" s="4">
        <v>24</v>
      </c>
      <c r="I24" s="4">
        <v>25</v>
      </c>
      <c r="J24" s="4">
        <v>150</v>
      </c>
      <c r="K24" s="4">
        <f t="shared" si="0"/>
        <v>126</v>
      </c>
      <c r="L24" s="7">
        <f t="shared" si="1"/>
        <v>84</v>
      </c>
      <c r="M24" s="4"/>
    </row>
    <row r="25" spans="1:13" ht="26.1" customHeight="1" x14ac:dyDescent="0.25">
      <c r="A25" s="4">
        <v>19</v>
      </c>
      <c r="B25" s="41" t="s">
        <v>178</v>
      </c>
      <c r="C25" s="5" t="s">
        <v>159</v>
      </c>
      <c r="D25" s="4">
        <v>23</v>
      </c>
      <c r="E25" s="4">
        <v>16</v>
      </c>
      <c r="F25" s="4">
        <v>23</v>
      </c>
      <c r="G25" s="4">
        <v>8.5</v>
      </c>
      <c r="H25" s="4">
        <v>16</v>
      </c>
      <c r="I25" s="4">
        <v>16</v>
      </c>
      <c r="J25" s="4">
        <v>150</v>
      </c>
      <c r="K25" s="4">
        <f t="shared" si="0"/>
        <v>102.5</v>
      </c>
      <c r="L25" s="7">
        <f t="shared" si="1"/>
        <v>68.333333333333329</v>
      </c>
      <c r="M25" s="4"/>
    </row>
    <row r="26" spans="1:13" ht="26.1" customHeight="1" x14ac:dyDescent="0.25">
      <c r="A26" s="4">
        <v>20</v>
      </c>
      <c r="B26" s="41" t="s">
        <v>148</v>
      </c>
      <c r="C26" s="5" t="s">
        <v>159</v>
      </c>
      <c r="D26" s="4">
        <v>23</v>
      </c>
      <c r="E26" s="4">
        <v>15</v>
      </c>
      <c r="F26" s="4">
        <v>25</v>
      </c>
      <c r="G26" s="4">
        <v>9</v>
      </c>
      <c r="H26" s="4">
        <v>17</v>
      </c>
      <c r="I26" s="4" t="s">
        <v>445</v>
      </c>
      <c r="J26" s="4">
        <v>150</v>
      </c>
      <c r="K26" s="4">
        <f t="shared" si="0"/>
        <v>89</v>
      </c>
      <c r="L26" s="7">
        <f t="shared" si="1"/>
        <v>59.333333333333336</v>
      </c>
      <c r="M26" s="4"/>
    </row>
    <row r="27" spans="1:13" ht="26.1" customHeight="1" x14ac:dyDescent="0.25">
      <c r="A27" s="4">
        <v>21</v>
      </c>
      <c r="B27" s="41" t="s">
        <v>179</v>
      </c>
      <c r="C27" s="5" t="s">
        <v>159</v>
      </c>
      <c r="D27" s="4">
        <v>23</v>
      </c>
      <c r="E27" s="4">
        <v>7.5</v>
      </c>
      <c r="F27" s="4">
        <v>15</v>
      </c>
      <c r="G27" s="4">
        <v>5</v>
      </c>
      <c r="H27" s="4">
        <v>19</v>
      </c>
      <c r="I27" s="4">
        <v>20</v>
      </c>
      <c r="J27" s="4">
        <v>150</v>
      </c>
      <c r="K27" s="4">
        <f t="shared" si="0"/>
        <v>89.5</v>
      </c>
      <c r="L27" s="7">
        <f t="shared" si="1"/>
        <v>59.666666666666671</v>
      </c>
      <c r="M27" s="4"/>
    </row>
    <row r="28" spans="1:13" ht="26.1" customHeight="1" x14ac:dyDescent="0.25">
      <c r="A28" s="4">
        <v>22</v>
      </c>
      <c r="B28" s="41" t="s">
        <v>180</v>
      </c>
      <c r="C28" s="5" t="s">
        <v>159</v>
      </c>
      <c r="D28" s="4">
        <v>19</v>
      </c>
      <c r="E28" s="4">
        <v>15</v>
      </c>
      <c r="F28" s="4">
        <v>16</v>
      </c>
      <c r="G28" s="4">
        <v>9</v>
      </c>
      <c r="H28" s="4">
        <v>15</v>
      </c>
      <c r="I28" s="4">
        <v>18</v>
      </c>
      <c r="J28" s="4">
        <v>150</v>
      </c>
      <c r="K28" s="4">
        <f t="shared" si="0"/>
        <v>92</v>
      </c>
      <c r="L28" s="7">
        <f t="shared" si="1"/>
        <v>61.333333333333329</v>
      </c>
      <c r="M28" s="4"/>
    </row>
    <row r="29" spans="1:13" ht="26.1" customHeight="1" x14ac:dyDescent="0.25">
      <c r="A29" s="4">
        <v>23</v>
      </c>
      <c r="B29" s="41" t="s">
        <v>525</v>
      </c>
      <c r="C29" s="5" t="s">
        <v>159</v>
      </c>
      <c r="D29" s="4">
        <v>24</v>
      </c>
      <c r="E29" s="4">
        <v>13</v>
      </c>
      <c r="F29" s="4">
        <v>22</v>
      </c>
      <c r="G29" s="4">
        <v>7</v>
      </c>
      <c r="H29" s="4" t="s">
        <v>445</v>
      </c>
      <c r="I29" s="4">
        <v>14</v>
      </c>
      <c r="J29" s="4">
        <v>150</v>
      </c>
      <c r="K29" s="4">
        <f t="shared" si="0"/>
        <v>80</v>
      </c>
      <c r="L29" s="7">
        <f t="shared" si="1"/>
        <v>53.333333333333336</v>
      </c>
      <c r="M29" s="4"/>
    </row>
    <row r="30" spans="1:13" ht="26.1" customHeight="1" x14ac:dyDescent="0.25">
      <c r="A30" s="4">
        <v>24</v>
      </c>
      <c r="B30" s="41" t="s">
        <v>170</v>
      </c>
      <c r="C30" s="5" t="s">
        <v>159</v>
      </c>
      <c r="D30" s="4" t="s">
        <v>445</v>
      </c>
      <c r="E30" s="4" t="s">
        <v>445</v>
      </c>
      <c r="F30" s="4" t="s">
        <v>445</v>
      </c>
      <c r="G30" s="4" t="s">
        <v>445</v>
      </c>
      <c r="H30" s="4" t="s">
        <v>445</v>
      </c>
      <c r="I30" s="4" t="s">
        <v>445</v>
      </c>
      <c r="J30" s="4">
        <v>150</v>
      </c>
      <c r="K30" s="4">
        <f t="shared" si="0"/>
        <v>0</v>
      </c>
      <c r="L30" s="7">
        <f t="shared" si="1"/>
        <v>0</v>
      </c>
      <c r="M30" s="4"/>
    </row>
    <row r="31" spans="1:13" ht="26.1" customHeight="1" x14ac:dyDescent="0.25">
      <c r="A31" s="4">
        <v>25</v>
      </c>
      <c r="B31" s="41" t="s">
        <v>526</v>
      </c>
      <c r="C31" s="5" t="s">
        <v>159</v>
      </c>
      <c r="D31" s="4">
        <v>16</v>
      </c>
      <c r="E31" s="4">
        <v>10</v>
      </c>
      <c r="F31" s="4">
        <v>21</v>
      </c>
      <c r="G31" s="4">
        <v>8</v>
      </c>
      <c r="H31" s="4" t="s">
        <v>445</v>
      </c>
      <c r="I31" s="4">
        <v>25</v>
      </c>
      <c r="J31" s="4">
        <v>150</v>
      </c>
      <c r="K31" s="4">
        <f t="shared" si="0"/>
        <v>80</v>
      </c>
      <c r="L31" s="7">
        <f t="shared" si="1"/>
        <v>53.333333333333336</v>
      </c>
      <c r="M31" s="4"/>
    </row>
    <row r="32" spans="1:13" ht="26.1" customHeight="1" x14ac:dyDescent="0.25">
      <c r="A32" s="4">
        <v>26</v>
      </c>
      <c r="B32" s="41" t="s">
        <v>527</v>
      </c>
      <c r="C32" s="5" t="s">
        <v>159</v>
      </c>
      <c r="D32" s="4" t="s">
        <v>445</v>
      </c>
      <c r="E32" s="4" t="s">
        <v>445</v>
      </c>
      <c r="F32" s="4">
        <v>0</v>
      </c>
      <c r="G32" s="4" t="s">
        <v>445</v>
      </c>
      <c r="H32" s="4">
        <v>4</v>
      </c>
      <c r="I32" s="4">
        <v>0</v>
      </c>
      <c r="J32" s="4">
        <v>150</v>
      </c>
      <c r="K32" s="4">
        <f t="shared" si="0"/>
        <v>4</v>
      </c>
      <c r="L32" s="7">
        <f t="shared" si="1"/>
        <v>2.666666666666667</v>
      </c>
      <c r="M32" s="4"/>
    </row>
    <row r="33" spans="1:13" ht="26.1" customHeight="1" x14ac:dyDescent="0.25">
      <c r="A33" s="4">
        <v>27</v>
      </c>
      <c r="B33" s="41"/>
      <c r="C33" s="5"/>
      <c r="D33" s="4"/>
      <c r="E33" s="4"/>
      <c r="F33" s="4"/>
      <c r="G33" s="4"/>
      <c r="H33" s="4"/>
      <c r="I33" s="4"/>
      <c r="J33" s="4">
        <v>150</v>
      </c>
      <c r="K33" s="4">
        <f t="shared" si="0"/>
        <v>0</v>
      </c>
      <c r="L33" s="7">
        <f t="shared" si="1"/>
        <v>0</v>
      </c>
      <c r="M33" s="4"/>
    </row>
    <row r="34" spans="1:13" ht="26.1" customHeight="1" x14ac:dyDescent="0.25">
      <c r="A34" s="4">
        <v>28</v>
      </c>
      <c r="B34" s="41" t="s">
        <v>21</v>
      </c>
      <c r="C34" s="5" t="s">
        <v>159</v>
      </c>
      <c r="D34" s="5">
        <v>24.5</v>
      </c>
      <c r="E34" s="4">
        <v>18</v>
      </c>
      <c r="F34" s="4">
        <v>25</v>
      </c>
      <c r="G34" s="4">
        <v>7</v>
      </c>
      <c r="H34" s="4">
        <v>20</v>
      </c>
      <c r="I34" s="4">
        <v>7</v>
      </c>
      <c r="J34" s="4">
        <v>150</v>
      </c>
      <c r="K34" s="4">
        <f t="shared" si="0"/>
        <v>101.5</v>
      </c>
      <c r="L34" s="7">
        <f t="shared" si="1"/>
        <v>67.666666666666657</v>
      </c>
      <c r="M34" s="4"/>
    </row>
    <row r="35" spans="1:13" ht="26.1" customHeight="1" x14ac:dyDescent="0.25">
      <c r="A35" s="4">
        <v>29</v>
      </c>
      <c r="B35" s="41" t="s">
        <v>528</v>
      </c>
      <c r="C35" s="5" t="s">
        <v>159</v>
      </c>
      <c r="D35" s="5">
        <v>24.5</v>
      </c>
      <c r="E35" s="4">
        <v>25</v>
      </c>
      <c r="F35" s="4">
        <v>24</v>
      </c>
      <c r="G35" s="4">
        <v>7</v>
      </c>
      <c r="H35" s="4" t="s">
        <v>445</v>
      </c>
      <c r="I35" s="4">
        <v>15</v>
      </c>
      <c r="J35" s="4">
        <v>150</v>
      </c>
      <c r="K35" s="4">
        <f t="shared" si="0"/>
        <v>95.5</v>
      </c>
      <c r="L35" s="7">
        <f t="shared" si="1"/>
        <v>63.666666666666671</v>
      </c>
      <c r="M35" s="4"/>
    </row>
    <row r="36" spans="1:13" ht="26.1" customHeight="1" x14ac:dyDescent="0.25">
      <c r="A36" s="4">
        <v>30</v>
      </c>
      <c r="B36" s="41" t="s">
        <v>529</v>
      </c>
      <c r="C36" s="5" t="s">
        <v>159</v>
      </c>
      <c r="D36" s="5">
        <v>24</v>
      </c>
      <c r="E36" s="4">
        <v>17</v>
      </c>
      <c r="F36" s="4">
        <v>24</v>
      </c>
      <c r="G36" s="4">
        <v>9</v>
      </c>
      <c r="H36" s="4" t="s">
        <v>445</v>
      </c>
      <c r="I36" s="4">
        <v>18</v>
      </c>
      <c r="J36" s="4">
        <v>150</v>
      </c>
      <c r="K36" s="4">
        <f t="shared" si="0"/>
        <v>92</v>
      </c>
      <c r="L36" s="7">
        <f t="shared" si="1"/>
        <v>61.333333333333329</v>
      </c>
      <c r="M36" s="4"/>
    </row>
    <row r="37" spans="1:13" ht="26.1" customHeight="1" x14ac:dyDescent="0.25">
      <c r="A37" s="4">
        <v>31</v>
      </c>
      <c r="B37" s="41" t="s">
        <v>530</v>
      </c>
      <c r="C37" s="5" t="s">
        <v>159</v>
      </c>
      <c r="D37" s="5">
        <v>19</v>
      </c>
      <c r="E37" s="4">
        <v>17</v>
      </c>
      <c r="F37" s="4">
        <v>23</v>
      </c>
      <c r="G37" s="4">
        <v>7</v>
      </c>
      <c r="H37" s="4">
        <v>14</v>
      </c>
      <c r="I37" s="4">
        <v>21</v>
      </c>
      <c r="J37" s="4">
        <v>150</v>
      </c>
      <c r="K37" s="4">
        <f t="shared" si="0"/>
        <v>101</v>
      </c>
      <c r="L37" s="7">
        <f t="shared" si="1"/>
        <v>67.333333333333329</v>
      </c>
      <c r="M37" s="4"/>
    </row>
    <row r="38" spans="1:13" ht="26.1" customHeight="1" x14ac:dyDescent="0.25">
      <c r="A38" s="4">
        <v>32</v>
      </c>
      <c r="B38" s="41" t="s">
        <v>56</v>
      </c>
      <c r="C38" s="5" t="s">
        <v>159</v>
      </c>
      <c r="D38" s="5">
        <v>18</v>
      </c>
      <c r="E38" s="4">
        <v>15</v>
      </c>
      <c r="F38" s="4">
        <v>23</v>
      </c>
      <c r="G38" s="4">
        <v>9</v>
      </c>
      <c r="H38" s="4">
        <v>13</v>
      </c>
      <c r="I38" s="4" t="s">
        <v>445</v>
      </c>
      <c r="J38" s="4">
        <v>150</v>
      </c>
      <c r="K38" s="4">
        <f t="shared" si="0"/>
        <v>78</v>
      </c>
      <c r="L38" s="7">
        <f t="shared" si="1"/>
        <v>52</v>
      </c>
      <c r="M38" s="4"/>
    </row>
    <row r="39" spans="1:13" ht="26.1" customHeight="1" x14ac:dyDescent="0.25">
      <c r="A39" s="4">
        <v>33</v>
      </c>
      <c r="B39" s="41" t="s">
        <v>35</v>
      </c>
      <c r="C39" s="5" t="s">
        <v>159</v>
      </c>
      <c r="D39" s="5">
        <v>18</v>
      </c>
      <c r="E39" s="4">
        <v>18.5</v>
      </c>
      <c r="F39" s="4">
        <v>9</v>
      </c>
      <c r="G39" s="4">
        <v>0</v>
      </c>
      <c r="H39" s="4" t="s">
        <v>445</v>
      </c>
      <c r="I39" s="4" t="s">
        <v>445</v>
      </c>
      <c r="J39" s="4">
        <v>150</v>
      </c>
      <c r="K39" s="4">
        <f t="shared" si="0"/>
        <v>45.5</v>
      </c>
      <c r="L39" s="7">
        <f t="shared" si="1"/>
        <v>30.333333333333336</v>
      </c>
      <c r="M39" s="4"/>
    </row>
    <row r="40" spans="1:13" s="23" customFormat="1" ht="26.1" customHeight="1" x14ac:dyDescent="0.25">
      <c r="A40" s="4">
        <v>34</v>
      </c>
      <c r="B40" s="41" t="s">
        <v>531</v>
      </c>
      <c r="C40" s="5" t="s">
        <v>159</v>
      </c>
      <c r="D40" s="5">
        <v>23</v>
      </c>
      <c r="E40" s="4">
        <v>24</v>
      </c>
      <c r="F40" s="4">
        <v>13</v>
      </c>
      <c r="G40" s="4">
        <v>9</v>
      </c>
      <c r="H40" s="4">
        <v>21</v>
      </c>
      <c r="I40" s="4">
        <v>13</v>
      </c>
      <c r="J40" s="4">
        <v>150</v>
      </c>
      <c r="K40" s="4">
        <f t="shared" si="0"/>
        <v>103</v>
      </c>
      <c r="L40" s="7">
        <f t="shared" si="1"/>
        <v>68.666666666666671</v>
      </c>
      <c r="M40" s="4"/>
    </row>
    <row r="41" spans="1:13" s="23" customFormat="1" ht="26.1" customHeight="1" x14ac:dyDescent="0.25">
      <c r="A41" s="4">
        <v>35</v>
      </c>
      <c r="B41" s="41" t="s">
        <v>532</v>
      </c>
      <c r="C41" s="5" t="s">
        <v>159</v>
      </c>
      <c r="D41" s="22">
        <v>24</v>
      </c>
      <c r="E41" s="22">
        <v>25</v>
      </c>
      <c r="F41" s="22">
        <v>25</v>
      </c>
      <c r="G41" s="22">
        <v>7</v>
      </c>
      <c r="H41" s="22">
        <v>0</v>
      </c>
      <c r="I41" s="22">
        <v>25</v>
      </c>
      <c r="J41" s="4">
        <v>150</v>
      </c>
      <c r="K41" s="22">
        <f t="shared" si="0"/>
        <v>106</v>
      </c>
      <c r="L41" s="7">
        <f t="shared" si="1"/>
        <v>70.666666666666671</v>
      </c>
      <c r="M41" s="22"/>
    </row>
    <row r="42" spans="1:13" s="23" customFormat="1" ht="26.1" customHeight="1" x14ac:dyDescent="0.25">
      <c r="A42" s="4">
        <v>36</v>
      </c>
      <c r="B42" s="41" t="s">
        <v>533</v>
      </c>
      <c r="C42" s="5" t="s">
        <v>159</v>
      </c>
      <c r="D42" s="22">
        <v>17</v>
      </c>
      <c r="E42" s="22">
        <v>25</v>
      </c>
      <c r="F42" s="22">
        <v>20</v>
      </c>
      <c r="G42" s="22">
        <v>5</v>
      </c>
      <c r="H42" s="22">
        <v>21</v>
      </c>
      <c r="I42" s="22">
        <v>23</v>
      </c>
      <c r="J42" s="4">
        <v>150</v>
      </c>
      <c r="K42" s="22">
        <f t="shared" si="0"/>
        <v>111</v>
      </c>
      <c r="L42" s="7">
        <f t="shared" si="1"/>
        <v>74</v>
      </c>
      <c r="M42" s="22"/>
    </row>
    <row r="43" spans="1:13" s="23" customFormat="1" ht="26.1" customHeight="1" x14ac:dyDescent="0.25">
      <c r="A43" s="4">
        <v>37</v>
      </c>
      <c r="B43" s="41" t="s">
        <v>534</v>
      </c>
      <c r="C43" s="5" t="s">
        <v>159</v>
      </c>
      <c r="D43" s="22">
        <v>18</v>
      </c>
      <c r="E43" s="22">
        <v>25</v>
      </c>
      <c r="F43" s="22">
        <v>15</v>
      </c>
      <c r="G43" s="22">
        <v>0</v>
      </c>
      <c r="H43" s="22">
        <v>11</v>
      </c>
      <c r="I43" s="22">
        <v>17</v>
      </c>
      <c r="J43" s="4">
        <v>150</v>
      </c>
      <c r="K43" s="22">
        <f t="shared" si="0"/>
        <v>86</v>
      </c>
      <c r="L43" s="7">
        <f t="shared" si="1"/>
        <v>57.333333333333336</v>
      </c>
      <c r="M43" s="22"/>
    </row>
    <row r="44" spans="1:13" s="23" customFormat="1" ht="26.1" customHeight="1" x14ac:dyDescent="0.25">
      <c r="A44" s="4">
        <v>38</v>
      </c>
      <c r="B44" s="41" t="s">
        <v>535</v>
      </c>
      <c r="C44" s="5" t="s">
        <v>159</v>
      </c>
      <c r="D44" s="22">
        <v>17.5</v>
      </c>
      <c r="E44" s="22">
        <v>24</v>
      </c>
      <c r="F44" s="22">
        <v>13</v>
      </c>
      <c r="G44" s="22">
        <v>0</v>
      </c>
      <c r="H44" s="22">
        <v>21</v>
      </c>
      <c r="I44" s="22">
        <v>17</v>
      </c>
      <c r="J44" s="4">
        <v>150</v>
      </c>
      <c r="K44" s="22">
        <f t="shared" si="0"/>
        <v>92.5</v>
      </c>
      <c r="L44" s="7">
        <f t="shared" si="1"/>
        <v>61.666666666666671</v>
      </c>
      <c r="M44" s="22"/>
    </row>
    <row r="45" spans="1:13" s="23" customFormat="1" ht="26.1" customHeight="1" x14ac:dyDescent="0.25">
      <c r="A45" s="4">
        <v>39</v>
      </c>
      <c r="B45" s="41" t="s">
        <v>129</v>
      </c>
      <c r="C45" s="5" t="s">
        <v>159</v>
      </c>
      <c r="D45" s="22">
        <v>7</v>
      </c>
      <c r="E45" s="22" t="s">
        <v>445</v>
      </c>
      <c r="F45" s="22" t="s">
        <v>445</v>
      </c>
      <c r="G45" s="22" t="s">
        <v>445</v>
      </c>
      <c r="H45" s="22">
        <v>0</v>
      </c>
      <c r="I45" s="22" t="s">
        <v>445</v>
      </c>
      <c r="J45" s="4">
        <v>150</v>
      </c>
      <c r="K45" s="22">
        <f t="shared" ref="K45:K50" si="2">SUM(D45:I45)</f>
        <v>7</v>
      </c>
      <c r="L45" s="7">
        <f t="shared" si="1"/>
        <v>4.666666666666667</v>
      </c>
      <c r="M45" s="22"/>
    </row>
    <row r="46" spans="1:13" s="23" customFormat="1" ht="26.1" customHeight="1" x14ac:dyDescent="0.25">
      <c r="A46" s="4">
        <v>40</v>
      </c>
      <c r="B46" s="41" t="s">
        <v>536</v>
      </c>
      <c r="C46" s="5" t="s">
        <v>159</v>
      </c>
      <c r="D46" s="22">
        <v>24</v>
      </c>
      <c r="E46" s="22">
        <v>25</v>
      </c>
      <c r="F46" s="22">
        <v>25</v>
      </c>
      <c r="G46" s="22">
        <v>9</v>
      </c>
      <c r="H46" s="22">
        <v>22</v>
      </c>
      <c r="I46" s="22">
        <v>25</v>
      </c>
      <c r="J46" s="4">
        <v>150</v>
      </c>
      <c r="K46" s="22">
        <f t="shared" si="2"/>
        <v>130</v>
      </c>
      <c r="L46" s="7">
        <f t="shared" si="1"/>
        <v>86.666666666666671</v>
      </c>
      <c r="M46" s="22"/>
    </row>
    <row r="47" spans="1:13" s="23" customFormat="1" ht="26.1" customHeight="1" x14ac:dyDescent="0.25">
      <c r="A47" s="4">
        <v>41</v>
      </c>
      <c r="B47" s="41" t="s">
        <v>537</v>
      </c>
      <c r="C47" s="5" t="s">
        <v>159</v>
      </c>
      <c r="D47" s="22">
        <v>9.5</v>
      </c>
      <c r="E47" s="22">
        <v>8.5</v>
      </c>
      <c r="F47" s="22">
        <v>2</v>
      </c>
      <c r="G47" s="22">
        <v>6</v>
      </c>
      <c r="H47" s="22">
        <v>7</v>
      </c>
      <c r="I47" s="22">
        <v>0</v>
      </c>
      <c r="J47" s="4">
        <v>150</v>
      </c>
      <c r="K47" s="22">
        <f t="shared" si="2"/>
        <v>33</v>
      </c>
      <c r="L47" s="7">
        <f t="shared" si="1"/>
        <v>22</v>
      </c>
      <c r="M47" s="22"/>
    </row>
    <row r="48" spans="1:13" s="23" customFormat="1" ht="26.1" customHeight="1" x14ac:dyDescent="0.25">
      <c r="A48" s="4">
        <v>42</v>
      </c>
      <c r="B48" s="41" t="s">
        <v>105</v>
      </c>
      <c r="C48" s="5" t="s">
        <v>159</v>
      </c>
      <c r="D48" s="22">
        <v>15</v>
      </c>
      <c r="E48" s="22">
        <v>17.5</v>
      </c>
      <c r="F48" s="22">
        <v>2</v>
      </c>
      <c r="G48" s="22">
        <v>7</v>
      </c>
      <c r="H48" s="22" t="s">
        <v>445</v>
      </c>
      <c r="I48" s="22">
        <v>3</v>
      </c>
      <c r="J48" s="4">
        <v>150</v>
      </c>
      <c r="K48" s="22">
        <f t="shared" si="2"/>
        <v>44.5</v>
      </c>
      <c r="L48" s="7">
        <f t="shared" si="1"/>
        <v>29.666666666666668</v>
      </c>
      <c r="M48" s="22"/>
    </row>
    <row r="49" spans="1:13" s="23" customFormat="1" ht="26.1" customHeight="1" x14ac:dyDescent="0.25">
      <c r="A49" s="4">
        <v>43</v>
      </c>
      <c r="B49" s="41" t="s">
        <v>538</v>
      </c>
      <c r="C49" s="5" t="s">
        <v>159</v>
      </c>
      <c r="D49" s="22">
        <v>22</v>
      </c>
      <c r="E49" s="22">
        <v>0</v>
      </c>
      <c r="F49" s="22" t="s">
        <v>445</v>
      </c>
      <c r="G49" s="22">
        <v>0</v>
      </c>
      <c r="H49" s="22">
        <v>4</v>
      </c>
      <c r="I49" s="22">
        <v>0</v>
      </c>
      <c r="J49" s="4">
        <v>150</v>
      </c>
      <c r="K49" s="22">
        <f t="shared" si="2"/>
        <v>26</v>
      </c>
      <c r="L49" s="7">
        <f t="shared" si="1"/>
        <v>17.333333333333336</v>
      </c>
      <c r="M49" s="22"/>
    </row>
    <row r="50" spans="1:13" x14ac:dyDescent="0.25">
      <c r="A50" s="4">
        <v>44</v>
      </c>
      <c r="B50" s="41" t="s">
        <v>539</v>
      </c>
      <c r="C50" s="5" t="s">
        <v>159</v>
      </c>
      <c r="D50" s="22">
        <v>19</v>
      </c>
      <c r="E50" s="22">
        <v>17</v>
      </c>
      <c r="F50" s="22">
        <v>23</v>
      </c>
      <c r="G50" s="22">
        <v>7</v>
      </c>
      <c r="H50" s="22">
        <v>19</v>
      </c>
      <c r="I50" s="22">
        <v>15</v>
      </c>
      <c r="J50" s="4">
        <v>150</v>
      </c>
      <c r="K50" s="22">
        <f t="shared" si="2"/>
        <v>100</v>
      </c>
      <c r="L50" s="7">
        <f t="shared" si="1"/>
        <v>66.666666666666657</v>
      </c>
      <c r="M50" s="22"/>
    </row>
  </sheetData>
  <mergeCells count="11">
    <mergeCell ref="M4:M6"/>
    <mergeCell ref="A1:M1"/>
    <mergeCell ref="A3:M3"/>
    <mergeCell ref="A4:A6"/>
    <mergeCell ref="B4:B6"/>
    <mergeCell ref="C4:C6"/>
    <mergeCell ref="D4:I4"/>
    <mergeCell ref="J4:J5"/>
    <mergeCell ref="K4:K6"/>
    <mergeCell ref="L4:L6"/>
    <mergeCell ref="A2:M2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361E1-615C-4C74-B30E-C5B9D819BCA0}">
  <dimension ref="A1:L53"/>
  <sheetViews>
    <sheetView workbookViewId="0">
      <selection activeCell="B4" sqref="B1:B1048576"/>
    </sheetView>
  </sheetViews>
  <sheetFormatPr defaultRowHeight="15" x14ac:dyDescent="0.25"/>
  <cols>
    <col min="1" max="1" width="3.140625" bestFit="1" customWidth="1"/>
    <col min="2" max="2" width="17.85546875" style="42" bestFit="1" customWidth="1"/>
    <col min="3" max="8" width="4.7109375" customWidth="1"/>
  </cols>
  <sheetData>
    <row r="1" spans="1:12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2" spans="1:12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</row>
    <row r="3" spans="1:12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</row>
    <row r="4" spans="1:12" x14ac:dyDescent="0.25">
      <c r="A4" s="25" t="s">
        <v>2</v>
      </c>
      <c r="B4" s="25" t="s">
        <v>4</v>
      </c>
      <c r="C4" s="26" t="s">
        <v>3</v>
      </c>
      <c r="D4" s="29" t="s">
        <v>6</v>
      </c>
      <c r="E4" s="29"/>
      <c r="F4" s="29"/>
      <c r="G4" s="29"/>
      <c r="H4" s="29"/>
      <c r="I4" s="25" t="s">
        <v>14</v>
      </c>
      <c r="J4" s="25" t="s">
        <v>15</v>
      </c>
      <c r="K4" s="25" t="s">
        <v>16</v>
      </c>
      <c r="L4" s="25" t="s">
        <v>17</v>
      </c>
    </row>
    <row r="5" spans="1:12" ht="35.25" x14ac:dyDescent="0.25">
      <c r="A5" s="25"/>
      <c r="B5" s="25"/>
      <c r="C5" s="27"/>
      <c r="D5" s="2" t="s">
        <v>9</v>
      </c>
      <c r="E5" s="2" t="s">
        <v>119</v>
      </c>
      <c r="F5" s="2" t="s">
        <v>542</v>
      </c>
      <c r="G5" s="2" t="s">
        <v>10</v>
      </c>
      <c r="H5" s="2" t="s">
        <v>124</v>
      </c>
      <c r="I5" s="25"/>
      <c r="J5" s="25"/>
      <c r="K5" s="25"/>
      <c r="L5" s="25"/>
    </row>
    <row r="6" spans="1:12" ht="26.1" customHeight="1" x14ac:dyDescent="0.25">
      <c r="A6" s="25"/>
      <c r="B6" s="25"/>
      <c r="C6" s="28"/>
      <c r="D6" s="3">
        <v>25</v>
      </c>
      <c r="E6" s="3">
        <v>25</v>
      </c>
      <c r="F6" s="3">
        <v>25</v>
      </c>
      <c r="G6" s="3">
        <v>25</v>
      </c>
      <c r="H6" s="3">
        <v>25</v>
      </c>
      <c r="I6" s="3">
        <f>SUM(D6:H6)</f>
        <v>125</v>
      </c>
      <c r="J6" s="25"/>
      <c r="K6" s="25"/>
      <c r="L6" s="25"/>
    </row>
    <row r="7" spans="1:12" ht="26.1" customHeight="1" x14ac:dyDescent="0.25">
      <c r="A7" s="4">
        <v>1</v>
      </c>
      <c r="B7" s="41" t="s">
        <v>530</v>
      </c>
      <c r="C7" s="5" t="s">
        <v>541</v>
      </c>
      <c r="D7" s="4">
        <v>0</v>
      </c>
      <c r="E7" s="4">
        <v>17</v>
      </c>
      <c r="F7" s="4">
        <v>0</v>
      </c>
      <c r="G7" s="4">
        <v>0</v>
      </c>
      <c r="H7" s="4">
        <v>13</v>
      </c>
      <c r="I7" s="4">
        <v>125</v>
      </c>
      <c r="J7" s="4">
        <f t="shared" ref="J7:J36" si="0">SUM(D7:H7)</f>
        <v>30</v>
      </c>
      <c r="K7" s="7">
        <f>J7/I7*100</f>
        <v>24</v>
      </c>
      <c r="L7" s="4"/>
    </row>
    <row r="8" spans="1:12" ht="26.1" customHeight="1" x14ac:dyDescent="0.25">
      <c r="A8" s="4">
        <v>2</v>
      </c>
      <c r="B8" s="41" t="s">
        <v>543</v>
      </c>
      <c r="C8" s="5" t="s">
        <v>541</v>
      </c>
      <c r="D8" s="4">
        <v>0</v>
      </c>
      <c r="E8" s="4">
        <v>8</v>
      </c>
      <c r="F8" s="4">
        <v>4</v>
      </c>
      <c r="G8" s="4" t="s">
        <v>445</v>
      </c>
      <c r="H8" s="4">
        <v>6</v>
      </c>
      <c r="I8" s="4">
        <v>125</v>
      </c>
      <c r="J8" s="4">
        <f t="shared" si="0"/>
        <v>18</v>
      </c>
      <c r="K8" s="7">
        <f t="shared" ref="K8:K35" si="1">J8/I8*100</f>
        <v>14.399999999999999</v>
      </c>
      <c r="L8" s="4"/>
    </row>
    <row r="9" spans="1:12" ht="26.1" customHeight="1" x14ac:dyDescent="0.25">
      <c r="A9" s="4">
        <v>3</v>
      </c>
      <c r="B9" s="41" t="s">
        <v>544</v>
      </c>
      <c r="C9" s="5" t="s">
        <v>541</v>
      </c>
      <c r="D9" s="4">
        <v>5</v>
      </c>
      <c r="E9" s="4" t="s">
        <v>445</v>
      </c>
      <c r="F9" s="4">
        <v>0</v>
      </c>
      <c r="G9" s="4" t="s">
        <v>445</v>
      </c>
      <c r="H9" s="4" t="s">
        <v>445</v>
      </c>
      <c r="I9" s="4">
        <v>125</v>
      </c>
      <c r="J9" s="4">
        <f t="shared" si="0"/>
        <v>5</v>
      </c>
      <c r="K9" s="7">
        <f t="shared" si="1"/>
        <v>4</v>
      </c>
      <c r="L9" s="4"/>
    </row>
    <row r="10" spans="1:12" ht="26.1" customHeight="1" x14ac:dyDescent="0.25">
      <c r="A10" s="4">
        <v>4</v>
      </c>
      <c r="B10" s="41" t="s">
        <v>111</v>
      </c>
      <c r="C10" s="5" t="s">
        <v>541</v>
      </c>
      <c r="D10" s="4">
        <v>5</v>
      </c>
      <c r="E10" s="4">
        <v>19</v>
      </c>
      <c r="F10" s="4">
        <v>7</v>
      </c>
      <c r="G10" s="4">
        <v>3</v>
      </c>
      <c r="H10" s="4">
        <v>25</v>
      </c>
      <c r="I10" s="4">
        <v>125</v>
      </c>
      <c r="J10" s="4">
        <f t="shared" si="0"/>
        <v>59</v>
      </c>
      <c r="K10" s="7">
        <f t="shared" si="1"/>
        <v>47.199999999999996</v>
      </c>
      <c r="L10" s="4"/>
    </row>
    <row r="11" spans="1:12" ht="26.1" customHeight="1" x14ac:dyDescent="0.25">
      <c r="A11" s="4">
        <v>5</v>
      </c>
      <c r="B11" s="41" t="s">
        <v>545</v>
      </c>
      <c r="C11" s="5" t="s">
        <v>541</v>
      </c>
      <c r="D11" s="4" t="s">
        <v>445</v>
      </c>
      <c r="E11" s="4" t="s">
        <v>445</v>
      </c>
      <c r="F11" s="4" t="s">
        <v>445</v>
      </c>
      <c r="G11" s="4">
        <v>0</v>
      </c>
      <c r="H11" s="4">
        <v>16</v>
      </c>
      <c r="I11" s="4">
        <v>125</v>
      </c>
      <c r="J11" s="4">
        <f t="shared" si="0"/>
        <v>16</v>
      </c>
      <c r="K11" s="7">
        <f t="shared" si="1"/>
        <v>12.8</v>
      </c>
      <c r="L11" s="4"/>
    </row>
    <row r="12" spans="1:12" ht="26.1" customHeight="1" x14ac:dyDescent="0.25">
      <c r="A12" s="4">
        <v>6</v>
      </c>
      <c r="B12" s="41" t="s">
        <v>56</v>
      </c>
      <c r="C12" s="5" t="s">
        <v>541</v>
      </c>
      <c r="D12" s="4">
        <v>5</v>
      </c>
      <c r="E12" s="4">
        <v>22</v>
      </c>
      <c r="F12" s="4" t="s">
        <v>445</v>
      </c>
      <c r="G12" s="4">
        <v>0</v>
      </c>
      <c r="H12" s="4">
        <v>19</v>
      </c>
      <c r="I12" s="4">
        <v>125</v>
      </c>
      <c r="J12" s="4">
        <f t="shared" si="0"/>
        <v>46</v>
      </c>
      <c r="K12" s="7">
        <f t="shared" si="1"/>
        <v>36.799999999999997</v>
      </c>
      <c r="L12" s="4"/>
    </row>
    <row r="13" spans="1:12" ht="26.1" customHeight="1" x14ac:dyDescent="0.25">
      <c r="A13" s="4">
        <v>7</v>
      </c>
      <c r="B13" s="41" t="s">
        <v>546</v>
      </c>
      <c r="C13" s="5" t="s">
        <v>541</v>
      </c>
      <c r="D13" s="4">
        <v>0</v>
      </c>
      <c r="E13" s="4">
        <v>12</v>
      </c>
      <c r="F13" s="4" t="s">
        <v>445</v>
      </c>
      <c r="G13" s="4" t="s">
        <v>445</v>
      </c>
      <c r="H13" s="4" t="s">
        <v>445</v>
      </c>
      <c r="I13" s="4">
        <v>125</v>
      </c>
      <c r="J13" s="4">
        <f t="shared" si="0"/>
        <v>12</v>
      </c>
      <c r="K13" s="7">
        <f t="shared" si="1"/>
        <v>9.6</v>
      </c>
      <c r="L13" s="4"/>
    </row>
    <row r="14" spans="1:12" ht="26.1" customHeight="1" x14ac:dyDescent="0.25">
      <c r="A14" s="4">
        <v>8</v>
      </c>
      <c r="B14" s="41" t="s">
        <v>547</v>
      </c>
      <c r="C14" s="5" t="s">
        <v>541</v>
      </c>
      <c r="D14" s="4">
        <v>0</v>
      </c>
      <c r="E14" s="4">
        <v>15</v>
      </c>
      <c r="F14" s="4">
        <v>8</v>
      </c>
      <c r="G14" s="4" t="s">
        <v>445</v>
      </c>
      <c r="H14" s="4">
        <v>19</v>
      </c>
      <c r="I14" s="4">
        <v>125</v>
      </c>
      <c r="J14" s="4">
        <f t="shared" si="0"/>
        <v>42</v>
      </c>
      <c r="K14" s="7">
        <f t="shared" si="1"/>
        <v>33.6</v>
      </c>
      <c r="L14" s="4"/>
    </row>
    <row r="15" spans="1:12" ht="26.1" customHeight="1" x14ac:dyDescent="0.25">
      <c r="A15" s="4">
        <v>9</v>
      </c>
      <c r="B15" s="41" t="s">
        <v>548</v>
      </c>
      <c r="C15" s="5" t="s">
        <v>541</v>
      </c>
      <c r="D15" s="4">
        <v>5</v>
      </c>
      <c r="E15" s="4">
        <v>20</v>
      </c>
      <c r="F15" s="4">
        <v>10</v>
      </c>
      <c r="G15" s="4">
        <v>5</v>
      </c>
      <c r="H15" s="4">
        <v>25</v>
      </c>
      <c r="I15" s="4">
        <v>125</v>
      </c>
      <c r="J15" s="4">
        <f t="shared" si="0"/>
        <v>65</v>
      </c>
      <c r="K15" s="7">
        <f t="shared" si="1"/>
        <v>52</v>
      </c>
      <c r="L15" s="4"/>
    </row>
    <row r="16" spans="1:12" ht="26.1" customHeight="1" x14ac:dyDescent="0.25">
      <c r="A16" s="4">
        <v>10</v>
      </c>
      <c r="B16" s="41" t="s">
        <v>549</v>
      </c>
      <c r="C16" s="5" t="s">
        <v>541</v>
      </c>
      <c r="D16" s="4">
        <v>5</v>
      </c>
      <c r="E16" s="4">
        <v>20</v>
      </c>
      <c r="F16" s="4">
        <v>9</v>
      </c>
      <c r="G16" s="4">
        <v>6</v>
      </c>
      <c r="H16" s="4">
        <v>20</v>
      </c>
      <c r="I16" s="4">
        <v>125</v>
      </c>
      <c r="J16" s="4">
        <f t="shared" si="0"/>
        <v>60</v>
      </c>
      <c r="K16" s="7">
        <f t="shared" si="1"/>
        <v>48</v>
      </c>
      <c r="L16" s="4"/>
    </row>
    <row r="17" spans="1:12" ht="26.1" customHeight="1" x14ac:dyDescent="0.25">
      <c r="A17" s="4">
        <v>11</v>
      </c>
      <c r="B17" s="41" t="s">
        <v>550</v>
      </c>
      <c r="C17" s="5" t="s">
        <v>541</v>
      </c>
      <c r="D17" s="4">
        <v>0</v>
      </c>
      <c r="E17" s="4">
        <v>8</v>
      </c>
      <c r="F17" s="4">
        <v>1</v>
      </c>
      <c r="G17" s="4">
        <v>0</v>
      </c>
      <c r="H17" s="4">
        <v>13</v>
      </c>
      <c r="I17" s="4">
        <v>125</v>
      </c>
      <c r="J17" s="4">
        <f t="shared" si="0"/>
        <v>22</v>
      </c>
      <c r="K17" s="7">
        <f t="shared" si="1"/>
        <v>17.599999999999998</v>
      </c>
      <c r="L17" s="4"/>
    </row>
    <row r="18" spans="1:12" ht="26.1" customHeight="1" x14ac:dyDescent="0.25">
      <c r="A18" s="4">
        <v>12</v>
      </c>
      <c r="B18" s="41" t="s">
        <v>551</v>
      </c>
      <c r="C18" s="5" t="s">
        <v>541</v>
      </c>
      <c r="D18" s="4">
        <v>10</v>
      </c>
      <c r="E18" s="4" t="s">
        <v>445</v>
      </c>
      <c r="F18" s="4">
        <v>6</v>
      </c>
      <c r="G18" s="4">
        <v>1</v>
      </c>
      <c r="H18" s="4">
        <v>25</v>
      </c>
      <c r="I18" s="4">
        <v>125</v>
      </c>
      <c r="J18" s="4">
        <f t="shared" si="0"/>
        <v>42</v>
      </c>
      <c r="K18" s="7">
        <f t="shared" si="1"/>
        <v>33.6</v>
      </c>
      <c r="L18" s="4"/>
    </row>
    <row r="19" spans="1:12" ht="26.1" customHeight="1" x14ac:dyDescent="0.25">
      <c r="A19" s="4">
        <v>13</v>
      </c>
      <c r="B19" s="41" t="s">
        <v>552</v>
      </c>
      <c r="C19" s="5" t="s">
        <v>541</v>
      </c>
      <c r="D19" s="4">
        <v>5</v>
      </c>
      <c r="E19" s="4">
        <v>25</v>
      </c>
      <c r="F19" s="4">
        <v>12</v>
      </c>
      <c r="G19" s="4">
        <v>8</v>
      </c>
      <c r="H19" s="4">
        <v>23</v>
      </c>
      <c r="I19" s="4">
        <v>125</v>
      </c>
      <c r="J19" s="4">
        <f t="shared" si="0"/>
        <v>73</v>
      </c>
      <c r="K19" s="7">
        <f t="shared" si="1"/>
        <v>58.4</v>
      </c>
      <c r="L19" s="4"/>
    </row>
    <row r="20" spans="1:12" ht="26.1" customHeight="1" x14ac:dyDescent="0.25">
      <c r="A20" s="4">
        <v>14</v>
      </c>
      <c r="B20" s="41" t="s">
        <v>553</v>
      </c>
      <c r="C20" s="5" t="s">
        <v>541</v>
      </c>
      <c r="D20" s="4">
        <v>10</v>
      </c>
      <c r="E20" s="4">
        <v>20</v>
      </c>
      <c r="F20" s="4">
        <v>9</v>
      </c>
      <c r="G20" s="4" t="s">
        <v>445</v>
      </c>
      <c r="H20" s="4">
        <v>25</v>
      </c>
      <c r="I20" s="4">
        <v>125</v>
      </c>
      <c r="J20" s="4">
        <f t="shared" si="0"/>
        <v>64</v>
      </c>
      <c r="K20" s="7">
        <f t="shared" si="1"/>
        <v>51.2</v>
      </c>
      <c r="L20" s="4"/>
    </row>
    <row r="21" spans="1:12" ht="26.1" customHeight="1" x14ac:dyDescent="0.25">
      <c r="A21" s="4">
        <v>15</v>
      </c>
      <c r="B21" s="41" t="s">
        <v>554</v>
      </c>
      <c r="C21" s="5" t="s">
        <v>541</v>
      </c>
      <c r="D21" s="4">
        <v>10</v>
      </c>
      <c r="E21" s="4">
        <v>20</v>
      </c>
      <c r="F21" s="4" t="s">
        <v>445</v>
      </c>
      <c r="G21" s="4">
        <v>8</v>
      </c>
      <c r="H21" s="4">
        <v>25</v>
      </c>
      <c r="I21" s="4">
        <v>125</v>
      </c>
      <c r="J21" s="4">
        <f t="shared" si="0"/>
        <v>63</v>
      </c>
      <c r="K21" s="7">
        <f t="shared" si="1"/>
        <v>50.4</v>
      </c>
      <c r="L21" s="4"/>
    </row>
    <row r="22" spans="1:12" ht="26.1" customHeight="1" x14ac:dyDescent="0.25">
      <c r="A22" s="4">
        <v>16</v>
      </c>
      <c r="B22" s="41" t="s">
        <v>555</v>
      </c>
      <c r="C22" s="5" t="s">
        <v>541</v>
      </c>
      <c r="D22" s="4">
        <v>10</v>
      </c>
      <c r="E22" s="4">
        <v>23.5</v>
      </c>
      <c r="F22" s="4">
        <v>15</v>
      </c>
      <c r="G22" s="4">
        <v>5</v>
      </c>
      <c r="H22" s="4">
        <v>25</v>
      </c>
      <c r="I22" s="4">
        <v>125</v>
      </c>
      <c r="J22" s="4">
        <f t="shared" si="0"/>
        <v>78.5</v>
      </c>
      <c r="K22" s="7">
        <f t="shared" si="1"/>
        <v>62.8</v>
      </c>
      <c r="L22" s="4"/>
    </row>
    <row r="23" spans="1:12" ht="26.1" customHeight="1" x14ac:dyDescent="0.25">
      <c r="A23" s="4">
        <v>17</v>
      </c>
      <c r="B23" s="41" t="s">
        <v>556</v>
      </c>
      <c r="C23" s="5" t="s">
        <v>541</v>
      </c>
      <c r="D23" s="4">
        <v>5</v>
      </c>
      <c r="E23" s="4">
        <v>18</v>
      </c>
      <c r="F23" s="4">
        <v>4</v>
      </c>
      <c r="G23" s="4">
        <v>0</v>
      </c>
      <c r="H23" s="4">
        <v>21</v>
      </c>
      <c r="I23" s="4">
        <v>125</v>
      </c>
      <c r="J23" s="4">
        <f t="shared" si="0"/>
        <v>48</v>
      </c>
      <c r="K23" s="7">
        <f t="shared" si="1"/>
        <v>38.4</v>
      </c>
      <c r="L23" s="4"/>
    </row>
    <row r="24" spans="1:12" ht="26.1" customHeight="1" x14ac:dyDescent="0.25">
      <c r="A24" s="4">
        <v>18</v>
      </c>
      <c r="B24" s="41" t="s">
        <v>557</v>
      </c>
      <c r="C24" s="5" t="s">
        <v>541</v>
      </c>
      <c r="D24" s="4">
        <v>5</v>
      </c>
      <c r="E24" s="4">
        <v>15</v>
      </c>
      <c r="F24" s="4">
        <v>8</v>
      </c>
      <c r="G24" s="4">
        <v>0</v>
      </c>
      <c r="H24" s="4">
        <v>24</v>
      </c>
      <c r="I24" s="4">
        <v>125</v>
      </c>
      <c r="J24" s="4">
        <f t="shared" si="0"/>
        <v>52</v>
      </c>
      <c r="K24" s="7">
        <f t="shared" si="1"/>
        <v>41.6</v>
      </c>
      <c r="L24" s="4"/>
    </row>
    <row r="25" spans="1:12" ht="26.1" customHeight="1" x14ac:dyDescent="0.25">
      <c r="A25" s="4">
        <v>19</v>
      </c>
      <c r="B25" s="41" t="s">
        <v>558</v>
      </c>
      <c r="C25" s="5" t="s">
        <v>541</v>
      </c>
      <c r="D25" s="4">
        <v>10</v>
      </c>
      <c r="E25" s="4">
        <v>16</v>
      </c>
      <c r="F25" s="4" t="s">
        <v>445</v>
      </c>
      <c r="G25" s="4">
        <v>3</v>
      </c>
      <c r="H25" s="4">
        <v>20</v>
      </c>
      <c r="I25" s="4">
        <v>125</v>
      </c>
      <c r="J25" s="4">
        <f t="shared" si="0"/>
        <v>49</v>
      </c>
      <c r="K25" s="7">
        <f t="shared" si="1"/>
        <v>39.200000000000003</v>
      </c>
      <c r="L25" s="4"/>
    </row>
    <row r="26" spans="1:12" ht="26.1" customHeight="1" x14ac:dyDescent="0.25">
      <c r="A26" s="4">
        <v>20</v>
      </c>
      <c r="B26" s="41" t="s">
        <v>559</v>
      </c>
      <c r="C26" s="5" t="s">
        <v>541</v>
      </c>
      <c r="D26" s="4">
        <v>5</v>
      </c>
      <c r="E26" s="4" t="s">
        <v>445</v>
      </c>
      <c r="F26" s="4" t="s">
        <v>445</v>
      </c>
      <c r="G26" s="4">
        <v>1</v>
      </c>
      <c r="H26" s="4">
        <v>7</v>
      </c>
      <c r="I26" s="4">
        <v>125</v>
      </c>
      <c r="J26" s="4">
        <f t="shared" si="0"/>
        <v>13</v>
      </c>
      <c r="K26" s="7">
        <f t="shared" si="1"/>
        <v>10.4</v>
      </c>
      <c r="L26" s="4"/>
    </row>
    <row r="27" spans="1:12" ht="26.1" customHeight="1" x14ac:dyDescent="0.25">
      <c r="A27" s="4">
        <v>21</v>
      </c>
      <c r="B27" s="41" t="s">
        <v>560</v>
      </c>
      <c r="C27" s="5" t="s">
        <v>541</v>
      </c>
      <c r="D27" s="4">
        <v>0</v>
      </c>
      <c r="E27" s="4">
        <v>10</v>
      </c>
      <c r="F27" s="4">
        <v>0</v>
      </c>
      <c r="G27" s="4">
        <v>0</v>
      </c>
      <c r="H27" s="4">
        <v>18</v>
      </c>
      <c r="I27" s="4">
        <v>125</v>
      </c>
      <c r="J27" s="4">
        <f t="shared" si="0"/>
        <v>28</v>
      </c>
      <c r="K27" s="7">
        <f t="shared" si="1"/>
        <v>22.400000000000002</v>
      </c>
      <c r="L27" s="4"/>
    </row>
    <row r="28" spans="1:12" ht="26.1" customHeight="1" x14ac:dyDescent="0.25">
      <c r="A28" s="4">
        <v>22</v>
      </c>
      <c r="B28" s="41" t="s">
        <v>561</v>
      </c>
      <c r="C28" s="5" t="s">
        <v>541</v>
      </c>
      <c r="D28" s="4" t="s">
        <v>445</v>
      </c>
      <c r="E28" s="4" t="s">
        <v>445</v>
      </c>
      <c r="F28" s="4">
        <v>0</v>
      </c>
      <c r="G28" s="4">
        <v>2</v>
      </c>
      <c r="H28" s="4">
        <v>7</v>
      </c>
      <c r="I28" s="4">
        <v>125</v>
      </c>
      <c r="J28" s="4">
        <f t="shared" si="0"/>
        <v>9</v>
      </c>
      <c r="K28" s="7">
        <f t="shared" si="1"/>
        <v>7.1999999999999993</v>
      </c>
      <c r="L28" s="4"/>
    </row>
    <row r="29" spans="1:12" ht="26.1" customHeight="1" x14ac:dyDescent="0.25">
      <c r="A29" s="4">
        <v>23</v>
      </c>
      <c r="B29" s="41" t="s">
        <v>562</v>
      </c>
      <c r="C29" s="5" t="s">
        <v>541</v>
      </c>
      <c r="D29" s="4">
        <v>5</v>
      </c>
      <c r="E29" s="4">
        <v>20</v>
      </c>
      <c r="F29" s="4">
        <v>12</v>
      </c>
      <c r="G29" s="4">
        <v>6</v>
      </c>
      <c r="H29" s="4">
        <v>23</v>
      </c>
      <c r="I29" s="4">
        <v>125</v>
      </c>
      <c r="J29" s="4">
        <f t="shared" si="0"/>
        <v>66</v>
      </c>
      <c r="K29" s="7">
        <f t="shared" si="1"/>
        <v>52.800000000000004</v>
      </c>
      <c r="L29" s="4"/>
    </row>
    <row r="30" spans="1:12" ht="26.1" customHeight="1" x14ac:dyDescent="0.25">
      <c r="A30" s="4">
        <v>24</v>
      </c>
      <c r="B30" s="41" t="s">
        <v>563</v>
      </c>
      <c r="C30" s="5" t="s">
        <v>541</v>
      </c>
      <c r="D30" s="4">
        <v>0</v>
      </c>
      <c r="E30" s="4">
        <v>18</v>
      </c>
      <c r="F30" s="4">
        <v>2</v>
      </c>
      <c r="G30" s="4">
        <v>6</v>
      </c>
      <c r="H30" s="4">
        <v>25</v>
      </c>
      <c r="I30" s="4">
        <v>125</v>
      </c>
      <c r="J30" s="4">
        <f t="shared" si="0"/>
        <v>51</v>
      </c>
      <c r="K30" s="7">
        <f t="shared" si="1"/>
        <v>40.799999999999997</v>
      </c>
      <c r="L30" s="4"/>
    </row>
    <row r="31" spans="1:12" ht="26.1" customHeight="1" x14ac:dyDescent="0.25">
      <c r="A31" s="4">
        <v>25</v>
      </c>
      <c r="B31" s="41" t="s">
        <v>564</v>
      </c>
      <c r="C31" s="5" t="s">
        <v>541</v>
      </c>
      <c r="D31" s="4" t="s">
        <v>445</v>
      </c>
      <c r="E31" s="4" t="s">
        <v>445</v>
      </c>
      <c r="F31" s="4" t="s">
        <v>445</v>
      </c>
      <c r="G31" s="4" t="s">
        <v>445</v>
      </c>
      <c r="H31" s="4" t="s">
        <v>445</v>
      </c>
      <c r="I31" s="4">
        <v>125</v>
      </c>
      <c r="J31" s="4">
        <f t="shared" si="0"/>
        <v>0</v>
      </c>
      <c r="K31" s="7">
        <f t="shared" si="1"/>
        <v>0</v>
      </c>
      <c r="L31" s="4"/>
    </row>
    <row r="32" spans="1:12" ht="26.1" customHeight="1" x14ac:dyDescent="0.25">
      <c r="A32" s="4">
        <v>26</v>
      </c>
      <c r="B32" s="41" t="s">
        <v>565</v>
      </c>
      <c r="C32" s="5" t="s">
        <v>541</v>
      </c>
      <c r="D32" s="4">
        <v>5</v>
      </c>
      <c r="E32" s="4">
        <v>13</v>
      </c>
      <c r="F32" s="4">
        <v>12</v>
      </c>
      <c r="G32" s="4">
        <v>7</v>
      </c>
      <c r="H32" s="4">
        <v>23</v>
      </c>
      <c r="I32" s="4">
        <v>125</v>
      </c>
      <c r="J32" s="4">
        <f t="shared" si="0"/>
        <v>60</v>
      </c>
      <c r="K32" s="7">
        <f t="shared" si="1"/>
        <v>48</v>
      </c>
      <c r="L32" s="4"/>
    </row>
    <row r="33" spans="1:12" ht="26.1" customHeight="1" x14ac:dyDescent="0.25">
      <c r="A33" s="4">
        <v>27</v>
      </c>
      <c r="B33" s="41" t="s">
        <v>184</v>
      </c>
      <c r="C33" s="5" t="s">
        <v>541</v>
      </c>
      <c r="D33" s="4" t="s">
        <v>445</v>
      </c>
      <c r="E33" s="4">
        <v>23</v>
      </c>
      <c r="F33" s="4">
        <v>16</v>
      </c>
      <c r="G33" s="4">
        <v>9</v>
      </c>
      <c r="H33" s="4">
        <v>25</v>
      </c>
      <c r="I33" s="4">
        <v>125</v>
      </c>
      <c r="J33" s="4">
        <f t="shared" si="0"/>
        <v>73</v>
      </c>
      <c r="K33" s="7">
        <f t="shared" si="1"/>
        <v>58.4</v>
      </c>
      <c r="L33" s="4"/>
    </row>
    <row r="34" spans="1:12" ht="26.1" customHeight="1" x14ac:dyDescent="0.25">
      <c r="A34" s="4">
        <v>28</v>
      </c>
      <c r="B34" s="41" t="s">
        <v>566</v>
      </c>
      <c r="C34" s="5" t="s">
        <v>541</v>
      </c>
      <c r="D34" s="5">
        <v>0</v>
      </c>
      <c r="E34" s="4">
        <v>12</v>
      </c>
      <c r="F34" s="4" t="s">
        <v>445</v>
      </c>
      <c r="G34" s="4" t="s">
        <v>445</v>
      </c>
      <c r="H34" s="4">
        <v>0</v>
      </c>
      <c r="I34" s="4">
        <v>125</v>
      </c>
      <c r="J34" s="4">
        <f t="shared" si="0"/>
        <v>12</v>
      </c>
      <c r="K34" s="7">
        <f t="shared" si="1"/>
        <v>9.6</v>
      </c>
      <c r="L34" s="4"/>
    </row>
    <row r="35" spans="1:12" ht="26.1" customHeight="1" x14ac:dyDescent="0.25">
      <c r="A35" s="4">
        <v>29</v>
      </c>
      <c r="B35" s="41" t="s">
        <v>567</v>
      </c>
      <c r="C35" s="5" t="s">
        <v>541</v>
      </c>
      <c r="D35" s="5">
        <v>10</v>
      </c>
      <c r="E35" s="4">
        <v>20</v>
      </c>
      <c r="F35" s="4">
        <v>17</v>
      </c>
      <c r="G35" s="4">
        <v>4</v>
      </c>
      <c r="H35" s="4">
        <v>25</v>
      </c>
      <c r="I35" s="4">
        <v>125</v>
      </c>
      <c r="J35" s="4">
        <f t="shared" si="0"/>
        <v>76</v>
      </c>
      <c r="K35" s="7">
        <f t="shared" si="1"/>
        <v>60.8</v>
      </c>
      <c r="L35" s="4"/>
    </row>
    <row r="36" spans="1:12" ht="26.1" customHeight="1" x14ac:dyDescent="0.25">
      <c r="A36" s="4">
        <v>30</v>
      </c>
      <c r="B36" s="41" t="s">
        <v>569</v>
      </c>
      <c r="C36" s="5" t="s">
        <v>541</v>
      </c>
      <c r="D36" s="5">
        <v>10</v>
      </c>
      <c r="E36" s="4">
        <v>24.5</v>
      </c>
      <c r="F36" s="4">
        <v>20</v>
      </c>
      <c r="G36" s="4">
        <v>10</v>
      </c>
      <c r="H36" s="4">
        <v>25</v>
      </c>
      <c r="I36" s="4">
        <v>125</v>
      </c>
      <c r="J36" s="4">
        <f t="shared" si="0"/>
        <v>89.5</v>
      </c>
      <c r="K36" s="7">
        <f t="shared" ref="K36" si="2">J36/I36*100</f>
        <v>71.599999999999994</v>
      </c>
      <c r="L36" s="4"/>
    </row>
    <row r="37" spans="1:12" ht="26.1" customHeight="1" x14ac:dyDescent="0.25">
      <c r="A37" s="4">
        <v>31</v>
      </c>
      <c r="B37" s="41" t="s">
        <v>570</v>
      </c>
      <c r="C37" s="5" t="s">
        <v>541</v>
      </c>
      <c r="D37" s="5">
        <v>10</v>
      </c>
      <c r="E37" s="4">
        <v>24</v>
      </c>
      <c r="F37" s="4">
        <v>20</v>
      </c>
      <c r="G37" s="4">
        <v>10</v>
      </c>
      <c r="H37" s="4">
        <v>25</v>
      </c>
      <c r="I37" s="4">
        <v>125</v>
      </c>
      <c r="J37" s="4">
        <f t="shared" ref="J37:J51" si="3">SUM(D37:H37)</f>
        <v>89</v>
      </c>
      <c r="K37" s="7">
        <f t="shared" ref="K37:K51" si="4">J37/I37*100</f>
        <v>71.2</v>
      </c>
      <c r="L37" s="4"/>
    </row>
    <row r="38" spans="1:12" ht="26.1" customHeight="1" x14ac:dyDescent="0.25">
      <c r="A38" s="4">
        <v>32</v>
      </c>
      <c r="B38" s="41" t="s">
        <v>571</v>
      </c>
      <c r="C38" s="5" t="s">
        <v>541</v>
      </c>
      <c r="D38" s="5">
        <v>10</v>
      </c>
      <c r="E38" s="4">
        <v>24</v>
      </c>
      <c r="F38" s="4">
        <v>18</v>
      </c>
      <c r="G38" s="4">
        <v>10</v>
      </c>
      <c r="H38" s="4">
        <v>25</v>
      </c>
      <c r="I38" s="4">
        <v>125</v>
      </c>
      <c r="J38" s="4">
        <f t="shared" si="3"/>
        <v>87</v>
      </c>
      <c r="K38" s="7">
        <f t="shared" si="4"/>
        <v>69.599999999999994</v>
      </c>
      <c r="L38" s="4"/>
    </row>
    <row r="39" spans="1:12" ht="26.1" customHeight="1" x14ac:dyDescent="0.25">
      <c r="A39" s="4">
        <v>33</v>
      </c>
      <c r="B39" s="41" t="s">
        <v>572</v>
      </c>
      <c r="C39" s="5" t="s">
        <v>541</v>
      </c>
      <c r="D39" s="5">
        <v>5</v>
      </c>
      <c r="E39" s="4">
        <v>21</v>
      </c>
      <c r="F39" s="4">
        <v>18</v>
      </c>
      <c r="G39" s="4">
        <v>6</v>
      </c>
      <c r="H39" s="4">
        <v>24</v>
      </c>
      <c r="I39" s="4">
        <v>125</v>
      </c>
      <c r="J39" s="4">
        <f t="shared" si="3"/>
        <v>74</v>
      </c>
      <c r="K39" s="7">
        <f t="shared" si="4"/>
        <v>59.199999999999996</v>
      </c>
      <c r="L39" s="4"/>
    </row>
    <row r="40" spans="1:12" ht="26.1" customHeight="1" x14ac:dyDescent="0.25">
      <c r="A40" s="4">
        <v>34</v>
      </c>
      <c r="B40" s="41" t="s">
        <v>90</v>
      </c>
      <c r="C40" s="5" t="s">
        <v>541</v>
      </c>
      <c r="D40" s="5">
        <v>10</v>
      </c>
      <c r="E40" s="4">
        <v>16</v>
      </c>
      <c r="F40" s="4">
        <v>18</v>
      </c>
      <c r="G40" s="4" t="s">
        <v>445</v>
      </c>
      <c r="H40" s="4" t="s">
        <v>445</v>
      </c>
      <c r="I40" s="4">
        <v>125</v>
      </c>
      <c r="J40" s="4">
        <f t="shared" si="3"/>
        <v>44</v>
      </c>
      <c r="K40" s="7">
        <f t="shared" si="4"/>
        <v>35.199999999999996</v>
      </c>
      <c r="L40" s="4"/>
    </row>
    <row r="41" spans="1:12" ht="26.1" customHeight="1" x14ac:dyDescent="0.25">
      <c r="A41" s="4">
        <v>35</v>
      </c>
      <c r="B41" s="41" t="s">
        <v>573</v>
      </c>
      <c r="C41" s="5" t="s">
        <v>541</v>
      </c>
      <c r="D41" s="5">
        <v>5</v>
      </c>
      <c r="E41" s="4">
        <v>20</v>
      </c>
      <c r="F41" s="4">
        <v>14</v>
      </c>
      <c r="G41" s="4">
        <v>9</v>
      </c>
      <c r="H41" s="4">
        <v>23</v>
      </c>
      <c r="I41" s="4">
        <v>125</v>
      </c>
      <c r="J41" s="4">
        <f t="shared" si="3"/>
        <v>71</v>
      </c>
      <c r="K41" s="7">
        <f t="shared" si="4"/>
        <v>56.8</v>
      </c>
      <c r="L41" s="4"/>
    </row>
    <row r="42" spans="1:12" ht="26.1" customHeight="1" x14ac:dyDescent="0.25">
      <c r="A42" s="4">
        <v>36</v>
      </c>
      <c r="B42" s="41" t="s">
        <v>519</v>
      </c>
      <c r="C42" s="5" t="s">
        <v>541</v>
      </c>
      <c r="D42" s="5">
        <v>10</v>
      </c>
      <c r="E42" s="4">
        <v>14</v>
      </c>
      <c r="F42" s="4">
        <v>19</v>
      </c>
      <c r="G42" s="4">
        <v>4</v>
      </c>
      <c r="H42" s="4">
        <v>22</v>
      </c>
      <c r="I42" s="4">
        <v>125</v>
      </c>
      <c r="J42" s="4">
        <f t="shared" si="3"/>
        <v>69</v>
      </c>
      <c r="K42" s="7">
        <f t="shared" si="4"/>
        <v>55.2</v>
      </c>
      <c r="L42" s="4"/>
    </row>
    <row r="43" spans="1:12" ht="26.1" customHeight="1" x14ac:dyDescent="0.25">
      <c r="A43" s="4">
        <v>37</v>
      </c>
      <c r="B43" s="41" t="s">
        <v>574</v>
      </c>
      <c r="C43" s="5" t="s">
        <v>541</v>
      </c>
      <c r="D43" s="5">
        <v>10</v>
      </c>
      <c r="E43" s="4">
        <v>24.5</v>
      </c>
      <c r="F43" s="4">
        <v>19</v>
      </c>
      <c r="G43" s="4" t="s">
        <v>445</v>
      </c>
      <c r="H43" s="4">
        <v>25</v>
      </c>
      <c r="I43" s="4">
        <v>125</v>
      </c>
      <c r="J43" s="4">
        <f t="shared" si="3"/>
        <v>78.5</v>
      </c>
      <c r="K43" s="7">
        <f t="shared" si="4"/>
        <v>62.8</v>
      </c>
      <c r="L43" s="4"/>
    </row>
    <row r="44" spans="1:12" ht="26.1" customHeight="1" x14ac:dyDescent="0.25">
      <c r="A44" s="4">
        <v>38</v>
      </c>
      <c r="B44" s="41" t="s">
        <v>145</v>
      </c>
      <c r="C44" s="5" t="s">
        <v>541</v>
      </c>
      <c r="D44" s="5">
        <v>0</v>
      </c>
      <c r="E44" s="4">
        <v>5</v>
      </c>
      <c r="F44" s="4" t="s">
        <v>445</v>
      </c>
      <c r="G44" s="4">
        <v>0</v>
      </c>
      <c r="H44" s="4">
        <v>21</v>
      </c>
      <c r="I44" s="4">
        <v>125</v>
      </c>
      <c r="J44" s="4">
        <f t="shared" si="3"/>
        <v>26</v>
      </c>
      <c r="K44" s="7">
        <f t="shared" si="4"/>
        <v>20.8</v>
      </c>
      <c r="L44" s="4"/>
    </row>
    <row r="45" spans="1:12" ht="26.1" customHeight="1" x14ac:dyDescent="0.25">
      <c r="A45" s="4">
        <v>39</v>
      </c>
      <c r="B45" s="41" t="s">
        <v>575</v>
      </c>
      <c r="C45" s="5" t="s">
        <v>541</v>
      </c>
      <c r="D45" s="5">
        <v>0</v>
      </c>
      <c r="E45" s="4">
        <v>9</v>
      </c>
      <c r="F45" s="4">
        <v>9</v>
      </c>
      <c r="G45" s="4">
        <v>5</v>
      </c>
      <c r="H45" s="4">
        <v>8</v>
      </c>
      <c r="I45" s="4">
        <v>125</v>
      </c>
      <c r="J45" s="4">
        <f t="shared" si="3"/>
        <v>31</v>
      </c>
      <c r="K45" s="7">
        <f t="shared" si="4"/>
        <v>24.8</v>
      </c>
      <c r="L45" s="4"/>
    </row>
    <row r="46" spans="1:12" ht="26.1" customHeight="1" x14ac:dyDescent="0.25">
      <c r="A46" s="4">
        <v>40</v>
      </c>
      <c r="B46" s="41" t="s">
        <v>576</v>
      </c>
      <c r="C46" s="5" t="s">
        <v>541</v>
      </c>
      <c r="D46" s="5">
        <v>10</v>
      </c>
      <c r="E46" s="4">
        <v>12</v>
      </c>
      <c r="F46" s="4">
        <v>15</v>
      </c>
      <c r="G46" s="4">
        <v>5</v>
      </c>
      <c r="H46" s="4">
        <v>24</v>
      </c>
      <c r="I46" s="4">
        <v>125</v>
      </c>
      <c r="J46" s="4">
        <f t="shared" si="3"/>
        <v>66</v>
      </c>
      <c r="K46" s="7">
        <f t="shared" si="4"/>
        <v>52.800000000000004</v>
      </c>
      <c r="L46" s="4"/>
    </row>
    <row r="47" spans="1:12" ht="26.1" customHeight="1" x14ac:dyDescent="0.25">
      <c r="A47" s="4">
        <v>41</v>
      </c>
      <c r="B47" s="41" t="s">
        <v>577</v>
      </c>
      <c r="C47" s="5" t="s">
        <v>541</v>
      </c>
      <c r="D47" s="5">
        <v>0</v>
      </c>
      <c r="E47" s="4">
        <v>10</v>
      </c>
      <c r="F47" s="4">
        <v>12</v>
      </c>
      <c r="G47" s="4">
        <v>9</v>
      </c>
      <c r="H47" s="4">
        <v>25</v>
      </c>
      <c r="I47" s="4">
        <v>125</v>
      </c>
      <c r="J47" s="4">
        <f t="shared" si="3"/>
        <v>56</v>
      </c>
      <c r="K47" s="7">
        <f t="shared" si="4"/>
        <v>44.800000000000004</v>
      </c>
      <c r="L47" s="4"/>
    </row>
    <row r="48" spans="1:12" ht="26.1" customHeight="1" x14ac:dyDescent="0.25">
      <c r="A48" s="4">
        <v>42</v>
      </c>
      <c r="B48" s="41" t="s">
        <v>578</v>
      </c>
      <c r="C48" s="5" t="s">
        <v>541</v>
      </c>
      <c r="D48" s="5">
        <v>5</v>
      </c>
      <c r="E48" s="4" t="s">
        <v>445</v>
      </c>
      <c r="F48" s="4" t="s">
        <v>445</v>
      </c>
      <c r="G48" s="4">
        <v>2</v>
      </c>
      <c r="H48" s="4">
        <v>8</v>
      </c>
      <c r="I48" s="4">
        <v>125</v>
      </c>
      <c r="J48" s="4">
        <f t="shared" si="3"/>
        <v>15</v>
      </c>
      <c r="K48" s="7">
        <f t="shared" si="4"/>
        <v>12</v>
      </c>
      <c r="L48" s="4"/>
    </row>
    <row r="49" spans="1:12" ht="26.1" customHeight="1" x14ac:dyDescent="0.25">
      <c r="A49" s="4">
        <v>43</v>
      </c>
      <c r="B49" s="41" t="s">
        <v>179</v>
      </c>
      <c r="C49" s="5" t="s">
        <v>541</v>
      </c>
      <c r="D49" s="5">
        <v>10</v>
      </c>
      <c r="E49" s="4">
        <v>10</v>
      </c>
      <c r="F49" s="4">
        <v>19</v>
      </c>
      <c r="G49" s="4">
        <v>8</v>
      </c>
      <c r="H49" s="4" t="s">
        <v>445</v>
      </c>
      <c r="I49" s="4">
        <v>125</v>
      </c>
      <c r="J49" s="4">
        <f t="shared" si="3"/>
        <v>47</v>
      </c>
      <c r="K49" s="7">
        <f t="shared" si="4"/>
        <v>37.6</v>
      </c>
      <c r="L49" s="4"/>
    </row>
    <row r="50" spans="1:12" ht="26.1" customHeight="1" x14ac:dyDescent="0.25">
      <c r="A50" s="4">
        <v>44</v>
      </c>
      <c r="B50" s="41" t="s">
        <v>581</v>
      </c>
      <c r="C50" s="5" t="s">
        <v>541</v>
      </c>
      <c r="D50" s="5">
        <v>5</v>
      </c>
      <c r="E50" s="4" t="s">
        <v>445</v>
      </c>
      <c r="F50" s="4">
        <v>6</v>
      </c>
      <c r="G50" s="4">
        <v>3</v>
      </c>
      <c r="H50" s="4">
        <v>21</v>
      </c>
      <c r="I50" s="4">
        <v>125</v>
      </c>
      <c r="J50" s="4">
        <f t="shared" si="3"/>
        <v>35</v>
      </c>
      <c r="K50" s="7">
        <f t="shared" si="4"/>
        <v>28.000000000000004</v>
      </c>
      <c r="L50" s="4"/>
    </row>
    <row r="51" spans="1:12" x14ac:dyDescent="0.25">
      <c r="A51" s="4">
        <v>45</v>
      </c>
      <c r="B51" s="41" t="s">
        <v>579</v>
      </c>
      <c r="C51" s="5" t="s">
        <v>541</v>
      </c>
      <c r="D51" s="5">
        <v>10</v>
      </c>
      <c r="E51" s="4">
        <v>20</v>
      </c>
      <c r="F51" s="4">
        <v>18</v>
      </c>
      <c r="G51" s="4">
        <v>4</v>
      </c>
      <c r="H51" s="4">
        <v>20</v>
      </c>
      <c r="I51" s="4">
        <v>125</v>
      </c>
      <c r="J51" s="4">
        <f t="shared" si="3"/>
        <v>72</v>
      </c>
      <c r="K51" s="7">
        <f t="shared" si="4"/>
        <v>57.599999999999994</v>
      </c>
      <c r="L51" s="4"/>
    </row>
    <row r="52" spans="1:12" x14ac:dyDescent="0.25">
      <c r="A52" s="4">
        <v>46</v>
      </c>
      <c r="B52" s="41" t="s">
        <v>48</v>
      </c>
      <c r="C52" s="5" t="s">
        <v>541</v>
      </c>
      <c r="D52" s="5">
        <v>0</v>
      </c>
      <c r="E52" s="4">
        <v>14</v>
      </c>
      <c r="F52" s="4">
        <v>2</v>
      </c>
      <c r="G52" s="4">
        <v>4</v>
      </c>
      <c r="H52" s="4">
        <v>25</v>
      </c>
      <c r="I52" s="4">
        <v>125</v>
      </c>
      <c r="J52" s="4">
        <f t="shared" ref="J52:J53" si="5">SUM(D52:H52)</f>
        <v>45</v>
      </c>
      <c r="K52" s="7">
        <f t="shared" ref="K52:K53" si="6">J52/I52*100</f>
        <v>36</v>
      </c>
      <c r="L52" s="4"/>
    </row>
    <row r="53" spans="1:12" x14ac:dyDescent="0.25">
      <c r="A53" s="4">
        <v>47</v>
      </c>
      <c r="B53" s="41" t="s">
        <v>580</v>
      </c>
      <c r="C53" s="5" t="s">
        <v>541</v>
      </c>
      <c r="D53" s="5" t="s">
        <v>445</v>
      </c>
      <c r="E53" s="4">
        <v>10</v>
      </c>
      <c r="F53" s="4" t="s">
        <v>445</v>
      </c>
      <c r="G53" s="4">
        <v>10</v>
      </c>
      <c r="H53" s="4" t="s">
        <v>445</v>
      </c>
      <c r="I53" s="4">
        <v>125</v>
      </c>
      <c r="J53" s="4">
        <f t="shared" si="5"/>
        <v>20</v>
      </c>
      <c r="K53" s="7">
        <f t="shared" si="6"/>
        <v>16</v>
      </c>
      <c r="L53" s="4"/>
    </row>
  </sheetData>
  <mergeCells count="11">
    <mergeCell ref="L4:L6"/>
    <mergeCell ref="A1:L1"/>
    <mergeCell ref="A3:L3"/>
    <mergeCell ref="A4:A6"/>
    <mergeCell ref="B4:B6"/>
    <mergeCell ref="C4:C6"/>
    <mergeCell ref="D4:H4"/>
    <mergeCell ref="I4:I5"/>
    <mergeCell ref="J4:J6"/>
    <mergeCell ref="K4:K6"/>
    <mergeCell ref="A2:L2"/>
  </mergeCells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912F-CC4F-4B16-9CDB-65AB48B86E8A}">
  <dimension ref="A1:K29"/>
  <sheetViews>
    <sheetView workbookViewId="0">
      <selection activeCell="B8" sqref="B8"/>
    </sheetView>
  </sheetViews>
  <sheetFormatPr defaultRowHeight="15" x14ac:dyDescent="0.25"/>
  <cols>
    <col min="1" max="1" width="3.140625" bestFit="1" customWidth="1"/>
    <col min="2" max="2" width="18" style="42" bestFit="1" customWidth="1"/>
    <col min="3" max="7" width="4.7109375" customWidth="1"/>
  </cols>
  <sheetData>
    <row r="1" spans="1:11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</row>
    <row r="4" spans="1:11" x14ac:dyDescent="0.25">
      <c r="A4" s="25" t="s">
        <v>2</v>
      </c>
      <c r="B4" s="25" t="s">
        <v>4</v>
      </c>
      <c r="C4" s="26" t="s">
        <v>3</v>
      </c>
      <c r="D4" s="29" t="s">
        <v>6</v>
      </c>
      <c r="E4" s="29"/>
      <c r="F4" s="29"/>
      <c r="G4" s="29"/>
      <c r="H4" s="25" t="s">
        <v>14</v>
      </c>
      <c r="I4" s="25" t="s">
        <v>15</v>
      </c>
      <c r="J4" s="25" t="s">
        <v>16</v>
      </c>
      <c r="K4" s="25" t="s">
        <v>17</v>
      </c>
    </row>
    <row r="5" spans="1:11" ht="35.25" x14ac:dyDescent="0.25">
      <c r="A5" s="25"/>
      <c r="B5" s="25"/>
      <c r="C5" s="27"/>
      <c r="D5" s="2" t="s">
        <v>119</v>
      </c>
      <c r="E5" s="2" t="s">
        <v>540</v>
      </c>
      <c r="F5" s="2" t="s">
        <v>124</v>
      </c>
      <c r="G5" s="2" t="s">
        <v>181</v>
      </c>
      <c r="H5" s="25"/>
      <c r="I5" s="25"/>
      <c r="J5" s="25"/>
      <c r="K5" s="25"/>
    </row>
    <row r="6" spans="1:11" ht="26.1" customHeight="1" x14ac:dyDescent="0.25">
      <c r="A6" s="25"/>
      <c r="B6" s="25"/>
      <c r="C6" s="28"/>
      <c r="D6" s="3">
        <v>25</v>
      </c>
      <c r="E6" s="3">
        <v>25</v>
      </c>
      <c r="F6" s="3">
        <v>25</v>
      </c>
      <c r="G6" s="3">
        <v>25</v>
      </c>
      <c r="H6" s="3">
        <f>SUM(D6:G6)</f>
        <v>100</v>
      </c>
      <c r="I6" s="25"/>
      <c r="J6" s="25"/>
      <c r="K6" s="25"/>
    </row>
    <row r="7" spans="1:11" ht="26.1" customHeight="1" x14ac:dyDescent="0.25">
      <c r="A7" s="4">
        <v>1</v>
      </c>
      <c r="B7" s="41" t="s">
        <v>582</v>
      </c>
      <c r="C7" s="5" t="s">
        <v>568</v>
      </c>
      <c r="D7" s="4">
        <v>0</v>
      </c>
      <c r="E7" s="4">
        <v>0</v>
      </c>
      <c r="F7" s="4">
        <v>25</v>
      </c>
      <c r="G7" s="4">
        <v>10</v>
      </c>
      <c r="H7" s="4">
        <v>125</v>
      </c>
      <c r="I7" s="4">
        <f t="shared" ref="I7:I29" si="0">SUM(D7:G7)</f>
        <v>35</v>
      </c>
      <c r="J7" s="7">
        <f>I7/H7*100</f>
        <v>28.000000000000004</v>
      </c>
      <c r="K7" s="4"/>
    </row>
    <row r="8" spans="1:11" ht="26.1" customHeight="1" x14ac:dyDescent="0.25">
      <c r="A8" s="4">
        <v>2</v>
      </c>
      <c r="B8" s="41" t="s">
        <v>583</v>
      </c>
      <c r="C8" s="5" t="s">
        <v>568</v>
      </c>
      <c r="D8" s="4">
        <v>23</v>
      </c>
      <c r="E8" s="4">
        <v>10</v>
      </c>
      <c r="F8" s="4">
        <v>25</v>
      </c>
      <c r="G8" s="4">
        <v>0</v>
      </c>
      <c r="H8" s="4">
        <v>125</v>
      </c>
      <c r="I8" s="4">
        <f t="shared" si="0"/>
        <v>58</v>
      </c>
      <c r="J8" s="7">
        <f t="shared" ref="J8:J29" si="1">I8/H8*100</f>
        <v>46.400000000000006</v>
      </c>
      <c r="K8" s="4"/>
    </row>
    <row r="9" spans="1:11" ht="26.1" customHeight="1" x14ac:dyDescent="0.25">
      <c r="A9" s="4">
        <v>3</v>
      </c>
      <c r="B9" s="41" t="s">
        <v>584</v>
      </c>
      <c r="C9" s="5" t="s">
        <v>568</v>
      </c>
      <c r="D9" s="4">
        <v>25</v>
      </c>
      <c r="E9" s="4">
        <v>15</v>
      </c>
      <c r="F9" s="4" t="s">
        <v>445</v>
      </c>
      <c r="G9" s="4" t="s">
        <v>445</v>
      </c>
      <c r="H9" s="4">
        <v>125</v>
      </c>
      <c r="I9" s="4">
        <f t="shared" si="0"/>
        <v>40</v>
      </c>
      <c r="J9" s="7">
        <f t="shared" si="1"/>
        <v>32</v>
      </c>
      <c r="K9" s="4"/>
    </row>
    <row r="10" spans="1:11" ht="26.1" customHeight="1" x14ac:dyDescent="0.25">
      <c r="A10" s="4">
        <v>4</v>
      </c>
      <c r="B10" s="41" t="s">
        <v>160</v>
      </c>
      <c r="C10" s="5" t="s">
        <v>568</v>
      </c>
      <c r="D10" s="4">
        <v>25</v>
      </c>
      <c r="E10" s="4">
        <v>20</v>
      </c>
      <c r="F10" s="4">
        <v>25</v>
      </c>
      <c r="G10" s="4">
        <v>25</v>
      </c>
      <c r="H10" s="4">
        <v>125</v>
      </c>
      <c r="I10" s="4">
        <f t="shared" si="0"/>
        <v>95</v>
      </c>
      <c r="J10" s="7">
        <f t="shared" si="1"/>
        <v>76</v>
      </c>
      <c r="K10" s="4"/>
    </row>
    <row r="11" spans="1:11" ht="26.1" customHeight="1" x14ac:dyDescent="0.25">
      <c r="A11" s="4">
        <v>5</v>
      </c>
      <c r="B11" s="41" t="s">
        <v>576</v>
      </c>
      <c r="C11" s="5" t="s">
        <v>568</v>
      </c>
      <c r="D11" s="4">
        <v>23</v>
      </c>
      <c r="E11" s="4">
        <v>20</v>
      </c>
      <c r="F11" s="4">
        <v>18</v>
      </c>
      <c r="G11" s="4">
        <v>16</v>
      </c>
      <c r="H11" s="4">
        <v>125</v>
      </c>
      <c r="I11" s="4">
        <f t="shared" si="0"/>
        <v>77</v>
      </c>
      <c r="J11" s="7">
        <f t="shared" si="1"/>
        <v>61.6</v>
      </c>
      <c r="K11" s="4"/>
    </row>
    <row r="12" spans="1:11" ht="26.1" customHeight="1" x14ac:dyDescent="0.25">
      <c r="A12" s="4">
        <v>6</v>
      </c>
      <c r="B12" s="41" t="s">
        <v>585</v>
      </c>
      <c r="C12" s="5" t="s">
        <v>568</v>
      </c>
      <c r="D12" s="4">
        <v>24</v>
      </c>
      <c r="E12" s="4">
        <v>10</v>
      </c>
      <c r="F12" s="4">
        <v>25</v>
      </c>
      <c r="G12" s="4">
        <v>5</v>
      </c>
      <c r="H12" s="4">
        <v>125</v>
      </c>
      <c r="I12" s="4">
        <f t="shared" si="0"/>
        <v>64</v>
      </c>
      <c r="J12" s="7">
        <f t="shared" si="1"/>
        <v>51.2</v>
      </c>
      <c r="K12" s="4"/>
    </row>
    <row r="13" spans="1:11" ht="26.1" customHeight="1" x14ac:dyDescent="0.25">
      <c r="A13" s="4">
        <v>7</v>
      </c>
      <c r="B13" s="41" t="s">
        <v>164</v>
      </c>
      <c r="C13" s="5" t="s">
        <v>568</v>
      </c>
      <c r="D13" s="4">
        <v>10</v>
      </c>
      <c r="E13" s="4">
        <v>15</v>
      </c>
      <c r="F13" s="4">
        <v>0</v>
      </c>
      <c r="G13" s="4">
        <v>0</v>
      </c>
      <c r="H13" s="4">
        <v>125</v>
      </c>
      <c r="I13" s="4">
        <f t="shared" si="0"/>
        <v>25</v>
      </c>
      <c r="J13" s="7">
        <f t="shared" si="1"/>
        <v>20</v>
      </c>
      <c r="K13" s="4"/>
    </row>
    <row r="14" spans="1:11" ht="26.1" customHeight="1" x14ac:dyDescent="0.25">
      <c r="A14" s="4">
        <v>8</v>
      </c>
      <c r="B14" s="41" t="s">
        <v>586</v>
      </c>
      <c r="C14" s="5" t="s">
        <v>568</v>
      </c>
      <c r="D14" s="4">
        <v>21</v>
      </c>
      <c r="E14" s="4">
        <v>18</v>
      </c>
      <c r="F14" s="4">
        <v>16</v>
      </c>
      <c r="G14" s="4">
        <v>16</v>
      </c>
      <c r="H14" s="4">
        <v>125</v>
      </c>
      <c r="I14" s="4">
        <f t="shared" si="0"/>
        <v>71</v>
      </c>
      <c r="J14" s="7">
        <f t="shared" si="1"/>
        <v>56.8</v>
      </c>
      <c r="K14" s="4"/>
    </row>
    <row r="15" spans="1:11" ht="26.1" customHeight="1" x14ac:dyDescent="0.25">
      <c r="A15" s="4">
        <v>9</v>
      </c>
      <c r="B15" s="41" t="s">
        <v>354</v>
      </c>
      <c r="C15" s="5" t="s">
        <v>568</v>
      </c>
      <c r="D15" s="4">
        <v>22</v>
      </c>
      <c r="E15" s="4">
        <v>15</v>
      </c>
      <c r="F15" s="4">
        <v>25</v>
      </c>
      <c r="G15" s="4">
        <v>25</v>
      </c>
      <c r="H15" s="4">
        <v>125</v>
      </c>
      <c r="I15" s="4">
        <f t="shared" si="0"/>
        <v>87</v>
      </c>
      <c r="J15" s="7">
        <f t="shared" si="1"/>
        <v>69.599999999999994</v>
      </c>
      <c r="K15" s="4"/>
    </row>
    <row r="16" spans="1:11" ht="26.1" customHeight="1" x14ac:dyDescent="0.25">
      <c r="A16" s="4">
        <v>10</v>
      </c>
      <c r="B16" s="41" t="s">
        <v>587</v>
      </c>
      <c r="C16" s="5" t="s">
        <v>568</v>
      </c>
      <c r="D16" s="4">
        <v>24</v>
      </c>
      <c r="E16" s="4">
        <v>18</v>
      </c>
      <c r="F16" s="4">
        <v>25</v>
      </c>
      <c r="G16" s="4">
        <v>0</v>
      </c>
      <c r="H16" s="4">
        <v>125</v>
      </c>
      <c r="I16" s="4">
        <f t="shared" si="0"/>
        <v>67</v>
      </c>
      <c r="J16" s="7">
        <f t="shared" si="1"/>
        <v>53.6</v>
      </c>
      <c r="K16" s="4"/>
    </row>
    <row r="17" spans="1:11" ht="26.1" customHeight="1" x14ac:dyDescent="0.25">
      <c r="A17" s="4">
        <v>11</v>
      </c>
      <c r="B17" s="41" t="s">
        <v>588</v>
      </c>
      <c r="C17" s="5" t="s">
        <v>568</v>
      </c>
      <c r="D17" s="4">
        <v>8</v>
      </c>
      <c r="E17" s="4">
        <v>10</v>
      </c>
      <c r="F17" s="4">
        <v>8</v>
      </c>
      <c r="G17" s="4">
        <v>0</v>
      </c>
      <c r="H17" s="4">
        <v>125</v>
      </c>
      <c r="I17" s="4">
        <f t="shared" si="0"/>
        <v>26</v>
      </c>
      <c r="J17" s="7">
        <f t="shared" si="1"/>
        <v>20.8</v>
      </c>
      <c r="K17" s="4"/>
    </row>
    <row r="18" spans="1:11" ht="26.1" customHeight="1" x14ac:dyDescent="0.25">
      <c r="A18" s="4">
        <v>12</v>
      </c>
      <c r="B18" s="41" t="s">
        <v>589</v>
      </c>
      <c r="C18" s="5" t="s">
        <v>568</v>
      </c>
      <c r="D18" s="4">
        <v>25</v>
      </c>
      <c r="E18" s="4">
        <v>15</v>
      </c>
      <c r="F18" s="4">
        <v>20</v>
      </c>
      <c r="G18" s="4">
        <v>25</v>
      </c>
      <c r="H18" s="4">
        <v>125</v>
      </c>
      <c r="I18" s="4">
        <f t="shared" si="0"/>
        <v>85</v>
      </c>
      <c r="J18" s="7">
        <f t="shared" si="1"/>
        <v>68</v>
      </c>
      <c r="K18" s="4"/>
    </row>
    <row r="19" spans="1:11" ht="26.1" customHeight="1" x14ac:dyDescent="0.25">
      <c r="A19" s="4">
        <v>13</v>
      </c>
      <c r="B19" s="41" t="s">
        <v>590</v>
      </c>
      <c r="C19" s="5" t="s">
        <v>568</v>
      </c>
      <c r="D19" s="4">
        <v>23</v>
      </c>
      <c r="E19" s="4">
        <v>12</v>
      </c>
      <c r="F19" s="4" t="s">
        <v>445</v>
      </c>
      <c r="G19" s="4">
        <v>0</v>
      </c>
      <c r="H19" s="4">
        <v>125</v>
      </c>
      <c r="I19" s="4">
        <f t="shared" si="0"/>
        <v>35</v>
      </c>
      <c r="J19" s="7">
        <f t="shared" si="1"/>
        <v>28.000000000000004</v>
      </c>
      <c r="K19" s="4"/>
    </row>
    <row r="20" spans="1:11" ht="26.1" customHeight="1" x14ac:dyDescent="0.25">
      <c r="A20" s="4">
        <v>14</v>
      </c>
      <c r="B20" s="41" t="s">
        <v>591</v>
      </c>
      <c r="C20" s="5" t="s">
        <v>568</v>
      </c>
      <c r="D20" s="4">
        <v>21</v>
      </c>
      <c r="E20" s="4">
        <v>10</v>
      </c>
      <c r="F20" s="4">
        <v>25</v>
      </c>
      <c r="G20" s="4">
        <v>25</v>
      </c>
      <c r="H20" s="4">
        <v>125</v>
      </c>
      <c r="I20" s="4">
        <f t="shared" si="0"/>
        <v>81</v>
      </c>
      <c r="J20" s="7">
        <f t="shared" si="1"/>
        <v>64.8</v>
      </c>
      <c r="K20" s="4"/>
    </row>
    <row r="21" spans="1:11" ht="26.1" customHeight="1" x14ac:dyDescent="0.25">
      <c r="A21" s="4">
        <v>15</v>
      </c>
      <c r="B21" s="41" t="s">
        <v>592</v>
      </c>
      <c r="C21" s="5" t="s">
        <v>568</v>
      </c>
      <c r="D21" s="4">
        <v>25</v>
      </c>
      <c r="E21" s="4">
        <v>18</v>
      </c>
      <c r="F21" s="4">
        <v>25</v>
      </c>
      <c r="G21" s="4">
        <v>25</v>
      </c>
      <c r="H21" s="4">
        <v>125</v>
      </c>
      <c r="I21" s="4">
        <f t="shared" si="0"/>
        <v>93</v>
      </c>
      <c r="J21" s="7">
        <f t="shared" si="1"/>
        <v>74.400000000000006</v>
      </c>
      <c r="K21" s="4"/>
    </row>
    <row r="22" spans="1:11" ht="26.1" customHeight="1" x14ac:dyDescent="0.25">
      <c r="A22" s="4">
        <v>16</v>
      </c>
      <c r="B22" s="41" t="s">
        <v>593</v>
      </c>
      <c r="C22" s="5" t="s">
        <v>568</v>
      </c>
      <c r="D22" s="4">
        <v>14</v>
      </c>
      <c r="E22" s="4">
        <v>12</v>
      </c>
      <c r="F22" s="4">
        <v>18</v>
      </c>
      <c r="G22" s="4">
        <v>20</v>
      </c>
      <c r="H22" s="4">
        <v>125</v>
      </c>
      <c r="I22" s="4">
        <f t="shared" si="0"/>
        <v>64</v>
      </c>
      <c r="J22" s="7">
        <f t="shared" si="1"/>
        <v>51.2</v>
      </c>
      <c r="K22" s="4"/>
    </row>
    <row r="23" spans="1:11" ht="26.1" customHeight="1" x14ac:dyDescent="0.25">
      <c r="A23" s="4">
        <v>17</v>
      </c>
      <c r="B23" s="41" t="s">
        <v>191</v>
      </c>
      <c r="C23" s="5" t="s">
        <v>568</v>
      </c>
      <c r="D23" s="4">
        <v>6</v>
      </c>
      <c r="E23" s="4">
        <v>18</v>
      </c>
      <c r="F23" s="4">
        <v>15</v>
      </c>
      <c r="G23" s="4">
        <v>2</v>
      </c>
      <c r="H23" s="4">
        <v>125</v>
      </c>
      <c r="I23" s="4">
        <f t="shared" si="0"/>
        <v>41</v>
      </c>
      <c r="J23" s="7">
        <f t="shared" si="1"/>
        <v>32.800000000000004</v>
      </c>
      <c r="K23" s="4"/>
    </row>
    <row r="24" spans="1:11" ht="26.1" customHeight="1" x14ac:dyDescent="0.25">
      <c r="A24" s="4">
        <v>18</v>
      </c>
      <c r="B24" s="41" t="s">
        <v>594</v>
      </c>
      <c r="C24" s="5" t="s">
        <v>568</v>
      </c>
      <c r="D24" s="4">
        <v>23</v>
      </c>
      <c r="E24" s="4">
        <v>14</v>
      </c>
      <c r="F24" s="4">
        <v>25</v>
      </c>
      <c r="G24" s="4">
        <v>25</v>
      </c>
      <c r="H24" s="4">
        <v>125</v>
      </c>
      <c r="I24" s="4">
        <f t="shared" si="0"/>
        <v>87</v>
      </c>
      <c r="J24" s="7">
        <f t="shared" si="1"/>
        <v>69.599999999999994</v>
      </c>
      <c r="K24" s="4"/>
    </row>
    <row r="25" spans="1:11" ht="26.1" customHeight="1" x14ac:dyDescent="0.25">
      <c r="A25" s="4">
        <v>19</v>
      </c>
      <c r="B25" s="41" t="s">
        <v>595</v>
      </c>
      <c r="C25" s="5" t="s">
        <v>568</v>
      </c>
      <c r="D25" s="4">
        <v>24</v>
      </c>
      <c r="E25" s="4">
        <v>15</v>
      </c>
      <c r="F25" s="4">
        <v>25</v>
      </c>
      <c r="G25" s="4">
        <v>25</v>
      </c>
      <c r="H25" s="4">
        <v>125</v>
      </c>
      <c r="I25" s="4">
        <f t="shared" si="0"/>
        <v>89</v>
      </c>
      <c r="J25" s="7">
        <f t="shared" si="1"/>
        <v>71.2</v>
      </c>
      <c r="K25" s="4"/>
    </row>
    <row r="26" spans="1:11" ht="26.1" customHeight="1" x14ac:dyDescent="0.25">
      <c r="A26" s="4">
        <v>20</v>
      </c>
      <c r="B26" s="41" t="s">
        <v>596</v>
      </c>
      <c r="C26" s="5" t="s">
        <v>568</v>
      </c>
      <c r="D26" s="4" t="s">
        <v>445</v>
      </c>
      <c r="E26" s="4">
        <v>18</v>
      </c>
      <c r="F26" s="4">
        <v>20</v>
      </c>
      <c r="G26" s="4">
        <v>0</v>
      </c>
      <c r="H26" s="4">
        <v>125</v>
      </c>
      <c r="I26" s="4">
        <f t="shared" si="0"/>
        <v>38</v>
      </c>
      <c r="J26" s="7">
        <f t="shared" si="1"/>
        <v>30.4</v>
      </c>
      <c r="K26" s="4"/>
    </row>
    <row r="27" spans="1:11" ht="26.1" customHeight="1" x14ac:dyDescent="0.25">
      <c r="A27" s="4">
        <v>21</v>
      </c>
      <c r="B27" s="41" t="s">
        <v>179</v>
      </c>
      <c r="C27" s="5" t="s">
        <v>568</v>
      </c>
      <c r="D27" s="4">
        <v>12</v>
      </c>
      <c r="E27" s="4">
        <v>12</v>
      </c>
      <c r="F27" s="4">
        <v>9</v>
      </c>
      <c r="G27" s="4">
        <v>0</v>
      </c>
      <c r="H27" s="4">
        <v>125</v>
      </c>
      <c r="I27" s="4">
        <f t="shared" si="0"/>
        <v>33</v>
      </c>
      <c r="J27" s="7">
        <f t="shared" si="1"/>
        <v>26.400000000000002</v>
      </c>
      <c r="K27" s="4"/>
    </row>
    <row r="28" spans="1:11" ht="26.1" customHeight="1" x14ac:dyDescent="0.25">
      <c r="A28" s="4">
        <v>22</v>
      </c>
      <c r="B28" s="41" t="s">
        <v>597</v>
      </c>
      <c r="C28" s="5" t="s">
        <v>568</v>
      </c>
      <c r="D28" s="4">
        <v>13</v>
      </c>
      <c r="E28" s="4">
        <v>12</v>
      </c>
      <c r="F28" s="4">
        <v>15</v>
      </c>
      <c r="G28" s="4">
        <v>10</v>
      </c>
      <c r="H28" s="4">
        <v>125</v>
      </c>
      <c r="I28" s="4">
        <f t="shared" si="0"/>
        <v>50</v>
      </c>
      <c r="J28" s="7">
        <f t="shared" si="1"/>
        <v>40</v>
      </c>
      <c r="K28" s="4"/>
    </row>
    <row r="29" spans="1:11" x14ac:dyDescent="0.25">
      <c r="A29" s="4">
        <v>23</v>
      </c>
      <c r="B29" s="41" t="s">
        <v>598</v>
      </c>
      <c r="C29" s="5" t="s">
        <v>568</v>
      </c>
      <c r="D29" s="4">
        <v>0</v>
      </c>
      <c r="E29" s="4">
        <v>0</v>
      </c>
      <c r="F29" s="4">
        <v>0</v>
      </c>
      <c r="G29" s="4">
        <v>0</v>
      </c>
      <c r="H29" s="4">
        <v>125</v>
      </c>
      <c r="I29" s="4">
        <f t="shared" si="0"/>
        <v>0</v>
      </c>
      <c r="J29" s="7">
        <f t="shared" si="1"/>
        <v>0</v>
      </c>
      <c r="K29" s="4"/>
    </row>
  </sheetData>
  <mergeCells count="11">
    <mergeCell ref="K4:K6"/>
    <mergeCell ref="A1:K1"/>
    <mergeCell ref="A3:K3"/>
    <mergeCell ref="A4:A6"/>
    <mergeCell ref="B4:B6"/>
    <mergeCell ref="C4:C6"/>
    <mergeCell ref="D4:G4"/>
    <mergeCell ref="H4:H5"/>
    <mergeCell ref="I4:I6"/>
    <mergeCell ref="J4:J6"/>
    <mergeCell ref="A2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103C-D8E3-4BCD-AD2B-4FD474784A49}">
  <dimension ref="A1:N40"/>
  <sheetViews>
    <sheetView workbookViewId="0">
      <selection activeCell="B4" sqref="B1:B1048576"/>
    </sheetView>
  </sheetViews>
  <sheetFormatPr defaultRowHeight="15" x14ac:dyDescent="0.25"/>
  <cols>
    <col min="1" max="1" width="3.140625" bestFit="1" customWidth="1"/>
    <col min="2" max="2" width="13.140625" bestFit="1" customWidth="1"/>
    <col min="3" max="3" width="4.7109375" customWidth="1"/>
    <col min="4" max="10" width="7.7109375" customWidth="1"/>
  </cols>
  <sheetData>
    <row r="1" spans="1:14" x14ac:dyDescent="0.25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x14ac:dyDescent="0.25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</row>
    <row r="3" spans="1:14" x14ac:dyDescent="0.25">
      <c r="A3" s="24" t="s">
        <v>600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</row>
    <row r="4" spans="1:14" x14ac:dyDescent="0.25">
      <c r="A4" s="25" t="s">
        <v>2</v>
      </c>
      <c r="B4" s="25" t="s">
        <v>4</v>
      </c>
      <c r="C4" s="26" t="s">
        <v>3</v>
      </c>
      <c r="D4" s="29" t="s">
        <v>6</v>
      </c>
      <c r="E4" s="29"/>
      <c r="F4" s="29"/>
      <c r="G4" s="29"/>
      <c r="H4" s="29"/>
      <c r="I4" s="29"/>
      <c r="J4" s="29"/>
      <c r="K4" s="25" t="s">
        <v>14</v>
      </c>
      <c r="L4" s="25" t="s">
        <v>15</v>
      </c>
      <c r="M4" s="25" t="s">
        <v>16</v>
      </c>
      <c r="N4" s="25" t="s">
        <v>17</v>
      </c>
    </row>
    <row r="5" spans="1:14" ht="42.75" x14ac:dyDescent="0.25">
      <c r="A5" s="25"/>
      <c r="B5" s="25"/>
      <c r="C5" s="27"/>
      <c r="D5" s="2" t="s">
        <v>9</v>
      </c>
      <c r="E5" s="2" t="s">
        <v>119</v>
      </c>
      <c r="F5" s="2" t="s">
        <v>10</v>
      </c>
      <c r="G5" s="2" t="s">
        <v>121</v>
      </c>
      <c r="H5" s="2" t="s">
        <v>122</v>
      </c>
      <c r="I5" s="2" t="s">
        <v>123</v>
      </c>
      <c r="J5" s="2" t="s">
        <v>124</v>
      </c>
      <c r="K5" s="25"/>
      <c r="L5" s="25"/>
      <c r="M5" s="25"/>
      <c r="N5" s="25"/>
    </row>
    <row r="6" spans="1:14" ht="20.100000000000001" customHeight="1" x14ac:dyDescent="0.25">
      <c r="A6" s="25"/>
      <c r="B6" s="25"/>
      <c r="C6" s="28"/>
      <c r="D6" s="3">
        <v>25</v>
      </c>
      <c r="E6" s="3">
        <v>25</v>
      </c>
      <c r="F6" s="3">
        <v>25</v>
      </c>
      <c r="G6" s="3">
        <v>25</v>
      </c>
      <c r="H6" s="3">
        <v>25</v>
      </c>
      <c r="I6" s="3">
        <v>25</v>
      </c>
      <c r="J6" s="3">
        <v>25</v>
      </c>
      <c r="K6" s="3">
        <f>SUM(D6:J6)</f>
        <v>175</v>
      </c>
      <c r="L6" s="25"/>
      <c r="M6" s="25"/>
      <c r="N6" s="25"/>
    </row>
    <row r="7" spans="1:14" ht="20.100000000000001" customHeight="1" x14ac:dyDescent="0.25">
      <c r="A7" s="4">
        <v>1</v>
      </c>
      <c r="B7" s="5" t="s">
        <v>125</v>
      </c>
      <c r="C7" s="5" t="s">
        <v>126</v>
      </c>
      <c r="D7" s="4">
        <v>20</v>
      </c>
      <c r="E7" s="4">
        <v>20</v>
      </c>
      <c r="F7" s="4">
        <v>0</v>
      </c>
      <c r="G7" s="4">
        <v>12</v>
      </c>
      <c r="H7" s="4">
        <v>8</v>
      </c>
      <c r="I7" s="4">
        <v>10</v>
      </c>
      <c r="J7" s="4">
        <v>15</v>
      </c>
      <c r="K7" s="4">
        <v>175</v>
      </c>
      <c r="L7" s="4">
        <f t="shared" ref="L7:L40" si="0">SUM(D7:J7)</f>
        <v>85</v>
      </c>
      <c r="M7" s="7">
        <f>L7/K7*100</f>
        <v>48.571428571428569</v>
      </c>
      <c r="N7" s="4"/>
    </row>
    <row r="8" spans="1:14" x14ac:dyDescent="0.25">
      <c r="A8" s="4">
        <v>2</v>
      </c>
      <c r="B8" s="5" t="s">
        <v>127</v>
      </c>
      <c r="C8" s="5" t="s">
        <v>126</v>
      </c>
      <c r="D8" s="4">
        <v>17</v>
      </c>
      <c r="E8" s="4">
        <v>20</v>
      </c>
      <c r="F8" s="4">
        <v>1</v>
      </c>
      <c r="G8" s="4">
        <v>18</v>
      </c>
      <c r="H8" s="4">
        <v>8</v>
      </c>
      <c r="I8" s="4">
        <v>10</v>
      </c>
      <c r="J8" s="4">
        <v>18</v>
      </c>
      <c r="K8" s="4">
        <v>175</v>
      </c>
      <c r="L8" s="4">
        <f t="shared" si="0"/>
        <v>92</v>
      </c>
      <c r="M8" s="7">
        <f t="shared" ref="M8:M40" si="1">L8/K8*100</f>
        <v>52.571428571428569</v>
      </c>
      <c r="N8" s="4"/>
    </row>
    <row r="9" spans="1:14" ht="20.100000000000001" customHeight="1" x14ac:dyDescent="0.25">
      <c r="A9" s="4">
        <v>3</v>
      </c>
      <c r="B9" s="5" t="s">
        <v>128</v>
      </c>
      <c r="C9" s="5" t="s">
        <v>126</v>
      </c>
      <c r="D9" s="4">
        <v>5</v>
      </c>
      <c r="E9" s="4">
        <v>15</v>
      </c>
      <c r="F9" s="4">
        <v>10</v>
      </c>
      <c r="G9" s="4">
        <v>8</v>
      </c>
      <c r="H9" s="4">
        <v>6</v>
      </c>
      <c r="I9" s="4">
        <v>5</v>
      </c>
      <c r="J9" s="4">
        <v>15</v>
      </c>
      <c r="K9" s="4">
        <v>175</v>
      </c>
      <c r="L9" s="4">
        <f t="shared" si="0"/>
        <v>64</v>
      </c>
      <c r="M9" s="7">
        <f t="shared" si="1"/>
        <v>36.571428571428569</v>
      </c>
      <c r="N9" s="4"/>
    </row>
    <row r="10" spans="1:14" ht="20.100000000000001" customHeight="1" x14ac:dyDescent="0.25">
      <c r="A10" s="4">
        <v>4</v>
      </c>
      <c r="B10" s="5" t="s">
        <v>129</v>
      </c>
      <c r="C10" s="5" t="s">
        <v>126</v>
      </c>
      <c r="D10" s="4">
        <v>24</v>
      </c>
      <c r="E10" s="4">
        <v>25</v>
      </c>
      <c r="F10" s="4">
        <v>0</v>
      </c>
      <c r="G10" s="4">
        <v>24</v>
      </c>
      <c r="H10" s="4">
        <v>24</v>
      </c>
      <c r="I10" s="4">
        <v>24</v>
      </c>
      <c r="J10" s="4">
        <v>25</v>
      </c>
      <c r="K10" s="4">
        <v>175</v>
      </c>
      <c r="L10" s="4">
        <f t="shared" si="0"/>
        <v>146</v>
      </c>
      <c r="M10" s="7">
        <f t="shared" si="1"/>
        <v>83.428571428571431</v>
      </c>
      <c r="N10" s="4"/>
    </row>
    <row r="11" spans="1:14" ht="20.100000000000001" customHeight="1" x14ac:dyDescent="0.25">
      <c r="A11" s="4">
        <v>5</v>
      </c>
      <c r="B11" s="5" t="s">
        <v>130</v>
      </c>
      <c r="C11" s="5" t="s">
        <v>126</v>
      </c>
      <c r="D11" s="4">
        <v>22</v>
      </c>
      <c r="E11" s="4">
        <v>22</v>
      </c>
      <c r="F11" s="4">
        <v>0</v>
      </c>
      <c r="G11" s="4">
        <v>20</v>
      </c>
      <c r="H11" s="4">
        <v>17</v>
      </c>
      <c r="I11" s="4">
        <v>15</v>
      </c>
      <c r="J11" s="4">
        <v>20</v>
      </c>
      <c r="K11" s="4">
        <v>175</v>
      </c>
      <c r="L11" s="4">
        <f t="shared" si="0"/>
        <v>116</v>
      </c>
      <c r="M11" s="7">
        <f t="shared" si="1"/>
        <v>66.285714285714278</v>
      </c>
      <c r="N11" s="4"/>
    </row>
    <row r="12" spans="1:14" ht="20.100000000000001" customHeight="1" x14ac:dyDescent="0.25">
      <c r="A12" s="4">
        <v>6</v>
      </c>
      <c r="B12" s="5" t="s">
        <v>131</v>
      </c>
      <c r="C12" s="5" t="s">
        <v>126</v>
      </c>
      <c r="D12" s="4">
        <v>0</v>
      </c>
      <c r="E12" s="4">
        <v>15</v>
      </c>
      <c r="F12" s="4">
        <v>0</v>
      </c>
      <c r="G12" s="4">
        <v>8</v>
      </c>
      <c r="H12" s="4">
        <v>8</v>
      </c>
      <c r="I12" s="4">
        <v>10</v>
      </c>
      <c r="J12" s="4">
        <v>12</v>
      </c>
      <c r="K12" s="4">
        <v>175</v>
      </c>
      <c r="L12" s="4">
        <f t="shared" si="0"/>
        <v>53</v>
      </c>
      <c r="M12" s="7">
        <f t="shared" si="1"/>
        <v>30.285714285714288</v>
      </c>
      <c r="N12" s="4"/>
    </row>
    <row r="13" spans="1:14" ht="20.100000000000001" customHeight="1" x14ac:dyDescent="0.25">
      <c r="A13" s="4">
        <v>7</v>
      </c>
      <c r="B13" s="5" t="s">
        <v>132</v>
      </c>
      <c r="C13" s="5" t="s">
        <v>126</v>
      </c>
      <c r="D13" s="4">
        <v>0</v>
      </c>
      <c r="E13" s="4">
        <v>10</v>
      </c>
      <c r="F13" s="4">
        <v>10</v>
      </c>
      <c r="G13" s="4">
        <v>8</v>
      </c>
      <c r="H13" s="4">
        <v>7</v>
      </c>
      <c r="I13" s="4">
        <v>8</v>
      </c>
      <c r="J13" s="4">
        <v>8</v>
      </c>
      <c r="K13" s="4">
        <v>175</v>
      </c>
      <c r="L13" s="4">
        <f t="shared" si="0"/>
        <v>51</v>
      </c>
      <c r="M13" s="7">
        <f t="shared" si="1"/>
        <v>29.142857142857142</v>
      </c>
      <c r="N13" s="4"/>
    </row>
    <row r="14" spans="1:14" ht="20.100000000000001" customHeight="1" x14ac:dyDescent="0.25">
      <c r="A14" s="4">
        <v>8</v>
      </c>
      <c r="B14" s="5" t="s">
        <v>133</v>
      </c>
      <c r="C14" s="5" t="s">
        <v>126</v>
      </c>
      <c r="D14" s="4">
        <v>10</v>
      </c>
      <c r="E14" s="4">
        <v>15</v>
      </c>
      <c r="F14" s="4">
        <v>0</v>
      </c>
      <c r="G14" s="4">
        <v>8</v>
      </c>
      <c r="H14" s="4">
        <v>6</v>
      </c>
      <c r="I14" s="4">
        <v>5</v>
      </c>
      <c r="J14" s="4">
        <v>12</v>
      </c>
      <c r="K14" s="4">
        <v>175</v>
      </c>
      <c r="L14" s="4">
        <f t="shared" si="0"/>
        <v>56</v>
      </c>
      <c r="M14" s="7">
        <f t="shared" si="1"/>
        <v>32</v>
      </c>
      <c r="N14" s="4"/>
    </row>
    <row r="15" spans="1:14" ht="20.100000000000001" customHeight="1" x14ac:dyDescent="0.25">
      <c r="A15" s="4">
        <v>9</v>
      </c>
      <c r="B15" s="5" t="s">
        <v>134</v>
      </c>
      <c r="C15" s="5" t="s">
        <v>126</v>
      </c>
      <c r="D15" s="4">
        <v>23</v>
      </c>
      <c r="E15" s="4">
        <v>25</v>
      </c>
      <c r="F15" s="4">
        <v>5</v>
      </c>
      <c r="G15" s="4">
        <v>24</v>
      </c>
      <c r="H15" s="4">
        <v>20</v>
      </c>
      <c r="I15" s="4">
        <v>23</v>
      </c>
      <c r="J15" s="4">
        <v>23</v>
      </c>
      <c r="K15" s="4">
        <v>175</v>
      </c>
      <c r="L15" s="4">
        <f t="shared" si="0"/>
        <v>143</v>
      </c>
      <c r="M15" s="7">
        <f t="shared" si="1"/>
        <v>81.714285714285722</v>
      </c>
      <c r="N15" s="4"/>
    </row>
    <row r="16" spans="1:14" ht="20.100000000000001" customHeight="1" x14ac:dyDescent="0.25">
      <c r="A16" s="4">
        <v>10</v>
      </c>
      <c r="B16" s="5" t="s">
        <v>135</v>
      </c>
      <c r="C16" s="5" t="s">
        <v>126</v>
      </c>
      <c r="D16" s="4">
        <v>12</v>
      </c>
      <c r="E16" s="4">
        <v>25</v>
      </c>
      <c r="F16" s="4">
        <v>0</v>
      </c>
      <c r="G16" s="4">
        <v>24</v>
      </c>
      <c r="H16" s="4">
        <v>6</v>
      </c>
      <c r="I16" s="4">
        <v>8</v>
      </c>
      <c r="J16" s="4">
        <v>12</v>
      </c>
      <c r="K16" s="4">
        <v>175</v>
      </c>
      <c r="L16" s="4">
        <f t="shared" si="0"/>
        <v>87</v>
      </c>
      <c r="M16" s="7">
        <f t="shared" si="1"/>
        <v>49.714285714285715</v>
      </c>
      <c r="N16" s="4"/>
    </row>
    <row r="17" spans="1:14" ht="20.100000000000001" customHeight="1" x14ac:dyDescent="0.25">
      <c r="A17" s="4">
        <v>11</v>
      </c>
      <c r="B17" s="5" t="s">
        <v>136</v>
      </c>
      <c r="C17" s="5" t="s">
        <v>126</v>
      </c>
      <c r="D17" s="4">
        <v>17</v>
      </c>
      <c r="E17" s="4">
        <v>15</v>
      </c>
      <c r="F17" s="4">
        <v>0</v>
      </c>
      <c r="G17" s="4">
        <v>8</v>
      </c>
      <c r="H17" s="4">
        <v>6</v>
      </c>
      <c r="I17" s="4">
        <v>5</v>
      </c>
      <c r="J17" s="4">
        <v>17</v>
      </c>
      <c r="K17" s="4">
        <v>175</v>
      </c>
      <c r="L17" s="4">
        <f t="shared" si="0"/>
        <v>68</v>
      </c>
      <c r="M17" s="7">
        <f t="shared" si="1"/>
        <v>38.857142857142854</v>
      </c>
      <c r="N17" s="4"/>
    </row>
    <row r="18" spans="1:14" ht="20.100000000000001" customHeight="1" x14ac:dyDescent="0.25">
      <c r="A18" s="4">
        <v>12</v>
      </c>
      <c r="B18" s="5" t="s">
        <v>137</v>
      </c>
      <c r="C18" s="5" t="s">
        <v>126</v>
      </c>
      <c r="D18" s="4">
        <v>12</v>
      </c>
      <c r="E18" s="4">
        <v>10</v>
      </c>
      <c r="F18" s="4">
        <v>0</v>
      </c>
      <c r="G18" s="4">
        <v>8</v>
      </c>
      <c r="H18" s="4">
        <v>7</v>
      </c>
      <c r="I18" s="4">
        <v>8</v>
      </c>
      <c r="J18" s="4">
        <v>15</v>
      </c>
      <c r="K18" s="4">
        <v>175</v>
      </c>
      <c r="L18" s="4">
        <f t="shared" si="0"/>
        <v>60</v>
      </c>
      <c r="M18" s="7">
        <f t="shared" si="1"/>
        <v>34.285714285714285</v>
      </c>
      <c r="N18" s="4"/>
    </row>
    <row r="19" spans="1:14" ht="20.100000000000001" customHeight="1" x14ac:dyDescent="0.25">
      <c r="A19" s="4">
        <v>13</v>
      </c>
      <c r="B19" s="5" t="s">
        <v>138</v>
      </c>
      <c r="C19" s="5" t="s">
        <v>126</v>
      </c>
      <c r="D19" s="4">
        <v>10</v>
      </c>
      <c r="E19" s="4">
        <v>10</v>
      </c>
      <c r="F19" s="4">
        <v>10</v>
      </c>
      <c r="G19" s="4">
        <v>10</v>
      </c>
      <c r="H19" s="4">
        <v>7</v>
      </c>
      <c r="I19" s="4">
        <v>6</v>
      </c>
      <c r="J19" s="4">
        <v>15</v>
      </c>
      <c r="K19" s="4">
        <v>175</v>
      </c>
      <c r="L19" s="4">
        <f t="shared" si="0"/>
        <v>68</v>
      </c>
      <c r="M19" s="7">
        <f t="shared" si="1"/>
        <v>38.857142857142854</v>
      </c>
      <c r="N19" s="4"/>
    </row>
    <row r="20" spans="1:14" ht="20.100000000000001" customHeight="1" x14ac:dyDescent="0.25">
      <c r="A20" s="4">
        <v>14</v>
      </c>
      <c r="B20" s="5" t="s">
        <v>139</v>
      </c>
      <c r="C20" s="5" t="s">
        <v>126</v>
      </c>
      <c r="D20" s="4">
        <v>15</v>
      </c>
      <c r="E20" s="4">
        <v>10</v>
      </c>
      <c r="F20" s="4">
        <v>10</v>
      </c>
      <c r="G20" s="4">
        <v>15</v>
      </c>
      <c r="H20" s="4">
        <v>6</v>
      </c>
      <c r="I20" s="4">
        <v>8</v>
      </c>
      <c r="J20" s="4">
        <v>17</v>
      </c>
      <c r="K20" s="4">
        <v>175</v>
      </c>
      <c r="L20" s="4">
        <f t="shared" si="0"/>
        <v>81</v>
      </c>
      <c r="M20" s="7">
        <f t="shared" si="1"/>
        <v>46.285714285714285</v>
      </c>
      <c r="N20" s="4"/>
    </row>
    <row r="21" spans="1:14" ht="20.100000000000001" customHeight="1" x14ac:dyDescent="0.25">
      <c r="A21" s="4">
        <v>15</v>
      </c>
      <c r="B21" s="5" t="s">
        <v>140</v>
      </c>
      <c r="C21" s="5" t="s">
        <v>126</v>
      </c>
      <c r="D21" s="4">
        <v>20</v>
      </c>
      <c r="E21" s="4">
        <v>18</v>
      </c>
      <c r="F21" s="4">
        <v>20</v>
      </c>
      <c r="G21" s="4">
        <v>20</v>
      </c>
      <c r="H21" s="4">
        <v>8</v>
      </c>
      <c r="I21" s="4">
        <v>7</v>
      </c>
      <c r="J21" s="4">
        <v>18</v>
      </c>
      <c r="K21" s="4">
        <v>175</v>
      </c>
      <c r="L21" s="4">
        <f t="shared" si="0"/>
        <v>111</v>
      </c>
      <c r="M21" s="7">
        <f t="shared" si="1"/>
        <v>63.428571428571423</v>
      </c>
      <c r="N21" s="4"/>
    </row>
    <row r="22" spans="1:14" ht="20.100000000000001" customHeight="1" x14ac:dyDescent="0.25">
      <c r="A22" s="4">
        <v>16</v>
      </c>
      <c r="B22" s="5" t="s">
        <v>49</v>
      </c>
      <c r="C22" s="5" t="s">
        <v>126</v>
      </c>
      <c r="D22" s="4">
        <v>4</v>
      </c>
      <c r="E22" s="4">
        <v>10</v>
      </c>
      <c r="F22" s="4">
        <v>5</v>
      </c>
      <c r="G22" s="4">
        <v>10</v>
      </c>
      <c r="H22" s="4">
        <v>6</v>
      </c>
      <c r="I22" s="4">
        <v>5</v>
      </c>
      <c r="J22" s="4">
        <v>10</v>
      </c>
      <c r="K22" s="4">
        <v>175</v>
      </c>
      <c r="L22" s="4">
        <f t="shared" si="0"/>
        <v>50</v>
      </c>
      <c r="M22" s="7">
        <f t="shared" si="1"/>
        <v>28.571428571428569</v>
      </c>
      <c r="N22" s="4"/>
    </row>
    <row r="23" spans="1:14" ht="20.100000000000001" customHeight="1" x14ac:dyDescent="0.25">
      <c r="A23" s="4">
        <v>17</v>
      </c>
      <c r="B23" s="5" t="s">
        <v>141</v>
      </c>
      <c r="C23" s="5" t="s">
        <v>126</v>
      </c>
      <c r="D23" s="4">
        <v>24</v>
      </c>
      <c r="E23" s="4">
        <v>25</v>
      </c>
      <c r="F23" s="4">
        <v>24</v>
      </c>
      <c r="G23" s="4">
        <v>24</v>
      </c>
      <c r="H23" s="4">
        <v>25</v>
      </c>
      <c r="I23" s="4">
        <v>24</v>
      </c>
      <c r="J23" s="4">
        <v>25</v>
      </c>
      <c r="K23" s="4">
        <v>175</v>
      </c>
      <c r="L23" s="4">
        <f t="shared" si="0"/>
        <v>171</v>
      </c>
      <c r="M23" s="7">
        <f t="shared" si="1"/>
        <v>97.714285714285708</v>
      </c>
      <c r="N23" s="4"/>
    </row>
    <row r="24" spans="1:14" ht="20.100000000000001" customHeight="1" x14ac:dyDescent="0.25">
      <c r="A24" s="4">
        <v>18</v>
      </c>
      <c r="B24" s="5" t="s">
        <v>142</v>
      </c>
      <c r="C24" s="5" t="s">
        <v>126</v>
      </c>
      <c r="D24" s="4">
        <v>22</v>
      </c>
      <c r="E24" s="4">
        <v>20</v>
      </c>
      <c r="F24" s="4">
        <v>25</v>
      </c>
      <c r="G24" s="4">
        <v>25</v>
      </c>
      <c r="H24" s="4">
        <v>25</v>
      </c>
      <c r="I24" s="4">
        <v>24</v>
      </c>
      <c r="J24" s="4">
        <v>23</v>
      </c>
      <c r="K24" s="4">
        <v>175</v>
      </c>
      <c r="L24" s="4">
        <f t="shared" si="0"/>
        <v>164</v>
      </c>
      <c r="M24" s="7">
        <f t="shared" si="1"/>
        <v>93.714285714285722</v>
      </c>
      <c r="N24" s="4"/>
    </row>
    <row r="25" spans="1:14" ht="20.100000000000001" customHeight="1" x14ac:dyDescent="0.25">
      <c r="A25" s="4">
        <v>19</v>
      </c>
      <c r="B25" s="5" t="s">
        <v>143</v>
      </c>
      <c r="C25" s="5" t="s">
        <v>126</v>
      </c>
      <c r="D25" s="4">
        <v>24</v>
      </c>
      <c r="E25" s="4">
        <v>20</v>
      </c>
      <c r="F25" s="4">
        <v>25</v>
      </c>
      <c r="G25" s="4">
        <v>23</v>
      </c>
      <c r="H25" s="4">
        <v>20</v>
      </c>
      <c r="I25" s="4">
        <v>23</v>
      </c>
      <c r="J25" s="4">
        <v>21</v>
      </c>
      <c r="K25" s="4">
        <v>175</v>
      </c>
      <c r="L25" s="4">
        <f t="shared" si="0"/>
        <v>156</v>
      </c>
      <c r="M25" s="7">
        <f t="shared" si="1"/>
        <v>89.142857142857139</v>
      </c>
      <c r="N25" s="4"/>
    </row>
    <row r="26" spans="1:14" ht="20.100000000000001" customHeight="1" x14ac:dyDescent="0.25">
      <c r="A26" s="4">
        <v>20</v>
      </c>
      <c r="B26" s="5" t="s">
        <v>144</v>
      </c>
      <c r="C26" s="5" t="s">
        <v>126</v>
      </c>
      <c r="D26" s="4">
        <v>13</v>
      </c>
      <c r="E26" s="4">
        <v>0</v>
      </c>
      <c r="F26" s="4">
        <v>10</v>
      </c>
      <c r="G26" s="4">
        <v>10</v>
      </c>
      <c r="H26" s="4">
        <v>10</v>
      </c>
      <c r="I26" s="4">
        <v>10</v>
      </c>
      <c r="J26" s="4">
        <v>8</v>
      </c>
      <c r="K26" s="4">
        <v>175</v>
      </c>
      <c r="L26" s="4">
        <f t="shared" si="0"/>
        <v>61</v>
      </c>
      <c r="M26" s="7">
        <f t="shared" si="1"/>
        <v>34.857142857142861</v>
      </c>
      <c r="N26" s="4"/>
    </row>
    <row r="27" spans="1:14" ht="20.100000000000001" customHeight="1" x14ac:dyDescent="0.25">
      <c r="A27" s="4">
        <v>21</v>
      </c>
      <c r="B27" s="5" t="s">
        <v>145</v>
      </c>
      <c r="C27" s="5" t="s">
        <v>126</v>
      </c>
      <c r="D27" s="4">
        <v>17</v>
      </c>
      <c r="E27" s="4">
        <v>0</v>
      </c>
      <c r="F27" s="4">
        <v>15</v>
      </c>
      <c r="G27" s="4">
        <v>15</v>
      </c>
      <c r="H27" s="4">
        <v>23</v>
      </c>
      <c r="I27" s="4">
        <v>23</v>
      </c>
      <c r="J27" s="4">
        <v>22</v>
      </c>
      <c r="K27" s="4">
        <v>175</v>
      </c>
      <c r="L27" s="4">
        <f t="shared" si="0"/>
        <v>115</v>
      </c>
      <c r="M27" s="7">
        <f t="shared" si="1"/>
        <v>65.714285714285708</v>
      </c>
      <c r="N27" s="4"/>
    </row>
    <row r="28" spans="1:14" ht="20.100000000000001" customHeight="1" x14ac:dyDescent="0.25">
      <c r="A28" s="4">
        <v>22</v>
      </c>
      <c r="B28" s="5" t="s">
        <v>146</v>
      </c>
      <c r="C28" s="5" t="s">
        <v>126</v>
      </c>
      <c r="D28" s="4">
        <v>12</v>
      </c>
      <c r="E28" s="4">
        <v>0</v>
      </c>
      <c r="F28" s="4">
        <v>15</v>
      </c>
      <c r="G28" s="4">
        <v>15</v>
      </c>
      <c r="H28" s="4">
        <v>10</v>
      </c>
      <c r="I28" s="4">
        <v>8</v>
      </c>
      <c r="J28" s="4">
        <v>6</v>
      </c>
      <c r="K28" s="4">
        <v>175</v>
      </c>
      <c r="L28" s="4">
        <f t="shared" si="0"/>
        <v>66</v>
      </c>
      <c r="M28" s="7">
        <f t="shared" si="1"/>
        <v>37.714285714285715</v>
      </c>
      <c r="N28" s="4"/>
    </row>
    <row r="29" spans="1:14" ht="20.100000000000001" customHeight="1" x14ac:dyDescent="0.25">
      <c r="A29" s="4">
        <v>23</v>
      </c>
      <c r="B29" s="5" t="s">
        <v>147</v>
      </c>
      <c r="C29" s="5" t="s">
        <v>126</v>
      </c>
      <c r="D29" s="4">
        <v>5</v>
      </c>
      <c r="E29" s="4">
        <v>0</v>
      </c>
      <c r="F29" s="4">
        <v>15</v>
      </c>
      <c r="G29" s="4">
        <v>15</v>
      </c>
      <c r="H29" s="4">
        <v>23</v>
      </c>
      <c r="I29" s="4">
        <v>6</v>
      </c>
      <c r="J29" s="4">
        <v>7</v>
      </c>
      <c r="K29" s="4">
        <v>175</v>
      </c>
      <c r="L29" s="4">
        <f t="shared" si="0"/>
        <v>71</v>
      </c>
      <c r="M29" s="7">
        <f t="shared" si="1"/>
        <v>40.571428571428569</v>
      </c>
      <c r="N29" s="4"/>
    </row>
    <row r="30" spans="1:14" ht="20.100000000000001" customHeight="1" x14ac:dyDescent="0.25">
      <c r="A30" s="4">
        <v>24</v>
      </c>
      <c r="B30" s="5" t="s">
        <v>148</v>
      </c>
      <c r="C30" s="5" t="s">
        <v>126</v>
      </c>
      <c r="D30" s="4">
        <v>10</v>
      </c>
      <c r="E30" s="4">
        <v>0</v>
      </c>
      <c r="F30" s="4">
        <v>18</v>
      </c>
      <c r="G30" s="4">
        <v>12</v>
      </c>
      <c r="H30" s="4">
        <v>10</v>
      </c>
      <c r="I30" s="4">
        <v>10</v>
      </c>
      <c r="J30" s="4">
        <v>8</v>
      </c>
      <c r="K30" s="4">
        <v>175</v>
      </c>
      <c r="L30" s="4">
        <f t="shared" si="0"/>
        <v>68</v>
      </c>
      <c r="M30" s="7">
        <f t="shared" si="1"/>
        <v>38.857142857142854</v>
      </c>
      <c r="N30" s="4"/>
    </row>
    <row r="31" spans="1:14" ht="20.100000000000001" customHeight="1" x14ac:dyDescent="0.25">
      <c r="A31" s="4">
        <v>25</v>
      </c>
      <c r="B31" s="5" t="s">
        <v>149</v>
      </c>
      <c r="C31" s="5" t="s">
        <v>126</v>
      </c>
      <c r="D31" s="4">
        <v>21</v>
      </c>
      <c r="E31" s="4">
        <v>20</v>
      </c>
      <c r="F31" s="4">
        <v>19</v>
      </c>
      <c r="G31" s="4">
        <v>10</v>
      </c>
      <c r="H31" s="4">
        <v>22</v>
      </c>
      <c r="I31" s="4">
        <v>12</v>
      </c>
      <c r="J31" s="4">
        <v>10</v>
      </c>
      <c r="K31" s="4">
        <v>175</v>
      </c>
      <c r="L31" s="4">
        <f t="shared" si="0"/>
        <v>114</v>
      </c>
      <c r="M31" s="7">
        <f t="shared" si="1"/>
        <v>65.142857142857153</v>
      </c>
      <c r="N31" s="4"/>
    </row>
    <row r="32" spans="1:14" ht="20.100000000000001" customHeight="1" x14ac:dyDescent="0.25">
      <c r="A32" s="4">
        <v>26</v>
      </c>
      <c r="B32" s="5" t="s">
        <v>150</v>
      </c>
      <c r="C32" s="5" t="s">
        <v>126</v>
      </c>
      <c r="D32" s="4">
        <v>17</v>
      </c>
      <c r="E32" s="4">
        <v>0</v>
      </c>
      <c r="F32" s="4">
        <v>10</v>
      </c>
      <c r="G32" s="4">
        <v>0</v>
      </c>
      <c r="H32" s="4">
        <v>24</v>
      </c>
      <c r="I32" s="4">
        <v>11</v>
      </c>
      <c r="J32" s="4">
        <v>12</v>
      </c>
      <c r="K32" s="4">
        <v>175</v>
      </c>
      <c r="L32" s="4">
        <f t="shared" si="0"/>
        <v>74</v>
      </c>
      <c r="M32" s="7">
        <f t="shared" si="1"/>
        <v>42.285714285714285</v>
      </c>
      <c r="N32" s="4"/>
    </row>
    <row r="33" spans="1:14" ht="20.100000000000001" customHeight="1" x14ac:dyDescent="0.25">
      <c r="A33" s="4">
        <v>27</v>
      </c>
      <c r="B33" s="5" t="s">
        <v>151</v>
      </c>
      <c r="C33" s="5" t="s">
        <v>126</v>
      </c>
      <c r="D33" s="4">
        <v>18</v>
      </c>
      <c r="E33" s="4">
        <v>0</v>
      </c>
      <c r="F33" s="4">
        <v>12</v>
      </c>
      <c r="G33" s="4">
        <v>12</v>
      </c>
      <c r="H33" s="4">
        <v>23</v>
      </c>
      <c r="I33" s="4">
        <v>15</v>
      </c>
      <c r="J33" s="4">
        <v>23</v>
      </c>
      <c r="K33" s="4">
        <v>175</v>
      </c>
      <c r="L33" s="4">
        <f t="shared" si="0"/>
        <v>103</v>
      </c>
      <c r="M33" s="7">
        <f t="shared" si="1"/>
        <v>58.857142857142854</v>
      </c>
      <c r="N33" s="4"/>
    </row>
    <row r="34" spans="1:14" ht="20.100000000000001" customHeight="1" x14ac:dyDescent="0.25">
      <c r="A34" s="4">
        <v>28</v>
      </c>
      <c r="B34" s="5" t="s">
        <v>152</v>
      </c>
      <c r="C34" s="5" t="s">
        <v>126</v>
      </c>
      <c r="D34" s="4">
        <v>8</v>
      </c>
      <c r="E34" s="4">
        <v>0</v>
      </c>
      <c r="F34" s="4">
        <v>18</v>
      </c>
      <c r="G34" s="4">
        <v>12</v>
      </c>
      <c r="H34" s="4">
        <v>13</v>
      </c>
      <c r="I34" s="4">
        <v>13</v>
      </c>
      <c r="J34" s="4">
        <v>24</v>
      </c>
      <c r="K34" s="4">
        <v>175</v>
      </c>
      <c r="L34" s="4">
        <f t="shared" si="0"/>
        <v>88</v>
      </c>
      <c r="M34" s="7">
        <f t="shared" si="1"/>
        <v>50.285714285714292</v>
      </c>
      <c r="N34" s="4"/>
    </row>
    <row r="35" spans="1:14" ht="20.100000000000001" customHeight="1" x14ac:dyDescent="0.25">
      <c r="A35" s="4">
        <v>29</v>
      </c>
      <c r="B35" s="5" t="s">
        <v>153</v>
      </c>
      <c r="C35" s="5" t="s">
        <v>126</v>
      </c>
      <c r="D35" s="4">
        <v>23</v>
      </c>
      <c r="E35" s="4">
        <v>0</v>
      </c>
      <c r="F35" s="4">
        <v>10</v>
      </c>
      <c r="G35" s="4">
        <v>10</v>
      </c>
      <c r="H35" s="4">
        <v>12</v>
      </c>
      <c r="I35" s="4">
        <v>23</v>
      </c>
      <c r="J35" s="4">
        <v>22</v>
      </c>
      <c r="K35" s="4">
        <v>175</v>
      </c>
      <c r="L35" s="4">
        <f t="shared" si="0"/>
        <v>100</v>
      </c>
      <c r="M35" s="7">
        <f t="shared" si="1"/>
        <v>57.142857142857139</v>
      </c>
      <c r="N35" s="4"/>
    </row>
    <row r="36" spans="1:14" ht="20.100000000000001" customHeight="1" x14ac:dyDescent="0.25">
      <c r="A36" s="4">
        <v>30</v>
      </c>
      <c r="B36" s="5" t="s">
        <v>154</v>
      </c>
      <c r="C36" s="5" t="s">
        <v>126</v>
      </c>
      <c r="D36" s="4">
        <v>10</v>
      </c>
      <c r="E36" s="4">
        <v>0</v>
      </c>
      <c r="F36" s="4">
        <v>7</v>
      </c>
      <c r="G36" s="4">
        <v>8</v>
      </c>
      <c r="H36" s="4">
        <v>10</v>
      </c>
      <c r="I36" s="4">
        <v>10</v>
      </c>
      <c r="J36" s="4">
        <v>15</v>
      </c>
      <c r="K36" s="4">
        <v>175</v>
      </c>
      <c r="L36" s="4">
        <f t="shared" si="0"/>
        <v>60</v>
      </c>
      <c r="M36" s="7">
        <f t="shared" si="1"/>
        <v>34.285714285714285</v>
      </c>
      <c r="N36" s="4"/>
    </row>
    <row r="37" spans="1:14" ht="20.100000000000001" customHeight="1" x14ac:dyDescent="0.25">
      <c r="A37" s="4">
        <v>31</v>
      </c>
      <c r="B37" s="5" t="s">
        <v>155</v>
      </c>
      <c r="C37" s="5" t="s">
        <v>126</v>
      </c>
      <c r="D37" s="4">
        <v>22</v>
      </c>
      <c r="E37" s="4">
        <v>10</v>
      </c>
      <c r="F37" s="4">
        <v>24</v>
      </c>
      <c r="G37" s="4">
        <v>20</v>
      </c>
      <c r="H37" s="4">
        <v>8</v>
      </c>
      <c r="I37" s="4">
        <v>16</v>
      </c>
      <c r="J37" s="4">
        <v>20</v>
      </c>
      <c r="K37" s="4">
        <v>175</v>
      </c>
      <c r="L37" s="4">
        <f t="shared" si="0"/>
        <v>120</v>
      </c>
      <c r="M37" s="7">
        <f t="shared" si="1"/>
        <v>68.571428571428569</v>
      </c>
      <c r="N37" s="4"/>
    </row>
    <row r="38" spans="1:14" ht="20.100000000000001" customHeight="1" x14ac:dyDescent="0.25">
      <c r="A38" s="4">
        <v>32</v>
      </c>
      <c r="B38" s="5" t="s">
        <v>156</v>
      </c>
      <c r="C38" s="5" t="s">
        <v>126</v>
      </c>
      <c r="D38" s="4">
        <v>23</v>
      </c>
      <c r="E38" s="4">
        <v>20</v>
      </c>
      <c r="F38" s="4">
        <v>20</v>
      </c>
      <c r="G38" s="4">
        <v>15</v>
      </c>
      <c r="H38" s="4">
        <v>6</v>
      </c>
      <c r="I38" s="4">
        <v>15</v>
      </c>
      <c r="J38" s="4">
        <v>21</v>
      </c>
      <c r="K38" s="4">
        <v>175</v>
      </c>
      <c r="L38" s="4">
        <f t="shared" si="0"/>
        <v>120</v>
      </c>
      <c r="M38" s="7">
        <f t="shared" si="1"/>
        <v>68.571428571428569</v>
      </c>
      <c r="N38" s="4"/>
    </row>
    <row r="39" spans="1:14" ht="20.100000000000001" customHeight="1" x14ac:dyDescent="0.25">
      <c r="A39" s="4">
        <v>33</v>
      </c>
      <c r="B39" s="5" t="s">
        <v>157</v>
      </c>
      <c r="C39" s="5" t="s">
        <v>126</v>
      </c>
      <c r="D39" s="4">
        <v>7</v>
      </c>
      <c r="E39" s="4">
        <v>10</v>
      </c>
      <c r="F39" s="4">
        <v>20</v>
      </c>
      <c r="G39" s="4">
        <v>15</v>
      </c>
      <c r="H39" s="4">
        <v>20</v>
      </c>
      <c r="I39" s="4">
        <v>14</v>
      </c>
      <c r="J39" s="4">
        <v>8</v>
      </c>
      <c r="K39" s="4">
        <v>175</v>
      </c>
      <c r="L39" s="4">
        <f t="shared" si="0"/>
        <v>94</v>
      </c>
      <c r="M39" s="7">
        <f t="shared" si="1"/>
        <v>53.714285714285715</v>
      </c>
      <c r="N39" s="4"/>
    </row>
    <row r="40" spans="1:14" x14ac:dyDescent="0.25">
      <c r="A40" s="4">
        <v>34</v>
      </c>
      <c r="B40" s="5" t="s">
        <v>158</v>
      </c>
      <c r="C40" s="5" t="s">
        <v>126</v>
      </c>
      <c r="D40" s="4">
        <v>5</v>
      </c>
      <c r="E40" s="4">
        <v>5</v>
      </c>
      <c r="F40" s="4">
        <v>15</v>
      </c>
      <c r="G40" s="4">
        <v>10</v>
      </c>
      <c r="H40" s="4">
        <v>20</v>
      </c>
      <c r="I40" s="4">
        <v>12</v>
      </c>
      <c r="J40" s="4">
        <v>7</v>
      </c>
      <c r="K40" s="4">
        <v>175</v>
      </c>
      <c r="L40" s="4">
        <f t="shared" si="0"/>
        <v>74</v>
      </c>
      <c r="M40" s="7">
        <f t="shared" si="1"/>
        <v>42.285714285714285</v>
      </c>
      <c r="N40" s="4"/>
    </row>
  </sheetData>
  <mergeCells count="11">
    <mergeCell ref="N4:N6"/>
    <mergeCell ref="A1:N1"/>
    <mergeCell ref="A3:N3"/>
    <mergeCell ref="A4:A6"/>
    <mergeCell ref="B4:B6"/>
    <mergeCell ref="C4:C6"/>
    <mergeCell ref="D4:J4"/>
    <mergeCell ref="K4:K5"/>
    <mergeCell ref="L4:L6"/>
    <mergeCell ref="M4:M6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ECE (ROSE)</vt:lpstr>
      <vt:lpstr>ECE (Daffodil)</vt:lpstr>
      <vt:lpstr>1st</vt:lpstr>
      <vt:lpstr>2nd</vt:lpstr>
      <vt:lpstr>3rd</vt:lpstr>
      <vt:lpstr>6th</vt:lpstr>
      <vt:lpstr>7th</vt:lpstr>
      <vt:lpstr>8th</vt:lpstr>
      <vt:lpstr>9th</vt:lpstr>
      <vt:lpstr>'ECE (ROSE)'!Print_Titles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2024-11-30T06:34:00Z</cp:lastPrinted>
  <dcterms:created xsi:type="dcterms:W3CDTF">2024-11-06T06:16:13Z</dcterms:created>
  <dcterms:modified xsi:type="dcterms:W3CDTF">2025-03-25T05:34:19Z</dcterms:modified>
</cp:coreProperties>
</file>