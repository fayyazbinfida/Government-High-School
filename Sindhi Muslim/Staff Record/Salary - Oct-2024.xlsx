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"/>
    </mc:Choice>
  </mc:AlternateContent>
  <xr:revisionPtr revIDLastSave="0" documentId="8_{9A70412D-426D-4DE8-ADEF-C959C44266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N31" i="5" s="1"/>
  <c r="N30" i="5"/>
  <c r="L30" i="5"/>
  <c r="K30" i="5"/>
  <c r="N29" i="5"/>
  <c r="L29" i="5"/>
  <c r="K29" i="5"/>
  <c r="J29" i="5"/>
  <c r="N28" i="5"/>
  <c r="L28" i="5"/>
  <c r="K28" i="5"/>
  <c r="J28" i="5"/>
  <c r="N27" i="5"/>
  <c r="L27" i="5"/>
  <c r="K27" i="5"/>
  <c r="J27" i="5"/>
  <c r="N26" i="5"/>
  <c r="L26" i="5"/>
  <c r="K26" i="5"/>
  <c r="J26" i="5"/>
  <c r="N25" i="5"/>
  <c r="L17" i="5"/>
  <c r="K17" i="5"/>
  <c r="J17" i="5"/>
  <c r="N17" i="5" s="1"/>
  <c r="L16" i="5"/>
  <c r="K16" i="5"/>
  <c r="J16" i="5"/>
  <c r="N16" i="5" s="1"/>
  <c r="L15" i="5"/>
  <c r="K15" i="5"/>
  <c r="J15" i="5"/>
  <c r="N15" i="5" s="1"/>
  <c r="L14" i="5"/>
  <c r="K14" i="5"/>
  <c r="J14" i="5"/>
  <c r="N14" i="5" s="1"/>
  <c r="N13" i="5"/>
  <c r="L13" i="5"/>
  <c r="N12" i="5"/>
  <c r="L12" i="5"/>
  <c r="K12" i="5"/>
  <c r="L11" i="5"/>
  <c r="N10" i="5"/>
  <c r="L10" i="5"/>
  <c r="K10" i="5"/>
  <c r="J10" i="5"/>
  <c r="N9" i="5"/>
  <c r="L9" i="5"/>
  <c r="K9" i="5"/>
  <c r="J9" i="5"/>
  <c r="AK25" i="3"/>
  <c r="AK20" i="3"/>
  <c r="AK21" i="3"/>
  <c r="AK22" i="3"/>
  <c r="AK23" i="3"/>
  <c r="AK24" i="3"/>
  <c r="AK19" i="3"/>
  <c r="AJ7" i="3"/>
  <c r="AI24" i="3" l="1"/>
  <c r="AJ24" i="3"/>
  <c r="AM24" i="3"/>
  <c r="AL24" i="3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J25" i="3"/>
  <c r="AI25" i="3"/>
  <c r="AL23" i="3"/>
  <c r="AJ23" i="3"/>
  <c r="AI23" i="3"/>
  <c r="AL22" i="3"/>
  <c r="AJ22" i="3"/>
  <c r="AI22" i="3"/>
  <c r="AL21" i="3"/>
  <c r="AJ21" i="3"/>
  <c r="AI21" i="3"/>
  <c r="AL20" i="3"/>
  <c r="AJ20" i="3"/>
  <c r="AI20" i="3"/>
  <c r="AL19" i="3"/>
  <c r="AJ19" i="3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2" i="3" l="1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AJ6" i="3"/>
  <c r="AJ8" i="3"/>
  <c r="AJ9" i="3"/>
  <c r="AJ10" i="3"/>
  <c r="AJ11" i="3"/>
  <c r="AJ13" i="3"/>
  <c r="AJ5" i="3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<sst xmlns="http://schemas.openxmlformats.org/spreadsheetml/2006/main" count="619" uniqueCount="101">
  <si>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</si>
  <si>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</si>
  <si>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</si>
  <si>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</si>
  <si>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</si>
  <si>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</si>
  <si>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</si>
  <si>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</si>
  <si>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</si>
  <si>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</si>
  <si>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</si>
  <si>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</si>
  <si>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</si>
  <si>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</si>
  <si>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</si>
  <si>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</si>
  <si>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</si>
  <si>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</si>
  <si>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</si>
  <si>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</si>
  <si>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</si>
  <si>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</si>
  <si>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</si>
  <si>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</si>
  <si>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</si>
  <si>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</si>
  <si>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</si>
  <si>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</si>
  <si>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</si>
  <si>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</si>
  <si>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</si>
  <si>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</si>
  <si>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</si>
  <si>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</si>
  <si>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</si>
  <si>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</si>
  <si>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</si>
  <si>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</si>
  <si>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</si>
  <si>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</si>
  <si>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</si>
  <si>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</si>
  <si>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</si>
  <si>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</si>
  <si>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</si>
  <si>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</si>
  <si>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</si>
  <si>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</si>
  <si>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</si>
  <si>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</si>
  <si>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</si>
  <si>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</si>
  <si>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</si>
  <si>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</si>
  <si>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</si>
  <si>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</si>
  <si>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</si>
  <si>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</si>
  <si>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</si>
  <si>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</si>
  <si>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</si>
  <si>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</si>
  <si>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</si>
  <si>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</si>
  <si>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</si>
  <si>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</si>
  <si>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</si>
  <si>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</si>
  <si>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</si>
  <si>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</si>
  <si>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</si>
  <si>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</si>
  <si>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</si>
  <si>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</si>
  <si>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</si>
  <si>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</si>
  <si>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</si>
  <si>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</si>
  <si>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</si>
  <si>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</si>
  <si>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</si>
  <si>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</si>
  <si>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</si>
  <si>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</si>
  <si>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</si>
  <si>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</si>
  <si>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</si>
  <si>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</si>
  <si>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</si>
  <si>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</si>
  <si>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</si>
  <si>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</si>
  <si>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</si>
  <si>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</si>
  <si>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</si>
  <si>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</si>
  <si>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</si>
  <si>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</si>
  <si>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EC Director</t>
  </si>
  <si>
    <t>Salary Sheet for the Month October 2024</t>
  </si>
  <si>
    <t xml:space="preserve">Government High School Sindhi Jamaat Cooperative Housing Society, Bin Qasim Town Karachi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</si>
</sst>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tabSelected="1" workbookViewId="0">
      <selection activeCell="W25" sqref="W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59" t="s">
        <v>0</v>
      </c>
      <c r="B3" s="60"/>
      <c r="C3" s="60"/>
      <c r="D3" s="53" t="str">
        <f>TEXT(D4,"ddd")</f>
        <v>Tue</v>
      </c>
      <c r="E3" s="53" t="str">
        <f t="shared" ref="E3:AH3" si="0">TEXT(E4,"ddd")</f>
        <v>Wed</v>
      </c>
      <c r="F3" s="53" t="str">
        <f t="shared" si="0"/>
        <v>Thu</v>
      </c>
      <c r="G3" s="53" t="str">
        <f t="shared" si="0"/>
        <v>Fri</v>
      </c>
      <c r="H3" s="53" t="str">
        <f t="shared" si="0"/>
        <v>Sat</v>
      </c>
      <c r="I3" s="53" t="str">
        <f t="shared" si="0"/>
        <v>Sun</v>
      </c>
      <c r="J3" s="53" t="str">
        <f t="shared" si="0"/>
        <v>Mon</v>
      </c>
      <c r="K3" s="53" t="str">
        <f t="shared" si="0"/>
        <v>Tue</v>
      </c>
      <c r="L3" s="53" t="str">
        <f t="shared" si="0"/>
        <v>Wed</v>
      </c>
      <c r="M3" s="53" t="str">
        <f t="shared" si="0"/>
        <v>Thu</v>
      </c>
      <c r="N3" s="53" t="str">
        <f t="shared" si="0"/>
        <v>Fri</v>
      </c>
      <c r="O3" s="53" t="str">
        <f t="shared" si="0"/>
        <v>Sat</v>
      </c>
      <c r="P3" s="53" t="str">
        <f t="shared" si="0"/>
        <v>Sun</v>
      </c>
      <c r="Q3" s="53" t="str">
        <f t="shared" si="0"/>
        <v>Mon</v>
      </c>
      <c r="R3" s="53" t="str">
        <f t="shared" si="0"/>
        <v>Tue</v>
      </c>
      <c r="S3" s="53" t="str">
        <f t="shared" si="0"/>
        <v>Wed</v>
      </c>
      <c r="T3" s="53" t="str">
        <f t="shared" si="0"/>
        <v>Thu</v>
      </c>
      <c r="U3" s="53" t="str">
        <f t="shared" si="0"/>
        <v>Fri</v>
      </c>
      <c r="V3" s="53" t="str">
        <f t="shared" si="0"/>
        <v>Sat</v>
      </c>
      <c r="W3" s="53" t="str">
        <f t="shared" si="0"/>
        <v>Sun</v>
      </c>
      <c r="X3" s="53" t="str">
        <f t="shared" si="0"/>
        <v>Mon</v>
      </c>
      <c r="Y3" s="53" t="str">
        <f t="shared" si="0"/>
        <v>Tue</v>
      </c>
      <c r="Z3" s="53" t="str">
        <f t="shared" si="0"/>
        <v>Wed</v>
      </c>
      <c r="AA3" s="53" t="str">
        <f t="shared" si="0"/>
        <v>Thu</v>
      </c>
      <c r="AB3" s="53" t="str">
        <f t="shared" si="0"/>
        <v>Fri</v>
      </c>
      <c r="AC3" s="53" t="str">
        <f t="shared" si="0"/>
        <v>Sat</v>
      </c>
      <c r="AD3" s="53" t="str">
        <f t="shared" si="0"/>
        <v>Sun</v>
      </c>
      <c r="AE3" s="53" t="str">
        <f t="shared" si="0"/>
        <v>Mon</v>
      </c>
      <c r="AF3" s="53" t="str">
        <f t="shared" si="0"/>
        <v>Tue</v>
      </c>
      <c r="AG3" s="53" t="str">
        <f t="shared" si="0"/>
        <v>Wed</v>
      </c>
      <c r="AH3" s="53" t="str">
        <f t="shared" si="0"/>
        <v>Thu</v>
      </c>
      <c r="AI3" s="61" t="s">
        <v>1</v>
      </c>
      <c r="AJ3" s="61"/>
      <c r="AK3" s="61"/>
      <c r="AL3" s="61"/>
      <c r="AM3" s="62"/>
    </row>
    <row r="4" spans="1:39" x14ac:dyDescent="0.25">
      <c r="A4" s="1" t="s">
        <v>2</v>
      </c>
      <c r="B4" s="2" t="s">
        <v>3</v>
      </c>
      <c r="C4" s="2" t="s">
        <v>4</v>
      </c>
      <c r="D4" s="8">
        <v>45566</v>
      </c>
      <c r="E4" s="8">
        <v>45567</v>
      </c>
      <c r="F4" s="8">
        <v>45568</v>
      </c>
      <c r="G4" s="8">
        <v>45569</v>
      </c>
      <c r="H4" s="8">
        <v>45570</v>
      </c>
      <c r="I4" s="8">
        <v>45571</v>
      </c>
      <c r="J4" s="8">
        <v>45572</v>
      </c>
      <c r="K4" s="8">
        <v>45573</v>
      </c>
      <c r="L4" s="8">
        <v>45574</v>
      </c>
      <c r="M4" s="8">
        <v>45575</v>
      </c>
      <c r="N4" s="8">
        <v>45576</v>
      </c>
      <c r="O4" s="8">
        <v>45577</v>
      </c>
      <c r="P4" s="8">
        <v>45578</v>
      </c>
      <c r="Q4" s="8">
        <v>45579</v>
      </c>
      <c r="R4" s="8">
        <v>45580</v>
      </c>
      <c r="S4" s="8">
        <v>45581</v>
      </c>
      <c r="T4" s="8">
        <v>45582</v>
      </c>
      <c r="U4" s="8">
        <v>45583</v>
      </c>
      <c r="V4" s="8">
        <v>45584</v>
      </c>
      <c r="W4" s="8">
        <v>45585</v>
      </c>
      <c r="X4" s="8">
        <v>45586</v>
      </c>
      <c r="Y4" s="8">
        <v>45587</v>
      </c>
      <c r="Z4" s="8">
        <v>45588</v>
      </c>
      <c r="AA4" s="8">
        <v>45589</v>
      </c>
      <c r="AB4" s="8">
        <v>45590</v>
      </c>
      <c r="AC4" s="8">
        <v>45591</v>
      </c>
      <c r="AD4" s="8">
        <v>45592</v>
      </c>
      <c r="AE4" s="8">
        <v>45593</v>
      </c>
      <c r="AF4" s="8">
        <v>45594</v>
      </c>
      <c r="AG4" s="8">
        <v>45595</v>
      </c>
      <c r="AH4" s="8">
        <v>45596</v>
      </c>
      <c r="AI4" s="17" t="s">
        <v>6</v>
      </c>
      <c r="AJ4" s="17" t="s">
        <v>7</v>
      </c>
      <c r="AK4" s="17" t="s">
        <v>18</v>
      </c>
      <c r="AL4" s="17" t="s">
        <v>94</v>
      </c>
      <c r="AM4" s="18" t="s">
        <v>5</v>
      </c>
    </row>
    <row r="5" spans="1:39" x14ac:dyDescent="0.25">
      <c r="A5" s="3">
        <f>IF(B5="","",1)</f>
        <v>1</v>
      </c>
      <c r="B5" s="4" t="s">
        <v>9</v>
      </c>
      <c r="C5" s="4" t="s">
        <v>10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/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/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/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54"/>
      <c r="AE5" s="4" t="s">
        <v>6</v>
      </c>
      <c r="AF5" s="4" t="s">
        <v>6</v>
      </c>
      <c r="AG5" s="4" t="s">
        <v>6</v>
      </c>
      <c r="AH5" s="4" t="s">
        <v>6</v>
      </c>
      <c r="AI5" s="4">
        <f>COUNTIF(D5:AH5,"P")</f>
        <v>27</v>
      </c>
      <c r="AJ5" s="4">
        <f>COUNTIF(D5:AH5,"A")</f>
        <v>0</v>
      </c>
      <c r="AK5" s="4">
        <f>COUNTIF(D5:AH5,"L")</f>
        <v>0</v>
      </c>
      <c r="AL5" s="4">
        <f>COUNTBLANK(D5:AH5)</f>
        <v>4</v>
      </c>
      <c r="AM5" s="55">
        <f>AI5+AK5+AL5</f>
        <v>31</v>
      </c>
    </row>
    <row r="6" spans="1:39" x14ac:dyDescent="0.25">
      <c r="A6" s="3">
        <f>IF(B6="","",A5+1)</f>
        <v>2</v>
      </c>
      <c r="B6" s="4" t="s">
        <v>11</v>
      </c>
      <c r="C6" s="4" t="s">
        <v>10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54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ref="AI6:AI13" si="1">COUNTIF(D6:AH6,"P")</f>
        <v>27</v>
      </c>
      <c r="AJ6" s="4">
        <f t="shared" ref="AJ6:AJ13" si="2">COUNTIF(D6:AH6,"A")</f>
        <v>0</v>
      </c>
      <c r="AK6" s="4">
        <f t="shared" ref="AK6:AK12" si="3">COUNTIF(D6:AH6,"L")</f>
        <v>0</v>
      </c>
      <c r="AL6" s="4">
        <f t="shared" ref="AL6:AL13" si="4">COUNTBLANK(D6:AH6)</f>
        <v>4</v>
      </c>
      <c r="AM6" s="55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12</v>
      </c>
      <c r="C7" s="4" t="s">
        <v>10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/>
      <c r="X7" s="4" t="s">
        <v>6</v>
      </c>
      <c r="Y7" s="4" t="s">
        <v>6</v>
      </c>
      <c r="Z7" s="4" t="s">
        <v>6</v>
      </c>
      <c r="AA7" s="4" t="s">
        <v>18</v>
      </c>
      <c r="AB7" s="4" t="s">
        <v>7</v>
      </c>
      <c r="AC7" s="4" t="s">
        <v>7</v>
      </c>
      <c r="AD7" s="54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7</v>
      </c>
      <c r="AK7" s="4">
        <f t="shared" si="3"/>
        <v>1</v>
      </c>
      <c r="AL7" s="4">
        <f t="shared" si="4"/>
        <v>3</v>
      </c>
      <c r="AM7" s="55">
        <f t="shared" si="5"/>
        <v>24</v>
      </c>
    </row>
    <row r="8" spans="1:39" x14ac:dyDescent="0.25">
      <c r="A8" s="3">
        <f t="shared" si="6"/>
        <v>4</v>
      </c>
      <c r="B8" s="4" t="s">
        <v>13</v>
      </c>
      <c r="C8" s="4" t="s">
        <v>10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/>
      <c r="Q8" s="4" t="s">
        <v>18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4"/>
      <c r="X8" s="4" t="s">
        <v>6</v>
      </c>
      <c r="Y8" s="4" t="s">
        <v>6</v>
      </c>
      <c r="Z8" s="4" t="s">
        <v>7</v>
      </c>
      <c r="AA8" s="4" t="s">
        <v>6</v>
      </c>
      <c r="AB8" s="4" t="s">
        <v>6</v>
      </c>
      <c r="AC8" s="4" t="s">
        <v>6</v>
      </c>
      <c r="AD8" s="54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55">
        <f t="shared" si="5"/>
        <v>29</v>
      </c>
    </row>
    <row r="9" spans="1:39" x14ac:dyDescent="0.25">
      <c r="A9" s="3">
        <f t="shared" si="6"/>
        <v>5</v>
      </c>
      <c r="B9" s="4" t="s">
        <v>14</v>
      </c>
      <c r="C9" s="4" t="s">
        <v>10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/>
      <c r="J9" s="4" t="s">
        <v>6</v>
      </c>
      <c r="K9" s="4" t="s">
        <v>6</v>
      </c>
      <c r="L9" s="4" t="s">
        <v>18</v>
      </c>
      <c r="M9" s="4" t="s">
        <v>6</v>
      </c>
      <c r="N9" s="4" t="s">
        <v>6</v>
      </c>
      <c r="O9" s="4" t="s">
        <v>6</v>
      </c>
      <c r="P9" s="4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7</v>
      </c>
      <c r="AD9" s="54" t="s">
        <v>7</v>
      </c>
      <c r="AE9" s="4" t="s">
        <v>7</v>
      </c>
      <c r="AF9" s="4" t="s">
        <v>7</v>
      </c>
      <c r="AG9" s="4" t="s">
        <v>6</v>
      </c>
      <c r="AH9" s="4" t="s">
        <v>6</v>
      </c>
      <c r="AI9" s="4">
        <f t="shared" si="1"/>
        <v>22</v>
      </c>
      <c r="AJ9" s="4">
        <f t="shared" si="2"/>
        <v>5</v>
      </c>
      <c r="AK9" s="4">
        <f t="shared" si="3"/>
        <v>1</v>
      </c>
      <c r="AL9" s="4">
        <f t="shared" si="4"/>
        <v>3</v>
      </c>
      <c r="AM9" s="55">
        <f t="shared" si="5"/>
        <v>26</v>
      </c>
    </row>
    <row r="10" spans="1:39" x14ac:dyDescent="0.25">
      <c r="A10" s="3">
        <f t="shared" si="6"/>
        <v>6</v>
      </c>
      <c r="B10" s="4" t="s">
        <v>15</v>
      </c>
      <c r="C10" s="4" t="s">
        <v>10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54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55">
        <f t="shared" si="5"/>
        <v>31</v>
      </c>
    </row>
    <row r="11" spans="1:39" x14ac:dyDescent="0.25">
      <c r="A11" s="3">
        <f t="shared" si="6"/>
        <v>7</v>
      </c>
      <c r="B11" s="4" t="s">
        <v>16</v>
      </c>
      <c r="C11" s="4" t="s">
        <v>10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54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55">
        <f t="shared" si="5"/>
        <v>31</v>
      </c>
    </row>
    <row r="12" spans="1:39" x14ac:dyDescent="0.25">
      <c r="A12" s="13">
        <v>8</v>
      </c>
      <c r="B12" s="14" t="s">
        <v>90</v>
      </c>
      <c r="C12" s="4" t="s">
        <v>98</v>
      </c>
      <c r="D12" s="1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14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14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1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4" t="s">
        <v>6</v>
      </c>
      <c r="AD12" s="56"/>
      <c r="AE12" s="14" t="s">
        <v>6</v>
      </c>
      <c r="AF12" s="14" t="s">
        <v>6</v>
      </c>
      <c r="AG12" s="14" t="s">
        <v>6</v>
      </c>
      <c r="AH12" s="1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55">
        <f t="shared" si="5"/>
        <v>31</v>
      </c>
    </row>
    <row r="13" spans="1:39" ht="15.75" thickBot="1" x14ac:dyDescent="0.3">
      <c r="A13" s="5">
        <v>9</v>
      </c>
      <c r="B13" s="6" t="s">
        <v>17</v>
      </c>
      <c r="C13" s="7" t="s">
        <v>57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57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>COUNTIF(D13:AH13,"L")</f>
        <v>0</v>
      </c>
      <c r="AL13" s="6">
        <f t="shared" si="4"/>
        <v>4</v>
      </c>
      <c r="AM13" s="58">
        <f t="shared" si="5"/>
        <v>31</v>
      </c>
    </row>
    <row r="16" spans="1:39" ht="15.75" thickBot="1" x14ac:dyDescent="0.3"/>
    <row r="17" spans="1:39" ht="27" x14ac:dyDescent="0.25">
      <c r="A17" s="59" t="s">
        <v>0</v>
      </c>
      <c r="B17" s="60"/>
      <c r="C17" s="60"/>
      <c r="D17" s="53" t="str">
        <f>TEXT(D18,"ddd")</f>
        <v>Tue</v>
      </c>
      <c r="E17" s="53" t="str">
        <f t="shared" ref="E17:AH17" si="7">TEXT(E18,"ddd")</f>
        <v>Wed</v>
      </c>
      <c r="F17" s="53" t="str">
        <f t="shared" si="7"/>
        <v>Thu</v>
      </c>
      <c r="G17" s="53" t="str">
        <f t="shared" si="7"/>
        <v>Fri</v>
      </c>
      <c r="H17" s="53" t="str">
        <f t="shared" si="7"/>
        <v>Sat</v>
      </c>
      <c r="I17" s="53" t="str">
        <f t="shared" si="7"/>
        <v>Sun</v>
      </c>
      <c r="J17" s="53" t="str">
        <f t="shared" si="7"/>
        <v>Mon</v>
      </c>
      <c r="K17" s="53" t="str">
        <f t="shared" si="7"/>
        <v>Tue</v>
      </c>
      <c r="L17" s="53" t="str">
        <f t="shared" si="7"/>
        <v>Wed</v>
      </c>
      <c r="M17" s="53" t="str">
        <f t="shared" si="7"/>
        <v>Thu</v>
      </c>
      <c r="N17" s="53" t="str">
        <f t="shared" si="7"/>
        <v>Fri</v>
      </c>
      <c r="O17" s="53" t="str">
        <f t="shared" si="7"/>
        <v>Sat</v>
      </c>
      <c r="P17" s="53" t="str">
        <f t="shared" si="7"/>
        <v>Sun</v>
      </c>
      <c r="Q17" s="53" t="str">
        <f t="shared" si="7"/>
        <v>Mon</v>
      </c>
      <c r="R17" s="53" t="str">
        <f t="shared" si="7"/>
        <v>Tue</v>
      </c>
      <c r="S17" s="53" t="str">
        <f t="shared" si="7"/>
        <v>Wed</v>
      </c>
      <c r="T17" s="53" t="str">
        <f t="shared" si="7"/>
        <v>Thu</v>
      </c>
      <c r="U17" s="53" t="str">
        <f t="shared" si="7"/>
        <v>Fri</v>
      </c>
      <c r="V17" s="53" t="str">
        <f t="shared" si="7"/>
        <v>Sat</v>
      </c>
      <c r="W17" s="53" t="str">
        <f t="shared" si="7"/>
        <v>Sun</v>
      </c>
      <c r="X17" s="53" t="str">
        <f t="shared" si="7"/>
        <v>Mon</v>
      </c>
      <c r="Y17" s="53" t="str">
        <f t="shared" si="7"/>
        <v>Tue</v>
      </c>
      <c r="Z17" s="53" t="str">
        <f t="shared" si="7"/>
        <v>Wed</v>
      </c>
      <c r="AA17" s="53" t="str">
        <f t="shared" si="7"/>
        <v>Thu</v>
      </c>
      <c r="AB17" s="53" t="str">
        <f t="shared" si="7"/>
        <v>Fri</v>
      </c>
      <c r="AC17" s="53" t="str">
        <f t="shared" si="7"/>
        <v>Sat</v>
      </c>
      <c r="AD17" s="53" t="str">
        <f t="shared" si="7"/>
        <v>Sun</v>
      </c>
      <c r="AE17" s="53" t="str">
        <f t="shared" si="7"/>
        <v>Mon</v>
      </c>
      <c r="AF17" s="53" t="str">
        <f t="shared" si="7"/>
        <v>Tue</v>
      </c>
      <c r="AG17" s="53" t="str">
        <f t="shared" si="7"/>
        <v>Wed</v>
      </c>
      <c r="AH17" s="53" t="str">
        <f t="shared" si="7"/>
        <v>Thu</v>
      </c>
      <c r="AI17" s="61" t="s">
        <v>1</v>
      </c>
      <c r="AJ17" s="61"/>
      <c r="AK17" s="61"/>
      <c r="AL17" s="61"/>
      <c r="AM17" s="62"/>
    </row>
    <row r="18" spans="1:39" x14ac:dyDescent="0.25">
      <c r="A18" s="1" t="s">
        <v>2</v>
      </c>
      <c r="B18" s="2" t="s">
        <v>3</v>
      </c>
      <c r="C18" s="2" t="s">
        <v>4</v>
      </c>
      <c r="D18" s="8">
        <v>45566</v>
      </c>
      <c r="E18" s="8">
        <v>45567</v>
      </c>
      <c r="F18" s="8">
        <v>45568</v>
      </c>
      <c r="G18" s="8">
        <v>45569</v>
      </c>
      <c r="H18" s="8">
        <v>45570</v>
      </c>
      <c r="I18" s="8">
        <v>45571</v>
      </c>
      <c r="J18" s="8">
        <v>45572</v>
      </c>
      <c r="K18" s="8">
        <v>45573</v>
      </c>
      <c r="L18" s="8">
        <v>45574</v>
      </c>
      <c r="M18" s="8">
        <v>45575</v>
      </c>
      <c r="N18" s="8">
        <v>45576</v>
      </c>
      <c r="O18" s="8">
        <v>45577</v>
      </c>
      <c r="P18" s="8">
        <v>45578</v>
      </c>
      <c r="Q18" s="8">
        <v>45579</v>
      </c>
      <c r="R18" s="8">
        <v>45580</v>
      </c>
      <c r="S18" s="8">
        <v>45581</v>
      </c>
      <c r="T18" s="8">
        <v>45582</v>
      </c>
      <c r="U18" s="8">
        <v>45583</v>
      </c>
      <c r="V18" s="8">
        <v>45584</v>
      </c>
      <c r="W18" s="8">
        <v>45585</v>
      </c>
      <c r="X18" s="8">
        <v>45586</v>
      </c>
      <c r="Y18" s="8">
        <v>45587</v>
      </c>
      <c r="Z18" s="8">
        <v>45588</v>
      </c>
      <c r="AA18" s="8">
        <v>45589</v>
      </c>
      <c r="AB18" s="8">
        <v>45590</v>
      </c>
      <c r="AC18" s="8">
        <v>45591</v>
      </c>
      <c r="AD18" s="8">
        <v>45592</v>
      </c>
      <c r="AE18" s="8">
        <v>45593</v>
      </c>
      <c r="AF18" s="8">
        <v>45594</v>
      </c>
      <c r="AG18" s="8">
        <v>45595</v>
      </c>
      <c r="AH18" s="8">
        <v>45596</v>
      </c>
      <c r="AI18" s="17" t="s">
        <v>6</v>
      </c>
      <c r="AJ18" s="17" t="s">
        <v>7</v>
      </c>
      <c r="AK18" s="17" t="s">
        <v>18</v>
      </c>
      <c r="AL18" s="17" t="s">
        <v>94</v>
      </c>
      <c r="AM18" s="18" t="s">
        <v>5</v>
      </c>
    </row>
    <row r="19" spans="1:39" x14ac:dyDescent="0.25">
      <c r="A19" s="3">
        <f>IF(B19="","",1)</f>
        <v>1</v>
      </c>
      <c r="B19" s="4" t="s">
        <v>19</v>
      </c>
      <c r="C19" s="4" t="s">
        <v>20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/>
      <c r="X19" s="4" t="s">
        <v>6</v>
      </c>
      <c r="Y19" s="4" t="s">
        <v>18</v>
      </c>
      <c r="Z19" s="4" t="s">
        <v>6</v>
      </c>
      <c r="AA19" s="4" t="s">
        <v>6</v>
      </c>
      <c r="AB19" s="4" t="s">
        <v>6</v>
      </c>
      <c r="AC19" s="4" t="s">
        <v>6</v>
      </c>
      <c r="AD19" s="4"/>
      <c r="AE19" s="4" t="s">
        <v>6</v>
      </c>
      <c r="AF19" s="4" t="s">
        <v>6</v>
      </c>
      <c r="AG19" s="4" t="s">
        <v>6</v>
      </c>
      <c r="AH19" s="4" t="s">
        <v>6</v>
      </c>
      <c r="AI19" s="9">
        <f>COUNTIF(D19:AH19,"P")</f>
        <v>26</v>
      </c>
      <c r="AJ19" s="9">
        <f>COUNTIF(D19:AH19,"A")</f>
        <v>0</v>
      </c>
      <c r="AK19" s="9">
        <f>COUNTIF(D19:AH19,"L")</f>
        <v>1</v>
      </c>
      <c r="AL19" s="9">
        <f>COUNTBLANK(D19:AH19)</f>
        <v>4</v>
      </c>
      <c r="AM19" s="11">
        <f>AI19+AK19+AL19</f>
        <v>31</v>
      </c>
    </row>
    <row r="20" spans="1:39" x14ac:dyDescent="0.25">
      <c r="A20" s="3">
        <f>IF(B20="","",A19+1)</f>
        <v>2</v>
      </c>
      <c r="B20" s="4" t="s">
        <v>21</v>
      </c>
      <c r="C20" s="4" t="s">
        <v>22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/>
      <c r="AE20" s="4" t="s">
        <v>6</v>
      </c>
      <c r="AF20" s="4" t="s">
        <v>6</v>
      </c>
      <c r="AG20" s="4" t="s">
        <v>6</v>
      </c>
      <c r="AH20" s="4" t="s">
        <v>6</v>
      </c>
      <c r="AI20" s="9">
        <f t="shared" ref="AI20:AI25" si="8">COUNTIF(D20:AH20,"P")</f>
        <v>27</v>
      </c>
      <c r="AJ20" s="9">
        <f t="shared" ref="AJ20:AJ25" si="9">COUNTIF(D20:AH20,"A")</f>
        <v>0</v>
      </c>
      <c r="AK20" s="9">
        <f t="shared" ref="AK20:AK25" si="10">COUNTIF(D20:AH20,"L")</f>
        <v>0</v>
      </c>
      <c r="AL20" s="9">
        <f t="shared" ref="AL20:AL25" si="11">COUNTBLANK(D20:AH20)</f>
        <v>4</v>
      </c>
      <c r="AM20" s="11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23</v>
      </c>
      <c r="C21" s="4" t="s">
        <v>24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/>
      <c r="AE21" s="4" t="s">
        <v>6</v>
      </c>
      <c r="AF21" s="4" t="s">
        <v>6</v>
      </c>
      <c r="AG21" s="4" t="s">
        <v>6</v>
      </c>
      <c r="AH21" s="4" t="s">
        <v>6</v>
      </c>
      <c r="AI21" s="9">
        <f t="shared" si="8"/>
        <v>27</v>
      </c>
      <c r="AJ21" s="9">
        <f t="shared" si="9"/>
        <v>0</v>
      </c>
      <c r="AK21" s="9">
        <f t="shared" si="10"/>
        <v>0</v>
      </c>
      <c r="AL21" s="9">
        <f t="shared" si="11"/>
        <v>4</v>
      </c>
      <c r="AM21" s="11">
        <f t="shared" si="12"/>
        <v>31</v>
      </c>
    </row>
    <row r="22" spans="1:39" x14ac:dyDescent="0.25">
      <c r="A22" s="3">
        <f t="shared" si="13"/>
        <v>4</v>
      </c>
      <c r="B22" s="4" t="s">
        <v>25</v>
      </c>
      <c r="C22" s="4" t="s">
        <v>26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/>
      <c r="J22" s="4" t="s">
        <v>6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9">
        <f t="shared" si="8"/>
        <v>6</v>
      </c>
      <c r="AJ22" s="9">
        <f t="shared" si="9"/>
        <v>24</v>
      </c>
      <c r="AK22" s="9">
        <f t="shared" si="10"/>
        <v>0</v>
      </c>
      <c r="AL22" s="9">
        <f t="shared" si="11"/>
        <v>1</v>
      </c>
      <c r="AM22" s="11">
        <f t="shared" si="12"/>
        <v>7</v>
      </c>
    </row>
    <row r="23" spans="1:39" x14ac:dyDescent="0.25">
      <c r="A23" s="3">
        <f t="shared" si="13"/>
        <v>5</v>
      </c>
      <c r="B23" s="4" t="s">
        <v>27</v>
      </c>
      <c r="C23" s="4" t="s">
        <v>26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/>
      <c r="AE23" s="4" t="s">
        <v>6</v>
      </c>
      <c r="AF23" s="4" t="s">
        <v>6</v>
      </c>
      <c r="AG23" s="4" t="s">
        <v>6</v>
      </c>
      <c r="AH23" s="4" t="s">
        <v>6</v>
      </c>
      <c r="AI23" s="9">
        <f t="shared" si="8"/>
        <v>27</v>
      </c>
      <c r="AJ23" s="9">
        <f t="shared" si="9"/>
        <v>0</v>
      </c>
      <c r="AK23" s="9">
        <f t="shared" si="10"/>
        <v>0</v>
      </c>
      <c r="AL23" s="9">
        <f t="shared" si="11"/>
        <v>4</v>
      </c>
      <c r="AM23" s="11">
        <f t="shared" si="12"/>
        <v>31</v>
      </c>
    </row>
    <row r="24" spans="1:39" x14ac:dyDescent="0.25">
      <c r="A24" s="13">
        <v>6</v>
      </c>
      <c r="B24" s="14" t="s">
        <v>95</v>
      </c>
      <c r="C24" s="4" t="s">
        <v>26</v>
      </c>
      <c r="D24" s="14" t="s">
        <v>93</v>
      </c>
      <c r="E24" s="14" t="s">
        <v>93</v>
      </c>
      <c r="F24" s="14" t="s">
        <v>93</v>
      </c>
      <c r="G24" s="14" t="s">
        <v>93</v>
      </c>
      <c r="H24" s="14" t="s">
        <v>93</v>
      </c>
      <c r="I24" s="14"/>
      <c r="J24" s="14" t="s">
        <v>93</v>
      </c>
      <c r="K24" s="14" t="s">
        <v>93</v>
      </c>
      <c r="L24" s="14" t="s">
        <v>93</v>
      </c>
      <c r="M24" s="14" t="s">
        <v>93</v>
      </c>
      <c r="N24" s="14" t="s">
        <v>93</v>
      </c>
      <c r="O24" s="14" t="s">
        <v>93</v>
      </c>
      <c r="P24" s="14"/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/>
      <c r="X24" s="14" t="s">
        <v>93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/>
      <c r="AE24" s="14" t="s">
        <v>6</v>
      </c>
      <c r="AF24" s="14" t="s">
        <v>6</v>
      </c>
      <c r="AG24" s="14" t="s">
        <v>6</v>
      </c>
      <c r="AH24" s="14" t="s">
        <v>6</v>
      </c>
      <c r="AI24" s="15">
        <f t="shared" si="8"/>
        <v>9</v>
      </c>
      <c r="AJ24" s="15">
        <f t="shared" si="9"/>
        <v>0</v>
      </c>
      <c r="AK24" s="9">
        <f t="shared" si="10"/>
        <v>0</v>
      </c>
      <c r="AL24" s="15">
        <f t="shared" si="11"/>
        <v>4</v>
      </c>
      <c r="AM24" s="16">
        <f t="shared" si="12"/>
        <v>13</v>
      </c>
    </row>
    <row r="25" spans="1:39" ht="15.75" thickBot="1" x14ac:dyDescent="0.3">
      <c r="A25" s="5">
        <v>7</v>
      </c>
      <c r="B25" s="6" t="s">
        <v>28</v>
      </c>
      <c r="C25" s="6" t="s">
        <v>29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/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/>
      <c r="AE25" s="6" t="s">
        <v>6</v>
      </c>
      <c r="AF25" s="6" t="s">
        <v>6</v>
      </c>
      <c r="AG25" s="6" t="s">
        <v>6</v>
      </c>
      <c r="AH25" s="6" t="s">
        <v>6</v>
      </c>
      <c r="AI25" s="10">
        <f t="shared" si="8"/>
        <v>27</v>
      </c>
      <c r="AJ25" s="10">
        <f t="shared" si="9"/>
        <v>0</v>
      </c>
      <c r="AK25" s="10">
        <f t="shared" si="10"/>
        <v>0</v>
      </c>
      <c r="AL25" s="10">
        <f t="shared" si="11"/>
        <v>4</v>
      </c>
      <c r="AM25" s="12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5" priority="1">
      <formula>D$3="SUN"</formula>
    </cfRule>
  </conditionalFormatting>
  <conditionalFormatting sqref="D19:AH2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N31"/>
  <sheetViews>
    <sheetView topLeftCell="A15" workbookViewId="0">
      <selection activeCell="G9" sqref="G9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5.28515625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</cols>
  <sheetData>
    <row r="1" spans="1:14" ht="21" x14ac:dyDescent="0.25">
      <c r="A1" s="63" t="s">
        <v>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21.75" thickBot="1" x14ac:dyDescent="0.3">
      <c r="A2" s="66" t="s">
        <v>100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8"/>
    </row>
    <row r="3" spans="1:14" ht="15.75" thickBot="1" x14ac:dyDescent="0.3"/>
    <row r="4" spans="1:14" ht="27" thickBot="1" x14ac:dyDescent="0.45">
      <c r="A4" s="69" t="s">
        <v>88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</row>
    <row r="5" spans="1:14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72" t="s">
        <v>30</v>
      </c>
      <c r="B6" s="75" t="s">
        <v>31</v>
      </c>
      <c r="C6" s="75" t="s">
        <v>4</v>
      </c>
      <c r="D6" s="75" t="s">
        <v>32</v>
      </c>
      <c r="E6" s="78" t="s">
        <v>33</v>
      </c>
      <c r="F6" s="78" t="s">
        <v>35</v>
      </c>
      <c r="G6" s="78" t="s">
        <v>36</v>
      </c>
      <c r="H6" s="78" t="s">
        <v>34</v>
      </c>
      <c r="I6" s="81" t="s">
        <v>37</v>
      </c>
      <c r="J6" s="81"/>
      <c r="K6" s="81"/>
      <c r="L6" s="81"/>
      <c r="M6" s="82" t="s">
        <v>76</v>
      </c>
      <c r="N6" s="85" t="s">
        <v>8</v>
      </c>
    </row>
    <row r="7" spans="1:14" x14ac:dyDescent="0.25">
      <c r="A7" s="73"/>
      <c r="B7" s="76"/>
      <c r="C7" s="76"/>
      <c r="D7" s="76"/>
      <c r="E7" s="79"/>
      <c r="F7" s="76"/>
      <c r="G7" s="79"/>
      <c r="H7" s="79"/>
      <c r="I7" s="88" t="s">
        <v>38</v>
      </c>
      <c r="J7" s="88" t="s">
        <v>39</v>
      </c>
      <c r="K7" s="88" t="s">
        <v>40</v>
      </c>
      <c r="L7" s="90" t="s">
        <v>41</v>
      </c>
      <c r="M7" s="83"/>
      <c r="N7" s="86"/>
    </row>
    <row r="8" spans="1:14" ht="15.75" thickBot="1" x14ac:dyDescent="0.3">
      <c r="A8" s="74"/>
      <c r="B8" s="77"/>
      <c r="C8" s="77"/>
      <c r="D8" s="77"/>
      <c r="E8" s="80"/>
      <c r="F8" s="77"/>
      <c r="G8" s="80"/>
      <c r="H8" s="80"/>
      <c r="I8" s="89"/>
      <c r="J8" s="89"/>
      <c r="K8" s="89"/>
      <c r="L8" s="91"/>
      <c r="M8" s="84"/>
      <c r="N8" s="87"/>
    </row>
    <row r="9" spans="1:14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Attandance!AM5</f>
        <v>31</v>
      </c>
      <c r="K9" s="22">
        <f>Attandance!AJ5</f>
        <v>0</v>
      </c>
      <c r="L9" s="22">
        <f>Attandance!AK5</f>
        <v>0</v>
      </c>
      <c r="M9" s="22"/>
      <c r="N9" s="27">
        <f>(H9/31)*J9</f>
        <v>22000</v>
      </c>
    </row>
    <row r="10" spans="1:14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Attandance!AM6</f>
        <v>31</v>
      </c>
      <c r="K10" s="34">
        <f>Attandance!AJ6</f>
        <v>0</v>
      </c>
      <c r="L10" s="34">
        <f>Attandance!AK6</f>
        <v>0</v>
      </c>
      <c r="M10" s="29"/>
      <c r="N10" s="35">
        <f t="shared" ref="N10:N17" si="0">(H10/31)*J10</f>
        <v>18000</v>
      </c>
    </row>
    <row r="11" spans="1:14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Attandance!AK7</f>
        <v>1</v>
      </c>
      <c r="M11" s="29"/>
      <c r="N11" s="35">
        <v>11500</v>
      </c>
    </row>
    <row r="12" spans="1:14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Attandance!AJ8</f>
        <v>2</v>
      </c>
      <c r="L12" s="34">
        <f>Attandance!AK8</f>
        <v>1</v>
      </c>
      <c r="M12" s="29"/>
      <c r="N12" s="35">
        <f>(H12/30)*J12</f>
        <v>14500</v>
      </c>
    </row>
    <row r="13" spans="1:14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Attandance!AK9</f>
        <v>1</v>
      </c>
      <c r="M13" s="29"/>
      <c r="N13" s="35">
        <f>(H13/30)*J13</f>
        <v>12500</v>
      </c>
    </row>
    <row r="14" spans="1:14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Attandance!AM10</f>
        <v>31</v>
      </c>
      <c r="K14" s="34">
        <f>Attandance!AJ10</f>
        <v>0</v>
      </c>
      <c r="L14" s="34">
        <f>Attandance!AK10</f>
        <v>0</v>
      </c>
      <c r="M14" s="29"/>
      <c r="N14" s="35">
        <f t="shared" si="0"/>
        <v>25000</v>
      </c>
    </row>
    <row r="15" spans="1:14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Attandance!AM11</f>
        <v>31</v>
      </c>
      <c r="K15" s="34">
        <f>Attandance!AJ11</f>
        <v>0</v>
      </c>
      <c r="L15" s="34">
        <f>Attandance!AK11</f>
        <v>0</v>
      </c>
      <c r="M15" s="29"/>
      <c r="N15" s="35">
        <f t="shared" si="0"/>
        <v>20000</v>
      </c>
    </row>
    <row r="16" spans="1:14" x14ac:dyDescent="0.25">
      <c r="A16" s="28" t="s">
        <v>90</v>
      </c>
      <c r="B16" s="29" t="s">
        <v>91</v>
      </c>
      <c r="C16" s="29" t="s">
        <v>98</v>
      </c>
      <c r="D16" s="29" t="s">
        <v>58</v>
      </c>
      <c r="E16" s="30">
        <v>45566</v>
      </c>
      <c r="F16" s="31" t="s">
        <v>92</v>
      </c>
      <c r="G16" s="32" t="s">
        <v>74</v>
      </c>
      <c r="H16" s="33">
        <v>30000</v>
      </c>
      <c r="I16" s="29">
        <v>31</v>
      </c>
      <c r="J16" s="34">
        <f>Attandance!AM12</f>
        <v>31</v>
      </c>
      <c r="K16" s="34">
        <f>Attandance!AJ12</f>
        <v>0</v>
      </c>
      <c r="L16" s="34">
        <f>Attandance!AK12</f>
        <v>0</v>
      </c>
      <c r="M16" s="29"/>
      <c r="N16" s="35">
        <f>(H16/31)*J16</f>
        <v>30000</v>
      </c>
    </row>
    <row r="17" spans="1:14" ht="15.75" thickBot="1" x14ac:dyDescent="0.3">
      <c r="A17" s="36" t="s">
        <v>48</v>
      </c>
      <c r="B17" s="37" t="s">
        <v>56</v>
      </c>
      <c r="C17" s="37" t="s">
        <v>57</v>
      </c>
      <c r="D17" s="37" t="s">
        <v>58</v>
      </c>
      <c r="E17" s="38">
        <v>45559</v>
      </c>
      <c r="F17" s="39" t="s">
        <v>66</v>
      </c>
      <c r="G17" s="40" t="s">
        <v>75</v>
      </c>
      <c r="H17" s="41">
        <v>28000</v>
      </c>
      <c r="I17" s="37">
        <v>31</v>
      </c>
      <c r="J17" s="42">
        <f>Attandance!AM13</f>
        <v>31</v>
      </c>
      <c r="K17" s="42">
        <f>Attandance!AJ13</f>
        <v>0</v>
      </c>
      <c r="L17" s="42">
        <f>Attandance!AK13</f>
        <v>0</v>
      </c>
      <c r="M17" s="43"/>
      <c r="N17" s="44">
        <f t="shared" si="0"/>
        <v>28000</v>
      </c>
    </row>
    <row r="18" spans="1:14" x14ac:dyDescent="0.25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5.75" thickBot="1" x14ac:dyDescent="0.3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7" thickBot="1" x14ac:dyDescent="0.45">
      <c r="A20" s="69" t="s">
        <v>89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ht="15.75" thickBot="1" x14ac:dyDescent="0.3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72" t="s">
        <v>30</v>
      </c>
      <c r="B22" s="75" t="s">
        <v>31</v>
      </c>
      <c r="C22" s="75" t="s">
        <v>4</v>
      </c>
      <c r="D22" s="75" t="s">
        <v>32</v>
      </c>
      <c r="E22" s="78" t="s">
        <v>33</v>
      </c>
      <c r="F22" s="78" t="s">
        <v>35</v>
      </c>
      <c r="G22" s="92" t="s">
        <v>36</v>
      </c>
      <c r="H22" s="92" t="s">
        <v>34</v>
      </c>
      <c r="I22" s="95" t="s">
        <v>37</v>
      </c>
      <c r="J22" s="95"/>
      <c r="K22" s="95"/>
      <c r="L22" s="95"/>
      <c r="M22" s="96" t="s">
        <v>76</v>
      </c>
      <c r="N22" s="85" t="s">
        <v>8</v>
      </c>
    </row>
    <row r="23" spans="1:14" x14ac:dyDescent="0.25">
      <c r="A23" s="73"/>
      <c r="B23" s="76"/>
      <c r="C23" s="76"/>
      <c r="D23" s="76"/>
      <c r="E23" s="79"/>
      <c r="F23" s="76"/>
      <c r="G23" s="93"/>
      <c r="H23" s="93"/>
      <c r="I23" s="99" t="s">
        <v>38</v>
      </c>
      <c r="J23" s="99" t="s">
        <v>39</v>
      </c>
      <c r="K23" s="99" t="s">
        <v>40</v>
      </c>
      <c r="L23" s="101" t="s">
        <v>41</v>
      </c>
      <c r="M23" s="97"/>
      <c r="N23" s="86"/>
    </row>
    <row r="24" spans="1:14" ht="15.75" thickBot="1" x14ac:dyDescent="0.3">
      <c r="A24" s="74"/>
      <c r="B24" s="77"/>
      <c r="C24" s="77"/>
      <c r="D24" s="77"/>
      <c r="E24" s="80"/>
      <c r="F24" s="77"/>
      <c r="G24" s="94"/>
      <c r="H24" s="94"/>
      <c r="I24" s="100"/>
      <c r="J24" s="100"/>
      <c r="K24" s="100"/>
      <c r="L24" s="102"/>
      <c r="M24" s="98"/>
      <c r="N24" s="87"/>
    </row>
    <row r="25" spans="1:14" x14ac:dyDescent="0.25">
      <c r="A25" s="21" t="s">
        <v>19</v>
      </c>
      <c r="B25" s="22" t="s">
        <v>77</v>
      </c>
      <c r="C25" s="22" t="s">
        <v>20</v>
      </c>
      <c r="D25" s="22" t="s">
        <v>58</v>
      </c>
      <c r="E25" s="23">
        <v>44475</v>
      </c>
      <c r="F25" s="24" t="s">
        <v>82</v>
      </c>
      <c r="G25" s="25" t="s">
        <v>68</v>
      </c>
      <c r="H25" s="26">
        <v>60000</v>
      </c>
      <c r="I25" s="22">
        <v>31</v>
      </c>
      <c r="J25" s="22">
        <v>30</v>
      </c>
      <c r="K25" s="22">
        <v>0</v>
      </c>
      <c r="L25" s="22">
        <v>1</v>
      </c>
      <c r="M25" s="52">
        <v>25000</v>
      </c>
      <c r="N25" s="27">
        <f>(H25/30)*J25+M25</f>
        <v>85000</v>
      </c>
    </row>
    <row r="26" spans="1:14" x14ac:dyDescent="0.25">
      <c r="A26" s="45" t="s">
        <v>21</v>
      </c>
      <c r="B26" s="29" t="s">
        <v>78</v>
      </c>
      <c r="C26" s="34" t="s">
        <v>22</v>
      </c>
      <c r="D26" s="34" t="s">
        <v>58</v>
      </c>
      <c r="E26" s="46">
        <v>45468</v>
      </c>
      <c r="F26" s="31" t="s">
        <v>83</v>
      </c>
      <c r="G26" s="32" t="s">
        <v>69</v>
      </c>
      <c r="H26" s="47">
        <v>24000</v>
      </c>
      <c r="I26" s="34">
        <v>31</v>
      </c>
      <c r="J26" s="34">
        <f>Attandance!AM20</f>
        <v>31</v>
      </c>
      <c r="K26" s="34">
        <f>Attandance!AJ20</f>
        <v>0</v>
      </c>
      <c r="L26" s="34">
        <f>Attandance!AK20</f>
        <v>0</v>
      </c>
      <c r="M26" s="34"/>
      <c r="N26" s="35">
        <f>(H26/31)*J26</f>
        <v>24000</v>
      </c>
    </row>
    <row r="27" spans="1:14" x14ac:dyDescent="0.25">
      <c r="A27" s="45" t="s">
        <v>23</v>
      </c>
      <c r="B27" s="29" t="s">
        <v>79</v>
      </c>
      <c r="C27" s="34" t="s">
        <v>24</v>
      </c>
      <c r="D27" s="34" t="s">
        <v>58</v>
      </c>
      <c r="E27" s="46">
        <v>45505</v>
      </c>
      <c r="F27" s="31" t="s">
        <v>84</v>
      </c>
      <c r="G27" s="32" t="s">
        <v>70</v>
      </c>
      <c r="H27" s="47">
        <v>8000</v>
      </c>
      <c r="I27" s="34">
        <v>31</v>
      </c>
      <c r="J27" s="34">
        <f>Attandance!AM21</f>
        <v>31</v>
      </c>
      <c r="K27" s="34">
        <f>Attandance!AJ21</f>
        <v>0</v>
      </c>
      <c r="L27" s="34">
        <f>Attandance!AK21</f>
        <v>0</v>
      </c>
      <c r="M27" s="34"/>
      <c r="N27" s="35">
        <f>(H27/31)*J27</f>
        <v>8000</v>
      </c>
    </row>
    <row r="28" spans="1:14" x14ac:dyDescent="0.25">
      <c r="A28" s="45" t="s">
        <v>25</v>
      </c>
      <c r="B28" s="29" t="s">
        <v>80</v>
      </c>
      <c r="C28" s="34" t="s">
        <v>26</v>
      </c>
      <c r="D28" s="34" t="s">
        <v>58</v>
      </c>
      <c r="E28" s="46">
        <v>44743</v>
      </c>
      <c r="F28" s="31" t="s">
        <v>85</v>
      </c>
      <c r="G28" s="32" t="s">
        <v>71</v>
      </c>
      <c r="H28" s="47">
        <v>15000</v>
      </c>
      <c r="I28" s="34">
        <v>31</v>
      </c>
      <c r="J28" s="34">
        <f>Attandance!AM22</f>
        <v>7</v>
      </c>
      <c r="K28" s="34">
        <f>Attandance!AJ22</f>
        <v>24</v>
      </c>
      <c r="L28" s="34">
        <f>Attandance!AK22</f>
        <v>0</v>
      </c>
      <c r="M28" s="34"/>
      <c r="N28" s="35">
        <f>(H28/30)*J28</f>
        <v>3500</v>
      </c>
    </row>
    <row r="29" spans="1:14" x14ac:dyDescent="0.25">
      <c r="A29" s="45" t="s">
        <v>27</v>
      </c>
      <c r="B29" s="29" t="s">
        <v>81</v>
      </c>
      <c r="C29" s="34" t="s">
        <v>26</v>
      </c>
      <c r="D29" s="34" t="s">
        <v>58</v>
      </c>
      <c r="E29" s="46">
        <v>44967</v>
      </c>
      <c r="F29" s="31" t="s">
        <v>86</v>
      </c>
      <c r="G29" s="32" t="s">
        <v>74</v>
      </c>
      <c r="H29" s="47">
        <v>15000</v>
      </c>
      <c r="I29" s="34">
        <v>31</v>
      </c>
      <c r="J29" s="34">
        <f>Attandance!AM23</f>
        <v>31</v>
      </c>
      <c r="K29" s="34">
        <f>Attandance!AJ23</f>
        <v>0</v>
      </c>
      <c r="L29" s="34">
        <f>Attandance!AK23</f>
        <v>0</v>
      </c>
      <c r="M29" s="34"/>
      <c r="N29" s="35">
        <f>(H29/31)*J29</f>
        <v>15000</v>
      </c>
    </row>
    <row r="30" spans="1:14" x14ac:dyDescent="0.25">
      <c r="A30" s="45" t="s">
        <v>95</v>
      </c>
      <c r="B30" s="48" t="s">
        <v>96</v>
      </c>
      <c r="C30" s="34" t="s">
        <v>26</v>
      </c>
      <c r="D30" s="34" t="s">
        <v>58</v>
      </c>
      <c r="E30" s="46">
        <v>45587</v>
      </c>
      <c r="F30" s="49" t="s">
        <v>97</v>
      </c>
      <c r="G30" s="50" t="s">
        <v>74</v>
      </c>
      <c r="H30" s="47">
        <v>15000</v>
      </c>
      <c r="I30" s="34">
        <v>31</v>
      </c>
      <c r="J30" s="34">
        <v>9</v>
      </c>
      <c r="K30" s="34">
        <f>Attandance!AJ24</f>
        <v>0</v>
      </c>
      <c r="L30" s="34">
        <f>Attandance!AK24</f>
        <v>0</v>
      </c>
      <c r="M30" s="29"/>
      <c r="N30" s="35">
        <f>(H30/30)*J30</f>
        <v>4500</v>
      </c>
    </row>
    <row r="31" spans="1:14" ht="15.75" thickBot="1" x14ac:dyDescent="0.3">
      <c r="A31" s="36" t="s">
        <v>28</v>
      </c>
      <c r="B31" s="37" t="s">
        <v>81</v>
      </c>
      <c r="C31" s="42" t="s">
        <v>29</v>
      </c>
      <c r="D31" s="42" t="s">
        <v>58</v>
      </c>
      <c r="E31" s="38">
        <v>44959</v>
      </c>
      <c r="F31" s="39" t="s">
        <v>87</v>
      </c>
      <c r="G31" s="40" t="s">
        <v>74</v>
      </c>
      <c r="H31" s="51">
        <v>15000</v>
      </c>
      <c r="I31" s="42">
        <v>31</v>
      </c>
      <c r="J31" s="42">
        <f>Attandance!AM25</f>
        <v>31</v>
      </c>
      <c r="K31" s="42">
        <f>Attandance!AJ25</f>
        <v>0</v>
      </c>
      <c r="L31" s="42">
        <f>Attandance!AK25</f>
        <v>0</v>
      </c>
      <c r="M31" s="42"/>
      <c r="N31" s="44">
        <f>(H31/31)*J31</f>
        <v>15000</v>
      </c>
    </row>
  </sheetData>
  <mergeCells count="34">
    <mergeCell ref="K23:K24"/>
    <mergeCell ref="L23:L24"/>
    <mergeCell ref="K7:K8"/>
    <mergeCell ref="L7:L8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M22:M24"/>
    <mergeCell ref="N22:N24"/>
    <mergeCell ref="I23:I24"/>
    <mergeCell ref="J23:J24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  <mergeCell ref="M6:M8"/>
    <mergeCell ref="N6:N8"/>
    <mergeCell ref="I7:I8"/>
    <mergeCell ref="J7:J8"/>
  </mergeCells>
  <conditionalFormatting sqref="B9:M9 B10:C13 M10:M16 D10:L17 C14:C16 F25:F31 G26:I30 D26:E31 K26:M31 G31:J31">
    <cfRule type="expression" dxfId="2" priority="3">
      <formula>$C9=#REF!</formula>
    </cfRule>
  </conditionalFormatting>
  <conditionalFormatting sqref="C25:C31">
    <cfRule type="expression" dxfId="1" priority="1">
      <formula>$C25=#REF!</formula>
    </cfRule>
  </conditionalFormatting>
  <conditionalFormatting sqref="D25:E25 G25:M25 B25:B30 J26:J30">
    <cfRule type="expression" dxfId="0" priority="2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2024-11-11T07:08:32Z</dcterms:modified>
</cp:coreProperties>
</file>