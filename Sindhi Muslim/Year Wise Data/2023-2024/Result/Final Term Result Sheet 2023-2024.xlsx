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95" yWindow="45" windowWidth="15165" windowHeight="9420" tabRatio="515" activeTab="1"/>
  </bookViews>
  <sheets>
    <sheet name="ECE ROSE" sheetId="24" r:id="rId1"/>
    <sheet name="ECE DAFFODILS" sheetId="25" r:id="rId2"/>
    <sheet name="Grade 01" sheetId="1" r:id="rId3"/>
    <sheet name="Grade 02" sheetId="5" r:id="rId4"/>
    <sheet name="Grade 03" sheetId="6" r:id="rId5"/>
    <sheet name="Grade 04" sheetId="7" r:id="rId6"/>
    <sheet name="Grade 05" sheetId="8" r:id="rId7"/>
    <sheet name="Grade 06" sheetId="9" r:id="rId8"/>
    <sheet name="Grade 07" sheetId="10" r:id="rId9"/>
    <sheet name="Grade 08" sheetId="11" r:id="rId10"/>
    <sheet name="Sheet2" sheetId="2" r:id="rId11"/>
    <sheet name="Sheet3" sheetId="3" r:id="rId12"/>
  </sheets>
  <definedNames>
    <definedName name="_xlnm._FilterDatabase" localSheetId="1" hidden="1">'ECE DAFFODILS'!$A$5:$W$62</definedName>
    <definedName name="_xlnm._FilterDatabase" localSheetId="0" hidden="1">'ECE ROSE'!$A$3:$W$7</definedName>
    <definedName name="_xlnm._FilterDatabase" localSheetId="2" hidden="1">'Grade 01'!$A$9:$I$59</definedName>
    <definedName name="_xlnm._FilterDatabase" localSheetId="3" hidden="1">'Grade 02'!$A$9:$I$55</definedName>
    <definedName name="_xlnm._FilterDatabase" localSheetId="4" hidden="1">'Grade 03'!$A$9:$I$53</definedName>
    <definedName name="_xlnm._FilterDatabase" localSheetId="5" hidden="1">'Grade 04'!$B$7:$L$54</definedName>
    <definedName name="_xlnm._FilterDatabase" localSheetId="6" hidden="1">'Grade 05'!$B$7:$L$49</definedName>
    <definedName name="_xlnm._FilterDatabase" localSheetId="7" hidden="1">'Grade 06'!$B$7:$L$49</definedName>
    <definedName name="_xlnm._FilterDatabase" localSheetId="8" hidden="1">'Grade 07'!$B$7:$L$38</definedName>
    <definedName name="_xlnm._FilterDatabase" localSheetId="9" hidden="1">'Grade 08'!$B$7:$L$23</definedName>
    <definedName name="_xlnm.Print_Titles" localSheetId="1">'ECE DAFFODILS'!$1:$5</definedName>
    <definedName name="_xlnm.Print_Titles" localSheetId="0">'ECE ROSE'!$1:$5</definedName>
    <definedName name="_xlnm.Print_Titles" localSheetId="2">'Grade 01'!$2:$8</definedName>
    <definedName name="_xlnm.Print_Titles" localSheetId="3">'Grade 02'!$2:$8</definedName>
    <definedName name="_xlnm.Print_Titles" localSheetId="4">'Grade 03'!$2:$8</definedName>
    <definedName name="_xlnm.Print_Titles" localSheetId="5">'Grade 04'!$2:$7</definedName>
    <definedName name="_xlnm.Print_Titles" localSheetId="6">'Grade 05'!$2:$7</definedName>
    <definedName name="_xlnm.Print_Titles" localSheetId="7">'Grade 06'!$2:$7</definedName>
    <definedName name="_xlnm.Print_Titles" localSheetId="8">'Grade 07'!$2:$7</definedName>
    <definedName name="_xlnm.Print_Titles" localSheetId="9">'Grade 08'!$2:$7</definedName>
  </definedNames>
  <calcPr calcId="144525"/>
</workbook>
</file>

<file path=xl/calcChain.xml><?xml version="1.0" encoding="utf-8"?>
<calcChain xmlns="http://schemas.openxmlformats.org/spreadsheetml/2006/main">
  <c r="P7" i="6" l="1"/>
  <c r="O7" i="5" l="1"/>
  <c r="T42" i="25" l="1"/>
  <c r="T26" i="25"/>
  <c r="T25" i="25"/>
  <c r="T17" i="25"/>
  <c r="T39" i="24"/>
  <c r="T28" i="24"/>
  <c r="T16" i="24"/>
  <c r="T14" i="24"/>
  <c r="T15" i="24"/>
  <c r="Q52" i="6"/>
  <c r="Q38" i="6"/>
  <c r="Q37" i="6"/>
  <c r="Q36" i="6"/>
  <c r="Q51" i="6"/>
  <c r="Q50" i="6"/>
  <c r="Q49" i="6"/>
  <c r="Q48" i="6"/>
  <c r="Q35" i="6"/>
  <c r="Q34" i="6"/>
  <c r="Q33" i="6"/>
  <c r="Q32" i="6"/>
  <c r="Q31" i="6"/>
  <c r="Q30" i="6"/>
  <c r="Q29" i="6"/>
  <c r="Q47" i="6"/>
  <c r="Q28" i="6"/>
  <c r="Q46" i="6"/>
  <c r="Q45" i="6"/>
  <c r="Q27" i="6"/>
  <c r="Q26" i="6"/>
  <c r="Q25" i="6"/>
  <c r="Q24" i="6"/>
  <c r="Q23" i="6"/>
  <c r="Q22" i="6"/>
  <c r="Q21" i="6"/>
  <c r="Q20" i="6"/>
  <c r="Q44" i="6"/>
  <c r="Q19" i="6"/>
  <c r="Q17" i="6"/>
  <c r="Q18" i="6"/>
  <c r="Q16" i="6"/>
  <c r="Q43" i="6"/>
  <c r="Q15" i="6"/>
  <c r="Q42" i="6"/>
  <c r="Q14" i="6"/>
  <c r="Q13" i="6"/>
  <c r="Q12" i="6"/>
  <c r="Q11" i="6"/>
  <c r="Q10" i="6"/>
  <c r="Q41" i="6"/>
  <c r="Q9" i="6"/>
  <c r="Q40" i="6"/>
  <c r="P21" i="5"/>
  <c r="P55" i="5"/>
  <c r="P54" i="5"/>
  <c r="P53" i="5"/>
  <c r="P52" i="5"/>
  <c r="P51" i="5"/>
  <c r="P28" i="5"/>
  <c r="P50" i="5"/>
  <c r="P49" i="5"/>
  <c r="P27" i="5"/>
  <c r="P26" i="5"/>
  <c r="P25" i="5"/>
  <c r="P24" i="5"/>
  <c r="P48" i="5"/>
  <c r="P47" i="5"/>
  <c r="P23" i="5"/>
  <c r="P22" i="5"/>
  <c r="P46" i="5"/>
  <c r="P20" i="5"/>
  <c r="P45" i="5"/>
  <c r="P44" i="5"/>
  <c r="P43" i="5"/>
  <c r="P42" i="5"/>
  <c r="P41" i="5"/>
  <c r="P40" i="5"/>
  <c r="P19" i="5"/>
  <c r="P18" i="5"/>
  <c r="P17" i="5"/>
  <c r="P16" i="5"/>
  <c r="P15" i="5"/>
  <c r="P39" i="5"/>
  <c r="P14" i="5"/>
  <c r="P13" i="5"/>
  <c r="P12" i="5"/>
  <c r="P38" i="5"/>
  <c r="P11" i="5"/>
  <c r="P37" i="5"/>
  <c r="P10" i="5"/>
  <c r="P36" i="5"/>
  <c r="P35" i="5"/>
  <c r="P34" i="5"/>
  <c r="P9" i="5"/>
  <c r="P33" i="5"/>
  <c r="P32" i="5"/>
  <c r="P31" i="5"/>
  <c r="P30" i="5"/>
  <c r="P55" i="1"/>
  <c r="P38" i="1" l="1"/>
  <c r="P30" i="1"/>
  <c r="P58" i="1"/>
  <c r="P29" i="1"/>
  <c r="P57" i="1"/>
  <c r="P28" i="1"/>
  <c r="P27" i="1"/>
  <c r="P26" i="1"/>
  <c r="P56" i="1"/>
  <c r="P25" i="1"/>
  <c r="P24" i="1"/>
  <c r="P23" i="1"/>
  <c r="P22" i="1"/>
  <c r="P54" i="1"/>
  <c r="P21" i="1"/>
  <c r="P53" i="1"/>
  <c r="P52" i="1"/>
  <c r="P51" i="1"/>
  <c r="P50" i="1"/>
  <c r="P49" i="1"/>
  <c r="P48" i="1"/>
  <c r="P47" i="1"/>
  <c r="P46" i="1"/>
  <c r="P20" i="1"/>
  <c r="P45" i="1"/>
  <c r="P19" i="1"/>
  <c r="P18" i="1"/>
  <c r="P17" i="1"/>
  <c r="P44" i="1"/>
  <c r="P43" i="1"/>
  <c r="P42" i="1"/>
  <c r="P41" i="1"/>
  <c r="P40" i="1"/>
  <c r="P39" i="1"/>
  <c r="P16" i="1"/>
  <c r="P37" i="1"/>
  <c r="P15" i="1"/>
  <c r="P14" i="1"/>
  <c r="P13" i="1"/>
  <c r="P12" i="1"/>
  <c r="P11" i="1"/>
  <c r="P36" i="1"/>
  <c r="P10" i="1"/>
  <c r="P9" i="1"/>
  <c r="P35" i="1"/>
  <c r="P34" i="1"/>
  <c r="P33" i="1"/>
  <c r="P32" i="1"/>
  <c r="T38" i="24" l="1"/>
  <c r="U38" i="24" s="1"/>
  <c r="T61" i="24"/>
  <c r="U61" i="24" s="1"/>
  <c r="T60" i="24"/>
  <c r="U60" i="24" s="1"/>
  <c r="T59" i="24"/>
  <c r="U59" i="24" s="1"/>
  <c r="T58" i="24"/>
  <c r="U58" i="24" s="1"/>
  <c r="T57" i="24"/>
  <c r="U57" i="24" s="1"/>
  <c r="T56" i="24"/>
  <c r="U56" i="24" s="1"/>
  <c r="T55" i="24"/>
  <c r="U55" i="24" s="1"/>
  <c r="T54" i="24"/>
  <c r="U54" i="24" s="1"/>
  <c r="T53" i="24"/>
  <c r="U53" i="24" s="1"/>
  <c r="T52" i="24"/>
  <c r="U52" i="24" s="1"/>
  <c r="T51" i="24"/>
  <c r="U51" i="24" s="1"/>
  <c r="T50" i="24"/>
  <c r="U50" i="24" s="1"/>
  <c r="T49" i="24"/>
  <c r="U49" i="24" s="1"/>
  <c r="T48" i="24"/>
  <c r="U48" i="24" s="1"/>
  <c r="T47" i="24"/>
  <c r="U47" i="24" s="1"/>
  <c r="T46" i="24"/>
  <c r="U46" i="24" s="1"/>
  <c r="T45" i="24"/>
  <c r="U45" i="24" s="1"/>
  <c r="T44" i="24"/>
  <c r="U44" i="24" s="1"/>
  <c r="T43" i="24"/>
  <c r="U43" i="24" s="1"/>
  <c r="T42" i="24"/>
  <c r="U42" i="24" s="1"/>
  <c r="T41" i="24"/>
  <c r="U41" i="24" s="1"/>
  <c r="T40" i="24"/>
  <c r="U40" i="24" s="1"/>
  <c r="U39" i="24"/>
  <c r="T37" i="24"/>
  <c r="U37" i="24" s="1"/>
  <c r="T36" i="24"/>
  <c r="U36" i="24" s="1"/>
  <c r="T35" i="24"/>
  <c r="U35" i="24" s="1"/>
  <c r="T34" i="24"/>
  <c r="U34" i="24" s="1"/>
  <c r="T33" i="24"/>
  <c r="U33" i="24" s="1"/>
  <c r="T31" i="24"/>
  <c r="U31" i="24" s="1"/>
  <c r="T30" i="24"/>
  <c r="U30" i="24" s="1"/>
  <c r="T29" i="24"/>
  <c r="U29" i="24" s="1"/>
  <c r="U28" i="24"/>
  <c r="T27" i="24"/>
  <c r="U27" i="24" s="1"/>
  <c r="T26" i="24"/>
  <c r="U26" i="24" s="1"/>
  <c r="T25" i="24"/>
  <c r="U25" i="24" s="1"/>
  <c r="T24" i="24"/>
  <c r="U24" i="24" s="1"/>
  <c r="T23" i="24"/>
  <c r="U23" i="24" s="1"/>
  <c r="T22" i="24"/>
  <c r="U22" i="24" s="1"/>
  <c r="T21" i="24"/>
  <c r="U21" i="24" s="1"/>
  <c r="T20" i="24"/>
  <c r="U20" i="24" s="1"/>
  <c r="T19" i="24"/>
  <c r="U19" i="24" s="1"/>
  <c r="T18" i="24"/>
  <c r="U18" i="24" s="1"/>
  <c r="T17" i="24"/>
  <c r="U17" i="24" s="1"/>
  <c r="U16" i="24"/>
  <c r="U15" i="24"/>
  <c r="U14" i="24"/>
  <c r="T13" i="24"/>
  <c r="U13" i="24" s="1"/>
  <c r="T12" i="24"/>
  <c r="U12" i="24" s="1"/>
  <c r="T11" i="24"/>
  <c r="U11" i="24" s="1"/>
  <c r="T10" i="24"/>
  <c r="U10" i="24" s="1"/>
  <c r="T9" i="24"/>
  <c r="U9" i="24" s="1"/>
  <c r="T8" i="24"/>
  <c r="U8" i="24" s="1"/>
  <c r="T7" i="24"/>
  <c r="U7" i="24" s="1"/>
  <c r="S5" i="25" l="1"/>
  <c r="T32" i="25" l="1"/>
  <c r="U32" i="25" s="1"/>
  <c r="T62" i="25"/>
  <c r="U62" i="25" s="1"/>
  <c r="U25" i="25"/>
  <c r="U26" i="25"/>
  <c r="T60" i="25"/>
  <c r="U60" i="25" s="1"/>
  <c r="T34" i="25"/>
  <c r="U34" i="25" s="1"/>
  <c r="T12" i="25"/>
  <c r="U12" i="25" s="1"/>
  <c r="T19" i="25"/>
  <c r="U19" i="25" s="1"/>
  <c r="T40" i="25"/>
  <c r="U40" i="25" s="1"/>
  <c r="T20" i="25"/>
  <c r="U20" i="25" s="1"/>
  <c r="T28" i="25"/>
  <c r="U28" i="25" s="1"/>
  <c r="T35" i="25"/>
  <c r="U35" i="25" s="1"/>
  <c r="T55" i="25"/>
  <c r="U55" i="25" s="1"/>
  <c r="T23" i="25"/>
  <c r="U23" i="25" s="1"/>
  <c r="T33" i="25"/>
  <c r="U33" i="25" s="1"/>
  <c r="T48" i="25"/>
  <c r="U48" i="25" s="1"/>
  <c r="T51" i="25"/>
  <c r="U51" i="25" s="1"/>
  <c r="T50" i="25"/>
  <c r="U50" i="25" s="1"/>
  <c r="T58" i="25"/>
  <c r="U58" i="25" s="1"/>
  <c r="T7" i="25"/>
  <c r="U7" i="25" s="1"/>
  <c r="T21" i="25"/>
  <c r="U21" i="25" s="1"/>
  <c r="T15" i="25"/>
  <c r="U15" i="25" s="1"/>
  <c r="T36" i="25"/>
  <c r="U36" i="25" s="1"/>
  <c r="T39" i="25"/>
  <c r="U39" i="25" s="1"/>
  <c r="T18" i="25"/>
  <c r="U18" i="25" s="1"/>
  <c r="T9" i="25"/>
  <c r="U9" i="25" s="1"/>
  <c r="T57" i="25"/>
  <c r="U57" i="25" s="1"/>
  <c r="T45" i="25"/>
  <c r="U45" i="25" s="1"/>
  <c r="T24" i="25"/>
  <c r="U24" i="25" s="1"/>
  <c r="T44" i="25"/>
  <c r="U44" i="25" s="1"/>
  <c r="T59" i="25"/>
  <c r="U59" i="25" s="1"/>
  <c r="T61" i="25"/>
  <c r="U61" i="25" s="1"/>
  <c r="T37" i="25"/>
  <c r="U37" i="25" s="1"/>
  <c r="T52" i="25"/>
  <c r="U52" i="25" s="1"/>
  <c r="T8" i="25"/>
  <c r="U8" i="25" s="1"/>
  <c r="T41" i="25"/>
  <c r="U41" i="25" s="1"/>
  <c r="T47" i="25"/>
  <c r="U47" i="25" s="1"/>
  <c r="T11" i="25"/>
  <c r="U11" i="25" s="1"/>
  <c r="T13" i="25"/>
  <c r="U13" i="25" s="1"/>
  <c r="T14" i="25"/>
  <c r="U14" i="25" s="1"/>
  <c r="T16" i="25"/>
  <c r="U16" i="25" s="1"/>
  <c r="T49" i="25"/>
  <c r="U49" i="25" s="1"/>
  <c r="T46" i="25"/>
  <c r="U46" i="25" s="1"/>
  <c r="T29" i="25"/>
  <c r="U29" i="25" s="1"/>
  <c r="U42" i="25"/>
  <c r="T10" i="25"/>
  <c r="U10" i="25" s="1"/>
  <c r="T30" i="25"/>
  <c r="U30" i="25" s="1"/>
  <c r="T38" i="25"/>
  <c r="U38" i="25" s="1"/>
  <c r="T56" i="25"/>
  <c r="U56" i="25" s="1"/>
  <c r="U17" i="25"/>
  <c r="T43" i="25"/>
  <c r="U43" i="25" s="1"/>
  <c r="T53" i="25"/>
  <c r="U53" i="25" s="1"/>
  <c r="T27" i="25"/>
  <c r="U27" i="25" s="1"/>
  <c r="T54" i="25"/>
  <c r="U54" i="25" s="1"/>
  <c r="T22" i="25"/>
  <c r="U22" i="25" s="1"/>
  <c r="S5" i="24"/>
  <c r="Q21" i="5"/>
  <c r="T50" i="8" l="1"/>
  <c r="U50" i="8" s="1"/>
  <c r="T33" i="8"/>
  <c r="U33" i="8" s="1"/>
  <c r="T24" i="10"/>
  <c r="U24" i="10" s="1"/>
  <c r="T23" i="11" l="1"/>
  <c r="U23" i="11" s="1"/>
  <c r="T22" i="11"/>
  <c r="T21" i="11"/>
  <c r="U21" i="11" s="1"/>
  <c r="T20" i="11"/>
  <c r="U20" i="11" s="1"/>
  <c r="T19" i="11"/>
  <c r="T18" i="11"/>
  <c r="T17" i="11"/>
  <c r="T15" i="11"/>
  <c r="U15" i="11" s="1"/>
  <c r="T14" i="11"/>
  <c r="U14" i="11" s="1"/>
  <c r="T13" i="11"/>
  <c r="U13" i="11" s="1"/>
  <c r="T12" i="11"/>
  <c r="U12" i="11" s="1"/>
  <c r="T11" i="11"/>
  <c r="U11" i="11" s="1"/>
  <c r="T10" i="11"/>
  <c r="T9" i="11"/>
  <c r="U9" i="11" s="1"/>
  <c r="T38" i="10"/>
  <c r="T37" i="10"/>
  <c r="U37" i="10" s="1"/>
  <c r="T36" i="10"/>
  <c r="T35" i="10"/>
  <c r="U35" i="10" s="1"/>
  <c r="T34" i="10"/>
  <c r="T33" i="10"/>
  <c r="U33" i="10" s="1"/>
  <c r="T32" i="10"/>
  <c r="T31" i="10"/>
  <c r="U31" i="10" s="1"/>
  <c r="T30" i="10"/>
  <c r="T29" i="10"/>
  <c r="U29" i="10" s="1"/>
  <c r="T28" i="10"/>
  <c r="T27" i="10"/>
  <c r="T26" i="10"/>
  <c r="U26" i="10" s="1"/>
  <c r="T23" i="10"/>
  <c r="U23" i="10" s="1"/>
  <c r="T22" i="10"/>
  <c r="T21" i="10"/>
  <c r="T20" i="10"/>
  <c r="U20" i="10" s="1"/>
  <c r="T19" i="10"/>
  <c r="U19" i="10" s="1"/>
  <c r="T18" i="10"/>
  <c r="U18" i="10" s="1"/>
  <c r="T17" i="10"/>
  <c r="U17" i="10" s="1"/>
  <c r="T16" i="10"/>
  <c r="U16" i="10" s="1"/>
  <c r="T15" i="10"/>
  <c r="U15" i="10" s="1"/>
  <c r="T14" i="10"/>
  <c r="T13" i="10"/>
  <c r="U13" i="10" s="1"/>
  <c r="T12" i="10"/>
  <c r="U12" i="10" s="1"/>
  <c r="T11" i="10"/>
  <c r="U11" i="10" s="1"/>
  <c r="T10" i="10"/>
  <c r="U10" i="10" s="1"/>
  <c r="T9" i="10"/>
  <c r="T49" i="9"/>
  <c r="T48" i="9"/>
  <c r="U48" i="9" s="1"/>
  <c r="T47" i="9"/>
  <c r="U47" i="9" s="1"/>
  <c r="T46" i="9"/>
  <c r="U46" i="9" s="1"/>
  <c r="T45" i="9"/>
  <c r="T44" i="9"/>
  <c r="U44" i="9" s="1"/>
  <c r="T43" i="9"/>
  <c r="T42" i="9"/>
  <c r="T41" i="9"/>
  <c r="T40" i="9"/>
  <c r="U40" i="9" s="1"/>
  <c r="T39" i="9"/>
  <c r="T38" i="9"/>
  <c r="T37" i="9"/>
  <c r="T36" i="9"/>
  <c r="U36" i="9" s="1"/>
  <c r="T35" i="9"/>
  <c r="T34" i="9"/>
  <c r="U34" i="9" s="1"/>
  <c r="T33" i="9"/>
  <c r="T32" i="9"/>
  <c r="U32" i="9" s="1"/>
  <c r="T31" i="9"/>
  <c r="T30" i="9"/>
  <c r="U30" i="9" s="1"/>
  <c r="T29" i="9"/>
  <c r="U29" i="9" s="1"/>
  <c r="T28" i="9"/>
  <c r="U28" i="9" s="1"/>
  <c r="T27" i="9"/>
  <c r="T26" i="9"/>
  <c r="T25" i="9"/>
  <c r="T24" i="9"/>
  <c r="U24" i="9" s="1"/>
  <c r="T23" i="9"/>
  <c r="U23" i="9" s="1"/>
  <c r="T22" i="9"/>
  <c r="U22" i="9" s="1"/>
  <c r="T20" i="9"/>
  <c r="U20" i="9" s="1"/>
  <c r="T19" i="9"/>
  <c r="U19" i="9" s="1"/>
  <c r="T18" i="9"/>
  <c r="U18" i="9" s="1"/>
  <c r="T17" i="9"/>
  <c r="U17" i="9" s="1"/>
  <c r="T16" i="9"/>
  <c r="T15" i="9"/>
  <c r="U15" i="9" s="1"/>
  <c r="T14" i="9"/>
  <c r="U14" i="9" s="1"/>
  <c r="T13" i="9"/>
  <c r="U13" i="9" s="1"/>
  <c r="T12" i="9"/>
  <c r="T11" i="9"/>
  <c r="U11" i="9" s="1"/>
  <c r="T10" i="9"/>
  <c r="T9" i="9"/>
  <c r="U9" i="9" s="1"/>
  <c r="T49" i="8"/>
  <c r="T48" i="8"/>
  <c r="T47" i="8"/>
  <c r="T46" i="8"/>
  <c r="T45" i="8"/>
  <c r="T44" i="8"/>
  <c r="T43" i="8"/>
  <c r="T42" i="8"/>
  <c r="T41" i="8"/>
  <c r="T40" i="8"/>
  <c r="T39" i="8"/>
  <c r="T38" i="8"/>
  <c r="U38" i="8" s="1"/>
  <c r="T37" i="8"/>
  <c r="U37" i="8" s="1"/>
  <c r="T36" i="8"/>
  <c r="U36" i="8" s="1"/>
  <c r="T35" i="8"/>
  <c r="U35" i="8" s="1"/>
  <c r="T32" i="8"/>
  <c r="T31" i="8"/>
  <c r="U31" i="8" s="1"/>
  <c r="T30" i="8"/>
  <c r="U30" i="8" s="1"/>
  <c r="T29" i="8"/>
  <c r="T28" i="8"/>
  <c r="U28" i="8" s="1"/>
  <c r="T27" i="8"/>
  <c r="U27" i="8" s="1"/>
  <c r="T26" i="8"/>
  <c r="U26" i="8" s="1"/>
  <c r="T25" i="8"/>
  <c r="T24" i="8"/>
  <c r="T23" i="8"/>
  <c r="U23" i="8" s="1"/>
  <c r="T22" i="8"/>
  <c r="U22" i="8" s="1"/>
  <c r="T21" i="8"/>
  <c r="T20" i="8"/>
  <c r="U20" i="8" s="1"/>
  <c r="T19" i="8"/>
  <c r="U19" i="8" s="1"/>
  <c r="T18" i="8"/>
  <c r="U18" i="8" s="1"/>
  <c r="T17" i="8"/>
  <c r="U17" i="8" s="1"/>
  <c r="T16" i="8"/>
  <c r="U16" i="8" s="1"/>
  <c r="T15" i="8"/>
  <c r="U15" i="8" s="1"/>
  <c r="T14" i="8"/>
  <c r="U14" i="8" s="1"/>
  <c r="T13" i="8"/>
  <c r="U13" i="8" s="1"/>
  <c r="T12" i="8"/>
  <c r="U12" i="8" s="1"/>
  <c r="T11" i="8"/>
  <c r="U11" i="8" s="1"/>
  <c r="T10" i="8"/>
  <c r="U10" i="8" s="1"/>
  <c r="T9" i="8"/>
  <c r="U9" i="8" s="1"/>
  <c r="T54" i="7"/>
  <c r="U54" i="7" s="1"/>
  <c r="T53" i="7"/>
  <c r="T52" i="7"/>
  <c r="U52" i="7" s="1"/>
  <c r="T51" i="7"/>
  <c r="T50" i="7"/>
  <c r="U50" i="7" s="1"/>
  <c r="T49" i="7"/>
  <c r="U49" i="7" s="1"/>
  <c r="T48" i="7"/>
  <c r="U48" i="7" s="1"/>
  <c r="T47" i="7"/>
  <c r="T46" i="7"/>
  <c r="T45" i="7"/>
  <c r="U45" i="7" s="1"/>
  <c r="T44" i="7"/>
  <c r="U44" i="7" s="1"/>
  <c r="T43" i="7"/>
  <c r="U43" i="7" s="1"/>
  <c r="T42" i="7"/>
  <c r="U42" i="7" s="1"/>
  <c r="T41" i="7"/>
  <c r="U41" i="7" s="1"/>
  <c r="T40" i="7"/>
  <c r="U40" i="7" s="1"/>
  <c r="T39" i="7"/>
  <c r="U39" i="7" s="1"/>
  <c r="T38" i="7"/>
  <c r="U38" i="7" s="1"/>
  <c r="T37" i="7"/>
  <c r="U37" i="7" s="1"/>
  <c r="T36" i="7"/>
  <c r="U36" i="7" s="1"/>
  <c r="T35" i="7"/>
  <c r="T34" i="7"/>
  <c r="U34" i="7" s="1"/>
  <c r="T33" i="7"/>
  <c r="U33" i="7" s="1"/>
  <c r="T32" i="7"/>
  <c r="U32" i="7" s="1"/>
  <c r="T30" i="7"/>
  <c r="T29" i="7"/>
  <c r="U29" i="7" s="1"/>
  <c r="T28" i="7"/>
  <c r="U28" i="7" s="1"/>
  <c r="T27" i="7"/>
  <c r="U27" i="7" s="1"/>
  <c r="T26" i="7"/>
  <c r="U26" i="7" s="1"/>
  <c r="T25" i="7"/>
  <c r="U25" i="7" s="1"/>
  <c r="T24" i="7"/>
  <c r="U24" i="7" s="1"/>
  <c r="T23" i="7"/>
  <c r="U23" i="7" s="1"/>
  <c r="T22" i="7"/>
  <c r="T21" i="7"/>
  <c r="U21" i="7" s="1"/>
  <c r="T20" i="7"/>
  <c r="T19" i="7"/>
  <c r="U19" i="7" s="1"/>
  <c r="T18" i="7"/>
  <c r="T17" i="7"/>
  <c r="U17" i="7" s="1"/>
  <c r="T16" i="7"/>
  <c r="U16" i="7" s="1"/>
  <c r="T15" i="7"/>
  <c r="U15" i="7" s="1"/>
  <c r="T14" i="7"/>
  <c r="T13" i="7"/>
  <c r="U13" i="7" s="1"/>
  <c r="T12" i="7"/>
  <c r="T11" i="7"/>
  <c r="U11" i="7" s="1"/>
  <c r="T10" i="7"/>
  <c r="T9" i="7"/>
  <c r="U9" i="7" s="1"/>
  <c r="R38" i="6"/>
  <c r="R50" i="6"/>
  <c r="R34" i="6"/>
  <c r="R30" i="6"/>
  <c r="R46" i="6"/>
  <c r="R25" i="6"/>
  <c r="R21" i="6"/>
  <c r="R17" i="6"/>
  <c r="R15" i="6"/>
  <c r="R12" i="6"/>
  <c r="R9" i="6"/>
  <c r="Q53" i="5"/>
  <c r="Q50" i="5"/>
  <c r="Q25" i="5"/>
  <c r="Q23" i="5"/>
  <c r="Q45" i="5"/>
  <c r="Q41" i="5"/>
  <c r="Q18" i="5"/>
  <c r="Q39" i="5"/>
  <c r="Q38" i="5"/>
  <c r="Q36" i="5"/>
  <c r="Q33" i="5"/>
  <c r="Q30" i="5"/>
  <c r="Q30" i="1"/>
  <c r="Q29" i="1"/>
  <c r="Q57" i="1"/>
  <c r="Q28" i="1"/>
  <c r="Q26" i="1"/>
  <c r="Q56" i="1"/>
  <c r="Q25" i="1"/>
  <c r="Q55" i="1"/>
  <c r="Q23" i="1"/>
  <c r="Q22" i="1"/>
  <c r="Q21" i="1"/>
  <c r="Q53" i="1"/>
  <c r="Q52" i="1"/>
  <c r="Q50" i="1"/>
  <c r="Q49" i="1"/>
  <c r="Q48" i="1"/>
  <c r="Q46" i="1"/>
  <c r="Q20" i="1"/>
  <c r="Q45" i="1"/>
  <c r="Q18" i="1"/>
  <c r="Q17" i="1"/>
  <c r="Q42" i="1"/>
  <c r="Q41" i="1"/>
  <c r="Q40" i="1"/>
  <c r="Q37" i="1"/>
  <c r="Q12" i="1"/>
  <c r="Q9" i="1"/>
  <c r="Q32" i="1"/>
  <c r="U22" i="11"/>
  <c r="U19" i="11"/>
  <c r="U18" i="11"/>
  <c r="U17" i="11"/>
  <c r="U10" i="11"/>
  <c r="U38" i="10"/>
  <c r="U36" i="10"/>
  <c r="U34" i="10"/>
  <c r="U32" i="10"/>
  <c r="U30" i="10"/>
  <c r="U28" i="10"/>
  <c r="U27" i="10"/>
  <c r="U22" i="10"/>
  <c r="U21" i="10"/>
  <c r="U14" i="10"/>
  <c r="U9" i="10"/>
  <c r="U49" i="9"/>
  <c r="U45" i="9"/>
  <c r="U43" i="9"/>
  <c r="U42" i="9"/>
  <c r="U41" i="9"/>
  <c r="U39" i="9"/>
  <c r="U38" i="9"/>
  <c r="U37" i="9"/>
  <c r="U35" i="9"/>
  <c r="U33" i="9"/>
  <c r="U31" i="9"/>
  <c r="U27" i="9"/>
  <c r="U26" i="9"/>
  <c r="U25" i="9"/>
  <c r="U16" i="9"/>
  <c r="U12" i="9"/>
  <c r="U10" i="9"/>
  <c r="U49" i="8"/>
  <c r="U48" i="8"/>
  <c r="U47" i="8"/>
  <c r="U46" i="8"/>
  <c r="U45" i="8"/>
  <c r="U44" i="8"/>
  <c r="U43" i="8"/>
  <c r="U42" i="8"/>
  <c r="U41" i="8"/>
  <c r="U40" i="8"/>
  <c r="U39" i="8"/>
  <c r="U32" i="8"/>
  <c r="U29" i="8"/>
  <c r="U25" i="8"/>
  <c r="U24" i="8"/>
  <c r="U21" i="8"/>
  <c r="U53" i="7"/>
  <c r="U51" i="7"/>
  <c r="U47" i="7"/>
  <c r="U46" i="7"/>
  <c r="U35" i="7"/>
  <c r="U30" i="7"/>
  <c r="U22" i="7"/>
  <c r="U20" i="7"/>
  <c r="U18" i="7"/>
  <c r="U14" i="7"/>
  <c r="U12" i="7"/>
  <c r="U10" i="7"/>
  <c r="R52" i="6"/>
  <c r="R37" i="6"/>
  <c r="R36" i="6"/>
  <c r="R51" i="6"/>
  <c r="R49" i="6"/>
  <c r="R48" i="6"/>
  <c r="R35" i="6"/>
  <c r="R33" i="6"/>
  <c r="R32" i="6"/>
  <c r="R31" i="6"/>
  <c r="R29" i="6"/>
  <c r="R47" i="6"/>
  <c r="R28" i="6"/>
  <c r="R45" i="6"/>
  <c r="R27" i="6"/>
  <c r="R26" i="6"/>
  <c r="R24" i="6"/>
  <c r="R23" i="6"/>
  <c r="R22" i="6"/>
  <c r="R20" i="6"/>
  <c r="R44" i="6"/>
  <c r="R19" i="6"/>
  <c r="R18" i="6"/>
  <c r="R16" i="6"/>
  <c r="R43" i="6"/>
  <c r="R42" i="6"/>
  <c r="R14" i="6"/>
  <c r="R13" i="6"/>
  <c r="R11" i="6"/>
  <c r="R10" i="6"/>
  <c r="R41" i="6"/>
  <c r="R40" i="6"/>
  <c r="Q55" i="5"/>
  <c r="Q54" i="5"/>
  <c r="Q52" i="5"/>
  <c r="Q51" i="5"/>
  <c r="Q28" i="5"/>
  <c r="Q49" i="5"/>
  <c r="Q27" i="5"/>
  <c r="Q26" i="5"/>
  <c r="Q24" i="5"/>
  <c r="Q48" i="5"/>
  <c r="Q47" i="5"/>
  <c r="Q22" i="5"/>
  <c r="Q46" i="5"/>
  <c r="Q20" i="5"/>
  <c r="Q44" i="5"/>
  <c r="Q43" i="5"/>
  <c r="Q42" i="5"/>
  <c r="Q40" i="5"/>
  <c r="Q19" i="5"/>
  <c r="Q17" i="5"/>
  <c r="Q16" i="5"/>
  <c r="Q15" i="5"/>
  <c r="Q14" i="5"/>
  <c r="Q13" i="5"/>
  <c r="Q12" i="5"/>
  <c r="Q11" i="5"/>
  <c r="Q37" i="5"/>
  <c r="Q10" i="5"/>
  <c r="Q35" i="5"/>
  <c r="Q34" i="5"/>
  <c r="Q9" i="5"/>
  <c r="Q32" i="5"/>
  <c r="Q31" i="5"/>
  <c r="Q58" i="1"/>
  <c r="Q27" i="1"/>
  <c r="Q24" i="1"/>
  <c r="Q54" i="1"/>
  <c r="Q51" i="1"/>
  <c r="Q47" i="1"/>
  <c r="Q19" i="1"/>
  <c r="Q44" i="1"/>
  <c r="Q43" i="1"/>
  <c r="Q39" i="1"/>
  <c r="Q16" i="1"/>
  <c r="Q38" i="1"/>
  <c r="Q15" i="1"/>
  <c r="Q14" i="1"/>
  <c r="Q13" i="1"/>
  <c r="Q11" i="1"/>
  <c r="Q36" i="1"/>
  <c r="Q10" i="1"/>
  <c r="Q35" i="1"/>
  <c r="Q34" i="1"/>
  <c r="Q33" i="1"/>
  <c r="S7" i="11"/>
  <c r="S7" i="10"/>
  <c r="S7" i="9"/>
  <c r="S7" i="8"/>
  <c r="O7" i="1"/>
  <c r="S7" i="7"/>
</calcChain>
</file>

<file path=xl/comments1.xml><?xml version="1.0" encoding="utf-8"?>
<comments xmlns="http://schemas.openxmlformats.org/spreadsheetml/2006/main">
  <authors>
    <author>MCB</author>
  </authors>
  <commentList>
    <comment ref="Q7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Q8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Q10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Q11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Q12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Q13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Q14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Q15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Q16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Q17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Q18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Q19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Q20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Q21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N22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Q23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Q24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Q25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Q26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Q27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Q28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Q29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Q30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Q31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Q33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Q34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Q35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Q36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Q37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Q38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Q39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Q40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Q41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Q42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R43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Q44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R45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Q46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Q47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Q48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Q49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Q50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Q51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R53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Q54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R55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Q56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Q57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Q58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Q59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Q60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Q61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</commentList>
</comments>
</file>

<file path=xl/comments2.xml><?xml version="1.0" encoding="utf-8"?>
<comments xmlns="http://schemas.openxmlformats.org/spreadsheetml/2006/main">
  <authors>
    <author>MCB</author>
  </authors>
  <commentList>
    <comment ref="N7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N8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N9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N10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N11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N12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N13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N14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N15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N16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N17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N18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N20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N21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N22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N23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N24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N25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N26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N27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N28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N29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N30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N32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N33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N34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N35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N36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N37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N38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N39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N40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N41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N42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N43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N44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N45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N46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N47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N48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N49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N50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N51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N52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N53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N54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N55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N56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N57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N58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N59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N60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N61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  <comment ref="N62" authorId="0">
      <text>
        <r>
          <rPr>
            <b/>
            <sz val="9"/>
            <color indexed="81"/>
            <rFont val="Tahoma"/>
            <family val="2"/>
          </rPr>
          <t>formola:
=CONCATENATE(F5," years ",G5, " months ",H5," days ")</t>
        </r>
      </text>
    </comment>
  </commentList>
</comments>
</file>

<file path=xl/sharedStrings.xml><?xml version="1.0" encoding="utf-8"?>
<sst xmlns="http://schemas.openxmlformats.org/spreadsheetml/2006/main" count="2495" uniqueCount="858">
  <si>
    <t>Name of Students</t>
  </si>
  <si>
    <t>Father's Name</t>
  </si>
  <si>
    <t>Gender</t>
  </si>
  <si>
    <t>Kashish</t>
  </si>
  <si>
    <t>Fayaz</t>
  </si>
  <si>
    <t>Kashaf</t>
  </si>
  <si>
    <t>Ayesha</t>
  </si>
  <si>
    <t>Muzamil</t>
  </si>
  <si>
    <t>Maria</t>
  </si>
  <si>
    <t>Faizan</t>
  </si>
  <si>
    <t>Abdullah</t>
  </si>
  <si>
    <t>Zaheer Abbas</t>
  </si>
  <si>
    <t>Altaf Hussain</t>
  </si>
  <si>
    <t>Shahbaz Ahmed</t>
  </si>
  <si>
    <t>Samano Khan</t>
  </si>
  <si>
    <t>Abdul Rehman</t>
  </si>
  <si>
    <t>Sajad Ali</t>
  </si>
  <si>
    <t>Mehboob Ali</t>
  </si>
  <si>
    <t>Zahid Hussain</t>
  </si>
  <si>
    <t>Asghar Ali</t>
  </si>
  <si>
    <t>Zulfiqar Ali</t>
  </si>
  <si>
    <t>Lutfullah</t>
  </si>
  <si>
    <t>Riaz-ud-din</t>
  </si>
  <si>
    <t>Female</t>
  </si>
  <si>
    <t>Male</t>
  </si>
  <si>
    <t>Masooma</t>
  </si>
  <si>
    <t>Areeba</t>
  </si>
  <si>
    <t>Zain</t>
  </si>
  <si>
    <t>Rashida</t>
  </si>
  <si>
    <t>Ayat</t>
  </si>
  <si>
    <t>Liaquat Ali</t>
  </si>
  <si>
    <t>Ali Muhammad</t>
  </si>
  <si>
    <t>M.Raheem</t>
  </si>
  <si>
    <t>Deedar Ali</t>
  </si>
  <si>
    <t>Amjad Ali</t>
  </si>
  <si>
    <t>Sajad Ahmed</t>
  </si>
  <si>
    <t>Abdul Hameed</t>
  </si>
  <si>
    <t>Fayaz Hussain</t>
  </si>
  <si>
    <t xml:space="preserve">Abdul Aziz </t>
  </si>
  <si>
    <t>Sajid Ali</t>
  </si>
  <si>
    <t>Rizwan Ali</t>
  </si>
  <si>
    <t xml:space="preserve">Azan </t>
  </si>
  <si>
    <t>Dua Batool</t>
  </si>
  <si>
    <t>Muneer Ahmed Tahiri</t>
  </si>
  <si>
    <t>Irfan Ali</t>
  </si>
  <si>
    <t>Maryam</t>
  </si>
  <si>
    <t>Hajul</t>
  </si>
  <si>
    <t>Manzoor Ahmed Memon</t>
  </si>
  <si>
    <t>Zainab Batool</t>
  </si>
  <si>
    <t>Mohammad Qasim</t>
  </si>
  <si>
    <t>Hadeeqa</t>
  </si>
  <si>
    <t>Haji Malah</t>
  </si>
  <si>
    <t>Zulfiqar Ali Mangi</t>
  </si>
  <si>
    <t>Zain Ali</t>
  </si>
  <si>
    <t>Tashfeen</t>
  </si>
  <si>
    <t>Mohammad Idrees</t>
  </si>
  <si>
    <t xml:space="preserve">Mohammad Ahsan Memon </t>
  </si>
  <si>
    <t>Mohammad Arif Memon</t>
  </si>
  <si>
    <t>Asad Ali</t>
  </si>
  <si>
    <t>Ali Ejaz</t>
  </si>
  <si>
    <t>Riaz uddini Qureshi</t>
  </si>
  <si>
    <t>Sehrish Ali</t>
  </si>
  <si>
    <t>Shah Ali</t>
  </si>
  <si>
    <t xml:space="preserve">Fiza </t>
  </si>
  <si>
    <t>Hamid Ali Siyal</t>
  </si>
  <si>
    <t>Shah Fahad Ali</t>
  </si>
  <si>
    <t>Mohammad Noman</t>
  </si>
  <si>
    <t>Aqib Ali</t>
  </si>
  <si>
    <t>Muneer Ahmed</t>
  </si>
  <si>
    <t>Mohd: Yaseen</t>
  </si>
  <si>
    <t>Shah Nawaz Khan</t>
  </si>
  <si>
    <t>Shafia</t>
  </si>
  <si>
    <t xml:space="preserve">Meer Mohammad </t>
  </si>
  <si>
    <t>Tasmia</t>
  </si>
  <si>
    <t>Shehbaz Ahmed</t>
  </si>
  <si>
    <t>Bakhtawar Ali</t>
  </si>
  <si>
    <t>Taj Muhammad</t>
  </si>
  <si>
    <t>Sabeen Bhutto</t>
  </si>
  <si>
    <t>Shahid Bhutto</t>
  </si>
  <si>
    <t>Imdad Ali</t>
  </si>
  <si>
    <t>Bibi Zehra Jamali</t>
  </si>
  <si>
    <t>Dil Murad</t>
  </si>
  <si>
    <t>Meeral</t>
  </si>
  <si>
    <t>Fatima Gul</t>
  </si>
  <si>
    <t>Minal Ali</t>
  </si>
  <si>
    <t>Faraz Hyder</t>
  </si>
  <si>
    <t>Rooba</t>
  </si>
  <si>
    <t>Lakhmir Khan</t>
  </si>
  <si>
    <t>Muntasha Murtaza</t>
  </si>
  <si>
    <t>Ghulam Murtaza Mangi</t>
  </si>
  <si>
    <t>Zoya Ahsan</t>
  </si>
  <si>
    <t>Ahsan Ali</t>
  </si>
  <si>
    <t>Mohd: Usman Jamali</t>
  </si>
  <si>
    <t xml:space="preserve">Ghulam Muhammad </t>
  </si>
  <si>
    <t>Parvez Hussain</t>
  </si>
  <si>
    <t>Nayab</t>
  </si>
  <si>
    <t>Faiq Ali</t>
  </si>
  <si>
    <t>Ahsam Raza</t>
  </si>
  <si>
    <t>Abdul Fattah</t>
  </si>
  <si>
    <t>Hina</t>
  </si>
  <si>
    <t>Lutuf ullah</t>
  </si>
  <si>
    <t>Anosha</t>
  </si>
  <si>
    <t>Abdul Qayoom</t>
  </si>
  <si>
    <t>Waheed Ahmed</t>
  </si>
  <si>
    <t>Javeria Batool</t>
  </si>
  <si>
    <t>Imran Ali</t>
  </si>
  <si>
    <t>Aitania sohail</t>
  </si>
  <si>
    <t>Sidratul Muntaha</t>
  </si>
  <si>
    <t>Sajid Ali Junejo</t>
  </si>
  <si>
    <t>Asma</t>
  </si>
  <si>
    <t>Abdul Samad</t>
  </si>
  <si>
    <t>Noman</t>
  </si>
  <si>
    <t>Mohd:Rahim</t>
  </si>
  <si>
    <t>Mohd:Azeem</t>
  </si>
  <si>
    <t>Sabir Hussain</t>
  </si>
  <si>
    <t>Abdul Wahid</t>
  </si>
  <si>
    <t>Gul Naz</t>
  </si>
  <si>
    <t>Kinza Ftima</t>
  </si>
  <si>
    <t>Murk Fatima</t>
  </si>
  <si>
    <t>Tayaba Fatima</t>
  </si>
  <si>
    <t>Ajwa Gul</t>
  </si>
  <si>
    <t>Laiba</t>
  </si>
  <si>
    <t>Amjad Hussain</t>
  </si>
  <si>
    <t>Iqra</t>
  </si>
  <si>
    <t>Munwar Ali</t>
  </si>
  <si>
    <t>Urooj</t>
  </si>
  <si>
    <t>Mehmood Khan</t>
  </si>
  <si>
    <t>Danish</t>
  </si>
  <si>
    <t>Ghaibi Khan</t>
  </si>
  <si>
    <t>Abdul Sattar</t>
  </si>
  <si>
    <t>Irshad Ali</t>
  </si>
  <si>
    <t>Mudasir Hussain</t>
  </si>
  <si>
    <t>Ab: Rehman</t>
  </si>
  <si>
    <t>Ahmed Ali</t>
  </si>
  <si>
    <t>Abid Ali</t>
  </si>
  <si>
    <t>Uzair Ahmed</t>
  </si>
  <si>
    <t>M.Sameer</t>
  </si>
  <si>
    <t>Fazal Mohd:</t>
  </si>
  <si>
    <t>M.Muzamil</t>
  </si>
  <si>
    <t>Sohail Sarwar</t>
  </si>
  <si>
    <t>Joun Ali</t>
  </si>
  <si>
    <t>Mohd:Ali</t>
  </si>
  <si>
    <t>Moula Bux</t>
  </si>
  <si>
    <t>Meer Majid</t>
  </si>
  <si>
    <t>Haji Iqbal</t>
  </si>
  <si>
    <t>Rehamatullah</t>
  </si>
  <si>
    <t>Shabnam</t>
  </si>
  <si>
    <t>Batool</t>
  </si>
  <si>
    <t>Fahmida</t>
  </si>
  <si>
    <t>Kaneez Fatima</t>
  </si>
  <si>
    <t>Sana Jamali</t>
  </si>
  <si>
    <t>Fatima Batool</t>
  </si>
  <si>
    <t>Nida</t>
  </si>
  <si>
    <t>Zainab Khatoon</t>
  </si>
  <si>
    <t>Sohrab Khan</t>
  </si>
  <si>
    <t>Sawera</t>
  </si>
  <si>
    <t>Abdul Raheem</t>
  </si>
  <si>
    <t>Zahra Zaheer</t>
  </si>
  <si>
    <t>Zaheer Ahmed</t>
  </si>
  <si>
    <t>Noor Muqadis</t>
  </si>
  <si>
    <t>Mahnoor Fatima</t>
  </si>
  <si>
    <t>Rubina</t>
  </si>
  <si>
    <t>Bushra</t>
  </si>
  <si>
    <t>Sohail Ahmed</t>
  </si>
  <si>
    <t>Hafeez ullah</t>
  </si>
  <si>
    <t>Ayan Ali</t>
  </si>
  <si>
    <t>Mukhtiar Ali</t>
  </si>
  <si>
    <t>Adil Ali</t>
  </si>
  <si>
    <t>Ejaz Ali</t>
  </si>
  <si>
    <t>Shahzeb</t>
  </si>
  <si>
    <t>Basheer Ahmed</t>
  </si>
  <si>
    <t xml:space="preserve">Ali Khan </t>
  </si>
  <si>
    <t>M.Younis</t>
  </si>
  <si>
    <t>Ameer Hamza</t>
  </si>
  <si>
    <t>Faiz Mohd:</t>
  </si>
  <si>
    <t>Faisal Ahmed</t>
  </si>
  <si>
    <t>Bismillah Khan</t>
  </si>
  <si>
    <t xml:space="preserve">Rizwan </t>
  </si>
  <si>
    <t>Ali Murad</t>
  </si>
  <si>
    <t>Hamza Nisar</t>
  </si>
  <si>
    <t>Nisar Ahmed</t>
  </si>
  <si>
    <t>Haseeb Hyder</t>
  </si>
  <si>
    <t>Mohd: Hassan</t>
  </si>
  <si>
    <t>Arbab Ali</t>
  </si>
  <si>
    <t>Hasnain Raza</t>
  </si>
  <si>
    <t xml:space="preserve">Mubashir </t>
  </si>
  <si>
    <t>Gulzar Ahmed</t>
  </si>
  <si>
    <t>Nisar Ali</t>
  </si>
  <si>
    <t>Hakim Ali</t>
  </si>
  <si>
    <t>Tanweer Ahmed</t>
  </si>
  <si>
    <t>Hira Abro</t>
  </si>
  <si>
    <t>Mohd:    Ibrahim</t>
  </si>
  <si>
    <t>Mohd: Suleman</t>
  </si>
  <si>
    <t>Shaista</t>
  </si>
  <si>
    <t>Sania</t>
  </si>
  <si>
    <t>Abdul Rahim</t>
  </si>
  <si>
    <t>Maheen</t>
  </si>
  <si>
    <t>Muskan</t>
  </si>
  <si>
    <t>Aqsa</t>
  </si>
  <si>
    <t>Akber Ali</t>
  </si>
  <si>
    <t>Naseer Ahmed</t>
  </si>
  <si>
    <t>A.Qudoos</t>
  </si>
  <si>
    <t>Munawar Ali</t>
  </si>
  <si>
    <t>Ayaz Ali</t>
  </si>
  <si>
    <t>Faizan Ahmed</t>
  </si>
  <si>
    <t>Riaz Ahmed</t>
  </si>
  <si>
    <t>M.Shayan</t>
  </si>
  <si>
    <t>Shehbaz Ali</t>
  </si>
  <si>
    <t>Zeeshan Hussain</t>
  </si>
  <si>
    <t>M.Hussain</t>
  </si>
  <si>
    <t>Anjuman</t>
  </si>
  <si>
    <t>Ab:Ghaffar</t>
  </si>
  <si>
    <t>Hasfa Jamali</t>
  </si>
  <si>
    <t>Rehmatullah</t>
  </si>
  <si>
    <t>Insha</t>
  </si>
  <si>
    <t>Fazal Mohd</t>
  </si>
  <si>
    <t>Kashaf Shahid</t>
  </si>
  <si>
    <t>Shahid Hussain</t>
  </si>
  <si>
    <t>Sughra Khatoon</t>
  </si>
  <si>
    <t>Suhrab Ali</t>
  </si>
  <si>
    <t>14-1-2015</t>
  </si>
  <si>
    <t>25-12-2016</t>
  </si>
  <si>
    <t>25-5-2017</t>
  </si>
  <si>
    <t>19-8-2014</t>
  </si>
  <si>
    <t>28-1-2016</t>
  </si>
  <si>
    <t>Saif Ali</t>
  </si>
  <si>
    <t>20-7-2014</t>
  </si>
  <si>
    <t>31-10-2015</t>
  </si>
  <si>
    <t>Ghous Bux</t>
  </si>
  <si>
    <t>27-10-2015</t>
  </si>
  <si>
    <t>15-12-2013</t>
  </si>
  <si>
    <t>28-7-2014</t>
  </si>
  <si>
    <t>14-01-2015</t>
  </si>
  <si>
    <t>18-2-2015</t>
  </si>
  <si>
    <t>26-10-2015</t>
  </si>
  <si>
    <t>13-12-2015</t>
  </si>
  <si>
    <t>23-7-2016</t>
  </si>
  <si>
    <t>14-7-2015</t>
  </si>
  <si>
    <t>23-7-2012</t>
  </si>
  <si>
    <t>25-4-2013</t>
  </si>
  <si>
    <t>17-9-2015</t>
  </si>
  <si>
    <t>26-12-2013</t>
  </si>
  <si>
    <t>Ali Jan soomro</t>
  </si>
  <si>
    <t>M.Usman</t>
  </si>
  <si>
    <t>Mohd:Faisal</t>
  </si>
  <si>
    <t>Ab:Sattar</t>
  </si>
  <si>
    <t>Muzamil Ali</t>
  </si>
  <si>
    <t>23-05-2010</t>
  </si>
  <si>
    <t>Aqeel Ahmed</t>
  </si>
  <si>
    <t>Najeebullah</t>
  </si>
  <si>
    <t>20-12-2015</t>
  </si>
  <si>
    <t>Wazeer Ahmed</t>
  </si>
  <si>
    <t>Tasawar Ali</t>
  </si>
  <si>
    <t>Nazeer Ahmed</t>
  </si>
  <si>
    <t>14-8-2012</t>
  </si>
  <si>
    <t>Fahad</t>
  </si>
  <si>
    <t>Bisma Basheer</t>
  </si>
  <si>
    <t>Dua Soomro</t>
  </si>
  <si>
    <t>Gul Sanobar</t>
  </si>
  <si>
    <t>Rana</t>
  </si>
  <si>
    <t>M.Shafeeque</t>
  </si>
  <si>
    <t>19-2-2011</t>
  </si>
  <si>
    <t>14-8-2014</t>
  </si>
  <si>
    <t>31-12-2015</t>
  </si>
  <si>
    <t>Hiba Bhutto</t>
  </si>
  <si>
    <t>M.Azeem</t>
  </si>
  <si>
    <t>Isha</t>
  </si>
  <si>
    <t>24-8-2015</t>
  </si>
  <si>
    <t>Khushboo Fatima</t>
  </si>
  <si>
    <t>Ab:Rehman</t>
  </si>
  <si>
    <t>Laraib Zulfiqar</t>
  </si>
  <si>
    <t>Maryam Mehboob</t>
  </si>
  <si>
    <t>21-11-2014</t>
  </si>
  <si>
    <t>Misbah</t>
  </si>
  <si>
    <t>Zoya</t>
  </si>
  <si>
    <t>13-8-2013</t>
  </si>
  <si>
    <t>16-6-2012</t>
  </si>
  <si>
    <t>Nisha</t>
  </si>
  <si>
    <t>Dost Mohammad</t>
  </si>
  <si>
    <t>16-4-2013</t>
  </si>
  <si>
    <t>14-9-2013</t>
  </si>
  <si>
    <t>20-6-2013</t>
  </si>
  <si>
    <t>23-8-2010</t>
  </si>
  <si>
    <t>Zahra Batool</t>
  </si>
  <si>
    <t>26-11-2014</t>
  </si>
  <si>
    <t>15-12-2010</t>
  </si>
  <si>
    <t>Haji malah</t>
  </si>
  <si>
    <t>20-10-2010</t>
  </si>
  <si>
    <t>20-12-2013</t>
  </si>
  <si>
    <t>Sameer Gul</t>
  </si>
  <si>
    <t>16-5-2012</t>
  </si>
  <si>
    <t>20-3-2012</t>
  </si>
  <si>
    <t>17-2-2012</t>
  </si>
  <si>
    <t>20-12-2009</t>
  </si>
  <si>
    <t>27-9-2012</t>
  </si>
  <si>
    <t>25-11-2011</t>
  </si>
  <si>
    <t>24-8-2011</t>
  </si>
  <si>
    <t>Sahar</t>
  </si>
  <si>
    <t>Seerat Fatima</t>
  </si>
  <si>
    <t>16-11-2010</t>
  </si>
  <si>
    <t>25-9-2009</t>
  </si>
  <si>
    <t>Ejaz  Ahmed</t>
  </si>
  <si>
    <t>29-8-2008</t>
  </si>
  <si>
    <t>Razique Dino</t>
  </si>
  <si>
    <t>Rameez Raja</t>
  </si>
  <si>
    <t>20-6-2012</t>
  </si>
  <si>
    <t>20-2-2012</t>
  </si>
  <si>
    <t>23-10-2014</t>
  </si>
  <si>
    <t>13-4-2013</t>
  </si>
  <si>
    <t>20-10-2015</t>
  </si>
  <si>
    <t>26-9-2012</t>
  </si>
  <si>
    <t>31-7-2010</t>
  </si>
  <si>
    <t>15-12-2011</t>
  </si>
  <si>
    <t>19-8-2011</t>
  </si>
  <si>
    <t xml:space="preserve">Manzoor Ahmed </t>
  </si>
  <si>
    <t>28-5-2009</t>
  </si>
  <si>
    <t>15-3-2011</t>
  </si>
  <si>
    <t>17-5-2011</t>
  </si>
  <si>
    <t>29-7-2011</t>
  </si>
  <si>
    <t>30-8-2012</t>
  </si>
  <si>
    <t>22-3-2011</t>
  </si>
  <si>
    <t>26-6-2011</t>
  </si>
  <si>
    <t>15-01-2011</t>
  </si>
  <si>
    <t>15-07-2017</t>
  </si>
  <si>
    <t>20-04-2016</t>
  </si>
  <si>
    <t>14-04-2017</t>
  </si>
  <si>
    <t>17-02-2017</t>
  </si>
  <si>
    <t>Seema zulifiqar</t>
  </si>
  <si>
    <t>M.Idrees Abbasi</t>
  </si>
  <si>
    <t>Sadaf  Aziz</t>
  </si>
  <si>
    <t>Nisar Ahmed Abro</t>
  </si>
  <si>
    <t xml:space="preserve"> Hamid Ali Siyal</t>
  </si>
  <si>
    <t>Mohd Ibrahim Khuhro</t>
  </si>
  <si>
    <t>Razique  Dino</t>
  </si>
  <si>
    <t xml:space="preserve">    G.R No.</t>
  </si>
  <si>
    <t xml:space="preserve">      Class</t>
  </si>
  <si>
    <t>Mubbarak</t>
  </si>
  <si>
    <t xml:space="preserve">Date of Birth </t>
  </si>
  <si>
    <t>13-8-2022</t>
  </si>
  <si>
    <t>20-8-2022</t>
  </si>
  <si>
    <t>19-9-2022</t>
  </si>
  <si>
    <t>22-10-2020</t>
  </si>
  <si>
    <t>28-10-2020</t>
  </si>
  <si>
    <t>15-8-2023</t>
  </si>
  <si>
    <t>23-10-2020</t>
  </si>
  <si>
    <t>20-10-2020</t>
  </si>
  <si>
    <t>16-01-2018</t>
  </si>
  <si>
    <t>15-4-2017</t>
  </si>
  <si>
    <t>Shamas uddin</t>
  </si>
  <si>
    <t>27-2-2013</t>
  </si>
  <si>
    <t>25-9-2017</t>
  </si>
  <si>
    <t>16-10-2020</t>
  </si>
  <si>
    <t>22-11-2018</t>
  </si>
  <si>
    <t>30-10-2021</t>
  </si>
  <si>
    <t>15-8-2022</t>
  </si>
  <si>
    <t>20-3-2018</t>
  </si>
  <si>
    <t>16-11-2021</t>
  </si>
  <si>
    <t>28-11-2016</t>
  </si>
  <si>
    <t>16-8-2022</t>
  </si>
  <si>
    <t>25-4-2015</t>
  </si>
  <si>
    <t>Mohammad Hassan</t>
  </si>
  <si>
    <t>Javed Ali Janwri</t>
  </si>
  <si>
    <t>27-8-2014</t>
  </si>
  <si>
    <t>Mohammad Zaid Khalid</t>
  </si>
  <si>
    <t>25-5-2014</t>
  </si>
  <si>
    <t xml:space="preserve">Zainab Bibi </t>
  </si>
  <si>
    <t>Bakhshal Ali Shah</t>
  </si>
  <si>
    <t>22-10-2013</t>
  </si>
  <si>
    <t>Alishba</t>
  </si>
  <si>
    <t>Maheen Nisa</t>
  </si>
  <si>
    <t>Mohammad Maroof</t>
  </si>
  <si>
    <t>25-12-2014</t>
  </si>
  <si>
    <t>Sidra Bibi Qureshi</t>
  </si>
  <si>
    <t>Zulfiqar Ali Qureshi</t>
  </si>
  <si>
    <t>22-3-2012</t>
  </si>
  <si>
    <t>Khadija Bibi</t>
  </si>
  <si>
    <t>14-4-2013</t>
  </si>
  <si>
    <t>Mohammad Tayab</t>
  </si>
  <si>
    <t>25-7-2013</t>
  </si>
  <si>
    <t>18-8-2023</t>
  </si>
  <si>
    <t>Rukhsana</t>
  </si>
  <si>
    <t>24-2-2011</t>
  </si>
  <si>
    <t>16-5-2011</t>
  </si>
  <si>
    <t>Ali Murtaza</t>
  </si>
  <si>
    <t>15-9-2013</t>
  </si>
  <si>
    <t>Faiza</t>
  </si>
  <si>
    <t>Daniyal</t>
  </si>
  <si>
    <t>17-9-2017</t>
  </si>
  <si>
    <t>Hasnain Ali Soomro</t>
  </si>
  <si>
    <t xml:space="preserve">Hasnain </t>
  </si>
  <si>
    <t>Yasir Ahmed</t>
  </si>
  <si>
    <t>17-6-2011</t>
  </si>
  <si>
    <t>Mohammad Mudasir</t>
  </si>
  <si>
    <t>16-11-2011</t>
  </si>
  <si>
    <t>Muhammad Maroof</t>
  </si>
  <si>
    <t>Hasnain</t>
  </si>
  <si>
    <t>Ghulam Nabi</t>
  </si>
  <si>
    <t>22-11-2013</t>
  </si>
  <si>
    <t>Mohammad Usman</t>
  </si>
  <si>
    <t>Mohd:Asif Memon</t>
  </si>
  <si>
    <t>Mohammad Raza</t>
  </si>
  <si>
    <t>Mohd: Asif Memon</t>
  </si>
  <si>
    <t>22-8-2022</t>
  </si>
  <si>
    <t>25-4-2018</t>
  </si>
  <si>
    <t>16-1-2018</t>
  </si>
  <si>
    <t>Fatima Zahra</t>
  </si>
  <si>
    <t>Ghulam Shabir Bhatti</t>
  </si>
  <si>
    <t>23-3-2013</t>
  </si>
  <si>
    <t>Faiz Mohd:Bhutto</t>
  </si>
  <si>
    <t>Rimsha Khatoon</t>
  </si>
  <si>
    <t>RabNawaz</t>
  </si>
  <si>
    <t xml:space="preserve">Muzakir </t>
  </si>
  <si>
    <t>27-7-2010</t>
  </si>
  <si>
    <t>24-8-2023</t>
  </si>
  <si>
    <t>Faizan Ali</t>
  </si>
  <si>
    <t>Suhail Ahmed</t>
  </si>
  <si>
    <t>Murk</t>
  </si>
  <si>
    <t>Abdul Salam</t>
  </si>
  <si>
    <t>Zarmeena</t>
  </si>
  <si>
    <t>Gulbahar Ali</t>
  </si>
  <si>
    <t>Ameer Ali</t>
  </si>
  <si>
    <t>19-5-2009</t>
  </si>
  <si>
    <t>Kabeer Ahmed</t>
  </si>
  <si>
    <t>Shah Muhammad</t>
  </si>
  <si>
    <t>Bisma</t>
  </si>
  <si>
    <t>26-1-2009</t>
  </si>
  <si>
    <t>Noshina</t>
  </si>
  <si>
    <t>M. Qasim Channa</t>
  </si>
  <si>
    <t>20-4-2007</t>
  </si>
  <si>
    <t>Shadab Aziz</t>
  </si>
  <si>
    <t>Abdul Aziz</t>
  </si>
  <si>
    <t>29-3-2010</t>
  </si>
  <si>
    <t>Azra Usman</t>
  </si>
  <si>
    <t>Muhammad Usman</t>
  </si>
  <si>
    <t>Iqra Usman</t>
  </si>
  <si>
    <t>Kanwal Naz</t>
  </si>
  <si>
    <t xml:space="preserve">Iqra </t>
  </si>
  <si>
    <t>Faiz Muhammad</t>
  </si>
  <si>
    <t>Lutufullah</t>
  </si>
  <si>
    <t>Muhammad Ibrahim</t>
  </si>
  <si>
    <t>27-8-2011</t>
  </si>
  <si>
    <t>Maria Rehman</t>
  </si>
  <si>
    <t>M.Rehman Abbasi</t>
  </si>
  <si>
    <t>20-5-2011</t>
  </si>
  <si>
    <t>M. Ahmed Khalid</t>
  </si>
  <si>
    <t>Khalid Hussain Abbasi</t>
  </si>
  <si>
    <t>15-7-2012</t>
  </si>
  <si>
    <t>25-8-2023</t>
  </si>
  <si>
    <t>Tasleem Rani</t>
  </si>
  <si>
    <t>Muhammad Moosa</t>
  </si>
  <si>
    <t>24-12-2010</t>
  </si>
  <si>
    <t>Shaista Rani</t>
  </si>
  <si>
    <t xml:space="preserve">Mudasir   </t>
  </si>
  <si>
    <t>Haseebullah</t>
  </si>
  <si>
    <t>Hafeezullah Abro</t>
  </si>
  <si>
    <t>Sanam</t>
  </si>
  <si>
    <t>Manzor Ahemd Memon</t>
  </si>
  <si>
    <t>15-7-2006</t>
  </si>
  <si>
    <t>Asim</t>
  </si>
  <si>
    <t>Muhammad Haneef</t>
  </si>
  <si>
    <t>Maheen Zulfiqar</t>
  </si>
  <si>
    <t>16-2-2009</t>
  </si>
  <si>
    <t>Haleema</t>
  </si>
  <si>
    <t>Qalandar Bakhish</t>
  </si>
  <si>
    <t>Zaheer Ali</t>
  </si>
  <si>
    <t>Munwar Ali Bhatti</t>
  </si>
  <si>
    <t>16-4-2009</t>
  </si>
  <si>
    <t>21-2-2010</t>
  </si>
  <si>
    <t>Zainab</t>
  </si>
  <si>
    <t>Sultan Ahmed</t>
  </si>
  <si>
    <t>Moiz</t>
  </si>
  <si>
    <t>Mohd:Ayan</t>
  </si>
  <si>
    <t>Sehar Fatima</t>
  </si>
  <si>
    <t>Taskeen</t>
  </si>
  <si>
    <t>Asif Ali</t>
  </si>
  <si>
    <t>Hamad Ali</t>
  </si>
  <si>
    <t>Ghulam Mehdi</t>
  </si>
  <si>
    <t>25-3-2015</t>
  </si>
  <si>
    <t>Mohd:wasim</t>
  </si>
  <si>
    <t>Mohd Azeem</t>
  </si>
  <si>
    <t>Munir Ahmed</t>
  </si>
  <si>
    <t>31-7-2014</t>
  </si>
  <si>
    <t>Riaz Hussain</t>
  </si>
  <si>
    <t>Irfan Hussain</t>
  </si>
  <si>
    <t>5-2--2011</t>
  </si>
  <si>
    <t>Tameer Hussain</t>
  </si>
  <si>
    <t>Hafeez ullah Abro</t>
  </si>
  <si>
    <t>Muneeza</t>
  </si>
  <si>
    <t>Mohd:Rafay</t>
  </si>
  <si>
    <t>29-10-2016</t>
  </si>
  <si>
    <t>Tahreem Fatima</t>
  </si>
  <si>
    <t xml:space="preserve">Khalid Hussain </t>
  </si>
  <si>
    <t>Mohd:sharif Noonari</t>
  </si>
  <si>
    <t>Mohd:Nawaz</t>
  </si>
  <si>
    <t>Ali Nawaz</t>
  </si>
  <si>
    <t>30-8-2017</t>
  </si>
  <si>
    <t xml:space="preserve">Dua </t>
  </si>
  <si>
    <t>30-8-2015</t>
  </si>
  <si>
    <t>Abdul wahab</t>
  </si>
  <si>
    <t>Abdul Hafeez</t>
  </si>
  <si>
    <t>28-12-2015</t>
  </si>
  <si>
    <t>Ghulam Abbas</t>
  </si>
  <si>
    <t>Kamran Ali</t>
  </si>
  <si>
    <t>15-3-2017</t>
  </si>
  <si>
    <t>Zain Ali Qureshi</t>
  </si>
  <si>
    <t>26-10-2014</t>
  </si>
  <si>
    <t>Sobia</t>
  </si>
  <si>
    <t>Hafeez ullah Tanwar</t>
  </si>
  <si>
    <t>Noor Sahar</t>
  </si>
  <si>
    <t>Mir Amirudin Meerzada</t>
  </si>
  <si>
    <t xml:space="preserve">Zeeshan </t>
  </si>
  <si>
    <t xml:space="preserve">Muneer Ahmed  </t>
  </si>
  <si>
    <t>25-1-2015</t>
  </si>
  <si>
    <t>Haider Ali</t>
  </si>
  <si>
    <t>20-3-2015</t>
  </si>
  <si>
    <t>Abdul Rafay</t>
  </si>
  <si>
    <t>28-8-2014</t>
  </si>
  <si>
    <t>Fiza Muhammad Pathan</t>
  </si>
  <si>
    <t>Muhammad Pathan</t>
  </si>
  <si>
    <t>25-2-2014</t>
  </si>
  <si>
    <t>19/9/2022</t>
  </si>
  <si>
    <t>23-8-2022</t>
  </si>
  <si>
    <t>Noor Nisa</t>
  </si>
  <si>
    <t>Rafeeq Ahmed</t>
  </si>
  <si>
    <t>Nimra</t>
  </si>
  <si>
    <t>19-11-2013</t>
  </si>
  <si>
    <t>Tahmeena</t>
  </si>
  <si>
    <t>Gul bahar Ali</t>
  </si>
  <si>
    <t>28-10-2013</t>
  </si>
  <si>
    <t>Zara</t>
  </si>
  <si>
    <t>Zahid Ali</t>
  </si>
  <si>
    <t>Khadija Qubra Channa</t>
  </si>
  <si>
    <t>Adnan Jameel Channa</t>
  </si>
  <si>
    <t xml:space="preserve">Nuzahat </t>
  </si>
  <si>
    <t>13-11-2015</t>
  </si>
  <si>
    <t>Mohd:Israr</t>
  </si>
  <si>
    <t>Abdullah Bhand</t>
  </si>
  <si>
    <t>14-10-2023</t>
  </si>
  <si>
    <t>Fiza</t>
  </si>
  <si>
    <t>30-6-2011</t>
  </si>
  <si>
    <t>Jan Muhammad</t>
  </si>
  <si>
    <t>Azan</t>
  </si>
  <si>
    <t>Adil Ahmed</t>
  </si>
  <si>
    <t>Sikandar</t>
  </si>
  <si>
    <t>Muhammad Aslam</t>
  </si>
  <si>
    <t>Ahmed Zia</t>
  </si>
  <si>
    <t>Khuda Buksh Zia</t>
  </si>
  <si>
    <t>Amna</t>
  </si>
  <si>
    <t>Anabia</t>
  </si>
  <si>
    <t>Faraz Hussain</t>
  </si>
  <si>
    <t>Fahad Ali</t>
  </si>
  <si>
    <t>Hafeezullah</t>
  </si>
  <si>
    <t>Hassan</t>
  </si>
  <si>
    <t>Naveed Siddique</t>
  </si>
  <si>
    <t>Naeem Ali</t>
  </si>
  <si>
    <t>Sadam Hussain</t>
  </si>
  <si>
    <t>Insha Arzoo</t>
  </si>
  <si>
    <t>Ume Kalsoom</t>
  </si>
  <si>
    <t>Minha</t>
  </si>
  <si>
    <t>Muhammad Luqman</t>
  </si>
  <si>
    <t>Muhammad Azeem</t>
  </si>
  <si>
    <t>Muhammad</t>
  </si>
  <si>
    <t>Sher Dil</t>
  </si>
  <si>
    <t>Muhammad Ameen</t>
  </si>
  <si>
    <t>Muhammad Qasim</t>
  </si>
  <si>
    <t>Muhammad Faheem</t>
  </si>
  <si>
    <t>Muhammad Bilal</t>
  </si>
  <si>
    <t>Ramsha</t>
  </si>
  <si>
    <t>Meer Ameer-ud-din</t>
  </si>
  <si>
    <t>Rehan Ali</t>
  </si>
  <si>
    <t>Sidra</t>
  </si>
  <si>
    <t>Khalid Hussain</t>
  </si>
  <si>
    <t>Sadaquat Hussain</t>
  </si>
  <si>
    <t>Tooba Noor</t>
  </si>
  <si>
    <t>Waseem Ahmed</t>
  </si>
  <si>
    <t>Tanzeela</t>
  </si>
  <si>
    <t>Hizbullah</t>
  </si>
  <si>
    <t>Zunaira</t>
  </si>
  <si>
    <t>Mir Muhammad</t>
  </si>
  <si>
    <t>Qurban Ali</t>
  </si>
  <si>
    <t>Abdul Latif</t>
  </si>
  <si>
    <t>Saeed Ahmed</t>
  </si>
  <si>
    <t>Hajra</t>
  </si>
  <si>
    <t>Hareem Fatima</t>
  </si>
  <si>
    <t>Mahnoor</t>
  </si>
  <si>
    <t>Yasin Malik</t>
  </si>
  <si>
    <t>Zeba Bakhtawar</t>
  </si>
  <si>
    <t>Paras</t>
  </si>
  <si>
    <t>Mehreen</t>
  </si>
  <si>
    <t>Hannah</t>
  </si>
  <si>
    <t>Hooriya</t>
  </si>
  <si>
    <t>Muhammad Siddique</t>
  </si>
  <si>
    <t>Aqeel</t>
  </si>
  <si>
    <t>Abu Bakar</t>
  </si>
  <si>
    <t>Umer</t>
  </si>
  <si>
    <t>Muhammad Taha</t>
  </si>
  <si>
    <t>Muhammad Ismail</t>
  </si>
  <si>
    <t>Mairaj</t>
  </si>
  <si>
    <t>Salman</t>
  </si>
  <si>
    <t>Muhammad Mubashir</t>
  </si>
  <si>
    <t>Muhammad Ali</t>
  </si>
  <si>
    <t>Tanzaib Ali</t>
  </si>
  <si>
    <t>Shahid Ali</t>
  </si>
  <si>
    <t>Manzoor Ali</t>
  </si>
  <si>
    <t>Salar</t>
  </si>
  <si>
    <t>Haseeb</t>
  </si>
  <si>
    <t>Mudasir</t>
  </si>
  <si>
    <t>Muhammad Umer</t>
  </si>
  <si>
    <t>Abdul Malik</t>
  </si>
  <si>
    <t>Irshad-ul-Haq</t>
  </si>
  <si>
    <t>Dua</t>
  </si>
  <si>
    <t>Hussain Ali</t>
  </si>
  <si>
    <t>Akbar Ali</t>
  </si>
  <si>
    <t>Rashid Ali</t>
  </si>
  <si>
    <t>Abdul Wasay</t>
  </si>
  <si>
    <t>Shahzaman</t>
  </si>
  <si>
    <t>Dilbar Ali</t>
  </si>
  <si>
    <t>Remarks</t>
  </si>
  <si>
    <t>Date of Admission</t>
  </si>
  <si>
    <t>One</t>
  </si>
  <si>
    <t>Two</t>
  </si>
  <si>
    <t>Three</t>
  </si>
  <si>
    <t>Four</t>
  </si>
  <si>
    <t>Five</t>
  </si>
  <si>
    <t>Six</t>
  </si>
  <si>
    <t>Seven</t>
  </si>
  <si>
    <t>Eight</t>
  </si>
  <si>
    <t>Haris</t>
  </si>
  <si>
    <t>Abeeha Zehra Sahito</t>
  </si>
  <si>
    <t>Abdul Mateen Sahito</t>
  </si>
  <si>
    <t>Hussain</t>
  </si>
  <si>
    <t>Jannat Fatima</t>
  </si>
  <si>
    <t>Mehar Ali</t>
  </si>
  <si>
    <t>Hammad</t>
  </si>
  <si>
    <t>Abdul Musawwir</t>
  </si>
  <si>
    <t>Muhammad Shayan</t>
  </si>
  <si>
    <t>Muhammad Shareef Noonari</t>
  </si>
  <si>
    <t>Ayeza</t>
  </si>
  <si>
    <t>Muhammad Ameen Solangi</t>
  </si>
  <si>
    <t>Muhammad Hassan Ali</t>
  </si>
  <si>
    <t>Khawar Ali</t>
  </si>
  <si>
    <t>Sundas Qamar</t>
  </si>
  <si>
    <t>Imran Qamar</t>
  </si>
  <si>
    <t>Mohammad Ghafoor Jokhio</t>
  </si>
  <si>
    <t>Naina Naz</t>
  </si>
  <si>
    <t>Mohsin Ali</t>
  </si>
  <si>
    <t>Irshad Ali Abro</t>
  </si>
  <si>
    <t>Sheeraz Ali</t>
  </si>
  <si>
    <t>Meer Muhammad</t>
  </si>
  <si>
    <t>Syed Rashid Ali Shah</t>
  </si>
  <si>
    <t>Syed Mehboob Ali Shah</t>
  </si>
  <si>
    <t>Meer Gohram</t>
  </si>
  <si>
    <t>Nuzrat Ali</t>
  </si>
  <si>
    <t>Qandeel Zehra</t>
  </si>
  <si>
    <t>Waheed Ali</t>
  </si>
  <si>
    <t>Kinza Tariq</t>
  </si>
  <si>
    <t>Taha</t>
  </si>
  <si>
    <t>Sarfaraz</t>
  </si>
  <si>
    <t xml:space="preserve">Amna </t>
  </si>
  <si>
    <t>Anamta Jamali</t>
  </si>
  <si>
    <t>Sooha Jamali</t>
  </si>
  <si>
    <t>Nayyara</t>
  </si>
  <si>
    <t>Abbas Ali</t>
  </si>
  <si>
    <t>Ali haider</t>
  </si>
  <si>
    <t>Meer Alam</t>
  </si>
  <si>
    <t>Dilmurad</t>
  </si>
  <si>
    <t>Tanveer Ahmed</t>
  </si>
  <si>
    <t xml:space="preserve">Faizan AlI </t>
  </si>
  <si>
    <t>Rahib Hussain</t>
  </si>
  <si>
    <t>Meesam Abbas</t>
  </si>
  <si>
    <t>Masab Ali</t>
  </si>
  <si>
    <t xml:space="preserve">Liaqat Ali </t>
  </si>
  <si>
    <t>Nasrullah</t>
  </si>
  <si>
    <t>Sameer Ali</t>
  </si>
  <si>
    <t>Muhammad Anwaar</t>
  </si>
  <si>
    <t>Abul Jabbar</t>
  </si>
  <si>
    <t>Muzzamil</t>
  </si>
  <si>
    <t>Ghulam Hussain</t>
  </si>
  <si>
    <t>Mukarram Ali</t>
  </si>
  <si>
    <t>Masood Ali Lashari Baloch</t>
  </si>
  <si>
    <t>1812-2017</t>
  </si>
  <si>
    <t>Seat No</t>
  </si>
  <si>
    <t>GIRLS</t>
  </si>
  <si>
    <t>BOYS</t>
  </si>
  <si>
    <t>Erum</t>
  </si>
  <si>
    <t>Subjects</t>
  </si>
  <si>
    <t>English</t>
  </si>
  <si>
    <t>Sindhi</t>
  </si>
  <si>
    <t>Islamiat</t>
  </si>
  <si>
    <t>General Science</t>
  </si>
  <si>
    <t>Mathematics</t>
  </si>
  <si>
    <t>Social Studies</t>
  </si>
  <si>
    <t>Asan Urdu</t>
  </si>
  <si>
    <t>Drawing</t>
  </si>
  <si>
    <t>Total marks</t>
  </si>
  <si>
    <t>Obtained Marks</t>
  </si>
  <si>
    <t>GOVERNMENT HIGH SCHOOL SINDHI JAMAIT CO-OPERATIVE HOUSING SOCIETY</t>
  </si>
  <si>
    <t>MALIR KARACHI SEMIS CODE#408170153</t>
  </si>
  <si>
    <t>S.No</t>
  </si>
  <si>
    <t>RESULT SHEET OF FINAL TERM EXAMINATION 2023-2024</t>
  </si>
  <si>
    <t>Percentage %</t>
  </si>
  <si>
    <t>Saba</t>
  </si>
  <si>
    <t>Sameeullah</t>
  </si>
  <si>
    <t>Sohail Sarwar Jatoi</t>
  </si>
  <si>
    <t>Maqsood Ahmed Jumani</t>
  </si>
  <si>
    <t>Mohd: Amaad -uddin</t>
  </si>
  <si>
    <t>Suhail Sarwar Jatoi</t>
  </si>
  <si>
    <t>Sultan</t>
  </si>
  <si>
    <t>Muhammad Younis</t>
  </si>
  <si>
    <t>Muskan Fatima</t>
  </si>
  <si>
    <t>Wajid Ali</t>
  </si>
  <si>
    <t>A</t>
  </si>
  <si>
    <t>Ghulam Yaseen</t>
  </si>
  <si>
    <t>Class Teacher</t>
  </si>
  <si>
    <t>Head Master</t>
  </si>
  <si>
    <t>Absent</t>
  </si>
  <si>
    <t>01 Absent</t>
  </si>
  <si>
    <t>02 Absent</t>
  </si>
  <si>
    <t>Mohd:Mairaj</t>
  </si>
  <si>
    <t>Muhammad Tariq Zafar</t>
  </si>
  <si>
    <t>Ghulam Sarwar Kaladi</t>
  </si>
  <si>
    <t>Zainab Murtaza</t>
  </si>
  <si>
    <t>Khaild Hussain Soomro</t>
  </si>
  <si>
    <t>Haram Khan</t>
  </si>
  <si>
    <t>Ghulam Mohiuddin</t>
  </si>
  <si>
    <t>Hoorain</t>
  </si>
  <si>
    <t>Arsalan</t>
  </si>
  <si>
    <t>Zulfiquar Ali</t>
  </si>
  <si>
    <t>Zimal</t>
  </si>
  <si>
    <t>Muhammad Hamad</t>
  </si>
  <si>
    <t>Muhammad Mudasir</t>
  </si>
  <si>
    <t>Muhammad Waseem</t>
  </si>
  <si>
    <t>Raheem Shoro</t>
  </si>
  <si>
    <t>Abdul Ghaffar</t>
  </si>
  <si>
    <t>Muhammad Talha</t>
  </si>
  <si>
    <t>Muhammad Zubair</t>
  </si>
  <si>
    <t xml:space="preserve">                       18/8/2022</t>
  </si>
  <si>
    <t xml:space="preserve">Zain </t>
  </si>
  <si>
    <t>Imran Hussain</t>
  </si>
  <si>
    <t xml:space="preserve">                       21/8/2022</t>
  </si>
  <si>
    <t xml:space="preserve">                       21/8/2023</t>
  </si>
  <si>
    <t xml:space="preserve">                       21/8/2024</t>
  </si>
  <si>
    <t>Sajjad Ali</t>
  </si>
  <si>
    <t xml:space="preserve">                       19/9/2022</t>
  </si>
  <si>
    <t>Anum Fatima</t>
  </si>
  <si>
    <t>Arif Ali</t>
  </si>
  <si>
    <t xml:space="preserve">                        22/9/2022</t>
  </si>
  <si>
    <t xml:space="preserve">                       22/9/2022</t>
  </si>
  <si>
    <t>Abrar Ahmed</t>
  </si>
  <si>
    <t>Ahmed Nawaz</t>
  </si>
  <si>
    <t>Syed Shahid Ali Shah</t>
  </si>
  <si>
    <t>Muhammad Shareef</t>
  </si>
  <si>
    <t>Sidra Batool</t>
  </si>
  <si>
    <t>Muhammad Khan</t>
  </si>
  <si>
    <t>Muhammad Hassan</t>
  </si>
  <si>
    <t xml:space="preserve">Imtiaz Hussain </t>
  </si>
  <si>
    <t>Abdul Qudoos</t>
  </si>
  <si>
    <t>Sikander</t>
  </si>
  <si>
    <t>Muhammad Shafeeq</t>
  </si>
  <si>
    <t>Taniya Bibi</t>
  </si>
  <si>
    <t>Wazir Ali</t>
  </si>
  <si>
    <t>Fatima</t>
  </si>
  <si>
    <t>Aziz-ur-Reman</t>
  </si>
  <si>
    <t>Misbah Bhutto</t>
  </si>
  <si>
    <t>Hafsa</t>
  </si>
  <si>
    <t>Muhammad Mushab</t>
  </si>
  <si>
    <t>Ahad Khattak</t>
  </si>
  <si>
    <t>Aman Badshah</t>
  </si>
  <si>
    <t>Dilkash Faraz</t>
  </si>
  <si>
    <t>Ashfaque</t>
  </si>
  <si>
    <t>Kauser Fatima</t>
  </si>
  <si>
    <t>Amir Jamil</t>
  </si>
  <si>
    <t xml:space="preserve">                       28/8/2023</t>
  </si>
  <si>
    <t>Alishba Batool</t>
  </si>
  <si>
    <t>Mehrunisa</t>
  </si>
  <si>
    <t>Aijaz Ali</t>
  </si>
  <si>
    <t xml:space="preserve">                       29/8/2023</t>
  </si>
  <si>
    <t>Arham Memon</t>
  </si>
  <si>
    <t>Aniza Memon</t>
  </si>
  <si>
    <t>Arham Ahmed</t>
  </si>
  <si>
    <t>Mujtaba Ahmed</t>
  </si>
  <si>
    <t>Shaheer Ahmed</t>
  </si>
  <si>
    <t>Rizwan Ahmed</t>
  </si>
  <si>
    <t>Eman</t>
  </si>
  <si>
    <t>Shahnawaz Khan</t>
  </si>
  <si>
    <t>Shahzain</t>
  </si>
  <si>
    <t>Saqlain Haider</t>
  </si>
  <si>
    <t>Maqsood Ahmed</t>
  </si>
  <si>
    <t>Abdul Nafay</t>
  </si>
  <si>
    <t>Muzamil Rana</t>
  </si>
  <si>
    <t>Zainab Khokhar</t>
  </si>
  <si>
    <t>Mahira</t>
  </si>
  <si>
    <t xml:space="preserve">                     16/10/2023</t>
  </si>
  <si>
    <t>Kashaf Batool</t>
  </si>
  <si>
    <t>Abid Hussain</t>
  </si>
  <si>
    <t xml:space="preserve">                     18/10/2023</t>
  </si>
  <si>
    <t>Eman Noor</t>
  </si>
  <si>
    <t xml:space="preserve">Noor Muhammad </t>
  </si>
  <si>
    <t xml:space="preserve">                     27/10/2023</t>
  </si>
  <si>
    <t xml:space="preserve">Umer Aman </t>
  </si>
  <si>
    <t xml:space="preserve">                     28/10/2023</t>
  </si>
  <si>
    <t>Tahmna Batool</t>
  </si>
  <si>
    <t>Shahzad Ahmed</t>
  </si>
  <si>
    <t>Tahamna Fatima</t>
  </si>
  <si>
    <t>Muhammad Farooq</t>
  </si>
  <si>
    <t xml:space="preserve">Zainab </t>
  </si>
  <si>
    <t>Usama Saeed</t>
  </si>
  <si>
    <t>Rida Zainab</t>
  </si>
  <si>
    <t>Attendance</t>
  </si>
  <si>
    <t>Nazra</t>
  </si>
  <si>
    <t>G.K</t>
  </si>
  <si>
    <t>Math</t>
  </si>
  <si>
    <t>Urdu</t>
  </si>
  <si>
    <t>EPL</t>
  </si>
  <si>
    <t>Activity</t>
  </si>
  <si>
    <t>Hygiene</t>
  </si>
  <si>
    <t>Hasnain Ali</t>
  </si>
  <si>
    <t>Muhammad Hasnain</t>
  </si>
  <si>
    <t>Amaar Farooq</t>
  </si>
  <si>
    <t>Adeeba Siyal</t>
  </si>
  <si>
    <t>Rubab Zahra Aziz</t>
  </si>
  <si>
    <t>M.Noman</t>
  </si>
  <si>
    <t>M.Arsalan</t>
  </si>
  <si>
    <t>Mir Amirudin Mirzada</t>
  </si>
  <si>
    <t>Aleena Zia</t>
  </si>
  <si>
    <t>khuda Bux Zia</t>
  </si>
  <si>
    <t>Mukhtiar Ali Soomro</t>
  </si>
  <si>
    <t>Ali Shanawar</t>
  </si>
  <si>
    <t>Nazra+G.K</t>
  </si>
  <si>
    <t>Irshad Ul Haq</t>
  </si>
  <si>
    <t>Mohd: Zawiyar</t>
  </si>
  <si>
    <t>M.Shafique Soomro</t>
  </si>
  <si>
    <t>Zain ul-abdin</t>
  </si>
  <si>
    <t>Ambreen Junejo</t>
  </si>
  <si>
    <t>Ghulam Sakina</t>
  </si>
  <si>
    <t>Mohd: Ghafoor Jokhio</t>
  </si>
  <si>
    <t>Grade</t>
  </si>
  <si>
    <t>ECE ROSE</t>
  </si>
  <si>
    <t>ECE DAFFODILS</t>
  </si>
  <si>
    <t>B</t>
  </si>
  <si>
    <t>D</t>
  </si>
  <si>
    <t>A+</t>
  </si>
  <si>
    <t>50+A</t>
  </si>
  <si>
    <t>48+A</t>
  </si>
  <si>
    <t>18+A</t>
  </si>
  <si>
    <t>C</t>
  </si>
  <si>
    <t>27+A</t>
  </si>
  <si>
    <t>11+A</t>
  </si>
  <si>
    <t>39+A</t>
  </si>
  <si>
    <t>45+A</t>
  </si>
  <si>
    <t>Promoted</t>
  </si>
  <si>
    <t>1st Position *</t>
  </si>
  <si>
    <t>2nd Position *</t>
  </si>
  <si>
    <t>3rd Position *</t>
  </si>
  <si>
    <t>1st Postion *</t>
  </si>
  <si>
    <t>2nd Postion *</t>
  </si>
  <si>
    <t>3rd Postion *</t>
  </si>
  <si>
    <t>2nd Postion*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</si>
</sst>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/mmm/yy;@"/>
  </numFmts>
  <fonts count="33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4"/>
      <name val="Times New Roman"/>
      <family val="1"/>
    </font>
    <font>
      <sz val="20"/>
      <name val="Times New Roman"/>
      <family val="1"/>
    </font>
    <font>
      <sz val="14"/>
      <color rgb="FF000000"/>
      <name val="Times New Roman"/>
      <family val="1"/>
    </font>
    <font>
      <sz val="22"/>
      <name val="Times New Roman"/>
      <family val="1"/>
    </font>
    <font>
      <b/>
      <sz val="14"/>
      <color rgb="FF000000"/>
      <name val="Times New Roman"/>
      <family val="1"/>
    </font>
    <font>
      <b/>
      <sz val="14"/>
      <name val="Times New Roman"/>
      <family val="1"/>
    </font>
    <font>
      <b/>
      <sz val="20"/>
      <name val="Times New Roman"/>
      <family val="1"/>
    </font>
    <font>
      <sz val="16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sz val="18"/>
      <name val="Calibri"/>
      <family val="2"/>
    </font>
    <font>
      <sz val="18"/>
      <color rgb="FF000000"/>
      <name val="Calibri"/>
      <family val="2"/>
    </font>
    <font>
      <sz val="18"/>
      <color rgb="FF000000"/>
      <name val="Times New Roman"/>
      <family val="1"/>
    </font>
    <font>
      <b/>
      <sz val="18"/>
      <color rgb="FF000000"/>
      <name val="Times New Roman"/>
      <family val="1"/>
    </font>
    <font>
      <sz val="18"/>
      <color rgb="FFFF0000"/>
      <name val="Calibri"/>
      <family val="2"/>
    </font>
    <font>
      <sz val="18"/>
      <color rgb="FFFF0000"/>
      <name val="Times New Roman"/>
      <family val="1"/>
    </font>
    <font>
      <sz val="18"/>
      <color theme="1"/>
      <name val="Times New Roman"/>
      <family val="1"/>
    </font>
    <font>
      <sz val="16"/>
      <color theme="1"/>
      <name val="Times New Roman"/>
      <family val="1"/>
    </font>
    <font>
      <b/>
      <sz val="9"/>
      <color indexed="81"/>
      <name val="Tahoma"/>
      <family val="2"/>
    </font>
    <font>
      <sz val="16"/>
      <color rgb="FF000000"/>
      <name val="Times New Roman"/>
      <family val="1"/>
    </font>
    <font>
      <b/>
      <sz val="18"/>
      <color theme="1"/>
      <name val="Times New Roman"/>
      <family val="1"/>
    </font>
    <font>
      <sz val="36"/>
      <color rgb="FF000000"/>
      <name val="Times New Roman"/>
      <family val="1"/>
    </font>
    <font>
      <sz val="14"/>
      <color theme="1"/>
      <name val="Calibri"/>
      <family val="2"/>
      <scheme val="minor"/>
    </font>
    <font>
      <b/>
      <sz val="36"/>
      <color theme="1"/>
      <name val="Times New Roman"/>
      <family val="1"/>
    </font>
    <font>
      <sz val="14"/>
      <name val="Calibri"/>
      <family val="2"/>
    </font>
    <font>
      <b/>
      <sz val="36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6">
    <xf numFmtId="0" fontId="0" fillId="0" borderId="0">
      <alignment vertical="center"/>
    </xf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03">
    <xf numFmtId="0" fontId="0" fillId="0" borderId="0" xfId="0">
      <alignment vertic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6" xfId="0" applyBorder="1">
      <alignment vertical="center"/>
    </xf>
    <xf numFmtId="0" fontId="12" fillId="2" borderId="1" xfId="0" applyFont="1" applyFill="1" applyBorder="1" applyAlignment="1">
      <alignment horizontal="center" vertical="center" textRotation="90" wrapText="1"/>
    </xf>
    <xf numFmtId="0" fontId="12" fillId="2" borderId="1" xfId="0" applyFont="1" applyFill="1" applyBorder="1" applyAlignment="1">
      <alignment horizontal="center" vertical="center" wrapText="1"/>
    </xf>
    <xf numFmtId="0" fontId="15" fillId="0" borderId="13" xfId="0" applyFont="1" applyBorder="1" applyAlignment="1">
      <alignment wrapText="1"/>
    </xf>
    <xf numFmtId="164" fontId="15" fillId="0" borderId="13" xfId="0" applyNumberFormat="1" applyFont="1" applyBorder="1" applyAlignment="1">
      <alignment horizontal="center" wrapText="1"/>
    </xf>
    <xf numFmtId="0" fontId="15" fillId="0" borderId="1" xfId="0" applyFont="1" applyBorder="1" applyAlignment="1">
      <alignment wrapText="1"/>
    </xf>
    <xf numFmtId="0" fontId="15" fillId="0" borderId="1" xfId="0" applyFont="1" applyBorder="1" applyAlignment="1"/>
    <xf numFmtId="0" fontId="15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164" fontId="15" fillId="0" borderId="1" xfId="0" applyNumberFormat="1" applyFont="1" applyBorder="1" applyAlignment="1">
      <alignment horizontal="center" wrapText="1"/>
    </xf>
    <xf numFmtId="10" fontId="15" fillId="0" borderId="1" xfId="0" applyNumberFormat="1" applyFont="1" applyBorder="1" applyAlignment="1"/>
    <xf numFmtId="14" fontId="15" fillId="0" borderId="1" xfId="0" applyNumberFormat="1" applyFont="1" applyBorder="1" applyAlignment="1">
      <alignment horizontal="center" wrapText="1"/>
    </xf>
    <xf numFmtId="0" fontId="17" fillId="0" borderId="0" xfId="0" applyFont="1">
      <alignment vertical="center"/>
    </xf>
    <xf numFmtId="0" fontId="18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9" fillId="0" borderId="19" xfId="0" applyFont="1" applyBorder="1" applyAlignment="1">
      <alignment horizontal="center" wrapText="1"/>
    </xf>
    <xf numFmtId="0" fontId="19" fillId="0" borderId="13" xfId="0" applyFont="1" applyBorder="1" applyAlignment="1">
      <alignment horizontal="center" wrapText="1"/>
    </xf>
    <xf numFmtId="0" fontId="20" fillId="0" borderId="13" xfId="0" applyFont="1" applyBorder="1" applyAlignment="1">
      <alignment horizontal="center" wrapText="1"/>
    </xf>
    <xf numFmtId="164" fontId="19" fillId="0" borderId="13" xfId="0" applyNumberFormat="1" applyFont="1" applyBorder="1" applyAlignment="1">
      <alignment horizontal="center" wrapText="1"/>
    </xf>
    <xf numFmtId="0" fontId="17" fillId="0" borderId="1" xfId="0" applyFont="1" applyBorder="1" applyAlignment="1">
      <alignment wrapText="1"/>
    </xf>
    <xf numFmtId="0" fontId="17" fillId="0" borderId="1" xfId="0" applyFont="1" applyBorder="1" applyAlignment="1"/>
    <xf numFmtId="0" fontId="17" fillId="0" borderId="13" xfId="0" applyFont="1" applyBorder="1" applyAlignment="1"/>
    <xf numFmtId="10" fontId="17" fillId="0" borderId="13" xfId="0" applyNumberFormat="1" applyFont="1" applyBorder="1" applyAlignment="1"/>
    <xf numFmtId="0" fontId="19" fillId="0" borderId="5" xfId="0" applyFont="1" applyBorder="1" applyAlignment="1">
      <alignment horizontal="center" wrapText="1"/>
    </xf>
    <xf numFmtId="0" fontId="19" fillId="0" borderId="1" xfId="0" applyFont="1" applyBorder="1" applyAlignment="1">
      <alignment horizontal="center" wrapText="1"/>
    </xf>
    <xf numFmtId="0" fontId="20" fillId="0" borderId="1" xfId="0" applyFont="1" applyBorder="1" applyAlignment="1">
      <alignment horizontal="center" wrapText="1"/>
    </xf>
    <xf numFmtId="164" fontId="19" fillId="0" borderId="1" xfId="0" applyNumberFormat="1" applyFont="1" applyBorder="1" applyAlignment="1">
      <alignment horizontal="center" wrapText="1"/>
    </xf>
    <xf numFmtId="10" fontId="17" fillId="0" borderId="1" xfId="0" applyNumberFormat="1" applyFont="1" applyBorder="1" applyAlignment="1"/>
    <xf numFmtId="0" fontId="17" fillId="0" borderId="6" xfId="0" applyFont="1" applyBorder="1">
      <alignment vertical="center"/>
    </xf>
    <xf numFmtId="0" fontId="15" fillId="0" borderId="6" xfId="0" applyFont="1" applyBorder="1" applyAlignment="1"/>
    <xf numFmtId="14" fontId="19" fillId="0" borderId="1" xfId="0" applyNumberFormat="1" applyFont="1" applyBorder="1" applyAlignment="1">
      <alignment horizontal="center" wrapText="1"/>
    </xf>
    <xf numFmtId="0" fontId="19" fillId="0" borderId="5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20" fillId="0" borderId="1" xfId="0" applyFont="1" applyFill="1" applyBorder="1" applyAlignment="1">
      <alignment horizontal="center" wrapText="1"/>
    </xf>
    <xf numFmtId="0" fontId="15" fillId="0" borderId="1" xfId="0" applyFont="1" applyFill="1" applyBorder="1" applyAlignment="1">
      <alignment wrapText="1"/>
    </xf>
    <xf numFmtId="14" fontId="19" fillId="0" borderId="1" xfId="0" applyNumberFormat="1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21" fillId="0" borderId="1" xfId="0" applyFont="1" applyBorder="1" applyAlignment="1">
      <alignment wrapText="1"/>
    </xf>
    <xf numFmtId="0" fontId="21" fillId="0" borderId="1" xfId="0" applyFont="1" applyBorder="1" applyAlignment="1"/>
    <xf numFmtId="0" fontId="15" fillId="0" borderId="1" xfId="0" applyFont="1" applyFill="1" applyBorder="1" applyAlignment="1"/>
    <xf numFmtId="0" fontId="19" fillId="0" borderId="7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9" fillId="0" borderId="8" xfId="0" applyFont="1" applyBorder="1" applyAlignment="1">
      <alignment horizontal="center" wrapText="1"/>
    </xf>
    <xf numFmtId="0" fontId="20" fillId="0" borderId="8" xfId="0" applyFont="1" applyFill="1" applyBorder="1" applyAlignment="1">
      <alignment horizontal="center" wrapText="1"/>
    </xf>
    <xf numFmtId="0" fontId="15" fillId="0" borderId="8" xfId="0" applyFont="1" applyBorder="1" applyAlignment="1"/>
    <xf numFmtId="0" fontId="15" fillId="0" borderId="8" xfId="0" applyFont="1" applyFill="1" applyBorder="1" applyAlignment="1">
      <alignment wrapText="1"/>
    </xf>
    <xf numFmtId="14" fontId="19" fillId="0" borderId="8" xfId="0" applyNumberFormat="1" applyFont="1" applyBorder="1" applyAlignment="1">
      <alignment horizontal="center"/>
    </xf>
    <xf numFmtId="14" fontId="15" fillId="0" borderId="8" xfId="0" applyNumberFormat="1" applyFont="1" applyBorder="1" applyAlignment="1">
      <alignment horizontal="center"/>
    </xf>
    <xf numFmtId="0" fontId="22" fillId="0" borderId="8" xfId="0" applyFont="1" applyBorder="1" applyAlignment="1">
      <alignment wrapText="1"/>
    </xf>
    <xf numFmtId="0" fontId="22" fillId="0" borderId="8" xfId="0" applyFont="1" applyBorder="1" applyAlignment="1"/>
    <xf numFmtId="10" fontId="15" fillId="0" borderId="8" xfId="0" applyNumberFormat="1" applyFont="1" applyBorder="1" applyAlignment="1"/>
    <xf numFmtId="0" fontId="19" fillId="0" borderId="1" xfId="0" applyFont="1" applyFill="1" applyBorder="1" applyAlignment="1">
      <alignment horizontal="center" wrapText="1"/>
    </xf>
    <xf numFmtId="0" fontId="19" fillId="0" borderId="8" xfId="0" applyFont="1" applyFill="1" applyBorder="1" applyAlignment="1">
      <alignment horizontal="center" wrapText="1"/>
    </xf>
    <xf numFmtId="0" fontId="15" fillId="0" borderId="8" xfId="0" applyFont="1" applyBorder="1" applyAlignment="1">
      <alignment wrapText="1"/>
    </xf>
    <xf numFmtId="0" fontId="17" fillId="0" borderId="9" xfId="0" applyFont="1" applyBorder="1">
      <alignment vertical="center"/>
    </xf>
    <xf numFmtId="0" fontId="14" fillId="0" borderId="1" xfId="0" applyFont="1" applyBorder="1" applyAlignment="1">
      <alignment horizontal="center" wrapText="1"/>
    </xf>
    <xf numFmtId="14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" fillId="0" borderId="0" xfId="5"/>
    <xf numFmtId="10" fontId="14" fillId="0" borderId="1" xfId="0" applyNumberFormat="1" applyFont="1" applyBorder="1" applyAlignment="1">
      <alignment horizontal="center" vertical="center" wrapText="1"/>
    </xf>
    <xf numFmtId="14" fontId="14" fillId="0" borderId="1" xfId="0" applyNumberFormat="1" applyFont="1" applyBorder="1" applyAlignment="1">
      <alignment horizontal="center" wrapText="1"/>
    </xf>
    <xf numFmtId="0" fontId="1" fillId="0" borderId="0" xfId="5" applyAlignment="1"/>
    <xf numFmtId="0" fontId="26" fillId="0" borderId="1" xfId="0" applyFont="1" applyBorder="1" applyAlignment="1">
      <alignment horizontal="center" wrapText="1"/>
    </xf>
    <xf numFmtId="0" fontId="14" fillId="0" borderId="1" xfId="0" applyFont="1" applyBorder="1">
      <alignment vertical="center"/>
    </xf>
    <xf numFmtId="10" fontId="14" fillId="0" borderId="16" xfId="0" applyNumberFormat="1" applyFont="1" applyBorder="1">
      <alignment vertical="center"/>
    </xf>
    <xf numFmtId="0" fontId="14" fillId="0" borderId="6" xfId="0" applyFont="1" applyBorder="1">
      <alignment vertical="center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wrapText="1"/>
    </xf>
    <xf numFmtId="0" fontId="14" fillId="0" borderId="1" xfId="0" applyFont="1" applyFill="1" applyBorder="1" applyAlignment="1">
      <alignment vertical="center" wrapText="1"/>
    </xf>
    <xf numFmtId="164" fontId="26" fillId="0" borderId="1" xfId="0" applyNumberFormat="1" applyFont="1" applyBorder="1" applyAlignment="1">
      <alignment horizontal="center" wrapText="1"/>
    </xf>
    <xf numFmtId="164" fontId="14" fillId="0" borderId="1" xfId="0" applyNumberFormat="1" applyFont="1" applyBorder="1" applyAlignment="1">
      <alignment horizontal="center" wrapText="1"/>
    </xf>
    <xf numFmtId="0" fontId="14" fillId="0" borderId="1" xfId="0" applyFont="1" applyBorder="1" applyAlignment="1">
      <alignment vertical="center" wrapText="1"/>
    </xf>
    <xf numFmtId="164" fontId="14" fillId="0" borderId="1" xfId="0" applyNumberFormat="1" applyFont="1" applyBorder="1" applyAlignment="1">
      <alignment horizontal="center" vertical="center" wrapText="1"/>
    </xf>
    <xf numFmtId="14" fontId="26" fillId="0" borderId="1" xfId="0" applyNumberFormat="1" applyFont="1" applyBorder="1" applyAlignment="1">
      <alignment horizontal="center" wrapText="1"/>
    </xf>
    <xf numFmtId="0" fontId="26" fillId="0" borderId="1" xfId="0" applyFont="1" applyFill="1" applyBorder="1" applyAlignment="1">
      <alignment horizontal="center" wrapText="1"/>
    </xf>
    <xf numFmtId="0" fontId="26" fillId="0" borderId="5" xfId="0" applyFont="1" applyBorder="1" applyAlignment="1">
      <alignment horizontal="center" wrapText="1"/>
    </xf>
    <xf numFmtId="0" fontId="14" fillId="0" borderId="5" xfId="0" applyFont="1" applyBorder="1" applyAlignment="1">
      <alignment horizontal="center" vertical="center" wrapText="1"/>
    </xf>
    <xf numFmtId="10" fontId="14" fillId="0" borderId="16" xfId="0" applyNumberFormat="1" applyFont="1" applyBorder="1" applyAlignment="1">
      <alignment vertical="center" wrapText="1"/>
    </xf>
    <xf numFmtId="10" fontId="14" fillId="0" borderId="1" xfId="0" applyNumberFormat="1" applyFont="1" applyBorder="1" applyAlignment="1">
      <alignment vertical="center" wrapText="1"/>
    </xf>
    <xf numFmtId="0" fontId="24" fillId="0" borderId="1" xfId="5" applyFont="1" applyBorder="1"/>
    <xf numFmtId="0" fontId="7" fillId="2" borderId="31" xfId="0" applyFont="1" applyFill="1" applyBorder="1" applyAlignment="1">
      <alignment horizontal="center" vertical="center" textRotation="90" wrapText="1"/>
    </xf>
    <xf numFmtId="0" fontId="7" fillId="2" borderId="31" xfId="0" applyFont="1" applyFill="1" applyBorder="1" applyAlignment="1">
      <alignment horizontal="center" vertical="center" wrapText="1"/>
    </xf>
    <xf numFmtId="0" fontId="24" fillId="0" borderId="3" xfId="5" applyFont="1" applyBorder="1"/>
    <xf numFmtId="10" fontId="14" fillId="0" borderId="3" xfId="0" applyNumberFormat="1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wrapText="1"/>
    </xf>
    <xf numFmtId="0" fontId="19" fillId="0" borderId="7" xfId="0" applyFont="1" applyBorder="1" applyAlignment="1">
      <alignment horizontal="center" wrapText="1"/>
    </xf>
    <xf numFmtId="0" fontId="23" fillId="0" borderId="3" xfId="5" applyFont="1" applyBorder="1" applyAlignment="1">
      <alignment horizontal="center" wrapText="1"/>
    </xf>
    <xf numFmtId="0" fontId="27" fillId="0" borderId="3" xfId="5" applyFont="1" applyBorder="1" applyAlignment="1">
      <alignment horizontal="center" wrapText="1"/>
    </xf>
    <xf numFmtId="14" fontId="23" fillId="0" borderId="3" xfId="5" applyNumberFormat="1" applyFont="1" applyBorder="1" applyAlignment="1">
      <alignment horizontal="center" wrapText="1"/>
    </xf>
    <xf numFmtId="0" fontId="23" fillId="0" borderId="3" xfId="5" applyFont="1" applyBorder="1"/>
    <xf numFmtId="0" fontId="15" fillId="0" borderId="3" xfId="0" applyFont="1" applyBorder="1" applyAlignment="1">
      <alignment horizontal="center" wrapText="1"/>
    </xf>
    <xf numFmtId="0" fontId="23" fillId="0" borderId="1" xfId="5" applyFont="1" applyBorder="1" applyAlignment="1">
      <alignment horizontal="center" wrapText="1"/>
    </xf>
    <xf numFmtId="10" fontId="15" fillId="0" borderId="3" xfId="0" applyNumberFormat="1" applyFont="1" applyBorder="1" applyAlignment="1">
      <alignment horizontal="center" vertical="center" wrapText="1"/>
    </xf>
    <xf numFmtId="0" fontId="27" fillId="0" borderId="1" xfId="5" applyFont="1" applyBorder="1" applyAlignment="1">
      <alignment horizontal="center" wrapText="1"/>
    </xf>
    <xf numFmtId="14" fontId="23" fillId="0" borderId="1" xfId="5" applyNumberFormat="1" applyFont="1" applyBorder="1" applyAlignment="1">
      <alignment horizontal="center" wrapText="1"/>
    </xf>
    <xf numFmtId="0" fontId="23" fillId="0" borderId="1" xfId="5" applyFont="1" applyBorder="1"/>
    <xf numFmtId="10" fontId="15" fillId="0" borderId="1" xfId="0" applyNumberFormat="1" applyFont="1" applyBorder="1" applyAlignment="1">
      <alignment horizontal="center" vertical="center" wrapText="1"/>
    </xf>
    <xf numFmtId="0" fontId="23" fillId="0" borderId="1" xfId="5" applyFont="1" applyBorder="1" applyAlignment="1">
      <alignment horizontal="center"/>
    </xf>
    <xf numFmtId="0" fontId="27" fillId="0" borderId="13" xfId="5" applyFont="1" applyBorder="1" applyAlignment="1">
      <alignment horizontal="center" wrapText="1"/>
    </xf>
    <xf numFmtId="0" fontId="15" fillId="3" borderId="1" xfId="5" applyFont="1" applyFill="1" applyBorder="1" applyAlignment="1">
      <alignment horizontal="center" wrapText="1"/>
    </xf>
    <xf numFmtId="14" fontId="15" fillId="3" borderId="1" xfId="5" applyNumberFormat="1" applyFont="1" applyFill="1" applyBorder="1" applyAlignment="1">
      <alignment horizontal="center" wrapText="1"/>
    </xf>
    <xf numFmtId="0" fontId="14" fillId="0" borderId="22" xfId="0" applyFont="1" applyBorder="1">
      <alignment vertical="center"/>
    </xf>
    <xf numFmtId="0" fontId="14" fillId="0" borderId="1" xfId="0" applyFont="1" applyFill="1" applyBorder="1" applyAlignment="1">
      <alignment wrapText="1"/>
    </xf>
    <xf numFmtId="0" fontId="0" fillId="0" borderId="22" xfId="0" applyBorder="1">
      <alignment vertical="center"/>
    </xf>
    <xf numFmtId="0" fontId="7" fillId="2" borderId="23" xfId="0" applyFont="1" applyFill="1" applyBorder="1" applyAlignment="1">
      <alignment horizontal="center" vertical="center" wrapText="1"/>
    </xf>
    <xf numFmtId="10" fontId="14" fillId="0" borderId="1" xfId="0" applyNumberFormat="1" applyFont="1" applyBorder="1">
      <alignment vertical="center"/>
    </xf>
    <xf numFmtId="0" fontId="19" fillId="0" borderId="37" xfId="0" applyFont="1" applyBorder="1" applyAlignment="1">
      <alignment horizontal="center" wrapText="1"/>
    </xf>
    <xf numFmtId="0" fontId="19" fillId="0" borderId="23" xfId="0" applyFont="1" applyBorder="1" applyAlignment="1">
      <alignment horizontal="center" wrapText="1"/>
    </xf>
    <xf numFmtId="0" fontId="20" fillId="0" borderId="23" xfId="0" applyFont="1" applyBorder="1" applyAlignment="1">
      <alignment horizontal="center" wrapText="1"/>
    </xf>
    <xf numFmtId="0" fontId="15" fillId="0" borderId="23" xfId="0" applyFont="1" applyBorder="1" applyAlignment="1">
      <alignment wrapText="1"/>
    </xf>
    <xf numFmtId="164" fontId="19" fillId="0" borderId="23" xfId="0" applyNumberFormat="1" applyFont="1" applyBorder="1" applyAlignment="1">
      <alignment horizontal="center" wrapText="1"/>
    </xf>
    <xf numFmtId="164" fontId="15" fillId="0" borderId="23" xfId="0" applyNumberFormat="1" applyFont="1" applyBorder="1" applyAlignment="1">
      <alignment horizontal="center" wrapText="1"/>
    </xf>
    <xf numFmtId="0" fontId="17" fillId="0" borderId="23" xfId="0" applyFont="1" applyBorder="1" applyAlignment="1">
      <alignment wrapText="1"/>
    </xf>
    <xf numFmtId="0" fontId="21" fillId="0" borderId="23" xfId="0" applyFont="1" applyBorder="1" applyAlignment="1">
      <alignment wrapText="1"/>
    </xf>
    <xf numFmtId="0" fontId="17" fillId="0" borderId="23" xfId="0" applyFont="1" applyBorder="1" applyAlignment="1"/>
    <xf numFmtId="0" fontId="21" fillId="0" borderId="23" xfId="0" applyFont="1" applyBorder="1" applyAlignment="1"/>
    <xf numFmtId="10" fontId="17" fillId="0" borderId="23" xfId="0" applyNumberFormat="1" applyFont="1" applyBorder="1" applyAlignment="1"/>
    <xf numFmtId="0" fontId="17" fillId="0" borderId="38" xfId="0" applyFont="1" applyBorder="1">
      <alignment vertical="center"/>
    </xf>
    <xf numFmtId="0" fontId="17" fillId="0" borderId="13" xfId="0" applyFont="1" applyBorder="1" applyAlignment="1">
      <alignment wrapText="1"/>
    </xf>
    <xf numFmtId="0" fontId="17" fillId="0" borderId="22" xfId="0" applyFont="1" applyBorder="1">
      <alignment vertical="center"/>
    </xf>
    <xf numFmtId="0" fontId="7" fillId="2" borderId="1" xfId="0" applyFont="1" applyFill="1" applyBorder="1" applyAlignment="1">
      <alignment horizontal="center" vertical="center" textRotation="90" wrapText="1"/>
    </xf>
    <xf numFmtId="0" fontId="29" fillId="0" borderId="0" xfId="5" applyFont="1"/>
    <xf numFmtId="0" fontId="8" fillId="2" borderId="27" xfId="0" applyFont="1" applyFill="1" applyBorder="1" applyAlignment="1">
      <alignment vertical="center" wrapText="1"/>
    </xf>
    <xf numFmtId="0" fontId="8" fillId="2" borderId="28" xfId="0" applyFont="1" applyFill="1" applyBorder="1" applyAlignment="1">
      <alignment vertical="center" wrapText="1"/>
    </xf>
    <xf numFmtId="0" fontId="8" fillId="2" borderId="10" xfId="0" applyFont="1" applyFill="1" applyBorder="1" applyAlignment="1">
      <alignment vertical="center" wrapText="1"/>
    </xf>
    <xf numFmtId="0" fontId="26" fillId="0" borderId="19" xfId="0" applyFont="1" applyBorder="1" applyAlignment="1">
      <alignment horizontal="center" wrapText="1"/>
    </xf>
    <xf numFmtId="0" fontId="26" fillId="0" borderId="13" xfId="0" applyFont="1" applyBorder="1" applyAlignment="1">
      <alignment horizontal="center" wrapText="1"/>
    </xf>
    <xf numFmtId="0" fontId="14" fillId="0" borderId="13" xfId="0" applyFont="1" applyBorder="1" applyAlignment="1">
      <alignment vertical="center" wrapText="1"/>
    </xf>
    <xf numFmtId="14" fontId="26" fillId="0" borderId="13" xfId="0" applyNumberFormat="1" applyFont="1" applyBorder="1" applyAlignment="1">
      <alignment horizontal="center" wrapText="1"/>
    </xf>
    <xf numFmtId="14" fontId="14" fillId="0" borderId="13" xfId="0" applyNumberFormat="1" applyFont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14" fillId="0" borderId="13" xfId="0" applyFont="1" applyBorder="1">
      <alignment vertical="center"/>
    </xf>
    <xf numFmtId="10" fontId="14" fillId="0" borderId="13" xfId="0" applyNumberFormat="1" applyFont="1" applyBorder="1">
      <alignment vertical="center"/>
    </xf>
    <xf numFmtId="164" fontId="26" fillId="0" borderId="13" xfId="0" applyNumberFormat="1" applyFont="1" applyBorder="1" applyAlignment="1">
      <alignment horizontal="center" wrapText="1"/>
    </xf>
    <xf numFmtId="164" fontId="14" fillId="0" borderId="13" xfId="0" applyNumberFormat="1" applyFont="1" applyBorder="1" applyAlignment="1">
      <alignment horizontal="center" vertical="center" wrapText="1"/>
    </xf>
    <xf numFmtId="10" fontId="14" fillId="0" borderId="13" xfId="0" applyNumberFormat="1" applyFont="1" applyBorder="1" applyAlignment="1">
      <alignment vertical="center" wrapText="1"/>
    </xf>
    <xf numFmtId="0" fontId="24" fillId="0" borderId="6" xfId="5" applyFont="1" applyBorder="1"/>
    <xf numFmtId="0" fontId="0" fillId="0" borderId="1" xfId="0" applyBorder="1">
      <alignment vertical="center"/>
    </xf>
    <xf numFmtId="0" fontId="31" fillId="0" borderId="0" xfId="0" applyFont="1">
      <alignment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9" fillId="2" borderId="29" xfId="0" applyFont="1" applyFill="1" applyBorder="1" applyAlignment="1">
      <alignment horizontal="center" vertical="center" textRotation="90" wrapText="1"/>
    </xf>
    <xf numFmtId="0" fontId="9" fillId="2" borderId="32" xfId="0" applyFont="1" applyFill="1" applyBorder="1" applyAlignment="1">
      <alignment horizontal="center" vertical="center" textRotation="90" wrapText="1"/>
    </xf>
    <xf numFmtId="0" fontId="9" fillId="2" borderId="33" xfId="0" applyFont="1" applyFill="1" applyBorder="1" applyAlignment="1">
      <alignment horizontal="center" vertical="center" textRotation="90" wrapText="1"/>
    </xf>
    <xf numFmtId="0" fontId="7" fillId="2" borderId="30" xfId="0" applyFont="1" applyFill="1" applyBorder="1" applyAlignment="1">
      <alignment horizontal="center" vertical="center" textRotation="90" wrapText="1"/>
    </xf>
    <xf numFmtId="0" fontId="7" fillId="2" borderId="31" xfId="0" applyFont="1" applyFill="1" applyBorder="1" applyAlignment="1">
      <alignment horizontal="center" vertical="center" textRotation="90" wrapText="1"/>
    </xf>
    <xf numFmtId="0" fontId="9" fillId="2" borderId="30" xfId="0" applyFont="1" applyFill="1" applyBorder="1" applyAlignment="1">
      <alignment horizontal="center" vertical="center" textRotation="90" wrapText="1"/>
    </xf>
    <xf numFmtId="0" fontId="9" fillId="2" borderId="31" xfId="0" applyFont="1" applyFill="1" applyBorder="1" applyAlignment="1">
      <alignment horizontal="center" vertical="center" textRotation="90" wrapText="1"/>
    </xf>
    <xf numFmtId="0" fontId="8" fillId="2" borderId="30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30" fillId="0" borderId="16" xfId="5" applyFont="1" applyBorder="1" applyAlignment="1">
      <alignment horizontal="center" vertical="center" wrapText="1"/>
    </xf>
    <xf numFmtId="0" fontId="30" fillId="0" borderId="39" xfId="5" applyFont="1" applyBorder="1" applyAlignment="1">
      <alignment horizontal="center" vertical="center" wrapText="1"/>
    </xf>
    <xf numFmtId="0" fontId="30" fillId="0" borderId="11" xfId="5" applyFont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textRotation="90" wrapText="1"/>
    </xf>
    <xf numFmtId="0" fontId="9" fillId="2" borderId="14" xfId="0" applyFont="1" applyFill="1" applyBorder="1" applyAlignment="1">
      <alignment horizontal="center" vertical="center" textRotation="90" wrapText="1"/>
    </xf>
    <xf numFmtId="0" fontId="28" fillId="2" borderId="16" xfId="0" applyFont="1" applyFill="1" applyBorder="1" applyAlignment="1">
      <alignment horizontal="center" vertical="center" wrapText="1"/>
    </xf>
    <xf numFmtId="0" fontId="28" fillId="2" borderId="39" xfId="0" applyFont="1" applyFill="1" applyBorder="1" applyAlignment="1">
      <alignment horizontal="center" vertical="center" wrapText="1"/>
    </xf>
    <xf numFmtId="0" fontId="28" fillId="2" borderId="11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textRotation="90" wrapText="1"/>
    </xf>
    <xf numFmtId="0" fontId="7" fillId="2" borderId="14" xfId="0" applyFont="1" applyFill="1" applyBorder="1" applyAlignment="1">
      <alignment horizontal="center" vertical="center" textRotation="90" wrapText="1"/>
    </xf>
    <xf numFmtId="0" fontId="9" fillId="2" borderId="17" xfId="0" applyFont="1" applyFill="1" applyBorder="1" applyAlignment="1">
      <alignment horizontal="center" vertical="center" textRotation="90" wrapText="1"/>
    </xf>
    <xf numFmtId="0" fontId="9" fillId="2" borderId="18" xfId="0" applyFont="1" applyFill="1" applyBorder="1" applyAlignment="1">
      <alignment horizontal="center" vertical="center" textRotation="90" wrapText="1"/>
    </xf>
    <xf numFmtId="0" fontId="7" fillId="2" borderId="13" xfId="0" applyFont="1" applyFill="1" applyBorder="1" applyAlignment="1">
      <alignment horizontal="center" vertical="center" textRotation="90" wrapText="1"/>
    </xf>
    <xf numFmtId="0" fontId="7" fillId="2" borderId="20" xfId="0" applyFont="1" applyFill="1" applyBorder="1" applyAlignment="1">
      <alignment horizontal="center" vertical="center" textRotation="90" wrapText="1"/>
    </xf>
    <xf numFmtId="0" fontId="7" fillId="2" borderId="21" xfId="0" applyFont="1" applyFill="1" applyBorder="1" applyAlignment="1">
      <alignment horizontal="center" vertical="center" textRotation="90" wrapText="1"/>
    </xf>
    <xf numFmtId="0" fontId="32" fillId="2" borderId="5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2" fillId="2" borderId="6" xfId="0" applyFont="1" applyFill="1" applyBorder="1" applyAlignment="1">
      <alignment horizontal="center" vertical="center" wrapText="1"/>
    </xf>
    <xf numFmtId="0" fontId="9" fillId="2" borderId="35" xfId="0" applyFont="1" applyFill="1" applyBorder="1" applyAlignment="1">
      <alignment horizontal="center" vertical="center" textRotation="90" wrapText="1"/>
    </xf>
    <xf numFmtId="0" fontId="32" fillId="2" borderId="12" xfId="0" applyFont="1" applyFill="1" applyBorder="1" applyAlignment="1">
      <alignment horizontal="center" vertical="center" wrapText="1"/>
    </xf>
    <xf numFmtId="0" fontId="32" fillId="2" borderId="0" xfId="0" applyFont="1" applyFill="1" applyBorder="1" applyAlignment="1">
      <alignment horizontal="center" vertical="center" wrapText="1"/>
    </xf>
    <xf numFmtId="0" fontId="32" fillId="2" borderId="40" xfId="0" applyFont="1" applyFill="1" applyBorder="1" applyAlignment="1">
      <alignment horizontal="center" vertical="center" wrapText="1"/>
    </xf>
    <xf numFmtId="0" fontId="7" fillId="2" borderId="35" xfId="0" applyFont="1" applyFill="1" applyBorder="1" applyAlignment="1">
      <alignment horizontal="center" vertical="center" textRotation="90" wrapText="1"/>
    </xf>
    <xf numFmtId="0" fontId="9" fillId="2" borderId="34" xfId="0" applyFont="1" applyFill="1" applyBorder="1" applyAlignment="1">
      <alignment horizontal="center" vertical="center" textRotation="90" wrapText="1"/>
    </xf>
    <xf numFmtId="0" fontId="7" fillId="2" borderId="36" xfId="0" applyFont="1" applyFill="1" applyBorder="1" applyAlignment="1">
      <alignment horizontal="center" vertical="center" textRotation="90" wrapText="1"/>
    </xf>
    <xf numFmtId="0" fontId="13" fillId="2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textRotation="90" wrapText="1"/>
    </xf>
    <xf numFmtId="0" fontId="12" fillId="2" borderId="1" xfId="0" applyFont="1" applyFill="1" applyBorder="1" applyAlignment="1">
      <alignment horizontal="center" vertical="center" textRotation="90" wrapText="1"/>
    </xf>
    <xf numFmtId="0" fontId="12" fillId="2" borderId="4" xfId="0" applyFont="1" applyFill="1" applyBorder="1" applyAlignment="1">
      <alignment horizontal="center" vertical="center" textRotation="90" wrapText="1"/>
    </xf>
    <xf numFmtId="0" fontId="12" fillId="2" borderId="6" xfId="0" applyFont="1" applyFill="1" applyBorder="1" applyAlignment="1">
      <alignment horizontal="center" vertical="center" textRotation="90" wrapText="1"/>
    </xf>
    <xf numFmtId="0" fontId="11" fillId="2" borderId="2" xfId="0" applyFont="1" applyFill="1" applyBorder="1" applyAlignment="1">
      <alignment horizontal="center" vertical="center" textRotation="90" wrapText="1"/>
    </xf>
    <xf numFmtId="0" fontId="11" fillId="2" borderId="5" xfId="0" applyFont="1" applyFill="1" applyBorder="1" applyAlignment="1">
      <alignment horizontal="center" vertical="center" textRotation="90" wrapText="1"/>
    </xf>
    <xf numFmtId="0" fontId="28" fillId="0" borderId="24" xfId="0" applyFont="1" applyBorder="1" applyAlignment="1">
      <alignment horizontal="center" wrapText="1"/>
    </xf>
    <xf numFmtId="0" fontId="28" fillId="0" borderId="25" xfId="0" applyFont="1" applyBorder="1" applyAlignment="1">
      <alignment horizontal="center" wrapText="1"/>
    </xf>
    <xf numFmtId="0" fontId="28" fillId="0" borderId="26" xfId="0" applyFont="1" applyBorder="1" applyAlignment="1">
      <alignment horizontal="center" wrapText="1"/>
    </xf>
    <xf numFmtId="0" fontId="11" fillId="2" borderId="3" xfId="0" applyFont="1" applyFill="1" applyBorder="1" applyAlignment="1">
      <alignment horizontal="center" vertical="center" textRotation="90" wrapText="1"/>
    </xf>
    <xf numFmtId="0" fontId="11" fillId="2" borderId="1" xfId="0" applyFont="1" applyFill="1" applyBorder="1" applyAlignment="1">
      <alignment horizontal="center" vertical="center" textRotation="90" wrapText="1"/>
    </xf>
    <xf numFmtId="0" fontId="11" fillId="2" borderId="17" xfId="0" applyFont="1" applyFill="1" applyBorder="1" applyAlignment="1">
      <alignment horizontal="center" vertical="center" textRotation="90" wrapText="1"/>
    </xf>
    <xf numFmtId="0" fontId="11" fillId="2" borderId="18" xfId="0" applyFont="1" applyFill="1" applyBorder="1" applyAlignment="1">
      <alignment horizontal="center" vertical="center" textRotation="90" wrapText="1"/>
    </xf>
    <xf numFmtId="0" fontId="11" fillId="2" borderId="19" xfId="0" applyFont="1" applyFill="1" applyBorder="1" applyAlignment="1">
      <alignment horizontal="center" vertical="center" textRotation="90" wrapText="1"/>
    </xf>
    <xf numFmtId="0" fontId="12" fillId="2" borderId="15" xfId="0" applyFont="1" applyFill="1" applyBorder="1" applyAlignment="1">
      <alignment horizontal="center" vertical="center" textRotation="90" wrapText="1"/>
    </xf>
    <xf numFmtId="0" fontId="12" fillId="2" borderId="14" xfId="0" applyFont="1" applyFill="1" applyBorder="1" applyAlignment="1">
      <alignment horizontal="center" vertical="center" textRotation="90" wrapText="1"/>
    </xf>
    <xf numFmtId="0" fontId="12" fillId="2" borderId="13" xfId="0" applyFont="1" applyFill="1" applyBorder="1" applyAlignment="1">
      <alignment horizontal="center" vertical="center" textRotation="90" wrapText="1"/>
    </xf>
    <xf numFmtId="0" fontId="12" fillId="2" borderId="20" xfId="0" applyFont="1" applyFill="1" applyBorder="1" applyAlignment="1">
      <alignment horizontal="center" vertical="center" textRotation="90" wrapText="1"/>
    </xf>
    <xf numFmtId="0" fontId="12" fillId="2" borderId="21" xfId="0" applyFont="1" applyFill="1" applyBorder="1" applyAlignment="1">
      <alignment horizontal="center" vertical="center" textRotation="90" wrapText="1"/>
    </xf>
    <xf numFmtId="0" fontId="12" fillId="2" borderId="22" xfId="0" applyFont="1" applyFill="1" applyBorder="1" applyAlignment="1">
      <alignment horizontal="center" vertical="center" textRotation="90" wrapText="1"/>
    </xf>
    <xf numFmtId="0" fontId="11" fillId="2" borderId="15" xfId="0" applyFont="1" applyFill="1" applyBorder="1" applyAlignment="1">
      <alignment horizontal="center" vertical="center" textRotation="90" wrapText="1"/>
    </xf>
    <xf numFmtId="0" fontId="11" fillId="2" borderId="14" xfId="0" applyFont="1" applyFill="1" applyBorder="1" applyAlignment="1">
      <alignment horizontal="center" vertical="center" textRotation="90" wrapText="1"/>
    </xf>
    <xf numFmtId="0" fontId="11" fillId="2" borderId="13" xfId="0" applyFont="1" applyFill="1" applyBorder="1" applyAlignment="1">
      <alignment horizontal="center" vertical="center" textRotation="90" wrapText="1"/>
    </xf>
  </cellXfs>
  <cellStyles count="6">
    <cellStyle name="Normal" xfId="0" builtinId="0"/>
    <cellStyle name="Normal 2" xfId="1"/>
    <cellStyle name="Normal 2 2" xfId="2"/>
    <cellStyle name="Normal 3" xfId="3"/>
    <cellStyle name="Normal 3 2" xfId="4"/>
    <cellStyle name="Normal 3 2 2" xf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66"/>
  <sheetViews>
    <sheetView view="pageBreakPreview" topLeftCell="A52" zoomScale="60" zoomScaleNormal="55" workbookViewId="0">
      <selection activeCell="A7" sqref="A7"/>
    </sheetView>
  </sheetViews>
  <sheetFormatPr defaultRowHeight="15" x14ac:dyDescent="0.25"/>
  <cols>
    <col min="1" max="1" width="7.85546875" style="62" customWidth="1"/>
    <col min="2" max="2" width="9" style="62" customWidth="1"/>
    <col min="3" max="3" width="13.42578125" style="62" customWidth="1"/>
    <col min="4" max="4" width="19" style="62" customWidth="1"/>
    <col min="5" max="5" width="20.42578125" style="62" customWidth="1"/>
    <col min="6" max="6" width="17" style="62" customWidth="1"/>
    <col min="7" max="7" width="19.42578125" style="62" customWidth="1"/>
    <col min="8" max="8" width="20.5703125" style="62" bestFit="1" customWidth="1"/>
    <col min="9" max="19" width="12.7109375" style="62" customWidth="1"/>
    <col min="20" max="20" width="17.85546875" style="62" customWidth="1"/>
    <col min="21" max="21" width="17.140625" style="62" customWidth="1"/>
    <col min="22" max="22" width="12.7109375" style="62" customWidth="1"/>
    <col min="23" max="23" width="20.42578125" style="62" customWidth="1"/>
    <col min="24" max="16384" width="9.140625" style="62"/>
  </cols>
  <sheetData>
    <row r="1" spans="1:23" ht="27.75" x14ac:dyDescent="0.25">
      <c r="A1" s="143" t="s">
        <v>696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</row>
    <row r="2" spans="1:23" ht="28.5" thickBot="1" x14ac:dyDescent="0.3">
      <c r="A2" s="143" t="s">
        <v>697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</row>
    <row r="3" spans="1:23" ht="26.25" customHeight="1" thickBot="1" x14ac:dyDescent="0.3">
      <c r="A3" s="145" t="s">
        <v>698</v>
      </c>
      <c r="B3" s="148" t="s">
        <v>334</v>
      </c>
      <c r="C3" s="148" t="s">
        <v>335</v>
      </c>
      <c r="D3" s="148" t="s">
        <v>0</v>
      </c>
      <c r="E3" s="148" t="s">
        <v>1</v>
      </c>
      <c r="F3" s="148" t="s">
        <v>2</v>
      </c>
      <c r="G3" s="150" t="s">
        <v>337</v>
      </c>
      <c r="H3" s="148" t="s">
        <v>618</v>
      </c>
      <c r="I3" s="152" t="s">
        <v>685</v>
      </c>
      <c r="J3" s="152"/>
      <c r="K3" s="152"/>
      <c r="L3" s="152"/>
      <c r="M3" s="152"/>
      <c r="N3" s="152"/>
      <c r="O3" s="152"/>
      <c r="P3" s="152"/>
      <c r="Q3" s="152"/>
      <c r="R3" s="152"/>
      <c r="S3" s="148" t="s">
        <v>694</v>
      </c>
      <c r="T3" s="148" t="s">
        <v>695</v>
      </c>
      <c r="U3" s="148" t="s">
        <v>700</v>
      </c>
      <c r="V3" s="148" t="s">
        <v>808</v>
      </c>
      <c r="W3" s="148" t="s">
        <v>617</v>
      </c>
    </row>
    <row r="4" spans="1:23" ht="60" customHeight="1" thickBot="1" x14ac:dyDescent="0.3">
      <c r="A4" s="146"/>
      <c r="B4" s="149"/>
      <c r="C4" s="149"/>
      <c r="D4" s="149"/>
      <c r="E4" s="149"/>
      <c r="F4" s="149"/>
      <c r="G4" s="151"/>
      <c r="H4" s="149"/>
      <c r="I4" s="84" t="s">
        <v>809</v>
      </c>
      <c r="J4" s="84" t="s">
        <v>810</v>
      </c>
      <c r="K4" s="84" t="s">
        <v>686</v>
      </c>
      <c r="L4" s="84" t="s">
        <v>811</v>
      </c>
      <c r="M4" s="84" t="s">
        <v>812</v>
      </c>
      <c r="N4" s="84" t="s">
        <v>687</v>
      </c>
      <c r="O4" s="84" t="s">
        <v>813</v>
      </c>
      <c r="P4" s="84" t="s">
        <v>814</v>
      </c>
      <c r="Q4" s="84" t="s">
        <v>808</v>
      </c>
      <c r="R4" s="84" t="s">
        <v>815</v>
      </c>
      <c r="S4" s="149"/>
      <c r="T4" s="149"/>
      <c r="U4" s="149"/>
      <c r="V4" s="149"/>
      <c r="W4" s="149"/>
    </row>
    <row r="5" spans="1:23" ht="40.5" customHeight="1" thickBot="1" x14ac:dyDescent="0.3">
      <c r="A5" s="147"/>
      <c r="B5" s="149"/>
      <c r="C5" s="149"/>
      <c r="D5" s="149"/>
      <c r="E5" s="149"/>
      <c r="F5" s="149"/>
      <c r="G5" s="151"/>
      <c r="H5" s="149"/>
      <c r="I5" s="85">
        <v>30</v>
      </c>
      <c r="J5" s="85">
        <v>30</v>
      </c>
      <c r="K5" s="85">
        <v>75</v>
      </c>
      <c r="L5" s="85">
        <v>75</v>
      </c>
      <c r="M5" s="85">
        <v>75</v>
      </c>
      <c r="N5" s="85">
        <v>30</v>
      </c>
      <c r="O5" s="85">
        <v>30</v>
      </c>
      <c r="P5" s="85">
        <v>10</v>
      </c>
      <c r="Q5" s="85">
        <v>10</v>
      </c>
      <c r="R5" s="85">
        <v>10</v>
      </c>
      <c r="S5" s="85">
        <f>SUM(I5:R5)</f>
        <v>375</v>
      </c>
      <c r="T5" s="149"/>
      <c r="U5" s="149"/>
      <c r="V5" s="149"/>
      <c r="W5" s="149"/>
    </row>
    <row r="6" spans="1:23" ht="40.5" customHeight="1" thickBot="1" x14ac:dyDescent="0.3">
      <c r="A6" s="154" t="s">
        <v>682</v>
      </c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6"/>
    </row>
    <row r="7" spans="1:23" ht="42" customHeight="1" x14ac:dyDescent="0.35">
      <c r="A7" s="90">
        <v>1</v>
      </c>
      <c r="B7" s="91">
        <v>106</v>
      </c>
      <c r="C7" s="91" t="s">
        <v>837</v>
      </c>
      <c r="D7" s="91" t="s">
        <v>773</v>
      </c>
      <c r="E7" s="91" t="s">
        <v>44</v>
      </c>
      <c r="F7" s="91" t="s">
        <v>23</v>
      </c>
      <c r="G7" s="92">
        <v>43180</v>
      </c>
      <c r="H7" s="90" t="s">
        <v>772</v>
      </c>
      <c r="I7" s="93">
        <v>26</v>
      </c>
      <c r="J7" s="93">
        <v>28</v>
      </c>
      <c r="K7" s="93">
        <v>40</v>
      </c>
      <c r="L7" s="93">
        <v>50</v>
      </c>
      <c r="M7" s="93">
        <v>58</v>
      </c>
      <c r="N7" s="93">
        <v>23</v>
      </c>
      <c r="O7" s="93">
        <v>20</v>
      </c>
      <c r="P7" s="93">
        <v>5</v>
      </c>
      <c r="Q7" s="94">
        <v>8</v>
      </c>
      <c r="R7" s="93">
        <v>5</v>
      </c>
      <c r="S7" s="90">
        <v>375</v>
      </c>
      <c r="T7" s="95">
        <f t="shared" ref="T7" si="0">I7+J7+K7+L7+M7+N7+O7+P7+Q7+R7</f>
        <v>263</v>
      </c>
      <c r="U7" s="96">
        <f t="shared" ref="U7:U61" si="1">T7/S7</f>
        <v>0.70133333333333336</v>
      </c>
      <c r="V7" s="87"/>
      <c r="W7" s="86"/>
    </row>
    <row r="8" spans="1:23" ht="42" customHeight="1" x14ac:dyDescent="0.35">
      <c r="A8" s="95">
        <v>2</v>
      </c>
      <c r="B8" s="97">
        <v>75</v>
      </c>
      <c r="C8" s="102" t="s">
        <v>837</v>
      </c>
      <c r="D8" s="97" t="s">
        <v>658</v>
      </c>
      <c r="E8" s="97" t="s">
        <v>755</v>
      </c>
      <c r="F8" s="97" t="s">
        <v>23</v>
      </c>
      <c r="G8" s="98">
        <v>44000</v>
      </c>
      <c r="H8" s="98">
        <v>44934</v>
      </c>
      <c r="I8" s="99">
        <v>18</v>
      </c>
      <c r="J8" s="99">
        <v>20</v>
      </c>
      <c r="K8" s="99">
        <v>35</v>
      </c>
      <c r="L8" s="99">
        <v>68</v>
      </c>
      <c r="M8" s="99">
        <v>64</v>
      </c>
      <c r="N8" s="99">
        <v>17</v>
      </c>
      <c r="O8" s="99" t="s">
        <v>711</v>
      </c>
      <c r="P8" s="99">
        <v>8</v>
      </c>
      <c r="Q8" s="10">
        <v>8</v>
      </c>
      <c r="R8" s="99">
        <v>9</v>
      </c>
      <c r="S8" s="95">
        <v>375</v>
      </c>
      <c r="T8" s="95">
        <f>I8+J8+K8+L8+M8+N8+P8+Q8+R8</f>
        <v>247</v>
      </c>
      <c r="U8" s="100">
        <f t="shared" si="1"/>
        <v>0.65866666666666662</v>
      </c>
      <c r="V8" s="63"/>
      <c r="W8" s="83"/>
    </row>
    <row r="9" spans="1:23" ht="42" customHeight="1" x14ac:dyDescent="0.35">
      <c r="A9" s="95">
        <v>3</v>
      </c>
      <c r="B9" s="97">
        <v>133</v>
      </c>
      <c r="C9" s="97" t="s">
        <v>837</v>
      </c>
      <c r="D9" s="97" t="s">
        <v>548</v>
      </c>
      <c r="E9" s="97" t="s">
        <v>806</v>
      </c>
      <c r="F9" s="97" t="s">
        <v>23</v>
      </c>
      <c r="G9" s="98">
        <v>44137</v>
      </c>
      <c r="H9" s="98">
        <v>45210</v>
      </c>
      <c r="I9" s="99" t="s">
        <v>711</v>
      </c>
      <c r="J9" s="99" t="s">
        <v>711</v>
      </c>
      <c r="K9" s="99" t="s">
        <v>711</v>
      </c>
      <c r="L9" s="99" t="s">
        <v>711</v>
      </c>
      <c r="M9" s="99" t="s">
        <v>711</v>
      </c>
      <c r="N9" s="99" t="s">
        <v>711</v>
      </c>
      <c r="O9" s="99" t="s">
        <v>711</v>
      </c>
      <c r="P9" s="99" t="s">
        <v>711</v>
      </c>
      <c r="Q9" s="99" t="s">
        <v>711</v>
      </c>
      <c r="R9" s="99" t="s">
        <v>711</v>
      </c>
      <c r="S9" s="95">
        <v>375</v>
      </c>
      <c r="T9" s="95" t="e">
        <f t="shared" ref="T9:T61" si="2">I9+J9+K9+L9+M9+N9+O9+P9+Q9+R9</f>
        <v>#VALUE!</v>
      </c>
      <c r="U9" s="100" t="e">
        <f t="shared" si="1"/>
        <v>#VALUE!</v>
      </c>
      <c r="V9" s="63"/>
      <c r="W9" s="83" t="s">
        <v>715</v>
      </c>
    </row>
    <row r="10" spans="1:23" ht="42" customHeight="1" x14ac:dyDescent="0.35">
      <c r="A10" s="95">
        <v>4</v>
      </c>
      <c r="B10" s="97">
        <v>109</v>
      </c>
      <c r="C10" s="97" t="s">
        <v>837</v>
      </c>
      <c r="D10" s="97" t="s">
        <v>778</v>
      </c>
      <c r="E10" s="97" t="s">
        <v>564</v>
      </c>
      <c r="F10" s="97" t="s">
        <v>23</v>
      </c>
      <c r="G10" s="98">
        <v>44086</v>
      </c>
      <c r="H10" s="98">
        <v>45025</v>
      </c>
      <c r="I10" s="99">
        <v>20</v>
      </c>
      <c r="J10" s="99">
        <v>22</v>
      </c>
      <c r="K10" s="99">
        <v>49</v>
      </c>
      <c r="L10" s="99">
        <v>41</v>
      </c>
      <c r="M10" s="99">
        <v>49</v>
      </c>
      <c r="N10" s="99">
        <v>12</v>
      </c>
      <c r="O10" s="99">
        <v>23</v>
      </c>
      <c r="P10" s="99">
        <v>8</v>
      </c>
      <c r="Q10" s="10">
        <v>7</v>
      </c>
      <c r="R10" s="99">
        <v>8</v>
      </c>
      <c r="S10" s="95">
        <v>375</v>
      </c>
      <c r="T10" s="95">
        <f t="shared" si="2"/>
        <v>239</v>
      </c>
      <c r="U10" s="100">
        <f t="shared" si="1"/>
        <v>0.63733333333333331</v>
      </c>
      <c r="V10" s="63"/>
      <c r="W10" s="83"/>
    </row>
    <row r="11" spans="1:23" ht="42" customHeight="1" x14ac:dyDescent="0.35">
      <c r="A11" s="95">
        <v>5</v>
      </c>
      <c r="B11" s="97">
        <v>49</v>
      </c>
      <c r="C11" s="97" t="s">
        <v>837</v>
      </c>
      <c r="D11" s="11" t="s">
        <v>26</v>
      </c>
      <c r="E11" s="11" t="s">
        <v>12</v>
      </c>
      <c r="F11" s="11" t="s">
        <v>23</v>
      </c>
      <c r="G11" s="14">
        <v>43472</v>
      </c>
      <c r="H11" s="10" t="s">
        <v>736</v>
      </c>
      <c r="I11" s="101">
        <v>15</v>
      </c>
      <c r="J11" s="99">
        <v>10</v>
      </c>
      <c r="K11" s="99">
        <v>35</v>
      </c>
      <c r="L11" s="99">
        <v>46</v>
      </c>
      <c r="M11" s="99">
        <v>34</v>
      </c>
      <c r="N11" s="99">
        <v>10</v>
      </c>
      <c r="O11" s="99">
        <v>20</v>
      </c>
      <c r="P11" s="99">
        <v>2</v>
      </c>
      <c r="Q11" s="10">
        <v>5</v>
      </c>
      <c r="R11" s="99">
        <v>5</v>
      </c>
      <c r="S11" s="95">
        <v>375</v>
      </c>
      <c r="T11" s="95">
        <f t="shared" si="2"/>
        <v>182</v>
      </c>
      <c r="U11" s="100">
        <f t="shared" si="1"/>
        <v>0.48533333333333334</v>
      </c>
      <c r="V11" s="63"/>
      <c r="W11" s="83"/>
    </row>
    <row r="12" spans="1:23" ht="35.1" customHeight="1" x14ac:dyDescent="0.35">
      <c r="A12" s="95">
        <v>6</v>
      </c>
      <c r="B12" s="97">
        <v>104</v>
      </c>
      <c r="C12" s="97" t="s">
        <v>837</v>
      </c>
      <c r="D12" s="97" t="s">
        <v>147</v>
      </c>
      <c r="E12" s="97" t="s">
        <v>34</v>
      </c>
      <c r="F12" s="97" t="s">
        <v>23</v>
      </c>
      <c r="G12" s="98">
        <v>43452</v>
      </c>
      <c r="H12" s="98">
        <v>45115</v>
      </c>
      <c r="I12" s="99">
        <v>25</v>
      </c>
      <c r="J12" s="99">
        <v>26</v>
      </c>
      <c r="K12" s="99">
        <v>53</v>
      </c>
      <c r="L12" s="99">
        <v>51</v>
      </c>
      <c r="M12" s="99">
        <v>59</v>
      </c>
      <c r="N12" s="99">
        <v>20</v>
      </c>
      <c r="O12" s="99">
        <v>25</v>
      </c>
      <c r="P12" s="99">
        <v>4</v>
      </c>
      <c r="Q12" s="10">
        <v>9</v>
      </c>
      <c r="R12" s="99">
        <v>5</v>
      </c>
      <c r="S12" s="95">
        <v>375</v>
      </c>
      <c r="T12" s="95">
        <f t="shared" si="2"/>
        <v>277</v>
      </c>
      <c r="U12" s="100">
        <f t="shared" si="1"/>
        <v>0.73866666666666669</v>
      </c>
      <c r="V12" s="63"/>
      <c r="W12" s="83"/>
    </row>
    <row r="13" spans="1:23" ht="42" customHeight="1" x14ac:dyDescent="0.35">
      <c r="A13" s="95">
        <v>7</v>
      </c>
      <c r="B13" s="97">
        <v>88</v>
      </c>
      <c r="C13" s="97" t="s">
        <v>837</v>
      </c>
      <c r="D13" s="97" t="s">
        <v>610</v>
      </c>
      <c r="E13" s="97" t="s">
        <v>571</v>
      </c>
      <c r="F13" s="97" t="s">
        <v>23</v>
      </c>
      <c r="G13" s="98">
        <v>43562</v>
      </c>
      <c r="H13" s="98">
        <v>44965</v>
      </c>
      <c r="I13" s="99">
        <v>23</v>
      </c>
      <c r="J13" s="99">
        <v>25</v>
      </c>
      <c r="K13" s="99">
        <v>70</v>
      </c>
      <c r="L13" s="99">
        <v>74</v>
      </c>
      <c r="M13" s="99">
        <v>73</v>
      </c>
      <c r="N13" s="99">
        <v>29</v>
      </c>
      <c r="O13" s="99">
        <v>28</v>
      </c>
      <c r="P13" s="99">
        <v>8</v>
      </c>
      <c r="Q13" s="10">
        <v>8</v>
      </c>
      <c r="R13" s="99">
        <v>8</v>
      </c>
      <c r="S13" s="95">
        <v>375</v>
      </c>
      <c r="T13" s="95">
        <f t="shared" si="2"/>
        <v>346</v>
      </c>
      <c r="U13" s="100">
        <f t="shared" si="1"/>
        <v>0.92266666666666663</v>
      </c>
      <c r="V13" s="63"/>
      <c r="W13" s="83"/>
    </row>
    <row r="14" spans="1:23" ht="42" customHeight="1" x14ac:dyDescent="0.35">
      <c r="A14" s="95">
        <v>8</v>
      </c>
      <c r="B14" s="97">
        <v>112</v>
      </c>
      <c r="C14" s="97" t="s">
        <v>837</v>
      </c>
      <c r="D14" s="97" t="s">
        <v>783</v>
      </c>
      <c r="E14" s="97" t="s">
        <v>784</v>
      </c>
      <c r="F14" s="97" t="s">
        <v>23</v>
      </c>
      <c r="G14" s="98">
        <v>42839</v>
      </c>
      <c r="H14" s="98">
        <v>45086</v>
      </c>
      <c r="I14" s="99">
        <v>10</v>
      </c>
      <c r="J14" s="99">
        <v>15</v>
      </c>
      <c r="K14" s="99">
        <v>42</v>
      </c>
      <c r="L14" s="99">
        <v>30</v>
      </c>
      <c r="M14" s="99">
        <v>36</v>
      </c>
      <c r="N14" s="99">
        <v>11</v>
      </c>
      <c r="O14" s="99" t="s">
        <v>711</v>
      </c>
      <c r="P14" s="99">
        <v>2</v>
      </c>
      <c r="Q14" s="10">
        <v>5</v>
      </c>
      <c r="R14" s="99">
        <v>5</v>
      </c>
      <c r="S14" s="95">
        <v>375</v>
      </c>
      <c r="T14" s="95">
        <f>I14+J14+K14+L14+M14+N14+P14+Q14+R14</f>
        <v>156</v>
      </c>
      <c r="U14" s="100">
        <f t="shared" si="1"/>
        <v>0.41599999999999998</v>
      </c>
      <c r="V14" s="63"/>
      <c r="W14" s="83"/>
    </row>
    <row r="15" spans="1:23" ht="35.1" customHeight="1" x14ac:dyDescent="0.35">
      <c r="A15" s="95">
        <v>9</v>
      </c>
      <c r="B15" s="97">
        <v>59</v>
      </c>
      <c r="C15" s="97" t="s">
        <v>837</v>
      </c>
      <c r="D15" s="97" t="s">
        <v>385</v>
      </c>
      <c r="E15" s="97" t="s">
        <v>30</v>
      </c>
      <c r="F15" s="97" t="s">
        <v>23</v>
      </c>
      <c r="G15" s="98">
        <v>43414</v>
      </c>
      <c r="H15" s="95" t="s">
        <v>747</v>
      </c>
      <c r="I15" s="99">
        <v>25</v>
      </c>
      <c r="J15" s="99">
        <v>28</v>
      </c>
      <c r="K15" s="99">
        <v>66</v>
      </c>
      <c r="L15" s="99">
        <v>69</v>
      </c>
      <c r="M15" s="99">
        <v>49</v>
      </c>
      <c r="N15" s="99">
        <v>17</v>
      </c>
      <c r="O15" s="99" t="s">
        <v>711</v>
      </c>
      <c r="P15" s="99">
        <v>8</v>
      </c>
      <c r="Q15" s="10">
        <v>8</v>
      </c>
      <c r="R15" s="99">
        <v>5</v>
      </c>
      <c r="S15" s="95">
        <v>375</v>
      </c>
      <c r="T15" s="95">
        <f>I15+J15+K15+L15+M15+N15+P15+Q15+R15</f>
        <v>275</v>
      </c>
      <c r="U15" s="100">
        <f t="shared" si="1"/>
        <v>0.73333333333333328</v>
      </c>
      <c r="V15" s="63"/>
      <c r="W15" s="83"/>
    </row>
    <row r="16" spans="1:23" ht="42" customHeight="1" x14ac:dyDescent="0.35">
      <c r="A16" s="95">
        <v>10</v>
      </c>
      <c r="B16" s="97">
        <v>83</v>
      </c>
      <c r="C16" s="97" t="s">
        <v>837</v>
      </c>
      <c r="D16" s="97" t="s">
        <v>761</v>
      </c>
      <c r="E16" s="97" t="s">
        <v>762</v>
      </c>
      <c r="F16" s="97" t="s">
        <v>23</v>
      </c>
      <c r="G16" s="98">
        <v>43469</v>
      </c>
      <c r="H16" s="98">
        <v>44965</v>
      </c>
      <c r="I16" s="99">
        <v>29</v>
      </c>
      <c r="J16" s="99">
        <v>29</v>
      </c>
      <c r="K16" s="99">
        <v>55</v>
      </c>
      <c r="L16" s="99">
        <v>57</v>
      </c>
      <c r="M16" s="99">
        <v>57</v>
      </c>
      <c r="N16" s="99">
        <v>20</v>
      </c>
      <c r="O16" s="99">
        <v>20</v>
      </c>
      <c r="P16" s="99">
        <v>9</v>
      </c>
      <c r="Q16" s="10">
        <v>9</v>
      </c>
      <c r="R16" s="99">
        <v>9</v>
      </c>
      <c r="S16" s="95">
        <v>375</v>
      </c>
      <c r="T16" s="95">
        <f>I16+J16+K16+L16+M16+N16+O16+P16+Q16+R16</f>
        <v>294</v>
      </c>
      <c r="U16" s="100">
        <f t="shared" si="1"/>
        <v>0.78400000000000003</v>
      </c>
      <c r="V16" s="63"/>
      <c r="W16" s="83"/>
    </row>
    <row r="17" spans="1:23" ht="35.1" customHeight="1" x14ac:dyDescent="0.35">
      <c r="A17" s="95">
        <v>11</v>
      </c>
      <c r="B17" s="97">
        <v>89</v>
      </c>
      <c r="C17" s="97" t="s">
        <v>837</v>
      </c>
      <c r="D17" s="97" t="s">
        <v>764</v>
      </c>
      <c r="E17" s="97" t="s">
        <v>551</v>
      </c>
      <c r="F17" s="97" t="s">
        <v>23</v>
      </c>
      <c r="G17" s="98">
        <v>43682</v>
      </c>
      <c r="H17" s="98">
        <v>44965</v>
      </c>
      <c r="I17" s="99">
        <v>23</v>
      </c>
      <c r="J17" s="99">
        <v>26</v>
      </c>
      <c r="K17" s="99">
        <v>64</v>
      </c>
      <c r="L17" s="99">
        <v>74</v>
      </c>
      <c r="M17" s="99">
        <v>69</v>
      </c>
      <c r="N17" s="99">
        <v>26</v>
      </c>
      <c r="O17" s="99">
        <v>29</v>
      </c>
      <c r="P17" s="99">
        <v>9</v>
      </c>
      <c r="Q17" s="10">
        <v>8</v>
      </c>
      <c r="R17" s="99">
        <v>9</v>
      </c>
      <c r="S17" s="95">
        <v>375</v>
      </c>
      <c r="T17" s="95">
        <f t="shared" si="2"/>
        <v>337</v>
      </c>
      <c r="U17" s="100">
        <f t="shared" si="1"/>
        <v>0.89866666666666661</v>
      </c>
      <c r="V17" s="63"/>
      <c r="W17" s="83"/>
    </row>
    <row r="18" spans="1:23" ht="35.1" customHeight="1" x14ac:dyDescent="0.35">
      <c r="A18" s="95">
        <v>12</v>
      </c>
      <c r="B18" s="97">
        <v>86</v>
      </c>
      <c r="C18" s="97" t="s">
        <v>837</v>
      </c>
      <c r="D18" s="97" t="s">
        <v>556</v>
      </c>
      <c r="E18" s="97" t="s">
        <v>82</v>
      </c>
      <c r="F18" s="97" t="s">
        <v>23</v>
      </c>
      <c r="G18" s="98">
        <v>43691</v>
      </c>
      <c r="H18" s="98">
        <v>44965</v>
      </c>
      <c r="I18" s="99">
        <v>20</v>
      </c>
      <c r="J18" s="99">
        <v>15</v>
      </c>
      <c r="K18" s="99">
        <v>37</v>
      </c>
      <c r="L18" s="99">
        <v>11</v>
      </c>
      <c r="M18" s="99">
        <v>38</v>
      </c>
      <c r="N18" s="99">
        <v>10</v>
      </c>
      <c r="O18" s="99">
        <v>15</v>
      </c>
      <c r="P18" s="99">
        <v>5</v>
      </c>
      <c r="Q18" s="10">
        <v>5</v>
      </c>
      <c r="R18" s="99">
        <v>8</v>
      </c>
      <c r="S18" s="95">
        <v>375</v>
      </c>
      <c r="T18" s="95">
        <f t="shared" si="2"/>
        <v>164</v>
      </c>
      <c r="U18" s="100">
        <f t="shared" si="1"/>
        <v>0.43733333333333335</v>
      </c>
      <c r="V18" s="63"/>
      <c r="W18" s="83"/>
    </row>
    <row r="19" spans="1:23" ht="42" customHeight="1" x14ac:dyDescent="0.35">
      <c r="A19" s="95">
        <v>13</v>
      </c>
      <c r="B19" s="97">
        <v>105</v>
      </c>
      <c r="C19" s="97" t="s">
        <v>837</v>
      </c>
      <c r="D19" s="97" t="s">
        <v>770</v>
      </c>
      <c r="E19" s="97" t="s">
        <v>771</v>
      </c>
      <c r="F19" s="97" t="s">
        <v>23</v>
      </c>
      <c r="G19" s="98">
        <v>43790</v>
      </c>
      <c r="H19" s="95" t="s">
        <v>772</v>
      </c>
      <c r="I19" s="99">
        <v>25</v>
      </c>
      <c r="J19" s="99">
        <v>28</v>
      </c>
      <c r="K19" s="99">
        <v>53</v>
      </c>
      <c r="L19" s="99">
        <v>72</v>
      </c>
      <c r="M19" s="99">
        <v>42</v>
      </c>
      <c r="N19" s="99">
        <v>17</v>
      </c>
      <c r="O19" s="99">
        <v>25</v>
      </c>
      <c r="P19" s="99">
        <v>9</v>
      </c>
      <c r="Q19" s="10">
        <v>9</v>
      </c>
      <c r="R19" s="99">
        <v>9</v>
      </c>
      <c r="S19" s="95">
        <v>375</v>
      </c>
      <c r="T19" s="95">
        <f t="shared" si="2"/>
        <v>289</v>
      </c>
      <c r="U19" s="100">
        <f t="shared" si="1"/>
        <v>0.77066666666666672</v>
      </c>
      <c r="V19" s="63"/>
      <c r="W19" s="83"/>
    </row>
    <row r="20" spans="1:23" ht="42" customHeight="1" x14ac:dyDescent="0.35">
      <c r="A20" s="95">
        <v>14</v>
      </c>
      <c r="B20" s="97">
        <v>107</v>
      </c>
      <c r="C20" s="97" t="s">
        <v>837</v>
      </c>
      <c r="D20" s="97" t="s">
        <v>774</v>
      </c>
      <c r="E20" s="97" t="s">
        <v>775</v>
      </c>
      <c r="F20" s="97" t="s">
        <v>23</v>
      </c>
      <c r="G20" s="98">
        <v>43180</v>
      </c>
      <c r="H20" s="95" t="s">
        <v>776</v>
      </c>
      <c r="I20" s="99">
        <v>20</v>
      </c>
      <c r="J20" s="99">
        <v>22</v>
      </c>
      <c r="K20" s="99">
        <v>65</v>
      </c>
      <c r="L20" s="99">
        <v>63</v>
      </c>
      <c r="M20" s="99">
        <v>58</v>
      </c>
      <c r="N20" s="99">
        <v>17</v>
      </c>
      <c r="O20" s="99">
        <v>25</v>
      </c>
      <c r="P20" s="99">
        <v>5</v>
      </c>
      <c r="Q20" s="10">
        <v>8</v>
      </c>
      <c r="R20" s="99">
        <v>9</v>
      </c>
      <c r="S20" s="95">
        <v>375</v>
      </c>
      <c r="T20" s="95">
        <f t="shared" si="2"/>
        <v>292</v>
      </c>
      <c r="U20" s="100">
        <f t="shared" si="1"/>
        <v>0.77866666666666662</v>
      </c>
      <c r="V20" s="63"/>
      <c r="W20" s="83"/>
    </row>
    <row r="21" spans="1:23" ht="42" customHeight="1" x14ac:dyDescent="0.35">
      <c r="A21" s="95">
        <v>15</v>
      </c>
      <c r="B21" s="97">
        <v>84</v>
      </c>
      <c r="C21" s="97" t="s">
        <v>837</v>
      </c>
      <c r="D21" s="97" t="s">
        <v>558</v>
      </c>
      <c r="E21" s="97" t="s">
        <v>559</v>
      </c>
      <c r="F21" s="97" t="s">
        <v>23</v>
      </c>
      <c r="G21" s="98">
        <v>43647</v>
      </c>
      <c r="H21" s="98">
        <v>44965</v>
      </c>
      <c r="I21" s="99">
        <v>23</v>
      </c>
      <c r="J21" s="99">
        <v>25</v>
      </c>
      <c r="K21" s="99">
        <v>66</v>
      </c>
      <c r="L21" s="99">
        <v>73</v>
      </c>
      <c r="M21" s="99">
        <v>70</v>
      </c>
      <c r="N21" s="99">
        <v>20</v>
      </c>
      <c r="O21" s="99">
        <v>22</v>
      </c>
      <c r="P21" s="99">
        <v>9</v>
      </c>
      <c r="Q21" s="10">
        <v>8</v>
      </c>
      <c r="R21" s="99">
        <v>9</v>
      </c>
      <c r="S21" s="95">
        <v>375</v>
      </c>
      <c r="T21" s="95">
        <f t="shared" si="2"/>
        <v>325</v>
      </c>
      <c r="U21" s="100">
        <f t="shared" si="1"/>
        <v>0.8666666666666667</v>
      </c>
      <c r="V21" s="63"/>
      <c r="W21" s="83"/>
    </row>
    <row r="22" spans="1:23" ht="42" customHeight="1" x14ac:dyDescent="0.35">
      <c r="A22" s="95">
        <v>16</v>
      </c>
      <c r="B22" s="97">
        <v>85</v>
      </c>
      <c r="C22" s="97" t="s">
        <v>837</v>
      </c>
      <c r="D22" s="97" t="s">
        <v>763</v>
      </c>
      <c r="E22" s="97" t="s">
        <v>560</v>
      </c>
      <c r="F22" s="97" t="s">
        <v>23</v>
      </c>
      <c r="G22" s="98">
        <v>43183</v>
      </c>
      <c r="H22" s="98">
        <v>44965</v>
      </c>
      <c r="I22" s="99">
        <v>24</v>
      </c>
      <c r="J22" s="99">
        <v>25</v>
      </c>
      <c r="K22" s="99">
        <v>72</v>
      </c>
      <c r="L22" s="99">
        <v>73</v>
      </c>
      <c r="M22" s="99">
        <v>73</v>
      </c>
      <c r="N22" s="10">
        <v>23</v>
      </c>
      <c r="O22" s="99">
        <v>26</v>
      </c>
      <c r="P22" s="95">
        <v>9</v>
      </c>
      <c r="Q22" s="95">
        <v>5</v>
      </c>
      <c r="R22" s="95">
        <v>9</v>
      </c>
      <c r="S22" s="95">
        <v>375</v>
      </c>
      <c r="T22" s="95">
        <f t="shared" si="2"/>
        <v>339</v>
      </c>
      <c r="U22" s="100">
        <f t="shared" si="1"/>
        <v>0.90400000000000003</v>
      </c>
      <c r="V22" s="63"/>
      <c r="W22" s="61"/>
    </row>
    <row r="23" spans="1:23" ht="42" customHeight="1" x14ac:dyDescent="0.35">
      <c r="A23" s="95">
        <v>17</v>
      </c>
      <c r="B23" s="97">
        <v>102</v>
      </c>
      <c r="C23" s="97" t="s">
        <v>837</v>
      </c>
      <c r="D23" s="97" t="s">
        <v>567</v>
      </c>
      <c r="E23" s="97" t="s">
        <v>568</v>
      </c>
      <c r="F23" s="97" t="s">
        <v>23</v>
      </c>
      <c r="G23" s="98">
        <v>43302</v>
      </c>
      <c r="H23" s="98">
        <v>45115</v>
      </c>
      <c r="I23" s="99">
        <v>20</v>
      </c>
      <c r="J23" s="99">
        <v>20</v>
      </c>
      <c r="K23" s="99">
        <v>47</v>
      </c>
      <c r="L23" s="99">
        <v>56</v>
      </c>
      <c r="M23" s="99">
        <v>40</v>
      </c>
      <c r="N23" s="99">
        <v>21</v>
      </c>
      <c r="O23" s="99">
        <v>20</v>
      </c>
      <c r="P23" s="99">
        <v>5</v>
      </c>
      <c r="Q23" s="10">
        <v>8</v>
      </c>
      <c r="R23" s="99">
        <v>5</v>
      </c>
      <c r="S23" s="95">
        <v>375</v>
      </c>
      <c r="T23" s="95">
        <f t="shared" si="2"/>
        <v>242</v>
      </c>
      <c r="U23" s="100">
        <f t="shared" si="1"/>
        <v>0.64533333333333331</v>
      </c>
      <c r="V23" s="63"/>
      <c r="W23" s="83"/>
    </row>
    <row r="24" spans="1:23" ht="42" customHeight="1" x14ac:dyDescent="0.35">
      <c r="A24" s="95">
        <v>18</v>
      </c>
      <c r="B24" s="97">
        <v>87</v>
      </c>
      <c r="C24" s="97" t="s">
        <v>837</v>
      </c>
      <c r="D24" s="97" t="s">
        <v>570</v>
      </c>
      <c r="E24" s="97" t="s">
        <v>571</v>
      </c>
      <c r="F24" s="97" t="s">
        <v>23</v>
      </c>
      <c r="G24" s="98">
        <v>43562</v>
      </c>
      <c r="H24" s="98">
        <v>44965</v>
      </c>
      <c r="I24" s="99">
        <v>29</v>
      </c>
      <c r="J24" s="99">
        <v>29</v>
      </c>
      <c r="K24" s="99">
        <v>72</v>
      </c>
      <c r="L24" s="99">
        <v>74</v>
      </c>
      <c r="M24" s="99">
        <v>73</v>
      </c>
      <c r="N24" s="99">
        <v>29</v>
      </c>
      <c r="O24" s="99">
        <v>29</v>
      </c>
      <c r="P24" s="99">
        <v>9</v>
      </c>
      <c r="Q24" s="10">
        <v>8</v>
      </c>
      <c r="R24" s="99">
        <v>9</v>
      </c>
      <c r="S24" s="95">
        <v>375</v>
      </c>
      <c r="T24" s="95">
        <f t="shared" si="2"/>
        <v>361</v>
      </c>
      <c r="U24" s="100">
        <f t="shared" si="1"/>
        <v>0.96266666666666667</v>
      </c>
      <c r="V24" s="63"/>
      <c r="W24" s="83"/>
    </row>
    <row r="25" spans="1:23" ht="42" customHeight="1" x14ac:dyDescent="0.35">
      <c r="A25" s="95">
        <v>19</v>
      </c>
      <c r="B25" s="97">
        <v>71</v>
      </c>
      <c r="C25" s="97" t="s">
        <v>837</v>
      </c>
      <c r="D25" s="97" t="s">
        <v>752</v>
      </c>
      <c r="E25" s="97" t="s">
        <v>753</v>
      </c>
      <c r="F25" s="97" t="s">
        <v>23</v>
      </c>
      <c r="G25" s="98">
        <v>43452</v>
      </c>
      <c r="H25" s="98">
        <v>44934</v>
      </c>
      <c r="I25" s="99">
        <v>20</v>
      </c>
      <c r="J25" s="99">
        <v>25</v>
      </c>
      <c r="K25" s="99">
        <v>57</v>
      </c>
      <c r="L25" s="99">
        <v>54</v>
      </c>
      <c r="M25" s="99">
        <v>60</v>
      </c>
      <c r="N25" s="99">
        <v>27</v>
      </c>
      <c r="O25" s="99">
        <v>22</v>
      </c>
      <c r="P25" s="99">
        <v>9</v>
      </c>
      <c r="Q25" s="10">
        <v>7</v>
      </c>
      <c r="R25" s="99">
        <v>9</v>
      </c>
      <c r="S25" s="95">
        <v>375</v>
      </c>
      <c r="T25" s="95">
        <f t="shared" si="2"/>
        <v>290</v>
      </c>
      <c r="U25" s="100">
        <f t="shared" si="1"/>
        <v>0.77333333333333332</v>
      </c>
      <c r="V25" s="63"/>
      <c r="W25" s="83"/>
    </row>
    <row r="26" spans="1:23" ht="35.1" customHeight="1" x14ac:dyDescent="0.35">
      <c r="A26" s="95">
        <v>20</v>
      </c>
      <c r="B26" s="97">
        <v>81</v>
      </c>
      <c r="C26" s="97" t="s">
        <v>837</v>
      </c>
      <c r="D26" s="97" t="s">
        <v>759</v>
      </c>
      <c r="E26" s="97" t="s">
        <v>760</v>
      </c>
      <c r="F26" s="97" t="s">
        <v>23</v>
      </c>
      <c r="G26" s="98">
        <v>43373</v>
      </c>
      <c r="H26" s="98">
        <v>44934</v>
      </c>
      <c r="I26" s="99">
        <v>26</v>
      </c>
      <c r="J26" s="99">
        <v>23</v>
      </c>
      <c r="K26" s="99">
        <v>54</v>
      </c>
      <c r="L26" s="99">
        <v>56</v>
      </c>
      <c r="M26" s="99">
        <v>43</v>
      </c>
      <c r="N26" s="99">
        <v>22</v>
      </c>
      <c r="O26" s="99">
        <v>25</v>
      </c>
      <c r="P26" s="99">
        <v>5</v>
      </c>
      <c r="Q26" s="10">
        <v>5</v>
      </c>
      <c r="R26" s="99">
        <v>5</v>
      </c>
      <c r="S26" s="95">
        <v>375</v>
      </c>
      <c r="T26" s="95">
        <f t="shared" si="2"/>
        <v>264</v>
      </c>
      <c r="U26" s="100">
        <f t="shared" si="1"/>
        <v>0.70399999999999996</v>
      </c>
      <c r="V26" s="63"/>
      <c r="W26" s="83"/>
    </row>
    <row r="27" spans="1:23" ht="42" customHeight="1" x14ac:dyDescent="0.35">
      <c r="A27" s="95">
        <v>21</v>
      </c>
      <c r="B27" s="97">
        <v>82</v>
      </c>
      <c r="C27" s="97" t="s">
        <v>837</v>
      </c>
      <c r="D27" s="97" t="s">
        <v>575</v>
      </c>
      <c r="E27" s="97" t="s">
        <v>576</v>
      </c>
      <c r="F27" s="97" t="s">
        <v>23</v>
      </c>
      <c r="G27" s="98">
        <v>43412</v>
      </c>
      <c r="H27" s="98">
        <v>44965</v>
      </c>
      <c r="I27" s="99">
        <v>25</v>
      </c>
      <c r="J27" s="99">
        <v>28</v>
      </c>
      <c r="K27" s="99">
        <v>42</v>
      </c>
      <c r="L27" s="99">
        <v>65</v>
      </c>
      <c r="M27" s="99">
        <v>40</v>
      </c>
      <c r="N27" s="99">
        <v>17</v>
      </c>
      <c r="O27" s="99">
        <v>20</v>
      </c>
      <c r="P27" s="99">
        <v>9</v>
      </c>
      <c r="Q27" s="10">
        <v>9</v>
      </c>
      <c r="R27" s="99">
        <v>5</v>
      </c>
      <c r="S27" s="95">
        <v>375</v>
      </c>
      <c r="T27" s="95">
        <f t="shared" si="2"/>
        <v>260</v>
      </c>
      <c r="U27" s="100">
        <f t="shared" si="1"/>
        <v>0.69333333333333336</v>
      </c>
      <c r="V27" s="63"/>
      <c r="W27" s="83"/>
    </row>
    <row r="28" spans="1:23" ht="42" customHeight="1" x14ac:dyDescent="0.35">
      <c r="A28" s="95">
        <v>22</v>
      </c>
      <c r="B28" s="97">
        <v>68</v>
      </c>
      <c r="C28" s="97" t="s">
        <v>837</v>
      </c>
      <c r="D28" s="97" t="s">
        <v>119</v>
      </c>
      <c r="E28" s="97" t="s">
        <v>574</v>
      </c>
      <c r="F28" s="97" t="s">
        <v>23</v>
      </c>
      <c r="G28" s="98">
        <v>43447</v>
      </c>
      <c r="H28" s="98">
        <v>44934</v>
      </c>
      <c r="I28" s="99">
        <v>29</v>
      </c>
      <c r="J28" s="99">
        <v>29</v>
      </c>
      <c r="K28" s="99">
        <v>63</v>
      </c>
      <c r="L28" s="99">
        <v>70</v>
      </c>
      <c r="M28" s="99">
        <v>60</v>
      </c>
      <c r="N28" s="99">
        <v>22</v>
      </c>
      <c r="O28" s="99" t="s">
        <v>711</v>
      </c>
      <c r="P28" s="99">
        <v>8</v>
      </c>
      <c r="Q28" s="10">
        <v>8</v>
      </c>
      <c r="R28" s="99">
        <v>8</v>
      </c>
      <c r="S28" s="95">
        <v>375</v>
      </c>
      <c r="T28" s="95">
        <f>I28+J28+K28+L28+M28+N28+P28+Q28+R28</f>
        <v>297</v>
      </c>
      <c r="U28" s="100">
        <f t="shared" si="1"/>
        <v>0.79200000000000004</v>
      </c>
      <c r="V28" s="63"/>
      <c r="W28" s="83"/>
    </row>
    <row r="29" spans="1:23" ht="42" customHeight="1" x14ac:dyDescent="0.35">
      <c r="A29" s="95">
        <v>23</v>
      </c>
      <c r="B29" s="97">
        <v>69</v>
      </c>
      <c r="C29" s="97" t="s">
        <v>837</v>
      </c>
      <c r="D29" s="97" t="s">
        <v>573</v>
      </c>
      <c r="E29" s="97" t="s">
        <v>751</v>
      </c>
      <c r="F29" s="97" t="s">
        <v>23</v>
      </c>
      <c r="G29" s="98">
        <v>43143</v>
      </c>
      <c r="H29" s="98">
        <v>44934</v>
      </c>
      <c r="I29" s="99">
        <v>28</v>
      </c>
      <c r="J29" s="99">
        <v>25</v>
      </c>
      <c r="K29" s="99">
        <v>60</v>
      </c>
      <c r="L29" s="99">
        <v>70</v>
      </c>
      <c r="M29" s="99">
        <v>53</v>
      </c>
      <c r="N29" s="99">
        <v>17</v>
      </c>
      <c r="O29" s="99">
        <v>15</v>
      </c>
      <c r="P29" s="99">
        <v>6</v>
      </c>
      <c r="Q29" s="10">
        <v>8</v>
      </c>
      <c r="R29" s="99">
        <v>6</v>
      </c>
      <c r="S29" s="95">
        <v>375</v>
      </c>
      <c r="T29" s="95">
        <f t="shared" si="2"/>
        <v>288</v>
      </c>
      <c r="U29" s="100">
        <f t="shared" si="1"/>
        <v>0.76800000000000002</v>
      </c>
      <c r="V29" s="63"/>
      <c r="W29" s="83"/>
    </row>
    <row r="30" spans="1:23" ht="42" customHeight="1" x14ac:dyDescent="0.35">
      <c r="A30" s="95">
        <v>24</v>
      </c>
      <c r="B30" s="97">
        <v>70</v>
      </c>
      <c r="C30" s="97" t="s">
        <v>837</v>
      </c>
      <c r="D30" s="97" t="s">
        <v>557</v>
      </c>
      <c r="E30" s="97" t="s">
        <v>62</v>
      </c>
      <c r="F30" s="97" t="s">
        <v>23</v>
      </c>
      <c r="G30" s="98">
        <v>43498</v>
      </c>
      <c r="H30" s="98">
        <v>44934</v>
      </c>
      <c r="I30" s="99">
        <v>20</v>
      </c>
      <c r="J30" s="99">
        <v>20</v>
      </c>
      <c r="K30" s="99">
        <v>53</v>
      </c>
      <c r="L30" s="99">
        <v>64</v>
      </c>
      <c r="M30" s="99">
        <v>32</v>
      </c>
      <c r="N30" s="99">
        <v>20</v>
      </c>
      <c r="O30" s="99">
        <v>29</v>
      </c>
      <c r="P30" s="99">
        <v>9</v>
      </c>
      <c r="Q30" s="10">
        <v>5</v>
      </c>
      <c r="R30" s="99">
        <v>9</v>
      </c>
      <c r="S30" s="95">
        <v>375</v>
      </c>
      <c r="T30" s="95">
        <f t="shared" si="2"/>
        <v>261</v>
      </c>
      <c r="U30" s="100">
        <f t="shared" si="1"/>
        <v>0.69599999999999995</v>
      </c>
      <c r="V30" s="63"/>
      <c r="W30" s="83"/>
    </row>
    <row r="31" spans="1:23" ht="42" customHeight="1" x14ac:dyDescent="0.35">
      <c r="A31" s="95">
        <v>25</v>
      </c>
      <c r="B31" s="97">
        <v>103</v>
      </c>
      <c r="C31" s="97" t="s">
        <v>837</v>
      </c>
      <c r="D31" s="97" t="s">
        <v>577</v>
      </c>
      <c r="E31" s="97" t="s">
        <v>34</v>
      </c>
      <c r="F31" s="97" t="s">
        <v>23</v>
      </c>
      <c r="G31" s="98">
        <v>43086</v>
      </c>
      <c r="H31" s="98">
        <v>45115</v>
      </c>
      <c r="I31" s="99">
        <v>29</v>
      </c>
      <c r="J31" s="99">
        <v>29</v>
      </c>
      <c r="K31" s="99">
        <v>69</v>
      </c>
      <c r="L31" s="99">
        <v>68</v>
      </c>
      <c r="M31" s="99">
        <v>45</v>
      </c>
      <c r="N31" s="99">
        <v>25</v>
      </c>
      <c r="O31" s="99">
        <v>29</v>
      </c>
      <c r="P31" s="99">
        <v>4</v>
      </c>
      <c r="Q31" s="10">
        <v>9</v>
      </c>
      <c r="R31" s="99">
        <v>5</v>
      </c>
      <c r="S31" s="95">
        <v>375</v>
      </c>
      <c r="T31" s="95">
        <f t="shared" si="2"/>
        <v>312</v>
      </c>
      <c r="U31" s="100">
        <f t="shared" si="1"/>
        <v>0.83199999999999996</v>
      </c>
      <c r="V31" s="63"/>
      <c r="W31" s="83"/>
    </row>
    <row r="32" spans="1:23" ht="42" customHeight="1" x14ac:dyDescent="0.25">
      <c r="A32" s="154" t="s">
        <v>683</v>
      </c>
      <c r="B32" s="155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6"/>
    </row>
    <row r="33" spans="1:23" ht="42" customHeight="1" x14ac:dyDescent="0.35">
      <c r="A33" s="95">
        <v>26</v>
      </c>
      <c r="B33" s="97">
        <v>76</v>
      </c>
      <c r="C33" s="97" t="s">
        <v>837</v>
      </c>
      <c r="D33" s="97" t="s">
        <v>756</v>
      </c>
      <c r="E33" s="97" t="s">
        <v>757</v>
      </c>
      <c r="F33" s="97" t="s">
        <v>24</v>
      </c>
      <c r="G33" s="98">
        <v>43367</v>
      </c>
      <c r="H33" s="98">
        <v>44934</v>
      </c>
      <c r="I33" s="99">
        <v>25</v>
      </c>
      <c r="J33" s="99">
        <v>25</v>
      </c>
      <c r="K33" s="99">
        <v>66</v>
      </c>
      <c r="L33" s="99">
        <v>49</v>
      </c>
      <c r="M33" s="99">
        <v>59</v>
      </c>
      <c r="N33" s="99">
        <v>16</v>
      </c>
      <c r="O33" s="99">
        <v>22</v>
      </c>
      <c r="P33" s="99">
        <v>8</v>
      </c>
      <c r="Q33" s="10">
        <v>8</v>
      </c>
      <c r="R33" s="99">
        <v>5</v>
      </c>
      <c r="S33" s="95">
        <v>375</v>
      </c>
      <c r="T33" s="95">
        <f t="shared" si="2"/>
        <v>283</v>
      </c>
      <c r="U33" s="100">
        <f t="shared" si="1"/>
        <v>0.75466666666666671</v>
      </c>
      <c r="V33" s="63"/>
      <c r="W33" s="83"/>
    </row>
    <row r="34" spans="1:23" ht="42" customHeight="1" x14ac:dyDescent="0.35">
      <c r="A34" s="95">
        <v>27</v>
      </c>
      <c r="B34" s="97">
        <v>95</v>
      </c>
      <c r="C34" s="97" t="s">
        <v>837</v>
      </c>
      <c r="D34" s="97" t="s">
        <v>15</v>
      </c>
      <c r="E34" s="97" t="s">
        <v>544</v>
      </c>
      <c r="F34" s="97" t="s">
        <v>24</v>
      </c>
      <c r="G34" s="98">
        <v>43559</v>
      </c>
      <c r="H34" s="98">
        <v>45054</v>
      </c>
      <c r="I34" s="99">
        <v>20</v>
      </c>
      <c r="J34" s="99">
        <v>22</v>
      </c>
      <c r="K34" s="99">
        <v>50</v>
      </c>
      <c r="L34" s="99">
        <v>57</v>
      </c>
      <c r="M34" s="99">
        <v>35</v>
      </c>
      <c r="N34" s="99">
        <v>18</v>
      </c>
      <c r="O34" s="99">
        <v>25</v>
      </c>
      <c r="P34" s="99">
        <v>5</v>
      </c>
      <c r="Q34" s="10">
        <v>8</v>
      </c>
      <c r="R34" s="99">
        <v>6</v>
      </c>
      <c r="S34" s="95">
        <v>375</v>
      </c>
      <c r="T34" s="95">
        <f t="shared" si="2"/>
        <v>246</v>
      </c>
      <c r="U34" s="100">
        <f t="shared" si="1"/>
        <v>0.65600000000000003</v>
      </c>
      <c r="V34" s="63"/>
      <c r="W34" s="83"/>
    </row>
    <row r="35" spans="1:23" ht="42" customHeight="1" x14ac:dyDescent="0.35">
      <c r="A35" s="95">
        <v>28</v>
      </c>
      <c r="B35" s="97">
        <v>61</v>
      </c>
      <c r="C35" s="97" t="s">
        <v>837</v>
      </c>
      <c r="D35" s="97" t="s">
        <v>748</v>
      </c>
      <c r="E35" s="97" t="s">
        <v>540</v>
      </c>
      <c r="F35" s="97" t="s">
        <v>24</v>
      </c>
      <c r="G35" s="98">
        <v>44251</v>
      </c>
      <c r="H35" s="98">
        <v>44573</v>
      </c>
      <c r="I35" s="99">
        <v>20</v>
      </c>
      <c r="J35" s="99">
        <v>25</v>
      </c>
      <c r="K35" s="99">
        <v>55</v>
      </c>
      <c r="L35" s="99">
        <v>45</v>
      </c>
      <c r="M35" s="99">
        <v>57</v>
      </c>
      <c r="N35" s="99">
        <v>20</v>
      </c>
      <c r="O35" s="99">
        <v>22</v>
      </c>
      <c r="P35" s="99">
        <v>8</v>
      </c>
      <c r="Q35" s="10">
        <v>9</v>
      </c>
      <c r="R35" s="99">
        <v>8</v>
      </c>
      <c r="S35" s="95">
        <v>375</v>
      </c>
      <c r="T35" s="95">
        <f t="shared" si="2"/>
        <v>269</v>
      </c>
      <c r="U35" s="100">
        <f t="shared" si="1"/>
        <v>0.71733333333333338</v>
      </c>
      <c r="V35" s="63"/>
      <c r="W35" s="83"/>
    </row>
    <row r="36" spans="1:23" ht="42" customHeight="1" x14ac:dyDescent="0.35">
      <c r="A36" s="95">
        <v>29</v>
      </c>
      <c r="B36" s="97">
        <v>78</v>
      </c>
      <c r="C36" s="97" t="s">
        <v>837</v>
      </c>
      <c r="D36" s="97" t="s">
        <v>542</v>
      </c>
      <c r="E36" s="97" t="s">
        <v>437</v>
      </c>
      <c r="F36" s="97" t="s">
        <v>24</v>
      </c>
      <c r="G36" s="98">
        <v>43374</v>
      </c>
      <c r="H36" s="98">
        <v>44934</v>
      </c>
      <c r="I36" s="99">
        <v>20</v>
      </c>
      <c r="J36" s="99">
        <v>20</v>
      </c>
      <c r="K36" s="99">
        <v>35</v>
      </c>
      <c r="L36" s="99">
        <v>54</v>
      </c>
      <c r="M36" s="99">
        <v>43</v>
      </c>
      <c r="N36" s="99">
        <v>10</v>
      </c>
      <c r="O36" s="99">
        <v>23</v>
      </c>
      <c r="P36" s="99">
        <v>5</v>
      </c>
      <c r="Q36" s="10">
        <v>5</v>
      </c>
      <c r="R36" s="99">
        <v>5</v>
      </c>
      <c r="S36" s="95">
        <v>375</v>
      </c>
      <c r="T36" s="95">
        <f t="shared" si="2"/>
        <v>220</v>
      </c>
      <c r="U36" s="100">
        <f t="shared" si="1"/>
        <v>0.58666666666666667</v>
      </c>
      <c r="V36" s="63"/>
      <c r="W36" s="83"/>
    </row>
    <row r="37" spans="1:23" ht="42" customHeight="1" x14ac:dyDescent="0.35">
      <c r="A37" s="95">
        <v>30</v>
      </c>
      <c r="B37" s="97">
        <v>92</v>
      </c>
      <c r="C37" s="97" t="s">
        <v>837</v>
      </c>
      <c r="D37" s="97" t="s">
        <v>766</v>
      </c>
      <c r="E37" s="97" t="s">
        <v>767</v>
      </c>
      <c r="F37" s="97" t="s">
        <v>24</v>
      </c>
      <c r="G37" s="98">
        <v>43946</v>
      </c>
      <c r="H37" s="98">
        <v>45054</v>
      </c>
      <c r="I37" s="99">
        <v>29</v>
      </c>
      <c r="J37" s="99">
        <v>29</v>
      </c>
      <c r="K37" s="99">
        <v>71</v>
      </c>
      <c r="L37" s="99">
        <v>71</v>
      </c>
      <c r="M37" s="99">
        <v>66</v>
      </c>
      <c r="N37" s="99">
        <v>18</v>
      </c>
      <c r="O37" s="99">
        <v>28</v>
      </c>
      <c r="P37" s="99">
        <v>5</v>
      </c>
      <c r="Q37" s="10">
        <v>5</v>
      </c>
      <c r="R37" s="99">
        <v>5</v>
      </c>
      <c r="S37" s="95">
        <v>375</v>
      </c>
      <c r="T37" s="95">
        <f t="shared" si="2"/>
        <v>327</v>
      </c>
      <c r="U37" s="100">
        <f t="shared" si="1"/>
        <v>0.872</v>
      </c>
      <c r="V37" s="63"/>
      <c r="W37" s="83"/>
    </row>
    <row r="38" spans="1:23" ht="42" customHeight="1" x14ac:dyDescent="0.35">
      <c r="A38" s="95">
        <v>31</v>
      </c>
      <c r="B38" s="97">
        <v>96</v>
      </c>
      <c r="C38" s="97" t="s">
        <v>837</v>
      </c>
      <c r="D38" s="97" t="s">
        <v>545</v>
      </c>
      <c r="E38" s="97" t="s">
        <v>546</v>
      </c>
      <c r="F38" s="97" t="s">
        <v>24</v>
      </c>
      <c r="G38" s="98">
        <v>43682</v>
      </c>
      <c r="H38" s="98">
        <v>45054</v>
      </c>
      <c r="I38" s="99">
        <v>25</v>
      </c>
      <c r="J38" s="99">
        <v>23</v>
      </c>
      <c r="K38" s="99">
        <v>58</v>
      </c>
      <c r="L38" s="99">
        <v>72</v>
      </c>
      <c r="M38" s="99">
        <v>51</v>
      </c>
      <c r="N38" s="99">
        <v>20</v>
      </c>
      <c r="O38" s="99">
        <v>26</v>
      </c>
      <c r="P38" s="99">
        <v>5</v>
      </c>
      <c r="Q38" s="10">
        <v>5</v>
      </c>
      <c r="R38" s="99">
        <v>8</v>
      </c>
      <c r="S38" s="95">
        <v>375</v>
      </c>
      <c r="T38" s="95">
        <f t="shared" si="2"/>
        <v>293</v>
      </c>
      <c r="U38" s="100">
        <f t="shared" si="1"/>
        <v>0.78133333333333332</v>
      </c>
      <c r="V38" s="63"/>
      <c r="W38" s="83"/>
    </row>
    <row r="39" spans="1:23" ht="42" customHeight="1" x14ac:dyDescent="0.35">
      <c r="A39" s="95">
        <v>32</v>
      </c>
      <c r="B39" s="97">
        <v>131</v>
      </c>
      <c r="C39" s="97" t="s">
        <v>837</v>
      </c>
      <c r="D39" s="97" t="s">
        <v>818</v>
      </c>
      <c r="E39" s="97" t="s">
        <v>804</v>
      </c>
      <c r="F39" s="97" t="s">
        <v>24</v>
      </c>
      <c r="G39" s="98">
        <v>43607</v>
      </c>
      <c r="H39" s="98">
        <v>44937</v>
      </c>
      <c r="I39" s="99">
        <v>20</v>
      </c>
      <c r="J39" s="99">
        <v>20</v>
      </c>
      <c r="K39" s="99">
        <v>45</v>
      </c>
      <c r="L39" s="99">
        <v>47</v>
      </c>
      <c r="M39" s="99">
        <v>52</v>
      </c>
      <c r="N39" s="99">
        <v>10</v>
      </c>
      <c r="O39" s="99" t="s">
        <v>711</v>
      </c>
      <c r="P39" s="99">
        <v>5</v>
      </c>
      <c r="Q39" s="10">
        <v>5</v>
      </c>
      <c r="R39" s="99">
        <v>8</v>
      </c>
      <c r="S39" s="95">
        <v>375</v>
      </c>
      <c r="T39" s="95">
        <f>I39+J39+K39+L39+M39+N39+P39+Q39+R39</f>
        <v>212</v>
      </c>
      <c r="U39" s="100">
        <f t="shared" si="1"/>
        <v>0.56533333333333335</v>
      </c>
      <c r="V39" s="63"/>
      <c r="W39" s="83"/>
    </row>
    <row r="40" spans="1:23" ht="42" customHeight="1" x14ac:dyDescent="0.35">
      <c r="A40" s="95">
        <v>33</v>
      </c>
      <c r="B40" s="97">
        <v>110</v>
      </c>
      <c r="C40" s="97" t="s">
        <v>837</v>
      </c>
      <c r="D40" s="97" t="s">
        <v>779</v>
      </c>
      <c r="E40" s="97" t="s">
        <v>780</v>
      </c>
      <c r="F40" s="97" t="s">
        <v>24</v>
      </c>
      <c r="G40" s="98">
        <v>43729</v>
      </c>
      <c r="H40" s="98">
        <v>45055</v>
      </c>
      <c r="I40" s="99">
        <v>28</v>
      </c>
      <c r="J40" s="99">
        <v>29</v>
      </c>
      <c r="K40" s="99">
        <v>53</v>
      </c>
      <c r="L40" s="99">
        <v>73</v>
      </c>
      <c r="M40" s="99">
        <v>68</v>
      </c>
      <c r="N40" s="99">
        <v>18</v>
      </c>
      <c r="O40" s="99">
        <v>25</v>
      </c>
      <c r="P40" s="99">
        <v>8</v>
      </c>
      <c r="Q40" s="10">
        <v>6</v>
      </c>
      <c r="R40" s="99">
        <v>8</v>
      </c>
      <c r="S40" s="95">
        <v>375</v>
      </c>
      <c r="T40" s="95">
        <f t="shared" si="2"/>
        <v>316</v>
      </c>
      <c r="U40" s="100">
        <f t="shared" si="1"/>
        <v>0.84266666666666667</v>
      </c>
      <c r="V40" s="63"/>
      <c r="W40" s="83"/>
    </row>
    <row r="41" spans="1:23" ht="42" customHeight="1" x14ac:dyDescent="0.35">
      <c r="A41" s="95">
        <v>34</v>
      </c>
      <c r="B41" s="97">
        <v>108</v>
      </c>
      <c r="C41" s="97" t="s">
        <v>837</v>
      </c>
      <c r="D41" s="97" t="s">
        <v>777</v>
      </c>
      <c r="E41" s="97" t="s">
        <v>564</v>
      </c>
      <c r="F41" s="97" t="s">
        <v>24</v>
      </c>
      <c r="G41" s="98">
        <v>43810</v>
      </c>
      <c r="H41" s="98">
        <v>45025</v>
      </c>
      <c r="I41" s="99">
        <v>20</v>
      </c>
      <c r="J41" s="99">
        <v>25</v>
      </c>
      <c r="K41" s="99">
        <v>60</v>
      </c>
      <c r="L41" s="99">
        <v>68</v>
      </c>
      <c r="M41" s="99">
        <v>68</v>
      </c>
      <c r="N41" s="99">
        <v>20</v>
      </c>
      <c r="O41" s="99">
        <v>28</v>
      </c>
      <c r="P41" s="99">
        <v>8</v>
      </c>
      <c r="Q41" s="10">
        <v>5</v>
      </c>
      <c r="R41" s="99">
        <v>8</v>
      </c>
      <c r="S41" s="95">
        <v>375</v>
      </c>
      <c r="T41" s="95">
        <f t="shared" si="2"/>
        <v>310</v>
      </c>
      <c r="U41" s="100">
        <f t="shared" si="1"/>
        <v>0.82666666666666666</v>
      </c>
      <c r="V41" s="63"/>
      <c r="W41" s="83"/>
    </row>
    <row r="42" spans="1:23" ht="42" customHeight="1" x14ac:dyDescent="0.35">
      <c r="A42" s="95">
        <v>35</v>
      </c>
      <c r="B42" s="97">
        <v>101</v>
      </c>
      <c r="C42" s="97" t="s">
        <v>837</v>
      </c>
      <c r="D42" s="97" t="s">
        <v>769</v>
      </c>
      <c r="E42" s="97" t="s">
        <v>735</v>
      </c>
      <c r="F42" s="97" t="s">
        <v>24</v>
      </c>
      <c r="G42" s="98">
        <v>43625</v>
      </c>
      <c r="H42" s="98">
        <v>45115</v>
      </c>
      <c r="I42" s="99">
        <v>28</v>
      </c>
      <c r="J42" s="99">
        <v>26</v>
      </c>
      <c r="K42" s="99">
        <v>73</v>
      </c>
      <c r="L42" s="99">
        <v>73</v>
      </c>
      <c r="M42" s="99">
        <v>45</v>
      </c>
      <c r="N42" s="99">
        <v>23</v>
      </c>
      <c r="O42" s="99">
        <v>22</v>
      </c>
      <c r="P42" s="99">
        <v>8</v>
      </c>
      <c r="Q42" s="10">
        <v>9</v>
      </c>
      <c r="R42" s="99">
        <v>8</v>
      </c>
      <c r="S42" s="95">
        <v>375</v>
      </c>
      <c r="T42" s="95">
        <f t="shared" si="2"/>
        <v>315</v>
      </c>
      <c r="U42" s="100">
        <f t="shared" si="1"/>
        <v>0.84</v>
      </c>
      <c r="V42" s="63"/>
      <c r="W42" s="83"/>
    </row>
    <row r="43" spans="1:23" ht="42" customHeight="1" x14ac:dyDescent="0.35">
      <c r="A43" s="95">
        <v>36</v>
      </c>
      <c r="B43" s="97">
        <v>16</v>
      </c>
      <c r="C43" s="97" t="s">
        <v>837</v>
      </c>
      <c r="D43" s="97" t="s">
        <v>541</v>
      </c>
      <c r="E43" s="97" t="s">
        <v>37</v>
      </c>
      <c r="F43" s="97" t="s">
        <v>24</v>
      </c>
      <c r="G43" s="98">
        <v>43326</v>
      </c>
      <c r="H43" s="98">
        <v>44569</v>
      </c>
      <c r="I43" s="99">
        <v>25</v>
      </c>
      <c r="J43" s="99">
        <v>26</v>
      </c>
      <c r="K43" s="99">
        <v>45</v>
      </c>
      <c r="L43" s="99">
        <v>64</v>
      </c>
      <c r="M43" s="99">
        <v>66</v>
      </c>
      <c r="N43" s="99">
        <v>25</v>
      </c>
      <c r="O43" s="99">
        <v>28</v>
      </c>
      <c r="P43" s="99">
        <v>8</v>
      </c>
      <c r="Q43" s="99">
        <v>9</v>
      </c>
      <c r="R43" s="10">
        <v>6</v>
      </c>
      <c r="S43" s="95">
        <v>375</v>
      </c>
      <c r="T43" s="95">
        <f t="shared" si="2"/>
        <v>302</v>
      </c>
      <c r="U43" s="100">
        <f t="shared" si="1"/>
        <v>0.80533333333333335</v>
      </c>
      <c r="V43" s="63"/>
      <c r="W43" s="83"/>
    </row>
    <row r="44" spans="1:23" ht="42" customHeight="1" x14ac:dyDescent="0.35">
      <c r="A44" s="95">
        <v>37</v>
      </c>
      <c r="B44" s="97">
        <v>79</v>
      </c>
      <c r="C44" s="97" t="s">
        <v>837</v>
      </c>
      <c r="D44" s="97" t="s">
        <v>41</v>
      </c>
      <c r="E44" s="97" t="s">
        <v>758</v>
      </c>
      <c r="F44" s="97" t="s">
        <v>24</v>
      </c>
      <c r="G44" s="98">
        <v>43239</v>
      </c>
      <c r="H44" s="98">
        <v>44934</v>
      </c>
      <c r="I44" s="99">
        <v>20</v>
      </c>
      <c r="J44" s="99">
        <v>23</v>
      </c>
      <c r="K44" s="99">
        <v>68</v>
      </c>
      <c r="L44" s="99">
        <v>70</v>
      </c>
      <c r="M44" s="99">
        <v>65</v>
      </c>
      <c r="N44" s="99">
        <v>26</v>
      </c>
      <c r="O44" s="99">
        <v>25</v>
      </c>
      <c r="P44" s="99">
        <v>8</v>
      </c>
      <c r="Q44" s="10">
        <v>8</v>
      </c>
      <c r="R44" s="99">
        <v>5</v>
      </c>
      <c r="S44" s="95">
        <v>375</v>
      </c>
      <c r="T44" s="95">
        <f t="shared" si="2"/>
        <v>318</v>
      </c>
      <c r="U44" s="100">
        <f t="shared" si="1"/>
        <v>0.84799999999999998</v>
      </c>
      <c r="V44" s="63"/>
      <c r="W44" s="83"/>
    </row>
    <row r="45" spans="1:23" ht="42" customHeight="1" x14ac:dyDescent="0.35">
      <c r="A45" s="95">
        <v>38</v>
      </c>
      <c r="B45" s="97">
        <v>98</v>
      </c>
      <c r="C45" s="97" t="s">
        <v>837</v>
      </c>
      <c r="D45" s="97" t="s">
        <v>768</v>
      </c>
      <c r="E45" s="97" t="s">
        <v>549</v>
      </c>
      <c r="F45" s="97" t="s">
        <v>24</v>
      </c>
      <c r="G45" s="98">
        <v>43478</v>
      </c>
      <c r="H45" s="98">
        <v>45054</v>
      </c>
      <c r="I45" s="99">
        <v>20</v>
      </c>
      <c r="J45" s="99">
        <v>20</v>
      </c>
      <c r="K45" s="99">
        <v>33</v>
      </c>
      <c r="L45" s="99">
        <v>20</v>
      </c>
      <c r="M45" s="99">
        <v>35</v>
      </c>
      <c r="N45" s="99">
        <v>15</v>
      </c>
      <c r="O45" s="99">
        <v>10</v>
      </c>
      <c r="P45" s="99">
        <v>5</v>
      </c>
      <c r="Q45" s="99">
        <v>5</v>
      </c>
      <c r="R45" s="10">
        <v>5</v>
      </c>
      <c r="S45" s="95">
        <v>375</v>
      </c>
      <c r="T45" s="95">
        <f t="shared" si="2"/>
        <v>168</v>
      </c>
      <c r="U45" s="100">
        <f t="shared" si="1"/>
        <v>0.44800000000000001</v>
      </c>
      <c r="V45" s="63"/>
      <c r="W45" s="83"/>
    </row>
    <row r="46" spans="1:23" ht="42" customHeight="1" x14ac:dyDescent="0.35">
      <c r="A46" s="95">
        <v>39</v>
      </c>
      <c r="B46" s="97">
        <v>100</v>
      </c>
      <c r="C46" s="97" t="s">
        <v>837</v>
      </c>
      <c r="D46" s="97" t="s">
        <v>550</v>
      </c>
      <c r="E46" s="97" t="s">
        <v>394</v>
      </c>
      <c r="F46" s="97" t="s">
        <v>24</v>
      </c>
      <c r="G46" s="98">
        <v>44029</v>
      </c>
      <c r="H46" s="98">
        <v>45115</v>
      </c>
      <c r="I46" s="99">
        <v>20</v>
      </c>
      <c r="J46" s="99">
        <v>15</v>
      </c>
      <c r="K46" s="99">
        <v>40</v>
      </c>
      <c r="L46" s="99">
        <v>30</v>
      </c>
      <c r="M46" s="99">
        <v>34</v>
      </c>
      <c r="N46" s="99">
        <v>12</v>
      </c>
      <c r="O46" s="99">
        <v>20</v>
      </c>
      <c r="P46" s="99">
        <v>5</v>
      </c>
      <c r="Q46" s="10">
        <v>8</v>
      </c>
      <c r="R46" s="99">
        <v>5</v>
      </c>
      <c r="S46" s="95">
        <v>375</v>
      </c>
      <c r="T46" s="95">
        <f t="shared" si="2"/>
        <v>189</v>
      </c>
      <c r="U46" s="100">
        <f t="shared" si="1"/>
        <v>0.504</v>
      </c>
      <c r="V46" s="63"/>
      <c r="W46" s="83"/>
    </row>
    <row r="47" spans="1:23" ht="42" customHeight="1" x14ac:dyDescent="0.35">
      <c r="A47" s="95">
        <v>40</v>
      </c>
      <c r="B47" s="95">
        <v>72</v>
      </c>
      <c r="C47" s="97" t="s">
        <v>837</v>
      </c>
      <c r="D47" s="97" t="s">
        <v>816</v>
      </c>
      <c r="E47" s="97" t="s">
        <v>554</v>
      </c>
      <c r="F47" s="97" t="s">
        <v>24</v>
      </c>
      <c r="G47" s="98">
        <v>43727</v>
      </c>
      <c r="H47" s="98">
        <v>44934</v>
      </c>
      <c r="I47" s="99">
        <v>20</v>
      </c>
      <c r="J47" s="99">
        <v>20</v>
      </c>
      <c r="K47" s="99">
        <v>36</v>
      </c>
      <c r="L47" s="99">
        <v>27</v>
      </c>
      <c r="M47" s="99">
        <v>49</v>
      </c>
      <c r="N47" s="99">
        <v>13</v>
      </c>
      <c r="O47" s="99">
        <v>23</v>
      </c>
      <c r="P47" s="99">
        <v>5</v>
      </c>
      <c r="Q47" s="10">
        <v>8</v>
      </c>
      <c r="R47" s="99">
        <v>8</v>
      </c>
      <c r="S47" s="95">
        <v>375</v>
      </c>
      <c r="T47" s="95">
        <f t="shared" si="2"/>
        <v>209</v>
      </c>
      <c r="U47" s="100">
        <f t="shared" si="1"/>
        <v>0.55733333333333335</v>
      </c>
      <c r="V47" s="63"/>
      <c r="W47" s="83"/>
    </row>
    <row r="48" spans="1:23" ht="35.1" customHeight="1" x14ac:dyDescent="0.35">
      <c r="A48" s="95">
        <v>41</v>
      </c>
      <c r="B48" s="97">
        <v>90</v>
      </c>
      <c r="C48" s="97" t="s">
        <v>837</v>
      </c>
      <c r="D48" s="97" t="s">
        <v>630</v>
      </c>
      <c r="E48" s="97" t="s">
        <v>551</v>
      </c>
      <c r="F48" s="97" t="s">
        <v>24</v>
      </c>
      <c r="G48" s="98">
        <v>43682</v>
      </c>
      <c r="H48" s="98">
        <v>44965</v>
      </c>
      <c r="I48" s="99">
        <v>20</v>
      </c>
      <c r="J48" s="99">
        <v>22</v>
      </c>
      <c r="K48" s="99">
        <v>43</v>
      </c>
      <c r="L48" s="99">
        <v>56</v>
      </c>
      <c r="M48" s="99">
        <v>66</v>
      </c>
      <c r="N48" s="99">
        <v>17</v>
      </c>
      <c r="O48" s="99">
        <v>20</v>
      </c>
      <c r="P48" s="99">
        <v>5</v>
      </c>
      <c r="Q48" s="10">
        <v>9</v>
      </c>
      <c r="R48" s="99">
        <v>8</v>
      </c>
      <c r="S48" s="95">
        <v>375</v>
      </c>
      <c r="T48" s="95">
        <f t="shared" si="2"/>
        <v>266</v>
      </c>
      <c r="U48" s="100">
        <f t="shared" si="1"/>
        <v>0.70933333333333337</v>
      </c>
      <c r="V48" s="63"/>
      <c r="W48" s="83"/>
    </row>
    <row r="49" spans="1:23" ht="42" customHeight="1" x14ac:dyDescent="0.35">
      <c r="A49" s="95">
        <v>42</v>
      </c>
      <c r="B49" s="97">
        <v>77</v>
      </c>
      <c r="C49" s="97" t="s">
        <v>837</v>
      </c>
      <c r="D49" s="97" t="s">
        <v>561</v>
      </c>
      <c r="E49" s="97" t="s">
        <v>562</v>
      </c>
      <c r="F49" s="97" t="s">
        <v>24</v>
      </c>
      <c r="G49" s="98">
        <v>43439</v>
      </c>
      <c r="H49" s="98">
        <v>44934</v>
      </c>
      <c r="I49" s="99">
        <v>26</v>
      </c>
      <c r="J49" s="99">
        <v>25</v>
      </c>
      <c r="K49" s="99">
        <v>50</v>
      </c>
      <c r="L49" s="99">
        <v>54</v>
      </c>
      <c r="M49" s="99">
        <v>45</v>
      </c>
      <c r="N49" s="99">
        <v>17</v>
      </c>
      <c r="O49" s="99">
        <v>22</v>
      </c>
      <c r="P49" s="99">
        <v>8</v>
      </c>
      <c r="Q49" s="10">
        <v>8</v>
      </c>
      <c r="R49" s="99">
        <v>5</v>
      </c>
      <c r="S49" s="95">
        <v>375</v>
      </c>
      <c r="T49" s="95">
        <f t="shared" si="2"/>
        <v>260</v>
      </c>
      <c r="U49" s="100">
        <f t="shared" si="1"/>
        <v>0.69333333333333336</v>
      </c>
      <c r="V49" s="63"/>
      <c r="W49" s="83"/>
    </row>
    <row r="50" spans="1:23" ht="42" customHeight="1" x14ac:dyDescent="0.35">
      <c r="A50" s="95">
        <v>43</v>
      </c>
      <c r="B50" s="97">
        <v>80</v>
      </c>
      <c r="C50" s="97" t="s">
        <v>837</v>
      </c>
      <c r="D50" s="97" t="s">
        <v>563</v>
      </c>
      <c r="E50" s="97" t="s">
        <v>499</v>
      </c>
      <c r="F50" s="97" t="s">
        <v>24</v>
      </c>
      <c r="G50" s="98">
        <v>43728</v>
      </c>
      <c r="H50" s="98">
        <v>44934</v>
      </c>
      <c r="I50" s="99">
        <v>28</v>
      </c>
      <c r="J50" s="99">
        <v>26</v>
      </c>
      <c r="K50" s="99">
        <v>65</v>
      </c>
      <c r="L50" s="99">
        <v>69</v>
      </c>
      <c r="M50" s="99">
        <v>61</v>
      </c>
      <c r="N50" s="99">
        <v>23</v>
      </c>
      <c r="O50" s="99">
        <v>26</v>
      </c>
      <c r="P50" s="99">
        <v>5</v>
      </c>
      <c r="Q50" s="10">
        <v>8</v>
      </c>
      <c r="R50" s="99">
        <v>5</v>
      </c>
      <c r="S50" s="95">
        <v>375</v>
      </c>
      <c r="T50" s="95">
        <f t="shared" si="2"/>
        <v>316</v>
      </c>
      <c r="U50" s="100">
        <f t="shared" si="1"/>
        <v>0.84266666666666667</v>
      </c>
      <c r="V50" s="63"/>
      <c r="W50" s="83"/>
    </row>
    <row r="51" spans="1:23" ht="42" customHeight="1" x14ac:dyDescent="0.35">
      <c r="A51" s="95">
        <v>44</v>
      </c>
      <c r="B51" s="97">
        <v>93</v>
      </c>
      <c r="C51" s="97" t="s">
        <v>837</v>
      </c>
      <c r="D51" s="97" t="s">
        <v>566</v>
      </c>
      <c r="E51" s="97" t="s">
        <v>203</v>
      </c>
      <c r="F51" s="97" t="s">
        <v>24</v>
      </c>
      <c r="G51" s="98">
        <v>43572</v>
      </c>
      <c r="H51" s="98">
        <v>45054</v>
      </c>
      <c r="I51" s="99">
        <v>29</v>
      </c>
      <c r="J51" s="99">
        <v>29</v>
      </c>
      <c r="K51" s="99">
        <v>61</v>
      </c>
      <c r="L51" s="99">
        <v>71</v>
      </c>
      <c r="M51" s="99">
        <v>59</v>
      </c>
      <c r="N51" s="99">
        <v>20</v>
      </c>
      <c r="O51" s="99">
        <v>29</v>
      </c>
      <c r="P51" s="99">
        <v>8</v>
      </c>
      <c r="Q51" s="10">
        <v>9</v>
      </c>
      <c r="R51" s="99">
        <v>8</v>
      </c>
      <c r="S51" s="95">
        <v>375</v>
      </c>
      <c r="T51" s="95">
        <f t="shared" si="2"/>
        <v>323</v>
      </c>
      <c r="U51" s="100">
        <f t="shared" si="1"/>
        <v>0.86133333333333328</v>
      </c>
      <c r="V51" s="63"/>
      <c r="W51" s="83"/>
    </row>
    <row r="52" spans="1:23" ht="42" customHeight="1" x14ac:dyDescent="0.35">
      <c r="A52" s="95">
        <v>45</v>
      </c>
      <c r="B52" s="97">
        <v>97</v>
      </c>
      <c r="C52" s="97" t="s">
        <v>837</v>
      </c>
      <c r="D52" s="97" t="s">
        <v>565</v>
      </c>
      <c r="E52" s="97" t="s">
        <v>439</v>
      </c>
      <c r="F52" s="97" t="s">
        <v>24</v>
      </c>
      <c r="G52" s="98">
        <v>43653</v>
      </c>
      <c r="H52" s="98">
        <v>45054</v>
      </c>
      <c r="I52" s="99">
        <v>15</v>
      </c>
      <c r="J52" s="99">
        <v>18</v>
      </c>
      <c r="K52" s="99">
        <v>35</v>
      </c>
      <c r="L52" s="99">
        <v>35</v>
      </c>
      <c r="M52" s="99">
        <v>40</v>
      </c>
      <c r="N52" s="99">
        <v>15</v>
      </c>
      <c r="O52" s="99">
        <v>20</v>
      </c>
      <c r="P52" s="99">
        <v>5</v>
      </c>
      <c r="Q52" s="99">
        <v>5</v>
      </c>
      <c r="R52" s="99">
        <v>5</v>
      </c>
      <c r="S52" s="95">
        <v>375</v>
      </c>
      <c r="T52" s="95">
        <f t="shared" si="2"/>
        <v>193</v>
      </c>
      <c r="U52" s="100">
        <f t="shared" si="1"/>
        <v>0.51466666666666672</v>
      </c>
      <c r="V52" s="63"/>
      <c r="W52" s="83"/>
    </row>
    <row r="53" spans="1:23" ht="42" customHeight="1" x14ac:dyDescent="0.35">
      <c r="A53" s="95">
        <v>46</v>
      </c>
      <c r="B53" s="95">
        <v>74</v>
      </c>
      <c r="C53" s="97" t="s">
        <v>837</v>
      </c>
      <c r="D53" s="97" t="s">
        <v>817</v>
      </c>
      <c r="E53" s="97" t="s">
        <v>555</v>
      </c>
      <c r="F53" s="97" t="s">
        <v>24</v>
      </c>
      <c r="G53" s="98">
        <v>43779</v>
      </c>
      <c r="H53" s="98">
        <v>44934</v>
      </c>
      <c r="I53" s="99">
        <v>29</v>
      </c>
      <c r="J53" s="99">
        <v>29</v>
      </c>
      <c r="K53" s="99">
        <v>71</v>
      </c>
      <c r="L53" s="99">
        <v>73</v>
      </c>
      <c r="M53" s="99">
        <v>73</v>
      </c>
      <c r="N53" s="99">
        <v>20</v>
      </c>
      <c r="O53" s="99">
        <v>28</v>
      </c>
      <c r="P53" s="99">
        <v>8</v>
      </c>
      <c r="Q53" s="99">
        <v>8</v>
      </c>
      <c r="R53" s="10">
        <v>8</v>
      </c>
      <c r="S53" s="95">
        <v>375</v>
      </c>
      <c r="T53" s="95">
        <f t="shared" si="2"/>
        <v>347</v>
      </c>
      <c r="U53" s="100">
        <f t="shared" si="1"/>
        <v>0.92533333333333334</v>
      </c>
      <c r="V53" s="63"/>
      <c r="W53" s="83"/>
    </row>
    <row r="54" spans="1:23" ht="42" customHeight="1" x14ac:dyDescent="0.35">
      <c r="A54" s="95">
        <v>47</v>
      </c>
      <c r="B54" s="97">
        <v>73</v>
      </c>
      <c r="C54" s="97" t="s">
        <v>837</v>
      </c>
      <c r="D54" s="97" t="s">
        <v>754</v>
      </c>
      <c r="E54" s="97" t="s">
        <v>553</v>
      </c>
      <c r="F54" s="97" t="s">
        <v>24</v>
      </c>
      <c r="G54" s="98">
        <v>42834</v>
      </c>
      <c r="H54" s="98">
        <v>44934</v>
      </c>
      <c r="I54" s="99">
        <v>20</v>
      </c>
      <c r="J54" s="99">
        <v>25</v>
      </c>
      <c r="K54" s="99">
        <v>45</v>
      </c>
      <c r="L54" s="99">
        <v>51</v>
      </c>
      <c r="M54" s="99">
        <v>40</v>
      </c>
      <c r="N54" s="99">
        <v>18</v>
      </c>
      <c r="O54" s="99">
        <v>22</v>
      </c>
      <c r="P54" s="99">
        <v>8</v>
      </c>
      <c r="Q54" s="10">
        <v>9</v>
      </c>
      <c r="R54" s="99">
        <v>8</v>
      </c>
      <c r="S54" s="95">
        <v>375</v>
      </c>
      <c r="T54" s="95">
        <f t="shared" si="2"/>
        <v>246</v>
      </c>
      <c r="U54" s="100">
        <f t="shared" si="1"/>
        <v>0.65600000000000003</v>
      </c>
      <c r="V54" s="63"/>
      <c r="W54" s="83"/>
    </row>
    <row r="55" spans="1:23" ht="42" customHeight="1" x14ac:dyDescent="0.35">
      <c r="A55" s="95">
        <v>48</v>
      </c>
      <c r="B55" s="97">
        <v>99</v>
      </c>
      <c r="C55" s="97" t="s">
        <v>837</v>
      </c>
      <c r="D55" s="97" t="s">
        <v>569</v>
      </c>
      <c r="E55" s="97" t="s">
        <v>15</v>
      </c>
      <c r="F55" s="97" t="s">
        <v>24</v>
      </c>
      <c r="G55" s="98">
        <v>44414</v>
      </c>
      <c r="H55" s="98">
        <v>45115</v>
      </c>
      <c r="I55" s="99">
        <v>15</v>
      </c>
      <c r="J55" s="99">
        <v>15</v>
      </c>
      <c r="K55" s="99">
        <v>30</v>
      </c>
      <c r="L55" s="99">
        <v>30</v>
      </c>
      <c r="M55" s="99">
        <v>39</v>
      </c>
      <c r="N55" s="99">
        <v>10</v>
      </c>
      <c r="O55" s="99">
        <v>15</v>
      </c>
      <c r="P55" s="99">
        <v>5</v>
      </c>
      <c r="Q55" s="99">
        <v>7</v>
      </c>
      <c r="R55" s="10">
        <v>5</v>
      </c>
      <c r="S55" s="95">
        <v>375</v>
      </c>
      <c r="T55" s="95">
        <f t="shared" si="2"/>
        <v>171</v>
      </c>
      <c r="U55" s="100">
        <f t="shared" si="1"/>
        <v>0.45600000000000002</v>
      </c>
      <c r="V55" s="63"/>
      <c r="W55" s="83"/>
    </row>
    <row r="56" spans="1:23" ht="42" customHeight="1" x14ac:dyDescent="0.35">
      <c r="A56" s="95">
        <v>49</v>
      </c>
      <c r="B56" s="97">
        <v>14</v>
      </c>
      <c r="C56" s="97" t="s">
        <v>837</v>
      </c>
      <c r="D56" s="97" t="s">
        <v>572</v>
      </c>
      <c r="E56" s="97" t="s">
        <v>18</v>
      </c>
      <c r="F56" s="97" t="s">
        <v>24</v>
      </c>
      <c r="G56" s="98">
        <v>43290</v>
      </c>
      <c r="H56" s="98">
        <v>44569</v>
      </c>
      <c r="I56" s="99">
        <v>25</v>
      </c>
      <c r="J56" s="99">
        <v>25</v>
      </c>
      <c r="K56" s="99">
        <v>50</v>
      </c>
      <c r="L56" s="99">
        <v>61</v>
      </c>
      <c r="M56" s="99">
        <v>60</v>
      </c>
      <c r="N56" s="99">
        <v>23</v>
      </c>
      <c r="O56" s="99">
        <v>32</v>
      </c>
      <c r="P56" s="99">
        <v>5</v>
      </c>
      <c r="Q56" s="10">
        <v>9</v>
      </c>
      <c r="R56" s="99">
        <v>5</v>
      </c>
      <c r="S56" s="95">
        <v>375</v>
      </c>
      <c r="T56" s="95">
        <f t="shared" si="2"/>
        <v>295</v>
      </c>
      <c r="U56" s="100">
        <f t="shared" si="1"/>
        <v>0.78666666666666663</v>
      </c>
      <c r="V56" s="63"/>
      <c r="W56" s="83"/>
    </row>
    <row r="57" spans="1:23" ht="42" customHeight="1" x14ac:dyDescent="0.35">
      <c r="A57" s="95">
        <v>50</v>
      </c>
      <c r="B57" s="97">
        <v>115</v>
      </c>
      <c r="C57" s="97" t="s">
        <v>837</v>
      </c>
      <c r="D57" s="97" t="s">
        <v>786</v>
      </c>
      <c r="E57" s="97" t="s">
        <v>616</v>
      </c>
      <c r="F57" s="97" t="s">
        <v>24</v>
      </c>
      <c r="G57" s="98">
        <v>43490</v>
      </c>
      <c r="H57" s="98">
        <v>45239</v>
      </c>
      <c r="I57" s="99">
        <v>20</v>
      </c>
      <c r="J57" s="99">
        <v>20</v>
      </c>
      <c r="K57" s="99">
        <v>42</v>
      </c>
      <c r="L57" s="99">
        <v>45</v>
      </c>
      <c r="M57" s="99">
        <v>37</v>
      </c>
      <c r="N57" s="99">
        <v>12</v>
      </c>
      <c r="O57" s="99">
        <v>15</v>
      </c>
      <c r="P57" s="99">
        <v>5</v>
      </c>
      <c r="Q57" s="10">
        <v>8</v>
      </c>
      <c r="R57" s="99">
        <v>5</v>
      </c>
      <c r="S57" s="95">
        <v>375</v>
      </c>
      <c r="T57" s="95">
        <f t="shared" si="2"/>
        <v>209</v>
      </c>
      <c r="U57" s="100">
        <f t="shared" si="1"/>
        <v>0.55733333333333335</v>
      </c>
      <c r="V57" s="63"/>
      <c r="W57" s="83"/>
    </row>
    <row r="58" spans="1:23" ht="42" customHeight="1" x14ac:dyDescent="0.35">
      <c r="A58" s="95">
        <v>51</v>
      </c>
      <c r="B58" s="97">
        <v>111</v>
      </c>
      <c r="C58" s="97" t="s">
        <v>837</v>
      </c>
      <c r="D58" s="97" t="s">
        <v>781</v>
      </c>
      <c r="E58" s="97" t="s">
        <v>782</v>
      </c>
      <c r="F58" s="97" t="s">
        <v>24</v>
      </c>
      <c r="G58" s="98">
        <v>43789</v>
      </c>
      <c r="H58" s="98">
        <v>45055</v>
      </c>
      <c r="I58" s="99">
        <v>26</v>
      </c>
      <c r="J58" s="99">
        <v>25</v>
      </c>
      <c r="K58" s="99">
        <v>60</v>
      </c>
      <c r="L58" s="99">
        <v>70</v>
      </c>
      <c r="M58" s="99">
        <v>67</v>
      </c>
      <c r="N58" s="99">
        <v>24</v>
      </c>
      <c r="O58" s="99">
        <v>26</v>
      </c>
      <c r="P58" s="99">
        <v>5</v>
      </c>
      <c r="Q58" s="10">
        <v>5</v>
      </c>
      <c r="R58" s="99">
        <v>8</v>
      </c>
      <c r="S58" s="95">
        <v>375</v>
      </c>
      <c r="T58" s="95">
        <f t="shared" si="2"/>
        <v>316</v>
      </c>
      <c r="U58" s="100">
        <f t="shared" si="1"/>
        <v>0.84266666666666667</v>
      </c>
      <c r="V58" s="63"/>
      <c r="W58" s="83"/>
    </row>
    <row r="59" spans="1:23" ht="42" customHeight="1" x14ac:dyDescent="0.35">
      <c r="A59" s="95">
        <v>52</v>
      </c>
      <c r="B59" s="97">
        <v>94</v>
      </c>
      <c r="C59" s="97" t="s">
        <v>837</v>
      </c>
      <c r="D59" s="97" t="s">
        <v>217</v>
      </c>
      <c r="E59" s="97" t="s">
        <v>18</v>
      </c>
      <c r="F59" s="97" t="s">
        <v>24</v>
      </c>
      <c r="G59" s="98">
        <v>43432</v>
      </c>
      <c r="H59" s="98">
        <v>45054</v>
      </c>
      <c r="I59" s="99">
        <v>20</v>
      </c>
      <c r="J59" s="99">
        <v>20</v>
      </c>
      <c r="K59" s="99">
        <v>40</v>
      </c>
      <c r="L59" s="99">
        <v>44</v>
      </c>
      <c r="M59" s="99">
        <v>58</v>
      </c>
      <c r="N59" s="99">
        <v>10</v>
      </c>
      <c r="O59" s="99">
        <v>20</v>
      </c>
      <c r="P59" s="99">
        <v>5</v>
      </c>
      <c r="Q59" s="10">
        <v>9</v>
      </c>
      <c r="R59" s="99">
        <v>5</v>
      </c>
      <c r="S59" s="95">
        <v>375</v>
      </c>
      <c r="T59" s="95">
        <f t="shared" si="2"/>
        <v>231</v>
      </c>
      <c r="U59" s="100">
        <f t="shared" si="1"/>
        <v>0.61599999999999999</v>
      </c>
      <c r="V59" s="63"/>
      <c r="W59" s="83"/>
    </row>
    <row r="60" spans="1:23" ht="35.1" customHeight="1" x14ac:dyDescent="0.35">
      <c r="A60" s="95">
        <v>53</v>
      </c>
      <c r="B60" s="97">
        <v>113</v>
      </c>
      <c r="C60" s="97" t="s">
        <v>837</v>
      </c>
      <c r="D60" s="97" t="s">
        <v>785</v>
      </c>
      <c r="E60" s="97" t="s">
        <v>613</v>
      </c>
      <c r="F60" s="97" t="s">
        <v>24</v>
      </c>
      <c r="G60" s="98">
        <v>42957</v>
      </c>
      <c r="H60" s="98">
        <v>45239</v>
      </c>
      <c r="I60" s="99">
        <v>29</v>
      </c>
      <c r="J60" s="99">
        <v>29</v>
      </c>
      <c r="K60" s="99">
        <v>64</v>
      </c>
      <c r="L60" s="99">
        <v>57</v>
      </c>
      <c r="M60" s="99">
        <v>47</v>
      </c>
      <c r="N60" s="99">
        <v>25</v>
      </c>
      <c r="O60" s="99">
        <v>24</v>
      </c>
      <c r="P60" s="99">
        <v>5</v>
      </c>
      <c r="Q60" s="10">
        <v>9</v>
      </c>
      <c r="R60" s="99">
        <v>9</v>
      </c>
      <c r="S60" s="95">
        <v>375</v>
      </c>
      <c r="T60" s="95">
        <f t="shared" si="2"/>
        <v>298</v>
      </c>
      <c r="U60" s="100">
        <f t="shared" si="1"/>
        <v>0.79466666666666663</v>
      </c>
      <c r="V60" s="63"/>
      <c r="W60" s="83"/>
    </row>
    <row r="61" spans="1:23" ht="38.25" customHeight="1" x14ac:dyDescent="0.35">
      <c r="A61" s="95">
        <v>54</v>
      </c>
      <c r="B61" s="97">
        <v>114</v>
      </c>
      <c r="C61" s="97" t="s">
        <v>837</v>
      </c>
      <c r="D61" s="97" t="s">
        <v>615</v>
      </c>
      <c r="E61" s="97" t="s">
        <v>616</v>
      </c>
      <c r="F61" s="97" t="s">
        <v>24</v>
      </c>
      <c r="G61" s="98">
        <v>43378</v>
      </c>
      <c r="H61" s="98">
        <v>45239</v>
      </c>
      <c r="I61" s="99">
        <v>20</v>
      </c>
      <c r="J61" s="99">
        <v>20</v>
      </c>
      <c r="K61" s="99">
        <v>42</v>
      </c>
      <c r="L61" s="99">
        <v>49</v>
      </c>
      <c r="M61" s="99">
        <v>32</v>
      </c>
      <c r="N61" s="99">
        <v>12</v>
      </c>
      <c r="O61" s="99">
        <v>15</v>
      </c>
      <c r="P61" s="99">
        <v>5</v>
      </c>
      <c r="Q61" s="10">
        <v>8</v>
      </c>
      <c r="R61" s="99">
        <v>5</v>
      </c>
      <c r="S61" s="95">
        <v>375</v>
      </c>
      <c r="T61" s="95">
        <f t="shared" si="2"/>
        <v>208</v>
      </c>
      <c r="U61" s="100">
        <f t="shared" si="1"/>
        <v>0.55466666666666664</v>
      </c>
      <c r="V61" s="63"/>
      <c r="W61" s="83"/>
    </row>
    <row r="64" spans="1:23" ht="18.75" x14ac:dyDescent="0.3">
      <c r="W64" s="125" t="s">
        <v>716</v>
      </c>
    </row>
    <row r="66" spans="4:16" ht="23.25" x14ac:dyDescent="0.35">
      <c r="D66" s="18" t="s">
        <v>713</v>
      </c>
      <c r="E66" s="15"/>
      <c r="F66" s="15"/>
      <c r="G66" s="16"/>
      <c r="H66" s="17"/>
      <c r="I66" s="15"/>
      <c r="J66" s="15"/>
      <c r="K66" s="15"/>
      <c r="L66" s="15"/>
      <c r="M66" s="15"/>
      <c r="N66" s="15"/>
      <c r="O66" s="153" t="s">
        <v>714</v>
      </c>
      <c r="P66" s="153"/>
    </row>
  </sheetData>
  <sortState ref="A5:W60">
    <sortCondition ref="F5:F60"/>
    <sortCondition ref="D5:D60"/>
  </sortState>
  <mergeCells count="19">
    <mergeCell ref="O66:P66"/>
    <mergeCell ref="W3:W5"/>
    <mergeCell ref="A32:W32"/>
    <mergeCell ref="A6:W6"/>
    <mergeCell ref="A1:W1"/>
    <mergeCell ref="A2:W2"/>
    <mergeCell ref="A3:A5"/>
    <mergeCell ref="B3:B5"/>
    <mergeCell ref="C3:C5"/>
    <mergeCell ref="D3:D5"/>
    <mergeCell ref="E3:E5"/>
    <mergeCell ref="F3:F5"/>
    <mergeCell ref="G3:G5"/>
    <mergeCell ref="H3:H5"/>
    <mergeCell ref="I3:R3"/>
    <mergeCell ref="S3:S4"/>
    <mergeCell ref="T3:T5"/>
    <mergeCell ref="U3:U5"/>
    <mergeCell ref="V3:V5"/>
  </mergeCells>
  <pageMargins left="0.2" right="0.2" top="0.25" bottom="0.25" header="0.3" footer="0.3"/>
  <pageSetup paperSize="9" scale="20" fitToHeight="3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W68"/>
  <sheetViews>
    <sheetView tabSelected="1" topLeftCell="A28" zoomScale="55" zoomScaleNormal="55" workbookViewId="0">
      <selection activeCell="A31" sqref="A31:W31"/>
    </sheetView>
  </sheetViews>
  <sheetFormatPr defaultRowHeight="15" x14ac:dyDescent="0.25"/>
  <cols>
    <col min="1" max="1" width="7.85546875" style="62" customWidth="1"/>
    <col min="2" max="2" width="9" style="62" customWidth="1"/>
    <col min="3" max="3" width="23" style="62" customWidth="1"/>
    <col min="4" max="4" width="22.5703125" style="62" customWidth="1"/>
    <col min="5" max="5" width="18.85546875" style="62" customWidth="1"/>
    <col min="6" max="6" width="17" style="62" customWidth="1"/>
    <col min="7" max="7" width="19.42578125" style="62" customWidth="1"/>
    <col min="8" max="8" width="20.5703125" style="62" bestFit="1" customWidth="1"/>
    <col min="9" max="19" width="12.7109375" style="62" customWidth="1"/>
    <col min="20" max="20" width="17.42578125" style="62" customWidth="1"/>
    <col min="21" max="21" width="15.85546875" style="62" customWidth="1"/>
    <col min="22" max="22" width="12.7109375" style="62" customWidth="1"/>
    <col min="23" max="23" width="20.42578125" style="62" customWidth="1"/>
    <col min="24" max="16384" width="9.140625" style="62"/>
  </cols>
  <sheetData>
    <row r="1" spans="1:23" ht="27.75" x14ac:dyDescent="0.25">
      <c r="A1" s="143" t="s">
        <v>696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</row>
    <row r="2" spans="1:23" ht="28.5" thickBot="1" x14ac:dyDescent="0.3">
      <c r="A2" s="143" t="s">
        <v>697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</row>
    <row r="3" spans="1:23" ht="26.25" customHeight="1" thickBot="1" x14ac:dyDescent="0.3">
      <c r="A3" s="145" t="s">
        <v>698</v>
      </c>
      <c r="B3" s="148" t="s">
        <v>334</v>
      </c>
      <c r="C3" s="148" t="s">
        <v>335</v>
      </c>
      <c r="D3" s="148" t="s">
        <v>0</v>
      </c>
      <c r="E3" s="148" t="s">
        <v>1</v>
      </c>
      <c r="F3" s="148" t="s">
        <v>2</v>
      </c>
      <c r="G3" s="150" t="s">
        <v>337</v>
      </c>
      <c r="H3" s="148" t="s">
        <v>618</v>
      </c>
      <c r="I3" s="152" t="s">
        <v>685</v>
      </c>
      <c r="J3" s="152"/>
      <c r="K3" s="152"/>
      <c r="L3" s="152"/>
      <c r="M3" s="152"/>
      <c r="N3" s="152"/>
      <c r="O3" s="152"/>
      <c r="P3" s="152"/>
      <c r="Q3" s="152"/>
      <c r="R3" s="152"/>
      <c r="S3" s="148" t="s">
        <v>694</v>
      </c>
      <c r="T3" s="148" t="s">
        <v>695</v>
      </c>
      <c r="U3" s="148" t="s">
        <v>700</v>
      </c>
      <c r="V3" s="148" t="s">
        <v>808</v>
      </c>
      <c r="W3" s="148" t="s">
        <v>617</v>
      </c>
    </row>
    <row r="4" spans="1:23" ht="60" customHeight="1" thickBot="1" x14ac:dyDescent="0.3">
      <c r="A4" s="146"/>
      <c r="B4" s="149"/>
      <c r="C4" s="149"/>
      <c r="D4" s="149"/>
      <c r="E4" s="149"/>
      <c r="F4" s="149"/>
      <c r="G4" s="151"/>
      <c r="H4" s="149"/>
      <c r="I4" s="84" t="s">
        <v>809</v>
      </c>
      <c r="J4" s="84" t="s">
        <v>810</v>
      </c>
      <c r="K4" s="84" t="s">
        <v>686</v>
      </c>
      <c r="L4" s="84" t="s">
        <v>811</v>
      </c>
      <c r="M4" s="84" t="s">
        <v>812</v>
      </c>
      <c r="N4" s="84" t="s">
        <v>687</v>
      </c>
      <c r="O4" s="84" t="s">
        <v>813</v>
      </c>
      <c r="P4" s="84" t="s">
        <v>814</v>
      </c>
      <c r="Q4" s="84" t="s">
        <v>808</v>
      </c>
      <c r="R4" s="84" t="s">
        <v>815</v>
      </c>
      <c r="S4" s="149"/>
      <c r="T4" s="149"/>
      <c r="U4" s="149"/>
      <c r="V4" s="149"/>
      <c r="W4" s="149"/>
    </row>
    <row r="5" spans="1:23" ht="41.25" customHeight="1" thickBot="1" x14ac:dyDescent="0.3">
      <c r="A5" s="147"/>
      <c r="B5" s="149"/>
      <c r="C5" s="149"/>
      <c r="D5" s="149"/>
      <c r="E5" s="149"/>
      <c r="F5" s="149"/>
      <c r="G5" s="151"/>
      <c r="H5" s="149"/>
      <c r="I5" s="85">
        <v>30</v>
      </c>
      <c r="J5" s="85">
        <v>30</v>
      </c>
      <c r="K5" s="85">
        <v>75</v>
      </c>
      <c r="L5" s="85">
        <v>75</v>
      </c>
      <c r="M5" s="85">
        <v>75</v>
      </c>
      <c r="N5" s="85">
        <v>30</v>
      </c>
      <c r="O5" s="85">
        <v>30</v>
      </c>
      <c r="P5" s="85">
        <v>10</v>
      </c>
      <c r="Q5" s="85">
        <v>10</v>
      </c>
      <c r="R5" s="85">
        <v>10</v>
      </c>
      <c r="S5" s="85">
        <f>SUM(I5:R5)</f>
        <v>375</v>
      </c>
      <c r="T5" s="149"/>
      <c r="U5" s="149"/>
      <c r="V5" s="149"/>
      <c r="W5" s="149"/>
    </row>
    <row r="6" spans="1:23" ht="42" customHeight="1" x14ac:dyDescent="0.25">
      <c r="A6" s="154" t="s">
        <v>682</v>
      </c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6"/>
    </row>
    <row r="7" spans="1:23" ht="42" customHeight="1" x14ac:dyDescent="0.35">
      <c r="A7" s="95">
        <v>1</v>
      </c>
      <c r="B7" s="95">
        <v>66</v>
      </c>
      <c r="C7" s="95" t="s">
        <v>838</v>
      </c>
      <c r="D7" s="95" t="s">
        <v>819</v>
      </c>
      <c r="E7" s="95" t="s">
        <v>579</v>
      </c>
      <c r="F7" s="95" t="s">
        <v>23</v>
      </c>
      <c r="G7" s="98">
        <v>43746</v>
      </c>
      <c r="H7" s="98">
        <v>44846</v>
      </c>
      <c r="I7" s="101">
        <v>27</v>
      </c>
      <c r="J7" s="101">
        <v>15</v>
      </c>
      <c r="K7" s="101">
        <v>45</v>
      </c>
      <c r="L7" s="101">
        <v>49</v>
      </c>
      <c r="M7" s="101">
        <v>35</v>
      </c>
      <c r="N7" s="10">
        <v>20</v>
      </c>
      <c r="O7" s="101">
        <v>25</v>
      </c>
      <c r="P7" s="95">
        <v>9</v>
      </c>
      <c r="Q7" s="95">
        <v>9</v>
      </c>
      <c r="R7" s="95">
        <v>10</v>
      </c>
      <c r="S7" s="95">
        <v>375</v>
      </c>
      <c r="T7" s="95">
        <f t="shared" ref="T7:T39" si="0">I7+J7+K7+L7+M7+N7+O7+P7+Q7+R7</f>
        <v>244</v>
      </c>
      <c r="U7" s="100">
        <f t="shared" ref="U7:U39" si="1">T7/S7</f>
        <v>0.65066666666666662</v>
      </c>
      <c r="V7" s="63"/>
      <c r="W7" s="61"/>
    </row>
    <row r="8" spans="1:23" ht="42" customHeight="1" x14ac:dyDescent="0.35">
      <c r="A8" s="95">
        <v>2</v>
      </c>
      <c r="B8" s="95">
        <v>43</v>
      </c>
      <c r="C8" s="95" t="s">
        <v>838</v>
      </c>
      <c r="D8" s="95" t="s">
        <v>547</v>
      </c>
      <c r="E8" s="95" t="s">
        <v>581</v>
      </c>
      <c r="F8" s="95" t="s">
        <v>23</v>
      </c>
      <c r="G8" s="98">
        <v>43605</v>
      </c>
      <c r="H8" s="98">
        <v>44600</v>
      </c>
      <c r="I8" s="101">
        <v>28</v>
      </c>
      <c r="J8" s="101">
        <v>25</v>
      </c>
      <c r="K8" s="101">
        <v>72</v>
      </c>
      <c r="L8" s="101">
        <v>51</v>
      </c>
      <c r="M8" s="101">
        <v>55</v>
      </c>
      <c r="N8" s="10">
        <v>20</v>
      </c>
      <c r="O8" s="101">
        <v>20</v>
      </c>
      <c r="P8" s="95">
        <v>7</v>
      </c>
      <c r="Q8" s="95">
        <v>9</v>
      </c>
      <c r="R8" s="95">
        <v>7</v>
      </c>
      <c r="S8" s="95">
        <v>375</v>
      </c>
      <c r="T8" s="95">
        <f t="shared" si="0"/>
        <v>294</v>
      </c>
      <c r="U8" s="100">
        <f t="shared" si="1"/>
        <v>0.78400000000000003</v>
      </c>
      <c r="V8" s="63"/>
      <c r="W8" s="61"/>
    </row>
    <row r="9" spans="1:23" ht="42" customHeight="1" x14ac:dyDescent="0.35">
      <c r="A9" s="95">
        <v>3</v>
      </c>
      <c r="B9" s="95">
        <v>57</v>
      </c>
      <c r="C9" s="95" t="s">
        <v>838</v>
      </c>
      <c r="D9" s="95" t="s">
        <v>744</v>
      </c>
      <c r="E9" s="95" t="s">
        <v>745</v>
      </c>
      <c r="F9" s="95" t="s">
        <v>23</v>
      </c>
      <c r="G9" s="98">
        <v>42697</v>
      </c>
      <c r="H9" s="95" t="s">
        <v>743</v>
      </c>
      <c r="I9" s="101">
        <v>29</v>
      </c>
      <c r="J9" s="101">
        <v>29</v>
      </c>
      <c r="K9" s="101">
        <v>72</v>
      </c>
      <c r="L9" s="101">
        <v>74.5</v>
      </c>
      <c r="M9" s="101">
        <v>66.5</v>
      </c>
      <c r="N9" s="10">
        <v>26</v>
      </c>
      <c r="O9" s="101">
        <v>29</v>
      </c>
      <c r="P9" s="95">
        <v>10</v>
      </c>
      <c r="Q9" s="95">
        <v>10</v>
      </c>
      <c r="R9" s="95">
        <v>10</v>
      </c>
      <c r="S9" s="95">
        <v>375</v>
      </c>
      <c r="T9" s="95">
        <f t="shared" si="0"/>
        <v>356</v>
      </c>
      <c r="U9" s="100">
        <f t="shared" si="1"/>
        <v>0.94933333333333336</v>
      </c>
      <c r="V9" s="63"/>
      <c r="W9" s="61"/>
    </row>
    <row r="10" spans="1:23" ht="42" customHeight="1" x14ac:dyDescent="0.35">
      <c r="A10" s="95">
        <v>4</v>
      </c>
      <c r="B10" s="95">
        <v>18</v>
      </c>
      <c r="C10" s="95" t="s">
        <v>838</v>
      </c>
      <c r="D10" s="95" t="s">
        <v>29</v>
      </c>
      <c r="E10" s="95" t="s">
        <v>578</v>
      </c>
      <c r="F10" s="95" t="s">
        <v>23</v>
      </c>
      <c r="G10" s="98">
        <v>43111</v>
      </c>
      <c r="H10" s="98">
        <v>44569</v>
      </c>
      <c r="I10" s="101">
        <v>25</v>
      </c>
      <c r="J10" s="101">
        <v>23</v>
      </c>
      <c r="K10" s="101">
        <v>39</v>
      </c>
      <c r="L10" s="101">
        <v>65</v>
      </c>
      <c r="M10" s="101">
        <v>39</v>
      </c>
      <c r="N10" s="10">
        <v>20</v>
      </c>
      <c r="O10" s="101">
        <v>25</v>
      </c>
      <c r="P10" s="95">
        <v>10</v>
      </c>
      <c r="Q10" s="95">
        <v>10</v>
      </c>
      <c r="R10" s="95">
        <v>8</v>
      </c>
      <c r="S10" s="95">
        <v>375</v>
      </c>
      <c r="T10" s="95">
        <f t="shared" si="0"/>
        <v>264</v>
      </c>
      <c r="U10" s="100">
        <f t="shared" si="1"/>
        <v>0.70399999999999996</v>
      </c>
      <c r="V10" s="63"/>
      <c r="W10" s="61"/>
    </row>
    <row r="11" spans="1:23" ht="42" customHeight="1" x14ac:dyDescent="0.35">
      <c r="A11" s="95">
        <v>5</v>
      </c>
      <c r="B11" s="95">
        <v>33</v>
      </c>
      <c r="C11" s="95" t="s">
        <v>838</v>
      </c>
      <c r="D11" s="95" t="s">
        <v>6</v>
      </c>
      <c r="E11" s="95" t="s">
        <v>580</v>
      </c>
      <c r="F11" s="95" t="s">
        <v>23</v>
      </c>
      <c r="G11" s="98">
        <v>42837</v>
      </c>
      <c r="H11" s="98">
        <v>44600</v>
      </c>
      <c r="I11" s="101">
        <v>21</v>
      </c>
      <c r="J11" s="101">
        <v>22</v>
      </c>
      <c r="K11" s="101">
        <v>53</v>
      </c>
      <c r="L11" s="101">
        <v>26</v>
      </c>
      <c r="M11" s="101">
        <v>57</v>
      </c>
      <c r="N11" s="10">
        <v>22</v>
      </c>
      <c r="O11" s="101">
        <v>23</v>
      </c>
      <c r="P11" s="95">
        <v>7</v>
      </c>
      <c r="Q11" s="95">
        <v>8</v>
      </c>
      <c r="R11" s="95">
        <v>10</v>
      </c>
      <c r="S11" s="95">
        <v>375</v>
      </c>
      <c r="T11" s="95">
        <f t="shared" si="0"/>
        <v>249</v>
      </c>
      <c r="U11" s="100">
        <f t="shared" si="1"/>
        <v>0.66400000000000003</v>
      </c>
      <c r="V11" s="63"/>
      <c r="W11" s="61"/>
    </row>
    <row r="12" spans="1:23" ht="42" customHeight="1" x14ac:dyDescent="0.35">
      <c r="A12" s="95">
        <v>6</v>
      </c>
      <c r="B12" s="95">
        <v>126</v>
      </c>
      <c r="C12" s="95" t="s">
        <v>838</v>
      </c>
      <c r="D12" s="95" t="s">
        <v>796</v>
      </c>
      <c r="E12" s="95" t="s">
        <v>797</v>
      </c>
      <c r="F12" s="95" t="s">
        <v>23</v>
      </c>
      <c r="G12" s="98">
        <v>43287</v>
      </c>
      <c r="H12" s="95" t="s">
        <v>795</v>
      </c>
      <c r="I12" s="101">
        <v>27</v>
      </c>
      <c r="J12" s="101">
        <v>29</v>
      </c>
      <c r="K12" s="101">
        <v>72</v>
      </c>
      <c r="L12" s="101">
        <v>50</v>
      </c>
      <c r="M12" s="101">
        <v>71.5</v>
      </c>
      <c r="N12" s="10">
        <v>29</v>
      </c>
      <c r="O12" s="101">
        <v>28</v>
      </c>
      <c r="P12" s="95">
        <v>10</v>
      </c>
      <c r="Q12" s="95">
        <v>10</v>
      </c>
      <c r="R12" s="95">
        <v>10</v>
      </c>
      <c r="S12" s="95">
        <v>375</v>
      </c>
      <c r="T12" s="95">
        <f t="shared" si="0"/>
        <v>336.5</v>
      </c>
      <c r="U12" s="100">
        <f t="shared" si="1"/>
        <v>0.89733333333333332</v>
      </c>
      <c r="V12" s="63"/>
      <c r="W12" s="61"/>
    </row>
    <row r="13" spans="1:23" ht="42" customHeight="1" x14ac:dyDescent="0.35">
      <c r="A13" s="95">
        <v>7</v>
      </c>
      <c r="B13" s="95">
        <v>32</v>
      </c>
      <c r="C13" s="95" t="s">
        <v>838</v>
      </c>
      <c r="D13" s="95" t="s">
        <v>582</v>
      </c>
      <c r="E13" s="95" t="s">
        <v>731</v>
      </c>
      <c r="F13" s="95" t="s">
        <v>23</v>
      </c>
      <c r="G13" s="98">
        <v>43174</v>
      </c>
      <c r="H13" s="98">
        <v>44600</v>
      </c>
      <c r="I13" s="101">
        <v>29</v>
      </c>
      <c r="J13" s="101">
        <v>29</v>
      </c>
      <c r="K13" s="101">
        <v>69.5</v>
      </c>
      <c r="L13" s="101">
        <v>70</v>
      </c>
      <c r="M13" s="101">
        <v>64.5</v>
      </c>
      <c r="N13" s="10">
        <v>29</v>
      </c>
      <c r="O13" s="101">
        <v>26</v>
      </c>
      <c r="P13" s="95">
        <v>10</v>
      </c>
      <c r="Q13" s="95">
        <v>10</v>
      </c>
      <c r="R13" s="95">
        <v>10</v>
      </c>
      <c r="S13" s="95">
        <v>375</v>
      </c>
      <c r="T13" s="95">
        <f t="shared" si="0"/>
        <v>347</v>
      </c>
      <c r="U13" s="100">
        <f t="shared" si="1"/>
        <v>0.92533333333333334</v>
      </c>
      <c r="V13" s="63"/>
      <c r="W13" s="61"/>
    </row>
    <row r="14" spans="1:23" ht="42" customHeight="1" x14ac:dyDescent="0.35">
      <c r="A14" s="95">
        <v>8</v>
      </c>
      <c r="B14" s="95">
        <v>31</v>
      </c>
      <c r="C14" s="95" t="s">
        <v>838</v>
      </c>
      <c r="D14" s="95" t="s">
        <v>589</v>
      </c>
      <c r="E14" s="95" t="s">
        <v>559</v>
      </c>
      <c r="F14" s="95" t="s">
        <v>23</v>
      </c>
      <c r="G14" s="98">
        <v>42758</v>
      </c>
      <c r="H14" s="98">
        <v>42774</v>
      </c>
      <c r="I14" s="101">
        <v>29</v>
      </c>
      <c r="J14" s="101">
        <v>29</v>
      </c>
      <c r="K14" s="101">
        <v>72</v>
      </c>
      <c r="L14" s="101">
        <v>75</v>
      </c>
      <c r="M14" s="101">
        <v>73.5</v>
      </c>
      <c r="N14" s="10">
        <v>29</v>
      </c>
      <c r="O14" s="101">
        <v>29</v>
      </c>
      <c r="P14" s="95">
        <v>10</v>
      </c>
      <c r="Q14" s="95">
        <v>10</v>
      </c>
      <c r="R14" s="95">
        <v>10</v>
      </c>
      <c r="S14" s="95">
        <v>375</v>
      </c>
      <c r="T14" s="95">
        <f t="shared" si="0"/>
        <v>366.5</v>
      </c>
      <c r="U14" s="100">
        <f t="shared" si="1"/>
        <v>0.97733333333333339</v>
      </c>
      <c r="V14" s="63"/>
      <c r="W14" s="61"/>
    </row>
    <row r="15" spans="1:23" ht="42" customHeight="1" x14ac:dyDescent="0.35">
      <c r="A15" s="95">
        <v>9</v>
      </c>
      <c r="B15" s="95">
        <v>64</v>
      </c>
      <c r="C15" s="95" t="s">
        <v>838</v>
      </c>
      <c r="D15" s="95" t="s">
        <v>723</v>
      </c>
      <c r="E15" s="95" t="s">
        <v>724</v>
      </c>
      <c r="F15" s="95" t="s">
        <v>23</v>
      </c>
      <c r="G15" s="98">
        <v>43655</v>
      </c>
      <c r="H15" s="98">
        <v>44846</v>
      </c>
      <c r="I15" s="101">
        <v>27</v>
      </c>
      <c r="J15" s="101">
        <v>28</v>
      </c>
      <c r="K15" s="101">
        <v>73.5</v>
      </c>
      <c r="L15" s="101">
        <v>73.5</v>
      </c>
      <c r="M15" s="101">
        <v>73.5</v>
      </c>
      <c r="N15" s="10">
        <v>26</v>
      </c>
      <c r="O15" s="101">
        <v>28</v>
      </c>
      <c r="P15" s="95">
        <v>10</v>
      </c>
      <c r="Q15" s="95">
        <v>10</v>
      </c>
      <c r="R15" s="95">
        <v>8</v>
      </c>
      <c r="S15" s="95">
        <v>375</v>
      </c>
      <c r="T15" s="95">
        <f t="shared" si="0"/>
        <v>357.5</v>
      </c>
      <c r="U15" s="100">
        <f t="shared" si="1"/>
        <v>0.95333333333333337</v>
      </c>
      <c r="V15" s="63"/>
      <c r="W15" s="61"/>
    </row>
    <row r="16" spans="1:23" ht="42" customHeight="1" x14ac:dyDescent="0.35">
      <c r="A16" s="95">
        <v>10</v>
      </c>
      <c r="B16" s="95">
        <v>30</v>
      </c>
      <c r="C16" s="95" t="s">
        <v>838</v>
      </c>
      <c r="D16" s="95" t="s">
        <v>583</v>
      </c>
      <c r="E16" s="95" t="s">
        <v>33</v>
      </c>
      <c r="F16" s="95" t="s">
        <v>23</v>
      </c>
      <c r="G16" s="98">
        <v>43385</v>
      </c>
      <c r="H16" s="98">
        <v>44569</v>
      </c>
      <c r="I16" s="101">
        <v>23</v>
      </c>
      <c r="J16" s="101">
        <v>27</v>
      </c>
      <c r="K16" s="101">
        <v>63</v>
      </c>
      <c r="L16" s="101">
        <v>64.5</v>
      </c>
      <c r="M16" s="101">
        <v>67</v>
      </c>
      <c r="N16" s="10">
        <v>25</v>
      </c>
      <c r="O16" s="101">
        <v>23</v>
      </c>
      <c r="P16" s="95">
        <v>10</v>
      </c>
      <c r="Q16" s="95">
        <v>10</v>
      </c>
      <c r="R16" s="95">
        <v>10</v>
      </c>
      <c r="S16" s="95">
        <v>375</v>
      </c>
      <c r="T16" s="95">
        <f t="shared" si="0"/>
        <v>322.5</v>
      </c>
      <c r="U16" s="100">
        <f t="shared" si="1"/>
        <v>0.86</v>
      </c>
      <c r="V16" s="63"/>
      <c r="W16" s="61"/>
    </row>
    <row r="17" spans="1:23" ht="42" customHeight="1" x14ac:dyDescent="0.35">
      <c r="A17" s="95">
        <v>11</v>
      </c>
      <c r="B17" s="95">
        <v>8</v>
      </c>
      <c r="C17" s="95" t="s">
        <v>838</v>
      </c>
      <c r="D17" s="95" t="s">
        <v>725</v>
      </c>
      <c r="E17" s="95" t="s">
        <v>581</v>
      </c>
      <c r="F17" s="95" t="s">
        <v>23</v>
      </c>
      <c r="G17" s="98">
        <v>43024</v>
      </c>
      <c r="H17" s="98">
        <v>44569</v>
      </c>
      <c r="I17" s="101" t="s">
        <v>711</v>
      </c>
      <c r="J17" s="101" t="s">
        <v>711</v>
      </c>
      <c r="K17" s="101">
        <v>28</v>
      </c>
      <c r="L17" s="101">
        <v>42</v>
      </c>
      <c r="M17" s="101">
        <v>33.5</v>
      </c>
      <c r="N17" s="10">
        <v>7</v>
      </c>
      <c r="O17" s="101">
        <v>20</v>
      </c>
      <c r="P17" s="95">
        <v>10</v>
      </c>
      <c r="Q17" s="95">
        <v>10</v>
      </c>
      <c r="R17" s="95">
        <v>10</v>
      </c>
      <c r="S17" s="95">
        <v>375</v>
      </c>
      <c r="T17" s="95">
        <f>K17+L17+M17+N17+O17+P17+Q17+R17</f>
        <v>160.5</v>
      </c>
      <c r="U17" s="100">
        <f t="shared" si="1"/>
        <v>0.42799999999999999</v>
      </c>
      <c r="V17" s="63"/>
      <c r="W17" s="61"/>
    </row>
    <row r="18" spans="1:23" ht="42" customHeight="1" x14ac:dyDescent="0.35">
      <c r="A18" s="95">
        <v>12</v>
      </c>
      <c r="B18" s="95">
        <v>58</v>
      </c>
      <c r="C18" s="95" t="s">
        <v>838</v>
      </c>
      <c r="D18" s="95" t="s">
        <v>590</v>
      </c>
      <c r="E18" s="95" t="s">
        <v>591</v>
      </c>
      <c r="F18" s="95" t="s">
        <v>23</v>
      </c>
      <c r="G18" s="98">
        <v>42801</v>
      </c>
      <c r="H18" s="95" t="s">
        <v>746</v>
      </c>
      <c r="I18" s="101">
        <v>29</v>
      </c>
      <c r="J18" s="101">
        <v>29</v>
      </c>
      <c r="K18" s="101">
        <v>66</v>
      </c>
      <c r="L18" s="101">
        <v>69</v>
      </c>
      <c r="M18" s="101">
        <v>65</v>
      </c>
      <c r="N18" s="10">
        <v>26</v>
      </c>
      <c r="O18" s="101">
        <v>20</v>
      </c>
      <c r="P18" s="95">
        <v>10</v>
      </c>
      <c r="Q18" s="95">
        <v>10</v>
      </c>
      <c r="R18" s="95">
        <v>10</v>
      </c>
      <c r="S18" s="95">
        <v>375</v>
      </c>
      <c r="T18" s="95">
        <f t="shared" si="0"/>
        <v>334</v>
      </c>
      <c r="U18" s="100">
        <f t="shared" si="1"/>
        <v>0.89066666666666672</v>
      </c>
      <c r="V18" s="63"/>
      <c r="W18" s="61"/>
    </row>
    <row r="19" spans="1:23" ht="42" customHeight="1" x14ac:dyDescent="0.35">
      <c r="A19" s="103">
        <v>13</v>
      </c>
      <c r="B19" s="103">
        <v>125</v>
      </c>
      <c r="C19" s="103" t="s">
        <v>838</v>
      </c>
      <c r="D19" s="103" t="s">
        <v>793</v>
      </c>
      <c r="E19" s="103" t="s">
        <v>794</v>
      </c>
      <c r="F19" s="103" t="s">
        <v>23</v>
      </c>
      <c r="G19" s="104">
        <v>43591</v>
      </c>
      <c r="H19" s="103" t="s">
        <v>795</v>
      </c>
      <c r="I19" s="101" t="s">
        <v>711</v>
      </c>
      <c r="J19" s="101" t="s">
        <v>711</v>
      </c>
      <c r="K19" s="101" t="s">
        <v>711</v>
      </c>
      <c r="L19" s="101" t="s">
        <v>711</v>
      </c>
      <c r="M19" s="101" t="s">
        <v>711</v>
      </c>
      <c r="N19" s="101" t="s">
        <v>711</v>
      </c>
      <c r="O19" s="101" t="s">
        <v>711</v>
      </c>
      <c r="P19" s="101" t="s">
        <v>711</v>
      </c>
      <c r="Q19" s="101" t="s">
        <v>711</v>
      </c>
      <c r="R19" s="101" t="s">
        <v>711</v>
      </c>
      <c r="S19" s="95">
        <v>375</v>
      </c>
      <c r="T19" s="95" t="e">
        <f t="shared" si="0"/>
        <v>#VALUE!</v>
      </c>
      <c r="U19" s="100" t="e">
        <f t="shared" si="1"/>
        <v>#VALUE!</v>
      </c>
      <c r="V19" s="63"/>
      <c r="W19" s="83" t="s">
        <v>715</v>
      </c>
    </row>
    <row r="20" spans="1:23" ht="42" customHeight="1" x14ac:dyDescent="0.35">
      <c r="A20" s="95">
        <v>14</v>
      </c>
      <c r="B20" s="95">
        <v>123</v>
      </c>
      <c r="C20" s="95" t="s">
        <v>838</v>
      </c>
      <c r="D20" s="95" t="s">
        <v>791</v>
      </c>
      <c r="E20" s="95" t="s">
        <v>183</v>
      </c>
      <c r="F20" s="95" t="s">
        <v>23</v>
      </c>
      <c r="G20" s="98">
        <v>43582</v>
      </c>
      <c r="H20" s="95" t="s">
        <v>792</v>
      </c>
      <c r="I20" s="101">
        <v>29</v>
      </c>
      <c r="J20" s="101">
        <v>29</v>
      </c>
      <c r="K20" s="101">
        <v>49</v>
      </c>
      <c r="L20" s="101">
        <v>53</v>
      </c>
      <c r="M20" s="101">
        <v>44.5</v>
      </c>
      <c r="N20" s="10">
        <v>29</v>
      </c>
      <c r="O20" s="101">
        <v>25</v>
      </c>
      <c r="P20" s="95">
        <v>8</v>
      </c>
      <c r="Q20" s="95">
        <v>10</v>
      </c>
      <c r="R20" s="95">
        <v>8</v>
      </c>
      <c r="S20" s="95">
        <v>375</v>
      </c>
      <c r="T20" s="95">
        <f t="shared" si="0"/>
        <v>284.5</v>
      </c>
      <c r="U20" s="100">
        <f t="shared" si="1"/>
        <v>0.75866666666666671</v>
      </c>
      <c r="V20" s="63"/>
      <c r="W20" s="61"/>
    </row>
    <row r="21" spans="1:23" ht="42" customHeight="1" x14ac:dyDescent="0.35">
      <c r="A21" s="95">
        <v>15</v>
      </c>
      <c r="B21" s="95">
        <v>65</v>
      </c>
      <c r="C21" s="95" t="s">
        <v>838</v>
      </c>
      <c r="D21" s="95" t="s">
        <v>584</v>
      </c>
      <c r="E21" s="95" t="s">
        <v>11</v>
      </c>
      <c r="F21" s="95" t="s">
        <v>23</v>
      </c>
      <c r="G21" s="98">
        <v>42986</v>
      </c>
      <c r="H21" s="98">
        <v>44846</v>
      </c>
      <c r="I21" s="101">
        <v>25</v>
      </c>
      <c r="J21" s="101">
        <v>29</v>
      </c>
      <c r="K21" s="101">
        <v>62</v>
      </c>
      <c r="L21" s="101">
        <v>64.5</v>
      </c>
      <c r="M21" s="101">
        <v>62</v>
      </c>
      <c r="N21" s="10">
        <v>29</v>
      </c>
      <c r="O21" s="101">
        <v>22</v>
      </c>
      <c r="P21" s="95">
        <v>10</v>
      </c>
      <c r="Q21" s="95">
        <v>10</v>
      </c>
      <c r="R21" s="95">
        <v>10</v>
      </c>
      <c r="S21" s="95">
        <v>375</v>
      </c>
      <c r="T21" s="95">
        <f t="shared" si="0"/>
        <v>323.5</v>
      </c>
      <c r="U21" s="100">
        <f t="shared" si="1"/>
        <v>0.86266666666666669</v>
      </c>
      <c r="V21" s="63"/>
      <c r="W21" s="61"/>
    </row>
    <row r="22" spans="1:23" ht="42" customHeight="1" x14ac:dyDescent="0.35">
      <c r="A22" s="95">
        <v>16</v>
      </c>
      <c r="B22" s="95">
        <v>1</v>
      </c>
      <c r="C22" s="95" t="s">
        <v>838</v>
      </c>
      <c r="D22" s="95" t="s">
        <v>8</v>
      </c>
      <c r="E22" s="95" t="s">
        <v>17</v>
      </c>
      <c r="F22" s="95" t="s">
        <v>23</v>
      </c>
      <c r="G22" s="98">
        <v>43780</v>
      </c>
      <c r="H22" s="98">
        <v>44569</v>
      </c>
      <c r="I22" s="101">
        <v>10</v>
      </c>
      <c r="J22" s="101">
        <v>22</v>
      </c>
      <c r="K22" s="101">
        <v>64</v>
      </c>
      <c r="L22" s="101">
        <v>44</v>
      </c>
      <c r="M22" s="101">
        <v>37</v>
      </c>
      <c r="N22" s="10">
        <v>29</v>
      </c>
      <c r="O22" s="101">
        <v>22</v>
      </c>
      <c r="P22" s="95">
        <v>10</v>
      </c>
      <c r="Q22" s="95">
        <v>9</v>
      </c>
      <c r="R22" s="95">
        <v>9</v>
      </c>
      <c r="S22" s="95">
        <v>375</v>
      </c>
      <c r="T22" s="95">
        <f t="shared" si="0"/>
        <v>256</v>
      </c>
      <c r="U22" s="100">
        <f t="shared" si="1"/>
        <v>0.68266666666666664</v>
      </c>
      <c r="V22" s="63"/>
      <c r="W22" s="61"/>
    </row>
    <row r="23" spans="1:23" ht="42" customHeight="1" x14ac:dyDescent="0.35">
      <c r="A23" s="95">
        <v>17</v>
      </c>
      <c r="B23" s="95">
        <v>119</v>
      </c>
      <c r="C23" s="95" t="s">
        <v>838</v>
      </c>
      <c r="D23" s="95" t="s">
        <v>588</v>
      </c>
      <c r="E23" s="95" t="s">
        <v>394</v>
      </c>
      <c r="F23" s="95" t="s">
        <v>23</v>
      </c>
      <c r="G23" s="98">
        <v>42840</v>
      </c>
      <c r="H23" s="98">
        <v>45117</v>
      </c>
      <c r="I23" s="101">
        <v>28</v>
      </c>
      <c r="J23" s="101">
        <v>29</v>
      </c>
      <c r="K23" s="101">
        <v>66</v>
      </c>
      <c r="L23" s="101">
        <v>74.5</v>
      </c>
      <c r="M23" s="101">
        <v>45</v>
      </c>
      <c r="N23" s="10">
        <v>29</v>
      </c>
      <c r="O23" s="101">
        <v>25</v>
      </c>
      <c r="P23" s="95">
        <v>10</v>
      </c>
      <c r="Q23" s="95">
        <v>10</v>
      </c>
      <c r="R23" s="95">
        <v>10</v>
      </c>
      <c r="S23" s="95">
        <v>375</v>
      </c>
      <c r="T23" s="95">
        <f t="shared" si="0"/>
        <v>326.5</v>
      </c>
      <c r="U23" s="100">
        <f t="shared" si="1"/>
        <v>0.8706666666666667</v>
      </c>
      <c r="V23" s="63"/>
      <c r="W23" s="61"/>
    </row>
    <row r="24" spans="1:23" ht="42" customHeight="1" x14ac:dyDescent="0.35">
      <c r="A24" s="95">
        <v>18</v>
      </c>
      <c r="B24" s="95">
        <v>53</v>
      </c>
      <c r="C24" s="95" t="s">
        <v>838</v>
      </c>
      <c r="D24" s="95" t="s">
        <v>587</v>
      </c>
      <c r="E24" s="95" t="s">
        <v>555</v>
      </c>
      <c r="F24" s="95" t="s">
        <v>23</v>
      </c>
      <c r="G24" s="98">
        <v>44163</v>
      </c>
      <c r="H24" s="95" t="s">
        <v>741</v>
      </c>
      <c r="I24" s="101">
        <v>15</v>
      </c>
      <c r="J24" s="101">
        <v>20</v>
      </c>
      <c r="K24" s="101">
        <v>31</v>
      </c>
      <c r="L24" s="101">
        <v>17</v>
      </c>
      <c r="M24" s="101">
        <v>34</v>
      </c>
      <c r="N24" s="10">
        <v>7</v>
      </c>
      <c r="O24" s="101">
        <v>20</v>
      </c>
      <c r="P24" s="95">
        <v>6</v>
      </c>
      <c r="Q24" s="95">
        <v>8</v>
      </c>
      <c r="R24" s="95">
        <v>7</v>
      </c>
      <c r="S24" s="95">
        <v>375</v>
      </c>
      <c r="T24" s="95">
        <f t="shared" si="0"/>
        <v>165</v>
      </c>
      <c r="U24" s="100">
        <f t="shared" si="1"/>
        <v>0.44</v>
      </c>
      <c r="V24" s="63"/>
      <c r="W24" s="61"/>
    </row>
    <row r="25" spans="1:23" ht="42" customHeight="1" x14ac:dyDescent="0.35">
      <c r="A25" s="95">
        <v>19</v>
      </c>
      <c r="B25" s="95">
        <v>130</v>
      </c>
      <c r="C25" s="95" t="s">
        <v>838</v>
      </c>
      <c r="D25" s="95" t="s">
        <v>803</v>
      </c>
      <c r="E25" s="95" t="s">
        <v>802</v>
      </c>
      <c r="F25" s="95" t="s">
        <v>23</v>
      </c>
      <c r="G25" s="98">
        <v>42927</v>
      </c>
      <c r="H25" s="98">
        <v>44937</v>
      </c>
      <c r="I25" s="101">
        <v>15</v>
      </c>
      <c r="J25" s="101">
        <v>19</v>
      </c>
      <c r="K25" s="101">
        <v>62.5</v>
      </c>
      <c r="L25" s="101">
        <v>29</v>
      </c>
      <c r="M25" s="101">
        <v>69</v>
      </c>
      <c r="N25" s="10">
        <v>29</v>
      </c>
      <c r="O25" s="101" t="s">
        <v>711</v>
      </c>
      <c r="P25" s="95">
        <v>8</v>
      </c>
      <c r="Q25" s="95">
        <v>10</v>
      </c>
      <c r="R25" s="95">
        <v>9</v>
      </c>
      <c r="S25" s="95">
        <v>375</v>
      </c>
      <c r="T25" s="95">
        <f>I25+J25+K25+L25+M25+N25+P25+Q25+R25</f>
        <v>250.5</v>
      </c>
      <c r="U25" s="100">
        <f t="shared" si="1"/>
        <v>0.66800000000000004</v>
      </c>
      <c r="V25" s="63"/>
      <c r="W25" s="61"/>
    </row>
    <row r="26" spans="1:23" ht="42" customHeight="1" x14ac:dyDescent="0.35">
      <c r="A26" s="95">
        <v>20</v>
      </c>
      <c r="B26" s="95">
        <v>129</v>
      </c>
      <c r="C26" s="95" t="s">
        <v>838</v>
      </c>
      <c r="D26" s="95" t="s">
        <v>801</v>
      </c>
      <c r="E26" s="95" t="s">
        <v>802</v>
      </c>
      <c r="F26" s="95" t="s">
        <v>23</v>
      </c>
      <c r="G26" s="98">
        <v>43387</v>
      </c>
      <c r="H26" s="98">
        <v>44937</v>
      </c>
      <c r="I26" s="101">
        <v>10</v>
      </c>
      <c r="J26" s="101">
        <v>15</v>
      </c>
      <c r="K26" s="101">
        <v>35</v>
      </c>
      <c r="L26" s="101">
        <v>68.5</v>
      </c>
      <c r="M26" s="101">
        <v>30</v>
      </c>
      <c r="N26" s="10">
        <v>29</v>
      </c>
      <c r="O26" s="101" t="s">
        <v>711</v>
      </c>
      <c r="P26" s="95">
        <v>8</v>
      </c>
      <c r="Q26" s="95">
        <v>10</v>
      </c>
      <c r="R26" s="95">
        <v>6</v>
      </c>
      <c r="S26" s="95">
        <v>375</v>
      </c>
      <c r="T26" s="95">
        <f>I26+J26+K26+L26+M26+N26+P26+Q26+R26</f>
        <v>211.5</v>
      </c>
      <c r="U26" s="100">
        <f t="shared" si="1"/>
        <v>0.56399999999999995</v>
      </c>
      <c r="V26" s="63"/>
      <c r="W26" s="61"/>
    </row>
    <row r="27" spans="1:23" ht="42" customHeight="1" x14ac:dyDescent="0.35">
      <c r="A27" s="95">
        <v>21</v>
      </c>
      <c r="B27" s="95">
        <v>3</v>
      </c>
      <c r="C27" s="95" t="s">
        <v>838</v>
      </c>
      <c r="D27" s="95" t="s">
        <v>468</v>
      </c>
      <c r="E27" s="95" t="s">
        <v>430</v>
      </c>
      <c r="F27" s="95" t="s">
        <v>23</v>
      </c>
      <c r="G27" s="98">
        <v>43211</v>
      </c>
      <c r="H27" s="98">
        <v>44569</v>
      </c>
      <c r="I27" s="101">
        <v>20</v>
      </c>
      <c r="J27" s="101">
        <v>23</v>
      </c>
      <c r="K27" s="101">
        <v>71</v>
      </c>
      <c r="L27" s="101">
        <v>48</v>
      </c>
      <c r="M27" s="101">
        <v>69</v>
      </c>
      <c r="N27" s="10">
        <v>20</v>
      </c>
      <c r="O27" s="101">
        <v>25</v>
      </c>
      <c r="P27" s="95">
        <v>10</v>
      </c>
      <c r="Q27" s="95">
        <v>8</v>
      </c>
      <c r="R27" s="95">
        <v>9</v>
      </c>
      <c r="S27" s="95">
        <v>375</v>
      </c>
      <c r="T27" s="95">
        <f t="shared" si="0"/>
        <v>303</v>
      </c>
      <c r="U27" s="100">
        <f t="shared" si="1"/>
        <v>0.80800000000000005</v>
      </c>
      <c r="V27" s="63"/>
      <c r="W27" s="61"/>
    </row>
    <row r="28" spans="1:23" ht="42" customHeight="1" x14ac:dyDescent="0.35">
      <c r="A28" s="95">
        <v>22</v>
      </c>
      <c r="B28" s="95">
        <v>122</v>
      </c>
      <c r="C28" s="95" t="s">
        <v>838</v>
      </c>
      <c r="D28" s="95" t="s">
        <v>790</v>
      </c>
      <c r="E28" s="95" t="s">
        <v>40</v>
      </c>
      <c r="F28" s="95" t="s">
        <v>23</v>
      </c>
      <c r="G28" s="98">
        <v>42944</v>
      </c>
      <c r="H28" s="98">
        <v>45179</v>
      </c>
      <c r="I28" s="101">
        <v>15</v>
      </c>
      <c r="J28" s="101">
        <v>12</v>
      </c>
      <c r="K28" s="101">
        <v>65</v>
      </c>
      <c r="L28" s="101">
        <v>40</v>
      </c>
      <c r="M28" s="101">
        <v>35</v>
      </c>
      <c r="N28" s="10">
        <v>25</v>
      </c>
      <c r="O28" s="101">
        <v>25</v>
      </c>
      <c r="P28" s="95">
        <v>7</v>
      </c>
      <c r="Q28" s="95">
        <v>7</v>
      </c>
      <c r="R28" s="95">
        <v>10</v>
      </c>
      <c r="S28" s="95">
        <v>375</v>
      </c>
      <c r="T28" s="95">
        <f t="shared" si="0"/>
        <v>241</v>
      </c>
      <c r="U28" s="100">
        <f t="shared" si="1"/>
        <v>0.64266666666666672</v>
      </c>
      <c r="V28" s="63"/>
      <c r="W28" s="61"/>
    </row>
    <row r="29" spans="1:23" ht="42" customHeight="1" x14ac:dyDescent="0.35">
      <c r="A29" s="95">
        <v>23</v>
      </c>
      <c r="B29" s="95">
        <v>25</v>
      </c>
      <c r="C29" s="95" t="s">
        <v>838</v>
      </c>
      <c r="D29" s="95" t="s">
        <v>586</v>
      </c>
      <c r="E29" s="95" t="s">
        <v>36</v>
      </c>
      <c r="F29" s="95" t="s">
        <v>23</v>
      </c>
      <c r="G29" s="98">
        <v>42882</v>
      </c>
      <c r="H29" s="98">
        <v>44569</v>
      </c>
      <c r="I29" s="101">
        <v>28</v>
      </c>
      <c r="J29" s="101">
        <v>25</v>
      </c>
      <c r="K29" s="101">
        <v>69.5</v>
      </c>
      <c r="L29" s="101">
        <v>25</v>
      </c>
      <c r="M29" s="101">
        <v>54</v>
      </c>
      <c r="N29" s="10">
        <v>26</v>
      </c>
      <c r="O29" s="101">
        <v>25</v>
      </c>
      <c r="P29" s="95">
        <v>10</v>
      </c>
      <c r="Q29" s="95">
        <v>10</v>
      </c>
      <c r="R29" s="95">
        <v>10</v>
      </c>
      <c r="S29" s="95">
        <v>375</v>
      </c>
      <c r="T29" s="95">
        <f t="shared" si="0"/>
        <v>282.5</v>
      </c>
      <c r="U29" s="100">
        <f t="shared" si="1"/>
        <v>0.7533333333333333</v>
      </c>
      <c r="V29" s="63"/>
      <c r="W29" s="61"/>
    </row>
    <row r="30" spans="1:23" ht="42" customHeight="1" x14ac:dyDescent="0.35">
      <c r="A30" s="95">
        <v>24</v>
      </c>
      <c r="B30" s="95">
        <v>17</v>
      </c>
      <c r="C30" s="95" t="s">
        <v>838</v>
      </c>
      <c r="D30" s="95" t="s">
        <v>728</v>
      </c>
      <c r="E30" s="95" t="s">
        <v>585</v>
      </c>
      <c r="F30" s="95" t="s">
        <v>23</v>
      </c>
      <c r="G30" s="98">
        <v>43532</v>
      </c>
      <c r="H30" s="98">
        <v>44569</v>
      </c>
      <c r="I30" s="101">
        <v>25</v>
      </c>
      <c r="J30" s="101">
        <v>29</v>
      </c>
      <c r="K30" s="101">
        <v>28</v>
      </c>
      <c r="L30" s="101">
        <v>65</v>
      </c>
      <c r="M30" s="101">
        <v>69</v>
      </c>
      <c r="N30" s="10">
        <v>25</v>
      </c>
      <c r="O30" s="101">
        <v>29</v>
      </c>
      <c r="P30" s="95">
        <v>10</v>
      </c>
      <c r="Q30" s="95">
        <v>10</v>
      </c>
      <c r="R30" s="95">
        <v>10</v>
      </c>
      <c r="S30" s="95">
        <v>375</v>
      </c>
      <c r="T30" s="95">
        <f t="shared" si="0"/>
        <v>300</v>
      </c>
      <c r="U30" s="100">
        <f t="shared" si="1"/>
        <v>0.8</v>
      </c>
      <c r="V30" s="63"/>
      <c r="W30" s="61"/>
    </row>
    <row r="31" spans="1:23" ht="42" customHeight="1" x14ac:dyDescent="0.25">
      <c r="A31" s="154" t="s">
        <v>683</v>
      </c>
      <c r="B31" s="155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6"/>
    </row>
    <row r="32" spans="1:23" ht="42" customHeight="1" x14ac:dyDescent="0.35">
      <c r="A32" s="95">
        <v>25</v>
      </c>
      <c r="B32" s="95">
        <v>134</v>
      </c>
      <c r="C32" s="95" t="s">
        <v>838</v>
      </c>
      <c r="D32" s="95" t="s">
        <v>608</v>
      </c>
      <c r="E32" s="95" t="s">
        <v>139</v>
      </c>
      <c r="F32" s="95" t="s">
        <v>24</v>
      </c>
      <c r="G32" s="98">
        <v>43132</v>
      </c>
      <c r="H32" s="98">
        <v>45211</v>
      </c>
      <c r="I32" s="101">
        <v>29</v>
      </c>
      <c r="J32" s="101">
        <v>29</v>
      </c>
      <c r="K32" s="101">
        <v>63.5</v>
      </c>
      <c r="L32" s="101">
        <v>70.5</v>
      </c>
      <c r="M32" s="101">
        <v>54.5</v>
      </c>
      <c r="N32" s="10">
        <v>25</v>
      </c>
      <c r="O32" s="101">
        <v>29</v>
      </c>
      <c r="P32" s="95">
        <v>7</v>
      </c>
      <c r="Q32" s="95">
        <v>10</v>
      </c>
      <c r="R32" s="95">
        <v>9</v>
      </c>
      <c r="S32" s="95">
        <v>375</v>
      </c>
      <c r="T32" s="95">
        <f t="shared" si="0"/>
        <v>326.5</v>
      </c>
      <c r="U32" s="100">
        <f t="shared" si="1"/>
        <v>0.8706666666666667</v>
      </c>
      <c r="V32" s="63"/>
      <c r="W32" s="61"/>
    </row>
    <row r="33" spans="1:23" ht="42" customHeight="1" x14ac:dyDescent="0.35">
      <c r="A33" s="95">
        <v>26</v>
      </c>
      <c r="B33" s="95">
        <v>118</v>
      </c>
      <c r="C33" s="95" t="s">
        <v>838</v>
      </c>
      <c r="D33" s="95" t="s">
        <v>788</v>
      </c>
      <c r="E33" s="95" t="s">
        <v>609</v>
      </c>
      <c r="F33" s="95" t="s">
        <v>24</v>
      </c>
      <c r="G33" s="98">
        <v>43351</v>
      </c>
      <c r="H33" s="98">
        <v>44967</v>
      </c>
      <c r="I33" s="101">
        <v>29</v>
      </c>
      <c r="J33" s="101">
        <v>29</v>
      </c>
      <c r="K33" s="101">
        <v>66</v>
      </c>
      <c r="L33" s="101">
        <v>75</v>
      </c>
      <c r="M33" s="101">
        <v>64</v>
      </c>
      <c r="N33" s="10">
        <v>26</v>
      </c>
      <c r="O33" s="101">
        <v>29</v>
      </c>
      <c r="P33" s="95">
        <v>10</v>
      </c>
      <c r="Q33" s="95">
        <v>10</v>
      </c>
      <c r="R33" s="95">
        <v>10</v>
      </c>
      <c r="S33" s="95">
        <v>375</v>
      </c>
      <c r="T33" s="95">
        <f t="shared" si="0"/>
        <v>348</v>
      </c>
      <c r="U33" s="100">
        <f t="shared" si="1"/>
        <v>0.92800000000000005</v>
      </c>
      <c r="V33" s="63"/>
      <c r="W33" s="61"/>
    </row>
    <row r="34" spans="1:23" ht="42" customHeight="1" x14ac:dyDescent="0.35">
      <c r="A34" s="95">
        <v>27</v>
      </c>
      <c r="B34" s="95">
        <v>127</v>
      </c>
      <c r="C34" s="95" t="s">
        <v>838</v>
      </c>
      <c r="D34" s="95" t="s">
        <v>614</v>
      </c>
      <c r="E34" s="95" t="s">
        <v>544</v>
      </c>
      <c r="F34" s="95" t="s">
        <v>24</v>
      </c>
      <c r="G34" s="98">
        <v>42971</v>
      </c>
      <c r="H34" s="95" t="s">
        <v>798</v>
      </c>
      <c r="I34" s="101">
        <v>15</v>
      </c>
      <c r="J34" s="101">
        <v>20</v>
      </c>
      <c r="K34" s="101">
        <v>59</v>
      </c>
      <c r="L34" s="101">
        <v>43</v>
      </c>
      <c r="M34" s="101">
        <v>38</v>
      </c>
      <c r="N34" s="10">
        <v>24</v>
      </c>
      <c r="O34" s="101">
        <v>28</v>
      </c>
      <c r="P34" s="95">
        <v>5</v>
      </c>
      <c r="Q34" s="95">
        <v>7</v>
      </c>
      <c r="R34" s="95">
        <v>7</v>
      </c>
      <c r="S34" s="95">
        <v>375</v>
      </c>
      <c r="T34" s="95">
        <f t="shared" si="0"/>
        <v>246</v>
      </c>
      <c r="U34" s="100">
        <f t="shared" si="1"/>
        <v>0.65600000000000003</v>
      </c>
      <c r="V34" s="63"/>
      <c r="W34" s="61"/>
    </row>
    <row r="35" spans="1:23" ht="42" customHeight="1" x14ac:dyDescent="0.35">
      <c r="A35" s="95">
        <v>28</v>
      </c>
      <c r="B35" s="95">
        <v>121</v>
      </c>
      <c r="C35" s="95" t="s">
        <v>838</v>
      </c>
      <c r="D35" s="95" t="s">
        <v>10</v>
      </c>
      <c r="E35" s="95" t="s">
        <v>755</v>
      </c>
      <c r="F35" s="95" t="s">
        <v>24</v>
      </c>
      <c r="G35" s="98">
        <v>43368</v>
      </c>
      <c r="H35" s="98">
        <v>45179</v>
      </c>
      <c r="I35" s="101">
        <v>23</v>
      </c>
      <c r="J35" s="101">
        <v>25</v>
      </c>
      <c r="K35" s="101">
        <v>70</v>
      </c>
      <c r="L35" s="101">
        <v>51.5</v>
      </c>
      <c r="M35" s="101">
        <v>73.5</v>
      </c>
      <c r="N35" s="10">
        <v>24</v>
      </c>
      <c r="O35" s="101">
        <v>25</v>
      </c>
      <c r="P35" s="95">
        <v>10</v>
      </c>
      <c r="Q35" s="95">
        <v>10</v>
      </c>
      <c r="R35" s="95">
        <v>10</v>
      </c>
      <c r="S35" s="95">
        <v>375</v>
      </c>
      <c r="T35" s="95">
        <f t="shared" si="0"/>
        <v>322</v>
      </c>
      <c r="U35" s="100">
        <f t="shared" si="1"/>
        <v>0.85866666666666669</v>
      </c>
      <c r="V35" s="63"/>
      <c r="W35" s="61"/>
    </row>
    <row r="36" spans="1:23" ht="42" customHeight="1" x14ac:dyDescent="0.35">
      <c r="A36" s="95">
        <v>29</v>
      </c>
      <c r="B36" s="95">
        <v>63</v>
      </c>
      <c r="C36" s="95" t="s">
        <v>838</v>
      </c>
      <c r="D36" s="95" t="s">
        <v>749</v>
      </c>
      <c r="E36" s="95" t="s">
        <v>494</v>
      </c>
      <c r="F36" s="95" t="s">
        <v>24</v>
      </c>
      <c r="G36" s="98">
        <v>43358</v>
      </c>
      <c r="H36" s="98">
        <v>44724</v>
      </c>
      <c r="I36" s="101">
        <v>23</v>
      </c>
      <c r="J36" s="101">
        <v>15</v>
      </c>
      <c r="K36" s="101">
        <v>65.5</v>
      </c>
      <c r="L36" s="101">
        <v>42.5</v>
      </c>
      <c r="M36" s="101">
        <v>49</v>
      </c>
      <c r="N36" s="10">
        <v>25</v>
      </c>
      <c r="O36" s="101">
        <v>23</v>
      </c>
      <c r="P36" s="95">
        <v>7</v>
      </c>
      <c r="Q36" s="95">
        <v>8</v>
      </c>
      <c r="R36" s="95">
        <v>10</v>
      </c>
      <c r="S36" s="95">
        <v>375</v>
      </c>
      <c r="T36" s="95">
        <f t="shared" si="0"/>
        <v>268</v>
      </c>
      <c r="U36" s="100">
        <f t="shared" si="1"/>
        <v>0.71466666666666667</v>
      </c>
      <c r="V36" s="63"/>
      <c r="W36" s="61"/>
    </row>
    <row r="37" spans="1:23" ht="42" customHeight="1" x14ac:dyDescent="0.35">
      <c r="A37" s="95">
        <v>30</v>
      </c>
      <c r="B37" s="95">
        <v>45</v>
      </c>
      <c r="C37" s="95" t="s">
        <v>838</v>
      </c>
      <c r="D37" s="10" t="s">
        <v>592</v>
      </c>
      <c r="E37" s="10" t="s">
        <v>733</v>
      </c>
      <c r="F37" s="10" t="s">
        <v>24</v>
      </c>
      <c r="G37" s="14">
        <v>42740</v>
      </c>
      <c r="H37" s="14">
        <v>44628</v>
      </c>
      <c r="I37" s="101">
        <v>10</v>
      </c>
      <c r="J37" s="101">
        <v>15</v>
      </c>
      <c r="K37" s="101">
        <v>58</v>
      </c>
      <c r="L37" s="101">
        <v>53</v>
      </c>
      <c r="M37" s="101">
        <v>52</v>
      </c>
      <c r="N37" s="10">
        <v>15</v>
      </c>
      <c r="O37" s="101">
        <v>25</v>
      </c>
      <c r="P37" s="95">
        <v>5</v>
      </c>
      <c r="Q37" s="95">
        <v>6</v>
      </c>
      <c r="R37" s="95">
        <v>6</v>
      </c>
      <c r="S37" s="95">
        <v>375</v>
      </c>
      <c r="T37" s="95">
        <f t="shared" si="0"/>
        <v>245</v>
      </c>
      <c r="U37" s="100">
        <f t="shared" si="1"/>
        <v>0.65333333333333332</v>
      </c>
      <c r="V37" s="63"/>
      <c r="W37" s="61"/>
    </row>
    <row r="38" spans="1:23" ht="42" customHeight="1" x14ac:dyDescent="0.35">
      <c r="A38" s="95">
        <v>31</v>
      </c>
      <c r="B38" s="95">
        <v>10</v>
      </c>
      <c r="C38" s="95" t="s">
        <v>838</v>
      </c>
      <c r="D38" s="95" t="s">
        <v>726</v>
      </c>
      <c r="E38" s="95" t="s">
        <v>727</v>
      </c>
      <c r="F38" s="95" t="s">
        <v>24</v>
      </c>
      <c r="G38" s="98">
        <v>43125</v>
      </c>
      <c r="H38" s="98">
        <v>44569</v>
      </c>
      <c r="I38" s="101">
        <v>29</v>
      </c>
      <c r="J38" s="101">
        <v>29</v>
      </c>
      <c r="K38" s="101">
        <v>69</v>
      </c>
      <c r="L38" s="101">
        <v>48</v>
      </c>
      <c r="M38" s="101">
        <v>68</v>
      </c>
      <c r="N38" s="10">
        <v>26</v>
      </c>
      <c r="O38" s="101">
        <v>27</v>
      </c>
      <c r="P38" s="95">
        <v>10</v>
      </c>
      <c r="Q38" s="95">
        <v>10</v>
      </c>
      <c r="R38" s="95">
        <v>10</v>
      </c>
      <c r="S38" s="95">
        <v>375</v>
      </c>
      <c r="T38" s="95">
        <f t="shared" si="0"/>
        <v>326</v>
      </c>
      <c r="U38" s="100">
        <f t="shared" si="1"/>
        <v>0.86933333333333329</v>
      </c>
      <c r="V38" s="63"/>
      <c r="W38" s="61"/>
    </row>
    <row r="39" spans="1:23" ht="42" customHeight="1" x14ac:dyDescent="0.35">
      <c r="A39" s="95">
        <v>32</v>
      </c>
      <c r="B39" s="95">
        <v>60</v>
      </c>
      <c r="C39" s="95" t="s">
        <v>838</v>
      </c>
      <c r="D39" s="95" t="s">
        <v>726</v>
      </c>
      <c r="E39" s="95" t="s">
        <v>565</v>
      </c>
      <c r="F39" s="95" t="s">
        <v>24</v>
      </c>
      <c r="G39" s="98">
        <v>43075</v>
      </c>
      <c r="H39" s="98">
        <v>44814</v>
      </c>
      <c r="I39" s="101">
        <v>29</v>
      </c>
      <c r="J39" s="101">
        <v>29</v>
      </c>
      <c r="K39" s="101">
        <v>72</v>
      </c>
      <c r="L39" s="101">
        <v>60</v>
      </c>
      <c r="M39" s="101">
        <v>69.5</v>
      </c>
      <c r="N39" s="10">
        <v>29</v>
      </c>
      <c r="O39" s="101">
        <v>29</v>
      </c>
      <c r="P39" s="95">
        <v>10</v>
      </c>
      <c r="Q39" s="95">
        <v>10</v>
      </c>
      <c r="R39" s="95">
        <v>10</v>
      </c>
      <c r="S39" s="95">
        <v>375</v>
      </c>
      <c r="T39" s="95">
        <f t="shared" si="0"/>
        <v>347.5</v>
      </c>
      <c r="U39" s="100">
        <f t="shared" si="1"/>
        <v>0.92666666666666664</v>
      </c>
      <c r="V39" s="63"/>
      <c r="W39" s="61"/>
    </row>
    <row r="40" spans="1:23" ht="42" customHeight="1" x14ac:dyDescent="0.35">
      <c r="A40" s="95">
        <v>33</v>
      </c>
      <c r="B40" s="95">
        <v>124</v>
      </c>
      <c r="C40" s="95" t="s">
        <v>838</v>
      </c>
      <c r="D40" s="95" t="s">
        <v>19</v>
      </c>
      <c r="E40" s="95" t="s">
        <v>612</v>
      </c>
      <c r="F40" s="95" t="s">
        <v>24</v>
      </c>
      <c r="G40" s="98">
        <v>42802</v>
      </c>
      <c r="H40" s="95" t="s">
        <v>792</v>
      </c>
      <c r="I40" s="101">
        <v>20</v>
      </c>
      <c r="J40" s="101">
        <v>23</v>
      </c>
      <c r="K40" s="101">
        <v>44</v>
      </c>
      <c r="L40" s="101">
        <v>56</v>
      </c>
      <c r="M40" s="101">
        <v>39</v>
      </c>
      <c r="N40" s="10">
        <v>5</v>
      </c>
      <c r="O40" s="101">
        <v>20</v>
      </c>
      <c r="P40" s="95">
        <v>6</v>
      </c>
      <c r="Q40" s="95">
        <v>7</v>
      </c>
      <c r="R40" s="95">
        <v>6</v>
      </c>
      <c r="S40" s="95">
        <v>375</v>
      </c>
      <c r="T40" s="95">
        <f t="shared" ref="T40:T62" si="2">I40+J40+K40+L40+M40+N40+O40+P40+Q40+R40</f>
        <v>226</v>
      </c>
      <c r="U40" s="100">
        <f t="shared" ref="U40:U62" si="3">T40/S40</f>
        <v>0.60266666666666668</v>
      </c>
      <c r="V40" s="63"/>
      <c r="W40" s="61"/>
    </row>
    <row r="41" spans="1:23" ht="42" customHeight="1" x14ac:dyDescent="0.35">
      <c r="A41" s="95">
        <v>34</v>
      </c>
      <c r="B41" s="95">
        <v>42</v>
      </c>
      <c r="C41" s="95" t="s">
        <v>838</v>
      </c>
      <c r="D41" s="95" t="s">
        <v>605</v>
      </c>
      <c r="E41" s="95" t="s">
        <v>581</v>
      </c>
      <c r="F41" s="95" t="s">
        <v>24</v>
      </c>
      <c r="G41" s="98">
        <v>43189</v>
      </c>
      <c r="H41" s="98">
        <v>44600</v>
      </c>
      <c r="I41" s="101">
        <v>20</v>
      </c>
      <c r="J41" s="101">
        <v>15</v>
      </c>
      <c r="K41" s="101">
        <v>60</v>
      </c>
      <c r="L41" s="101">
        <v>63</v>
      </c>
      <c r="M41" s="101">
        <v>59.5</v>
      </c>
      <c r="N41" s="10">
        <v>25</v>
      </c>
      <c r="O41" s="101">
        <v>28</v>
      </c>
      <c r="P41" s="95">
        <v>7</v>
      </c>
      <c r="Q41" s="95">
        <v>10</v>
      </c>
      <c r="R41" s="95">
        <v>9</v>
      </c>
      <c r="S41" s="95">
        <v>375</v>
      </c>
      <c r="T41" s="95">
        <f t="shared" si="2"/>
        <v>296.5</v>
      </c>
      <c r="U41" s="100">
        <f t="shared" si="3"/>
        <v>0.79066666666666663</v>
      </c>
      <c r="V41" s="63"/>
      <c r="W41" s="61"/>
    </row>
    <row r="42" spans="1:23" ht="42" customHeight="1" x14ac:dyDescent="0.35">
      <c r="A42" s="95">
        <v>35</v>
      </c>
      <c r="B42" s="95">
        <v>21</v>
      </c>
      <c r="C42" s="95" t="s">
        <v>838</v>
      </c>
      <c r="D42" s="95" t="s">
        <v>552</v>
      </c>
      <c r="E42" s="95" t="s">
        <v>603</v>
      </c>
      <c r="F42" s="95" t="s">
        <v>24</v>
      </c>
      <c r="G42" s="98">
        <v>43673</v>
      </c>
      <c r="H42" s="98">
        <v>44569</v>
      </c>
      <c r="I42" s="101">
        <v>20</v>
      </c>
      <c r="J42" s="101">
        <v>23</v>
      </c>
      <c r="K42" s="101">
        <v>48</v>
      </c>
      <c r="L42" s="101">
        <v>37.5</v>
      </c>
      <c r="M42" s="101">
        <v>40</v>
      </c>
      <c r="N42" s="10">
        <v>15</v>
      </c>
      <c r="O42" s="101" t="s">
        <v>711</v>
      </c>
      <c r="P42" s="95">
        <v>10</v>
      </c>
      <c r="Q42" s="95">
        <v>6</v>
      </c>
      <c r="R42" s="95">
        <v>9</v>
      </c>
      <c r="S42" s="95">
        <v>375</v>
      </c>
      <c r="T42" s="95">
        <f>I42+J42+K42+L42+M42+N42+P42+Q42+R42</f>
        <v>208.5</v>
      </c>
      <c r="U42" s="100">
        <f t="shared" si="3"/>
        <v>0.55600000000000005</v>
      </c>
      <c r="V42" s="63"/>
      <c r="W42" s="61"/>
    </row>
    <row r="43" spans="1:23" ht="42" customHeight="1" x14ac:dyDescent="0.35">
      <c r="A43" s="95">
        <v>36</v>
      </c>
      <c r="B43" s="95">
        <v>7</v>
      </c>
      <c r="C43" s="95" t="s">
        <v>838</v>
      </c>
      <c r="D43" s="95" t="s">
        <v>630</v>
      </c>
      <c r="E43" s="95" t="s">
        <v>593</v>
      </c>
      <c r="F43" s="95" t="s">
        <v>24</v>
      </c>
      <c r="G43" s="98">
        <v>43342</v>
      </c>
      <c r="H43" s="98">
        <v>44569</v>
      </c>
      <c r="I43" s="101">
        <v>9</v>
      </c>
      <c r="J43" s="101">
        <v>6</v>
      </c>
      <c r="K43" s="101">
        <v>33</v>
      </c>
      <c r="L43" s="101">
        <v>26</v>
      </c>
      <c r="M43" s="101">
        <v>19</v>
      </c>
      <c r="N43" s="10">
        <v>5</v>
      </c>
      <c r="O43" s="101">
        <v>15</v>
      </c>
      <c r="P43" s="95">
        <v>5</v>
      </c>
      <c r="Q43" s="95">
        <v>5</v>
      </c>
      <c r="R43" s="95">
        <v>9</v>
      </c>
      <c r="S43" s="95">
        <v>375</v>
      </c>
      <c r="T43" s="95">
        <f t="shared" si="2"/>
        <v>132</v>
      </c>
      <c r="U43" s="100">
        <f t="shared" si="3"/>
        <v>0.35199999999999998</v>
      </c>
      <c r="V43" s="63"/>
      <c r="W43" s="61"/>
    </row>
    <row r="44" spans="1:23" ht="42" customHeight="1" x14ac:dyDescent="0.35">
      <c r="A44" s="95">
        <v>37</v>
      </c>
      <c r="B44" s="95">
        <v>52</v>
      </c>
      <c r="C44" s="95" t="s">
        <v>838</v>
      </c>
      <c r="D44" s="95" t="s">
        <v>502</v>
      </c>
      <c r="E44" s="95" t="s">
        <v>611</v>
      </c>
      <c r="F44" s="95" t="s">
        <v>24</v>
      </c>
      <c r="G44" s="98">
        <v>42380</v>
      </c>
      <c r="H44" s="95" t="s">
        <v>740</v>
      </c>
      <c r="I44" s="101">
        <v>0</v>
      </c>
      <c r="J44" s="101">
        <v>0</v>
      </c>
      <c r="K44" s="101">
        <v>52</v>
      </c>
      <c r="L44" s="101">
        <v>53</v>
      </c>
      <c r="M44" s="101">
        <v>27</v>
      </c>
      <c r="N44" s="10">
        <v>25</v>
      </c>
      <c r="O44" s="101">
        <v>28</v>
      </c>
      <c r="P44" s="95">
        <v>3</v>
      </c>
      <c r="Q44" s="95">
        <v>3</v>
      </c>
      <c r="R44" s="95">
        <v>6</v>
      </c>
      <c r="S44" s="95">
        <v>375</v>
      </c>
      <c r="T44" s="95">
        <f t="shared" si="2"/>
        <v>197</v>
      </c>
      <c r="U44" s="100">
        <f t="shared" si="3"/>
        <v>0.52533333333333332</v>
      </c>
      <c r="V44" s="63"/>
      <c r="W44" s="61"/>
    </row>
    <row r="45" spans="1:23" ht="42" customHeight="1" x14ac:dyDescent="0.35">
      <c r="A45" s="95">
        <v>38</v>
      </c>
      <c r="B45" s="95">
        <v>55</v>
      </c>
      <c r="C45" s="95" t="s">
        <v>838</v>
      </c>
      <c r="D45" s="95" t="s">
        <v>597</v>
      </c>
      <c r="E45" s="95" t="s">
        <v>742</v>
      </c>
      <c r="F45" s="95" t="s">
        <v>24</v>
      </c>
      <c r="G45" s="98">
        <v>43574</v>
      </c>
      <c r="H45" s="98">
        <v>44751</v>
      </c>
      <c r="I45" s="101">
        <v>25</v>
      </c>
      <c r="J45" s="101">
        <v>23</v>
      </c>
      <c r="K45" s="101">
        <v>59</v>
      </c>
      <c r="L45" s="101">
        <v>41</v>
      </c>
      <c r="M45" s="101">
        <v>37.5</v>
      </c>
      <c r="N45" s="10">
        <v>26</v>
      </c>
      <c r="O45" s="101">
        <v>5</v>
      </c>
      <c r="P45" s="95">
        <v>6</v>
      </c>
      <c r="Q45" s="95">
        <v>5</v>
      </c>
      <c r="R45" s="95">
        <v>6</v>
      </c>
      <c r="S45" s="95">
        <v>375</v>
      </c>
      <c r="T45" s="95">
        <f t="shared" si="2"/>
        <v>233.5</v>
      </c>
      <c r="U45" s="100">
        <f t="shared" si="3"/>
        <v>0.6226666666666667</v>
      </c>
      <c r="V45" s="63"/>
      <c r="W45" s="61"/>
    </row>
    <row r="46" spans="1:23" ht="42" customHeight="1" x14ac:dyDescent="0.35">
      <c r="A46" s="95">
        <v>39</v>
      </c>
      <c r="B46" s="95">
        <v>28</v>
      </c>
      <c r="C46" s="95" t="s">
        <v>838</v>
      </c>
      <c r="D46" s="95" t="s">
        <v>729</v>
      </c>
      <c r="E46" s="95" t="s">
        <v>602</v>
      </c>
      <c r="F46" s="95" t="s">
        <v>24</v>
      </c>
      <c r="G46" s="98">
        <v>42756</v>
      </c>
      <c r="H46" s="98">
        <v>44569</v>
      </c>
      <c r="I46" s="101">
        <v>29</v>
      </c>
      <c r="J46" s="101">
        <v>29</v>
      </c>
      <c r="K46" s="101">
        <v>65</v>
      </c>
      <c r="L46" s="101">
        <v>71.5</v>
      </c>
      <c r="M46" s="101">
        <v>57</v>
      </c>
      <c r="N46" s="10">
        <v>29</v>
      </c>
      <c r="O46" s="101">
        <v>10</v>
      </c>
      <c r="P46" s="95">
        <v>10</v>
      </c>
      <c r="Q46" s="95">
        <v>10</v>
      </c>
      <c r="R46" s="95">
        <v>10</v>
      </c>
      <c r="S46" s="95">
        <v>375</v>
      </c>
      <c r="T46" s="95">
        <f t="shared" si="2"/>
        <v>320.5</v>
      </c>
      <c r="U46" s="100">
        <f t="shared" si="3"/>
        <v>0.85466666666666669</v>
      </c>
      <c r="V46" s="63"/>
      <c r="W46" s="61"/>
    </row>
    <row r="47" spans="1:23" ht="42" customHeight="1" x14ac:dyDescent="0.35">
      <c r="A47" s="95">
        <v>40</v>
      </c>
      <c r="B47" s="95">
        <v>39</v>
      </c>
      <c r="C47" s="95" t="s">
        <v>838</v>
      </c>
      <c r="D47" s="95" t="s">
        <v>596</v>
      </c>
      <c r="E47" s="95" t="s">
        <v>732</v>
      </c>
      <c r="F47" s="95" t="s">
        <v>24</v>
      </c>
      <c r="G47" s="98">
        <v>43742</v>
      </c>
      <c r="H47" s="98">
        <v>44600</v>
      </c>
      <c r="I47" s="101">
        <v>18</v>
      </c>
      <c r="J47" s="101">
        <v>20</v>
      </c>
      <c r="K47" s="101">
        <v>40</v>
      </c>
      <c r="L47" s="101">
        <v>42</v>
      </c>
      <c r="M47" s="101">
        <v>48</v>
      </c>
      <c r="N47" s="10">
        <v>28</v>
      </c>
      <c r="O47" s="101">
        <v>25</v>
      </c>
      <c r="P47" s="95">
        <v>5</v>
      </c>
      <c r="Q47" s="95">
        <v>7</v>
      </c>
      <c r="R47" s="95">
        <v>8</v>
      </c>
      <c r="S47" s="95">
        <v>375</v>
      </c>
      <c r="T47" s="95">
        <f t="shared" si="2"/>
        <v>241</v>
      </c>
      <c r="U47" s="100">
        <f t="shared" si="3"/>
        <v>0.64266666666666672</v>
      </c>
      <c r="V47" s="63"/>
      <c r="W47" s="61"/>
    </row>
    <row r="48" spans="1:23" ht="42" customHeight="1" x14ac:dyDescent="0.35">
      <c r="A48" s="95">
        <v>41</v>
      </c>
      <c r="B48" s="95">
        <v>117</v>
      </c>
      <c r="C48" s="95" t="s">
        <v>838</v>
      </c>
      <c r="D48" s="95" t="s">
        <v>599</v>
      </c>
      <c r="E48" s="95" t="s">
        <v>568</v>
      </c>
      <c r="F48" s="95" t="s">
        <v>24</v>
      </c>
      <c r="G48" s="98">
        <v>42749</v>
      </c>
      <c r="H48" s="98">
        <v>44967</v>
      </c>
      <c r="I48" s="101">
        <v>29</v>
      </c>
      <c r="J48" s="101">
        <v>29</v>
      </c>
      <c r="K48" s="101">
        <v>72</v>
      </c>
      <c r="L48" s="101">
        <v>73.5</v>
      </c>
      <c r="M48" s="101">
        <v>72</v>
      </c>
      <c r="N48" s="10">
        <v>25</v>
      </c>
      <c r="O48" s="101">
        <v>29</v>
      </c>
      <c r="P48" s="95">
        <v>10</v>
      </c>
      <c r="Q48" s="95">
        <v>10</v>
      </c>
      <c r="R48" s="95">
        <v>10</v>
      </c>
      <c r="S48" s="95">
        <v>375</v>
      </c>
      <c r="T48" s="95">
        <f t="shared" si="2"/>
        <v>359.5</v>
      </c>
      <c r="U48" s="100">
        <f t="shared" si="3"/>
        <v>0.95866666666666667</v>
      </c>
      <c r="V48" s="63"/>
      <c r="W48" s="61"/>
    </row>
    <row r="49" spans="1:23" ht="42" customHeight="1" x14ac:dyDescent="0.35">
      <c r="A49" s="95">
        <v>42</v>
      </c>
      <c r="B49" s="95">
        <v>29</v>
      </c>
      <c r="C49" s="95" t="s">
        <v>838</v>
      </c>
      <c r="D49" s="95" t="s">
        <v>730</v>
      </c>
      <c r="E49" s="95" t="s">
        <v>576</v>
      </c>
      <c r="F49" s="98" t="s">
        <v>24</v>
      </c>
      <c r="G49" s="98">
        <v>42499</v>
      </c>
      <c r="H49" s="98">
        <v>44569</v>
      </c>
      <c r="I49" s="101">
        <v>19</v>
      </c>
      <c r="J49" s="101">
        <v>20</v>
      </c>
      <c r="K49" s="101">
        <v>43</v>
      </c>
      <c r="L49" s="101">
        <v>58.5</v>
      </c>
      <c r="M49" s="101">
        <v>43.5</v>
      </c>
      <c r="N49" s="10">
        <v>21</v>
      </c>
      <c r="O49" s="101">
        <v>27</v>
      </c>
      <c r="P49" s="95">
        <v>10</v>
      </c>
      <c r="Q49" s="95">
        <v>8</v>
      </c>
      <c r="R49" s="95">
        <v>8</v>
      </c>
      <c r="S49" s="95">
        <v>375</v>
      </c>
      <c r="T49" s="95">
        <f t="shared" si="2"/>
        <v>258</v>
      </c>
      <c r="U49" s="100">
        <f t="shared" si="3"/>
        <v>0.68799999999999994</v>
      </c>
      <c r="V49" s="63"/>
      <c r="W49" s="61"/>
    </row>
    <row r="50" spans="1:23" ht="42" customHeight="1" x14ac:dyDescent="0.35">
      <c r="A50" s="95">
        <v>43</v>
      </c>
      <c r="B50" s="95">
        <v>91</v>
      </c>
      <c r="C50" s="95" t="s">
        <v>838</v>
      </c>
      <c r="D50" s="95" t="s">
        <v>765</v>
      </c>
      <c r="E50" s="95" t="s">
        <v>551</v>
      </c>
      <c r="F50" s="95" t="s">
        <v>24</v>
      </c>
      <c r="G50" s="98">
        <v>43349</v>
      </c>
      <c r="H50" s="98">
        <v>44965</v>
      </c>
      <c r="I50" s="101">
        <v>20</v>
      </c>
      <c r="J50" s="101">
        <v>17</v>
      </c>
      <c r="K50" s="101">
        <v>72</v>
      </c>
      <c r="L50" s="101">
        <v>70</v>
      </c>
      <c r="M50" s="101">
        <v>47</v>
      </c>
      <c r="N50" s="10">
        <v>25</v>
      </c>
      <c r="O50" s="101">
        <v>29</v>
      </c>
      <c r="P50" s="95">
        <v>10</v>
      </c>
      <c r="Q50" s="95">
        <v>10</v>
      </c>
      <c r="R50" s="95">
        <v>10</v>
      </c>
      <c r="S50" s="95">
        <v>375</v>
      </c>
      <c r="T50" s="95">
        <f t="shared" si="2"/>
        <v>310</v>
      </c>
      <c r="U50" s="100">
        <f t="shared" si="3"/>
        <v>0.82666666666666666</v>
      </c>
      <c r="V50" s="63"/>
      <c r="W50" s="61"/>
    </row>
    <row r="51" spans="1:23" ht="42" customHeight="1" x14ac:dyDescent="0.35">
      <c r="A51" s="95">
        <v>44</v>
      </c>
      <c r="B51" s="95">
        <v>116</v>
      </c>
      <c r="C51" s="95" t="s">
        <v>838</v>
      </c>
      <c r="D51" s="95" t="s">
        <v>595</v>
      </c>
      <c r="E51" s="95" t="s">
        <v>787</v>
      </c>
      <c r="F51" s="95" t="s">
        <v>24</v>
      </c>
      <c r="G51" s="98">
        <v>43372</v>
      </c>
      <c r="H51" s="98">
        <v>44967</v>
      </c>
      <c r="I51" s="101">
        <v>29</v>
      </c>
      <c r="J51" s="101">
        <v>29</v>
      </c>
      <c r="K51" s="101">
        <v>59</v>
      </c>
      <c r="L51" s="101">
        <v>49.5</v>
      </c>
      <c r="M51" s="101">
        <v>72</v>
      </c>
      <c r="N51" s="10">
        <v>25</v>
      </c>
      <c r="O51" s="101">
        <v>29</v>
      </c>
      <c r="P51" s="95">
        <v>10</v>
      </c>
      <c r="Q51" s="95">
        <v>10</v>
      </c>
      <c r="R51" s="95">
        <v>10</v>
      </c>
      <c r="S51" s="95">
        <v>375</v>
      </c>
      <c r="T51" s="95">
        <f t="shared" si="2"/>
        <v>322.5</v>
      </c>
      <c r="U51" s="100">
        <f t="shared" si="3"/>
        <v>0.86</v>
      </c>
      <c r="V51" s="63"/>
      <c r="W51" s="61"/>
    </row>
    <row r="52" spans="1:23" ht="42" customHeight="1" x14ac:dyDescent="0.35">
      <c r="A52" s="95">
        <v>45</v>
      </c>
      <c r="B52" s="95">
        <v>48</v>
      </c>
      <c r="C52" s="95" t="s">
        <v>838</v>
      </c>
      <c r="D52" s="95" t="s">
        <v>734</v>
      </c>
      <c r="E52" s="95" t="s">
        <v>735</v>
      </c>
      <c r="F52" s="95" t="s">
        <v>24</v>
      </c>
      <c r="G52" s="98">
        <v>43015</v>
      </c>
      <c r="H52" s="98">
        <v>44781</v>
      </c>
      <c r="I52" s="101">
        <v>19</v>
      </c>
      <c r="J52" s="101">
        <v>26</v>
      </c>
      <c r="K52" s="101">
        <v>53</v>
      </c>
      <c r="L52" s="101">
        <v>49</v>
      </c>
      <c r="M52" s="101">
        <v>41</v>
      </c>
      <c r="N52" s="10">
        <v>20</v>
      </c>
      <c r="O52" s="101">
        <v>28</v>
      </c>
      <c r="P52" s="95">
        <v>9</v>
      </c>
      <c r="Q52" s="95">
        <v>10</v>
      </c>
      <c r="R52" s="95">
        <v>8</v>
      </c>
      <c r="S52" s="95">
        <v>375</v>
      </c>
      <c r="T52" s="95">
        <f t="shared" si="2"/>
        <v>263</v>
      </c>
      <c r="U52" s="100">
        <f t="shared" si="3"/>
        <v>0.70133333333333336</v>
      </c>
      <c r="V52" s="63"/>
      <c r="W52" s="61"/>
    </row>
    <row r="53" spans="1:23" ht="42" customHeight="1" x14ac:dyDescent="0.35">
      <c r="A53" s="95">
        <v>46</v>
      </c>
      <c r="B53" s="95">
        <v>6</v>
      </c>
      <c r="C53" s="95" t="s">
        <v>838</v>
      </c>
      <c r="D53" s="95" t="s">
        <v>607</v>
      </c>
      <c r="E53" s="95" t="s">
        <v>593</v>
      </c>
      <c r="F53" s="95" t="s">
        <v>24</v>
      </c>
      <c r="G53" s="98">
        <v>42842</v>
      </c>
      <c r="H53" s="98">
        <v>44569</v>
      </c>
      <c r="I53" s="101">
        <v>15</v>
      </c>
      <c r="J53" s="101">
        <v>20</v>
      </c>
      <c r="K53" s="101">
        <v>50</v>
      </c>
      <c r="L53" s="101">
        <v>58.5</v>
      </c>
      <c r="M53" s="101">
        <v>61</v>
      </c>
      <c r="N53" s="10">
        <v>23</v>
      </c>
      <c r="O53" s="101">
        <v>20</v>
      </c>
      <c r="P53" s="95">
        <v>5</v>
      </c>
      <c r="Q53" s="95">
        <v>6</v>
      </c>
      <c r="R53" s="95">
        <v>8</v>
      </c>
      <c r="S53" s="95">
        <v>375</v>
      </c>
      <c r="T53" s="95">
        <f t="shared" si="2"/>
        <v>266.5</v>
      </c>
      <c r="U53" s="100">
        <f t="shared" si="3"/>
        <v>0.71066666666666667</v>
      </c>
      <c r="V53" s="63"/>
      <c r="W53" s="61"/>
    </row>
    <row r="54" spans="1:23" ht="42" customHeight="1" x14ac:dyDescent="0.35">
      <c r="A54" s="95">
        <v>47</v>
      </c>
      <c r="B54" s="95">
        <v>2</v>
      </c>
      <c r="C54" s="95" t="s">
        <v>838</v>
      </c>
      <c r="D54" s="95" t="s">
        <v>7</v>
      </c>
      <c r="E54" s="95" t="s">
        <v>17</v>
      </c>
      <c r="F54" s="95" t="s">
        <v>24</v>
      </c>
      <c r="G54" s="98">
        <v>42999</v>
      </c>
      <c r="H54" s="98">
        <v>44569</v>
      </c>
      <c r="I54" s="101">
        <v>23</v>
      </c>
      <c r="J54" s="101">
        <v>28</v>
      </c>
      <c r="K54" s="101">
        <v>65</v>
      </c>
      <c r="L54" s="101">
        <v>62</v>
      </c>
      <c r="M54" s="101">
        <v>50</v>
      </c>
      <c r="N54" s="10">
        <v>29</v>
      </c>
      <c r="O54" s="101">
        <v>29</v>
      </c>
      <c r="P54" s="95">
        <v>10</v>
      </c>
      <c r="Q54" s="95">
        <v>10</v>
      </c>
      <c r="R54" s="95">
        <v>10</v>
      </c>
      <c r="S54" s="95">
        <v>375</v>
      </c>
      <c r="T54" s="95">
        <f t="shared" si="2"/>
        <v>316</v>
      </c>
      <c r="U54" s="100">
        <f t="shared" si="3"/>
        <v>0.84266666666666667</v>
      </c>
      <c r="V54" s="63"/>
      <c r="W54" s="61"/>
    </row>
    <row r="55" spans="1:23" ht="42" customHeight="1" x14ac:dyDescent="0.35">
      <c r="A55" s="95">
        <v>48</v>
      </c>
      <c r="B55" s="95">
        <v>120</v>
      </c>
      <c r="C55" s="95" t="s">
        <v>838</v>
      </c>
      <c r="D55" s="95" t="s">
        <v>789</v>
      </c>
      <c r="E55" s="95" t="s">
        <v>259</v>
      </c>
      <c r="F55" s="95" t="s">
        <v>24</v>
      </c>
      <c r="G55" s="98">
        <v>42742</v>
      </c>
      <c r="H55" s="98">
        <v>45117</v>
      </c>
      <c r="I55" s="101">
        <v>10</v>
      </c>
      <c r="J55" s="101">
        <v>23</v>
      </c>
      <c r="K55" s="101">
        <v>19</v>
      </c>
      <c r="L55" s="101">
        <v>38</v>
      </c>
      <c r="M55" s="101">
        <v>39</v>
      </c>
      <c r="N55" s="10">
        <v>20</v>
      </c>
      <c r="O55" s="101">
        <v>20</v>
      </c>
      <c r="P55" s="95">
        <v>10</v>
      </c>
      <c r="Q55" s="95">
        <v>6</v>
      </c>
      <c r="R55" s="95">
        <v>7</v>
      </c>
      <c r="S55" s="95">
        <v>375</v>
      </c>
      <c r="T55" s="95">
        <f t="shared" si="2"/>
        <v>192</v>
      </c>
      <c r="U55" s="100">
        <f t="shared" si="3"/>
        <v>0.51200000000000001</v>
      </c>
      <c r="V55" s="63"/>
      <c r="W55" s="61"/>
    </row>
    <row r="56" spans="1:23" ht="42" customHeight="1" x14ac:dyDescent="0.35">
      <c r="A56" s="95">
        <v>49</v>
      </c>
      <c r="B56" s="95">
        <v>9</v>
      </c>
      <c r="C56" s="95" t="s">
        <v>838</v>
      </c>
      <c r="D56" s="95" t="s">
        <v>604</v>
      </c>
      <c r="E56" s="95" t="s">
        <v>581</v>
      </c>
      <c r="F56" s="95" t="s">
        <v>24</v>
      </c>
      <c r="G56" s="98">
        <v>42561</v>
      </c>
      <c r="H56" s="98">
        <v>44569</v>
      </c>
      <c r="I56" s="101">
        <v>27</v>
      </c>
      <c r="J56" s="101">
        <v>29</v>
      </c>
      <c r="K56" s="101">
        <v>51</v>
      </c>
      <c r="L56" s="101">
        <v>60</v>
      </c>
      <c r="M56" s="101">
        <v>52</v>
      </c>
      <c r="N56" s="10">
        <v>20</v>
      </c>
      <c r="O56" s="101">
        <v>25</v>
      </c>
      <c r="P56" s="95">
        <v>10</v>
      </c>
      <c r="Q56" s="95">
        <v>10</v>
      </c>
      <c r="R56" s="95">
        <v>10</v>
      </c>
      <c r="S56" s="95">
        <v>375</v>
      </c>
      <c r="T56" s="95">
        <f t="shared" si="2"/>
        <v>294</v>
      </c>
      <c r="U56" s="100">
        <f t="shared" si="3"/>
        <v>0.78400000000000003</v>
      </c>
      <c r="V56" s="63"/>
      <c r="W56" s="61"/>
    </row>
    <row r="57" spans="1:23" ht="42" customHeight="1" x14ac:dyDescent="0.35">
      <c r="A57" s="95">
        <v>50</v>
      </c>
      <c r="B57" s="95">
        <v>56</v>
      </c>
      <c r="C57" s="95" t="s">
        <v>838</v>
      </c>
      <c r="D57" s="95" t="s">
        <v>598</v>
      </c>
      <c r="E57" s="95" t="s">
        <v>103</v>
      </c>
      <c r="F57" s="95" t="s">
        <v>24</v>
      </c>
      <c r="G57" s="98">
        <v>43770</v>
      </c>
      <c r="H57" s="95" t="s">
        <v>743</v>
      </c>
      <c r="I57" s="101">
        <v>20</v>
      </c>
      <c r="J57" s="101">
        <v>23</v>
      </c>
      <c r="K57" s="101">
        <v>44</v>
      </c>
      <c r="L57" s="101">
        <v>48</v>
      </c>
      <c r="M57" s="101">
        <v>40</v>
      </c>
      <c r="N57" s="10">
        <v>21</v>
      </c>
      <c r="O57" s="101">
        <v>23</v>
      </c>
      <c r="P57" s="95">
        <v>3</v>
      </c>
      <c r="Q57" s="95">
        <v>6</v>
      </c>
      <c r="R57" s="95">
        <v>6</v>
      </c>
      <c r="S57" s="95">
        <v>375</v>
      </c>
      <c r="T57" s="95">
        <f t="shared" si="2"/>
        <v>234</v>
      </c>
      <c r="U57" s="100">
        <f t="shared" si="3"/>
        <v>0.624</v>
      </c>
      <c r="V57" s="63"/>
      <c r="W57" s="61"/>
    </row>
    <row r="58" spans="1:23" ht="42" customHeight="1" x14ac:dyDescent="0.35">
      <c r="A58" s="95">
        <v>51</v>
      </c>
      <c r="B58" s="95">
        <v>67</v>
      </c>
      <c r="C58" s="95" t="s">
        <v>838</v>
      </c>
      <c r="D58" s="95" t="s">
        <v>601</v>
      </c>
      <c r="E58" s="95" t="s">
        <v>750</v>
      </c>
      <c r="F58" s="95" t="s">
        <v>24</v>
      </c>
      <c r="G58" s="98">
        <v>42745</v>
      </c>
      <c r="H58" s="98">
        <v>44934</v>
      </c>
      <c r="I58" s="101">
        <v>29</v>
      </c>
      <c r="J58" s="101">
        <v>28</v>
      </c>
      <c r="K58" s="101">
        <v>72.5</v>
      </c>
      <c r="L58" s="101">
        <v>66</v>
      </c>
      <c r="M58" s="101">
        <v>70</v>
      </c>
      <c r="N58" s="10">
        <v>29</v>
      </c>
      <c r="O58" s="101">
        <v>29</v>
      </c>
      <c r="P58" s="95">
        <v>10</v>
      </c>
      <c r="Q58" s="95">
        <v>10</v>
      </c>
      <c r="R58" s="95">
        <v>10</v>
      </c>
      <c r="S58" s="95">
        <v>375</v>
      </c>
      <c r="T58" s="95">
        <f t="shared" si="2"/>
        <v>353.5</v>
      </c>
      <c r="U58" s="100">
        <f t="shared" si="3"/>
        <v>0.94266666666666665</v>
      </c>
      <c r="V58" s="63"/>
      <c r="W58" s="61"/>
    </row>
    <row r="59" spans="1:23" ht="42" customHeight="1" x14ac:dyDescent="0.35">
      <c r="A59" s="95">
        <v>52</v>
      </c>
      <c r="B59" s="95">
        <v>51</v>
      </c>
      <c r="C59" s="95" t="s">
        <v>838</v>
      </c>
      <c r="D59" s="95" t="s">
        <v>594</v>
      </c>
      <c r="E59" s="95" t="s">
        <v>738</v>
      </c>
      <c r="F59" s="95" t="s">
        <v>24</v>
      </c>
      <c r="G59" s="98">
        <v>42762</v>
      </c>
      <c r="H59" s="95" t="s">
        <v>739</v>
      </c>
      <c r="I59" s="101">
        <v>29</v>
      </c>
      <c r="J59" s="101">
        <v>25</v>
      </c>
      <c r="K59" s="101">
        <v>60</v>
      </c>
      <c r="L59" s="101">
        <v>69.5</v>
      </c>
      <c r="M59" s="101">
        <v>72</v>
      </c>
      <c r="N59" s="10">
        <v>29</v>
      </c>
      <c r="O59" s="101">
        <v>29</v>
      </c>
      <c r="P59" s="95">
        <v>10</v>
      </c>
      <c r="Q59" s="95">
        <v>10</v>
      </c>
      <c r="R59" s="95">
        <v>10</v>
      </c>
      <c r="S59" s="95">
        <v>375</v>
      </c>
      <c r="T59" s="95">
        <f t="shared" si="2"/>
        <v>343.5</v>
      </c>
      <c r="U59" s="100">
        <f t="shared" si="3"/>
        <v>0.91600000000000004</v>
      </c>
      <c r="V59" s="63"/>
      <c r="W59" s="61"/>
    </row>
    <row r="60" spans="1:23" ht="42" customHeight="1" x14ac:dyDescent="0.35">
      <c r="A60" s="95">
        <v>53</v>
      </c>
      <c r="B60" s="95">
        <v>128</v>
      </c>
      <c r="C60" s="95" t="s">
        <v>838</v>
      </c>
      <c r="D60" s="95" t="s">
        <v>799</v>
      </c>
      <c r="E60" s="95" t="s">
        <v>767</v>
      </c>
      <c r="F60" s="95" t="s">
        <v>24</v>
      </c>
      <c r="G60" s="98">
        <v>42553</v>
      </c>
      <c r="H60" s="95" t="s">
        <v>800</v>
      </c>
      <c r="I60" s="101">
        <v>10</v>
      </c>
      <c r="J60" s="101">
        <v>15</v>
      </c>
      <c r="K60" s="101">
        <v>46.5</v>
      </c>
      <c r="L60" s="101">
        <v>61</v>
      </c>
      <c r="M60" s="101">
        <v>32</v>
      </c>
      <c r="N60" s="10">
        <v>5</v>
      </c>
      <c r="O60" s="101">
        <v>28</v>
      </c>
      <c r="P60" s="95">
        <v>5</v>
      </c>
      <c r="Q60" s="95">
        <v>6</v>
      </c>
      <c r="R60" s="95">
        <v>5</v>
      </c>
      <c r="S60" s="95">
        <v>375</v>
      </c>
      <c r="T60" s="95">
        <f t="shared" si="2"/>
        <v>213.5</v>
      </c>
      <c r="U60" s="100">
        <f t="shared" si="3"/>
        <v>0.56933333333333336</v>
      </c>
      <c r="V60" s="63"/>
      <c r="W60" s="61"/>
    </row>
    <row r="61" spans="1:23" ht="42" customHeight="1" x14ac:dyDescent="0.35">
      <c r="A61" s="95">
        <v>54</v>
      </c>
      <c r="B61" s="95">
        <v>50</v>
      </c>
      <c r="C61" s="95" t="s">
        <v>838</v>
      </c>
      <c r="D61" s="95" t="s">
        <v>737</v>
      </c>
      <c r="E61" s="95" t="s">
        <v>12</v>
      </c>
      <c r="F61" s="95" t="s">
        <v>24</v>
      </c>
      <c r="G61" s="98">
        <v>42742</v>
      </c>
      <c r="H61" s="95" t="s">
        <v>736</v>
      </c>
      <c r="I61" s="101">
        <v>20</v>
      </c>
      <c r="J61" s="101">
        <v>27</v>
      </c>
      <c r="K61" s="101">
        <v>62</v>
      </c>
      <c r="L61" s="101">
        <v>58</v>
      </c>
      <c r="M61" s="101">
        <v>55</v>
      </c>
      <c r="N61" s="10">
        <v>25</v>
      </c>
      <c r="O61" s="101">
        <v>28</v>
      </c>
      <c r="P61" s="95">
        <v>10</v>
      </c>
      <c r="Q61" s="95">
        <v>10</v>
      </c>
      <c r="R61" s="95">
        <v>9</v>
      </c>
      <c r="S61" s="95">
        <v>375</v>
      </c>
      <c r="T61" s="95">
        <f t="shared" si="2"/>
        <v>304</v>
      </c>
      <c r="U61" s="100">
        <f t="shared" si="3"/>
        <v>0.81066666666666665</v>
      </c>
      <c r="V61" s="63"/>
      <c r="W61" s="61"/>
    </row>
    <row r="62" spans="1:23" ht="42" customHeight="1" x14ac:dyDescent="0.35">
      <c r="A62" s="95">
        <v>55</v>
      </c>
      <c r="B62" s="95">
        <v>132</v>
      </c>
      <c r="C62" s="95" t="s">
        <v>838</v>
      </c>
      <c r="D62" s="95" t="s">
        <v>805</v>
      </c>
      <c r="E62" s="95" t="s">
        <v>727</v>
      </c>
      <c r="F62" s="95" t="s">
        <v>24</v>
      </c>
      <c r="G62" s="98">
        <v>42931</v>
      </c>
      <c r="H62" s="98">
        <v>45027</v>
      </c>
      <c r="I62" s="101">
        <v>29</v>
      </c>
      <c r="J62" s="101">
        <v>29</v>
      </c>
      <c r="K62" s="101">
        <v>72</v>
      </c>
      <c r="L62" s="101">
        <v>49.5</v>
      </c>
      <c r="M62" s="101">
        <v>73.5</v>
      </c>
      <c r="N62" s="10">
        <v>29</v>
      </c>
      <c r="O62" s="101">
        <v>26</v>
      </c>
      <c r="P62" s="95">
        <v>10</v>
      </c>
      <c r="Q62" s="95">
        <v>10</v>
      </c>
      <c r="R62" s="95">
        <v>10</v>
      </c>
      <c r="S62" s="95">
        <v>375</v>
      </c>
      <c r="T62" s="95">
        <f t="shared" si="2"/>
        <v>338</v>
      </c>
      <c r="U62" s="100">
        <f t="shared" si="3"/>
        <v>0.90133333333333332</v>
      </c>
      <c r="V62" s="63"/>
      <c r="W62" s="61"/>
    </row>
    <row r="63" spans="1:23" x14ac:dyDescent="0.25">
      <c r="M63" s="65"/>
      <c r="N63" s="65"/>
      <c r="O63" s="65"/>
    </row>
    <row r="64" spans="1:23" x14ac:dyDescent="0.25">
      <c r="M64" s="65"/>
      <c r="N64" s="65"/>
      <c r="O64" s="65"/>
    </row>
    <row r="65" spans="4:23" ht="18.75" x14ac:dyDescent="0.3">
      <c r="M65" s="65"/>
      <c r="N65" s="65"/>
      <c r="O65" s="65"/>
      <c r="W65" s="125" t="s">
        <v>716</v>
      </c>
    </row>
    <row r="66" spans="4:23" x14ac:dyDescent="0.25">
      <c r="M66" s="65"/>
      <c r="N66" s="65"/>
      <c r="O66" s="65"/>
    </row>
    <row r="67" spans="4:23" x14ac:dyDescent="0.25">
      <c r="M67" s="65"/>
      <c r="N67" s="65"/>
      <c r="O67" s="65"/>
    </row>
    <row r="68" spans="4:23" ht="23.25" x14ac:dyDescent="0.35">
      <c r="D68" s="18" t="s">
        <v>713</v>
      </c>
      <c r="E68" s="15"/>
      <c r="F68" s="15"/>
      <c r="G68" s="16"/>
      <c r="H68" s="17"/>
      <c r="I68" s="15"/>
      <c r="J68" s="15"/>
      <c r="K68" s="15"/>
      <c r="L68" s="15"/>
      <c r="M68" s="15"/>
      <c r="N68" s="15"/>
      <c r="O68" s="153" t="s">
        <v>714</v>
      </c>
      <c r="P68" s="153"/>
    </row>
  </sheetData>
  <autoFilter ref="A5:W62">
    <sortState ref="A8:W60">
      <sortCondition ref="F6:F60"/>
      <sortCondition ref="D6:D60"/>
    </sortState>
  </autoFilter>
  <mergeCells count="19">
    <mergeCell ref="O68:P68"/>
    <mergeCell ref="W3:W5"/>
    <mergeCell ref="A31:W31"/>
    <mergeCell ref="A6:W6"/>
    <mergeCell ref="A1:W1"/>
    <mergeCell ref="A2:W2"/>
    <mergeCell ref="A3:A5"/>
    <mergeCell ref="B3:B5"/>
    <mergeCell ref="C3:C5"/>
    <mergeCell ref="D3:D5"/>
    <mergeCell ref="E3:E5"/>
    <mergeCell ref="F3:F5"/>
    <mergeCell ref="G3:G5"/>
    <mergeCell ref="H3:H5"/>
    <mergeCell ref="I3:R3"/>
    <mergeCell ref="S3:S4"/>
    <mergeCell ref="T3:T5"/>
    <mergeCell ref="U3:U5"/>
    <mergeCell ref="V3:V5"/>
  </mergeCells>
  <pageMargins left="0.2" right="0.2" top="0.25" bottom="0.25" header="0.3" footer="0.3"/>
  <pageSetup paperSize="9" scale="37" fitToHeight="2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R65"/>
  <sheetViews>
    <sheetView zoomScale="55" zoomScaleNormal="55" workbookViewId="0">
      <pane xSplit="1" ySplit="9" topLeftCell="B52" activePane="bottomRight" state="frozen"/>
      <selection activeCell="F62" sqref="F62"/>
      <selection pane="topRight" activeCell="F62" sqref="F62"/>
      <selection pane="bottomLeft" activeCell="F62" sqref="F62"/>
      <selection pane="bottomRight" activeCell="I9" sqref="I9"/>
    </sheetView>
  </sheetViews>
  <sheetFormatPr defaultColWidth="10" defaultRowHeight="15" x14ac:dyDescent="0.25"/>
  <cols>
    <col min="1" max="1" width="14" customWidth="1"/>
    <col min="2" max="2" width="17.85546875" customWidth="1"/>
    <col min="3" max="3" width="13.85546875" customWidth="1"/>
    <col min="4" max="4" width="35.5703125" customWidth="1"/>
    <col min="5" max="5" width="34" customWidth="1"/>
    <col min="6" max="6" width="26.140625" customWidth="1"/>
    <col min="7" max="7" width="23.7109375" style="1" customWidth="1"/>
    <col min="8" max="8" width="24.85546875" style="2" customWidth="1"/>
    <col min="9" max="16" width="15.7109375" customWidth="1"/>
    <col min="17" max="17" width="13.42578125" customWidth="1"/>
    <col min="18" max="18" width="22.5703125" customWidth="1"/>
  </cols>
  <sheetData>
    <row r="2" spans="1:18" ht="27.75" x14ac:dyDescent="0.25">
      <c r="A2" s="143" t="s">
        <v>699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</row>
    <row r="3" spans="1:18" ht="27.75" x14ac:dyDescent="0.25">
      <c r="A3" s="143" t="s">
        <v>696</v>
      </c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</row>
    <row r="4" spans="1:18" ht="28.5" thickBot="1" x14ac:dyDescent="0.3">
      <c r="A4" s="143" t="s">
        <v>697</v>
      </c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</row>
    <row r="5" spans="1:18" ht="26.25" customHeight="1" x14ac:dyDescent="0.25">
      <c r="A5" s="164" t="s">
        <v>698</v>
      </c>
      <c r="B5" s="162" t="s">
        <v>334</v>
      </c>
      <c r="C5" s="162" t="s">
        <v>335</v>
      </c>
      <c r="D5" s="162" t="s">
        <v>0</v>
      </c>
      <c r="E5" s="162" t="s">
        <v>1</v>
      </c>
      <c r="F5" s="162" t="s">
        <v>2</v>
      </c>
      <c r="G5" s="157" t="s">
        <v>337</v>
      </c>
      <c r="H5" s="162" t="s">
        <v>618</v>
      </c>
      <c r="I5" s="126" t="s">
        <v>685</v>
      </c>
      <c r="J5" s="127"/>
      <c r="K5" s="127"/>
      <c r="L5" s="127"/>
      <c r="M5" s="127"/>
      <c r="N5" s="128"/>
      <c r="O5" s="162" t="s">
        <v>694</v>
      </c>
      <c r="P5" s="162" t="s">
        <v>695</v>
      </c>
      <c r="Q5" s="162" t="s">
        <v>700</v>
      </c>
      <c r="R5" s="167" t="s">
        <v>617</v>
      </c>
    </row>
    <row r="6" spans="1:18" ht="62.25" customHeight="1" x14ac:dyDescent="0.25">
      <c r="A6" s="165"/>
      <c r="B6" s="163"/>
      <c r="C6" s="163"/>
      <c r="D6" s="163"/>
      <c r="E6" s="163"/>
      <c r="F6" s="163"/>
      <c r="G6" s="158"/>
      <c r="H6" s="163"/>
      <c r="I6" s="124" t="s">
        <v>828</v>
      </c>
      <c r="J6" s="124" t="s">
        <v>686</v>
      </c>
      <c r="K6" s="124" t="s">
        <v>811</v>
      </c>
      <c r="L6" s="124" t="s">
        <v>812</v>
      </c>
      <c r="M6" s="124" t="s">
        <v>687</v>
      </c>
      <c r="N6" s="124" t="s">
        <v>693</v>
      </c>
      <c r="O6" s="166"/>
      <c r="P6" s="163"/>
      <c r="Q6" s="163"/>
      <c r="R6" s="168"/>
    </row>
    <row r="7" spans="1:18" ht="62.25" customHeight="1" x14ac:dyDescent="0.25">
      <c r="A7" s="165"/>
      <c r="B7" s="163"/>
      <c r="C7" s="163"/>
      <c r="D7" s="163"/>
      <c r="E7" s="163"/>
      <c r="F7" s="163"/>
      <c r="G7" s="158"/>
      <c r="H7" s="163"/>
      <c r="I7" s="108">
        <v>100</v>
      </c>
      <c r="J7" s="108">
        <v>100</v>
      </c>
      <c r="K7" s="108">
        <v>100</v>
      </c>
      <c r="L7" s="108">
        <v>100</v>
      </c>
      <c r="M7" s="108">
        <v>100</v>
      </c>
      <c r="N7" s="108" t="s">
        <v>836</v>
      </c>
      <c r="O7" s="108">
        <f>SUM(I7:N7)</f>
        <v>500</v>
      </c>
      <c r="P7" s="163"/>
      <c r="Q7" s="163"/>
      <c r="R7" s="168"/>
    </row>
    <row r="8" spans="1:18" ht="45.75" customHeight="1" x14ac:dyDescent="0.25">
      <c r="A8" s="159" t="s">
        <v>682</v>
      </c>
      <c r="B8" s="160"/>
      <c r="C8" s="160"/>
      <c r="D8" s="160"/>
      <c r="E8" s="160"/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0"/>
      <c r="Q8" s="160"/>
      <c r="R8" s="161"/>
    </row>
    <row r="9" spans="1:18" ht="40.5" customHeight="1" x14ac:dyDescent="0.3">
      <c r="A9" s="129">
        <v>1</v>
      </c>
      <c r="B9" s="130">
        <v>772</v>
      </c>
      <c r="C9" s="130" t="s">
        <v>619</v>
      </c>
      <c r="D9" s="131" t="s">
        <v>628</v>
      </c>
      <c r="E9" s="131" t="s">
        <v>629</v>
      </c>
      <c r="F9" s="131" t="s">
        <v>23</v>
      </c>
      <c r="G9" s="132">
        <v>43459</v>
      </c>
      <c r="H9" s="133">
        <v>45223</v>
      </c>
      <c r="I9" s="135">
        <v>93</v>
      </c>
      <c r="J9" s="135">
        <v>97</v>
      </c>
      <c r="K9" s="135">
        <v>84</v>
      </c>
      <c r="L9" s="135">
        <v>96</v>
      </c>
      <c r="M9" s="135">
        <v>93</v>
      </c>
      <c r="N9" s="135" t="s">
        <v>841</v>
      </c>
      <c r="O9" s="135">
        <v>500</v>
      </c>
      <c r="P9" s="135">
        <f t="shared" ref="P9:P30" si="0">I9+J9+K9+L9+M9</f>
        <v>463</v>
      </c>
      <c r="Q9" s="136">
        <f t="shared" ref="Q9:Q30" si="1">P9/O9</f>
        <v>0.92600000000000005</v>
      </c>
      <c r="R9" s="105"/>
    </row>
    <row r="10" spans="1:18" ht="35.1" customHeight="1" x14ac:dyDescent="0.3">
      <c r="A10" s="80">
        <v>2</v>
      </c>
      <c r="B10" s="61">
        <v>673</v>
      </c>
      <c r="C10" s="66" t="s">
        <v>619</v>
      </c>
      <c r="D10" s="75" t="s">
        <v>824</v>
      </c>
      <c r="E10" s="75" t="s">
        <v>825</v>
      </c>
      <c r="F10" s="75" t="s">
        <v>23</v>
      </c>
      <c r="G10" s="73">
        <v>42594</v>
      </c>
      <c r="H10" s="76">
        <v>45115</v>
      </c>
      <c r="I10" s="67">
        <v>47</v>
      </c>
      <c r="J10" s="67">
        <v>60</v>
      </c>
      <c r="K10" s="67">
        <v>51</v>
      </c>
      <c r="L10" s="67">
        <v>56</v>
      </c>
      <c r="M10" s="67">
        <v>47</v>
      </c>
      <c r="N10" s="67" t="s">
        <v>839</v>
      </c>
      <c r="O10" s="67">
        <v>500</v>
      </c>
      <c r="P10" s="67">
        <f t="shared" si="0"/>
        <v>261</v>
      </c>
      <c r="Q10" s="68">
        <f t="shared" si="1"/>
        <v>0.52200000000000002</v>
      </c>
      <c r="R10" s="69"/>
    </row>
    <row r="11" spans="1:18" ht="35.1" customHeight="1" x14ac:dyDescent="0.3">
      <c r="A11" s="129">
        <v>3</v>
      </c>
      <c r="B11" s="70">
        <v>523</v>
      </c>
      <c r="C11" s="66" t="s">
        <v>619</v>
      </c>
      <c r="D11" s="75" t="s">
        <v>659</v>
      </c>
      <c r="E11" s="75" t="s">
        <v>158</v>
      </c>
      <c r="F11" s="75" t="s">
        <v>23</v>
      </c>
      <c r="G11" s="77">
        <v>42396</v>
      </c>
      <c r="H11" s="60">
        <v>44440</v>
      </c>
      <c r="I11" s="72">
        <v>52</v>
      </c>
      <c r="J11" s="67">
        <v>57</v>
      </c>
      <c r="K11" s="67">
        <v>52</v>
      </c>
      <c r="L11" s="67">
        <v>58</v>
      </c>
      <c r="M11" s="67">
        <v>74</v>
      </c>
      <c r="N11" s="67" t="s">
        <v>839</v>
      </c>
      <c r="O11" s="67">
        <v>500</v>
      </c>
      <c r="P11" s="67">
        <f t="shared" si="0"/>
        <v>293</v>
      </c>
      <c r="Q11" s="68">
        <f t="shared" si="1"/>
        <v>0.58599999999999997</v>
      </c>
      <c r="R11" s="69"/>
    </row>
    <row r="12" spans="1:18" ht="35.1" customHeight="1" x14ac:dyDescent="0.3">
      <c r="A12" s="80">
        <v>4</v>
      </c>
      <c r="B12" s="61">
        <v>668</v>
      </c>
      <c r="C12" s="66" t="s">
        <v>619</v>
      </c>
      <c r="D12" s="75" t="s">
        <v>101</v>
      </c>
      <c r="E12" s="75" t="s">
        <v>826</v>
      </c>
      <c r="F12" s="75" t="s">
        <v>23</v>
      </c>
      <c r="G12" s="73" t="s">
        <v>481</v>
      </c>
      <c r="H12" s="76">
        <v>45024</v>
      </c>
      <c r="I12" s="67">
        <v>73</v>
      </c>
      <c r="J12" s="67">
        <v>73</v>
      </c>
      <c r="K12" s="67">
        <v>68</v>
      </c>
      <c r="L12" s="67">
        <v>74</v>
      </c>
      <c r="M12" s="67">
        <v>71</v>
      </c>
      <c r="N12" s="67" t="s">
        <v>839</v>
      </c>
      <c r="O12" s="67">
        <v>500</v>
      </c>
      <c r="P12" s="67">
        <f t="shared" si="0"/>
        <v>359</v>
      </c>
      <c r="Q12" s="68">
        <f t="shared" si="1"/>
        <v>0.71799999999999997</v>
      </c>
      <c r="R12" s="69"/>
    </row>
    <row r="13" spans="1:18" ht="35.1" customHeight="1" x14ac:dyDescent="0.3">
      <c r="A13" s="129">
        <v>5</v>
      </c>
      <c r="B13" s="61">
        <v>665</v>
      </c>
      <c r="C13" s="66" t="s">
        <v>619</v>
      </c>
      <c r="D13" s="75" t="s">
        <v>29</v>
      </c>
      <c r="E13" s="75" t="s">
        <v>96</v>
      </c>
      <c r="F13" s="75" t="s">
        <v>23</v>
      </c>
      <c r="G13" s="73">
        <v>42497</v>
      </c>
      <c r="H13" s="76">
        <v>44965</v>
      </c>
      <c r="I13" s="67">
        <v>77</v>
      </c>
      <c r="J13" s="67">
        <v>87</v>
      </c>
      <c r="K13" s="67">
        <v>93</v>
      </c>
      <c r="L13" s="67">
        <v>84</v>
      </c>
      <c r="M13" s="67">
        <v>84</v>
      </c>
      <c r="N13" s="67" t="s">
        <v>841</v>
      </c>
      <c r="O13" s="67">
        <v>500</v>
      </c>
      <c r="P13" s="67">
        <f t="shared" si="0"/>
        <v>425</v>
      </c>
      <c r="Q13" s="68">
        <f t="shared" si="1"/>
        <v>0.85</v>
      </c>
      <c r="R13" s="69"/>
    </row>
    <row r="14" spans="1:18" ht="35.1" customHeight="1" x14ac:dyDescent="0.3">
      <c r="A14" s="80">
        <v>6</v>
      </c>
      <c r="B14" s="61">
        <v>656</v>
      </c>
      <c r="C14" s="66" t="s">
        <v>619</v>
      </c>
      <c r="D14" s="75" t="s">
        <v>6</v>
      </c>
      <c r="E14" s="75" t="s">
        <v>31</v>
      </c>
      <c r="F14" s="75" t="s">
        <v>23</v>
      </c>
      <c r="G14" s="73">
        <v>43409</v>
      </c>
      <c r="H14" s="76">
        <v>44965</v>
      </c>
      <c r="I14" s="67">
        <v>70</v>
      </c>
      <c r="J14" s="67">
        <v>84</v>
      </c>
      <c r="K14" s="67">
        <v>74</v>
      </c>
      <c r="L14" s="67">
        <v>70</v>
      </c>
      <c r="M14" s="67">
        <v>72</v>
      </c>
      <c r="N14" s="67" t="s">
        <v>839</v>
      </c>
      <c r="O14" s="67">
        <v>500</v>
      </c>
      <c r="P14" s="67">
        <f t="shared" si="0"/>
        <v>370</v>
      </c>
      <c r="Q14" s="68">
        <f t="shared" si="1"/>
        <v>0.74</v>
      </c>
      <c r="R14" s="69"/>
    </row>
    <row r="15" spans="1:18" ht="35.1" customHeight="1" x14ac:dyDescent="0.3">
      <c r="A15" s="129">
        <v>7</v>
      </c>
      <c r="B15" s="61">
        <v>679</v>
      </c>
      <c r="C15" s="66" t="s">
        <v>619</v>
      </c>
      <c r="D15" s="75" t="s">
        <v>496</v>
      </c>
      <c r="E15" s="75" t="s">
        <v>199</v>
      </c>
      <c r="F15" s="75" t="s">
        <v>23</v>
      </c>
      <c r="G15" s="73" t="s">
        <v>497</v>
      </c>
      <c r="H15" s="76">
        <v>45177</v>
      </c>
      <c r="I15" s="67">
        <v>53</v>
      </c>
      <c r="J15" s="67">
        <v>56</v>
      </c>
      <c r="K15" s="67">
        <v>76</v>
      </c>
      <c r="L15" s="67">
        <v>58</v>
      </c>
      <c r="M15" s="67">
        <v>71</v>
      </c>
      <c r="N15" s="67" t="s">
        <v>711</v>
      </c>
      <c r="O15" s="67">
        <v>500</v>
      </c>
      <c r="P15" s="67">
        <f t="shared" si="0"/>
        <v>314</v>
      </c>
      <c r="Q15" s="68">
        <f t="shared" si="1"/>
        <v>0.628</v>
      </c>
      <c r="R15" s="69"/>
    </row>
    <row r="16" spans="1:18" ht="35.1" customHeight="1" x14ac:dyDescent="0.3">
      <c r="A16" s="80">
        <v>8</v>
      </c>
      <c r="B16" s="61">
        <v>675</v>
      </c>
      <c r="C16" s="66" t="s">
        <v>619</v>
      </c>
      <c r="D16" s="75" t="s">
        <v>63</v>
      </c>
      <c r="E16" s="75" t="s">
        <v>91</v>
      </c>
      <c r="F16" s="75" t="s">
        <v>23</v>
      </c>
      <c r="G16" s="73" t="s">
        <v>489</v>
      </c>
      <c r="H16" s="76">
        <v>45146</v>
      </c>
      <c r="I16" s="67">
        <v>65</v>
      </c>
      <c r="J16" s="67">
        <v>82</v>
      </c>
      <c r="K16" s="67">
        <v>99</v>
      </c>
      <c r="L16" s="67">
        <v>70</v>
      </c>
      <c r="M16" s="67">
        <v>96</v>
      </c>
      <c r="N16" s="67" t="s">
        <v>711</v>
      </c>
      <c r="O16" s="67">
        <v>500</v>
      </c>
      <c r="P16" s="67">
        <f t="shared" si="0"/>
        <v>412</v>
      </c>
      <c r="Q16" s="68">
        <f t="shared" si="1"/>
        <v>0.82399999999999995</v>
      </c>
      <c r="R16" s="69"/>
    </row>
    <row r="17" spans="1:18" ht="35.1" customHeight="1" x14ac:dyDescent="0.3">
      <c r="A17" s="129">
        <v>9</v>
      </c>
      <c r="B17" s="61">
        <v>774</v>
      </c>
      <c r="C17" s="66" t="s">
        <v>619</v>
      </c>
      <c r="D17" s="75" t="s">
        <v>631</v>
      </c>
      <c r="E17" s="75" t="s">
        <v>52</v>
      </c>
      <c r="F17" s="75" t="s">
        <v>23</v>
      </c>
      <c r="G17" s="77">
        <v>43328</v>
      </c>
      <c r="H17" s="60">
        <v>45223</v>
      </c>
      <c r="I17" s="75">
        <v>58</v>
      </c>
      <c r="J17" s="67">
        <v>77</v>
      </c>
      <c r="K17" s="67">
        <v>70</v>
      </c>
      <c r="L17" s="67">
        <v>47</v>
      </c>
      <c r="M17" s="67">
        <v>54</v>
      </c>
      <c r="N17" s="67" t="s">
        <v>845</v>
      </c>
      <c r="O17" s="67">
        <v>500</v>
      </c>
      <c r="P17" s="67">
        <f t="shared" si="0"/>
        <v>306</v>
      </c>
      <c r="Q17" s="68">
        <f t="shared" si="1"/>
        <v>0.61199999999999999</v>
      </c>
      <c r="R17" s="69"/>
    </row>
    <row r="18" spans="1:18" ht="35.1" customHeight="1" x14ac:dyDescent="0.3">
      <c r="A18" s="80">
        <v>10</v>
      </c>
      <c r="B18" s="61">
        <v>655</v>
      </c>
      <c r="C18" s="66" t="s">
        <v>619</v>
      </c>
      <c r="D18" s="75" t="s">
        <v>5</v>
      </c>
      <c r="E18" s="75" t="s">
        <v>15</v>
      </c>
      <c r="F18" s="75" t="s">
        <v>23</v>
      </c>
      <c r="G18" s="73">
        <v>42835</v>
      </c>
      <c r="H18" s="76">
        <v>44934</v>
      </c>
      <c r="I18" s="75">
        <v>48</v>
      </c>
      <c r="J18" s="67">
        <v>70</v>
      </c>
      <c r="K18" s="67">
        <v>68</v>
      </c>
      <c r="L18" s="67">
        <v>75</v>
      </c>
      <c r="M18" s="67">
        <v>61</v>
      </c>
      <c r="N18" s="67" t="s">
        <v>839</v>
      </c>
      <c r="O18" s="67">
        <v>500</v>
      </c>
      <c r="P18" s="67">
        <f t="shared" si="0"/>
        <v>322</v>
      </c>
      <c r="Q18" s="68">
        <f t="shared" si="1"/>
        <v>0.64400000000000002</v>
      </c>
      <c r="R18" s="69"/>
    </row>
    <row r="19" spans="1:18" ht="35.1" customHeight="1" x14ac:dyDescent="0.3">
      <c r="A19" s="129">
        <v>11</v>
      </c>
      <c r="B19" s="61">
        <v>653</v>
      </c>
      <c r="C19" s="66" t="s">
        <v>619</v>
      </c>
      <c r="D19" s="75" t="s">
        <v>3</v>
      </c>
      <c r="E19" s="75" t="s">
        <v>821</v>
      </c>
      <c r="F19" s="75" t="s">
        <v>23</v>
      </c>
      <c r="G19" s="73">
        <v>42984</v>
      </c>
      <c r="H19" s="76">
        <v>44934</v>
      </c>
      <c r="I19" s="75">
        <v>69</v>
      </c>
      <c r="J19" s="67">
        <v>65</v>
      </c>
      <c r="K19" s="67">
        <v>93</v>
      </c>
      <c r="L19" s="67">
        <v>66</v>
      </c>
      <c r="M19" s="67">
        <v>62</v>
      </c>
      <c r="N19" s="67" t="s">
        <v>841</v>
      </c>
      <c r="O19" s="67">
        <v>500</v>
      </c>
      <c r="P19" s="67">
        <f t="shared" si="0"/>
        <v>355</v>
      </c>
      <c r="Q19" s="68">
        <f t="shared" si="1"/>
        <v>0.71</v>
      </c>
      <c r="R19" s="69"/>
    </row>
    <row r="20" spans="1:18" ht="35.1" customHeight="1" x14ac:dyDescent="0.3">
      <c r="A20" s="80">
        <v>12</v>
      </c>
      <c r="B20" s="61">
        <v>657</v>
      </c>
      <c r="C20" s="66" t="s">
        <v>619</v>
      </c>
      <c r="D20" s="75" t="s">
        <v>25</v>
      </c>
      <c r="E20" s="75" t="s">
        <v>32</v>
      </c>
      <c r="F20" s="75" t="s">
        <v>23</v>
      </c>
      <c r="G20" s="73">
        <v>43050</v>
      </c>
      <c r="H20" s="76">
        <v>44965</v>
      </c>
      <c r="I20" s="75">
        <v>48</v>
      </c>
      <c r="J20" s="67">
        <v>58</v>
      </c>
      <c r="K20" s="67">
        <v>65</v>
      </c>
      <c r="L20" s="67">
        <v>45</v>
      </c>
      <c r="M20" s="67">
        <v>45</v>
      </c>
      <c r="N20" s="67" t="s">
        <v>839</v>
      </c>
      <c r="O20" s="67">
        <v>500</v>
      </c>
      <c r="P20" s="67">
        <f t="shared" si="0"/>
        <v>261</v>
      </c>
      <c r="Q20" s="68">
        <f t="shared" si="1"/>
        <v>0.52200000000000002</v>
      </c>
      <c r="R20" s="69"/>
    </row>
    <row r="21" spans="1:18" ht="35.1" customHeight="1" x14ac:dyDescent="0.3">
      <c r="A21" s="129">
        <v>13</v>
      </c>
      <c r="B21" s="61">
        <v>672</v>
      </c>
      <c r="C21" s="66" t="s">
        <v>619</v>
      </c>
      <c r="D21" s="75" t="s">
        <v>487</v>
      </c>
      <c r="E21" s="75" t="s">
        <v>823</v>
      </c>
      <c r="F21" s="75" t="s">
        <v>23</v>
      </c>
      <c r="G21" s="73">
        <v>42401</v>
      </c>
      <c r="H21" s="76">
        <v>45054</v>
      </c>
      <c r="I21" s="75">
        <v>58</v>
      </c>
      <c r="J21" s="67">
        <v>54</v>
      </c>
      <c r="K21" s="67">
        <v>88</v>
      </c>
      <c r="L21" s="67">
        <v>64</v>
      </c>
      <c r="M21" s="67">
        <v>57</v>
      </c>
      <c r="N21" s="67" t="s">
        <v>839</v>
      </c>
      <c r="O21" s="67">
        <v>500</v>
      </c>
      <c r="P21" s="67">
        <f t="shared" si="0"/>
        <v>321</v>
      </c>
      <c r="Q21" s="68">
        <f t="shared" si="1"/>
        <v>0.64200000000000002</v>
      </c>
      <c r="R21" s="69"/>
    </row>
    <row r="22" spans="1:18" ht="35.1" customHeight="1" x14ac:dyDescent="0.3">
      <c r="A22" s="80">
        <v>14</v>
      </c>
      <c r="B22" s="70">
        <v>702</v>
      </c>
      <c r="C22" s="78" t="s">
        <v>619</v>
      </c>
      <c r="D22" s="75" t="s">
        <v>661</v>
      </c>
      <c r="E22" s="75" t="s">
        <v>445</v>
      </c>
      <c r="F22" s="75" t="s">
        <v>23</v>
      </c>
      <c r="G22" s="77">
        <v>43060</v>
      </c>
      <c r="H22" s="60">
        <v>45153</v>
      </c>
      <c r="I22" s="75">
        <v>54</v>
      </c>
      <c r="J22" s="67">
        <v>64</v>
      </c>
      <c r="K22" s="67">
        <v>78</v>
      </c>
      <c r="L22" s="67">
        <v>61</v>
      </c>
      <c r="M22" s="67">
        <v>59</v>
      </c>
      <c r="N22" s="67" t="s">
        <v>839</v>
      </c>
      <c r="O22" s="67">
        <v>500</v>
      </c>
      <c r="P22" s="67">
        <f t="shared" si="0"/>
        <v>316</v>
      </c>
      <c r="Q22" s="68">
        <f t="shared" si="1"/>
        <v>0.63200000000000001</v>
      </c>
      <c r="R22" s="69"/>
    </row>
    <row r="23" spans="1:18" ht="35.1" customHeight="1" x14ac:dyDescent="0.3">
      <c r="A23" s="129">
        <v>15</v>
      </c>
      <c r="B23" s="61">
        <v>659</v>
      </c>
      <c r="C23" s="66" t="s">
        <v>619</v>
      </c>
      <c r="D23" s="75" t="s">
        <v>28</v>
      </c>
      <c r="E23" s="75" t="s">
        <v>35</v>
      </c>
      <c r="F23" s="75" t="s">
        <v>23</v>
      </c>
      <c r="G23" s="73" t="s">
        <v>325</v>
      </c>
      <c r="H23" s="76">
        <v>44965</v>
      </c>
      <c r="I23" s="75">
        <v>46</v>
      </c>
      <c r="J23" s="67">
        <v>76</v>
      </c>
      <c r="K23" s="67">
        <v>88</v>
      </c>
      <c r="L23" s="67">
        <v>63</v>
      </c>
      <c r="M23" s="67">
        <v>66</v>
      </c>
      <c r="N23" s="67" t="s">
        <v>839</v>
      </c>
      <c r="O23" s="67">
        <v>500</v>
      </c>
      <c r="P23" s="67">
        <f t="shared" si="0"/>
        <v>339</v>
      </c>
      <c r="Q23" s="68">
        <f t="shared" si="1"/>
        <v>0.67800000000000005</v>
      </c>
      <c r="R23" s="69"/>
    </row>
    <row r="24" spans="1:18" ht="35.1" customHeight="1" x14ac:dyDescent="0.3">
      <c r="A24" s="80">
        <v>16</v>
      </c>
      <c r="B24" s="61">
        <v>661</v>
      </c>
      <c r="C24" s="66" t="s">
        <v>619</v>
      </c>
      <c r="D24" s="75" t="s">
        <v>820</v>
      </c>
      <c r="E24" s="75" t="s">
        <v>38</v>
      </c>
      <c r="F24" s="75" t="s">
        <v>23</v>
      </c>
      <c r="G24" s="73">
        <v>42320</v>
      </c>
      <c r="H24" s="76">
        <v>44965</v>
      </c>
      <c r="I24" s="75">
        <v>69</v>
      </c>
      <c r="J24" s="67">
        <v>81</v>
      </c>
      <c r="K24" s="67">
        <v>91</v>
      </c>
      <c r="L24" s="67">
        <v>72</v>
      </c>
      <c r="M24" s="67">
        <v>70</v>
      </c>
      <c r="N24" s="67" t="s">
        <v>841</v>
      </c>
      <c r="O24" s="67">
        <v>500</v>
      </c>
      <c r="P24" s="67">
        <f t="shared" si="0"/>
        <v>383</v>
      </c>
      <c r="Q24" s="68">
        <f t="shared" si="1"/>
        <v>0.76600000000000001</v>
      </c>
      <c r="R24" s="69"/>
    </row>
    <row r="25" spans="1:18" ht="35.1" customHeight="1" x14ac:dyDescent="0.3">
      <c r="A25" s="129">
        <v>17</v>
      </c>
      <c r="B25" s="61">
        <v>660</v>
      </c>
      <c r="C25" s="66" t="s">
        <v>619</v>
      </c>
      <c r="D25" s="75" t="s">
        <v>701</v>
      </c>
      <c r="E25" s="75" t="s">
        <v>474</v>
      </c>
      <c r="F25" s="75" t="s">
        <v>23</v>
      </c>
      <c r="G25" s="73">
        <v>42795</v>
      </c>
      <c r="H25" s="76">
        <v>44965</v>
      </c>
      <c r="I25" s="75">
        <v>54</v>
      </c>
      <c r="J25" s="67">
        <v>79</v>
      </c>
      <c r="K25" s="67">
        <v>55</v>
      </c>
      <c r="L25" s="67">
        <v>50</v>
      </c>
      <c r="M25" s="67">
        <v>79</v>
      </c>
      <c r="N25" s="67" t="s">
        <v>839</v>
      </c>
      <c r="O25" s="67">
        <v>500</v>
      </c>
      <c r="P25" s="67">
        <f t="shared" si="0"/>
        <v>317</v>
      </c>
      <c r="Q25" s="68">
        <f t="shared" si="1"/>
        <v>0.63400000000000001</v>
      </c>
      <c r="R25" s="69"/>
    </row>
    <row r="26" spans="1:18" ht="35.1" customHeight="1" x14ac:dyDescent="0.3">
      <c r="A26" s="80">
        <v>18</v>
      </c>
      <c r="B26" s="61">
        <v>654</v>
      </c>
      <c r="C26" s="66" t="s">
        <v>619</v>
      </c>
      <c r="D26" s="75" t="s">
        <v>472</v>
      </c>
      <c r="E26" s="75" t="s">
        <v>12</v>
      </c>
      <c r="F26" s="75" t="s">
        <v>23</v>
      </c>
      <c r="G26" s="73">
        <v>42737</v>
      </c>
      <c r="H26" s="76">
        <v>44934</v>
      </c>
      <c r="I26" s="75">
        <v>99</v>
      </c>
      <c r="J26" s="67">
        <v>99</v>
      </c>
      <c r="K26" s="67">
        <v>98</v>
      </c>
      <c r="L26" s="67">
        <v>98</v>
      </c>
      <c r="M26" s="67">
        <v>98</v>
      </c>
      <c r="N26" s="67" t="s">
        <v>841</v>
      </c>
      <c r="O26" s="67">
        <v>500</v>
      </c>
      <c r="P26" s="67">
        <f t="shared" si="0"/>
        <v>492</v>
      </c>
      <c r="Q26" s="68">
        <f t="shared" si="1"/>
        <v>0.98399999999999999</v>
      </c>
      <c r="R26" s="69"/>
    </row>
    <row r="27" spans="1:18" ht="35.1" customHeight="1" x14ac:dyDescent="0.3">
      <c r="A27" s="129">
        <v>19</v>
      </c>
      <c r="B27" s="70">
        <v>522</v>
      </c>
      <c r="C27" s="66" t="s">
        <v>619</v>
      </c>
      <c r="D27" s="75" t="s">
        <v>660</v>
      </c>
      <c r="E27" s="75" t="s">
        <v>39</v>
      </c>
      <c r="F27" s="75" t="s">
        <v>23</v>
      </c>
      <c r="G27" s="77">
        <v>42432</v>
      </c>
      <c r="H27" s="60">
        <v>44440</v>
      </c>
      <c r="I27" s="72">
        <v>61</v>
      </c>
      <c r="J27" s="67">
        <v>81</v>
      </c>
      <c r="K27" s="67">
        <v>65</v>
      </c>
      <c r="L27" s="67">
        <v>76</v>
      </c>
      <c r="M27" s="67">
        <v>87</v>
      </c>
      <c r="N27" s="67" t="s">
        <v>839</v>
      </c>
      <c r="O27" s="67">
        <v>500</v>
      </c>
      <c r="P27" s="67">
        <f t="shared" si="0"/>
        <v>370</v>
      </c>
      <c r="Q27" s="68">
        <f t="shared" si="1"/>
        <v>0.74</v>
      </c>
      <c r="R27" s="69"/>
    </row>
    <row r="28" spans="1:18" ht="35.1" customHeight="1" x14ac:dyDescent="0.3">
      <c r="A28" s="80">
        <v>20</v>
      </c>
      <c r="B28" s="61">
        <v>676</v>
      </c>
      <c r="C28" s="66" t="s">
        <v>619</v>
      </c>
      <c r="D28" s="75" t="s">
        <v>490</v>
      </c>
      <c r="E28" s="75" t="s">
        <v>491</v>
      </c>
      <c r="F28" s="75" t="s">
        <v>23</v>
      </c>
      <c r="G28" s="73">
        <v>43228</v>
      </c>
      <c r="H28" s="76">
        <v>45146</v>
      </c>
      <c r="I28" s="75">
        <v>80</v>
      </c>
      <c r="J28" s="67">
        <v>68</v>
      </c>
      <c r="K28" s="67">
        <v>77</v>
      </c>
      <c r="L28" s="67">
        <v>66</v>
      </c>
      <c r="M28" s="67">
        <v>58</v>
      </c>
      <c r="N28" s="67" t="s">
        <v>839</v>
      </c>
      <c r="O28" s="67">
        <v>500</v>
      </c>
      <c r="P28" s="67">
        <f t="shared" si="0"/>
        <v>349</v>
      </c>
      <c r="Q28" s="68">
        <f t="shared" si="1"/>
        <v>0.69799999999999995</v>
      </c>
      <c r="R28" s="69"/>
    </row>
    <row r="29" spans="1:18" ht="35.1" customHeight="1" x14ac:dyDescent="0.3">
      <c r="A29" s="129">
        <v>21</v>
      </c>
      <c r="B29" s="61">
        <v>658</v>
      </c>
      <c r="C29" s="66" t="s">
        <v>619</v>
      </c>
      <c r="D29" s="75" t="s">
        <v>473</v>
      </c>
      <c r="E29" s="75" t="s">
        <v>34</v>
      </c>
      <c r="F29" s="75" t="s">
        <v>23</v>
      </c>
      <c r="G29" s="73">
        <v>42651</v>
      </c>
      <c r="H29" s="76">
        <v>44965</v>
      </c>
      <c r="I29" s="75">
        <v>55</v>
      </c>
      <c r="J29" s="67">
        <v>66</v>
      </c>
      <c r="K29" s="67">
        <v>82</v>
      </c>
      <c r="L29" s="67">
        <v>61</v>
      </c>
      <c r="M29" s="67">
        <v>64</v>
      </c>
      <c r="N29" s="67" t="s">
        <v>711</v>
      </c>
      <c r="O29" s="67">
        <v>500</v>
      </c>
      <c r="P29" s="67">
        <f t="shared" si="0"/>
        <v>328</v>
      </c>
      <c r="Q29" s="68">
        <f t="shared" si="1"/>
        <v>0.65600000000000003</v>
      </c>
      <c r="R29" s="69"/>
    </row>
    <row r="30" spans="1:18" ht="35.1" customHeight="1" x14ac:dyDescent="0.3">
      <c r="A30" s="80">
        <v>22</v>
      </c>
      <c r="B30" s="61">
        <v>785</v>
      </c>
      <c r="C30" s="66" t="s">
        <v>619</v>
      </c>
      <c r="D30" s="75" t="s">
        <v>468</v>
      </c>
      <c r="E30" s="75" t="s">
        <v>543</v>
      </c>
      <c r="F30" s="75" t="s">
        <v>23</v>
      </c>
      <c r="G30" s="77">
        <v>42685</v>
      </c>
      <c r="H30" s="60">
        <v>45303</v>
      </c>
      <c r="I30" s="75">
        <v>52</v>
      </c>
      <c r="J30" s="67">
        <v>46</v>
      </c>
      <c r="K30" s="67">
        <v>60</v>
      </c>
      <c r="L30" s="67">
        <v>52</v>
      </c>
      <c r="M30" s="67">
        <v>51</v>
      </c>
      <c r="N30" s="67" t="s">
        <v>711</v>
      </c>
      <c r="O30" s="67">
        <v>500</v>
      </c>
      <c r="P30" s="67">
        <f t="shared" si="0"/>
        <v>261</v>
      </c>
      <c r="Q30" s="68">
        <f t="shared" si="1"/>
        <v>0.52200000000000002</v>
      </c>
      <c r="R30" s="69"/>
    </row>
    <row r="31" spans="1:18" ht="46.5" customHeight="1" x14ac:dyDescent="0.25">
      <c r="A31" s="159" t="s">
        <v>683</v>
      </c>
      <c r="B31" s="160"/>
      <c r="C31" s="160"/>
      <c r="D31" s="160"/>
      <c r="E31" s="160"/>
      <c r="F31" s="160"/>
      <c r="G31" s="160"/>
      <c r="H31" s="160"/>
      <c r="I31" s="160"/>
      <c r="J31" s="160"/>
      <c r="K31" s="160"/>
      <c r="L31" s="160"/>
      <c r="M31" s="160"/>
      <c r="N31" s="160"/>
      <c r="O31" s="160"/>
      <c r="P31" s="160"/>
      <c r="Q31" s="160"/>
      <c r="R31" s="161"/>
    </row>
    <row r="32" spans="1:18" ht="35.1" customHeight="1" x14ac:dyDescent="0.3">
      <c r="A32" s="79">
        <v>23</v>
      </c>
      <c r="B32" s="61">
        <v>784</v>
      </c>
      <c r="C32" s="66" t="s">
        <v>619</v>
      </c>
      <c r="D32" s="75" t="s">
        <v>634</v>
      </c>
      <c r="E32" s="75" t="s">
        <v>596</v>
      </c>
      <c r="F32" s="75" t="s">
        <v>24</v>
      </c>
      <c r="G32" s="77">
        <v>42710</v>
      </c>
      <c r="H32" s="60">
        <v>45303</v>
      </c>
      <c r="I32" s="67">
        <v>97</v>
      </c>
      <c r="J32" s="67">
        <v>99</v>
      </c>
      <c r="K32" s="67">
        <v>97</v>
      </c>
      <c r="L32" s="67">
        <v>97</v>
      </c>
      <c r="M32" s="67">
        <v>97</v>
      </c>
      <c r="N32" s="67" t="s">
        <v>839</v>
      </c>
      <c r="O32" s="67">
        <v>500</v>
      </c>
      <c r="P32" s="67">
        <f t="shared" ref="P32:P37" si="2">I32+J32+K32+L32+M32</f>
        <v>487</v>
      </c>
      <c r="Q32" s="68">
        <f t="shared" ref="Q32:Q58" si="3">P32/O32</f>
        <v>0.97399999999999998</v>
      </c>
      <c r="R32" s="69"/>
    </row>
    <row r="33" spans="1:18" ht="35.1" customHeight="1" x14ac:dyDescent="0.3">
      <c r="A33" s="80">
        <v>24</v>
      </c>
      <c r="B33" s="70">
        <v>700</v>
      </c>
      <c r="C33" s="66" t="s">
        <v>619</v>
      </c>
      <c r="D33" s="71" t="s">
        <v>15</v>
      </c>
      <c r="E33" s="71" t="s">
        <v>39</v>
      </c>
      <c r="F33" s="72" t="s">
        <v>24</v>
      </c>
      <c r="G33" s="73">
        <v>43112</v>
      </c>
      <c r="H33" s="74">
        <v>45153</v>
      </c>
      <c r="I33" s="75">
        <v>52</v>
      </c>
      <c r="J33" s="67">
        <v>73</v>
      </c>
      <c r="K33" s="67">
        <v>91</v>
      </c>
      <c r="L33" s="67">
        <v>62</v>
      </c>
      <c r="M33" s="67">
        <v>70</v>
      </c>
      <c r="N33" s="67" t="s">
        <v>839</v>
      </c>
      <c r="O33" s="67">
        <v>500</v>
      </c>
      <c r="P33" s="67">
        <f t="shared" si="2"/>
        <v>348</v>
      </c>
      <c r="Q33" s="68">
        <f t="shared" si="3"/>
        <v>0.69599999999999995</v>
      </c>
      <c r="R33" s="69"/>
    </row>
    <row r="34" spans="1:18" ht="35.1" customHeight="1" x14ac:dyDescent="0.3">
      <c r="A34" s="79">
        <v>25</v>
      </c>
      <c r="B34" s="61">
        <v>680</v>
      </c>
      <c r="C34" s="66" t="s">
        <v>619</v>
      </c>
      <c r="D34" s="75" t="s">
        <v>498</v>
      </c>
      <c r="E34" s="75" t="s">
        <v>499</v>
      </c>
      <c r="F34" s="75" t="s">
        <v>24</v>
      </c>
      <c r="G34" s="73" t="s">
        <v>500</v>
      </c>
      <c r="H34" s="76">
        <v>45177</v>
      </c>
      <c r="I34" s="67">
        <v>38</v>
      </c>
      <c r="J34" s="67">
        <v>51</v>
      </c>
      <c r="K34" s="67">
        <v>39</v>
      </c>
      <c r="L34" s="67">
        <v>53</v>
      </c>
      <c r="M34" s="67">
        <v>48</v>
      </c>
      <c r="N34" s="67" t="s">
        <v>840</v>
      </c>
      <c r="O34" s="67">
        <v>500</v>
      </c>
      <c r="P34" s="67">
        <f t="shared" si="2"/>
        <v>229</v>
      </c>
      <c r="Q34" s="68">
        <f t="shared" si="3"/>
        <v>0.45800000000000002</v>
      </c>
      <c r="R34" s="69"/>
    </row>
    <row r="35" spans="1:18" ht="35.1" customHeight="1" x14ac:dyDescent="0.3">
      <c r="A35" s="80">
        <v>26</v>
      </c>
      <c r="B35" s="61">
        <v>650</v>
      </c>
      <c r="C35" s="66" t="s">
        <v>619</v>
      </c>
      <c r="D35" s="75" t="s">
        <v>10</v>
      </c>
      <c r="E35" s="75" t="s">
        <v>22</v>
      </c>
      <c r="F35" s="75" t="s">
        <v>24</v>
      </c>
      <c r="G35" s="73" t="s">
        <v>324</v>
      </c>
      <c r="H35" s="76">
        <v>44934</v>
      </c>
      <c r="I35" s="67">
        <v>53</v>
      </c>
      <c r="J35" s="67">
        <v>56</v>
      </c>
      <c r="K35" s="67">
        <v>74</v>
      </c>
      <c r="L35" s="67">
        <v>59</v>
      </c>
      <c r="M35" s="67">
        <v>73</v>
      </c>
      <c r="N35" s="67" t="s">
        <v>840</v>
      </c>
      <c r="O35" s="67">
        <v>500</v>
      </c>
      <c r="P35" s="67">
        <f t="shared" si="2"/>
        <v>315</v>
      </c>
      <c r="Q35" s="68">
        <f t="shared" si="3"/>
        <v>0.63</v>
      </c>
      <c r="R35" s="69"/>
    </row>
    <row r="36" spans="1:18" ht="35.1" customHeight="1" x14ac:dyDescent="0.3">
      <c r="A36" s="79">
        <v>27</v>
      </c>
      <c r="B36" s="61">
        <v>671</v>
      </c>
      <c r="C36" s="66" t="s">
        <v>619</v>
      </c>
      <c r="D36" s="75" t="s">
        <v>827</v>
      </c>
      <c r="E36" s="75" t="s">
        <v>826</v>
      </c>
      <c r="F36" s="75" t="s">
        <v>24</v>
      </c>
      <c r="G36" s="73">
        <v>42495</v>
      </c>
      <c r="H36" s="76">
        <v>45024</v>
      </c>
      <c r="I36" s="67">
        <v>65</v>
      </c>
      <c r="J36" s="67">
        <v>68</v>
      </c>
      <c r="K36" s="67">
        <v>96</v>
      </c>
      <c r="L36" s="67">
        <v>70</v>
      </c>
      <c r="M36" s="67">
        <v>80</v>
      </c>
      <c r="N36" s="67" t="s">
        <v>839</v>
      </c>
      <c r="O36" s="67">
        <v>500</v>
      </c>
      <c r="P36" s="67">
        <f t="shared" si="2"/>
        <v>379</v>
      </c>
      <c r="Q36" s="68">
        <f t="shared" si="3"/>
        <v>0.75800000000000001</v>
      </c>
      <c r="R36" s="69"/>
    </row>
    <row r="37" spans="1:18" ht="35.1" customHeight="1" x14ac:dyDescent="0.3">
      <c r="A37" s="80">
        <v>28</v>
      </c>
      <c r="B37" s="61">
        <v>683</v>
      </c>
      <c r="C37" s="66" t="s">
        <v>619</v>
      </c>
      <c r="D37" s="75" t="s">
        <v>9</v>
      </c>
      <c r="E37" s="75" t="s">
        <v>21</v>
      </c>
      <c r="F37" s="75" t="s">
        <v>24</v>
      </c>
      <c r="G37" s="73" t="s">
        <v>323</v>
      </c>
      <c r="H37" s="76">
        <v>45207</v>
      </c>
      <c r="I37" s="67">
        <v>23</v>
      </c>
      <c r="J37" s="67">
        <v>35</v>
      </c>
      <c r="K37" s="67">
        <v>45</v>
      </c>
      <c r="L37" s="67">
        <v>37</v>
      </c>
      <c r="M37" s="67">
        <v>37</v>
      </c>
      <c r="N37" s="67" t="s">
        <v>840</v>
      </c>
      <c r="O37" s="67">
        <v>500</v>
      </c>
      <c r="P37" s="67">
        <f t="shared" si="2"/>
        <v>177</v>
      </c>
      <c r="Q37" s="68">
        <f t="shared" si="3"/>
        <v>0.35399999999999998</v>
      </c>
      <c r="R37" s="69"/>
    </row>
    <row r="38" spans="1:18" ht="35.1" customHeight="1" x14ac:dyDescent="0.3">
      <c r="A38" s="79">
        <v>29</v>
      </c>
      <c r="B38" s="61">
        <v>662</v>
      </c>
      <c r="C38" s="66" t="s">
        <v>619</v>
      </c>
      <c r="D38" s="75" t="s">
        <v>4</v>
      </c>
      <c r="E38" s="75" t="s">
        <v>14</v>
      </c>
      <c r="F38" s="75" t="s">
        <v>24</v>
      </c>
      <c r="G38" s="73">
        <v>42370</v>
      </c>
      <c r="H38" s="76">
        <v>44965</v>
      </c>
      <c r="I38" s="67">
        <v>8</v>
      </c>
      <c r="J38" s="67" t="s">
        <v>842</v>
      </c>
      <c r="K38" s="67" t="s">
        <v>843</v>
      </c>
      <c r="L38" s="67" t="s">
        <v>844</v>
      </c>
      <c r="M38" s="67">
        <v>50</v>
      </c>
      <c r="N38" s="67" t="s">
        <v>845</v>
      </c>
      <c r="O38" s="67">
        <v>500</v>
      </c>
      <c r="P38" s="67">
        <f>8+50+48+18+50</f>
        <v>174</v>
      </c>
      <c r="Q38" s="68">
        <f t="shared" si="3"/>
        <v>0.34799999999999998</v>
      </c>
      <c r="R38" s="69"/>
    </row>
    <row r="39" spans="1:18" ht="35.1" customHeight="1" x14ac:dyDescent="0.3">
      <c r="A39" s="80">
        <v>30</v>
      </c>
      <c r="B39" s="61">
        <v>681</v>
      </c>
      <c r="C39" s="66" t="s">
        <v>619</v>
      </c>
      <c r="D39" s="75" t="s">
        <v>501</v>
      </c>
      <c r="E39" s="75" t="s">
        <v>502</v>
      </c>
      <c r="F39" s="75" t="s">
        <v>24</v>
      </c>
      <c r="G39" s="73" t="s">
        <v>503</v>
      </c>
      <c r="H39" s="76">
        <v>45207</v>
      </c>
      <c r="I39" s="67">
        <v>57</v>
      </c>
      <c r="J39" s="67">
        <v>56</v>
      </c>
      <c r="K39" s="67">
        <v>50</v>
      </c>
      <c r="L39" s="67">
        <v>58</v>
      </c>
      <c r="M39" s="67">
        <v>58</v>
      </c>
      <c r="N39" s="67" t="s">
        <v>839</v>
      </c>
      <c r="O39" s="67">
        <v>500</v>
      </c>
      <c r="P39" s="67">
        <f t="shared" ref="P39:P54" si="4">I39+J39+K39+L39+M39</f>
        <v>279</v>
      </c>
      <c r="Q39" s="68">
        <f t="shared" si="3"/>
        <v>0.55800000000000005</v>
      </c>
      <c r="R39" s="69"/>
    </row>
    <row r="40" spans="1:18" ht="35.1" customHeight="1" x14ac:dyDescent="0.3">
      <c r="A40" s="79">
        <v>31</v>
      </c>
      <c r="B40" s="61">
        <v>664</v>
      </c>
      <c r="C40" s="66" t="s">
        <v>619</v>
      </c>
      <c r="D40" s="75" t="s">
        <v>476</v>
      </c>
      <c r="E40" s="75" t="s">
        <v>40</v>
      </c>
      <c r="F40" s="75" t="s">
        <v>24</v>
      </c>
      <c r="G40" s="73" t="s">
        <v>477</v>
      </c>
      <c r="H40" s="76">
        <v>44965</v>
      </c>
      <c r="I40" s="67">
        <v>72</v>
      </c>
      <c r="J40" s="67">
        <v>85</v>
      </c>
      <c r="K40" s="67">
        <v>92</v>
      </c>
      <c r="L40" s="67">
        <v>81</v>
      </c>
      <c r="M40" s="67">
        <v>74</v>
      </c>
      <c r="N40" s="67" t="s">
        <v>839</v>
      </c>
      <c r="O40" s="67">
        <v>500</v>
      </c>
      <c r="P40" s="67">
        <f t="shared" si="4"/>
        <v>404</v>
      </c>
      <c r="Q40" s="68">
        <f t="shared" si="3"/>
        <v>0.80800000000000005</v>
      </c>
      <c r="R40" s="69"/>
    </row>
    <row r="41" spans="1:18" ht="35.1" customHeight="1" x14ac:dyDescent="0.3">
      <c r="A41" s="80">
        <v>32</v>
      </c>
      <c r="B41" s="61">
        <v>663</v>
      </c>
      <c r="C41" s="66" t="s">
        <v>619</v>
      </c>
      <c r="D41" s="75" t="s">
        <v>475</v>
      </c>
      <c r="E41" s="75" t="s">
        <v>16</v>
      </c>
      <c r="F41" s="75" t="s">
        <v>24</v>
      </c>
      <c r="G41" s="73">
        <v>42837</v>
      </c>
      <c r="H41" s="76">
        <v>44965</v>
      </c>
      <c r="I41" s="67">
        <v>33</v>
      </c>
      <c r="J41" s="67">
        <v>56</v>
      </c>
      <c r="K41" s="67">
        <v>63</v>
      </c>
      <c r="L41" s="67">
        <v>52</v>
      </c>
      <c r="M41" s="67">
        <v>58</v>
      </c>
      <c r="N41" s="67" t="s">
        <v>840</v>
      </c>
      <c r="O41" s="67">
        <v>500</v>
      </c>
      <c r="P41" s="67">
        <f t="shared" si="4"/>
        <v>262</v>
      </c>
      <c r="Q41" s="68">
        <f t="shared" si="3"/>
        <v>0.52400000000000002</v>
      </c>
      <c r="R41" s="69"/>
    </row>
    <row r="42" spans="1:18" ht="35.1" customHeight="1" x14ac:dyDescent="0.3">
      <c r="A42" s="79">
        <v>33</v>
      </c>
      <c r="B42" s="61">
        <v>776</v>
      </c>
      <c r="C42" s="66" t="s">
        <v>619</v>
      </c>
      <c r="D42" s="75" t="s">
        <v>633</v>
      </c>
      <c r="E42" s="75" t="s">
        <v>213</v>
      </c>
      <c r="F42" s="75" t="s">
        <v>24</v>
      </c>
      <c r="G42" s="77">
        <v>43204</v>
      </c>
      <c r="H42" s="60">
        <v>45232</v>
      </c>
      <c r="I42" s="67">
        <v>8</v>
      </c>
      <c r="J42" s="67">
        <v>7</v>
      </c>
      <c r="K42" s="67">
        <v>32</v>
      </c>
      <c r="L42" s="67">
        <v>7</v>
      </c>
      <c r="M42" s="67">
        <v>4</v>
      </c>
      <c r="N42" s="67" t="s">
        <v>839</v>
      </c>
      <c r="O42" s="67">
        <v>500</v>
      </c>
      <c r="P42" s="67">
        <f t="shared" si="4"/>
        <v>58</v>
      </c>
      <c r="Q42" s="68">
        <f t="shared" si="3"/>
        <v>0.11600000000000001</v>
      </c>
      <c r="R42" s="69"/>
    </row>
    <row r="43" spans="1:18" ht="53.25" customHeight="1" x14ac:dyDescent="0.3">
      <c r="A43" s="80">
        <v>34</v>
      </c>
      <c r="B43" s="66">
        <v>771</v>
      </c>
      <c r="C43" s="66" t="s">
        <v>619</v>
      </c>
      <c r="D43" s="75" t="s">
        <v>627</v>
      </c>
      <c r="E43" s="75" t="s">
        <v>612</v>
      </c>
      <c r="F43" s="75" t="s">
        <v>24</v>
      </c>
      <c r="G43" s="77">
        <v>43428</v>
      </c>
      <c r="H43" s="60">
        <v>45223</v>
      </c>
      <c r="I43" s="67">
        <v>65</v>
      </c>
      <c r="J43" s="67">
        <v>75</v>
      </c>
      <c r="K43" s="67">
        <v>87</v>
      </c>
      <c r="L43" s="67">
        <v>75</v>
      </c>
      <c r="M43" s="67">
        <v>77</v>
      </c>
      <c r="N43" s="67" t="s">
        <v>839</v>
      </c>
      <c r="O43" s="67">
        <v>500</v>
      </c>
      <c r="P43" s="67">
        <f t="shared" si="4"/>
        <v>379</v>
      </c>
      <c r="Q43" s="68">
        <f t="shared" si="3"/>
        <v>0.75800000000000001</v>
      </c>
      <c r="R43" s="69"/>
    </row>
    <row r="44" spans="1:18" ht="35.1" customHeight="1" x14ac:dyDescent="0.3">
      <c r="A44" s="79">
        <v>35</v>
      </c>
      <c r="B44" s="61">
        <v>773</v>
      </c>
      <c r="C44" s="66" t="s">
        <v>619</v>
      </c>
      <c r="D44" s="75" t="s">
        <v>630</v>
      </c>
      <c r="E44" s="75" t="s">
        <v>11</v>
      </c>
      <c r="F44" s="75" t="s">
        <v>24</v>
      </c>
      <c r="G44" s="77">
        <v>43388</v>
      </c>
      <c r="H44" s="60">
        <v>45223</v>
      </c>
      <c r="I44" s="75">
        <v>74</v>
      </c>
      <c r="J44" s="67">
        <v>74</v>
      </c>
      <c r="K44" s="67">
        <v>79</v>
      </c>
      <c r="L44" s="67">
        <v>65</v>
      </c>
      <c r="M44" s="67">
        <v>70</v>
      </c>
      <c r="N44" s="67" t="s">
        <v>845</v>
      </c>
      <c r="O44" s="67">
        <v>500</v>
      </c>
      <c r="P44" s="67">
        <f t="shared" si="4"/>
        <v>362</v>
      </c>
      <c r="Q44" s="68">
        <f t="shared" si="3"/>
        <v>0.72399999999999998</v>
      </c>
      <c r="R44" s="69"/>
    </row>
    <row r="45" spans="1:18" ht="35.1" customHeight="1" x14ac:dyDescent="0.3">
      <c r="A45" s="80">
        <v>36</v>
      </c>
      <c r="B45" s="61">
        <v>652</v>
      </c>
      <c r="C45" s="66" t="s">
        <v>619</v>
      </c>
      <c r="D45" s="75" t="s">
        <v>822</v>
      </c>
      <c r="E45" s="75" t="s">
        <v>13</v>
      </c>
      <c r="F45" s="75" t="s">
        <v>24</v>
      </c>
      <c r="G45" s="73">
        <v>43101</v>
      </c>
      <c r="H45" s="76">
        <v>44934</v>
      </c>
      <c r="I45" s="75">
        <v>54</v>
      </c>
      <c r="J45" s="67">
        <v>85</v>
      </c>
      <c r="K45" s="67">
        <v>81</v>
      </c>
      <c r="L45" s="67">
        <v>74</v>
      </c>
      <c r="M45" s="67">
        <v>74</v>
      </c>
      <c r="N45" s="67" t="s">
        <v>845</v>
      </c>
      <c r="O45" s="67">
        <v>500</v>
      </c>
      <c r="P45" s="67">
        <f t="shared" si="4"/>
        <v>368</v>
      </c>
      <c r="Q45" s="68">
        <f t="shared" si="3"/>
        <v>0.73599999999999999</v>
      </c>
      <c r="R45" s="69"/>
    </row>
    <row r="46" spans="1:18" ht="35.1" customHeight="1" x14ac:dyDescent="0.3">
      <c r="A46" s="79">
        <v>37</v>
      </c>
      <c r="B46" s="61">
        <v>775</v>
      </c>
      <c r="C46" s="66" t="s">
        <v>619</v>
      </c>
      <c r="D46" s="75" t="s">
        <v>632</v>
      </c>
      <c r="E46" s="75" t="s">
        <v>437</v>
      </c>
      <c r="F46" s="75" t="s">
        <v>24</v>
      </c>
      <c r="G46" s="77">
        <v>41945</v>
      </c>
      <c r="H46" s="60">
        <v>45232</v>
      </c>
      <c r="I46" s="75">
        <v>40</v>
      </c>
      <c r="J46" s="67">
        <v>77</v>
      </c>
      <c r="K46" s="67">
        <v>58</v>
      </c>
      <c r="L46" s="67">
        <v>54</v>
      </c>
      <c r="M46" s="67">
        <v>45</v>
      </c>
      <c r="N46" s="67" t="s">
        <v>840</v>
      </c>
      <c r="O46" s="67">
        <v>500</v>
      </c>
      <c r="P46" s="67">
        <f t="shared" si="4"/>
        <v>274</v>
      </c>
      <c r="Q46" s="68">
        <f t="shared" si="3"/>
        <v>0.54800000000000004</v>
      </c>
      <c r="R46" s="69"/>
    </row>
    <row r="47" spans="1:18" ht="41.25" customHeight="1" x14ac:dyDescent="0.3">
      <c r="A47" s="80">
        <v>38</v>
      </c>
      <c r="B47" s="61">
        <v>682</v>
      </c>
      <c r="C47" s="66" t="s">
        <v>619</v>
      </c>
      <c r="D47" s="75" t="s">
        <v>141</v>
      </c>
      <c r="E47" s="75" t="s">
        <v>19</v>
      </c>
      <c r="F47" s="75" t="s">
        <v>24</v>
      </c>
      <c r="G47" s="73">
        <v>42861</v>
      </c>
      <c r="H47" s="76">
        <v>45207</v>
      </c>
      <c r="I47" s="75">
        <v>42</v>
      </c>
      <c r="J47" s="67">
        <v>69</v>
      </c>
      <c r="K47" s="67">
        <v>60</v>
      </c>
      <c r="L47" s="67">
        <v>47</v>
      </c>
      <c r="M47" s="67">
        <v>69</v>
      </c>
      <c r="N47" s="67" t="s">
        <v>839</v>
      </c>
      <c r="O47" s="67">
        <v>500</v>
      </c>
      <c r="P47" s="67">
        <f t="shared" si="4"/>
        <v>287</v>
      </c>
      <c r="Q47" s="68">
        <f t="shared" si="3"/>
        <v>0.57399999999999995</v>
      </c>
      <c r="R47" s="69"/>
    </row>
    <row r="48" spans="1:18" ht="35.1" customHeight="1" x14ac:dyDescent="0.3">
      <c r="A48" s="79">
        <v>39</v>
      </c>
      <c r="B48" s="61">
        <v>651</v>
      </c>
      <c r="C48" s="66" t="s">
        <v>619</v>
      </c>
      <c r="D48" s="75" t="s">
        <v>471</v>
      </c>
      <c r="E48" s="75" t="s">
        <v>37</v>
      </c>
      <c r="F48" s="75" t="s">
        <v>24</v>
      </c>
      <c r="G48" s="73" t="s">
        <v>326</v>
      </c>
      <c r="H48" s="76">
        <v>44934</v>
      </c>
      <c r="I48" s="75">
        <v>53</v>
      </c>
      <c r="J48" s="67">
        <v>72</v>
      </c>
      <c r="K48" s="67">
        <v>75</v>
      </c>
      <c r="L48" s="67">
        <v>61</v>
      </c>
      <c r="M48" s="67">
        <v>73</v>
      </c>
      <c r="N48" s="67" t="s">
        <v>845</v>
      </c>
      <c r="O48" s="67">
        <v>500</v>
      </c>
      <c r="P48" s="67">
        <f t="shared" si="4"/>
        <v>334</v>
      </c>
      <c r="Q48" s="68">
        <f t="shared" si="3"/>
        <v>0.66800000000000004</v>
      </c>
      <c r="R48" s="69"/>
    </row>
    <row r="49" spans="1:18" ht="35.1" customHeight="1" x14ac:dyDescent="0.3">
      <c r="A49" s="80">
        <v>40</v>
      </c>
      <c r="B49" s="61">
        <v>678</v>
      </c>
      <c r="C49" s="66" t="s">
        <v>619</v>
      </c>
      <c r="D49" s="75" t="s">
        <v>493</v>
      </c>
      <c r="E49" s="75" t="s">
        <v>494</v>
      </c>
      <c r="F49" s="75" t="s">
        <v>24</v>
      </c>
      <c r="G49" s="73" t="s">
        <v>495</v>
      </c>
      <c r="H49" s="76">
        <v>45146</v>
      </c>
      <c r="I49" s="75">
        <v>79</v>
      </c>
      <c r="J49" s="67">
        <v>89</v>
      </c>
      <c r="K49" s="67">
        <v>99</v>
      </c>
      <c r="L49" s="67">
        <v>94</v>
      </c>
      <c r="M49" s="67">
        <v>93</v>
      </c>
      <c r="N49" s="67" t="s">
        <v>845</v>
      </c>
      <c r="O49" s="67">
        <v>500</v>
      </c>
      <c r="P49" s="67">
        <f t="shared" si="4"/>
        <v>454</v>
      </c>
      <c r="Q49" s="68">
        <f t="shared" si="3"/>
        <v>0.90800000000000003</v>
      </c>
      <c r="R49" s="69"/>
    </row>
    <row r="50" spans="1:18" ht="35.1" customHeight="1" x14ac:dyDescent="0.3">
      <c r="A50" s="79">
        <v>41</v>
      </c>
      <c r="B50" s="61">
        <v>674</v>
      </c>
      <c r="C50" s="66" t="s">
        <v>619</v>
      </c>
      <c r="D50" s="75" t="s">
        <v>488</v>
      </c>
      <c r="E50" s="75" t="s">
        <v>203</v>
      </c>
      <c r="F50" s="75" t="s">
        <v>24</v>
      </c>
      <c r="G50" s="73">
        <v>42370</v>
      </c>
      <c r="H50" s="76">
        <v>45115</v>
      </c>
      <c r="I50" s="75">
        <v>53</v>
      </c>
      <c r="J50" s="67">
        <v>79</v>
      </c>
      <c r="K50" s="67">
        <v>70</v>
      </c>
      <c r="L50" s="67">
        <v>78</v>
      </c>
      <c r="M50" s="67">
        <v>72</v>
      </c>
      <c r="N50" s="67" t="s">
        <v>839</v>
      </c>
      <c r="O50" s="67">
        <v>500</v>
      </c>
      <c r="P50" s="67">
        <f t="shared" si="4"/>
        <v>352</v>
      </c>
      <c r="Q50" s="68">
        <f t="shared" si="3"/>
        <v>0.70399999999999996</v>
      </c>
      <c r="R50" s="69"/>
    </row>
    <row r="51" spans="1:18" ht="35.1" customHeight="1" x14ac:dyDescent="0.3">
      <c r="A51" s="80">
        <v>42</v>
      </c>
      <c r="B51" s="61">
        <v>666</v>
      </c>
      <c r="C51" s="66" t="s">
        <v>619</v>
      </c>
      <c r="D51" s="75" t="s">
        <v>478</v>
      </c>
      <c r="E51" s="75" t="s">
        <v>479</v>
      </c>
      <c r="F51" s="75" t="s">
        <v>24</v>
      </c>
      <c r="G51" s="73">
        <v>42464</v>
      </c>
      <c r="H51" s="76">
        <v>44965</v>
      </c>
      <c r="I51" s="75">
        <v>60</v>
      </c>
      <c r="J51" s="67">
        <v>61</v>
      </c>
      <c r="K51" s="67">
        <v>94</v>
      </c>
      <c r="L51" s="67">
        <v>71</v>
      </c>
      <c r="M51" s="67">
        <v>59</v>
      </c>
      <c r="N51" s="67" t="s">
        <v>845</v>
      </c>
      <c r="O51" s="67">
        <v>500</v>
      </c>
      <c r="P51" s="67">
        <f t="shared" si="4"/>
        <v>345</v>
      </c>
      <c r="Q51" s="68">
        <f t="shared" si="3"/>
        <v>0.69</v>
      </c>
      <c r="R51" s="69"/>
    </row>
    <row r="52" spans="1:18" ht="42.75" customHeight="1" x14ac:dyDescent="0.3">
      <c r="A52" s="79">
        <v>43</v>
      </c>
      <c r="B52" s="61">
        <v>786</v>
      </c>
      <c r="C52" s="66" t="s">
        <v>619</v>
      </c>
      <c r="D52" s="75" t="s">
        <v>635</v>
      </c>
      <c r="E52" s="75" t="s">
        <v>636</v>
      </c>
      <c r="F52" s="75" t="s">
        <v>24</v>
      </c>
      <c r="G52" s="77">
        <v>42197</v>
      </c>
      <c r="H52" s="60">
        <v>45303</v>
      </c>
      <c r="I52" s="75">
        <v>86</v>
      </c>
      <c r="J52" s="67">
        <v>77</v>
      </c>
      <c r="K52" s="67">
        <v>90</v>
      </c>
      <c r="L52" s="67">
        <v>76</v>
      </c>
      <c r="M52" s="67">
        <v>62</v>
      </c>
      <c r="N52" s="67" t="s">
        <v>839</v>
      </c>
      <c r="O52" s="67">
        <v>500</v>
      </c>
      <c r="P52" s="67">
        <f t="shared" si="4"/>
        <v>391</v>
      </c>
      <c r="Q52" s="68">
        <f t="shared" si="3"/>
        <v>0.78200000000000003</v>
      </c>
      <c r="R52" s="69"/>
    </row>
    <row r="53" spans="1:18" ht="39.75" customHeight="1" x14ac:dyDescent="0.3">
      <c r="A53" s="80">
        <v>44</v>
      </c>
      <c r="B53" s="61">
        <v>701</v>
      </c>
      <c r="C53" s="66" t="s">
        <v>619</v>
      </c>
      <c r="D53" s="71" t="s">
        <v>678</v>
      </c>
      <c r="E53" s="71" t="s">
        <v>679</v>
      </c>
      <c r="F53" s="72" t="s">
        <v>24</v>
      </c>
      <c r="G53" s="73" t="s">
        <v>680</v>
      </c>
      <c r="H53" s="74">
        <v>45153</v>
      </c>
      <c r="I53" s="75">
        <v>45</v>
      </c>
      <c r="J53" s="67">
        <v>68</v>
      </c>
      <c r="K53" s="67">
        <v>81</v>
      </c>
      <c r="L53" s="67">
        <v>61</v>
      </c>
      <c r="M53" s="67">
        <v>64</v>
      </c>
      <c r="N53" s="67" t="s">
        <v>845</v>
      </c>
      <c r="O53" s="67">
        <v>500</v>
      </c>
      <c r="P53" s="67">
        <f t="shared" si="4"/>
        <v>319</v>
      </c>
      <c r="Q53" s="68">
        <f t="shared" si="3"/>
        <v>0.63800000000000001</v>
      </c>
      <c r="R53" s="69"/>
    </row>
    <row r="54" spans="1:18" ht="35.1" customHeight="1" x14ac:dyDescent="0.3">
      <c r="A54" s="79">
        <v>45</v>
      </c>
      <c r="B54" s="61">
        <v>667</v>
      </c>
      <c r="C54" s="66" t="s">
        <v>619</v>
      </c>
      <c r="D54" s="75" t="s">
        <v>7</v>
      </c>
      <c r="E54" s="75" t="s">
        <v>480</v>
      </c>
      <c r="F54" s="75" t="s">
        <v>24</v>
      </c>
      <c r="G54" s="73">
        <v>42646</v>
      </c>
      <c r="H54" s="76">
        <v>45024</v>
      </c>
      <c r="I54" s="75">
        <v>39</v>
      </c>
      <c r="J54" s="67">
        <v>67</v>
      </c>
      <c r="K54" s="67">
        <v>53</v>
      </c>
      <c r="L54" s="67">
        <v>57</v>
      </c>
      <c r="M54" s="67">
        <v>66</v>
      </c>
      <c r="N54" s="67" t="s">
        <v>845</v>
      </c>
      <c r="O54" s="67">
        <v>500</v>
      </c>
      <c r="P54" s="67">
        <f t="shared" si="4"/>
        <v>282</v>
      </c>
      <c r="Q54" s="68">
        <f t="shared" si="3"/>
        <v>0.56399999999999995</v>
      </c>
      <c r="R54" s="69"/>
    </row>
    <row r="55" spans="1:18" ht="35.1" customHeight="1" x14ac:dyDescent="0.3">
      <c r="A55" s="80">
        <v>46</v>
      </c>
      <c r="B55" s="61">
        <v>669</v>
      </c>
      <c r="C55" s="66" t="s">
        <v>619</v>
      </c>
      <c r="D55" s="75" t="s">
        <v>482</v>
      </c>
      <c r="E55" s="75" t="s">
        <v>483</v>
      </c>
      <c r="F55" s="75" t="s">
        <v>24</v>
      </c>
      <c r="G55" s="73" t="s">
        <v>484</v>
      </c>
      <c r="H55" s="76">
        <v>45024</v>
      </c>
      <c r="I55" s="75" t="s">
        <v>846</v>
      </c>
      <c r="J55" s="67" t="s">
        <v>847</v>
      </c>
      <c r="K55" s="67" t="s">
        <v>848</v>
      </c>
      <c r="L55" s="67" t="s">
        <v>711</v>
      </c>
      <c r="M55" s="67" t="s">
        <v>849</v>
      </c>
      <c r="N55" s="67" t="s">
        <v>845</v>
      </c>
      <c r="O55" s="67">
        <v>500</v>
      </c>
      <c r="P55" s="67">
        <f>27+11+39+45</f>
        <v>122</v>
      </c>
      <c r="Q55" s="68">
        <f t="shared" si="3"/>
        <v>0.24399999999999999</v>
      </c>
      <c r="R55" s="69"/>
    </row>
    <row r="56" spans="1:18" ht="35.1" customHeight="1" x14ac:dyDescent="0.3">
      <c r="A56" s="79">
        <v>47</v>
      </c>
      <c r="B56" s="61">
        <v>677</v>
      </c>
      <c r="C56" s="66" t="s">
        <v>619</v>
      </c>
      <c r="D56" s="75" t="s">
        <v>702</v>
      </c>
      <c r="E56" s="75" t="s">
        <v>492</v>
      </c>
      <c r="F56" s="75" t="s">
        <v>24</v>
      </c>
      <c r="G56" s="73">
        <v>42381</v>
      </c>
      <c r="H56" s="76">
        <v>45146</v>
      </c>
      <c r="I56" s="75">
        <v>49</v>
      </c>
      <c r="J56" s="67">
        <v>69</v>
      </c>
      <c r="K56" s="67">
        <v>86</v>
      </c>
      <c r="L56" s="67">
        <v>65</v>
      </c>
      <c r="M56" s="67">
        <v>64</v>
      </c>
      <c r="N56" s="67" t="s">
        <v>839</v>
      </c>
      <c r="O56" s="67">
        <v>500</v>
      </c>
      <c r="P56" s="67">
        <f>I56+J56+K56+L56+M56</f>
        <v>333</v>
      </c>
      <c r="Q56" s="68">
        <f t="shared" si="3"/>
        <v>0.66600000000000004</v>
      </c>
      <c r="R56" s="69"/>
    </row>
    <row r="57" spans="1:18" ht="35.1" customHeight="1" x14ac:dyDescent="0.3">
      <c r="A57" s="80">
        <v>48</v>
      </c>
      <c r="B57" s="61">
        <v>670</v>
      </c>
      <c r="C57" s="66" t="s">
        <v>619</v>
      </c>
      <c r="D57" s="75" t="s">
        <v>485</v>
      </c>
      <c r="E57" s="75" t="s">
        <v>486</v>
      </c>
      <c r="F57" s="75" t="s">
        <v>24</v>
      </c>
      <c r="G57" s="73">
        <v>42011</v>
      </c>
      <c r="H57" s="76">
        <v>45024</v>
      </c>
      <c r="I57" s="75">
        <v>44</v>
      </c>
      <c r="J57" s="67">
        <v>58</v>
      </c>
      <c r="K57" s="67">
        <v>43</v>
      </c>
      <c r="L57" s="67">
        <v>57</v>
      </c>
      <c r="M57" s="67">
        <v>41</v>
      </c>
      <c r="N57" s="67" t="s">
        <v>840</v>
      </c>
      <c r="O57" s="67">
        <v>500</v>
      </c>
      <c r="P57" s="67">
        <f>I57+J57+K57+L57+M57</f>
        <v>243</v>
      </c>
      <c r="Q57" s="68">
        <f t="shared" si="3"/>
        <v>0.48599999999999999</v>
      </c>
      <c r="R57" s="69"/>
    </row>
    <row r="58" spans="1:18" ht="35.1" customHeight="1" x14ac:dyDescent="0.3">
      <c r="A58" s="79">
        <v>49</v>
      </c>
      <c r="B58" s="61">
        <v>783</v>
      </c>
      <c r="C58" s="66" t="s">
        <v>619</v>
      </c>
      <c r="D58" s="75" t="s">
        <v>27</v>
      </c>
      <c r="E58" s="75" t="s">
        <v>530</v>
      </c>
      <c r="F58" s="75" t="s">
        <v>24</v>
      </c>
      <c r="G58" s="77">
        <v>42645</v>
      </c>
      <c r="H58" s="60">
        <v>45302</v>
      </c>
      <c r="I58" s="75">
        <v>42</v>
      </c>
      <c r="J58" s="67">
        <v>12</v>
      </c>
      <c r="K58" s="67">
        <v>50</v>
      </c>
      <c r="L58" s="67">
        <v>14</v>
      </c>
      <c r="M58" s="67">
        <v>36</v>
      </c>
      <c r="N58" s="67" t="s">
        <v>711</v>
      </c>
      <c r="O58" s="67">
        <v>500</v>
      </c>
      <c r="P58" s="67">
        <f>I58+J58+K58+L58+M58</f>
        <v>154</v>
      </c>
      <c r="Q58" s="68">
        <f t="shared" si="3"/>
        <v>0.308</v>
      </c>
      <c r="R58" s="69"/>
    </row>
    <row r="59" spans="1:18" ht="35.1" customHeight="1" x14ac:dyDescent="0.25"/>
    <row r="65" spans="4:16" ht="23.25" x14ac:dyDescent="0.35">
      <c r="D65" s="18" t="s">
        <v>713</v>
      </c>
      <c r="E65" s="15"/>
      <c r="F65" s="15"/>
      <c r="G65" s="16"/>
      <c r="H65" s="17"/>
      <c r="I65" s="15"/>
      <c r="J65" s="15"/>
      <c r="K65" s="15"/>
      <c r="L65" s="15"/>
      <c r="M65" s="15"/>
      <c r="N65" s="15"/>
      <c r="O65" s="153" t="s">
        <v>714</v>
      </c>
      <c r="P65" s="153"/>
    </row>
  </sheetData>
  <sortState ref="A7:R56">
    <sortCondition ref="F7:F56"/>
    <sortCondition ref="D7:D56"/>
  </sortState>
  <mergeCells count="18">
    <mergeCell ref="A2:R2"/>
    <mergeCell ref="A3:R3"/>
    <mergeCell ref="A4:R4"/>
    <mergeCell ref="A5:A7"/>
    <mergeCell ref="B5:B7"/>
    <mergeCell ref="C5:C7"/>
    <mergeCell ref="D5:D7"/>
    <mergeCell ref="E5:E7"/>
    <mergeCell ref="O5:O6"/>
    <mergeCell ref="P5:P7"/>
    <mergeCell ref="R5:R7"/>
    <mergeCell ref="Q5:Q7"/>
    <mergeCell ref="F5:F7"/>
    <mergeCell ref="G5:G7"/>
    <mergeCell ref="A8:R8"/>
    <mergeCell ref="A31:R31"/>
    <mergeCell ref="H5:H7"/>
    <mergeCell ref="O65:P65"/>
  </mergeCells>
  <pageMargins left="0.2" right="0.2" top="0.25" bottom="0.25" header="0.3" footer="0.3"/>
  <pageSetup paperSize="9" scale="40" fitToHeight="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R65"/>
  <sheetViews>
    <sheetView zoomScale="55" zoomScaleNormal="55" workbookViewId="0">
      <pane ySplit="9" topLeftCell="A46" activePane="bottomLeft" state="frozen"/>
      <selection activeCell="F62" sqref="F62"/>
      <selection pane="bottomLeft" activeCell="A5" sqref="A5:R8"/>
    </sheetView>
  </sheetViews>
  <sheetFormatPr defaultColWidth="10" defaultRowHeight="15" x14ac:dyDescent="0.25"/>
  <cols>
    <col min="1" max="1" width="12.28515625" customWidth="1"/>
    <col min="2" max="2" width="19.140625" customWidth="1"/>
    <col min="3" max="3" width="15.5703125" customWidth="1"/>
    <col min="4" max="4" width="35" customWidth="1"/>
    <col min="5" max="5" width="33.140625" customWidth="1"/>
    <col min="6" max="6" width="17.85546875" customWidth="1"/>
    <col min="7" max="7" width="20" style="1" customWidth="1"/>
    <col min="8" max="8" width="20.85546875" style="2" customWidth="1"/>
    <col min="9" max="15" width="15.7109375" customWidth="1"/>
    <col min="16" max="16" width="19.42578125" customWidth="1"/>
    <col min="17" max="17" width="23" customWidth="1"/>
    <col min="18" max="18" width="24.28515625" customWidth="1"/>
  </cols>
  <sheetData>
    <row r="2" spans="1:18" ht="27.75" x14ac:dyDescent="0.25">
      <c r="A2" s="143" t="s">
        <v>699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</row>
    <row r="3" spans="1:18" ht="27.75" x14ac:dyDescent="0.25">
      <c r="A3" s="143" t="s">
        <v>696</v>
      </c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</row>
    <row r="4" spans="1:18" ht="28.5" thickBot="1" x14ac:dyDescent="0.3">
      <c r="A4" s="143" t="s">
        <v>697</v>
      </c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</row>
    <row r="5" spans="1:18" ht="26.25" customHeight="1" x14ac:dyDescent="0.25">
      <c r="A5" s="164" t="s">
        <v>698</v>
      </c>
      <c r="B5" s="162" t="s">
        <v>334</v>
      </c>
      <c r="C5" s="162" t="s">
        <v>335</v>
      </c>
      <c r="D5" s="162" t="s">
        <v>0</v>
      </c>
      <c r="E5" s="162" t="s">
        <v>1</v>
      </c>
      <c r="F5" s="162" t="s">
        <v>2</v>
      </c>
      <c r="G5" s="157" t="s">
        <v>337</v>
      </c>
      <c r="H5" s="162" t="s">
        <v>618</v>
      </c>
      <c r="I5" s="126" t="s">
        <v>685</v>
      </c>
      <c r="J5" s="127"/>
      <c r="K5" s="127"/>
      <c r="L5" s="127"/>
      <c r="M5" s="127"/>
      <c r="N5" s="128"/>
      <c r="O5" s="162" t="s">
        <v>694</v>
      </c>
      <c r="P5" s="162" t="s">
        <v>695</v>
      </c>
      <c r="Q5" s="162" t="s">
        <v>700</v>
      </c>
      <c r="R5" s="167" t="s">
        <v>617</v>
      </c>
    </row>
    <row r="6" spans="1:18" ht="56.25" customHeight="1" x14ac:dyDescent="0.25">
      <c r="A6" s="165"/>
      <c r="B6" s="163"/>
      <c r="C6" s="163"/>
      <c r="D6" s="163"/>
      <c r="E6" s="163"/>
      <c r="F6" s="163"/>
      <c r="G6" s="158"/>
      <c r="H6" s="163"/>
      <c r="I6" s="124" t="s">
        <v>828</v>
      </c>
      <c r="J6" s="124" t="s">
        <v>686</v>
      </c>
      <c r="K6" s="124" t="s">
        <v>811</v>
      </c>
      <c r="L6" s="124" t="s">
        <v>812</v>
      </c>
      <c r="M6" s="124" t="s">
        <v>687</v>
      </c>
      <c r="N6" s="124" t="s">
        <v>693</v>
      </c>
      <c r="O6" s="166"/>
      <c r="P6" s="163"/>
      <c r="Q6" s="163"/>
      <c r="R6" s="168"/>
    </row>
    <row r="7" spans="1:18" ht="56.25" customHeight="1" x14ac:dyDescent="0.25">
      <c r="A7" s="165"/>
      <c r="B7" s="163"/>
      <c r="C7" s="163"/>
      <c r="D7" s="163"/>
      <c r="E7" s="163"/>
      <c r="F7" s="163"/>
      <c r="G7" s="158"/>
      <c r="H7" s="163"/>
      <c r="I7" s="108">
        <v>100</v>
      </c>
      <c r="J7" s="108">
        <v>100</v>
      </c>
      <c r="K7" s="108">
        <v>100</v>
      </c>
      <c r="L7" s="108">
        <v>100</v>
      </c>
      <c r="M7" s="108">
        <v>100</v>
      </c>
      <c r="N7" s="108" t="s">
        <v>836</v>
      </c>
      <c r="O7" s="108">
        <f>SUM(I7:N7)</f>
        <v>500</v>
      </c>
      <c r="P7" s="163"/>
      <c r="Q7" s="163"/>
      <c r="R7" s="168"/>
    </row>
    <row r="8" spans="1:18" ht="54.95" customHeight="1" x14ac:dyDescent="0.25">
      <c r="A8" s="159" t="s">
        <v>682</v>
      </c>
      <c r="B8" s="160"/>
      <c r="C8" s="160"/>
      <c r="D8" s="160"/>
      <c r="E8" s="160"/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0"/>
      <c r="Q8" s="160"/>
      <c r="R8" s="161"/>
    </row>
    <row r="9" spans="1:18" ht="40.5" customHeight="1" x14ac:dyDescent="0.3">
      <c r="A9" s="129">
        <v>1</v>
      </c>
      <c r="B9" s="130">
        <v>544</v>
      </c>
      <c r="C9" s="130" t="s">
        <v>620</v>
      </c>
      <c r="D9" s="131" t="s">
        <v>210</v>
      </c>
      <c r="E9" s="131" t="s">
        <v>211</v>
      </c>
      <c r="F9" s="131" t="s">
        <v>23</v>
      </c>
      <c r="G9" s="137" t="s">
        <v>234</v>
      </c>
      <c r="H9" s="138">
        <v>44356</v>
      </c>
      <c r="I9" s="75">
        <v>49</v>
      </c>
      <c r="J9" s="75">
        <v>62</v>
      </c>
      <c r="K9" s="75">
        <v>67</v>
      </c>
      <c r="L9" s="75">
        <v>57</v>
      </c>
      <c r="M9" s="75">
        <v>70</v>
      </c>
      <c r="N9" s="75" t="s">
        <v>845</v>
      </c>
      <c r="O9" s="75">
        <v>500</v>
      </c>
      <c r="P9" s="131">
        <f t="shared" ref="P9:P28" si="0">I9+J9+K9+L9+M9</f>
        <v>305</v>
      </c>
      <c r="Q9" s="139">
        <f t="shared" ref="Q9:Q28" si="1">P9/O9</f>
        <v>0.61</v>
      </c>
      <c r="R9" s="107"/>
    </row>
    <row r="10" spans="1:18" ht="35.1" customHeight="1" x14ac:dyDescent="0.3">
      <c r="A10" s="79">
        <v>2</v>
      </c>
      <c r="B10" s="78">
        <v>780</v>
      </c>
      <c r="C10" s="66" t="s">
        <v>620</v>
      </c>
      <c r="D10" s="75" t="s">
        <v>637</v>
      </c>
      <c r="E10" s="75" t="s">
        <v>638</v>
      </c>
      <c r="F10" s="75" t="s">
        <v>23</v>
      </c>
      <c r="G10" s="77">
        <v>42801</v>
      </c>
      <c r="H10" s="60">
        <v>45252</v>
      </c>
      <c r="I10" s="75">
        <v>90</v>
      </c>
      <c r="J10" s="75">
        <v>92</v>
      </c>
      <c r="K10" s="75">
        <v>99</v>
      </c>
      <c r="L10" s="75">
        <v>99</v>
      </c>
      <c r="M10" s="75">
        <v>88</v>
      </c>
      <c r="N10" s="75" t="s">
        <v>711</v>
      </c>
      <c r="O10" s="75">
        <v>500</v>
      </c>
      <c r="P10" s="75">
        <f t="shared" si="0"/>
        <v>468</v>
      </c>
      <c r="Q10" s="81">
        <f t="shared" si="1"/>
        <v>0.93600000000000005</v>
      </c>
      <c r="R10" s="3"/>
    </row>
    <row r="11" spans="1:18" ht="35.1" customHeight="1" x14ac:dyDescent="0.3">
      <c r="A11" s="129">
        <v>3</v>
      </c>
      <c r="B11" s="66">
        <v>569</v>
      </c>
      <c r="C11" s="66" t="s">
        <v>620</v>
      </c>
      <c r="D11" s="75" t="s">
        <v>42</v>
      </c>
      <c r="E11" s="75" t="s">
        <v>43</v>
      </c>
      <c r="F11" s="75" t="s">
        <v>23</v>
      </c>
      <c r="G11" s="73">
        <v>42743</v>
      </c>
      <c r="H11" s="76">
        <v>44659</v>
      </c>
      <c r="I11" s="75">
        <v>53</v>
      </c>
      <c r="J11" s="75">
        <v>61</v>
      </c>
      <c r="K11" s="75">
        <v>79</v>
      </c>
      <c r="L11" s="75">
        <v>65</v>
      </c>
      <c r="M11" s="75">
        <v>57</v>
      </c>
      <c r="N11" s="75" t="s">
        <v>711</v>
      </c>
      <c r="O11" s="75">
        <v>500</v>
      </c>
      <c r="P11" s="75">
        <f t="shared" si="0"/>
        <v>315</v>
      </c>
      <c r="Q11" s="81">
        <f t="shared" si="1"/>
        <v>0.63</v>
      </c>
      <c r="R11" s="3"/>
    </row>
    <row r="12" spans="1:18" ht="35.1" customHeight="1" x14ac:dyDescent="0.3">
      <c r="A12" s="79">
        <v>4</v>
      </c>
      <c r="B12" s="66">
        <v>582</v>
      </c>
      <c r="C12" s="66" t="s">
        <v>620</v>
      </c>
      <c r="D12" s="75" t="s">
        <v>63</v>
      </c>
      <c r="E12" s="75" t="s">
        <v>64</v>
      </c>
      <c r="F12" s="75" t="s">
        <v>23</v>
      </c>
      <c r="G12" s="73">
        <v>42313</v>
      </c>
      <c r="H12" s="76">
        <v>44842</v>
      </c>
      <c r="I12" s="75">
        <v>99</v>
      </c>
      <c r="J12" s="75">
        <v>94</v>
      </c>
      <c r="K12" s="75">
        <v>82</v>
      </c>
      <c r="L12" s="75">
        <v>96</v>
      </c>
      <c r="M12" s="75">
        <v>81</v>
      </c>
      <c r="N12" s="75" t="s">
        <v>841</v>
      </c>
      <c r="O12" s="75">
        <v>500</v>
      </c>
      <c r="P12" s="75">
        <f t="shared" si="0"/>
        <v>452</v>
      </c>
      <c r="Q12" s="81">
        <f t="shared" si="1"/>
        <v>0.90400000000000003</v>
      </c>
      <c r="R12" s="3"/>
    </row>
    <row r="13" spans="1:18" ht="35.1" customHeight="1" x14ac:dyDescent="0.3">
      <c r="A13" s="129">
        <v>5</v>
      </c>
      <c r="B13" s="59">
        <v>692</v>
      </c>
      <c r="C13" s="59" t="s">
        <v>620</v>
      </c>
      <c r="D13" s="75" t="s">
        <v>517</v>
      </c>
      <c r="E13" s="75" t="s">
        <v>518</v>
      </c>
      <c r="F13" s="75" t="s">
        <v>23</v>
      </c>
      <c r="G13" s="74" t="s">
        <v>519</v>
      </c>
      <c r="H13" s="76">
        <v>45207</v>
      </c>
      <c r="I13" s="75" t="s">
        <v>711</v>
      </c>
      <c r="J13" s="75" t="s">
        <v>711</v>
      </c>
      <c r="K13" s="75" t="s">
        <v>711</v>
      </c>
      <c r="L13" s="75" t="s">
        <v>711</v>
      </c>
      <c r="M13" s="75" t="s">
        <v>711</v>
      </c>
      <c r="N13" s="75" t="s">
        <v>711</v>
      </c>
      <c r="O13" s="75">
        <v>500</v>
      </c>
      <c r="P13" s="75" t="e">
        <f t="shared" si="0"/>
        <v>#VALUE!</v>
      </c>
      <c r="Q13" s="81" t="e">
        <f t="shared" si="1"/>
        <v>#VALUE!</v>
      </c>
      <c r="R13" s="140" t="s">
        <v>715</v>
      </c>
    </row>
    <row r="14" spans="1:18" ht="35.1" customHeight="1" x14ac:dyDescent="0.3">
      <c r="A14" s="79">
        <v>6</v>
      </c>
      <c r="B14" s="66">
        <v>574</v>
      </c>
      <c r="C14" s="66" t="s">
        <v>620</v>
      </c>
      <c r="D14" s="75" t="s">
        <v>50</v>
      </c>
      <c r="E14" s="75" t="s">
        <v>51</v>
      </c>
      <c r="F14" s="75" t="s">
        <v>23</v>
      </c>
      <c r="G14" s="73">
        <v>42436</v>
      </c>
      <c r="H14" s="76">
        <v>44689</v>
      </c>
      <c r="I14" s="75">
        <v>47</v>
      </c>
      <c r="J14" s="75">
        <v>68</v>
      </c>
      <c r="K14" s="75">
        <v>63</v>
      </c>
      <c r="L14" s="75">
        <v>57</v>
      </c>
      <c r="M14" s="75">
        <v>45</v>
      </c>
      <c r="N14" s="75" t="s">
        <v>839</v>
      </c>
      <c r="O14" s="75">
        <v>500</v>
      </c>
      <c r="P14" s="75">
        <f t="shared" si="0"/>
        <v>280</v>
      </c>
      <c r="Q14" s="81">
        <f t="shared" si="1"/>
        <v>0.56000000000000005</v>
      </c>
      <c r="R14" s="3"/>
    </row>
    <row r="15" spans="1:18" ht="35.1" customHeight="1" x14ac:dyDescent="0.3">
      <c r="A15" s="129">
        <v>7</v>
      </c>
      <c r="B15" s="66">
        <v>571</v>
      </c>
      <c r="C15" s="66" t="s">
        <v>620</v>
      </c>
      <c r="D15" s="75" t="s">
        <v>46</v>
      </c>
      <c r="E15" s="75" t="s">
        <v>47</v>
      </c>
      <c r="F15" s="75" t="s">
        <v>23</v>
      </c>
      <c r="G15" s="73">
        <v>41342</v>
      </c>
      <c r="H15" s="76">
        <v>44689</v>
      </c>
      <c r="I15" s="75">
        <v>67</v>
      </c>
      <c r="J15" s="75">
        <v>86</v>
      </c>
      <c r="K15" s="75">
        <v>62</v>
      </c>
      <c r="L15" s="75">
        <v>56</v>
      </c>
      <c r="M15" s="75">
        <v>63</v>
      </c>
      <c r="N15" s="75" t="s">
        <v>841</v>
      </c>
      <c r="O15" s="75">
        <v>500</v>
      </c>
      <c r="P15" s="75">
        <f t="shared" si="0"/>
        <v>334</v>
      </c>
      <c r="Q15" s="81">
        <f t="shared" si="1"/>
        <v>0.66800000000000004</v>
      </c>
      <c r="R15" s="3"/>
    </row>
    <row r="16" spans="1:18" ht="35.1" customHeight="1" x14ac:dyDescent="0.3">
      <c r="A16" s="79">
        <v>8</v>
      </c>
      <c r="B16" s="66">
        <v>526</v>
      </c>
      <c r="C16" s="66" t="s">
        <v>620</v>
      </c>
      <c r="D16" s="75" t="s">
        <v>212</v>
      </c>
      <c r="E16" s="75" t="s">
        <v>213</v>
      </c>
      <c r="F16" s="75" t="s">
        <v>23</v>
      </c>
      <c r="G16" s="73" t="s">
        <v>235</v>
      </c>
      <c r="H16" s="76">
        <v>44236</v>
      </c>
      <c r="I16" s="75">
        <v>52</v>
      </c>
      <c r="J16" s="75">
        <v>37</v>
      </c>
      <c r="K16" s="75">
        <v>54</v>
      </c>
      <c r="L16" s="75">
        <v>44</v>
      </c>
      <c r="M16" s="75">
        <v>35</v>
      </c>
      <c r="N16" s="75" t="s">
        <v>839</v>
      </c>
      <c r="O16" s="75">
        <v>500</v>
      </c>
      <c r="P16" s="75">
        <f t="shared" si="0"/>
        <v>222</v>
      </c>
      <c r="Q16" s="81">
        <f t="shared" si="1"/>
        <v>0.44400000000000001</v>
      </c>
      <c r="R16" s="3"/>
    </row>
    <row r="17" spans="1:18" ht="35.1" customHeight="1" x14ac:dyDescent="0.3">
      <c r="A17" s="129">
        <v>9</v>
      </c>
      <c r="B17" s="66">
        <v>537</v>
      </c>
      <c r="C17" s="66" t="s">
        <v>620</v>
      </c>
      <c r="D17" s="75" t="s">
        <v>214</v>
      </c>
      <c r="E17" s="75" t="s">
        <v>215</v>
      </c>
      <c r="F17" s="75" t="s">
        <v>23</v>
      </c>
      <c r="G17" s="73" t="s">
        <v>236</v>
      </c>
      <c r="H17" s="76">
        <v>44295</v>
      </c>
      <c r="I17" s="75">
        <v>45</v>
      </c>
      <c r="J17" s="75">
        <v>44</v>
      </c>
      <c r="K17" s="75">
        <v>45</v>
      </c>
      <c r="L17" s="75">
        <v>59</v>
      </c>
      <c r="M17" s="75">
        <v>35</v>
      </c>
      <c r="N17" s="75" t="s">
        <v>839</v>
      </c>
      <c r="O17" s="75">
        <v>500</v>
      </c>
      <c r="P17" s="75">
        <f t="shared" si="0"/>
        <v>228</v>
      </c>
      <c r="Q17" s="81">
        <f t="shared" si="1"/>
        <v>0.45600000000000002</v>
      </c>
      <c r="R17" s="3"/>
    </row>
    <row r="18" spans="1:18" ht="51" customHeight="1" x14ac:dyDescent="0.3">
      <c r="A18" s="79">
        <v>10</v>
      </c>
      <c r="B18" s="66">
        <v>584</v>
      </c>
      <c r="C18" s="66" t="s">
        <v>620</v>
      </c>
      <c r="D18" s="75" t="s">
        <v>5</v>
      </c>
      <c r="E18" s="75" t="s">
        <v>66</v>
      </c>
      <c r="F18" s="75" t="s">
        <v>23</v>
      </c>
      <c r="G18" s="73">
        <v>42493</v>
      </c>
      <c r="H18" s="76">
        <v>44842</v>
      </c>
      <c r="I18" s="75">
        <v>70</v>
      </c>
      <c r="J18" s="75">
        <v>86</v>
      </c>
      <c r="K18" s="75">
        <v>83</v>
      </c>
      <c r="L18" s="75">
        <v>79</v>
      </c>
      <c r="M18" s="75">
        <v>60</v>
      </c>
      <c r="N18" s="75" t="s">
        <v>841</v>
      </c>
      <c r="O18" s="75">
        <v>500</v>
      </c>
      <c r="P18" s="75">
        <f t="shared" si="0"/>
        <v>378</v>
      </c>
      <c r="Q18" s="81">
        <f t="shared" si="1"/>
        <v>0.75600000000000001</v>
      </c>
      <c r="R18" s="3"/>
    </row>
    <row r="19" spans="1:18" ht="35.1" customHeight="1" x14ac:dyDescent="0.3">
      <c r="A19" s="129">
        <v>11</v>
      </c>
      <c r="B19" s="66">
        <v>520</v>
      </c>
      <c r="C19" s="66" t="s">
        <v>620</v>
      </c>
      <c r="D19" s="75" t="s">
        <v>216</v>
      </c>
      <c r="E19" s="75" t="s">
        <v>217</v>
      </c>
      <c r="F19" s="75" t="s">
        <v>23</v>
      </c>
      <c r="G19" s="73">
        <v>42376</v>
      </c>
      <c r="H19" s="76">
        <v>44205</v>
      </c>
      <c r="I19" s="75">
        <v>55</v>
      </c>
      <c r="J19" s="75">
        <v>42</v>
      </c>
      <c r="K19" s="75">
        <v>65</v>
      </c>
      <c r="L19" s="75">
        <v>41</v>
      </c>
      <c r="M19" s="75">
        <v>35</v>
      </c>
      <c r="N19" s="75" t="s">
        <v>711</v>
      </c>
      <c r="O19" s="75">
        <v>500</v>
      </c>
      <c r="P19" s="75">
        <f t="shared" si="0"/>
        <v>238</v>
      </c>
      <c r="Q19" s="81">
        <f t="shared" si="1"/>
        <v>0.47599999999999998</v>
      </c>
      <c r="R19" s="3"/>
    </row>
    <row r="20" spans="1:18" ht="35.1" customHeight="1" x14ac:dyDescent="0.3">
      <c r="A20" s="79">
        <v>12</v>
      </c>
      <c r="B20" s="66">
        <v>687</v>
      </c>
      <c r="C20" s="66" t="s">
        <v>620</v>
      </c>
      <c r="D20" s="75" t="s">
        <v>508</v>
      </c>
      <c r="E20" s="75" t="s">
        <v>509</v>
      </c>
      <c r="F20" s="75" t="s">
        <v>23</v>
      </c>
      <c r="G20" s="73" t="s">
        <v>371</v>
      </c>
      <c r="H20" s="76">
        <v>45207</v>
      </c>
      <c r="I20" s="75">
        <v>66</v>
      </c>
      <c r="J20" s="75">
        <v>57</v>
      </c>
      <c r="K20" s="75">
        <v>71</v>
      </c>
      <c r="L20" s="75">
        <v>55</v>
      </c>
      <c r="M20" s="75">
        <v>44</v>
      </c>
      <c r="N20" s="75" t="s">
        <v>841</v>
      </c>
      <c r="O20" s="75">
        <v>500</v>
      </c>
      <c r="P20" s="75">
        <f t="shared" si="0"/>
        <v>293</v>
      </c>
      <c r="Q20" s="81">
        <f t="shared" si="1"/>
        <v>0.58599999999999997</v>
      </c>
      <c r="R20" s="3"/>
    </row>
    <row r="21" spans="1:18" ht="35.1" customHeight="1" x14ac:dyDescent="0.3">
      <c r="A21" s="129">
        <v>13</v>
      </c>
      <c r="B21" s="66">
        <v>649</v>
      </c>
      <c r="C21" s="66" t="s">
        <v>620</v>
      </c>
      <c r="D21" s="106" t="s">
        <v>807</v>
      </c>
      <c r="E21" s="106" t="s">
        <v>85</v>
      </c>
      <c r="F21" s="106" t="s">
        <v>23</v>
      </c>
      <c r="G21" s="77">
        <v>43074</v>
      </c>
      <c r="H21" s="64">
        <v>44901</v>
      </c>
      <c r="I21" s="75">
        <v>91</v>
      </c>
      <c r="J21" s="75">
        <v>98</v>
      </c>
      <c r="K21" s="75">
        <v>88</v>
      </c>
      <c r="L21" s="75">
        <v>95</v>
      </c>
      <c r="M21" s="75">
        <v>78</v>
      </c>
      <c r="N21" s="75" t="s">
        <v>841</v>
      </c>
      <c r="O21" s="75">
        <v>500</v>
      </c>
      <c r="P21" s="75">
        <f t="shared" si="0"/>
        <v>450</v>
      </c>
      <c r="Q21" s="81">
        <f t="shared" si="1"/>
        <v>0.9</v>
      </c>
      <c r="R21" s="3"/>
    </row>
    <row r="22" spans="1:18" ht="35.1" customHeight="1" x14ac:dyDescent="0.3">
      <c r="A22" s="79">
        <v>14</v>
      </c>
      <c r="B22" s="66">
        <v>581</v>
      </c>
      <c r="C22" s="66" t="s">
        <v>620</v>
      </c>
      <c r="D22" s="75" t="s">
        <v>61</v>
      </c>
      <c r="E22" s="75" t="s">
        <v>62</v>
      </c>
      <c r="F22" s="75" t="s">
        <v>23</v>
      </c>
      <c r="G22" s="73">
        <v>42736</v>
      </c>
      <c r="H22" s="76">
        <v>44842</v>
      </c>
      <c r="I22" s="75">
        <v>63</v>
      </c>
      <c r="J22" s="75">
        <v>63</v>
      </c>
      <c r="K22" s="75">
        <v>87</v>
      </c>
      <c r="L22" s="75">
        <v>73</v>
      </c>
      <c r="M22" s="75">
        <v>59</v>
      </c>
      <c r="N22" s="75" t="s">
        <v>841</v>
      </c>
      <c r="O22" s="75">
        <v>500</v>
      </c>
      <c r="P22" s="75">
        <f t="shared" si="0"/>
        <v>345</v>
      </c>
      <c r="Q22" s="81">
        <f t="shared" si="1"/>
        <v>0.69</v>
      </c>
      <c r="R22" s="3"/>
    </row>
    <row r="23" spans="1:18" ht="35.1" customHeight="1" x14ac:dyDescent="0.3">
      <c r="A23" s="129">
        <v>15</v>
      </c>
      <c r="B23" s="66">
        <v>588</v>
      </c>
      <c r="C23" s="66" t="s">
        <v>620</v>
      </c>
      <c r="D23" s="75" t="s">
        <v>71</v>
      </c>
      <c r="E23" s="75" t="s">
        <v>72</v>
      </c>
      <c r="F23" s="75" t="s">
        <v>23</v>
      </c>
      <c r="G23" s="73" t="s">
        <v>230</v>
      </c>
      <c r="H23" s="76">
        <v>44842</v>
      </c>
      <c r="I23" s="75">
        <v>59</v>
      </c>
      <c r="J23" s="75">
        <v>55</v>
      </c>
      <c r="K23" s="75">
        <v>76</v>
      </c>
      <c r="L23" s="75">
        <v>56</v>
      </c>
      <c r="M23" s="75">
        <v>41</v>
      </c>
      <c r="N23" s="75" t="s">
        <v>841</v>
      </c>
      <c r="O23" s="75">
        <v>500</v>
      </c>
      <c r="P23" s="75">
        <f t="shared" si="0"/>
        <v>287</v>
      </c>
      <c r="Q23" s="81">
        <f t="shared" si="1"/>
        <v>0.57399999999999995</v>
      </c>
      <c r="R23" s="141"/>
    </row>
    <row r="24" spans="1:18" ht="35.1" customHeight="1" x14ac:dyDescent="0.3">
      <c r="A24" s="79">
        <v>16</v>
      </c>
      <c r="B24" s="66">
        <v>686</v>
      </c>
      <c r="C24" s="66" t="s">
        <v>620</v>
      </c>
      <c r="D24" s="75" t="s">
        <v>506</v>
      </c>
      <c r="E24" s="75" t="s">
        <v>507</v>
      </c>
      <c r="F24" s="75" t="s">
        <v>23</v>
      </c>
      <c r="G24" s="73">
        <v>42099</v>
      </c>
      <c r="H24" s="76">
        <v>45207</v>
      </c>
      <c r="I24" s="75">
        <v>66</v>
      </c>
      <c r="J24" s="75">
        <v>57</v>
      </c>
      <c r="K24" s="75">
        <v>76</v>
      </c>
      <c r="L24" s="75">
        <v>76</v>
      </c>
      <c r="M24" s="75">
        <v>57</v>
      </c>
      <c r="N24" s="75" t="s">
        <v>841</v>
      </c>
      <c r="O24" s="75">
        <v>500</v>
      </c>
      <c r="P24" s="75">
        <f t="shared" si="0"/>
        <v>332</v>
      </c>
      <c r="Q24" s="81">
        <f t="shared" si="1"/>
        <v>0.66400000000000003</v>
      </c>
      <c r="R24" s="3"/>
    </row>
    <row r="25" spans="1:18" ht="35.1" customHeight="1" x14ac:dyDescent="0.3">
      <c r="A25" s="129">
        <v>17</v>
      </c>
      <c r="B25" s="66">
        <v>525</v>
      </c>
      <c r="C25" s="66" t="s">
        <v>620</v>
      </c>
      <c r="D25" s="75" t="s">
        <v>218</v>
      </c>
      <c r="E25" s="75" t="s">
        <v>219</v>
      </c>
      <c r="F25" s="75" t="s">
        <v>23</v>
      </c>
      <c r="G25" s="73" t="s">
        <v>237</v>
      </c>
      <c r="H25" s="76">
        <v>44205</v>
      </c>
      <c r="I25" s="75">
        <v>74</v>
      </c>
      <c r="J25" s="75">
        <v>94</v>
      </c>
      <c r="K25" s="75">
        <v>78</v>
      </c>
      <c r="L25" s="75">
        <v>96</v>
      </c>
      <c r="M25" s="75">
        <v>78</v>
      </c>
      <c r="N25" s="75" t="s">
        <v>841</v>
      </c>
      <c r="O25" s="75">
        <v>500</v>
      </c>
      <c r="P25" s="75">
        <f t="shared" si="0"/>
        <v>420</v>
      </c>
      <c r="Q25" s="81">
        <f t="shared" si="1"/>
        <v>0.84</v>
      </c>
      <c r="R25" s="3"/>
    </row>
    <row r="26" spans="1:18" ht="52.5" customHeight="1" x14ac:dyDescent="0.3">
      <c r="A26" s="79">
        <v>18</v>
      </c>
      <c r="B26" s="66">
        <v>577</v>
      </c>
      <c r="C26" s="66" t="s">
        <v>620</v>
      </c>
      <c r="D26" s="75" t="s">
        <v>54</v>
      </c>
      <c r="E26" s="75" t="s">
        <v>55</v>
      </c>
      <c r="F26" s="75" t="s">
        <v>23</v>
      </c>
      <c r="G26" s="73">
        <v>42314</v>
      </c>
      <c r="H26" s="76">
        <v>44720</v>
      </c>
      <c r="I26" s="75">
        <v>60</v>
      </c>
      <c r="J26" s="75">
        <v>64</v>
      </c>
      <c r="K26" s="75">
        <v>65</v>
      </c>
      <c r="L26" s="75">
        <v>59</v>
      </c>
      <c r="M26" s="75">
        <v>48</v>
      </c>
      <c r="N26" s="75" t="s">
        <v>841</v>
      </c>
      <c r="O26" s="75">
        <v>500</v>
      </c>
      <c r="P26" s="75">
        <f t="shared" si="0"/>
        <v>296</v>
      </c>
      <c r="Q26" s="81">
        <f t="shared" si="1"/>
        <v>0.59199999999999997</v>
      </c>
      <c r="R26" s="3"/>
    </row>
    <row r="27" spans="1:18" ht="35.1" customHeight="1" x14ac:dyDescent="0.3">
      <c r="A27" s="129">
        <v>19</v>
      </c>
      <c r="B27" s="66">
        <v>589</v>
      </c>
      <c r="C27" s="66" t="s">
        <v>620</v>
      </c>
      <c r="D27" s="75" t="s">
        <v>73</v>
      </c>
      <c r="E27" s="75" t="s">
        <v>74</v>
      </c>
      <c r="F27" s="75" t="s">
        <v>23</v>
      </c>
      <c r="G27" s="73">
        <v>42219</v>
      </c>
      <c r="H27" s="76">
        <v>44842</v>
      </c>
      <c r="I27" s="75">
        <v>73</v>
      </c>
      <c r="J27" s="75">
        <v>79</v>
      </c>
      <c r="K27" s="75">
        <v>93</v>
      </c>
      <c r="L27" s="75">
        <v>84</v>
      </c>
      <c r="M27" s="75">
        <v>69</v>
      </c>
      <c r="N27" s="75" t="s">
        <v>841</v>
      </c>
      <c r="O27" s="75">
        <v>500</v>
      </c>
      <c r="P27" s="75">
        <f t="shared" si="0"/>
        <v>398</v>
      </c>
      <c r="Q27" s="81">
        <f t="shared" si="1"/>
        <v>0.79600000000000004</v>
      </c>
      <c r="R27" s="3"/>
    </row>
    <row r="28" spans="1:18" ht="35.1" customHeight="1" x14ac:dyDescent="0.3">
      <c r="A28" s="79">
        <v>20</v>
      </c>
      <c r="B28" s="66">
        <v>572</v>
      </c>
      <c r="C28" s="66" t="s">
        <v>620</v>
      </c>
      <c r="D28" s="75" t="s">
        <v>48</v>
      </c>
      <c r="E28" s="75" t="s">
        <v>645</v>
      </c>
      <c r="F28" s="75" t="s">
        <v>23</v>
      </c>
      <c r="G28" s="73" t="s">
        <v>220</v>
      </c>
      <c r="H28" s="76">
        <v>44689</v>
      </c>
      <c r="I28" s="75">
        <v>71</v>
      </c>
      <c r="J28" s="75">
        <v>55</v>
      </c>
      <c r="K28" s="75">
        <v>82</v>
      </c>
      <c r="L28" s="75">
        <v>55</v>
      </c>
      <c r="M28" s="75">
        <v>41</v>
      </c>
      <c r="N28" s="75" t="s">
        <v>711</v>
      </c>
      <c r="O28" s="75">
        <v>500</v>
      </c>
      <c r="P28" s="75">
        <f t="shared" si="0"/>
        <v>304</v>
      </c>
      <c r="Q28" s="81">
        <f t="shared" si="1"/>
        <v>0.60799999999999998</v>
      </c>
      <c r="R28" s="3"/>
    </row>
    <row r="29" spans="1:18" ht="54.95" customHeight="1" x14ac:dyDescent="0.25">
      <c r="A29" s="159" t="s">
        <v>683</v>
      </c>
      <c r="B29" s="160"/>
      <c r="C29" s="160"/>
      <c r="D29" s="160"/>
      <c r="E29" s="160"/>
      <c r="F29" s="160"/>
      <c r="G29" s="160"/>
      <c r="H29" s="160"/>
      <c r="I29" s="160"/>
      <c r="J29" s="160"/>
      <c r="K29" s="160"/>
      <c r="L29" s="160"/>
      <c r="M29" s="160"/>
      <c r="N29" s="160"/>
      <c r="O29" s="160"/>
      <c r="P29" s="160"/>
      <c r="Q29" s="160"/>
      <c r="R29" s="161"/>
    </row>
    <row r="30" spans="1:18" ht="35.1" customHeight="1" x14ac:dyDescent="0.3">
      <c r="A30" s="79">
        <v>21</v>
      </c>
      <c r="B30" s="66">
        <v>490</v>
      </c>
      <c r="C30" s="66" t="s">
        <v>620</v>
      </c>
      <c r="D30" s="75" t="s">
        <v>201</v>
      </c>
      <c r="E30" s="75" t="s">
        <v>103</v>
      </c>
      <c r="F30" s="75" t="s">
        <v>24</v>
      </c>
      <c r="G30" s="73" t="s">
        <v>231</v>
      </c>
      <c r="H30" s="76">
        <v>44842</v>
      </c>
      <c r="I30" s="75">
        <v>89</v>
      </c>
      <c r="J30" s="75">
        <v>59</v>
      </c>
      <c r="K30" s="75">
        <v>87</v>
      </c>
      <c r="L30" s="75">
        <v>67</v>
      </c>
      <c r="M30" s="75">
        <v>45</v>
      </c>
      <c r="N30" s="75" t="s">
        <v>839</v>
      </c>
      <c r="O30" s="75">
        <v>500</v>
      </c>
      <c r="P30" s="75">
        <f t="shared" ref="P30:P55" si="2">I30+J30+K30+L30+M30</f>
        <v>347</v>
      </c>
      <c r="Q30" s="81">
        <f t="shared" ref="Q30:Q55" si="3">P30/O30</f>
        <v>0.69399999999999995</v>
      </c>
      <c r="R30" s="3"/>
    </row>
    <row r="31" spans="1:18" ht="35.1" customHeight="1" x14ac:dyDescent="0.3">
      <c r="A31" s="80">
        <v>22</v>
      </c>
      <c r="B31" s="78">
        <v>646</v>
      </c>
      <c r="C31" s="78" t="s">
        <v>620</v>
      </c>
      <c r="D31" s="75" t="s">
        <v>662</v>
      </c>
      <c r="E31" s="75" t="s">
        <v>33</v>
      </c>
      <c r="F31" s="75" t="s">
        <v>24</v>
      </c>
      <c r="G31" s="77">
        <v>42975</v>
      </c>
      <c r="H31" s="60">
        <v>44823</v>
      </c>
      <c r="I31" s="72">
        <v>57</v>
      </c>
      <c r="J31" s="75">
        <v>62</v>
      </c>
      <c r="K31" s="75">
        <v>69</v>
      </c>
      <c r="L31" s="75">
        <v>50</v>
      </c>
      <c r="M31" s="75">
        <v>41</v>
      </c>
      <c r="N31" s="75" t="s">
        <v>845</v>
      </c>
      <c r="O31" s="75">
        <v>500</v>
      </c>
      <c r="P31" s="75">
        <f t="shared" si="2"/>
        <v>279</v>
      </c>
      <c r="Q31" s="81">
        <f t="shared" si="3"/>
        <v>0.55800000000000005</v>
      </c>
      <c r="R31" s="3"/>
    </row>
    <row r="32" spans="1:18" ht="35.1" customHeight="1" x14ac:dyDescent="0.3">
      <c r="A32" s="79">
        <v>23</v>
      </c>
      <c r="B32" s="66">
        <v>690</v>
      </c>
      <c r="C32" s="66" t="s">
        <v>620</v>
      </c>
      <c r="D32" s="75" t="s">
        <v>515</v>
      </c>
      <c r="E32" s="75" t="s">
        <v>829</v>
      </c>
      <c r="F32" s="75" t="s">
        <v>24</v>
      </c>
      <c r="G32" s="73" t="s">
        <v>516</v>
      </c>
      <c r="H32" s="76">
        <v>45207</v>
      </c>
      <c r="I32" s="75">
        <v>90</v>
      </c>
      <c r="J32" s="75">
        <v>98</v>
      </c>
      <c r="K32" s="75">
        <v>99</v>
      </c>
      <c r="L32" s="75">
        <v>96</v>
      </c>
      <c r="M32" s="75">
        <v>99</v>
      </c>
      <c r="N32" s="75" t="s">
        <v>841</v>
      </c>
      <c r="O32" s="75">
        <v>500</v>
      </c>
      <c r="P32" s="75">
        <f t="shared" si="2"/>
        <v>482</v>
      </c>
      <c r="Q32" s="81">
        <f t="shared" si="3"/>
        <v>0.96399999999999997</v>
      </c>
      <c r="R32" s="3"/>
    </row>
    <row r="33" spans="1:18" ht="35.1" customHeight="1" x14ac:dyDescent="0.3">
      <c r="A33" s="80">
        <v>24</v>
      </c>
      <c r="B33" s="66">
        <v>684</v>
      </c>
      <c r="C33" s="66" t="s">
        <v>620</v>
      </c>
      <c r="D33" s="75" t="s">
        <v>195</v>
      </c>
      <c r="E33" s="75" t="s">
        <v>499</v>
      </c>
      <c r="F33" s="75" t="s">
        <v>24</v>
      </c>
      <c r="G33" s="73" t="s">
        <v>500</v>
      </c>
      <c r="H33" s="76">
        <v>45207</v>
      </c>
      <c r="I33" s="75">
        <v>58</v>
      </c>
      <c r="J33" s="75">
        <v>52</v>
      </c>
      <c r="K33" s="75">
        <v>87</v>
      </c>
      <c r="L33" s="75">
        <v>53</v>
      </c>
      <c r="M33" s="75">
        <v>37</v>
      </c>
      <c r="N33" s="75" t="s">
        <v>845</v>
      </c>
      <c r="O33" s="75">
        <v>500</v>
      </c>
      <c r="P33" s="75">
        <f t="shared" si="2"/>
        <v>287</v>
      </c>
      <c r="Q33" s="81">
        <f t="shared" si="3"/>
        <v>0.57399999999999995</v>
      </c>
      <c r="R33" s="3"/>
    </row>
    <row r="34" spans="1:18" ht="35.1" customHeight="1" x14ac:dyDescent="0.3">
      <c r="A34" s="79">
        <v>25</v>
      </c>
      <c r="B34" s="66">
        <v>551</v>
      </c>
      <c r="C34" s="66" t="s">
        <v>620</v>
      </c>
      <c r="D34" s="75" t="s">
        <v>10</v>
      </c>
      <c r="E34" s="75" t="s">
        <v>202</v>
      </c>
      <c r="F34" s="75" t="s">
        <v>24</v>
      </c>
      <c r="G34" s="73">
        <v>42372</v>
      </c>
      <c r="H34" s="76">
        <v>44356</v>
      </c>
      <c r="I34" s="75">
        <v>51</v>
      </c>
      <c r="J34" s="75">
        <v>56</v>
      </c>
      <c r="K34" s="75">
        <v>72</v>
      </c>
      <c r="L34" s="75">
        <v>60</v>
      </c>
      <c r="M34" s="75">
        <v>51</v>
      </c>
      <c r="N34" s="75" t="s">
        <v>711</v>
      </c>
      <c r="O34" s="75">
        <v>500</v>
      </c>
      <c r="P34" s="75">
        <f t="shared" si="2"/>
        <v>290</v>
      </c>
      <c r="Q34" s="81">
        <f t="shared" si="3"/>
        <v>0.57999999999999996</v>
      </c>
      <c r="R34" s="3"/>
    </row>
    <row r="35" spans="1:18" ht="35.1" customHeight="1" x14ac:dyDescent="0.3">
      <c r="A35" s="80">
        <v>26</v>
      </c>
      <c r="B35" s="66">
        <v>647</v>
      </c>
      <c r="C35" s="78" t="s">
        <v>620</v>
      </c>
      <c r="D35" s="75" t="s">
        <v>663</v>
      </c>
      <c r="E35" s="75" t="s">
        <v>612</v>
      </c>
      <c r="F35" s="75" t="s">
        <v>24</v>
      </c>
      <c r="G35" s="77">
        <v>42992</v>
      </c>
      <c r="H35" s="60">
        <v>44823</v>
      </c>
      <c r="I35" s="72">
        <v>83</v>
      </c>
      <c r="J35" s="75">
        <v>95</v>
      </c>
      <c r="K35" s="75">
        <v>88</v>
      </c>
      <c r="L35" s="75">
        <v>89</v>
      </c>
      <c r="M35" s="75">
        <v>76</v>
      </c>
      <c r="N35" s="75" t="s">
        <v>839</v>
      </c>
      <c r="O35" s="75">
        <v>500</v>
      </c>
      <c r="P35" s="75">
        <f t="shared" si="2"/>
        <v>431</v>
      </c>
      <c r="Q35" s="81">
        <f t="shared" si="3"/>
        <v>0.86199999999999999</v>
      </c>
      <c r="R35" s="3"/>
    </row>
    <row r="36" spans="1:18" ht="42.75" customHeight="1" x14ac:dyDescent="0.3">
      <c r="A36" s="79">
        <v>27</v>
      </c>
      <c r="B36" s="66">
        <v>585</v>
      </c>
      <c r="C36" s="66" t="s">
        <v>620</v>
      </c>
      <c r="D36" s="75" t="s">
        <v>67</v>
      </c>
      <c r="E36" s="75" t="s">
        <v>733</v>
      </c>
      <c r="F36" s="75" t="s">
        <v>24</v>
      </c>
      <c r="G36" s="73">
        <v>42096</v>
      </c>
      <c r="H36" s="76">
        <v>44842</v>
      </c>
      <c r="I36" s="75">
        <v>51</v>
      </c>
      <c r="J36" s="75">
        <v>57</v>
      </c>
      <c r="K36" s="75">
        <v>65</v>
      </c>
      <c r="L36" s="75">
        <v>35</v>
      </c>
      <c r="M36" s="75">
        <v>23</v>
      </c>
      <c r="N36" s="75" t="s">
        <v>845</v>
      </c>
      <c r="O36" s="75">
        <v>500</v>
      </c>
      <c r="P36" s="75">
        <f t="shared" si="2"/>
        <v>231</v>
      </c>
      <c r="Q36" s="81">
        <f t="shared" si="3"/>
        <v>0.46200000000000002</v>
      </c>
      <c r="R36" s="3"/>
    </row>
    <row r="37" spans="1:18" ht="35.1" customHeight="1" x14ac:dyDescent="0.3">
      <c r="A37" s="80">
        <v>28</v>
      </c>
      <c r="B37" s="66">
        <v>579</v>
      </c>
      <c r="C37" s="66" t="s">
        <v>620</v>
      </c>
      <c r="D37" s="75" t="s">
        <v>58</v>
      </c>
      <c r="E37" s="75" t="s">
        <v>59</v>
      </c>
      <c r="F37" s="75" t="s">
        <v>24</v>
      </c>
      <c r="G37" s="73" t="s">
        <v>224</v>
      </c>
      <c r="H37" s="76">
        <v>44842</v>
      </c>
      <c r="I37" s="75">
        <v>51</v>
      </c>
      <c r="J37" s="75">
        <v>33</v>
      </c>
      <c r="K37" s="75">
        <v>33</v>
      </c>
      <c r="L37" s="75">
        <v>50</v>
      </c>
      <c r="M37" s="75">
        <v>40</v>
      </c>
      <c r="N37" s="75" t="s">
        <v>839</v>
      </c>
      <c r="O37" s="75">
        <v>500</v>
      </c>
      <c r="P37" s="75">
        <f t="shared" si="2"/>
        <v>207</v>
      </c>
      <c r="Q37" s="81">
        <f t="shared" si="3"/>
        <v>0.41399999999999998</v>
      </c>
      <c r="R37" s="3"/>
    </row>
    <row r="38" spans="1:18" ht="44.25" customHeight="1" x14ac:dyDescent="0.3">
      <c r="A38" s="79">
        <v>29</v>
      </c>
      <c r="B38" s="66">
        <v>555</v>
      </c>
      <c r="C38" s="66" t="s">
        <v>620</v>
      </c>
      <c r="D38" s="75" t="s">
        <v>203</v>
      </c>
      <c r="E38" s="75" t="s">
        <v>183</v>
      </c>
      <c r="F38" s="75" t="s">
        <v>24</v>
      </c>
      <c r="G38" s="73">
        <v>42067</v>
      </c>
      <c r="H38" s="76">
        <v>44356</v>
      </c>
      <c r="I38" s="75">
        <v>73</v>
      </c>
      <c r="J38" s="75">
        <v>80</v>
      </c>
      <c r="K38" s="75">
        <v>84</v>
      </c>
      <c r="L38" s="75">
        <v>77</v>
      </c>
      <c r="M38" s="75">
        <v>67</v>
      </c>
      <c r="N38" s="75" t="s">
        <v>839</v>
      </c>
      <c r="O38" s="75">
        <v>500</v>
      </c>
      <c r="P38" s="75">
        <f t="shared" si="2"/>
        <v>381</v>
      </c>
      <c r="Q38" s="81">
        <f t="shared" si="3"/>
        <v>0.76200000000000001</v>
      </c>
      <c r="R38" s="3"/>
    </row>
    <row r="39" spans="1:18" ht="35.1" customHeight="1" x14ac:dyDescent="0.3">
      <c r="A39" s="80">
        <v>30</v>
      </c>
      <c r="B39" s="66">
        <v>691</v>
      </c>
      <c r="C39" s="66" t="s">
        <v>620</v>
      </c>
      <c r="D39" s="75" t="s">
        <v>41</v>
      </c>
      <c r="E39" s="75" t="s">
        <v>180</v>
      </c>
      <c r="F39" s="75" t="s">
        <v>24</v>
      </c>
      <c r="G39" s="73">
        <v>41854</v>
      </c>
      <c r="H39" s="76">
        <v>45207</v>
      </c>
      <c r="I39" s="75">
        <v>65</v>
      </c>
      <c r="J39" s="75">
        <v>79</v>
      </c>
      <c r="K39" s="75">
        <v>80</v>
      </c>
      <c r="L39" s="75">
        <v>88</v>
      </c>
      <c r="M39" s="75">
        <v>53</v>
      </c>
      <c r="N39" s="75" t="s">
        <v>711</v>
      </c>
      <c r="O39" s="75">
        <v>500</v>
      </c>
      <c r="P39" s="75">
        <f t="shared" si="2"/>
        <v>365</v>
      </c>
      <c r="Q39" s="81">
        <f t="shared" si="3"/>
        <v>0.73</v>
      </c>
      <c r="R39" s="3"/>
    </row>
    <row r="40" spans="1:18" ht="35.1" customHeight="1" x14ac:dyDescent="0.3">
      <c r="A40" s="79">
        <v>31</v>
      </c>
      <c r="B40" s="66">
        <v>528</v>
      </c>
      <c r="C40" s="66" t="s">
        <v>620</v>
      </c>
      <c r="D40" s="75" t="s">
        <v>204</v>
      </c>
      <c r="E40" s="75" t="s">
        <v>205</v>
      </c>
      <c r="F40" s="75" t="s">
        <v>24</v>
      </c>
      <c r="G40" s="73" t="s">
        <v>232</v>
      </c>
      <c r="H40" s="76">
        <v>44236</v>
      </c>
      <c r="I40" s="75">
        <v>47</v>
      </c>
      <c r="J40" s="75">
        <v>38</v>
      </c>
      <c r="K40" s="75">
        <v>47</v>
      </c>
      <c r="L40" s="75">
        <v>49</v>
      </c>
      <c r="M40" s="75">
        <v>34</v>
      </c>
      <c r="N40" s="75" t="s">
        <v>711</v>
      </c>
      <c r="O40" s="75">
        <v>500</v>
      </c>
      <c r="P40" s="75">
        <f t="shared" si="2"/>
        <v>215</v>
      </c>
      <c r="Q40" s="81">
        <f t="shared" si="3"/>
        <v>0.43</v>
      </c>
      <c r="R40" s="3"/>
    </row>
    <row r="41" spans="1:18" ht="35.1" customHeight="1" x14ac:dyDescent="0.3">
      <c r="A41" s="80">
        <v>32</v>
      </c>
      <c r="B41" s="66">
        <v>689</v>
      </c>
      <c r="C41" s="66" t="s">
        <v>620</v>
      </c>
      <c r="D41" s="75" t="s">
        <v>513</v>
      </c>
      <c r="E41" s="75" t="s">
        <v>105</v>
      </c>
      <c r="F41" s="75" t="s">
        <v>24</v>
      </c>
      <c r="G41" s="73" t="s">
        <v>514</v>
      </c>
      <c r="H41" s="76">
        <v>45207</v>
      </c>
      <c r="I41" s="75">
        <v>75</v>
      </c>
      <c r="J41" s="75">
        <v>58</v>
      </c>
      <c r="K41" s="75">
        <v>88</v>
      </c>
      <c r="L41" s="75">
        <v>57</v>
      </c>
      <c r="M41" s="75">
        <v>45</v>
      </c>
      <c r="N41" s="75" t="s">
        <v>711</v>
      </c>
      <c r="O41" s="75">
        <v>500</v>
      </c>
      <c r="P41" s="75">
        <f t="shared" si="2"/>
        <v>323</v>
      </c>
      <c r="Q41" s="81">
        <f t="shared" si="3"/>
        <v>0.64600000000000002</v>
      </c>
      <c r="R41" s="3"/>
    </row>
    <row r="42" spans="1:18" ht="35.1" customHeight="1" x14ac:dyDescent="0.3">
      <c r="A42" s="79">
        <v>33</v>
      </c>
      <c r="B42" s="66">
        <v>479</v>
      </c>
      <c r="C42" s="66" t="s">
        <v>620</v>
      </c>
      <c r="D42" s="75" t="s">
        <v>206</v>
      </c>
      <c r="E42" s="75" t="s">
        <v>20</v>
      </c>
      <c r="F42" s="75" t="s">
        <v>24</v>
      </c>
      <c r="G42" s="73">
        <v>42037</v>
      </c>
      <c r="H42" s="76" t="s">
        <v>345</v>
      </c>
      <c r="I42" s="75">
        <v>56</v>
      </c>
      <c r="J42" s="75">
        <v>48</v>
      </c>
      <c r="K42" s="75">
        <v>48</v>
      </c>
      <c r="L42" s="75">
        <v>39</v>
      </c>
      <c r="M42" s="75">
        <v>33</v>
      </c>
      <c r="N42" s="75" t="s">
        <v>839</v>
      </c>
      <c r="O42" s="75">
        <v>500</v>
      </c>
      <c r="P42" s="75">
        <f t="shared" si="2"/>
        <v>224</v>
      </c>
      <c r="Q42" s="81">
        <f t="shared" si="3"/>
        <v>0.44800000000000001</v>
      </c>
      <c r="R42" s="3"/>
    </row>
    <row r="43" spans="1:18" ht="35.1" customHeight="1" x14ac:dyDescent="0.3">
      <c r="A43" s="80">
        <v>34</v>
      </c>
      <c r="B43" s="66">
        <v>648</v>
      </c>
      <c r="C43" s="66" t="s">
        <v>620</v>
      </c>
      <c r="D43" s="72" t="s">
        <v>664</v>
      </c>
      <c r="E43" s="72" t="s">
        <v>665</v>
      </c>
      <c r="F43" s="72" t="s">
        <v>24</v>
      </c>
      <c r="G43" s="77">
        <v>43023</v>
      </c>
      <c r="H43" s="60">
        <v>44852</v>
      </c>
      <c r="I43" s="72">
        <v>64</v>
      </c>
      <c r="J43" s="75">
        <v>58</v>
      </c>
      <c r="K43" s="75">
        <v>73</v>
      </c>
      <c r="L43" s="75">
        <v>59</v>
      </c>
      <c r="M43" s="75">
        <v>40</v>
      </c>
      <c r="N43" s="75" t="s">
        <v>839</v>
      </c>
      <c r="O43" s="75">
        <v>500</v>
      </c>
      <c r="P43" s="75">
        <f t="shared" si="2"/>
        <v>294</v>
      </c>
      <c r="Q43" s="81">
        <f t="shared" si="3"/>
        <v>0.58799999999999997</v>
      </c>
      <c r="R43" s="3"/>
    </row>
    <row r="44" spans="1:18" ht="35.1" customHeight="1" x14ac:dyDescent="0.3">
      <c r="A44" s="79">
        <v>35</v>
      </c>
      <c r="B44" s="66">
        <v>578</v>
      </c>
      <c r="C44" s="66" t="s">
        <v>620</v>
      </c>
      <c r="D44" s="75" t="s">
        <v>56</v>
      </c>
      <c r="E44" s="75" t="s">
        <v>57</v>
      </c>
      <c r="F44" s="75" t="s">
        <v>24</v>
      </c>
      <c r="G44" s="73" t="s">
        <v>223</v>
      </c>
      <c r="H44" s="76">
        <v>44842</v>
      </c>
      <c r="I44" s="75">
        <v>96</v>
      </c>
      <c r="J44" s="75">
        <v>98</v>
      </c>
      <c r="K44" s="75">
        <v>98</v>
      </c>
      <c r="L44" s="75">
        <v>99</v>
      </c>
      <c r="M44" s="75">
        <v>97</v>
      </c>
      <c r="N44" s="75" t="s">
        <v>711</v>
      </c>
      <c r="O44" s="75">
        <v>500</v>
      </c>
      <c r="P44" s="75">
        <f t="shared" si="2"/>
        <v>488</v>
      </c>
      <c r="Q44" s="81">
        <f t="shared" si="3"/>
        <v>0.97599999999999998</v>
      </c>
      <c r="R44" s="3"/>
    </row>
    <row r="45" spans="1:18" ht="35.1" customHeight="1" x14ac:dyDescent="0.3">
      <c r="A45" s="80">
        <v>36</v>
      </c>
      <c r="B45" s="66">
        <v>573</v>
      </c>
      <c r="C45" s="66" t="s">
        <v>620</v>
      </c>
      <c r="D45" s="75" t="s">
        <v>49</v>
      </c>
      <c r="E45" s="75" t="s">
        <v>645</v>
      </c>
      <c r="F45" s="75" t="s">
        <v>24</v>
      </c>
      <c r="G45" s="73" t="s">
        <v>221</v>
      </c>
      <c r="H45" s="76">
        <v>44689</v>
      </c>
      <c r="I45" s="75">
        <v>52</v>
      </c>
      <c r="J45" s="75">
        <v>59</v>
      </c>
      <c r="K45" s="75">
        <v>80</v>
      </c>
      <c r="L45" s="75">
        <v>64</v>
      </c>
      <c r="M45" s="75">
        <v>43</v>
      </c>
      <c r="N45" s="75" t="s">
        <v>711</v>
      </c>
      <c r="O45" s="75">
        <v>500</v>
      </c>
      <c r="P45" s="75">
        <f t="shared" si="2"/>
        <v>298</v>
      </c>
      <c r="Q45" s="81">
        <f t="shared" si="3"/>
        <v>0.59599999999999997</v>
      </c>
      <c r="R45" s="3"/>
    </row>
    <row r="46" spans="1:18" ht="35.1" customHeight="1" x14ac:dyDescent="0.3">
      <c r="A46" s="79">
        <v>37</v>
      </c>
      <c r="B46" s="66">
        <v>587</v>
      </c>
      <c r="C46" s="66" t="s">
        <v>620</v>
      </c>
      <c r="D46" s="75" t="s">
        <v>69</v>
      </c>
      <c r="E46" s="75" t="s">
        <v>70</v>
      </c>
      <c r="F46" s="75" t="s">
        <v>24</v>
      </c>
      <c r="G46" s="73">
        <v>41704</v>
      </c>
      <c r="H46" s="76">
        <v>44842</v>
      </c>
      <c r="I46" s="75">
        <v>33</v>
      </c>
      <c r="J46" s="75">
        <v>33</v>
      </c>
      <c r="K46" s="75">
        <v>33</v>
      </c>
      <c r="L46" s="75">
        <v>33</v>
      </c>
      <c r="M46" s="75">
        <v>33</v>
      </c>
      <c r="N46" s="75" t="s">
        <v>839</v>
      </c>
      <c r="O46" s="75">
        <v>500</v>
      </c>
      <c r="P46" s="75">
        <f t="shared" si="2"/>
        <v>165</v>
      </c>
      <c r="Q46" s="81">
        <f t="shared" si="3"/>
        <v>0.33</v>
      </c>
      <c r="R46" s="3"/>
    </row>
    <row r="47" spans="1:18" ht="35.1" customHeight="1" x14ac:dyDescent="0.3">
      <c r="A47" s="80">
        <v>38</v>
      </c>
      <c r="B47" s="66">
        <v>575</v>
      </c>
      <c r="C47" s="66" t="s">
        <v>620</v>
      </c>
      <c r="D47" s="75" t="s">
        <v>830</v>
      </c>
      <c r="E47" s="75" t="s">
        <v>52</v>
      </c>
      <c r="F47" s="75" t="s">
        <v>24</v>
      </c>
      <c r="G47" s="73">
        <v>42532</v>
      </c>
      <c r="H47" s="76">
        <v>44720</v>
      </c>
      <c r="I47" s="75">
        <v>50</v>
      </c>
      <c r="J47" s="75">
        <v>51</v>
      </c>
      <c r="K47" s="75">
        <v>68</v>
      </c>
      <c r="L47" s="75">
        <v>55</v>
      </c>
      <c r="M47" s="75">
        <v>36</v>
      </c>
      <c r="N47" s="75" t="s">
        <v>839</v>
      </c>
      <c r="O47" s="75">
        <v>500</v>
      </c>
      <c r="P47" s="75">
        <f t="shared" si="2"/>
        <v>260</v>
      </c>
      <c r="Q47" s="81">
        <f t="shared" si="3"/>
        <v>0.52</v>
      </c>
      <c r="R47" s="3"/>
    </row>
    <row r="48" spans="1:18" ht="35.1" customHeight="1" x14ac:dyDescent="0.3">
      <c r="A48" s="79">
        <v>39</v>
      </c>
      <c r="B48" s="66">
        <v>586</v>
      </c>
      <c r="C48" s="66" t="s">
        <v>620</v>
      </c>
      <c r="D48" s="75" t="s">
        <v>68</v>
      </c>
      <c r="E48" s="75" t="s">
        <v>228</v>
      </c>
      <c r="F48" s="75" t="s">
        <v>24</v>
      </c>
      <c r="G48" s="73" t="s">
        <v>229</v>
      </c>
      <c r="H48" s="76">
        <v>44842</v>
      </c>
      <c r="I48" s="75">
        <v>49</v>
      </c>
      <c r="J48" s="75">
        <v>61</v>
      </c>
      <c r="K48" s="75">
        <v>55</v>
      </c>
      <c r="L48" s="75">
        <v>58</v>
      </c>
      <c r="M48" s="75">
        <v>49</v>
      </c>
      <c r="N48" s="75" t="s">
        <v>839</v>
      </c>
      <c r="O48" s="75">
        <v>500</v>
      </c>
      <c r="P48" s="75">
        <f t="shared" si="2"/>
        <v>272</v>
      </c>
      <c r="Q48" s="81">
        <f t="shared" si="3"/>
        <v>0.54400000000000004</v>
      </c>
      <c r="R48" s="3"/>
    </row>
    <row r="49" spans="1:18" ht="35.1" customHeight="1" x14ac:dyDescent="0.3">
      <c r="A49" s="80">
        <v>40</v>
      </c>
      <c r="B49" s="66">
        <v>580</v>
      </c>
      <c r="C49" s="66" t="s">
        <v>620</v>
      </c>
      <c r="D49" s="75" t="s">
        <v>225</v>
      </c>
      <c r="E49" s="75" t="s">
        <v>60</v>
      </c>
      <c r="F49" s="75" t="s">
        <v>24</v>
      </c>
      <c r="G49" s="73" t="s">
        <v>226</v>
      </c>
      <c r="H49" s="76">
        <v>44842</v>
      </c>
      <c r="I49" s="75">
        <v>87</v>
      </c>
      <c r="J49" s="75">
        <v>88</v>
      </c>
      <c r="K49" s="75">
        <v>98</v>
      </c>
      <c r="L49" s="75">
        <v>93</v>
      </c>
      <c r="M49" s="75">
        <v>56</v>
      </c>
      <c r="N49" s="75" t="s">
        <v>841</v>
      </c>
      <c r="O49" s="75">
        <v>500</v>
      </c>
      <c r="P49" s="75">
        <f t="shared" si="2"/>
        <v>422</v>
      </c>
      <c r="Q49" s="81">
        <f t="shared" si="3"/>
        <v>0.84399999999999997</v>
      </c>
      <c r="R49" s="3"/>
    </row>
    <row r="50" spans="1:18" ht="35.1" customHeight="1" x14ac:dyDescent="0.3">
      <c r="A50" s="79">
        <v>41</v>
      </c>
      <c r="B50" s="66">
        <v>583</v>
      </c>
      <c r="C50" s="66" t="s">
        <v>620</v>
      </c>
      <c r="D50" s="75" t="s">
        <v>65</v>
      </c>
      <c r="E50" s="75" t="s">
        <v>332</v>
      </c>
      <c r="F50" s="75" t="s">
        <v>24</v>
      </c>
      <c r="G50" s="73" t="s">
        <v>227</v>
      </c>
      <c r="H50" s="76">
        <v>44842</v>
      </c>
      <c r="I50" s="75">
        <v>60</v>
      </c>
      <c r="J50" s="75">
        <v>63</v>
      </c>
      <c r="K50" s="75">
        <v>76</v>
      </c>
      <c r="L50" s="75">
        <v>69</v>
      </c>
      <c r="M50" s="75">
        <v>42</v>
      </c>
      <c r="N50" s="75" t="s">
        <v>839</v>
      </c>
      <c r="O50" s="75">
        <v>500</v>
      </c>
      <c r="P50" s="75">
        <f t="shared" si="2"/>
        <v>310</v>
      </c>
      <c r="Q50" s="81">
        <f t="shared" si="3"/>
        <v>0.62</v>
      </c>
      <c r="R50" s="3"/>
    </row>
    <row r="51" spans="1:18" ht="35.1" customHeight="1" x14ac:dyDescent="0.3">
      <c r="A51" s="80">
        <v>42</v>
      </c>
      <c r="B51" s="66">
        <v>480</v>
      </c>
      <c r="C51" s="66" t="s">
        <v>620</v>
      </c>
      <c r="D51" s="75" t="s">
        <v>207</v>
      </c>
      <c r="E51" s="75" t="s">
        <v>11</v>
      </c>
      <c r="F51" s="75" t="s">
        <v>24</v>
      </c>
      <c r="G51" s="73" t="s">
        <v>233</v>
      </c>
      <c r="H51" s="76" t="s">
        <v>345</v>
      </c>
      <c r="I51" s="75">
        <v>67</v>
      </c>
      <c r="J51" s="75">
        <v>70</v>
      </c>
      <c r="K51" s="75">
        <v>78</v>
      </c>
      <c r="L51" s="75">
        <v>81</v>
      </c>
      <c r="M51" s="75">
        <v>44</v>
      </c>
      <c r="N51" s="75" t="s">
        <v>711</v>
      </c>
      <c r="O51" s="75">
        <v>500</v>
      </c>
      <c r="P51" s="75">
        <f t="shared" si="2"/>
        <v>340</v>
      </c>
      <c r="Q51" s="81">
        <f t="shared" si="3"/>
        <v>0.68</v>
      </c>
      <c r="R51" s="3"/>
    </row>
    <row r="52" spans="1:18" ht="35.1" customHeight="1" x14ac:dyDescent="0.3">
      <c r="A52" s="79">
        <v>43</v>
      </c>
      <c r="B52" s="66">
        <v>576</v>
      </c>
      <c r="C52" s="66" t="s">
        <v>620</v>
      </c>
      <c r="D52" s="75" t="s">
        <v>53</v>
      </c>
      <c r="E52" s="75" t="s">
        <v>11</v>
      </c>
      <c r="F52" s="75" t="s">
        <v>24</v>
      </c>
      <c r="G52" s="73" t="s">
        <v>222</v>
      </c>
      <c r="H52" s="76">
        <v>44720</v>
      </c>
      <c r="I52" s="75">
        <v>62</v>
      </c>
      <c r="J52" s="75">
        <v>83</v>
      </c>
      <c r="K52" s="75">
        <v>80</v>
      </c>
      <c r="L52" s="75">
        <v>60</v>
      </c>
      <c r="M52" s="75">
        <v>61</v>
      </c>
      <c r="N52" s="75" t="s">
        <v>839</v>
      </c>
      <c r="O52" s="75">
        <v>500</v>
      </c>
      <c r="P52" s="75">
        <f t="shared" si="2"/>
        <v>346</v>
      </c>
      <c r="Q52" s="82">
        <f t="shared" si="3"/>
        <v>0.69199999999999995</v>
      </c>
      <c r="R52" s="3"/>
    </row>
    <row r="53" spans="1:18" ht="35.1" customHeight="1" x14ac:dyDescent="0.3">
      <c r="A53" s="80">
        <v>44</v>
      </c>
      <c r="B53" s="66">
        <v>685</v>
      </c>
      <c r="C53" s="66" t="s">
        <v>620</v>
      </c>
      <c r="D53" s="75" t="s">
        <v>504</v>
      </c>
      <c r="E53" s="75" t="s">
        <v>373</v>
      </c>
      <c r="F53" s="75" t="s">
        <v>24</v>
      </c>
      <c r="G53" s="73" t="s">
        <v>505</v>
      </c>
      <c r="H53" s="76">
        <v>45207</v>
      </c>
      <c r="I53" s="75">
        <v>42</v>
      </c>
      <c r="J53" s="75">
        <v>59</v>
      </c>
      <c r="K53" s="75">
        <v>61</v>
      </c>
      <c r="L53" s="75">
        <v>75</v>
      </c>
      <c r="M53" s="75">
        <v>38</v>
      </c>
      <c r="N53" s="75" t="s">
        <v>711</v>
      </c>
      <c r="O53" s="75">
        <v>500</v>
      </c>
      <c r="P53" s="75">
        <f t="shared" si="2"/>
        <v>275</v>
      </c>
      <c r="Q53" s="82">
        <f t="shared" si="3"/>
        <v>0.55000000000000004</v>
      </c>
      <c r="R53" s="3"/>
    </row>
    <row r="54" spans="1:18" ht="35.1" customHeight="1" x14ac:dyDescent="0.3">
      <c r="A54" s="79">
        <v>45</v>
      </c>
      <c r="B54" s="66">
        <v>688</v>
      </c>
      <c r="C54" s="66" t="s">
        <v>620</v>
      </c>
      <c r="D54" s="75" t="s">
        <v>510</v>
      </c>
      <c r="E54" s="75" t="s">
        <v>511</v>
      </c>
      <c r="F54" s="75" t="s">
        <v>24</v>
      </c>
      <c r="G54" s="73" t="s">
        <v>512</v>
      </c>
      <c r="H54" s="76">
        <v>45207</v>
      </c>
      <c r="I54" s="75">
        <v>59</v>
      </c>
      <c r="J54" s="75">
        <v>57</v>
      </c>
      <c r="K54" s="75">
        <v>70</v>
      </c>
      <c r="L54" s="75">
        <v>58</v>
      </c>
      <c r="M54" s="75">
        <v>58</v>
      </c>
      <c r="N54" s="75" t="s">
        <v>839</v>
      </c>
      <c r="O54" s="75">
        <v>500</v>
      </c>
      <c r="P54" s="75">
        <f t="shared" si="2"/>
        <v>302</v>
      </c>
      <c r="Q54" s="82">
        <f t="shared" si="3"/>
        <v>0.60399999999999998</v>
      </c>
      <c r="R54" s="3"/>
    </row>
    <row r="55" spans="1:18" ht="35.1" customHeight="1" x14ac:dyDescent="0.3">
      <c r="A55" s="80">
        <v>46</v>
      </c>
      <c r="B55" s="66">
        <v>546</v>
      </c>
      <c r="C55" s="66" t="s">
        <v>620</v>
      </c>
      <c r="D55" s="75" t="s">
        <v>208</v>
      </c>
      <c r="E55" s="75" t="s">
        <v>209</v>
      </c>
      <c r="F55" s="75" t="s">
        <v>24</v>
      </c>
      <c r="G55" s="73">
        <v>41857</v>
      </c>
      <c r="H55" s="76">
        <v>44356</v>
      </c>
      <c r="I55" s="75">
        <v>53</v>
      </c>
      <c r="J55" s="75">
        <v>54</v>
      </c>
      <c r="K55" s="75">
        <v>94</v>
      </c>
      <c r="L55" s="75">
        <v>49</v>
      </c>
      <c r="M55" s="75">
        <v>34</v>
      </c>
      <c r="N55" s="75" t="s">
        <v>841</v>
      </c>
      <c r="O55" s="75">
        <v>500</v>
      </c>
      <c r="P55" s="75">
        <f t="shared" si="2"/>
        <v>284</v>
      </c>
      <c r="Q55" s="82">
        <f t="shared" si="3"/>
        <v>0.56799999999999995</v>
      </c>
      <c r="R55" s="3"/>
    </row>
    <row r="56" spans="1:18" ht="35.1" customHeight="1" x14ac:dyDescent="0.25"/>
    <row r="57" spans="1:18" x14ac:dyDescent="0.25">
      <c r="A57" s="1"/>
      <c r="B57" s="1"/>
      <c r="C57" s="1"/>
    </row>
    <row r="58" spans="1:18" x14ac:dyDescent="0.25">
      <c r="A58" s="1"/>
      <c r="B58" s="1"/>
      <c r="C58" s="1"/>
    </row>
    <row r="59" spans="1:18" ht="18.75" x14ac:dyDescent="0.25">
      <c r="A59" s="1"/>
      <c r="B59" s="1"/>
      <c r="C59" s="1"/>
      <c r="R59" s="142" t="s">
        <v>716</v>
      </c>
    </row>
    <row r="60" spans="1:18" x14ac:dyDescent="0.25">
      <c r="A60" s="1"/>
      <c r="B60" s="1"/>
      <c r="C60" s="1"/>
    </row>
    <row r="61" spans="1:18" x14ac:dyDescent="0.25">
      <c r="A61" s="1"/>
      <c r="B61" s="1"/>
      <c r="C61" s="1"/>
    </row>
    <row r="65" spans="4:16" ht="23.25" x14ac:dyDescent="0.35">
      <c r="D65" s="18" t="s">
        <v>713</v>
      </c>
      <c r="E65" s="15"/>
      <c r="F65" s="15"/>
      <c r="G65" s="16"/>
      <c r="H65" s="17"/>
      <c r="I65" s="15"/>
      <c r="J65" s="15"/>
      <c r="K65" s="15"/>
      <c r="L65" s="15"/>
      <c r="M65" s="15"/>
      <c r="N65" s="15"/>
      <c r="O65" s="153" t="s">
        <v>714</v>
      </c>
      <c r="P65" s="153"/>
    </row>
  </sheetData>
  <sortState ref="A7:R53">
    <sortCondition ref="F7:F53"/>
    <sortCondition ref="D7:D53"/>
  </sortState>
  <mergeCells count="18">
    <mergeCell ref="O65:P65"/>
    <mergeCell ref="A2:R2"/>
    <mergeCell ref="A3:R3"/>
    <mergeCell ref="A4:R4"/>
    <mergeCell ref="B5:B7"/>
    <mergeCell ref="C5:C7"/>
    <mergeCell ref="D5:D7"/>
    <mergeCell ref="E5:E7"/>
    <mergeCell ref="F5:F7"/>
    <mergeCell ref="Q5:Q7"/>
    <mergeCell ref="R5:R7"/>
    <mergeCell ref="G5:G7"/>
    <mergeCell ref="H5:H7"/>
    <mergeCell ref="A8:R8"/>
    <mergeCell ref="A29:R29"/>
    <mergeCell ref="A5:A7"/>
    <mergeCell ref="O5:O6"/>
    <mergeCell ref="P5:P7"/>
  </mergeCells>
  <pageMargins left="0.2" right="0.2" top="0.25" bottom="0.25" header="0.3" footer="0.3"/>
  <pageSetup paperSize="9" scale="41" fitToHeight="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S63"/>
  <sheetViews>
    <sheetView zoomScale="55" zoomScaleNormal="55" workbookViewId="0">
      <pane ySplit="9" topLeftCell="A10" activePane="bottomLeft" state="frozen"/>
      <selection activeCell="F62" sqref="F62"/>
      <selection pane="bottomLeft" activeCell="M43" sqref="M43"/>
    </sheetView>
  </sheetViews>
  <sheetFormatPr defaultColWidth="10" defaultRowHeight="15" x14ac:dyDescent="0.25"/>
  <cols>
    <col min="1" max="1" width="10.85546875" customWidth="1"/>
    <col min="2" max="2" width="8.42578125" customWidth="1"/>
    <col min="3" max="3" width="17.42578125" customWidth="1"/>
    <col min="4" max="4" width="31.42578125" customWidth="1"/>
    <col min="5" max="5" width="31.5703125" customWidth="1"/>
    <col min="6" max="6" width="19.42578125" customWidth="1"/>
    <col min="7" max="7" width="21.85546875" style="1" customWidth="1"/>
    <col min="8" max="8" width="18.5703125" style="2" bestFit="1" customWidth="1"/>
    <col min="9" max="17" width="12.7109375" customWidth="1"/>
    <col min="18" max="18" width="12.85546875" customWidth="1"/>
    <col min="19" max="19" width="20.42578125" customWidth="1"/>
  </cols>
  <sheetData>
    <row r="2" spans="1:19" ht="27.75" x14ac:dyDescent="0.25">
      <c r="A2" s="143" t="s">
        <v>699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</row>
    <row r="3" spans="1:19" ht="27.75" x14ac:dyDescent="0.25">
      <c r="A3" s="143" t="s">
        <v>696</v>
      </c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</row>
    <row r="4" spans="1:19" ht="28.5" thickBot="1" x14ac:dyDescent="0.3">
      <c r="A4" s="143" t="s">
        <v>697</v>
      </c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</row>
    <row r="5" spans="1:19" ht="26.25" customHeight="1" x14ac:dyDescent="0.25">
      <c r="A5" s="164" t="s">
        <v>698</v>
      </c>
      <c r="B5" s="162" t="s">
        <v>334</v>
      </c>
      <c r="C5" s="162" t="s">
        <v>335</v>
      </c>
      <c r="D5" s="162" t="s">
        <v>0</v>
      </c>
      <c r="E5" s="162" t="s">
        <v>1</v>
      </c>
      <c r="F5" s="162" t="s">
        <v>2</v>
      </c>
      <c r="G5" s="157" t="s">
        <v>337</v>
      </c>
      <c r="H5" s="162" t="s">
        <v>618</v>
      </c>
      <c r="I5" s="126" t="s">
        <v>685</v>
      </c>
      <c r="J5" s="127"/>
      <c r="K5" s="127"/>
      <c r="L5" s="127"/>
      <c r="M5" s="127"/>
      <c r="N5" s="127"/>
      <c r="O5" s="128"/>
      <c r="P5" s="162" t="s">
        <v>694</v>
      </c>
      <c r="Q5" s="162" t="s">
        <v>695</v>
      </c>
      <c r="R5" s="162" t="s">
        <v>700</v>
      </c>
      <c r="S5" s="167" t="s">
        <v>617</v>
      </c>
    </row>
    <row r="6" spans="1:19" ht="48.75" x14ac:dyDescent="0.25">
      <c r="A6" s="165"/>
      <c r="B6" s="163"/>
      <c r="C6" s="163"/>
      <c r="D6" s="163"/>
      <c r="E6" s="163"/>
      <c r="F6" s="163"/>
      <c r="G6" s="158"/>
      <c r="H6" s="163"/>
      <c r="I6" s="124" t="s">
        <v>688</v>
      </c>
      <c r="J6" s="124" t="s">
        <v>686</v>
      </c>
      <c r="K6" s="124" t="s">
        <v>811</v>
      </c>
      <c r="L6" s="124" t="s">
        <v>812</v>
      </c>
      <c r="M6" s="124" t="s">
        <v>810</v>
      </c>
      <c r="N6" s="124" t="s">
        <v>687</v>
      </c>
      <c r="O6" s="124" t="s">
        <v>693</v>
      </c>
      <c r="P6" s="166"/>
      <c r="Q6" s="163"/>
      <c r="R6" s="163"/>
      <c r="S6" s="168"/>
    </row>
    <row r="7" spans="1:19" ht="33" customHeight="1" thickBot="1" x14ac:dyDescent="0.3">
      <c r="A7" s="177"/>
      <c r="B7" s="176"/>
      <c r="C7" s="176"/>
      <c r="D7" s="176"/>
      <c r="E7" s="176"/>
      <c r="F7" s="176"/>
      <c r="G7" s="172"/>
      <c r="H7" s="176"/>
      <c r="I7" s="134">
        <v>100</v>
      </c>
      <c r="J7" s="134">
        <v>100</v>
      </c>
      <c r="K7" s="134">
        <v>100</v>
      </c>
      <c r="L7" s="134">
        <v>100</v>
      </c>
      <c r="M7" s="134">
        <v>100</v>
      </c>
      <c r="N7" s="134">
        <v>100</v>
      </c>
      <c r="O7" s="134" t="s">
        <v>836</v>
      </c>
      <c r="P7" s="134">
        <f>SUM(I7:O7)</f>
        <v>600</v>
      </c>
      <c r="Q7" s="166"/>
      <c r="R7" s="176"/>
      <c r="S7" s="178"/>
    </row>
    <row r="8" spans="1:19" ht="45" customHeight="1" x14ac:dyDescent="0.25">
      <c r="A8" s="173" t="s">
        <v>682</v>
      </c>
      <c r="B8" s="174"/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5"/>
    </row>
    <row r="9" spans="1:19" ht="40.5" customHeight="1" x14ac:dyDescent="0.3">
      <c r="A9" s="79">
        <v>1</v>
      </c>
      <c r="B9" s="66">
        <v>544</v>
      </c>
      <c r="C9" s="66" t="s">
        <v>621</v>
      </c>
      <c r="D9" s="75" t="s">
        <v>833</v>
      </c>
      <c r="E9" s="75" t="s">
        <v>211</v>
      </c>
      <c r="F9" s="75" t="s">
        <v>23</v>
      </c>
      <c r="G9" s="73" t="s">
        <v>261</v>
      </c>
      <c r="H9" s="76">
        <v>44356</v>
      </c>
      <c r="I9" s="75">
        <v>99</v>
      </c>
      <c r="J9" s="67">
        <v>93</v>
      </c>
      <c r="K9" s="67">
        <v>98</v>
      </c>
      <c r="L9" s="67">
        <v>98</v>
      </c>
      <c r="M9" s="67">
        <v>92</v>
      </c>
      <c r="N9" s="67">
        <v>97</v>
      </c>
      <c r="O9" s="67" t="s">
        <v>841</v>
      </c>
      <c r="P9" s="67">
        <v>600</v>
      </c>
      <c r="Q9" s="67">
        <f t="shared" ref="Q9:Q38" si="0">I9+J9+K9+L9+M9+N9</f>
        <v>577</v>
      </c>
      <c r="R9" s="109">
        <f t="shared" ref="R9:R38" si="1">Q9/P9</f>
        <v>0.96166666666666667</v>
      </c>
      <c r="S9" s="69"/>
    </row>
    <row r="10" spans="1:19" ht="35.1" customHeight="1" x14ac:dyDescent="0.3">
      <c r="A10" s="79">
        <v>2</v>
      </c>
      <c r="B10" s="66">
        <v>596</v>
      </c>
      <c r="C10" s="66" t="s">
        <v>621</v>
      </c>
      <c r="D10" s="75" t="s">
        <v>26</v>
      </c>
      <c r="E10" s="75" t="s">
        <v>57</v>
      </c>
      <c r="F10" s="75" t="s">
        <v>23</v>
      </c>
      <c r="G10" s="73" t="s">
        <v>276</v>
      </c>
      <c r="H10" s="76">
        <v>44903</v>
      </c>
      <c r="I10" s="75">
        <v>43</v>
      </c>
      <c r="J10" s="67">
        <v>60</v>
      </c>
      <c r="K10" s="67">
        <v>54</v>
      </c>
      <c r="L10" s="67">
        <v>59</v>
      </c>
      <c r="M10" s="67">
        <v>33</v>
      </c>
      <c r="N10" s="67">
        <v>50</v>
      </c>
      <c r="O10" s="67" t="s">
        <v>839</v>
      </c>
      <c r="P10" s="67">
        <v>600</v>
      </c>
      <c r="Q10" s="67">
        <f t="shared" si="0"/>
        <v>299</v>
      </c>
      <c r="R10" s="109">
        <f t="shared" si="1"/>
        <v>0.49833333333333335</v>
      </c>
      <c r="S10" s="69"/>
    </row>
    <row r="11" spans="1:19" ht="35.1" customHeight="1" x14ac:dyDescent="0.3">
      <c r="A11" s="79">
        <v>3</v>
      </c>
      <c r="B11" s="66">
        <v>590</v>
      </c>
      <c r="C11" s="66" t="s">
        <v>621</v>
      </c>
      <c r="D11" s="75" t="s">
        <v>75</v>
      </c>
      <c r="E11" s="75" t="s">
        <v>76</v>
      </c>
      <c r="F11" s="75" t="s">
        <v>23</v>
      </c>
      <c r="G11" s="73" t="s">
        <v>238</v>
      </c>
      <c r="H11" s="76">
        <v>44842</v>
      </c>
      <c r="I11" s="75">
        <v>90</v>
      </c>
      <c r="J11" s="67">
        <v>81</v>
      </c>
      <c r="K11" s="67">
        <v>88</v>
      </c>
      <c r="L11" s="67">
        <v>94</v>
      </c>
      <c r="M11" s="67">
        <v>60</v>
      </c>
      <c r="N11" s="67">
        <v>60</v>
      </c>
      <c r="O11" s="67" t="s">
        <v>711</v>
      </c>
      <c r="P11" s="67">
        <v>600</v>
      </c>
      <c r="Q11" s="67">
        <f t="shared" si="0"/>
        <v>473</v>
      </c>
      <c r="R11" s="109">
        <f t="shared" si="1"/>
        <v>0.78833333333333333</v>
      </c>
      <c r="S11" s="69"/>
    </row>
    <row r="12" spans="1:19" ht="35.1" customHeight="1" x14ac:dyDescent="0.3">
      <c r="A12" s="79">
        <v>4</v>
      </c>
      <c r="B12" s="66">
        <v>594</v>
      </c>
      <c r="C12" s="66" t="s">
        <v>621</v>
      </c>
      <c r="D12" s="75" t="s">
        <v>80</v>
      </c>
      <c r="E12" s="75" t="s">
        <v>30</v>
      </c>
      <c r="F12" s="75" t="s">
        <v>23</v>
      </c>
      <c r="G12" s="73" t="s">
        <v>240</v>
      </c>
      <c r="H12" s="76">
        <v>44903</v>
      </c>
      <c r="I12" s="75">
        <v>52</v>
      </c>
      <c r="J12" s="67">
        <v>42</v>
      </c>
      <c r="K12" s="67">
        <v>39</v>
      </c>
      <c r="L12" s="67">
        <v>64</v>
      </c>
      <c r="M12" s="67">
        <v>29</v>
      </c>
      <c r="N12" s="67">
        <v>45</v>
      </c>
      <c r="O12" s="67" t="s">
        <v>711</v>
      </c>
      <c r="P12" s="67">
        <v>600</v>
      </c>
      <c r="Q12" s="67">
        <f t="shared" si="0"/>
        <v>271</v>
      </c>
      <c r="R12" s="109">
        <f t="shared" si="1"/>
        <v>0.45166666666666666</v>
      </c>
      <c r="S12" s="69"/>
    </row>
    <row r="13" spans="1:19" ht="46.5" customHeight="1" x14ac:dyDescent="0.3">
      <c r="A13" s="79">
        <v>5</v>
      </c>
      <c r="B13" s="66">
        <v>432</v>
      </c>
      <c r="C13" s="66" t="s">
        <v>621</v>
      </c>
      <c r="D13" s="75" t="s">
        <v>256</v>
      </c>
      <c r="E13" s="75" t="s">
        <v>170</v>
      </c>
      <c r="F13" s="75" t="s">
        <v>23</v>
      </c>
      <c r="G13" s="73" t="s">
        <v>262</v>
      </c>
      <c r="H13" s="76">
        <v>43531</v>
      </c>
      <c r="I13" s="75">
        <v>68</v>
      </c>
      <c r="J13" s="67">
        <v>67</v>
      </c>
      <c r="K13" s="67">
        <v>70</v>
      </c>
      <c r="L13" s="67">
        <v>92</v>
      </c>
      <c r="M13" s="67">
        <v>36</v>
      </c>
      <c r="N13" s="67">
        <v>77</v>
      </c>
      <c r="O13" s="67" t="s">
        <v>711</v>
      </c>
      <c r="P13" s="67">
        <v>600</v>
      </c>
      <c r="Q13" s="67">
        <f t="shared" si="0"/>
        <v>410</v>
      </c>
      <c r="R13" s="109">
        <f t="shared" si="1"/>
        <v>0.68333333333333335</v>
      </c>
      <c r="S13" s="69"/>
    </row>
    <row r="14" spans="1:19" ht="35.1" customHeight="1" x14ac:dyDescent="0.3">
      <c r="A14" s="79">
        <v>6</v>
      </c>
      <c r="B14" s="66">
        <v>554</v>
      </c>
      <c r="C14" s="66" t="s">
        <v>621</v>
      </c>
      <c r="D14" s="75" t="s">
        <v>162</v>
      </c>
      <c r="E14" s="75" t="s">
        <v>259</v>
      </c>
      <c r="F14" s="75" t="s">
        <v>23</v>
      </c>
      <c r="G14" s="73">
        <v>41924</v>
      </c>
      <c r="H14" s="76">
        <v>44356</v>
      </c>
      <c r="I14" s="75">
        <v>18</v>
      </c>
      <c r="J14" s="67">
        <v>48</v>
      </c>
      <c r="K14" s="67">
        <v>21</v>
      </c>
      <c r="L14" s="67">
        <v>60</v>
      </c>
      <c r="M14" s="67">
        <v>29</v>
      </c>
      <c r="N14" s="67">
        <v>46</v>
      </c>
      <c r="O14" s="67" t="s">
        <v>711</v>
      </c>
      <c r="P14" s="67">
        <v>600</v>
      </c>
      <c r="Q14" s="67">
        <f t="shared" si="0"/>
        <v>222</v>
      </c>
      <c r="R14" s="109">
        <f t="shared" si="1"/>
        <v>0.37</v>
      </c>
      <c r="S14" s="69"/>
    </row>
    <row r="15" spans="1:19" ht="35.1" customHeight="1" x14ac:dyDescent="0.3">
      <c r="A15" s="79">
        <v>7</v>
      </c>
      <c r="B15" s="66">
        <v>496</v>
      </c>
      <c r="C15" s="66" t="s">
        <v>621</v>
      </c>
      <c r="D15" s="75" t="s">
        <v>257</v>
      </c>
      <c r="E15" s="75" t="s">
        <v>260</v>
      </c>
      <c r="F15" s="75" t="s">
        <v>23</v>
      </c>
      <c r="G15" s="73" t="s">
        <v>263</v>
      </c>
      <c r="H15" s="76" t="s">
        <v>341</v>
      </c>
      <c r="I15" s="75">
        <v>65</v>
      </c>
      <c r="J15" s="67">
        <v>56</v>
      </c>
      <c r="K15" s="67">
        <v>38</v>
      </c>
      <c r="L15" s="67">
        <v>88</v>
      </c>
      <c r="M15" s="67">
        <v>33</v>
      </c>
      <c r="N15" s="67">
        <v>70</v>
      </c>
      <c r="O15" s="67" t="s">
        <v>839</v>
      </c>
      <c r="P15" s="67">
        <v>600</v>
      </c>
      <c r="Q15" s="67">
        <f t="shared" si="0"/>
        <v>350</v>
      </c>
      <c r="R15" s="109">
        <f t="shared" si="1"/>
        <v>0.58333333333333337</v>
      </c>
      <c r="S15" s="69"/>
    </row>
    <row r="16" spans="1:19" ht="35.1" customHeight="1" x14ac:dyDescent="0.3">
      <c r="A16" s="79">
        <v>8</v>
      </c>
      <c r="B16" s="66">
        <v>599</v>
      </c>
      <c r="C16" s="66" t="s">
        <v>621</v>
      </c>
      <c r="D16" s="75" t="s">
        <v>83</v>
      </c>
      <c r="E16" s="75" t="s">
        <v>70</v>
      </c>
      <c r="F16" s="75" t="s">
        <v>23</v>
      </c>
      <c r="G16" s="73">
        <v>41522</v>
      </c>
      <c r="H16" s="76">
        <v>44903</v>
      </c>
      <c r="I16" s="75">
        <v>55</v>
      </c>
      <c r="J16" s="67">
        <v>32</v>
      </c>
      <c r="K16" s="67">
        <v>32</v>
      </c>
      <c r="L16" s="67">
        <v>70</v>
      </c>
      <c r="M16" s="67">
        <v>33</v>
      </c>
      <c r="N16" s="67">
        <v>70</v>
      </c>
      <c r="O16" s="67" t="s">
        <v>839</v>
      </c>
      <c r="P16" s="67">
        <v>600</v>
      </c>
      <c r="Q16" s="67">
        <f t="shared" si="0"/>
        <v>292</v>
      </c>
      <c r="R16" s="109">
        <f t="shared" si="1"/>
        <v>0.48666666666666669</v>
      </c>
      <c r="S16" s="69"/>
    </row>
    <row r="17" spans="1:19" ht="35.1" customHeight="1" x14ac:dyDescent="0.3">
      <c r="A17" s="79">
        <v>9</v>
      </c>
      <c r="B17" s="66">
        <v>694</v>
      </c>
      <c r="C17" s="66" t="s">
        <v>621</v>
      </c>
      <c r="D17" s="75" t="s">
        <v>834</v>
      </c>
      <c r="E17" s="75" t="s">
        <v>523</v>
      </c>
      <c r="F17" s="75" t="s">
        <v>23</v>
      </c>
      <c r="G17" s="73">
        <v>42136</v>
      </c>
      <c r="H17" s="76">
        <v>45207</v>
      </c>
      <c r="I17" s="75">
        <v>18</v>
      </c>
      <c r="J17" s="67">
        <v>41</v>
      </c>
      <c r="K17" s="67">
        <v>14</v>
      </c>
      <c r="L17" s="67">
        <v>45</v>
      </c>
      <c r="M17" s="67">
        <v>26</v>
      </c>
      <c r="N17" s="67">
        <v>48</v>
      </c>
      <c r="O17" s="67" t="s">
        <v>839</v>
      </c>
      <c r="P17" s="67">
        <v>600</v>
      </c>
      <c r="Q17" s="67">
        <f t="shared" si="0"/>
        <v>192</v>
      </c>
      <c r="R17" s="109">
        <f t="shared" si="1"/>
        <v>0.32</v>
      </c>
      <c r="S17" s="69"/>
    </row>
    <row r="18" spans="1:19" ht="35.1" customHeight="1" x14ac:dyDescent="0.3">
      <c r="A18" s="79">
        <v>10</v>
      </c>
      <c r="B18" s="66">
        <v>506</v>
      </c>
      <c r="C18" s="66" t="s">
        <v>621</v>
      </c>
      <c r="D18" s="75" t="s">
        <v>258</v>
      </c>
      <c r="E18" s="75" t="s">
        <v>114</v>
      </c>
      <c r="F18" s="75" t="s">
        <v>23</v>
      </c>
      <c r="G18" s="73">
        <v>41891</v>
      </c>
      <c r="H18" s="76" t="s">
        <v>342</v>
      </c>
      <c r="I18" s="75">
        <v>35</v>
      </c>
      <c r="J18" s="67">
        <v>34</v>
      </c>
      <c r="K18" s="67">
        <v>18</v>
      </c>
      <c r="L18" s="67">
        <v>7</v>
      </c>
      <c r="M18" s="67">
        <v>3</v>
      </c>
      <c r="N18" s="67">
        <v>8</v>
      </c>
      <c r="O18" s="67" t="s">
        <v>845</v>
      </c>
      <c r="P18" s="67">
        <v>600</v>
      </c>
      <c r="Q18" s="67">
        <f t="shared" si="0"/>
        <v>105</v>
      </c>
      <c r="R18" s="109">
        <f t="shared" si="1"/>
        <v>0.17499999999999999</v>
      </c>
      <c r="S18" s="69"/>
    </row>
    <row r="19" spans="1:19" ht="35.1" customHeight="1" x14ac:dyDescent="0.3">
      <c r="A19" s="79">
        <v>11</v>
      </c>
      <c r="B19" s="66">
        <v>471</v>
      </c>
      <c r="C19" s="66" t="s">
        <v>621</v>
      </c>
      <c r="D19" s="75" t="s">
        <v>264</v>
      </c>
      <c r="E19" s="75" t="s">
        <v>265</v>
      </c>
      <c r="F19" s="75" t="s">
        <v>23</v>
      </c>
      <c r="G19" s="73">
        <v>41891</v>
      </c>
      <c r="H19" s="76">
        <v>43992</v>
      </c>
      <c r="I19" s="75">
        <v>40</v>
      </c>
      <c r="J19" s="67">
        <v>45</v>
      </c>
      <c r="K19" s="67">
        <v>66</v>
      </c>
      <c r="L19" s="67">
        <v>61</v>
      </c>
      <c r="M19" s="67">
        <v>26</v>
      </c>
      <c r="N19" s="67">
        <v>53</v>
      </c>
      <c r="O19" s="67" t="s">
        <v>839</v>
      </c>
      <c r="P19" s="67">
        <v>600</v>
      </c>
      <c r="Q19" s="67">
        <f t="shared" si="0"/>
        <v>291</v>
      </c>
      <c r="R19" s="109">
        <f t="shared" si="1"/>
        <v>0.48499999999999999</v>
      </c>
      <c r="S19" s="69"/>
    </row>
    <row r="20" spans="1:19" ht="35.1" customHeight="1" x14ac:dyDescent="0.3">
      <c r="A20" s="79">
        <v>12</v>
      </c>
      <c r="B20" s="66">
        <v>537</v>
      </c>
      <c r="C20" s="66" t="s">
        <v>621</v>
      </c>
      <c r="D20" s="75" t="s">
        <v>266</v>
      </c>
      <c r="E20" s="75" t="s">
        <v>215</v>
      </c>
      <c r="F20" s="75" t="s">
        <v>23</v>
      </c>
      <c r="G20" s="73" t="s">
        <v>236</v>
      </c>
      <c r="H20" s="76">
        <v>44295</v>
      </c>
      <c r="I20" s="75">
        <v>48</v>
      </c>
      <c r="J20" s="67">
        <v>44</v>
      </c>
      <c r="K20" s="67">
        <v>25</v>
      </c>
      <c r="L20" s="67">
        <v>71</v>
      </c>
      <c r="M20" s="67">
        <v>25</v>
      </c>
      <c r="N20" s="67">
        <v>49</v>
      </c>
      <c r="O20" s="67" t="s">
        <v>841</v>
      </c>
      <c r="P20" s="67">
        <v>600</v>
      </c>
      <c r="Q20" s="67">
        <f t="shared" si="0"/>
        <v>262</v>
      </c>
      <c r="R20" s="109">
        <f t="shared" si="1"/>
        <v>0.43666666666666665</v>
      </c>
      <c r="S20" s="69"/>
    </row>
    <row r="21" spans="1:19" ht="35.1" customHeight="1" x14ac:dyDescent="0.3">
      <c r="A21" s="79">
        <v>13</v>
      </c>
      <c r="B21" s="66">
        <v>698</v>
      </c>
      <c r="C21" s="66" t="s">
        <v>621</v>
      </c>
      <c r="D21" s="75" t="s">
        <v>531</v>
      </c>
      <c r="E21" s="75" t="s">
        <v>532</v>
      </c>
      <c r="F21" s="75" t="s">
        <v>23</v>
      </c>
      <c r="G21" s="73">
        <v>41701</v>
      </c>
      <c r="H21" s="76">
        <v>45238</v>
      </c>
      <c r="I21" s="75">
        <v>93</v>
      </c>
      <c r="J21" s="67">
        <v>83</v>
      </c>
      <c r="K21" s="67">
        <v>85</v>
      </c>
      <c r="L21" s="67">
        <v>94</v>
      </c>
      <c r="M21" s="67">
        <v>68</v>
      </c>
      <c r="N21" s="67">
        <v>83</v>
      </c>
      <c r="O21" s="67" t="s">
        <v>711</v>
      </c>
      <c r="P21" s="67">
        <v>600</v>
      </c>
      <c r="Q21" s="67">
        <f t="shared" si="0"/>
        <v>506</v>
      </c>
      <c r="R21" s="109">
        <f t="shared" si="1"/>
        <v>0.84333333333333338</v>
      </c>
      <c r="S21" s="69"/>
    </row>
    <row r="22" spans="1:19" ht="35.1" customHeight="1" x14ac:dyDescent="0.3">
      <c r="A22" s="79">
        <v>14</v>
      </c>
      <c r="B22" s="66">
        <v>524</v>
      </c>
      <c r="C22" s="66" t="s">
        <v>621</v>
      </c>
      <c r="D22" s="75" t="s">
        <v>268</v>
      </c>
      <c r="E22" s="75" t="s">
        <v>269</v>
      </c>
      <c r="F22" s="75" t="s">
        <v>23</v>
      </c>
      <c r="G22" s="73" t="s">
        <v>267</v>
      </c>
      <c r="H22" s="76">
        <v>44205</v>
      </c>
      <c r="I22" s="75">
        <v>49</v>
      </c>
      <c r="J22" s="67">
        <v>38</v>
      </c>
      <c r="K22" s="67">
        <v>23</v>
      </c>
      <c r="L22" s="67">
        <v>39</v>
      </c>
      <c r="M22" s="67">
        <v>25</v>
      </c>
      <c r="N22" s="67">
        <v>36</v>
      </c>
      <c r="O22" s="67" t="s">
        <v>839</v>
      </c>
      <c r="P22" s="67">
        <v>600</v>
      </c>
      <c r="Q22" s="67">
        <f t="shared" si="0"/>
        <v>210</v>
      </c>
      <c r="R22" s="109">
        <f t="shared" si="1"/>
        <v>0.35</v>
      </c>
      <c r="S22" s="69"/>
    </row>
    <row r="23" spans="1:19" ht="35.1" customHeight="1" x14ac:dyDescent="0.3">
      <c r="A23" s="79">
        <v>15</v>
      </c>
      <c r="B23" s="66">
        <v>438</v>
      </c>
      <c r="C23" s="66" t="s">
        <v>621</v>
      </c>
      <c r="D23" s="75" t="s">
        <v>270</v>
      </c>
      <c r="E23" s="75" t="s">
        <v>20</v>
      </c>
      <c r="F23" s="75" t="s">
        <v>23</v>
      </c>
      <c r="G23" s="73">
        <v>40826</v>
      </c>
      <c r="H23" s="76">
        <v>43807</v>
      </c>
      <c r="I23" s="75">
        <v>47</v>
      </c>
      <c r="J23" s="67">
        <v>60</v>
      </c>
      <c r="K23" s="67">
        <v>50</v>
      </c>
      <c r="L23" s="67">
        <v>63</v>
      </c>
      <c r="M23" s="67">
        <v>35</v>
      </c>
      <c r="N23" s="67">
        <v>41</v>
      </c>
      <c r="O23" s="67" t="s">
        <v>711</v>
      </c>
      <c r="P23" s="67">
        <v>600</v>
      </c>
      <c r="Q23" s="67">
        <f t="shared" si="0"/>
        <v>296</v>
      </c>
      <c r="R23" s="109">
        <f t="shared" si="1"/>
        <v>0.49333333333333335</v>
      </c>
      <c r="S23" s="69"/>
    </row>
    <row r="24" spans="1:19" ht="35.1" customHeight="1" x14ac:dyDescent="0.3">
      <c r="A24" s="79">
        <v>16</v>
      </c>
      <c r="B24" s="66">
        <v>445</v>
      </c>
      <c r="C24" s="66" t="s">
        <v>621</v>
      </c>
      <c r="D24" s="75" t="s">
        <v>196</v>
      </c>
      <c r="E24" s="75" t="s">
        <v>163</v>
      </c>
      <c r="F24" s="75" t="s">
        <v>23</v>
      </c>
      <c r="G24" s="73">
        <v>41642</v>
      </c>
      <c r="H24" s="76">
        <v>43807</v>
      </c>
      <c r="I24" s="75">
        <v>44</v>
      </c>
      <c r="J24" s="67">
        <v>39</v>
      </c>
      <c r="K24" s="67">
        <v>47</v>
      </c>
      <c r="L24" s="67">
        <v>48</v>
      </c>
      <c r="M24" s="67">
        <v>28</v>
      </c>
      <c r="N24" s="67">
        <v>37</v>
      </c>
      <c r="O24" s="67" t="s">
        <v>839</v>
      </c>
      <c r="P24" s="67">
        <v>600</v>
      </c>
      <c r="Q24" s="67">
        <f t="shared" si="0"/>
        <v>243</v>
      </c>
      <c r="R24" s="109">
        <f t="shared" si="1"/>
        <v>0.40500000000000003</v>
      </c>
      <c r="S24" s="69"/>
    </row>
    <row r="25" spans="1:19" ht="35.1" customHeight="1" x14ac:dyDescent="0.3">
      <c r="A25" s="79">
        <v>17</v>
      </c>
      <c r="B25" s="66">
        <v>532</v>
      </c>
      <c r="C25" s="66" t="s">
        <v>621</v>
      </c>
      <c r="D25" s="75" t="s">
        <v>271</v>
      </c>
      <c r="E25" s="75" t="s">
        <v>17</v>
      </c>
      <c r="F25" s="75" t="s">
        <v>23</v>
      </c>
      <c r="G25" s="73" t="s">
        <v>272</v>
      </c>
      <c r="H25" s="76">
        <v>44295</v>
      </c>
      <c r="I25" s="75">
        <v>94</v>
      </c>
      <c r="J25" s="67">
        <v>60</v>
      </c>
      <c r="K25" s="67">
        <v>47</v>
      </c>
      <c r="L25" s="67">
        <v>91</v>
      </c>
      <c r="M25" s="67">
        <v>29</v>
      </c>
      <c r="N25" s="67">
        <v>63</v>
      </c>
      <c r="O25" s="67" t="s">
        <v>711</v>
      </c>
      <c r="P25" s="67">
        <v>600</v>
      </c>
      <c r="Q25" s="67">
        <f t="shared" si="0"/>
        <v>384</v>
      </c>
      <c r="R25" s="109">
        <f t="shared" si="1"/>
        <v>0.64</v>
      </c>
      <c r="S25" s="69"/>
    </row>
    <row r="26" spans="1:19" ht="35.1" customHeight="1" x14ac:dyDescent="0.3">
      <c r="A26" s="79">
        <v>18</v>
      </c>
      <c r="B26" s="66">
        <v>643</v>
      </c>
      <c r="C26" s="66" t="s">
        <v>621</v>
      </c>
      <c r="D26" s="75" t="s">
        <v>84</v>
      </c>
      <c r="E26" s="75" t="s">
        <v>85</v>
      </c>
      <c r="F26" s="75" t="s">
        <v>23</v>
      </c>
      <c r="G26" s="73">
        <v>42682</v>
      </c>
      <c r="H26" s="76" t="s">
        <v>520</v>
      </c>
      <c r="I26" s="75">
        <v>98</v>
      </c>
      <c r="J26" s="67">
        <v>98</v>
      </c>
      <c r="K26" s="67">
        <v>99</v>
      </c>
      <c r="L26" s="67">
        <v>96</v>
      </c>
      <c r="M26" s="67">
        <v>97</v>
      </c>
      <c r="N26" s="67">
        <v>74</v>
      </c>
      <c r="O26" s="67" t="s">
        <v>841</v>
      </c>
      <c r="P26" s="67">
        <v>600</v>
      </c>
      <c r="Q26" s="67">
        <f t="shared" si="0"/>
        <v>562</v>
      </c>
      <c r="R26" s="109">
        <f t="shared" si="1"/>
        <v>0.93666666666666665</v>
      </c>
      <c r="S26" s="69"/>
    </row>
    <row r="27" spans="1:19" ht="46.5" customHeight="1" x14ac:dyDescent="0.3">
      <c r="A27" s="79">
        <v>19</v>
      </c>
      <c r="B27" s="66">
        <v>519</v>
      </c>
      <c r="C27" s="66" t="s">
        <v>621</v>
      </c>
      <c r="D27" s="75" t="s">
        <v>273</v>
      </c>
      <c r="E27" s="75" t="s">
        <v>174</v>
      </c>
      <c r="F27" s="75" t="s">
        <v>23</v>
      </c>
      <c r="G27" s="73">
        <v>41101</v>
      </c>
      <c r="H27" s="76">
        <v>44205</v>
      </c>
      <c r="I27" s="75">
        <v>84</v>
      </c>
      <c r="J27" s="67">
        <v>69</v>
      </c>
      <c r="K27" s="67">
        <v>78</v>
      </c>
      <c r="L27" s="67">
        <v>90</v>
      </c>
      <c r="M27" s="67">
        <v>49</v>
      </c>
      <c r="N27" s="67">
        <v>55</v>
      </c>
      <c r="O27" s="67" t="s">
        <v>711</v>
      </c>
      <c r="P27" s="67">
        <v>600</v>
      </c>
      <c r="Q27" s="67">
        <f t="shared" si="0"/>
        <v>425</v>
      </c>
      <c r="R27" s="109">
        <f t="shared" si="1"/>
        <v>0.70833333333333337</v>
      </c>
      <c r="S27" s="69"/>
    </row>
    <row r="28" spans="1:19" ht="35.1" customHeight="1" x14ac:dyDescent="0.3">
      <c r="A28" s="79">
        <v>20</v>
      </c>
      <c r="B28" s="66">
        <v>611</v>
      </c>
      <c r="C28" s="66" t="s">
        <v>621</v>
      </c>
      <c r="D28" s="75" t="s">
        <v>88</v>
      </c>
      <c r="E28" s="75" t="s">
        <v>89</v>
      </c>
      <c r="F28" s="75" t="s">
        <v>23</v>
      </c>
      <c r="G28" s="73">
        <v>42289</v>
      </c>
      <c r="H28" s="76" t="s">
        <v>354</v>
      </c>
      <c r="I28" s="75">
        <v>39</v>
      </c>
      <c r="J28" s="67">
        <v>54</v>
      </c>
      <c r="K28" s="67">
        <v>28</v>
      </c>
      <c r="L28" s="67">
        <v>71</v>
      </c>
      <c r="M28" s="67">
        <v>26</v>
      </c>
      <c r="N28" s="67">
        <v>43</v>
      </c>
      <c r="O28" s="67" t="s">
        <v>845</v>
      </c>
      <c r="P28" s="67">
        <v>600</v>
      </c>
      <c r="Q28" s="67">
        <f t="shared" si="0"/>
        <v>261</v>
      </c>
      <c r="R28" s="109">
        <f t="shared" si="1"/>
        <v>0.435</v>
      </c>
      <c r="S28" s="69"/>
    </row>
    <row r="29" spans="1:19" ht="35.1" customHeight="1" x14ac:dyDescent="0.3">
      <c r="A29" s="79">
        <v>21</v>
      </c>
      <c r="B29" s="66">
        <v>695</v>
      </c>
      <c r="C29" s="66" t="s">
        <v>621</v>
      </c>
      <c r="D29" s="75" t="s">
        <v>524</v>
      </c>
      <c r="E29" s="75" t="s">
        <v>835</v>
      </c>
      <c r="F29" s="75" t="s">
        <v>23</v>
      </c>
      <c r="G29" s="73" t="s">
        <v>525</v>
      </c>
      <c r="H29" s="76">
        <v>45207</v>
      </c>
      <c r="I29" s="75">
        <v>51</v>
      </c>
      <c r="J29" s="67">
        <v>53</v>
      </c>
      <c r="K29" s="67">
        <v>26</v>
      </c>
      <c r="L29" s="67">
        <v>77</v>
      </c>
      <c r="M29" s="67">
        <v>26</v>
      </c>
      <c r="N29" s="67">
        <v>53</v>
      </c>
      <c r="O29" s="67" t="s">
        <v>711</v>
      </c>
      <c r="P29" s="67">
        <v>600</v>
      </c>
      <c r="Q29" s="67">
        <f t="shared" si="0"/>
        <v>286</v>
      </c>
      <c r="R29" s="109">
        <f t="shared" si="1"/>
        <v>0.47666666666666668</v>
      </c>
      <c r="S29" s="69"/>
    </row>
    <row r="30" spans="1:19" ht="35.1" customHeight="1" x14ac:dyDescent="0.3">
      <c r="A30" s="79">
        <v>22</v>
      </c>
      <c r="B30" s="66">
        <v>598</v>
      </c>
      <c r="C30" s="66" t="s">
        <v>621</v>
      </c>
      <c r="D30" s="75" t="s">
        <v>277</v>
      </c>
      <c r="E30" s="75" t="s">
        <v>82</v>
      </c>
      <c r="F30" s="75" t="s">
        <v>23</v>
      </c>
      <c r="G30" s="73" t="s">
        <v>241</v>
      </c>
      <c r="H30" s="76">
        <v>44903</v>
      </c>
      <c r="I30" s="75">
        <v>45</v>
      </c>
      <c r="J30" s="67">
        <v>48</v>
      </c>
      <c r="K30" s="67">
        <v>48</v>
      </c>
      <c r="L30" s="67">
        <v>53</v>
      </c>
      <c r="M30" s="67">
        <v>29</v>
      </c>
      <c r="N30" s="67">
        <v>45</v>
      </c>
      <c r="O30" s="67" t="s">
        <v>839</v>
      </c>
      <c r="P30" s="67">
        <v>600</v>
      </c>
      <c r="Q30" s="67">
        <f t="shared" si="0"/>
        <v>268</v>
      </c>
      <c r="R30" s="109">
        <f t="shared" si="1"/>
        <v>0.44666666666666666</v>
      </c>
      <c r="S30" s="69"/>
    </row>
    <row r="31" spans="1:19" ht="35.1" customHeight="1" x14ac:dyDescent="0.3">
      <c r="A31" s="79">
        <v>23</v>
      </c>
      <c r="B31" s="66">
        <v>693</v>
      </c>
      <c r="C31" s="66" t="s">
        <v>621</v>
      </c>
      <c r="D31" s="75" t="s">
        <v>522</v>
      </c>
      <c r="E31" s="75" t="s">
        <v>34</v>
      </c>
      <c r="F31" s="75" t="s">
        <v>23</v>
      </c>
      <c r="G31" s="73">
        <v>41700</v>
      </c>
      <c r="H31" s="76">
        <v>45207</v>
      </c>
      <c r="I31" s="75">
        <v>89</v>
      </c>
      <c r="J31" s="67">
        <v>59</v>
      </c>
      <c r="K31" s="67">
        <v>62</v>
      </c>
      <c r="L31" s="67">
        <v>72</v>
      </c>
      <c r="M31" s="67">
        <v>70</v>
      </c>
      <c r="N31" s="67">
        <v>51</v>
      </c>
      <c r="O31" s="67" t="s">
        <v>711</v>
      </c>
      <c r="P31" s="67">
        <v>600</v>
      </c>
      <c r="Q31" s="67">
        <f t="shared" si="0"/>
        <v>403</v>
      </c>
      <c r="R31" s="109">
        <f t="shared" si="1"/>
        <v>0.67166666666666663</v>
      </c>
      <c r="S31" s="69"/>
    </row>
    <row r="32" spans="1:19" ht="35.1" customHeight="1" x14ac:dyDescent="0.3">
      <c r="A32" s="79">
        <v>24</v>
      </c>
      <c r="B32" s="66">
        <v>699</v>
      </c>
      <c r="C32" s="66" t="s">
        <v>621</v>
      </c>
      <c r="D32" s="75" t="s">
        <v>533</v>
      </c>
      <c r="E32" s="75" t="s">
        <v>445</v>
      </c>
      <c r="F32" s="75" t="s">
        <v>23</v>
      </c>
      <c r="G32" s="73" t="s">
        <v>534</v>
      </c>
      <c r="H32" s="76">
        <v>45238</v>
      </c>
      <c r="I32" s="75">
        <v>19</v>
      </c>
      <c r="J32" s="67">
        <v>89</v>
      </c>
      <c r="K32" s="67">
        <v>79</v>
      </c>
      <c r="L32" s="67">
        <v>97</v>
      </c>
      <c r="M32" s="67">
        <v>89</v>
      </c>
      <c r="N32" s="67">
        <v>82</v>
      </c>
      <c r="O32" s="67" t="s">
        <v>711</v>
      </c>
      <c r="P32" s="67">
        <v>600</v>
      </c>
      <c r="Q32" s="67">
        <f t="shared" si="0"/>
        <v>455</v>
      </c>
      <c r="R32" s="109">
        <f t="shared" si="1"/>
        <v>0.7583333333333333</v>
      </c>
      <c r="S32" s="69"/>
    </row>
    <row r="33" spans="1:19" ht="35.1" customHeight="1" x14ac:dyDescent="0.3">
      <c r="A33" s="79">
        <v>25</v>
      </c>
      <c r="B33" s="66">
        <v>638</v>
      </c>
      <c r="C33" s="66" t="s">
        <v>621</v>
      </c>
      <c r="D33" s="75" t="s">
        <v>86</v>
      </c>
      <c r="E33" s="75" t="s">
        <v>87</v>
      </c>
      <c r="F33" s="75" t="s">
        <v>23</v>
      </c>
      <c r="G33" s="73">
        <v>41365</v>
      </c>
      <c r="H33" s="76" t="s">
        <v>521</v>
      </c>
      <c r="I33" s="75">
        <v>54</v>
      </c>
      <c r="J33" s="67">
        <v>59</v>
      </c>
      <c r="K33" s="67">
        <v>31</v>
      </c>
      <c r="L33" s="67">
        <v>74</v>
      </c>
      <c r="M33" s="67">
        <v>55</v>
      </c>
      <c r="N33" s="67">
        <v>68</v>
      </c>
      <c r="O33" s="67" t="s">
        <v>839</v>
      </c>
      <c r="P33" s="67">
        <v>600</v>
      </c>
      <c r="Q33" s="67">
        <f t="shared" si="0"/>
        <v>341</v>
      </c>
      <c r="R33" s="109">
        <f t="shared" si="1"/>
        <v>0.56833333333333336</v>
      </c>
      <c r="S33" s="69"/>
    </row>
    <row r="34" spans="1:19" ht="35.1" customHeight="1" x14ac:dyDescent="0.3">
      <c r="A34" s="79">
        <v>26</v>
      </c>
      <c r="B34" s="66">
        <v>592</v>
      </c>
      <c r="C34" s="66" t="s">
        <v>621</v>
      </c>
      <c r="D34" s="75" t="s">
        <v>77</v>
      </c>
      <c r="E34" s="75" t="s">
        <v>78</v>
      </c>
      <c r="F34" s="75" t="s">
        <v>23</v>
      </c>
      <c r="G34" s="73">
        <v>42042</v>
      </c>
      <c r="H34" s="76">
        <v>44903</v>
      </c>
      <c r="I34" s="75">
        <v>97</v>
      </c>
      <c r="J34" s="67">
        <v>87</v>
      </c>
      <c r="K34" s="67">
        <v>82</v>
      </c>
      <c r="L34" s="67">
        <v>92</v>
      </c>
      <c r="M34" s="67">
        <v>85</v>
      </c>
      <c r="N34" s="67">
        <v>83</v>
      </c>
      <c r="O34" s="67" t="s">
        <v>839</v>
      </c>
      <c r="P34" s="67">
        <v>600</v>
      </c>
      <c r="Q34" s="67">
        <f t="shared" si="0"/>
        <v>526</v>
      </c>
      <c r="R34" s="109">
        <f t="shared" si="1"/>
        <v>0.87666666666666671</v>
      </c>
      <c r="S34" s="69"/>
    </row>
    <row r="35" spans="1:19" ht="35.1" customHeight="1" x14ac:dyDescent="0.3">
      <c r="A35" s="79">
        <v>27</v>
      </c>
      <c r="B35" s="66">
        <v>696</v>
      </c>
      <c r="C35" s="66" t="s">
        <v>621</v>
      </c>
      <c r="D35" s="75" t="s">
        <v>526</v>
      </c>
      <c r="E35" s="75" t="s">
        <v>527</v>
      </c>
      <c r="F35" s="75" t="s">
        <v>23</v>
      </c>
      <c r="G35" s="73" t="s">
        <v>528</v>
      </c>
      <c r="H35" s="76">
        <v>45238</v>
      </c>
      <c r="I35" s="75">
        <v>65</v>
      </c>
      <c r="J35" s="67">
        <v>60</v>
      </c>
      <c r="K35" s="67">
        <v>89</v>
      </c>
      <c r="L35" s="67">
        <v>52</v>
      </c>
      <c r="M35" s="67">
        <v>37</v>
      </c>
      <c r="N35" s="67">
        <v>44</v>
      </c>
      <c r="O35" s="67" t="s">
        <v>839</v>
      </c>
      <c r="P35" s="67">
        <v>600</v>
      </c>
      <c r="Q35" s="67">
        <f t="shared" si="0"/>
        <v>347</v>
      </c>
      <c r="R35" s="109">
        <f t="shared" si="1"/>
        <v>0.57833333333333337</v>
      </c>
      <c r="S35" s="69"/>
    </row>
    <row r="36" spans="1:19" ht="41.25" customHeight="1" x14ac:dyDescent="0.3">
      <c r="A36" s="79">
        <v>28</v>
      </c>
      <c r="B36" s="66">
        <v>697</v>
      </c>
      <c r="C36" s="66" t="s">
        <v>621</v>
      </c>
      <c r="D36" s="75" t="s">
        <v>529</v>
      </c>
      <c r="E36" s="75" t="s">
        <v>530</v>
      </c>
      <c r="F36" s="75" t="s">
        <v>23</v>
      </c>
      <c r="G36" s="73">
        <v>41589</v>
      </c>
      <c r="H36" s="76">
        <v>45238</v>
      </c>
      <c r="I36" s="75">
        <v>80</v>
      </c>
      <c r="J36" s="67">
        <v>54</v>
      </c>
      <c r="K36" s="67">
        <v>63</v>
      </c>
      <c r="L36" s="67">
        <v>75</v>
      </c>
      <c r="M36" s="67">
        <v>34</v>
      </c>
      <c r="N36" s="67">
        <v>54</v>
      </c>
      <c r="O36" s="67" t="s">
        <v>711</v>
      </c>
      <c r="P36" s="67">
        <v>600</v>
      </c>
      <c r="Q36" s="67">
        <f t="shared" si="0"/>
        <v>360</v>
      </c>
      <c r="R36" s="109">
        <f t="shared" si="1"/>
        <v>0.6</v>
      </c>
      <c r="S36" s="69"/>
    </row>
    <row r="37" spans="1:19" ht="35.1" customHeight="1" x14ac:dyDescent="0.3">
      <c r="A37" s="79">
        <v>29</v>
      </c>
      <c r="B37" s="66">
        <v>558</v>
      </c>
      <c r="C37" s="66" t="s">
        <v>621</v>
      </c>
      <c r="D37" s="75" t="s">
        <v>274</v>
      </c>
      <c r="E37" s="75" t="s">
        <v>180</v>
      </c>
      <c r="F37" s="75" t="s">
        <v>23</v>
      </c>
      <c r="G37" s="73" t="s">
        <v>275</v>
      </c>
      <c r="H37" s="76">
        <v>44356</v>
      </c>
      <c r="I37" s="75">
        <v>46</v>
      </c>
      <c r="J37" s="67">
        <v>35</v>
      </c>
      <c r="K37" s="67">
        <v>26</v>
      </c>
      <c r="L37" s="67">
        <v>44</v>
      </c>
      <c r="M37" s="67">
        <v>26</v>
      </c>
      <c r="N37" s="67">
        <v>38</v>
      </c>
      <c r="O37" s="67" t="s">
        <v>839</v>
      </c>
      <c r="P37" s="67">
        <v>600</v>
      </c>
      <c r="Q37" s="67">
        <f t="shared" si="0"/>
        <v>215</v>
      </c>
      <c r="R37" s="109">
        <f t="shared" si="1"/>
        <v>0.35833333333333334</v>
      </c>
      <c r="S37" s="69"/>
    </row>
    <row r="38" spans="1:19" ht="44.25" customHeight="1" x14ac:dyDescent="0.3">
      <c r="A38" s="79">
        <v>30</v>
      </c>
      <c r="B38" s="66">
        <v>612</v>
      </c>
      <c r="C38" s="66" t="s">
        <v>621</v>
      </c>
      <c r="D38" s="75" t="s">
        <v>90</v>
      </c>
      <c r="E38" s="75" t="s">
        <v>91</v>
      </c>
      <c r="F38" s="75" t="s">
        <v>23</v>
      </c>
      <c r="G38" s="73">
        <v>42097</v>
      </c>
      <c r="H38" s="76" t="s">
        <v>354</v>
      </c>
      <c r="I38" s="75">
        <v>43</v>
      </c>
      <c r="J38" s="67">
        <v>37</v>
      </c>
      <c r="K38" s="67">
        <v>6</v>
      </c>
      <c r="L38" s="67">
        <v>35</v>
      </c>
      <c r="M38" s="67">
        <v>35</v>
      </c>
      <c r="N38" s="67">
        <v>5</v>
      </c>
      <c r="O38" s="67" t="s">
        <v>845</v>
      </c>
      <c r="P38" s="67">
        <v>600</v>
      </c>
      <c r="Q38" s="67">
        <f t="shared" si="0"/>
        <v>161</v>
      </c>
      <c r="R38" s="109">
        <f t="shared" si="1"/>
        <v>0.26833333333333331</v>
      </c>
      <c r="S38" s="69"/>
    </row>
    <row r="39" spans="1:19" ht="45" customHeight="1" x14ac:dyDescent="0.25">
      <c r="A39" s="169" t="s">
        <v>683</v>
      </c>
      <c r="B39" s="170"/>
      <c r="C39" s="170"/>
      <c r="D39" s="170"/>
      <c r="E39" s="170"/>
      <c r="F39" s="170"/>
      <c r="G39" s="170"/>
      <c r="H39" s="170"/>
      <c r="I39" s="170"/>
      <c r="J39" s="170"/>
      <c r="K39" s="170"/>
      <c r="L39" s="170"/>
      <c r="M39" s="170"/>
      <c r="N39" s="170"/>
      <c r="O39" s="170"/>
      <c r="P39" s="170"/>
      <c r="Q39" s="170"/>
      <c r="R39" s="170"/>
      <c r="S39" s="171"/>
    </row>
    <row r="40" spans="1:19" ht="35.1" customHeight="1" x14ac:dyDescent="0.3">
      <c r="A40" s="79">
        <v>31</v>
      </c>
      <c r="B40" s="66">
        <v>472</v>
      </c>
      <c r="C40" s="66" t="s">
        <v>621</v>
      </c>
      <c r="D40" s="75" t="s">
        <v>242</v>
      </c>
      <c r="E40" s="75" t="s">
        <v>831</v>
      </c>
      <c r="F40" s="75" t="s">
        <v>24</v>
      </c>
      <c r="G40" s="73">
        <v>41647</v>
      </c>
      <c r="H40" s="76">
        <v>44814</v>
      </c>
      <c r="I40" s="75">
        <v>46</v>
      </c>
      <c r="J40" s="67">
        <v>46</v>
      </c>
      <c r="K40" s="67">
        <v>37</v>
      </c>
      <c r="L40" s="67">
        <v>42</v>
      </c>
      <c r="M40" s="67">
        <v>30</v>
      </c>
      <c r="N40" s="67">
        <v>46</v>
      </c>
      <c r="O40" s="67" t="s">
        <v>711</v>
      </c>
      <c r="P40" s="67">
        <v>600</v>
      </c>
      <c r="Q40" s="67">
        <f t="shared" ref="Q40:Q52" si="2">I40+J40+K40+L40+M40+N40</f>
        <v>247</v>
      </c>
      <c r="R40" s="109">
        <f t="shared" ref="R40:R52" si="3">Q40/P40</f>
        <v>0.41166666666666668</v>
      </c>
      <c r="S40" s="69"/>
    </row>
    <row r="41" spans="1:19" ht="35.1" customHeight="1" x14ac:dyDescent="0.3">
      <c r="A41" s="79">
        <v>32</v>
      </c>
      <c r="B41" s="66">
        <v>527</v>
      </c>
      <c r="C41" s="66" t="s">
        <v>621</v>
      </c>
      <c r="D41" s="75" t="s">
        <v>248</v>
      </c>
      <c r="E41" s="75" t="s">
        <v>249</v>
      </c>
      <c r="F41" s="75" t="s">
        <v>24</v>
      </c>
      <c r="G41" s="73" t="s">
        <v>250</v>
      </c>
      <c r="H41" s="76">
        <v>44236</v>
      </c>
      <c r="I41" s="75">
        <v>49</v>
      </c>
      <c r="J41" s="67">
        <v>43</v>
      </c>
      <c r="K41" s="67">
        <v>37</v>
      </c>
      <c r="L41" s="67">
        <v>43</v>
      </c>
      <c r="M41" s="67">
        <v>29</v>
      </c>
      <c r="N41" s="67">
        <v>42</v>
      </c>
      <c r="O41" s="67" t="s">
        <v>711</v>
      </c>
      <c r="P41" s="67">
        <v>600</v>
      </c>
      <c r="Q41" s="67">
        <f t="shared" si="2"/>
        <v>243</v>
      </c>
      <c r="R41" s="109">
        <f t="shared" si="3"/>
        <v>0.40500000000000003</v>
      </c>
      <c r="S41" s="69"/>
    </row>
    <row r="42" spans="1:19" ht="39.75" customHeight="1" x14ac:dyDescent="0.3">
      <c r="A42" s="79">
        <v>33</v>
      </c>
      <c r="B42" s="66">
        <v>549</v>
      </c>
      <c r="C42" s="66" t="s">
        <v>621</v>
      </c>
      <c r="D42" s="75" t="s">
        <v>278</v>
      </c>
      <c r="E42" s="75" t="s">
        <v>243</v>
      </c>
      <c r="F42" s="75" t="s">
        <v>24</v>
      </c>
      <c r="G42" s="73">
        <v>42005</v>
      </c>
      <c r="H42" s="76">
        <v>44356</v>
      </c>
      <c r="I42" s="75">
        <v>53</v>
      </c>
      <c r="J42" s="67">
        <v>77</v>
      </c>
      <c r="K42" s="67">
        <v>82</v>
      </c>
      <c r="L42" s="67">
        <v>68</v>
      </c>
      <c r="M42" s="67">
        <v>55</v>
      </c>
      <c r="N42" s="67">
        <v>64</v>
      </c>
      <c r="O42" s="67" t="s">
        <v>841</v>
      </c>
      <c r="P42" s="67">
        <v>600</v>
      </c>
      <c r="Q42" s="67">
        <f t="shared" si="2"/>
        <v>399</v>
      </c>
      <c r="R42" s="109">
        <f t="shared" si="3"/>
        <v>0.66500000000000004</v>
      </c>
      <c r="S42" s="69"/>
    </row>
    <row r="43" spans="1:19" ht="35.1" customHeight="1" x14ac:dyDescent="0.3">
      <c r="A43" s="79">
        <v>34</v>
      </c>
      <c r="B43" s="66">
        <v>405</v>
      </c>
      <c r="C43" s="66" t="s">
        <v>621</v>
      </c>
      <c r="D43" s="75" t="s">
        <v>255</v>
      </c>
      <c r="E43" s="75" t="s">
        <v>333</v>
      </c>
      <c r="F43" s="75" t="s">
        <v>24</v>
      </c>
      <c r="G43" s="73">
        <v>41558</v>
      </c>
      <c r="H43" s="76">
        <v>43381</v>
      </c>
      <c r="I43" s="75">
        <v>43</v>
      </c>
      <c r="J43" s="67">
        <v>36</v>
      </c>
      <c r="K43" s="67">
        <v>18</v>
      </c>
      <c r="L43" s="67">
        <v>39</v>
      </c>
      <c r="M43" s="67">
        <v>26</v>
      </c>
      <c r="N43" s="67">
        <v>38</v>
      </c>
      <c r="O43" s="67" t="s">
        <v>845</v>
      </c>
      <c r="P43" s="67">
        <v>600</v>
      </c>
      <c r="Q43" s="67">
        <f t="shared" si="2"/>
        <v>200</v>
      </c>
      <c r="R43" s="109">
        <f t="shared" si="3"/>
        <v>0.33333333333333331</v>
      </c>
      <c r="S43" s="69"/>
    </row>
    <row r="44" spans="1:19" ht="35.1" customHeight="1" x14ac:dyDescent="0.3">
      <c r="A44" s="79">
        <v>35</v>
      </c>
      <c r="B44" s="66">
        <v>593</v>
      </c>
      <c r="C44" s="66" t="s">
        <v>621</v>
      </c>
      <c r="D44" s="75" t="s">
        <v>79</v>
      </c>
      <c r="E44" s="75" t="s">
        <v>64</v>
      </c>
      <c r="F44" s="75" t="s">
        <v>24</v>
      </c>
      <c r="G44" s="73" t="s">
        <v>239</v>
      </c>
      <c r="H44" s="76">
        <v>44903</v>
      </c>
      <c r="I44" s="75">
        <v>59</v>
      </c>
      <c r="J44" s="67">
        <v>78</v>
      </c>
      <c r="K44" s="67">
        <v>59</v>
      </c>
      <c r="L44" s="67">
        <v>81</v>
      </c>
      <c r="M44" s="67">
        <v>58</v>
      </c>
      <c r="N44" s="67">
        <v>74</v>
      </c>
      <c r="O44" s="67" t="s">
        <v>839</v>
      </c>
      <c r="P44" s="67">
        <v>600</v>
      </c>
      <c r="Q44" s="67">
        <f t="shared" si="2"/>
        <v>409</v>
      </c>
      <c r="R44" s="109">
        <f t="shared" si="3"/>
        <v>0.68166666666666664</v>
      </c>
      <c r="S44" s="69"/>
    </row>
    <row r="45" spans="1:19" ht="35.1" customHeight="1" x14ac:dyDescent="0.3">
      <c r="A45" s="79">
        <v>36</v>
      </c>
      <c r="B45" s="66">
        <v>548</v>
      </c>
      <c r="C45" s="66" t="s">
        <v>621</v>
      </c>
      <c r="D45" s="75" t="s">
        <v>192</v>
      </c>
      <c r="E45" s="75" t="s">
        <v>243</v>
      </c>
      <c r="F45" s="75" t="s">
        <v>24</v>
      </c>
      <c r="G45" s="73">
        <v>41642</v>
      </c>
      <c r="H45" s="76">
        <v>44356</v>
      </c>
      <c r="I45" s="75">
        <v>57</v>
      </c>
      <c r="J45" s="67">
        <v>60</v>
      </c>
      <c r="K45" s="67">
        <v>49</v>
      </c>
      <c r="L45" s="67">
        <v>57</v>
      </c>
      <c r="M45" s="67">
        <v>43</v>
      </c>
      <c r="N45" s="67">
        <v>48</v>
      </c>
      <c r="O45" s="67" t="s">
        <v>839</v>
      </c>
      <c r="P45" s="67">
        <v>600</v>
      </c>
      <c r="Q45" s="67">
        <f t="shared" si="2"/>
        <v>314</v>
      </c>
      <c r="R45" s="109">
        <f t="shared" si="3"/>
        <v>0.52333333333333332</v>
      </c>
      <c r="S45" s="69"/>
    </row>
    <row r="46" spans="1:19" ht="35.1" customHeight="1" x14ac:dyDescent="0.3">
      <c r="A46" s="79">
        <v>37</v>
      </c>
      <c r="B46" s="66">
        <v>447</v>
      </c>
      <c r="C46" s="66" t="s">
        <v>621</v>
      </c>
      <c r="D46" s="75" t="s">
        <v>244</v>
      </c>
      <c r="E46" s="75" t="s">
        <v>245</v>
      </c>
      <c r="F46" s="75" t="s">
        <v>24</v>
      </c>
      <c r="G46" s="73">
        <v>41855</v>
      </c>
      <c r="H46" s="76">
        <v>43807</v>
      </c>
      <c r="I46" s="75">
        <v>51</v>
      </c>
      <c r="J46" s="67">
        <v>62</v>
      </c>
      <c r="K46" s="67">
        <v>37</v>
      </c>
      <c r="L46" s="67">
        <v>56</v>
      </c>
      <c r="M46" s="67">
        <v>69</v>
      </c>
      <c r="N46" s="67">
        <v>44</v>
      </c>
      <c r="O46" s="67" t="s">
        <v>845</v>
      </c>
      <c r="P46" s="67">
        <v>600</v>
      </c>
      <c r="Q46" s="67">
        <f t="shared" si="2"/>
        <v>319</v>
      </c>
      <c r="R46" s="109">
        <f t="shared" si="3"/>
        <v>0.53166666666666662</v>
      </c>
      <c r="S46" s="69"/>
    </row>
    <row r="47" spans="1:19" ht="35.1" customHeight="1" x14ac:dyDescent="0.3">
      <c r="A47" s="79">
        <v>38</v>
      </c>
      <c r="B47" s="66">
        <v>501</v>
      </c>
      <c r="C47" s="66" t="s">
        <v>621</v>
      </c>
      <c r="D47" s="75" t="s">
        <v>246</v>
      </c>
      <c r="E47" s="75" t="s">
        <v>33</v>
      </c>
      <c r="F47" s="75" t="s">
        <v>24</v>
      </c>
      <c r="G47" s="73" t="s">
        <v>247</v>
      </c>
      <c r="H47" s="76" t="s">
        <v>341</v>
      </c>
      <c r="I47" s="75">
        <v>78</v>
      </c>
      <c r="J47" s="67">
        <v>74</v>
      </c>
      <c r="K47" s="67">
        <v>84</v>
      </c>
      <c r="L47" s="67">
        <v>79</v>
      </c>
      <c r="M47" s="67">
        <v>48</v>
      </c>
      <c r="N47" s="67">
        <v>67</v>
      </c>
      <c r="O47" s="67" t="s">
        <v>841</v>
      </c>
      <c r="P47" s="67">
        <v>600</v>
      </c>
      <c r="Q47" s="67">
        <f t="shared" si="2"/>
        <v>430</v>
      </c>
      <c r="R47" s="109">
        <f t="shared" si="3"/>
        <v>0.71666666666666667</v>
      </c>
      <c r="S47" s="69"/>
    </row>
    <row r="48" spans="1:19" ht="35.1" customHeight="1" x14ac:dyDescent="0.3">
      <c r="A48" s="79">
        <v>39</v>
      </c>
      <c r="B48" s="66">
        <v>497</v>
      </c>
      <c r="C48" s="66" t="s">
        <v>621</v>
      </c>
      <c r="D48" s="75" t="s">
        <v>666</v>
      </c>
      <c r="E48" s="75" t="s">
        <v>251</v>
      </c>
      <c r="F48" s="75" t="s">
        <v>24</v>
      </c>
      <c r="G48" s="73">
        <v>40979</v>
      </c>
      <c r="H48" s="76" t="s">
        <v>341</v>
      </c>
      <c r="I48" s="75">
        <v>57</v>
      </c>
      <c r="J48" s="67">
        <v>55</v>
      </c>
      <c r="K48" s="67">
        <v>58</v>
      </c>
      <c r="L48" s="67">
        <v>76</v>
      </c>
      <c r="M48" s="67">
        <v>39</v>
      </c>
      <c r="N48" s="67">
        <v>54</v>
      </c>
      <c r="O48" s="67" t="s">
        <v>711</v>
      </c>
      <c r="P48" s="67">
        <v>600</v>
      </c>
      <c r="Q48" s="67">
        <f t="shared" si="2"/>
        <v>339</v>
      </c>
      <c r="R48" s="109">
        <f t="shared" si="3"/>
        <v>0.56499999999999995</v>
      </c>
      <c r="S48" s="69"/>
    </row>
    <row r="49" spans="1:19" ht="35.1" customHeight="1" x14ac:dyDescent="0.3">
      <c r="A49" s="79">
        <v>40</v>
      </c>
      <c r="B49" s="66">
        <v>495</v>
      </c>
      <c r="C49" s="66" t="s">
        <v>621</v>
      </c>
      <c r="D49" s="75" t="s">
        <v>252</v>
      </c>
      <c r="E49" s="75" t="s">
        <v>91</v>
      </c>
      <c r="F49" s="75" t="s">
        <v>24</v>
      </c>
      <c r="G49" s="73" t="s">
        <v>237</v>
      </c>
      <c r="H49" s="76" t="s">
        <v>341</v>
      </c>
      <c r="I49" s="75">
        <v>48</v>
      </c>
      <c r="J49" s="67">
        <v>45</v>
      </c>
      <c r="K49" s="67">
        <v>21</v>
      </c>
      <c r="L49" s="67">
        <v>43</v>
      </c>
      <c r="M49" s="67">
        <v>33</v>
      </c>
      <c r="N49" s="67">
        <v>39</v>
      </c>
      <c r="O49" s="67" t="s">
        <v>839</v>
      </c>
      <c r="P49" s="67">
        <v>600</v>
      </c>
      <c r="Q49" s="67">
        <f t="shared" si="2"/>
        <v>229</v>
      </c>
      <c r="R49" s="109">
        <f t="shared" si="3"/>
        <v>0.38166666666666665</v>
      </c>
      <c r="S49" s="69"/>
    </row>
    <row r="50" spans="1:19" ht="35.1" customHeight="1" x14ac:dyDescent="0.3">
      <c r="A50" s="79">
        <v>41</v>
      </c>
      <c r="B50" s="66">
        <v>550</v>
      </c>
      <c r="C50" s="66" t="s">
        <v>621</v>
      </c>
      <c r="D50" s="75" t="s">
        <v>27</v>
      </c>
      <c r="E50" s="75" t="s">
        <v>158</v>
      </c>
      <c r="F50" s="75" t="s">
        <v>24</v>
      </c>
      <c r="G50" s="73">
        <v>42222</v>
      </c>
      <c r="H50" s="76">
        <v>44356</v>
      </c>
      <c r="I50" s="75">
        <v>53</v>
      </c>
      <c r="J50" s="67">
        <v>69</v>
      </c>
      <c r="K50" s="67">
        <v>25</v>
      </c>
      <c r="L50" s="67">
        <v>64</v>
      </c>
      <c r="M50" s="67">
        <v>30</v>
      </c>
      <c r="N50" s="67">
        <v>51</v>
      </c>
      <c r="O50" s="67" t="s">
        <v>711</v>
      </c>
      <c r="P50" s="67">
        <v>600</v>
      </c>
      <c r="Q50" s="67">
        <f t="shared" si="2"/>
        <v>292</v>
      </c>
      <c r="R50" s="109">
        <f t="shared" si="3"/>
        <v>0.48666666666666669</v>
      </c>
      <c r="S50" s="69"/>
    </row>
    <row r="51" spans="1:19" ht="35.1" customHeight="1" x14ac:dyDescent="0.3">
      <c r="A51" s="79">
        <v>42</v>
      </c>
      <c r="B51" s="66">
        <v>595</v>
      </c>
      <c r="C51" s="66" t="s">
        <v>621</v>
      </c>
      <c r="D51" s="75" t="s">
        <v>832</v>
      </c>
      <c r="E51" s="75" t="s">
        <v>81</v>
      </c>
      <c r="F51" s="75" t="s">
        <v>24</v>
      </c>
      <c r="G51" s="73">
        <v>42709</v>
      </c>
      <c r="H51" s="76">
        <v>44903</v>
      </c>
      <c r="I51" s="75">
        <v>52</v>
      </c>
      <c r="J51" s="67">
        <v>64</v>
      </c>
      <c r="K51" s="67">
        <v>45</v>
      </c>
      <c r="L51" s="67">
        <v>46</v>
      </c>
      <c r="M51" s="67">
        <v>26</v>
      </c>
      <c r="N51" s="67">
        <v>40</v>
      </c>
      <c r="O51" s="67" t="s">
        <v>839</v>
      </c>
      <c r="P51" s="67">
        <v>600</v>
      </c>
      <c r="Q51" s="67">
        <f t="shared" si="2"/>
        <v>273</v>
      </c>
      <c r="R51" s="109">
        <f t="shared" si="3"/>
        <v>0.45500000000000002</v>
      </c>
      <c r="S51" s="69"/>
    </row>
    <row r="52" spans="1:19" ht="35.1" customHeight="1" x14ac:dyDescent="0.3">
      <c r="A52" s="79">
        <v>43</v>
      </c>
      <c r="B52" s="66">
        <v>433</v>
      </c>
      <c r="C52" s="66" t="s">
        <v>621</v>
      </c>
      <c r="D52" s="75" t="s">
        <v>20</v>
      </c>
      <c r="E52" s="75" t="s">
        <v>253</v>
      </c>
      <c r="F52" s="75" t="s">
        <v>24</v>
      </c>
      <c r="G52" s="73" t="s">
        <v>254</v>
      </c>
      <c r="H52" s="76">
        <v>43532</v>
      </c>
      <c r="I52" s="75">
        <v>38</v>
      </c>
      <c r="J52" s="67">
        <v>42</v>
      </c>
      <c r="K52" s="67">
        <v>14</v>
      </c>
      <c r="L52" s="67">
        <v>33</v>
      </c>
      <c r="M52" s="67">
        <v>33</v>
      </c>
      <c r="N52" s="67">
        <v>7</v>
      </c>
      <c r="O52" s="67" t="s">
        <v>839</v>
      </c>
      <c r="P52" s="67">
        <v>600</v>
      </c>
      <c r="Q52" s="67">
        <f t="shared" si="2"/>
        <v>167</v>
      </c>
      <c r="R52" s="109">
        <f t="shared" si="3"/>
        <v>0.27833333333333332</v>
      </c>
      <c r="S52" s="69"/>
    </row>
    <row r="53" spans="1:19" ht="35.1" customHeight="1" x14ac:dyDescent="0.25"/>
    <row r="56" spans="1:19" x14ac:dyDescent="0.25">
      <c r="A56" s="1"/>
      <c r="B56" s="1"/>
      <c r="C56" s="1"/>
    </row>
    <row r="57" spans="1:19" x14ac:dyDescent="0.25">
      <c r="A57" s="1"/>
      <c r="B57" s="1"/>
      <c r="C57" s="1"/>
    </row>
    <row r="58" spans="1:19" x14ac:dyDescent="0.25">
      <c r="A58" s="1"/>
      <c r="B58" s="1"/>
      <c r="C58" s="1"/>
    </row>
    <row r="59" spans="1:19" x14ac:dyDescent="0.25">
      <c r="A59" s="1"/>
      <c r="B59" s="1"/>
      <c r="C59" s="1"/>
    </row>
    <row r="60" spans="1:19" ht="23.25" x14ac:dyDescent="0.35">
      <c r="A60" s="1"/>
      <c r="B60" s="1"/>
      <c r="C60" s="1"/>
      <c r="D60" s="18" t="s">
        <v>713</v>
      </c>
      <c r="E60" s="15"/>
      <c r="F60" s="15"/>
      <c r="G60" s="16"/>
      <c r="H60" s="17"/>
      <c r="I60" s="15"/>
      <c r="J60" s="15"/>
      <c r="K60" s="15"/>
      <c r="L60" s="15"/>
      <c r="M60" s="15"/>
      <c r="N60" s="15"/>
      <c r="O60" s="153" t="s">
        <v>714</v>
      </c>
      <c r="P60" s="153"/>
    </row>
    <row r="61" spans="1:19" x14ac:dyDescent="0.25">
      <c r="A61" s="1"/>
      <c r="B61" s="1"/>
      <c r="C61" s="1"/>
    </row>
    <row r="62" spans="1:19" x14ac:dyDescent="0.25">
      <c r="A62" s="1"/>
      <c r="B62" s="1"/>
      <c r="C62" s="1"/>
    </row>
    <row r="63" spans="1:19" x14ac:dyDescent="0.25">
      <c r="A63" s="1"/>
      <c r="B63" s="1"/>
      <c r="C63" s="1"/>
    </row>
  </sheetData>
  <sortState ref="A7:S50">
    <sortCondition ref="F7:F50"/>
    <sortCondition ref="D7:D50"/>
  </sortState>
  <mergeCells count="18">
    <mergeCell ref="A2:S2"/>
    <mergeCell ref="A3:S3"/>
    <mergeCell ref="A4:S4"/>
    <mergeCell ref="A5:A7"/>
    <mergeCell ref="B5:B7"/>
    <mergeCell ref="C5:C7"/>
    <mergeCell ref="D5:D7"/>
    <mergeCell ref="E5:E7"/>
    <mergeCell ref="P5:P6"/>
    <mergeCell ref="Q5:Q7"/>
    <mergeCell ref="S5:S7"/>
    <mergeCell ref="R5:R7"/>
    <mergeCell ref="F5:F7"/>
    <mergeCell ref="A39:S39"/>
    <mergeCell ref="G5:G7"/>
    <mergeCell ref="A8:S8"/>
    <mergeCell ref="H5:H7"/>
    <mergeCell ref="O60:P60"/>
  </mergeCells>
  <pageMargins left="0.2" right="0.2" top="0.25" bottom="0.25" header="0.3" footer="0.3"/>
  <pageSetup paperSize="9" scale="46" fitToHeight="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58"/>
  <sheetViews>
    <sheetView view="pageBreakPreview" zoomScale="60" zoomScaleNormal="70" workbookViewId="0">
      <pane ySplit="7" topLeftCell="A8" activePane="bottomLeft" state="frozen"/>
      <selection pane="bottomLeft" activeCell="J18" sqref="J18"/>
    </sheetView>
  </sheetViews>
  <sheetFormatPr defaultColWidth="10" defaultRowHeight="15" x14ac:dyDescent="0.25"/>
  <cols>
    <col min="2" max="3" width="6.140625" customWidth="1"/>
    <col min="4" max="4" width="8.7109375" bestFit="1" customWidth="1"/>
    <col min="5" max="5" width="10.85546875" bestFit="1" customWidth="1"/>
    <col min="6" max="7" width="27.7109375" customWidth="1"/>
    <col min="8" max="8" width="13.28515625" customWidth="1"/>
    <col min="9" max="9" width="18.42578125" style="1" bestFit="1" customWidth="1"/>
    <col min="10" max="10" width="18.5703125" style="2" bestFit="1" customWidth="1"/>
    <col min="11" max="18" width="12.7109375" customWidth="1"/>
    <col min="20" max="21" width="12.140625" customWidth="1"/>
    <col min="22" max="22" width="25.7109375" customWidth="1"/>
  </cols>
  <sheetData>
    <row r="2" spans="2:22" ht="27.75" x14ac:dyDescent="0.25">
      <c r="B2" s="143" t="s">
        <v>699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</row>
    <row r="3" spans="2:22" ht="27.75" x14ac:dyDescent="0.25">
      <c r="B3" s="143" t="s">
        <v>696</v>
      </c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</row>
    <row r="4" spans="2:22" ht="28.5" thickBot="1" x14ac:dyDescent="0.3">
      <c r="B4" s="143" t="s">
        <v>697</v>
      </c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</row>
    <row r="5" spans="2:22" ht="48" customHeight="1" x14ac:dyDescent="0.25">
      <c r="B5" s="184" t="s">
        <v>698</v>
      </c>
      <c r="C5" s="180" t="s">
        <v>334</v>
      </c>
      <c r="D5" s="180" t="s">
        <v>335</v>
      </c>
      <c r="E5" s="180" t="s">
        <v>681</v>
      </c>
      <c r="F5" s="180" t="s">
        <v>0</v>
      </c>
      <c r="G5" s="180" t="s">
        <v>1</v>
      </c>
      <c r="H5" s="180" t="s">
        <v>2</v>
      </c>
      <c r="I5" s="189" t="s">
        <v>337</v>
      </c>
      <c r="J5" s="180" t="s">
        <v>618</v>
      </c>
      <c r="K5" s="179" t="s">
        <v>685</v>
      </c>
      <c r="L5" s="179"/>
      <c r="M5" s="179"/>
      <c r="N5" s="179"/>
      <c r="O5" s="179"/>
      <c r="P5" s="179"/>
      <c r="Q5" s="179"/>
      <c r="R5" s="179"/>
      <c r="S5" s="180" t="s">
        <v>694</v>
      </c>
      <c r="T5" s="180" t="s">
        <v>695</v>
      </c>
      <c r="U5" s="180" t="s">
        <v>700</v>
      </c>
      <c r="V5" s="182" t="s">
        <v>617</v>
      </c>
    </row>
    <row r="6" spans="2:22" ht="96" customHeight="1" x14ac:dyDescent="0.25">
      <c r="B6" s="185"/>
      <c r="C6" s="181"/>
      <c r="D6" s="181"/>
      <c r="E6" s="181"/>
      <c r="F6" s="181"/>
      <c r="G6" s="181"/>
      <c r="H6" s="181"/>
      <c r="I6" s="190"/>
      <c r="J6" s="181"/>
      <c r="K6" s="4" t="s">
        <v>686</v>
      </c>
      <c r="L6" s="4" t="s">
        <v>687</v>
      </c>
      <c r="M6" s="4" t="s">
        <v>688</v>
      </c>
      <c r="N6" s="4" t="s">
        <v>689</v>
      </c>
      <c r="O6" s="4" t="s">
        <v>690</v>
      </c>
      <c r="P6" s="4" t="s">
        <v>691</v>
      </c>
      <c r="Q6" s="4" t="s">
        <v>692</v>
      </c>
      <c r="R6" s="4" t="s">
        <v>693</v>
      </c>
      <c r="S6" s="181"/>
      <c r="T6" s="181"/>
      <c r="U6" s="181"/>
      <c r="V6" s="183"/>
    </row>
    <row r="7" spans="2:22" ht="40.5" customHeight="1" thickBot="1" x14ac:dyDescent="0.3">
      <c r="B7" s="185"/>
      <c r="C7" s="181"/>
      <c r="D7" s="181"/>
      <c r="E7" s="181"/>
      <c r="F7" s="181"/>
      <c r="G7" s="181"/>
      <c r="H7" s="181"/>
      <c r="I7" s="190"/>
      <c r="J7" s="181"/>
      <c r="K7" s="5">
        <v>100</v>
      </c>
      <c r="L7" s="5">
        <v>100</v>
      </c>
      <c r="M7" s="5">
        <v>100</v>
      </c>
      <c r="N7" s="5">
        <v>100</v>
      </c>
      <c r="O7" s="5">
        <v>100</v>
      </c>
      <c r="P7" s="5">
        <v>100</v>
      </c>
      <c r="Q7" s="5">
        <v>100</v>
      </c>
      <c r="R7" s="5">
        <v>100</v>
      </c>
      <c r="S7" s="5">
        <f>SUM(K7:R7)</f>
        <v>800</v>
      </c>
      <c r="T7" s="181"/>
      <c r="U7" s="181"/>
      <c r="V7" s="183"/>
    </row>
    <row r="8" spans="2:22" ht="35.1" customHeight="1" thickBot="1" x14ac:dyDescent="0.7">
      <c r="B8" s="186" t="s">
        <v>682</v>
      </c>
      <c r="C8" s="187"/>
      <c r="D8" s="187"/>
      <c r="E8" s="187"/>
      <c r="F8" s="187"/>
      <c r="G8" s="187"/>
      <c r="H8" s="187"/>
      <c r="I8" s="187"/>
      <c r="J8" s="187"/>
      <c r="K8" s="187"/>
      <c r="L8" s="187"/>
      <c r="M8" s="187"/>
      <c r="N8" s="187"/>
      <c r="O8" s="187"/>
      <c r="P8" s="187"/>
      <c r="Q8" s="187"/>
      <c r="R8" s="187"/>
      <c r="S8" s="187"/>
      <c r="T8" s="187"/>
      <c r="U8" s="187"/>
      <c r="V8" s="188"/>
    </row>
    <row r="9" spans="2:22" ht="39.950000000000003" customHeight="1" x14ac:dyDescent="0.35">
      <c r="B9" s="27">
        <v>1</v>
      </c>
      <c r="C9" s="28">
        <v>634</v>
      </c>
      <c r="D9" s="28" t="s">
        <v>622</v>
      </c>
      <c r="E9" s="29">
        <v>4001</v>
      </c>
      <c r="F9" s="8" t="s">
        <v>106</v>
      </c>
      <c r="G9" s="8" t="s">
        <v>703</v>
      </c>
      <c r="H9" s="8" t="s">
        <v>23</v>
      </c>
      <c r="I9" s="30" t="s">
        <v>310</v>
      </c>
      <c r="J9" s="12" t="s">
        <v>339</v>
      </c>
      <c r="K9" s="23">
        <v>50</v>
      </c>
      <c r="L9" s="23">
        <v>35</v>
      </c>
      <c r="M9" s="24">
        <v>48</v>
      </c>
      <c r="N9" s="42">
        <v>15</v>
      </c>
      <c r="O9" s="24">
        <v>39</v>
      </c>
      <c r="P9" s="24">
        <v>36</v>
      </c>
      <c r="Q9" s="24">
        <v>33</v>
      </c>
      <c r="R9" s="24">
        <v>82</v>
      </c>
      <c r="S9" s="24">
        <v>800</v>
      </c>
      <c r="T9" s="24">
        <f t="shared" ref="T9:T54" si="0">K9+L9+M9+N9+O9+P9+Q9+R9</f>
        <v>338</v>
      </c>
      <c r="U9" s="31">
        <f t="shared" ref="U9" si="1">T9/S9</f>
        <v>0.42249999999999999</v>
      </c>
      <c r="V9" s="32"/>
    </row>
    <row r="10" spans="2:22" ht="39.950000000000003" customHeight="1" x14ac:dyDescent="0.35">
      <c r="B10" s="27">
        <v>2</v>
      </c>
      <c r="C10" s="28">
        <v>507</v>
      </c>
      <c r="D10" s="28" t="s">
        <v>622</v>
      </c>
      <c r="E10" s="29">
        <v>4002</v>
      </c>
      <c r="F10" s="8" t="s">
        <v>120</v>
      </c>
      <c r="G10" s="8" t="s">
        <v>114</v>
      </c>
      <c r="H10" s="8" t="s">
        <v>23</v>
      </c>
      <c r="I10" s="30" t="s">
        <v>282</v>
      </c>
      <c r="J10" s="12" t="s">
        <v>342</v>
      </c>
      <c r="K10" s="23">
        <v>76</v>
      </c>
      <c r="L10" s="23">
        <v>75</v>
      </c>
      <c r="M10" s="24">
        <v>78</v>
      </c>
      <c r="N10" s="24">
        <v>70</v>
      </c>
      <c r="O10" s="24">
        <v>54</v>
      </c>
      <c r="P10" s="24">
        <v>83</v>
      </c>
      <c r="Q10" s="24">
        <v>90</v>
      </c>
      <c r="R10" s="24">
        <v>96</v>
      </c>
      <c r="S10" s="24">
        <v>800</v>
      </c>
      <c r="T10" s="24">
        <f t="shared" si="0"/>
        <v>622</v>
      </c>
      <c r="U10" s="31">
        <f t="shared" ref="U10:U54" si="2">T10/S10</f>
        <v>0.77749999999999997</v>
      </c>
      <c r="V10" s="32"/>
    </row>
    <row r="11" spans="2:22" ht="39.950000000000003" customHeight="1" x14ac:dyDescent="0.35">
      <c r="B11" s="27">
        <v>3</v>
      </c>
      <c r="C11" s="28">
        <v>706</v>
      </c>
      <c r="D11" s="28" t="s">
        <v>622</v>
      </c>
      <c r="E11" s="29">
        <v>4003</v>
      </c>
      <c r="F11" s="8" t="s">
        <v>368</v>
      </c>
      <c r="G11" s="8" t="s">
        <v>704</v>
      </c>
      <c r="H11" s="8" t="s">
        <v>23</v>
      </c>
      <c r="I11" s="30">
        <v>41891</v>
      </c>
      <c r="J11" s="12" t="s">
        <v>343</v>
      </c>
      <c r="K11" s="23">
        <v>97</v>
      </c>
      <c r="L11" s="23">
        <v>66</v>
      </c>
      <c r="M11" s="24">
        <v>78</v>
      </c>
      <c r="N11" s="24">
        <v>68</v>
      </c>
      <c r="O11" s="24">
        <v>54</v>
      </c>
      <c r="P11" s="24">
        <v>72</v>
      </c>
      <c r="Q11" s="24">
        <v>72</v>
      </c>
      <c r="R11" s="24">
        <v>78</v>
      </c>
      <c r="S11" s="24">
        <v>800</v>
      </c>
      <c r="T11" s="24">
        <f t="shared" si="0"/>
        <v>585</v>
      </c>
      <c r="U11" s="31">
        <f t="shared" si="2"/>
        <v>0.73124999999999996</v>
      </c>
      <c r="V11" s="32"/>
    </row>
    <row r="12" spans="2:22" ht="35.1" customHeight="1" x14ac:dyDescent="0.35">
      <c r="B12" s="27">
        <v>4</v>
      </c>
      <c r="C12" s="28">
        <v>608</v>
      </c>
      <c r="D12" s="28" t="s">
        <v>622</v>
      </c>
      <c r="E12" s="29">
        <v>4004</v>
      </c>
      <c r="F12" s="8" t="s">
        <v>101</v>
      </c>
      <c r="G12" s="8" t="s">
        <v>12</v>
      </c>
      <c r="H12" s="8" t="s">
        <v>23</v>
      </c>
      <c r="I12" s="30">
        <v>41496</v>
      </c>
      <c r="J12" s="12" t="s">
        <v>338</v>
      </c>
      <c r="K12" s="23">
        <v>67</v>
      </c>
      <c r="L12" s="23">
        <v>50</v>
      </c>
      <c r="M12" s="24">
        <v>72</v>
      </c>
      <c r="N12" s="24">
        <v>50</v>
      </c>
      <c r="O12" s="24">
        <v>56</v>
      </c>
      <c r="P12" s="24">
        <v>62</v>
      </c>
      <c r="Q12" s="24">
        <v>68</v>
      </c>
      <c r="R12" s="24">
        <v>95</v>
      </c>
      <c r="S12" s="24">
        <v>800</v>
      </c>
      <c r="T12" s="24">
        <f t="shared" si="0"/>
        <v>520</v>
      </c>
      <c r="U12" s="31">
        <f t="shared" si="2"/>
        <v>0.65</v>
      </c>
      <c r="V12" s="32"/>
    </row>
    <row r="13" spans="2:22" ht="35.1" customHeight="1" x14ac:dyDescent="0.35">
      <c r="B13" s="27">
        <v>5</v>
      </c>
      <c r="C13" s="28">
        <v>603</v>
      </c>
      <c r="D13" s="28" t="s">
        <v>622</v>
      </c>
      <c r="E13" s="29">
        <v>4005</v>
      </c>
      <c r="F13" s="8" t="s">
        <v>42</v>
      </c>
      <c r="G13" s="8" t="s">
        <v>96</v>
      </c>
      <c r="H13" s="8" t="s">
        <v>23</v>
      </c>
      <c r="I13" s="30">
        <v>41830</v>
      </c>
      <c r="J13" s="12" t="s">
        <v>338</v>
      </c>
      <c r="K13" s="23">
        <v>84</v>
      </c>
      <c r="L13" s="23">
        <v>78</v>
      </c>
      <c r="M13" s="24">
        <v>81</v>
      </c>
      <c r="N13" s="24">
        <v>46</v>
      </c>
      <c r="O13" s="24">
        <v>46</v>
      </c>
      <c r="P13" s="24">
        <v>79</v>
      </c>
      <c r="Q13" s="24">
        <v>80</v>
      </c>
      <c r="R13" s="24">
        <v>79</v>
      </c>
      <c r="S13" s="24">
        <v>800</v>
      </c>
      <c r="T13" s="24">
        <f t="shared" si="0"/>
        <v>573</v>
      </c>
      <c r="U13" s="31">
        <f t="shared" si="2"/>
        <v>0.71625000000000005</v>
      </c>
      <c r="V13" s="32"/>
    </row>
    <row r="14" spans="2:22" ht="35.1" customHeight="1" x14ac:dyDescent="0.35">
      <c r="B14" s="27">
        <v>6</v>
      </c>
      <c r="C14" s="28">
        <v>503</v>
      </c>
      <c r="D14" s="28" t="s">
        <v>622</v>
      </c>
      <c r="E14" s="29">
        <v>4006</v>
      </c>
      <c r="F14" s="8" t="s">
        <v>116</v>
      </c>
      <c r="G14" s="8" t="s">
        <v>18</v>
      </c>
      <c r="H14" s="8" t="s">
        <v>23</v>
      </c>
      <c r="I14" s="30" t="s">
        <v>281</v>
      </c>
      <c r="J14" s="12" t="s">
        <v>344</v>
      </c>
      <c r="K14" s="23">
        <v>72</v>
      </c>
      <c r="L14" s="23">
        <v>75</v>
      </c>
      <c r="M14" s="24">
        <v>72</v>
      </c>
      <c r="N14" s="24">
        <v>68</v>
      </c>
      <c r="O14" s="24">
        <v>52</v>
      </c>
      <c r="P14" s="24">
        <v>80</v>
      </c>
      <c r="Q14" s="24">
        <v>72</v>
      </c>
      <c r="R14" s="24">
        <v>96</v>
      </c>
      <c r="S14" s="24">
        <v>800</v>
      </c>
      <c r="T14" s="24">
        <f t="shared" si="0"/>
        <v>587</v>
      </c>
      <c r="U14" s="31">
        <f t="shared" si="2"/>
        <v>0.73375000000000001</v>
      </c>
      <c r="V14" s="32"/>
    </row>
    <row r="15" spans="2:22" ht="35.1" customHeight="1" x14ac:dyDescent="0.35">
      <c r="B15" s="27">
        <v>7</v>
      </c>
      <c r="C15" s="28">
        <v>606</v>
      </c>
      <c r="D15" s="28" t="s">
        <v>622</v>
      </c>
      <c r="E15" s="29">
        <v>4007</v>
      </c>
      <c r="F15" s="8" t="s">
        <v>99</v>
      </c>
      <c r="G15" s="8" t="s">
        <v>100</v>
      </c>
      <c r="H15" s="8" t="s">
        <v>23</v>
      </c>
      <c r="I15" s="30">
        <v>42279</v>
      </c>
      <c r="J15" s="12" t="s">
        <v>338</v>
      </c>
      <c r="K15" s="23">
        <v>59</v>
      </c>
      <c r="L15" s="23">
        <v>33</v>
      </c>
      <c r="M15" s="24">
        <v>33</v>
      </c>
      <c r="N15" s="24">
        <v>33</v>
      </c>
      <c r="O15" s="42">
        <v>12</v>
      </c>
      <c r="P15" s="24">
        <v>33</v>
      </c>
      <c r="Q15" s="24">
        <v>14</v>
      </c>
      <c r="R15" s="24">
        <v>79</v>
      </c>
      <c r="S15" s="24">
        <v>800</v>
      </c>
      <c r="T15" s="24">
        <f t="shared" si="0"/>
        <v>296</v>
      </c>
      <c r="U15" s="31">
        <f t="shared" si="2"/>
        <v>0.37</v>
      </c>
      <c r="V15" s="32"/>
    </row>
    <row r="16" spans="2:22" ht="35.1" customHeight="1" x14ac:dyDescent="0.35">
      <c r="B16" s="27">
        <v>8</v>
      </c>
      <c r="C16" s="28">
        <v>358</v>
      </c>
      <c r="D16" s="28" t="s">
        <v>622</v>
      </c>
      <c r="E16" s="29">
        <v>4008</v>
      </c>
      <c r="F16" s="8" t="s">
        <v>123</v>
      </c>
      <c r="G16" s="8" t="s">
        <v>124</v>
      </c>
      <c r="H16" s="8" t="s">
        <v>23</v>
      </c>
      <c r="I16" s="30">
        <v>41032</v>
      </c>
      <c r="J16" s="12" t="s">
        <v>346</v>
      </c>
      <c r="K16" s="23">
        <v>33</v>
      </c>
      <c r="L16" s="41">
        <v>1</v>
      </c>
      <c r="M16" s="24">
        <v>33</v>
      </c>
      <c r="N16" s="24">
        <v>33</v>
      </c>
      <c r="O16" s="24">
        <v>33</v>
      </c>
      <c r="P16" s="24">
        <v>33</v>
      </c>
      <c r="Q16" s="24">
        <v>1</v>
      </c>
      <c r="R16" s="24">
        <v>98</v>
      </c>
      <c r="S16" s="24">
        <v>800</v>
      </c>
      <c r="T16" s="24">
        <f t="shared" si="0"/>
        <v>265</v>
      </c>
      <c r="U16" s="31">
        <f t="shared" si="2"/>
        <v>0.33124999999999999</v>
      </c>
      <c r="V16" s="32" t="s">
        <v>850</v>
      </c>
    </row>
    <row r="17" spans="2:22" ht="35.1" customHeight="1" x14ac:dyDescent="0.35">
      <c r="B17" s="27">
        <v>9</v>
      </c>
      <c r="C17" s="28">
        <v>610</v>
      </c>
      <c r="D17" s="28" t="s">
        <v>622</v>
      </c>
      <c r="E17" s="29">
        <v>4009</v>
      </c>
      <c r="F17" s="8" t="s">
        <v>104</v>
      </c>
      <c r="G17" s="8" t="s">
        <v>105</v>
      </c>
      <c r="H17" s="8" t="s">
        <v>23</v>
      </c>
      <c r="I17" s="30" t="s">
        <v>309</v>
      </c>
      <c r="J17" s="12" t="s">
        <v>338</v>
      </c>
      <c r="K17" s="23">
        <v>62</v>
      </c>
      <c r="L17" s="23">
        <v>75</v>
      </c>
      <c r="M17" s="24">
        <v>78</v>
      </c>
      <c r="N17" s="24">
        <v>55</v>
      </c>
      <c r="O17" s="24">
        <v>35</v>
      </c>
      <c r="P17" s="24">
        <v>85</v>
      </c>
      <c r="Q17" s="24">
        <v>86</v>
      </c>
      <c r="R17" s="24">
        <v>68</v>
      </c>
      <c r="S17" s="24">
        <v>800</v>
      </c>
      <c r="T17" s="24">
        <f t="shared" si="0"/>
        <v>544</v>
      </c>
      <c r="U17" s="31">
        <f t="shared" si="2"/>
        <v>0.68</v>
      </c>
      <c r="V17" s="32"/>
    </row>
    <row r="18" spans="2:22" ht="39.950000000000003" customHeight="1" x14ac:dyDescent="0.35">
      <c r="B18" s="27">
        <v>10</v>
      </c>
      <c r="C18" s="28">
        <v>709</v>
      </c>
      <c r="D18" s="28" t="s">
        <v>622</v>
      </c>
      <c r="E18" s="29">
        <v>4010</v>
      </c>
      <c r="F18" s="8" t="s">
        <v>375</v>
      </c>
      <c r="G18" s="8" t="s">
        <v>373</v>
      </c>
      <c r="H18" s="8" t="s">
        <v>23</v>
      </c>
      <c r="I18" s="30" t="s">
        <v>376</v>
      </c>
      <c r="J18" s="12" t="s">
        <v>343</v>
      </c>
      <c r="K18" s="23">
        <v>77</v>
      </c>
      <c r="L18" s="23">
        <v>52</v>
      </c>
      <c r="M18" s="24">
        <v>67</v>
      </c>
      <c r="N18" s="24">
        <v>50</v>
      </c>
      <c r="O18" s="24">
        <v>37</v>
      </c>
      <c r="P18" s="24">
        <v>63</v>
      </c>
      <c r="Q18" s="24">
        <v>60</v>
      </c>
      <c r="R18" s="24">
        <v>95</v>
      </c>
      <c r="S18" s="24">
        <v>800</v>
      </c>
      <c r="T18" s="24">
        <f t="shared" si="0"/>
        <v>501</v>
      </c>
      <c r="U18" s="31">
        <f t="shared" si="2"/>
        <v>0.62624999999999997</v>
      </c>
      <c r="V18" s="32"/>
    </row>
    <row r="19" spans="2:22" ht="39.950000000000003" customHeight="1" x14ac:dyDescent="0.35">
      <c r="B19" s="27">
        <v>11</v>
      </c>
      <c r="C19" s="28">
        <v>485</v>
      </c>
      <c r="D19" s="28" t="s">
        <v>622</v>
      </c>
      <c r="E19" s="29">
        <v>4011</v>
      </c>
      <c r="F19" s="8" t="s">
        <v>117</v>
      </c>
      <c r="G19" s="8" t="s">
        <v>12</v>
      </c>
      <c r="H19" s="8" t="s">
        <v>23</v>
      </c>
      <c r="I19" s="30">
        <v>41555</v>
      </c>
      <c r="J19" s="12" t="s">
        <v>345</v>
      </c>
      <c r="K19" s="23" t="s">
        <v>711</v>
      </c>
      <c r="L19" s="23" t="s">
        <v>711</v>
      </c>
      <c r="M19" s="23" t="s">
        <v>711</v>
      </c>
      <c r="N19" s="23" t="s">
        <v>711</v>
      </c>
      <c r="O19" s="23" t="s">
        <v>711</v>
      </c>
      <c r="P19" s="23" t="s">
        <v>711</v>
      </c>
      <c r="Q19" s="23" t="s">
        <v>711</v>
      </c>
      <c r="R19" s="23" t="s">
        <v>711</v>
      </c>
      <c r="S19" s="24">
        <v>800</v>
      </c>
      <c r="T19" s="24" t="e">
        <f t="shared" si="0"/>
        <v>#VALUE!</v>
      </c>
      <c r="U19" s="31" t="e">
        <f t="shared" si="2"/>
        <v>#VALUE!</v>
      </c>
      <c r="V19" s="32" t="s">
        <v>715</v>
      </c>
    </row>
    <row r="20" spans="2:22" ht="39.950000000000003" customHeight="1" x14ac:dyDescent="0.35">
      <c r="B20" s="27">
        <v>12</v>
      </c>
      <c r="C20" s="28">
        <v>318</v>
      </c>
      <c r="D20" s="28" t="s">
        <v>622</v>
      </c>
      <c r="E20" s="29">
        <v>4012</v>
      </c>
      <c r="F20" s="8" t="s">
        <v>121</v>
      </c>
      <c r="G20" s="8" t="s">
        <v>122</v>
      </c>
      <c r="H20" s="8" t="s">
        <v>23</v>
      </c>
      <c r="I20" s="30">
        <v>41191</v>
      </c>
      <c r="J20" s="12" t="s">
        <v>347</v>
      </c>
      <c r="K20" s="23">
        <v>84</v>
      </c>
      <c r="L20" s="23">
        <v>75</v>
      </c>
      <c r="M20" s="24">
        <v>82</v>
      </c>
      <c r="N20" s="24">
        <v>90</v>
      </c>
      <c r="O20" s="24">
        <v>44</v>
      </c>
      <c r="P20" s="24">
        <v>71</v>
      </c>
      <c r="Q20" s="24">
        <v>70</v>
      </c>
      <c r="R20" s="24">
        <v>96</v>
      </c>
      <c r="S20" s="24">
        <v>800</v>
      </c>
      <c r="T20" s="24">
        <f t="shared" si="0"/>
        <v>612</v>
      </c>
      <c r="U20" s="31">
        <f t="shared" si="2"/>
        <v>0.76500000000000001</v>
      </c>
      <c r="V20" s="32"/>
    </row>
    <row r="21" spans="2:22" ht="39.950000000000003" customHeight="1" x14ac:dyDescent="0.35">
      <c r="B21" s="27">
        <v>13</v>
      </c>
      <c r="C21" s="28">
        <v>707</v>
      </c>
      <c r="D21" s="28" t="s">
        <v>622</v>
      </c>
      <c r="E21" s="29">
        <v>4013</v>
      </c>
      <c r="F21" s="8" t="s">
        <v>369</v>
      </c>
      <c r="G21" s="8" t="s">
        <v>370</v>
      </c>
      <c r="H21" s="8" t="s">
        <v>23</v>
      </c>
      <c r="I21" s="30" t="s">
        <v>371</v>
      </c>
      <c r="J21" s="12" t="s">
        <v>343</v>
      </c>
      <c r="K21" s="23">
        <v>44</v>
      </c>
      <c r="L21" s="23">
        <v>68</v>
      </c>
      <c r="M21" s="24">
        <v>77</v>
      </c>
      <c r="N21" s="24">
        <v>85</v>
      </c>
      <c r="O21" s="24">
        <v>43</v>
      </c>
      <c r="P21" s="24">
        <v>73</v>
      </c>
      <c r="Q21" s="24">
        <v>65</v>
      </c>
      <c r="R21" s="24">
        <v>93</v>
      </c>
      <c r="S21" s="24">
        <v>800</v>
      </c>
      <c r="T21" s="24">
        <f t="shared" si="0"/>
        <v>548</v>
      </c>
      <c r="U21" s="31">
        <f t="shared" si="2"/>
        <v>0.68500000000000005</v>
      </c>
      <c r="V21" s="32"/>
    </row>
    <row r="22" spans="2:22" ht="35.1" customHeight="1" x14ac:dyDescent="0.35">
      <c r="B22" s="27">
        <v>14</v>
      </c>
      <c r="C22" s="28">
        <v>486</v>
      </c>
      <c r="D22" s="28" t="s">
        <v>622</v>
      </c>
      <c r="E22" s="29">
        <v>4014</v>
      </c>
      <c r="F22" s="8" t="s">
        <v>118</v>
      </c>
      <c r="G22" s="8" t="s">
        <v>12</v>
      </c>
      <c r="H22" s="8" t="s">
        <v>23</v>
      </c>
      <c r="I22" s="30">
        <v>41555</v>
      </c>
      <c r="J22" s="12" t="s">
        <v>345</v>
      </c>
      <c r="K22" s="23">
        <v>82</v>
      </c>
      <c r="L22" s="23">
        <v>72</v>
      </c>
      <c r="M22" s="24">
        <v>92</v>
      </c>
      <c r="N22" s="24">
        <v>88</v>
      </c>
      <c r="O22" s="24">
        <v>62</v>
      </c>
      <c r="P22" s="24">
        <v>78</v>
      </c>
      <c r="Q22" s="24">
        <v>66</v>
      </c>
      <c r="R22" s="24">
        <v>98</v>
      </c>
      <c r="S22" s="24">
        <v>800</v>
      </c>
      <c r="T22" s="24">
        <f t="shared" si="0"/>
        <v>638</v>
      </c>
      <c r="U22" s="31">
        <f t="shared" si="2"/>
        <v>0.79749999999999999</v>
      </c>
      <c r="V22" s="32"/>
    </row>
    <row r="23" spans="2:22" ht="35.1" customHeight="1" x14ac:dyDescent="0.35">
      <c r="B23" s="27">
        <v>15</v>
      </c>
      <c r="C23" s="28">
        <v>602</v>
      </c>
      <c r="D23" s="28" t="s">
        <v>622</v>
      </c>
      <c r="E23" s="29">
        <v>4015</v>
      </c>
      <c r="F23" s="8" t="s">
        <v>95</v>
      </c>
      <c r="G23" s="8" t="s">
        <v>91</v>
      </c>
      <c r="H23" s="8" t="s">
        <v>23</v>
      </c>
      <c r="I23" s="30">
        <v>41376</v>
      </c>
      <c r="J23" s="12" t="s">
        <v>338</v>
      </c>
      <c r="K23" s="23">
        <v>33</v>
      </c>
      <c r="L23" s="41">
        <v>8</v>
      </c>
      <c r="M23" s="24">
        <v>33</v>
      </c>
      <c r="N23" s="24">
        <v>33</v>
      </c>
      <c r="O23" s="24">
        <v>34</v>
      </c>
      <c r="P23" s="24">
        <v>6</v>
      </c>
      <c r="Q23" s="24">
        <v>33</v>
      </c>
      <c r="R23" s="24">
        <v>75</v>
      </c>
      <c r="S23" s="24">
        <v>800</v>
      </c>
      <c r="T23" s="24">
        <f t="shared" si="0"/>
        <v>255</v>
      </c>
      <c r="U23" s="31">
        <f t="shared" si="2"/>
        <v>0.31874999999999998</v>
      </c>
      <c r="V23" s="32" t="s">
        <v>850</v>
      </c>
    </row>
    <row r="24" spans="2:22" ht="39.950000000000003" customHeight="1" x14ac:dyDescent="0.35">
      <c r="B24" s="27">
        <v>16</v>
      </c>
      <c r="C24" s="28">
        <v>708</v>
      </c>
      <c r="D24" s="28" t="s">
        <v>622</v>
      </c>
      <c r="E24" s="29">
        <v>4016</v>
      </c>
      <c r="F24" s="8" t="s">
        <v>372</v>
      </c>
      <c r="G24" s="8" t="s">
        <v>373</v>
      </c>
      <c r="H24" s="8" t="s">
        <v>23</v>
      </c>
      <c r="I24" s="30" t="s">
        <v>374</v>
      </c>
      <c r="J24" s="12" t="s">
        <v>343</v>
      </c>
      <c r="K24" s="23">
        <v>82</v>
      </c>
      <c r="L24" s="23">
        <v>40</v>
      </c>
      <c r="M24" s="24">
        <v>77</v>
      </c>
      <c r="N24" s="24">
        <v>74</v>
      </c>
      <c r="O24" s="24">
        <v>47</v>
      </c>
      <c r="P24" s="24">
        <v>76</v>
      </c>
      <c r="Q24" s="24">
        <v>60</v>
      </c>
      <c r="R24" s="24">
        <v>95</v>
      </c>
      <c r="S24" s="24">
        <v>800</v>
      </c>
      <c r="T24" s="24">
        <f t="shared" si="0"/>
        <v>551</v>
      </c>
      <c r="U24" s="31">
        <f t="shared" si="2"/>
        <v>0.68874999999999997</v>
      </c>
      <c r="V24" s="32"/>
    </row>
    <row r="25" spans="2:22" ht="48.75" customHeight="1" x14ac:dyDescent="0.35">
      <c r="B25" s="27">
        <v>17</v>
      </c>
      <c r="C25" s="28">
        <v>641</v>
      </c>
      <c r="D25" s="28" t="s">
        <v>622</v>
      </c>
      <c r="E25" s="29">
        <v>4017</v>
      </c>
      <c r="F25" s="8" t="s">
        <v>107</v>
      </c>
      <c r="G25" s="8" t="s">
        <v>89</v>
      </c>
      <c r="H25" s="8" t="s">
        <v>23</v>
      </c>
      <c r="I25" s="30">
        <v>40581</v>
      </c>
      <c r="J25" s="12">
        <v>44690</v>
      </c>
      <c r="K25" s="23">
        <v>84</v>
      </c>
      <c r="L25" s="23">
        <v>33</v>
      </c>
      <c r="M25" s="24">
        <v>58</v>
      </c>
      <c r="N25" s="24">
        <v>33</v>
      </c>
      <c r="O25" s="24">
        <v>33</v>
      </c>
      <c r="P25" s="24">
        <v>33</v>
      </c>
      <c r="Q25" s="24">
        <v>50</v>
      </c>
      <c r="R25" s="24">
        <v>95</v>
      </c>
      <c r="S25" s="24">
        <v>800</v>
      </c>
      <c r="T25" s="24">
        <f t="shared" si="0"/>
        <v>419</v>
      </c>
      <c r="U25" s="31">
        <f t="shared" si="2"/>
        <v>0.52375000000000005</v>
      </c>
      <c r="V25" s="32"/>
    </row>
    <row r="26" spans="2:22" ht="35.1" customHeight="1" x14ac:dyDescent="0.35">
      <c r="B26" s="27">
        <v>18</v>
      </c>
      <c r="C26" s="10">
        <v>782</v>
      </c>
      <c r="D26" s="28" t="s">
        <v>622</v>
      </c>
      <c r="E26" s="29">
        <v>4018</v>
      </c>
      <c r="F26" s="8" t="s">
        <v>641</v>
      </c>
      <c r="G26" s="8" t="s">
        <v>642</v>
      </c>
      <c r="H26" s="8" t="s">
        <v>23</v>
      </c>
      <c r="I26" s="34">
        <v>41137</v>
      </c>
      <c r="J26" s="14">
        <v>45302</v>
      </c>
      <c r="K26" s="23">
        <v>48</v>
      </c>
      <c r="L26" s="41">
        <v>8</v>
      </c>
      <c r="M26" s="24">
        <v>38</v>
      </c>
      <c r="N26" s="24">
        <v>33</v>
      </c>
      <c r="O26" s="24">
        <v>40</v>
      </c>
      <c r="P26" s="24">
        <v>33</v>
      </c>
      <c r="Q26" s="24">
        <v>0</v>
      </c>
      <c r="R26" s="24">
        <v>97</v>
      </c>
      <c r="S26" s="24">
        <v>800</v>
      </c>
      <c r="T26" s="24">
        <f t="shared" si="0"/>
        <v>297</v>
      </c>
      <c r="U26" s="31">
        <f t="shared" si="2"/>
        <v>0.37125000000000002</v>
      </c>
      <c r="V26" s="32" t="s">
        <v>850</v>
      </c>
    </row>
    <row r="27" spans="2:22" ht="35.1" customHeight="1" x14ac:dyDescent="0.35">
      <c r="B27" s="27">
        <v>19</v>
      </c>
      <c r="C27" s="28">
        <v>469</v>
      </c>
      <c r="D27" s="28" t="s">
        <v>622</v>
      </c>
      <c r="E27" s="29">
        <v>4019</v>
      </c>
      <c r="F27" s="8" t="s">
        <v>119</v>
      </c>
      <c r="G27" s="8" t="s">
        <v>12</v>
      </c>
      <c r="H27" s="8" t="s">
        <v>23</v>
      </c>
      <c r="I27" s="30">
        <v>42221</v>
      </c>
      <c r="J27" s="12">
        <v>43992</v>
      </c>
      <c r="K27" s="23">
        <v>93</v>
      </c>
      <c r="L27" s="23">
        <v>67</v>
      </c>
      <c r="M27" s="24">
        <v>88</v>
      </c>
      <c r="N27" s="24">
        <v>84</v>
      </c>
      <c r="O27" s="24">
        <v>47</v>
      </c>
      <c r="P27" s="24">
        <v>82</v>
      </c>
      <c r="Q27" s="24">
        <v>83</v>
      </c>
      <c r="R27" s="24">
        <v>96</v>
      </c>
      <c r="S27" s="24">
        <v>800</v>
      </c>
      <c r="T27" s="24">
        <f t="shared" si="0"/>
        <v>640</v>
      </c>
      <c r="U27" s="31">
        <f t="shared" si="2"/>
        <v>0.8</v>
      </c>
      <c r="V27" s="32" t="s">
        <v>853</v>
      </c>
    </row>
    <row r="28" spans="2:22" ht="35.1" customHeight="1" x14ac:dyDescent="0.35">
      <c r="B28" s="27">
        <v>20</v>
      </c>
      <c r="C28" s="28">
        <v>388</v>
      </c>
      <c r="D28" s="28" t="s">
        <v>622</v>
      </c>
      <c r="E28" s="29">
        <v>4020</v>
      </c>
      <c r="F28" s="8" t="s">
        <v>125</v>
      </c>
      <c r="G28" s="8" t="s">
        <v>126</v>
      </c>
      <c r="H28" s="8" t="s">
        <v>23</v>
      </c>
      <c r="I28" s="30">
        <v>40331</v>
      </c>
      <c r="J28" s="12">
        <v>42898</v>
      </c>
      <c r="K28" s="23">
        <v>56</v>
      </c>
      <c r="L28" s="23">
        <v>66</v>
      </c>
      <c r="M28" s="24">
        <v>57</v>
      </c>
      <c r="N28" s="24">
        <v>66</v>
      </c>
      <c r="O28" s="24">
        <v>62</v>
      </c>
      <c r="P28" s="24">
        <v>70</v>
      </c>
      <c r="Q28" s="24">
        <v>84</v>
      </c>
      <c r="R28" s="24">
        <v>98</v>
      </c>
      <c r="S28" s="24">
        <v>800</v>
      </c>
      <c r="T28" s="24">
        <f t="shared" si="0"/>
        <v>559</v>
      </c>
      <c r="U28" s="31">
        <f t="shared" si="2"/>
        <v>0.69874999999999998</v>
      </c>
      <c r="V28" s="32"/>
    </row>
    <row r="29" spans="2:22" ht="39.950000000000003" customHeight="1" x14ac:dyDescent="0.35">
      <c r="B29" s="27">
        <v>21</v>
      </c>
      <c r="C29" s="28">
        <v>510</v>
      </c>
      <c r="D29" s="28" t="s">
        <v>622</v>
      </c>
      <c r="E29" s="29">
        <v>4021</v>
      </c>
      <c r="F29" s="8" t="s">
        <v>283</v>
      </c>
      <c r="G29" s="8" t="s">
        <v>18</v>
      </c>
      <c r="H29" s="8" t="s">
        <v>23</v>
      </c>
      <c r="I29" s="30" t="s">
        <v>284</v>
      </c>
      <c r="J29" s="12" t="s">
        <v>342</v>
      </c>
      <c r="K29" s="23">
        <v>55</v>
      </c>
      <c r="L29" s="23">
        <v>70</v>
      </c>
      <c r="M29" s="24">
        <v>43</v>
      </c>
      <c r="N29" s="24">
        <v>68</v>
      </c>
      <c r="O29" s="24">
        <v>71</v>
      </c>
      <c r="P29" s="24">
        <v>51</v>
      </c>
      <c r="Q29" s="24">
        <v>76</v>
      </c>
      <c r="R29" s="24">
        <v>96</v>
      </c>
      <c r="S29" s="24">
        <v>800</v>
      </c>
      <c r="T29" s="24">
        <f t="shared" si="0"/>
        <v>530</v>
      </c>
      <c r="U29" s="31">
        <f t="shared" si="2"/>
        <v>0.66249999999999998</v>
      </c>
      <c r="V29" s="32"/>
    </row>
    <row r="30" spans="2:22" ht="39.950000000000003" customHeight="1" thickBot="1" x14ac:dyDescent="0.4">
      <c r="B30" s="110">
        <v>22</v>
      </c>
      <c r="C30" s="111">
        <v>704</v>
      </c>
      <c r="D30" s="111" t="s">
        <v>622</v>
      </c>
      <c r="E30" s="112">
        <v>4022</v>
      </c>
      <c r="F30" s="113" t="s">
        <v>365</v>
      </c>
      <c r="G30" s="113" t="s">
        <v>366</v>
      </c>
      <c r="H30" s="113" t="s">
        <v>23</v>
      </c>
      <c r="I30" s="114" t="s">
        <v>367</v>
      </c>
      <c r="J30" s="115" t="s">
        <v>343</v>
      </c>
      <c r="K30" s="116">
        <v>53</v>
      </c>
      <c r="L30" s="117">
        <v>24</v>
      </c>
      <c r="M30" s="118">
        <v>42</v>
      </c>
      <c r="N30" s="119">
        <v>21</v>
      </c>
      <c r="O30" s="118">
        <v>38</v>
      </c>
      <c r="P30" s="118">
        <v>45</v>
      </c>
      <c r="Q30" s="118">
        <v>51</v>
      </c>
      <c r="R30" s="118">
        <v>80</v>
      </c>
      <c r="S30" s="118">
        <v>800</v>
      </c>
      <c r="T30" s="118">
        <f t="shared" si="0"/>
        <v>354</v>
      </c>
      <c r="U30" s="120">
        <f t="shared" si="2"/>
        <v>0.4425</v>
      </c>
      <c r="V30" s="121" t="s">
        <v>850</v>
      </c>
    </row>
    <row r="31" spans="2:22" ht="35.1" customHeight="1" thickBot="1" x14ac:dyDescent="0.7">
      <c r="B31" s="186" t="s">
        <v>683</v>
      </c>
      <c r="C31" s="187"/>
      <c r="D31" s="187"/>
      <c r="E31" s="187"/>
      <c r="F31" s="187"/>
      <c r="G31" s="187"/>
      <c r="H31" s="187"/>
      <c r="I31" s="187"/>
      <c r="J31" s="187"/>
      <c r="K31" s="187"/>
      <c r="L31" s="187"/>
      <c r="M31" s="187"/>
      <c r="N31" s="187"/>
      <c r="O31" s="187"/>
      <c r="P31" s="187"/>
      <c r="Q31" s="187"/>
      <c r="R31" s="187"/>
      <c r="S31" s="187"/>
      <c r="T31" s="187"/>
      <c r="U31" s="187"/>
      <c r="V31" s="188"/>
    </row>
    <row r="32" spans="2:22" ht="39.950000000000003" customHeight="1" x14ac:dyDescent="0.35">
      <c r="B32" s="19">
        <v>23</v>
      </c>
      <c r="C32" s="20">
        <v>605</v>
      </c>
      <c r="D32" s="20" t="s">
        <v>622</v>
      </c>
      <c r="E32" s="21">
        <v>4023</v>
      </c>
      <c r="F32" s="6" t="s">
        <v>98</v>
      </c>
      <c r="G32" s="6" t="s">
        <v>47</v>
      </c>
      <c r="H32" s="6" t="s">
        <v>24</v>
      </c>
      <c r="I32" s="22">
        <v>40643</v>
      </c>
      <c r="J32" s="7" t="s">
        <v>338</v>
      </c>
      <c r="K32" s="122">
        <v>47</v>
      </c>
      <c r="L32" s="122">
        <v>47</v>
      </c>
      <c r="M32" s="25">
        <v>46</v>
      </c>
      <c r="N32" s="25">
        <v>58</v>
      </c>
      <c r="O32" s="25">
        <v>44</v>
      </c>
      <c r="P32" s="25">
        <v>63</v>
      </c>
      <c r="Q32" s="25">
        <v>42</v>
      </c>
      <c r="R32" s="25">
        <v>98</v>
      </c>
      <c r="S32" s="25">
        <v>800</v>
      </c>
      <c r="T32" s="25">
        <f t="shared" si="0"/>
        <v>445</v>
      </c>
      <c r="U32" s="26">
        <f t="shared" si="2"/>
        <v>0.55625000000000002</v>
      </c>
      <c r="V32" s="123"/>
    </row>
    <row r="33" spans="2:22" ht="35.1" customHeight="1" x14ac:dyDescent="0.35">
      <c r="B33" s="27">
        <v>24</v>
      </c>
      <c r="C33" s="28">
        <v>609</v>
      </c>
      <c r="D33" s="28" t="s">
        <v>622</v>
      </c>
      <c r="E33" s="29">
        <v>4024</v>
      </c>
      <c r="F33" s="8" t="s">
        <v>102</v>
      </c>
      <c r="G33" s="8" t="s">
        <v>103</v>
      </c>
      <c r="H33" s="8" t="s">
        <v>24</v>
      </c>
      <c r="I33" s="30" t="s">
        <v>308</v>
      </c>
      <c r="J33" s="12" t="s">
        <v>338</v>
      </c>
      <c r="K33" s="23">
        <v>82</v>
      </c>
      <c r="L33" s="23">
        <v>69</v>
      </c>
      <c r="M33" s="24">
        <v>90</v>
      </c>
      <c r="N33" s="24">
        <v>47</v>
      </c>
      <c r="O33" s="24">
        <v>44</v>
      </c>
      <c r="P33" s="24">
        <v>78</v>
      </c>
      <c r="Q33" s="24">
        <v>73</v>
      </c>
      <c r="R33" s="24">
        <v>85</v>
      </c>
      <c r="S33" s="24">
        <v>800</v>
      </c>
      <c r="T33" s="24">
        <f t="shared" si="0"/>
        <v>568</v>
      </c>
      <c r="U33" s="31">
        <f t="shared" si="2"/>
        <v>0.71</v>
      </c>
      <c r="V33" s="32"/>
    </row>
    <row r="34" spans="2:22" ht="35.1" customHeight="1" x14ac:dyDescent="0.35">
      <c r="B34" s="27">
        <v>25</v>
      </c>
      <c r="C34" s="36">
        <v>757</v>
      </c>
      <c r="D34" s="28" t="s">
        <v>622</v>
      </c>
      <c r="E34" s="29">
        <v>4025</v>
      </c>
      <c r="F34" s="43" t="s">
        <v>133</v>
      </c>
      <c r="G34" s="43" t="s">
        <v>672</v>
      </c>
      <c r="H34" s="43" t="s">
        <v>24</v>
      </c>
      <c r="I34" s="39">
        <v>40909</v>
      </c>
      <c r="J34" s="40">
        <v>45168</v>
      </c>
      <c r="K34" s="24">
        <v>33</v>
      </c>
      <c r="L34" s="23">
        <v>33</v>
      </c>
      <c r="M34" s="24">
        <v>33</v>
      </c>
      <c r="N34" s="24">
        <v>16</v>
      </c>
      <c r="O34" s="24">
        <v>33</v>
      </c>
      <c r="P34" s="24">
        <v>33</v>
      </c>
      <c r="Q34" s="24">
        <v>1</v>
      </c>
      <c r="R34" s="24">
        <v>75</v>
      </c>
      <c r="S34" s="24">
        <v>800</v>
      </c>
      <c r="T34" s="24">
        <f t="shared" si="0"/>
        <v>257</v>
      </c>
      <c r="U34" s="31">
        <f t="shared" si="2"/>
        <v>0.32124999999999998</v>
      </c>
      <c r="V34" s="32" t="s">
        <v>850</v>
      </c>
    </row>
    <row r="35" spans="2:22" ht="35.1" customHeight="1" x14ac:dyDescent="0.35">
      <c r="B35" s="27">
        <v>26</v>
      </c>
      <c r="C35" s="28">
        <v>604</v>
      </c>
      <c r="D35" s="28" t="s">
        <v>622</v>
      </c>
      <c r="E35" s="29">
        <v>4026</v>
      </c>
      <c r="F35" s="8" t="s">
        <v>97</v>
      </c>
      <c r="G35" s="8" t="s">
        <v>82</v>
      </c>
      <c r="H35" s="8" t="s">
        <v>24</v>
      </c>
      <c r="I35" s="30">
        <v>40854</v>
      </c>
      <c r="J35" s="12" t="s">
        <v>338</v>
      </c>
      <c r="K35" s="23">
        <v>57</v>
      </c>
      <c r="L35" s="23">
        <v>54</v>
      </c>
      <c r="M35" s="24">
        <v>71</v>
      </c>
      <c r="N35" s="24">
        <v>50</v>
      </c>
      <c r="O35" s="24">
        <v>50</v>
      </c>
      <c r="P35" s="24">
        <v>72</v>
      </c>
      <c r="Q35" s="24">
        <v>50</v>
      </c>
      <c r="R35" s="24">
        <v>92</v>
      </c>
      <c r="S35" s="24">
        <v>800</v>
      </c>
      <c r="T35" s="24">
        <f t="shared" si="0"/>
        <v>496</v>
      </c>
      <c r="U35" s="31">
        <f t="shared" si="2"/>
        <v>0.62</v>
      </c>
      <c r="V35" s="32"/>
    </row>
    <row r="36" spans="2:22" ht="35.1" customHeight="1" x14ac:dyDescent="0.35">
      <c r="B36" s="27">
        <v>27</v>
      </c>
      <c r="C36" s="28">
        <v>464</v>
      </c>
      <c r="D36" s="28" t="s">
        <v>622</v>
      </c>
      <c r="E36" s="29">
        <v>4027</v>
      </c>
      <c r="F36" s="8" t="s">
        <v>165</v>
      </c>
      <c r="G36" s="8" t="s">
        <v>17</v>
      </c>
      <c r="H36" s="8" t="s">
        <v>24</v>
      </c>
      <c r="I36" s="30">
        <v>40974</v>
      </c>
      <c r="J36" s="12">
        <v>43840</v>
      </c>
      <c r="K36" s="23">
        <v>49</v>
      </c>
      <c r="L36" s="23">
        <v>40</v>
      </c>
      <c r="M36" s="24">
        <v>48</v>
      </c>
      <c r="N36" s="24">
        <v>55</v>
      </c>
      <c r="O36" s="24">
        <v>59</v>
      </c>
      <c r="P36" s="24">
        <v>50</v>
      </c>
      <c r="Q36" s="24">
        <v>36</v>
      </c>
      <c r="R36" s="24">
        <v>87</v>
      </c>
      <c r="S36" s="24">
        <v>800</v>
      </c>
      <c r="T36" s="24">
        <f t="shared" si="0"/>
        <v>424</v>
      </c>
      <c r="U36" s="31">
        <f t="shared" si="2"/>
        <v>0.53</v>
      </c>
      <c r="V36" s="32"/>
    </row>
    <row r="37" spans="2:22" ht="39.950000000000003" customHeight="1" x14ac:dyDescent="0.35">
      <c r="B37" s="27">
        <v>28</v>
      </c>
      <c r="C37" s="28">
        <v>703</v>
      </c>
      <c r="D37" s="28" t="s">
        <v>622</v>
      </c>
      <c r="E37" s="29">
        <v>4028</v>
      </c>
      <c r="F37" s="8" t="s">
        <v>667</v>
      </c>
      <c r="G37" s="8" t="s">
        <v>336</v>
      </c>
      <c r="H37" s="8" t="s">
        <v>24</v>
      </c>
      <c r="I37" s="30">
        <v>41893</v>
      </c>
      <c r="J37" s="12" t="s">
        <v>343</v>
      </c>
      <c r="K37" s="23" t="s">
        <v>711</v>
      </c>
      <c r="L37" s="23" t="s">
        <v>711</v>
      </c>
      <c r="M37" s="23" t="s">
        <v>711</v>
      </c>
      <c r="N37" s="23" t="s">
        <v>711</v>
      </c>
      <c r="O37" s="23" t="s">
        <v>711</v>
      </c>
      <c r="P37" s="23" t="s">
        <v>711</v>
      </c>
      <c r="Q37" s="23" t="s">
        <v>711</v>
      </c>
      <c r="R37" s="23" t="s">
        <v>711</v>
      </c>
      <c r="S37" s="24">
        <v>800</v>
      </c>
      <c r="T37" s="24" t="e">
        <f t="shared" si="0"/>
        <v>#VALUE!</v>
      </c>
      <c r="U37" s="31" t="e">
        <f t="shared" si="2"/>
        <v>#VALUE!</v>
      </c>
      <c r="V37" s="32" t="s">
        <v>715</v>
      </c>
    </row>
    <row r="38" spans="2:22" ht="39.950000000000003" customHeight="1" x14ac:dyDescent="0.35">
      <c r="B38" s="27">
        <v>29</v>
      </c>
      <c r="C38" s="28">
        <v>601</v>
      </c>
      <c r="D38" s="28" t="s">
        <v>622</v>
      </c>
      <c r="E38" s="29">
        <v>4029</v>
      </c>
      <c r="F38" s="8" t="s">
        <v>93</v>
      </c>
      <c r="G38" s="8" t="s">
        <v>94</v>
      </c>
      <c r="H38" s="8" t="s">
        <v>24</v>
      </c>
      <c r="I38" s="30">
        <v>41218</v>
      </c>
      <c r="J38" s="12" t="s">
        <v>338</v>
      </c>
      <c r="K38" s="23">
        <v>62</v>
      </c>
      <c r="L38" s="23">
        <v>44</v>
      </c>
      <c r="M38" s="24">
        <v>53</v>
      </c>
      <c r="N38" s="24">
        <v>40</v>
      </c>
      <c r="O38" s="24">
        <v>54</v>
      </c>
      <c r="P38" s="24">
        <v>35</v>
      </c>
      <c r="Q38" s="24">
        <v>58</v>
      </c>
      <c r="R38" s="24">
        <v>94</v>
      </c>
      <c r="S38" s="24">
        <v>800</v>
      </c>
      <c r="T38" s="24">
        <f t="shared" si="0"/>
        <v>440</v>
      </c>
      <c r="U38" s="31">
        <f t="shared" si="2"/>
        <v>0.55000000000000004</v>
      </c>
      <c r="V38" s="32"/>
    </row>
    <row r="39" spans="2:22" ht="35.1" customHeight="1" x14ac:dyDescent="0.35">
      <c r="B39" s="27">
        <v>30</v>
      </c>
      <c r="C39" s="28">
        <v>494</v>
      </c>
      <c r="D39" s="28" t="s">
        <v>622</v>
      </c>
      <c r="E39" s="29">
        <v>4030</v>
      </c>
      <c r="F39" s="8" t="s">
        <v>670</v>
      </c>
      <c r="G39" s="8" t="s">
        <v>91</v>
      </c>
      <c r="H39" s="8" t="s">
        <v>24</v>
      </c>
      <c r="I39" s="30">
        <v>41857</v>
      </c>
      <c r="J39" s="12" t="s">
        <v>341</v>
      </c>
      <c r="K39" s="23">
        <v>51</v>
      </c>
      <c r="L39" s="23">
        <v>33</v>
      </c>
      <c r="M39" s="24">
        <v>58</v>
      </c>
      <c r="N39" s="24">
        <v>33</v>
      </c>
      <c r="O39" s="24">
        <v>45</v>
      </c>
      <c r="P39" s="24">
        <v>44</v>
      </c>
      <c r="Q39" s="24">
        <v>33</v>
      </c>
      <c r="R39" s="24">
        <v>98</v>
      </c>
      <c r="S39" s="24">
        <v>800</v>
      </c>
      <c r="T39" s="24">
        <f t="shared" si="0"/>
        <v>395</v>
      </c>
      <c r="U39" s="31">
        <f t="shared" si="2"/>
        <v>0.49375000000000002</v>
      </c>
      <c r="V39" s="32"/>
    </row>
    <row r="40" spans="2:22" ht="35.1" customHeight="1" x14ac:dyDescent="0.35">
      <c r="B40" s="27">
        <v>31</v>
      </c>
      <c r="C40" s="28">
        <v>508</v>
      </c>
      <c r="D40" s="28" t="s">
        <v>622</v>
      </c>
      <c r="E40" s="29">
        <v>4031</v>
      </c>
      <c r="F40" s="8" t="s">
        <v>669</v>
      </c>
      <c r="G40" s="8" t="s">
        <v>114</v>
      </c>
      <c r="H40" s="8" t="s">
        <v>24</v>
      </c>
      <c r="I40" s="30" t="s">
        <v>280</v>
      </c>
      <c r="J40" s="12" t="s">
        <v>342</v>
      </c>
      <c r="K40" s="23">
        <v>40</v>
      </c>
      <c r="L40" s="41">
        <v>1</v>
      </c>
      <c r="M40" s="24">
        <v>33</v>
      </c>
      <c r="N40" s="24">
        <v>33</v>
      </c>
      <c r="O40" s="24">
        <v>42</v>
      </c>
      <c r="P40" s="24">
        <v>33</v>
      </c>
      <c r="Q40" s="24">
        <v>1</v>
      </c>
      <c r="R40" s="24">
        <v>96</v>
      </c>
      <c r="S40" s="24">
        <v>800</v>
      </c>
      <c r="T40" s="24">
        <f t="shared" si="0"/>
        <v>279</v>
      </c>
      <c r="U40" s="31">
        <f t="shared" si="2"/>
        <v>0.34875</v>
      </c>
      <c r="V40" s="32" t="s">
        <v>850</v>
      </c>
    </row>
    <row r="41" spans="2:22" ht="39.950000000000003" customHeight="1" x14ac:dyDescent="0.35">
      <c r="B41" s="27">
        <v>32</v>
      </c>
      <c r="C41" s="28">
        <v>710</v>
      </c>
      <c r="D41" s="28" t="s">
        <v>622</v>
      </c>
      <c r="E41" s="29">
        <v>4032</v>
      </c>
      <c r="F41" s="8" t="s">
        <v>360</v>
      </c>
      <c r="G41" s="8" t="s">
        <v>361</v>
      </c>
      <c r="H41" s="8" t="s">
        <v>24</v>
      </c>
      <c r="I41" s="30" t="s">
        <v>362</v>
      </c>
      <c r="J41" s="12" t="s">
        <v>343</v>
      </c>
      <c r="K41" s="23">
        <v>56</v>
      </c>
      <c r="L41" s="41">
        <v>4</v>
      </c>
      <c r="M41" s="24">
        <v>34</v>
      </c>
      <c r="N41" s="42">
        <v>17</v>
      </c>
      <c r="O41" s="24">
        <v>57</v>
      </c>
      <c r="P41" s="24">
        <v>33</v>
      </c>
      <c r="Q41" s="24">
        <v>33</v>
      </c>
      <c r="R41" s="24">
        <v>90</v>
      </c>
      <c r="S41" s="24">
        <v>800</v>
      </c>
      <c r="T41" s="24">
        <f t="shared" si="0"/>
        <v>324</v>
      </c>
      <c r="U41" s="31">
        <f t="shared" si="2"/>
        <v>0.40500000000000003</v>
      </c>
      <c r="V41" s="32"/>
    </row>
    <row r="42" spans="2:22" ht="52.5" customHeight="1" x14ac:dyDescent="0.35">
      <c r="B42" s="27">
        <v>33</v>
      </c>
      <c r="C42" s="28">
        <v>711</v>
      </c>
      <c r="D42" s="28" t="s">
        <v>622</v>
      </c>
      <c r="E42" s="29">
        <v>4033</v>
      </c>
      <c r="F42" s="8" t="s">
        <v>363</v>
      </c>
      <c r="G42" s="8" t="s">
        <v>445</v>
      </c>
      <c r="H42" s="8" t="s">
        <v>24</v>
      </c>
      <c r="I42" s="30" t="s">
        <v>364</v>
      </c>
      <c r="J42" s="12" t="s">
        <v>343</v>
      </c>
      <c r="K42" s="23">
        <v>95</v>
      </c>
      <c r="L42" s="23">
        <v>80</v>
      </c>
      <c r="M42" s="24">
        <v>96</v>
      </c>
      <c r="N42" s="24">
        <v>88</v>
      </c>
      <c r="O42" s="24">
        <v>60</v>
      </c>
      <c r="P42" s="24">
        <v>74</v>
      </c>
      <c r="Q42" s="24">
        <v>93</v>
      </c>
      <c r="R42" s="24">
        <v>93</v>
      </c>
      <c r="S42" s="24">
        <v>800</v>
      </c>
      <c r="T42" s="24">
        <f t="shared" si="0"/>
        <v>679</v>
      </c>
      <c r="U42" s="31">
        <f t="shared" si="2"/>
        <v>0.84875</v>
      </c>
      <c r="V42" s="32" t="s">
        <v>852</v>
      </c>
    </row>
    <row r="43" spans="2:22" ht="39.950000000000003" customHeight="1" x14ac:dyDescent="0.35">
      <c r="B43" s="27">
        <v>34</v>
      </c>
      <c r="C43" s="28">
        <v>600</v>
      </c>
      <c r="D43" s="28" t="s">
        <v>622</v>
      </c>
      <c r="E43" s="29">
        <v>4034</v>
      </c>
      <c r="F43" s="8" t="s">
        <v>92</v>
      </c>
      <c r="G43" s="8" t="s">
        <v>671</v>
      </c>
      <c r="H43" s="8" t="s">
        <v>24</v>
      </c>
      <c r="I43" s="30" t="s">
        <v>307</v>
      </c>
      <c r="J43" s="12">
        <v>44903</v>
      </c>
      <c r="K43" s="23">
        <v>57</v>
      </c>
      <c r="L43" s="23">
        <v>59</v>
      </c>
      <c r="M43" s="24">
        <v>71</v>
      </c>
      <c r="N43" s="24">
        <v>75</v>
      </c>
      <c r="O43" s="24">
        <v>44</v>
      </c>
      <c r="P43" s="24">
        <v>66</v>
      </c>
      <c r="Q43" s="24">
        <v>79</v>
      </c>
      <c r="R43" s="24">
        <v>85</v>
      </c>
      <c r="S43" s="24">
        <v>800</v>
      </c>
      <c r="T43" s="24">
        <f t="shared" si="0"/>
        <v>536</v>
      </c>
      <c r="U43" s="31">
        <f t="shared" si="2"/>
        <v>0.67</v>
      </c>
      <c r="V43" s="32"/>
    </row>
    <row r="44" spans="2:22" ht="35.1" customHeight="1" x14ac:dyDescent="0.35">
      <c r="B44" s="27">
        <v>35</v>
      </c>
      <c r="C44" s="28">
        <v>640</v>
      </c>
      <c r="D44" s="28" t="s">
        <v>622</v>
      </c>
      <c r="E44" s="29">
        <v>4035</v>
      </c>
      <c r="F44" s="8" t="s">
        <v>141</v>
      </c>
      <c r="G44" s="8" t="s">
        <v>142</v>
      </c>
      <c r="H44" s="8" t="s">
        <v>24</v>
      </c>
      <c r="I44" s="30" t="s">
        <v>312</v>
      </c>
      <c r="J44" s="12">
        <v>44629</v>
      </c>
      <c r="K44" s="23">
        <v>42</v>
      </c>
      <c r="L44" s="23">
        <v>35</v>
      </c>
      <c r="M44" s="24">
        <v>22</v>
      </c>
      <c r="N44" s="24">
        <v>33</v>
      </c>
      <c r="O44" s="24">
        <v>55</v>
      </c>
      <c r="P44" s="24">
        <v>55</v>
      </c>
      <c r="Q44" s="24">
        <v>17</v>
      </c>
      <c r="R44" s="24">
        <v>99</v>
      </c>
      <c r="S44" s="24">
        <v>800</v>
      </c>
      <c r="T44" s="24">
        <f t="shared" si="0"/>
        <v>358</v>
      </c>
      <c r="U44" s="31">
        <f t="shared" si="2"/>
        <v>0.44750000000000001</v>
      </c>
      <c r="V44" s="32" t="s">
        <v>850</v>
      </c>
    </row>
    <row r="45" spans="2:22" ht="35.1" customHeight="1" x14ac:dyDescent="0.35">
      <c r="B45" s="27">
        <v>36</v>
      </c>
      <c r="C45" s="28">
        <v>761</v>
      </c>
      <c r="D45" s="28" t="s">
        <v>622</v>
      </c>
      <c r="E45" s="29">
        <v>4036</v>
      </c>
      <c r="F45" s="8" t="s">
        <v>535</v>
      </c>
      <c r="G45" s="8" t="s">
        <v>536</v>
      </c>
      <c r="H45" s="8" t="s">
        <v>24</v>
      </c>
      <c r="I45" s="30">
        <v>41009</v>
      </c>
      <c r="J45" s="12" t="s">
        <v>537</v>
      </c>
      <c r="K45" s="23">
        <v>94</v>
      </c>
      <c r="L45" s="23">
        <v>43</v>
      </c>
      <c r="M45" s="24">
        <v>75</v>
      </c>
      <c r="N45" s="24">
        <v>49</v>
      </c>
      <c r="O45" s="24">
        <v>52</v>
      </c>
      <c r="P45" s="24">
        <v>56</v>
      </c>
      <c r="Q45" s="24">
        <v>79</v>
      </c>
      <c r="R45" s="24">
        <v>96</v>
      </c>
      <c r="S45" s="24">
        <v>800</v>
      </c>
      <c r="T45" s="24">
        <f t="shared" si="0"/>
        <v>544</v>
      </c>
      <c r="U45" s="31">
        <f t="shared" si="2"/>
        <v>0.68</v>
      </c>
      <c r="V45" s="32"/>
    </row>
    <row r="46" spans="2:22" ht="35.1" customHeight="1" x14ac:dyDescent="0.35">
      <c r="B46" s="27">
        <v>37</v>
      </c>
      <c r="C46" s="28">
        <v>470</v>
      </c>
      <c r="D46" s="28" t="s">
        <v>622</v>
      </c>
      <c r="E46" s="29">
        <v>4037</v>
      </c>
      <c r="F46" s="8" t="s">
        <v>112</v>
      </c>
      <c r="G46" s="8" t="s">
        <v>113</v>
      </c>
      <c r="H46" s="8" t="s">
        <v>24</v>
      </c>
      <c r="I46" s="30" t="s">
        <v>279</v>
      </c>
      <c r="J46" s="12">
        <v>43992</v>
      </c>
      <c r="K46" s="23">
        <v>45</v>
      </c>
      <c r="L46" s="23">
        <v>33</v>
      </c>
      <c r="M46" s="24">
        <v>25</v>
      </c>
      <c r="N46" s="24">
        <v>33</v>
      </c>
      <c r="O46" s="24">
        <v>40</v>
      </c>
      <c r="P46" s="24">
        <v>33</v>
      </c>
      <c r="Q46" s="24">
        <v>33</v>
      </c>
      <c r="R46" s="24">
        <v>73</v>
      </c>
      <c r="S46" s="24">
        <v>800</v>
      </c>
      <c r="T46" s="24">
        <f t="shared" si="0"/>
        <v>315</v>
      </c>
      <c r="U46" s="31">
        <f t="shared" si="2"/>
        <v>0.39374999999999999</v>
      </c>
      <c r="V46" s="32"/>
    </row>
    <row r="47" spans="2:22" ht="39.950000000000003" customHeight="1" x14ac:dyDescent="0.35">
      <c r="B47" s="27">
        <v>38</v>
      </c>
      <c r="C47" s="28">
        <v>642</v>
      </c>
      <c r="D47" s="28" t="s">
        <v>622</v>
      </c>
      <c r="E47" s="29">
        <v>4038</v>
      </c>
      <c r="F47" s="8" t="s">
        <v>645</v>
      </c>
      <c r="G47" s="8" t="s">
        <v>108</v>
      </c>
      <c r="H47" s="8" t="s">
        <v>24</v>
      </c>
      <c r="I47" s="30" t="s">
        <v>311</v>
      </c>
      <c r="J47" s="12" t="s">
        <v>340</v>
      </c>
      <c r="K47" s="23">
        <v>52</v>
      </c>
      <c r="L47" s="23">
        <v>46</v>
      </c>
      <c r="M47" s="24">
        <v>64</v>
      </c>
      <c r="N47" s="24">
        <v>38</v>
      </c>
      <c r="O47" s="24">
        <v>45</v>
      </c>
      <c r="P47" s="24">
        <v>40</v>
      </c>
      <c r="Q47" s="24">
        <v>66</v>
      </c>
      <c r="R47" s="24">
        <v>98</v>
      </c>
      <c r="S47" s="24">
        <v>800</v>
      </c>
      <c r="T47" s="24">
        <f t="shared" si="0"/>
        <v>449</v>
      </c>
      <c r="U47" s="31">
        <f t="shared" si="2"/>
        <v>0.56125000000000003</v>
      </c>
      <c r="V47" s="32"/>
    </row>
    <row r="48" spans="2:22" ht="39.950000000000003" customHeight="1" x14ac:dyDescent="0.35">
      <c r="B48" s="27">
        <v>39</v>
      </c>
      <c r="C48" s="10">
        <v>779</v>
      </c>
      <c r="D48" s="28" t="s">
        <v>622</v>
      </c>
      <c r="E48" s="29">
        <v>4039</v>
      </c>
      <c r="F48" s="8" t="s">
        <v>639</v>
      </c>
      <c r="G48" s="8" t="s">
        <v>640</v>
      </c>
      <c r="H48" s="8" t="s">
        <v>24</v>
      </c>
      <c r="I48" s="34">
        <v>41511</v>
      </c>
      <c r="J48" s="14">
        <v>45252</v>
      </c>
      <c r="K48" s="23">
        <v>55</v>
      </c>
      <c r="L48" s="23">
        <v>33</v>
      </c>
      <c r="M48" s="24">
        <v>39</v>
      </c>
      <c r="N48" s="42">
        <v>1</v>
      </c>
      <c r="O48" s="24">
        <v>35</v>
      </c>
      <c r="P48" s="24">
        <v>33</v>
      </c>
      <c r="Q48" s="24">
        <v>1</v>
      </c>
      <c r="R48" s="24">
        <v>86</v>
      </c>
      <c r="S48" s="24">
        <v>800</v>
      </c>
      <c r="T48" s="24">
        <f t="shared" si="0"/>
        <v>283</v>
      </c>
      <c r="U48" s="31">
        <f t="shared" si="2"/>
        <v>0.35375000000000001</v>
      </c>
      <c r="V48" s="32" t="s">
        <v>850</v>
      </c>
    </row>
    <row r="49" spans="2:22" ht="39.950000000000003" customHeight="1" x14ac:dyDescent="0.35">
      <c r="B49" s="27">
        <v>40</v>
      </c>
      <c r="C49" s="28">
        <v>607</v>
      </c>
      <c r="D49" s="28" t="s">
        <v>622</v>
      </c>
      <c r="E49" s="29">
        <v>4040</v>
      </c>
      <c r="F49" s="8" t="s">
        <v>705</v>
      </c>
      <c r="G49" s="8" t="s">
        <v>22</v>
      </c>
      <c r="H49" s="8" t="s">
        <v>24</v>
      </c>
      <c r="I49" s="30">
        <v>41183</v>
      </c>
      <c r="J49" s="12" t="s">
        <v>338</v>
      </c>
      <c r="K49" s="23">
        <v>93</v>
      </c>
      <c r="L49" s="23">
        <v>80</v>
      </c>
      <c r="M49" s="24">
        <v>80</v>
      </c>
      <c r="N49" s="24">
        <v>93</v>
      </c>
      <c r="O49" s="24">
        <v>76</v>
      </c>
      <c r="P49" s="24">
        <v>83</v>
      </c>
      <c r="Q49" s="24">
        <v>92</v>
      </c>
      <c r="R49" s="24">
        <v>99</v>
      </c>
      <c r="S49" s="24">
        <v>800</v>
      </c>
      <c r="T49" s="24">
        <f t="shared" si="0"/>
        <v>696</v>
      </c>
      <c r="U49" s="31">
        <f t="shared" si="2"/>
        <v>0.87</v>
      </c>
      <c r="V49" s="32" t="s">
        <v>851</v>
      </c>
    </row>
    <row r="50" spans="2:22" ht="35.1" customHeight="1" x14ac:dyDescent="0.35">
      <c r="B50" s="27">
        <v>41</v>
      </c>
      <c r="C50" s="28">
        <v>437</v>
      </c>
      <c r="D50" s="28" t="s">
        <v>622</v>
      </c>
      <c r="E50" s="29">
        <v>4041</v>
      </c>
      <c r="F50" s="8" t="s">
        <v>111</v>
      </c>
      <c r="G50" s="8" t="s">
        <v>15</v>
      </c>
      <c r="H50" s="8" t="s">
        <v>24</v>
      </c>
      <c r="I50" s="30">
        <v>41276</v>
      </c>
      <c r="J50" s="12">
        <v>43777</v>
      </c>
      <c r="K50" s="23">
        <v>86</v>
      </c>
      <c r="L50" s="23">
        <v>59</v>
      </c>
      <c r="M50" s="24">
        <v>70</v>
      </c>
      <c r="N50" s="24">
        <v>69</v>
      </c>
      <c r="O50" s="24">
        <v>96</v>
      </c>
      <c r="P50" s="24">
        <v>75</v>
      </c>
      <c r="Q50" s="24">
        <v>75</v>
      </c>
      <c r="R50" s="24">
        <v>97</v>
      </c>
      <c r="S50" s="24">
        <v>800</v>
      </c>
      <c r="T50" s="24">
        <f t="shared" si="0"/>
        <v>627</v>
      </c>
      <c r="U50" s="31">
        <f t="shared" si="2"/>
        <v>0.78374999999999995</v>
      </c>
      <c r="V50" s="32"/>
    </row>
    <row r="51" spans="2:22" ht="35.1" customHeight="1" x14ac:dyDescent="0.35">
      <c r="B51" s="27">
        <v>42</v>
      </c>
      <c r="C51" s="28">
        <v>504</v>
      </c>
      <c r="D51" s="28" t="s">
        <v>622</v>
      </c>
      <c r="E51" s="29">
        <v>4042</v>
      </c>
      <c r="F51" s="8" t="s">
        <v>668</v>
      </c>
      <c r="G51" s="8" t="s">
        <v>18</v>
      </c>
      <c r="H51" s="8" t="s">
        <v>24</v>
      </c>
      <c r="I51" s="30">
        <v>41859</v>
      </c>
      <c r="J51" s="12" t="s">
        <v>341</v>
      </c>
      <c r="K51" s="23">
        <v>72</v>
      </c>
      <c r="L51" s="23">
        <v>70</v>
      </c>
      <c r="M51" s="24">
        <v>75</v>
      </c>
      <c r="N51" s="24">
        <v>84</v>
      </c>
      <c r="O51" s="24">
        <v>44</v>
      </c>
      <c r="P51" s="24">
        <v>62</v>
      </c>
      <c r="Q51" s="24">
        <v>75</v>
      </c>
      <c r="R51" s="24">
        <v>93</v>
      </c>
      <c r="S51" s="24">
        <v>800</v>
      </c>
      <c r="T51" s="24">
        <f t="shared" si="0"/>
        <v>575</v>
      </c>
      <c r="U51" s="31">
        <f t="shared" si="2"/>
        <v>0.71875</v>
      </c>
      <c r="V51" s="32"/>
    </row>
    <row r="52" spans="2:22" ht="35.1" customHeight="1" x14ac:dyDescent="0.35">
      <c r="B52" s="27">
        <v>43</v>
      </c>
      <c r="C52" s="36">
        <v>758</v>
      </c>
      <c r="D52" s="28" t="s">
        <v>622</v>
      </c>
      <c r="E52" s="29">
        <v>4043</v>
      </c>
      <c r="F52" s="43" t="s">
        <v>673</v>
      </c>
      <c r="G52" s="43" t="s">
        <v>419</v>
      </c>
      <c r="H52" s="43" t="s">
        <v>24</v>
      </c>
      <c r="I52" s="39">
        <v>40667</v>
      </c>
      <c r="J52" s="40">
        <v>45168</v>
      </c>
      <c r="K52" s="24">
        <v>33</v>
      </c>
      <c r="L52" s="23">
        <v>33</v>
      </c>
      <c r="M52" s="24">
        <v>33</v>
      </c>
      <c r="N52" s="24">
        <v>33</v>
      </c>
      <c r="O52" s="24">
        <v>40</v>
      </c>
      <c r="P52" s="24">
        <v>8</v>
      </c>
      <c r="Q52" s="24">
        <v>0</v>
      </c>
      <c r="R52" s="24">
        <v>70</v>
      </c>
      <c r="S52" s="24">
        <v>800</v>
      </c>
      <c r="T52" s="24">
        <f t="shared" si="0"/>
        <v>250</v>
      </c>
      <c r="U52" s="31">
        <f t="shared" si="2"/>
        <v>0.3125</v>
      </c>
      <c r="V52" s="32" t="s">
        <v>850</v>
      </c>
    </row>
    <row r="53" spans="2:22" ht="35.1" customHeight="1" x14ac:dyDescent="0.35">
      <c r="B53" s="27">
        <v>44</v>
      </c>
      <c r="C53" s="28">
        <v>420</v>
      </c>
      <c r="D53" s="28" t="s">
        <v>622</v>
      </c>
      <c r="E53" s="29">
        <v>4044</v>
      </c>
      <c r="F53" s="8" t="s">
        <v>289</v>
      </c>
      <c r="G53" s="8" t="s">
        <v>164</v>
      </c>
      <c r="H53" s="8" t="s">
        <v>24</v>
      </c>
      <c r="I53" s="30" t="s">
        <v>290</v>
      </c>
      <c r="J53" s="12">
        <v>43384</v>
      </c>
      <c r="K53" s="23">
        <v>44</v>
      </c>
      <c r="L53" s="23">
        <v>53</v>
      </c>
      <c r="M53" s="24">
        <v>71</v>
      </c>
      <c r="N53" s="24">
        <v>57</v>
      </c>
      <c r="O53" s="24">
        <v>50</v>
      </c>
      <c r="P53" s="24">
        <v>53</v>
      </c>
      <c r="Q53" s="24">
        <v>60</v>
      </c>
      <c r="R53" s="24">
        <v>88</v>
      </c>
      <c r="S53" s="24">
        <v>800</v>
      </c>
      <c r="T53" s="24">
        <f t="shared" si="0"/>
        <v>476</v>
      </c>
      <c r="U53" s="31">
        <f t="shared" si="2"/>
        <v>0.59499999999999997</v>
      </c>
      <c r="V53" s="32"/>
    </row>
    <row r="54" spans="2:22" ht="35.1" customHeight="1" x14ac:dyDescent="0.35">
      <c r="B54" s="27">
        <v>45</v>
      </c>
      <c r="C54" s="28">
        <v>705</v>
      </c>
      <c r="D54" s="28" t="s">
        <v>622</v>
      </c>
      <c r="E54" s="29">
        <v>4045</v>
      </c>
      <c r="F54" s="8" t="s">
        <v>348</v>
      </c>
      <c r="G54" s="8" t="s">
        <v>19</v>
      </c>
      <c r="H54" s="8" t="s">
        <v>24</v>
      </c>
      <c r="I54" s="30" t="s">
        <v>349</v>
      </c>
      <c r="J54" s="12" t="s">
        <v>343</v>
      </c>
      <c r="K54" s="23">
        <v>68</v>
      </c>
      <c r="L54" s="23">
        <v>52</v>
      </c>
      <c r="M54" s="24">
        <v>66</v>
      </c>
      <c r="N54" s="24">
        <v>56</v>
      </c>
      <c r="O54" s="24">
        <v>50</v>
      </c>
      <c r="P54" s="24">
        <v>58</v>
      </c>
      <c r="Q54" s="24">
        <v>52</v>
      </c>
      <c r="R54" s="24">
        <v>85</v>
      </c>
      <c r="S54" s="24">
        <v>800</v>
      </c>
      <c r="T54" s="24">
        <f t="shared" si="0"/>
        <v>487</v>
      </c>
      <c r="U54" s="31">
        <f t="shared" si="2"/>
        <v>0.60875000000000001</v>
      </c>
      <c r="V54" s="32"/>
    </row>
    <row r="55" spans="2:22" x14ac:dyDescent="0.25">
      <c r="B55" s="1"/>
      <c r="C55" s="1"/>
      <c r="D55" s="1"/>
      <c r="E55" s="1"/>
    </row>
    <row r="56" spans="2:22" ht="23.25" x14ac:dyDescent="0.25">
      <c r="B56" s="1"/>
      <c r="C56" s="1"/>
      <c r="D56" s="1"/>
      <c r="E56" s="1"/>
      <c r="V56" s="15"/>
    </row>
    <row r="57" spans="2:22" ht="23.25" x14ac:dyDescent="0.35">
      <c r="B57" s="1"/>
      <c r="C57" s="1"/>
      <c r="D57" s="1"/>
      <c r="E57" s="1"/>
      <c r="F57" s="15"/>
      <c r="G57" s="15"/>
      <c r="H57" s="15"/>
      <c r="I57" s="16"/>
      <c r="J57" s="17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 t="s">
        <v>717</v>
      </c>
    </row>
    <row r="58" spans="2:22" ht="23.25" x14ac:dyDescent="0.35">
      <c r="B58" s="1"/>
      <c r="C58" s="1"/>
      <c r="D58" s="1"/>
      <c r="E58" s="1"/>
      <c r="F58" s="18" t="s">
        <v>713</v>
      </c>
      <c r="G58" s="15"/>
      <c r="H58" s="15"/>
      <c r="I58" s="16"/>
      <c r="J58" s="17"/>
      <c r="K58" s="15"/>
      <c r="L58" s="15"/>
      <c r="M58" s="15"/>
      <c r="N58" s="15"/>
      <c r="O58" s="15"/>
      <c r="P58" s="15"/>
      <c r="Q58" s="153" t="s">
        <v>714</v>
      </c>
      <c r="R58" s="153"/>
      <c r="S58" s="15"/>
      <c r="T58" s="15"/>
      <c r="U58" s="15"/>
      <c r="V58" s="15"/>
    </row>
  </sheetData>
  <autoFilter ref="B7:L54">
    <sortState ref="B5:L49">
      <sortCondition ref="H5:H49"/>
      <sortCondition ref="F5:F49"/>
    </sortState>
  </autoFilter>
  <sortState ref="B5:L47">
    <sortCondition ref="F5:F47"/>
  </sortState>
  <mergeCells count="20">
    <mergeCell ref="B31:V31"/>
    <mergeCell ref="B8:V8"/>
    <mergeCell ref="H5:H7"/>
    <mergeCell ref="I5:I7"/>
    <mergeCell ref="Q58:R58"/>
    <mergeCell ref="J5:J7"/>
    <mergeCell ref="B2:V2"/>
    <mergeCell ref="B3:V3"/>
    <mergeCell ref="K5:R5"/>
    <mergeCell ref="S5:S6"/>
    <mergeCell ref="B4:V4"/>
    <mergeCell ref="T5:T7"/>
    <mergeCell ref="V5:V7"/>
    <mergeCell ref="U5:U7"/>
    <mergeCell ref="B5:B7"/>
    <mergeCell ref="C5:C7"/>
    <mergeCell ref="D5:D7"/>
    <mergeCell ref="E5:E7"/>
    <mergeCell ref="F5:F7"/>
    <mergeCell ref="G5:G7"/>
  </mergeCells>
  <conditionalFormatting sqref="K9:R30 K32:R54">
    <cfRule type="cellIs" dxfId="7" priority="1" operator="lessThan">
      <formula>33</formula>
    </cfRule>
  </conditionalFormatting>
  <pageMargins left="0.2" right="0.2" top="0.25" bottom="0.25" header="0.3" footer="0.3"/>
  <pageSetup paperSize="9" scale="46" fitToHeight="3" orientation="landscape" r:id="rId1"/>
  <rowBreaks count="1" manualBreakCount="1">
    <brk id="30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56"/>
  <sheetViews>
    <sheetView view="pageBreakPreview" zoomScale="60" zoomScaleNormal="70" workbookViewId="0">
      <pane ySplit="7" topLeftCell="A35" activePane="bottomLeft" state="frozen"/>
      <selection activeCell="B5" sqref="B5:V48"/>
      <selection pane="bottomLeft" activeCell="K44" sqref="K44"/>
    </sheetView>
  </sheetViews>
  <sheetFormatPr defaultColWidth="10" defaultRowHeight="15" x14ac:dyDescent="0.25"/>
  <cols>
    <col min="2" max="3" width="6.140625" customWidth="1"/>
    <col min="4" max="4" width="8.7109375" bestFit="1" customWidth="1"/>
    <col min="5" max="5" width="11" bestFit="1" customWidth="1"/>
    <col min="6" max="7" width="27.7109375" customWidth="1"/>
    <col min="8" max="8" width="11.42578125" customWidth="1"/>
    <col min="9" max="9" width="18.5703125" style="1" bestFit="1" customWidth="1"/>
    <col min="10" max="10" width="18.7109375" style="2" bestFit="1" customWidth="1"/>
    <col min="11" max="18" width="12.7109375" customWidth="1"/>
    <col min="19" max="19" width="10.140625" bestFit="1" customWidth="1"/>
    <col min="20" max="21" width="13.5703125" bestFit="1" customWidth="1"/>
    <col min="22" max="22" width="25.7109375" customWidth="1"/>
  </cols>
  <sheetData>
    <row r="2" spans="2:22" ht="27.75" x14ac:dyDescent="0.25">
      <c r="B2" s="143" t="s">
        <v>699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</row>
    <row r="3" spans="2:22" ht="27.75" x14ac:dyDescent="0.25">
      <c r="B3" s="143" t="s">
        <v>696</v>
      </c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</row>
    <row r="4" spans="2:22" ht="28.5" thickBot="1" x14ac:dyDescent="0.3">
      <c r="B4" s="143" t="s">
        <v>697</v>
      </c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</row>
    <row r="5" spans="2:22" ht="25.5" x14ac:dyDescent="0.25">
      <c r="B5" s="184" t="s">
        <v>698</v>
      </c>
      <c r="C5" s="180" t="s">
        <v>334</v>
      </c>
      <c r="D5" s="180" t="s">
        <v>335</v>
      </c>
      <c r="E5" s="180" t="s">
        <v>681</v>
      </c>
      <c r="F5" s="180" t="s">
        <v>0</v>
      </c>
      <c r="G5" s="180" t="s">
        <v>1</v>
      </c>
      <c r="H5" s="180" t="s">
        <v>2</v>
      </c>
      <c r="I5" s="189" t="s">
        <v>337</v>
      </c>
      <c r="J5" s="180" t="s">
        <v>618</v>
      </c>
      <c r="K5" s="179" t="s">
        <v>685</v>
      </c>
      <c r="L5" s="179"/>
      <c r="M5" s="179"/>
      <c r="N5" s="179"/>
      <c r="O5" s="179"/>
      <c r="P5" s="179"/>
      <c r="Q5" s="179"/>
      <c r="R5" s="179"/>
      <c r="S5" s="180" t="s">
        <v>694</v>
      </c>
      <c r="T5" s="180" t="s">
        <v>695</v>
      </c>
      <c r="U5" s="180" t="s">
        <v>700</v>
      </c>
      <c r="V5" s="182" t="s">
        <v>617</v>
      </c>
    </row>
    <row r="6" spans="2:22" ht="95.25" customHeight="1" x14ac:dyDescent="0.25">
      <c r="B6" s="185"/>
      <c r="C6" s="181"/>
      <c r="D6" s="181"/>
      <c r="E6" s="181"/>
      <c r="F6" s="181"/>
      <c r="G6" s="181"/>
      <c r="H6" s="181"/>
      <c r="I6" s="190"/>
      <c r="J6" s="181"/>
      <c r="K6" s="4" t="s">
        <v>686</v>
      </c>
      <c r="L6" s="4" t="s">
        <v>687</v>
      </c>
      <c r="M6" s="4" t="s">
        <v>688</v>
      </c>
      <c r="N6" s="4" t="s">
        <v>689</v>
      </c>
      <c r="O6" s="4" t="s">
        <v>690</v>
      </c>
      <c r="P6" s="4" t="s">
        <v>691</v>
      </c>
      <c r="Q6" s="4" t="s">
        <v>692</v>
      </c>
      <c r="R6" s="4" t="s">
        <v>693</v>
      </c>
      <c r="S6" s="181"/>
      <c r="T6" s="181"/>
      <c r="U6" s="181"/>
      <c r="V6" s="183"/>
    </row>
    <row r="7" spans="2:22" ht="40.5" customHeight="1" thickBot="1" x14ac:dyDescent="0.3">
      <c r="B7" s="185"/>
      <c r="C7" s="181"/>
      <c r="D7" s="181"/>
      <c r="E7" s="181"/>
      <c r="F7" s="181"/>
      <c r="G7" s="181"/>
      <c r="H7" s="181"/>
      <c r="I7" s="190"/>
      <c r="J7" s="181"/>
      <c r="K7" s="5">
        <v>100</v>
      </c>
      <c r="L7" s="5">
        <v>100</v>
      </c>
      <c r="M7" s="5">
        <v>100</v>
      </c>
      <c r="N7" s="5">
        <v>100</v>
      </c>
      <c r="O7" s="5">
        <v>100</v>
      </c>
      <c r="P7" s="5">
        <v>100</v>
      </c>
      <c r="Q7" s="5">
        <v>100</v>
      </c>
      <c r="R7" s="5">
        <v>100</v>
      </c>
      <c r="S7" s="5">
        <f>SUM(K7:R7)</f>
        <v>800</v>
      </c>
      <c r="T7" s="181"/>
      <c r="U7" s="181"/>
      <c r="V7" s="183"/>
    </row>
    <row r="8" spans="2:22" ht="54.95" customHeight="1" thickBot="1" x14ac:dyDescent="0.7">
      <c r="B8" s="186" t="s">
        <v>682</v>
      </c>
      <c r="C8" s="187"/>
      <c r="D8" s="187"/>
      <c r="E8" s="187"/>
      <c r="F8" s="187"/>
      <c r="G8" s="187"/>
      <c r="H8" s="187"/>
      <c r="I8" s="187"/>
      <c r="J8" s="187"/>
      <c r="K8" s="187"/>
      <c r="L8" s="187"/>
      <c r="M8" s="187"/>
      <c r="N8" s="187"/>
      <c r="O8" s="187"/>
      <c r="P8" s="187"/>
      <c r="Q8" s="187"/>
      <c r="R8" s="187"/>
      <c r="S8" s="187"/>
      <c r="T8" s="187"/>
      <c r="U8" s="187"/>
      <c r="V8" s="188"/>
    </row>
    <row r="9" spans="2:22" ht="39.950000000000003" customHeight="1" x14ac:dyDescent="0.35">
      <c r="B9" s="27">
        <v>1</v>
      </c>
      <c r="C9" s="28">
        <v>713</v>
      </c>
      <c r="D9" s="28" t="s">
        <v>623</v>
      </c>
      <c r="E9" s="29">
        <v>5001</v>
      </c>
      <c r="F9" s="8" t="s">
        <v>658</v>
      </c>
      <c r="G9" s="8" t="s">
        <v>19</v>
      </c>
      <c r="H9" s="8" t="s">
        <v>23</v>
      </c>
      <c r="I9" s="30" t="s">
        <v>382</v>
      </c>
      <c r="J9" s="12" t="s">
        <v>379</v>
      </c>
      <c r="K9" s="23">
        <v>95</v>
      </c>
      <c r="L9" s="23">
        <v>64</v>
      </c>
      <c r="M9" s="24">
        <v>94</v>
      </c>
      <c r="N9" s="24">
        <v>90.5</v>
      </c>
      <c r="O9" s="24">
        <v>41</v>
      </c>
      <c r="P9" s="24">
        <v>62</v>
      </c>
      <c r="Q9" s="24">
        <v>73</v>
      </c>
      <c r="R9" s="24">
        <v>98</v>
      </c>
      <c r="S9" s="24">
        <v>800</v>
      </c>
      <c r="T9" s="24">
        <f t="shared" ref="T9:T49" si="0">K9+L9+M9+N9+O9+P9+Q9+R9</f>
        <v>617.5</v>
      </c>
      <c r="U9" s="31">
        <f t="shared" ref="U9" si="1">T9/S9</f>
        <v>0.77187499999999998</v>
      </c>
      <c r="V9" s="32"/>
    </row>
    <row r="10" spans="2:22" ht="39.950000000000003" customHeight="1" x14ac:dyDescent="0.35">
      <c r="B10" s="27">
        <v>2</v>
      </c>
      <c r="C10" s="28">
        <v>354</v>
      </c>
      <c r="D10" s="28" t="s">
        <v>623</v>
      </c>
      <c r="E10" s="29">
        <v>5002</v>
      </c>
      <c r="F10" s="8" t="s">
        <v>147</v>
      </c>
      <c r="G10" s="8" t="s">
        <v>39</v>
      </c>
      <c r="H10" s="8" t="s">
        <v>23</v>
      </c>
      <c r="I10" s="30">
        <v>41010</v>
      </c>
      <c r="J10" s="12">
        <v>42898</v>
      </c>
      <c r="K10" s="23">
        <v>72.5</v>
      </c>
      <c r="L10" s="23">
        <v>69</v>
      </c>
      <c r="M10" s="24">
        <v>90</v>
      </c>
      <c r="N10" s="24">
        <v>91</v>
      </c>
      <c r="O10" s="24">
        <v>33</v>
      </c>
      <c r="P10" s="24">
        <v>62</v>
      </c>
      <c r="Q10" s="24">
        <v>85</v>
      </c>
      <c r="R10" s="24">
        <v>98</v>
      </c>
      <c r="S10" s="24">
        <v>800</v>
      </c>
      <c r="T10" s="24">
        <f t="shared" si="0"/>
        <v>600.5</v>
      </c>
      <c r="U10" s="31">
        <f t="shared" ref="U10:U49" si="2">T10/S10</f>
        <v>0.75062499999999999</v>
      </c>
      <c r="V10" s="32"/>
    </row>
    <row r="11" spans="2:22" ht="39.950000000000003" customHeight="1" x14ac:dyDescent="0.35">
      <c r="B11" s="27">
        <v>3</v>
      </c>
      <c r="C11" s="28">
        <v>402</v>
      </c>
      <c r="D11" s="28" t="s">
        <v>623</v>
      </c>
      <c r="E11" s="29">
        <v>5003</v>
      </c>
      <c r="F11" s="8" t="s">
        <v>148</v>
      </c>
      <c r="G11" s="8" t="s">
        <v>51</v>
      </c>
      <c r="H11" s="8" t="s">
        <v>23</v>
      </c>
      <c r="I11" s="30">
        <v>41159</v>
      </c>
      <c r="J11" s="12">
        <v>43198</v>
      </c>
      <c r="K11" s="23">
        <v>67.5</v>
      </c>
      <c r="L11" s="23">
        <v>69</v>
      </c>
      <c r="M11" s="24">
        <v>98</v>
      </c>
      <c r="N11" s="24">
        <v>96</v>
      </c>
      <c r="O11" s="24">
        <v>40</v>
      </c>
      <c r="P11" s="24">
        <v>60</v>
      </c>
      <c r="Q11" s="24">
        <v>96</v>
      </c>
      <c r="R11" s="24">
        <v>93</v>
      </c>
      <c r="S11" s="24">
        <v>800</v>
      </c>
      <c r="T11" s="24">
        <f t="shared" si="0"/>
        <v>619.5</v>
      </c>
      <c r="U11" s="31">
        <f t="shared" si="2"/>
        <v>0.77437500000000004</v>
      </c>
      <c r="V11" s="32"/>
    </row>
    <row r="12" spans="2:22" ht="39.950000000000003" customHeight="1" x14ac:dyDescent="0.35">
      <c r="B12" s="27">
        <v>4</v>
      </c>
      <c r="C12" s="28">
        <v>716</v>
      </c>
      <c r="D12" s="28" t="s">
        <v>623</v>
      </c>
      <c r="E12" s="29">
        <v>5004</v>
      </c>
      <c r="F12" s="8" t="s">
        <v>385</v>
      </c>
      <c r="G12" s="8" t="s">
        <v>189</v>
      </c>
      <c r="H12" s="8" t="s">
        <v>23</v>
      </c>
      <c r="I12" s="30">
        <v>40789</v>
      </c>
      <c r="J12" s="12" t="s">
        <v>379</v>
      </c>
      <c r="K12" s="23">
        <v>49.5</v>
      </c>
      <c r="L12" s="23">
        <v>41</v>
      </c>
      <c r="M12" s="24">
        <v>55</v>
      </c>
      <c r="N12" s="24">
        <v>78.5</v>
      </c>
      <c r="O12" s="24">
        <v>33</v>
      </c>
      <c r="P12" s="24">
        <v>37</v>
      </c>
      <c r="Q12" s="24">
        <v>42</v>
      </c>
      <c r="R12" s="24">
        <v>86</v>
      </c>
      <c r="S12" s="24">
        <v>800</v>
      </c>
      <c r="T12" s="24">
        <f t="shared" si="0"/>
        <v>422</v>
      </c>
      <c r="U12" s="31">
        <f t="shared" si="2"/>
        <v>0.52749999999999997</v>
      </c>
      <c r="V12" s="32"/>
    </row>
    <row r="13" spans="2:22" ht="39.950000000000003" customHeight="1" x14ac:dyDescent="0.35">
      <c r="B13" s="27">
        <v>5</v>
      </c>
      <c r="C13" s="28">
        <v>566</v>
      </c>
      <c r="D13" s="28" t="s">
        <v>623</v>
      </c>
      <c r="E13" s="29">
        <v>5005</v>
      </c>
      <c r="F13" s="8" t="s">
        <v>151</v>
      </c>
      <c r="G13" s="8" t="s">
        <v>18</v>
      </c>
      <c r="H13" s="8" t="s">
        <v>23</v>
      </c>
      <c r="I13" s="30" t="s">
        <v>294</v>
      </c>
      <c r="J13" s="12" t="s">
        <v>356</v>
      </c>
      <c r="K13" s="23">
        <v>85</v>
      </c>
      <c r="L13" s="23">
        <v>83</v>
      </c>
      <c r="M13" s="24">
        <v>94</v>
      </c>
      <c r="N13" s="24">
        <v>97</v>
      </c>
      <c r="O13" s="24">
        <v>70</v>
      </c>
      <c r="P13" s="24">
        <v>90</v>
      </c>
      <c r="Q13" s="24">
        <v>93</v>
      </c>
      <c r="R13" s="24">
        <v>98</v>
      </c>
      <c r="S13" s="24">
        <v>800</v>
      </c>
      <c r="T13" s="24">
        <f t="shared" si="0"/>
        <v>710</v>
      </c>
      <c r="U13" s="31">
        <f t="shared" si="2"/>
        <v>0.88749999999999996</v>
      </c>
      <c r="V13" s="32"/>
    </row>
    <row r="14" spans="2:22" ht="39.950000000000003" customHeight="1" x14ac:dyDescent="0.35">
      <c r="B14" s="27">
        <v>6</v>
      </c>
      <c r="C14" s="28">
        <v>769</v>
      </c>
      <c r="D14" s="28" t="s">
        <v>623</v>
      </c>
      <c r="E14" s="29">
        <v>5006</v>
      </c>
      <c r="F14" s="8" t="s">
        <v>123</v>
      </c>
      <c r="G14" s="8" t="s">
        <v>643</v>
      </c>
      <c r="H14" s="8" t="s">
        <v>23</v>
      </c>
      <c r="I14" s="34">
        <v>40950</v>
      </c>
      <c r="J14" s="14">
        <v>45223</v>
      </c>
      <c r="K14" s="23">
        <v>44</v>
      </c>
      <c r="L14" s="23">
        <v>33</v>
      </c>
      <c r="M14" s="24">
        <v>58</v>
      </c>
      <c r="N14" s="24">
        <v>88</v>
      </c>
      <c r="O14" s="24">
        <v>33</v>
      </c>
      <c r="P14" s="24">
        <v>60</v>
      </c>
      <c r="Q14" s="24">
        <v>71</v>
      </c>
      <c r="R14" s="24">
        <v>84</v>
      </c>
      <c r="S14" s="24">
        <v>800</v>
      </c>
      <c r="T14" s="24">
        <f t="shared" si="0"/>
        <v>471</v>
      </c>
      <c r="U14" s="31">
        <f t="shared" si="2"/>
        <v>0.58875</v>
      </c>
      <c r="V14" s="32"/>
    </row>
    <row r="15" spans="2:22" ht="39.950000000000003" customHeight="1" x14ac:dyDescent="0.35">
      <c r="B15" s="27">
        <v>7</v>
      </c>
      <c r="C15" s="28">
        <v>348</v>
      </c>
      <c r="D15" s="28" t="s">
        <v>623</v>
      </c>
      <c r="E15" s="29">
        <v>5007</v>
      </c>
      <c r="F15" s="8" t="s">
        <v>149</v>
      </c>
      <c r="G15" s="8" t="s">
        <v>40</v>
      </c>
      <c r="H15" s="8" t="s">
        <v>23</v>
      </c>
      <c r="I15" s="30" t="s">
        <v>292</v>
      </c>
      <c r="J15" s="12">
        <v>42898</v>
      </c>
      <c r="K15" s="23">
        <v>89</v>
      </c>
      <c r="L15" s="23">
        <v>76</v>
      </c>
      <c r="M15" s="24">
        <v>96</v>
      </c>
      <c r="N15" s="24">
        <v>90</v>
      </c>
      <c r="O15" s="24">
        <v>66</v>
      </c>
      <c r="P15" s="24">
        <v>93</v>
      </c>
      <c r="Q15" s="24">
        <v>88</v>
      </c>
      <c r="R15" s="24">
        <v>94</v>
      </c>
      <c r="S15" s="24">
        <v>800</v>
      </c>
      <c r="T15" s="24">
        <f t="shared" si="0"/>
        <v>692</v>
      </c>
      <c r="U15" s="31">
        <f t="shared" si="2"/>
        <v>0.86499999999999999</v>
      </c>
      <c r="V15" s="32"/>
    </row>
    <row r="16" spans="2:22" ht="39.950000000000003" customHeight="1" x14ac:dyDescent="0.35">
      <c r="B16" s="27">
        <v>8</v>
      </c>
      <c r="C16" s="28">
        <v>618</v>
      </c>
      <c r="D16" s="28" t="s">
        <v>623</v>
      </c>
      <c r="E16" s="29">
        <v>5008</v>
      </c>
      <c r="F16" s="8" t="s">
        <v>160</v>
      </c>
      <c r="G16" s="8" t="s">
        <v>712</v>
      </c>
      <c r="H16" s="8" t="s">
        <v>23</v>
      </c>
      <c r="I16" s="30" t="s">
        <v>238</v>
      </c>
      <c r="J16" s="12" t="s">
        <v>354</v>
      </c>
      <c r="K16" s="23">
        <v>89</v>
      </c>
      <c r="L16" s="23">
        <v>76</v>
      </c>
      <c r="M16" s="24">
        <v>96</v>
      </c>
      <c r="N16" s="24">
        <v>93</v>
      </c>
      <c r="O16" s="24">
        <v>59</v>
      </c>
      <c r="P16" s="24">
        <v>93</v>
      </c>
      <c r="Q16" s="24">
        <v>98</v>
      </c>
      <c r="R16" s="24">
        <v>99</v>
      </c>
      <c r="S16" s="24">
        <v>800</v>
      </c>
      <c r="T16" s="24">
        <f t="shared" si="0"/>
        <v>703</v>
      </c>
      <c r="U16" s="31">
        <f t="shared" si="2"/>
        <v>0.87875000000000003</v>
      </c>
      <c r="V16" s="32"/>
    </row>
    <row r="17" spans="2:22" ht="39.950000000000003" customHeight="1" x14ac:dyDescent="0.35">
      <c r="B17" s="27">
        <v>9</v>
      </c>
      <c r="C17" s="28">
        <v>443</v>
      </c>
      <c r="D17" s="28" t="s">
        <v>623</v>
      </c>
      <c r="E17" s="29">
        <v>5009</v>
      </c>
      <c r="F17" s="8" t="s">
        <v>45</v>
      </c>
      <c r="G17" s="8" t="s">
        <v>145</v>
      </c>
      <c r="H17" s="8" t="s">
        <v>23</v>
      </c>
      <c r="I17" s="30" t="s">
        <v>293</v>
      </c>
      <c r="J17" s="12">
        <v>43807</v>
      </c>
      <c r="K17" s="23">
        <v>96</v>
      </c>
      <c r="L17" s="23">
        <v>87</v>
      </c>
      <c r="M17" s="24">
        <v>98</v>
      </c>
      <c r="N17" s="24">
        <v>98</v>
      </c>
      <c r="O17" s="24">
        <v>72</v>
      </c>
      <c r="P17" s="24">
        <v>95</v>
      </c>
      <c r="Q17" s="24">
        <v>87</v>
      </c>
      <c r="R17" s="24">
        <v>99</v>
      </c>
      <c r="S17" s="24">
        <v>800</v>
      </c>
      <c r="T17" s="24">
        <f t="shared" si="0"/>
        <v>732</v>
      </c>
      <c r="U17" s="31">
        <f t="shared" si="2"/>
        <v>0.91500000000000004</v>
      </c>
      <c r="V17" s="32" t="s">
        <v>856</v>
      </c>
    </row>
    <row r="18" spans="2:22" ht="39.950000000000003" customHeight="1" x14ac:dyDescent="0.35">
      <c r="B18" s="27">
        <v>10</v>
      </c>
      <c r="C18" s="28">
        <v>614</v>
      </c>
      <c r="D18" s="28" t="s">
        <v>623</v>
      </c>
      <c r="E18" s="29">
        <v>5010</v>
      </c>
      <c r="F18" s="8" t="s">
        <v>45</v>
      </c>
      <c r="G18" s="8" t="s">
        <v>20</v>
      </c>
      <c r="H18" s="8" t="s">
        <v>23</v>
      </c>
      <c r="I18" s="30">
        <v>41704</v>
      </c>
      <c r="J18" s="12" t="s">
        <v>354</v>
      </c>
      <c r="K18" s="23">
        <v>82</v>
      </c>
      <c r="L18" s="23">
        <v>93</v>
      </c>
      <c r="M18" s="24">
        <v>96</v>
      </c>
      <c r="N18" s="24">
        <v>99</v>
      </c>
      <c r="O18" s="24">
        <v>71</v>
      </c>
      <c r="P18" s="24">
        <v>88</v>
      </c>
      <c r="Q18" s="24">
        <v>95</v>
      </c>
      <c r="R18" s="24">
        <v>99</v>
      </c>
      <c r="S18" s="24">
        <v>800</v>
      </c>
      <c r="T18" s="24">
        <f t="shared" si="0"/>
        <v>723</v>
      </c>
      <c r="U18" s="31">
        <f t="shared" si="2"/>
        <v>0.90375000000000005</v>
      </c>
      <c r="V18" s="32"/>
    </row>
    <row r="19" spans="2:22" ht="39.950000000000003" customHeight="1" x14ac:dyDescent="0.35">
      <c r="B19" s="27">
        <v>11</v>
      </c>
      <c r="C19" s="10">
        <v>778</v>
      </c>
      <c r="D19" s="28" t="s">
        <v>623</v>
      </c>
      <c r="E19" s="29">
        <v>5011</v>
      </c>
      <c r="F19" s="8" t="s">
        <v>644</v>
      </c>
      <c r="G19" s="8" t="s">
        <v>640</v>
      </c>
      <c r="H19" s="8" t="s">
        <v>23</v>
      </c>
      <c r="I19" s="34">
        <v>40997</v>
      </c>
      <c r="J19" s="14">
        <v>45252</v>
      </c>
      <c r="K19" s="23">
        <v>85</v>
      </c>
      <c r="L19" s="23">
        <v>79</v>
      </c>
      <c r="M19" s="24">
        <v>90</v>
      </c>
      <c r="N19" s="24">
        <v>80</v>
      </c>
      <c r="O19" s="24">
        <v>47</v>
      </c>
      <c r="P19" s="24">
        <v>85</v>
      </c>
      <c r="Q19" s="24">
        <v>84</v>
      </c>
      <c r="R19" s="24">
        <v>99</v>
      </c>
      <c r="S19" s="24">
        <v>800</v>
      </c>
      <c r="T19" s="24">
        <f t="shared" si="0"/>
        <v>649</v>
      </c>
      <c r="U19" s="31">
        <f t="shared" si="2"/>
        <v>0.81125000000000003</v>
      </c>
      <c r="V19" s="32"/>
    </row>
    <row r="20" spans="2:22" ht="39.950000000000003" customHeight="1" x14ac:dyDescent="0.35">
      <c r="B20" s="27">
        <v>12</v>
      </c>
      <c r="C20" s="28">
        <v>435</v>
      </c>
      <c r="D20" s="28" t="s">
        <v>623</v>
      </c>
      <c r="E20" s="29">
        <v>5012</v>
      </c>
      <c r="F20" s="8" t="s">
        <v>152</v>
      </c>
      <c r="G20" s="8" t="s">
        <v>17</v>
      </c>
      <c r="H20" s="8" t="s">
        <v>23</v>
      </c>
      <c r="I20" s="30" t="s">
        <v>295</v>
      </c>
      <c r="J20" s="12">
        <v>43532</v>
      </c>
      <c r="K20" s="23">
        <v>33</v>
      </c>
      <c r="L20" s="23">
        <v>72</v>
      </c>
      <c r="M20" s="24">
        <v>85</v>
      </c>
      <c r="N20" s="24">
        <v>92</v>
      </c>
      <c r="O20" s="24">
        <v>33</v>
      </c>
      <c r="P20" s="24">
        <v>33</v>
      </c>
      <c r="Q20" s="24">
        <v>76</v>
      </c>
      <c r="R20" s="24">
        <v>99</v>
      </c>
      <c r="S20" s="24">
        <v>800</v>
      </c>
      <c r="T20" s="24">
        <f t="shared" si="0"/>
        <v>523</v>
      </c>
      <c r="U20" s="31">
        <f t="shared" si="2"/>
        <v>0.65375000000000005</v>
      </c>
      <c r="V20" s="32"/>
    </row>
    <row r="21" spans="2:22" ht="39.950000000000003" customHeight="1" x14ac:dyDescent="0.35">
      <c r="B21" s="27">
        <v>13</v>
      </c>
      <c r="C21" s="28">
        <v>619</v>
      </c>
      <c r="D21" s="28" t="s">
        <v>623</v>
      </c>
      <c r="E21" s="29">
        <v>5013</v>
      </c>
      <c r="F21" s="8" t="s">
        <v>159</v>
      </c>
      <c r="G21" s="8" t="s">
        <v>328</v>
      </c>
      <c r="H21" s="8" t="s">
        <v>23</v>
      </c>
      <c r="I21" s="30">
        <v>41612</v>
      </c>
      <c r="J21" s="12" t="s">
        <v>354</v>
      </c>
      <c r="K21" s="23">
        <v>98</v>
      </c>
      <c r="L21" s="23">
        <v>81</v>
      </c>
      <c r="M21" s="24">
        <v>97</v>
      </c>
      <c r="N21" s="24">
        <v>99</v>
      </c>
      <c r="O21" s="24">
        <v>92</v>
      </c>
      <c r="P21" s="24">
        <v>90</v>
      </c>
      <c r="Q21" s="24">
        <v>96</v>
      </c>
      <c r="R21" s="24">
        <v>99</v>
      </c>
      <c r="S21" s="24">
        <v>800</v>
      </c>
      <c r="T21" s="24">
        <f t="shared" si="0"/>
        <v>752</v>
      </c>
      <c r="U21" s="31">
        <f t="shared" si="2"/>
        <v>0.94</v>
      </c>
      <c r="V21" s="32" t="s">
        <v>854</v>
      </c>
    </row>
    <row r="22" spans="2:22" ht="39.950000000000003" customHeight="1" x14ac:dyDescent="0.35">
      <c r="B22" s="27">
        <v>14</v>
      </c>
      <c r="C22" s="28">
        <v>613</v>
      </c>
      <c r="D22" s="28" t="s">
        <v>623</v>
      </c>
      <c r="E22" s="29">
        <v>5014</v>
      </c>
      <c r="F22" s="8" t="s">
        <v>161</v>
      </c>
      <c r="G22" s="8" t="s">
        <v>20</v>
      </c>
      <c r="H22" s="8" t="s">
        <v>23</v>
      </c>
      <c r="I22" s="30">
        <v>41395</v>
      </c>
      <c r="J22" s="12" t="s">
        <v>354</v>
      </c>
      <c r="K22" s="23">
        <v>89.5</v>
      </c>
      <c r="L22" s="23">
        <v>89</v>
      </c>
      <c r="M22" s="24">
        <v>98</v>
      </c>
      <c r="N22" s="24">
        <v>99</v>
      </c>
      <c r="O22" s="24">
        <v>58</v>
      </c>
      <c r="P22" s="24">
        <v>81</v>
      </c>
      <c r="Q22" s="24">
        <v>94</v>
      </c>
      <c r="R22" s="24">
        <v>99</v>
      </c>
      <c r="S22" s="24">
        <v>800</v>
      </c>
      <c r="T22" s="24">
        <f t="shared" si="0"/>
        <v>707.5</v>
      </c>
      <c r="U22" s="31">
        <f t="shared" si="2"/>
        <v>0.88437500000000002</v>
      </c>
      <c r="V22" s="32"/>
    </row>
    <row r="23" spans="2:22" ht="39.950000000000003" customHeight="1" x14ac:dyDescent="0.35">
      <c r="B23" s="27">
        <v>15</v>
      </c>
      <c r="C23" s="28">
        <v>712</v>
      </c>
      <c r="D23" s="28" t="s">
        <v>623</v>
      </c>
      <c r="E23" s="29">
        <v>5015</v>
      </c>
      <c r="F23" s="8" t="s">
        <v>380</v>
      </c>
      <c r="G23" s="8" t="s">
        <v>707</v>
      </c>
      <c r="H23" s="8" t="s">
        <v>23</v>
      </c>
      <c r="I23" s="30" t="s">
        <v>381</v>
      </c>
      <c r="J23" s="12" t="s">
        <v>379</v>
      </c>
      <c r="K23" s="23" t="s">
        <v>711</v>
      </c>
      <c r="L23" s="23" t="s">
        <v>711</v>
      </c>
      <c r="M23" s="23" t="s">
        <v>711</v>
      </c>
      <c r="N23" s="23" t="s">
        <v>711</v>
      </c>
      <c r="O23" s="23" t="s">
        <v>711</v>
      </c>
      <c r="P23" s="23" t="s">
        <v>711</v>
      </c>
      <c r="Q23" s="23" t="s">
        <v>711</v>
      </c>
      <c r="R23" s="23" t="s">
        <v>711</v>
      </c>
      <c r="S23" s="24">
        <v>800</v>
      </c>
      <c r="T23" s="24" t="e">
        <f t="shared" si="0"/>
        <v>#VALUE!</v>
      </c>
      <c r="U23" s="31" t="e">
        <f t="shared" si="2"/>
        <v>#VALUE!</v>
      </c>
      <c r="V23" s="32" t="s">
        <v>715</v>
      </c>
    </row>
    <row r="24" spans="2:22" ht="39.950000000000003" customHeight="1" x14ac:dyDescent="0.35">
      <c r="B24" s="27">
        <v>16</v>
      </c>
      <c r="C24" s="28">
        <v>446</v>
      </c>
      <c r="D24" s="28" t="s">
        <v>623</v>
      </c>
      <c r="E24" s="29">
        <v>5016</v>
      </c>
      <c r="F24" s="8" t="s">
        <v>297</v>
      </c>
      <c r="G24" s="8" t="s">
        <v>163</v>
      </c>
      <c r="H24" s="8" t="s">
        <v>23</v>
      </c>
      <c r="I24" s="30">
        <v>41642</v>
      </c>
      <c r="J24" s="12">
        <v>43807</v>
      </c>
      <c r="K24" s="23">
        <v>33</v>
      </c>
      <c r="L24" s="23">
        <v>55</v>
      </c>
      <c r="M24" s="24">
        <v>81</v>
      </c>
      <c r="N24" s="24">
        <v>68</v>
      </c>
      <c r="O24" s="24">
        <v>12</v>
      </c>
      <c r="P24" s="24">
        <v>78</v>
      </c>
      <c r="Q24" s="24">
        <v>72</v>
      </c>
      <c r="R24" s="24">
        <v>99</v>
      </c>
      <c r="S24" s="24">
        <v>800</v>
      </c>
      <c r="T24" s="24">
        <f t="shared" si="0"/>
        <v>498</v>
      </c>
      <c r="U24" s="31">
        <f t="shared" si="2"/>
        <v>0.62250000000000005</v>
      </c>
      <c r="V24" s="32"/>
    </row>
    <row r="25" spans="2:22" ht="39.950000000000003" customHeight="1" x14ac:dyDescent="0.35">
      <c r="B25" s="27">
        <v>17</v>
      </c>
      <c r="C25" s="28">
        <v>436</v>
      </c>
      <c r="D25" s="28" t="s">
        <v>623</v>
      </c>
      <c r="E25" s="29">
        <v>5017</v>
      </c>
      <c r="F25" s="8" t="s">
        <v>150</v>
      </c>
      <c r="G25" s="8" t="s">
        <v>145</v>
      </c>
      <c r="H25" s="8" t="s">
        <v>23</v>
      </c>
      <c r="I25" s="30">
        <v>41395</v>
      </c>
      <c r="J25" s="12">
        <v>43532</v>
      </c>
      <c r="K25" s="23">
        <v>73</v>
      </c>
      <c r="L25" s="23">
        <v>79</v>
      </c>
      <c r="M25" s="24">
        <v>91</v>
      </c>
      <c r="N25" s="24">
        <v>96</v>
      </c>
      <c r="O25" s="24">
        <v>33</v>
      </c>
      <c r="P25" s="24">
        <v>88</v>
      </c>
      <c r="Q25" s="24">
        <v>82</v>
      </c>
      <c r="R25" s="24">
        <v>99</v>
      </c>
      <c r="S25" s="24">
        <v>800</v>
      </c>
      <c r="T25" s="24">
        <f t="shared" si="0"/>
        <v>641</v>
      </c>
      <c r="U25" s="31">
        <f t="shared" si="2"/>
        <v>0.80125000000000002</v>
      </c>
      <c r="V25" s="32"/>
    </row>
    <row r="26" spans="2:22" ht="39.950000000000003" customHeight="1" x14ac:dyDescent="0.35">
      <c r="B26" s="27">
        <v>18</v>
      </c>
      <c r="C26" s="28">
        <v>339</v>
      </c>
      <c r="D26" s="28" t="s">
        <v>623</v>
      </c>
      <c r="E26" s="29">
        <v>5018</v>
      </c>
      <c r="F26" s="8" t="s">
        <v>155</v>
      </c>
      <c r="G26" s="8" t="s">
        <v>156</v>
      </c>
      <c r="H26" s="8" t="s">
        <v>23</v>
      </c>
      <c r="I26" s="30">
        <v>41255</v>
      </c>
      <c r="J26" s="12" t="s">
        <v>350</v>
      </c>
      <c r="K26" s="23">
        <v>73.5</v>
      </c>
      <c r="L26" s="23">
        <v>72</v>
      </c>
      <c r="M26" s="24">
        <v>91</v>
      </c>
      <c r="N26" s="24">
        <v>95.5</v>
      </c>
      <c r="O26" s="24">
        <v>45</v>
      </c>
      <c r="P26" s="24">
        <v>75</v>
      </c>
      <c r="Q26" s="24">
        <v>76</v>
      </c>
      <c r="R26" s="24">
        <v>98</v>
      </c>
      <c r="S26" s="24">
        <v>800</v>
      </c>
      <c r="T26" s="24">
        <f t="shared" si="0"/>
        <v>626</v>
      </c>
      <c r="U26" s="31">
        <f t="shared" si="2"/>
        <v>0.78249999999999997</v>
      </c>
      <c r="V26" s="32"/>
    </row>
    <row r="27" spans="2:22" ht="39.950000000000003" customHeight="1" x14ac:dyDescent="0.35">
      <c r="B27" s="27">
        <v>19</v>
      </c>
      <c r="C27" s="28">
        <v>421</v>
      </c>
      <c r="D27" s="28" t="s">
        <v>623</v>
      </c>
      <c r="E27" s="29">
        <v>5019</v>
      </c>
      <c r="F27" s="8" t="s">
        <v>298</v>
      </c>
      <c r="G27" s="8" t="s">
        <v>164</v>
      </c>
      <c r="H27" s="8" t="s">
        <v>23</v>
      </c>
      <c r="I27" s="30">
        <v>41586</v>
      </c>
      <c r="J27" s="12">
        <v>43384</v>
      </c>
      <c r="K27" s="23">
        <v>78</v>
      </c>
      <c r="L27" s="23">
        <v>70</v>
      </c>
      <c r="M27" s="24">
        <v>89</v>
      </c>
      <c r="N27" s="24">
        <v>88</v>
      </c>
      <c r="O27" s="24">
        <v>35</v>
      </c>
      <c r="P27" s="24">
        <v>83</v>
      </c>
      <c r="Q27" s="24">
        <v>80</v>
      </c>
      <c r="R27" s="24">
        <v>96</v>
      </c>
      <c r="S27" s="24">
        <v>800</v>
      </c>
      <c r="T27" s="24">
        <f t="shared" si="0"/>
        <v>619</v>
      </c>
      <c r="U27" s="31">
        <f t="shared" si="2"/>
        <v>0.77375000000000005</v>
      </c>
      <c r="V27" s="32"/>
    </row>
    <row r="28" spans="2:22" ht="39.950000000000003" customHeight="1" x14ac:dyDescent="0.35">
      <c r="B28" s="27">
        <v>20</v>
      </c>
      <c r="C28" s="28">
        <v>379</v>
      </c>
      <c r="D28" s="28" t="s">
        <v>623</v>
      </c>
      <c r="E28" s="29">
        <v>5020</v>
      </c>
      <c r="F28" s="8" t="s">
        <v>146</v>
      </c>
      <c r="G28" s="8" t="s">
        <v>36</v>
      </c>
      <c r="H28" s="8" t="s">
        <v>23</v>
      </c>
      <c r="I28" s="30" t="s">
        <v>291</v>
      </c>
      <c r="J28" s="12" t="s">
        <v>355</v>
      </c>
      <c r="K28" s="23">
        <v>94.5</v>
      </c>
      <c r="L28" s="23">
        <v>89</v>
      </c>
      <c r="M28" s="24">
        <v>97</v>
      </c>
      <c r="N28" s="24">
        <v>83.5</v>
      </c>
      <c r="O28" s="24">
        <v>91</v>
      </c>
      <c r="P28" s="24">
        <v>84</v>
      </c>
      <c r="Q28" s="24">
        <v>95</v>
      </c>
      <c r="R28" s="24">
        <v>99</v>
      </c>
      <c r="S28" s="24">
        <v>800</v>
      </c>
      <c r="T28" s="24">
        <f t="shared" si="0"/>
        <v>733</v>
      </c>
      <c r="U28" s="31">
        <f t="shared" si="2"/>
        <v>0.91625000000000001</v>
      </c>
      <c r="V28" s="32" t="s">
        <v>855</v>
      </c>
    </row>
    <row r="29" spans="2:22" ht="39.950000000000003" customHeight="1" x14ac:dyDescent="0.35">
      <c r="B29" s="27">
        <v>21</v>
      </c>
      <c r="C29" s="28">
        <v>633</v>
      </c>
      <c r="D29" s="28" t="s">
        <v>623</v>
      </c>
      <c r="E29" s="29">
        <v>5021</v>
      </c>
      <c r="F29" s="8" t="s">
        <v>193</v>
      </c>
      <c r="G29" s="8" t="s">
        <v>200</v>
      </c>
      <c r="H29" s="8" t="s">
        <v>23</v>
      </c>
      <c r="I29" s="30">
        <v>40582</v>
      </c>
      <c r="J29" s="12" t="s">
        <v>358</v>
      </c>
      <c r="K29" s="23">
        <v>99</v>
      </c>
      <c r="L29" s="23">
        <v>77</v>
      </c>
      <c r="M29" s="24">
        <v>88</v>
      </c>
      <c r="N29" s="24">
        <v>93.5</v>
      </c>
      <c r="O29" s="24">
        <v>64</v>
      </c>
      <c r="P29" s="24">
        <v>82</v>
      </c>
      <c r="Q29" s="24">
        <v>85</v>
      </c>
      <c r="R29" s="24">
        <v>96</v>
      </c>
      <c r="S29" s="24">
        <v>800</v>
      </c>
      <c r="T29" s="24">
        <f t="shared" si="0"/>
        <v>684.5</v>
      </c>
      <c r="U29" s="31">
        <f t="shared" si="2"/>
        <v>0.85562499999999997</v>
      </c>
      <c r="V29" s="32"/>
    </row>
    <row r="30" spans="2:22" ht="39.950000000000003" customHeight="1" x14ac:dyDescent="0.35">
      <c r="B30" s="27">
        <v>22</v>
      </c>
      <c r="C30" s="28">
        <v>305</v>
      </c>
      <c r="D30" s="28" t="s">
        <v>623</v>
      </c>
      <c r="E30" s="29">
        <v>5022</v>
      </c>
      <c r="F30" s="8" t="s">
        <v>157</v>
      </c>
      <c r="G30" s="8" t="s">
        <v>158</v>
      </c>
      <c r="H30" s="8" t="s">
        <v>23</v>
      </c>
      <c r="I30" s="30" t="s">
        <v>296</v>
      </c>
      <c r="J30" s="12" t="s">
        <v>357</v>
      </c>
      <c r="K30" s="23">
        <v>72</v>
      </c>
      <c r="L30" s="23">
        <v>74</v>
      </c>
      <c r="M30" s="24">
        <v>94</v>
      </c>
      <c r="N30" s="24">
        <v>89</v>
      </c>
      <c r="O30" s="24">
        <v>33</v>
      </c>
      <c r="P30" s="24">
        <v>44</v>
      </c>
      <c r="Q30" s="24">
        <v>70</v>
      </c>
      <c r="R30" s="24">
        <v>95</v>
      </c>
      <c r="S30" s="24">
        <v>800</v>
      </c>
      <c r="T30" s="24">
        <f t="shared" si="0"/>
        <v>571</v>
      </c>
      <c r="U30" s="31">
        <f t="shared" si="2"/>
        <v>0.71375</v>
      </c>
      <c r="V30" s="32"/>
    </row>
    <row r="31" spans="2:22" ht="39.950000000000003" customHeight="1" x14ac:dyDescent="0.35">
      <c r="B31" s="27">
        <v>23</v>
      </c>
      <c r="C31" s="28">
        <v>442</v>
      </c>
      <c r="D31" s="28" t="s">
        <v>623</v>
      </c>
      <c r="E31" s="29">
        <v>5023</v>
      </c>
      <c r="F31" s="8" t="s">
        <v>153</v>
      </c>
      <c r="G31" s="8" t="s">
        <v>154</v>
      </c>
      <c r="H31" s="8" t="s">
        <v>23</v>
      </c>
      <c r="I31" s="30">
        <v>41588</v>
      </c>
      <c r="J31" s="12">
        <v>43807</v>
      </c>
      <c r="K31" s="23">
        <v>97.5</v>
      </c>
      <c r="L31" s="23">
        <v>84</v>
      </c>
      <c r="M31" s="24">
        <v>90</v>
      </c>
      <c r="N31" s="24">
        <v>94</v>
      </c>
      <c r="O31" s="24">
        <v>54</v>
      </c>
      <c r="P31" s="24">
        <v>83</v>
      </c>
      <c r="Q31" s="24">
        <v>71</v>
      </c>
      <c r="R31" s="24">
        <v>90</v>
      </c>
      <c r="S31" s="24">
        <v>800</v>
      </c>
      <c r="T31" s="24">
        <f t="shared" si="0"/>
        <v>663.5</v>
      </c>
      <c r="U31" s="31">
        <f t="shared" si="2"/>
        <v>0.82937499999999997</v>
      </c>
      <c r="V31" s="32"/>
    </row>
    <row r="32" spans="2:22" ht="39.950000000000003" customHeight="1" x14ac:dyDescent="0.35">
      <c r="B32" s="27">
        <v>24</v>
      </c>
      <c r="C32" s="28">
        <v>714</v>
      </c>
      <c r="D32" s="28" t="s">
        <v>623</v>
      </c>
      <c r="E32" s="29">
        <v>5024</v>
      </c>
      <c r="F32" s="8" t="s">
        <v>721</v>
      </c>
      <c r="G32" s="8" t="s">
        <v>383</v>
      </c>
      <c r="H32" s="8" t="s">
        <v>23</v>
      </c>
      <c r="I32" s="30" t="s">
        <v>384</v>
      </c>
      <c r="J32" s="12" t="s">
        <v>379</v>
      </c>
      <c r="K32" s="23">
        <v>83</v>
      </c>
      <c r="L32" s="23">
        <v>80</v>
      </c>
      <c r="M32" s="24">
        <v>91</v>
      </c>
      <c r="N32" s="24">
        <v>86</v>
      </c>
      <c r="O32" s="24">
        <v>71</v>
      </c>
      <c r="P32" s="24">
        <v>93</v>
      </c>
      <c r="Q32" s="24">
        <v>92</v>
      </c>
      <c r="R32" s="24">
        <v>96</v>
      </c>
      <c r="S32" s="24">
        <v>800</v>
      </c>
      <c r="T32" s="24">
        <f t="shared" si="0"/>
        <v>692</v>
      </c>
      <c r="U32" s="31">
        <f t="shared" si="2"/>
        <v>0.86499999999999999</v>
      </c>
      <c r="V32" s="32"/>
    </row>
    <row r="33" spans="2:22" ht="39.950000000000003" customHeight="1" thickBot="1" x14ac:dyDescent="0.4">
      <c r="B33" s="35">
        <v>25</v>
      </c>
      <c r="C33" s="36">
        <v>789</v>
      </c>
      <c r="D33" s="28" t="s">
        <v>623</v>
      </c>
      <c r="E33" s="37">
        <v>5040</v>
      </c>
      <c r="F33" s="9" t="s">
        <v>709</v>
      </c>
      <c r="G33" s="9" t="s">
        <v>600</v>
      </c>
      <c r="H33" s="38" t="s">
        <v>23</v>
      </c>
      <c r="I33" s="39">
        <v>41640</v>
      </c>
      <c r="J33" s="40">
        <v>45307</v>
      </c>
      <c r="K33" s="8">
        <v>63.5</v>
      </c>
      <c r="L33" s="8">
        <v>74</v>
      </c>
      <c r="M33" s="9">
        <v>50</v>
      </c>
      <c r="N33" s="9">
        <v>68</v>
      </c>
      <c r="O33" s="9">
        <v>61</v>
      </c>
      <c r="P33" s="9">
        <v>65</v>
      </c>
      <c r="Q33" s="9">
        <v>55</v>
      </c>
      <c r="R33" s="9">
        <v>99</v>
      </c>
      <c r="S33" s="9">
        <v>800</v>
      </c>
      <c r="T33" s="9">
        <f>K33+L33+M33+N33+O33+P33+Q33+R33</f>
        <v>535.5</v>
      </c>
      <c r="U33" s="13">
        <f>T33/S33</f>
        <v>0.66937500000000005</v>
      </c>
      <c r="V33" s="33"/>
    </row>
    <row r="34" spans="2:22" ht="54.95" customHeight="1" thickBot="1" x14ac:dyDescent="0.7">
      <c r="B34" s="186" t="s">
        <v>683</v>
      </c>
      <c r="C34" s="187"/>
      <c r="D34" s="187"/>
      <c r="E34" s="187"/>
      <c r="F34" s="187"/>
      <c r="G34" s="187"/>
      <c r="H34" s="187"/>
      <c r="I34" s="187"/>
      <c r="J34" s="187"/>
      <c r="K34" s="187"/>
      <c r="L34" s="187"/>
      <c r="M34" s="187"/>
      <c r="N34" s="187"/>
      <c r="O34" s="187"/>
      <c r="P34" s="187"/>
      <c r="Q34" s="187"/>
      <c r="R34" s="187"/>
      <c r="S34" s="187"/>
      <c r="T34" s="187"/>
      <c r="U34" s="187"/>
      <c r="V34" s="188"/>
    </row>
    <row r="35" spans="2:22" ht="39.950000000000003" customHeight="1" x14ac:dyDescent="0.35">
      <c r="B35" s="88">
        <v>26</v>
      </c>
      <c r="C35" s="28">
        <v>474</v>
      </c>
      <c r="D35" s="28" t="s">
        <v>623</v>
      </c>
      <c r="E35" s="29">
        <v>5025</v>
      </c>
      <c r="F35" s="8" t="s">
        <v>132</v>
      </c>
      <c r="G35" s="8" t="s">
        <v>133</v>
      </c>
      <c r="H35" s="8" t="s">
        <v>24</v>
      </c>
      <c r="I35" s="30">
        <v>40308</v>
      </c>
      <c r="J35" s="12" t="s">
        <v>351</v>
      </c>
      <c r="K35" s="23">
        <v>79.5</v>
      </c>
      <c r="L35" s="23">
        <v>54</v>
      </c>
      <c r="M35" s="24">
        <v>56</v>
      </c>
      <c r="N35" s="24">
        <v>72</v>
      </c>
      <c r="O35" s="24">
        <v>61</v>
      </c>
      <c r="P35" s="24">
        <v>87</v>
      </c>
      <c r="Q35" s="24">
        <v>60</v>
      </c>
      <c r="R35" s="24">
        <v>79</v>
      </c>
      <c r="S35" s="24">
        <v>800</v>
      </c>
      <c r="T35" s="24">
        <f t="shared" si="0"/>
        <v>548.5</v>
      </c>
      <c r="U35" s="31">
        <f t="shared" si="2"/>
        <v>0.68562500000000004</v>
      </c>
      <c r="V35" s="32"/>
    </row>
    <row r="36" spans="2:22" ht="39.950000000000003" customHeight="1" x14ac:dyDescent="0.35">
      <c r="B36" s="27">
        <v>27</v>
      </c>
      <c r="C36" s="28">
        <v>615</v>
      </c>
      <c r="D36" s="28" t="s">
        <v>623</v>
      </c>
      <c r="E36" s="29">
        <v>5026</v>
      </c>
      <c r="F36" s="8" t="s">
        <v>110</v>
      </c>
      <c r="G36" s="8" t="s">
        <v>145</v>
      </c>
      <c r="H36" s="8" t="s">
        <v>24</v>
      </c>
      <c r="I36" s="30" t="s">
        <v>313</v>
      </c>
      <c r="J36" s="12" t="s">
        <v>354</v>
      </c>
      <c r="K36" s="23">
        <v>90</v>
      </c>
      <c r="L36" s="23">
        <v>46</v>
      </c>
      <c r="M36" s="24">
        <v>66</v>
      </c>
      <c r="N36" s="24">
        <v>68</v>
      </c>
      <c r="O36" s="24">
        <v>40</v>
      </c>
      <c r="P36" s="24">
        <v>81</v>
      </c>
      <c r="Q36" s="24">
        <v>60</v>
      </c>
      <c r="R36" s="24">
        <v>79</v>
      </c>
      <c r="S36" s="24">
        <v>800</v>
      </c>
      <c r="T36" s="24">
        <f t="shared" si="0"/>
        <v>530</v>
      </c>
      <c r="U36" s="31">
        <f t="shared" si="2"/>
        <v>0.66249999999999998</v>
      </c>
      <c r="V36" s="32"/>
    </row>
    <row r="37" spans="2:22" ht="39.950000000000003" customHeight="1" x14ac:dyDescent="0.35">
      <c r="B37" s="27">
        <v>28</v>
      </c>
      <c r="C37" s="28">
        <v>635</v>
      </c>
      <c r="D37" s="28" t="s">
        <v>623</v>
      </c>
      <c r="E37" s="29">
        <v>5027</v>
      </c>
      <c r="F37" s="8" t="s">
        <v>614</v>
      </c>
      <c r="G37" s="8" t="s">
        <v>139</v>
      </c>
      <c r="H37" s="8" t="s">
        <v>24</v>
      </c>
      <c r="I37" s="30">
        <v>40821</v>
      </c>
      <c r="J37" s="12" t="s">
        <v>339</v>
      </c>
      <c r="K37" s="23">
        <v>95.5</v>
      </c>
      <c r="L37" s="23">
        <v>64</v>
      </c>
      <c r="M37" s="24">
        <v>78</v>
      </c>
      <c r="N37" s="24">
        <v>68</v>
      </c>
      <c r="O37" s="24">
        <v>36</v>
      </c>
      <c r="P37" s="24">
        <v>73</v>
      </c>
      <c r="Q37" s="24">
        <v>72</v>
      </c>
      <c r="R37" s="24">
        <v>76</v>
      </c>
      <c r="S37" s="24">
        <v>800</v>
      </c>
      <c r="T37" s="24">
        <f t="shared" si="0"/>
        <v>562.5</v>
      </c>
      <c r="U37" s="31">
        <f t="shared" si="2"/>
        <v>0.703125</v>
      </c>
      <c r="V37" s="32"/>
    </row>
    <row r="38" spans="2:22" ht="39.950000000000003" customHeight="1" x14ac:dyDescent="0.35">
      <c r="B38" s="27">
        <v>29</v>
      </c>
      <c r="C38" s="28">
        <v>475</v>
      </c>
      <c r="D38" s="28" t="s">
        <v>623</v>
      </c>
      <c r="E38" s="29">
        <v>5028</v>
      </c>
      <c r="F38" s="8" t="s">
        <v>134</v>
      </c>
      <c r="G38" s="8" t="s">
        <v>133</v>
      </c>
      <c r="H38" s="8" t="s">
        <v>24</v>
      </c>
      <c r="I38" s="30">
        <v>41032</v>
      </c>
      <c r="J38" s="12" t="s">
        <v>351</v>
      </c>
      <c r="K38" s="23">
        <v>73.5</v>
      </c>
      <c r="L38" s="23">
        <v>72</v>
      </c>
      <c r="M38" s="24">
        <v>89</v>
      </c>
      <c r="N38" s="24">
        <v>84.5</v>
      </c>
      <c r="O38" s="24">
        <v>61</v>
      </c>
      <c r="P38" s="24">
        <v>77</v>
      </c>
      <c r="Q38" s="24">
        <v>58</v>
      </c>
      <c r="R38" s="24">
        <v>80</v>
      </c>
      <c r="S38" s="24">
        <v>800</v>
      </c>
      <c r="T38" s="24">
        <f t="shared" si="0"/>
        <v>595</v>
      </c>
      <c r="U38" s="31">
        <f t="shared" si="2"/>
        <v>0.74375000000000002</v>
      </c>
      <c r="V38" s="32"/>
    </row>
    <row r="39" spans="2:22" ht="39.950000000000003" customHeight="1" x14ac:dyDescent="0.35">
      <c r="B39" s="27">
        <v>30</v>
      </c>
      <c r="C39" s="28">
        <v>343</v>
      </c>
      <c r="D39" s="28" t="s">
        <v>623</v>
      </c>
      <c r="E39" s="29">
        <v>5029</v>
      </c>
      <c r="F39" s="8" t="s">
        <v>127</v>
      </c>
      <c r="G39" s="8" t="s">
        <v>79</v>
      </c>
      <c r="H39" s="8" t="s">
        <v>24</v>
      </c>
      <c r="I39" s="30" t="s">
        <v>285</v>
      </c>
      <c r="J39" s="12" t="s">
        <v>350</v>
      </c>
      <c r="K39" s="41">
        <v>24.5</v>
      </c>
      <c r="L39" s="23">
        <v>50</v>
      </c>
      <c r="M39" s="24">
        <v>43</v>
      </c>
      <c r="N39" s="24">
        <v>63</v>
      </c>
      <c r="O39" s="24">
        <v>50</v>
      </c>
      <c r="P39" s="24">
        <v>33</v>
      </c>
      <c r="Q39" s="24">
        <v>42</v>
      </c>
      <c r="R39" s="24">
        <v>95</v>
      </c>
      <c r="S39" s="24">
        <v>800</v>
      </c>
      <c r="T39" s="24">
        <f t="shared" si="0"/>
        <v>400.5</v>
      </c>
      <c r="U39" s="31">
        <f t="shared" si="2"/>
        <v>0.50062499999999999</v>
      </c>
      <c r="V39" s="32"/>
    </row>
    <row r="40" spans="2:22" ht="39.950000000000003" customHeight="1" x14ac:dyDescent="0.35">
      <c r="B40" s="27">
        <v>31</v>
      </c>
      <c r="C40" s="28">
        <v>250</v>
      </c>
      <c r="D40" s="28" t="s">
        <v>623</v>
      </c>
      <c r="E40" s="29">
        <v>5030</v>
      </c>
      <c r="F40" s="8" t="s">
        <v>175</v>
      </c>
      <c r="G40" s="8" t="s">
        <v>174</v>
      </c>
      <c r="H40" s="8" t="s">
        <v>24</v>
      </c>
      <c r="I40" s="30" t="s">
        <v>300</v>
      </c>
      <c r="J40" s="12" t="s">
        <v>359</v>
      </c>
      <c r="K40" s="23">
        <v>33</v>
      </c>
      <c r="L40" s="23">
        <v>33</v>
      </c>
      <c r="M40" s="42">
        <v>0</v>
      </c>
      <c r="N40" s="24">
        <v>33</v>
      </c>
      <c r="O40" s="24">
        <v>33</v>
      </c>
      <c r="P40" s="42">
        <v>0</v>
      </c>
      <c r="Q40" s="24">
        <v>60</v>
      </c>
      <c r="R40" s="24">
        <v>70</v>
      </c>
      <c r="S40" s="24">
        <v>800</v>
      </c>
      <c r="T40" s="24">
        <f t="shared" si="0"/>
        <v>262</v>
      </c>
      <c r="U40" s="31">
        <f t="shared" si="2"/>
        <v>0.32750000000000001</v>
      </c>
      <c r="V40" s="32" t="s">
        <v>850</v>
      </c>
    </row>
    <row r="41" spans="2:22" ht="39.950000000000003" customHeight="1" x14ac:dyDescent="0.35">
      <c r="B41" s="27">
        <v>32</v>
      </c>
      <c r="C41" s="28">
        <v>401</v>
      </c>
      <c r="D41" s="28" t="s">
        <v>623</v>
      </c>
      <c r="E41" s="29">
        <v>5031</v>
      </c>
      <c r="F41" s="8" t="s">
        <v>130</v>
      </c>
      <c r="G41" s="8" t="s">
        <v>286</v>
      </c>
      <c r="H41" s="8" t="s">
        <v>24</v>
      </c>
      <c r="I41" s="30" t="s">
        <v>287</v>
      </c>
      <c r="J41" s="12" t="s">
        <v>351</v>
      </c>
      <c r="K41" s="23">
        <v>33</v>
      </c>
      <c r="L41" s="23">
        <v>39</v>
      </c>
      <c r="M41" s="24">
        <v>43</v>
      </c>
      <c r="N41" s="24">
        <v>55</v>
      </c>
      <c r="O41" s="24">
        <v>47</v>
      </c>
      <c r="P41" s="24">
        <v>36</v>
      </c>
      <c r="Q41" s="24">
        <v>50</v>
      </c>
      <c r="R41" s="24">
        <v>80</v>
      </c>
      <c r="S41" s="24">
        <v>800</v>
      </c>
      <c r="T41" s="24">
        <f t="shared" si="0"/>
        <v>383</v>
      </c>
      <c r="U41" s="31">
        <f t="shared" si="2"/>
        <v>0.47875000000000001</v>
      </c>
      <c r="V41" s="32"/>
    </row>
    <row r="42" spans="2:22" ht="39.950000000000003" customHeight="1" x14ac:dyDescent="0.35">
      <c r="B42" s="27">
        <v>33</v>
      </c>
      <c r="C42" s="28">
        <v>620</v>
      </c>
      <c r="D42" s="28" t="s">
        <v>623</v>
      </c>
      <c r="E42" s="29">
        <v>5032</v>
      </c>
      <c r="F42" s="8" t="s">
        <v>140</v>
      </c>
      <c r="G42" s="8" t="s">
        <v>105</v>
      </c>
      <c r="H42" s="8" t="s">
        <v>24</v>
      </c>
      <c r="I42" s="30">
        <v>41793</v>
      </c>
      <c r="J42" s="12" t="s">
        <v>354</v>
      </c>
      <c r="K42" s="23">
        <v>75</v>
      </c>
      <c r="L42" s="23">
        <v>74</v>
      </c>
      <c r="M42" s="24">
        <v>79</v>
      </c>
      <c r="N42" s="24">
        <v>76</v>
      </c>
      <c r="O42" s="24">
        <v>62</v>
      </c>
      <c r="P42" s="24">
        <v>79</v>
      </c>
      <c r="Q42" s="24">
        <v>93</v>
      </c>
      <c r="R42" s="24">
        <v>96</v>
      </c>
      <c r="S42" s="24">
        <v>800</v>
      </c>
      <c r="T42" s="24">
        <f t="shared" si="0"/>
        <v>634</v>
      </c>
      <c r="U42" s="31">
        <f t="shared" si="2"/>
        <v>0.79249999999999998</v>
      </c>
      <c r="V42" s="32"/>
    </row>
    <row r="43" spans="2:22" ht="39.950000000000003" customHeight="1" x14ac:dyDescent="0.35">
      <c r="B43" s="27">
        <v>34</v>
      </c>
      <c r="C43" s="28">
        <v>616</v>
      </c>
      <c r="D43" s="28" t="s">
        <v>623</v>
      </c>
      <c r="E43" s="29">
        <v>5033</v>
      </c>
      <c r="F43" s="8" t="s">
        <v>138</v>
      </c>
      <c r="G43" s="8" t="s">
        <v>133</v>
      </c>
      <c r="H43" s="8" t="s">
        <v>24</v>
      </c>
      <c r="I43" s="30" t="s">
        <v>279</v>
      </c>
      <c r="J43" s="12" t="s">
        <v>354</v>
      </c>
      <c r="K43" s="23">
        <v>62</v>
      </c>
      <c r="L43" s="23">
        <v>70</v>
      </c>
      <c r="M43" s="24">
        <v>84</v>
      </c>
      <c r="N43" s="24">
        <v>85</v>
      </c>
      <c r="O43" s="24">
        <v>83</v>
      </c>
      <c r="P43" s="24">
        <v>82</v>
      </c>
      <c r="Q43" s="24">
        <v>73</v>
      </c>
      <c r="R43" s="24">
        <v>95</v>
      </c>
      <c r="S43" s="24">
        <v>800</v>
      </c>
      <c r="T43" s="24">
        <f t="shared" si="0"/>
        <v>634</v>
      </c>
      <c r="U43" s="31">
        <f t="shared" si="2"/>
        <v>0.79249999999999998</v>
      </c>
      <c r="V43" s="32"/>
    </row>
    <row r="44" spans="2:22" ht="39.950000000000003" customHeight="1" x14ac:dyDescent="0.35">
      <c r="B44" s="27">
        <v>35</v>
      </c>
      <c r="C44" s="28">
        <v>565</v>
      </c>
      <c r="D44" s="28" t="s">
        <v>623</v>
      </c>
      <c r="E44" s="29">
        <v>5034</v>
      </c>
      <c r="F44" s="8" t="s">
        <v>136</v>
      </c>
      <c r="G44" s="8" t="s">
        <v>137</v>
      </c>
      <c r="H44" s="8" t="s">
        <v>24</v>
      </c>
      <c r="I44" s="30">
        <v>41580</v>
      </c>
      <c r="J44" s="12" t="s">
        <v>353</v>
      </c>
      <c r="K44" s="23">
        <v>64.5</v>
      </c>
      <c r="L44" s="23">
        <v>48</v>
      </c>
      <c r="M44" s="24">
        <v>76</v>
      </c>
      <c r="N44" s="24">
        <v>81</v>
      </c>
      <c r="O44" s="24">
        <v>71</v>
      </c>
      <c r="P44" s="24">
        <v>37</v>
      </c>
      <c r="Q44" s="24">
        <v>59</v>
      </c>
      <c r="R44" s="24">
        <v>93</v>
      </c>
      <c r="S44" s="24">
        <v>800</v>
      </c>
      <c r="T44" s="24">
        <f t="shared" si="0"/>
        <v>529.5</v>
      </c>
      <c r="U44" s="31">
        <f t="shared" si="2"/>
        <v>0.66187499999999999</v>
      </c>
      <c r="V44" s="32"/>
    </row>
    <row r="45" spans="2:22" ht="39.950000000000003" customHeight="1" x14ac:dyDescent="0.35">
      <c r="B45" s="27">
        <v>36</v>
      </c>
      <c r="C45" s="28">
        <v>617</v>
      </c>
      <c r="D45" s="28" t="s">
        <v>623</v>
      </c>
      <c r="E45" s="29">
        <v>5035</v>
      </c>
      <c r="F45" s="8" t="s">
        <v>143</v>
      </c>
      <c r="G45" s="8" t="s">
        <v>144</v>
      </c>
      <c r="H45" s="8" t="s">
        <v>24</v>
      </c>
      <c r="I45" s="30">
        <v>40369</v>
      </c>
      <c r="J45" s="12" t="s">
        <v>354</v>
      </c>
      <c r="K45" s="23">
        <v>68.5</v>
      </c>
      <c r="L45" s="23">
        <v>72</v>
      </c>
      <c r="M45" s="24">
        <v>78</v>
      </c>
      <c r="N45" s="24">
        <v>85</v>
      </c>
      <c r="O45" s="24">
        <v>80</v>
      </c>
      <c r="P45" s="24">
        <v>61</v>
      </c>
      <c r="Q45" s="24">
        <v>39</v>
      </c>
      <c r="R45" s="24">
        <v>90</v>
      </c>
      <c r="S45" s="24">
        <v>800</v>
      </c>
      <c r="T45" s="24">
        <f t="shared" si="0"/>
        <v>573.5</v>
      </c>
      <c r="U45" s="31">
        <f t="shared" si="2"/>
        <v>0.71687500000000004</v>
      </c>
      <c r="V45" s="32"/>
    </row>
    <row r="46" spans="2:22" ht="39.950000000000003" customHeight="1" x14ac:dyDescent="0.35">
      <c r="B46" s="27">
        <v>37</v>
      </c>
      <c r="C46" s="28">
        <v>715</v>
      </c>
      <c r="D46" s="28" t="s">
        <v>623</v>
      </c>
      <c r="E46" s="29">
        <v>5036</v>
      </c>
      <c r="F46" s="8" t="s">
        <v>377</v>
      </c>
      <c r="G46" s="8" t="s">
        <v>361</v>
      </c>
      <c r="H46" s="8" t="s">
        <v>24</v>
      </c>
      <c r="I46" s="30" t="s">
        <v>378</v>
      </c>
      <c r="J46" s="12" t="s">
        <v>379</v>
      </c>
      <c r="K46" s="23">
        <v>70</v>
      </c>
      <c r="L46" s="23">
        <v>56</v>
      </c>
      <c r="M46" s="24">
        <v>80</v>
      </c>
      <c r="N46" s="24">
        <v>79</v>
      </c>
      <c r="O46" s="24">
        <v>36</v>
      </c>
      <c r="P46" s="24">
        <v>67</v>
      </c>
      <c r="Q46" s="24">
        <v>54</v>
      </c>
      <c r="R46" s="24">
        <v>85</v>
      </c>
      <c r="S46" s="24">
        <v>800</v>
      </c>
      <c r="T46" s="24">
        <f t="shared" si="0"/>
        <v>527</v>
      </c>
      <c r="U46" s="31">
        <f t="shared" si="2"/>
        <v>0.65874999999999995</v>
      </c>
      <c r="V46" s="32"/>
    </row>
    <row r="47" spans="2:22" ht="39.950000000000003" customHeight="1" x14ac:dyDescent="0.35">
      <c r="B47" s="27">
        <v>38</v>
      </c>
      <c r="C47" s="28">
        <v>347</v>
      </c>
      <c r="D47" s="28" t="s">
        <v>623</v>
      </c>
      <c r="E47" s="29">
        <v>5037</v>
      </c>
      <c r="F47" s="8" t="s">
        <v>69</v>
      </c>
      <c r="G47" s="8" t="s">
        <v>172</v>
      </c>
      <c r="H47" s="8" t="s">
        <v>24</v>
      </c>
      <c r="I47" s="30">
        <v>40826</v>
      </c>
      <c r="J47" s="12" t="s">
        <v>357</v>
      </c>
      <c r="K47" s="23">
        <v>33</v>
      </c>
      <c r="L47" s="41">
        <v>0</v>
      </c>
      <c r="M47" s="24">
        <v>33</v>
      </c>
      <c r="N47" s="24">
        <v>33</v>
      </c>
      <c r="O47" s="24">
        <v>33</v>
      </c>
      <c r="P47" s="24">
        <v>33</v>
      </c>
      <c r="Q47" s="42">
        <v>0</v>
      </c>
      <c r="R47" s="24">
        <v>75</v>
      </c>
      <c r="S47" s="24">
        <v>800</v>
      </c>
      <c r="T47" s="24">
        <f t="shared" si="0"/>
        <v>240</v>
      </c>
      <c r="U47" s="31">
        <f t="shared" si="2"/>
        <v>0.3</v>
      </c>
      <c r="V47" s="32" t="s">
        <v>850</v>
      </c>
    </row>
    <row r="48" spans="2:22" ht="39.950000000000003" customHeight="1" x14ac:dyDescent="0.35">
      <c r="B48" s="27">
        <v>39</v>
      </c>
      <c r="C48" s="28">
        <v>426</v>
      </c>
      <c r="D48" s="28" t="s">
        <v>623</v>
      </c>
      <c r="E48" s="29">
        <v>5038</v>
      </c>
      <c r="F48" s="8" t="s">
        <v>131</v>
      </c>
      <c r="G48" s="8" t="s">
        <v>166</v>
      </c>
      <c r="H48" s="8" t="s">
        <v>24</v>
      </c>
      <c r="I48" s="30" t="s">
        <v>288</v>
      </c>
      <c r="J48" s="12" t="s">
        <v>352</v>
      </c>
      <c r="K48" s="23">
        <v>57.5</v>
      </c>
      <c r="L48" s="23">
        <v>52</v>
      </c>
      <c r="M48" s="24">
        <v>83</v>
      </c>
      <c r="N48" s="24">
        <v>73</v>
      </c>
      <c r="O48" s="24">
        <v>33</v>
      </c>
      <c r="P48" s="24">
        <v>45</v>
      </c>
      <c r="Q48" s="24">
        <v>33</v>
      </c>
      <c r="R48" s="24">
        <v>98</v>
      </c>
      <c r="S48" s="24">
        <v>800</v>
      </c>
      <c r="T48" s="24">
        <f t="shared" si="0"/>
        <v>474.5</v>
      </c>
      <c r="U48" s="31">
        <f t="shared" si="2"/>
        <v>0.59312500000000001</v>
      </c>
      <c r="V48" s="32"/>
    </row>
    <row r="49" spans="2:22" ht="39.950000000000003" customHeight="1" x14ac:dyDescent="0.35">
      <c r="B49" s="27">
        <v>40</v>
      </c>
      <c r="C49" s="28">
        <v>568</v>
      </c>
      <c r="D49" s="28" t="s">
        <v>623</v>
      </c>
      <c r="E49" s="29">
        <v>5039</v>
      </c>
      <c r="F49" s="8" t="s">
        <v>135</v>
      </c>
      <c r="G49" s="8" t="s">
        <v>129</v>
      </c>
      <c r="H49" s="8" t="s">
        <v>24</v>
      </c>
      <c r="I49" s="30">
        <v>41672</v>
      </c>
      <c r="J49" s="12">
        <v>44897</v>
      </c>
      <c r="K49" s="8">
        <v>81.5</v>
      </c>
      <c r="L49" s="8">
        <v>75</v>
      </c>
      <c r="M49" s="9">
        <v>88</v>
      </c>
      <c r="N49" s="9">
        <v>86</v>
      </c>
      <c r="O49" s="9">
        <v>88</v>
      </c>
      <c r="P49" s="9">
        <v>88</v>
      </c>
      <c r="Q49" s="9">
        <v>86</v>
      </c>
      <c r="R49" s="9">
        <v>98</v>
      </c>
      <c r="S49" s="9">
        <v>800</v>
      </c>
      <c r="T49" s="9">
        <f t="shared" si="0"/>
        <v>690.5</v>
      </c>
      <c r="U49" s="13">
        <f t="shared" si="2"/>
        <v>0.86312500000000003</v>
      </c>
      <c r="V49" s="33"/>
    </row>
    <row r="50" spans="2:22" ht="39.950000000000003" customHeight="1" thickBot="1" x14ac:dyDescent="0.4">
      <c r="B50" s="89">
        <v>41</v>
      </c>
      <c r="C50" s="45">
        <v>790</v>
      </c>
      <c r="D50" s="46" t="s">
        <v>623</v>
      </c>
      <c r="E50" s="47">
        <v>5041</v>
      </c>
      <c r="F50" s="48" t="s">
        <v>710</v>
      </c>
      <c r="G50" s="48" t="s">
        <v>600</v>
      </c>
      <c r="H50" s="49" t="s">
        <v>24</v>
      </c>
      <c r="I50" s="50">
        <v>42040</v>
      </c>
      <c r="J50" s="51">
        <v>45307</v>
      </c>
      <c r="K50" s="52">
        <v>14</v>
      </c>
      <c r="L50" s="57">
        <v>33</v>
      </c>
      <c r="M50" s="48">
        <v>33</v>
      </c>
      <c r="N50" s="48">
        <v>34</v>
      </c>
      <c r="O50" s="53">
        <v>12</v>
      </c>
      <c r="P50" s="48">
        <v>33</v>
      </c>
      <c r="Q50" s="48">
        <v>33</v>
      </c>
      <c r="R50" s="48">
        <v>99</v>
      </c>
      <c r="S50" s="48">
        <v>800</v>
      </c>
      <c r="T50" s="48">
        <f t="shared" ref="T50" si="3">K50+L50+M50+N50+O50+P50+Q50+R50</f>
        <v>291</v>
      </c>
      <c r="U50" s="54">
        <f t="shared" ref="U50" si="4">T50/S50</f>
        <v>0.36375000000000002</v>
      </c>
      <c r="V50" s="32" t="s">
        <v>850</v>
      </c>
    </row>
    <row r="51" spans="2:22" ht="23.25" x14ac:dyDescent="0.35">
      <c r="B51" s="16"/>
      <c r="C51" s="16"/>
      <c r="D51" s="16"/>
      <c r="E51" s="16"/>
      <c r="F51" s="15"/>
      <c r="G51" s="15"/>
      <c r="H51" s="15"/>
      <c r="I51" s="16"/>
      <c r="J51" s="17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  <row r="52" spans="2:22" ht="23.25" x14ac:dyDescent="0.35">
      <c r="B52" s="16"/>
      <c r="C52" s="16"/>
      <c r="D52" s="16"/>
      <c r="E52" s="16"/>
      <c r="F52" s="15"/>
      <c r="G52" s="15"/>
      <c r="H52" s="15"/>
      <c r="I52" s="16"/>
      <c r="J52" s="17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  <row r="53" spans="2:22" ht="23.25" x14ac:dyDescent="0.35">
      <c r="B53" s="16"/>
      <c r="C53" s="16"/>
      <c r="D53" s="16"/>
      <c r="E53" s="16"/>
      <c r="F53" s="15"/>
      <c r="G53" s="15"/>
      <c r="H53" s="15"/>
      <c r="I53" s="16"/>
      <c r="J53" s="17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 t="s">
        <v>716</v>
      </c>
    </row>
    <row r="54" spans="2:22" ht="23.25" x14ac:dyDescent="0.35">
      <c r="B54" s="16"/>
      <c r="C54" s="16"/>
      <c r="D54" s="16"/>
      <c r="E54" s="16"/>
      <c r="F54" s="15"/>
      <c r="G54" s="15"/>
      <c r="H54" s="15"/>
      <c r="I54" s="16"/>
      <c r="J54" s="17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  <row r="55" spans="2:22" ht="23.25" x14ac:dyDescent="0.35">
      <c r="B55" s="16"/>
      <c r="C55" s="16"/>
      <c r="D55" s="16"/>
      <c r="E55" s="16"/>
      <c r="F55" s="15"/>
      <c r="G55" s="15"/>
      <c r="H55" s="15"/>
      <c r="I55" s="16"/>
      <c r="J55" s="17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  <row r="56" spans="2:22" ht="23.25" x14ac:dyDescent="0.35">
      <c r="B56" s="16"/>
      <c r="C56" s="16"/>
      <c r="D56" s="16"/>
      <c r="E56" s="16"/>
      <c r="F56" s="18" t="s">
        <v>713</v>
      </c>
      <c r="G56" s="15"/>
      <c r="H56" s="15"/>
      <c r="I56" s="16"/>
      <c r="J56" s="17"/>
      <c r="K56" s="15"/>
      <c r="L56" s="15"/>
      <c r="M56" s="15"/>
      <c r="N56" s="15"/>
      <c r="O56" s="15"/>
      <c r="P56" s="15"/>
      <c r="Q56" s="153" t="s">
        <v>714</v>
      </c>
      <c r="R56" s="153"/>
      <c r="S56" s="15"/>
      <c r="T56" s="15"/>
      <c r="U56" s="15"/>
      <c r="V56" s="15"/>
    </row>
  </sheetData>
  <autoFilter ref="B7:L49">
    <sortState ref="B5:L43">
      <sortCondition ref="H5:H43"/>
      <sortCondition ref="F5:F43"/>
    </sortState>
  </autoFilter>
  <sortState ref="B5:V48">
    <sortCondition ref="F5:F43"/>
  </sortState>
  <mergeCells count="20">
    <mergeCell ref="B34:V34"/>
    <mergeCell ref="B8:V8"/>
    <mergeCell ref="I5:I7"/>
    <mergeCell ref="J5:J7"/>
    <mergeCell ref="Q56:R56"/>
    <mergeCell ref="K5:R5"/>
    <mergeCell ref="B2:V2"/>
    <mergeCell ref="B3:V3"/>
    <mergeCell ref="B4:V4"/>
    <mergeCell ref="B5:B7"/>
    <mergeCell ref="C5:C7"/>
    <mergeCell ref="D5:D7"/>
    <mergeCell ref="E5:E7"/>
    <mergeCell ref="F5:F7"/>
    <mergeCell ref="S5:S6"/>
    <mergeCell ref="T5:T7"/>
    <mergeCell ref="V5:V7"/>
    <mergeCell ref="U5:U7"/>
    <mergeCell ref="G5:G7"/>
    <mergeCell ref="H5:H7"/>
  </mergeCells>
  <conditionalFormatting sqref="K35:R50 K9:R33">
    <cfRule type="cellIs" dxfId="6" priority="1" operator="lessThan">
      <formula>33</formula>
    </cfRule>
  </conditionalFormatting>
  <pageMargins left="0.2" right="0.2" top="0.25" bottom="0.25" header="0.3" footer="0.3"/>
  <pageSetup paperSize="9" scale="43" fitToHeight="2" orientation="landscape" r:id="rId1"/>
  <rowBreaks count="1" manualBreakCount="1">
    <brk id="33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V57"/>
  <sheetViews>
    <sheetView view="pageBreakPreview" zoomScale="60" zoomScaleNormal="70" workbookViewId="0">
      <pane ySplit="7" topLeftCell="A38" activePane="bottomLeft" state="frozen"/>
      <selection activeCell="B5" sqref="B5:V48"/>
      <selection pane="bottomLeft" activeCell="V15" sqref="V15"/>
    </sheetView>
  </sheetViews>
  <sheetFormatPr defaultColWidth="10" defaultRowHeight="15" x14ac:dyDescent="0.25"/>
  <cols>
    <col min="2" max="2" width="6.140625" customWidth="1"/>
    <col min="3" max="3" width="12" bestFit="1" customWidth="1"/>
    <col min="4" max="4" width="8.7109375" bestFit="1" customWidth="1"/>
    <col min="5" max="5" width="10.85546875" customWidth="1"/>
    <col min="6" max="7" width="27.7109375" customWidth="1"/>
    <col min="8" max="8" width="12.85546875" customWidth="1"/>
    <col min="9" max="9" width="18.5703125" style="1" bestFit="1" customWidth="1"/>
    <col min="10" max="10" width="18.7109375" style="2" bestFit="1" customWidth="1"/>
    <col min="11" max="18" width="12.7109375" customWidth="1"/>
    <col min="19" max="19" width="10.140625" bestFit="1" customWidth="1"/>
    <col min="20" max="21" width="13.5703125" bestFit="1" customWidth="1"/>
    <col min="22" max="22" width="25.7109375" customWidth="1"/>
  </cols>
  <sheetData>
    <row r="2" spans="2:22" ht="27.75" x14ac:dyDescent="0.25">
      <c r="B2" s="143" t="s">
        <v>699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</row>
    <row r="3" spans="2:22" ht="27.75" x14ac:dyDescent="0.25">
      <c r="B3" s="143" t="s">
        <v>696</v>
      </c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</row>
    <row r="4" spans="2:22" ht="28.5" thickBot="1" x14ac:dyDescent="0.3">
      <c r="B4" s="143" t="s">
        <v>697</v>
      </c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</row>
    <row r="5" spans="2:22" ht="25.5" x14ac:dyDescent="0.25">
      <c r="B5" s="184" t="s">
        <v>698</v>
      </c>
      <c r="C5" s="180" t="s">
        <v>334</v>
      </c>
      <c r="D5" s="180" t="s">
        <v>335</v>
      </c>
      <c r="E5" s="180" t="s">
        <v>681</v>
      </c>
      <c r="F5" s="180" t="s">
        <v>0</v>
      </c>
      <c r="G5" s="180" t="s">
        <v>1</v>
      </c>
      <c r="H5" s="180" t="s">
        <v>2</v>
      </c>
      <c r="I5" s="189" t="s">
        <v>337</v>
      </c>
      <c r="J5" s="180" t="s">
        <v>618</v>
      </c>
      <c r="K5" s="179" t="s">
        <v>685</v>
      </c>
      <c r="L5" s="179"/>
      <c r="M5" s="179"/>
      <c r="N5" s="179"/>
      <c r="O5" s="179"/>
      <c r="P5" s="179"/>
      <c r="Q5" s="179"/>
      <c r="R5" s="179"/>
      <c r="S5" s="180" t="s">
        <v>694</v>
      </c>
      <c r="T5" s="180" t="s">
        <v>695</v>
      </c>
      <c r="U5" s="180" t="s">
        <v>700</v>
      </c>
      <c r="V5" s="182" t="s">
        <v>617</v>
      </c>
    </row>
    <row r="6" spans="2:22" ht="93.75" customHeight="1" x14ac:dyDescent="0.25">
      <c r="B6" s="185"/>
      <c r="C6" s="181"/>
      <c r="D6" s="181"/>
      <c r="E6" s="181"/>
      <c r="F6" s="181"/>
      <c r="G6" s="181"/>
      <c r="H6" s="181"/>
      <c r="I6" s="190"/>
      <c r="J6" s="181"/>
      <c r="K6" s="4" t="s">
        <v>686</v>
      </c>
      <c r="L6" s="4" t="s">
        <v>687</v>
      </c>
      <c r="M6" s="4" t="s">
        <v>688</v>
      </c>
      <c r="N6" s="4" t="s">
        <v>689</v>
      </c>
      <c r="O6" s="4" t="s">
        <v>690</v>
      </c>
      <c r="P6" s="4" t="s">
        <v>691</v>
      </c>
      <c r="Q6" s="4" t="s">
        <v>692</v>
      </c>
      <c r="R6" s="4" t="s">
        <v>693</v>
      </c>
      <c r="S6" s="181"/>
      <c r="T6" s="181"/>
      <c r="U6" s="181"/>
      <c r="V6" s="183"/>
    </row>
    <row r="7" spans="2:22" ht="40.5" customHeight="1" thickBot="1" x14ac:dyDescent="0.3">
      <c r="B7" s="185"/>
      <c r="C7" s="181"/>
      <c r="D7" s="181"/>
      <c r="E7" s="181"/>
      <c r="F7" s="181"/>
      <c r="G7" s="181"/>
      <c r="H7" s="181"/>
      <c r="I7" s="190"/>
      <c r="J7" s="181"/>
      <c r="K7" s="5">
        <v>100</v>
      </c>
      <c r="L7" s="5">
        <v>100</v>
      </c>
      <c r="M7" s="5">
        <v>100</v>
      </c>
      <c r="N7" s="5">
        <v>100</v>
      </c>
      <c r="O7" s="5">
        <v>100</v>
      </c>
      <c r="P7" s="5">
        <v>100</v>
      </c>
      <c r="Q7" s="5">
        <v>100</v>
      </c>
      <c r="R7" s="5">
        <v>100</v>
      </c>
      <c r="S7" s="5">
        <f>SUM(K7:R7)</f>
        <v>800</v>
      </c>
      <c r="T7" s="181"/>
      <c r="U7" s="181"/>
      <c r="V7" s="183"/>
    </row>
    <row r="8" spans="2:22" ht="54.95" customHeight="1" thickBot="1" x14ac:dyDescent="0.7">
      <c r="B8" s="186" t="s">
        <v>682</v>
      </c>
      <c r="C8" s="187"/>
      <c r="D8" s="187"/>
      <c r="E8" s="187"/>
      <c r="F8" s="187"/>
      <c r="G8" s="187"/>
      <c r="H8" s="187"/>
      <c r="I8" s="187"/>
      <c r="J8" s="187"/>
      <c r="K8" s="187"/>
      <c r="L8" s="187"/>
      <c r="M8" s="187"/>
      <c r="N8" s="187"/>
      <c r="O8" s="187"/>
      <c r="P8" s="187"/>
      <c r="Q8" s="187"/>
      <c r="R8" s="187"/>
      <c r="S8" s="187"/>
      <c r="T8" s="187"/>
      <c r="U8" s="187"/>
      <c r="V8" s="188"/>
    </row>
    <row r="9" spans="2:22" ht="39.950000000000003" customHeight="1" x14ac:dyDescent="0.35">
      <c r="B9" s="27">
        <v>1</v>
      </c>
      <c r="C9" s="28">
        <v>626</v>
      </c>
      <c r="D9" s="28" t="s">
        <v>624</v>
      </c>
      <c r="E9" s="29">
        <v>6001</v>
      </c>
      <c r="F9" s="8" t="s">
        <v>198</v>
      </c>
      <c r="G9" s="8" t="s">
        <v>82</v>
      </c>
      <c r="H9" s="8" t="s">
        <v>23</v>
      </c>
      <c r="I9" s="30">
        <v>40128</v>
      </c>
      <c r="J9" s="12" t="s">
        <v>354</v>
      </c>
      <c r="K9" s="23">
        <v>74</v>
      </c>
      <c r="L9" s="23">
        <v>59</v>
      </c>
      <c r="M9" s="24">
        <v>66</v>
      </c>
      <c r="N9" s="24">
        <v>73</v>
      </c>
      <c r="O9" s="24">
        <v>58</v>
      </c>
      <c r="P9" s="24">
        <v>67</v>
      </c>
      <c r="Q9" s="24">
        <v>75</v>
      </c>
      <c r="R9" s="24">
        <v>98</v>
      </c>
      <c r="S9" s="24">
        <v>800</v>
      </c>
      <c r="T9" s="24">
        <f t="shared" ref="T9:T49" si="0">K9+L9+M9+N9+O9+P9+Q9+R9</f>
        <v>570</v>
      </c>
      <c r="U9" s="31">
        <f t="shared" ref="U9" si="1">T9/S9</f>
        <v>0.71250000000000002</v>
      </c>
      <c r="V9" s="32"/>
    </row>
    <row r="10" spans="2:22" ht="39.950000000000003" customHeight="1" x14ac:dyDescent="0.35">
      <c r="B10" s="27">
        <v>2</v>
      </c>
      <c r="C10" s="28">
        <v>636</v>
      </c>
      <c r="D10" s="28" t="s">
        <v>624</v>
      </c>
      <c r="E10" s="29">
        <v>6002</v>
      </c>
      <c r="F10" s="8" t="s">
        <v>109</v>
      </c>
      <c r="G10" s="8" t="s">
        <v>199</v>
      </c>
      <c r="H10" s="8" t="s">
        <v>23</v>
      </c>
      <c r="I10" s="30" t="s">
        <v>321</v>
      </c>
      <c r="J10" s="12" t="s">
        <v>402</v>
      </c>
      <c r="K10" s="23">
        <v>99</v>
      </c>
      <c r="L10" s="23">
        <v>98</v>
      </c>
      <c r="M10" s="24">
        <v>99</v>
      </c>
      <c r="N10" s="24">
        <v>99</v>
      </c>
      <c r="O10" s="24">
        <v>90</v>
      </c>
      <c r="P10" s="24">
        <v>99</v>
      </c>
      <c r="Q10" s="24">
        <v>99</v>
      </c>
      <c r="R10" s="24">
        <v>99</v>
      </c>
      <c r="S10" s="24">
        <v>800</v>
      </c>
      <c r="T10" s="24">
        <f t="shared" si="0"/>
        <v>782</v>
      </c>
      <c r="U10" s="31">
        <f t="shared" ref="U10:U49" si="2">T10/S10</f>
        <v>0.97750000000000004</v>
      </c>
      <c r="V10" s="32" t="s">
        <v>857</v>
      </c>
    </row>
    <row r="11" spans="2:22" ht="39.950000000000003" customHeight="1" x14ac:dyDescent="0.35">
      <c r="B11" s="27">
        <v>3</v>
      </c>
      <c r="C11" s="28">
        <v>637</v>
      </c>
      <c r="D11" s="28" t="s">
        <v>624</v>
      </c>
      <c r="E11" s="29">
        <v>6003</v>
      </c>
      <c r="F11" s="8" t="s">
        <v>684</v>
      </c>
      <c r="G11" s="8" t="s">
        <v>11</v>
      </c>
      <c r="H11" s="8" t="s">
        <v>23</v>
      </c>
      <c r="I11" s="30" t="s">
        <v>322</v>
      </c>
      <c r="J11" s="12" t="s">
        <v>402</v>
      </c>
      <c r="K11" s="23">
        <v>98.5</v>
      </c>
      <c r="L11" s="23">
        <v>98</v>
      </c>
      <c r="M11" s="24">
        <v>98</v>
      </c>
      <c r="N11" s="24">
        <v>99</v>
      </c>
      <c r="O11" s="24">
        <v>85</v>
      </c>
      <c r="P11" s="24">
        <v>98</v>
      </c>
      <c r="Q11" s="24">
        <v>98</v>
      </c>
      <c r="R11" s="24">
        <v>99</v>
      </c>
      <c r="S11" s="24">
        <v>800</v>
      </c>
      <c r="T11" s="24">
        <f t="shared" si="0"/>
        <v>773.5</v>
      </c>
      <c r="U11" s="31">
        <f t="shared" si="2"/>
        <v>0.96687500000000004</v>
      </c>
      <c r="V11" s="32" t="s">
        <v>856</v>
      </c>
    </row>
    <row r="12" spans="2:22" ht="39.950000000000003" customHeight="1" x14ac:dyDescent="0.35">
      <c r="B12" s="27">
        <v>4</v>
      </c>
      <c r="C12" s="28">
        <v>720</v>
      </c>
      <c r="D12" s="28" t="s">
        <v>624</v>
      </c>
      <c r="E12" s="29">
        <v>6004</v>
      </c>
      <c r="F12" s="8" t="s">
        <v>405</v>
      </c>
      <c r="G12" s="8" t="s">
        <v>406</v>
      </c>
      <c r="H12" s="8" t="s">
        <v>23</v>
      </c>
      <c r="I12" s="30" t="s">
        <v>407</v>
      </c>
      <c r="J12" s="12" t="s">
        <v>379</v>
      </c>
      <c r="K12" s="23">
        <v>92.5</v>
      </c>
      <c r="L12" s="23">
        <v>92</v>
      </c>
      <c r="M12" s="24">
        <v>92</v>
      </c>
      <c r="N12" s="24">
        <v>98.5</v>
      </c>
      <c r="O12" s="24">
        <v>86</v>
      </c>
      <c r="P12" s="24">
        <v>82</v>
      </c>
      <c r="Q12" s="24">
        <v>94</v>
      </c>
      <c r="R12" s="24">
        <v>95</v>
      </c>
      <c r="S12" s="24">
        <v>800</v>
      </c>
      <c r="T12" s="24">
        <f t="shared" si="0"/>
        <v>732</v>
      </c>
      <c r="U12" s="31">
        <f t="shared" si="2"/>
        <v>0.91500000000000004</v>
      </c>
      <c r="V12" s="32"/>
    </row>
    <row r="13" spans="2:22" ht="39.950000000000003" customHeight="1" x14ac:dyDescent="0.35">
      <c r="B13" s="27">
        <v>5</v>
      </c>
      <c r="C13" s="28">
        <v>722</v>
      </c>
      <c r="D13" s="28" t="s">
        <v>624</v>
      </c>
      <c r="E13" s="29">
        <v>6005</v>
      </c>
      <c r="F13" s="8" t="s">
        <v>538</v>
      </c>
      <c r="G13" s="8" t="s">
        <v>408</v>
      </c>
      <c r="H13" s="8" t="s">
        <v>23</v>
      </c>
      <c r="I13" s="30">
        <v>40789</v>
      </c>
      <c r="J13" s="12" t="s">
        <v>379</v>
      </c>
      <c r="K13" s="23">
        <v>97</v>
      </c>
      <c r="L13" s="23">
        <v>98</v>
      </c>
      <c r="M13" s="24">
        <v>95</v>
      </c>
      <c r="N13" s="24">
        <v>99</v>
      </c>
      <c r="O13" s="24">
        <v>92</v>
      </c>
      <c r="P13" s="24">
        <v>89</v>
      </c>
      <c r="Q13" s="24">
        <v>99</v>
      </c>
      <c r="R13" s="24">
        <v>98</v>
      </c>
      <c r="S13" s="24">
        <v>800</v>
      </c>
      <c r="T13" s="24">
        <f t="shared" si="0"/>
        <v>767</v>
      </c>
      <c r="U13" s="31">
        <f t="shared" si="2"/>
        <v>0.95874999999999999</v>
      </c>
      <c r="V13" s="32"/>
    </row>
    <row r="14" spans="2:22" ht="39.950000000000003" customHeight="1" x14ac:dyDescent="0.35">
      <c r="B14" s="27">
        <v>6</v>
      </c>
      <c r="C14" s="28">
        <v>352</v>
      </c>
      <c r="D14" s="28" t="s">
        <v>624</v>
      </c>
      <c r="E14" s="29">
        <v>6006</v>
      </c>
      <c r="F14" s="8" t="s">
        <v>190</v>
      </c>
      <c r="G14" s="8" t="s">
        <v>191</v>
      </c>
      <c r="H14" s="8" t="s">
        <v>23</v>
      </c>
      <c r="I14" s="30">
        <v>41282</v>
      </c>
      <c r="J14" s="12">
        <v>42896</v>
      </c>
      <c r="K14" s="41">
        <v>13</v>
      </c>
      <c r="L14" s="23">
        <v>48</v>
      </c>
      <c r="M14" s="24">
        <v>70</v>
      </c>
      <c r="N14" s="24">
        <v>35</v>
      </c>
      <c r="O14" s="24">
        <v>64</v>
      </c>
      <c r="P14" s="42">
        <v>18</v>
      </c>
      <c r="Q14" s="24">
        <v>72</v>
      </c>
      <c r="R14" s="24">
        <v>78</v>
      </c>
      <c r="S14" s="24">
        <v>800</v>
      </c>
      <c r="T14" s="24">
        <f t="shared" si="0"/>
        <v>398</v>
      </c>
      <c r="U14" s="31">
        <f t="shared" si="2"/>
        <v>0.4975</v>
      </c>
      <c r="V14" s="32" t="s">
        <v>850</v>
      </c>
    </row>
    <row r="15" spans="2:22" ht="39.950000000000003" customHeight="1" x14ac:dyDescent="0.35">
      <c r="B15" s="27">
        <v>7</v>
      </c>
      <c r="C15" s="28">
        <v>350</v>
      </c>
      <c r="D15" s="28" t="s">
        <v>624</v>
      </c>
      <c r="E15" s="29">
        <v>6007</v>
      </c>
      <c r="F15" s="8" t="s">
        <v>196</v>
      </c>
      <c r="G15" s="8" t="s">
        <v>183</v>
      </c>
      <c r="H15" s="8" t="s">
        <v>23</v>
      </c>
      <c r="I15" s="30">
        <v>40951</v>
      </c>
      <c r="J15" s="12">
        <v>42898</v>
      </c>
      <c r="K15" s="23">
        <v>33</v>
      </c>
      <c r="L15" s="23">
        <v>33</v>
      </c>
      <c r="M15" s="24">
        <v>60</v>
      </c>
      <c r="N15" s="24">
        <v>46</v>
      </c>
      <c r="O15" s="24">
        <v>33</v>
      </c>
      <c r="P15" s="24">
        <v>33</v>
      </c>
      <c r="Q15" s="24">
        <v>56</v>
      </c>
      <c r="R15" s="24">
        <v>98</v>
      </c>
      <c r="S15" s="24">
        <v>800</v>
      </c>
      <c r="T15" s="24">
        <f t="shared" si="0"/>
        <v>392</v>
      </c>
      <c r="U15" s="31">
        <f t="shared" si="2"/>
        <v>0.49</v>
      </c>
      <c r="V15" s="32"/>
    </row>
    <row r="16" spans="2:22" ht="39.950000000000003" customHeight="1" x14ac:dyDescent="0.35">
      <c r="B16" s="27">
        <v>8</v>
      </c>
      <c r="C16" s="28">
        <v>629</v>
      </c>
      <c r="D16" s="28" t="s">
        <v>624</v>
      </c>
      <c r="E16" s="29">
        <v>6008</v>
      </c>
      <c r="F16" s="8" t="s">
        <v>197</v>
      </c>
      <c r="G16" s="8" t="s">
        <v>331</v>
      </c>
      <c r="H16" s="8" t="s">
        <v>23</v>
      </c>
      <c r="I16" s="30" t="s">
        <v>320</v>
      </c>
      <c r="J16" s="12" t="s">
        <v>354</v>
      </c>
      <c r="K16" s="23">
        <v>62</v>
      </c>
      <c r="L16" s="23">
        <v>91</v>
      </c>
      <c r="M16" s="24">
        <v>90</v>
      </c>
      <c r="N16" s="24">
        <v>88.5</v>
      </c>
      <c r="O16" s="24">
        <v>91</v>
      </c>
      <c r="P16" s="24">
        <v>70</v>
      </c>
      <c r="Q16" s="24">
        <v>94</v>
      </c>
      <c r="R16" s="24">
        <v>99</v>
      </c>
      <c r="S16" s="24">
        <v>800</v>
      </c>
      <c r="T16" s="24">
        <f t="shared" si="0"/>
        <v>685.5</v>
      </c>
      <c r="U16" s="31">
        <f t="shared" si="2"/>
        <v>0.85687500000000005</v>
      </c>
      <c r="V16" s="32"/>
    </row>
    <row r="17" spans="2:22" ht="39.950000000000003" customHeight="1" x14ac:dyDescent="0.35">
      <c r="B17" s="27">
        <v>9</v>
      </c>
      <c r="C17" s="28">
        <v>726</v>
      </c>
      <c r="D17" s="28" t="s">
        <v>624</v>
      </c>
      <c r="E17" s="29">
        <v>6009</v>
      </c>
      <c r="F17" s="8" t="s">
        <v>409</v>
      </c>
      <c r="G17" s="8" t="s">
        <v>410</v>
      </c>
      <c r="H17" s="8" t="s">
        <v>23</v>
      </c>
      <c r="I17" s="30">
        <v>41519</v>
      </c>
      <c r="J17" s="12" t="s">
        <v>379</v>
      </c>
      <c r="K17" s="41">
        <v>4</v>
      </c>
      <c r="L17" s="23">
        <v>33</v>
      </c>
      <c r="M17" s="24">
        <v>34</v>
      </c>
      <c r="N17" s="24">
        <v>33</v>
      </c>
      <c r="O17" s="24">
        <v>33</v>
      </c>
      <c r="P17" s="42">
        <v>4</v>
      </c>
      <c r="Q17" s="24">
        <v>33</v>
      </c>
      <c r="R17" s="24">
        <v>99</v>
      </c>
      <c r="S17" s="24">
        <v>800</v>
      </c>
      <c r="T17" s="24">
        <f t="shared" si="0"/>
        <v>273</v>
      </c>
      <c r="U17" s="31">
        <f t="shared" si="2"/>
        <v>0.34125</v>
      </c>
      <c r="V17" s="32" t="s">
        <v>850</v>
      </c>
    </row>
    <row r="18" spans="2:22" ht="39.950000000000003" customHeight="1" x14ac:dyDescent="0.35">
      <c r="B18" s="27">
        <v>10</v>
      </c>
      <c r="C18" s="28">
        <v>390</v>
      </c>
      <c r="D18" s="28" t="s">
        <v>624</v>
      </c>
      <c r="E18" s="29">
        <v>6010</v>
      </c>
      <c r="F18" s="8" t="s">
        <v>329</v>
      </c>
      <c r="G18" s="8" t="s">
        <v>38</v>
      </c>
      <c r="H18" s="8" t="s">
        <v>23</v>
      </c>
      <c r="I18" s="30" t="s">
        <v>305</v>
      </c>
      <c r="J18" s="12" t="s">
        <v>403</v>
      </c>
      <c r="K18" s="23">
        <v>52.5</v>
      </c>
      <c r="L18" s="23">
        <v>79</v>
      </c>
      <c r="M18" s="24">
        <v>83</v>
      </c>
      <c r="N18" s="24">
        <v>82</v>
      </c>
      <c r="O18" s="24">
        <v>42</v>
      </c>
      <c r="P18" s="24">
        <v>50</v>
      </c>
      <c r="Q18" s="24">
        <v>92</v>
      </c>
      <c r="R18" s="24">
        <v>98</v>
      </c>
      <c r="S18" s="24">
        <v>800</v>
      </c>
      <c r="T18" s="24">
        <f t="shared" si="0"/>
        <v>578.5</v>
      </c>
      <c r="U18" s="31">
        <f t="shared" si="2"/>
        <v>0.72312500000000002</v>
      </c>
      <c r="V18" s="32"/>
    </row>
    <row r="19" spans="2:22" ht="39.950000000000003" customHeight="1" x14ac:dyDescent="0.35">
      <c r="B19" s="27">
        <v>11</v>
      </c>
      <c r="C19" s="28">
        <v>357</v>
      </c>
      <c r="D19" s="28" t="s">
        <v>624</v>
      </c>
      <c r="E19" s="29">
        <v>6011</v>
      </c>
      <c r="F19" s="8" t="s">
        <v>194</v>
      </c>
      <c r="G19" s="8" t="s">
        <v>195</v>
      </c>
      <c r="H19" s="8" t="s">
        <v>23</v>
      </c>
      <c r="I19" s="30">
        <v>40980</v>
      </c>
      <c r="J19" s="12" t="s">
        <v>404</v>
      </c>
      <c r="K19" s="23">
        <v>37</v>
      </c>
      <c r="L19" s="23">
        <v>85</v>
      </c>
      <c r="M19" s="24">
        <v>89</v>
      </c>
      <c r="N19" s="24">
        <v>80</v>
      </c>
      <c r="O19" s="24">
        <v>14</v>
      </c>
      <c r="P19" s="24">
        <v>47</v>
      </c>
      <c r="Q19" s="24">
        <v>74</v>
      </c>
      <c r="R19" s="24">
        <v>90</v>
      </c>
      <c r="S19" s="24">
        <v>800</v>
      </c>
      <c r="T19" s="24">
        <f t="shared" si="0"/>
        <v>516</v>
      </c>
      <c r="U19" s="31">
        <f t="shared" si="2"/>
        <v>0.64500000000000002</v>
      </c>
      <c r="V19" s="32"/>
    </row>
    <row r="20" spans="2:22" ht="39.950000000000003" customHeight="1" thickBot="1" x14ac:dyDescent="0.4">
      <c r="B20" s="27">
        <v>12</v>
      </c>
      <c r="C20" s="28">
        <v>623</v>
      </c>
      <c r="D20" s="28" t="s">
        <v>624</v>
      </c>
      <c r="E20" s="29">
        <v>6012</v>
      </c>
      <c r="F20" s="8" t="s">
        <v>327</v>
      </c>
      <c r="G20" s="8" t="s">
        <v>20</v>
      </c>
      <c r="H20" s="8" t="s">
        <v>23</v>
      </c>
      <c r="I20" s="30">
        <v>40425</v>
      </c>
      <c r="J20" s="12" t="s">
        <v>354</v>
      </c>
      <c r="K20" s="23">
        <v>97</v>
      </c>
      <c r="L20" s="23">
        <v>99</v>
      </c>
      <c r="M20" s="24">
        <v>98</v>
      </c>
      <c r="N20" s="24">
        <v>98</v>
      </c>
      <c r="O20" s="24">
        <v>96</v>
      </c>
      <c r="P20" s="24">
        <v>99</v>
      </c>
      <c r="Q20" s="24">
        <v>99</v>
      </c>
      <c r="R20" s="24">
        <v>99</v>
      </c>
      <c r="S20" s="24">
        <v>800</v>
      </c>
      <c r="T20" s="24">
        <f t="shared" si="0"/>
        <v>785</v>
      </c>
      <c r="U20" s="31">
        <f t="shared" si="2"/>
        <v>0.98124999999999996</v>
      </c>
      <c r="V20" s="32" t="s">
        <v>851</v>
      </c>
    </row>
    <row r="21" spans="2:22" ht="54.95" customHeight="1" thickBot="1" x14ac:dyDescent="0.7">
      <c r="B21" s="186" t="s">
        <v>683</v>
      </c>
      <c r="C21" s="187"/>
      <c r="D21" s="187"/>
      <c r="E21" s="187"/>
      <c r="F21" s="187"/>
      <c r="G21" s="187"/>
      <c r="H21" s="187"/>
      <c r="I21" s="187"/>
      <c r="J21" s="187"/>
      <c r="K21" s="187"/>
      <c r="L21" s="187"/>
      <c r="M21" s="187"/>
      <c r="N21" s="187"/>
      <c r="O21" s="187"/>
      <c r="P21" s="187"/>
      <c r="Q21" s="187"/>
      <c r="R21" s="187"/>
      <c r="S21" s="187"/>
      <c r="T21" s="187"/>
      <c r="U21" s="187"/>
      <c r="V21" s="188"/>
    </row>
    <row r="22" spans="2:22" ht="39.950000000000003" customHeight="1" x14ac:dyDescent="0.35">
      <c r="B22" s="27">
        <v>13</v>
      </c>
      <c r="C22" s="28">
        <v>482</v>
      </c>
      <c r="D22" s="28" t="s">
        <v>624</v>
      </c>
      <c r="E22" s="29">
        <v>6013</v>
      </c>
      <c r="F22" s="8" t="s">
        <v>167</v>
      </c>
      <c r="G22" s="8" t="s">
        <v>168</v>
      </c>
      <c r="H22" s="8" t="s">
        <v>24</v>
      </c>
      <c r="I22" s="30">
        <v>40604</v>
      </c>
      <c r="J22" s="12" t="s">
        <v>345</v>
      </c>
      <c r="K22" s="23">
        <v>45</v>
      </c>
      <c r="L22" s="23">
        <v>45</v>
      </c>
      <c r="M22" s="24">
        <v>53</v>
      </c>
      <c r="N22" s="24">
        <v>33</v>
      </c>
      <c r="O22" s="24">
        <v>38</v>
      </c>
      <c r="P22" s="24">
        <v>33</v>
      </c>
      <c r="Q22" s="24">
        <v>44</v>
      </c>
      <c r="R22" s="24">
        <v>78</v>
      </c>
      <c r="S22" s="24">
        <v>800</v>
      </c>
      <c r="T22" s="24">
        <f t="shared" si="0"/>
        <v>369</v>
      </c>
      <c r="U22" s="31">
        <f t="shared" si="2"/>
        <v>0.46124999999999999</v>
      </c>
      <c r="V22" s="32"/>
    </row>
    <row r="23" spans="2:22" ht="39.950000000000003" customHeight="1" x14ac:dyDescent="0.35">
      <c r="B23" s="27">
        <v>14</v>
      </c>
      <c r="C23" s="28">
        <v>331</v>
      </c>
      <c r="D23" s="28" t="s">
        <v>624</v>
      </c>
      <c r="E23" s="29">
        <v>6014</v>
      </c>
      <c r="F23" s="8" t="s">
        <v>171</v>
      </c>
      <c r="G23" s="8" t="s">
        <v>154</v>
      </c>
      <c r="H23" s="8" t="s">
        <v>24</v>
      </c>
      <c r="I23" s="30">
        <v>40913</v>
      </c>
      <c r="J23" s="12" t="s">
        <v>387</v>
      </c>
      <c r="K23" s="41">
        <v>5</v>
      </c>
      <c r="L23" s="23">
        <v>42</v>
      </c>
      <c r="M23" s="24">
        <v>44</v>
      </c>
      <c r="N23" s="24">
        <v>61.5</v>
      </c>
      <c r="O23" s="24">
        <v>38</v>
      </c>
      <c r="P23" s="24">
        <v>33</v>
      </c>
      <c r="Q23" s="24">
        <v>40</v>
      </c>
      <c r="R23" s="24">
        <v>70</v>
      </c>
      <c r="S23" s="24">
        <v>800</v>
      </c>
      <c r="T23" s="24">
        <f t="shared" si="0"/>
        <v>333.5</v>
      </c>
      <c r="U23" s="31">
        <f t="shared" si="2"/>
        <v>0.416875</v>
      </c>
      <c r="V23" s="32"/>
    </row>
    <row r="24" spans="2:22" ht="39.950000000000003" customHeight="1" x14ac:dyDescent="0.35">
      <c r="B24" s="27">
        <v>15</v>
      </c>
      <c r="C24" s="28">
        <v>306</v>
      </c>
      <c r="D24" s="28" t="s">
        <v>624</v>
      </c>
      <c r="E24" s="29">
        <v>6015</v>
      </c>
      <c r="F24" s="8" t="s">
        <v>173</v>
      </c>
      <c r="G24" s="8" t="s">
        <v>174</v>
      </c>
      <c r="H24" s="8" t="s">
        <v>24</v>
      </c>
      <c r="I24" s="30" t="s">
        <v>299</v>
      </c>
      <c r="J24" s="12" t="s">
        <v>357</v>
      </c>
      <c r="K24" s="41">
        <v>10.5</v>
      </c>
      <c r="L24" s="23">
        <v>33</v>
      </c>
      <c r="M24" s="24">
        <v>43</v>
      </c>
      <c r="N24" s="24">
        <v>33</v>
      </c>
      <c r="O24" s="42">
        <v>15</v>
      </c>
      <c r="P24" s="24">
        <v>33</v>
      </c>
      <c r="Q24" s="24">
        <v>35</v>
      </c>
      <c r="R24" s="24">
        <v>85</v>
      </c>
      <c r="S24" s="24">
        <v>800</v>
      </c>
      <c r="T24" s="24">
        <f t="shared" si="0"/>
        <v>287.5</v>
      </c>
      <c r="U24" s="31">
        <f t="shared" si="2"/>
        <v>0.359375</v>
      </c>
      <c r="V24" s="32" t="s">
        <v>850</v>
      </c>
    </row>
    <row r="25" spans="2:22" ht="39.950000000000003" customHeight="1" x14ac:dyDescent="0.35">
      <c r="B25" s="27">
        <v>16</v>
      </c>
      <c r="C25" s="28">
        <v>567</v>
      </c>
      <c r="D25" s="28" t="s">
        <v>624</v>
      </c>
      <c r="E25" s="29">
        <v>6016</v>
      </c>
      <c r="F25" s="8" t="s">
        <v>176</v>
      </c>
      <c r="G25" s="8" t="s">
        <v>301</v>
      </c>
      <c r="H25" s="8" t="s">
        <v>24</v>
      </c>
      <c r="I25" s="30" t="s">
        <v>302</v>
      </c>
      <c r="J25" s="12">
        <v>44512</v>
      </c>
      <c r="K25" s="23">
        <v>41</v>
      </c>
      <c r="L25" s="23">
        <v>33</v>
      </c>
      <c r="M25" s="42">
        <v>20</v>
      </c>
      <c r="N25" s="42">
        <v>21</v>
      </c>
      <c r="O25" s="24">
        <v>40</v>
      </c>
      <c r="P25" s="24">
        <v>33</v>
      </c>
      <c r="Q25" s="24">
        <v>36</v>
      </c>
      <c r="R25" s="24">
        <v>80</v>
      </c>
      <c r="S25" s="24">
        <v>800</v>
      </c>
      <c r="T25" s="24">
        <f t="shared" si="0"/>
        <v>304</v>
      </c>
      <c r="U25" s="31">
        <f t="shared" si="2"/>
        <v>0.38</v>
      </c>
      <c r="V25" s="32" t="s">
        <v>850</v>
      </c>
    </row>
    <row r="26" spans="2:22" ht="39.950000000000003" customHeight="1" x14ac:dyDescent="0.35">
      <c r="B26" s="27">
        <v>17</v>
      </c>
      <c r="C26" s="28">
        <v>721</v>
      </c>
      <c r="D26" s="28" t="s">
        <v>624</v>
      </c>
      <c r="E26" s="29">
        <v>6017</v>
      </c>
      <c r="F26" s="8" t="s">
        <v>127</v>
      </c>
      <c r="G26" s="8" t="s">
        <v>394</v>
      </c>
      <c r="H26" s="8" t="s">
        <v>24</v>
      </c>
      <c r="I26" s="30">
        <v>41275</v>
      </c>
      <c r="J26" s="12" t="s">
        <v>379</v>
      </c>
      <c r="K26" s="23">
        <v>49</v>
      </c>
      <c r="L26" s="23">
        <v>94</v>
      </c>
      <c r="M26" s="24">
        <v>94</v>
      </c>
      <c r="N26" s="24">
        <v>85</v>
      </c>
      <c r="O26" s="24">
        <v>53</v>
      </c>
      <c r="P26" s="24">
        <v>74</v>
      </c>
      <c r="Q26" s="24">
        <v>71</v>
      </c>
      <c r="R26" s="24">
        <v>70</v>
      </c>
      <c r="S26" s="24">
        <v>800</v>
      </c>
      <c r="T26" s="24">
        <f t="shared" si="0"/>
        <v>590</v>
      </c>
      <c r="U26" s="31">
        <f t="shared" si="2"/>
        <v>0.73750000000000004</v>
      </c>
      <c r="V26" s="32"/>
    </row>
    <row r="27" spans="2:22" ht="39.950000000000003" customHeight="1" x14ac:dyDescent="0.35">
      <c r="B27" s="27">
        <v>18</v>
      </c>
      <c r="C27" s="28">
        <v>342</v>
      </c>
      <c r="D27" s="28" t="s">
        <v>624</v>
      </c>
      <c r="E27" s="29">
        <v>6018</v>
      </c>
      <c r="F27" s="8" t="s">
        <v>386</v>
      </c>
      <c r="G27" s="8" t="s">
        <v>79</v>
      </c>
      <c r="H27" s="8" t="s">
        <v>24</v>
      </c>
      <c r="I27" s="30">
        <v>40091</v>
      </c>
      <c r="J27" s="12" t="s">
        <v>350</v>
      </c>
      <c r="K27" s="23">
        <v>33</v>
      </c>
      <c r="L27" s="23">
        <v>73</v>
      </c>
      <c r="M27" s="24">
        <v>36</v>
      </c>
      <c r="N27" s="42">
        <v>19.5</v>
      </c>
      <c r="O27" s="42">
        <v>16</v>
      </c>
      <c r="P27" s="24">
        <v>33</v>
      </c>
      <c r="Q27" s="24">
        <v>40</v>
      </c>
      <c r="R27" s="24">
        <v>80</v>
      </c>
      <c r="S27" s="24">
        <v>800</v>
      </c>
      <c r="T27" s="24">
        <f t="shared" si="0"/>
        <v>330.5</v>
      </c>
      <c r="U27" s="31">
        <f t="shared" si="2"/>
        <v>0.41312500000000002</v>
      </c>
      <c r="V27" s="32" t="s">
        <v>850</v>
      </c>
    </row>
    <row r="28" spans="2:22" ht="39.950000000000003" customHeight="1" x14ac:dyDescent="0.35">
      <c r="B28" s="27">
        <v>19</v>
      </c>
      <c r="C28" s="28">
        <v>625</v>
      </c>
      <c r="D28" s="28" t="s">
        <v>624</v>
      </c>
      <c r="E28" s="29">
        <v>6019</v>
      </c>
      <c r="F28" s="8" t="s">
        <v>179</v>
      </c>
      <c r="G28" s="8" t="s">
        <v>330</v>
      </c>
      <c r="H28" s="8" t="s">
        <v>24</v>
      </c>
      <c r="I28" s="30">
        <v>39490</v>
      </c>
      <c r="J28" s="12" t="s">
        <v>354</v>
      </c>
      <c r="K28" s="23">
        <v>75</v>
      </c>
      <c r="L28" s="23">
        <v>72</v>
      </c>
      <c r="M28" s="24">
        <v>92</v>
      </c>
      <c r="N28" s="24">
        <v>59.5</v>
      </c>
      <c r="O28" s="24">
        <v>80</v>
      </c>
      <c r="P28" s="24">
        <v>70</v>
      </c>
      <c r="Q28" s="24">
        <v>91</v>
      </c>
      <c r="R28" s="24">
        <v>98</v>
      </c>
      <c r="S28" s="24">
        <v>800</v>
      </c>
      <c r="T28" s="24">
        <f t="shared" si="0"/>
        <v>637.5</v>
      </c>
      <c r="U28" s="31">
        <f t="shared" si="2"/>
        <v>0.796875</v>
      </c>
      <c r="V28" s="32"/>
    </row>
    <row r="29" spans="2:22" ht="39.950000000000003" customHeight="1" x14ac:dyDescent="0.35">
      <c r="B29" s="27">
        <v>20</v>
      </c>
      <c r="C29" s="28">
        <v>627</v>
      </c>
      <c r="D29" s="28" t="s">
        <v>624</v>
      </c>
      <c r="E29" s="29">
        <v>6020</v>
      </c>
      <c r="F29" s="8" t="s">
        <v>181</v>
      </c>
      <c r="G29" s="8" t="s">
        <v>314</v>
      </c>
      <c r="H29" s="8" t="s">
        <v>24</v>
      </c>
      <c r="I29" s="30" t="s">
        <v>315</v>
      </c>
      <c r="J29" s="12" t="s">
        <v>354</v>
      </c>
      <c r="K29" s="23">
        <v>67</v>
      </c>
      <c r="L29" s="23">
        <v>78</v>
      </c>
      <c r="M29" s="24">
        <v>66</v>
      </c>
      <c r="N29" s="24">
        <v>60.5</v>
      </c>
      <c r="O29" s="24">
        <v>82</v>
      </c>
      <c r="P29" s="24">
        <v>77</v>
      </c>
      <c r="Q29" s="24">
        <v>74</v>
      </c>
      <c r="R29" s="24">
        <v>98</v>
      </c>
      <c r="S29" s="24">
        <v>800</v>
      </c>
      <c r="T29" s="24">
        <f t="shared" si="0"/>
        <v>602.5</v>
      </c>
      <c r="U29" s="31">
        <f t="shared" si="2"/>
        <v>0.75312500000000004</v>
      </c>
      <c r="V29" s="32"/>
    </row>
    <row r="30" spans="2:22" ht="39.950000000000003" customHeight="1" x14ac:dyDescent="0.35">
      <c r="B30" s="27">
        <v>21</v>
      </c>
      <c r="C30" s="28">
        <v>723</v>
      </c>
      <c r="D30" s="28" t="s">
        <v>624</v>
      </c>
      <c r="E30" s="29">
        <v>6021</v>
      </c>
      <c r="F30" s="8" t="s">
        <v>395</v>
      </c>
      <c r="G30" s="8" t="s">
        <v>396</v>
      </c>
      <c r="H30" s="8" t="s">
        <v>24</v>
      </c>
      <c r="I30" s="30" t="s">
        <v>397</v>
      </c>
      <c r="J30" s="12" t="s">
        <v>379</v>
      </c>
      <c r="K30" s="23">
        <v>53.5</v>
      </c>
      <c r="L30" s="23">
        <v>76</v>
      </c>
      <c r="M30" s="24">
        <v>62</v>
      </c>
      <c r="N30" s="24">
        <v>56.5</v>
      </c>
      <c r="O30" s="24">
        <v>56</v>
      </c>
      <c r="P30" s="24">
        <v>62</v>
      </c>
      <c r="Q30" s="24">
        <v>65</v>
      </c>
      <c r="R30" s="24">
        <v>50</v>
      </c>
      <c r="S30" s="24">
        <v>800</v>
      </c>
      <c r="T30" s="24">
        <f t="shared" si="0"/>
        <v>481</v>
      </c>
      <c r="U30" s="31">
        <f t="shared" si="2"/>
        <v>0.60124999999999995</v>
      </c>
      <c r="V30" s="32"/>
    </row>
    <row r="31" spans="2:22" ht="39.950000000000003" customHeight="1" x14ac:dyDescent="0.35">
      <c r="B31" s="27">
        <v>22</v>
      </c>
      <c r="C31" s="28">
        <v>718</v>
      </c>
      <c r="D31" s="28" t="s">
        <v>624</v>
      </c>
      <c r="E31" s="29">
        <v>6022</v>
      </c>
      <c r="F31" s="8" t="s">
        <v>389</v>
      </c>
      <c r="G31" s="8" t="s">
        <v>390</v>
      </c>
      <c r="H31" s="8" t="s">
        <v>24</v>
      </c>
      <c r="I31" s="30" t="s">
        <v>391</v>
      </c>
      <c r="J31" s="12" t="s">
        <v>379</v>
      </c>
      <c r="K31" s="23">
        <v>44.5</v>
      </c>
      <c r="L31" s="23">
        <v>48</v>
      </c>
      <c r="M31" s="24">
        <v>50</v>
      </c>
      <c r="N31" s="24">
        <v>40.5</v>
      </c>
      <c r="O31" s="24">
        <v>36</v>
      </c>
      <c r="P31" s="24">
        <v>33</v>
      </c>
      <c r="Q31" s="24">
        <v>69</v>
      </c>
      <c r="R31" s="24">
        <v>85</v>
      </c>
      <c r="S31" s="24">
        <v>800</v>
      </c>
      <c r="T31" s="24">
        <f t="shared" si="0"/>
        <v>406</v>
      </c>
      <c r="U31" s="31">
        <f t="shared" si="2"/>
        <v>0.50749999999999995</v>
      </c>
      <c r="V31" s="32"/>
    </row>
    <row r="32" spans="2:22" ht="39.950000000000003" customHeight="1" x14ac:dyDescent="0.35">
      <c r="B32" s="27">
        <v>23</v>
      </c>
      <c r="C32" s="28">
        <v>717</v>
      </c>
      <c r="D32" s="28" t="s">
        <v>624</v>
      </c>
      <c r="E32" s="29">
        <v>6023</v>
      </c>
      <c r="F32" s="8" t="s">
        <v>388</v>
      </c>
      <c r="G32" s="8" t="s">
        <v>722</v>
      </c>
      <c r="H32" s="8" t="s">
        <v>24</v>
      </c>
      <c r="I32" s="30" t="s">
        <v>345</v>
      </c>
      <c r="J32" s="12" t="s">
        <v>379</v>
      </c>
      <c r="K32" s="23">
        <v>41.5</v>
      </c>
      <c r="L32" s="23">
        <v>63</v>
      </c>
      <c r="M32" s="24">
        <v>48</v>
      </c>
      <c r="N32" s="24">
        <v>34.5</v>
      </c>
      <c r="O32" s="24">
        <v>47</v>
      </c>
      <c r="P32" s="24">
        <v>42</v>
      </c>
      <c r="Q32" s="24">
        <v>50</v>
      </c>
      <c r="R32" s="24">
        <v>98</v>
      </c>
      <c r="S32" s="24">
        <v>800</v>
      </c>
      <c r="T32" s="24">
        <f t="shared" si="0"/>
        <v>424</v>
      </c>
      <c r="U32" s="31">
        <f t="shared" si="2"/>
        <v>0.53</v>
      </c>
      <c r="V32" s="32"/>
    </row>
    <row r="33" spans="2:22" ht="39.950000000000003" customHeight="1" x14ac:dyDescent="0.35">
      <c r="B33" s="27">
        <v>24</v>
      </c>
      <c r="C33" s="28">
        <v>624</v>
      </c>
      <c r="D33" s="28" t="s">
        <v>624</v>
      </c>
      <c r="E33" s="29">
        <v>6024</v>
      </c>
      <c r="F33" s="8" t="s">
        <v>184</v>
      </c>
      <c r="G33" s="8" t="s">
        <v>133</v>
      </c>
      <c r="H33" s="8" t="s">
        <v>24</v>
      </c>
      <c r="I33" s="30" t="s">
        <v>317</v>
      </c>
      <c r="J33" s="12" t="s">
        <v>354</v>
      </c>
      <c r="K33" s="23">
        <v>67.5</v>
      </c>
      <c r="L33" s="23">
        <v>85</v>
      </c>
      <c r="M33" s="24">
        <v>92</v>
      </c>
      <c r="N33" s="24">
        <v>79.5</v>
      </c>
      <c r="O33" s="24">
        <v>85</v>
      </c>
      <c r="P33" s="24">
        <v>58</v>
      </c>
      <c r="Q33" s="24">
        <v>86</v>
      </c>
      <c r="R33" s="24">
        <v>80</v>
      </c>
      <c r="S33" s="24">
        <v>800</v>
      </c>
      <c r="T33" s="24">
        <f t="shared" si="0"/>
        <v>633</v>
      </c>
      <c r="U33" s="31">
        <f t="shared" si="2"/>
        <v>0.79125000000000001</v>
      </c>
      <c r="V33" s="32"/>
    </row>
    <row r="34" spans="2:22" ht="39.950000000000003" customHeight="1" x14ac:dyDescent="0.35">
      <c r="B34" s="27">
        <v>25</v>
      </c>
      <c r="C34" s="28">
        <v>628</v>
      </c>
      <c r="D34" s="28" t="s">
        <v>624</v>
      </c>
      <c r="E34" s="29">
        <v>6025</v>
      </c>
      <c r="F34" s="8" t="s">
        <v>44</v>
      </c>
      <c r="G34" s="8" t="s">
        <v>178</v>
      </c>
      <c r="H34" s="8" t="s">
        <v>24</v>
      </c>
      <c r="I34" s="30">
        <v>40640</v>
      </c>
      <c r="J34" s="12" t="s">
        <v>354</v>
      </c>
      <c r="K34" s="23">
        <v>77</v>
      </c>
      <c r="L34" s="23">
        <v>94</v>
      </c>
      <c r="M34" s="24">
        <v>98</v>
      </c>
      <c r="N34" s="24">
        <v>90.5</v>
      </c>
      <c r="O34" s="24">
        <v>94</v>
      </c>
      <c r="P34" s="24">
        <v>76</v>
      </c>
      <c r="Q34" s="24">
        <v>99</v>
      </c>
      <c r="R34" s="24">
        <v>99</v>
      </c>
      <c r="S34" s="24">
        <v>800</v>
      </c>
      <c r="T34" s="24">
        <f t="shared" si="0"/>
        <v>727.5</v>
      </c>
      <c r="U34" s="31">
        <f t="shared" si="2"/>
        <v>0.90937500000000004</v>
      </c>
      <c r="V34" s="32"/>
    </row>
    <row r="35" spans="2:22" ht="47.25" customHeight="1" x14ac:dyDescent="0.35">
      <c r="B35" s="27">
        <v>26</v>
      </c>
      <c r="C35" s="28">
        <v>719</v>
      </c>
      <c r="D35" s="28" t="s">
        <v>624</v>
      </c>
      <c r="E35" s="29">
        <v>6026</v>
      </c>
      <c r="F35" s="8" t="s">
        <v>392</v>
      </c>
      <c r="G35" s="8" t="s">
        <v>186</v>
      </c>
      <c r="H35" s="8" t="s">
        <v>24</v>
      </c>
      <c r="I35" s="30" t="s">
        <v>393</v>
      </c>
      <c r="J35" s="12" t="s">
        <v>379</v>
      </c>
      <c r="K35" s="23">
        <v>40.5</v>
      </c>
      <c r="L35" s="23">
        <v>57</v>
      </c>
      <c r="M35" s="24">
        <v>55</v>
      </c>
      <c r="N35" s="24">
        <v>33</v>
      </c>
      <c r="O35" s="24">
        <v>65</v>
      </c>
      <c r="P35" s="24">
        <v>47</v>
      </c>
      <c r="Q35" s="24">
        <v>50</v>
      </c>
      <c r="R35" s="24">
        <v>98</v>
      </c>
      <c r="S35" s="24">
        <v>800</v>
      </c>
      <c r="T35" s="24">
        <f t="shared" si="0"/>
        <v>445.5</v>
      </c>
      <c r="U35" s="31">
        <f t="shared" si="2"/>
        <v>0.55687500000000001</v>
      </c>
      <c r="V35" s="32"/>
    </row>
    <row r="36" spans="2:22" ht="39.950000000000003" customHeight="1" x14ac:dyDescent="0.35">
      <c r="B36" s="27">
        <v>27</v>
      </c>
      <c r="C36" s="28">
        <v>725</v>
      </c>
      <c r="D36" s="28" t="s">
        <v>624</v>
      </c>
      <c r="E36" s="29">
        <v>6027</v>
      </c>
      <c r="F36" s="8" t="s">
        <v>400</v>
      </c>
      <c r="G36" s="8" t="s">
        <v>401</v>
      </c>
      <c r="H36" s="8" t="s">
        <v>24</v>
      </c>
      <c r="I36" s="30">
        <v>40523</v>
      </c>
      <c r="J36" s="12" t="s">
        <v>379</v>
      </c>
      <c r="K36" s="23">
        <v>63.5</v>
      </c>
      <c r="L36" s="23">
        <v>74</v>
      </c>
      <c r="M36" s="24">
        <v>71</v>
      </c>
      <c r="N36" s="24">
        <v>63.5</v>
      </c>
      <c r="O36" s="24">
        <v>75</v>
      </c>
      <c r="P36" s="24">
        <v>65</v>
      </c>
      <c r="Q36" s="24">
        <v>67</v>
      </c>
      <c r="R36" s="24">
        <v>87</v>
      </c>
      <c r="S36" s="24">
        <v>800</v>
      </c>
      <c r="T36" s="24">
        <f t="shared" si="0"/>
        <v>566</v>
      </c>
      <c r="U36" s="31">
        <f t="shared" si="2"/>
        <v>0.70750000000000002</v>
      </c>
      <c r="V36" s="32"/>
    </row>
    <row r="37" spans="2:22" ht="39.950000000000003" customHeight="1" x14ac:dyDescent="0.35">
      <c r="B37" s="27">
        <v>28</v>
      </c>
      <c r="C37" s="28">
        <v>724</v>
      </c>
      <c r="D37" s="28" t="s">
        <v>624</v>
      </c>
      <c r="E37" s="29">
        <v>6028</v>
      </c>
      <c r="F37" s="8" t="s">
        <v>398</v>
      </c>
      <c r="G37" s="8" t="s">
        <v>399</v>
      </c>
      <c r="H37" s="8" t="s">
        <v>24</v>
      </c>
      <c r="I37" s="30">
        <v>41061</v>
      </c>
      <c r="J37" s="12" t="s">
        <v>379</v>
      </c>
      <c r="K37" s="23">
        <v>60</v>
      </c>
      <c r="L37" s="23">
        <v>82</v>
      </c>
      <c r="M37" s="24">
        <v>61</v>
      </c>
      <c r="N37" s="24">
        <v>74</v>
      </c>
      <c r="O37" s="24">
        <v>84</v>
      </c>
      <c r="P37" s="24">
        <v>78</v>
      </c>
      <c r="Q37" s="24">
        <v>92</v>
      </c>
      <c r="R37" s="24">
        <v>75</v>
      </c>
      <c r="S37" s="24">
        <v>800</v>
      </c>
      <c r="T37" s="24">
        <f t="shared" si="0"/>
        <v>606</v>
      </c>
      <c r="U37" s="31">
        <f t="shared" si="2"/>
        <v>0.75749999999999995</v>
      </c>
      <c r="V37" s="32"/>
    </row>
    <row r="38" spans="2:22" ht="39.950000000000003" customHeight="1" x14ac:dyDescent="0.35">
      <c r="B38" s="27">
        <v>29</v>
      </c>
      <c r="C38" s="28">
        <v>639</v>
      </c>
      <c r="D38" s="28" t="s">
        <v>624</v>
      </c>
      <c r="E38" s="29">
        <v>6029</v>
      </c>
      <c r="F38" s="8" t="s">
        <v>182</v>
      </c>
      <c r="G38" s="8" t="s">
        <v>20</v>
      </c>
      <c r="H38" s="8" t="s">
        <v>24</v>
      </c>
      <c r="I38" s="30">
        <v>40547</v>
      </c>
      <c r="J38" s="12">
        <v>44629</v>
      </c>
      <c r="K38" s="23">
        <v>54</v>
      </c>
      <c r="L38" s="23">
        <v>86</v>
      </c>
      <c r="M38" s="24">
        <v>84</v>
      </c>
      <c r="N38" s="24">
        <v>80</v>
      </c>
      <c r="O38" s="24">
        <v>43</v>
      </c>
      <c r="P38" s="24">
        <v>75</v>
      </c>
      <c r="Q38" s="24">
        <v>93</v>
      </c>
      <c r="R38" s="24">
        <v>99</v>
      </c>
      <c r="S38" s="24">
        <v>800</v>
      </c>
      <c r="T38" s="24">
        <f t="shared" si="0"/>
        <v>614</v>
      </c>
      <c r="U38" s="31">
        <f t="shared" si="2"/>
        <v>0.76749999999999996</v>
      </c>
      <c r="V38" s="32"/>
    </row>
    <row r="39" spans="2:22" ht="39.950000000000003" customHeight="1" x14ac:dyDescent="0.35">
      <c r="B39" s="27">
        <v>30</v>
      </c>
      <c r="C39" s="28">
        <v>762</v>
      </c>
      <c r="D39" s="28" t="s">
        <v>624</v>
      </c>
      <c r="E39" s="29">
        <v>6030</v>
      </c>
      <c r="F39" s="8" t="s">
        <v>718</v>
      </c>
      <c r="G39" s="8" t="s">
        <v>536</v>
      </c>
      <c r="H39" s="8" t="s">
        <v>24</v>
      </c>
      <c r="I39" s="30" t="s">
        <v>539</v>
      </c>
      <c r="J39" s="12" t="s">
        <v>537</v>
      </c>
      <c r="K39" s="23">
        <v>83.5</v>
      </c>
      <c r="L39" s="23">
        <v>96</v>
      </c>
      <c r="M39" s="24">
        <v>91</v>
      </c>
      <c r="N39" s="24">
        <v>89.5</v>
      </c>
      <c r="O39" s="24">
        <v>96</v>
      </c>
      <c r="P39" s="24">
        <v>79</v>
      </c>
      <c r="Q39" s="24">
        <v>95</v>
      </c>
      <c r="R39" s="24">
        <v>70</v>
      </c>
      <c r="S39" s="24">
        <v>800</v>
      </c>
      <c r="T39" s="24">
        <f t="shared" si="0"/>
        <v>700</v>
      </c>
      <c r="U39" s="31">
        <f t="shared" si="2"/>
        <v>0.875</v>
      </c>
      <c r="V39" s="32"/>
    </row>
    <row r="40" spans="2:22" ht="39.950000000000003" customHeight="1" x14ac:dyDescent="0.35">
      <c r="B40" s="27">
        <v>31</v>
      </c>
      <c r="C40" s="28">
        <v>621</v>
      </c>
      <c r="D40" s="28" t="s">
        <v>624</v>
      </c>
      <c r="E40" s="29">
        <v>6031</v>
      </c>
      <c r="F40" s="8" t="s">
        <v>185</v>
      </c>
      <c r="G40" s="8" t="s">
        <v>186</v>
      </c>
      <c r="H40" s="8" t="s">
        <v>24</v>
      </c>
      <c r="I40" s="30" t="s">
        <v>318</v>
      </c>
      <c r="J40" s="12" t="s">
        <v>354</v>
      </c>
      <c r="K40" s="23">
        <v>48.5</v>
      </c>
      <c r="L40" s="23">
        <v>57</v>
      </c>
      <c r="M40" s="24">
        <v>51</v>
      </c>
      <c r="N40" s="24">
        <v>41.5</v>
      </c>
      <c r="O40" s="24">
        <v>56</v>
      </c>
      <c r="P40" s="24">
        <v>48</v>
      </c>
      <c r="Q40" s="24">
        <v>77</v>
      </c>
      <c r="R40" s="24">
        <v>33</v>
      </c>
      <c r="S40" s="24">
        <v>800</v>
      </c>
      <c r="T40" s="24">
        <f t="shared" si="0"/>
        <v>412</v>
      </c>
      <c r="U40" s="31">
        <f t="shared" si="2"/>
        <v>0.51500000000000001</v>
      </c>
      <c r="V40" s="32"/>
    </row>
    <row r="41" spans="2:22" ht="39.950000000000003" customHeight="1" x14ac:dyDescent="0.35">
      <c r="B41" s="27">
        <v>32</v>
      </c>
      <c r="C41" s="55">
        <v>518</v>
      </c>
      <c r="D41" s="55" t="s">
        <v>624</v>
      </c>
      <c r="E41" s="29">
        <v>6032</v>
      </c>
      <c r="F41" s="38" t="s">
        <v>674</v>
      </c>
      <c r="G41" s="38" t="s">
        <v>675</v>
      </c>
      <c r="H41" s="43" t="s">
        <v>24</v>
      </c>
      <c r="I41" s="39">
        <v>40610</v>
      </c>
      <c r="J41" s="40">
        <v>44440</v>
      </c>
      <c r="K41" s="24">
        <v>33</v>
      </c>
      <c r="L41" s="24">
        <v>52</v>
      </c>
      <c r="M41" s="24">
        <v>36</v>
      </c>
      <c r="N41" s="24">
        <v>45.5</v>
      </c>
      <c r="O41" s="24">
        <v>40</v>
      </c>
      <c r="P41" s="24">
        <v>49</v>
      </c>
      <c r="Q41" s="24">
        <v>48</v>
      </c>
      <c r="R41" s="24">
        <v>82</v>
      </c>
      <c r="S41" s="24">
        <v>800</v>
      </c>
      <c r="T41" s="24">
        <f t="shared" si="0"/>
        <v>385.5</v>
      </c>
      <c r="U41" s="31">
        <f t="shared" si="2"/>
        <v>0.481875</v>
      </c>
      <c r="V41" s="32"/>
    </row>
    <row r="42" spans="2:22" ht="39.950000000000003" customHeight="1" x14ac:dyDescent="0.35">
      <c r="B42" s="27">
        <v>33</v>
      </c>
      <c r="C42" s="55">
        <v>259</v>
      </c>
      <c r="D42" s="55" t="s">
        <v>624</v>
      </c>
      <c r="E42" s="29">
        <v>6033</v>
      </c>
      <c r="F42" s="38" t="s">
        <v>676</v>
      </c>
      <c r="G42" s="38" t="s">
        <v>677</v>
      </c>
      <c r="H42" s="43" t="s">
        <v>24</v>
      </c>
      <c r="I42" s="39">
        <v>40313</v>
      </c>
      <c r="J42" s="40">
        <v>42474</v>
      </c>
      <c r="K42" s="42">
        <v>5</v>
      </c>
      <c r="L42" s="24">
        <v>33</v>
      </c>
      <c r="M42" s="24">
        <v>33</v>
      </c>
      <c r="N42" s="24">
        <v>33</v>
      </c>
      <c r="O42" s="24">
        <v>33</v>
      </c>
      <c r="P42" s="42">
        <v>12</v>
      </c>
      <c r="Q42" s="24">
        <v>34</v>
      </c>
      <c r="R42" s="24">
        <v>70</v>
      </c>
      <c r="S42" s="24">
        <v>800</v>
      </c>
      <c r="T42" s="24">
        <f t="shared" si="0"/>
        <v>253</v>
      </c>
      <c r="U42" s="31">
        <f t="shared" si="2"/>
        <v>0.31624999999999998</v>
      </c>
      <c r="V42" s="32" t="s">
        <v>850</v>
      </c>
    </row>
    <row r="43" spans="2:22" ht="39.950000000000003" customHeight="1" x14ac:dyDescent="0.35">
      <c r="B43" s="27">
        <v>34</v>
      </c>
      <c r="C43" s="28">
        <v>630</v>
      </c>
      <c r="D43" s="28" t="s">
        <v>624</v>
      </c>
      <c r="E43" s="29">
        <v>6034</v>
      </c>
      <c r="F43" s="8" t="s">
        <v>187</v>
      </c>
      <c r="G43" s="8" t="s">
        <v>188</v>
      </c>
      <c r="H43" s="8" t="s">
        <v>24</v>
      </c>
      <c r="I43" s="30" t="s">
        <v>319</v>
      </c>
      <c r="J43" s="12" t="s">
        <v>354</v>
      </c>
      <c r="K43" s="41">
        <v>18.5</v>
      </c>
      <c r="L43" s="23">
        <v>33</v>
      </c>
      <c r="M43" s="24">
        <v>33</v>
      </c>
      <c r="N43" s="24">
        <v>33</v>
      </c>
      <c r="O43" s="24">
        <v>34</v>
      </c>
      <c r="P43" s="42">
        <v>15</v>
      </c>
      <c r="Q43" s="24">
        <v>40</v>
      </c>
      <c r="R43" s="24">
        <v>64</v>
      </c>
      <c r="S43" s="24">
        <v>800</v>
      </c>
      <c r="T43" s="24">
        <f t="shared" si="0"/>
        <v>270.5</v>
      </c>
      <c r="U43" s="31">
        <f t="shared" si="2"/>
        <v>0.33812500000000001</v>
      </c>
      <c r="V43" s="32" t="s">
        <v>850</v>
      </c>
    </row>
    <row r="44" spans="2:22" ht="39.950000000000003" customHeight="1" x14ac:dyDescent="0.35">
      <c r="B44" s="27">
        <v>35</v>
      </c>
      <c r="C44" s="28">
        <v>419</v>
      </c>
      <c r="D44" s="28" t="s">
        <v>624</v>
      </c>
      <c r="E44" s="29">
        <v>6035</v>
      </c>
      <c r="F44" s="8" t="s">
        <v>304</v>
      </c>
      <c r="G44" s="8" t="s">
        <v>164</v>
      </c>
      <c r="H44" s="8" t="s">
        <v>24</v>
      </c>
      <c r="I44" s="30">
        <v>40704</v>
      </c>
      <c r="J44" s="12">
        <v>43111</v>
      </c>
      <c r="K44" s="23">
        <v>40</v>
      </c>
      <c r="L44" s="23">
        <v>89</v>
      </c>
      <c r="M44" s="24">
        <v>66</v>
      </c>
      <c r="N44" s="24">
        <v>69</v>
      </c>
      <c r="O44" s="24">
        <v>39</v>
      </c>
      <c r="P44" s="24">
        <v>39</v>
      </c>
      <c r="Q44" s="24">
        <v>85</v>
      </c>
      <c r="R44" s="24">
        <v>64</v>
      </c>
      <c r="S44" s="24">
        <v>800</v>
      </c>
      <c r="T44" s="24">
        <f t="shared" si="0"/>
        <v>491</v>
      </c>
      <c r="U44" s="31">
        <f t="shared" si="2"/>
        <v>0.61375000000000002</v>
      </c>
      <c r="V44" s="32"/>
    </row>
    <row r="45" spans="2:22" ht="39.950000000000003" customHeight="1" x14ac:dyDescent="0.35">
      <c r="B45" s="27">
        <v>36</v>
      </c>
      <c r="C45" s="28">
        <v>406</v>
      </c>
      <c r="D45" s="28" t="s">
        <v>624</v>
      </c>
      <c r="E45" s="29">
        <v>6036</v>
      </c>
      <c r="F45" s="8" t="s">
        <v>177</v>
      </c>
      <c r="G45" s="8" t="s">
        <v>303</v>
      </c>
      <c r="H45" s="8" t="s">
        <v>24</v>
      </c>
      <c r="I45" s="30">
        <v>39486</v>
      </c>
      <c r="J45" s="12">
        <v>43381</v>
      </c>
      <c r="K45" s="23">
        <v>37.5</v>
      </c>
      <c r="L45" s="23">
        <v>84</v>
      </c>
      <c r="M45" s="24">
        <v>55</v>
      </c>
      <c r="N45" s="24">
        <v>68</v>
      </c>
      <c r="O45" s="24">
        <v>45</v>
      </c>
      <c r="P45" s="24">
        <v>33</v>
      </c>
      <c r="Q45" s="24">
        <v>73</v>
      </c>
      <c r="R45" s="24">
        <v>60</v>
      </c>
      <c r="S45" s="24">
        <v>800</v>
      </c>
      <c r="T45" s="24">
        <f t="shared" si="0"/>
        <v>455.5</v>
      </c>
      <c r="U45" s="31">
        <f t="shared" si="2"/>
        <v>0.56937499999999996</v>
      </c>
      <c r="V45" s="32"/>
    </row>
    <row r="46" spans="2:22" ht="39.950000000000003" customHeight="1" x14ac:dyDescent="0.35">
      <c r="B46" s="27">
        <v>37</v>
      </c>
      <c r="C46" s="28">
        <v>622</v>
      </c>
      <c r="D46" s="28" t="s">
        <v>624</v>
      </c>
      <c r="E46" s="29">
        <v>6037</v>
      </c>
      <c r="F46" s="8" t="s">
        <v>40</v>
      </c>
      <c r="G46" s="8" t="s">
        <v>183</v>
      </c>
      <c r="H46" s="8" t="s">
        <v>24</v>
      </c>
      <c r="I46" s="30" t="s">
        <v>316</v>
      </c>
      <c r="J46" s="12" t="s">
        <v>354</v>
      </c>
      <c r="K46" s="23">
        <v>86.5</v>
      </c>
      <c r="L46" s="23">
        <v>99</v>
      </c>
      <c r="M46" s="24">
        <v>94</v>
      </c>
      <c r="N46" s="24">
        <v>88</v>
      </c>
      <c r="O46" s="24">
        <v>96</v>
      </c>
      <c r="P46" s="24">
        <v>85</v>
      </c>
      <c r="Q46" s="24">
        <v>99</v>
      </c>
      <c r="R46" s="24">
        <v>99</v>
      </c>
      <c r="S46" s="24">
        <v>800</v>
      </c>
      <c r="T46" s="24">
        <f t="shared" si="0"/>
        <v>746.5</v>
      </c>
      <c r="U46" s="31">
        <f t="shared" si="2"/>
        <v>0.93312499999999998</v>
      </c>
      <c r="V46" s="32"/>
    </row>
    <row r="47" spans="2:22" ht="39.950000000000003" customHeight="1" x14ac:dyDescent="0.35">
      <c r="B47" s="27">
        <v>38</v>
      </c>
      <c r="C47" s="28">
        <v>404</v>
      </c>
      <c r="D47" s="28" t="s">
        <v>624</v>
      </c>
      <c r="E47" s="29">
        <v>6038</v>
      </c>
      <c r="F47" s="8" t="s">
        <v>169</v>
      </c>
      <c r="G47" s="8" t="s">
        <v>170</v>
      </c>
      <c r="H47" s="8" t="s">
        <v>24</v>
      </c>
      <c r="I47" s="30">
        <v>41372</v>
      </c>
      <c r="J47" s="12">
        <v>43198</v>
      </c>
      <c r="K47" s="23" t="s">
        <v>711</v>
      </c>
      <c r="L47" s="23" t="s">
        <v>711</v>
      </c>
      <c r="M47" s="23" t="s">
        <v>711</v>
      </c>
      <c r="N47" s="23" t="s">
        <v>711</v>
      </c>
      <c r="O47" s="23" t="s">
        <v>711</v>
      </c>
      <c r="P47" s="23" t="s">
        <v>711</v>
      </c>
      <c r="Q47" s="23" t="s">
        <v>711</v>
      </c>
      <c r="R47" s="23" t="s">
        <v>711</v>
      </c>
      <c r="S47" s="24">
        <v>800</v>
      </c>
      <c r="T47" s="24" t="e">
        <f t="shared" si="0"/>
        <v>#VALUE!</v>
      </c>
      <c r="U47" s="31" t="e">
        <f t="shared" si="2"/>
        <v>#VALUE!</v>
      </c>
      <c r="V47" s="32" t="s">
        <v>715</v>
      </c>
    </row>
    <row r="48" spans="2:22" ht="39.950000000000003" customHeight="1" x14ac:dyDescent="0.35">
      <c r="B48" s="27">
        <v>39</v>
      </c>
      <c r="C48" s="28">
        <v>514</v>
      </c>
      <c r="D48" s="28" t="s">
        <v>624</v>
      </c>
      <c r="E48" s="29">
        <v>6039</v>
      </c>
      <c r="F48" s="8" t="s">
        <v>163</v>
      </c>
      <c r="G48" s="8" t="s">
        <v>133</v>
      </c>
      <c r="H48" s="8" t="s">
        <v>24</v>
      </c>
      <c r="I48" s="30">
        <v>40060</v>
      </c>
      <c r="J48" s="12">
        <v>44023</v>
      </c>
      <c r="K48" s="23">
        <v>58.5</v>
      </c>
      <c r="L48" s="23">
        <v>83</v>
      </c>
      <c r="M48" s="24">
        <v>71</v>
      </c>
      <c r="N48" s="24">
        <v>86</v>
      </c>
      <c r="O48" s="24">
        <v>82</v>
      </c>
      <c r="P48" s="24">
        <v>66</v>
      </c>
      <c r="Q48" s="24">
        <v>85</v>
      </c>
      <c r="R48" s="24">
        <v>99</v>
      </c>
      <c r="S48" s="24">
        <v>800</v>
      </c>
      <c r="T48" s="24">
        <f t="shared" si="0"/>
        <v>630.5</v>
      </c>
      <c r="U48" s="31">
        <f t="shared" si="2"/>
        <v>0.78812499999999996</v>
      </c>
      <c r="V48" s="32"/>
    </row>
    <row r="49" spans="2:22" ht="39.950000000000003" customHeight="1" x14ac:dyDescent="0.35">
      <c r="B49" s="27">
        <v>40</v>
      </c>
      <c r="C49" s="28">
        <v>454</v>
      </c>
      <c r="D49" s="28" t="s">
        <v>624</v>
      </c>
      <c r="E49" s="29">
        <v>6040</v>
      </c>
      <c r="F49" s="8" t="s">
        <v>18</v>
      </c>
      <c r="G49" s="8" t="s">
        <v>17</v>
      </c>
      <c r="H49" s="8" t="s">
        <v>24</v>
      </c>
      <c r="I49" s="30">
        <v>39483</v>
      </c>
      <c r="J49" s="12">
        <v>43807</v>
      </c>
      <c r="K49" s="23">
        <v>37.5</v>
      </c>
      <c r="L49" s="23">
        <v>54</v>
      </c>
      <c r="M49" s="24">
        <v>40</v>
      </c>
      <c r="N49" s="24">
        <v>40</v>
      </c>
      <c r="O49" s="24">
        <v>23</v>
      </c>
      <c r="P49" s="24">
        <v>35</v>
      </c>
      <c r="Q49" s="24">
        <v>60</v>
      </c>
      <c r="R49" s="24">
        <v>85</v>
      </c>
      <c r="S49" s="24">
        <v>800</v>
      </c>
      <c r="T49" s="24">
        <f t="shared" si="0"/>
        <v>374.5</v>
      </c>
      <c r="U49" s="31">
        <f t="shared" si="2"/>
        <v>0.46812500000000001</v>
      </c>
      <c r="V49" s="32"/>
    </row>
    <row r="50" spans="2:22" ht="23.25" x14ac:dyDescent="0.35">
      <c r="B50" s="16"/>
      <c r="C50" s="16"/>
      <c r="D50" s="16"/>
      <c r="E50" s="16"/>
      <c r="F50" s="15"/>
      <c r="G50" s="15"/>
      <c r="H50" s="15"/>
      <c r="I50" s="16"/>
      <c r="J50" s="17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  <row r="51" spans="2:22" ht="23.25" x14ac:dyDescent="0.35">
      <c r="B51" s="16"/>
      <c r="C51" s="16"/>
      <c r="D51" s="16"/>
      <c r="E51" s="16"/>
      <c r="F51" s="15"/>
      <c r="G51" s="15"/>
      <c r="H51" s="15"/>
      <c r="I51" s="16"/>
      <c r="J51" s="17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  <row r="52" spans="2:22" ht="23.25" x14ac:dyDescent="0.35">
      <c r="B52" s="16"/>
      <c r="C52" s="16"/>
      <c r="D52" s="16"/>
      <c r="E52" s="16"/>
      <c r="F52" s="15"/>
      <c r="G52" s="15"/>
      <c r="H52" s="15"/>
      <c r="I52" s="16"/>
      <c r="J52" s="17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  <row r="53" spans="2:22" ht="23.25" x14ac:dyDescent="0.35">
      <c r="B53" s="16"/>
      <c r="C53" s="16"/>
      <c r="D53" s="16"/>
      <c r="E53" s="16"/>
      <c r="F53" s="15"/>
      <c r="G53" s="15"/>
      <c r="H53" s="15"/>
      <c r="I53" s="16"/>
      <c r="J53" s="17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 t="s">
        <v>716</v>
      </c>
    </row>
    <row r="54" spans="2:22" ht="23.25" x14ac:dyDescent="0.35">
      <c r="B54" s="16"/>
      <c r="C54" s="16"/>
      <c r="D54" s="16"/>
      <c r="E54" s="16"/>
      <c r="F54" s="15"/>
      <c r="G54" s="15"/>
      <c r="H54" s="15"/>
      <c r="I54" s="16"/>
      <c r="J54" s="17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  <row r="55" spans="2:22" ht="23.25" x14ac:dyDescent="0.35">
      <c r="B55" s="16"/>
      <c r="C55" s="16"/>
      <c r="D55" s="16"/>
      <c r="E55" s="16"/>
      <c r="F55" s="18" t="s">
        <v>713</v>
      </c>
      <c r="G55" s="15"/>
      <c r="H55" s="15"/>
      <c r="I55" s="16"/>
      <c r="J55" s="17"/>
      <c r="K55" s="15"/>
      <c r="L55" s="15"/>
      <c r="M55" s="15"/>
      <c r="N55" s="15"/>
      <c r="O55" s="15"/>
      <c r="P55" s="15"/>
      <c r="Q55" s="153" t="s">
        <v>714</v>
      </c>
      <c r="R55" s="153"/>
      <c r="S55" s="15"/>
      <c r="T55" s="15"/>
      <c r="U55" s="15"/>
      <c r="V55" s="15"/>
    </row>
    <row r="56" spans="2:22" x14ac:dyDescent="0.25">
      <c r="B56" s="1"/>
      <c r="C56" s="1"/>
      <c r="D56" s="1"/>
      <c r="E56" s="1"/>
    </row>
    <row r="57" spans="2:22" x14ac:dyDescent="0.25">
      <c r="B57" s="1"/>
      <c r="C57" s="1"/>
      <c r="D57" s="1"/>
      <c r="E57" s="1"/>
    </row>
  </sheetData>
  <autoFilter ref="B7:L49">
    <sortState ref="B5:L44">
      <sortCondition ref="H5:H44"/>
      <sortCondition ref="F5:F44"/>
    </sortState>
  </autoFilter>
  <sortState ref="B5:S42">
    <sortCondition ref="F5:F42"/>
  </sortState>
  <mergeCells count="20">
    <mergeCell ref="B21:V21"/>
    <mergeCell ref="B8:V8"/>
    <mergeCell ref="I5:I7"/>
    <mergeCell ref="J5:J7"/>
    <mergeCell ref="Q55:R55"/>
    <mergeCell ref="K5:R5"/>
    <mergeCell ref="B2:V2"/>
    <mergeCell ref="B3:V3"/>
    <mergeCell ref="B4:V4"/>
    <mergeCell ref="B5:B7"/>
    <mergeCell ref="C5:C7"/>
    <mergeCell ref="D5:D7"/>
    <mergeCell ref="E5:E7"/>
    <mergeCell ref="F5:F7"/>
    <mergeCell ref="S5:S6"/>
    <mergeCell ref="T5:T7"/>
    <mergeCell ref="V5:V7"/>
    <mergeCell ref="U5:U7"/>
    <mergeCell ref="G5:G7"/>
    <mergeCell ref="H5:H7"/>
  </mergeCells>
  <conditionalFormatting sqref="K9:R20 K22:R49">
    <cfRule type="cellIs" dxfId="5" priority="2" operator="lessThan">
      <formula>33</formula>
    </cfRule>
  </conditionalFormatting>
  <conditionalFormatting sqref="M42">
    <cfRule type="cellIs" dxfId="4" priority="1" operator="lessThan">
      <formula>33</formula>
    </cfRule>
  </conditionalFormatting>
  <pageMargins left="0.2" right="0.2" top="0.25" bottom="0.25" header="0.3" footer="0.3"/>
  <pageSetup paperSize="9" scale="43" fitToHeight="2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V45"/>
  <sheetViews>
    <sheetView zoomScale="70" zoomScaleNormal="70" workbookViewId="0">
      <pane ySplit="7" topLeftCell="A32" activePane="bottomLeft" state="frozen"/>
      <selection activeCell="B5" sqref="B5:V48"/>
      <selection pane="bottomLeft" activeCell="G34" sqref="G34"/>
    </sheetView>
  </sheetViews>
  <sheetFormatPr defaultColWidth="10" defaultRowHeight="15" x14ac:dyDescent="0.25"/>
  <cols>
    <col min="2" max="2" width="6.140625" customWidth="1"/>
    <col min="3" max="3" width="8.85546875" customWidth="1"/>
    <col min="4" max="4" width="9.85546875" customWidth="1"/>
    <col min="5" max="5" width="9.140625" bestFit="1" customWidth="1"/>
    <col min="6" max="7" width="27.7109375" customWidth="1"/>
    <col min="8" max="8" width="12.85546875" customWidth="1"/>
    <col min="9" max="9" width="18.5703125" style="1" bestFit="1" customWidth="1"/>
    <col min="10" max="10" width="18.7109375" style="2" bestFit="1" customWidth="1"/>
    <col min="11" max="18" width="12.7109375" customWidth="1"/>
    <col min="19" max="20" width="10.140625" bestFit="1" customWidth="1"/>
    <col min="21" max="21" width="12.85546875" bestFit="1" customWidth="1"/>
    <col min="22" max="22" width="25.7109375" customWidth="1"/>
  </cols>
  <sheetData>
    <row r="2" spans="2:22" ht="27.75" x14ac:dyDescent="0.25">
      <c r="B2" s="143" t="s">
        <v>699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</row>
    <row r="3" spans="2:22" ht="27.75" x14ac:dyDescent="0.25">
      <c r="B3" s="143" t="s">
        <v>696</v>
      </c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</row>
    <row r="4" spans="2:22" ht="28.5" thickBot="1" x14ac:dyDescent="0.3">
      <c r="B4" s="143" t="s">
        <v>697</v>
      </c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</row>
    <row r="5" spans="2:22" ht="25.5" x14ac:dyDescent="0.25">
      <c r="B5" s="184" t="s">
        <v>698</v>
      </c>
      <c r="C5" s="180" t="s">
        <v>334</v>
      </c>
      <c r="D5" s="180" t="s">
        <v>335</v>
      </c>
      <c r="E5" s="180" t="s">
        <v>681</v>
      </c>
      <c r="F5" s="180" t="s">
        <v>0</v>
      </c>
      <c r="G5" s="180" t="s">
        <v>1</v>
      </c>
      <c r="H5" s="180" t="s">
        <v>2</v>
      </c>
      <c r="I5" s="189" t="s">
        <v>337</v>
      </c>
      <c r="J5" s="180" t="s">
        <v>618</v>
      </c>
      <c r="K5" s="179" t="s">
        <v>685</v>
      </c>
      <c r="L5" s="179"/>
      <c r="M5" s="179"/>
      <c r="N5" s="179"/>
      <c r="O5" s="179"/>
      <c r="P5" s="179"/>
      <c r="Q5" s="179"/>
      <c r="R5" s="179"/>
      <c r="S5" s="180" t="s">
        <v>694</v>
      </c>
      <c r="T5" s="180" t="s">
        <v>695</v>
      </c>
      <c r="U5" s="180" t="s">
        <v>700</v>
      </c>
      <c r="V5" s="182" t="s">
        <v>617</v>
      </c>
    </row>
    <row r="6" spans="2:22" ht="83.25" customHeight="1" x14ac:dyDescent="0.25">
      <c r="B6" s="185"/>
      <c r="C6" s="181"/>
      <c r="D6" s="181"/>
      <c r="E6" s="181"/>
      <c r="F6" s="181"/>
      <c r="G6" s="181"/>
      <c r="H6" s="181"/>
      <c r="I6" s="190"/>
      <c r="J6" s="181"/>
      <c r="K6" s="4" t="s">
        <v>686</v>
      </c>
      <c r="L6" s="4" t="s">
        <v>687</v>
      </c>
      <c r="M6" s="4" t="s">
        <v>688</v>
      </c>
      <c r="N6" s="4" t="s">
        <v>689</v>
      </c>
      <c r="O6" s="4" t="s">
        <v>690</v>
      </c>
      <c r="P6" s="4" t="s">
        <v>691</v>
      </c>
      <c r="Q6" s="4" t="s">
        <v>692</v>
      </c>
      <c r="R6" s="4" t="s">
        <v>693</v>
      </c>
      <c r="S6" s="181"/>
      <c r="T6" s="181"/>
      <c r="U6" s="181"/>
      <c r="V6" s="183"/>
    </row>
    <row r="7" spans="2:22" ht="40.5" customHeight="1" thickBot="1" x14ac:dyDescent="0.3">
      <c r="B7" s="185"/>
      <c r="C7" s="181"/>
      <c r="D7" s="181"/>
      <c r="E7" s="181"/>
      <c r="F7" s="181"/>
      <c r="G7" s="181"/>
      <c r="H7" s="181"/>
      <c r="I7" s="190"/>
      <c r="J7" s="181"/>
      <c r="K7" s="5">
        <v>100</v>
      </c>
      <c r="L7" s="5">
        <v>100</v>
      </c>
      <c r="M7" s="5">
        <v>100</v>
      </c>
      <c r="N7" s="5">
        <v>100</v>
      </c>
      <c r="O7" s="5">
        <v>100</v>
      </c>
      <c r="P7" s="5">
        <v>100</v>
      </c>
      <c r="Q7" s="5">
        <v>100</v>
      </c>
      <c r="R7" s="5">
        <v>100</v>
      </c>
      <c r="S7" s="5">
        <f>SUM(K7:R7)</f>
        <v>800</v>
      </c>
      <c r="T7" s="181"/>
      <c r="U7" s="181"/>
      <c r="V7" s="183"/>
    </row>
    <row r="8" spans="2:22" ht="54.95" customHeight="1" thickBot="1" x14ac:dyDescent="0.7">
      <c r="B8" s="186" t="s">
        <v>682</v>
      </c>
      <c r="C8" s="187"/>
      <c r="D8" s="187"/>
      <c r="E8" s="187"/>
      <c r="F8" s="187"/>
      <c r="G8" s="187"/>
      <c r="H8" s="187"/>
      <c r="I8" s="187"/>
      <c r="J8" s="187"/>
      <c r="K8" s="187"/>
      <c r="L8" s="187"/>
      <c r="M8" s="187"/>
      <c r="N8" s="187"/>
      <c r="O8" s="187"/>
      <c r="P8" s="187"/>
      <c r="Q8" s="187"/>
      <c r="R8" s="187"/>
      <c r="S8" s="187"/>
      <c r="T8" s="187"/>
      <c r="U8" s="187"/>
      <c r="V8" s="188"/>
    </row>
    <row r="9" spans="2:22" ht="39.950000000000003" customHeight="1" x14ac:dyDescent="0.35">
      <c r="B9" s="27">
        <v>1</v>
      </c>
      <c r="C9" s="10">
        <v>787</v>
      </c>
      <c r="D9" s="28" t="s">
        <v>625</v>
      </c>
      <c r="E9" s="28">
        <v>7001</v>
      </c>
      <c r="F9" s="8" t="s">
        <v>547</v>
      </c>
      <c r="G9" s="8" t="s">
        <v>105</v>
      </c>
      <c r="H9" s="8" t="s">
        <v>23</v>
      </c>
      <c r="I9" s="34">
        <v>41325</v>
      </c>
      <c r="J9" s="14">
        <v>45307</v>
      </c>
      <c r="K9" s="23">
        <v>61</v>
      </c>
      <c r="L9" s="23">
        <v>92</v>
      </c>
      <c r="M9" s="24">
        <v>60</v>
      </c>
      <c r="N9" s="24">
        <v>91</v>
      </c>
      <c r="O9" s="24">
        <v>61</v>
      </c>
      <c r="P9" s="24">
        <v>96</v>
      </c>
      <c r="Q9" s="24">
        <v>78</v>
      </c>
      <c r="R9" s="24">
        <v>99</v>
      </c>
      <c r="S9" s="24">
        <v>800</v>
      </c>
      <c r="T9" s="24">
        <f t="shared" ref="T9:T38" si="0">K9+L9+M9+N9+O9+P9+Q9+R9</f>
        <v>638</v>
      </c>
      <c r="U9" s="31">
        <f t="shared" ref="U9" si="1">T9/S9</f>
        <v>0.79749999999999999</v>
      </c>
      <c r="V9" s="32"/>
    </row>
    <row r="10" spans="2:22" ht="39.950000000000003" customHeight="1" x14ac:dyDescent="0.35">
      <c r="B10" s="27">
        <v>2</v>
      </c>
      <c r="C10" s="28">
        <v>737</v>
      </c>
      <c r="D10" s="28" t="s">
        <v>625</v>
      </c>
      <c r="E10" s="28">
        <v>7002</v>
      </c>
      <c r="F10" s="8" t="s">
        <v>432</v>
      </c>
      <c r="G10" s="8" t="s">
        <v>433</v>
      </c>
      <c r="H10" s="8" t="s">
        <v>23</v>
      </c>
      <c r="I10" s="30">
        <v>40485</v>
      </c>
      <c r="J10" s="12" t="s">
        <v>413</v>
      </c>
      <c r="K10" s="23">
        <v>62</v>
      </c>
      <c r="L10" s="23">
        <v>77</v>
      </c>
      <c r="M10" s="24">
        <v>80</v>
      </c>
      <c r="N10" s="24">
        <v>75</v>
      </c>
      <c r="O10" s="24">
        <v>65</v>
      </c>
      <c r="P10" s="24">
        <v>66</v>
      </c>
      <c r="Q10" s="24">
        <v>81</v>
      </c>
      <c r="R10" s="24">
        <v>99</v>
      </c>
      <c r="S10" s="24">
        <v>800</v>
      </c>
      <c r="T10" s="24">
        <f t="shared" si="0"/>
        <v>605</v>
      </c>
      <c r="U10" s="31">
        <f t="shared" ref="U10:U38" si="2">T10/S10</f>
        <v>0.75624999999999998</v>
      </c>
      <c r="V10" s="32"/>
    </row>
    <row r="11" spans="2:22" ht="39.950000000000003" customHeight="1" x14ac:dyDescent="0.35">
      <c r="B11" s="27">
        <v>3</v>
      </c>
      <c r="C11" s="28">
        <v>734</v>
      </c>
      <c r="D11" s="28" t="s">
        <v>625</v>
      </c>
      <c r="E11" s="28">
        <v>7003</v>
      </c>
      <c r="F11" s="8" t="s">
        <v>424</v>
      </c>
      <c r="G11" s="8" t="s">
        <v>180</v>
      </c>
      <c r="H11" s="8" t="s">
        <v>23</v>
      </c>
      <c r="I11" s="30" t="s">
        <v>425</v>
      </c>
      <c r="J11" s="12" t="s">
        <v>413</v>
      </c>
      <c r="K11" s="23">
        <v>58</v>
      </c>
      <c r="L11" s="23">
        <v>64</v>
      </c>
      <c r="M11" s="24">
        <v>64</v>
      </c>
      <c r="N11" s="24">
        <v>56</v>
      </c>
      <c r="O11" s="24">
        <v>33</v>
      </c>
      <c r="P11" s="24">
        <v>48</v>
      </c>
      <c r="Q11" s="24">
        <v>65</v>
      </c>
      <c r="R11" s="24">
        <v>99</v>
      </c>
      <c r="S11" s="24">
        <v>800</v>
      </c>
      <c r="T11" s="24">
        <f t="shared" si="0"/>
        <v>487</v>
      </c>
      <c r="U11" s="31">
        <f t="shared" si="2"/>
        <v>0.60875000000000001</v>
      </c>
      <c r="V11" s="32"/>
    </row>
    <row r="12" spans="2:22" ht="39.950000000000003" customHeight="1" x14ac:dyDescent="0.35">
      <c r="B12" s="27">
        <v>4</v>
      </c>
      <c r="C12" s="28">
        <v>742</v>
      </c>
      <c r="D12" s="28" t="s">
        <v>625</v>
      </c>
      <c r="E12" s="28">
        <v>7004</v>
      </c>
      <c r="F12" s="8" t="s">
        <v>99</v>
      </c>
      <c r="G12" s="8" t="s">
        <v>439</v>
      </c>
      <c r="H12" s="8" t="s">
        <v>23</v>
      </c>
      <c r="I12" s="30" t="s">
        <v>440</v>
      </c>
      <c r="J12" s="12" t="s">
        <v>413</v>
      </c>
      <c r="K12" s="23">
        <v>17</v>
      </c>
      <c r="L12" s="23">
        <v>33</v>
      </c>
      <c r="M12" s="24">
        <v>51</v>
      </c>
      <c r="N12" s="24">
        <v>34</v>
      </c>
      <c r="O12" s="24">
        <v>34</v>
      </c>
      <c r="P12" s="24">
        <v>33</v>
      </c>
      <c r="Q12" s="24">
        <v>45</v>
      </c>
      <c r="R12" s="24">
        <v>80</v>
      </c>
      <c r="S12" s="24">
        <v>800</v>
      </c>
      <c r="T12" s="24">
        <f t="shared" si="0"/>
        <v>327</v>
      </c>
      <c r="U12" s="31">
        <f t="shared" si="2"/>
        <v>0.40875</v>
      </c>
      <c r="V12" s="32"/>
    </row>
    <row r="13" spans="2:22" ht="39.950000000000003" customHeight="1" x14ac:dyDescent="0.35">
      <c r="B13" s="27">
        <v>5</v>
      </c>
      <c r="C13" s="28">
        <v>740</v>
      </c>
      <c r="D13" s="28" t="s">
        <v>625</v>
      </c>
      <c r="E13" s="28">
        <v>7005</v>
      </c>
      <c r="F13" s="8" t="s">
        <v>436</v>
      </c>
      <c r="G13" s="8" t="s">
        <v>437</v>
      </c>
      <c r="H13" s="8" t="s">
        <v>23</v>
      </c>
      <c r="I13" s="30">
        <v>38907</v>
      </c>
      <c r="J13" s="12" t="s">
        <v>413</v>
      </c>
      <c r="K13" s="23">
        <v>33</v>
      </c>
      <c r="L13" s="23">
        <v>41</v>
      </c>
      <c r="M13" s="24">
        <v>71</v>
      </c>
      <c r="N13" s="24">
        <v>43</v>
      </c>
      <c r="O13" s="24">
        <v>42</v>
      </c>
      <c r="P13" s="24">
        <v>33</v>
      </c>
      <c r="Q13" s="24">
        <v>33</v>
      </c>
      <c r="R13" s="24">
        <v>99</v>
      </c>
      <c r="S13" s="24">
        <v>800</v>
      </c>
      <c r="T13" s="24">
        <f t="shared" si="0"/>
        <v>395</v>
      </c>
      <c r="U13" s="31">
        <f t="shared" si="2"/>
        <v>0.49375000000000002</v>
      </c>
      <c r="V13" s="32"/>
    </row>
    <row r="14" spans="2:22" ht="39.950000000000003" customHeight="1" x14ac:dyDescent="0.35">
      <c r="B14" s="27">
        <v>6</v>
      </c>
      <c r="C14" s="28">
        <v>738</v>
      </c>
      <c r="D14" s="28" t="s">
        <v>625</v>
      </c>
      <c r="E14" s="28">
        <v>7006</v>
      </c>
      <c r="F14" s="8" t="s">
        <v>434</v>
      </c>
      <c r="G14" s="8" t="s">
        <v>433</v>
      </c>
      <c r="H14" s="8" t="s">
        <v>23</v>
      </c>
      <c r="I14" s="30">
        <v>39580</v>
      </c>
      <c r="J14" s="12" t="s">
        <v>413</v>
      </c>
      <c r="K14" s="23">
        <v>33</v>
      </c>
      <c r="L14" s="23">
        <v>33</v>
      </c>
      <c r="M14" s="24">
        <v>20</v>
      </c>
      <c r="N14" s="24">
        <v>33</v>
      </c>
      <c r="O14" s="24">
        <v>33</v>
      </c>
      <c r="P14" s="24">
        <v>33</v>
      </c>
      <c r="Q14" s="24">
        <v>10</v>
      </c>
      <c r="R14" s="24">
        <v>98</v>
      </c>
      <c r="S14" s="24">
        <v>800</v>
      </c>
      <c r="T14" s="24">
        <f t="shared" si="0"/>
        <v>293</v>
      </c>
      <c r="U14" s="31">
        <f t="shared" si="2"/>
        <v>0.36625000000000002</v>
      </c>
      <c r="V14" s="32" t="s">
        <v>850</v>
      </c>
    </row>
    <row r="15" spans="2:22" ht="39.950000000000003" customHeight="1" x14ac:dyDescent="0.35">
      <c r="B15" s="27">
        <v>7</v>
      </c>
      <c r="C15" s="28">
        <v>739</v>
      </c>
      <c r="D15" s="28" t="s">
        <v>625</v>
      </c>
      <c r="E15" s="28">
        <v>7007</v>
      </c>
      <c r="F15" s="8" t="s">
        <v>435</v>
      </c>
      <c r="G15" s="8" t="s">
        <v>18</v>
      </c>
      <c r="H15" s="8" t="s">
        <v>23</v>
      </c>
      <c r="I15" s="30">
        <v>40550</v>
      </c>
      <c r="J15" s="12" t="s">
        <v>413</v>
      </c>
      <c r="K15" s="23">
        <v>39</v>
      </c>
      <c r="L15" s="23">
        <v>35</v>
      </c>
      <c r="M15" s="24">
        <v>65</v>
      </c>
      <c r="N15" s="24">
        <v>76</v>
      </c>
      <c r="O15" s="24">
        <v>53</v>
      </c>
      <c r="P15" s="24">
        <v>45</v>
      </c>
      <c r="Q15" s="24">
        <v>65</v>
      </c>
      <c r="R15" s="24">
        <v>95</v>
      </c>
      <c r="S15" s="24">
        <v>800</v>
      </c>
      <c r="T15" s="24">
        <f t="shared" si="0"/>
        <v>473</v>
      </c>
      <c r="U15" s="31">
        <f t="shared" si="2"/>
        <v>0.59125000000000005</v>
      </c>
      <c r="V15" s="32"/>
    </row>
    <row r="16" spans="2:22" ht="39.950000000000003" customHeight="1" x14ac:dyDescent="0.35">
      <c r="B16" s="27">
        <v>8</v>
      </c>
      <c r="C16" s="28">
        <v>743</v>
      </c>
      <c r="D16" s="28" t="s">
        <v>625</v>
      </c>
      <c r="E16" s="28">
        <v>7008</v>
      </c>
      <c r="F16" s="8" t="s">
        <v>441</v>
      </c>
      <c r="G16" s="8" t="s">
        <v>442</v>
      </c>
      <c r="H16" s="8" t="s">
        <v>23</v>
      </c>
      <c r="I16" s="30" t="s">
        <v>443</v>
      </c>
      <c r="J16" s="12" t="s">
        <v>413</v>
      </c>
      <c r="K16" s="23">
        <v>56</v>
      </c>
      <c r="L16" s="23">
        <v>36</v>
      </c>
      <c r="M16" s="24">
        <v>56</v>
      </c>
      <c r="N16" s="24">
        <v>42</v>
      </c>
      <c r="O16" s="24">
        <v>35</v>
      </c>
      <c r="P16" s="24">
        <v>33</v>
      </c>
      <c r="Q16" s="24">
        <v>74</v>
      </c>
      <c r="R16" s="24">
        <v>98</v>
      </c>
      <c r="S16" s="24">
        <v>800</v>
      </c>
      <c r="T16" s="24">
        <f t="shared" si="0"/>
        <v>430</v>
      </c>
      <c r="U16" s="31">
        <f t="shared" si="2"/>
        <v>0.53749999999999998</v>
      </c>
      <c r="V16" s="32"/>
    </row>
    <row r="17" spans="2:22" ht="39.950000000000003" customHeight="1" x14ac:dyDescent="0.35">
      <c r="B17" s="27">
        <v>9</v>
      </c>
      <c r="C17" s="28">
        <v>729</v>
      </c>
      <c r="D17" s="28" t="s">
        <v>625</v>
      </c>
      <c r="E17" s="28">
        <v>7009</v>
      </c>
      <c r="F17" s="8" t="s">
        <v>416</v>
      </c>
      <c r="G17" s="8" t="s">
        <v>259</v>
      </c>
      <c r="H17" s="8" t="s">
        <v>23</v>
      </c>
      <c r="I17" s="30">
        <v>39360</v>
      </c>
      <c r="J17" s="12" t="s">
        <v>413</v>
      </c>
      <c r="K17" s="23">
        <v>33</v>
      </c>
      <c r="L17" s="23">
        <v>42</v>
      </c>
      <c r="M17" s="24">
        <v>69</v>
      </c>
      <c r="N17" s="24">
        <v>53</v>
      </c>
      <c r="O17" s="24">
        <v>40</v>
      </c>
      <c r="P17" s="24">
        <v>50</v>
      </c>
      <c r="Q17" s="24">
        <v>70</v>
      </c>
      <c r="R17" s="24">
        <v>98</v>
      </c>
      <c r="S17" s="24">
        <v>800</v>
      </c>
      <c r="T17" s="24">
        <f t="shared" si="0"/>
        <v>455</v>
      </c>
      <c r="U17" s="31">
        <f t="shared" si="2"/>
        <v>0.56874999999999998</v>
      </c>
      <c r="V17" s="32"/>
    </row>
    <row r="18" spans="2:22" ht="39.950000000000003" customHeight="1" x14ac:dyDescent="0.35">
      <c r="B18" s="27">
        <v>10</v>
      </c>
      <c r="C18" s="28">
        <v>735</v>
      </c>
      <c r="D18" s="28" t="s">
        <v>625</v>
      </c>
      <c r="E18" s="28">
        <v>7010</v>
      </c>
      <c r="F18" s="8" t="s">
        <v>426</v>
      </c>
      <c r="G18" s="8" t="s">
        <v>427</v>
      </c>
      <c r="H18" s="8" t="s">
        <v>23</v>
      </c>
      <c r="I18" s="30" t="s">
        <v>428</v>
      </c>
      <c r="J18" s="12" t="s">
        <v>413</v>
      </c>
      <c r="K18" s="23">
        <v>10</v>
      </c>
      <c r="L18" s="23">
        <v>33</v>
      </c>
      <c r="M18" s="24">
        <v>33</v>
      </c>
      <c r="N18" s="24">
        <v>33</v>
      </c>
      <c r="O18" s="24">
        <v>10</v>
      </c>
      <c r="P18" s="24">
        <v>33</v>
      </c>
      <c r="Q18" s="24">
        <v>33</v>
      </c>
      <c r="R18" s="24">
        <v>80</v>
      </c>
      <c r="S18" s="24">
        <v>800</v>
      </c>
      <c r="T18" s="24">
        <f t="shared" si="0"/>
        <v>265</v>
      </c>
      <c r="U18" s="31">
        <f t="shared" si="2"/>
        <v>0.33124999999999999</v>
      </c>
      <c r="V18" s="32" t="s">
        <v>850</v>
      </c>
    </row>
    <row r="19" spans="2:22" ht="39.950000000000003" customHeight="1" x14ac:dyDescent="0.35">
      <c r="B19" s="27">
        <v>11</v>
      </c>
      <c r="C19" s="28">
        <v>736</v>
      </c>
      <c r="D19" s="28" t="s">
        <v>625</v>
      </c>
      <c r="E19" s="28">
        <v>7011</v>
      </c>
      <c r="F19" s="8" t="s">
        <v>429</v>
      </c>
      <c r="G19" s="8" t="s">
        <v>430</v>
      </c>
      <c r="H19" s="8" t="s">
        <v>23</v>
      </c>
      <c r="I19" s="30" t="s">
        <v>431</v>
      </c>
      <c r="J19" s="12" t="s">
        <v>413</v>
      </c>
      <c r="K19" s="23">
        <v>73</v>
      </c>
      <c r="L19" s="23">
        <v>85</v>
      </c>
      <c r="M19" s="24">
        <v>87</v>
      </c>
      <c r="N19" s="24">
        <v>90</v>
      </c>
      <c r="O19" s="24">
        <v>48</v>
      </c>
      <c r="P19" s="24">
        <v>87</v>
      </c>
      <c r="Q19" s="24">
        <v>92</v>
      </c>
      <c r="R19" s="24">
        <v>98</v>
      </c>
      <c r="S19" s="24">
        <v>800</v>
      </c>
      <c r="T19" s="24">
        <f t="shared" si="0"/>
        <v>660</v>
      </c>
      <c r="U19" s="31">
        <f t="shared" si="2"/>
        <v>0.82499999999999996</v>
      </c>
      <c r="V19" s="32"/>
    </row>
    <row r="20" spans="2:22" ht="39.950000000000003" customHeight="1" x14ac:dyDescent="0.35">
      <c r="B20" s="27">
        <v>12</v>
      </c>
      <c r="C20" s="28">
        <v>759</v>
      </c>
      <c r="D20" s="28" t="s">
        <v>625</v>
      </c>
      <c r="E20" s="28">
        <v>7012</v>
      </c>
      <c r="F20" s="8" t="s">
        <v>193</v>
      </c>
      <c r="G20" s="8" t="s">
        <v>115</v>
      </c>
      <c r="H20" s="8" t="s">
        <v>23</v>
      </c>
      <c r="I20" s="30" t="s">
        <v>306</v>
      </c>
      <c r="J20" s="12">
        <v>45025</v>
      </c>
      <c r="K20" s="23">
        <v>63</v>
      </c>
      <c r="L20" s="23">
        <v>67</v>
      </c>
      <c r="M20" s="24">
        <v>76</v>
      </c>
      <c r="N20" s="24">
        <v>85</v>
      </c>
      <c r="O20" s="24">
        <v>56</v>
      </c>
      <c r="P20" s="24">
        <v>70</v>
      </c>
      <c r="Q20" s="24">
        <v>92</v>
      </c>
      <c r="R20" s="24">
        <v>99</v>
      </c>
      <c r="S20" s="24">
        <v>800</v>
      </c>
      <c r="T20" s="24">
        <f t="shared" si="0"/>
        <v>608</v>
      </c>
      <c r="U20" s="31">
        <f t="shared" si="2"/>
        <v>0.76</v>
      </c>
      <c r="V20" s="32"/>
    </row>
    <row r="21" spans="2:22" ht="39.950000000000003" customHeight="1" x14ac:dyDescent="0.35">
      <c r="B21" s="27">
        <v>13</v>
      </c>
      <c r="C21" s="28">
        <v>746</v>
      </c>
      <c r="D21" s="28" t="s">
        <v>625</v>
      </c>
      <c r="E21" s="28">
        <v>7013</v>
      </c>
      <c r="F21" s="8" t="s">
        <v>451</v>
      </c>
      <c r="G21" s="8" t="s">
        <v>449</v>
      </c>
      <c r="H21" s="8" t="s">
        <v>23</v>
      </c>
      <c r="I21" s="30">
        <v>40734</v>
      </c>
      <c r="J21" s="12" t="s">
        <v>447</v>
      </c>
      <c r="K21" s="23">
        <v>76</v>
      </c>
      <c r="L21" s="23">
        <v>93</v>
      </c>
      <c r="M21" s="24">
        <v>89</v>
      </c>
      <c r="N21" s="24">
        <v>88</v>
      </c>
      <c r="O21" s="24">
        <v>65</v>
      </c>
      <c r="P21" s="24">
        <v>96</v>
      </c>
      <c r="Q21" s="24">
        <v>90</v>
      </c>
      <c r="R21" s="24">
        <v>98</v>
      </c>
      <c r="S21" s="24">
        <v>800</v>
      </c>
      <c r="T21" s="24">
        <f t="shared" si="0"/>
        <v>695</v>
      </c>
      <c r="U21" s="31">
        <f t="shared" si="2"/>
        <v>0.86875000000000002</v>
      </c>
      <c r="V21" s="32"/>
    </row>
    <row r="22" spans="2:22" ht="39.950000000000003" customHeight="1" x14ac:dyDescent="0.35">
      <c r="B22" s="27">
        <v>14</v>
      </c>
      <c r="C22" s="28">
        <v>745</v>
      </c>
      <c r="D22" s="28" t="s">
        <v>625</v>
      </c>
      <c r="E22" s="28">
        <v>7014</v>
      </c>
      <c r="F22" s="8" t="s">
        <v>448</v>
      </c>
      <c r="G22" s="8" t="s">
        <v>449</v>
      </c>
      <c r="H22" s="8" t="s">
        <v>23</v>
      </c>
      <c r="I22" s="30" t="s">
        <v>450</v>
      </c>
      <c r="J22" s="12" t="s">
        <v>447</v>
      </c>
      <c r="K22" s="23">
        <v>86</v>
      </c>
      <c r="L22" s="23">
        <v>90</v>
      </c>
      <c r="M22" s="24">
        <v>94</v>
      </c>
      <c r="N22" s="24">
        <v>90</v>
      </c>
      <c r="O22" s="24">
        <v>52</v>
      </c>
      <c r="P22" s="24">
        <v>95</v>
      </c>
      <c r="Q22" s="24">
        <v>91</v>
      </c>
      <c r="R22" s="24">
        <v>99</v>
      </c>
      <c r="S22" s="24">
        <v>800</v>
      </c>
      <c r="T22" s="24">
        <f t="shared" si="0"/>
        <v>697</v>
      </c>
      <c r="U22" s="31">
        <f t="shared" si="2"/>
        <v>0.87124999999999997</v>
      </c>
      <c r="V22" s="32"/>
    </row>
    <row r="23" spans="2:22" ht="39.950000000000003" customHeight="1" x14ac:dyDescent="0.35">
      <c r="B23" s="27">
        <v>15</v>
      </c>
      <c r="C23" s="28">
        <v>731</v>
      </c>
      <c r="D23" s="28" t="s">
        <v>625</v>
      </c>
      <c r="E23" s="28">
        <v>7015</v>
      </c>
      <c r="F23" s="8" t="s">
        <v>418</v>
      </c>
      <c r="G23" s="8" t="s">
        <v>419</v>
      </c>
      <c r="H23" s="8" t="s">
        <v>23</v>
      </c>
      <c r="I23" s="30">
        <v>39241</v>
      </c>
      <c r="J23" s="12" t="s">
        <v>413</v>
      </c>
      <c r="K23" s="23">
        <v>50</v>
      </c>
      <c r="L23" s="23">
        <v>49</v>
      </c>
      <c r="M23" s="24">
        <v>70</v>
      </c>
      <c r="N23" s="24">
        <v>64</v>
      </c>
      <c r="O23" s="24">
        <v>36</v>
      </c>
      <c r="P23" s="24">
        <v>39</v>
      </c>
      <c r="Q23" s="24">
        <v>81</v>
      </c>
      <c r="R23" s="24">
        <v>99</v>
      </c>
      <c r="S23" s="24">
        <v>800</v>
      </c>
      <c r="T23" s="24">
        <f t="shared" si="0"/>
        <v>488</v>
      </c>
      <c r="U23" s="31">
        <f t="shared" si="2"/>
        <v>0.61</v>
      </c>
      <c r="V23" s="32"/>
    </row>
    <row r="24" spans="2:22" ht="39.950000000000003" customHeight="1" thickBot="1" x14ac:dyDescent="0.4">
      <c r="B24" s="44">
        <v>16</v>
      </c>
      <c r="C24" s="45">
        <v>788</v>
      </c>
      <c r="D24" s="45" t="s">
        <v>625</v>
      </c>
      <c r="E24" s="56">
        <v>7029</v>
      </c>
      <c r="F24" s="48" t="s">
        <v>123</v>
      </c>
      <c r="G24" s="48" t="s">
        <v>708</v>
      </c>
      <c r="H24" s="49" t="s">
        <v>23</v>
      </c>
      <c r="I24" s="50">
        <v>40026</v>
      </c>
      <c r="J24" s="51">
        <v>45307</v>
      </c>
      <c r="K24" s="57">
        <v>7</v>
      </c>
      <c r="L24" s="57">
        <v>33</v>
      </c>
      <c r="M24" s="48">
        <v>60</v>
      </c>
      <c r="N24" s="48">
        <v>33</v>
      </c>
      <c r="O24" s="48">
        <v>35</v>
      </c>
      <c r="P24" s="48">
        <v>11</v>
      </c>
      <c r="Q24" s="48">
        <v>33</v>
      </c>
      <c r="R24" s="48">
        <v>80</v>
      </c>
      <c r="S24" s="48">
        <v>800</v>
      </c>
      <c r="T24" s="48">
        <f t="shared" ref="T24" si="3">K24+L24+M24+N24+O24+P24+Q24+R24</f>
        <v>292</v>
      </c>
      <c r="U24" s="54">
        <f t="shared" ref="U24" si="4">T24/S24</f>
        <v>0.36499999999999999</v>
      </c>
      <c r="V24" s="58" t="s">
        <v>850</v>
      </c>
    </row>
    <row r="25" spans="2:22" ht="54.95" customHeight="1" thickBot="1" x14ac:dyDescent="0.7">
      <c r="B25" s="186" t="s">
        <v>683</v>
      </c>
      <c r="C25" s="187"/>
      <c r="D25" s="187"/>
      <c r="E25" s="187"/>
      <c r="F25" s="187"/>
      <c r="G25" s="187"/>
      <c r="H25" s="187"/>
      <c r="I25" s="187"/>
      <c r="J25" s="187"/>
      <c r="K25" s="187"/>
      <c r="L25" s="187"/>
      <c r="M25" s="187"/>
      <c r="N25" s="187"/>
      <c r="O25" s="187"/>
      <c r="P25" s="187"/>
      <c r="Q25" s="187"/>
      <c r="R25" s="187"/>
      <c r="S25" s="187"/>
      <c r="T25" s="187"/>
      <c r="U25" s="187"/>
      <c r="V25" s="188"/>
    </row>
    <row r="26" spans="2:22" ht="39.950000000000003" customHeight="1" x14ac:dyDescent="0.35">
      <c r="B26" s="27">
        <v>17</v>
      </c>
      <c r="C26" s="28">
        <v>730</v>
      </c>
      <c r="D26" s="28" t="s">
        <v>625</v>
      </c>
      <c r="E26" s="28">
        <v>7016</v>
      </c>
      <c r="F26" s="8" t="s">
        <v>417</v>
      </c>
      <c r="G26" s="8" t="s">
        <v>15</v>
      </c>
      <c r="H26" s="8" t="s">
        <v>24</v>
      </c>
      <c r="I26" s="30">
        <v>40091</v>
      </c>
      <c r="J26" s="12" t="s">
        <v>413</v>
      </c>
      <c r="K26" s="23">
        <v>55</v>
      </c>
      <c r="L26" s="23">
        <v>91</v>
      </c>
      <c r="M26" s="24">
        <v>62</v>
      </c>
      <c r="N26" s="24">
        <v>66</v>
      </c>
      <c r="O26" s="24">
        <v>89</v>
      </c>
      <c r="P26" s="24">
        <v>53</v>
      </c>
      <c r="Q26" s="24">
        <v>86</v>
      </c>
      <c r="R26" s="24">
        <v>99</v>
      </c>
      <c r="S26" s="24">
        <v>800</v>
      </c>
      <c r="T26" s="24">
        <f t="shared" si="0"/>
        <v>601</v>
      </c>
      <c r="U26" s="31">
        <f t="shared" si="2"/>
        <v>0.75124999999999997</v>
      </c>
      <c r="V26" s="32"/>
    </row>
    <row r="27" spans="2:22" ht="39.950000000000003" customHeight="1" x14ac:dyDescent="0.35">
      <c r="B27" s="27">
        <v>18</v>
      </c>
      <c r="C27" s="28">
        <v>732</v>
      </c>
      <c r="D27" s="28" t="s">
        <v>625</v>
      </c>
      <c r="E27" s="28">
        <v>7017</v>
      </c>
      <c r="F27" s="8" t="s">
        <v>420</v>
      </c>
      <c r="G27" s="8" t="s">
        <v>419</v>
      </c>
      <c r="H27" s="8" t="s">
        <v>24</v>
      </c>
      <c r="I27" s="30" t="s">
        <v>421</v>
      </c>
      <c r="J27" s="12" t="s">
        <v>413</v>
      </c>
      <c r="K27" s="23">
        <v>90</v>
      </c>
      <c r="L27" s="23">
        <v>92</v>
      </c>
      <c r="M27" s="24">
        <v>83</v>
      </c>
      <c r="N27" s="24">
        <v>77</v>
      </c>
      <c r="O27" s="24">
        <v>73</v>
      </c>
      <c r="P27" s="24">
        <v>96</v>
      </c>
      <c r="Q27" s="24">
        <v>92</v>
      </c>
      <c r="R27" s="24">
        <v>99</v>
      </c>
      <c r="S27" s="24">
        <v>800</v>
      </c>
      <c r="T27" s="24">
        <f t="shared" si="0"/>
        <v>702</v>
      </c>
      <c r="U27" s="31">
        <f t="shared" si="2"/>
        <v>0.87749999999999995</v>
      </c>
      <c r="V27" s="32" t="s">
        <v>856</v>
      </c>
    </row>
    <row r="28" spans="2:22" ht="39.950000000000003" customHeight="1" x14ac:dyDescent="0.35">
      <c r="B28" s="27">
        <v>19</v>
      </c>
      <c r="C28" s="28">
        <v>728</v>
      </c>
      <c r="D28" s="28" t="s">
        <v>625</v>
      </c>
      <c r="E28" s="28">
        <v>7018</v>
      </c>
      <c r="F28" s="8" t="s">
        <v>414</v>
      </c>
      <c r="G28" s="8" t="s">
        <v>415</v>
      </c>
      <c r="H28" s="8" t="s">
        <v>24</v>
      </c>
      <c r="I28" s="30">
        <v>40636</v>
      </c>
      <c r="J28" s="12" t="s">
        <v>413</v>
      </c>
      <c r="K28" s="23">
        <v>98</v>
      </c>
      <c r="L28" s="23">
        <v>96</v>
      </c>
      <c r="M28" s="24">
        <v>98</v>
      </c>
      <c r="N28" s="24">
        <v>97</v>
      </c>
      <c r="O28" s="24">
        <v>100</v>
      </c>
      <c r="P28" s="24">
        <v>98</v>
      </c>
      <c r="Q28" s="24">
        <v>99</v>
      </c>
      <c r="R28" s="24">
        <v>99</v>
      </c>
      <c r="S28" s="24">
        <v>800</v>
      </c>
      <c r="T28" s="24">
        <f t="shared" si="0"/>
        <v>785</v>
      </c>
      <c r="U28" s="31">
        <f t="shared" si="2"/>
        <v>0.98124999999999996</v>
      </c>
      <c r="V28" s="32" t="s">
        <v>854</v>
      </c>
    </row>
    <row r="29" spans="2:22" ht="39.950000000000003" customHeight="1" x14ac:dyDescent="0.35">
      <c r="B29" s="27">
        <v>20</v>
      </c>
      <c r="C29" s="28">
        <v>760</v>
      </c>
      <c r="D29" s="28" t="s">
        <v>625</v>
      </c>
      <c r="E29" s="28">
        <v>7019</v>
      </c>
      <c r="F29" s="8" t="s">
        <v>128</v>
      </c>
      <c r="G29" s="8" t="s">
        <v>129</v>
      </c>
      <c r="H29" s="8" t="s">
        <v>24</v>
      </c>
      <c r="I29" s="30">
        <v>40913</v>
      </c>
      <c r="J29" s="12">
        <v>45025</v>
      </c>
      <c r="K29" s="23">
        <v>57</v>
      </c>
      <c r="L29" s="23">
        <v>75</v>
      </c>
      <c r="M29" s="24">
        <v>61</v>
      </c>
      <c r="N29" s="24">
        <v>57</v>
      </c>
      <c r="O29" s="24">
        <v>77</v>
      </c>
      <c r="P29" s="24">
        <v>90</v>
      </c>
      <c r="Q29" s="24">
        <v>63</v>
      </c>
      <c r="R29" s="24">
        <v>99</v>
      </c>
      <c r="S29" s="24">
        <v>800</v>
      </c>
      <c r="T29" s="24">
        <f t="shared" si="0"/>
        <v>579</v>
      </c>
      <c r="U29" s="31">
        <f t="shared" si="2"/>
        <v>0.72375</v>
      </c>
      <c r="V29" s="32"/>
    </row>
    <row r="30" spans="2:22" ht="39.950000000000003" customHeight="1" x14ac:dyDescent="0.35">
      <c r="B30" s="27">
        <v>21</v>
      </c>
      <c r="C30" s="28">
        <v>741</v>
      </c>
      <c r="D30" s="28" t="s">
        <v>625</v>
      </c>
      <c r="E30" s="28">
        <v>7020</v>
      </c>
      <c r="F30" s="8" t="s">
        <v>395</v>
      </c>
      <c r="G30" s="8" t="s">
        <v>438</v>
      </c>
      <c r="H30" s="8" t="s">
        <v>24</v>
      </c>
      <c r="I30" s="30">
        <v>40725</v>
      </c>
      <c r="J30" s="12" t="s">
        <v>413</v>
      </c>
      <c r="K30" s="23">
        <v>69</v>
      </c>
      <c r="L30" s="23">
        <v>67</v>
      </c>
      <c r="M30" s="24">
        <v>63</v>
      </c>
      <c r="N30" s="24">
        <v>44</v>
      </c>
      <c r="O30" s="24">
        <v>69</v>
      </c>
      <c r="P30" s="24">
        <v>90</v>
      </c>
      <c r="Q30" s="24">
        <v>64.5</v>
      </c>
      <c r="R30" s="24">
        <v>98</v>
      </c>
      <c r="S30" s="24">
        <v>800</v>
      </c>
      <c r="T30" s="24">
        <f t="shared" si="0"/>
        <v>564.5</v>
      </c>
      <c r="U30" s="31">
        <f t="shared" si="2"/>
        <v>0.70562499999999995</v>
      </c>
      <c r="V30" s="32"/>
    </row>
    <row r="31" spans="2:22" ht="39.950000000000003" customHeight="1" x14ac:dyDescent="0.35">
      <c r="B31" s="27">
        <v>22</v>
      </c>
      <c r="C31" s="28">
        <v>733</v>
      </c>
      <c r="D31" s="28" t="s">
        <v>625</v>
      </c>
      <c r="E31" s="28">
        <v>7021</v>
      </c>
      <c r="F31" s="8" t="s">
        <v>422</v>
      </c>
      <c r="G31" s="8" t="s">
        <v>423</v>
      </c>
      <c r="H31" s="8" t="s">
        <v>24</v>
      </c>
      <c r="I31" s="30">
        <v>41189</v>
      </c>
      <c r="J31" s="12" t="s">
        <v>413</v>
      </c>
      <c r="K31" s="23">
        <v>33</v>
      </c>
      <c r="L31" s="23">
        <v>54</v>
      </c>
      <c r="M31" s="24">
        <v>42</v>
      </c>
      <c r="N31" s="24">
        <v>33</v>
      </c>
      <c r="O31" s="24">
        <v>38</v>
      </c>
      <c r="P31" s="24">
        <v>40</v>
      </c>
      <c r="Q31" s="24">
        <v>33</v>
      </c>
      <c r="R31" s="24">
        <v>92</v>
      </c>
      <c r="S31" s="24">
        <v>800</v>
      </c>
      <c r="T31" s="24">
        <f t="shared" si="0"/>
        <v>365</v>
      </c>
      <c r="U31" s="31">
        <f t="shared" si="2"/>
        <v>0.45624999999999999</v>
      </c>
      <c r="V31" s="32"/>
    </row>
    <row r="32" spans="2:22" ht="45" customHeight="1" x14ac:dyDescent="0.35">
      <c r="B32" s="27">
        <v>23</v>
      </c>
      <c r="C32" s="28">
        <v>744</v>
      </c>
      <c r="D32" s="28" t="s">
        <v>625</v>
      </c>
      <c r="E32" s="28">
        <v>7022</v>
      </c>
      <c r="F32" s="8" t="s">
        <v>444</v>
      </c>
      <c r="G32" s="8" t="s">
        <v>445</v>
      </c>
      <c r="H32" s="8" t="s">
        <v>24</v>
      </c>
      <c r="I32" s="30" t="s">
        <v>446</v>
      </c>
      <c r="J32" s="12" t="s">
        <v>447</v>
      </c>
      <c r="K32" s="23">
        <v>93</v>
      </c>
      <c r="L32" s="23">
        <v>94</v>
      </c>
      <c r="M32" s="24">
        <v>91</v>
      </c>
      <c r="N32" s="24">
        <v>92</v>
      </c>
      <c r="O32" s="24">
        <v>75</v>
      </c>
      <c r="P32" s="24">
        <v>92</v>
      </c>
      <c r="Q32" s="24">
        <v>78.5</v>
      </c>
      <c r="R32" s="24">
        <v>99</v>
      </c>
      <c r="S32" s="24">
        <v>800</v>
      </c>
      <c r="T32" s="24">
        <f t="shared" si="0"/>
        <v>714.5</v>
      </c>
      <c r="U32" s="31">
        <f t="shared" si="2"/>
        <v>0.89312499999999995</v>
      </c>
      <c r="V32" s="32" t="s">
        <v>855</v>
      </c>
    </row>
    <row r="33" spans="2:22" ht="39.950000000000003" customHeight="1" x14ac:dyDescent="0.35">
      <c r="B33" s="27">
        <v>24</v>
      </c>
      <c r="C33" s="10">
        <v>781</v>
      </c>
      <c r="D33" s="28" t="s">
        <v>625</v>
      </c>
      <c r="E33" s="28">
        <v>7023</v>
      </c>
      <c r="F33" s="8" t="s">
        <v>651</v>
      </c>
      <c r="G33" s="8" t="s">
        <v>652</v>
      </c>
      <c r="H33" s="8" t="s">
        <v>24</v>
      </c>
      <c r="I33" s="34">
        <v>44975</v>
      </c>
      <c r="J33" s="14">
        <v>45293</v>
      </c>
      <c r="K33" s="23">
        <v>33</v>
      </c>
      <c r="L33" s="23">
        <v>2</v>
      </c>
      <c r="M33" s="24">
        <v>33</v>
      </c>
      <c r="N33" s="24">
        <v>33</v>
      </c>
      <c r="O33" s="24">
        <v>20</v>
      </c>
      <c r="P33" s="24">
        <v>33</v>
      </c>
      <c r="Q33" s="24">
        <v>33</v>
      </c>
      <c r="R33" s="24">
        <v>60</v>
      </c>
      <c r="S33" s="24">
        <v>800</v>
      </c>
      <c r="T33" s="24">
        <f t="shared" si="0"/>
        <v>247</v>
      </c>
      <c r="U33" s="31">
        <f t="shared" si="2"/>
        <v>0.30875000000000002</v>
      </c>
      <c r="V33" s="32" t="s">
        <v>850</v>
      </c>
    </row>
    <row r="34" spans="2:22" ht="39.950000000000003" customHeight="1" x14ac:dyDescent="0.35">
      <c r="B34" s="27">
        <v>25</v>
      </c>
      <c r="C34" s="28">
        <v>767</v>
      </c>
      <c r="D34" s="28" t="s">
        <v>625</v>
      </c>
      <c r="E34" s="28">
        <v>7024</v>
      </c>
      <c r="F34" s="8" t="s">
        <v>645</v>
      </c>
      <c r="G34" s="8" t="s">
        <v>646</v>
      </c>
      <c r="H34" s="8" t="s">
        <v>24</v>
      </c>
      <c r="I34" s="34">
        <v>40015</v>
      </c>
      <c r="J34" s="14">
        <v>45223</v>
      </c>
      <c r="K34" s="23">
        <v>51</v>
      </c>
      <c r="L34" s="23">
        <v>65</v>
      </c>
      <c r="M34" s="24">
        <v>69</v>
      </c>
      <c r="N34" s="24">
        <v>82</v>
      </c>
      <c r="O34" s="24">
        <v>46</v>
      </c>
      <c r="P34" s="24">
        <v>62</v>
      </c>
      <c r="Q34" s="24">
        <v>82</v>
      </c>
      <c r="R34" s="24">
        <v>99</v>
      </c>
      <c r="S34" s="24">
        <v>800</v>
      </c>
      <c r="T34" s="24">
        <f t="shared" si="0"/>
        <v>556</v>
      </c>
      <c r="U34" s="31">
        <f t="shared" si="2"/>
        <v>0.69499999999999995</v>
      </c>
      <c r="V34" s="32"/>
    </row>
    <row r="35" spans="2:22" ht="39.950000000000003" customHeight="1" x14ac:dyDescent="0.35">
      <c r="B35" s="27">
        <v>26</v>
      </c>
      <c r="C35" s="28">
        <v>770</v>
      </c>
      <c r="D35" s="28" t="s">
        <v>625</v>
      </c>
      <c r="E35" s="28">
        <v>7025</v>
      </c>
      <c r="F35" s="8" t="s">
        <v>606</v>
      </c>
      <c r="G35" s="8" t="s">
        <v>648</v>
      </c>
      <c r="H35" s="8" t="s">
        <v>24</v>
      </c>
      <c r="I35" s="34">
        <v>39577</v>
      </c>
      <c r="J35" s="14">
        <v>45223</v>
      </c>
      <c r="K35" s="23">
        <v>20</v>
      </c>
      <c r="L35" s="23">
        <v>33</v>
      </c>
      <c r="M35" s="24">
        <v>42</v>
      </c>
      <c r="N35" s="24">
        <v>35</v>
      </c>
      <c r="O35" s="24">
        <v>20</v>
      </c>
      <c r="P35" s="24">
        <v>33</v>
      </c>
      <c r="Q35" s="24">
        <v>33</v>
      </c>
      <c r="R35" s="24">
        <v>80</v>
      </c>
      <c r="S35" s="24">
        <v>800</v>
      </c>
      <c r="T35" s="24">
        <f t="shared" si="0"/>
        <v>296</v>
      </c>
      <c r="U35" s="31">
        <f t="shared" si="2"/>
        <v>0.37</v>
      </c>
      <c r="V35" s="32" t="s">
        <v>850</v>
      </c>
    </row>
    <row r="36" spans="2:22" ht="39.950000000000003" customHeight="1" x14ac:dyDescent="0.35">
      <c r="B36" s="27">
        <v>27</v>
      </c>
      <c r="C36" s="28">
        <v>727</v>
      </c>
      <c r="D36" s="28" t="s">
        <v>625</v>
      </c>
      <c r="E36" s="28">
        <v>7026</v>
      </c>
      <c r="F36" s="8" t="s">
        <v>411</v>
      </c>
      <c r="G36" s="8" t="s">
        <v>186</v>
      </c>
      <c r="H36" s="8" t="s">
        <v>24</v>
      </c>
      <c r="I36" s="30" t="s">
        <v>412</v>
      </c>
      <c r="J36" s="12" t="s">
        <v>413</v>
      </c>
      <c r="K36" s="23">
        <v>81</v>
      </c>
      <c r="L36" s="23">
        <v>95</v>
      </c>
      <c r="M36" s="24">
        <v>90</v>
      </c>
      <c r="N36" s="24">
        <v>80</v>
      </c>
      <c r="O36" s="24">
        <v>81</v>
      </c>
      <c r="P36" s="24">
        <v>92</v>
      </c>
      <c r="Q36" s="24">
        <v>86</v>
      </c>
      <c r="R36" s="24">
        <v>80</v>
      </c>
      <c r="S36" s="24">
        <v>800</v>
      </c>
      <c r="T36" s="24">
        <f t="shared" si="0"/>
        <v>685</v>
      </c>
      <c r="U36" s="31">
        <f t="shared" si="2"/>
        <v>0.85624999999999996</v>
      </c>
      <c r="V36" s="32"/>
    </row>
    <row r="37" spans="2:22" ht="45" customHeight="1" x14ac:dyDescent="0.35">
      <c r="B37" s="27">
        <v>28</v>
      </c>
      <c r="C37" s="28">
        <v>768</v>
      </c>
      <c r="D37" s="28" t="s">
        <v>625</v>
      </c>
      <c r="E37" s="28">
        <v>7027</v>
      </c>
      <c r="F37" s="8" t="s">
        <v>647</v>
      </c>
      <c r="G37" s="8" t="s">
        <v>720</v>
      </c>
      <c r="H37" s="8" t="s">
        <v>24</v>
      </c>
      <c r="I37" s="34">
        <v>40452</v>
      </c>
      <c r="J37" s="14">
        <v>45223</v>
      </c>
      <c r="K37" s="23">
        <v>52</v>
      </c>
      <c r="L37" s="23">
        <v>33</v>
      </c>
      <c r="M37" s="24">
        <v>71</v>
      </c>
      <c r="N37" s="24">
        <v>49</v>
      </c>
      <c r="O37" s="24">
        <v>45</v>
      </c>
      <c r="P37" s="24">
        <v>45</v>
      </c>
      <c r="Q37" s="24">
        <v>47</v>
      </c>
      <c r="R37" s="24">
        <v>80</v>
      </c>
      <c r="S37" s="24">
        <v>800</v>
      </c>
      <c r="T37" s="24">
        <f t="shared" si="0"/>
        <v>422</v>
      </c>
      <c r="U37" s="31">
        <f t="shared" si="2"/>
        <v>0.52749999999999997</v>
      </c>
      <c r="V37" s="32"/>
    </row>
    <row r="38" spans="2:22" ht="51.75" customHeight="1" x14ac:dyDescent="0.35">
      <c r="B38" s="27">
        <v>29</v>
      </c>
      <c r="C38" s="10">
        <v>777</v>
      </c>
      <c r="D38" s="28" t="s">
        <v>625</v>
      </c>
      <c r="E38" s="28">
        <v>7028</v>
      </c>
      <c r="F38" s="8" t="s">
        <v>649</v>
      </c>
      <c r="G38" s="8" t="s">
        <v>650</v>
      </c>
      <c r="H38" s="8" t="s">
        <v>24</v>
      </c>
      <c r="I38" s="34">
        <v>40546</v>
      </c>
      <c r="J38" s="14">
        <v>45252</v>
      </c>
      <c r="K38" s="23">
        <v>45</v>
      </c>
      <c r="L38" s="23">
        <v>80</v>
      </c>
      <c r="M38" s="24">
        <v>64</v>
      </c>
      <c r="N38" s="24">
        <v>78</v>
      </c>
      <c r="O38" s="24">
        <v>82</v>
      </c>
      <c r="P38" s="24">
        <v>72</v>
      </c>
      <c r="Q38" s="24">
        <v>70</v>
      </c>
      <c r="R38" s="24">
        <v>93</v>
      </c>
      <c r="S38" s="24">
        <v>800</v>
      </c>
      <c r="T38" s="24">
        <f t="shared" si="0"/>
        <v>584</v>
      </c>
      <c r="U38" s="31">
        <f t="shared" si="2"/>
        <v>0.73</v>
      </c>
      <c r="V38" s="32"/>
    </row>
    <row r="39" spans="2:22" ht="39.950000000000003" customHeight="1" x14ac:dyDescent="0.25"/>
    <row r="40" spans="2:22" ht="23.25" x14ac:dyDescent="0.35">
      <c r="B40" s="16"/>
      <c r="C40" s="16"/>
      <c r="D40" s="16"/>
      <c r="E40" s="16"/>
      <c r="F40" s="15"/>
      <c r="G40" s="15"/>
      <c r="H40" s="15"/>
      <c r="I40" s="16"/>
      <c r="J40" s="17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  <row r="41" spans="2:22" ht="23.25" x14ac:dyDescent="0.35">
      <c r="B41" s="16"/>
      <c r="C41" s="16"/>
      <c r="D41" s="16"/>
      <c r="E41" s="16"/>
      <c r="F41" s="15"/>
      <c r="G41" s="15"/>
      <c r="H41" s="15"/>
      <c r="I41" s="16"/>
      <c r="J41" s="17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  <row r="42" spans="2:22" ht="23.25" x14ac:dyDescent="0.35">
      <c r="B42" s="16"/>
      <c r="C42" s="16"/>
      <c r="D42" s="16"/>
      <c r="E42" s="16"/>
      <c r="F42" s="15"/>
      <c r="G42" s="15"/>
      <c r="H42" s="15"/>
      <c r="I42" s="16"/>
      <c r="J42" s="17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  <row r="43" spans="2:22" ht="23.25" x14ac:dyDescent="0.35">
      <c r="B43" s="15"/>
      <c r="C43" s="15"/>
      <c r="D43" s="15"/>
      <c r="E43" s="15"/>
      <c r="F43" s="15"/>
      <c r="G43" s="15"/>
      <c r="H43" s="15"/>
      <c r="I43" s="16"/>
      <c r="J43" s="17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  <row r="44" spans="2:22" ht="23.25" x14ac:dyDescent="0.35">
      <c r="B44" s="15"/>
      <c r="C44" s="15"/>
      <c r="D44" s="15"/>
      <c r="E44" s="15"/>
      <c r="F44" s="15"/>
      <c r="G44" s="15"/>
      <c r="H44" s="15"/>
      <c r="I44" s="16"/>
      <c r="J44" s="17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  <row r="45" spans="2:22" ht="23.25" x14ac:dyDescent="0.35">
      <c r="B45" s="15"/>
      <c r="C45" s="15"/>
      <c r="D45" s="15"/>
      <c r="E45" s="15"/>
      <c r="F45" s="18" t="s">
        <v>713</v>
      </c>
      <c r="G45" s="15"/>
      <c r="H45" s="15"/>
      <c r="I45" s="16"/>
      <c r="J45" s="17"/>
      <c r="K45" s="15"/>
      <c r="L45" s="15"/>
      <c r="M45" s="15"/>
      <c r="N45" s="15"/>
      <c r="O45" s="15"/>
      <c r="P45" s="15"/>
      <c r="Q45" s="153" t="s">
        <v>714</v>
      </c>
      <c r="R45" s="153"/>
      <c r="S45" s="15"/>
      <c r="T45" s="15"/>
      <c r="U45" s="15"/>
      <c r="V45" s="15"/>
    </row>
  </sheetData>
  <autoFilter ref="B7:L38">
    <sortState ref="B5:L32">
      <sortCondition ref="H5:H32"/>
      <sortCondition ref="F5:F32"/>
    </sortState>
  </autoFilter>
  <sortState ref="B5:L32">
    <sortCondition ref="F5:F32"/>
  </sortState>
  <mergeCells count="20">
    <mergeCell ref="B25:V25"/>
    <mergeCell ref="B8:V8"/>
    <mergeCell ref="I5:I7"/>
    <mergeCell ref="J5:J7"/>
    <mergeCell ref="Q45:R45"/>
    <mergeCell ref="K5:R5"/>
    <mergeCell ref="B2:V2"/>
    <mergeCell ref="B3:V3"/>
    <mergeCell ref="B4:V4"/>
    <mergeCell ref="B5:B7"/>
    <mergeCell ref="C5:C7"/>
    <mergeCell ref="D5:D7"/>
    <mergeCell ref="E5:E7"/>
    <mergeCell ref="F5:F7"/>
    <mergeCell ref="S5:S6"/>
    <mergeCell ref="T5:T7"/>
    <mergeCell ref="V5:V7"/>
    <mergeCell ref="U5:U7"/>
    <mergeCell ref="G5:G7"/>
    <mergeCell ref="H5:H7"/>
  </mergeCells>
  <conditionalFormatting sqref="K26:R38 K9:R24">
    <cfRule type="cellIs" dxfId="3" priority="1" operator="lessThan">
      <formula>33</formula>
    </cfRule>
  </conditionalFormatting>
  <pageMargins left="0.2" right="0.2" top="0.25" bottom="0.25" header="0.3" footer="0.3"/>
  <pageSetup paperSize="9" scale="46" fitToHeight="3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V30"/>
  <sheetViews>
    <sheetView zoomScale="70" zoomScaleNormal="70" workbookViewId="0">
      <pane ySplit="7" topLeftCell="A11" activePane="bottomLeft" state="frozen"/>
      <selection activeCell="B5" sqref="B5:V48"/>
      <selection pane="bottomLeft" activeCell="V10" sqref="V10"/>
    </sheetView>
  </sheetViews>
  <sheetFormatPr defaultColWidth="10" defaultRowHeight="15" x14ac:dyDescent="0.25"/>
  <cols>
    <col min="2" max="2" width="6.140625" customWidth="1"/>
    <col min="3" max="3" width="12" bestFit="1" customWidth="1"/>
    <col min="4" max="4" width="8.7109375" bestFit="1" customWidth="1"/>
    <col min="5" max="5" width="8.7109375" customWidth="1"/>
    <col min="6" max="7" width="27.7109375" customWidth="1"/>
    <col min="8" max="8" width="12" customWidth="1"/>
    <col min="9" max="9" width="18.5703125" style="1" bestFit="1" customWidth="1"/>
    <col min="10" max="10" width="18.7109375" style="2" bestFit="1" customWidth="1"/>
    <col min="11" max="18" width="12.7109375" customWidth="1"/>
    <col min="19" max="19" width="10.140625" bestFit="1" customWidth="1"/>
    <col min="20" max="21" width="14" bestFit="1" customWidth="1"/>
    <col min="22" max="22" width="25.7109375" customWidth="1"/>
  </cols>
  <sheetData>
    <row r="2" spans="2:22" ht="27.75" x14ac:dyDescent="0.25">
      <c r="B2" s="143" t="s">
        <v>699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</row>
    <row r="3" spans="2:22" ht="27.75" x14ac:dyDescent="0.25">
      <c r="B3" s="143" t="s">
        <v>696</v>
      </c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</row>
    <row r="4" spans="2:22" ht="28.5" thickBot="1" x14ac:dyDescent="0.3">
      <c r="B4" s="143" t="s">
        <v>697</v>
      </c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  <c r="U4" s="144"/>
      <c r="V4" s="144"/>
    </row>
    <row r="5" spans="2:22" ht="25.5" customHeight="1" x14ac:dyDescent="0.25">
      <c r="B5" s="191" t="s">
        <v>698</v>
      </c>
      <c r="C5" s="194" t="s">
        <v>334</v>
      </c>
      <c r="D5" s="194" t="s">
        <v>335</v>
      </c>
      <c r="E5" s="194" t="s">
        <v>681</v>
      </c>
      <c r="F5" s="194" t="s">
        <v>0</v>
      </c>
      <c r="G5" s="194" t="s">
        <v>1</v>
      </c>
      <c r="H5" s="194" t="s">
        <v>2</v>
      </c>
      <c r="I5" s="200" t="s">
        <v>337</v>
      </c>
      <c r="J5" s="194" t="s">
        <v>618</v>
      </c>
      <c r="K5" s="179" t="s">
        <v>685</v>
      </c>
      <c r="L5" s="179"/>
      <c r="M5" s="179"/>
      <c r="N5" s="179"/>
      <c r="O5" s="179"/>
      <c r="P5" s="179"/>
      <c r="Q5" s="179"/>
      <c r="R5" s="179"/>
      <c r="S5" s="180" t="s">
        <v>694</v>
      </c>
      <c r="T5" s="194" t="s">
        <v>695</v>
      </c>
      <c r="U5" s="194" t="s">
        <v>700</v>
      </c>
      <c r="V5" s="197" t="s">
        <v>617</v>
      </c>
    </row>
    <row r="6" spans="2:22" ht="88.5" customHeight="1" x14ac:dyDescent="0.25">
      <c r="B6" s="192"/>
      <c r="C6" s="195"/>
      <c r="D6" s="195"/>
      <c r="E6" s="195"/>
      <c r="F6" s="195"/>
      <c r="G6" s="195"/>
      <c r="H6" s="195"/>
      <c r="I6" s="201"/>
      <c r="J6" s="195"/>
      <c r="K6" s="4" t="s">
        <v>686</v>
      </c>
      <c r="L6" s="4" t="s">
        <v>687</v>
      </c>
      <c r="M6" s="4" t="s">
        <v>688</v>
      </c>
      <c r="N6" s="4" t="s">
        <v>689</v>
      </c>
      <c r="O6" s="4" t="s">
        <v>690</v>
      </c>
      <c r="P6" s="4" t="s">
        <v>691</v>
      </c>
      <c r="Q6" s="4" t="s">
        <v>692</v>
      </c>
      <c r="R6" s="4" t="s">
        <v>693</v>
      </c>
      <c r="S6" s="181"/>
      <c r="T6" s="195"/>
      <c r="U6" s="195"/>
      <c r="V6" s="198"/>
    </row>
    <row r="7" spans="2:22" ht="40.5" customHeight="1" thickBot="1" x14ac:dyDescent="0.3">
      <c r="B7" s="193"/>
      <c r="C7" s="196"/>
      <c r="D7" s="196"/>
      <c r="E7" s="196"/>
      <c r="F7" s="196"/>
      <c r="G7" s="196"/>
      <c r="H7" s="196"/>
      <c r="I7" s="202"/>
      <c r="J7" s="196"/>
      <c r="K7" s="5">
        <v>100</v>
      </c>
      <c r="L7" s="5">
        <v>100</v>
      </c>
      <c r="M7" s="5">
        <v>100</v>
      </c>
      <c r="N7" s="5">
        <v>100</v>
      </c>
      <c r="O7" s="5">
        <v>100</v>
      </c>
      <c r="P7" s="5">
        <v>100</v>
      </c>
      <c r="Q7" s="5">
        <v>100</v>
      </c>
      <c r="R7" s="5">
        <v>100</v>
      </c>
      <c r="S7" s="5">
        <f>SUM(K7:R7)</f>
        <v>800</v>
      </c>
      <c r="T7" s="196"/>
      <c r="U7" s="196"/>
      <c r="V7" s="199"/>
    </row>
    <row r="8" spans="2:22" ht="54.95" customHeight="1" thickBot="1" x14ac:dyDescent="0.7">
      <c r="B8" s="186" t="s">
        <v>682</v>
      </c>
      <c r="C8" s="187"/>
      <c r="D8" s="187"/>
      <c r="E8" s="187"/>
      <c r="F8" s="187"/>
      <c r="G8" s="187"/>
      <c r="H8" s="187"/>
      <c r="I8" s="187"/>
      <c r="J8" s="187"/>
      <c r="K8" s="187"/>
      <c r="L8" s="187"/>
      <c r="M8" s="187"/>
      <c r="N8" s="187"/>
      <c r="O8" s="187"/>
      <c r="P8" s="187"/>
      <c r="Q8" s="187"/>
      <c r="R8" s="187"/>
      <c r="S8" s="187"/>
      <c r="T8" s="187"/>
      <c r="U8" s="187"/>
      <c r="V8" s="188"/>
    </row>
    <row r="9" spans="2:22" ht="30" customHeight="1" x14ac:dyDescent="0.35">
      <c r="B9" s="27">
        <v>1</v>
      </c>
      <c r="C9" s="28">
        <v>752</v>
      </c>
      <c r="D9" s="28" t="s">
        <v>626</v>
      </c>
      <c r="E9" s="29">
        <v>8001</v>
      </c>
      <c r="F9" s="8" t="s">
        <v>462</v>
      </c>
      <c r="G9" s="8" t="s">
        <v>463</v>
      </c>
      <c r="H9" s="8" t="s">
        <v>23</v>
      </c>
      <c r="I9" s="30">
        <v>39118</v>
      </c>
      <c r="J9" s="12" t="s">
        <v>447</v>
      </c>
      <c r="K9" s="23">
        <v>74</v>
      </c>
      <c r="L9" s="23">
        <v>82</v>
      </c>
      <c r="M9" s="24">
        <v>86</v>
      </c>
      <c r="N9" s="24">
        <v>58</v>
      </c>
      <c r="O9" s="24">
        <v>33</v>
      </c>
      <c r="P9" s="24">
        <v>87</v>
      </c>
      <c r="Q9" s="24">
        <v>78</v>
      </c>
      <c r="R9" s="24">
        <v>85</v>
      </c>
      <c r="S9" s="24">
        <v>800</v>
      </c>
      <c r="T9" s="24">
        <f t="shared" ref="T9:T23" si="0">K9+L9+M9+N9+O9+P9+Q9+R9</f>
        <v>583</v>
      </c>
      <c r="U9" s="31">
        <f t="shared" ref="U9:U23" si="1">T9/S9</f>
        <v>0.72875000000000001</v>
      </c>
      <c r="V9" s="32"/>
    </row>
    <row r="10" spans="2:22" ht="45" customHeight="1" x14ac:dyDescent="0.35">
      <c r="B10" s="27">
        <v>2</v>
      </c>
      <c r="C10" s="10">
        <v>764</v>
      </c>
      <c r="D10" s="28" t="s">
        <v>626</v>
      </c>
      <c r="E10" s="29">
        <v>8002</v>
      </c>
      <c r="F10" s="8" t="s">
        <v>655</v>
      </c>
      <c r="G10" s="8" t="s">
        <v>719</v>
      </c>
      <c r="H10" s="8" t="s">
        <v>23</v>
      </c>
      <c r="I10" s="34">
        <v>39850</v>
      </c>
      <c r="J10" s="14">
        <v>45213</v>
      </c>
      <c r="K10" s="23">
        <v>87</v>
      </c>
      <c r="L10" s="23">
        <v>85</v>
      </c>
      <c r="M10" s="24">
        <v>78</v>
      </c>
      <c r="N10" s="24">
        <v>85</v>
      </c>
      <c r="O10" s="24">
        <v>64</v>
      </c>
      <c r="P10" s="24">
        <v>81</v>
      </c>
      <c r="Q10" s="24">
        <v>96</v>
      </c>
      <c r="R10" s="24">
        <v>98</v>
      </c>
      <c r="S10" s="24">
        <v>800</v>
      </c>
      <c r="T10" s="24">
        <f t="shared" si="0"/>
        <v>674</v>
      </c>
      <c r="U10" s="31">
        <f t="shared" si="1"/>
        <v>0.84250000000000003</v>
      </c>
      <c r="V10" s="32" t="s">
        <v>856</v>
      </c>
    </row>
    <row r="11" spans="2:22" ht="30" customHeight="1" x14ac:dyDescent="0.35">
      <c r="B11" s="27">
        <v>3</v>
      </c>
      <c r="C11" s="28">
        <v>751</v>
      </c>
      <c r="D11" s="28" t="s">
        <v>626</v>
      </c>
      <c r="E11" s="29">
        <v>8003</v>
      </c>
      <c r="F11" s="8" t="s">
        <v>460</v>
      </c>
      <c r="G11" s="8" t="s">
        <v>20</v>
      </c>
      <c r="H11" s="8" t="s">
        <v>23</v>
      </c>
      <c r="I11" s="30" t="s">
        <v>461</v>
      </c>
      <c r="J11" s="12" t="s">
        <v>447</v>
      </c>
      <c r="K11" s="23">
        <v>81</v>
      </c>
      <c r="L11" s="23">
        <v>94</v>
      </c>
      <c r="M11" s="24">
        <v>83</v>
      </c>
      <c r="N11" s="24">
        <v>71</v>
      </c>
      <c r="O11" s="24">
        <v>36</v>
      </c>
      <c r="P11" s="24">
        <v>93</v>
      </c>
      <c r="Q11" s="24">
        <v>76</v>
      </c>
      <c r="R11" s="24">
        <v>95</v>
      </c>
      <c r="S11" s="24">
        <v>800</v>
      </c>
      <c r="T11" s="24">
        <f t="shared" si="0"/>
        <v>629</v>
      </c>
      <c r="U11" s="31">
        <f t="shared" si="1"/>
        <v>0.78625</v>
      </c>
      <c r="V11" s="32"/>
    </row>
    <row r="12" spans="2:22" ht="30" customHeight="1" x14ac:dyDescent="0.35">
      <c r="B12" s="27">
        <v>4</v>
      </c>
      <c r="C12" s="28">
        <v>755</v>
      </c>
      <c r="D12" s="28" t="s">
        <v>626</v>
      </c>
      <c r="E12" s="29">
        <v>8004</v>
      </c>
      <c r="F12" s="8" t="s">
        <v>8</v>
      </c>
      <c r="G12" s="8" t="s">
        <v>706</v>
      </c>
      <c r="H12" s="8" t="s">
        <v>23</v>
      </c>
      <c r="I12" s="30" t="s">
        <v>467</v>
      </c>
      <c r="J12" s="12" t="s">
        <v>447</v>
      </c>
      <c r="K12" s="23" t="s">
        <v>711</v>
      </c>
      <c r="L12" s="23" t="s">
        <v>711</v>
      </c>
      <c r="M12" s="23" t="s">
        <v>711</v>
      </c>
      <c r="N12" s="23" t="s">
        <v>711</v>
      </c>
      <c r="O12" s="23" t="s">
        <v>711</v>
      </c>
      <c r="P12" s="23" t="s">
        <v>711</v>
      </c>
      <c r="Q12" s="23" t="s">
        <v>711</v>
      </c>
      <c r="R12" s="23" t="s">
        <v>711</v>
      </c>
      <c r="S12" s="24">
        <v>800</v>
      </c>
      <c r="T12" s="24" t="e">
        <f t="shared" si="0"/>
        <v>#VALUE!</v>
      </c>
      <c r="U12" s="31" t="e">
        <f t="shared" si="1"/>
        <v>#VALUE!</v>
      </c>
      <c r="V12" s="32" t="s">
        <v>715</v>
      </c>
    </row>
    <row r="13" spans="2:22" ht="30" customHeight="1" x14ac:dyDescent="0.35">
      <c r="B13" s="27">
        <v>5</v>
      </c>
      <c r="C13" s="10">
        <v>763</v>
      </c>
      <c r="D13" s="28" t="s">
        <v>626</v>
      </c>
      <c r="E13" s="29">
        <v>8005</v>
      </c>
      <c r="F13" s="8" t="s">
        <v>653</v>
      </c>
      <c r="G13" s="8" t="s">
        <v>654</v>
      </c>
      <c r="H13" s="8" t="s">
        <v>23</v>
      </c>
      <c r="I13" s="34">
        <v>40858</v>
      </c>
      <c r="J13" s="14">
        <v>45213</v>
      </c>
      <c r="K13" s="23">
        <v>63</v>
      </c>
      <c r="L13" s="23">
        <v>82</v>
      </c>
      <c r="M13" s="24">
        <v>74</v>
      </c>
      <c r="N13" s="24">
        <v>68</v>
      </c>
      <c r="O13" s="24">
        <v>39</v>
      </c>
      <c r="P13" s="24">
        <v>69</v>
      </c>
      <c r="Q13" s="24">
        <v>69</v>
      </c>
      <c r="R13" s="24">
        <v>80</v>
      </c>
      <c r="S13" s="24">
        <v>800</v>
      </c>
      <c r="T13" s="24">
        <f t="shared" si="0"/>
        <v>544</v>
      </c>
      <c r="U13" s="31">
        <f t="shared" si="1"/>
        <v>0.68</v>
      </c>
      <c r="V13" s="32"/>
    </row>
    <row r="14" spans="2:22" ht="42.75" customHeight="1" x14ac:dyDescent="0.35">
      <c r="B14" s="27">
        <v>6</v>
      </c>
      <c r="C14" s="28">
        <v>749</v>
      </c>
      <c r="D14" s="28" t="s">
        <v>626</v>
      </c>
      <c r="E14" s="29">
        <v>8006</v>
      </c>
      <c r="F14" s="8" t="s">
        <v>455</v>
      </c>
      <c r="G14" s="8" t="s">
        <v>456</v>
      </c>
      <c r="H14" s="8" t="s">
        <v>23</v>
      </c>
      <c r="I14" s="30" t="s">
        <v>457</v>
      </c>
      <c r="J14" s="12" t="s">
        <v>447</v>
      </c>
      <c r="K14" s="41">
        <v>28</v>
      </c>
      <c r="L14" s="23">
        <v>33</v>
      </c>
      <c r="M14" s="24">
        <v>33</v>
      </c>
      <c r="N14" s="24">
        <v>41</v>
      </c>
      <c r="O14" s="24">
        <v>28</v>
      </c>
      <c r="P14" s="24">
        <v>52</v>
      </c>
      <c r="Q14" s="24">
        <v>40</v>
      </c>
      <c r="R14" s="24">
        <v>80</v>
      </c>
      <c r="S14" s="24">
        <v>800</v>
      </c>
      <c r="T14" s="24">
        <f t="shared" si="0"/>
        <v>335</v>
      </c>
      <c r="U14" s="31">
        <f t="shared" si="1"/>
        <v>0.41875000000000001</v>
      </c>
      <c r="V14" s="32"/>
    </row>
    <row r="15" spans="2:22" ht="30" customHeight="1" thickBot="1" x14ac:dyDescent="0.4">
      <c r="B15" s="27">
        <v>7</v>
      </c>
      <c r="C15" s="28">
        <v>756</v>
      </c>
      <c r="D15" s="28" t="s">
        <v>626</v>
      </c>
      <c r="E15" s="29">
        <v>8007</v>
      </c>
      <c r="F15" s="8" t="s">
        <v>468</v>
      </c>
      <c r="G15" s="8" t="s">
        <v>469</v>
      </c>
      <c r="H15" s="8" t="s">
        <v>23</v>
      </c>
      <c r="I15" s="30">
        <v>39089</v>
      </c>
      <c r="J15" s="12" t="s">
        <v>447</v>
      </c>
      <c r="K15" s="23">
        <v>44</v>
      </c>
      <c r="L15" s="23">
        <v>67</v>
      </c>
      <c r="M15" s="24">
        <v>46</v>
      </c>
      <c r="N15" s="24">
        <v>60</v>
      </c>
      <c r="O15" s="24">
        <v>33</v>
      </c>
      <c r="P15" s="24">
        <v>68</v>
      </c>
      <c r="Q15" s="24">
        <v>54</v>
      </c>
      <c r="R15" s="24">
        <v>56</v>
      </c>
      <c r="S15" s="24">
        <v>800</v>
      </c>
      <c r="T15" s="24">
        <f t="shared" si="0"/>
        <v>428</v>
      </c>
      <c r="U15" s="31">
        <f t="shared" si="1"/>
        <v>0.53500000000000003</v>
      </c>
      <c r="V15" s="32"/>
    </row>
    <row r="16" spans="2:22" ht="54.95" customHeight="1" thickBot="1" x14ac:dyDescent="0.7">
      <c r="B16" s="186" t="s">
        <v>683</v>
      </c>
      <c r="C16" s="187"/>
      <c r="D16" s="187"/>
      <c r="E16" s="187"/>
      <c r="F16" s="187"/>
      <c r="G16" s="187"/>
      <c r="H16" s="187"/>
      <c r="I16" s="187"/>
      <c r="J16" s="187"/>
      <c r="K16" s="187"/>
      <c r="L16" s="187"/>
      <c r="M16" s="187"/>
      <c r="N16" s="187"/>
      <c r="O16" s="187"/>
      <c r="P16" s="187"/>
      <c r="Q16" s="187"/>
      <c r="R16" s="187"/>
      <c r="S16" s="187"/>
      <c r="T16" s="187"/>
      <c r="U16" s="187"/>
      <c r="V16" s="188"/>
    </row>
    <row r="17" spans="2:22" ht="30" customHeight="1" x14ac:dyDescent="0.35">
      <c r="B17" s="27">
        <v>8</v>
      </c>
      <c r="C17" s="28">
        <v>750</v>
      </c>
      <c r="D17" s="28" t="s">
        <v>626</v>
      </c>
      <c r="E17" s="29">
        <v>8008</v>
      </c>
      <c r="F17" s="8" t="s">
        <v>458</v>
      </c>
      <c r="G17" s="8" t="s">
        <v>459</v>
      </c>
      <c r="H17" s="8" t="s">
        <v>24</v>
      </c>
      <c r="I17" s="30">
        <v>40094</v>
      </c>
      <c r="J17" s="12" t="s">
        <v>447</v>
      </c>
      <c r="K17" s="23">
        <v>54</v>
      </c>
      <c r="L17" s="23">
        <v>63</v>
      </c>
      <c r="M17" s="24">
        <v>57</v>
      </c>
      <c r="N17" s="24">
        <v>48</v>
      </c>
      <c r="O17" s="24">
        <v>39</v>
      </c>
      <c r="P17" s="24">
        <v>76</v>
      </c>
      <c r="Q17" s="24">
        <v>68</v>
      </c>
      <c r="R17" s="24">
        <v>70</v>
      </c>
      <c r="S17" s="24">
        <v>800</v>
      </c>
      <c r="T17" s="24">
        <f t="shared" si="0"/>
        <v>475</v>
      </c>
      <c r="U17" s="31">
        <f t="shared" si="1"/>
        <v>0.59375</v>
      </c>
      <c r="V17" s="32"/>
    </row>
    <row r="18" spans="2:22" ht="30" customHeight="1" x14ac:dyDescent="0.35">
      <c r="B18" s="27">
        <v>9</v>
      </c>
      <c r="C18" s="28">
        <v>748</v>
      </c>
      <c r="D18" s="28" t="s">
        <v>626</v>
      </c>
      <c r="E18" s="29">
        <v>8009</v>
      </c>
      <c r="F18" s="8" t="s">
        <v>453</v>
      </c>
      <c r="G18" s="8" t="s">
        <v>454</v>
      </c>
      <c r="H18" s="8" t="s">
        <v>24</v>
      </c>
      <c r="I18" s="30">
        <v>40453</v>
      </c>
      <c r="J18" s="12" t="s">
        <v>447</v>
      </c>
      <c r="K18" s="23">
        <v>39</v>
      </c>
      <c r="L18" s="23">
        <v>86</v>
      </c>
      <c r="M18" s="24">
        <v>64</v>
      </c>
      <c r="N18" s="24">
        <v>44</v>
      </c>
      <c r="O18" s="24">
        <v>33</v>
      </c>
      <c r="P18" s="24">
        <v>64</v>
      </c>
      <c r="Q18" s="24">
        <v>58</v>
      </c>
      <c r="R18" s="24">
        <v>78</v>
      </c>
      <c r="S18" s="24">
        <v>800</v>
      </c>
      <c r="T18" s="24">
        <f t="shared" si="0"/>
        <v>466</v>
      </c>
      <c r="U18" s="31">
        <f t="shared" si="1"/>
        <v>0.58250000000000002</v>
      </c>
      <c r="V18" s="32"/>
    </row>
    <row r="19" spans="2:22" ht="30" customHeight="1" x14ac:dyDescent="0.35">
      <c r="B19" s="27">
        <v>10</v>
      </c>
      <c r="C19" s="28">
        <v>754</v>
      </c>
      <c r="D19" s="28" t="s">
        <v>626</v>
      </c>
      <c r="E19" s="29">
        <v>8010</v>
      </c>
      <c r="F19" s="8" t="s">
        <v>470</v>
      </c>
      <c r="G19" s="8" t="s">
        <v>465</v>
      </c>
      <c r="H19" s="8" t="s">
        <v>24</v>
      </c>
      <c r="I19" s="30" t="s">
        <v>466</v>
      </c>
      <c r="J19" s="12" t="s">
        <v>447</v>
      </c>
      <c r="K19" s="41">
        <v>28</v>
      </c>
      <c r="L19" s="23">
        <v>36</v>
      </c>
      <c r="M19" s="24">
        <v>33</v>
      </c>
      <c r="N19" s="24">
        <v>28</v>
      </c>
      <c r="O19" s="24">
        <v>33</v>
      </c>
      <c r="P19" s="24">
        <v>51</v>
      </c>
      <c r="Q19" s="24">
        <v>33</v>
      </c>
      <c r="R19" s="24">
        <v>93</v>
      </c>
      <c r="S19" s="24">
        <v>800</v>
      </c>
      <c r="T19" s="24">
        <f t="shared" si="0"/>
        <v>335</v>
      </c>
      <c r="U19" s="31">
        <f t="shared" si="1"/>
        <v>0.41875000000000001</v>
      </c>
      <c r="V19" s="32"/>
    </row>
    <row r="20" spans="2:22" ht="30" customHeight="1" x14ac:dyDescent="0.35">
      <c r="B20" s="27">
        <v>11</v>
      </c>
      <c r="C20" s="28">
        <v>747</v>
      </c>
      <c r="D20" s="28" t="s">
        <v>626</v>
      </c>
      <c r="E20" s="29">
        <v>8011</v>
      </c>
      <c r="F20" s="8" t="s">
        <v>452</v>
      </c>
      <c r="G20" s="8" t="s">
        <v>186</v>
      </c>
      <c r="H20" s="8" t="s">
        <v>24</v>
      </c>
      <c r="I20" s="30">
        <v>40123</v>
      </c>
      <c r="J20" s="12" t="s">
        <v>447</v>
      </c>
      <c r="K20" s="23">
        <v>99</v>
      </c>
      <c r="L20" s="23">
        <v>96</v>
      </c>
      <c r="M20" s="24">
        <v>98</v>
      </c>
      <c r="N20" s="24">
        <v>76</v>
      </c>
      <c r="O20" s="24">
        <v>76</v>
      </c>
      <c r="P20" s="24">
        <v>94</v>
      </c>
      <c r="Q20" s="24">
        <v>98</v>
      </c>
      <c r="R20" s="24">
        <v>99</v>
      </c>
      <c r="S20" s="24">
        <v>800</v>
      </c>
      <c r="T20" s="24">
        <f t="shared" si="0"/>
        <v>736</v>
      </c>
      <c r="U20" s="31">
        <f t="shared" si="1"/>
        <v>0.92</v>
      </c>
      <c r="V20" s="32" t="s">
        <v>854</v>
      </c>
    </row>
    <row r="21" spans="2:22" ht="47.25" customHeight="1" x14ac:dyDescent="0.35">
      <c r="B21" s="27">
        <v>12</v>
      </c>
      <c r="C21" s="28">
        <v>766</v>
      </c>
      <c r="D21" s="28" t="s">
        <v>626</v>
      </c>
      <c r="E21" s="29">
        <v>8012</v>
      </c>
      <c r="F21" s="8" t="s">
        <v>657</v>
      </c>
      <c r="G21" s="8" t="s">
        <v>720</v>
      </c>
      <c r="H21" s="8" t="s">
        <v>24</v>
      </c>
      <c r="I21" s="34">
        <v>39505</v>
      </c>
      <c r="J21" s="14">
        <v>45223</v>
      </c>
      <c r="K21" s="23">
        <v>76</v>
      </c>
      <c r="L21" s="23">
        <v>71</v>
      </c>
      <c r="M21" s="24">
        <v>50</v>
      </c>
      <c r="N21" s="24">
        <v>56</v>
      </c>
      <c r="O21" s="24">
        <v>62</v>
      </c>
      <c r="P21" s="24">
        <v>85</v>
      </c>
      <c r="Q21" s="24">
        <v>51</v>
      </c>
      <c r="R21" s="24">
        <v>95</v>
      </c>
      <c r="S21" s="24">
        <v>800</v>
      </c>
      <c r="T21" s="24">
        <f t="shared" si="0"/>
        <v>546</v>
      </c>
      <c r="U21" s="31">
        <f t="shared" si="1"/>
        <v>0.6825</v>
      </c>
      <c r="V21" s="32"/>
    </row>
    <row r="22" spans="2:22" ht="30" customHeight="1" x14ac:dyDescent="0.35">
      <c r="B22" s="27">
        <v>13</v>
      </c>
      <c r="C22" s="28">
        <v>765</v>
      </c>
      <c r="D22" s="28" t="s">
        <v>626</v>
      </c>
      <c r="E22" s="29">
        <v>8013</v>
      </c>
      <c r="F22" s="8" t="s">
        <v>656</v>
      </c>
      <c r="G22" s="8" t="s">
        <v>180</v>
      </c>
      <c r="H22" s="8" t="s">
        <v>24</v>
      </c>
      <c r="I22" s="34">
        <v>39078</v>
      </c>
      <c r="J22" s="14">
        <v>45213</v>
      </c>
      <c r="K22" s="23">
        <v>95</v>
      </c>
      <c r="L22" s="23">
        <v>91</v>
      </c>
      <c r="M22" s="24">
        <v>96</v>
      </c>
      <c r="N22" s="24">
        <v>74</v>
      </c>
      <c r="O22" s="24">
        <v>63</v>
      </c>
      <c r="P22" s="24">
        <v>94</v>
      </c>
      <c r="Q22" s="24">
        <v>86</v>
      </c>
      <c r="R22" s="24">
        <v>98</v>
      </c>
      <c r="S22" s="24">
        <v>800</v>
      </c>
      <c r="T22" s="24">
        <f t="shared" si="0"/>
        <v>697</v>
      </c>
      <c r="U22" s="31">
        <f t="shared" si="1"/>
        <v>0.87124999999999997</v>
      </c>
      <c r="V22" s="32" t="s">
        <v>855</v>
      </c>
    </row>
    <row r="23" spans="2:22" ht="30" customHeight="1" x14ac:dyDescent="0.35">
      <c r="B23" s="27">
        <v>14</v>
      </c>
      <c r="C23" s="28">
        <v>753</v>
      </c>
      <c r="D23" s="28" t="s">
        <v>626</v>
      </c>
      <c r="E23" s="29">
        <v>8014</v>
      </c>
      <c r="F23" s="8" t="s">
        <v>464</v>
      </c>
      <c r="G23" s="8" t="s">
        <v>423</v>
      </c>
      <c r="H23" s="8" t="s">
        <v>24</v>
      </c>
      <c r="I23" s="30">
        <v>40364</v>
      </c>
      <c r="J23" s="12" t="s">
        <v>447</v>
      </c>
      <c r="K23" s="41">
        <v>25</v>
      </c>
      <c r="L23" s="23">
        <v>79</v>
      </c>
      <c r="M23" s="24">
        <v>54</v>
      </c>
      <c r="N23" s="24">
        <v>57</v>
      </c>
      <c r="O23" s="24">
        <v>33</v>
      </c>
      <c r="P23" s="24">
        <v>70</v>
      </c>
      <c r="Q23" s="24">
        <v>53</v>
      </c>
      <c r="R23" s="24">
        <v>95</v>
      </c>
      <c r="S23" s="24">
        <v>800</v>
      </c>
      <c r="T23" s="24">
        <f t="shared" si="0"/>
        <v>466</v>
      </c>
      <c r="U23" s="31">
        <f t="shared" si="1"/>
        <v>0.58250000000000002</v>
      </c>
      <c r="V23" s="32"/>
    </row>
    <row r="24" spans="2:22" ht="23.25" x14ac:dyDescent="0.35">
      <c r="B24" s="16"/>
      <c r="C24" s="16"/>
      <c r="D24" s="16"/>
      <c r="E24" s="16"/>
      <c r="F24" s="15"/>
      <c r="G24" s="15"/>
      <c r="H24" s="15"/>
      <c r="I24" s="16"/>
      <c r="J24" s="17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</row>
    <row r="25" spans="2:22" ht="23.25" x14ac:dyDescent="0.35">
      <c r="B25" s="16"/>
      <c r="C25" s="16"/>
      <c r="D25" s="16"/>
      <c r="E25" s="16"/>
      <c r="F25" s="15"/>
      <c r="G25" s="15"/>
      <c r="H25" s="15"/>
      <c r="I25" s="16"/>
      <c r="J25" s="17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</row>
    <row r="26" spans="2:22" ht="23.25" x14ac:dyDescent="0.35">
      <c r="B26" s="16"/>
      <c r="C26" s="16"/>
      <c r="D26" s="16"/>
      <c r="E26" s="16"/>
      <c r="F26" s="15"/>
      <c r="G26" s="15"/>
      <c r="H26" s="15"/>
      <c r="I26" s="16"/>
      <c r="J26" s="17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 t="s">
        <v>716</v>
      </c>
    </row>
    <row r="27" spans="2:22" ht="23.25" x14ac:dyDescent="0.35">
      <c r="B27" s="16"/>
      <c r="C27" s="16"/>
      <c r="D27" s="16"/>
      <c r="E27" s="16"/>
      <c r="F27" s="15"/>
      <c r="G27" s="15"/>
      <c r="H27" s="15"/>
      <c r="I27" s="16"/>
      <c r="J27" s="17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</row>
    <row r="28" spans="2:22" ht="23.25" x14ac:dyDescent="0.35">
      <c r="B28" s="16"/>
      <c r="C28" s="16"/>
      <c r="D28" s="16"/>
      <c r="E28" s="16"/>
      <c r="F28" s="15"/>
      <c r="G28" s="15"/>
      <c r="H28" s="15"/>
      <c r="I28" s="16"/>
      <c r="J28" s="17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</row>
    <row r="29" spans="2:22" ht="23.25" x14ac:dyDescent="0.35">
      <c r="B29" s="16"/>
      <c r="C29" s="16"/>
      <c r="D29" s="16"/>
      <c r="E29" s="16"/>
      <c r="F29" s="18" t="s">
        <v>713</v>
      </c>
      <c r="G29" s="15"/>
      <c r="H29" s="15"/>
      <c r="I29" s="16"/>
      <c r="J29" s="17"/>
      <c r="K29" s="15"/>
      <c r="L29" s="15"/>
      <c r="M29" s="15"/>
      <c r="N29" s="15"/>
      <c r="O29" s="15"/>
      <c r="P29" s="15"/>
      <c r="Q29" s="153" t="s">
        <v>714</v>
      </c>
      <c r="R29" s="153"/>
      <c r="S29" s="15"/>
      <c r="T29" s="15"/>
      <c r="U29" s="15"/>
      <c r="V29" s="15"/>
    </row>
    <row r="30" spans="2:22" ht="23.25" x14ac:dyDescent="0.35">
      <c r="B30" s="15"/>
      <c r="C30" s="15"/>
      <c r="D30" s="15"/>
      <c r="E30" s="15"/>
      <c r="F30" s="15"/>
      <c r="G30" s="15"/>
      <c r="H30" s="15"/>
      <c r="I30" s="16"/>
      <c r="J30" s="17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</row>
  </sheetData>
  <autoFilter ref="B7:L23">
    <sortState ref="B5:L18">
      <sortCondition ref="H5:H18"/>
      <sortCondition ref="F5:F18"/>
    </sortState>
  </autoFilter>
  <sortState ref="B7:V21">
    <sortCondition ref="F5:F18"/>
  </sortState>
  <mergeCells count="20">
    <mergeCell ref="B16:V16"/>
    <mergeCell ref="B8:V8"/>
    <mergeCell ref="I5:I7"/>
    <mergeCell ref="J5:J7"/>
    <mergeCell ref="Q29:R29"/>
    <mergeCell ref="K5:R5"/>
    <mergeCell ref="B2:V2"/>
    <mergeCell ref="B3:V3"/>
    <mergeCell ref="B4:V4"/>
    <mergeCell ref="B5:B7"/>
    <mergeCell ref="C5:C7"/>
    <mergeCell ref="D5:D7"/>
    <mergeCell ref="E5:E7"/>
    <mergeCell ref="F5:F7"/>
    <mergeCell ref="S5:S6"/>
    <mergeCell ref="T5:T7"/>
    <mergeCell ref="V5:V7"/>
    <mergeCell ref="U5:U7"/>
    <mergeCell ref="G5:G7"/>
    <mergeCell ref="H5:H7"/>
  </mergeCells>
  <conditionalFormatting sqref="K9:R13 K15:R15 R14 K17:R23">
    <cfRule type="cellIs" dxfId="2" priority="3" operator="lessThan">
      <formula>33</formula>
    </cfRule>
  </conditionalFormatting>
  <conditionalFormatting sqref="K14:N14 P14:Q14">
    <cfRule type="cellIs" dxfId="1" priority="2" operator="lessThan">
      <formula>33</formula>
    </cfRule>
  </conditionalFormatting>
  <conditionalFormatting sqref="O14">
    <cfRule type="cellIs" dxfId="0" priority="1" operator="lessThan">
      <formula>33</formula>
    </cfRule>
  </conditionalFormatting>
  <pageMargins left="0.2" right="0.2" top="0.25" bottom="0.25" header="0.3" footer="0.3"/>
  <pageSetup paperSize="9" scale="4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0"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10</vt:i4>
      </vt:variant>
    </vt:vector>
  </HeadingPairs>
  <TitlesOfParts>
    <vt:vector size="22" baseType="lpstr">
      <vt:lpstr>ECE ROSE</vt:lpstr>
      <vt:lpstr>ECE DAFFODILS</vt:lpstr>
      <vt:lpstr>Grade 01</vt:lpstr>
      <vt:lpstr>Grade 02</vt:lpstr>
      <vt:lpstr>Grade 03</vt:lpstr>
      <vt:lpstr>Grade 04</vt:lpstr>
      <vt:lpstr>Grade 05</vt:lpstr>
      <vt:lpstr>Grade 06</vt:lpstr>
      <vt:lpstr>Grade 07</vt:lpstr>
      <vt:lpstr>Grade 08</vt:lpstr>
      <vt:lpstr>Sheet2</vt:lpstr>
      <vt:lpstr>Sheet3</vt:lpstr>
      <vt:lpstr>'ECE DAFFODILS'!Print_Titles</vt:lpstr>
      <vt:lpstr>'ECE ROSE'!Print_Titles</vt:lpstr>
      <vt:lpstr>'Grade 01'!Print_Titles</vt:lpstr>
      <vt:lpstr>'Grade 02'!Print_Titles</vt:lpstr>
      <vt:lpstr>'Grade 03'!Print_Titles</vt:lpstr>
      <vt:lpstr>'Grade 04'!Print_Titles</vt:lpstr>
      <vt:lpstr>'Grade 05'!Print_Titles</vt:lpstr>
      <vt:lpstr>'Grade 06'!Print_Titles</vt:lpstr>
      <vt:lpstr>'Grade 07'!Print_Titles</vt:lpstr>
      <vt:lpstr>'Grade 08'!Print_Titles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</dc:creator>
  <cp:lastModifiedBy>Abdul Ghaffar</cp:lastModifiedBy>
  <cp:lastPrinted>2024-06-03T06:58:57Z</cp:lastPrinted>
  <dcterms:created xsi:type="dcterms:W3CDTF">2023-02-13T08:01:24Z</dcterms:created>
  <dcterms:modified xsi:type="dcterms:W3CDTF">2024-06-03T07:19:50Z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a9101606e5e846e9bd423d4a0eb42ff7</vt:lpwstr>
  </property>
</Properties>
</file>