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Shafi Goth\"/>
    </mc:Choice>
  </mc:AlternateContent>
  <xr:revisionPtr revIDLastSave="0" documentId="13_ncr:1_{4D15970C-CE15-4A50-AD2A-F475159CF215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Compile Sheet-November-2024" sheetId="18" r:id="rId1"/>
    <sheet name="ECE" sheetId="20" r:id="rId2"/>
    <sheet name="Kg" sheetId="21" r:id="rId3"/>
    <sheet name="Class-I" sheetId="22" r:id="rId4"/>
    <sheet name="Class-II" sheetId="23" r:id="rId5"/>
    <sheet name="Class-III" sheetId="24" r:id="rId6"/>
    <sheet name="Class-IV" sheetId="25" r:id="rId7"/>
    <sheet name="Class-V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1" l="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41" i="23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H24" i="25"/>
  <c r="AG24" i="25"/>
  <c r="AH23" i="25"/>
  <c r="AG23" i="25"/>
  <c r="AH22" i="25"/>
  <c r="AG22" i="25"/>
  <c r="AK21" i="25"/>
  <c r="AJ21" i="25"/>
  <c r="AL21" i="25" s="1"/>
  <c r="AH21" i="25"/>
  <c r="AG21" i="25"/>
  <c r="AH20" i="25"/>
  <c r="AG20" i="25"/>
  <c r="AH19" i="25"/>
  <c r="AG19" i="25"/>
  <c r="AH18" i="25"/>
  <c r="AG18" i="25"/>
  <c r="AH17" i="25"/>
  <c r="AG17" i="25"/>
  <c r="AH16" i="25"/>
  <c r="AG16" i="25"/>
  <c r="AH15" i="25"/>
  <c r="AG15" i="25"/>
  <c r="AK14" i="25"/>
  <c r="AK22" i="25" s="1"/>
  <c r="AK23" i="25" s="1"/>
  <c r="AJ14" i="25"/>
  <c r="AH14" i="25"/>
  <c r="AG14" i="25"/>
  <c r="AK13" i="25"/>
  <c r="AJ13" i="25"/>
  <c r="AL13" i="25" s="1"/>
  <c r="AH13" i="25"/>
  <c r="AG13" i="25"/>
  <c r="AH12" i="25"/>
  <c r="AG12" i="25"/>
  <c r="AH11" i="25"/>
  <c r="AG11" i="25"/>
  <c r="AH10" i="25"/>
  <c r="AG10" i="25"/>
  <c r="AH9" i="25"/>
  <c r="AG9" i="25"/>
  <c r="AH8" i="25"/>
  <c r="AG8" i="25"/>
  <c r="AH7" i="25"/>
  <c r="AG7" i="25"/>
  <c r="AH6" i="25"/>
  <c r="AG6" i="25"/>
  <c r="AH5" i="25"/>
  <c r="AG5" i="25"/>
  <c r="AJ4" i="25"/>
  <c r="AH22" i="24"/>
  <c r="AG22" i="24"/>
  <c r="AK21" i="24"/>
  <c r="AJ21" i="24"/>
  <c r="AL21" i="24" s="1"/>
  <c r="AH21" i="24"/>
  <c r="AG21" i="24"/>
  <c r="AH20" i="24"/>
  <c r="AG20" i="24"/>
  <c r="AH19" i="24"/>
  <c r="AG19" i="24"/>
  <c r="AH18" i="24"/>
  <c r="AG18" i="24"/>
  <c r="AH17" i="24"/>
  <c r="AG17" i="24"/>
  <c r="AH16" i="24"/>
  <c r="AG16" i="24"/>
  <c r="AH15" i="24"/>
  <c r="AG15" i="24"/>
  <c r="AK14" i="24"/>
  <c r="AJ14" i="24"/>
  <c r="AH14" i="24"/>
  <c r="AG14" i="24"/>
  <c r="AK13" i="24"/>
  <c r="AJ13" i="24"/>
  <c r="AL13" i="24" s="1"/>
  <c r="AH13" i="24"/>
  <c r="AG13" i="24"/>
  <c r="AH12" i="24"/>
  <c r="AG12" i="24"/>
  <c r="AH11" i="24"/>
  <c r="AG11" i="24"/>
  <c r="AH10" i="24"/>
  <c r="AG10" i="24"/>
  <c r="AH9" i="24"/>
  <c r="AG9" i="24"/>
  <c r="AH8" i="24"/>
  <c r="AG8" i="24"/>
  <c r="AH7" i="24"/>
  <c r="AG7" i="24"/>
  <c r="AH6" i="24"/>
  <c r="AG6" i="24"/>
  <c r="AH5" i="24"/>
  <c r="AG5" i="24"/>
  <c r="AJ4" i="24"/>
  <c r="AH40" i="23"/>
  <c r="AG40" i="23"/>
  <c r="AH39" i="23"/>
  <c r="AG39" i="23"/>
  <c r="AH38" i="23"/>
  <c r="AG38" i="23"/>
  <c r="AH37" i="23"/>
  <c r="AG37" i="23"/>
  <c r="AH36" i="23"/>
  <c r="AG36" i="23"/>
  <c r="AH35" i="23"/>
  <c r="AG35" i="23"/>
  <c r="AH34" i="23"/>
  <c r="AG34" i="23"/>
  <c r="AH33" i="23"/>
  <c r="AG33" i="23"/>
  <c r="AH32" i="23"/>
  <c r="AG32" i="23"/>
  <c r="AH31" i="23"/>
  <c r="AG31" i="23"/>
  <c r="AH30" i="23"/>
  <c r="AG30" i="23"/>
  <c r="AH29" i="23"/>
  <c r="AG29" i="23"/>
  <c r="AH28" i="23"/>
  <c r="AG28" i="23"/>
  <c r="AH27" i="23"/>
  <c r="AG27" i="23"/>
  <c r="AH26" i="23"/>
  <c r="AG26" i="23"/>
  <c r="AH25" i="23"/>
  <c r="AG25" i="23"/>
  <c r="AH24" i="23"/>
  <c r="AG24" i="23"/>
  <c r="AH23" i="23"/>
  <c r="AG23" i="23"/>
  <c r="AH22" i="23"/>
  <c r="AG22" i="23"/>
  <c r="AK21" i="23"/>
  <c r="AJ21" i="23"/>
  <c r="AH21" i="23"/>
  <c r="AG21" i="23"/>
  <c r="AH20" i="23"/>
  <c r="AG20" i="23"/>
  <c r="AH19" i="23"/>
  <c r="AG19" i="23"/>
  <c r="AH18" i="23"/>
  <c r="AG18" i="23"/>
  <c r="AH17" i="23"/>
  <c r="AG17" i="23"/>
  <c r="AH16" i="23"/>
  <c r="AG16" i="23"/>
  <c r="AH15" i="23"/>
  <c r="AG15" i="23"/>
  <c r="AK14" i="23"/>
  <c r="AJ14" i="23"/>
  <c r="AH14" i="23"/>
  <c r="AG14" i="23"/>
  <c r="AK13" i="23"/>
  <c r="AJ13" i="23"/>
  <c r="AH13" i="23"/>
  <c r="AG13" i="23"/>
  <c r="AH12" i="23"/>
  <c r="AG12" i="23"/>
  <c r="AH11" i="23"/>
  <c r="AG11" i="23"/>
  <c r="AH10" i="23"/>
  <c r="AG10" i="23"/>
  <c r="AH9" i="23"/>
  <c r="AG9" i="23"/>
  <c r="AH8" i="23"/>
  <c r="AG8" i="23"/>
  <c r="AH7" i="23"/>
  <c r="AG7" i="23"/>
  <c r="AH6" i="23"/>
  <c r="AG6" i="23"/>
  <c r="AH5" i="23"/>
  <c r="AG5" i="23"/>
  <c r="AJ4" i="23"/>
  <c r="AH40" i="22"/>
  <c r="AG40" i="22"/>
  <c r="AH39" i="22"/>
  <c r="AG39" i="22"/>
  <c r="AH38" i="22"/>
  <c r="AG38" i="22"/>
  <c r="AH37" i="22"/>
  <c r="AG37" i="22"/>
  <c r="AH36" i="22"/>
  <c r="AG36" i="22"/>
  <c r="AH35" i="22"/>
  <c r="AG35" i="22"/>
  <c r="AH34" i="22"/>
  <c r="AG34" i="22"/>
  <c r="AH33" i="22"/>
  <c r="AG33" i="22"/>
  <c r="AH32" i="22"/>
  <c r="AG32" i="22"/>
  <c r="AH31" i="22"/>
  <c r="AG31" i="22"/>
  <c r="AH30" i="22"/>
  <c r="AG30" i="22"/>
  <c r="AH29" i="22"/>
  <c r="AG29" i="22"/>
  <c r="AH28" i="22"/>
  <c r="AG28" i="22"/>
  <c r="AH27" i="22"/>
  <c r="AG27" i="22"/>
  <c r="AH26" i="22"/>
  <c r="AG26" i="22"/>
  <c r="AH25" i="22"/>
  <c r="AG25" i="22"/>
  <c r="AH24" i="22"/>
  <c r="AG24" i="22"/>
  <c r="AH23" i="22"/>
  <c r="AG23" i="22"/>
  <c r="AH22" i="22"/>
  <c r="AG22" i="22"/>
  <c r="AK21" i="22"/>
  <c r="AJ21" i="22"/>
  <c r="AL21" i="22" s="1"/>
  <c r="AH21" i="22"/>
  <c r="AG21" i="22"/>
  <c r="AH20" i="22"/>
  <c r="AG20" i="22"/>
  <c r="AH19" i="22"/>
  <c r="AG19" i="22"/>
  <c r="AH18" i="22"/>
  <c r="AG18" i="22"/>
  <c r="AH17" i="22"/>
  <c r="AG17" i="22"/>
  <c r="AH16" i="22"/>
  <c r="AG16" i="22"/>
  <c r="AH15" i="22"/>
  <c r="AG15" i="22"/>
  <c r="AK14" i="22"/>
  <c r="AJ14" i="22"/>
  <c r="AH14" i="22"/>
  <c r="AG14" i="22"/>
  <c r="AK13" i="22"/>
  <c r="AJ13" i="22"/>
  <c r="AL13" i="22" s="1"/>
  <c r="AH13" i="22"/>
  <c r="AG13" i="22"/>
  <c r="AH12" i="22"/>
  <c r="AG12" i="22"/>
  <c r="AH11" i="22"/>
  <c r="AG11" i="22"/>
  <c r="AH10" i="22"/>
  <c r="AG10" i="22"/>
  <c r="AH9" i="22"/>
  <c r="AG9" i="22"/>
  <c r="AH8" i="22"/>
  <c r="AG8" i="22"/>
  <c r="AH7" i="22"/>
  <c r="AG7" i="22"/>
  <c r="AH6" i="22"/>
  <c r="AG6" i="22"/>
  <c r="AH5" i="22"/>
  <c r="AG5" i="22"/>
  <c r="AJ4" i="22"/>
  <c r="AH40" i="21"/>
  <c r="AG40" i="21"/>
  <c r="AH39" i="21"/>
  <c r="AG39" i="21"/>
  <c r="AH38" i="21"/>
  <c r="AG38" i="21"/>
  <c r="AH37" i="21"/>
  <c r="AG37" i="21"/>
  <c r="AH36" i="21"/>
  <c r="AG36" i="21"/>
  <c r="AH35" i="21"/>
  <c r="AG35" i="21"/>
  <c r="AH34" i="21"/>
  <c r="AG34" i="21"/>
  <c r="AH33" i="21"/>
  <c r="AG33" i="21"/>
  <c r="AH32" i="21"/>
  <c r="AG32" i="21"/>
  <c r="AH31" i="21"/>
  <c r="AG31" i="21"/>
  <c r="AH30" i="21"/>
  <c r="AG30" i="21"/>
  <c r="AH29" i="21"/>
  <c r="AG29" i="21"/>
  <c r="AH28" i="21"/>
  <c r="AG28" i="21"/>
  <c r="AH27" i="21"/>
  <c r="AG27" i="21"/>
  <c r="AH26" i="21"/>
  <c r="AG26" i="21"/>
  <c r="AH25" i="21"/>
  <c r="AG25" i="21"/>
  <c r="AH24" i="21"/>
  <c r="AG24" i="21"/>
  <c r="AH23" i="21"/>
  <c r="AG23" i="21"/>
  <c r="AH22" i="21"/>
  <c r="AG22" i="21"/>
  <c r="AK21" i="21"/>
  <c r="AJ21" i="21"/>
  <c r="AL21" i="21" s="1"/>
  <c r="AH21" i="21"/>
  <c r="AG21" i="21"/>
  <c r="AH20" i="21"/>
  <c r="AG20" i="21"/>
  <c r="AH19" i="21"/>
  <c r="AG19" i="21"/>
  <c r="AH18" i="21"/>
  <c r="AG18" i="21"/>
  <c r="AH17" i="21"/>
  <c r="AG17" i="21"/>
  <c r="AH16" i="21"/>
  <c r="AG16" i="21"/>
  <c r="AH15" i="21"/>
  <c r="AG15" i="21"/>
  <c r="AK14" i="21"/>
  <c r="AJ14" i="21"/>
  <c r="AJ22" i="21" s="1"/>
  <c r="AH14" i="21"/>
  <c r="AG14" i="21"/>
  <c r="AK13" i="21"/>
  <c r="AJ13" i="21"/>
  <c r="AH13" i="21"/>
  <c r="AG13" i="21"/>
  <c r="AH12" i="21"/>
  <c r="AG12" i="21"/>
  <c r="AH11" i="21"/>
  <c r="AG11" i="21"/>
  <c r="AH10" i="21"/>
  <c r="AG10" i="21"/>
  <c r="AH9" i="21"/>
  <c r="AG9" i="21"/>
  <c r="AH8" i="21"/>
  <c r="AG8" i="21"/>
  <c r="AH7" i="21"/>
  <c r="AG7" i="21"/>
  <c r="AH6" i="21"/>
  <c r="AG6" i="21"/>
  <c r="AH5" i="21"/>
  <c r="AG5" i="21"/>
  <c r="AJ4" i="21"/>
  <c r="E3" i="21"/>
  <c r="AH40" i="20"/>
  <c r="AG40" i="20"/>
  <c r="AH39" i="20"/>
  <c r="AG39" i="20"/>
  <c r="AH38" i="20"/>
  <c r="AG38" i="20"/>
  <c r="AH37" i="20"/>
  <c r="AG37" i="20"/>
  <c r="AH36" i="20"/>
  <c r="AG36" i="20"/>
  <c r="AH35" i="20"/>
  <c r="AG35" i="20"/>
  <c r="AH34" i="20"/>
  <c r="AG34" i="20"/>
  <c r="AH33" i="20"/>
  <c r="AG33" i="20"/>
  <c r="AH32" i="20"/>
  <c r="AG32" i="20"/>
  <c r="AH31" i="20"/>
  <c r="AG31" i="20"/>
  <c r="AH30" i="20"/>
  <c r="AG30" i="20"/>
  <c r="AH29" i="20"/>
  <c r="AG29" i="20"/>
  <c r="AH28" i="20"/>
  <c r="AG28" i="20"/>
  <c r="AH27" i="20"/>
  <c r="AG27" i="20"/>
  <c r="AH26" i="20"/>
  <c r="AG26" i="20"/>
  <c r="AH25" i="20"/>
  <c r="AG25" i="20"/>
  <c r="AH24" i="20"/>
  <c r="AG24" i="20"/>
  <c r="AH23" i="20"/>
  <c r="AG23" i="20"/>
  <c r="AH22" i="20"/>
  <c r="AG22" i="20"/>
  <c r="AK21" i="20"/>
  <c r="AJ21" i="20"/>
  <c r="AL21" i="20" s="1"/>
  <c r="AH21" i="20"/>
  <c r="AG21" i="20"/>
  <c r="AH20" i="20"/>
  <c r="AG20" i="20"/>
  <c r="AH19" i="20"/>
  <c r="AG19" i="20"/>
  <c r="AH18" i="20"/>
  <c r="AG18" i="20"/>
  <c r="AH17" i="20"/>
  <c r="AG17" i="20"/>
  <c r="AH16" i="20"/>
  <c r="AG16" i="20"/>
  <c r="AH15" i="20"/>
  <c r="AG15" i="20"/>
  <c r="AK14" i="20"/>
  <c r="AJ14" i="20"/>
  <c r="AH14" i="20"/>
  <c r="AG14" i="20"/>
  <c r="AK13" i="20"/>
  <c r="AJ13" i="20"/>
  <c r="AL13" i="20" s="1"/>
  <c r="AH13" i="20"/>
  <c r="AG13" i="20"/>
  <c r="AH12" i="20"/>
  <c r="AG12" i="20"/>
  <c r="AH11" i="20"/>
  <c r="AG11" i="20"/>
  <c r="AH10" i="20"/>
  <c r="AG10" i="20"/>
  <c r="AH9" i="20"/>
  <c r="AG9" i="20"/>
  <c r="AH8" i="20"/>
  <c r="AG8" i="20"/>
  <c r="AH7" i="20"/>
  <c r="AG7" i="20"/>
  <c r="AH6" i="20"/>
  <c r="AG6" i="20"/>
  <c r="AH5" i="20"/>
  <c r="AG5" i="20"/>
  <c r="AJ4" i="20"/>
  <c r="J16" i="18"/>
  <c r="I16" i="18"/>
  <c r="M16" i="18" s="1"/>
  <c r="J15" i="18"/>
  <c r="I15" i="18"/>
  <c r="J14" i="18"/>
  <c r="I14" i="18"/>
  <c r="J13" i="18"/>
  <c r="I13" i="18"/>
  <c r="K13" i="18" s="1"/>
  <c r="J7" i="18"/>
  <c r="I7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L14" i="25" l="1"/>
  <c r="AL15" i="25" s="1"/>
  <c r="AL14" i="24"/>
  <c r="AL15" i="24" s="1"/>
  <c r="AK15" i="20"/>
  <c r="AL14" i="20"/>
  <c r="AL15" i="20" s="1"/>
  <c r="AK22" i="20"/>
  <c r="AK23" i="20" s="1"/>
  <c r="AL13" i="21"/>
  <c r="AK15" i="21"/>
  <c r="AK15" i="22"/>
  <c r="AL13" i="23"/>
  <c r="AL21" i="23"/>
  <c r="AL14" i="23"/>
  <c r="AL15" i="23" s="1"/>
  <c r="AL14" i="22"/>
  <c r="AL15" i="22" s="1"/>
  <c r="AJ15" i="22"/>
  <c r="AJ22" i="22"/>
  <c r="AJ23" i="22" s="1"/>
  <c r="AK22" i="22"/>
  <c r="AK23" i="22" s="1"/>
  <c r="AL14" i="21"/>
  <c r="AK22" i="21"/>
  <c r="AK23" i="21" s="1"/>
  <c r="AK15" i="23"/>
  <c r="AK22" i="23"/>
  <c r="AK23" i="23" s="1"/>
  <c r="AK15" i="24"/>
  <c r="AK22" i="24"/>
  <c r="AJ15" i="25"/>
  <c r="AJ22" i="25"/>
  <c r="AK15" i="25"/>
  <c r="AJ15" i="24"/>
  <c r="AJ22" i="24"/>
  <c r="AJ15" i="23"/>
  <c r="AJ22" i="23"/>
  <c r="AJ23" i="21"/>
  <c r="AJ15" i="21"/>
  <c r="AJ15" i="20"/>
  <c r="AJ22" i="20"/>
  <c r="M13" i="18"/>
  <c r="K14" i="18"/>
  <c r="H15" i="18"/>
  <c r="L13" i="18"/>
  <c r="O13" i="18" s="1"/>
  <c r="H12" i="18"/>
  <c r="H10" i="18"/>
  <c r="L7" i="18"/>
  <c r="O7" i="18" s="1"/>
  <c r="H7" i="18"/>
  <c r="M7" i="18"/>
  <c r="N14" i="18"/>
  <c r="F17" i="18"/>
  <c r="H11" i="18"/>
  <c r="H16" i="18"/>
  <c r="N16" i="18" s="1"/>
  <c r="G17" i="18"/>
  <c r="M15" i="18"/>
  <c r="H8" i="18"/>
  <c r="L15" i="18"/>
  <c r="H6" i="18"/>
  <c r="D17" i="18"/>
  <c r="H9" i="18"/>
  <c r="H13" i="18"/>
  <c r="N13" i="18" s="1"/>
  <c r="M14" i="18"/>
  <c r="O14" i="18" s="1"/>
  <c r="K7" i="18"/>
  <c r="N7" i="18" s="1"/>
  <c r="K15" i="18"/>
  <c r="N15" i="18" s="1"/>
  <c r="L16" i="18"/>
  <c r="O16" i="18" s="1"/>
  <c r="AL15" i="21" l="1"/>
  <c r="AL22" i="21"/>
  <c r="AL23" i="21" s="1"/>
  <c r="AL22" i="22"/>
  <c r="AL23" i="22" s="1"/>
  <c r="AJ23" i="25"/>
  <c r="AL22" i="25"/>
  <c r="AL23" i="25" s="1"/>
  <c r="AL22" i="24"/>
  <c r="AJ23" i="23"/>
  <c r="AL22" i="23"/>
  <c r="AL23" i="23" s="1"/>
  <c r="AJ23" i="20"/>
  <c r="AL22" i="20"/>
  <c r="AL23" i="20" s="1"/>
  <c r="O15" i="18"/>
  <c r="H17" i="18"/>
  <c r="J12" i="18" l="1"/>
  <c r="L12" i="18" s="1"/>
  <c r="I12" i="18"/>
  <c r="M12" i="18" l="1"/>
  <c r="O12" i="18" s="1"/>
  <c r="K12" i="18"/>
  <c r="N12" i="18" s="1"/>
  <c r="I11" i="18" l="1"/>
  <c r="M11" i="18" s="1"/>
  <c r="J11" i="18"/>
  <c r="K11" i="18" l="1"/>
  <c r="N11" i="18" s="1"/>
  <c r="L11" i="18"/>
  <c r="O11" i="18" s="1"/>
  <c r="J10" i="18" l="1"/>
  <c r="L10" i="18" s="1"/>
  <c r="I10" i="18"/>
  <c r="K10" i="18" l="1"/>
  <c r="N10" i="18" s="1"/>
  <c r="M10" i="18"/>
  <c r="O10" i="18" s="1"/>
  <c r="J9" i="18"/>
  <c r="L9" i="18" s="1"/>
  <c r="I9" i="18" l="1"/>
  <c r="K9" i="18" l="1"/>
  <c r="N9" i="18" s="1"/>
  <c r="M9" i="18"/>
  <c r="O9" i="18" s="1"/>
  <c r="J8" i="18" l="1"/>
  <c r="L8" i="18" s="1"/>
  <c r="I8" i="18"/>
  <c r="M8" i="18" l="1"/>
  <c r="O8" i="18" s="1"/>
  <c r="K8" i="18"/>
  <c r="N8" i="18" s="1"/>
  <c r="AK21" i="5" l="1"/>
  <c r="AJ21" i="5"/>
  <c r="AK13" i="5"/>
  <c r="AJ13" i="5"/>
  <c r="AJ14" i="5"/>
  <c r="I6" i="18" s="1"/>
  <c r="AJ4" i="5"/>
  <c r="AH28" i="5"/>
  <c r="AG28" i="5"/>
  <c r="AH27" i="5"/>
  <c r="AG27" i="5"/>
  <c r="AH26" i="5"/>
  <c r="AG26" i="5"/>
  <c r="AH25" i="5"/>
  <c r="AG25" i="5"/>
  <c r="AH24" i="5"/>
  <c r="AG24" i="5"/>
  <c r="AH23" i="5"/>
  <c r="AG23" i="5"/>
  <c r="AH22" i="5"/>
  <c r="AG22" i="5"/>
  <c r="AH21" i="5"/>
  <c r="AG21" i="5"/>
  <c r="AH20" i="5"/>
  <c r="AG20" i="5"/>
  <c r="AH19" i="5"/>
  <c r="AG19" i="5"/>
  <c r="AH18" i="5"/>
  <c r="AG18" i="5"/>
  <c r="AH17" i="5"/>
  <c r="AG17" i="5"/>
  <c r="AH16" i="5"/>
  <c r="AG16" i="5"/>
  <c r="AH15" i="5"/>
  <c r="AG15" i="5"/>
  <c r="AH14" i="5"/>
  <c r="AG14" i="5"/>
  <c r="AH13" i="5"/>
  <c r="AG13" i="5"/>
  <c r="AH12" i="5"/>
  <c r="AG12" i="5"/>
  <c r="AH11" i="5"/>
  <c r="AG11" i="5"/>
  <c r="AH10" i="5"/>
  <c r="AG10" i="5"/>
  <c r="AH9" i="5"/>
  <c r="AG9" i="5"/>
  <c r="AH8" i="5"/>
  <c r="AG8" i="5"/>
  <c r="AH7" i="5"/>
  <c r="AG7" i="5"/>
  <c r="AH6" i="5"/>
  <c r="AG6" i="5"/>
  <c r="AH5" i="5"/>
  <c r="AG5" i="5"/>
  <c r="K6" i="18" l="1"/>
  <c r="I17" i="18"/>
  <c r="M6" i="18"/>
  <c r="AK14" i="5"/>
  <c r="J6" i="18" s="1"/>
  <c r="AL13" i="5"/>
  <c r="AJ15" i="5"/>
  <c r="AJ22" i="5"/>
  <c r="AJ23" i="5" s="1"/>
  <c r="AL21" i="5"/>
  <c r="J17" i="18" l="1"/>
  <c r="L6" i="18"/>
  <c r="O6" i="18" s="1"/>
  <c r="O17" i="18" s="1"/>
  <c r="AL14" i="5"/>
  <c r="AL15" i="5" s="1"/>
  <c r="I18" i="18"/>
  <c r="M17" i="18"/>
  <c r="AK15" i="5"/>
  <c r="AK22" i="5"/>
  <c r="AK23" i="5" s="1"/>
  <c r="N6" i="18"/>
  <c r="N17" i="18" s="1"/>
  <c r="K17" i="18"/>
  <c r="K18" i="18" s="1"/>
  <c r="AL22" i="5" l="1"/>
  <c r="AL23" i="5" s="1"/>
  <c r="J18" i="18"/>
  <c r="L17" i="18"/>
  <c r="O18" i="18" s="1"/>
</calcChain>
</file>

<file path=xl/sharedStrings.xml><?xml version="1.0" encoding="utf-8"?>
<sst xmlns="http://schemas.openxmlformats.org/spreadsheetml/2006/main" count="6292" uniqueCount="424">
  <si>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</si>
  <si>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</si>
  <si>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</si>
  <si>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</si>
  <si>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</si>
  <si>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</si>
  <si>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</si>
  <si>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</si>
  <si>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</si>
  <si>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</si>
  <si>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</si>
  <si>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</si>
  <si>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</si>
  <si>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</si>
  <si>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</si>
  <si>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</si>
  <si>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</si>
  <si>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</si>
  <si>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Abdul Rehman</t>
  </si>
  <si>
    <t>Shahid Ali</t>
  </si>
  <si>
    <t>Aijaz Ali</t>
  </si>
  <si>
    <t>Sajjad Ali</t>
  </si>
  <si>
    <t>Rajab Ali</t>
  </si>
  <si>
    <t>A</t>
  </si>
  <si>
    <t>P</t>
  </si>
  <si>
    <t>L</t>
  </si>
  <si>
    <t>Abdullah</t>
  </si>
  <si>
    <t>SUNDAY - SUNDAY - SUNDAY - SUNDAY - SUNDAY- SUNDAY</t>
  </si>
  <si>
    <t>Year 2024</t>
  </si>
  <si>
    <t>Total days</t>
  </si>
  <si>
    <t>PTM</t>
  </si>
  <si>
    <t>Absent Days Details</t>
  </si>
  <si>
    <t>Iqbal Day</t>
  </si>
  <si>
    <t>Amna</t>
  </si>
  <si>
    <t>Areeba</t>
  </si>
  <si>
    <t>Altaf Hussain</t>
  </si>
  <si>
    <t>Dua</t>
  </si>
  <si>
    <t>Liaqat Ali</t>
  </si>
  <si>
    <t>Fatima</t>
  </si>
  <si>
    <t>Muhammad Khan</t>
  </si>
  <si>
    <t>Sidra</t>
  </si>
  <si>
    <t>Jan Muhammad</t>
  </si>
  <si>
    <t>Hussain</t>
  </si>
  <si>
    <t>Shahid</t>
  </si>
  <si>
    <t>Ghulam Mustafa</t>
  </si>
  <si>
    <t>One</t>
  </si>
  <si>
    <t>Asad Ali</t>
  </si>
  <si>
    <t>Arsalan</t>
  </si>
  <si>
    <t>Faheem</t>
  </si>
  <si>
    <t>Muzammil</t>
  </si>
  <si>
    <t>Two</t>
  </si>
  <si>
    <t>Abdul Hafeez</t>
  </si>
  <si>
    <t>M. Ismail</t>
  </si>
  <si>
    <t>Muhammad Ali</t>
  </si>
  <si>
    <t>Zahid Ali</t>
  </si>
  <si>
    <t>Three</t>
  </si>
  <si>
    <t>Bushra</t>
  </si>
  <si>
    <t>Azan</t>
  </si>
  <si>
    <t>Zeeshan</t>
  </si>
  <si>
    <t>M. Hussain</t>
  </si>
  <si>
    <t>Four</t>
  </si>
  <si>
    <t>Nazeer Ali</t>
  </si>
  <si>
    <t>Adnan</t>
  </si>
  <si>
    <t>Bisma</t>
  </si>
  <si>
    <t>Basheer Ahmed</t>
  </si>
  <si>
    <t>Manzoor Ahmed</t>
  </si>
  <si>
    <t>Five</t>
  </si>
  <si>
    <t>Muhammad Hassan</t>
  </si>
  <si>
    <t>Zahra Batool</t>
  </si>
  <si>
    <t>Zainab Bibi</t>
  </si>
  <si>
    <t>Six</t>
  </si>
  <si>
    <t>Sawera</t>
  </si>
  <si>
    <t>Muskan</t>
  </si>
  <si>
    <t>Sania</t>
  </si>
  <si>
    <t>Seema</t>
  </si>
  <si>
    <t>Azra</t>
  </si>
  <si>
    <t>Awais</t>
  </si>
  <si>
    <t>Ameer Ali</t>
  </si>
  <si>
    <t>Faizan Ali</t>
  </si>
  <si>
    <t>Hasnain</t>
  </si>
  <si>
    <t>Salman</t>
  </si>
  <si>
    <t>Asia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</si>
  <si>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</si>
  <si>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</si>
  <si>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</si>
  <si>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</si>
  <si>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</si>
  <si>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</si>
  <si>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</si>
  <si>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</si>
  <si>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</si>
  <si>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</si>
  <si>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</si>
  <si>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</si>
  <si>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</si>
  <si>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</si>
  <si>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</si>
  <si>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</si>
  <si>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</si>
  <si>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</si>
  <si>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Asadullah</t>
  </si>
  <si>
    <t>Naik Badshah</t>
  </si>
  <si>
    <t>Aziz</t>
  </si>
  <si>
    <t>Saeed Ur Rehman</t>
  </si>
  <si>
    <t>Ahmed Ullah</t>
  </si>
  <si>
    <t>Amir Shah</t>
  </si>
  <si>
    <t>Abdul Habib</t>
  </si>
  <si>
    <t>Khuda Bukhsh</t>
  </si>
  <si>
    <t>Afaq Hussain</t>
  </si>
  <si>
    <t>Ali Hasan</t>
  </si>
  <si>
    <t>Shah Hussain</t>
  </si>
  <si>
    <t>Shayan</t>
  </si>
  <si>
    <t>Lachhan</t>
  </si>
  <si>
    <t>Moliyo</t>
  </si>
  <si>
    <t>Shiraz</t>
  </si>
  <si>
    <t>Sher Zaman</t>
  </si>
  <si>
    <t>Sharmeela</t>
  </si>
  <si>
    <t>Ramesh</t>
  </si>
  <si>
    <t>Sapna</t>
  </si>
  <si>
    <t>Nabeela</t>
  </si>
  <si>
    <t>Shabana Naaz</t>
  </si>
  <si>
    <t>Hazar Khan</t>
  </si>
  <si>
    <t>Kanwal</t>
  </si>
  <si>
    <t>Nasir Ali</t>
  </si>
  <si>
    <t>Sadia</t>
  </si>
  <si>
    <t>Goverment Boys Primary School Shafi Goth</t>
  </si>
  <si>
    <t>Ghawa Ram</t>
  </si>
  <si>
    <t>Khalil ahmed</t>
  </si>
  <si>
    <t>Arman</t>
  </si>
  <si>
    <t>Zubair Ahmed</t>
  </si>
  <si>
    <t>Naveed Hussain</t>
  </si>
  <si>
    <t>Kaleem Ullah</t>
  </si>
  <si>
    <t>Muhammad Yaqoob</t>
  </si>
  <si>
    <t>Amjad</t>
  </si>
  <si>
    <t>Sher Alam</t>
  </si>
  <si>
    <t>Ghulam Umar Abdul Rehman</t>
  </si>
  <si>
    <t>Ghulam Rabbani</t>
  </si>
  <si>
    <t>Mudassir Shah</t>
  </si>
  <si>
    <t>Talha</t>
  </si>
  <si>
    <t>Haneef Ullah</t>
  </si>
  <si>
    <t>Muhammad Noman</t>
  </si>
  <si>
    <t>Jameel Ahmed</t>
  </si>
  <si>
    <t>Naresh</t>
  </si>
  <si>
    <t>Rabeela</t>
  </si>
  <si>
    <t>Veer Wazir</t>
  </si>
  <si>
    <t>Wazir Mil</t>
  </si>
  <si>
    <t>Wishaal</t>
  </si>
  <si>
    <t>Nadeem Chand</t>
  </si>
  <si>
    <t>Shah Jahan</t>
  </si>
  <si>
    <t>Liaqat Ali Brohi</t>
  </si>
  <si>
    <t>Siraj</t>
  </si>
  <si>
    <t>Allah Bachayo</t>
  </si>
  <si>
    <t>Muhammad Ashraf</t>
  </si>
  <si>
    <t>Murtaza</t>
  </si>
  <si>
    <t>Najb Uddin</t>
  </si>
  <si>
    <t>Haseeb Ullah</t>
  </si>
  <si>
    <t>Wahid Bukhsh</t>
  </si>
  <si>
    <t>Zubair</t>
  </si>
  <si>
    <t>Gul Muhammad</t>
  </si>
  <si>
    <t>Inayat Ali</t>
  </si>
  <si>
    <t>Nadir Khan</t>
  </si>
  <si>
    <t>Akhtar Khan</t>
  </si>
  <si>
    <t>Muhammad Rafiq</t>
  </si>
  <si>
    <t>Muhammad Bilal</t>
  </si>
  <si>
    <t>Shabeer</t>
  </si>
  <si>
    <t>Gulzar Ali</t>
  </si>
  <si>
    <t>Mushtaq</t>
  </si>
  <si>
    <t>Adnan Khan</t>
  </si>
  <si>
    <t>Noor Ali Shah</t>
  </si>
  <si>
    <t>Afzal Khan</t>
  </si>
  <si>
    <t>Ajmal Khan</t>
  </si>
  <si>
    <t>Ghaffar</t>
  </si>
  <si>
    <t>Abdullah Panwar</t>
  </si>
  <si>
    <t>Rehan</t>
  </si>
  <si>
    <t>Muhammad Zubair</t>
  </si>
  <si>
    <t>Gul Sher</t>
  </si>
  <si>
    <t>Iqra Bibi</t>
  </si>
  <si>
    <t>Naqeeb Zaman</t>
  </si>
  <si>
    <t>Sajida</t>
  </si>
  <si>
    <t>Abdul Majeed Tanori</t>
  </si>
  <si>
    <t>Alishba</t>
  </si>
  <si>
    <t>Muhammad Bukhsh</t>
  </si>
  <si>
    <t>Amna Bibi</t>
  </si>
  <si>
    <t>Behram Syed</t>
  </si>
  <si>
    <t>Marva Noor</t>
  </si>
  <si>
    <t>Shahid Khan</t>
  </si>
  <si>
    <t>Malala</t>
  </si>
  <si>
    <t>Behroz Khan</t>
  </si>
  <si>
    <t>Komal</t>
  </si>
  <si>
    <t>Paras Batool</t>
  </si>
  <si>
    <t>Sheraz Ali</t>
  </si>
  <si>
    <t>Zubaida</t>
  </si>
  <si>
    <t>Bushra Batool</t>
  </si>
  <si>
    <t>Jameela</t>
  </si>
  <si>
    <t>Abdul Rehman Jatoi</t>
  </si>
  <si>
    <t>Gul Hassan</t>
  </si>
  <si>
    <t>Kainat</t>
  </si>
  <si>
    <t>Khalid Hussain Khaskheli</t>
  </si>
  <si>
    <t>Kulsoom Ali</t>
  </si>
  <si>
    <t>Ali Hassan</t>
  </si>
  <si>
    <t>Faisal Raza</t>
  </si>
  <si>
    <t>Muhammad Ismail</t>
  </si>
  <si>
    <t>Shakir Hussain</t>
  </si>
  <si>
    <t xml:space="preserve">Abdullah </t>
  </si>
  <si>
    <t>Mir Muhammad</t>
  </si>
  <si>
    <t>Hakim Ali</t>
  </si>
  <si>
    <t>Abaish Kumar</t>
  </si>
  <si>
    <t>Pappu Raja</t>
  </si>
  <si>
    <t>Aftab</t>
  </si>
  <si>
    <t>Syed Muhammad Shahzain</t>
  </si>
  <si>
    <t>Syed Abdul Razzaq</t>
  </si>
  <si>
    <t>Zain ali Magsi</t>
  </si>
  <si>
    <t>Amad Ali</t>
  </si>
  <si>
    <t>Javaid</t>
  </si>
  <si>
    <t>Uzair Ali</t>
  </si>
  <si>
    <t>Mazhar Ali</t>
  </si>
  <si>
    <t>Tabinda</t>
  </si>
  <si>
    <t>Zubair Ali</t>
  </si>
  <si>
    <t>Mahnoor</t>
  </si>
  <si>
    <t>Muhammad Rehman</t>
  </si>
  <si>
    <t>Aliya</t>
  </si>
  <si>
    <t>Bashir Ahmed</t>
  </si>
  <si>
    <t>Mehek</t>
  </si>
  <si>
    <t>Afshan Naaz</t>
  </si>
  <si>
    <t>Ayaz</t>
  </si>
  <si>
    <t>Kamran</t>
  </si>
  <si>
    <t>Bahram</t>
  </si>
  <si>
    <t>Zakir Hussain</t>
  </si>
  <si>
    <t>Ghulam Hussain</t>
  </si>
  <si>
    <t>M. Habib</t>
  </si>
  <si>
    <t>Salman Ali</t>
  </si>
  <si>
    <t>Eshhaq</t>
  </si>
  <si>
    <t>Nazeer Ahmed</t>
  </si>
  <si>
    <t>M. Ikram</t>
  </si>
  <si>
    <t>Ikram Ullah</t>
  </si>
  <si>
    <t>M. Shah Wali</t>
  </si>
  <si>
    <t>Huzaifa</t>
  </si>
  <si>
    <t>Nadeem Ahmed</t>
  </si>
  <si>
    <t>Islam Gul</t>
  </si>
  <si>
    <t>Ezat Muhammad</t>
  </si>
  <si>
    <t>Mahboob Ali</t>
  </si>
  <si>
    <t>Sabira</t>
  </si>
  <si>
    <t>Aleena</t>
  </si>
  <si>
    <t>Fghulam Rabbani</t>
  </si>
  <si>
    <t>Marium</t>
  </si>
  <si>
    <t>Shoaib</t>
  </si>
  <si>
    <t>Farhana</t>
  </si>
  <si>
    <t>Sofia</t>
  </si>
  <si>
    <t>Anum Fatima</t>
  </si>
  <si>
    <t>M. Inam Ul Haq</t>
  </si>
  <si>
    <t>Sajjad</t>
  </si>
  <si>
    <t>Hassan Raza</t>
  </si>
  <si>
    <t>Muhammad Saleem</t>
  </si>
  <si>
    <t>Waseem</t>
  </si>
  <si>
    <t>Sajid Mehmood</t>
  </si>
  <si>
    <t>Wassan</t>
  </si>
  <si>
    <t>Narayan</t>
  </si>
  <si>
    <t>Dana</t>
  </si>
  <si>
    <t>Magla</t>
  </si>
  <si>
    <t>Ashoke</t>
  </si>
  <si>
    <t>Muhammad Saleh</t>
  </si>
  <si>
    <t>Khalil Ahmed</t>
  </si>
  <si>
    <t>Muhammad Umair</t>
  </si>
  <si>
    <t>Habib Ullah</t>
  </si>
  <si>
    <t>Borya</t>
  </si>
  <si>
    <t>Ankit</t>
  </si>
  <si>
    <t>Sanjeet</t>
  </si>
  <si>
    <t>Addu</t>
  </si>
  <si>
    <t>Muhammad Irfan</t>
  </si>
  <si>
    <t>Basheer Afzal</t>
  </si>
  <si>
    <t>Moosa</t>
  </si>
  <si>
    <t>Adil Azad</t>
  </si>
  <si>
    <t>Siraj Khan</t>
  </si>
  <si>
    <t>Muhammad Saeed</t>
  </si>
  <si>
    <t>Waqar Ahmed</t>
  </si>
  <si>
    <t>Sheroz Jan</t>
  </si>
  <si>
    <t>Muhammad Hussain</t>
  </si>
  <si>
    <t>Muhammad Hayat</t>
  </si>
  <si>
    <t>Mairaj</t>
  </si>
  <si>
    <t>Mamtaz Ali</t>
  </si>
  <si>
    <t>Iman</t>
  </si>
  <si>
    <t>Anees</t>
  </si>
  <si>
    <t>Waseema</t>
  </si>
  <si>
    <t>Pirya Farooq Sarjo</t>
  </si>
  <si>
    <t>Muhammad Shoaib</t>
  </si>
  <si>
    <t>Baroz Khan</t>
  </si>
  <si>
    <t>Chandni</t>
  </si>
  <si>
    <t>Wazir</t>
  </si>
  <si>
    <t>Samreen</t>
  </si>
  <si>
    <t>Shumaila Bibi</t>
  </si>
  <si>
    <t>Muhammad Salah</t>
  </si>
  <si>
    <t>Ghulam Sakina</t>
  </si>
  <si>
    <t>Ghous Bukhsh</t>
  </si>
  <si>
    <t>Sahiba</t>
  </si>
  <si>
    <t>Abdul Majeed</t>
  </si>
  <si>
    <t>Nadia</t>
  </si>
  <si>
    <t>Sartaj</t>
  </si>
  <si>
    <t>Zunera Rani</t>
  </si>
  <si>
    <t>Muhammad Waseem</t>
  </si>
  <si>
    <t>Tehzeeba</t>
  </si>
  <si>
    <t>Hajira</t>
  </si>
  <si>
    <t>Ejaz Ali</t>
  </si>
  <si>
    <t>Shaista Bibi</t>
  </si>
  <si>
    <t>Muhammad Muslim</t>
  </si>
  <si>
    <t>Mihad</t>
  </si>
  <si>
    <t>Abdul Waheed</t>
  </si>
  <si>
    <t>Bindiya</t>
  </si>
  <si>
    <t>Manthar</t>
  </si>
  <si>
    <t>Naresha Kumari</t>
  </si>
  <si>
    <t>Dildar</t>
  </si>
  <si>
    <t>Kareena</t>
  </si>
  <si>
    <t>Rukesh</t>
  </si>
  <si>
    <t>Bibi Gul</t>
  </si>
  <si>
    <t>Nemat Ullah</t>
  </si>
  <si>
    <t>Kiran</t>
  </si>
  <si>
    <t>Misri</t>
  </si>
  <si>
    <t>Gul Mubashira</t>
  </si>
  <si>
    <t>Ibrahim</t>
  </si>
  <si>
    <t>Sumaiya</t>
  </si>
  <si>
    <t>Muhammad Rafeeque</t>
  </si>
  <si>
    <t>Fawad Khan</t>
  </si>
  <si>
    <t>Abu Bakar Sidique</t>
  </si>
  <si>
    <t>Muhammad Hasnain</t>
  </si>
  <si>
    <t>Muhammad Sultan</t>
  </si>
  <si>
    <t>Rahib</t>
  </si>
  <si>
    <t>Muhammad Muavia</t>
  </si>
  <si>
    <t>Asad Ullah</t>
  </si>
  <si>
    <t>Naqeem Ullah</t>
  </si>
  <si>
    <t>Muhammad Faizan</t>
  </si>
  <si>
    <t>Muhammad Sufyan</t>
  </si>
  <si>
    <t>Muhammad Yaseen</t>
  </si>
  <si>
    <t>Ghos Bukhsh</t>
  </si>
  <si>
    <t>Rahul</t>
  </si>
  <si>
    <t>Nawaz Ali</t>
  </si>
  <si>
    <t>Anesh Kumar</t>
  </si>
  <si>
    <t>Muhammad Arsalan Khan</t>
  </si>
  <si>
    <t>Tanveer</t>
  </si>
  <si>
    <t>Adu</t>
  </si>
  <si>
    <t>Kashif</t>
  </si>
  <si>
    <t>Muhammad Ullah</t>
  </si>
  <si>
    <t>Nemat</t>
  </si>
  <si>
    <t>Ali Abbas</t>
  </si>
  <si>
    <t>Sohra</t>
  </si>
  <si>
    <t>Sher Chand</t>
  </si>
  <si>
    <t>Sagar</t>
  </si>
  <si>
    <t>Meena</t>
  </si>
  <si>
    <t>Mahashiv</t>
  </si>
  <si>
    <t>Sadia Bibi</t>
  </si>
  <si>
    <t>Muslim</t>
  </si>
  <si>
    <t>Areesha</t>
  </si>
  <si>
    <t>Misra</t>
  </si>
  <si>
    <t>Manahil Noroz</t>
  </si>
  <si>
    <t>Noroz Khan</t>
  </si>
  <si>
    <t>Shehnaz</t>
  </si>
  <si>
    <t>Nida</t>
  </si>
  <si>
    <t>Dua Bibi</t>
  </si>
  <si>
    <t>Sher Ali Khan</t>
  </si>
  <si>
    <t>Aafia</t>
  </si>
  <si>
    <t>Fareeda</t>
  </si>
  <si>
    <t>Najeeb Uddin</t>
  </si>
  <si>
    <t>Irum</t>
  </si>
  <si>
    <t>Aasia</t>
  </si>
  <si>
    <t>Saif Ur Rehman</t>
  </si>
  <si>
    <t>Sanam Batool</t>
  </si>
  <si>
    <t>Kg</t>
  </si>
  <si>
    <t>Hammad Ullah</t>
  </si>
  <si>
    <t>Aamir</t>
  </si>
  <si>
    <t>Dileep Kumar</t>
  </si>
  <si>
    <t xml:space="preserve">Narayon </t>
  </si>
  <si>
    <t>Ranja Ram</t>
  </si>
  <si>
    <t>Nali Methal</t>
  </si>
  <si>
    <t>Zameer Ali</t>
  </si>
  <si>
    <t>Tahir Khan</t>
  </si>
  <si>
    <t>Tariq</t>
  </si>
  <si>
    <t>Muhammad Hashim</t>
  </si>
  <si>
    <t>Abbas</t>
  </si>
  <si>
    <t>Jabbar Ali</t>
  </si>
  <si>
    <t>Muhammad Gul Hassan</t>
  </si>
  <si>
    <t>Majid</t>
  </si>
  <si>
    <t>Mureed Ali</t>
  </si>
  <si>
    <t>Sadaf Bibi</t>
  </si>
  <si>
    <t>Aashiq Ali</t>
  </si>
  <si>
    <t>Andeesha</t>
  </si>
  <si>
    <t>Rukhsar</t>
  </si>
  <si>
    <t>Missri</t>
  </si>
  <si>
    <t>Shiwani</t>
  </si>
  <si>
    <t>Saneera Bibi</t>
  </si>
  <si>
    <t>Benazeer</t>
  </si>
  <si>
    <t>Wazeer</t>
  </si>
  <si>
    <t>Seri Devi</t>
  </si>
  <si>
    <t>Shazma</t>
  </si>
  <si>
    <t>Muhammad Zahid</t>
  </si>
  <si>
    <t>Izzat Khan</t>
  </si>
  <si>
    <t>Sanjana</t>
  </si>
  <si>
    <t>Bindu</t>
  </si>
  <si>
    <t>Khushi</t>
  </si>
  <si>
    <t>Aarti</t>
  </si>
  <si>
    <t>Sun</t>
  </si>
  <si>
    <t>Mon</t>
  </si>
  <si>
    <t>Tue</t>
  </si>
  <si>
    <t>Wed</t>
  </si>
  <si>
    <t>Thu</t>
  </si>
  <si>
    <t>Fri</t>
  </si>
  <si>
    <t>Sat</t>
  </si>
  <si>
    <t>Monthly Attendence Month of February-2025</t>
  </si>
  <si>
    <t>sat</t>
  </si>
  <si>
    <t>KASHMIR DAY - KASHMIR DAY - KASHMIR DAY - KASHMIR DAY - KASHMIR DAY</t>
  </si>
  <si>
    <t xml:space="preserve">SHAB E MEHRAJ - SHAB E MEHRAJ - SHAB E MEHRAJ - SHAB E MEHRAJ </t>
  </si>
  <si>
    <t>sun</t>
  </si>
  <si>
    <t>mon</t>
  </si>
  <si>
    <t>tue</t>
  </si>
  <si>
    <t>wed</t>
  </si>
  <si>
    <t>thu</t>
  </si>
  <si>
    <t>fri</t>
  </si>
  <si>
    <t>p</t>
  </si>
  <si>
    <t>KASHMIR DAY - KASHMIR DAY - KASHMIR DAY - KASHMIR DAY</t>
  </si>
  <si>
    <t>SHEBE MIRAJ - SHEBE MIRAJ</t>
  </si>
  <si>
    <t xml:space="preserve">KASHMIR DAY - KASHMIR DAY - KASHMIR DAY </t>
  </si>
  <si>
    <t>SHEBE MIRAJ - SHEBE MIRAJ - SHEBE MIRAJ</t>
  </si>
  <si>
    <t>KASHMIRDAY -KASHMIRDAY- KASHMIRDAY -KASHMIRDAY - KASHMIRDAY</t>
  </si>
  <si>
    <t>LALSHAHBAZ QALANDAR LEAVE - LALSHAHBAZ QALANDAR LEAVE</t>
  </si>
  <si>
    <t>KASHMIRDAY -KASHMIRDAY -KASHMIRDAY - KASHMIRDAY</t>
  </si>
  <si>
    <t>LALSHAHBAZ QALANDAR LEAVE -LALSHAHBAZ QALANDAR LEAVE</t>
  </si>
  <si>
    <t>LALSHAHBAZ LEAVE -LALSHAHBAZ LEAVE -LALSHAHBAZ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</si>
</sst>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,mmm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7" fillId="0" borderId="0">
      <protection locked="0"/>
    </xf>
  </cellStyleXfs>
  <cellXfs count="11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0" fillId="0" borderId="3" xfId="0" applyBorder="1" applyAlignment="1">
      <alignment vertical="center" textRotation="255"/>
    </xf>
    <xf numFmtId="0" fontId="0" fillId="0" borderId="6" xfId="0" applyBorder="1" applyAlignment="1">
      <alignment horizontal="center" vertical="center"/>
    </xf>
    <xf numFmtId="0" fontId="11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9" fontId="12" fillId="0" borderId="5" xfId="1" applyFont="1" applyFill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/>
    </xf>
    <xf numFmtId="9" fontId="12" fillId="0" borderId="4" xfId="1" applyFont="1" applyFill="1" applyBorder="1" applyAlignment="1">
      <alignment horizontal="center" vertical="center"/>
    </xf>
    <xf numFmtId="9" fontId="12" fillId="3" borderId="16" xfId="1" applyFont="1" applyFill="1" applyBorder="1"/>
    <xf numFmtId="9" fontId="12" fillId="0" borderId="19" xfId="1" applyFont="1" applyFill="1" applyBorder="1" applyAlignment="1">
      <alignment horizontal="center" vertical="center"/>
    </xf>
    <xf numFmtId="9" fontId="12" fillId="3" borderId="20" xfId="1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9" fontId="12" fillId="0" borderId="27" xfId="1" applyFont="1" applyFill="1" applyBorder="1" applyAlignment="1">
      <alignment horizontal="center" vertical="center"/>
    </xf>
    <xf numFmtId="9" fontId="12" fillId="0" borderId="2" xfId="1" applyFont="1" applyFill="1" applyBorder="1" applyAlignment="1">
      <alignment horizontal="center" vertical="center"/>
    </xf>
    <xf numFmtId="9" fontId="12" fillId="0" borderId="23" xfId="1" applyFont="1" applyFill="1" applyBorder="1" applyAlignment="1">
      <alignment horizontal="center" vertical="center"/>
    </xf>
    <xf numFmtId="9" fontId="12" fillId="3" borderId="26" xfId="1" applyFont="1" applyFill="1" applyBorder="1"/>
    <xf numFmtId="0" fontId="13" fillId="0" borderId="15" xfId="0" applyFont="1" applyBorder="1" applyAlignment="1">
      <alignment horizontal="center"/>
    </xf>
    <xf numFmtId="0" fontId="11" fillId="0" borderId="11" xfId="0" applyFont="1" applyBorder="1"/>
    <xf numFmtId="0" fontId="13" fillId="0" borderId="11" xfId="0" applyFont="1" applyBorder="1" applyAlignment="1">
      <alignment horizontal="center"/>
    </xf>
    <xf numFmtId="9" fontId="12" fillId="0" borderId="11" xfId="1" applyFont="1" applyFill="1" applyBorder="1" applyAlignment="1">
      <alignment horizontal="center" vertical="center"/>
    </xf>
    <xf numFmtId="9" fontId="12" fillId="3" borderId="14" xfId="1" applyFont="1" applyFill="1" applyBorder="1"/>
    <xf numFmtId="0" fontId="14" fillId="0" borderId="18" xfId="0" applyFont="1" applyBorder="1" applyAlignment="1">
      <alignment horizontal="center"/>
    </xf>
    <xf numFmtId="9" fontId="14" fillId="0" borderId="19" xfId="1" applyFont="1" applyFill="1" applyBorder="1" applyAlignment="1">
      <alignment horizontal="center"/>
    </xf>
    <xf numFmtId="9" fontId="15" fillId="0" borderId="19" xfId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9" fontId="15" fillId="0" borderId="21" xfId="1" applyFont="1" applyFill="1" applyBorder="1" applyAlignment="1">
      <alignment horizontal="center" vertical="center" wrapText="1"/>
    </xf>
    <xf numFmtId="9" fontId="12" fillId="0" borderId="10" xfId="1" applyFont="1" applyFill="1" applyBorder="1" applyAlignment="1">
      <alignment horizontal="center" vertical="center"/>
    </xf>
    <xf numFmtId="9" fontId="3" fillId="0" borderId="28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 wrapText="1"/>
    </xf>
    <xf numFmtId="9" fontId="15" fillId="0" borderId="20" xfId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3" fillId="0" borderId="30" xfId="0" applyFont="1" applyBorder="1"/>
    <xf numFmtId="0" fontId="3" fillId="3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1" fillId="0" borderId="6" xfId="0" applyFont="1" applyBorder="1"/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7" xfId="1" applyFont="1" applyFill="1" applyBorder="1" applyAlignment="1">
      <alignment horizontal="center" vertical="center"/>
    </xf>
    <xf numFmtId="9" fontId="12" fillId="0" borderId="6" xfId="1" applyFont="1" applyFill="1" applyBorder="1" applyAlignment="1">
      <alignment horizontal="center" vertical="center"/>
    </xf>
    <xf numFmtId="9" fontId="12" fillId="0" borderId="17" xfId="1" applyFont="1" applyFill="1" applyBorder="1" applyAlignment="1">
      <alignment horizontal="center" vertical="center"/>
    </xf>
    <xf numFmtId="9" fontId="12" fillId="3" borderId="34" xfId="1" applyFont="1" applyFill="1" applyBorder="1"/>
    <xf numFmtId="0" fontId="9" fillId="0" borderId="1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3" fillId="4" borderId="33" xfId="0" applyFont="1" applyFill="1" applyBorder="1"/>
    <xf numFmtId="0" fontId="3" fillId="4" borderId="6" xfId="0" applyFont="1" applyFill="1" applyBorder="1"/>
    <xf numFmtId="0" fontId="3" fillId="4" borderId="34" xfId="0" applyFont="1" applyFill="1" applyBorder="1"/>
    <xf numFmtId="0" fontId="3" fillId="4" borderId="22" xfId="0" applyFont="1" applyFill="1" applyBorder="1"/>
    <xf numFmtId="0" fontId="3" fillId="4" borderId="3" xfId="0" applyFont="1" applyFill="1" applyBorder="1"/>
    <xf numFmtId="0" fontId="3" fillId="4" borderId="16" xfId="0" applyFont="1" applyFill="1" applyBorder="1"/>
    <xf numFmtId="0" fontId="3" fillId="4" borderId="25" xfId="0" applyFont="1" applyFill="1" applyBorder="1"/>
    <xf numFmtId="0" fontId="3" fillId="4" borderId="2" xfId="0" applyFont="1" applyFill="1" applyBorder="1"/>
    <xf numFmtId="0" fontId="3" fillId="4" borderId="26" xfId="0" applyFont="1" applyFill="1" applyBorder="1"/>
    <xf numFmtId="0" fontId="13" fillId="4" borderId="15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8" fillId="0" borderId="7" xfId="2" applyFont="1" applyBorder="1"/>
    <xf numFmtId="0" fontId="18" fillId="0" borderId="6" xfId="2" applyFont="1" applyBorder="1"/>
    <xf numFmtId="0" fontId="18" fillId="5" borderId="6" xfId="2" applyFont="1" applyFill="1" applyBorder="1"/>
    <xf numFmtId="0" fontId="2" fillId="0" borderId="5" xfId="0" applyFont="1" applyBorder="1" applyAlignment="1">
      <alignment horizontal="center" vertical="center"/>
    </xf>
    <xf numFmtId="0" fontId="18" fillId="0" borderId="3" xfId="2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2" xfId="0" applyFont="1" applyBorder="1" applyAlignment="1">
      <alignment vertical="center" textRotation="255"/>
    </xf>
    <xf numFmtId="0" fontId="2" fillId="0" borderId="2" xfId="0" applyFont="1" applyFill="1" applyBorder="1" applyAlignment="1">
      <alignment vertical="center" textRotation="255"/>
    </xf>
    <xf numFmtId="164" fontId="2" fillId="0" borderId="3" xfId="0" applyNumberFormat="1" applyFont="1" applyFill="1" applyBorder="1" applyAlignment="1">
      <alignment horizontal="center" vertical="center" textRotation="90" wrapText="1"/>
    </xf>
    <xf numFmtId="0" fontId="0" fillId="0" borderId="3" xfId="0" applyFill="1" applyBorder="1"/>
    <xf numFmtId="0" fontId="2" fillId="0" borderId="3" xfId="0" applyFont="1" applyFill="1" applyBorder="1" applyAlignment="1">
      <alignment vertical="center" textRotation="255"/>
    </xf>
    <xf numFmtId="0" fontId="2" fillId="0" borderId="3" xfId="0" applyFont="1" applyBorder="1" applyAlignment="1">
      <alignment vertical="center" textRotation="255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" fontId="10" fillId="0" borderId="29" xfId="0" applyNumberFormat="1" applyFont="1" applyBorder="1" applyAlignment="1">
      <alignment horizontal="center"/>
    </xf>
    <xf numFmtId="17" fontId="10" fillId="0" borderId="12" xfId="0" applyNumberFormat="1" applyFont="1" applyBorder="1" applyAlignment="1">
      <alignment horizontal="center"/>
    </xf>
    <xf numFmtId="17" fontId="10" fillId="0" borderId="11" xfId="0" applyNumberFormat="1" applyFont="1" applyBorder="1" applyAlignment="1">
      <alignment horizontal="center"/>
    </xf>
    <xf numFmtId="17" fontId="10" fillId="0" borderId="13" xfId="0" applyNumberFormat="1" applyFont="1" applyBorder="1" applyAlignment="1">
      <alignment horizontal="center"/>
    </xf>
    <xf numFmtId="17" fontId="10" fillId="0" borderId="14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/>
    </xf>
    <xf numFmtId="17" fontId="8" fillId="2" borderId="4" xfId="0" applyNumberFormat="1" applyFont="1" applyFill="1" applyBorder="1" applyAlignment="1">
      <alignment horizontal="center" vertical="center"/>
    </xf>
    <xf numFmtId="17" fontId="8" fillId="2" borderId="8" xfId="0" applyNumberFormat="1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4" fillId="0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164" fontId="2" fillId="6" borderId="3" xfId="0" applyNumberFormat="1" applyFont="1" applyFill="1" applyBorder="1" applyAlignment="1">
      <alignment horizontal="center" vertical="center" textRotation="90" wrapText="1"/>
    </xf>
  </cellXfs>
  <cellStyles count="4">
    <cellStyle name="Normal" xfId="0" builtinId="0"/>
    <cellStyle name="Normal 2" xfId="3" xr:uid="{010AB91E-D090-4692-815D-BDCEF2C4C5C3}"/>
    <cellStyle name="Normal 3" xfId="2" xr:uid="{D01529DD-DBD0-4DD1-A870-353143804F43}"/>
    <cellStyle name="Percent" xfId="1" builtinId="5"/>
  </cellStyles>
  <dxfs count="36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91C1222-C7B9-4B9A-A9C3-110AAEA8F73E}">
      <tableStyleElement type="wholeTable" dxfId="365"/>
      <tableStyleElement type="headerRow" dxfId="364"/>
      <tableStyleElement type="totalRow" dxfId="363"/>
      <tableStyleElement type="firstColumn" dxfId="362"/>
      <tableStyleElement type="lastColumn" dxfId="361"/>
      <tableStyleElement type="firstRowStripe" dxfId="360"/>
      <tableStyleElement type="firstColumnStripe" dxfId="359"/>
    </tableStyle>
    <tableStyle name="PivotStylePreset2_Accent1" table="0" count="10" xr9:uid="{40508A4A-A46F-4E18-BA94-D1C2B66BBA21}">
      <tableStyleElement type="headerRow" dxfId="358"/>
      <tableStyleElement type="totalRow" dxfId="357"/>
      <tableStyleElement type="firstRowStripe" dxfId="356"/>
      <tableStyleElement type="firstColumnStripe" dxfId="355"/>
      <tableStyleElement type="firstSubtotalRow" dxfId="354"/>
      <tableStyleElement type="secondSubtotalRow" dxfId="353"/>
      <tableStyleElement type="firstRowSubheading" dxfId="352"/>
      <tableStyleElement type="secondRowSubheading" dxfId="351"/>
      <tableStyleElement type="pageFieldLabels" dxfId="350"/>
      <tableStyleElement type="pageFieldValues" dxfId="3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topLeftCell="A3" workbookViewId="0">
      <selection activeCell="M10" sqref="M10"/>
    </sheetView>
  </sheetViews>
  <sheetFormatPr defaultRowHeight="15"/>
  <cols>
    <col min="1" max="1" width="14.85546875" bestFit="1" customWidth="1"/>
  </cols>
  <sheetData>
    <row r="3" spans="1:15" ht="15.75" thickBot="1"/>
    <row r="4" spans="1:15" ht="16.5" thickBot="1">
      <c r="A4" s="92" t="s">
        <v>3</v>
      </c>
      <c r="B4" s="94" t="s">
        <v>99</v>
      </c>
      <c r="C4" s="95"/>
      <c r="D4" s="95"/>
      <c r="E4" s="96"/>
      <c r="F4" s="96"/>
      <c r="G4" s="96"/>
      <c r="H4" s="96"/>
      <c r="I4" s="95"/>
      <c r="J4" s="95"/>
      <c r="K4" s="95"/>
      <c r="L4" s="96"/>
      <c r="M4" s="96"/>
      <c r="N4" s="97"/>
      <c r="O4" s="98"/>
    </row>
    <row r="5" spans="1:15" ht="34.5" thickBot="1">
      <c r="A5" s="93"/>
      <c r="B5" s="58" t="s">
        <v>11</v>
      </c>
      <c r="C5" s="58" t="s">
        <v>12</v>
      </c>
      <c r="D5" s="58" t="s">
        <v>13</v>
      </c>
      <c r="E5" s="59" t="s">
        <v>83</v>
      </c>
      <c r="F5" s="58" t="s">
        <v>84</v>
      </c>
      <c r="G5" s="58" t="s">
        <v>85</v>
      </c>
      <c r="H5" s="60" t="s">
        <v>86</v>
      </c>
      <c r="I5" s="61" t="s">
        <v>87</v>
      </c>
      <c r="J5" s="62" t="s">
        <v>88</v>
      </c>
      <c r="K5" s="63" t="s">
        <v>89</v>
      </c>
      <c r="L5" s="76" t="s">
        <v>90</v>
      </c>
      <c r="M5" s="77" t="s">
        <v>91</v>
      </c>
      <c r="N5" s="77" t="s">
        <v>91</v>
      </c>
      <c r="O5" s="78" t="s">
        <v>92</v>
      </c>
    </row>
    <row r="6" spans="1:15" ht="18.75">
      <c r="A6" s="46" t="s">
        <v>93</v>
      </c>
      <c r="B6" s="50">
        <v>27</v>
      </c>
      <c r="C6" s="50">
        <v>27</v>
      </c>
      <c r="D6" s="50">
        <f>SUM(B6:C6)</f>
        <v>54</v>
      </c>
      <c r="E6" s="51">
        <v>24</v>
      </c>
      <c r="F6" s="52">
        <f>B6*E6</f>
        <v>648</v>
      </c>
      <c r="G6" s="52">
        <f t="shared" ref="G6:G16" si="0">C6*E6</f>
        <v>648</v>
      </c>
      <c r="H6" s="53">
        <f>SUM(F6:G6)</f>
        <v>1296</v>
      </c>
      <c r="I6" s="64" t="e">
        <f>'Class-V'!AJ14</f>
        <v>#REF!</v>
      </c>
      <c r="J6" s="65" t="e">
        <f>'Class-V'!AK14</f>
        <v>#REF!</v>
      </c>
      <c r="K6" s="66" t="e">
        <f>SUM(I6:J6)</f>
        <v>#REF!</v>
      </c>
      <c r="L6" s="54" t="e">
        <f>J6/G6</f>
        <v>#REF!</v>
      </c>
      <c r="M6" s="55" t="e">
        <f>I6/F6</f>
        <v>#REF!</v>
      </c>
      <c r="N6" s="56" t="e">
        <f>K6/H6</f>
        <v>#REF!</v>
      </c>
      <c r="O6" s="57" t="e">
        <f>AVERAGE(L6:M6)</f>
        <v>#REF!</v>
      </c>
    </row>
    <row r="7" spans="1:15" ht="18.75">
      <c r="A7" s="46" t="s">
        <v>94</v>
      </c>
      <c r="B7" s="15">
        <v>31</v>
      </c>
      <c r="C7" s="15">
        <v>25</v>
      </c>
      <c r="D7" s="15">
        <f>SUM(B7:C7)</f>
        <v>56</v>
      </c>
      <c r="E7" s="45">
        <v>24</v>
      </c>
      <c r="F7" s="16">
        <f>B7*E7</f>
        <v>744</v>
      </c>
      <c r="G7" s="16">
        <f t="shared" si="0"/>
        <v>600</v>
      </c>
      <c r="H7" s="17">
        <f>SUM(F7:G7)</f>
        <v>1344</v>
      </c>
      <c r="I7" s="67" t="e">
        <f>#REF!</f>
        <v>#REF!</v>
      </c>
      <c r="J7" s="68" t="e">
        <f>#REF!</f>
        <v>#REF!</v>
      </c>
      <c r="K7" s="69" t="e">
        <f>SUM(I7:J7)</f>
        <v>#REF!</v>
      </c>
      <c r="L7" s="18" t="e">
        <f>J7/G7</f>
        <v>#REF!</v>
      </c>
      <c r="M7" s="19" t="e">
        <f>I7/F7</f>
        <v>#REF!</v>
      </c>
      <c r="N7" s="20" t="e">
        <f>K7/H7</f>
        <v>#REF!</v>
      </c>
      <c r="O7" s="21" t="e">
        <f>AVERAGE(L7:M7)</f>
        <v>#REF!</v>
      </c>
    </row>
    <row r="8" spans="1:15" ht="18.75">
      <c r="A8" s="47" t="s">
        <v>95</v>
      </c>
      <c r="B8" s="15">
        <v>32</v>
      </c>
      <c r="C8" s="15">
        <v>24</v>
      </c>
      <c r="D8" s="15">
        <f t="shared" ref="D8:D16" si="1">SUM(B8:C8)</f>
        <v>56</v>
      </c>
      <c r="E8" s="45">
        <v>24</v>
      </c>
      <c r="F8" s="16">
        <f t="shared" ref="F8:F16" si="2">B8*E8</f>
        <v>768</v>
      </c>
      <c r="G8" s="16">
        <f t="shared" si="0"/>
        <v>576</v>
      </c>
      <c r="H8" s="17">
        <f t="shared" ref="H8:H16" si="3">SUM(F8:G8)</f>
        <v>1344</v>
      </c>
      <c r="I8" s="67" t="e">
        <f>#REF!</f>
        <v>#REF!</v>
      </c>
      <c r="J8" s="68" t="e">
        <f>#REF!</f>
        <v>#REF!</v>
      </c>
      <c r="K8" s="69" t="e">
        <f t="shared" ref="K8:K16" si="4">SUM(I8:J8)</f>
        <v>#REF!</v>
      </c>
      <c r="L8" s="18" t="e">
        <f t="shared" ref="L8:L16" si="5">J8/G8</f>
        <v>#REF!</v>
      </c>
      <c r="M8" s="19" t="e">
        <f t="shared" ref="M8:M16" si="6">I8/F8</f>
        <v>#REF!</v>
      </c>
      <c r="N8" s="20" t="e">
        <f t="shared" ref="N8:N16" si="7">K8/H8</f>
        <v>#REF!</v>
      </c>
      <c r="O8" s="21" t="e">
        <f t="shared" ref="O8:O16" si="8">AVERAGE(L8:M8)</f>
        <v>#REF!</v>
      </c>
    </row>
    <row r="9" spans="1:15" ht="18.75">
      <c r="A9" s="48" t="s">
        <v>50</v>
      </c>
      <c r="B9" s="15">
        <v>26</v>
      </c>
      <c r="C9" s="15">
        <v>26</v>
      </c>
      <c r="D9" s="15">
        <f t="shared" si="1"/>
        <v>52</v>
      </c>
      <c r="E9" s="45">
        <v>24</v>
      </c>
      <c r="F9" s="16">
        <f t="shared" si="2"/>
        <v>624</v>
      </c>
      <c r="G9" s="16">
        <f t="shared" si="0"/>
        <v>624</v>
      </c>
      <c r="H9" s="17">
        <f t="shared" si="3"/>
        <v>1248</v>
      </c>
      <c r="I9" s="67" t="e">
        <f>#REF!</f>
        <v>#REF!</v>
      </c>
      <c r="J9" s="68" t="e">
        <f>#REF!</f>
        <v>#REF!</v>
      </c>
      <c r="K9" s="69" t="e">
        <f t="shared" si="4"/>
        <v>#REF!</v>
      </c>
      <c r="L9" s="18" t="e">
        <f t="shared" si="5"/>
        <v>#REF!</v>
      </c>
      <c r="M9" s="19" t="e">
        <f t="shared" si="6"/>
        <v>#REF!</v>
      </c>
      <c r="N9" s="20" t="e">
        <f t="shared" si="7"/>
        <v>#REF!</v>
      </c>
      <c r="O9" s="21" t="e">
        <f t="shared" si="8"/>
        <v>#REF!</v>
      </c>
    </row>
    <row r="10" spans="1:15" ht="18.75">
      <c r="A10" s="47" t="s">
        <v>55</v>
      </c>
      <c r="B10" s="15">
        <v>28</v>
      </c>
      <c r="C10" s="15">
        <v>24</v>
      </c>
      <c r="D10" s="15">
        <f t="shared" si="1"/>
        <v>52</v>
      </c>
      <c r="E10" s="16">
        <v>24</v>
      </c>
      <c r="F10" s="16">
        <f t="shared" si="2"/>
        <v>672</v>
      </c>
      <c r="G10" s="16">
        <f t="shared" si="0"/>
        <v>576</v>
      </c>
      <c r="H10" s="17">
        <f t="shared" si="3"/>
        <v>1248</v>
      </c>
      <c r="I10" s="67" t="e">
        <f>#REF!</f>
        <v>#REF!</v>
      </c>
      <c r="J10" s="68" t="e">
        <f>#REF!</f>
        <v>#REF!</v>
      </c>
      <c r="K10" s="69" t="e">
        <f>SUM(I10:J10)</f>
        <v>#REF!</v>
      </c>
      <c r="L10" s="18" t="e">
        <f t="shared" si="5"/>
        <v>#REF!</v>
      </c>
      <c r="M10" s="19" t="e">
        <f t="shared" si="6"/>
        <v>#REF!</v>
      </c>
      <c r="N10" s="20" t="e">
        <f>K10/H10</f>
        <v>#REF!</v>
      </c>
      <c r="O10" s="21" t="e">
        <f t="shared" si="8"/>
        <v>#REF!</v>
      </c>
    </row>
    <row r="11" spans="1:15" ht="18.75">
      <c r="A11" s="47" t="s">
        <v>60</v>
      </c>
      <c r="B11" s="15">
        <v>21</v>
      </c>
      <c r="C11" s="15">
        <v>32</v>
      </c>
      <c r="D11" s="15">
        <f t="shared" si="1"/>
        <v>53</v>
      </c>
      <c r="E11" s="16">
        <v>24</v>
      </c>
      <c r="F11" s="16">
        <f t="shared" si="2"/>
        <v>504</v>
      </c>
      <c r="G11" s="16">
        <f t="shared" si="0"/>
        <v>768</v>
      </c>
      <c r="H11" s="17">
        <f t="shared" si="3"/>
        <v>1272</v>
      </c>
      <c r="I11" s="67" t="e">
        <f>#REF!</f>
        <v>#REF!</v>
      </c>
      <c r="J11" s="68" t="e">
        <f>#REF!</f>
        <v>#REF!</v>
      </c>
      <c r="K11" s="69" t="e">
        <f t="shared" si="4"/>
        <v>#REF!</v>
      </c>
      <c r="L11" s="18" t="e">
        <f t="shared" si="5"/>
        <v>#REF!</v>
      </c>
      <c r="M11" s="19" t="e">
        <f t="shared" si="6"/>
        <v>#REF!</v>
      </c>
      <c r="N11" s="20" t="e">
        <f t="shared" si="7"/>
        <v>#REF!</v>
      </c>
      <c r="O11" s="21" t="e">
        <f t="shared" si="8"/>
        <v>#REF!</v>
      </c>
    </row>
    <row r="12" spans="1:15" ht="18.75">
      <c r="A12" s="47" t="s">
        <v>66</v>
      </c>
      <c r="B12" s="15">
        <v>23</v>
      </c>
      <c r="C12" s="15">
        <v>23</v>
      </c>
      <c r="D12" s="15">
        <f t="shared" si="1"/>
        <v>46</v>
      </c>
      <c r="E12" s="16">
        <v>24</v>
      </c>
      <c r="F12" s="16">
        <f t="shared" si="2"/>
        <v>552</v>
      </c>
      <c r="G12" s="16">
        <f t="shared" si="0"/>
        <v>552</v>
      </c>
      <c r="H12" s="17">
        <f t="shared" si="3"/>
        <v>1104</v>
      </c>
      <c r="I12" s="67" t="e">
        <f>#REF!</f>
        <v>#REF!</v>
      </c>
      <c r="J12" s="68" t="e">
        <f>#REF!</f>
        <v>#REF!</v>
      </c>
      <c r="K12" s="69" t="e">
        <f t="shared" si="4"/>
        <v>#REF!</v>
      </c>
      <c r="L12" s="18" t="e">
        <f t="shared" si="5"/>
        <v>#REF!</v>
      </c>
      <c r="M12" s="19" t="e">
        <f t="shared" si="6"/>
        <v>#REF!</v>
      </c>
      <c r="N12" s="20" t="e">
        <f t="shared" si="7"/>
        <v>#REF!</v>
      </c>
      <c r="O12" s="21" t="e">
        <f t="shared" si="8"/>
        <v>#REF!</v>
      </c>
    </row>
    <row r="13" spans="1:15" ht="18.75">
      <c r="A13" s="48" t="s">
        <v>70</v>
      </c>
      <c r="B13" s="15">
        <v>17</v>
      </c>
      <c r="C13" s="15">
        <v>28</v>
      </c>
      <c r="D13" s="15">
        <f t="shared" si="1"/>
        <v>45</v>
      </c>
      <c r="E13" s="16">
        <v>24</v>
      </c>
      <c r="F13" s="16">
        <f t="shared" si="2"/>
        <v>408</v>
      </c>
      <c r="G13" s="16">
        <f t="shared" si="0"/>
        <v>672</v>
      </c>
      <c r="H13" s="17">
        <f t="shared" si="3"/>
        <v>1080</v>
      </c>
      <c r="I13" s="67" t="e">
        <f>#REF!</f>
        <v>#REF!</v>
      </c>
      <c r="J13" s="68" t="e">
        <f>#REF!</f>
        <v>#REF!</v>
      </c>
      <c r="K13" s="69" t="e">
        <f t="shared" si="4"/>
        <v>#REF!</v>
      </c>
      <c r="L13" s="18" t="e">
        <f t="shared" si="5"/>
        <v>#REF!</v>
      </c>
      <c r="M13" s="19" t="e">
        <f t="shared" si="6"/>
        <v>#REF!</v>
      </c>
      <c r="N13" s="20" t="e">
        <f t="shared" si="7"/>
        <v>#REF!</v>
      </c>
      <c r="O13" s="21" t="e">
        <f t="shared" si="8"/>
        <v>#REF!</v>
      </c>
    </row>
    <row r="14" spans="1:15" ht="18.75">
      <c r="A14" s="48" t="s">
        <v>96</v>
      </c>
      <c r="B14" s="15">
        <v>29</v>
      </c>
      <c r="C14" s="15">
        <v>19</v>
      </c>
      <c r="D14" s="15">
        <f t="shared" si="1"/>
        <v>48</v>
      </c>
      <c r="E14" s="16">
        <v>24</v>
      </c>
      <c r="F14" s="16">
        <f t="shared" si="2"/>
        <v>696</v>
      </c>
      <c r="G14" s="16">
        <f t="shared" si="0"/>
        <v>456</v>
      </c>
      <c r="H14" s="17">
        <f t="shared" si="3"/>
        <v>1152</v>
      </c>
      <c r="I14" s="67" t="e">
        <f>#REF!</f>
        <v>#REF!</v>
      </c>
      <c r="J14" s="68" t="e">
        <f>#REF!</f>
        <v>#REF!</v>
      </c>
      <c r="K14" s="69" t="e">
        <f t="shared" si="4"/>
        <v>#REF!</v>
      </c>
      <c r="L14" s="18" t="e">
        <f t="shared" si="5"/>
        <v>#REF!</v>
      </c>
      <c r="M14" s="19" t="e">
        <f t="shared" si="6"/>
        <v>#REF!</v>
      </c>
      <c r="N14" s="20" t="e">
        <f t="shared" si="7"/>
        <v>#REF!</v>
      </c>
      <c r="O14" s="21" t="e">
        <f t="shared" si="8"/>
        <v>#REF!</v>
      </c>
    </row>
    <row r="15" spans="1:15" ht="18.75">
      <c r="A15" s="48" t="s">
        <v>97</v>
      </c>
      <c r="B15" s="15">
        <v>19</v>
      </c>
      <c r="C15" s="15">
        <v>23</v>
      </c>
      <c r="D15" s="15">
        <f t="shared" si="1"/>
        <v>42</v>
      </c>
      <c r="E15" s="16">
        <v>24</v>
      </c>
      <c r="F15" s="16">
        <f t="shared" si="2"/>
        <v>456</v>
      </c>
      <c r="G15" s="16">
        <f t="shared" si="0"/>
        <v>552</v>
      </c>
      <c r="H15" s="17">
        <f t="shared" si="3"/>
        <v>1008</v>
      </c>
      <c r="I15" s="67" t="e">
        <f>#REF!</f>
        <v>#REF!</v>
      </c>
      <c r="J15" s="68" t="e">
        <f>#REF!</f>
        <v>#REF!</v>
      </c>
      <c r="K15" s="69" t="e">
        <f t="shared" si="4"/>
        <v>#REF!</v>
      </c>
      <c r="L15" s="18" t="e">
        <f t="shared" si="5"/>
        <v>#REF!</v>
      </c>
      <c r="M15" s="19" t="e">
        <f t="shared" si="6"/>
        <v>#REF!</v>
      </c>
      <c r="N15" s="20" t="e">
        <f t="shared" si="7"/>
        <v>#REF!</v>
      </c>
      <c r="O15" s="21" t="e">
        <f t="shared" si="8"/>
        <v>#REF!</v>
      </c>
    </row>
    <row r="16" spans="1:15" ht="19.5" thickBot="1">
      <c r="A16" s="49" t="s">
        <v>98</v>
      </c>
      <c r="B16" s="24">
        <v>16</v>
      </c>
      <c r="C16" s="24">
        <v>19</v>
      </c>
      <c r="D16" s="24">
        <f t="shared" si="1"/>
        <v>35</v>
      </c>
      <c r="E16" s="25">
        <v>24</v>
      </c>
      <c r="F16" s="25">
        <f t="shared" si="2"/>
        <v>384</v>
      </c>
      <c r="G16" s="25">
        <f t="shared" si="0"/>
        <v>456</v>
      </c>
      <c r="H16" s="26">
        <f t="shared" si="3"/>
        <v>840</v>
      </c>
      <c r="I16" s="70" t="e">
        <f>#REF!</f>
        <v>#REF!</v>
      </c>
      <c r="J16" s="71" t="e">
        <f>#REF!</f>
        <v>#REF!</v>
      </c>
      <c r="K16" s="72" t="e">
        <f t="shared" si="4"/>
        <v>#REF!</v>
      </c>
      <c r="L16" s="27" t="e">
        <f t="shared" si="5"/>
        <v>#REF!</v>
      </c>
      <c r="M16" s="28" t="e">
        <f t="shared" si="6"/>
        <v>#REF!</v>
      </c>
      <c r="N16" s="29" t="e">
        <f t="shared" si="7"/>
        <v>#REF!</v>
      </c>
      <c r="O16" s="30" t="e">
        <f t="shared" si="8"/>
        <v>#REF!</v>
      </c>
    </row>
    <row r="17" spans="1:15" ht="18.75">
      <c r="A17" s="31" t="s">
        <v>13</v>
      </c>
      <c r="B17" s="32">
        <f t="shared" ref="B17:K17" si="9">SUM(B6:B16)</f>
        <v>269</v>
      </c>
      <c r="C17" s="32">
        <f t="shared" si="9"/>
        <v>270</v>
      </c>
      <c r="D17" s="32">
        <f t="shared" si="9"/>
        <v>539</v>
      </c>
      <c r="E17" s="33">
        <f t="shared" si="9"/>
        <v>264</v>
      </c>
      <c r="F17" s="33">
        <f t="shared" si="9"/>
        <v>6456</v>
      </c>
      <c r="G17" s="33">
        <f t="shared" si="9"/>
        <v>6480</v>
      </c>
      <c r="H17" s="39">
        <f t="shared" si="9"/>
        <v>12936</v>
      </c>
      <c r="I17" s="73" t="e">
        <f t="shared" si="9"/>
        <v>#REF!</v>
      </c>
      <c r="J17" s="74" t="e">
        <f t="shared" si="9"/>
        <v>#REF!</v>
      </c>
      <c r="K17" s="75" t="e">
        <f t="shared" si="9"/>
        <v>#REF!</v>
      </c>
      <c r="L17" s="41" t="e">
        <f>J17/G17</f>
        <v>#REF!</v>
      </c>
      <c r="M17" s="34" t="e">
        <f>I17/F17</f>
        <v>#REF!</v>
      </c>
      <c r="N17" s="34" t="e">
        <f>AVERAGE(N6:N16)</f>
        <v>#REF!</v>
      </c>
      <c r="O17" s="35" t="e">
        <f>AVERAGE(O6:O16)</f>
        <v>#REF!</v>
      </c>
    </row>
    <row r="18" spans="1:15" ht="15.75" thickBot="1">
      <c r="A18" s="36" t="s">
        <v>16</v>
      </c>
      <c r="B18" s="37">
        <v>1</v>
      </c>
      <c r="C18" s="37">
        <v>1</v>
      </c>
      <c r="D18" s="38">
        <v>1</v>
      </c>
      <c r="E18" s="37">
        <v>1</v>
      </c>
      <c r="F18" s="37">
        <v>1</v>
      </c>
      <c r="G18" s="38">
        <v>1</v>
      </c>
      <c r="H18" s="40">
        <v>1</v>
      </c>
      <c r="I18" s="43" t="e">
        <f>I17/F17</f>
        <v>#REF!</v>
      </c>
      <c r="J18" s="38" t="e">
        <f>J17/G17</f>
        <v>#REF!</v>
      </c>
      <c r="K18" s="44" t="e">
        <f>K17/H17</f>
        <v>#REF!</v>
      </c>
      <c r="L18" s="42">
        <v>0.54</v>
      </c>
      <c r="M18" s="22">
        <v>0.56000000000000005</v>
      </c>
      <c r="N18" s="22">
        <v>0.55000000000000004</v>
      </c>
      <c r="O18" s="23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CCCC-6FDC-45D7-9604-6EDA0CB1A9B1}">
  <dimension ref="A1:AL40"/>
  <sheetViews>
    <sheetView topLeftCell="A2" zoomScaleNormal="100" workbookViewId="0">
      <selection activeCell="A2" sqref="A2:AF2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99" t="s">
        <v>125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1"/>
      <c r="AH1" s="11"/>
    </row>
    <row r="2" spans="1:38" ht="17.25">
      <c r="A2" s="100" t="s">
        <v>404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2"/>
      <c r="AH2" s="12"/>
      <c r="AI2" s="12"/>
    </row>
    <row r="3" spans="1:38" ht="15.75">
      <c r="A3" s="101" t="s">
        <v>0</v>
      </c>
      <c r="B3" s="101" t="s">
        <v>1</v>
      </c>
      <c r="C3" s="101" t="s">
        <v>2</v>
      </c>
      <c r="D3" s="101" t="s">
        <v>3</v>
      </c>
      <c r="E3" s="2" t="s">
        <v>403</v>
      </c>
      <c r="F3" s="2" t="s">
        <v>397</v>
      </c>
      <c r="G3" s="2" t="s">
        <v>398</v>
      </c>
      <c r="H3" s="2" t="s">
        <v>399</v>
      </c>
      <c r="I3" s="2" t="s">
        <v>400</v>
      </c>
      <c r="J3" s="2" t="s">
        <v>401</v>
      </c>
      <c r="K3" s="2" t="s">
        <v>402</v>
      </c>
      <c r="L3" s="2" t="s">
        <v>403</v>
      </c>
      <c r="M3" s="2" t="s">
        <v>397</v>
      </c>
      <c r="N3" s="2" t="s">
        <v>398</v>
      </c>
      <c r="O3" s="2" t="s">
        <v>399</v>
      </c>
      <c r="P3" s="2" t="s">
        <v>400</v>
      </c>
      <c r="Q3" s="2" t="s">
        <v>401</v>
      </c>
      <c r="R3" s="2" t="s">
        <v>402</v>
      </c>
      <c r="S3" s="2" t="s">
        <v>403</v>
      </c>
      <c r="T3" s="2" t="s">
        <v>397</v>
      </c>
      <c r="U3" s="2" t="s">
        <v>398</v>
      </c>
      <c r="V3" s="2" t="s">
        <v>399</v>
      </c>
      <c r="W3" s="2" t="s">
        <v>400</v>
      </c>
      <c r="X3" s="2" t="s">
        <v>401</v>
      </c>
      <c r="Y3" s="2" t="s">
        <v>402</v>
      </c>
      <c r="Z3" s="2" t="s">
        <v>403</v>
      </c>
      <c r="AA3" s="2" t="s">
        <v>397</v>
      </c>
      <c r="AB3" s="2" t="s">
        <v>398</v>
      </c>
      <c r="AC3" s="2" t="s">
        <v>399</v>
      </c>
      <c r="AD3" s="2" t="s">
        <v>400</v>
      </c>
      <c r="AE3" s="2" t="s">
        <v>401</v>
      </c>
      <c r="AF3" s="2" t="s">
        <v>402</v>
      </c>
      <c r="AG3" s="103" t="s">
        <v>4</v>
      </c>
      <c r="AH3" s="103" t="s">
        <v>5</v>
      </c>
      <c r="AI3" s="104" t="s">
        <v>28</v>
      </c>
      <c r="AJ3" s="105"/>
      <c r="AK3" s="3"/>
      <c r="AL3" s="3"/>
    </row>
    <row r="4" spans="1:38" ht="36">
      <c r="A4" s="101"/>
      <c r="B4" s="101"/>
      <c r="C4" s="101"/>
      <c r="D4" s="101"/>
      <c r="E4" s="10">
        <v>45323</v>
      </c>
      <c r="F4" s="10">
        <v>45324</v>
      </c>
      <c r="G4" s="10">
        <v>45325</v>
      </c>
      <c r="H4" s="10">
        <v>45326</v>
      </c>
      <c r="I4" s="10">
        <v>45327</v>
      </c>
      <c r="J4" s="10">
        <v>45328</v>
      </c>
      <c r="K4" s="10">
        <v>45329</v>
      </c>
      <c r="L4" s="10">
        <v>45330</v>
      </c>
      <c r="M4" s="10">
        <v>45331</v>
      </c>
      <c r="N4" s="10">
        <v>45332</v>
      </c>
      <c r="O4" s="10">
        <v>45333</v>
      </c>
      <c r="P4" s="10">
        <v>45334</v>
      </c>
      <c r="Q4" s="10">
        <v>45335</v>
      </c>
      <c r="R4" s="10">
        <v>45336</v>
      </c>
      <c r="S4" s="10">
        <v>45337</v>
      </c>
      <c r="T4" s="10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103"/>
      <c r="AH4" s="103"/>
      <c r="AI4" s="4" t="s">
        <v>29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1" t="s">
        <v>54</v>
      </c>
      <c r="C5" s="81" t="s">
        <v>172</v>
      </c>
      <c r="D5" s="5" t="s">
        <v>6</v>
      </c>
      <c r="E5" s="91" t="s">
        <v>414</v>
      </c>
      <c r="F5" s="102" t="s">
        <v>27</v>
      </c>
      <c r="G5" s="13" t="s">
        <v>24</v>
      </c>
      <c r="H5" s="13" t="s">
        <v>24</v>
      </c>
      <c r="I5" s="102" t="s">
        <v>415</v>
      </c>
      <c r="J5" s="13" t="s">
        <v>24</v>
      </c>
      <c r="K5" s="13" t="s">
        <v>24</v>
      </c>
      <c r="L5" s="90" t="s">
        <v>24</v>
      </c>
      <c r="M5" s="102" t="s">
        <v>27</v>
      </c>
      <c r="N5" s="6" t="s">
        <v>24</v>
      </c>
      <c r="O5" s="6" t="s">
        <v>24</v>
      </c>
      <c r="P5" s="6" t="s">
        <v>24</v>
      </c>
      <c r="Q5" s="6" t="s">
        <v>24</v>
      </c>
      <c r="R5" s="102" t="s">
        <v>416</v>
      </c>
      <c r="S5" s="91" t="s">
        <v>24</v>
      </c>
      <c r="T5" s="102" t="s">
        <v>27</v>
      </c>
      <c r="U5" s="6" t="s">
        <v>24</v>
      </c>
      <c r="V5" s="6" t="s">
        <v>24</v>
      </c>
      <c r="W5" s="6" t="s">
        <v>24</v>
      </c>
      <c r="X5" s="6" t="s">
        <v>24</v>
      </c>
      <c r="Y5" s="6" t="s">
        <v>24</v>
      </c>
      <c r="Z5" s="91" t="s">
        <v>24</v>
      </c>
      <c r="AA5" s="102" t="s">
        <v>27</v>
      </c>
      <c r="AB5" s="6" t="s">
        <v>24</v>
      </c>
      <c r="AC5" s="6" t="s">
        <v>24</v>
      </c>
      <c r="AD5" s="6" t="s">
        <v>24</v>
      </c>
      <c r="AE5" s="6" t="s">
        <v>24</v>
      </c>
      <c r="AF5" s="6" t="s">
        <v>24</v>
      </c>
      <c r="AG5" s="4">
        <f t="shared" ref="AG5:AG40" si="0">COUNTIF(E5:AF5,"P")</f>
        <v>22</v>
      </c>
      <c r="AH5" s="4">
        <f t="shared" ref="AH5:AH40" si="1">COUNTIF(E5:AF5,"A")</f>
        <v>0</v>
      </c>
      <c r="AI5" s="4" t="s">
        <v>7</v>
      </c>
      <c r="AJ5" s="7">
        <v>24</v>
      </c>
      <c r="AK5" s="8"/>
      <c r="AL5" s="3"/>
    </row>
    <row r="6" spans="1:38" ht="16.5">
      <c r="A6" s="7">
        <v>2</v>
      </c>
      <c r="B6" s="80" t="s">
        <v>365</v>
      </c>
      <c r="C6" s="80" t="s">
        <v>260</v>
      </c>
      <c r="D6" s="5" t="s">
        <v>6</v>
      </c>
      <c r="E6" s="91" t="s">
        <v>414</v>
      </c>
      <c r="F6" s="102"/>
      <c r="G6" s="13" t="s">
        <v>24</v>
      </c>
      <c r="H6" s="13" t="s">
        <v>24</v>
      </c>
      <c r="I6" s="102"/>
      <c r="J6" s="13" t="s">
        <v>24</v>
      </c>
      <c r="K6" s="13" t="s">
        <v>24</v>
      </c>
      <c r="L6" s="90" t="s">
        <v>24</v>
      </c>
      <c r="M6" s="102"/>
      <c r="N6" s="6" t="s">
        <v>24</v>
      </c>
      <c r="O6" s="6" t="s">
        <v>24</v>
      </c>
      <c r="P6" s="6" t="s">
        <v>24</v>
      </c>
      <c r="Q6" s="6" t="s">
        <v>24</v>
      </c>
      <c r="R6" s="102"/>
      <c r="S6" s="91" t="s">
        <v>24</v>
      </c>
      <c r="T6" s="102"/>
      <c r="U6" s="6" t="s">
        <v>24</v>
      </c>
      <c r="V6" s="6" t="s">
        <v>24</v>
      </c>
      <c r="W6" s="6" t="s">
        <v>23</v>
      </c>
      <c r="X6" s="6" t="s">
        <v>24</v>
      </c>
      <c r="Y6" s="6" t="s">
        <v>24</v>
      </c>
      <c r="Z6" s="91" t="s">
        <v>24</v>
      </c>
      <c r="AA6" s="102"/>
      <c r="AB6" s="6" t="s">
        <v>24</v>
      </c>
      <c r="AC6" s="6" t="s">
        <v>24</v>
      </c>
      <c r="AD6" s="6" t="s">
        <v>24</v>
      </c>
      <c r="AE6" s="6" t="s">
        <v>24</v>
      </c>
      <c r="AF6" s="6" t="s">
        <v>24</v>
      </c>
      <c r="AG6" s="4">
        <f t="shared" si="0"/>
        <v>21</v>
      </c>
      <c r="AH6" s="4">
        <f t="shared" si="1"/>
        <v>1</v>
      </c>
      <c r="AI6" s="4" t="s">
        <v>8</v>
      </c>
      <c r="AJ6" s="7">
        <v>4</v>
      </c>
      <c r="AK6" s="3"/>
      <c r="AL6" s="3"/>
    </row>
    <row r="7" spans="1:38" ht="16.5">
      <c r="A7" s="7">
        <v>3</v>
      </c>
      <c r="B7" s="80" t="s">
        <v>366</v>
      </c>
      <c r="C7" s="80" t="s">
        <v>343</v>
      </c>
      <c r="D7" s="5" t="s">
        <v>6</v>
      </c>
      <c r="E7" s="91" t="s">
        <v>414</v>
      </c>
      <c r="F7" s="102"/>
      <c r="G7" s="13" t="s">
        <v>23</v>
      </c>
      <c r="H7" s="13" t="s">
        <v>24</v>
      </c>
      <c r="I7" s="102"/>
      <c r="J7" s="13" t="s">
        <v>24</v>
      </c>
      <c r="K7" s="13" t="s">
        <v>24</v>
      </c>
      <c r="L7" s="90" t="s">
        <v>24</v>
      </c>
      <c r="M7" s="102"/>
      <c r="N7" s="6" t="s">
        <v>24</v>
      </c>
      <c r="O7" s="6" t="s">
        <v>24</v>
      </c>
      <c r="P7" s="6" t="s">
        <v>24</v>
      </c>
      <c r="Q7" s="6" t="s">
        <v>24</v>
      </c>
      <c r="R7" s="102"/>
      <c r="S7" s="91" t="s">
        <v>24</v>
      </c>
      <c r="T7" s="102"/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91" t="s">
        <v>24</v>
      </c>
      <c r="AA7" s="102"/>
      <c r="AB7" s="6" t="s">
        <v>24</v>
      </c>
      <c r="AC7" s="6" t="s">
        <v>24</v>
      </c>
      <c r="AD7" s="6" t="s">
        <v>24</v>
      </c>
      <c r="AE7" s="6" t="s">
        <v>24</v>
      </c>
      <c r="AF7" s="6" t="s">
        <v>24</v>
      </c>
      <c r="AG7" s="4">
        <f t="shared" si="0"/>
        <v>21</v>
      </c>
      <c r="AH7" s="4">
        <f t="shared" si="1"/>
        <v>1</v>
      </c>
      <c r="AI7" s="4" t="s">
        <v>32</v>
      </c>
      <c r="AJ7" s="7">
        <v>1</v>
      </c>
      <c r="AK7" s="3"/>
      <c r="AL7" s="3"/>
    </row>
    <row r="8" spans="1:38" ht="16.5">
      <c r="A8" s="7">
        <v>4</v>
      </c>
      <c r="B8" s="80" t="s">
        <v>67</v>
      </c>
      <c r="C8" s="80" t="s">
        <v>296</v>
      </c>
      <c r="D8" s="5" t="s">
        <v>6</v>
      </c>
      <c r="E8" s="91" t="s">
        <v>414</v>
      </c>
      <c r="F8" s="102"/>
      <c r="G8" s="13" t="s">
        <v>24</v>
      </c>
      <c r="H8" s="13" t="s">
        <v>24</v>
      </c>
      <c r="I8" s="102"/>
      <c r="J8" s="13" t="s">
        <v>24</v>
      </c>
      <c r="K8" s="13" t="s">
        <v>24</v>
      </c>
      <c r="L8" s="90" t="s">
        <v>24</v>
      </c>
      <c r="M8" s="102"/>
      <c r="N8" s="6" t="s">
        <v>24</v>
      </c>
      <c r="O8" s="6" t="s">
        <v>24</v>
      </c>
      <c r="P8" s="6" t="s">
        <v>24</v>
      </c>
      <c r="Q8" s="6" t="s">
        <v>24</v>
      </c>
      <c r="R8" s="102"/>
      <c r="S8" s="91" t="s">
        <v>24</v>
      </c>
      <c r="T8" s="102"/>
      <c r="U8" s="6" t="s">
        <v>24</v>
      </c>
      <c r="V8" s="6" t="s">
        <v>24</v>
      </c>
      <c r="W8" s="6" t="s">
        <v>24</v>
      </c>
      <c r="X8" s="6" t="s">
        <v>24</v>
      </c>
      <c r="Y8" s="6" t="s">
        <v>24</v>
      </c>
      <c r="Z8" s="91" t="s">
        <v>24</v>
      </c>
      <c r="AA8" s="102"/>
      <c r="AB8" s="6" t="s">
        <v>24</v>
      </c>
      <c r="AC8" s="6" t="s">
        <v>24</v>
      </c>
      <c r="AD8" s="6" t="s">
        <v>24</v>
      </c>
      <c r="AE8" s="6" t="s">
        <v>24</v>
      </c>
      <c r="AF8" s="6" t="s">
        <v>24</v>
      </c>
      <c r="AG8" s="4">
        <f t="shared" si="0"/>
        <v>22</v>
      </c>
      <c r="AH8" s="4">
        <f t="shared" si="1"/>
        <v>0</v>
      </c>
      <c r="AI8" s="4" t="s">
        <v>30</v>
      </c>
      <c r="AJ8" s="7">
        <v>1</v>
      </c>
      <c r="AK8"/>
      <c r="AL8"/>
    </row>
    <row r="9" spans="1:38" ht="16.5">
      <c r="A9" s="7">
        <v>5</v>
      </c>
      <c r="B9" s="80" t="s">
        <v>367</v>
      </c>
      <c r="C9" s="80" t="s">
        <v>368</v>
      </c>
      <c r="D9" s="5" t="s">
        <v>6</v>
      </c>
      <c r="E9" s="91" t="s">
        <v>414</v>
      </c>
      <c r="F9" s="102"/>
      <c r="G9" s="13" t="s">
        <v>24</v>
      </c>
      <c r="H9" s="13" t="s">
        <v>24</v>
      </c>
      <c r="I9" s="102"/>
      <c r="J9" s="13" t="s">
        <v>24</v>
      </c>
      <c r="K9" s="13" t="s">
        <v>24</v>
      </c>
      <c r="L9" s="90" t="s">
        <v>24</v>
      </c>
      <c r="M9" s="102"/>
      <c r="N9" s="6" t="s">
        <v>24</v>
      </c>
      <c r="O9" s="6" t="s">
        <v>24</v>
      </c>
      <c r="P9" s="6" t="s">
        <v>24</v>
      </c>
      <c r="Q9" s="6" t="s">
        <v>24</v>
      </c>
      <c r="R9" s="102"/>
      <c r="S9" s="91" t="s">
        <v>24</v>
      </c>
      <c r="T9" s="102"/>
      <c r="U9" s="6" t="s">
        <v>24</v>
      </c>
      <c r="V9" s="6" t="s">
        <v>24</v>
      </c>
      <c r="W9" s="6" t="s">
        <v>24</v>
      </c>
      <c r="X9" s="6" t="s">
        <v>24</v>
      </c>
      <c r="Y9" s="6" t="s">
        <v>24</v>
      </c>
      <c r="Z9" s="91" t="s">
        <v>24</v>
      </c>
      <c r="AA9" s="102"/>
      <c r="AB9" s="6" t="s">
        <v>24</v>
      </c>
      <c r="AC9" s="6" t="s">
        <v>24</v>
      </c>
      <c r="AD9" s="6" t="s">
        <v>24</v>
      </c>
      <c r="AE9" s="6" t="s">
        <v>24</v>
      </c>
      <c r="AF9" s="6" t="s">
        <v>24</v>
      </c>
      <c r="AG9" s="4">
        <f t="shared" si="0"/>
        <v>22</v>
      </c>
      <c r="AH9" s="4">
        <f t="shared" si="1"/>
        <v>0</v>
      </c>
      <c r="AI9" s="4"/>
      <c r="AJ9" s="7"/>
    </row>
    <row r="10" spans="1:38" ht="16.5">
      <c r="A10" s="7">
        <v>6</v>
      </c>
      <c r="B10" s="80" t="s">
        <v>367</v>
      </c>
      <c r="C10" s="80" t="s">
        <v>369</v>
      </c>
      <c r="D10" s="5" t="s">
        <v>6</v>
      </c>
      <c r="E10" s="91" t="s">
        <v>414</v>
      </c>
      <c r="F10" s="102"/>
      <c r="G10" s="13" t="s">
        <v>24</v>
      </c>
      <c r="H10" s="13" t="s">
        <v>24</v>
      </c>
      <c r="I10" s="102"/>
      <c r="J10" s="13" t="s">
        <v>24</v>
      </c>
      <c r="K10" s="13" t="s">
        <v>24</v>
      </c>
      <c r="L10" s="90" t="s">
        <v>24</v>
      </c>
      <c r="M10" s="102"/>
      <c r="N10" s="6" t="s">
        <v>24</v>
      </c>
      <c r="O10" s="6" t="s">
        <v>24</v>
      </c>
      <c r="P10" s="6" t="s">
        <v>24</v>
      </c>
      <c r="Q10" s="6" t="s">
        <v>24</v>
      </c>
      <c r="R10" s="102"/>
      <c r="S10" s="91" t="s">
        <v>24</v>
      </c>
      <c r="T10" s="102"/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91" t="s">
        <v>24</v>
      </c>
      <c r="AA10" s="102"/>
      <c r="AB10" s="6" t="s">
        <v>24</v>
      </c>
      <c r="AC10" s="6" t="s">
        <v>24</v>
      </c>
      <c r="AD10" s="6" t="s">
        <v>24</v>
      </c>
      <c r="AE10" s="6" t="s">
        <v>24</v>
      </c>
      <c r="AF10" s="6" t="s">
        <v>24</v>
      </c>
      <c r="AG10" s="4">
        <f t="shared" si="0"/>
        <v>22</v>
      </c>
      <c r="AH10" s="4">
        <f t="shared" si="1"/>
        <v>0</v>
      </c>
    </row>
    <row r="11" spans="1:38" ht="16.5">
      <c r="A11" s="7">
        <v>7</v>
      </c>
      <c r="B11" s="80" t="s">
        <v>44</v>
      </c>
      <c r="C11" s="80" t="s">
        <v>370</v>
      </c>
      <c r="D11" s="5" t="s">
        <v>6</v>
      </c>
      <c r="E11" s="91" t="s">
        <v>414</v>
      </c>
      <c r="F11" s="102"/>
      <c r="G11" s="13" t="s">
        <v>23</v>
      </c>
      <c r="H11" s="13" t="s">
        <v>24</v>
      </c>
      <c r="I11" s="102"/>
      <c r="J11" s="13" t="s">
        <v>24</v>
      </c>
      <c r="K11" s="13" t="s">
        <v>24</v>
      </c>
      <c r="L11" s="90" t="s">
        <v>24</v>
      </c>
      <c r="M11" s="102"/>
      <c r="N11" s="6" t="s">
        <v>24</v>
      </c>
      <c r="O11" s="6" t="s">
        <v>24</v>
      </c>
      <c r="P11" s="6" t="s">
        <v>25</v>
      </c>
      <c r="Q11" s="6" t="s">
        <v>24</v>
      </c>
      <c r="R11" s="102"/>
      <c r="S11" s="91" t="s">
        <v>24</v>
      </c>
      <c r="T11" s="102"/>
      <c r="U11" s="6" t="s">
        <v>24</v>
      </c>
      <c r="V11" s="6" t="s">
        <v>24</v>
      </c>
      <c r="W11" s="6" t="s">
        <v>23</v>
      </c>
      <c r="X11" s="6" t="s">
        <v>24</v>
      </c>
      <c r="Y11" s="6" t="s">
        <v>24</v>
      </c>
      <c r="Z11" s="91" t="s">
        <v>24</v>
      </c>
      <c r="AA11" s="102"/>
      <c r="AB11" s="6" t="s">
        <v>24</v>
      </c>
      <c r="AC11" s="6" t="s">
        <v>25</v>
      </c>
      <c r="AD11" s="6" t="s">
        <v>25</v>
      </c>
      <c r="AE11" s="6" t="s">
        <v>24</v>
      </c>
      <c r="AF11" s="6" t="s">
        <v>24</v>
      </c>
      <c r="AG11" s="4">
        <f t="shared" si="0"/>
        <v>17</v>
      </c>
      <c r="AH11" s="4">
        <f t="shared" si="1"/>
        <v>2</v>
      </c>
      <c r="AI11" s="104" t="s">
        <v>9</v>
      </c>
      <c r="AJ11" s="105"/>
      <c r="AK11" s="105"/>
      <c r="AL11" s="106"/>
    </row>
    <row r="12" spans="1:38" ht="16.5">
      <c r="A12" s="7">
        <v>8</v>
      </c>
      <c r="B12" s="80" t="s">
        <v>371</v>
      </c>
      <c r="C12" s="80" t="s">
        <v>152</v>
      </c>
      <c r="D12" s="5" t="s">
        <v>6</v>
      </c>
      <c r="E12" s="91" t="s">
        <v>414</v>
      </c>
      <c r="F12" s="102"/>
      <c r="G12" s="13" t="s">
        <v>24</v>
      </c>
      <c r="H12" s="13" t="s">
        <v>24</v>
      </c>
      <c r="I12" s="102"/>
      <c r="J12" s="13" t="s">
        <v>24</v>
      </c>
      <c r="K12" s="13" t="s">
        <v>24</v>
      </c>
      <c r="L12" s="90" t="s">
        <v>24</v>
      </c>
      <c r="M12" s="102"/>
      <c r="N12" s="6" t="s">
        <v>24</v>
      </c>
      <c r="O12" s="6" t="s">
        <v>24</v>
      </c>
      <c r="P12" s="6" t="s">
        <v>24</v>
      </c>
      <c r="Q12" s="6" t="s">
        <v>24</v>
      </c>
      <c r="R12" s="102"/>
      <c r="S12" s="91" t="s">
        <v>24</v>
      </c>
      <c r="T12" s="102"/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91" t="s">
        <v>24</v>
      </c>
      <c r="AA12" s="102"/>
      <c r="AB12" s="6" t="s">
        <v>24</v>
      </c>
      <c r="AC12" s="6" t="s">
        <v>24</v>
      </c>
      <c r="AD12" s="6" t="s">
        <v>24</v>
      </c>
      <c r="AE12" s="6" t="s">
        <v>24</v>
      </c>
      <c r="AF12" s="6" t="s">
        <v>24</v>
      </c>
      <c r="AG12" s="4">
        <f t="shared" si="0"/>
        <v>22</v>
      </c>
      <c r="AH12" s="4">
        <f t="shared" si="1"/>
        <v>0</v>
      </c>
      <c r="AI12" s="4" t="s">
        <v>10</v>
      </c>
      <c r="AJ12" s="4" t="s">
        <v>11</v>
      </c>
      <c r="AK12" s="4" t="s">
        <v>12</v>
      </c>
      <c r="AL12" s="4" t="s">
        <v>13</v>
      </c>
    </row>
    <row r="13" spans="1:38" ht="16.5">
      <c r="A13" s="7">
        <v>9</v>
      </c>
      <c r="B13" s="80" t="s">
        <v>372</v>
      </c>
      <c r="C13" s="80" t="s">
        <v>185</v>
      </c>
      <c r="D13" s="5" t="s">
        <v>6</v>
      </c>
      <c r="E13" s="91" t="s">
        <v>414</v>
      </c>
      <c r="F13" s="102"/>
      <c r="G13" s="13" t="s">
        <v>24</v>
      </c>
      <c r="H13" s="13" t="s">
        <v>24</v>
      </c>
      <c r="I13" s="102"/>
      <c r="J13" s="13" t="s">
        <v>24</v>
      </c>
      <c r="K13" s="13" t="s">
        <v>24</v>
      </c>
      <c r="L13" s="90" t="s">
        <v>24</v>
      </c>
      <c r="M13" s="102"/>
      <c r="N13" s="6" t="s">
        <v>24</v>
      </c>
      <c r="O13" s="6" t="s">
        <v>24</v>
      </c>
      <c r="P13" s="6" t="s">
        <v>24</v>
      </c>
      <c r="Q13" s="6" t="s">
        <v>24</v>
      </c>
      <c r="R13" s="102"/>
      <c r="S13" s="91" t="s">
        <v>24</v>
      </c>
      <c r="T13" s="102"/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91" t="s">
        <v>24</v>
      </c>
      <c r="AA13" s="102"/>
      <c r="AB13" s="6" t="s">
        <v>24</v>
      </c>
      <c r="AC13" s="6" t="s">
        <v>25</v>
      </c>
      <c r="AD13" s="6" t="s">
        <v>24</v>
      </c>
      <c r="AE13" s="6" t="s">
        <v>24</v>
      </c>
      <c r="AF13" s="6" t="s">
        <v>24</v>
      </c>
      <c r="AG13" s="4">
        <f t="shared" si="0"/>
        <v>21</v>
      </c>
      <c r="AH13" s="4">
        <f t="shared" si="1"/>
        <v>0</v>
      </c>
      <c r="AI13" s="4" t="s">
        <v>14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26</v>
      </c>
      <c r="C14" s="80" t="s">
        <v>373</v>
      </c>
      <c r="D14" s="5" t="s">
        <v>6</v>
      </c>
      <c r="E14" s="91" t="s">
        <v>414</v>
      </c>
      <c r="F14" s="102"/>
      <c r="G14" s="13" t="s">
        <v>24</v>
      </c>
      <c r="H14" s="13" t="s">
        <v>24</v>
      </c>
      <c r="I14" s="102"/>
      <c r="J14" s="13" t="s">
        <v>24</v>
      </c>
      <c r="K14" s="13" t="s">
        <v>24</v>
      </c>
      <c r="L14" s="90" t="s">
        <v>24</v>
      </c>
      <c r="M14" s="102"/>
      <c r="N14" s="6" t="s">
        <v>24</v>
      </c>
      <c r="O14" s="6" t="s">
        <v>24</v>
      </c>
      <c r="P14" s="6" t="s">
        <v>24</v>
      </c>
      <c r="Q14" s="6" t="s">
        <v>24</v>
      </c>
      <c r="R14" s="102"/>
      <c r="S14" s="91" t="s">
        <v>24</v>
      </c>
      <c r="T14" s="102"/>
      <c r="U14" s="6" t="s">
        <v>24</v>
      </c>
      <c r="V14" s="6" t="s">
        <v>24</v>
      </c>
      <c r="W14" s="6" t="s">
        <v>24</v>
      </c>
      <c r="X14" s="6" t="s">
        <v>24</v>
      </c>
      <c r="Y14" s="6" t="s">
        <v>24</v>
      </c>
      <c r="Z14" s="91" t="s">
        <v>24</v>
      </c>
      <c r="AA14" s="102"/>
      <c r="AB14" s="6" t="s">
        <v>24</v>
      </c>
      <c r="AC14" s="6" t="s">
        <v>24</v>
      </c>
      <c r="AD14" s="6" t="s">
        <v>24</v>
      </c>
      <c r="AE14" s="6" t="s">
        <v>24</v>
      </c>
      <c r="AF14" s="6" t="s">
        <v>24</v>
      </c>
      <c r="AG14" s="4">
        <f t="shared" si="0"/>
        <v>22</v>
      </c>
      <c r="AH14" s="4">
        <f t="shared" si="1"/>
        <v>0</v>
      </c>
      <c r="AI14" s="4" t="s">
        <v>15</v>
      </c>
      <c r="AJ14" s="7" t="e">
        <f>SUM(AG6,AG9,AG11,AG13,AG16,AG21,AG22,AG23,AG24,AG25,AG26,AG27,AG32,AG34,AG36,AG40,#REF!,#REF!,#REF!,#REF!,#REF!,#REF!,#REF!,#REF!,#REF!,#REF!,#REF!)</f>
        <v>#REF!</v>
      </c>
      <c r="AK14" s="7" t="e">
        <f>SUM(AG5,AG7,AG8,AG10,AG12,AG14,AG15,AG17,AG18,AG19,AG20,AG28,AG29,AG30,AG31,AG33,AG35,AG37,AG38,AG39,#REF!,#REF!,#REF!,#REF!,#REF!,#REF!,#REF!)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53</v>
      </c>
      <c r="C15" s="80" t="s">
        <v>177</v>
      </c>
      <c r="D15" s="5" t="s">
        <v>6</v>
      </c>
      <c r="E15" s="91" t="s">
        <v>414</v>
      </c>
      <c r="F15" s="102"/>
      <c r="G15" s="13" t="s">
        <v>23</v>
      </c>
      <c r="H15" s="13" t="s">
        <v>24</v>
      </c>
      <c r="I15" s="102"/>
      <c r="J15" s="13" t="s">
        <v>24</v>
      </c>
      <c r="K15" s="13" t="s">
        <v>24</v>
      </c>
      <c r="L15" s="90" t="s">
        <v>24</v>
      </c>
      <c r="M15" s="102"/>
      <c r="N15" s="6" t="s">
        <v>24</v>
      </c>
      <c r="O15" s="6" t="s">
        <v>24</v>
      </c>
      <c r="P15" s="6" t="s">
        <v>24</v>
      </c>
      <c r="Q15" s="6" t="s">
        <v>24</v>
      </c>
      <c r="R15" s="102"/>
      <c r="S15" s="91" t="s">
        <v>24</v>
      </c>
      <c r="T15" s="102"/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91" t="s">
        <v>24</v>
      </c>
      <c r="AA15" s="102"/>
      <c r="AB15" s="6" t="s">
        <v>24</v>
      </c>
      <c r="AC15" s="6" t="s">
        <v>24</v>
      </c>
      <c r="AD15" s="6" t="s">
        <v>24</v>
      </c>
      <c r="AE15" s="6" t="s">
        <v>24</v>
      </c>
      <c r="AF15" s="6" t="s">
        <v>24</v>
      </c>
      <c r="AG15" s="4">
        <f t="shared" si="0"/>
        <v>21</v>
      </c>
      <c r="AH15" s="4">
        <f t="shared" si="1"/>
        <v>1</v>
      </c>
      <c r="AI15" s="4" t="s">
        <v>16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374</v>
      </c>
      <c r="C16" s="80" t="s">
        <v>170</v>
      </c>
      <c r="D16" s="5" t="s">
        <v>6</v>
      </c>
      <c r="E16" s="91" t="s">
        <v>414</v>
      </c>
      <c r="F16" s="102"/>
      <c r="G16" s="13" t="s">
        <v>24</v>
      </c>
      <c r="H16" s="13" t="s">
        <v>24</v>
      </c>
      <c r="I16" s="102"/>
      <c r="J16" s="13" t="s">
        <v>24</v>
      </c>
      <c r="K16" s="13" t="s">
        <v>24</v>
      </c>
      <c r="L16" s="90" t="s">
        <v>24</v>
      </c>
      <c r="M16" s="102"/>
      <c r="N16" s="6" t="s">
        <v>24</v>
      </c>
      <c r="O16" s="6" t="s">
        <v>24</v>
      </c>
      <c r="P16" s="6" t="s">
        <v>24</v>
      </c>
      <c r="Q16" s="6" t="s">
        <v>24</v>
      </c>
      <c r="R16" s="102"/>
      <c r="S16" s="91" t="s">
        <v>24</v>
      </c>
      <c r="T16" s="102"/>
      <c r="U16" s="6" t="s">
        <v>24</v>
      </c>
      <c r="V16" s="6" t="s">
        <v>24</v>
      </c>
      <c r="W16" s="6" t="s">
        <v>23</v>
      </c>
      <c r="X16" s="6" t="s">
        <v>24</v>
      </c>
      <c r="Y16" s="6" t="s">
        <v>24</v>
      </c>
      <c r="Z16" s="91" t="s">
        <v>24</v>
      </c>
      <c r="AA16" s="102"/>
      <c r="AB16" s="6" t="s">
        <v>24</v>
      </c>
      <c r="AC16" s="6" t="s">
        <v>24</v>
      </c>
      <c r="AD16" s="6" t="s">
        <v>24</v>
      </c>
      <c r="AE16" s="6" t="s">
        <v>24</v>
      </c>
      <c r="AF16" s="6" t="s">
        <v>24</v>
      </c>
      <c r="AG16" s="4">
        <f t="shared" si="0"/>
        <v>21</v>
      </c>
      <c r="AH16" s="4">
        <f t="shared" si="1"/>
        <v>1</v>
      </c>
      <c r="AI16"/>
      <c r="AJ16"/>
      <c r="AK16"/>
      <c r="AL16"/>
    </row>
    <row r="17" spans="1:38" ht="16.5">
      <c r="A17" s="7">
        <v>13</v>
      </c>
      <c r="B17" s="80" t="s">
        <v>375</v>
      </c>
      <c r="C17" s="80" t="s">
        <v>317</v>
      </c>
      <c r="D17" s="5" t="s">
        <v>6</v>
      </c>
      <c r="E17" s="91" t="s">
        <v>414</v>
      </c>
      <c r="F17" s="102"/>
      <c r="G17" s="13" t="s">
        <v>24</v>
      </c>
      <c r="H17" s="13" t="s">
        <v>24</v>
      </c>
      <c r="I17" s="102"/>
      <c r="J17" s="13" t="s">
        <v>24</v>
      </c>
      <c r="K17" s="13" t="s">
        <v>24</v>
      </c>
      <c r="L17" s="90" t="s">
        <v>24</v>
      </c>
      <c r="M17" s="102"/>
      <c r="N17" s="6" t="s">
        <v>24</v>
      </c>
      <c r="O17" s="6" t="s">
        <v>24</v>
      </c>
      <c r="P17" s="6" t="s">
        <v>24</v>
      </c>
      <c r="Q17" s="6" t="s">
        <v>24</v>
      </c>
      <c r="R17" s="102"/>
      <c r="S17" s="91" t="s">
        <v>24</v>
      </c>
      <c r="T17" s="102"/>
      <c r="U17" s="6" t="s">
        <v>24</v>
      </c>
      <c r="V17" s="6" t="s">
        <v>24</v>
      </c>
      <c r="W17" s="6" t="s">
        <v>24</v>
      </c>
      <c r="X17" s="6" t="s">
        <v>24</v>
      </c>
      <c r="Y17" s="6" t="s">
        <v>24</v>
      </c>
      <c r="Z17" s="91" t="s">
        <v>24</v>
      </c>
      <c r="AA17" s="102"/>
      <c r="AB17" s="6" t="s">
        <v>24</v>
      </c>
      <c r="AC17" s="6" t="s">
        <v>24</v>
      </c>
      <c r="AD17" s="6" t="s">
        <v>24</v>
      </c>
      <c r="AE17" s="6" t="s">
        <v>24</v>
      </c>
      <c r="AF17" s="6" t="s">
        <v>24</v>
      </c>
      <c r="AG17" s="4">
        <f t="shared" si="0"/>
        <v>22</v>
      </c>
      <c r="AH17" s="4">
        <f t="shared" si="1"/>
        <v>0</v>
      </c>
      <c r="AI17"/>
      <c r="AJ17"/>
      <c r="AK17"/>
      <c r="AL17"/>
    </row>
    <row r="18" spans="1:38" ht="16.5">
      <c r="A18" s="7">
        <v>14</v>
      </c>
      <c r="B18" s="80" t="s">
        <v>376</v>
      </c>
      <c r="C18" s="80" t="s">
        <v>276</v>
      </c>
      <c r="D18" s="5" t="s">
        <v>6</v>
      </c>
      <c r="E18" s="91" t="s">
        <v>414</v>
      </c>
      <c r="F18" s="102"/>
      <c r="G18" s="13" t="s">
        <v>24</v>
      </c>
      <c r="H18" s="13" t="s">
        <v>24</v>
      </c>
      <c r="I18" s="102"/>
      <c r="J18" s="13" t="s">
        <v>24</v>
      </c>
      <c r="K18" s="13" t="s">
        <v>24</v>
      </c>
      <c r="L18" s="90" t="s">
        <v>24</v>
      </c>
      <c r="M18" s="102"/>
      <c r="N18" s="6" t="s">
        <v>24</v>
      </c>
      <c r="O18" s="6" t="s">
        <v>24</v>
      </c>
      <c r="P18" s="6" t="s">
        <v>24</v>
      </c>
      <c r="Q18" s="6" t="s">
        <v>24</v>
      </c>
      <c r="R18" s="102"/>
      <c r="S18" s="91" t="s">
        <v>24</v>
      </c>
      <c r="T18" s="102"/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91" t="s">
        <v>24</v>
      </c>
      <c r="AA18" s="102"/>
      <c r="AB18" s="6" t="s">
        <v>24</v>
      </c>
      <c r="AC18" s="6" t="s">
        <v>24</v>
      </c>
      <c r="AD18" s="6" t="s">
        <v>24</v>
      </c>
      <c r="AE18" s="6" t="s">
        <v>24</v>
      </c>
      <c r="AF18" s="6" t="s">
        <v>24</v>
      </c>
      <c r="AG18" s="4">
        <f t="shared" si="0"/>
        <v>22</v>
      </c>
      <c r="AH18" s="4">
        <f t="shared" si="1"/>
        <v>0</v>
      </c>
      <c r="AI18"/>
      <c r="AJ18"/>
      <c r="AK18"/>
      <c r="AL18"/>
    </row>
    <row r="19" spans="1:38" ht="16.5">
      <c r="A19" s="7">
        <v>15</v>
      </c>
      <c r="B19" s="80" t="s">
        <v>377</v>
      </c>
      <c r="C19" s="80" t="s">
        <v>175</v>
      </c>
      <c r="D19" s="5" t="s">
        <v>6</v>
      </c>
      <c r="E19" s="91" t="s">
        <v>414</v>
      </c>
      <c r="F19" s="102"/>
      <c r="G19" s="13" t="s">
        <v>23</v>
      </c>
      <c r="H19" s="13" t="s">
        <v>24</v>
      </c>
      <c r="I19" s="102"/>
      <c r="J19" s="13" t="s">
        <v>24</v>
      </c>
      <c r="K19" s="13" t="s">
        <v>24</v>
      </c>
      <c r="L19" s="90" t="s">
        <v>24</v>
      </c>
      <c r="M19" s="102"/>
      <c r="N19" s="6" t="s">
        <v>24</v>
      </c>
      <c r="O19" s="6" t="s">
        <v>24</v>
      </c>
      <c r="P19" s="6" t="s">
        <v>24</v>
      </c>
      <c r="Q19" s="6" t="s">
        <v>24</v>
      </c>
      <c r="R19" s="102"/>
      <c r="S19" s="91" t="s">
        <v>24</v>
      </c>
      <c r="T19" s="102"/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91" t="s">
        <v>24</v>
      </c>
      <c r="AA19" s="102"/>
      <c r="AB19" s="6" t="s">
        <v>24</v>
      </c>
      <c r="AC19" s="6" t="s">
        <v>24</v>
      </c>
      <c r="AD19" s="6" t="s">
        <v>24</v>
      </c>
      <c r="AE19" s="6" t="s">
        <v>24</v>
      </c>
      <c r="AF19" s="6" t="s">
        <v>24</v>
      </c>
      <c r="AG19" s="4">
        <f t="shared" si="0"/>
        <v>21</v>
      </c>
      <c r="AH19" s="4">
        <f t="shared" si="1"/>
        <v>1</v>
      </c>
      <c r="AI19" s="104" t="s">
        <v>31</v>
      </c>
      <c r="AJ19" s="105"/>
      <c r="AK19" s="105"/>
      <c r="AL19" s="106"/>
    </row>
    <row r="20" spans="1:38" ht="16.5">
      <c r="A20" s="7">
        <v>16</v>
      </c>
      <c r="B20" s="80" t="s">
        <v>80</v>
      </c>
      <c r="C20" s="80" t="s">
        <v>362</v>
      </c>
      <c r="D20" s="5" t="s">
        <v>6</v>
      </c>
      <c r="E20" s="91" t="s">
        <v>414</v>
      </c>
      <c r="F20" s="102"/>
      <c r="G20" s="13" t="s">
        <v>24</v>
      </c>
      <c r="H20" s="13" t="s">
        <v>24</v>
      </c>
      <c r="I20" s="102"/>
      <c r="J20" s="13" t="s">
        <v>24</v>
      </c>
      <c r="K20" s="13" t="s">
        <v>24</v>
      </c>
      <c r="L20" s="90" t="s">
        <v>24</v>
      </c>
      <c r="M20" s="102"/>
      <c r="N20" s="6" t="s">
        <v>24</v>
      </c>
      <c r="O20" s="6" t="s">
        <v>24</v>
      </c>
      <c r="P20" s="6" t="s">
        <v>24</v>
      </c>
      <c r="Q20" s="6" t="s">
        <v>24</v>
      </c>
      <c r="R20" s="102"/>
      <c r="S20" s="91" t="s">
        <v>24</v>
      </c>
      <c r="T20" s="102"/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91" t="s">
        <v>24</v>
      </c>
      <c r="AA20" s="102"/>
      <c r="AB20" s="6" t="s">
        <v>24</v>
      </c>
      <c r="AC20" s="6" t="s">
        <v>24</v>
      </c>
      <c r="AD20" s="6" t="s">
        <v>24</v>
      </c>
      <c r="AE20" s="6" t="s">
        <v>24</v>
      </c>
      <c r="AF20" s="6" t="s">
        <v>24</v>
      </c>
      <c r="AG20" s="4">
        <f t="shared" si="0"/>
        <v>22</v>
      </c>
      <c r="AH20" s="4">
        <f t="shared" si="1"/>
        <v>0</v>
      </c>
      <c r="AI20" s="4" t="s">
        <v>10</v>
      </c>
      <c r="AJ20" s="4" t="s">
        <v>11</v>
      </c>
      <c r="AK20" s="4" t="s">
        <v>12</v>
      </c>
      <c r="AL20" s="4" t="s">
        <v>13</v>
      </c>
    </row>
    <row r="21" spans="1:38" ht="16.5">
      <c r="A21" s="7">
        <v>17</v>
      </c>
      <c r="B21" s="80" t="s">
        <v>378</v>
      </c>
      <c r="C21" s="80" t="s">
        <v>294</v>
      </c>
      <c r="D21" s="5" t="s">
        <v>6</v>
      </c>
      <c r="E21" s="91" t="s">
        <v>414</v>
      </c>
      <c r="F21" s="102"/>
      <c r="G21" s="13" t="s">
        <v>24</v>
      </c>
      <c r="H21" s="13" t="s">
        <v>24</v>
      </c>
      <c r="I21" s="102"/>
      <c r="J21" s="13" t="s">
        <v>24</v>
      </c>
      <c r="K21" s="13" t="s">
        <v>24</v>
      </c>
      <c r="L21" s="90" t="s">
        <v>24</v>
      </c>
      <c r="M21" s="102"/>
      <c r="N21" s="6" t="s">
        <v>24</v>
      </c>
      <c r="O21" s="6" t="s">
        <v>24</v>
      </c>
      <c r="P21" s="6" t="s">
        <v>24</v>
      </c>
      <c r="Q21" s="6" t="s">
        <v>24</v>
      </c>
      <c r="R21" s="102"/>
      <c r="S21" s="91" t="s">
        <v>24</v>
      </c>
      <c r="T21" s="102"/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91" t="s">
        <v>24</v>
      </c>
      <c r="AA21" s="102"/>
      <c r="AB21" s="6" t="s">
        <v>24</v>
      </c>
      <c r="AC21" s="6" t="s">
        <v>24</v>
      </c>
      <c r="AD21" s="6" t="s">
        <v>24</v>
      </c>
      <c r="AE21" s="6" t="s">
        <v>24</v>
      </c>
      <c r="AF21" s="6" t="s">
        <v>24</v>
      </c>
      <c r="AG21" s="4">
        <f t="shared" si="0"/>
        <v>22</v>
      </c>
      <c r="AH21" s="4">
        <f t="shared" si="1"/>
        <v>0</v>
      </c>
      <c r="AI21" s="4" t="s">
        <v>14</v>
      </c>
      <c r="AJ21" s="7">
        <f>27*$AJ$5</f>
        <v>648</v>
      </c>
      <c r="AK21" s="7">
        <f>27*$AJ$5</f>
        <v>648</v>
      </c>
      <c r="AL21" s="7">
        <f>AJ21+AK21</f>
        <v>1296</v>
      </c>
    </row>
    <row r="22" spans="1:38" ht="16.5">
      <c r="A22" s="7">
        <v>18</v>
      </c>
      <c r="B22" s="80" t="s">
        <v>379</v>
      </c>
      <c r="C22" s="80" t="s">
        <v>80</v>
      </c>
      <c r="D22" s="5" t="s">
        <v>6</v>
      </c>
      <c r="E22" s="91" t="s">
        <v>414</v>
      </c>
      <c r="F22" s="102"/>
      <c r="G22" s="13" t="s">
        <v>24</v>
      </c>
      <c r="H22" s="13" t="s">
        <v>24</v>
      </c>
      <c r="I22" s="102"/>
      <c r="J22" s="13" t="s">
        <v>24</v>
      </c>
      <c r="K22" s="13" t="s">
        <v>24</v>
      </c>
      <c r="L22" s="90" t="s">
        <v>24</v>
      </c>
      <c r="M22" s="102"/>
      <c r="N22" s="6" t="s">
        <v>24</v>
      </c>
      <c r="O22" s="6" t="s">
        <v>24</v>
      </c>
      <c r="P22" s="6" t="s">
        <v>24</v>
      </c>
      <c r="Q22" s="6" t="s">
        <v>24</v>
      </c>
      <c r="R22" s="102"/>
      <c r="S22" s="91" t="s">
        <v>24</v>
      </c>
      <c r="T22" s="102"/>
      <c r="U22" s="6" t="s">
        <v>24</v>
      </c>
      <c r="V22" s="6" t="s">
        <v>24</v>
      </c>
      <c r="W22" s="6" t="s">
        <v>23</v>
      </c>
      <c r="X22" s="6" t="s">
        <v>24</v>
      </c>
      <c r="Y22" s="6" t="s">
        <v>24</v>
      </c>
      <c r="Z22" s="91" t="s">
        <v>24</v>
      </c>
      <c r="AA22" s="102"/>
      <c r="AB22" s="6" t="s">
        <v>24</v>
      </c>
      <c r="AC22" s="6" t="s">
        <v>24</v>
      </c>
      <c r="AD22" s="6" t="s">
        <v>24</v>
      </c>
      <c r="AE22" s="6" t="s">
        <v>24</v>
      </c>
      <c r="AF22" s="6" t="s">
        <v>24</v>
      </c>
      <c r="AG22" s="4">
        <f t="shared" si="0"/>
        <v>21</v>
      </c>
      <c r="AH22" s="4">
        <f t="shared" si="1"/>
        <v>1</v>
      </c>
      <c r="AI22" s="4" t="s">
        <v>17</v>
      </c>
      <c r="AJ22" s="7" t="e">
        <f>AJ21-AJ14</f>
        <v>#REF!</v>
      </c>
      <c r="AK22" s="7" t="e">
        <f>AK21-AK14</f>
        <v>#REF!</v>
      </c>
      <c r="AL22" s="7" t="e">
        <f>AJ22+AK22</f>
        <v>#REF!</v>
      </c>
    </row>
    <row r="23" spans="1:38" ht="16.5">
      <c r="A23" s="7">
        <v>19</v>
      </c>
      <c r="B23" s="80" t="s">
        <v>380</v>
      </c>
      <c r="C23" s="80" t="s">
        <v>381</v>
      </c>
      <c r="D23" s="5" t="s">
        <v>6</v>
      </c>
      <c r="E23" s="91" t="s">
        <v>414</v>
      </c>
      <c r="F23" s="102"/>
      <c r="G23" s="13" t="s">
        <v>23</v>
      </c>
      <c r="H23" s="13" t="s">
        <v>24</v>
      </c>
      <c r="I23" s="102"/>
      <c r="J23" s="13" t="s">
        <v>24</v>
      </c>
      <c r="K23" s="13" t="s">
        <v>24</v>
      </c>
      <c r="L23" s="90" t="s">
        <v>24</v>
      </c>
      <c r="M23" s="102"/>
      <c r="N23" s="6" t="s">
        <v>24</v>
      </c>
      <c r="O23" s="6" t="s">
        <v>24</v>
      </c>
      <c r="P23" s="6" t="s">
        <v>24</v>
      </c>
      <c r="Q23" s="6" t="s">
        <v>24</v>
      </c>
      <c r="R23" s="102"/>
      <c r="S23" s="91" t="s">
        <v>24</v>
      </c>
      <c r="T23" s="102"/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91" t="s">
        <v>24</v>
      </c>
      <c r="AA23" s="102"/>
      <c r="AB23" s="6" t="s">
        <v>24</v>
      </c>
      <c r="AC23" s="6" t="s">
        <v>24</v>
      </c>
      <c r="AD23" s="6" t="s">
        <v>24</v>
      </c>
      <c r="AE23" s="6" t="s">
        <v>24</v>
      </c>
      <c r="AF23" s="6" t="s">
        <v>24</v>
      </c>
      <c r="AG23" s="4">
        <f t="shared" si="0"/>
        <v>21</v>
      </c>
      <c r="AH23" s="4">
        <f t="shared" si="1"/>
        <v>1</v>
      </c>
      <c r="AI23" s="4" t="s">
        <v>16</v>
      </c>
      <c r="AJ23" s="9" t="e">
        <f>AJ22/AJ21</f>
        <v>#REF!</v>
      </c>
      <c r="AK23" s="9" t="e">
        <f>AK22/AK21</f>
        <v>#REF!</v>
      </c>
      <c r="AL23" s="9" t="e">
        <f>AL22/AL21</f>
        <v>#REF!</v>
      </c>
    </row>
    <row r="24" spans="1:38" ht="16.5">
      <c r="A24" s="7">
        <v>20</v>
      </c>
      <c r="B24" s="80" t="s">
        <v>382</v>
      </c>
      <c r="C24" s="80" t="s">
        <v>143</v>
      </c>
      <c r="D24" s="5" t="s">
        <v>6</v>
      </c>
      <c r="E24" s="91" t="s">
        <v>414</v>
      </c>
      <c r="F24" s="102"/>
      <c r="G24" s="13" t="s">
        <v>24</v>
      </c>
      <c r="H24" s="13" t="s">
        <v>24</v>
      </c>
      <c r="I24" s="102"/>
      <c r="J24" s="13" t="s">
        <v>24</v>
      </c>
      <c r="K24" s="13" t="s">
        <v>24</v>
      </c>
      <c r="L24" s="90" t="s">
        <v>24</v>
      </c>
      <c r="M24" s="102"/>
      <c r="N24" s="6" t="s">
        <v>24</v>
      </c>
      <c r="O24" s="6" t="s">
        <v>24</v>
      </c>
      <c r="P24" s="6" t="s">
        <v>24</v>
      </c>
      <c r="Q24" s="6" t="s">
        <v>24</v>
      </c>
      <c r="R24" s="102"/>
      <c r="S24" s="91" t="s">
        <v>24</v>
      </c>
      <c r="T24" s="102"/>
      <c r="U24" s="6" t="s">
        <v>24</v>
      </c>
      <c r="V24" s="6" t="s">
        <v>24</v>
      </c>
      <c r="W24" s="6" t="s">
        <v>24</v>
      </c>
      <c r="X24" s="6" t="s">
        <v>24</v>
      </c>
      <c r="Y24" s="6" t="s">
        <v>24</v>
      </c>
      <c r="Z24" s="91" t="s">
        <v>24</v>
      </c>
      <c r="AA24" s="102"/>
      <c r="AB24" s="6" t="s">
        <v>24</v>
      </c>
      <c r="AC24" s="6" t="s">
        <v>24</v>
      </c>
      <c r="AD24" s="6" t="s">
        <v>24</v>
      </c>
      <c r="AE24" s="6" t="s">
        <v>24</v>
      </c>
      <c r="AF24" s="6" t="s">
        <v>24</v>
      </c>
      <c r="AG24" s="4">
        <f t="shared" si="0"/>
        <v>22</v>
      </c>
      <c r="AH24" s="4">
        <f t="shared" si="1"/>
        <v>0</v>
      </c>
    </row>
    <row r="25" spans="1:38" ht="16.5">
      <c r="A25" s="7">
        <v>21</v>
      </c>
      <c r="B25" s="80" t="s">
        <v>383</v>
      </c>
      <c r="C25" s="80" t="s">
        <v>384</v>
      </c>
      <c r="D25" s="5" t="s">
        <v>6</v>
      </c>
      <c r="E25" s="91" t="s">
        <v>414</v>
      </c>
      <c r="F25" s="102"/>
      <c r="G25" s="13" t="s">
        <v>24</v>
      </c>
      <c r="H25" s="13" t="s">
        <v>24</v>
      </c>
      <c r="I25" s="102"/>
      <c r="J25" s="13" t="s">
        <v>24</v>
      </c>
      <c r="K25" s="13" t="s">
        <v>24</v>
      </c>
      <c r="L25" s="90" t="s">
        <v>24</v>
      </c>
      <c r="M25" s="102"/>
      <c r="N25" s="6" t="s">
        <v>24</v>
      </c>
      <c r="O25" s="6" t="s">
        <v>24</v>
      </c>
      <c r="P25" s="6" t="s">
        <v>24</v>
      </c>
      <c r="Q25" s="6" t="s">
        <v>24</v>
      </c>
      <c r="R25" s="102"/>
      <c r="S25" s="91" t="s">
        <v>24</v>
      </c>
      <c r="T25" s="102"/>
      <c r="U25" s="6" t="s">
        <v>24</v>
      </c>
      <c r="V25" s="6" t="s">
        <v>24</v>
      </c>
      <c r="W25" s="6" t="s">
        <v>24</v>
      </c>
      <c r="X25" s="6" t="s">
        <v>24</v>
      </c>
      <c r="Y25" s="6" t="s">
        <v>24</v>
      </c>
      <c r="Z25" s="91" t="s">
        <v>24</v>
      </c>
      <c r="AA25" s="102"/>
      <c r="AB25" s="6" t="s">
        <v>24</v>
      </c>
      <c r="AC25" s="6" t="s">
        <v>24</v>
      </c>
      <c r="AD25" s="6" t="s">
        <v>24</v>
      </c>
      <c r="AE25" s="6" t="s">
        <v>24</v>
      </c>
      <c r="AF25" s="6" t="s">
        <v>24</v>
      </c>
      <c r="AG25" s="4">
        <f t="shared" si="0"/>
        <v>22</v>
      </c>
      <c r="AH25" s="4">
        <f t="shared" si="1"/>
        <v>0</v>
      </c>
    </row>
    <row r="26" spans="1:38" ht="16.5">
      <c r="A26" s="7">
        <v>22</v>
      </c>
      <c r="B26" s="80" t="s">
        <v>385</v>
      </c>
      <c r="C26" s="80" t="s">
        <v>259</v>
      </c>
      <c r="D26" s="5" t="s">
        <v>6</v>
      </c>
      <c r="E26" s="91" t="s">
        <v>414</v>
      </c>
      <c r="F26" s="102"/>
      <c r="G26" s="13" t="s">
        <v>24</v>
      </c>
      <c r="H26" s="13" t="s">
        <v>24</v>
      </c>
      <c r="I26" s="102"/>
      <c r="J26" s="13" t="s">
        <v>24</v>
      </c>
      <c r="K26" s="13" t="s">
        <v>24</v>
      </c>
      <c r="L26" s="90" t="s">
        <v>24</v>
      </c>
      <c r="M26" s="102"/>
      <c r="N26" s="6" t="s">
        <v>24</v>
      </c>
      <c r="O26" s="6" t="s">
        <v>24</v>
      </c>
      <c r="P26" s="6" t="s">
        <v>24</v>
      </c>
      <c r="Q26" s="6" t="s">
        <v>24</v>
      </c>
      <c r="R26" s="102"/>
      <c r="S26" s="91" t="s">
        <v>24</v>
      </c>
      <c r="T26" s="102"/>
      <c r="U26" s="6" t="s">
        <v>24</v>
      </c>
      <c r="V26" s="6" t="s">
        <v>24</v>
      </c>
      <c r="W26" s="6" t="s">
        <v>24</v>
      </c>
      <c r="X26" s="6" t="s">
        <v>24</v>
      </c>
      <c r="Y26" s="6" t="s">
        <v>24</v>
      </c>
      <c r="Z26" s="91" t="s">
        <v>24</v>
      </c>
      <c r="AA26" s="102"/>
      <c r="AB26" s="6" t="s">
        <v>24</v>
      </c>
      <c r="AC26" s="6" t="s">
        <v>24</v>
      </c>
      <c r="AD26" s="6" t="s">
        <v>24</v>
      </c>
      <c r="AE26" s="6" t="s">
        <v>24</v>
      </c>
      <c r="AF26" s="6" t="s">
        <v>24</v>
      </c>
      <c r="AG26" s="4">
        <f t="shared" si="0"/>
        <v>22</v>
      </c>
      <c r="AH26" s="4">
        <f t="shared" si="1"/>
        <v>0</v>
      </c>
    </row>
    <row r="27" spans="1:38" ht="16.5">
      <c r="A27" s="7">
        <v>23</v>
      </c>
      <c r="B27" s="80" t="s">
        <v>386</v>
      </c>
      <c r="C27" s="80" t="s">
        <v>348</v>
      </c>
      <c r="D27" s="5" t="s">
        <v>6</v>
      </c>
      <c r="E27" s="91" t="s">
        <v>414</v>
      </c>
      <c r="F27" s="102"/>
      <c r="G27" s="13" t="s">
        <v>23</v>
      </c>
      <c r="H27" s="13" t="s">
        <v>24</v>
      </c>
      <c r="I27" s="102"/>
      <c r="J27" s="13" t="s">
        <v>24</v>
      </c>
      <c r="K27" s="13" t="s">
        <v>24</v>
      </c>
      <c r="L27" s="90" t="s">
        <v>24</v>
      </c>
      <c r="M27" s="102"/>
      <c r="N27" s="6" t="s">
        <v>24</v>
      </c>
      <c r="O27" s="6" t="s">
        <v>24</v>
      </c>
      <c r="P27" s="6" t="s">
        <v>24</v>
      </c>
      <c r="Q27" s="6" t="s">
        <v>24</v>
      </c>
      <c r="R27" s="102"/>
      <c r="S27" s="91" t="s">
        <v>24</v>
      </c>
      <c r="T27" s="102"/>
      <c r="U27" s="6" t="s">
        <v>24</v>
      </c>
      <c r="V27" s="6" t="s">
        <v>24</v>
      </c>
      <c r="W27" s="6" t="s">
        <v>24</v>
      </c>
      <c r="X27" s="6" t="s">
        <v>24</v>
      </c>
      <c r="Y27" s="6" t="s">
        <v>24</v>
      </c>
      <c r="Z27" s="91" t="s">
        <v>24</v>
      </c>
      <c r="AA27" s="102"/>
      <c r="AB27" s="6" t="s">
        <v>24</v>
      </c>
      <c r="AC27" s="6" t="s">
        <v>24</v>
      </c>
      <c r="AD27" s="6" t="s">
        <v>24</v>
      </c>
      <c r="AE27" s="6" t="s">
        <v>24</v>
      </c>
      <c r="AF27" s="6" t="s">
        <v>24</v>
      </c>
      <c r="AG27" s="4">
        <f t="shared" si="0"/>
        <v>21</v>
      </c>
      <c r="AH27" s="4">
        <f t="shared" si="1"/>
        <v>1</v>
      </c>
    </row>
    <row r="28" spans="1:38" ht="16.5">
      <c r="A28" s="7">
        <v>24</v>
      </c>
      <c r="B28" s="80" t="s">
        <v>387</v>
      </c>
      <c r="C28" s="80" t="s">
        <v>388</v>
      </c>
      <c r="D28" s="5" t="s">
        <v>6</v>
      </c>
      <c r="E28" s="91" t="s">
        <v>414</v>
      </c>
      <c r="F28" s="102"/>
      <c r="G28" s="13" t="s">
        <v>24</v>
      </c>
      <c r="H28" s="13" t="s">
        <v>24</v>
      </c>
      <c r="I28" s="102"/>
      <c r="J28" s="13" t="s">
        <v>24</v>
      </c>
      <c r="K28" s="13" t="s">
        <v>24</v>
      </c>
      <c r="L28" s="90" t="s">
        <v>24</v>
      </c>
      <c r="M28" s="102"/>
      <c r="N28" s="6" t="s">
        <v>24</v>
      </c>
      <c r="O28" s="6" t="s">
        <v>24</v>
      </c>
      <c r="P28" s="6" t="s">
        <v>24</v>
      </c>
      <c r="Q28" s="6" t="s">
        <v>24</v>
      </c>
      <c r="R28" s="102"/>
      <c r="S28" s="91" t="s">
        <v>24</v>
      </c>
      <c r="T28" s="102"/>
      <c r="U28" s="6" t="s">
        <v>24</v>
      </c>
      <c r="V28" s="6" t="s">
        <v>24</v>
      </c>
      <c r="W28" s="6" t="s">
        <v>23</v>
      </c>
      <c r="X28" s="6" t="s">
        <v>24</v>
      </c>
      <c r="Y28" s="6" t="s">
        <v>24</v>
      </c>
      <c r="Z28" s="91" t="s">
        <v>24</v>
      </c>
      <c r="AA28" s="102"/>
      <c r="AB28" s="6" t="s">
        <v>24</v>
      </c>
      <c r="AC28" s="6" t="s">
        <v>24</v>
      </c>
      <c r="AD28" s="6" t="s">
        <v>24</v>
      </c>
      <c r="AE28" s="6" t="s">
        <v>24</v>
      </c>
      <c r="AF28" s="6" t="s">
        <v>24</v>
      </c>
      <c r="AG28" s="4">
        <f t="shared" si="0"/>
        <v>21</v>
      </c>
      <c r="AH28" s="4">
        <f t="shared" si="1"/>
        <v>1</v>
      </c>
    </row>
    <row r="29" spans="1:38" ht="16.5">
      <c r="A29" s="7">
        <v>25</v>
      </c>
      <c r="B29" s="80" t="s">
        <v>389</v>
      </c>
      <c r="C29" s="80" t="s">
        <v>388</v>
      </c>
      <c r="D29" s="5" t="s">
        <v>6</v>
      </c>
      <c r="E29" s="91" t="s">
        <v>414</v>
      </c>
      <c r="F29" s="102"/>
      <c r="G29" s="13" t="s">
        <v>24</v>
      </c>
      <c r="H29" s="13" t="s">
        <v>24</v>
      </c>
      <c r="I29" s="102"/>
      <c r="J29" s="13" t="s">
        <v>24</v>
      </c>
      <c r="K29" s="13" t="s">
        <v>24</v>
      </c>
      <c r="L29" s="90" t="s">
        <v>24</v>
      </c>
      <c r="M29" s="102"/>
      <c r="N29" s="6" t="s">
        <v>24</v>
      </c>
      <c r="O29" s="6" t="s">
        <v>24</v>
      </c>
      <c r="P29" s="6" t="s">
        <v>24</v>
      </c>
      <c r="Q29" s="6" t="s">
        <v>24</v>
      </c>
      <c r="R29" s="102"/>
      <c r="S29" s="91" t="s">
        <v>24</v>
      </c>
      <c r="T29" s="102"/>
      <c r="U29" s="6" t="s">
        <v>24</v>
      </c>
      <c r="V29" s="6" t="s">
        <v>24</v>
      </c>
      <c r="W29" s="6" t="s">
        <v>24</v>
      </c>
      <c r="X29" s="6" t="s">
        <v>24</v>
      </c>
      <c r="Y29" s="6" t="s">
        <v>24</v>
      </c>
      <c r="Z29" s="91" t="s">
        <v>24</v>
      </c>
      <c r="AA29" s="102"/>
      <c r="AB29" s="6" t="s">
        <v>24</v>
      </c>
      <c r="AC29" s="6" t="s">
        <v>24</v>
      </c>
      <c r="AD29" s="6" t="s">
        <v>24</v>
      </c>
      <c r="AE29" s="6" t="s">
        <v>24</v>
      </c>
      <c r="AF29" s="6" t="s">
        <v>24</v>
      </c>
      <c r="AG29" s="4">
        <f t="shared" si="0"/>
        <v>22</v>
      </c>
      <c r="AH29" s="4">
        <f t="shared" si="1"/>
        <v>0</v>
      </c>
    </row>
    <row r="30" spans="1:38" ht="16.5">
      <c r="A30" s="7">
        <v>26</v>
      </c>
      <c r="B30" s="80" t="s">
        <v>383</v>
      </c>
      <c r="C30" s="80" t="s">
        <v>43</v>
      </c>
      <c r="D30" s="5" t="s">
        <v>6</v>
      </c>
      <c r="E30" s="91" t="s">
        <v>414</v>
      </c>
      <c r="F30" s="102"/>
      <c r="G30" s="13" t="s">
        <v>23</v>
      </c>
      <c r="H30" s="13" t="s">
        <v>24</v>
      </c>
      <c r="I30" s="102"/>
      <c r="J30" s="13" t="s">
        <v>24</v>
      </c>
      <c r="K30" s="13" t="s">
        <v>24</v>
      </c>
      <c r="L30" s="90" t="s">
        <v>24</v>
      </c>
      <c r="M30" s="102"/>
      <c r="N30" s="6" t="s">
        <v>24</v>
      </c>
      <c r="O30" s="6" t="s">
        <v>24</v>
      </c>
      <c r="P30" s="6" t="s">
        <v>24</v>
      </c>
      <c r="Q30" s="6" t="s">
        <v>24</v>
      </c>
      <c r="R30" s="102"/>
      <c r="S30" s="91" t="s">
        <v>24</v>
      </c>
      <c r="T30" s="102"/>
      <c r="U30" s="6" t="s">
        <v>24</v>
      </c>
      <c r="V30" s="6" t="s">
        <v>24</v>
      </c>
      <c r="W30" s="6" t="s">
        <v>24</v>
      </c>
      <c r="X30" s="6" t="s">
        <v>24</v>
      </c>
      <c r="Y30" s="6" t="s">
        <v>24</v>
      </c>
      <c r="Z30" s="91" t="s">
        <v>24</v>
      </c>
      <c r="AA30" s="102"/>
      <c r="AB30" s="6" t="s">
        <v>24</v>
      </c>
      <c r="AC30" s="6" t="s">
        <v>24</v>
      </c>
      <c r="AD30" s="6" t="s">
        <v>24</v>
      </c>
      <c r="AE30" s="6" t="s">
        <v>24</v>
      </c>
      <c r="AF30" s="6" t="s">
        <v>24</v>
      </c>
      <c r="AG30" s="4">
        <f t="shared" si="0"/>
        <v>21</v>
      </c>
      <c r="AH30" s="4">
        <f t="shared" si="1"/>
        <v>1</v>
      </c>
    </row>
    <row r="31" spans="1:38" ht="16.5">
      <c r="A31" s="7">
        <v>27</v>
      </c>
      <c r="B31" s="80" t="s">
        <v>56</v>
      </c>
      <c r="C31" s="80" t="s">
        <v>224</v>
      </c>
      <c r="D31" s="5" t="s">
        <v>6</v>
      </c>
      <c r="E31" s="91" t="s">
        <v>414</v>
      </c>
      <c r="F31" s="102"/>
      <c r="G31" s="13" t="s">
        <v>24</v>
      </c>
      <c r="H31" s="13" t="s">
        <v>24</v>
      </c>
      <c r="I31" s="102"/>
      <c r="J31" s="13" t="s">
        <v>24</v>
      </c>
      <c r="K31" s="13" t="s">
        <v>24</v>
      </c>
      <c r="L31" s="90" t="s">
        <v>24</v>
      </c>
      <c r="M31" s="102"/>
      <c r="N31" s="6" t="s">
        <v>24</v>
      </c>
      <c r="O31" s="6" t="s">
        <v>24</v>
      </c>
      <c r="P31" s="6" t="s">
        <v>24</v>
      </c>
      <c r="Q31" s="6" t="s">
        <v>24</v>
      </c>
      <c r="R31" s="102"/>
      <c r="S31" s="91" t="s">
        <v>24</v>
      </c>
      <c r="T31" s="102"/>
      <c r="U31" s="6" t="s">
        <v>24</v>
      </c>
      <c r="V31" s="6" t="s">
        <v>24</v>
      </c>
      <c r="W31" s="6" t="s">
        <v>24</v>
      </c>
      <c r="X31" s="6" t="s">
        <v>24</v>
      </c>
      <c r="Y31" s="6" t="s">
        <v>24</v>
      </c>
      <c r="Z31" s="91" t="s">
        <v>24</v>
      </c>
      <c r="AA31" s="102"/>
      <c r="AB31" s="6" t="s">
        <v>24</v>
      </c>
      <c r="AC31" s="6" t="s">
        <v>24</v>
      </c>
      <c r="AD31" s="6" t="s">
        <v>24</v>
      </c>
      <c r="AE31" s="6" t="s">
        <v>24</v>
      </c>
      <c r="AF31" s="6" t="s">
        <v>24</v>
      </c>
      <c r="AG31" s="4">
        <f t="shared" si="0"/>
        <v>22</v>
      </c>
      <c r="AH31" s="4">
        <f t="shared" si="1"/>
        <v>0</v>
      </c>
    </row>
    <row r="32" spans="1:38" ht="16.5">
      <c r="A32" s="7">
        <v>28</v>
      </c>
      <c r="B32" s="80" t="s">
        <v>390</v>
      </c>
      <c r="C32" s="80" t="s">
        <v>391</v>
      </c>
      <c r="D32" s="5" t="s">
        <v>6</v>
      </c>
      <c r="E32" s="91" t="s">
        <v>414</v>
      </c>
      <c r="F32" s="102"/>
      <c r="G32" s="13" t="s">
        <v>24</v>
      </c>
      <c r="H32" s="13" t="s">
        <v>24</v>
      </c>
      <c r="I32" s="102"/>
      <c r="J32" s="13" t="s">
        <v>24</v>
      </c>
      <c r="K32" s="13" t="s">
        <v>23</v>
      </c>
      <c r="L32" s="90" t="s">
        <v>24</v>
      </c>
      <c r="M32" s="102"/>
      <c r="N32" s="6" t="s">
        <v>24</v>
      </c>
      <c r="O32" s="6" t="s">
        <v>24</v>
      </c>
      <c r="P32" s="6" t="s">
        <v>24</v>
      </c>
      <c r="Q32" s="6" t="s">
        <v>24</v>
      </c>
      <c r="R32" s="102"/>
      <c r="S32" s="91" t="s">
        <v>24</v>
      </c>
      <c r="T32" s="102"/>
      <c r="U32" s="6" t="s">
        <v>24</v>
      </c>
      <c r="V32" s="6" t="s">
        <v>24</v>
      </c>
      <c r="W32" s="6" t="s">
        <v>24</v>
      </c>
      <c r="X32" s="6" t="s">
        <v>24</v>
      </c>
      <c r="Y32" s="6" t="s">
        <v>24</v>
      </c>
      <c r="Z32" s="91" t="s">
        <v>24</v>
      </c>
      <c r="AA32" s="102"/>
      <c r="AB32" s="6" t="s">
        <v>24</v>
      </c>
      <c r="AC32" s="6" t="s">
        <v>24</v>
      </c>
      <c r="AD32" s="6" t="s">
        <v>24</v>
      </c>
      <c r="AE32" s="6" t="s">
        <v>24</v>
      </c>
      <c r="AF32" s="6" t="s">
        <v>24</v>
      </c>
      <c r="AG32" s="4">
        <f t="shared" si="0"/>
        <v>21</v>
      </c>
      <c r="AH32" s="4">
        <f t="shared" si="1"/>
        <v>1</v>
      </c>
    </row>
    <row r="33" spans="1:34" ht="16.5">
      <c r="A33" s="7">
        <v>29</v>
      </c>
      <c r="B33" s="80" t="s">
        <v>390</v>
      </c>
      <c r="C33" s="80" t="s">
        <v>392</v>
      </c>
      <c r="D33" s="5" t="s">
        <v>6</v>
      </c>
      <c r="E33" s="91" t="s">
        <v>414</v>
      </c>
      <c r="F33" s="102"/>
      <c r="G33" s="13" t="s">
        <v>23</v>
      </c>
      <c r="H33" s="13" t="s">
        <v>24</v>
      </c>
      <c r="I33" s="102"/>
      <c r="J33" s="13" t="s">
        <v>24</v>
      </c>
      <c r="K33" s="13" t="s">
        <v>24</v>
      </c>
      <c r="L33" s="90" t="s">
        <v>24</v>
      </c>
      <c r="M33" s="102"/>
      <c r="N33" s="6" t="s">
        <v>24</v>
      </c>
      <c r="O33" s="6" t="s">
        <v>24</v>
      </c>
      <c r="P33" s="6" t="s">
        <v>24</v>
      </c>
      <c r="Q33" s="6" t="s">
        <v>24</v>
      </c>
      <c r="R33" s="102"/>
      <c r="S33" s="91" t="s">
        <v>24</v>
      </c>
      <c r="T33" s="102"/>
      <c r="U33" s="6" t="s">
        <v>24</v>
      </c>
      <c r="V33" s="6" t="s">
        <v>24</v>
      </c>
      <c r="W33" s="6" t="s">
        <v>24</v>
      </c>
      <c r="X33" s="6" t="s">
        <v>24</v>
      </c>
      <c r="Y33" s="6" t="s">
        <v>24</v>
      </c>
      <c r="Z33" s="91" t="s">
        <v>24</v>
      </c>
      <c r="AA33" s="102"/>
      <c r="AB33" s="6" t="s">
        <v>24</v>
      </c>
      <c r="AC33" s="6" t="s">
        <v>24</v>
      </c>
      <c r="AD33" s="6" t="s">
        <v>24</v>
      </c>
      <c r="AE33" s="6" t="s">
        <v>24</v>
      </c>
      <c r="AF33" s="6" t="s">
        <v>24</v>
      </c>
      <c r="AG33" s="4">
        <f t="shared" si="0"/>
        <v>21</v>
      </c>
      <c r="AH33" s="4">
        <f t="shared" si="1"/>
        <v>1</v>
      </c>
    </row>
    <row r="34" spans="1:34" ht="16.5">
      <c r="A34" s="7">
        <v>30</v>
      </c>
      <c r="B34" s="80" t="s">
        <v>393</v>
      </c>
      <c r="C34" s="80" t="s">
        <v>147</v>
      </c>
      <c r="D34" s="5" t="s">
        <v>6</v>
      </c>
      <c r="E34" s="91" t="s">
        <v>414</v>
      </c>
      <c r="F34" s="102"/>
      <c r="G34" s="13" t="s">
        <v>24</v>
      </c>
      <c r="H34" s="13" t="s">
        <v>24</v>
      </c>
      <c r="I34" s="102"/>
      <c r="J34" s="13" t="s">
        <v>24</v>
      </c>
      <c r="K34" s="13" t="s">
        <v>23</v>
      </c>
      <c r="L34" s="90" t="s">
        <v>24</v>
      </c>
      <c r="M34" s="102"/>
      <c r="N34" s="6" t="s">
        <v>24</v>
      </c>
      <c r="O34" s="6" t="s">
        <v>24</v>
      </c>
      <c r="P34" s="6" t="s">
        <v>24</v>
      </c>
      <c r="Q34" s="6" t="s">
        <v>24</v>
      </c>
      <c r="R34" s="102"/>
      <c r="S34" s="91" t="s">
        <v>24</v>
      </c>
      <c r="T34" s="102"/>
      <c r="U34" s="6" t="s">
        <v>24</v>
      </c>
      <c r="V34" s="6" t="s">
        <v>24</v>
      </c>
      <c r="W34" s="6" t="s">
        <v>23</v>
      </c>
      <c r="X34" s="6" t="s">
        <v>24</v>
      </c>
      <c r="Y34" s="6" t="s">
        <v>24</v>
      </c>
      <c r="Z34" s="91" t="s">
        <v>24</v>
      </c>
      <c r="AA34" s="102"/>
      <c r="AB34" s="6" t="s">
        <v>24</v>
      </c>
      <c r="AC34" s="6" t="s">
        <v>24</v>
      </c>
      <c r="AD34" s="6" t="s">
        <v>24</v>
      </c>
      <c r="AE34" s="6" t="s">
        <v>24</v>
      </c>
      <c r="AF34" s="6" t="s">
        <v>24</v>
      </c>
      <c r="AG34" s="4">
        <f t="shared" si="0"/>
        <v>20</v>
      </c>
      <c r="AH34" s="4">
        <f t="shared" si="1"/>
        <v>2</v>
      </c>
    </row>
    <row r="35" spans="1:34" ht="16.5">
      <c r="A35" s="7">
        <v>31</v>
      </c>
      <c r="B35" s="80" t="s">
        <v>394</v>
      </c>
      <c r="C35" s="80" t="s">
        <v>267</v>
      </c>
      <c r="D35" s="5" t="s">
        <v>6</v>
      </c>
      <c r="E35" s="91" t="s">
        <v>414</v>
      </c>
      <c r="F35" s="102"/>
      <c r="G35" s="13" t="s">
        <v>24</v>
      </c>
      <c r="H35" s="13" t="s">
        <v>24</v>
      </c>
      <c r="I35" s="102"/>
      <c r="J35" s="13" t="s">
        <v>24</v>
      </c>
      <c r="K35" s="13" t="s">
        <v>24</v>
      </c>
      <c r="L35" s="90" t="s">
        <v>24</v>
      </c>
      <c r="M35" s="102"/>
      <c r="N35" s="6" t="s">
        <v>24</v>
      </c>
      <c r="O35" s="6" t="s">
        <v>24</v>
      </c>
      <c r="P35" s="6" t="s">
        <v>24</v>
      </c>
      <c r="Q35" s="6" t="s">
        <v>24</v>
      </c>
      <c r="R35" s="102"/>
      <c r="S35" s="91" t="s">
        <v>24</v>
      </c>
      <c r="T35" s="102"/>
      <c r="U35" s="6" t="s">
        <v>24</v>
      </c>
      <c r="V35" s="6" t="s">
        <v>24</v>
      </c>
      <c r="W35" s="6" t="s">
        <v>24</v>
      </c>
      <c r="X35" s="6" t="s">
        <v>24</v>
      </c>
      <c r="Y35" s="6" t="s">
        <v>24</v>
      </c>
      <c r="Z35" s="91" t="s">
        <v>24</v>
      </c>
      <c r="AA35" s="102"/>
      <c r="AB35" s="6" t="s">
        <v>24</v>
      </c>
      <c r="AC35" s="6" t="s">
        <v>24</v>
      </c>
      <c r="AD35" s="6" t="s">
        <v>24</v>
      </c>
      <c r="AE35" s="6" t="s">
        <v>24</v>
      </c>
      <c r="AF35" s="6" t="s">
        <v>24</v>
      </c>
      <c r="AG35" s="4">
        <f t="shared" si="0"/>
        <v>22</v>
      </c>
      <c r="AH35" s="4">
        <f t="shared" si="1"/>
        <v>0</v>
      </c>
    </row>
    <row r="36" spans="1:34" ht="16.5">
      <c r="A36" s="7">
        <v>32</v>
      </c>
      <c r="B36" s="80" t="s">
        <v>395</v>
      </c>
      <c r="C36" s="80" t="s">
        <v>307</v>
      </c>
      <c r="D36" s="5" t="s">
        <v>6</v>
      </c>
      <c r="E36" s="91" t="s">
        <v>414</v>
      </c>
      <c r="F36" s="102"/>
      <c r="G36" s="13" t="s">
        <v>23</v>
      </c>
      <c r="H36" s="13" t="s">
        <v>24</v>
      </c>
      <c r="I36" s="102"/>
      <c r="J36" s="13" t="s">
        <v>24</v>
      </c>
      <c r="K36" s="13" t="s">
        <v>23</v>
      </c>
      <c r="L36" s="90" t="s">
        <v>24</v>
      </c>
      <c r="M36" s="102"/>
      <c r="N36" s="6" t="s">
        <v>24</v>
      </c>
      <c r="O36" s="6" t="s">
        <v>24</v>
      </c>
      <c r="P36" s="6" t="s">
        <v>24</v>
      </c>
      <c r="Q36" s="6" t="s">
        <v>24</v>
      </c>
      <c r="R36" s="102"/>
      <c r="S36" s="91" t="s">
        <v>24</v>
      </c>
      <c r="T36" s="102"/>
      <c r="U36" s="6" t="s">
        <v>24</v>
      </c>
      <c r="V36" s="6" t="s">
        <v>24</v>
      </c>
      <c r="W36" s="6" t="s">
        <v>24</v>
      </c>
      <c r="X36" s="6" t="s">
        <v>24</v>
      </c>
      <c r="Y36" s="6" t="s">
        <v>24</v>
      </c>
      <c r="Z36" s="91" t="s">
        <v>24</v>
      </c>
      <c r="AA36" s="102"/>
      <c r="AB36" s="6" t="s">
        <v>24</v>
      </c>
      <c r="AC36" s="6" t="s">
        <v>24</v>
      </c>
      <c r="AD36" s="6" t="s">
        <v>24</v>
      </c>
      <c r="AE36" s="6" t="s">
        <v>24</v>
      </c>
      <c r="AF36" s="6" t="s">
        <v>24</v>
      </c>
      <c r="AG36" s="4">
        <f t="shared" si="0"/>
        <v>20</v>
      </c>
      <c r="AH36" s="4">
        <f t="shared" si="1"/>
        <v>2</v>
      </c>
    </row>
    <row r="37" spans="1:34" ht="16.5">
      <c r="A37" s="7">
        <v>33</v>
      </c>
      <c r="B37" s="80" t="s">
        <v>396</v>
      </c>
      <c r="C37" s="80" t="s">
        <v>343</v>
      </c>
      <c r="D37" s="5" t="s">
        <v>6</v>
      </c>
      <c r="E37" s="91" t="s">
        <v>414</v>
      </c>
      <c r="F37" s="102"/>
      <c r="G37" s="13" t="s">
        <v>24</v>
      </c>
      <c r="H37" s="13" t="s">
        <v>24</v>
      </c>
      <c r="I37" s="102"/>
      <c r="J37" s="13" t="s">
        <v>24</v>
      </c>
      <c r="K37" s="13" t="s">
        <v>24</v>
      </c>
      <c r="L37" s="90" t="s">
        <v>24</v>
      </c>
      <c r="M37" s="102"/>
      <c r="N37" s="6" t="s">
        <v>24</v>
      </c>
      <c r="O37" s="6" t="s">
        <v>24</v>
      </c>
      <c r="P37" s="6" t="s">
        <v>24</v>
      </c>
      <c r="Q37" s="6" t="s">
        <v>24</v>
      </c>
      <c r="R37" s="102"/>
      <c r="S37" s="91" t="s">
        <v>24</v>
      </c>
      <c r="T37" s="102"/>
      <c r="U37" s="6" t="s">
        <v>24</v>
      </c>
      <c r="V37" s="6" t="s">
        <v>24</v>
      </c>
      <c r="W37" s="6" t="s">
        <v>24</v>
      </c>
      <c r="X37" s="6" t="s">
        <v>24</v>
      </c>
      <c r="Y37" s="6" t="s">
        <v>24</v>
      </c>
      <c r="Z37" s="91" t="s">
        <v>24</v>
      </c>
      <c r="AA37" s="102"/>
      <c r="AB37" s="6" t="s">
        <v>24</v>
      </c>
      <c r="AC37" s="6" t="s">
        <v>24</v>
      </c>
      <c r="AD37" s="6" t="s">
        <v>24</v>
      </c>
      <c r="AE37" s="6" t="s">
        <v>24</v>
      </c>
      <c r="AF37" s="6" t="s">
        <v>24</v>
      </c>
      <c r="AG37" s="4">
        <f t="shared" si="0"/>
        <v>22</v>
      </c>
      <c r="AH37" s="4">
        <f t="shared" si="1"/>
        <v>0</v>
      </c>
    </row>
    <row r="38" spans="1:34" ht="16.5">
      <c r="A38" s="7">
        <v>34</v>
      </c>
      <c r="B38" s="80" t="s">
        <v>34</v>
      </c>
      <c r="C38" s="80" t="s">
        <v>217</v>
      </c>
      <c r="D38" s="5" t="s">
        <v>6</v>
      </c>
      <c r="E38" s="91" t="s">
        <v>414</v>
      </c>
      <c r="F38" s="102"/>
      <c r="G38" s="13" t="s">
        <v>24</v>
      </c>
      <c r="H38" s="13" t="s">
        <v>24</v>
      </c>
      <c r="I38" s="102"/>
      <c r="J38" s="13" t="s">
        <v>24</v>
      </c>
      <c r="K38" s="13" t="s">
        <v>24</v>
      </c>
      <c r="L38" s="90" t="s">
        <v>24</v>
      </c>
      <c r="M38" s="102"/>
      <c r="N38" s="6" t="s">
        <v>24</v>
      </c>
      <c r="O38" s="6" t="s">
        <v>24</v>
      </c>
      <c r="P38" s="6" t="s">
        <v>24</v>
      </c>
      <c r="Q38" s="6" t="s">
        <v>24</v>
      </c>
      <c r="R38" s="102"/>
      <c r="S38" s="91" t="s">
        <v>24</v>
      </c>
      <c r="T38" s="102"/>
      <c r="U38" s="6" t="s">
        <v>24</v>
      </c>
      <c r="V38" s="6" t="s">
        <v>24</v>
      </c>
      <c r="W38" s="6" t="s">
        <v>24</v>
      </c>
      <c r="X38" s="6" t="s">
        <v>24</v>
      </c>
      <c r="Y38" s="6" t="s">
        <v>24</v>
      </c>
      <c r="Z38" s="91" t="s">
        <v>24</v>
      </c>
      <c r="AA38" s="102"/>
      <c r="AB38" s="6" t="s">
        <v>24</v>
      </c>
      <c r="AC38" s="6" t="s">
        <v>24</v>
      </c>
      <c r="AD38" s="6" t="s">
        <v>24</v>
      </c>
      <c r="AE38" s="6" t="s">
        <v>24</v>
      </c>
      <c r="AF38" s="6" t="s">
        <v>24</v>
      </c>
      <c r="AG38" s="4">
        <f t="shared" si="0"/>
        <v>22</v>
      </c>
      <c r="AH38" s="4">
        <f t="shared" si="1"/>
        <v>0</v>
      </c>
    </row>
    <row r="39" spans="1:34" ht="16.5">
      <c r="A39" s="7">
        <v>35</v>
      </c>
      <c r="B39" s="80" t="s">
        <v>38</v>
      </c>
      <c r="C39" s="80" t="s">
        <v>134</v>
      </c>
      <c r="D39" s="5" t="s">
        <v>6</v>
      </c>
      <c r="E39" s="91" t="s">
        <v>414</v>
      </c>
      <c r="F39" s="102"/>
      <c r="G39" s="13" t="s">
        <v>23</v>
      </c>
      <c r="H39" s="13" t="s">
        <v>24</v>
      </c>
      <c r="I39" s="102"/>
      <c r="J39" s="13" t="s">
        <v>24</v>
      </c>
      <c r="K39" s="13" t="s">
        <v>24</v>
      </c>
      <c r="L39" s="90" t="s">
        <v>24</v>
      </c>
      <c r="M39" s="102"/>
      <c r="N39" s="6" t="s">
        <v>24</v>
      </c>
      <c r="O39" s="6" t="s">
        <v>24</v>
      </c>
      <c r="P39" s="6" t="s">
        <v>24</v>
      </c>
      <c r="Q39" s="6" t="s">
        <v>24</v>
      </c>
      <c r="R39" s="102"/>
      <c r="S39" s="91" t="s">
        <v>24</v>
      </c>
      <c r="T39" s="102"/>
      <c r="U39" s="6" t="s">
        <v>24</v>
      </c>
      <c r="V39" s="6" t="s">
        <v>24</v>
      </c>
      <c r="W39" s="6" t="s">
        <v>24</v>
      </c>
      <c r="X39" s="6" t="s">
        <v>24</v>
      </c>
      <c r="Y39" s="6" t="s">
        <v>24</v>
      </c>
      <c r="Z39" s="91" t="s">
        <v>24</v>
      </c>
      <c r="AA39" s="102"/>
      <c r="AB39" s="6" t="s">
        <v>24</v>
      </c>
      <c r="AC39" s="6" t="s">
        <v>24</v>
      </c>
      <c r="AD39" s="6" t="s">
        <v>24</v>
      </c>
      <c r="AE39" s="6" t="s">
        <v>24</v>
      </c>
      <c r="AF39" s="6" t="s">
        <v>24</v>
      </c>
      <c r="AG39" s="4">
        <f t="shared" si="0"/>
        <v>21</v>
      </c>
      <c r="AH39" s="4">
        <f t="shared" si="1"/>
        <v>1</v>
      </c>
    </row>
    <row r="40" spans="1:34" ht="16.5">
      <c r="A40" s="7">
        <v>36</v>
      </c>
      <c r="B40" s="80" t="s">
        <v>71</v>
      </c>
      <c r="C40" s="80" t="s">
        <v>105</v>
      </c>
      <c r="D40" s="5" t="s">
        <v>6</v>
      </c>
      <c r="E40" s="91" t="s">
        <v>414</v>
      </c>
      <c r="F40" s="102"/>
      <c r="G40" s="13" t="s">
        <v>24</v>
      </c>
      <c r="H40" s="13" t="s">
        <v>24</v>
      </c>
      <c r="I40" s="102"/>
      <c r="J40" s="13" t="s">
        <v>24</v>
      </c>
      <c r="K40" s="13" t="s">
        <v>24</v>
      </c>
      <c r="L40" s="90" t="s">
        <v>24</v>
      </c>
      <c r="M40" s="102"/>
      <c r="N40" s="6" t="s">
        <v>24</v>
      </c>
      <c r="O40" s="6" t="s">
        <v>24</v>
      </c>
      <c r="P40" s="6" t="s">
        <v>24</v>
      </c>
      <c r="Q40" s="6" t="s">
        <v>24</v>
      </c>
      <c r="R40" s="102"/>
      <c r="S40" s="91" t="s">
        <v>24</v>
      </c>
      <c r="T40" s="102"/>
      <c r="U40" s="6" t="s">
        <v>24</v>
      </c>
      <c r="V40" s="6" t="s">
        <v>24</v>
      </c>
      <c r="W40" s="6" t="s">
        <v>24</v>
      </c>
      <c r="X40" s="6" t="s">
        <v>24</v>
      </c>
      <c r="Y40" s="6" t="s">
        <v>24</v>
      </c>
      <c r="Z40" s="91" t="s">
        <v>24</v>
      </c>
      <c r="AA40" s="102"/>
      <c r="AB40" s="6" t="s">
        <v>24</v>
      </c>
      <c r="AC40" s="6" t="s">
        <v>24</v>
      </c>
      <c r="AD40" s="6" t="s">
        <v>24</v>
      </c>
      <c r="AE40" s="6" t="s">
        <v>24</v>
      </c>
      <c r="AF40" s="6" t="s">
        <v>24</v>
      </c>
      <c r="AG40" s="4">
        <f t="shared" si="0"/>
        <v>22</v>
      </c>
      <c r="AH40" s="4">
        <f t="shared" si="1"/>
        <v>0</v>
      </c>
    </row>
  </sheetData>
  <mergeCells count="17">
    <mergeCell ref="AG3:AG4"/>
    <mergeCell ref="AH3:AH4"/>
    <mergeCell ref="AI3:AJ3"/>
    <mergeCell ref="AI11:AL11"/>
    <mergeCell ref="AI19:AL19"/>
    <mergeCell ref="F5:F40"/>
    <mergeCell ref="M5:M40"/>
    <mergeCell ref="T5:T40"/>
    <mergeCell ref="AA5:AA40"/>
    <mergeCell ref="I5:I40"/>
    <mergeCell ref="R5:R40"/>
    <mergeCell ref="A1:AF1"/>
    <mergeCell ref="A2:AF2"/>
    <mergeCell ref="A3:A4"/>
    <mergeCell ref="B3:B4"/>
    <mergeCell ref="C3:C4"/>
    <mergeCell ref="D3:D4"/>
  </mergeCells>
  <phoneticPr fontId="19" type="noConversion"/>
  <conditionalFormatting sqref="G5:H40 N5:Q40 E3:AF4 U5:Z40 AB5:AF40 J5:L40">
    <cfRule type="expression" dxfId="348" priority="53">
      <formula>E$4=TODAY()</formula>
    </cfRule>
    <cfRule type="expression" dxfId="347" priority="56">
      <formula>E$3="Sun"</formula>
    </cfRule>
  </conditionalFormatting>
  <conditionalFormatting sqref="G5:H40 N5:Q40 U5:Z40 AB5:AF40 J5:L40">
    <cfRule type="cellIs" dxfId="346" priority="52" operator="equal">
      <formula>"L"</formula>
    </cfRule>
    <cfRule type="cellIs" dxfId="345" priority="54" operator="equal">
      <formula>"A"</formula>
    </cfRule>
    <cfRule type="cellIs" dxfId="344" priority="55" operator="equal">
      <formula>"P"</formula>
    </cfRule>
  </conditionalFormatting>
  <conditionalFormatting sqref="AG3:AH3 AG5:AH40">
    <cfRule type="expression" dxfId="343" priority="57">
      <formula>#REF!="Sun"</formula>
    </cfRule>
  </conditionalFormatting>
  <conditionalFormatting sqref="AI5:AI9">
    <cfRule type="expression" dxfId="342" priority="49">
      <formula>AI$3="Sun"</formula>
    </cfRule>
  </conditionalFormatting>
  <conditionalFormatting sqref="AI12:AI15">
    <cfRule type="expression" dxfId="341" priority="47">
      <formula>AI$3="Sun"</formula>
    </cfRule>
  </conditionalFormatting>
  <conditionalFormatting sqref="AI20:AI23">
    <cfRule type="expression" dxfId="340" priority="46">
      <formula>AI$3="Sun"</formula>
    </cfRule>
  </conditionalFormatting>
  <conditionalFormatting sqref="AI4:AJ4">
    <cfRule type="expression" dxfId="339" priority="50">
      <formula>AI$3="Sun"</formula>
    </cfRule>
  </conditionalFormatting>
  <conditionalFormatting sqref="AJ12:AL12 AJ20:AL20">
    <cfRule type="expression" dxfId="338" priority="51">
      <formula>AJ$3="Sun"</formula>
    </cfRule>
  </conditionalFormatting>
  <conditionalFormatting sqref="AL21">
    <cfRule type="expression" dxfId="337" priority="48">
      <formula>AL$3="Sun"</formula>
    </cfRule>
  </conditionalFormatting>
  <conditionalFormatting sqref="S5:S40">
    <cfRule type="expression" dxfId="336" priority="42">
      <formula>S$4=TODAY()</formula>
    </cfRule>
    <cfRule type="expression" dxfId="335" priority="45">
      <formula>S$3="Sun"</formula>
    </cfRule>
  </conditionalFormatting>
  <conditionalFormatting sqref="S5:S40">
    <cfRule type="cellIs" dxfId="334" priority="41" operator="equal">
      <formula>"L"</formula>
    </cfRule>
    <cfRule type="cellIs" dxfId="333" priority="43" operator="equal">
      <formula>"A"</formula>
    </cfRule>
    <cfRule type="cellIs" dxfId="332" priority="44" operator="equal">
      <formula>"P"</formula>
    </cfRule>
  </conditionalFormatting>
  <conditionalFormatting sqref="E5:E40">
    <cfRule type="expression" dxfId="331" priority="37">
      <formula>E$4=TODAY()</formula>
    </cfRule>
    <cfRule type="expression" dxfId="330" priority="40">
      <formula>E$3="Sun"</formula>
    </cfRule>
  </conditionalFormatting>
  <conditionalFormatting sqref="E5:E40">
    <cfRule type="cellIs" dxfId="329" priority="36" operator="equal">
      <formula>"L"</formula>
    </cfRule>
    <cfRule type="cellIs" dxfId="328" priority="38" operator="equal">
      <formula>"A"</formula>
    </cfRule>
    <cfRule type="cellIs" dxfId="327" priority="39" operator="equal">
      <formula>"P"</formula>
    </cfRule>
  </conditionalFormatting>
  <conditionalFormatting sqref="F5">
    <cfRule type="expression" dxfId="326" priority="32">
      <formula>F$4=TODAY()</formula>
    </cfRule>
    <cfRule type="expression" dxfId="325" priority="35">
      <formula>F$3="Sun"</formula>
    </cfRule>
  </conditionalFormatting>
  <conditionalFormatting sqref="F5">
    <cfRule type="cellIs" dxfId="324" priority="31" operator="equal">
      <formula>"L"</formula>
    </cfRule>
    <cfRule type="cellIs" dxfId="323" priority="33" operator="equal">
      <formula>"A"</formula>
    </cfRule>
    <cfRule type="cellIs" dxfId="322" priority="34" operator="equal">
      <formula>"P"</formula>
    </cfRule>
  </conditionalFormatting>
  <conditionalFormatting sqref="M5">
    <cfRule type="expression" dxfId="321" priority="27">
      <formula>M$4=TODAY()</formula>
    </cfRule>
    <cfRule type="expression" dxfId="320" priority="30">
      <formula>M$3="Sun"</formula>
    </cfRule>
  </conditionalFormatting>
  <conditionalFormatting sqref="M5">
    <cfRule type="cellIs" dxfId="319" priority="26" operator="equal">
      <formula>"L"</formula>
    </cfRule>
    <cfRule type="cellIs" dxfId="318" priority="28" operator="equal">
      <formula>"A"</formula>
    </cfRule>
    <cfRule type="cellIs" dxfId="317" priority="29" operator="equal">
      <formula>"P"</formula>
    </cfRule>
  </conditionalFormatting>
  <conditionalFormatting sqref="T5">
    <cfRule type="expression" dxfId="316" priority="22">
      <formula>T$4=TODAY()</formula>
    </cfRule>
    <cfRule type="expression" dxfId="315" priority="25">
      <formula>T$3="Sun"</formula>
    </cfRule>
  </conditionalFormatting>
  <conditionalFormatting sqref="T5">
    <cfRule type="cellIs" dxfId="314" priority="21" operator="equal">
      <formula>"L"</formula>
    </cfRule>
    <cfRule type="cellIs" dxfId="313" priority="23" operator="equal">
      <formula>"A"</formula>
    </cfRule>
    <cfRule type="cellIs" dxfId="312" priority="24" operator="equal">
      <formula>"P"</formula>
    </cfRule>
  </conditionalFormatting>
  <conditionalFormatting sqref="AA5">
    <cfRule type="expression" dxfId="311" priority="17">
      <formula>AA$4=TODAY()</formula>
    </cfRule>
    <cfRule type="expression" dxfId="310" priority="20">
      <formula>AA$3="Sun"</formula>
    </cfRule>
  </conditionalFormatting>
  <conditionalFormatting sqref="AA5">
    <cfRule type="cellIs" dxfId="309" priority="16" operator="equal">
      <formula>"L"</formula>
    </cfRule>
    <cfRule type="cellIs" dxfId="308" priority="18" operator="equal">
      <formula>"A"</formula>
    </cfRule>
    <cfRule type="cellIs" dxfId="307" priority="19" operator="equal">
      <formula>"P"</formula>
    </cfRule>
  </conditionalFormatting>
  <conditionalFormatting sqref="I5">
    <cfRule type="expression" dxfId="306" priority="7">
      <formula>I$4=TODAY()</formula>
    </cfRule>
    <cfRule type="expression" dxfId="305" priority="10">
      <formula>I$3="Sun"</formula>
    </cfRule>
  </conditionalFormatting>
  <conditionalFormatting sqref="I5">
    <cfRule type="cellIs" dxfId="304" priority="6" operator="equal">
      <formula>"L"</formula>
    </cfRule>
    <cfRule type="cellIs" dxfId="303" priority="8" operator="equal">
      <formula>"A"</formula>
    </cfRule>
    <cfRule type="cellIs" dxfId="302" priority="9" operator="equal">
      <formula>"P"</formula>
    </cfRule>
  </conditionalFormatting>
  <conditionalFormatting sqref="R5">
    <cfRule type="expression" dxfId="301" priority="2">
      <formula>R$4=TODAY()</formula>
    </cfRule>
    <cfRule type="expression" dxfId="300" priority="5">
      <formula>R$3="Sun"</formula>
    </cfRule>
  </conditionalFormatting>
  <conditionalFormatting sqref="R5">
    <cfRule type="cellIs" dxfId="299" priority="1" operator="equal">
      <formula>"L"</formula>
    </cfRule>
    <cfRule type="cellIs" dxfId="298" priority="3" operator="equal">
      <formula>"A"</formula>
    </cfRule>
    <cfRule type="cellIs" dxfId="297" priority="4" operator="equal">
      <formula>"P"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53FF-FEAE-4C2F-91B6-E3AECEBDD145}">
  <dimension ref="A1:AL45"/>
  <sheetViews>
    <sheetView zoomScaleNormal="100" workbookViewId="0">
      <selection activeCell="E6" sqref="E6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99" t="s">
        <v>125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1"/>
      <c r="AH1" s="11"/>
    </row>
    <row r="2" spans="1:38" ht="17.25">
      <c r="A2" s="100" t="s">
        <v>404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2"/>
      <c r="AH2" s="12"/>
      <c r="AI2" s="12"/>
    </row>
    <row r="3" spans="1:38" ht="15.75">
      <c r="A3" s="101" t="s">
        <v>0</v>
      </c>
      <c r="B3" s="101" t="s">
        <v>1</v>
      </c>
      <c r="C3" s="101" t="s">
        <v>2</v>
      </c>
      <c r="D3" s="101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03" t="s">
        <v>4</v>
      </c>
      <c r="AH3" s="103" t="s">
        <v>5</v>
      </c>
      <c r="AI3" s="104" t="s">
        <v>28</v>
      </c>
      <c r="AJ3" s="105"/>
      <c r="AK3" s="3"/>
      <c r="AL3" s="3"/>
    </row>
    <row r="4" spans="1:38" ht="36">
      <c r="A4" s="101"/>
      <c r="B4" s="101"/>
      <c r="C4" s="101"/>
      <c r="D4" s="101"/>
      <c r="E4" s="10">
        <v>45689</v>
      </c>
      <c r="F4" s="10">
        <v>45690</v>
      </c>
      <c r="G4" s="10">
        <v>45691</v>
      </c>
      <c r="H4" s="10">
        <v>45692</v>
      </c>
      <c r="I4" s="10">
        <v>45693</v>
      </c>
      <c r="J4" s="10">
        <v>45694</v>
      </c>
      <c r="K4" s="10">
        <v>45695</v>
      </c>
      <c r="L4" s="10">
        <v>45696</v>
      </c>
      <c r="M4" s="10">
        <v>45697</v>
      </c>
      <c r="N4" s="10">
        <v>45698</v>
      </c>
      <c r="O4" s="10">
        <v>45699</v>
      </c>
      <c r="P4" s="10">
        <v>45700</v>
      </c>
      <c r="Q4" s="10">
        <v>45701</v>
      </c>
      <c r="R4" s="10">
        <v>45702</v>
      </c>
      <c r="S4" s="10">
        <v>45703</v>
      </c>
      <c r="T4" s="10">
        <v>45704</v>
      </c>
      <c r="U4" s="10">
        <v>45705</v>
      </c>
      <c r="V4" s="10">
        <v>45706</v>
      </c>
      <c r="W4" s="10">
        <v>45707</v>
      </c>
      <c r="X4" s="10">
        <v>45708</v>
      </c>
      <c r="Y4" s="10">
        <v>45709</v>
      </c>
      <c r="Z4" s="10">
        <v>45710</v>
      </c>
      <c r="AA4" s="10">
        <v>45711</v>
      </c>
      <c r="AB4" s="10">
        <v>45712</v>
      </c>
      <c r="AC4" s="10">
        <v>45713</v>
      </c>
      <c r="AD4" s="10">
        <v>45714</v>
      </c>
      <c r="AE4" s="88">
        <v>45715</v>
      </c>
      <c r="AF4" s="10">
        <v>45716</v>
      </c>
      <c r="AG4" s="103"/>
      <c r="AH4" s="103"/>
      <c r="AI4" s="4" t="s">
        <v>29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3" t="s">
        <v>79</v>
      </c>
      <c r="C5" s="83" t="s">
        <v>261</v>
      </c>
      <c r="D5" s="5" t="s">
        <v>364</v>
      </c>
      <c r="E5" s="86" t="s">
        <v>24</v>
      </c>
      <c r="F5" s="107" t="s">
        <v>406</v>
      </c>
      <c r="G5" s="13" t="s">
        <v>24</v>
      </c>
      <c r="H5" s="13" t="s">
        <v>24</v>
      </c>
      <c r="I5" s="13" t="s">
        <v>23</v>
      </c>
      <c r="J5" s="13" t="s">
        <v>24</v>
      </c>
      <c r="K5" s="13" t="s">
        <v>24</v>
      </c>
      <c r="L5" s="87" t="s">
        <v>24</v>
      </c>
      <c r="M5" s="107" t="s">
        <v>27</v>
      </c>
      <c r="N5" s="6" t="s">
        <v>24</v>
      </c>
      <c r="O5" s="6" t="s">
        <v>23</v>
      </c>
      <c r="P5" s="6" t="s">
        <v>24</v>
      </c>
      <c r="Q5" s="6" t="s">
        <v>24</v>
      </c>
      <c r="R5" s="107" t="s">
        <v>407</v>
      </c>
      <c r="S5" s="86" t="s">
        <v>24</v>
      </c>
      <c r="T5" s="107" t="s">
        <v>27</v>
      </c>
      <c r="U5" s="6" t="s">
        <v>24</v>
      </c>
      <c r="V5" s="6" t="s">
        <v>24</v>
      </c>
      <c r="W5" s="6" t="s">
        <v>24</v>
      </c>
      <c r="X5" s="6" t="s">
        <v>24</v>
      </c>
      <c r="Y5" s="6" t="s">
        <v>24</v>
      </c>
      <c r="Z5" s="110" t="s">
        <v>27</v>
      </c>
      <c r="AA5" s="107" t="s">
        <v>27</v>
      </c>
      <c r="AB5" s="6" t="s">
        <v>24</v>
      </c>
      <c r="AC5" s="6" t="s">
        <v>24</v>
      </c>
      <c r="AD5" s="6" t="s">
        <v>24</v>
      </c>
      <c r="AE5" s="89" t="s">
        <v>24</v>
      </c>
      <c r="AF5" s="6" t="s">
        <v>24</v>
      </c>
      <c r="AG5" s="4">
        <f t="shared" ref="AG5:AG40" si="1">COUNTIF(E5:AF5,"P")</f>
        <v>20</v>
      </c>
      <c r="AH5" s="4">
        <f t="shared" ref="AH5:AH40" si="2">COUNTIF(E5:AF5,"A")</f>
        <v>2</v>
      </c>
      <c r="AI5" s="82" t="s">
        <v>7</v>
      </c>
      <c r="AJ5" s="7">
        <v>24</v>
      </c>
      <c r="AK5" s="8"/>
      <c r="AL5" s="3"/>
    </row>
    <row r="6" spans="1:38" ht="16.5">
      <c r="A6" s="7">
        <v>2</v>
      </c>
      <c r="B6" s="83" t="s">
        <v>320</v>
      </c>
      <c r="C6" s="83" t="s">
        <v>285</v>
      </c>
      <c r="D6" s="5" t="s">
        <v>364</v>
      </c>
      <c r="E6" s="86" t="s">
        <v>24</v>
      </c>
      <c r="F6" s="108"/>
      <c r="G6" s="13" t="s">
        <v>24</v>
      </c>
      <c r="H6" s="13" t="s">
        <v>24</v>
      </c>
      <c r="I6" s="13" t="s">
        <v>24</v>
      </c>
      <c r="J6" s="13" t="s">
        <v>24</v>
      </c>
      <c r="K6" s="13" t="s">
        <v>24</v>
      </c>
      <c r="L6" s="87" t="s">
        <v>24</v>
      </c>
      <c r="M6" s="108"/>
      <c r="N6" s="6" t="s">
        <v>24</v>
      </c>
      <c r="O6" s="6" t="s">
        <v>24</v>
      </c>
      <c r="P6" s="6" t="s">
        <v>24</v>
      </c>
      <c r="Q6" s="6" t="s">
        <v>24</v>
      </c>
      <c r="R6" s="108"/>
      <c r="S6" s="86" t="s">
        <v>24</v>
      </c>
      <c r="T6" s="108"/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111"/>
      <c r="AA6" s="108"/>
      <c r="AB6" s="6" t="s">
        <v>24</v>
      </c>
      <c r="AC6" s="6" t="s">
        <v>24</v>
      </c>
      <c r="AD6" s="6" t="s">
        <v>24</v>
      </c>
      <c r="AE6" s="89" t="s">
        <v>24</v>
      </c>
      <c r="AF6" s="6" t="s">
        <v>24</v>
      </c>
      <c r="AG6" s="4">
        <f t="shared" si="1"/>
        <v>22</v>
      </c>
      <c r="AH6" s="4">
        <f t="shared" si="2"/>
        <v>0</v>
      </c>
      <c r="AI6" s="82" t="s">
        <v>8</v>
      </c>
      <c r="AJ6" s="7">
        <v>4</v>
      </c>
      <c r="AK6" s="3"/>
      <c r="AL6" s="3"/>
    </row>
    <row r="7" spans="1:38" ht="16.5">
      <c r="A7" s="7">
        <v>3</v>
      </c>
      <c r="B7" s="83" t="s">
        <v>48</v>
      </c>
      <c r="C7" s="83" t="s">
        <v>254</v>
      </c>
      <c r="D7" s="5" t="s">
        <v>364</v>
      </c>
      <c r="E7" s="86" t="s">
        <v>24</v>
      </c>
      <c r="F7" s="108"/>
      <c r="G7" s="13" t="s">
        <v>24</v>
      </c>
      <c r="H7" s="13" t="s">
        <v>24</v>
      </c>
      <c r="I7" s="13" t="s">
        <v>24</v>
      </c>
      <c r="J7" s="13" t="s">
        <v>24</v>
      </c>
      <c r="K7" s="13" t="s">
        <v>24</v>
      </c>
      <c r="L7" s="87" t="s">
        <v>24</v>
      </c>
      <c r="M7" s="108"/>
      <c r="N7" s="6" t="s">
        <v>24</v>
      </c>
      <c r="O7" s="6" t="s">
        <v>24</v>
      </c>
      <c r="P7" s="6" t="s">
        <v>24</v>
      </c>
      <c r="Q7" s="6" t="s">
        <v>24</v>
      </c>
      <c r="R7" s="108"/>
      <c r="S7" s="86" t="s">
        <v>24</v>
      </c>
      <c r="T7" s="108"/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111"/>
      <c r="AA7" s="108"/>
      <c r="AB7" s="6" t="s">
        <v>24</v>
      </c>
      <c r="AC7" s="6" t="s">
        <v>24</v>
      </c>
      <c r="AD7" s="6" t="s">
        <v>24</v>
      </c>
      <c r="AE7" s="89" t="s">
        <v>24</v>
      </c>
      <c r="AF7" s="6" t="s">
        <v>24</v>
      </c>
      <c r="AG7" s="4">
        <f t="shared" si="1"/>
        <v>22</v>
      </c>
      <c r="AH7" s="4">
        <f t="shared" si="2"/>
        <v>0</v>
      </c>
      <c r="AI7" s="82" t="s">
        <v>32</v>
      </c>
      <c r="AJ7" s="7">
        <v>1</v>
      </c>
      <c r="AK7" s="3"/>
      <c r="AL7" s="3"/>
    </row>
    <row r="8" spans="1:38" ht="16.5">
      <c r="A8" s="7">
        <v>4</v>
      </c>
      <c r="B8" s="83" t="s">
        <v>321</v>
      </c>
      <c r="C8" s="83" t="s">
        <v>303</v>
      </c>
      <c r="D8" s="5" t="s">
        <v>364</v>
      </c>
      <c r="E8" s="86" t="s">
        <v>24</v>
      </c>
      <c r="F8" s="108"/>
      <c r="G8" s="13" t="s">
        <v>24</v>
      </c>
      <c r="H8" s="13" t="s">
        <v>24</v>
      </c>
      <c r="I8" s="13" t="s">
        <v>23</v>
      </c>
      <c r="J8" s="13" t="s">
        <v>24</v>
      </c>
      <c r="K8" s="13" t="s">
        <v>24</v>
      </c>
      <c r="L8" s="87" t="s">
        <v>24</v>
      </c>
      <c r="M8" s="108"/>
      <c r="N8" s="6" t="s">
        <v>24</v>
      </c>
      <c r="O8" s="6" t="s">
        <v>24</v>
      </c>
      <c r="P8" s="6" t="s">
        <v>24</v>
      </c>
      <c r="Q8" s="6" t="s">
        <v>24</v>
      </c>
      <c r="R8" s="108"/>
      <c r="S8" s="86" t="s">
        <v>24</v>
      </c>
      <c r="T8" s="108"/>
      <c r="U8" s="6" t="s">
        <v>24</v>
      </c>
      <c r="V8" s="6" t="s">
        <v>24</v>
      </c>
      <c r="W8" s="6" t="s">
        <v>23</v>
      </c>
      <c r="X8" s="6" t="s">
        <v>24</v>
      </c>
      <c r="Y8" s="6" t="s">
        <v>24</v>
      </c>
      <c r="Z8" s="111"/>
      <c r="AA8" s="108"/>
      <c r="AB8" s="6" t="s">
        <v>24</v>
      </c>
      <c r="AC8" s="6" t="s">
        <v>24</v>
      </c>
      <c r="AD8" s="6" t="s">
        <v>24</v>
      </c>
      <c r="AE8" s="89" t="s">
        <v>24</v>
      </c>
      <c r="AF8" s="6" t="s">
        <v>24</v>
      </c>
      <c r="AG8" s="4">
        <f t="shared" si="1"/>
        <v>20</v>
      </c>
      <c r="AH8" s="4">
        <f t="shared" si="2"/>
        <v>2</v>
      </c>
      <c r="AI8" s="82" t="s">
        <v>30</v>
      </c>
      <c r="AJ8" s="7">
        <v>1</v>
      </c>
      <c r="AK8"/>
      <c r="AL8"/>
    </row>
    <row r="9" spans="1:38" ht="16.5">
      <c r="A9" s="7">
        <v>5</v>
      </c>
      <c r="B9" s="83" t="s">
        <v>322</v>
      </c>
      <c r="C9" s="83" t="s">
        <v>121</v>
      </c>
      <c r="D9" s="5" t="s">
        <v>364</v>
      </c>
      <c r="E9" s="86" t="s">
        <v>23</v>
      </c>
      <c r="F9" s="108"/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87" t="s">
        <v>24</v>
      </c>
      <c r="M9" s="108"/>
      <c r="N9" s="6" t="s">
        <v>24</v>
      </c>
      <c r="O9" s="6" t="s">
        <v>23</v>
      </c>
      <c r="P9" s="6" t="s">
        <v>24</v>
      </c>
      <c r="Q9" s="6" t="s">
        <v>24</v>
      </c>
      <c r="R9" s="108"/>
      <c r="S9" s="86" t="s">
        <v>24</v>
      </c>
      <c r="T9" s="108"/>
      <c r="U9" s="6" t="s">
        <v>24</v>
      </c>
      <c r="V9" s="6" t="s">
        <v>24</v>
      </c>
      <c r="W9" s="6" t="s">
        <v>24</v>
      </c>
      <c r="X9" s="6" t="s">
        <v>24</v>
      </c>
      <c r="Y9" s="6" t="s">
        <v>24</v>
      </c>
      <c r="Z9" s="111"/>
      <c r="AA9" s="108"/>
      <c r="AB9" s="6" t="s">
        <v>24</v>
      </c>
      <c r="AC9" s="6" t="s">
        <v>24</v>
      </c>
      <c r="AD9" s="6" t="s">
        <v>24</v>
      </c>
      <c r="AE9" s="89" t="s">
        <v>24</v>
      </c>
      <c r="AF9" s="6" t="s">
        <v>24</v>
      </c>
      <c r="AG9" s="4">
        <f t="shared" si="1"/>
        <v>20</v>
      </c>
      <c r="AH9" s="4">
        <f t="shared" si="2"/>
        <v>2</v>
      </c>
      <c r="AI9" s="82"/>
      <c r="AJ9" s="7"/>
    </row>
    <row r="10" spans="1:38" ht="16.5">
      <c r="A10" s="7">
        <v>6</v>
      </c>
      <c r="B10" s="83" t="s">
        <v>323</v>
      </c>
      <c r="C10" s="83" t="s">
        <v>324</v>
      </c>
      <c r="D10" s="5" t="s">
        <v>364</v>
      </c>
      <c r="E10" s="86" t="s">
        <v>24</v>
      </c>
      <c r="F10" s="108"/>
      <c r="G10" s="13" t="s">
        <v>24</v>
      </c>
      <c r="H10" s="13" t="s">
        <v>24</v>
      </c>
      <c r="I10" s="13" t="s">
        <v>24</v>
      </c>
      <c r="J10" s="13" t="s">
        <v>24</v>
      </c>
      <c r="K10" s="13" t="s">
        <v>23</v>
      </c>
      <c r="L10" s="87" t="s">
        <v>24</v>
      </c>
      <c r="M10" s="108"/>
      <c r="N10" s="6" t="s">
        <v>24</v>
      </c>
      <c r="O10" s="6" t="s">
        <v>24</v>
      </c>
      <c r="P10" s="6" t="s">
        <v>24</v>
      </c>
      <c r="Q10" s="6" t="s">
        <v>24</v>
      </c>
      <c r="R10" s="108"/>
      <c r="S10" s="86" t="s">
        <v>24</v>
      </c>
      <c r="T10" s="108"/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111"/>
      <c r="AA10" s="108"/>
      <c r="AB10" s="6" t="s">
        <v>24</v>
      </c>
      <c r="AC10" s="6" t="s">
        <v>24</v>
      </c>
      <c r="AD10" s="6" t="s">
        <v>24</v>
      </c>
      <c r="AE10" s="89" t="s">
        <v>24</v>
      </c>
      <c r="AF10" s="6" t="s">
        <v>24</v>
      </c>
      <c r="AG10" s="4">
        <f t="shared" si="1"/>
        <v>21</v>
      </c>
      <c r="AH10" s="4">
        <f t="shared" si="2"/>
        <v>1</v>
      </c>
    </row>
    <row r="11" spans="1:38" ht="16.5">
      <c r="A11" s="7">
        <v>7</v>
      </c>
      <c r="B11" s="83" t="s">
        <v>325</v>
      </c>
      <c r="C11" s="83" t="s">
        <v>269</v>
      </c>
      <c r="D11" s="5" t="s">
        <v>364</v>
      </c>
      <c r="E11" s="86" t="s">
        <v>24</v>
      </c>
      <c r="F11" s="108"/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87" t="s">
        <v>24</v>
      </c>
      <c r="M11" s="108"/>
      <c r="N11" s="6" t="s">
        <v>24</v>
      </c>
      <c r="O11" s="6" t="s">
        <v>24</v>
      </c>
      <c r="P11" s="6" t="s">
        <v>24</v>
      </c>
      <c r="Q11" s="6" t="s">
        <v>24</v>
      </c>
      <c r="R11" s="108"/>
      <c r="S11" s="86" t="s">
        <v>24</v>
      </c>
      <c r="T11" s="108"/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111"/>
      <c r="AA11" s="108"/>
      <c r="AB11" s="6" t="s">
        <v>24</v>
      </c>
      <c r="AC11" s="6" t="s">
        <v>23</v>
      </c>
      <c r="AD11" s="6" t="s">
        <v>24</v>
      </c>
      <c r="AE11" s="89" t="s">
        <v>24</v>
      </c>
      <c r="AF11" s="6" t="s">
        <v>24</v>
      </c>
      <c r="AG11" s="4">
        <f t="shared" si="1"/>
        <v>21</v>
      </c>
      <c r="AH11" s="4">
        <f t="shared" si="2"/>
        <v>1</v>
      </c>
      <c r="AI11" s="105" t="s">
        <v>9</v>
      </c>
      <c r="AJ11" s="105"/>
      <c r="AK11" s="105"/>
      <c r="AL11" s="106"/>
    </row>
    <row r="12" spans="1:38" ht="16.5">
      <c r="A12" s="7">
        <v>8</v>
      </c>
      <c r="B12" s="83" t="s">
        <v>326</v>
      </c>
      <c r="C12" s="83" t="s">
        <v>204</v>
      </c>
      <c r="D12" s="5" t="s">
        <v>364</v>
      </c>
      <c r="E12" s="86" t="s">
        <v>24</v>
      </c>
      <c r="F12" s="108"/>
      <c r="G12" s="13" t="s">
        <v>24</v>
      </c>
      <c r="H12" s="13" t="s">
        <v>24</v>
      </c>
      <c r="I12" s="13" t="s">
        <v>23</v>
      </c>
      <c r="J12" s="13" t="s">
        <v>24</v>
      </c>
      <c r="K12" s="13" t="s">
        <v>24</v>
      </c>
      <c r="L12" s="87" t="s">
        <v>24</v>
      </c>
      <c r="M12" s="108"/>
      <c r="N12" s="6" t="s">
        <v>24</v>
      </c>
      <c r="O12" s="6" t="s">
        <v>24</v>
      </c>
      <c r="P12" s="6" t="s">
        <v>24</v>
      </c>
      <c r="Q12" s="6" t="s">
        <v>24</v>
      </c>
      <c r="R12" s="108"/>
      <c r="S12" s="86" t="s">
        <v>24</v>
      </c>
      <c r="T12" s="108"/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111"/>
      <c r="AA12" s="108"/>
      <c r="AB12" s="6" t="s">
        <v>24</v>
      </c>
      <c r="AC12" s="6" t="s">
        <v>24</v>
      </c>
      <c r="AD12" s="6" t="s">
        <v>24</v>
      </c>
      <c r="AE12" s="89" t="s">
        <v>24</v>
      </c>
      <c r="AF12" s="6" t="s">
        <v>24</v>
      </c>
      <c r="AG12" s="4">
        <f t="shared" si="1"/>
        <v>21</v>
      </c>
      <c r="AH12" s="4">
        <f t="shared" si="2"/>
        <v>1</v>
      </c>
      <c r="AI12" s="82" t="s">
        <v>10</v>
      </c>
      <c r="AJ12" s="4" t="s">
        <v>11</v>
      </c>
      <c r="AK12" s="4" t="s">
        <v>12</v>
      </c>
      <c r="AL12" s="4" t="s">
        <v>13</v>
      </c>
    </row>
    <row r="13" spans="1:38" ht="16.5">
      <c r="A13" s="7">
        <v>9</v>
      </c>
      <c r="B13" s="83" t="s">
        <v>327</v>
      </c>
      <c r="C13" s="83" t="s">
        <v>204</v>
      </c>
      <c r="D13" s="5" t="s">
        <v>364</v>
      </c>
      <c r="E13" s="86" t="s">
        <v>24</v>
      </c>
      <c r="F13" s="108"/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87" t="s">
        <v>24</v>
      </c>
      <c r="M13" s="108"/>
      <c r="N13" s="6" t="s">
        <v>24</v>
      </c>
      <c r="O13" s="6" t="s">
        <v>23</v>
      </c>
      <c r="P13" s="6" t="s">
        <v>24</v>
      </c>
      <c r="Q13" s="6" t="s">
        <v>24</v>
      </c>
      <c r="R13" s="108"/>
      <c r="S13" s="86" t="s">
        <v>24</v>
      </c>
      <c r="T13" s="108"/>
      <c r="U13" s="6" t="s">
        <v>24</v>
      </c>
      <c r="V13" s="6" t="s">
        <v>24</v>
      </c>
      <c r="W13" s="6" t="s">
        <v>23</v>
      </c>
      <c r="X13" s="6" t="s">
        <v>24</v>
      </c>
      <c r="Y13" s="6" t="s">
        <v>24</v>
      </c>
      <c r="Z13" s="111"/>
      <c r="AA13" s="108"/>
      <c r="AB13" s="6" t="s">
        <v>24</v>
      </c>
      <c r="AC13" s="6" t="s">
        <v>24</v>
      </c>
      <c r="AD13" s="6" t="s">
        <v>24</v>
      </c>
      <c r="AE13" s="89" t="s">
        <v>24</v>
      </c>
      <c r="AF13" s="6" t="s">
        <v>24</v>
      </c>
      <c r="AG13" s="4">
        <f t="shared" si="1"/>
        <v>20</v>
      </c>
      <c r="AH13" s="4">
        <f t="shared" si="2"/>
        <v>2</v>
      </c>
      <c r="AI13" s="82" t="s">
        <v>14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3" t="s">
        <v>328</v>
      </c>
      <c r="C14" s="83" t="s">
        <v>141</v>
      </c>
      <c r="D14" s="5" t="s">
        <v>364</v>
      </c>
      <c r="E14" s="86" t="s">
        <v>23</v>
      </c>
      <c r="F14" s="108"/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87" t="s">
        <v>24</v>
      </c>
      <c r="M14" s="108"/>
      <c r="N14" s="6" t="s">
        <v>24</v>
      </c>
      <c r="O14" s="6" t="s">
        <v>24</v>
      </c>
      <c r="P14" s="6" t="s">
        <v>24</v>
      </c>
      <c r="Q14" s="6" t="s">
        <v>24</v>
      </c>
      <c r="R14" s="108"/>
      <c r="S14" s="86" t="s">
        <v>24</v>
      </c>
      <c r="T14" s="108"/>
      <c r="U14" s="6" t="s">
        <v>24</v>
      </c>
      <c r="V14" s="6" t="s">
        <v>24</v>
      </c>
      <c r="W14" s="6" t="s">
        <v>24</v>
      </c>
      <c r="X14" s="6" t="s">
        <v>24</v>
      </c>
      <c r="Y14" s="6" t="s">
        <v>24</v>
      </c>
      <c r="Z14" s="111"/>
      <c r="AA14" s="108"/>
      <c r="AB14" s="6" t="s">
        <v>24</v>
      </c>
      <c r="AC14" s="6" t="s">
        <v>24</v>
      </c>
      <c r="AD14" s="6" t="s">
        <v>24</v>
      </c>
      <c r="AE14" s="89" t="s">
        <v>24</v>
      </c>
      <c r="AF14" s="6" t="s">
        <v>24</v>
      </c>
      <c r="AG14" s="4">
        <f t="shared" si="1"/>
        <v>21</v>
      </c>
      <c r="AH14" s="4">
        <f t="shared" si="2"/>
        <v>1</v>
      </c>
      <c r="AI14" s="82" t="s">
        <v>15</v>
      </c>
      <c r="AJ14" s="7" t="e">
        <f>SUM(AG6,AG9,AG11,AG13,AG16,AG21,AG22,AG23,AG24,AG25,AG26,AG27,AG32,AG34,AG36,AG40,#REF!,#REF!,#REF!,#REF!,#REF!,#REF!,#REF!,#REF!,#REF!,#REF!,#REF!)</f>
        <v>#REF!</v>
      </c>
      <c r="AK14" s="7" t="e">
        <f>SUM(AG5,AG7,AG8,AG10,AG12,AG14,AG15,AG17,AG18,AG19,AG20,AG28,AG29,AG30,AG31,AG33,AG35,AG37,AG38,AG39,#REF!,#REF!,#REF!,#REF!,#REF!,#REF!,#REF!)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3" t="s">
        <v>329</v>
      </c>
      <c r="C15" s="83" t="s">
        <v>237</v>
      </c>
      <c r="D15" s="5" t="s">
        <v>364</v>
      </c>
      <c r="E15" s="86" t="s">
        <v>24</v>
      </c>
      <c r="F15" s="108"/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87" t="s">
        <v>24</v>
      </c>
      <c r="M15" s="108"/>
      <c r="N15" s="6" t="s">
        <v>24</v>
      </c>
      <c r="O15" s="6" t="s">
        <v>24</v>
      </c>
      <c r="P15" s="6" t="s">
        <v>24</v>
      </c>
      <c r="Q15" s="6" t="s">
        <v>24</v>
      </c>
      <c r="R15" s="108"/>
      <c r="S15" s="86" t="s">
        <v>24</v>
      </c>
      <c r="T15" s="108"/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111"/>
      <c r="AA15" s="108"/>
      <c r="AB15" s="6" t="s">
        <v>24</v>
      </c>
      <c r="AC15" s="6" t="s">
        <v>24</v>
      </c>
      <c r="AD15" s="6" t="s">
        <v>24</v>
      </c>
      <c r="AE15" s="89" t="s">
        <v>24</v>
      </c>
      <c r="AF15" s="6" t="s">
        <v>24</v>
      </c>
      <c r="AG15" s="4">
        <f t="shared" si="1"/>
        <v>22</v>
      </c>
      <c r="AH15" s="4">
        <f t="shared" si="2"/>
        <v>0</v>
      </c>
      <c r="AI15" s="82" t="s">
        <v>16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3" t="s">
        <v>330</v>
      </c>
      <c r="C16" s="83" t="s">
        <v>331</v>
      </c>
      <c r="D16" s="5" t="s">
        <v>364</v>
      </c>
      <c r="E16" s="86" t="s">
        <v>24</v>
      </c>
      <c r="F16" s="108"/>
      <c r="G16" s="13" t="s">
        <v>24</v>
      </c>
      <c r="H16" s="13" t="s">
        <v>24</v>
      </c>
      <c r="I16" s="13" t="s">
        <v>23</v>
      </c>
      <c r="J16" s="13" t="s">
        <v>24</v>
      </c>
      <c r="K16" s="13" t="s">
        <v>24</v>
      </c>
      <c r="L16" s="87" t="s">
        <v>24</v>
      </c>
      <c r="M16" s="108"/>
      <c r="N16" s="6" t="s">
        <v>24</v>
      </c>
      <c r="O16" s="6" t="s">
        <v>24</v>
      </c>
      <c r="P16" s="6" t="s">
        <v>24</v>
      </c>
      <c r="Q16" s="6" t="s">
        <v>24</v>
      </c>
      <c r="R16" s="108"/>
      <c r="S16" s="86" t="s">
        <v>24</v>
      </c>
      <c r="T16" s="108"/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111"/>
      <c r="AA16" s="108"/>
      <c r="AB16" s="6" t="s">
        <v>24</v>
      </c>
      <c r="AC16" s="6" t="s">
        <v>24</v>
      </c>
      <c r="AD16" s="6" t="s">
        <v>24</v>
      </c>
      <c r="AE16" s="89" t="s">
        <v>24</v>
      </c>
      <c r="AF16" s="6" t="s">
        <v>24</v>
      </c>
      <c r="AG16" s="4">
        <f t="shared" si="1"/>
        <v>21</v>
      </c>
      <c r="AH16" s="4">
        <f t="shared" si="2"/>
        <v>1</v>
      </c>
      <c r="AI16"/>
      <c r="AJ16"/>
      <c r="AK16"/>
      <c r="AL16"/>
    </row>
    <row r="17" spans="1:38" ht="16.5">
      <c r="A17" s="7">
        <v>13</v>
      </c>
      <c r="B17" s="83" t="s">
        <v>332</v>
      </c>
      <c r="C17" s="83" t="s">
        <v>117</v>
      </c>
      <c r="D17" s="5" t="s">
        <v>364</v>
      </c>
      <c r="E17" s="86" t="s">
        <v>24</v>
      </c>
      <c r="F17" s="108"/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23</v>
      </c>
      <c r="L17" s="87" t="s">
        <v>24</v>
      </c>
      <c r="M17" s="108"/>
      <c r="N17" s="6" t="s">
        <v>24</v>
      </c>
      <c r="O17" s="6" t="s">
        <v>23</v>
      </c>
      <c r="P17" s="6" t="s">
        <v>24</v>
      </c>
      <c r="Q17" s="6" t="s">
        <v>24</v>
      </c>
      <c r="R17" s="108"/>
      <c r="S17" s="86" t="s">
        <v>24</v>
      </c>
      <c r="T17" s="108"/>
      <c r="U17" s="6" t="s">
        <v>24</v>
      </c>
      <c r="V17" s="6" t="s">
        <v>24</v>
      </c>
      <c r="W17" s="6" t="s">
        <v>23</v>
      </c>
      <c r="X17" s="6" t="s">
        <v>24</v>
      </c>
      <c r="Y17" s="6" t="s">
        <v>24</v>
      </c>
      <c r="Z17" s="111"/>
      <c r="AA17" s="108"/>
      <c r="AB17" s="6" t="s">
        <v>24</v>
      </c>
      <c r="AC17" s="6" t="s">
        <v>23</v>
      </c>
      <c r="AD17" s="6" t="s">
        <v>24</v>
      </c>
      <c r="AE17" s="89" t="s">
        <v>24</v>
      </c>
      <c r="AF17" s="6" t="s">
        <v>24</v>
      </c>
      <c r="AG17" s="4">
        <f t="shared" si="1"/>
        <v>18</v>
      </c>
      <c r="AH17" s="4">
        <f t="shared" si="2"/>
        <v>4</v>
      </c>
      <c r="AI17"/>
      <c r="AJ17"/>
      <c r="AK17"/>
      <c r="AL17"/>
    </row>
    <row r="18" spans="1:38" ht="16.5">
      <c r="A18" s="7">
        <v>14</v>
      </c>
      <c r="B18" s="83" t="s">
        <v>173</v>
      </c>
      <c r="C18" s="83" t="s">
        <v>333</v>
      </c>
      <c r="D18" s="5" t="s">
        <v>364</v>
      </c>
      <c r="E18" s="86" t="s">
        <v>25</v>
      </c>
      <c r="F18" s="108"/>
      <c r="G18" s="13" t="s">
        <v>24</v>
      </c>
      <c r="H18" s="13" t="s">
        <v>23</v>
      </c>
      <c r="I18" s="13" t="s">
        <v>24</v>
      </c>
      <c r="J18" s="13" t="s">
        <v>24</v>
      </c>
      <c r="K18" s="13" t="s">
        <v>24</v>
      </c>
      <c r="L18" s="87" t="s">
        <v>24</v>
      </c>
      <c r="M18" s="108"/>
      <c r="N18" s="6" t="s">
        <v>24</v>
      </c>
      <c r="O18" s="6" t="s">
        <v>24</v>
      </c>
      <c r="P18" s="6" t="s">
        <v>24</v>
      </c>
      <c r="Q18" s="6" t="s">
        <v>24</v>
      </c>
      <c r="R18" s="108"/>
      <c r="S18" s="86" t="s">
        <v>24</v>
      </c>
      <c r="T18" s="108"/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111"/>
      <c r="AA18" s="108"/>
      <c r="AB18" s="6" t="s">
        <v>24</v>
      </c>
      <c r="AC18" s="6" t="s">
        <v>24</v>
      </c>
      <c r="AD18" s="6" t="s">
        <v>24</v>
      </c>
      <c r="AE18" s="89" t="s">
        <v>24</v>
      </c>
      <c r="AF18" s="6" t="s">
        <v>24</v>
      </c>
      <c r="AG18" s="4">
        <f t="shared" si="1"/>
        <v>20</v>
      </c>
      <c r="AH18" s="4">
        <f t="shared" si="2"/>
        <v>1</v>
      </c>
      <c r="AI18"/>
      <c r="AJ18"/>
      <c r="AK18"/>
      <c r="AL18"/>
    </row>
    <row r="19" spans="1:38" ht="16.5">
      <c r="A19" s="7">
        <v>15</v>
      </c>
      <c r="B19" s="83" t="s">
        <v>334</v>
      </c>
      <c r="C19" s="83" t="s">
        <v>307</v>
      </c>
      <c r="D19" s="5" t="s">
        <v>364</v>
      </c>
      <c r="E19" s="86" t="s">
        <v>24</v>
      </c>
      <c r="F19" s="108"/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24</v>
      </c>
      <c r="L19" s="87" t="s">
        <v>24</v>
      </c>
      <c r="M19" s="108"/>
      <c r="N19" s="6" t="s">
        <v>24</v>
      </c>
      <c r="O19" s="6" t="s">
        <v>24</v>
      </c>
      <c r="P19" s="6" t="s">
        <v>24</v>
      </c>
      <c r="Q19" s="6" t="s">
        <v>24</v>
      </c>
      <c r="R19" s="108"/>
      <c r="S19" s="86" t="s">
        <v>24</v>
      </c>
      <c r="T19" s="108"/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111"/>
      <c r="AA19" s="108"/>
      <c r="AB19" s="6" t="s">
        <v>24</v>
      </c>
      <c r="AC19" s="6" t="s">
        <v>24</v>
      </c>
      <c r="AD19" s="6" t="s">
        <v>24</v>
      </c>
      <c r="AE19" s="89" t="s">
        <v>24</v>
      </c>
      <c r="AF19" s="6" t="s">
        <v>24</v>
      </c>
      <c r="AG19" s="4">
        <f t="shared" si="1"/>
        <v>22</v>
      </c>
      <c r="AH19" s="4">
        <f t="shared" si="2"/>
        <v>0</v>
      </c>
      <c r="AI19" s="105" t="s">
        <v>31</v>
      </c>
      <c r="AJ19" s="105"/>
      <c r="AK19" s="105"/>
      <c r="AL19" s="106"/>
    </row>
    <row r="20" spans="1:38" ht="16.5">
      <c r="A20" s="7">
        <v>16</v>
      </c>
      <c r="B20" s="83" t="s">
        <v>335</v>
      </c>
      <c r="C20" s="83" t="s">
        <v>170</v>
      </c>
      <c r="D20" s="5" t="s">
        <v>364</v>
      </c>
      <c r="E20" s="86" t="s">
        <v>24</v>
      </c>
      <c r="F20" s="108"/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87" t="s">
        <v>24</v>
      </c>
      <c r="M20" s="108"/>
      <c r="N20" s="6" t="s">
        <v>24</v>
      </c>
      <c r="O20" s="6" t="s">
        <v>24</v>
      </c>
      <c r="P20" s="6" t="s">
        <v>24</v>
      </c>
      <c r="Q20" s="6" t="s">
        <v>24</v>
      </c>
      <c r="R20" s="108"/>
      <c r="S20" s="86" t="s">
        <v>24</v>
      </c>
      <c r="T20" s="108"/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111"/>
      <c r="AA20" s="108"/>
      <c r="AB20" s="6" t="s">
        <v>24</v>
      </c>
      <c r="AC20" s="6" t="s">
        <v>24</v>
      </c>
      <c r="AD20" s="6" t="s">
        <v>24</v>
      </c>
      <c r="AE20" s="89" t="s">
        <v>24</v>
      </c>
      <c r="AF20" s="6" t="s">
        <v>24</v>
      </c>
      <c r="AG20" s="4">
        <f t="shared" si="1"/>
        <v>22</v>
      </c>
      <c r="AH20" s="4">
        <f t="shared" si="2"/>
        <v>0</v>
      </c>
      <c r="AI20" s="82" t="s">
        <v>10</v>
      </c>
      <c r="AJ20" s="4" t="s">
        <v>11</v>
      </c>
      <c r="AK20" s="4" t="s">
        <v>12</v>
      </c>
      <c r="AL20" s="4" t="s">
        <v>13</v>
      </c>
    </row>
    <row r="21" spans="1:38" ht="16.5">
      <c r="A21" s="7">
        <v>17</v>
      </c>
      <c r="B21" s="83" t="s">
        <v>329</v>
      </c>
      <c r="C21" s="83" t="s">
        <v>219</v>
      </c>
      <c r="D21" s="5" t="s">
        <v>364</v>
      </c>
      <c r="E21" s="86" t="s">
        <v>24</v>
      </c>
      <c r="F21" s="108"/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87" t="s">
        <v>24</v>
      </c>
      <c r="M21" s="108"/>
      <c r="N21" s="6" t="s">
        <v>24</v>
      </c>
      <c r="O21" s="6" t="s">
        <v>23</v>
      </c>
      <c r="P21" s="6" t="s">
        <v>24</v>
      </c>
      <c r="Q21" s="6" t="s">
        <v>24</v>
      </c>
      <c r="R21" s="108"/>
      <c r="S21" s="86" t="s">
        <v>24</v>
      </c>
      <c r="T21" s="108"/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111"/>
      <c r="AA21" s="108"/>
      <c r="AB21" s="6" t="s">
        <v>24</v>
      </c>
      <c r="AC21" s="6" t="s">
        <v>24</v>
      </c>
      <c r="AD21" s="6" t="s">
        <v>24</v>
      </c>
      <c r="AE21" s="89" t="s">
        <v>24</v>
      </c>
      <c r="AF21" s="6" t="s">
        <v>24</v>
      </c>
      <c r="AG21" s="4">
        <f t="shared" si="1"/>
        <v>21</v>
      </c>
      <c r="AH21" s="4">
        <f t="shared" si="2"/>
        <v>1</v>
      </c>
      <c r="AI21" s="82" t="s">
        <v>14</v>
      </c>
      <c r="AJ21" s="7">
        <f>27*$AJ$5</f>
        <v>648</v>
      </c>
      <c r="AK21" s="7">
        <f>27*$AJ$5</f>
        <v>648</v>
      </c>
      <c r="AL21" s="7">
        <f>AJ21+AK21</f>
        <v>1296</v>
      </c>
    </row>
    <row r="22" spans="1:38" ht="16.5">
      <c r="A22" s="7">
        <v>18</v>
      </c>
      <c r="B22" s="83" t="s">
        <v>336</v>
      </c>
      <c r="C22" s="83" t="s">
        <v>337</v>
      </c>
      <c r="D22" s="5" t="s">
        <v>364</v>
      </c>
      <c r="E22" s="86" t="s">
        <v>25</v>
      </c>
      <c r="F22" s="108"/>
      <c r="G22" s="13" t="s">
        <v>24</v>
      </c>
      <c r="H22" s="13" t="s">
        <v>23</v>
      </c>
      <c r="I22" s="13" t="s">
        <v>24</v>
      </c>
      <c r="J22" s="13" t="s">
        <v>24</v>
      </c>
      <c r="K22" s="13" t="s">
        <v>23</v>
      </c>
      <c r="L22" s="87" t="s">
        <v>24</v>
      </c>
      <c r="M22" s="108"/>
      <c r="N22" s="6" t="s">
        <v>24</v>
      </c>
      <c r="O22" s="6" t="s">
        <v>24</v>
      </c>
      <c r="P22" s="6" t="s">
        <v>24</v>
      </c>
      <c r="Q22" s="6" t="s">
        <v>24</v>
      </c>
      <c r="R22" s="108"/>
      <c r="S22" s="86" t="s">
        <v>24</v>
      </c>
      <c r="T22" s="108"/>
      <c r="U22" s="6" t="s">
        <v>24</v>
      </c>
      <c r="V22" s="6" t="s">
        <v>24</v>
      </c>
      <c r="W22" s="6" t="s">
        <v>23</v>
      </c>
      <c r="X22" s="6" t="s">
        <v>24</v>
      </c>
      <c r="Y22" s="6" t="s">
        <v>24</v>
      </c>
      <c r="Z22" s="111"/>
      <c r="AA22" s="108"/>
      <c r="AB22" s="6" t="s">
        <v>24</v>
      </c>
      <c r="AC22" s="6" t="s">
        <v>23</v>
      </c>
      <c r="AD22" s="6" t="s">
        <v>24</v>
      </c>
      <c r="AE22" s="89" t="s">
        <v>24</v>
      </c>
      <c r="AF22" s="6" t="s">
        <v>24</v>
      </c>
      <c r="AG22" s="4">
        <f t="shared" si="1"/>
        <v>17</v>
      </c>
      <c r="AH22" s="4">
        <f t="shared" si="2"/>
        <v>4</v>
      </c>
      <c r="AI22" s="82" t="s">
        <v>17</v>
      </c>
      <c r="AJ22" s="7" t="e">
        <f>AJ21-AJ14</f>
        <v>#REF!</v>
      </c>
      <c r="AK22" s="7" t="e">
        <f>AK21-AK14</f>
        <v>#REF!</v>
      </c>
      <c r="AL22" s="7" t="e">
        <f>AJ22+AK22</f>
        <v>#REF!</v>
      </c>
    </row>
    <row r="23" spans="1:38" ht="16.5">
      <c r="A23" s="7">
        <v>19</v>
      </c>
      <c r="B23" s="83" t="s">
        <v>338</v>
      </c>
      <c r="C23" s="83" t="s">
        <v>272</v>
      </c>
      <c r="D23" s="5" t="s">
        <v>364</v>
      </c>
      <c r="E23" s="86" t="s">
        <v>24</v>
      </c>
      <c r="F23" s="108"/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87" t="s">
        <v>24</v>
      </c>
      <c r="M23" s="108"/>
      <c r="N23" s="6" t="s">
        <v>24</v>
      </c>
      <c r="O23" s="6" t="s">
        <v>24</v>
      </c>
      <c r="P23" s="6" t="s">
        <v>24</v>
      </c>
      <c r="Q23" s="6" t="s">
        <v>24</v>
      </c>
      <c r="R23" s="108"/>
      <c r="S23" s="86" t="s">
        <v>24</v>
      </c>
      <c r="T23" s="108"/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111"/>
      <c r="AA23" s="108"/>
      <c r="AB23" s="6" t="s">
        <v>24</v>
      </c>
      <c r="AC23" s="6" t="s">
        <v>24</v>
      </c>
      <c r="AD23" s="6" t="s">
        <v>24</v>
      </c>
      <c r="AE23" s="89" t="s">
        <v>24</v>
      </c>
      <c r="AF23" s="6" t="s">
        <v>24</v>
      </c>
      <c r="AG23" s="4">
        <f t="shared" si="1"/>
        <v>22</v>
      </c>
      <c r="AH23" s="4">
        <f t="shared" si="2"/>
        <v>0</v>
      </c>
      <c r="AI23" s="82" t="s">
        <v>16</v>
      </c>
      <c r="AJ23" s="9" t="e">
        <f>AJ22/AJ21</f>
        <v>#REF!</v>
      </c>
      <c r="AK23" s="9" t="e">
        <f>AK22/AK21</f>
        <v>#REF!</v>
      </c>
      <c r="AL23" s="9" t="e">
        <f>AL22/AL21</f>
        <v>#REF!</v>
      </c>
    </row>
    <row r="24" spans="1:38" ht="16.5">
      <c r="A24" s="7">
        <v>20</v>
      </c>
      <c r="B24" s="83" t="s">
        <v>42</v>
      </c>
      <c r="C24" s="83" t="s">
        <v>296</v>
      </c>
      <c r="D24" s="5" t="s">
        <v>364</v>
      </c>
      <c r="E24" s="86" t="s">
        <v>24</v>
      </c>
      <c r="F24" s="108"/>
      <c r="G24" s="13" t="s">
        <v>23</v>
      </c>
      <c r="H24" s="13" t="s">
        <v>24</v>
      </c>
      <c r="I24" s="13" t="s">
        <v>24</v>
      </c>
      <c r="J24" s="13" t="s">
        <v>24</v>
      </c>
      <c r="K24" s="13" t="s">
        <v>24</v>
      </c>
      <c r="L24" s="87" t="s">
        <v>24</v>
      </c>
      <c r="M24" s="108"/>
      <c r="N24" s="6" t="s">
        <v>24</v>
      </c>
      <c r="O24" s="6" t="s">
        <v>24</v>
      </c>
      <c r="P24" s="6" t="s">
        <v>24</v>
      </c>
      <c r="Q24" s="6" t="s">
        <v>24</v>
      </c>
      <c r="R24" s="108"/>
      <c r="S24" s="86" t="s">
        <v>24</v>
      </c>
      <c r="T24" s="108"/>
      <c r="U24" s="6" t="s">
        <v>24</v>
      </c>
      <c r="V24" s="6" t="s">
        <v>24</v>
      </c>
      <c r="W24" s="6" t="s">
        <v>24</v>
      </c>
      <c r="X24" s="6" t="s">
        <v>24</v>
      </c>
      <c r="Y24" s="6" t="s">
        <v>24</v>
      </c>
      <c r="Z24" s="111"/>
      <c r="AA24" s="108"/>
      <c r="AB24" s="6" t="s">
        <v>24</v>
      </c>
      <c r="AC24" s="6" t="s">
        <v>24</v>
      </c>
      <c r="AD24" s="6" t="s">
        <v>24</v>
      </c>
      <c r="AE24" s="89" t="s">
        <v>24</v>
      </c>
      <c r="AF24" s="6" t="s">
        <v>24</v>
      </c>
      <c r="AG24" s="4">
        <f t="shared" si="1"/>
        <v>21</v>
      </c>
      <c r="AH24" s="4">
        <f t="shared" si="2"/>
        <v>1</v>
      </c>
    </row>
    <row r="25" spans="1:38" ht="16.5">
      <c r="A25" s="7">
        <v>21</v>
      </c>
      <c r="B25" s="83" t="s">
        <v>339</v>
      </c>
      <c r="C25" s="83" t="s">
        <v>340</v>
      </c>
      <c r="D25" s="5" t="s">
        <v>364</v>
      </c>
      <c r="E25" s="86" t="s">
        <v>24</v>
      </c>
      <c r="F25" s="108"/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87" t="s">
        <v>24</v>
      </c>
      <c r="M25" s="108"/>
      <c r="N25" s="6" t="s">
        <v>24</v>
      </c>
      <c r="O25" s="6" t="s">
        <v>23</v>
      </c>
      <c r="P25" s="6" t="s">
        <v>24</v>
      </c>
      <c r="Q25" s="6" t="s">
        <v>24</v>
      </c>
      <c r="R25" s="108"/>
      <c r="S25" s="86" t="s">
        <v>24</v>
      </c>
      <c r="T25" s="108"/>
      <c r="U25" s="6" t="s">
        <v>24</v>
      </c>
      <c r="V25" s="6" t="s">
        <v>24</v>
      </c>
      <c r="W25" s="6" t="s">
        <v>24</v>
      </c>
      <c r="X25" s="6" t="s">
        <v>24</v>
      </c>
      <c r="Y25" s="6" t="s">
        <v>24</v>
      </c>
      <c r="Z25" s="111"/>
      <c r="AA25" s="108"/>
      <c r="AB25" s="6" t="s">
        <v>24</v>
      </c>
      <c r="AC25" s="6" t="s">
        <v>23</v>
      </c>
      <c r="AD25" s="6" t="s">
        <v>24</v>
      </c>
      <c r="AE25" s="89" t="s">
        <v>24</v>
      </c>
      <c r="AF25" s="6" t="s">
        <v>24</v>
      </c>
      <c r="AG25" s="4">
        <f t="shared" si="1"/>
        <v>20</v>
      </c>
      <c r="AH25" s="4">
        <f t="shared" si="2"/>
        <v>2</v>
      </c>
    </row>
    <row r="26" spans="1:38" ht="16.5">
      <c r="A26" s="7">
        <v>22</v>
      </c>
      <c r="B26" s="83" t="s">
        <v>341</v>
      </c>
      <c r="C26" s="83" t="s">
        <v>35</v>
      </c>
      <c r="D26" s="5" t="s">
        <v>364</v>
      </c>
      <c r="E26" s="86" t="s">
        <v>25</v>
      </c>
      <c r="F26" s="108"/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87" t="s">
        <v>24</v>
      </c>
      <c r="M26" s="108"/>
      <c r="N26" s="6" t="s">
        <v>24</v>
      </c>
      <c r="O26" s="6" t="s">
        <v>24</v>
      </c>
      <c r="P26" s="6" t="s">
        <v>24</v>
      </c>
      <c r="Q26" s="6" t="s">
        <v>24</v>
      </c>
      <c r="R26" s="108"/>
      <c r="S26" s="86" t="s">
        <v>24</v>
      </c>
      <c r="T26" s="108"/>
      <c r="U26" s="6" t="s">
        <v>24</v>
      </c>
      <c r="V26" s="6" t="s">
        <v>24</v>
      </c>
      <c r="W26" s="6" t="s">
        <v>23</v>
      </c>
      <c r="X26" s="6" t="s">
        <v>24</v>
      </c>
      <c r="Y26" s="6" t="s">
        <v>24</v>
      </c>
      <c r="Z26" s="111"/>
      <c r="AA26" s="108"/>
      <c r="AB26" s="6" t="s">
        <v>24</v>
      </c>
      <c r="AC26" s="6" t="s">
        <v>24</v>
      </c>
      <c r="AD26" s="6" t="s">
        <v>24</v>
      </c>
      <c r="AE26" s="89" t="s">
        <v>24</v>
      </c>
      <c r="AF26" s="6" t="s">
        <v>24</v>
      </c>
      <c r="AG26" s="4">
        <f t="shared" si="1"/>
        <v>20</v>
      </c>
      <c r="AH26" s="4">
        <f t="shared" si="2"/>
        <v>1</v>
      </c>
    </row>
    <row r="27" spans="1:38" ht="16.5">
      <c r="A27" s="7">
        <v>23</v>
      </c>
      <c r="B27" s="83" t="s">
        <v>18</v>
      </c>
      <c r="C27" s="83" t="s">
        <v>224</v>
      </c>
      <c r="D27" s="5" t="s">
        <v>364</v>
      </c>
      <c r="E27" s="86" t="s">
        <v>24</v>
      </c>
      <c r="F27" s="108"/>
      <c r="G27" s="13" t="s">
        <v>24</v>
      </c>
      <c r="H27" s="13" t="s">
        <v>24</v>
      </c>
      <c r="I27" s="13" t="s">
        <v>24</v>
      </c>
      <c r="J27" s="13" t="s">
        <v>24</v>
      </c>
      <c r="K27" s="13" t="s">
        <v>24</v>
      </c>
      <c r="L27" s="87" t="s">
        <v>24</v>
      </c>
      <c r="M27" s="108"/>
      <c r="N27" s="6" t="s">
        <v>24</v>
      </c>
      <c r="O27" s="6" t="s">
        <v>24</v>
      </c>
      <c r="P27" s="6" t="s">
        <v>24</v>
      </c>
      <c r="Q27" s="6" t="s">
        <v>24</v>
      </c>
      <c r="R27" s="108"/>
      <c r="S27" s="86" t="s">
        <v>24</v>
      </c>
      <c r="T27" s="108"/>
      <c r="U27" s="6" t="s">
        <v>24</v>
      </c>
      <c r="V27" s="6" t="s">
        <v>24</v>
      </c>
      <c r="W27" s="6" t="s">
        <v>24</v>
      </c>
      <c r="X27" s="6" t="s">
        <v>24</v>
      </c>
      <c r="Y27" s="6" t="s">
        <v>24</v>
      </c>
      <c r="Z27" s="111"/>
      <c r="AA27" s="108"/>
      <c r="AB27" s="6" t="s">
        <v>24</v>
      </c>
      <c r="AC27" s="6" t="s">
        <v>24</v>
      </c>
      <c r="AD27" s="6" t="s">
        <v>24</v>
      </c>
      <c r="AE27" s="89" t="s">
        <v>24</v>
      </c>
      <c r="AF27" s="6" t="s">
        <v>24</v>
      </c>
      <c r="AG27" s="4">
        <f t="shared" si="1"/>
        <v>22</v>
      </c>
      <c r="AH27" s="4">
        <f t="shared" si="2"/>
        <v>0</v>
      </c>
    </row>
    <row r="28" spans="1:38" ht="16.5">
      <c r="A28" s="7">
        <v>24</v>
      </c>
      <c r="B28" s="83" t="s">
        <v>342</v>
      </c>
      <c r="C28" s="83" t="s">
        <v>343</v>
      </c>
      <c r="D28" s="5" t="s">
        <v>364</v>
      </c>
      <c r="E28" s="86" t="s">
        <v>23</v>
      </c>
      <c r="F28" s="108"/>
      <c r="G28" s="13" t="s">
        <v>24</v>
      </c>
      <c r="H28" s="13" t="s">
        <v>24</v>
      </c>
      <c r="I28" s="13" t="s">
        <v>24</v>
      </c>
      <c r="J28" s="13" t="s">
        <v>24</v>
      </c>
      <c r="K28" s="13" t="s">
        <v>24</v>
      </c>
      <c r="L28" s="87" t="s">
        <v>24</v>
      </c>
      <c r="M28" s="108"/>
      <c r="N28" s="6" t="s">
        <v>24</v>
      </c>
      <c r="O28" s="6" t="s">
        <v>24</v>
      </c>
      <c r="P28" s="6" t="s">
        <v>24</v>
      </c>
      <c r="Q28" s="6" t="s">
        <v>24</v>
      </c>
      <c r="R28" s="108"/>
      <c r="S28" s="86" t="s">
        <v>24</v>
      </c>
      <c r="T28" s="108"/>
      <c r="U28" s="6" t="s">
        <v>24</v>
      </c>
      <c r="V28" s="6" t="s">
        <v>24</v>
      </c>
      <c r="W28" s="6" t="s">
        <v>24</v>
      </c>
      <c r="X28" s="6" t="s">
        <v>24</v>
      </c>
      <c r="Y28" s="6" t="s">
        <v>24</v>
      </c>
      <c r="Z28" s="111"/>
      <c r="AA28" s="108"/>
      <c r="AB28" s="6" t="s">
        <v>24</v>
      </c>
      <c r="AC28" s="6" t="s">
        <v>24</v>
      </c>
      <c r="AD28" s="6" t="s">
        <v>24</v>
      </c>
      <c r="AE28" s="89" t="s">
        <v>24</v>
      </c>
      <c r="AF28" s="6" t="s">
        <v>24</v>
      </c>
      <c r="AG28" s="4">
        <f t="shared" si="1"/>
        <v>21</v>
      </c>
      <c r="AH28" s="4">
        <f t="shared" si="2"/>
        <v>1</v>
      </c>
    </row>
    <row r="29" spans="1:38" ht="16.5">
      <c r="A29" s="7">
        <v>25</v>
      </c>
      <c r="B29" s="83" t="s">
        <v>344</v>
      </c>
      <c r="C29" s="83" t="s">
        <v>311</v>
      </c>
      <c r="D29" s="5" t="s">
        <v>364</v>
      </c>
      <c r="E29" s="86" t="s">
        <v>24</v>
      </c>
      <c r="F29" s="108"/>
      <c r="G29" s="13" t="s">
        <v>24</v>
      </c>
      <c r="H29" s="13" t="s">
        <v>24</v>
      </c>
      <c r="I29" s="13" t="s">
        <v>24</v>
      </c>
      <c r="J29" s="13" t="s">
        <v>24</v>
      </c>
      <c r="K29" s="13" t="s">
        <v>24</v>
      </c>
      <c r="L29" s="87" t="s">
        <v>24</v>
      </c>
      <c r="M29" s="108"/>
      <c r="N29" s="6" t="s">
        <v>24</v>
      </c>
      <c r="O29" s="6" t="s">
        <v>23</v>
      </c>
      <c r="P29" s="6" t="s">
        <v>24</v>
      </c>
      <c r="Q29" s="6" t="s">
        <v>24</v>
      </c>
      <c r="R29" s="108"/>
      <c r="S29" s="86" t="s">
        <v>24</v>
      </c>
      <c r="T29" s="108"/>
      <c r="U29" s="6" t="s">
        <v>24</v>
      </c>
      <c r="V29" s="6" t="s">
        <v>24</v>
      </c>
      <c r="W29" s="6" t="s">
        <v>23</v>
      </c>
      <c r="X29" s="6" t="s">
        <v>24</v>
      </c>
      <c r="Y29" s="6" t="s">
        <v>24</v>
      </c>
      <c r="Z29" s="111"/>
      <c r="AA29" s="108"/>
      <c r="AB29" s="6" t="s">
        <v>24</v>
      </c>
      <c r="AC29" s="6" t="s">
        <v>24</v>
      </c>
      <c r="AD29" s="6" t="s">
        <v>24</v>
      </c>
      <c r="AE29" s="89" t="s">
        <v>24</v>
      </c>
      <c r="AF29" s="6" t="s">
        <v>24</v>
      </c>
      <c r="AG29" s="4">
        <f t="shared" si="1"/>
        <v>20</v>
      </c>
      <c r="AH29" s="4">
        <f t="shared" si="2"/>
        <v>2</v>
      </c>
    </row>
    <row r="30" spans="1:38" ht="16.5">
      <c r="A30" s="7">
        <v>26</v>
      </c>
      <c r="B30" s="83" t="s">
        <v>345</v>
      </c>
      <c r="C30" s="83" t="s">
        <v>346</v>
      </c>
      <c r="D30" s="5" t="s">
        <v>364</v>
      </c>
      <c r="E30" s="86" t="s">
        <v>24</v>
      </c>
      <c r="F30" s="108"/>
      <c r="G30" s="13" t="s">
        <v>24</v>
      </c>
      <c r="H30" s="13" t="s">
        <v>24</v>
      </c>
      <c r="I30" s="13" t="s">
        <v>24</v>
      </c>
      <c r="J30" s="13" t="s">
        <v>24</v>
      </c>
      <c r="K30" s="13" t="s">
        <v>24</v>
      </c>
      <c r="L30" s="87" t="s">
        <v>24</v>
      </c>
      <c r="M30" s="108"/>
      <c r="N30" s="6" t="s">
        <v>24</v>
      </c>
      <c r="O30" s="6" t="s">
        <v>24</v>
      </c>
      <c r="P30" s="6" t="s">
        <v>24</v>
      </c>
      <c r="Q30" s="6" t="s">
        <v>24</v>
      </c>
      <c r="R30" s="108"/>
      <c r="S30" s="86" t="s">
        <v>24</v>
      </c>
      <c r="T30" s="108"/>
      <c r="U30" s="6" t="s">
        <v>24</v>
      </c>
      <c r="V30" s="6" t="s">
        <v>24</v>
      </c>
      <c r="W30" s="6" t="s">
        <v>24</v>
      </c>
      <c r="X30" s="6" t="s">
        <v>24</v>
      </c>
      <c r="Y30" s="6" t="s">
        <v>24</v>
      </c>
      <c r="Z30" s="111"/>
      <c r="AA30" s="108"/>
      <c r="AB30" s="6" t="s">
        <v>24</v>
      </c>
      <c r="AC30" s="6" t="s">
        <v>24</v>
      </c>
      <c r="AD30" s="6" t="s">
        <v>24</v>
      </c>
      <c r="AE30" s="89" t="s">
        <v>24</v>
      </c>
      <c r="AF30" s="6" t="s">
        <v>24</v>
      </c>
      <c r="AG30" s="4">
        <f t="shared" si="1"/>
        <v>22</v>
      </c>
      <c r="AH30" s="4">
        <f t="shared" si="2"/>
        <v>0</v>
      </c>
    </row>
    <row r="31" spans="1:38" ht="16.5">
      <c r="A31" s="7">
        <v>27</v>
      </c>
      <c r="B31" s="83" t="s">
        <v>314</v>
      </c>
      <c r="C31" s="83" t="s">
        <v>147</v>
      </c>
      <c r="D31" s="5" t="s">
        <v>364</v>
      </c>
      <c r="E31" s="86" t="s">
        <v>24</v>
      </c>
      <c r="F31" s="108"/>
      <c r="G31" s="13" t="s">
        <v>24</v>
      </c>
      <c r="H31" s="13" t="s">
        <v>24</v>
      </c>
      <c r="I31" s="13" t="s">
        <v>24</v>
      </c>
      <c r="J31" s="13" t="s">
        <v>24</v>
      </c>
      <c r="K31" s="13" t="s">
        <v>24</v>
      </c>
      <c r="L31" s="87" t="s">
        <v>24</v>
      </c>
      <c r="M31" s="108"/>
      <c r="N31" s="6" t="s">
        <v>24</v>
      </c>
      <c r="O31" s="6" t="s">
        <v>24</v>
      </c>
      <c r="P31" s="6" t="s">
        <v>24</v>
      </c>
      <c r="Q31" s="6" t="s">
        <v>24</v>
      </c>
      <c r="R31" s="108"/>
      <c r="S31" s="86" t="s">
        <v>24</v>
      </c>
      <c r="T31" s="108"/>
      <c r="U31" s="6" t="s">
        <v>24</v>
      </c>
      <c r="V31" s="6" t="s">
        <v>24</v>
      </c>
      <c r="W31" s="6" t="s">
        <v>24</v>
      </c>
      <c r="X31" s="6" t="s">
        <v>24</v>
      </c>
      <c r="Y31" s="6" t="s">
        <v>24</v>
      </c>
      <c r="Z31" s="111"/>
      <c r="AA31" s="108"/>
      <c r="AB31" s="6" t="s">
        <v>24</v>
      </c>
      <c r="AC31" s="6" t="s">
        <v>24</v>
      </c>
      <c r="AD31" s="6" t="s">
        <v>24</v>
      </c>
      <c r="AE31" s="89" t="s">
        <v>24</v>
      </c>
      <c r="AF31" s="6" t="s">
        <v>24</v>
      </c>
      <c r="AG31" s="4">
        <f t="shared" si="1"/>
        <v>22</v>
      </c>
      <c r="AH31" s="4">
        <f t="shared" si="2"/>
        <v>0</v>
      </c>
    </row>
    <row r="32" spans="1:38" ht="16.5">
      <c r="A32" s="7">
        <v>28</v>
      </c>
      <c r="B32" s="83" t="s">
        <v>68</v>
      </c>
      <c r="C32" s="83" t="s">
        <v>121</v>
      </c>
      <c r="D32" s="5" t="s">
        <v>364</v>
      </c>
      <c r="E32" s="86" t="s">
        <v>23</v>
      </c>
      <c r="F32" s="108"/>
      <c r="G32" s="13" t="s">
        <v>24</v>
      </c>
      <c r="H32" s="13" t="s">
        <v>24</v>
      </c>
      <c r="I32" s="13" t="s">
        <v>24</v>
      </c>
      <c r="J32" s="13" t="s">
        <v>24</v>
      </c>
      <c r="K32" s="13" t="s">
        <v>24</v>
      </c>
      <c r="L32" s="87" t="s">
        <v>24</v>
      </c>
      <c r="M32" s="108"/>
      <c r="N32" s="6" t="s">
        <v>24</v>
      </c>
      <c r="O32" s="6" t="s">
        <v>24</v>
      </c>
      <c r="P32" s="6" t="s">
        <v>24</v>
      </c>
      <c r="Q32" s="6" t="s">
        <v>24</v>
      </c>
      <c r="R32" s="108"/>
      <c r="S32" s="86" t="s">
        <v>24</v>
      </c>
      <c r="T32" s="108"/>
      <c r="U32" s="6" t="s">
        <v>24</v>
      </c>
      <c r="V32" s="6" t="s">
        <v>24</v>
      </c>
      <c r="W32" s="6" t="s">
        <v>23</v>
      </c>
      <c r="X32" s="6" t="s">
        <v>24</v>
      </c>
      <c r="Y32" s="6" t="s">
        <v>24</v>
      </c>
      <c r="Z32" s="111"/>
      <c r="AA32" s="108"/>
      <c r="AB32" s="6" t="s">
        <v>24</v>
      </c>
      <c r="AC32" s="6" t="s">
        <v>24</v>
      </c>
      <c r="AD32" s="6" t="s">
        <v>24</v>
      </c>
      <c r="AE32" s="89" t="s">
        <v>24</v>
      </c>
      <c r="AF32" s="6" t="s">
        <v>24</v>
      </c>
      <c r="AG32" s="4">
        <f t="shared" si="1"/>
        <v>20</v>
      </c>
      <c r="AH32" s="4">
        <f t="shared" si="2"/>
        <v>2</v>
      </c>
    </row>
    <row r="33" spans="1:34" ht="16.5">
      <c r="A33" s="7">
        <v>29</v>
      </c>
      <c r="B33" s="83" t="s">
        <v>347</v>
      </c>
      <c r="C33" s="83" t="s">
        <v>348</v>
      </c>
      <c r="D33" s="5" t="s">
        <v>364</v>
      </c>
      <c r="E33" s="86" t="s">
        <v>24</v>
      </c>
      <c r="F33" s="108"/>
      <c r="G33" s="13" t="s">
        <v>23</v>
      </c>
      <c r="H33" s="13" t="s">
        <v>24</v>
      </c>
      <c r="I33" s="13" t="s">
        <v>24</v>
      </c>
      <c r="J33" s="13" t="s">
        <v>24</v>
      </c>
      <c r="K33" s="13" t="s">
        <v>24</v>
      </c>
      <c r="L33" s="87" t="s">
        <v>24</v>
      </c>
      <c r="M33" s="108"/>
      <c r="N33" s="6" t="s">
        <v>24</v>
      </c>
      <c r="O33" s="6" t="s">
        <v>23</v>
      </c>
      <c r="P33" s="6" t="s">
        <v>24</v>
      </c>
      <c r="Q33" s="6" t="s">
        <v>24</v>
      </c>
      <c r="R33" s="108"/>
      <c r="S33" s="86" t="s">
        <v>24</v>
      </c>
      <c r="T33" s="108"/>
      <c r="U33" s="6" t="s">
        <v>24</v>
      </c>
      <c r="V33" s="6" t="s">
        <v>24</v>
      </c>
      <c r="W33" s="6" t="s">
        <v>24</v>
      </c>
      <c r="X33" s="6" t="s">
        <v>24</v>
      </c>
      <c r="Y33" s="6" t="s">
        <v>24</v>
      </c>
      <c r="Z33" s="111"/>
      <c r="AA33" s="108"/>
      <c r="AB33" s="6" t="s">
        <v>24</v>
      </c>
      <c r="AC33" s="6" t="s">
        <v>24</v>
      </c>
      <c r="AD33" s="6" t="s">
        <v>24</v>
      </c>
      <c r="AE33" s="89" t="s">
        <v>24</v>
      </c>
      <c r="AF33" s="6" t="s">
        <v>24</v>
      </c>
      <c r="AG33" s="4">
        <f t="shared" si="1"/>
        <v>20</v>
      </c>
      <c r="AH33" s="4">
        <f t="shared" si="2"/>
        <v>2</v>
      </c>
    </row>
    <row r="34" spans="1:34" ht="16.5">
      <c r="A34" s="7">
        <v>30</v>
      </c>
      <c r="B34" s="83" t="s">
        <v>349</v>
      </c>
      <c r="C34" s="83" t="s">
        <v>172</v>
      </c>
      <c r="D34" s="5" t="s">
        <v>364</v>
      </c>
      <c r="E34" s="86" t="s">
        <v>24</v>
      </c>
      <c r="F34" s="108"/>
      <c r="G34" s="13" t="s">
        <v>24</v>
      </c>
      <c r="H34" s="13" t="s">
        <v>24</v>
      </c>
      <c r="I34" s="13" t="s">
        <v>24</v>
      </c>
      <c r="J34" s="13" t="s">
        <v>24</v>
      </c>
      <c r="K34" s="13" t="s">
        <v>24</v>
      </c>
      <c r="L34" s="87" t="s">
        <v>24</v>
      </c>
      <c r="M34" s="108"/>
      <c r="N34" s="6" t="s">
        <v>24</v>
      </c>
      <c r="O34" s="6" t="s">
        <v>24</v>
      </c>
      <c r="P34" s="6" t="s">
        <v>24</v>
      </c>
      <c r="Q34" s="6" t="s">
        <v>24</v>
      </c>
      <c r="R34" s="108"/>
      <c r="S34" s="86" t="s">
        <v>24</v>
      </c>
      <c r="T34" s="108"/>
      <c r="U34" s="6" t="s">
        <v>24</v>
      </c>
      <c r="V34" s="6" t="s">
        <v>24</v>
      </c>
      <c r="W34" s="6" t="s">
        <v>24</v>
      </c>
      <c r="X34" s="6" t="s">
        <v>24</v>
      </c>
      <c r="Y34" s="6" t="s">
        <v>24</v>
      </c>
      <c r="Z34" s="111"/>
      <c r="AA34" s="108"/>
      <c r="AB34" s="6" t="s">
        <v>24</v>
      </c>
      <c r="AC34" s="6" t="s">
        <v>24</v>
      </c>
      <c r="AD34" s="6" t="s">
        <v>24</v>
      </c>
      <c r="AE34" s="89" t="s">
        <v>24</v>
      </c>
      <c r="AF34" s="6" t="s">
        <v>24</v>
      </c>
      <c r="AG34" s="4">
        <f t="shared" si="1"/>
        <v>22</v>
      </c>
      <c r="AH34" s="4">
        <f t="shared" si="2"/>
        <v>0</v>
      </c>
    </row>
    <row r="35" spans="1:34" ht="16.5">
      <c r="A35" s="7">
        <v>31</v>
      </c>
      <c r="B35" s="83" t="s">
        <v>350</v>
      </c>
      <c r="C35" s="83" t="s">
        <v>195</v>
      </c>
      <c r="D35" s="5" t="s">
        <v>364</v>
      </c>
      <c r="E35" s="86" t="s">
        <v>23</v>
      </c>
      <c r="F35" s="108"/>
      <c r="G35" s="13" t="s">
        <v>24</v>
      </c>
      <c r="H35" s="13" t="s">
        <v>24</v>
      </c>
      <c r="I35" s="13" t="s">
        <v>24</v>
      </c>
      <c r="J35" s="13" t="s">
        <v>24</v>
      </c>
      <c r="K35" s="13" t="s">
        <v>24</v>
      </c>
      <c r="L35" s="87" t="s">
        <v>24</v>
      </c>
      <c r="M35" s="108"/>
      <c r="N35" s="6" t="s">
        <v>24</v>
      </c>
      <c r="O35" s="6" t="s">
        <v>24</v>
      </c>
      <c r="P35" s="6" t="s">
        <v>24</v>
      </c>
      <c r="Q35" s="6" t="s">
        <v>24</v>
      </c>
      <c r="R35" s="108"/>
      <c r="S35" s="86" t="s">
        <v>24</v>
      </c>
      <c r="T35" s="108"/>
      <c r="U35" s="6" t="s">
        <v>24</v>
      </c>
      <c r="V35" s="6" t="s">
        <v>24</v>
      </c>
      <c r="W35" s="6" t="s">
        <v>23</v>
      </c>
      <c r="X35" s="6" t="s">
        <v>24</v>
      </c>
      <c r="Y35" s="6" t="s">
        <v>24</v>
      </c>
      <c r="Z35" s="111"/>
      <c r="AA35" s="108"/>
      <c r="AB35" s="6" t="s">
        <v>24</v>
      </c>
      <c r="AC35" s="6" t="s">
        <v>24</v>
      </c>
      <c r="AD35" s="6" t="s">
        <v>24</v>
      </c>
      <c r="AE35" s="89" t="s">
        <v>24</v>
      </c>
      <c r="AF35" s="6" t="s">
        <v>24</v>
      </c>
      <c r="AG35" s="4">
        <f t="shared" si="1"/>
        <v>20</v>
      </c>
      <c r="AH35" s="4">
        <f t="shared" si="2"/>
        <v>2</v>
      </c>
    </row>
    <row r="36" spans="1:34" ht="16.5">
      <c r="A36" s="7">
        <v>32</v>
      </c>
      <c r="B36" s="83" t="s">
        <v>73</v>
      </c>
      <c r="C36" s="83" t="s">
        <v>195</v>
      </c>
      <c r="D36" s="5" t="s">
        <v>364</v>
      </c>
      <c r="E36" s="86" t="s">
        <v>24</v>
      </c>
      <c r="F36" s="108"/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87" t="s">
        <v>24</v>
      </c>
      <c r="M36" s="108"/>
      <c r="N36" s="6" t="s">
        <v>24</v>
      </c>
      <c r="O36" s="6" t="s">
        <v>24</v>
      </c>
      <c r="P36" s="6" t="s">
        <v>24</v>
      </c>
      <c r="Q36" s="6" t="s">
        <v>24</v>
      </c>
      <c r="R36" s="108"/>
      <c r="S36" s="86" t="s">
        <v>24</v>
      </c>
      <c r="T36" s="108"/>
      <c r="U36" s="6" t="s">
        <v>24</v>
      </c>
      <c r="V36" s="6" t="s">
        <v>24</v>
      </c>
      <c r="W36" s="6" t="s">
        <v>24</v>
      </c>
      <c r="X36" s="6" t="s">
        <v>24</v>
      </c>
      <c r="Y36" s="6" t="s">
        <v>24</v>
      </c>
      <c r="Z36" s="111"/>
      <c r="AA36" s="108"/>
      <c r="AB36" s="6" t="s">
        <v>24</v>
      </c>
      <c r="AC36" s="6" t="s">
        <v>24</v>
      </c>
      <c r="AD36" s="6" t="s">
        <v>24</v>
      </c>
      <c r="AE36" s="89" t="s">
        <v>24</v>
      </c>
      <c r="AF36" s="6" t="s">
        <v>24</v>
      </c>
      <c r="AG36" s="4">
        <f t="shared" si="1"/>
        <v>22</v>
      </c>
      <c r="AH36" s="4">
        <f t="shared" si="2"/>
        <v>0</v>
      </c>
    </row>
    <row r="37" spans="1:34" ht="16.5">
      <c r="A37" s="7">
        <v>33</v>
      </c>
      <c r="B37" s="83" t="s">
        <v>351</v>
      </c>
      <c r="C37" s="83" t="s">
        <v>352</v>
      </c>
      <c r="D37" s="5" t="s">
        <v>364</v>
      </c>
      <c r="E37" s="86" t="s">
        <v>24</v>
      </c>
      <c r="F37" s="108"/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87" t="s">
        <v>24</v>
      </c>
      <c r="M37" s="108"/>
      <c r="N37" s="6" t="s">
        <v>24</v>
      </c>
      <c r="O37" s="6" t="s">
        <v>23</v>
      </c>
      <c r="P37" s="6" t="s">
        <v>24</v>
      </c>
      <c r="Q37" s="6" t="s">
        <v>24</v>
      </c>
      <c r="R37" s="108"/>
      <c r="S37" s="86" t="s">
        <v>24</v>
      </c>
      <c r="T37" s="108"/>
      <c r="U37" s="6" t="s">
        <v>24</v>
      </c>
      <c r="V37" s="6" t="s">
        <v>24</v>
      </c>
      <c r="W37" s="6" t="s">
        <v>24</v>
      </c>
      <c r="X37" s="6" t="s">
        <v>24</v>
      </c>
      <c r="Y37" s="6" t="s">
        <v>24</v>
      </c>
      <c r="Z37" s="111"/>
      <c r="AA37" s="108"/>
      <c r="AB37" s="6" t="s">
        <v>24</v>
      </c>
      <c r="AC37" s="6" t="s">
        <v>24</v>
      </c>
      <c r="AD37" s="6" t="s">
        <v>24</v>
      </c>
      <c r="AE37" s="89" t="s">
        <v>24</v>
      </c>
      <c r="AF37" s="6" t="s">
        <v>24</v>
      </c>
      <c r="AG37" s="4">
        <f t="shared" si="1"/>
        <v>21</v>
      </c>
      <c r="AH37" s="4">
        <f t="shared" si="2"/>
        <v>1</v>
      </c>
    </row>
    <row r="38" spans="1:34" ht="16.5">
      <c r="A38" s="7">
        <v>34</v>
      </c>
      <c r="B38" s="83" t="s">
        <v>353</v>
      </c>
      <c r="C38" s="83" t="s">
        <v>272</v>
      </c>
      <c r="D38" s="5" t="s">
        <v>364</v>
      </c>
      <c r="E38" s="86" t="s">
        <v>23</v>
      </c>
      <c r="F38" s="108"/>
      <c r="G38" s="13" t="s">
        <v>23</v>
      </c>
      <c r="H38" s="13" t="s">
        <v>24</v>
      </c>
      <c r="I38" s="13" t="s">
        <v>24</v>
      </c>
      <c r="J38" s="13" t="s">
        <v>24</v>
      </c>
      <c r="K38" s="13" t="s">
        <v>24</v>
      </c>
      <c r="L38" s="87" t="s">
        <v>24</v>
      </c>
      <c r="M38" s="108"/>
      <c r="N38" s="6" t="s">
        <v>24</v>
      </c>
      <c r="O38" s="6" t="s">
        <v>24</v>
      </c>
      <c r="P38" s="6" t="s">
        <v>24</v>
      </c>
      <c r="Q38" s="6" t="s">
        <v>24</v>
      </c>
      <c r="R38" s="108"/>
      <c r="S38" s="86" t="s">
        <v>24</v>
      </c>
      <c r="T38" s="108"/>
      <c r="U38" s="6" t="s">
        <v>24</v>
      </c>
      <c r="V38" s="6" t="s">
        <v>24</v>
      </c>
      <c r="W38" s="6" t="s">
        <v>24</v>
      </c>
      <c r="X38" s="6" t="s">
        <v>24</v>
      </c>
      <c r="Y38" s="6" t="s">
        <v>24</v>
      </c>
      <c r="Z38" s="111"/>
      <c r="AA38" s="108"/>
      <c r="AB38" s="6" t="s">
        <v>24</v>
      </c>
      <c r="AC38" s="6" t="s">
        <v>24</v>
      </c>
      <c r="AD38" s="6" t="s">
        <v>24</v>
      </c>
      <c r="AE38" s="89" t="s">
        <v>24</v>
      </c>
      <c r="AF38" s="6" t="s">
        <v>24</v>
      </c>
      <c r="AG38" s="4">
        <f t="shared" si="1"/>
        <v>20</v>
      </c>
      <c r="AH38" s="4">
        <f t="shared" si="2"/>
        <v>2</v>
      </c>
    </row>
    <row r="39" spans="1:34" ht="16.5">
      <c r="A39" s="7">
        <v>35</v>
      </c>
      <c r="B39" s="83" t="s">
        <v>354</v>
      </c>
      <c r="C39" s="83" t="s">
        <v>276</v>
      </c>
      <c r="D39" s="5" t="s">
        <v>364</v>
      </c>
      <c r="E39" s="86" t="s">
        <v>24</v>
      </c>
      <c r="F39" s="108"/>
      <c r="G39" s="13" t="s">
        <v>24</v>
      </c>
      <c r="H39" s="13" t="s">
        <v>24</v>
      </c>
      <c r="I39" s="13" t="s">
        <v>24</v>
      </c>
      <c r="J39" s="13" t="s">
        <v>24</v>
      </c>
      <c r="K39" s="13" t="s">
        <v>24</v>
      </c>
      <c r="L39" s="87" t="s">
        <v>24</v>
      </c>
      <c r="M39" s="108"/>
      <c r="N39" s="6" t="s">
        <v>24</v>
      </c>
      <c r="O39" s="6" t="s">
        <v>24</v>
      </c>
      <c r="P39" s="6" t="s">
        <v>24</v>
      </c>
      <c r="Q39" s="6" t="s">
        <v>24</v>
      </c>
      <c r="R39" s="108"/>
      <c r="S39" s="86" t="s">
        <v>24</v>
      </c>
      <c r="T39" s="108"/>
      <c r="U39" s="6" t="s">
        <v>24</v>
      </c>
      <c r="V39" s="6" t="s">
        <v>24</v>
      </c>
      <c r="W39" s="6" t="s">
        <v>24</v>
      </c>
      <c r="X39" s="6" t="s">
        <v>24</v>
      </c>
      <c r="Y39" s="6" t="s">
        <v>24</v>
      </c>
      <c r="Z39" s="111"/>
      <c r="AA39" s="108"/>
      <c r="AB39" s="6" t="s">
        <v>24</v>
      </c>
      <c r="AC39" s="6" t="s">
        <v>24</v>
      </c>
      <c r="AD39" s="6" t="s">
        <v>24</v>
      </c>
      <c r="AE39" s="89" t="s">
        <v>24</v>
      </c>
      <c r="AF39" s="6" t="s">
        <v>24</v>
      </c>
      <c r="AG39" s="4">
        <f t="shared" si="1"/>
        <v>22</v>
      </c>
      <c r="AH39" s="4">
        <f t="shared" si="2"/>
        <v>0</v>
      </c>
    </row>
    <row r="40" spans="1:34" ht="16.5">
      <c r="A40" s="7">
        <v>36</v>
      </c>
      <c r="B40" s="83" t="s">
        <v>355</v>
      </c>
      <c r="C40" s="83" t="s">
        <v>356</v>
      </c>
      <c r="D40" s="5" t="s">
        <v>364</v>
      </c>
      <c r="E40" s="86" t="s">
        <v>24</v>
      </c>
      <c r="F40" s="108"/>
      <c r="G40" s="13" t="s">
        <v>24</v>
      </c>
      <c r="H40" s="13" t="s">
        <v>24</v>
      </c>
      <c r="I40" s="13" t="s">
        <v>24</v>
      </c>
      <c r="J40" s="13" t="s">
        <v>24</v>
      </c>
      <c r="K40" s="13" t="s">
        <v>24</v>
      </c>
      <c r="L40" s="87" t="s">
        <v>24</v>
      </c>
      <c r="M40" s="108"/>
      <c r="N40" s="6" t="s">
        <v>24</v>
      </c>
      <c r="O40" s="6" t="s">
        <v>23</v>
      </c>
      <c r="P40" s="6" t="s">
        <v>24</v>
      </c>
      <c r="Q40" s="6" t="s">
        <v>24</v>
      </c>
      <c r="R40" s="108"/>
      <c r="S40" s="86" t="s">
        <v>24</v>
      </c>
      <c r="T40" s="108"/>
      <c r="U40" s="6" t="s">
        <v>24</v>
      </c>
      <c r="V40" s="6" t="s">
        <v>24</v>
      </c>
      <c r="W40" s="6" t="s">
        <v>24</v>
      </c>
      <c r="X40" s="6" t="s">
        <v>24</v>
      </c>
      <c r="Y40" s="6" t="s">
        <v>24</v>
      </c>
      <c r="Z40" s="111"/>
      <c r="AA40" s="108"/>
      <c r="AB40" s="6" t="s">
        <v>24</v>
      </c>
      <c r="AC40" s="6" t="s">
        <v>24</v>
      </c>
      <c r="AD40" s="6" t="s">
        <v>24</v>
      </c>
      <c r="AE40" s="89" t="s">
        <v>24</v>
      </c>
      <c r="AF40" s="6" t="s">
        <v>24</v>
      </c>
      <c r="AG40" s="4">
        <f t="shared" si="1"/>
        <v>21</v>
      </c>
      <c r="AH40" s="4">
        <f t="shared" si="2"/>
        <v>1</v>
      </c>
    </row>
    <row r="41" spans="1:34" ht="15.75" customHeight="1">
      <c r="A41" s="84">
        <v>37</v>
      </c>
      <c r="B41" s="83" t="s">
        <v>357</v>
      </c>
      <c r="C41" s="83" t="s">
        <v>195</v>
      </c>
      <c r="D41" s="5" t="s">
        <v>364</v>
      </c>
      <c r="E41" s="86" t="s">
        <v>23</v>
      </c>
      <c r="F41" s="108"/>
      <c r="G41" s="13" t="s">
        <v>24</v>
      </c>
      <c r="H41" s="13" t="s">
        <v>24</v>
      </c>
      <c r="I41" s="13" t="s">
        <v>24</v>
      </c>
      <c r="J41" s="13" t="s">
        <v>24</v>
      </c>
      <c r="K41" s="13" t="s">
        <v>24</v>
      </c>
      <c r="L41" s="87" t="s">
        <v>24</v>
      </c>
      <c r="M41" s="108"/>
      <c r="N41" s="6" t="s">
        <v>24</v>
      </c>
      <c r="O41" s="6" t="s">
        <v>24</v>
      </c>
      <c r="P41" s="6" t="s">
        <v>24</v>
      </c>
      <c r="Q41" s="6" t="s">
        <v>24</v>
      </c>
      <c r="R41" s="108"/>
      <c r="S41" s="86" t="s">
        <v>24</v>
      </c>
      <c r="T41" s="108"/>
      <c r="U41" s="6" t="s">
        <v>24</v>
      </c>
      <c r="V41" s="6" t="s">
        <v>24</v>
      </c>
      <c r="W41" s="6" t="s">
        <v>24</v>
      </c>
      <c r="X41" s="6" t="s">
        <v>24</v>
      </c>
      <c r="Y41" s="6" t="s">
        <v>24</v>
      </c>
      <c r="Z41" s="111"/>
      <c r="AA41" s="108"/>
      <c r="AB41" s="6" t="s">
        <v>24</v>
      </c>
      <c r="AC41" s="6" t="s">
        <v>24</v>
      </c>
      <c r="AD41" s="6" t="s">
        <v>24</v>
      </c>
      <c r="AE41" s="89" t="s">
        <v>24</v>
      </c>
      <c r="AF41" s="6" t="s">
        <v>24</v>
      </c>
      <c r="AG41" s="84"/>
      <c r="AH41" s="84"/>
    </row>
    <row r="42" spans="1:34" ht="16.5">
      <c r="A42" s="84">
        <v>38</v>
      </c>
      <c r="B42" s="83" t="s">
        <v>358</v>
      </c>
      <c r="C42" s="83" t="s">
        <v>359</v>
      </c>
      <c r="D42" s="5" t="s">
        <v>364</v>
      </c>
      <c r="E42" s="86" t="s">
        <v>24</v>
      </c>
      <c r="F42" s="108"/>
      <c r="G42" s="13" t="s">
        <v>23</v>
      </c>
      <c r="H42" s="13" t="s">
        <v>24</v>
      </c>
      <c r="I42" s="13" t="s">
        <v>24</v>
      </c>
      <c r="J42" s="13" t="s">
        <v>24</v>
      </c>
      <c r="K42" s="13" t="s">
        <v>24</v>
      </c>
      <c r="L42" s="87" t="s">
        <v>24</v>
      </c>
      <c r="M42" s="108"/>
      <c r="N42" s="6" t="s">
        <v>24</v>
      </c>
      <c r="O42" s="6" t="s">
        <v>24</v>
      </c>
      <c r="P42" s="6" t="s">
        <v>24</v>
      </c>
      <c r="Q42" s="6" t="s">
        <v>24</v>
      </c>
      <c r="R42" s="108"/>
      <c r="S42" s="86" t="s">
        <v>24</v>
      </c>
      <c r="T42" s="108"/>
      <c r="U42" s="6" t="s">
        <v>24</v>
      </c>
      <c r="V42" s="6" t="s">
        <v>24</v>
      </c>
      <c r="W42" s="6" t="s">
        <v>24</v>
      </c>
      <c r="X42" s="6" t="s">
        <v>24</v>
      </c>
      <c r="Y42" s="6" t="s">
        <v>24</v>
      </c>
      <c r="Z42" s="111"/>
      <c r="AA42" s="108"/>
      <c r="AB42" s="6" t="s">
        <v>24</v>
      </c>
      <c r="AC42" s="6" t="s">
        <v>24</v>
      </c>
      <c r="AD42" s="6" t="s">
        <v>24</v>
      </c>
      <c r="AE42" s="89" t="s">
        <v>24</v>
      </c>
      <c r="AF42" s="6" t="s">
        <v>24</v>
      </c>
      <c r="AG42" s="84"/>
      <c r="AH42" s="84"/>
    </row>
    <row r="43" spans="1:34" ht="16.5">
      <c r="A43" s="84">
        <v>39</v>
      </c>
      <c r="B43" s="83" t="s">
        <v>360</v>
      </c>
      <c r="C43" s="83" t="s">
        <v>276</v>
      </c>
      <c r="D43" s="5" t="s">
        <v>364</v>
      </c>
      <c r="E43" s="86" t="s">
        <v>24</v>
      </c>
      <c r="F43" s="108"/>
      <c r="G43" s="13" t="s">
        <v>24</v>
      </c>
      <c r="H43" s="13" t="s">
        <v>24</v>
      </c>
      <c r="I43" s="13" t="s">
        <v>24</v>
      </c>
      <c r="J43" s="13" t="s">
        <v>24</v>
      </c>
      <c r="K43" s="13" t="s">
        <v>24</v>
      </c>
      <c r="L43" s="87" t="s">
        <v>24</v>
      </c>
      <c r="M43" s="108"/>
      <c r="N43" s="6" t="s">
        <v>24</v>
      </c>
      <c r="O43" s="6" t="s">
        <v>23</v>
      </c>
      <c r="P43" s="6" t="s">
        <v>24</v>
      </c>
      <c r="Q43" s="6" t="s">
        <v>24</v>
      </c>
      <c r="R43" s="108"/>
      <c r="S43" s="86" t="s">
        <v>24</v>
      </c>
      <c r="T43" s="108"/>
      <c r="U43" s="6" t="s">
        <v>24</v>
      </c>
      <c r="V43" s="6" t="s">
        <v>24</v>
      </c>
      <c r="W43" s="6" t="s">
        <v>24</v>
      </c>
      <c r="X43" s="6" t="s">
        <v>24</v>
      </c>
      <c r="Y43" s="6" t="s">
        <v>24</v>
      </c>
      <c r="Z43" s="111"/>
      <c r="AA43" s="108"/>
      <c r="AB43" s="6" t="s">
        <v>24</v>
      </c>
      <c r="AC43" s="6" t="s">
        <v>24</v>
      </c>
      <c r="AD43" s="6" t="s">
        <v>24</v>
      </c>
      <c r="AE43" s="89" t="s">
        <v>24</v>
      </c>
      <c r="AF43" s="6" t="s">
        <v>24</v>
      </c>
      <c r="AG43" s="84"/>
      <c r="AH43" s="84"/>
    </row>
    <row r="44" spans="1:34" ht="16.5">
      <c r="A44" s="84">
        <v>40</v>
      </c>
      <c r="B44" s="83" t="s">
        <v>361</v>
      </c>
      <c r="C44" s="83" t="s">
        <v>362</v>
      </c>
      <c r="D44" s="5" t="s">
        <v>364</v>
      </c>
      <c r="E44" s="86" t="s">
        <v>23</v>
      </c>
      <c r="F44" s="108"/>
      <c r="G44" s="13" t="s">
        <v>24</v>
      </c>
      <c r="H44" s="13" t="s">
        <v>24</v>
      </c>
      <c r="I44" s="13" t="s">
        <v>24</v>
      </c>
      <c r="J44" s="13" t="s">
        <v>24</v>
      </c>
      <c r="K44" s="13" t="s">
        <v>24</v>
      </c>
      <c r="L44" s="87" t="s">
        <v>24</v>
      </c>
      <c r="M44" s="108"/>
      <c r="N44" s="6" t="s">
        <v>24</v>
      </c>
      <c r="O44" s="6" t="s">
        <v>24</v>
      </c>
      <c r="P44" s="6" t="s">
        <v>24</v>
      </c>
      <c r="Q44" s="6" t="s">
        <v>24</v>
      </c>
      <c r="R44" s="108"/>
      <c r="S44" s="86" t="s">
        <v>24</v>
      </c>
      <c r="T44" s="108"/>
      <c r="U44" s="6" t="s">
        <v>24</v>
      </c>
      <c r="V44" s="6" t="s">
        <v>24</v>
      </c>
      <c r="W44" s="6" t="s">
        <v>24</v>
      </c>
      <c r="X44" s="6" t="s">
        <v>24</v>
      </c>
      <c r="Y44" s="6" t="s">
        <v>24</v>
      </c>
      <c r="Z44" s="111"/>
      <c r="AA44" s="108"/>
      <c r="AB44" s="6" t="s">
        <v>24</v>
      </c>
      <c r="AC44" s="6" t="s">
        <v>24</v>
      </c>
      <c r="AD44" s="6" t="s">
        <v>24</v>
      </c>
      <c r="AE44" s="89" t="s">
        <v>24</v>
      </c>
      <c r="AF44" s="6" t="s">
        <v>24</v>
      </c>
      <c r="AG44" s="84"/>
      <c r="AH44" s="84"/>
    </row>
    <row r="45" spans="1:34" ht="16.5">
      <c r="A45" s="84">
        <v>41</v>
      </c>
      <c r="B45" s="83" t="s">
        <v>363</v>
      </c>
      <c r="C45" s="83" t="s">
        <v>197</v>
      </c>
      <c r="D45" s="5" t="s">
        <v>364</v>
      </c>
      <c r="E45" s="86" t="s">
        <v>24</v>
      </c>
      <c r="F45" s="109"/>
      <c r="G45" s="13" t="s">
        <v>23</v>
      </c>
      <c r="H45" s="13" t="s">
        <v>24</v>
      </c>
      <c r="I45" s="13" t="s">
        <v>24</v>
      </c>
      <c r="J45" s="13" t="s">
        <v>24</v>
      </c>
      <c r="K45" s="13" t="s">
        <v>24</v>
      </c>
      <c r="L45" s="87" t="s">
        <v>24</v>
      </c>
      <c r="M45" s="109"/>
      <c r="N45" s="6" t="s">
        <v>24</v>
      </c>
      <c r="O45" s="6" t="s">
        <v>24</v>
      </c>
      <c r="P45" s="6" t="s">
        <v>24</v>
      </c>
      <c r="Q45" s="6" t="s">
        <v>24</v>
      </c>
      <c r="R45" s="109"/>
      <c r="S45" s="86" t="s">
        <v>24</v>
      </c>
      <c r="T45" s="109"/>
      <c r="U45" s="6" t="s">
        <v>24</v>
      </c>
      <c r="V45" s="6" t="s">
        <v>24</v>
      </c>
      <c r="W45" s="6" t="s">
        <v>24</v>
      </c>
      <c r="X45" s="6" t="s">
        <v>24</v>
      </c>
      <c r="Y45" s="6" t="s">
        <v>24</v>
      </c>
      <c r="Z45" s="112"/>
      <c r="AA45" s="109"/>
      <c r="AB45" s="6" t="s">
        <v>24</v>
      </c>
      <c r="AC45" s="6" t="s">
        <v>24</v>
      </c>
      <c r="AD45" s="6" t="s">
        <v>24</v>
      </c>
      <c r="AE45" s="89" t="s">
        <v>24</v>
      </c>
      <c r="AF45" s="6" t="s">
        <v>24</v>
      </c>
      <c r="AG45" s="84"/>
      <c r="AH45" s="84"/>
    </row>
  </sheetData>
  <mergeCells count="17">
    <mergeCell ref="AG3:AG4"/>
    <mergeCell ref="AH3:AH4"/>
    <mergeCell ref="AI3:AJ3"/>
    <mergeCell ref="AI11:AL11"/>
    <mergeCell ref="AI19:AL19"/>
    <mergeCell ref="A1:AF1"/>
    <mergeCell ref="A2:AF2"/>
    <mergeCell ref="A3:A4"/>
    <mergeCell ref="B3:B4"/>
    <mergeCell ref="C3:C4"/>
    <mergeCell ref="D3:D4"/>
    <mergeCell ref="F5:F45"/>
    <mergeCell ref="M5:M45"/>
    <mergeCell ref="T5:T45"/>
    <mergeCell ref="AA5:AA45"/>
    <mergeCell ref="R5:R45"/>
    <mergeCell ref="Z5:Z45"/>
  </mergeCells>
  <conditionalFormatting sqref="U5:Z5 E3:AF4 G5:L45 N5:Q45 U6:Y45 AB5:AF45">
    <cfRule type="expression" dxfId="296" priority="48">
      <formula>E$4=TODAY()</formula>
    </cfRule>
    <cfRule type="expression" dxfId="295" priority="51">
      <formula>E$3="Sun"</formula>
    </cfRule>
  </conditionalFormatting>
  <conditionalFormatting sqref="U5:Z5 G5:L45 N5:Q45 U6:Y45 AB5:AF45">
    <cfRule type="cellIs" dxfId="294" priority="47" operator="equal">
      <formula>"L"</formula>
    </cfRule>
    <cfRule type="cellIs" dxfId="293" priority="49" operator="equal">
      <formula>"A"</formula>
    </cfRule>
    <cfRule type="cellIs" dxfId="292" priority="50" operator="equal">
      <formula>"P"</formula>
    </cfRule>
  </conditionalFormatting>
  <conditionalFormatting sqref="AG3:AH3 AG5:AH40">
    <cfRule type="expression" dxfId="291" priority="52">
      <formula>#REF!="Sun"</formula>
    </cfRule>
  </conditionalFormatting>
  <conditionalFormatting sqref="AI5:AI9">
    <cfRule type="expression" dxfId="290" priority="44">
      <formula>AI$3="Sun"</formula>
    </cfRule>
  </conditionalFormatting>
  <conditionalFormatting sqref="AI12:AI15">
    <cfRule type="expression" dxfId="289" priority="42">
      <formula>AI$3="Sun"</formula>
    </cfRule>
  </conditionalFormatting>
  <conditionalFormatting sqref="AI20:AI23">
    <cfRule type="expression" dxfId="288" priority="41">
      <formula>AI$3="Sun"</formula>
    </cfRule>
  </conditionalFormatting>
  <conditionalFormatting sqref="AI4:AJ4">
    <cfRule type="expression" dxfId="287" priority="45">
      <formula>AI$3="Sun"</formula>
    </cfRule>
  </conditionalFormatting>
  <conditionalFormatting sqref="AJ12:AL12 AJ20:AL20">
    <cfRule type="expression" dxfId="286" priority="46">
      <formula>AJ$3="Sun"</formula>
    </cfRule>
  </conditionalFormatting>
  <conditionalFormatting sqref="AL21">
    <cfRule type="expression" dxfId="285" priority="43">
      <formula>AL$3="Sun"</formula>
    </cfRule>
  </conditionalFormatting>
  <conditionalFormatting sqref="S5:S45">
    <cfRule type="expression" dxfId="284" priority="37">
      <formula>S$4=TODAY()</formula>
    </cfRule>
    <cfRule type="expression" dxfId="283" priority="40">
      <formula>S$3="Sun"</formula>
    </cfRule>
  </conditionalFormatting>
  <conditionalFormatting sqref="S5:S45">
    <cfRule type="cellIs" dxfId="282" priority="36" operator="equal">
      <formula>"L"</formula>
    </cfRule>
    <cfRule type="cellIs" dxfId="281" priority="38" operator="equal">
      <formula>"A"</formula>
    </cfRule>
    <cfRule type="cellIs" dxfId="280" priority="39" operator="equal">
      <formula>"P"</formula>
    </cfRule>
  </conditionalFormatting>
  <conditionalFormatting sqref="E5:E45">
    <cfRule type="expression" dxfId="279" priority="32">
      <formula>E$4=TODAY()</formula>
    </cfRule>
    <cfRule type="expression" dxfId="278" priority="35">
      <formula>E$3="Sun"</formula>
    </cfRule>
  </conditionalFormatting>
  <conditionalFormatting sqref="E5:E45">
    <cfRule type="cellIs" dxfId="277" priority="31" operator="equal">
      <formula>"L"</formula>
    </cfRule>
    <cfRule type="cellIs" dxfId="276" priority="33" operator="equal">
      <formula>"A"</formula>
    </cfRule>
    <cfRule type="cellIs" dxfId="275" priority="34" operator="equal">
      <formula>"P"</formula>
    </cfRule>
  </conditionalFormatting>
  <conditionalFormatting sqref="F5">
    <cfRule type="expression" dxfId="274" priority="22">
      <formula>F$4=TODAY()</formula>
    </cfRule>
    <cfRule type="expression" dxfId="273" priority="25">
      <formula>F$3="Sun"</formula>
    </cfRule>
  </conditionalFormatting>
  <conditionalFormatting sqref="F5">
    <cfRule type="cellIs" dxfId="272" priority="21" operator="equal">
      <formula>"L"</formula>
    </cfRule>
    <cfRule type="cellIs" dxfId="271" priority="23" operator="equal">
      <formula>"A"</formula>
    </cfRule>
    <cfRule type="cellIs" dxfId="270" priority="24" operator="equal">
      <formula>"P"</formula>
    </cfRule>
  </conditionalFormatting>
  <conditionalFormatting sqref="M5">
    <cfRule type="expression" dxfId="269" priority="17">
      <formula>M$4=TODAY()</formula>
    </cfRule>
    <cfRule type="expression" dxfId="268" priority="20">
      <formula>M$3="Sun"</formula>
    </cfRule>
  </conditionalFormatting>
  <conditionalFormatting sqref="M5">
    <cfRule type="cellIs" dxfId="267" priority="16" operator="equal">
      <formula>"L"</formula>
    </cfRule>
    <cfRule type="cellIs" dxfId="266" priority="18" operator="equal">
      <formula>"A"</formula>
    </cfRule>
    <cfRule type="cellIs" dxfId="265" priority="19" operator="equal">
      <formula>"P"</formula>
    </cfRule>
  </conditionalFormatting>
  <conditionalFormatting sqref="T5">
    <cfRule type="expression" dxfId="264" priority="12">
      <formula>T$4=TODAY()</formula>
    </cfRule>
    <cfRule type="expression" dxfId="263" priority="15">
      <formula>T$3="Sun"</formula>
    </cfRule>
  </conditionalFormatting>
  <conditionalFormatting sqref="T5">
    <cfRule type="cellIs" dxfId="262" priority="11" operator="equal">
      <formula>"L"</formula>
    </cfRule>
    <cfRule type="cellIs" dxfId="261" priority="13" operator="equal">
      <formula>"A"</formula>
    </cfRule>
    <cfRule type="cellIs" dxfId="260" priority="14" operator="equal">
      <formula>"P"</formula>
    </cfRule>
  </conditionalFormatting>
  <conditionalFormatting sqref="AA5">
    <cfRule type="expression" dxfId="259" priority="7">
      <formula>AA$4=TODAY()</formula>
    </cfRule>
    <cfRule type="expression" dxfId="258" priority="10">
      <formula>AA$3="Sun"</formula>
    </cfRule>
  </conditionalFormatting>
  <conditionalFormatting sqref="AA5">
    <cfRule type="cellIs" dxfId="257" priority="6" operator="equal">
      <formula>"L"</formula>
    </cfRule>
    <cfRule type="cellIs" dxfId="256" priority="8" operator="equal">
      <formula>"A"</formula>
    </cfRule>
    <cfRule type="cellIs" dxfId="255" priority="9" operator="equal">
      <formula>"P"</formula>
    </cfRule>
  </conditionalFormatting>
  <conditionalFormatting sqref="R5">
    <cfRule type="expression" dxfId="254" priority="2">
      <formula>R$4=TODAY()</formula>
    </cfRule>
    <cfRule type="expression" dxfId="253" priority="5">
      <formula>R$3="Sun"</formula>
    </cfRule>
  </conditionalFormatting>
  <conditionalFormatting sqref="R5">
    <cfRule type="cellIs" dxfId="252" priority="1" operator="equal">
      <formula>"L"</formula>
    </cfRule>
    <cfRule type="cellIs" dxfId="251" priority="3" operator="equal">
      <formula>"A"</formula>
    </cfRule>
    <cfRule type="cellIs" dxfId="250" priority="4" operator="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81BB-8BF4-431D-9D38-E7C75C215B1F}">
  <dimension ref="A1:AL54"/>
  <sheetViews>
    <sheetView topLeftCell="C29" zoomScale="87" zoomScaleNormal="87" workbookViewId="0">
      <selection activeCell="H36" sqref="H36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99" t="s">
        <v>125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1"/>
      <c r="AH1" s="11"/>
    </row>
    <row r="2" spans="1:38" ht="17.25">
      <c r="A2" s="100" t="s">
        <v>404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2"/>
      <c r="AH2" s="12"/>
      <c r="AI2" s="12"/>
    </row>
    <row r="3" spans="1:38" ht="15.75">
      <c r="A3" s="101" t="s">
        <v>0</v>
      </c>
      <c r="B3" s="101" t="s">
        <v>1</v>
      </c>
      <c r="C3" s="101" t="s">
        <v>2</v>
      </c>
      <c r="D3" s="101" t="s">
        <v>3</v>
      </c>
      <c r="E3" s="2" t="s">
        <v>403</v>
      </c>
      <c r="F3" s="2" t="s">
        <v>397</v>
      </c>
      <c r="G3" s="2" t="s">
        <v>398</v>
      </c>
      <c r="H3" s="2" t="s">
        <v>399</v>
      </c>
      <c r="I3" s="2" t="s">
        <v>400</v>
      </c>
      <c r="J3" s="2" t="s">
        <v>401</v>
      </c>
      <c r="K3" s="2" t="s">
        <v>402</v>
      </c>
      <c r="L3" s="2" t="s">
        <v>403</v>
      </c>
      <c r="M3" s="2" t="s">
        <v>397</v>
      </c>
      <c r="N3" s="2" t="s">
        <v>398</v>
      </c>
      <c r="O3" s="2" t="s">
        <v>399</v>
      </c>
      <c r="P3" s="2" t="s">
        <v>400</v>
      </c>
      <c r="Q3" s="2" t="s">
        <v>401</v>
      </c>
      <c r="R3" s="2" t="s">
        <v>402</v>
      </c>
      <c r="S3" s="2" t="s">
        <v>403</v>
      </c>
      <c r="T3" s="2" t="s">
        <v>397</v>
      </c>
      <c r="U3" s="2" t="s">
        <v>398</v>
      </c>
      <c r="V3" s="2" t="s">
        <v>399</v>
      </c>
      <c r="W3" s="2" t="s">
        <v>400</v>
      </c>
      <c r="X3" s="2" t="s">
        <v>401</v>
      </c>
      <c r="Y3" s="2" t="s">
        <v>402</v>
      </c>
      <c r="Z3" s="2" t="s">
        <v>403</v>
      </c>
      <c r="AA3" s="2" t="s">
        <v>397</v>
      </c>
      <c r="AB3" s="2" t="s">
        <v>398</v>
      </c>
      <c r="AC3" s="2" t="s">
        <v>399</v>
      </c>
      <c r="AD3" s="2" t="s">
        <v>400</v>
      </c>
      <c r="AE3" s="2" t="s">
        <v>401</v>
      </c>
      <c r="AF3" s="2" t="s">
        <v>402</v>
      </c>
      <c r="AG3" s="103" t="s">
        <v>4</v>
      </c>
      <c r="AH3" s="103" t="s">
        <v>5</v>
      </c>
      <c r="AI3" s="104" t="s">
        <v>28</v>
      </c>
      <c r="AJ3" s="105"/>
      <c r="AK3" s="3"/>
      <c r="AL3" s="3"/>
    </row>
    <row r="4" spans="1:38" ht="36">
      <c r="A4" s="101"/>
      <c r="B4" s="101"/>
      <c r="C4" s="101"/>
      <c r="D4" s="101"/>
      <c r="E4" s="10">
        <v>45323</v>
      </c>
      <c r="F4" s="10">
        <v>45324</v>
      </c>
      <c r="G4" s="10">
        <v>45325</v>
      </c>
      <c r="H4" s="10">
        <v>45326</v>
      </c>
      <c r="I4" s="10">
        <v>45327</v>
      </c>
      <c r="J4" s="10">
        <v>45328</v>
      </c>
      <c r="K4" s="10">
        <v>45329</v>
      </c>
      <c r="L4" s="10">
        <v>45330</v>
      </c>
      <c r="M4" s="10">
        <v>45331</v>
      </c>
      <c r="N4" s="10">
        <v>45332</v>
      </c>
      <c r="O4" s="10">
        <v>45333</v>
      </c>
      <c r="P4" s="10">
        <v>45334</v>
      </c>
      <c r="Q4" s="10">
        <v>45335</v>
      </c>
      <c r="R4" s="10">
        <v>45336</v>
      </c>
      <c r="S4" s="10">
        <v>45337</v>
      </c>
      <c r="T4" s="10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103"/>
      <c r="AH4" s="103"/>
      <c r="AI4" s="4" t="s">
        <v>29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0" t="s">
        <v>250</v>
      </c>
      <c r="C5" s="80" t="s">
        <v>61</v>
      </c>
      <c r="D5" s="5" t="s">
        <v>45</v>
      </c>
      <c r="E5" s="86" t="s">
        <v>24</v>
      </c>
      <c r="F5" s="107" t="s">
        <v>27</v>
      </c>
      <c r="G5" s="13" t="s">
        <v>24</v>
      </c>
      <c r="H5" s="13" t="s">
        <v>24</v>
      </c>
      <c r="I5" s="107" t="s">
        <v>417</v>
      </c>
      <c r="J5" s="13" t="s">
        <v>24</v>
      </c>
      <c r="K5" s="13" t="s">
        <v>24</v>
      </c>
      <c r="L5" s="87" t="s">
        <v>24</v>
      </c>
      <c r="M5" s="107" t="s">
        <v>27</v>
      </c>
      <c r="N5" s="6" t="s">
        <v>24</v>
      </c>
      <c r="O5" s="6" t="s">
        <v>24</v>
      </c>
      <c r="P5" s="6" t="s">
        <v>24</v>
      </c>
      <c r="Q5" s="6" t="s">
        <v>24</v>
      </c>
      <c r="R5" s="107" t="s">
        <v>418</v>
      </c>
      <c r="S5" s="110" t="s">
        <v>27</v>
      </c>
      <c r="T5" s="107" t="s">
        <v>27</v>
      </c>
      <c r="U5" s="6" t="s">
        <v>24</v>
      </c>
      <c r="V5" s="6" t="s">
        <v>24</v>
      </c>
      <c r="W5" s="6" t="s">
        <v>24</v>
      </c>
      <c r="X5" s="6" t="s">
        <v>24</v>
      </c>
      <c r="Y5" s="6" t="s">
        <v>24</v>
      </c>
      <c r="Z5" s="110" t="s">
        <v>27</v>
      </c>
      <c r="AA5" s="107" t="s">
        <v>27</v>
      </c>
      <c r="AB5" s="6" t="s">
        <v>24</v>
      </c>
      <c r="AC5" s="6" t="s">
        <v>24</v>
      </c>
      <c r="AD5" s="6" t="s">
        <v>23</v>
      </c>
      <c r="AE5" s="6" t="s">
        <v>24</v>
      </c>
      <c r="AF5" s="6" t="s">
        <v>24</v>
      </c>
      <c r="AG5" s="4">
        <f t="shared" ref="AG5:AG40" si="0">COUNTIF(E5:AF5,"P")</f>
        <v>19</v>
      </c>
      <c r="AH5" s="4">
        <f t="shared" ref="AH5:AH40" si="1">COUNTIF(E5:AF5,"A")</f>
        <v>1</v>
      </c>
      <c r="AI5" s="82" t="s">
        <v>7</v>
      </c>
      <c r="AJ5" s="7">
        <v>24</v>
      </c>
      <c r="AK5" s="8"/>
      <c r="AL5" s="3"/>
    </row>
    <row r="6" spans="1:38" ht="16.5">
      <c r="A6" s="7">
        <v>2</v>
      </c>
      <c r="B6" s="80" t="s">
        <v>251</v>
      </c>
      <c r="C6" s="80" t="s">
        <v>252</v>
      </c>
      <c r="D6" s="5" t="s">
        <v>45</v>
      </c>
      <c r="E6" s="86" t="s">
        <v>24</v>
      </c>
      <c r="F6" s="108"/>
      <c r="G6" s="13" t="s">
        <v>24</v>
      </c>
      <c r="H6" s="13" t="s">
        <v>24</v>
      </c>
      <c r="I6" s="108"/>
      <c r="J6" s="13" t="s">
        <v>24</v>
      </c>
      <c r="K6" s="13" t="s">
        <v>24</v>
      </c>
      <c r="L6" s="87" t="s">
        <v>24</v>
      </c>
      <c r="M6" s="108"/>
      <c r="N6" s="6" t="s">
        <v>24</v>
      </c>
      <c r="O6" s="6" t="s">
        <v>24</v>
      </c>
      <c r="P6" s="6" t="s">
        <v>24</v>
      </c>
      <c r="Q6" s="6" t="s">
        <v>24</v>
      </c>
      <c r="R6" s="108"/>
      <c r="S6" s="111"/>
      <c r="T6" s="108"/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111"/>
      <c r="AA6" s="108"/>
      <c r="AB6" s="6" t="s">
        <v>24</v>
      </c>
      <c r="AC6" s="6" t="s">
        <v>24</v>
      </c>
      <c r="AD6" s="6" t="s">
        <v>24</v>
      </c>
      <c r="AE6" s="6" t="s">
        <v>24</v>
      </c>
      <c r="AF6" s="6" t="s">
        <v>24</v>
      </c>
      <c r="AG6" s="4">
        <f t="shared" si="0"/>
        <v>20</v>
      </c>
      <c r="AH6" s="4">
        <f t="shared" si="1"/>
        <v>0</v>
      </c>
      <c r="AI6" s="82" t="s">
        <v>8</v>
      </c>
      <c r="AJ6" s="7">
        <v>4</v>
      </c>
      <c r="AK6" s="3"/>
      <c r="AL6" s="3"/>
    </row>
    <row r="7" spans="1:38" ht="16.5">
      <c r="A7" s="7">
        <v>3</v>
      </c>
      <c r="B7" s="80" t="s">
        <v>253</v>
      </c>
      <c r="C7" s="80" t="s">
        <v>254</v>
      </c>
      <c r="D7" s="5" t="s">
        <v>45</v>
      </c>
      <c r="E7" s="86" t="s">
        <v>24</v>
      </c>
      <c r="F7" s="108"/>
      <c r="G7" s="13" t="s">
        <v>24</v>
      </c>
      <c r="H7" s="13" t="s">
        <v>24</v>
      </c>
      <c r="I7" s="108"/>
      <c r="J7" s="13" t="s">
        <v>24</v>
      </c>
      <c r="K7" s="13" t="s">
        <v>23</v>
      </c>
      <c r="L7" s="87" t="s">
        <v>24</v>
      </c>
      <c r="M7" s="108"/>
      <c r="N7" s="6" t="s">
        <v>24</v>
      </c>
      <c r="O7" s="6" t="s">
        <v>24</v>
      </c>
      <c r="P7" s="6" t="s">
        <v>23</v>
      </c>
      <c r="Q7" s="6" t="s">
        <v>24</v>
      </c>
      <c r="R7" s="108"/>
      <c r="S7" s="111"/>
      <c r="T7" s="108"/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111"/>
      <c r="AA7" s="108"/>
      <c r="AB7" s="6" t="s">
        <v>24</v>
      </c>
      <c r="AC7" s="6" t="s">
        <v>24</v>
      </c>
      <c r="AD7" s="6" t="s">
        <v>24</v>
      </c>
      <c r="AE7" s="6" t="s">
        <v>24</v>
      </c>
      <c r="AF7" s="6" t="s">
        <v>24</v>
      </c>
      <c r="AG7" s="4">
        <f t="shared" si="0"/>
        <v>18</v>
      </c>
      <c r="AH7" s="4">
        <f t="shared" si="1"/>
        <v>2</v>
      </c>
      <c r="AI7" s="82" t="s">
        <v>32</v>
      </c>
      <c r="AJ7" s="7">
        <v>1</v>
      </c>
      <c r="AK7" s="3"/>
      <c r="AL7" s="3"/>
    </row>
    <row r="8" spans="1:38" ht="16.5">
      <c r="A8" s="7">
        <v>4</v>
      </c>
      <c r="B8" s="80" t="s">
        <v>255</v>
      </c>
      <c r="C8" s="80" t="s">
        <v>256</v>
      </c>
      <c r="D8" s="5" t="s">
        <v>45</v>
      </c>
      <c r="E8" s="86" t="s">
        <v>24</v>
      </c>
      <c r="F8" s="108"/>
      <c r="G8" s="13" t="s">
        <v>24</v>
      </c>
      <c r="H8" s="13" t="s">
        <v>24</v>
      </c>
      <c r="I8" s="108"/>
      <c r="J8" s="13" t="s">
        <v>24</v>
      </c>
      <c r="K8" s="13" t="s">
        <v>24</v>
      </c>
      <c r="L8" s="87" t="s">
        <v>24</v>
      </c>
      <c r="M8" s="108"/>
      <c r="N8" s="6" t="s">
        <v>24</v>
      </c>
      <c r="O8" s="6" t="s">
        <v>24</v>
      </c>
      <c r="P8" s="6" t="s">
        <v>24</v>
      </c>
      <c r="Q8" s="6" t="s">
        <v>24</v>
      </c>
      <c r="R8" s="108"/>
      <c r="S8" s="111"/>
      <c r="T8" s="108"/>
      <c r="U8" s="6" t="s">
        <v>24</v>
      </c>
      <c r="V8" s="6" t="s">
        <v>24</v>
      </c>
      <c r="W8" s="6" t="s">
        <v>24</v>
      </c>
      <c r="X8" s="6" t="s">
        <v>24</v>
      </c>
      <c r="Y8" s="6" t="s">
        <v>24</v>
      </c>
      <c r="Z8" s="111"/>
      <c r="AA8" s="108"/>
      <c r="AB8" s="6" t="s">
        <v>24</v>
      </c>
      <c r="AC8" s="6" t="s">
        <v>24</v>
      </c>
      <c r="AD8" s="6" t="s">
        <v>23</v>
      </c>
      <c r="AE8" s="6" t="s">
        <v>24</v>
      </c>
      <c r="AF8" s="6" t="s">
        <v>24</v>
      </c>
      <c r="AG8" s="4">
        <f t="shared" si="0"/>
        <v>19</v>
      </c>
      <c r="AH8" s="4">
        <f t="shared" si="1"/>
        <v>1</v>
      </c>
      <c r="AI8" s="82" t="s">
        <v>30</v>
      </c>
      <c r="AJ8" s="7">
        <v>1</v>
      </c>
      <c r="AK8"/>
      <c r="AL8"/>
    </row>
    <row r="9" spans="1:38" ht="16.5">
      <c r="A9" s="7">
        <v>5</v>
      </c>
      <c r="B9" s="80" t="s">
        <v>257</v>
      </c>
      <c r="C9" s="80" t="s">
        <v>258</v>
      </c>
      <c r="D9" s="5" t="s">
        <v>45</v>
      </c>
      <c r="E9" s="86" t="s">
        <v>24</v>
      </c>
      <c r="F9" s="108"/>
      <c r="G9" s="13" t="s">
        <v>24</v>
      </c>
      <c r="H9" s="13" t="s">
        <v>24</v>
      </c>
      <c r="I9" s="108"/>
      <c r="J9" s="13" t="s">
        <v>24</v>
      </c>
      <c r="K9" s="13" t="s">
        <v>24</v>
      </c>
      <c r="L9" s="87" t="s">
        <v>24</v>
      </c>
      <c r="M9" s="108"/>
      <c r="N9" s="6" t="s">
        <v>24</v>
      </c>
      <c r="O9" s="6" t="s">
        <v>24</v>
      </c>
      <c r="P9" s="6" t="s">
        <v>24</v>
      </c>
      <c r="Q9" s="6" t="s">
        <v>24</v>
      </c>
      <c r="R9" s="108"/>
      <c r="S9" s="111"/>
      <c r="T9" s="108"/>
      <c r="U9" s="6" t="s">
        <v>24</v>
      </c>
      <c r="V9" s="6" t="s">
        <v>24</v>
      </c>
      <c r="W9" s="6" t="s">
        <v>23</v>
      </c>
      <c r="X9" s="6" t="s">
        <v>24</v>
      </c>
      <c r="Y9" s="6" t="s">
        <v>24</v>
      </c>
      <c r="Z9" s="111"/>
      <c r="AA9" s="108"/>
      <c r="AB9" s="6" t="s">
        <v>24</v>
      </c>
      <c r="AC9" s="6" t="s">
        <v>24</v>
      </c>
      <c r="AD9" s="6" t="s">
        <v>24</v>
      </c>
      <c r="AE9" s="6" t="s">
        <v>24</v>
      </c>
      <c r="AF9" s="6" t="s">
        <v>24</v>
      </c>
      <c r="AG9" s="4">
        <f t="shared" si="0"/>
        <v>19</v>
      </c>
      <c r="AH9" s="4">
        <f t="shared" si="1"/>
        <v>1</v>
      </c>
      <c r="AI9" s="82"/>
      <c r="AJ9" s="7"/>
    </row>
    <row r="10" spans="1:38" ht="16.5">
      <c r="A10" s="7">
        <v>6</v>
      </c>
      <c r="B10" s="80" t="s">
        <v>259</v>
      </c>
      <c r="C10" s="80" t="s">
        <v>258</v>
      </c>
      <c r="D10" s="5" t="s">
        <v>45</v>
      </c>
      <c r="E10" s="86" t="s">
        <v>24</v>
      </c>
      <c r="F10" s="108"/>
      <c r="G10" s="13" t="s">
        <v>24</v>
      </c>
      <c r="H10" s="13" t="s">
        <v>24</v>
      </c>
      <c r="I10" s="108"/>
      <c r="J10" s="13" t="s">
        <v>24</v>
      </c>
      <c r="K10" s="13" t="s">
        <v>24</v>
      </c>
      <c r="L10" s="87" t="s">
        <v>24</v>
      </c>
      <c r="M10" s="108"/>
      <c r="N10" s="6" t="s">
        <v>24</v>
      </c>
      <c r="O10" s="6" t="s">
        <v>24</v>
      </c>
      <c r="P10" s="6" t="s">
        <v>24</v>
      </c>
      <c r="Q10" s="6" t="s">
        <v>24</v>
      </c>
      <c r="R10" s="108"/>
      <c r="S10" s="111"/>
      <c r="T10" s="108"/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111"/>
      <c r="AA10" s="108"/>
      <c r="AB10" s="6" t="s">
        <v>24</v>
      </c>
      <c r="AC10" s="6" t="s">
        <v>24</v>
      </c>
      <c r="AD10" s="6" t="s">
        <v>24</v>
      </c>
      <c r="AE10" s="6" t="s">
        <v>24</v>
      </c>
      <c r="AF10" s="6" t="s">
        <v>24</v>
      </c>
      <c r="AG10" s="4">
        <f t="shared" si="0"/>
        <v>20</v>
      </c>
      <c r="AH10" s="4">
        <f t="shared" si="1"/>
        <v>0</v>
      </c>
    </row>
    <row r="11" spans="1:38" ht="16.5">
      <c r="A11" s="7">
        <v>7</v>
      </c>
      <c r="B11" s="80" t="s">
        <v>76</v>
      </c>
      <c r="C11" s="80" t="s">
        <v>260</v>
      </c>
      <c r="D11" s="5" t="s">
        <v>45</v>
      </c>
      <c r="E11" s="86" t="s">
        <v>24</v>
      </c>
      <c r="F11" s="108"/>
      <c r="G11" s="13" t="s">
        <v>24</v>
      </c>
      <c r="H11" s="13" t="s">
        <v>24</v>
      </c>
      <c r="I11" s="108"/>
      <c r="J11" s="13" t="s">
        <v>24</v>
      </c>
      <c r="K11" s="13" t="s">
        <v>23</v>
      </c>
      <c r="L11" s="87" t="s">
        <v>24</v>
      </c>
      <c r="M11" s="108"/>
      <c r="N11" s="6" t="s">
        <v>24</v>
      </c>
      <c r="O11" s="6" t="s">
        <v>24</v>
      </c>
      <c r="P11" s="6" t="s">
        <v>24</v>
      </c>
      <c r="Q11" s="6" t="s">
        <v>24</v>
      </c>
      <c r="R11" s="108"/>
      <c r="S11" s="111"/>
      <c r="T11" s="108"/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111"/>
      <c r="AA11" s="108"/>
      <c r="AB11" s="6" t="s">
        <v>24</v>
      </c>
      <c r="AC11" s="6" t="s">
        <v>24</v>
      </c>
      <c r="AD11" s="6" t="s">
        <v>24</v>
      </c>
      <c r="AE11" s="6" t="s">
        <v>24</v>
      </c>
      <c r="AF11" s="6" t="s">
        <v>24</v>
      </c>
      <c r="AG11" s="4">
        <f t="shared" si="0"/>
        <v>19</v>
      </c>
      <c r="AH11" s="4">
        <f t="shared" si="1"/>
        <v>1</v>
      </c>
      <c r="AI11" s="105" t="s">
        <v>9</v>
      </c>
      <c r="AJ11" s="105"/>
      <c r="AK11" s="105"/>
      <c r="AL11" s="106"/>
    </row>
    <row r="12" spans="1:38" ht="16.5">
      <c r="A12" s="7">
        <v>8</v>
      </c>
      <c r="B12" s="80" t="s">
        <v>79</v>
      </c>
      <c r="C12" s="80" t="s">
        <v>261</v>
      </c>
      <c r="D12" s="5" t="s">
        <v>45</v>
      </c>
      <c r="E12" s="86" t="s">
        <v>24</v>
      </c>
      <c r="F12" s="108"/>
      <c r="G12" s="13" t="s">
        <v>24</v>
      </c>
      <c r="H12" s="13" t="s">
        <v>24</v>
      </c>
      <c r="I12" s="108"/>
      <c r="J12" s="13" t="s">
        <v>24</v>
      </c>
      <c r="K12" s="13" t="s">
        <v>23</v>
      </c>
      <c r="L12" s="87" t="s">
        <v>24</v>
      </c>
      <c r="M12" s="108"/>
      <c r="N12" s="6" t="s">
        <v>24</v>
      </c>
      <c r="O12" s="6" t="s">
        <v>24</v>
      </c>
      <c r="P12" s="6" t="s">
        <v>23</v>
      </c>
      <c r="Q12" s="6" t="s">
        <v>24</v>
      </c>
      <c r="R12" s="108"/>
      <c r="S12" s="111"/>
      <c r="T12" s="108"/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111"/>
      <c r="AA12" s="108"/>
      <c r="AB12" s="6" t="s">
        <v>24</v>
      </c>
      <c r="AC12" s="6" t="s">
        <v>24</v>
      </c>
      <c r="AD12" s="6" t="s">
        <v>23</v>
      </c>
      <c r="AE12" s="6" t="s">
        <v>24</v>
      </c>
      <c r="AF12" s="6" t="s">
        <v>24</v>
      </c>
      <c r="AG12" s="4">
        <f t="shared" si="0"/>
        <v>17</v>
      </c>
      <c r="AH12" s="4">
        <f t="shared" si="1"/>
        <v>3</v>
      </c>
      <c r="AI12" s="82" t="s">
        <v>10</v>
      </c>
      <c r="AJ12" s="4" t="s">
        <v>11</v>
      </c>
      <c r="AK12" s="4" t="s">
        <v>12</v>
      </c>
      <c r="AL12" s="4" t="s">
        <v>13</v>
      </c>
    </row>
    <row r="13" spans="1:38" ht="16.5">
      <c r="A13" s="7">
        <v>9</v>
      </c>
      <c r="B13" s="80" t="s">
        <v>262</v>
      </c>
      <c r="C13" s="80" t="s">
        <v>237</v>
      </c>
      <c r="D13" s="5" t="s">
        <v>45</v>
      </c>
      <c r="E13" s="86" t="s">
        <v>24</v>
      </c>
      <c r="F13" s="108"/>
      <c r="G13" s="13" t="s">
        <v>24</v>
      </c>
      <c r="H13" s="13" t="s">
        <v>24</v>
      </c>
      <c r="I13" s="108"/>
      <c r="J13" s="13" t="s">
        <v>24</v>
      </c>
      <c r="K13" s="13" t="s">
        <v>24</v>
      </c>
      <c r="L13" s="87" t="s">
        <v>24</v>
      </c>
      <c r="M13" s="108"/>
      <c r="N13" s="6" t="s">
        <v>24</v>
      </c>
      <c r="O13" s="6" t="s">
        <v>24</v>
      </c>
      <c r="P13" s="6" t="s">
        <v>24</v>
      </c>
      <c r="Q13" s="6" t="s">
        <v>24</v>
      </c>
      <c r="R13" s="108"/>
      <c r="S13" s="111"/>
      <c r="T13" s="108"/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111"/>
      <c r="AA13" s="108"/>
      <c r="AB13" s="6" t="s">
        <v>24</v>
      </c>
      <c r="AC13" s="6" t="s">
        <v>24</v>
      </c>
      <c r="AD13" s="6" t="s">
        <v>24</v>
      </c>
      <c r="AE13" s="6" t="s">
        <v>24</v>
      </c>
      <c r="AF13" s="6" t="s">
        <v>24</v>
      </c>
      <c r="AG13" s="4">
        <f t="shared" si="0"/>
        <v>20</v>
      </c>
      <c r="AH13" s="4">
        <f t="shared" si="1"/>
        <v>0</v>
      </c>
      <c r="AI13" s="82" t="s">
        <v>14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263</v>
      </c>
      <c r="C14" s="80" t="s">
        <v>132</v>
      </c>
      <c r="D14" s="5" t="s">
        <v>45</v>
      </c>
      <c r="E14" s="86" t="s">
        <v>24</v>
      </c>
      <c r="F14" s="108"/>
      <c r="G14" s="13" t="s">
        <v>24</v>
      </c>
      <c r="H14" s="13" t="s">
        <v>24</v>
      </c>
      <c r="I14" s="108"/>
      <c r="J14" s="13" t="s">
        <v>24</v>
      </c>
      <c r="K14" s="13" t="s">
        <v>24</v>
      </c>
      <c r="L14" s="87" t="s">
        <v>24</v>
      </c>
      <c r="M14" s="108"/>
      <c r="N14" s="6" t="s">
        <v>24</v>
      </c>
      <c r="O14" s="6" t="s">
        <v>24</v>
      </c>
      <c r="P14" s="6" t="s">
        <v>24</v>
      </c>
      <c r="Q14" s="6" t="s">
        <v>24</v>
      </c>
      <c r="R14" s="108"/>
      <c r="S14" s="111"/>
      <c r="T14" s="108"/>
      <c r="U14" s="6" t="s">
        <v>24</v>
      </c>
      <c r="V14" s="6" t="s">
        <v>24</v>
      </c>
      <c r="W14" s="6" t="s">
        <v>23</v>
      </c>
      <c r="X14" s="6" t="s">
        <v>24</v>
      </c>
      <c r="Y14" s="6" t="s">
        <v>24</v>
      </c>
      <c r="Z14" s="111"/>
      <c r="AA14" s="108"/>
      <c r="AB14" s="6" t="s">
        <v>24</v>
      </c>
      <c r="AC14" s="6" t="s">
        <v>24</v>
      </c>
      <c r="AD14" s="6" t="s">
        <v>24</v>
      </c>
      <c r="AE14" s="6" t="s">
        <v>24</v>
      </c>
      <c r="AF14" s="6" t="s">
        <v>24</v>
      </c>
      <c r="AG14" s="4">
        <f t="shared" si="0"/>
        <v>19</v>
      </c>
      <c r="AH14" s="4">
        <f t="shared" si="1"/>
        <v>1</v>
      </c>
      <c r="AI14" s="82" t="s">
        <v>15</v>
      </c>
      <c r="AJ14" s="7" t="e">
        <f>SUM(AG6,AG9,AG11,AG13,AG16,AG21,AG22,AG23,AG24,AG25,AG26,AG27,AG32,AG34,AG36,AG40,#REF!,#REF!,#REF!,#REF!,#REF!,#REF!,#REF!,#REF!,#REF!,#REF!,#REF!)</f>
        <v>#REF!</v>
      </c>
      <c r="AK14" s="7" t="e">
        <f>SUM(AG5,AG7,AG8,AG10,AG12,AG14,AG15,AG17,AG18,AG19,AG20,AG28,AG29,AG30,AG31,AG33,AG35,AG37,AG38,AG39,#REF!,#REF!,#REF!,#REF!,#REF!,#REF!,#REF!)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264</v>
      </c>
      <c r="C15" s="80" t="s">
        <v>258</v>
      </c>
      <c r="D15" s="5" t="s">
        <v>45</v>
      </c>
      <c r="E15" s="86" t="s">
        <v>24</v>
      </c>
      <c r="F15" s="108"/>
      <c r="G15" s="13" t="s">
        <v>24</v>
      </c>
      <c r="H15" s="13" t="s">
        <v>24</v>
      </c>
      <c r="I15" s="108"/>
      <c r="J15" s="13" t="s">
        <v>24</v>
      </c>
      <c r="K15" s="13" t="s">
        <v>23</v>
      </c>
      <c r="L15" s="87" t="s">
        <v>24</v>
      </c>
      <c r="M15" s="108"/>
      <c r="N15" s="6" t="s">
        <v>24</v>
      </c>
      <c r="O15" s="6" t="s">
        <v>24</v>
      </c>
      <c r="P15" s="6" t="s">
        <v>24</v>
      </c>
      <c r="Q15" s="6" t="s">
        <v>24</v>
      </c>
      <c r="R15" s="108"/>
      <c r="S15" s="111"/>
      <c r="T15" s="108"/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111"/>
      <c r="AA15" s="108"/>
      <c r="AB15" s="6" t="s">
        <v>24</v>
      </c>
      <c r="AC15" s="6" t="s">
        <v>24</v>
      </c>
      <c r="AD15" s="6" t="s">
        <v>24</v>
      </c>
      <c r="AE15" s="6" t="s">
        <v>24</v>
      </c>
      <c r="AF15" s="6" t="s">
        <v>24</v>
      </c>
      <c r="AG15" s="4">
        <f t="shared" si="0"/>
        <v>19</v>
      </c>
      <c r="AH15" s="4">
        <f t="shared" si="1"/>
        <v>1</v>
      </c>
      <c r="AI15" s="82" t="s">
        <v>16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265</v>
      </c>
      <c r="C16" s="80" t="s">
        <v>259</v>
      </c>
      <c r="D16" s="5" t="s">
        <v>45</v>
      </c>
      <c r="E16" s="86" t="s">
        <v>24</v>
      </c>
      <c r="F16" s="108"/>
      <c r="G16" s="13" t="s">
        <v>24</v>
      </c>
      <c r="H16" s="13" t="s">
        <v>24</v>
      </c>
      <c r="I16" s="108"/>
      <c r="J16" s="13" t="s">
        <v>24</v>
      </c>
      <c r="K16" s="13" t="s">
        <v>24</v>
      </c>
      <c r="L16" s="87" t="s">
        <v>24</v>
      </c>
      <c r="M16" s="108"/>
      <c r="N16" s="6" t="s">
        <v>24</v>
      </c>
      <c r="O16" s="6" t="s">
        <v>24</v>
      </c>
      <c r="P16" s="6" t="s">
        <v>24</v>
      </c>
      <c r="Q16" s="6" t="s">
        <v>24</v>
      </c>
      <c r="R16" s="108"/>
      <c r="S16" s="111"/>
      <c r="T16" s="108"/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111"/>
      <c r="AA16" s="108"/>
      <c r="AB16" s="6" t="s">
        <v>24</v>
      </c>
      <c r="AC16" s="6" t="s">
        <v>24</v>
      </c>
      <c r="AD16" s="6" t="s">
        <v>24</v>
      </c>
      <c r="AE16" s="6" t="s">
        <v>24</v>
      </c>
      <c r="AF16" s="6" t="s">
        <v>24</v>
      </c>
      <c r="AG16" s="4">
        <f t="shared" si="0"/>
        <v>20</v>
      </c>
      <c r="AH16" s="4">
        <f t="shared" si="1"/>
        <v>0</v>
      </c>
      <c r="AI16"/>
      <c r="AJ16"/>
      <c r="AK16"/>
      <c r="AL16"/>
    </row>
    <row r="17" spans="1:38" ht="16.5">
      <c r="A17" s="7">
        <v>13</v>
      </c>
      <c r="B17" s="80" t="s">
        <v>266</v>
      </c>
      <c r="C17" s="80" t="s">
        <v>267</v>
      </c>
      <c r="D17" s="5" t="s">
        <v>45</v>
      </c>
      <c r="E17" s="86" t="s">
        <v>24</v>
      </c>
      <c r="F17" s="108"/>
      <c r="G17" s="13" t="s">
        <v>24</v>
      </c>
      <c r="H17" s="13" t="s">
        <v>24</v>
      </c>
      <c r="I17" s="108"/>
      <c r="J17" s="13" t="s">
        <v>24</v>
      </c>
      <c r="K17" s="13" t="s">
        <v>23</v>
      </c>
      <c r="L17" s="87" t="s">
        <v>24</v>
      </c>
      <c r="M17" s="108"/>
      <c r="N17" s="6" t="s">
        <v>24</v>
      </c>
      <c r="O17" s="6" t="s">
        <v>24</v>
      </c>
      <c r="P17" s="6" t="s">
        <v>24</v>
      </c>
      <c r="Q17" s="6" t="s">
        <v>24</v>
      </c>
      <c r="R17" s="108"/>
      <c r="S17" s="111"/>
      <c r="T17" s="108"/>
      <c r="U17" s="6" t="s">
        <v>24</v>
      </c>
      <c r="V17" s="6" t="s">
        <v>24</v>
      </c>
      <c r="W17" s="6" t="s">
        <v>24</v>
      </c>
      <c r="X17" s="6" t="s">
        <v>24</v>
      </c>
      <c r="Y17" s="6" t="s">
        <v>24</v>
      </c>
      <c r="Z17" s="111"/>
      <c r="AA17" s="108"/>
      <c r="AB17" s="6" t="s">
        <v>24</v>
      </c>
      <c r="AC17" s="6" t="s">
        <v>24</v>
      </c>
      <c r="AD17" s="6" t="s">
        <v>23</v>
      </c>
      <c r="AE17" s="6" t="s">
        <v>24</v>
      </c>
      <c r="AF17" s="6" t="s">
        <v>24</v>
      </c>
      <c r="AG17" s="4">
        <f t="shared" si="0"/>
        <v>18</v>
      </c>
      <c r="AH17" s="4">
        <f t="shared" si="1"/>
        <v>2</v>
      </c>
      <c r="AI17"/>
      <c r="AJ17"/>
      <c r="AK17"/>
      <c r="AL17"/>
    </row>
    <row r="18" spans="1:38" ht="16.5">
      <c r="A18" s="7">
        <v>14</v>
      </c>
      <c r="B18" s="80" t="s">
        <v>268</v>
      </c>
      <c r="C18" s="80" t="s">
        <v>269</v>
      </c>
      <c r="D18" s="5" t="s">
        <v>45</v>
      </c>
      <c r="E18" s="86" t="s">
        <v>24</v>
      </c>
      <c r="F18" s="108"/>
      <c r="G18" s="13" t="s">
        <v>24</v>
      </c>
      <c r="H18" s="13" t="s">
        <v>24</v>
      </c>
      <c r="I18" s="108"/>
      <c r="J18" s="13" t="s">
        <v>24</v>
      </c>
      <c r="K18" s="13" t="s">
        <v>24</v>
      </c>
      <c r="L18" s="87" t="s">
        <v>24</v>
      </c>
      <c r="M18" s="108"/>
      <c r="N18" s="6" t="s">
        <v>24</v>
      </c>
      <c r="O18" s="6" t="s">
        <v>24</v>
      </c>
      <c r="P18" s="6" t="s">
        <v>24</v>
      </c>
      <c r="Q18" s="6" t="s">
        <v>24</v>
      </c>
      <c r="R18" s="108"/>
      <c r="S18" s="111"/>
      <c r="T18" s="108"/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111"/>
      <c r="AA18" s="108"/>
      <c r="AB18" s="6" t="s">
        <v>24</v>
      </c>
      <c r="AC18" s="6" t="s">
        <v>24</v>
      </c>
      <c r="AD18" s="6" t="s">
        <v>24</v>
      </c>
      <c r="AE18" s="6" t="s">
        <v>24</v>
      </c>
      <c r="AF18" s="6" t="s">
        <v>24</v>
      </c>
      <c r="AG18" s="4">
        <f t="shared" si="0"/>
        <v>20</v>
      </c>
      <c r="AH18" s="4">
        <f t="shared" si="1"/>
        <v>0</v>
      </c>
      <c r="AI18"/>
      <c r="AJ18"/>
      <c r="AK18"/>
      <c r="AL18"/>
    </row>
    <row r="19" spans="1:38" ht="16.5">
      <c r="A19" s="7">
        <v>15</v>
      </c>
      <c r="B19" s="80" t="s">
        <v>270</v>
      </c>
      <c r="C19" s="80" t="s">
        <v>161</v>
      </c>
      <c r="D19" s="5" t="s">
        <v>45</v>
      </c>
      <c r="E19" s="86" t="s">
        <v>24</v>
      </c>
      <c r="F19" s="108"/>
      <c r="G19" s="13" t="s">
        <v>24</v>
      </c>
      <c r="H19" s="13" t="s">
        <v>24</v>
      </c>
      <c r="I19" s="108"/>
      <c r="J19" s="13" t="s">
        <v>24</v>
      </c>
      <c r="K19" s="13" t="s">
        <v>24</v>
      </c>
      <c r="L19" s="87" t="s">
        <v>24</v>
      </c>
      <c r="M19" s="108"/>
      <c r="N19" s="6" t="s">
        <v>24</v>
      </c>
      <c r="O19" s="6" t="s">
        <v>24</v>
      </c>
      <c r="P19" s="6" t="s">
        <v>23</v>
      </c>
      <c r="Q19" s="6" t="s">
        <v>24</v>
      </c>
      <c r="R19" s="108"/>
      <c r="S19" s="111"/>
      <c r="T19" s="108"/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111"/>
      <c r="AA19" s="108"/>
      <c r="AB19" s="6" t="s">
        <v>24</v>
      </c>
      <c r="AC19" s="6" t="s">
        <v>24</v>
      </c>
      <c r="AD19" s="6" t="s">
        <v>24</v>
      </c>
      <c r="AE19" s="6" t="s">
        <v>24</v>
      </c>
      <c r="AF19" s="6" t="s">
        <v>24</v>
      </c>
      <c r="AG19" s="4">
        <f t="shared" si="0"/>
        <v>19</v>
      </c>
      <c r="AH19" s="4">
        <f t="shared" si="1"/>
        <v>1</v>
      </c>
      <c r="AI19" s="105" t="s">
        <v>31</v>
      </c>
      <c r="AJ19" s="105"/>
      <c r="AK19" s="105"/>
      <c r="AL19" s="106"/>
    </row>
    <row r="20" spans="1:38" ht="16.5">
      <c r="A20" s="7">
        <v>16</v>
      </c>
      <c r="B20" s="80" t="s">
        <v>271</v>
      </c>
      <c r="C20" s="80" t="s">
        <v>35</v>
      </c>
      <c r="D20" s="5" t="s">
        <v>45</v>
      </c>
      <c r="E20" s="86" t="s">
        <v>24</v>
      </c>
      <c r="F20" s="108"/>
      <c r="G20" s="13" t="s">
        <v>24</v>
      </c>
      <c r="H20" s="13" t="s">
        <v>24</v>
      </c>
      <c r="I20" s="108"/>
      <c r="J20" s="13" t="s">
        <v>24</v>
      </c>
      <c r="K20" s="13" t="s">
        <v>24</v>
      </c>
      <c r="L20" s="87" t="s">
        <v>24</v>
      </c>
      <c r="M20" s="108"/>
      <c r="N20" s="6" t="s">
        <v>24</v>
      </c>
      <c r="O20" s="6" t="s">
        <v>24</v>
      </c>
      <c r="P20" s="6" t="s">
        <v>24</v>
      </c>
      <c r="Q20" s="6" t="s">
        <v>24</v>
      </c>
      <c r="R20" s="108"/>
      <c r="S20" s="111"/>
      <c r="T20" s="108"/>
      <c r="U20" s="6" t="s">
        <v>24</v>
      </c>
      <c r="V20" s="6" t="s">
        <v>24</v>
      </c>
      <c r="W20" s="6" t="s">
        <v>23</v>
      </c>
      <c r="X20" s="6" t="s">
        <v>24</v>
      </c>
      <c r="Y20" s="6" t="s">
        <v>24</v>
      </c>
      <c r="Z20" s="111"/>
      <c r="AA20" s="108"/>
      <c r="AB20" s="6" t="s">
        <v>24</v>
      </c>
      <c r="AC20" s="6" t="s">
        <v>24</v>
      </c>
      <c r="AD20" s="6" t="s">
        <v>24</v>
      </c>
      <c r="AE20" s="6" t="s">
        <v>24</v>
      </c>
      <c r="AF20" s="6" t="s">
        <v>24</v>
      </c>
      <c r="AG20" s="4">
        <f t="shared" si="0"/>
        <v>19</v>
      </c>
      <c r="AH20" s="4">
        <f t="shared" si="1"/>
        <v>1</v>
      </c>
      <c r="AI20" s="82" t="s">
        <v>10</v>
      </c>
      <c r="AJ20" s="4" t="s">
        <v>11</v>
      </c>
      <c r="AK20" s="4" t="s">
        <v>12</v>
      </c>
      <c r="AL20" s="4" t="s">
        <v>13</v>
      </c>
    </row>
    <row r="21" spans="1:38" ht="16.5">
      <c r="A21" s="7">
        <v>17</v>
      </c>
      <c r="B21" s="80" t="s">
        <v>114</v>
      </c>
      <c r="C21" s="80" t="s">
        <v>272</v>
      </c>
      <c r="D21" s="5" t="s">
        <v>45</v>
      </c>
      <c r="E21" s="86" t="s">
        <v>24</v>
      </c>
      <c r="F21" s="108"/>
      <c r="G21" s="13" t="s">
        <v>24</v>
      </c>
      <c r="H21" s="13" t="s">
        <v>24</v>
      </c>
      <c r="I21" s="108"/>
      <c r="J21" s="13" t="s">
        <v>24</v>
      </c>
      <c r="K21" s="13" t="s">
        <v>23</v>
      </c>
      <c r="L21" s="87" t="s">
        <v>24</v>
      </c>
      <c r="M21" s="108"/>
      <c r="N21" s="6" t="s">
        <v>24</v>
      </c>
      <c r="O21" s="6" t="s">
        <v>24</v>
      </c>
      <c r="P21" s="6" t="s">
        <v>24</v>
      </c>
      <c r="Q21" s="6" t="s">
        <v>24</v>
      </c>
      <c r="R21" s="108"/>
      <c r="S21" s="111"/>
      <c r="T21" s="108"/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111"/>
      <c r="AA21" s="108"/>
      <c r="AB21" s="6" t="s">
        <v>24</v>
      </c>
      <c r="AC21" s="6" t="s">
        <v>24</v>
      </c>
      <c r="AD21" s="6" t="s">
        <v>24</v>
      </c>
      <c r="AE21" s="6" t="s">
        <v>24</v>
      </c>
      <c r="AF21" s="6" t="s">
        <v>24</v>
      </c>
      <c r="AG21" s="4">
        <f t="shared" si="0"/>
        <v>19</v>
      </c>
      <c r="AH21" s="4">
        <f t="shared" si="1"/>
        <v>1</v>
      </c>
      <c r="AI21" s="82" t="s">
        <v>14</v>
      </c>
      <c r="AJ21" s="7">
        <f>27*$AJ$5</f>
        <v>648</v>
      </c>
      <c r="AK21" s="7">
        <f>27*$AJ$5</f>
        <v>648</v>
      </c>
      <c r="AL21" s="7">
        <f>AJ21+AK21</f>
        <v>1296</v>
      </c>
    </row>
    <row r="22" spans="1:38" ht="16.5">
      <c r="A22" s="7">
        <v>18</v>
      </c>
      <c r="B22" s="80" t="s">
        <v>273</v>
      </c>
      <c r="C22" s="80" t="s">
        <v>101</v>
      </c>
      <c r="D22" s="5" t="s">
        <v>45</v>
      </c>
      <c r="E22" s="86" t="s">
        <v>24</v>
      </c>
      <c r="F22" s="108"/>
      <c r="G22" s="13" t="s">
        <v>24</v>
      </c>
      <c r="H22" s="13" t="s">
        <v>24</v>
      </c>
      <c r="I22" s="108"/>
      <c r="J22" s="13" t="s">
        <v>24</v>
      </c>
      <c r="K22" s="13" t="s">
        <v>24</v>
      </c>
      <c r="L22" s="87" t="s">
        <v>24</v>
      </c>
      <c r="M22" s="108"/>
      <c r="N22" s="6" t="s">
        <v>24</v>
      </c>
      <c r="O22" s="6" t="s">
        <v>24</v>
      </c>
      <c r="P22" s="6" t="s">
        <v>24</v>
      </c>
      <c r="Q22" s="6" t="s">
        <v>24</v>
      </c>
      <c r="R22" s="108"/>
      <c r="S22" s="111"/>
      <c r="T22" s="108"/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111"/>
      <c r="AA22" s="108"/>
      <c r="AB22" s="6" t="s">
        <v>24</v>
      </c>
      <c r="AC22" s="6" t="s">
        <v>24</v>
      </c>
      <c r="AD22" s="6" t="s">
        <v>23</v>
      </c>
      <c r="AE22" s="6" t="s">
        <v>24</v>
      </c>
      <c r="AF22" s="6" t="s">
        <v>24</v>
      </c>
      <c r="AG22" s="4">
        <f t="shared" si="0"/>
        <v>19</v>
      </c>
      <c r="AH22" s="4">
        <f t="shared" si="1"/>
        <v>1</v>
      </c>
      <c r="AI22" s="82" t="s">
        <v>17</v>
      </c>
      <c r="AJ22" s="7" t="e">
        <f>AJ21-AJ14</f>
        <v>#REF!</v>
      </c>
      <c r="AK22" s="7" t="e">
        <f>AK21-AK14</f>
        <v>#REF!</v>
      </c>
      <c r="AL22" s="7" t="e">
        <f>AJ22+AK22</f>
        <v>#REF!</v>
      </c>
    </row>
    <row r="23" spans="1:38" ht="16.5">
      <c r="A23" s="7">
        <v>19</v>
      </c>
      <c r="B23" s="80" t="s">
        <v>228</v>
      </c>
      <c r="C23" s="80" t="s">
        <v>274</v>
      </c>
      <c r="D23" s="5" t="s">
        <v>45</v>
      </c>
      <c r="E23" s="86" t="s">
        <v>24</v>
      </c>
      <c r="F23" s="108"/>
      <c r="G23" s="13" t="s">
        <v>24</v>
      </c>
      <c r="H23" s="13" t="s">
        <v>24</v>
      </c>
      <c r="I23" s="108"/>
      <c r="J23" s="13" t="s">
        <v>24</v>
      </c>
      <c r="K23" s="13" t="s">
        <v>24</v>
      </c>
      <c r="L23" s="87" t="s">
        <v>24</v>
      </c>
      <c r="M23" s="108"/>
      <c r="N23" s="6" t="s">
        <v>24</v>
      </c>
      <c r="O23" s="6" t="s">
        <v>24</v>
      </c>
      <c r="P23" s="6" t="s">
        <v>24</v>
      </c>
      <c r="Q23" s="6" t="s">
        <v>24</v>
      </c>
      <c r="R23" s="108"/>
      <c r="S23" s="111"/>
      <c r="T23" s="108"/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111"/>
      <c r="AA23" s="108"/>
      <c r="AB23" s="6" t="s">
        <v>24</v>
      </c>
      <c r="AC23" s="6" t="s">
        <v>24</v>
      </c>
      <c r="AD23" s="6" t="s">
        <v>24</v>
      </c>
      <c r="AE23" s="6" t="s">
        <v>24</v>
      </c>
      <c r="AF23" s="6" t="s">
        <v>24</v>
      </c>
      <c r="AG23" s="4">
        <f t="shared" si="0"/>
        <v>20</v>
      </c>
      <c r="AH23" s="4">
        <f t="shared" si="1"/>
        <v>0</v>
      </c>
      <c r="AI23" s="82" t="s">
        <v>16</v>
      </c>
      <c r="AJ23" s="9" t="e">
        <f>AJ22/AJ21</f>
        <v>#REF!</v>
      </c>
      <c r="AK23" s="9" t="e">
        <f>AK22/AK21</f>
        <v>#REF!</v>
      </c>
      <c r="AL23" s="9" t="e">
        <f>AL22/AL21</f>
        <v>#REF!</v>
      </c>
    </row>
    <row r="24" spans="1:38" ht="16.5">
      <c r="A24" s="7">
        <v>20</v>
      </c>
      <c r="B24" s="80" t="s">
        <v>195</v>
      </c>
      <c r="C24" s="80" t="s">
        <v>274</v>
      </c>
      <c r="D24" s="5" t="s">
        <v>45</v>
      </c>
      <c r="E24" s="86" t="s">
        <v>24</v>
      </c>
      <c r="F24" s="108"/>
      <c r="G24" s="13" t="s">
        <v>24</v>
      </c>
      <c r="H24" s="13" t="s">
        <v>24</v>
      </c>
      <c r="I24" s="108"/>
      <c r="J24" s="13" t="s">
        <v>24</v>
      </c>
      <c r="K24" s="13" t="s">
        <v>24</v>
      </c>
      <c r="L24" s="87" t="s">
        <v>24</v>
      </c>
      <c r="M24" s="108"/>
      <c r="N24" s="6" t="s">
        <v>24</v>
      </c>
      <c r="O24" s="6" t="s">
        <v>24</v>
      </c>
      <c r="P24" s="6" t="s">
        <v>23</v>
      </c>
      <c r="Q24" s="6" t="s">
        <v>24</v>
      </c>
      <c r="R24" s="108"/>
      <c r="S24" s="111"/>
      <c r="T24" s="108"/>
      <c r="U24" s="6" t="s">
        <v>24</v>
      </c>
      <c r="V24" s="6" t="s">
        <v>24</v>
      </c>
      <c r="W24" s="6" t="s">
        <v>24</v>
      </c>
      <c r="X24" s="6" t="s">
        <v>24</v>
      </c>
      <c r="Y24" s="6" t="s">
        <v>24</v>
      </c>
      <c r="Z24" s="111"/>
      <c r="AA24" s="108"/>
      <c r="AB24" s="6" t="s">
        <v>24</v>
      </c>
      <c r="AC24" s="6" t="s">
        <v>24</v>
      </c>
      <c r="AD24" s="6" t="s">
        <v>24</v>
      </c>
      <c r="AE24" s="6" t="s">
        <v>24</v>
      </c>
      <c r="AF24" s="6" t="s">
        <v>24</v>
      </c>
      <c r="AG24" s="4">
        <f t="shared" si="0"/>
        <v>19</v>
      </c>
      <c r="AH24" s="4">
        <f t="shared" si="1"/>
        <v>1</v>
      </c>
    </row>
    <row r="25" spans="1:38" ht="16.5">
      <c r="A25" s="7">
        <v>21</v>
      </c>
      <c r="B25" s="80" t="s">
        <v>275</v>
      </c>
      <c r="C25" s="80" t="s">
        <v>41</v>
      </c>
      <c r="D25" s="5" t="s">
        <v>45</v>
      </c>
      <c r="E25" s="86" t="s">
        <v>24</v>
      </c>
      <c r="F25" s="108"/>
      <c r="G25" s="13" t="s">
        <v>24</v>
      </c>
      <c r="H25" s="13" t="s">
        <v>24</v>
      </c>
      <c r="I25" s="108"/>
      <c r="J25" s="13" t="s">
        <v>24</v>
      </c>
      <c r="K25" s="13" t="s">
        <v>23</v>
      </c>
      <c r="L25" s="87" t="s">
        <v>24</v>
      </c>
      <c r="M25" s="108"/>
      <c r="N25" s="6" t="s">
        <v>24</v>
      </c>
      <c r="O25" s="6" t="s">
        <v>24</v>
      </c>
      <c r="P25" s="6" t="s">
        <v>24</v>
      </c>
      <c r="Q25" s="6" t="s">
        <v>24</v>
      </c>
      <c r="R25" s="108"/>
      <c r="S25" s="111"/>
      <c r="T25" s="108"/>
      <c r="U25" s="6" t="s">
        <v>24</v>
      </c>
      <c r="V25" s="6" t="s">
        <v>24</v>
      </c>
      <c r="W25" s="6" t="s">
        <v>24</v>
      </c>
      <c r="X25" s="6" t="s">
        <v>24</v>
      </c>
      <c r="Y25" s="6" t="s">
        <v>24</v>
      </c>
      <c r="Z25" s="111"/>
      <c r="AA25" s="108"/>
      <c r="AB25" s="6" t="s">
        <v>24</v>
      </c>
      <c r="AC25" s="6" t="s">
        <v>24</v>
      </c>
      <c r="AD25" s="6" t="s">
        <v>23</v>
      </c>
      <c r="AE25" s="6" t="s">
        <v>24</v>
      </c>
      <c r="AF25" s="6" t="s">
        <v>24</v>
      </c>
      <c r="AG25" s="4">
        <f t="shared" si="0"/>
        <v>18</v>
      </c>
      <c r="AH25" s="4">
        <f t="shared" si="1"/>
        <v>2</v>
      </c>
    </row>
    <row r="26" spans="1:38" ht="16.5">
      <c r="A26" s="7">
        <v>22</v>
      </c>
      <c r="B26" s="80" t="s">
        <v>276</v>
      </c>
      <c r="C26" s="80" t="s">
        <v>277</v>
      </c>
      <c r="D26" s="5" t="s">
        <v>45</v>
      </c>
      <c r="E26" s="86" t="s">
        <v>24</v>
      </c>
      <c r="F26" s="108"/>
      <c r="G26" s="13" t="s">
        <v>24</v>
      </c>
      <c r="H26" s="13" t="s">
        <v>24</v>
      </c>
      <c r="I26" s="108"/>
      <c r="J26" s="13" t="s">
        <v>24</v>
      </c>
      <c r="K26" s="13" t="s">
        <v>24</v>
      </c>
      <c r="L26" s="87" t="s">
        <v>24</v>
      </c>
      <c r="M26" s="108"/>
      <c r="N26" s="6" t="s">
        <v>24</v>
      </c>
      <c r="O26" s="6" t="s">
        <v>24</v>
      </c>
      <c r="P26" s="6" t="s">
        <v>24</v>
      </c>
      <c r="Q26" s="6" t="s">
        <v>24</v>
      </c>
      <c r="R26" s="108"/>
      <c r="S26" s="111"/>
      <c r="T26" s="108"/>
      <c r="U26" s="6" t="s">
        <v>24</v>
      </c>
      <c r="V26" s="6" t="s">
        <v>24</v>
      </c>
      <c r="W26" s="6" t="s">
        <v>24</v>
      </c>
      <c r="X26" s="6" t="s">
        <v>24</v>
      </c>
      <c r="Y26" s="6" t="s">
        <v>24</v>
      </c>
      <c r="Z26" s="111"/>
      <c r="AA26" s="108"/>
      <c r="AB26" s="6" t="s">
        <v>24</v>
      </c>
      <c r="AC26" s="6" t="s">
        <v>24</v>
      </c>
      <c r="AD26" s="6" t="s">
        <v>24</v>
      </c>
      <c r="AE26" s="6" t="s">
        <v>24</v>
      </c>
      <c r="AF26" s="6" t="s">
        <v>24</v>
      </c>
      <c r="AG26" s="4">
        <f t="shared" si="0"/>
        <v>20</v>
      </c>
      <c r="AH26" s="4">
        <f t="shared" si="1"/>
        <v>0</v>
      </c>
    </row>
    <row r="27" spans="1:38" ht="16.5">
      <c r="A27" s="7">
        <v>23</v>
      </c>
      <c r="B27" s="80" t="s">
        <v>268</v>
      </c>
      <c r="C27" s="80" t="s">
        <v>277</v>
      </c>
      <c r="D27" s="5" t="s">
        <v>45</v>
      </c>
      <c r="E27" s="86" t="s">
        <v>24</v>
      </c>
      <c r="F27" s="108"/>
      <c r="G27" s="13" t="s">
        <v>24</v>
      </c>
      <c r="H27" s="13" t="s">
        <v>24</v>
      </c>
      <c r="I27" s="108"/>
      <c r="J27" s="13" t="s">
        <v>24</v>
      </c>
      <c r="K27" s="13" t="s">
        <v>24</v>
      </c>
      <c r="L27" s="87" t="s">
        <v>24</v>
      </c>
      <c r="M27" s="108"/>
      <c r="N27" s="6" t="s">
        <v>24</v>
      </c>
      <c r="O27" s="6" t="s">
        <v>24</v>
      </c>
      <c r="P27" s="6" t="s">
        <v>23</v>
      </c>
      <c r="Q27" s="6" t="s">
        <v>24</v>
      </c>
      <c r="R27" s="108"/>
      <c r="S27" s="111"/>
      <c r="T27" s="108"/>
      <c r="U27" s="6" t="s">
        <v>24</v>
      </c>
      <c r="V27" s="6" t="s">
        <v>24</v>
      </c>
      <c r="W27" s="6" t="s">
        <v>23</v>
      </c>
      <c r="X27" s="6" t="s">
        <v>24</v>
      </c>
      <c r="Y27" s="6" t="s">
        <v>24</v>
      </c>
      <c r="Z27" s="111"/>
      <c r="AA27" s="108"/>
      <c r="AB27" s="6" t="s">
        <v>24</v>
      </c>
      <c r="AC27" s="6" t="s">
        <v>24</v>
      </c>
      <c r="AD27" s="6" t="s">
        <v>24</v>
      </c>
      <c r="AE27" s="6" t="s">
        <v>24</v>
      </c>
      <c r="AF27" s="6" t="s">
        <v>24</v>
      </c>
      <c r="AG27" s="4">
        <f t="shared" si="0"/>
        <v>18</v>
      </c>
      <c r="AH27" s="4">
        <f t="shared" si="1"/>
        <v>2</v>
      </c>
    </row>
    <row r="28" spans="1:38" ht="16.5">
      <c r="A28" s="7">
        <v>24</v>
      </c>
      <c r="B28" s="80" t="s">
        <v>278</v>
      </c>
      <c r="C28" s="80" t="s">
        <v>65</v>
      </c>
      <c r="D28" s="5" t="s">
        <v>45</v>
      </c>
      <c r="E28" s="86" t="s">
        <v>24</v>
      </c>
      <c r="F28" s="108"/>
      <c r="G28" s="13" t="s">
        <v>24</v>
      </c>
      <c r="H28" s="13" t="s">
        <v>24</v>
      </c>
      <c r="I28" s="108"/>
      <c r="J28" s="13" t="s">
        <v>24</v>
      </c>
      <c r="K28" s="13" t="s">
        <v>24</v>
      </c>
      <c r="L28" s="87" t="s">
        <v>24</v>
      </c>
      <c r="M28" s="108"/>
      <c r="N28" s="6" t="s">
        <v>24</v>
      </c>
      <c r="O28" s="6" t="s">
        <v>24</v>
      </c>
      <c r="P28" s="6" t="s">
        <v>24</v>
      </c>
      <c r="Q28" s="6" t="s">
        <v>24</v>
      </c>
      <c r="R28" s="108"/>
      <c r="S28" s="111"/>
      <c r="T28" s="108"/>
      <c r="U28" s="6" t="s">
        <v>24</v>
      </c>
      <c r="V28" s="6" t="s">
        <v>24</v>
      </c>
      <c r="W28" s="6" t="s">
        <v>24</v>
      </c>
      <c r="X28" s="6" t="s">
        <v>24</v>
      </c>
      <c r="Y28" s="6" t="s">
        <v>24</v>
      </c>
      <c r="Z28" s="111"/>
      <c r="AA28" s="108"/>
      <c r="AB28" s="6" t="s">
        <v>24</v>
      </c>
      <c r="AC28" s="6" t="s">
        <v>24</v>
      </c>
      <c r="AD28" s="6" t="s">
        <v>24</v>
      </c>
      <c r="AE28" s="6" t="s">
        <v>24</v>
      </c>
      <c r="AF28" s="6" t="s">
        <v>24</v>
      </c>
      <c r="AG28" s="4">
        <f t="shared" si="0"/>
        <v>20</v>
      </c>
      <c r="AH28" s="4">
        <f t="shared" si="1"/>
        <v>0</v>
      </c>
    </row>
    <row r="29" spans="1:38" ht="16.5">
      <c r="A29" s="7">
        <v>25</v>
      </c>
      <c r="B29" s="80" t="s">
        <v>173</v>
      </c>
      <c r="C29" s="80" t="s">
        <v>279</v>
      </c>
      <c r="D29" s="5" t="s">
        <v>45</v>
      </c>
      <c r="E29" s="86" t="s">
        <v>24</v>
      </c>
      <c r="F29" s="108"/>
      <c r="G29" s="13" t="s">
        <v>24</v>
      </c>
      <c r="H29" s="13" t="s">
        <v>24</v>
      </c>
      <c r="I29" s="108"/>
      <c r="J29" s="13" t="s">
        <v>24</v>
      </c>
      <c r="K29" s="13" t="s">
        <v>24</v>
      </c>
      <c r="L29" s="87" t="s">
        <v>24</v>
      </c>
      <c r="M29" s="108"/>
      <c r="N29" s="6" t="s">
        <v>24</v>
      </c>
      <c r="O29" s="6" t="s">
        <v>24</v>
      </c>
      <c r="P29" s="6" t="s">
        <v>24</v>
      </c>
      <c r="Q29" s="6" t="s">
        <v>24</v>
      </c>
      <c r="R29" s="108"/>
      <c r="S29" s="111"/>
      <c r="T29" s="108"/>
      <c r="U29" s="6" t="s">
        <v>24</v>
      </c>
      <c r="V29" s="6" t="s">
        <v>24</v>
      </c>
      <c r="W29" s="6" t="s">
        <v>24</v>
      </c>
      <c r="X29" s="6" t="s">
        <v>24</v>
      </c>
      <c r="Y29" s="6" t="s">
        <v>24</v>
      </c>
      <c r="Z29" s="111"/>
      <c r="AA29" s="108"/>
      <c r="AB29" s="6" t="s">
        <v>24</v>
      </c>
      <c r="AC29" s="6" t="s">
        <v>24</v>
      </c>
      <c r="AD29" s="6" t="s">
        <v>24</v>
      </c>
      <c r="AE29" s="6" t="s">
        <v>24</v>
      </c>
      <c r="AF29" s="6" t="s">
        <v>24</v>
      </c>
      <c r="AG29" s="4">
        <f t="shared" si="0"/>
        <v>20</v>
      </c>
      <c r="AH29" s="4">
        <f t="shared" si="1"/>
        <v>0</v>
      </c>
    </row>
    <row r="30" spans="1:38" ht="16.5">
      <c r="A30" s="7">
        <v>26</v>
      </c>
      <c r="B30" s="80" t="s">
        <v>280</v>
      </c>
      <c r="C30" s="80" t="s">
        <v>281</v>
      </c>
      <c r="D30" s="5" t="s">
        <v>45</v>
      </c>
      <c r="E30" s="86" t="s">
        <v>24</v>
      </c>
      <c r="F30" s="108"/>
      <c r="G30" s="13" t="s">
        <v>24</v>
      </c>
      <c r="H30" s="13" t="s">
        <v>24</v>
      </c>
      <c r="I30" s="108"/>
      <c r="J30" s="13" t="s">
        <v>24</v>
      </c>
      <c r="K30" s="13" t="s">
        <v>23</v>
      </c>
      <c r="L30" s="87" t="s">
        <v>24</v>
      </c>
      <c r="M30" s="108"/>
      <c r="N30" s="6" t="s">
        <v>24</v>
      </c>
      <c r="O30" s="6" t="s">
        <v>24</v>
      </c>
      <c r="P30" s="6" t="s">
        <v>24</v>
      </c>
      <c r="Q30" s="6" t="s">
        <v>24</v>
      </c>
      <c r="R30" s="108"/>
      <c r="S30" s="111"/>
      <c r="T30" s="108"/>
      <c r="U30" s="6" t="s">
        <v>24</v>
      </c>
      <c r="V30" s="6" t="s">
        <v>24</v>
      </c>
      <c r="W30" s="6" t="s">
        <v>23</v>
      </c>
      <c r="X30" s="6" t="s">
        <v>24</v>
      </c>
      <c r="Y30" s="6" t="s">
        <v>24</v>
      </c>
      <c r="Z30" s="111"/>
      <c r="AA30" s="108"/>
      <c r="AB30" s="6" t="s">
        <v>24</v>
      </c>
      <c r="AC30" s="6" t="s">
        <v>24</v>
      </c>
      <c r="AD30" s="6" t="s">
        <v>24</v>
      </c>
      <c r="AE30" s="6" t="s">
        <v>24</v>
      </c>
      <c r="AF30" s="6" t="s">
        <v>24</v>
      </c>
      <c r="AG30" s="4">
        <f t="shared" si="0"/>
        <v>18</v>
      </c>
      <c r="AH30" s="4">
        <f t="shared" si="1"/>
        <v>2</v>
      </c>
    </row>
    <row r="31" spans="1:38" ht="16.5">
      <c r="A31" s="7">
        <v>27</v>
      </c>
      <c r="B31" s="80" t="s">
        <v>72</v>
      </c>
      <c r="C31" s="80" t="s">
        <v>195</v>
      </c>
      <c r="D31" s="5" t="s">
        <v>45</v>
      </c>
      <c r="E31" s="86" t="s">
        <v>24</v>
      </c>
      <c r="F31" s="108"/>
      <c r="G31" s="13" t="s">
        <v>24</v>
      </c>
      <c r="H31" s="13" t="s">
        <v>24</v>
      </c>
      <c r="I31" s="108"/>
      <c r="J31" s="13" t="s">
        <v>24</v>
      </c>
      <c r="K31" s="13" t="s">
        <v>24</v>
      </c>
      <c r="L31" s="87" t="s">
        <v>24</v>
      </c>
      <c r="M31" s="108"/>
      <c r="N31" s="6" t="s">
        <v>24</v>
      </c>
      <c r="O31" s="6" t="s">
        <v>24</v>
      </c>
      <c r="P31" s="6" t="s">
        <v>24</v>
      </c>
      <c r="Q31" s="6" t="s">
        <v>24</v>
      </c>
      <c r="R31" s="108"/>
      <c r="S31" s="111"/>
      <c r="T31" s="108"/>
      <c r="U31" s="6" t="s">
        <v>24</v>
      </c>
      <c r="V31" s="6" t="s">
        <v>24</v>
      </c>
      <c r="W31" s="6" t="s">
        <v>24</v>
      </c>
      <c r="X31" s="6" t="s">
        <v>24</v>
      </c>
      <c r="Y31" s="6" t="s">
        <v>24</v>
      </c>
      <c r="Z31" s="111"/>
      <c r="AA31" s="108"/>
      <c r="AB31" s="6" t="s">
        <v>24</v>
      </c>
      <c r="AC31" s="6" t="s">
        <v>24</v>
      </c>
      <c r="AD31" s="6" t="s">
        <v>23</v>
      </c>
      <c r="AE31" s="6" t="s">
        <v>24</v>
      </c>
      <c r="AF31" s="6" t="s">
        <v>24</v>
      </c>
      <c r="AG31" s="4">
        <f t="shared" si="0"/>
        <v>19</v>
      </c>
      <c r="AH31" s="4">
        <f t="shared" si="1"/>
        <v>1</v>
      </c>
    </row>
    <row r="32" spans="1:38" ht="16.5">
      <c r="A32" s="7">
        <v>28</v>
      </c>
      <c r="B32" s="80" t="s">
        <v>282</v>
      </c>
      <c r="C32" s="80" t="s">
        <v>151</v>
      </c>
      <c r="D32" s="5" t="s">
        <v>45</v>
      </c>
      <c r="E32" s="86" t="s">
        <v>24</v>
      </c>
      <c r="F32" s="108"/>
      <c r="G32" s="13" t="s">
        <v>24</v>
      </c>
      <c r="H32" s="13" t="s">
        <v>24</v>
      </c>
      <c r="I32" s="108"/>
      <c r="J32" s="13" t="s">
        <v>24</v>
      </c>
      <c r="K32" s="13" t="s">
        <v>24</v>
      </c>
      <c r="L32" s="87" t="s">
        <v>24</v>
      </c>
      <c r="M32" s="108"/>
      <c r="N32" s="6" t="s">
        <v>24</v>
      </c>
      <c r="O32" s="6" t="s">
        <v>24</v>
      </c>
      <c r="P32" s="6" t="s">
        <v>24</v>
      </c>
      <c r="Q32" s="6" t="s">
        <v>24</v>
      </c>
      <c r="R32" s="108"/>
      <c r="S32" s="111"/>
      <c r="T32" s="108"/>
      <c r="U32" s="6" t="s">
        <v>24</v>
      </c>
      <c r="V32" s="6" t="s">
        <v>24</v>
      </c>
      <c r="W32" s="6" t="s">
        <v>24</v>
      </c>
      <c r="X32" s="6" t="s">
        <v>24</v>
      </c>
      <c r="Y32" s="6" t="s">
        <v>24</v>
      </c>
      <c r="Z32" s="111"/>
      <c r="AA32" s="108"/>
      <c r="AB32" s="6" t="s">
        <v>24</v>
      </c>
      <c r="AC32" s="6" t="s">
        <v>24</v>
      </c>
      <c r="AD32" s="6" t="s">
        <v>24</v>
      </c>
      <c r="AE32" s="6" t="s">
        <v>24</v>
      </c>
      <c r="AF32" s="6" t="s">
        <v>24</v>
      </c>
      <c r="AG32" s="4">
        <f t="shared" si="0"/>
        <v>20</v>
      </c>
      <c r="AH32" s="4">
        <f t="shared" si="1"/>
        <v>0</v>
      </c>
    </row>
    <row r="33" spans="1:34" ht="16.5">
      <c r="A33" s="7">
        <v>29</v>
      </c>
      <c r="B33" s="80" t="s">
        <v>283</v>
      </c>
      <c r="C33" s="80" t="s">
        <v>284</v>
      </c>
      <c r="D33" s="5" t="s">
        <v>45</v>
      </c>
      <c r="E33" s="86" t="s">
        <v>24</v>
      </c>
      <c r="F33" s="108"/>
      <c r="G33" s="13" t="s">
        <v>24</v>
      </c>
      <c r="H33" s="13" t="s">
        <v>24</v>
      </c>
      <c r="I33" s="108"/>
      <c r="J33" s="13" t="s">
        <v>24</v>
      </c>
      <c r="K33" s="13" t="s">
        <v>24</v>
      </c>
      <c r="L33" s="87" t="s">
        <v>24</v>
      </c>
      <c r="M33" s="108"/>
      <c r="N33" s="6" t="s">
        <v>24</v>
      </c>
      <c r="O33" s="6" t="s">
        <v>24</v>
      </c>
      <c r="P33" s="6" t="s">
        <v>24</v>
      </c>
      <c r="Q33" s="6" t="s">
        <v>24</v>
      </c>
      <c r="R33" s="108"/>
      <c r="S33" s="111"/>
      <c r="T33" s="108"/>
      <c r="U33" s="6" t="s">
        <v>24</v>
      </c>
      <c r="V33" s="6" t="s">
        <v>24</v>
      </c>
      <c r="W33" s="6" t="s">
        <v>24</v>
      </c>
      <c r="X33" s="6" t="s">
        <v>24</v>
      </c>
      <c r="Y33" s="6" t="s">
        <v>24</v>
      </c>
      <c r="Z33" s="111"/>
      <c r="AA33" s="108"/>
      <c r="AB33" s="6" t="s">
        <v>24</v>
      </c>
      <c r="AC33" s="6" t="s">
        <v>24</v>
      </c>
      <c r="AD33" s="6" t="s">
        <v>24</v>
      </c>
      <c r="AE33" s="6" t="s">
        <v>24</v>
      </c>
      <c r="AF33" s="6" t="s">
        <v>24</v>
      </c>
      <c r="AG33" s="4">
        <f t="shared" si="0"/>
        <v>20</v>
      </c>
      <c r="AH33" s="4">
        <f t="shared" si="1"/>
        <v>0</v>
      </c>
    </row>
    <row r="34" spans="1:34" ht="16.5">
      <c r="A34" s="7">
        <v>30</v>
      </c>
      <c r="B34" s="80" t="s">
        <v>69</v>
      </c>
      <c r="C34" s="80" t="s">
        <v>285</v>
      </c>
      <c r="D34" s="5" t="s">
        <v>45</v>
      </c>
      <c r="E34" s="86" t="s">
        <v>24</v>
      </c>
      <c r="F34" s="108"/>
      <c r="G34" s="13" t="s">
        <v>24</v>
      </c>
      <c r="H34" s="13" t="s">
        <v>24</v>
      </c>
      <c r="I34" s="108"/>
      <c r="J34" s="13" t="s">
        <v>24</v>
      </c>
      <c r="K34" s="13" t="s">
        <v>24</v>
      </c>
      <c r="L34" s="87" t="s">
        <v>24</v>
      </c>
      <c r="M34" s="108"/>
      <c r="N34" s="6" t="s">
        <v>24</v>
      </c>
      <c r="O34" s="6" t="s">
        <v>24</v>
      </c>
      <c r="P34" s="6" t="s">
        <v>24</v>
      </c>
      <c r="Q34" s="6" t="s">
        <v>24</v>
      </c>
      <c r="R34" s="108"/>
      <c r="S34" s="111"/>
      <c r="T34" s="108"/>
      <c r="U34" s="6" t="s">
        <v>24</v>
      </c>
      <c r="V34" s="6" t="s">
        <v>24</v>
      </c>
      <c r="W34" s="6" t="s">
        <v>24</v>
      </c>
      <c r="X34" s="6" t="s">
        <v>24</v>
      </c>
      <c r="Y34" s="6" t="s">
        <v>24</v>
      </c>
      <c r="Z34" s="111"/>
      <c r="AA34" s="108"/>
      <c r="AB34" s="6" t="s">
        <v>24</v>
      </c>
      <c r="AC34" s="6" t="s">
        <v>24</v>
      </c>
      <c r="AD34" s="6" t="s">
        <v>23</v>
      </c>
      <c r="AE34" s="6" t="s">
        <v>24</v>
      </c>
      <c r="AF34" s="6" t="s">
        <v>24</v>
      </c>
      <c r="AG34" s="4">
        <f t="shared" si="0"/>
        <v>19</v>
      </c>
      <c r="AH34" s="4">
        <f t="shared" si="1"/>
        <v>1</v>
      </c>
    </row>
    <row r="35" spans="1:34" ht="16.5">
      <c r="A35" s="7">
        <v>31</v>
      </c>
      <c r="B35" s="80" t="s">
        <v>72</v>
      </c>
      <c r="C35" s="80" t="s">
        <v>103</v>
      </c>
      <c r="D35" s="5" t="s">
        <v>45</v>
      </c>
      <c r="E35" s="86" t="s">
        <v>24</v>
      </c>
      <c r="F35" s="108"/>
      <c r="G35" s="13" t="s">
        <v>24</v>
      </c>
      <c r="H35" s="13" t="s">
        <v>24</v>
      </c>
      <c r="I35" s="108"/>
      <c r="J35" s="13" t="s">
        <v>24</v>
      </c>
      <c r="K35" s="13" t="s">
        <v>23</v>
      </c>
      <c r="L35" s="87" t="s">
        <v>24</v>
      </c>
      <c r="M35" s="108"/>
      <c r="N35" s="6" t="s">
        <v>24</v>
      </c>
      <c r="O35" s="6" t="s">
        <v>24</v>
      </c>
      <c r="P35" s="6" t="s">
        <v>24</v>
      </c>
      <c r="Q35" s="6" t="s">
        <v>24</v>
      </c>
      <c r="R35" s="108"/>
      <c r="S35" s="111"/>
      <c r="T35" s="108"/>
      <c r="U35" s="6" t="s">
        <v>24</v>
      </c>
      <c r="V35" s="6" t="s">
        <v>24</v>
      </c>
      <c r="W35" s="6" t="s">
        <v>24</v>
      </c>
      <c r="X35" s="6" t="s">
        <v>24</v>
      </c>
      <c r="Y35" s="6" t="s">
        <v>24</v>
      </c>
      <c r="Z35" s="111"/>
      <c r="AA35" s="108"/>
      <c r="AB35" s="6" t="s">
        <v>24</v>
      </c>
      <c r="AC35" s="6" t="s">
        <v>24</v>
      </c>
      <c r="AD35" s="6" t="s">
        <v>24</v>
      </c>
      <c r="AE35" s="6" t="s">
        <v>24</v>
      </c>
      <c r="AF35" s="6" t="s">
        <v>24</v>
      </c>
      <c r="AG35" s="4">
        <f t="shared" si="0"/>
        <v>19</v>
      </c>
      <c r="AH35" s="4">
        <f t="shared" si="1"/>
        <v>1</v>
      </c>
    </row>
    <row r="36" spans="1:34" ht="16.5">
      <c r="A36" s="7">
        <v>32</v>
      </c>
      <c r="B36" s="80" t="s">
        <v>286</v>
      </c>
      <c r="C36" s="80" t="s">
        <v>287</v>
      </c>
      <c r="D36" s="5" t="s">
        <v>45</v>
      </c>
      <c r="E36" s="86" t="s">
        <v>24</v>
      </c>
      <c r="F36" s="108"/>
      <c r="G36" s="13" t="s">
        <v>24</v>
      </c>
      <c r="H36" s="13" t="s">
        <v>24</v>
      </c>
      <c r="I36" s="108"/>
      <c r="J36" s="13" t="s">
        <v>24</v>
      </c>
      <c r="K36" s="13" t="s">
        <v>24</v>
      </c>
      <c r="L36" s="87" t="s">
        <v>24</v>
      </c>
      <c r="M36" s="108"/>
      <c r="N36" s="6" t="s">
        <v>24</v>
      </c>
      <c r="O36" s="6" t="s">
        <v>24</v>
      </c>
      <c r="P36" s="6" t="s">
        <v>24</v>
      </c>
      <c r="Q36" s="6" t="s">
        <v>24</v>
      </c>
      <c r="R36" s="108"/>
      <c r="S36" s="111"/>
      <c r="T36" s="108"/>
      <c r="U36" s="6" t="s">
        <v>24</v>
      </c>
      <c r="V36" s="6" t="s">
        <v>24</v>
      </c>
      <c r="W36" s="6" t="s">
        <v>23</v>
      </c>
      <c r="X36" s="6" t="s">
        <v>24</v>
      </c>
      <c r="Y36" s="6" t="s">
        <v>24</v>
      </c>
      <c r="Z36" s="111"/>
      <c r="AA36" s="108"/>
      <c r="AB36" s="6" t="s">
        <v>24</v>
      </c>
      <c r="AC36" s="6" t="s">
        <v>24</v>
      </c>
      <c r="AD36" s="6" t="s">
        <v>24</v>
      </c>
      <c r="AE36" s="6" t="s">
        <v>24</v>
      </c>
      <c r="AF36" s="6" t="s">
        <v>24</v>
      </c>
      <c r="AG36" s="4">
        <f t="shared" si="0"/>
        <v>19</v>
      </c>
      <c r="AH36" s="4">
        <f t="shared" si="1"/>
        <v>1</v>
      </c>
    </row>
    <row r="37" spans="1:34" ht="16.5">
      <c r="A37" s="7">
        <v>33</v>
      </c>
      <c r="B37" s="80" t="s">
        <v>288</v>
      </c>
      <c r="C37" s="80" t="s">
        <v>177</v>
      </c>
      <c r="D37" s="5" t="s">
        <v>45</v>
      </c>
      <c r="E37" s="86" t="s">
        <v>24</v>
      </c>
      <c r="F37" s="108"/>
      <c r="G37" s="13" t="s">
        <v>24</v>
      </c>
      <c r="H37" s="13" t="s">
        <v>24</v>
      </c>
      <c r="I37" s="108"/>
      <c r="J37" s="13" t="s">
        <v>24</v>
      </c>
      <c r="K37" s="13" t="s">
        <v>24</v>
      </c>
      <c r="L37" s="87" t="s">
        <v>24</v>
      </c>
      <c r="M37" s="108"/>
      <c r="N37" s="6" t="s">
        <v>24</v>
      </c>
      <c r="O37" s="6" t="s">
        <v>24</v>
      </c>
      <c r="P37" s="6" t="s">
        <v>24</v>
      </c>
      <c r="Q37" s="6" t="s">
        <v>24</v>
      </c>
      <c r="R37" s="108"/>
      <c r="S37" s="111"/>
      <c r="T37" s="108"/>
      <c r="U37" s="6" t="s">
        <v>24</v>
      </c>
      <c r="V37" s="6" t="s">
        <v>24</v>
      </c>
      <c r="W37" s="6" t="s">
        <v>24</v>
      </c>
      <c r="X37" s="6" t="s">
        <v>24</v>
      </c>
      <c r="Y37" s="6" t="s">
        <v>24</v>
      </c>
      <c r="Z37" s="111"/>
      <c r="AA37" s="108"/>
      <c r="AB37" s="6" t="s">
        <v>24</v>
      </c>
      <c r="AC37" s="6" t="s">
        <v>24</v>
      </c>
      <c r="AD37" s="6" t="s">
        <v>24</v>
      </c>
      <c r="AE37" s="6" t="s">
        <v>24</v>
      </c>
      <c r="AF37" s="6" t="s">
        <v>24</v>
      </c>
      <c r="AG37" s="4">
        <f t="shared" si="0"/>
        <v>20</v>
      </c>
      <c r="AH37" s="4">
        <f t="shared" si="1"/>
        <v>0</v>
      </c>
    </row>
    <row r="38" spans="1:34" ht="16.5">
      <c r="A38" s="7">
        <v>34</v>
      </c>
      <c r="B38" s="80" t="s">
        <v>289</v>
      </c>
      <c r="C38" s="80" t="s">
        <v>177</v>
      </c>
      <c r="D38" s="5" t="s">
        <v>45</v>
      </c>
      <c r="E38" s="86" t="s">
        <v>24</v>
      </c>
      <c r="F38" s="108"/>
      <c r="G38" s="13" t="s">
        <v>24</v>
      </c>
      <c r="H38" s="13" t="s">
        <v>24</v>
      </c>
      <c r="I38" s="108"/>
      <c r="J38" s="13" t="s">
        <v>24</v>
      </c>
      <c r="K38" s="13" t="s">
        <v>24</v>
      </c>
      <c r="L38" s="87" t="s">
        <v>24</v>
      </c>
      <c r="M38" s="108"/>
      <c r="N38" s="6" t="s">
        <v>24</v>
      </c>
      <c r="O38" s="6" t="s">
        <v>24</v>
      </c>
      <c r="P38" s="6" t="s">
        <v>24</v>
      </c>
      <c r="Q38" s="6" t="s">
        <v>24</v>
      </c>
      <c r="R38" s="108"/>
      <c r="S38" s="111"/>
      <c r="T38" s="108"/>
      <c r="U38" s="6" t="s">
        <v>24</v>
      </c>
      <c r="V38" s="6" t="s">
        <v>24</v>
      </c>
      <c r="W38" s="6" t="s">
        <v>24</v>
      </c>
      <c r="X38" s="6" t="s">
        <v>24</v>
      </c>
      <c r="Y38" s="6" t="s">
        <v>24</v>
      </c>
      <c r="Z38" s="111"/>
      <c r="AA38" s="108"/>
      <c r="AB38" s="6" t="s">
        <v>24</v>
      </c>
      <c r="AC38" s="6" t="s">
        <v>24</v>
      </c>
      <c r="AD38" s="6" t="s">
        <v>24</v>
      </c>
      <c r="AE38" s="6" t="s">
        <v>24</v>
      </c>
      <c r="AF38" s="6" t="s">
        <v>24</v>
      </c>
      <c r="AG38" s="4">
        <f t="shared" si="0"/>
        <v>20</v>
      </c>
      <c r="AH38" s="4">
        <f t="shared" si="1"/>
        <v>0</v>
      </c>
    </row>
    <row r="39" spans="1:34" ht="16.5">
      <c r="A39" s="7">
        <v>35</v>
      </c>
      <c r="B39" s="80" t="s">
        <v>82</v>
      </c>
      <c r="C39" s="80" t="s">
        <v>290</v>
      </c>
      <c r="D39" s="5" t="s">
        <v>45</v>
      </c>
      <c r="E39" s="86" t="s">
        <v>24</v>
      </c>
      <c r="F39" s="108"/>
      <c r="G39" s="13" t="s">
        <v>24</v>
      </c>
      <c r="H39" s="13" t="s">
        <v>24</v>
      </c>
      <c r="I39" s="108"/>
      <c r="J39" s="13" t="s">
        <v>24</v>
      </c>
      <c r="K39" s="13" t="s">
        <v>24</v>
      </c>
      <c r="L39" s="87" t="s">
        <v>24</v>
      </c>
      <c r="M39" s="108"/>
      <c r="N39" s="6" t="s">
        <v>24</v>
      </c>
      <c r="O39" s="6" t="s">
        <v>24</v>
      </c>
      <c r="P39" s="6" t="s">
        <v>24</v>
      </c>
      <c r="Q39" s="6" t="s">
        <v>24</v>
      </c>
      <c r="R39" s="108"/>
      <c r="S39" s="111"/>
      <c r="T39" s="108"/>
      <c r="U39" s="6" t="s">
        <v>24</v>
      </c>
      <c r="V39" s="6" t="s">
        <v>24</v>
      </c>
      <c r="W39" s="6" t="s">
        <v>23</v>
      </c>
      <c r="X39" s="6" t="s">
        <v>24</v>
      </c>
      <c r="Y39" s="6" t="s">
        <v>24</v>
      </c>
      <c r="Z39" s="111"/>
      <c r="AA39" s="108"/>
      <c r="AB39" s="6" t="s">
        <v>24</v>
      </c>
      <c r="AC39" s="6" t="s">
        <v>24</v>
      </c>
      <c r="AD39" s="6" t="s">
        <v>23</v>
      </c>
      <c r="AE39" s="6" t="s">
        <v>24</v>
      </c>
      <c r="AF39" s="6" t="s">
        <v>24</v>
      </c>
      <c r="AG39" s="4">
        <f t="shared" si="0"/>
        <v>18</v>
      </c>
      <c r="AH39" s="4">
        <f t="shared" si="1"/>
        <v>2</v>
      </c>
    </row>
    <row r="40" spans="1:34" ht="16.5">
      <c r="A40" s="7">
        <v>36</v>
      </c>
      <c r="B40" s="80" t="s">
        <v>291</v>
      </c>
      <c r="C40" s="80" t="s">
        <v>292</v>
      </c>
      <c r="D40" s="5" t="s">
        <v>45</v>
      </c>
      <c r="E40" s="86" t="s">
        <v>24</v>
      </c>
      <c r="F40" s="108"/>
      <c r="G40" s="13" t="s">
        <v>24</v>
      </c>
      <c r="H40" s="13" t="s">
        <v>24</v>
      </c>
      <c r="I40" s="108"/>
      <c r="J40" s="13" t="s">
        <v>24</v>
      </c>
      <c r="K40" s="13" t="s">
        <v>23</v>
      </c>
      <c r="L40" s="87" t="s">
        <v>24</v>
      </c>
      <c r="M40" s="108"/>
      <c r="N40" s="6" t="s">
        <v>24</v>
      </c>
      <c r="O40" s="6" t="s">
        <v>24</v>
      </c>
      <c r="P40" s="6" t="s">
        <v>24</v>
      </c>
      <c r="Q40" s="6" t="s">
        <v>24</v>
      </c>
      <c r="R40" s="108"/>
      <c r="S40" s="111"/>
      <c r="T40" s="108"/>
      <c r="U40" s="6" t="s">
        <v>24</v>
      </c>
      <c r="V40" s="6" t="s">
        <v>24</v>
      </c>
      <c r="W40" s="6" t="s">
        <v>24</v>
      </c>
      <c r="X40" s="6" t="s">
        <v>24</v>
      </c>
      <c r="Y40" s="6" t="s">
        <v>24</v>
      </c>
      <c r="Z40" s="111"/>
      <c r="AA40" s="108"/>
      <c r="AB40" s="6" t="s">
        <v>24</v>
      </c>
      <c r="AC40" s="6" t="s">
        <v>24</v>
      </c>
      <c r="AD40" s="6" t="s">
        <v>24</v>
      </c>
      <c r="AE40" s="6" t="s">
        <v>24</v>
      </c>
      <c r="AF40" s="6" t="s">
        <v>24</v>
      </c>
      <c r="AG40" s="4">
        <f t="shared" si="0"/>
        <v>19</v>
      </c>
      <c r="AH40" s="4">
        <f t="shared" si="1"/>
        <v>1</v>
      </c>
    </row>
    <row r="41" spans="1:34" ht="16.5">
      <c r="A41" s="84"/>
      <c r="B41" s="80" t="s">
        <v>293</v>
      </c>
      <c r="C41" s="80" t="s">
        <v>294</v>
      </c>
      <c r="D41" s="5" t="s">
        <v>45</v>
      </c>
      <c r="E41" s="86" t="s">
        <v>24</v>
      </c>
      <c r="F41" s="108"/>
      <c r="G41" s="13" t="s">
        <v>24</v>
      </c>
      <c r="H41" s="13" t="s">
        <v>24</v>
      </c>
      <c r="I41" s="108"/>
      <c r="J41" s="13" t="s">
        <v>24</v>
      </c>
      <c r="K41" s="13" t="s">
        <v>24</v>
      </c>
      <c r="L41" s="87" t="s">
        <v>24</v>
      </c>
      <c r="M41" s="108"/>
      <c r="N41" s="6" t="s">
        <v>24</v>
      </c>
      <c r="O41" s="6" t="s">
        <v>24</v>
      </c>
      <c r="P41" s="6" t="s">
        <v>24</v>
      </c>
      <c r="Q41" s="6" t="s">
        <v>24</v>
      </c>
      <c r="R41" s="108"/>
      <c r="S41" s="111"/>
      <c r="T41" s="108"/>
      <c r="U41" s="6" t="s">
        <v>24</v>
      </c>
      <c r="V41" s="6" t="s">
        <v>24</v>
      </c>
      <c r="W41" s="6" t="s">
        <v>24</v>
      </c>
      <c r="X41" s="6" t="s">
        <v>24</v>
      </c>
      <c r="Y41" s="6" t="s">
        <v>24</v>
      </c>
      <c r="Z41" s="111"/>
      <c r="AA41" s="108"/>
      <c r="AB41" s="6" t="s">
        <v>24</v>
      </c>
      <c r="AC41" s="6" t="s">
        <v>24</v>
      </c>
      <c r="AD41" s="6" t="s">
        <v>24</v>
      </c>
      <c r="AE41" s="6" t="s">
        <v>24</v>
      </c>
      <c r="AF41" s="6" t="s">
        <v>24</v>
      </c>
      <c r="AG41" s="84"/>
      <c r="AH41" s="84"/>
    </row>
    <row r="42" spans="1:34" ht="16.5">
      <c r="A42" s="84"/>
      <c r="B42" s="80" t="s">
        <v>295</v>
      </c>
      <c r="C42" s="79" t="s">
        <v>296</v>
      </c>
      <c r="D42" s="5" t="s">
        <v>45</v>
      </c>
      <c r="E42" s="86" t="s">
        <v>24</v>
      </c>
      <c r="F42" s="108"/>
      <c r="G42" s="13" t="s">
        <v>24</v>
      </c>
      <c r="H42" s="13" t="s">
        <v>24</v>
      </c>
      <c r="I42" s="108"/>
      <c r="J42" s="13" t="s">
        <v>24</v>
      </c>
      <c r="K42" s="13" t="s">
        <v>24</v>
      </c>
      <c r="L42" s="87" t="s">
        <v>24</v>
      </c>
      <c r="M42" s="108"/>
      <c r="N42" s="6" t="s">
        <v>24</v>
      </c>
      <c r="O42" s="6" t="s">
        <v>24</v>
      </c>
      <c r="P42" s="6" t="s">
        <v>24</v>
      </c>
      <c r="Q42" s="6" t="s">
        <v>24</v>
      </c>
      <c r="R42" s="108"/>
      <c r="S42" s="111"/>
      <c r="T42" s="108"/>
      <c r="U42" s="6" t="s">
        <v>24</v>
      </c>
      <c r="V42" s="6" t="s">
        <v>24</v>
      </c>
      <c r="W42" s="6" t="s">
        <v>24</v>
      </c>
      <c r="X42" s="6" t="s">
        <v>24</v>
      </c>
      <c r="Y42" s="6" t="s">
        <v>24</v>
      </c>
      <c r="Z42" s="111"/>
      <c r="AA42" s="108"/>
      <c r="AB42" s="6" t="s">
        <v>24</v>
      </c>
      <c r="AC42" s="6" t="s">
        <v>24</v>
      </c>
      <c r="AD42" s="6" t="s">
        <v>24</v>
      </c>
      <c r="AE42" s="6" t="s">
        <v>24</v>
      </c>
      <c r="AF42" s="6" t="s">
        <v>24</v>
      </c>
      <c r="AG42" s="84"/>
      <c r="AH42" s="84"/>
    </row>
    <row r="43" spans="1:34" ht="16.5">
      <c r="A43" s="84"/>
      <c r="B43" s="80" t="s">
        <v>297</v>
      </c>
      <c r="C43" s="79" t="s">
        <v>298</v>
      </c>
      <c r="D43" s="5" t="s">
        <v>45</v>
      </c>
      <c r="E43" s="86" t="s">
        <v>24</v>
      </c>
      <c r="F43" s="108"/>
      <c r="G43" s="13" t="s">
        <v>24</v>
      </c>
      <c r="H43" s="13" t="s">
        <v>24</v>
      </c>
      <c r="I43" s="108"/>
      <c r="J43" s="13" t="s">
        <v>24</v>
      </c>
      <c r="K43" s="13" t="s">
        <v>24</v>
      </c>
      <c r="L43" s="87" t="s">
        <v>24</v>
      </c>
      <c r="M43" s="108"/>
      <c r="N43" s="6" t="s">
        <v>24</v>
      </c>
      <c r="O43" s="6" t="s">
        <v>24</v>
      </c>
      <c r="P43" s="6" t="s">
        <v>24</v>
      </c>
      <c r="Q43" s="6" t="s">
        <v>24</v>
      </c>
      <c r="R43" s="108"/>
      <c r="S43" s="111"/>
      <c r="T43" s="108"/>
      <c r="U43" s="6" t="s">
        <v>24</v>
      </c>
      <c r="V43" s="6" t="s">
        <v>24</v>
      </c>
      <c r="W43" s="6" t="s">
        <v>24</v>
      </c>
      <c r="X43" s="6" t="s">
        <v>24</v>
      </c>
      <c r="Y43" s="6" t="s">
        <v>24</v>
      </c>
      <c r="Z43" s="111"/>
      <c r="AA43" s="108"/>
      <c r="AB43" s="6" t="s">
        <v>24</v>
      </c>
      <c r="AC43" s="6" t="s">
        <v>24</v>
      </c>
      <c r="AD43" s="6" t="s">
        <v>24</v>
      </c>
      <c r="AE43" s="6" t="s">
        <v>24</v>
      </c>
      <c r="AF43" s="6" t="s">
        <v>24</v>
      </c>
      <c r="AG43" s="84"/>
      <c r="AH43" s="84"/>
    </row>
    <row r="44" spans="1:34" ht="16.5">
      <c r="A44" s="84"/>
      <c r="B44" s="80" t="s">
        <v>299</v>
      </c>
      <c r="C44" s="79" t="s">
        <v>159</v>
      </c>
      <c r="D44" s="5" t="s">
        <v>45</v>
      </c>
      <c r="E44" s="86" t="s">
        <v>24</v>
      </c>
      <c r="F44" s="108"/>
      <c r="G44" s="13" t="s">
        <v>24</v>
      </c>
      <c r="H44" s="13" t="s">
        <v>24</v>
      </c>
      <c r="I44" s="108"/>
      <c r="J44" s="13" t="s">
        <v>24</v>
      </c>
      <c r="K44" s="13" t="s">
        <v>24</v>
      </c>
      <c r="L44" s="87" t="s">
        <v>24</v>
      </c>
      <c r="M44" s="108"/>
      <c r="N44" s="6" t="s">
        <v>24</v>
      </c>
      <c r="O44" s="6" t="s">
        <v>24</v>
      </c>
      <c r="P44" s="6" t="s">
        <v>24</v>
      </c>
      <c r="Q44" s="6" t="s">
        <v>24</v>
      </c>
      <c r="R44" s="108"/>
      <c r="S44" s="111"/>
      <c r="T44" s="108"/>
      <c r="U44" s="6" t="s">
        <v>24</v>
      </c>
      <c r="V44" s="6" t="s">
        <v>24</v>
      </c>
      <c r="W44" s="6" t="s">
        <v>23</v>
      </c>
      <c r="X44" s="6" t="s">
        <v>24</v>
      </c>
      <c r="Y44" s="6" t="s">
        <v>24</v>
      </c>
      <c r="Z44" s="111"/>
      <c r="AA44" s="108"/>
      <c r="AB44" s="6" t="s">
        <v>24</v>
      </c>
      <c r="AC44" s="6" t="s">
        <v>24</v>
      </c>
      <c r="AD44" s="6" t="s">
        <v>24</v>
      </c>
      <c r="AE44" s="6" t="s">
        <v>24</v>
      </c>
      <c r="AF44" s="6" t="s">
        <v>24</v>
      </c>
      <c r="AG44" s="84"/>
      <c r="AH44" s="84"/>
    </row>
    <row r="45" spans="1:34" ht="16.5">
      <c r="A45" s="84"/>
      <c r="B45" s="80" t="s">
        <v>300</v>
      </c>
      <c r="C45" s="79" t="s">
        <v>301</v>
      </c>
      <c r="D45" s="5" t="s">
        <v>45</v>
      </c>
      <c r="E45" s="86" t="s">
        <v>24</v>
      </c>
      <c r="F45" s="108"/>
      <c r="G45" s="13" t="s">
        <v>24</v>
      </c>
      <c r="H45" s="13" t="s">
        <v>24</v>
      </c>
      <c r="I45" s="108"/>
      <c r="J45" s="13" t="s">
        <v>24</v>
      </c>
      <c r="K45" s="13" t="s">
        <v>23</v>
      </c>
      <c r="L45" s="87" t="s">
        <v>24</v>
      </c>
      <c r="M45" s="108"/>
      <c r="N45" s="6" t="s">
        <v>24</v>
      </c>
      <c r="O45" s="6" t="s">
        <v>24</v>
      </c>
      <c r="P45" s="6" t="s">
        <v>24</v>
      </c>
      <c r="Q45" s="6" t="s">
        <v>24</v>
      </c>
      <c r="R45" s="108"/>
      <c r="S45" s="111"/>
      <c r="T45" s="108"/>
      <c r="U45" s="6" t="s">
        <v>24</v>
      </c>
      <c r="V45" s="6" t="s">
        <v>24</v>
      </c>
      <c r="W45" s="6" t="s">
        <v>24</v>
      </c>
      <c r="X45" s="6" t="s">
        <v>24</v>
      </c>
      <c r="Y45" s="6" t="s">
        <v>24</v>
      </c>
      <c r="Z45" s="111"/>
      <c r="AA45" s="108"/>
      <c r="AB45" s="6" t="s">
        <v>24</v>
      </c>
      <c r="AC45" s="6" t="s">
        <v>24</v>
      </c>
      <c r="AD45" s="6" t="s">
        <v>24</v>
      </c>
      <c r="AE45" s="6" t="s">
        <v>24</v>
      </c>
      <c r="AF45" s="6" t="s">
        <v>24</v>
      </c>
      <c r="AG45" s="84"/>
      <c r="AH45" s="84"/>
    </row>
    <row r="46" spans="1:34" ht="16.5">
      <c r="B46" s="80" t="s">
        <v>302</v>
      </c>
      <c r="C46" s="79" t="s">
        <v>303</v>
      </c>
      <c r="D46" s="5" t="s">
        <v>45</v>
      </c>
      <c r="E46" s="86" t="s">
        <v>24</v>
      </c>
      <c r="F46" s="108"/>
      <c r="G46" s="13" t="s">
        <v>24</v>
      </c>
      <c r="H46" s="13" t="s">
        <v>24</v>
      </c>
      <c r="I46" s="108"/>
      <c r="J46" s="13" t="s">
        <v>24</v>
      </c>
      <c r="K46" s="13" t="s">
        <v>24</v>
      </c>
      <c r="L46" s="87" t="s">
        <v>24</v>
      </c>
      <c r="M46" s="108"/>
      <c r="N46" s="6" t="s">
        <v>24</v>
      </c>
      <c r="O46" s="6" t="s">
        <v>24</v>
      </c>
      <c r="P46" s="6" t="s">
        <v>24</v>
      </c>
      <c r="Q46" s="6" t="s">
        <v>24</v>
      </c>
      <c r="R46" s="108"/>
      <c r="S46" s="111"/>
      <c r="T46" s="108"/>
      <c r="U46" s="6" t="s">
        <v>24</v>
      </c>
      <c r="V46" s="6" t="s">
        <v>24</v>
      </c>
      <c r="W46" s="6" t="s">
        <v>24</v>
      </c>
      <c r="X46" s="6" t="s">
        <v>24</v>
      </c>
      <c r="Y46" s="6" t="s">
        <v>24</v>
      </c>
      <c r="Z46" s="111"/>
      <c r="AA46" s="108"/>
      <c r="AB46" s="6" t="s">
        <v>24</v>
      </c>
      <c r="AC46" s="6" t="s">
        <v>24</v>
      </c>
      <c r="AD46" s="6" t="s">
        <v>24</v>
      </c>
      <c r="AE46" s="6" t="s">
        <v>24</v>
      </c>
      <c r="AF46" s="6" t="s">
        <v>24</v>
      </c>
      <c r="AG46" s="84"/>
      <c r="AH46" s="84"/>
    </row>
    <row r="47" spans="1:34" ht="16.5">
      <c r="B47" s="80" t="s">
        <v>304</v>
      </c>
      <c r="C47" s="79" t="s">
        <v>305</v>
      </c>
      <c r="D47" s="5" t="s">
        <v>45</v>
      </c>
      <c r="E47" s="86" t="s">
        <v>24</v>
      </c>
      <c r="F47" s="108"/>
      <c r="G47" s="13" t="s">
        <v>24</v>
      </c>
      <c r="H47" s="13" t="s">
        <v>24</v>
      </c>
      <c r="I47" s="108"/>
      <c r="J47" s="13" t="s">
        <v>24</v>
      </c>
      <c r="K47" s="13" t="s">
        <v>24</v>
      </c>
      <c r="L47" s="87" t="s">
        <v>24</v>
      </c>
      <c r="M47" s="108"/>
      <c r="N47" s="6" t="s">
        <v>24</v>
      </c>
      <c r="O47" s="6" t="s">
        <v>24</v>
      </c>
      <c r="P47" s="6" t="s">
        <v>24</v>
      </c>
      <c r="Q47" s="6" t="s">
        <v>24</v>
      </c>
      <c r="R47" s="108"/>
      <c r="S47" s="111"/>
      <c r="T47" s="108"/>
      <c r="U47" s="6" t="s">
        <v>24</v>
      </c>
      <c r="V47" s="6" t="s">
        <v>24</v>
      </c>
      <c r="W47" s="6" t="s">
        <v>24</v>
      </c>
      <c r="X47" s="6" t="s">
        <v>24</v>
      </c>
      <c r="Y47" s="6" t="s">
        <v>24</v>
      </c>
      <c r="Z47" s="111"/>
      <c r="AA47" s="108"/>
      <c r="AB47" s="6" t="s">
        <v>24</v>
      </c>
      <c r="AC47" s="6" t="s">
        <v>24</v>
      </c>
      <c r="AD47" s="6" t="s">
        <v>24</v>
      </c>
      <c r="AE47" s="6" t="s">
        <v>24</v>
      </c>
      <c r="AF47" s="6" t="s">
        <v>24</v>
      </c>
      <c r="AG47" s="84"/>
      <c r="AH47" s="84"/>
    </row>
    <row r="48" spans="1:34" ht="16.5">
      <c r="B48" s="80" t="s">
        <v>306</v>
      </c>
      <c r="C48" s="79" t="s">
        <v>307</v>
      </c>
      <c r="D48" s="5" t="s">
        <v>45</v>
      </c>
      <c r="E48" s="86" t="s">
        <v>24</v>
      </c>
      <c r="F48" s="108"/>
      <c r="G48" s="13" t="s">
        <v>24</v>
      </c>
      <c r="H48" s="13" t="s">
        <v>24</v>
      </c>
      <c r="I48" s="108"/>
      <c r="J48" s="13" t="s">
        <v>24</v>
      </c>
      <c r="K48" s="13" t="s">
        <v>24</v>
      </c>
      <c r="L48" s="87" t="s">
        <v>24</v>
      </c>
      <c r="M48" s="108"/>
      <c r="N48" s="6" t="s">
        <v>24</v>
      </c>
      <c r="O48" s="6" t="s">
        <v>24</v>
      </c>
      <c r="P48" s="6" t="s">
        <v>24</v>
      </c>
      <c r="Q48" s="6" t="s">
        <v>24</v>
      </c>
      <c r="R48" s="108"/>
      <c r="S48" s="111"/>
      <c r="T48" s="108"/>
      <c r="U48" s="6" t="s">
        <v>24</v>
      </c>
      <c r="V48" s="6" t="s">
        <v>24</v>
      </c>
      <c r="W48" s="6" t="s">
        <v>23</v>
      </c>
      <c r="X48" s="6" t="s">
        <v>24</v>
      </c>
      <c r="Y48" s="6" t="s">
        <v>24</v>
      </c>
      <c r="Z48" s="111"/>
      <c r="AA48" s="108"/>
      <c r="AB48" s="6" t="s">
        <v>24</v>
      </c>
      <c r="AC48" s="6" t="s">
        <v>24</v>
      </c>
      <c r="AD48" s="6" t="s">
        <v>24</v>
      </c>
      <c r="AE48" s="6" t="s">
        <v>24</v>
      </c>
      <c r="AF48" s="6" t="s">
        <v>24</v>
      </c>
      <c r="AG48" s="84"/>
      <c r="AH48" s="84"/>
    </row>
    <row r="49" spans="2:34" ht="16.5">
      <c r="B49" s="80" t="s">
        <v>308</v>
      </c>
      <c r="C49" s="79" t="s">
        <v>309</v>
      </c>
      <c r="D49" s="5" t="s">
        <v>45</v>
      </c>
      <c r="E49" s="86" t="s">
        <v>24</v>
      </c>
      <c r="F49" s="108"/>
      <c r="G49" s="13" t="s">
        <v>24</v>
      </c>
      <c r="H49" s="13" t="s">
        <v>24</v>
      </c>
      <c r="I49" s="108"/>
      <c r="J49" s="13" t="s">
        <v>24</v>
      </c>
      <c r="K49" s="13" t="s">
        <v>24</v>
      </c>
      <c r="L49" s="87" t="s">
        <v>24</v>
      </c>
      <c r="M49" s="108"/>
      <c r="N49" s="6" t="s">
        <v>24</v>
      </c>
      <c r="O49" s="6" t="s">
        <v>24</v>
      </c>
      <c r="P49" s="6" t="s">
        <v>24</v>
      </c>
      <c r="Q49" s="6" t="s">
        <v>24</v>
      </c>
      <c r="R49" s="108"/>
      <c r="S49" s="111"/>
      <c r="T49" s="108"/>
      <c r="U49" s="6" t="s">
        <v>24</v>
      </c>
      <c r="V49" s="6" t="s">
        <v>24</v>
      </c>
      <c r="W49" s="6" t="s">
        <v>24</v>
      </c>
      <c r="X49" s="6" t="s">
        <v>24</v>
      </c>
      <c r="Y49" s="6" t="s">
        <v>24</v>
      </c>
      <c r="Z49" s="111"/>
      <c r="AA49" s="108"/>
      <c r="AB49" s="6" t="s">
        <v>24</v>
      </c>
      <c r="AC49" s="6" t="s">
        <v>24</v>
      </c>
      <c r="AD49" s="6" t="s">
        <v>24</v>
      </c>
      <c r="AE49" s="6" t="s">
        <v>24</v>
      </c>
      <c r="AF49" s="6" t="s">
        <v>24</v>
      </c>
      <c r="AG49" s="84"/>
      <c r="AH49" s="84"/>
    </row>
    <row r="50" spans="2:34" ht="16.5">
      <c r="B50" s="80" t="s">
        <v>310</v>
      </c>
      <c r="C50" s="79" t="s">
        <v>311</v>
      </c>
      <c r="D50" s="5" t="s">
        <v>45</v>
      </c>
      <c r="E50" s="86" t="s">
        <v>24</v>
      </c>
      <c r="F50" s="108"/>
      <c r="G50" s="13" t="s">
        <v>24</v>
      </c>
      <c r="H50" s="13" t="s">
        <v>24</v>
      </c>
      <c r="I50" s="108"/>
      <c r="J50" s="13" t="s">
        <v>24</v>
      </c>
      <c r="K50" s="13" t="s">
        <v>24</v>
      </c>
      <c r="L50" s="87" t="s">
        <v>24</v>
      </c>
      <c r="M50" s="108"/>
      <c r="N50" s="6" t="s">
        <v>24</v>
      </c>
      <c r="O50" s="6" t="s">
        <v>24</v>
      </c>
      <c r="P50" s="6" t="s">
        <v>24</v>
      </c>
      <c r="Q50" s="6" t="s">
        <v>24</v>
      </c>
      <c r="R50" s="108"/>
      <c r="S50" s="111"/>
      <c r="T50" s="108"/>
      <c r="U50" s="6" t="s">
        <v>24</v>
      </c>
      <c r="V50" s="6" t="s">
        <v>24</v>
      </c>
      <c r="W50" s="6" t="s">
        <v>24</v>
      </c>
      <c r="X50" s="6" t="s">
        <v>24</v>
      </c>
      <c r="Y50" s="6" t="s">
        <v>24</v>
      </c>
      <c r="Z50" s="111"/>
      <c r="AA50" s="108"/>
      <c r="AB50" s="6" t="s">
        <v>24</v>
      </c>
      <c r="AC50" s="6" t="s">
        <v>24</v>
      </c>
      <c r="AD50" s="6" t="s">
        <v>24</v>
      </c>
      <c r="AE50" s="6" t="s">
        <v>24</v>
      </c>
      <c r="AF50" s="6" t="s">
        <v>24</v>
      </c>
      <c r="AG50" s="84"/>
      <c r="AH50" s="84"/>
    </row>
    <row r="51" spans="2:34" ht="16.5">
      <c r="B51" s="80" t="s">
        <v>312</v>
      </c>
      <c r="C51" s="79" t="s">
        <v>313</v>
      </c>
      <c r="D51" s="5" t="s">
        <v>45</v>
      </c>
      <c r="E51" s="86" t="s">
        <v>24</v>
      </c>
      <c r="F51" s="108"/>
      <c r="G51" s="13" t="s">
        <v>24</v>
      </c>
      <c r="H51" s="13" t="s">
        <v>24</v>
      </c>
      <c r="I51" s="108"/>
      <c r="J51" s="13" t="s">
        <v>24</v>
      </c>
      <c r="K51" s="13" t="s">
        <v>24</v>
      </c>
      <c r="L51" s="87" t="s">
        <v>24</v>
      </c>
      <c r="M51" s="108"/>
      <c r="N51" s="6" t="s">
        <v>24</v>
      </c>
      <c r="O51" s="6" t="s">
        <v>24</v>
      </c>
      <c r="P51" s="6" t="s">
        <v>24</v>
      </c>
      <c r="Q51" s="6" t="s">
        <v>24</v>
      </c>
      <c r="R51" s="108"/>
      <c r="S51" s="111"/>
      <c r="T51" s="108"/>
      <c r="U51" s="6" t="s">
        <v>24</v>
      </c>
      <c r="V51" s="6" t="s">
        <v>24</v>
      </c>
      <c r="W51" s="6" t="s">
        <v>24</v>
      </c>
      <c r="X51" s="6" t="s">
        <v>24</v>
      </c>
      <c r="Y51" s="6" t="s">
        <v>24</v>
      </c>
      <c r="Z51" s="111"/>
      <c r="AA51" s="108"/>
      <c r="AB51" s="6" t="s">
        <v>24</v>
      </c>
      <c r="AC51" s="6" t="s">
        <v>24</v>
      </c>
      <c r="AD51" s="6" t="s">
        <v>24</v>
      </c>
      <c r="AE51" s="6" t="s">
        <v>24</v>
      </c>
      <c r="AF51" s="6" t="s">
        <v>24</v>
      </c>
      <c r="AG51" s="84"/>
      <c r="AH51" s="84"/>
    </row>
    <row r="52" spans="2:34" ht="16.5">
      <c r="B52" s="80" t="s">
        <v>314</v>
      </c>
      <c r="C52" s="79" t="s">
        <v>315</v>
      </c>
      <c r="D52" s="5" t="s">
        <v>45</v>
      </c>
      <c r="E52" s="86" t="s">
        <v>24</v>
      </c>
      <c r="F52" s="108"/>
      <c r="G52" s="13" t="s">
        <v>24</v>
      </c>
      <c r="H52" s="13" t="s">
        <v>24</v>
      </c>
      <c r="I52" s="108"/>
      <c r="J52" s="13" t="s">
        <v>24</v>
      </c>
      <c r="K52" s="13" t="s">
        <v>24</v>
      </c>
      <c r="L52" s="87" t="s">
        <v>24</v>
      </c>
      <c r="M52" s="108"/>
      <c r="N52" s="6" t="s">
        <v>24</v>
      </c>
      <c r="O52" s="6" t="s">
        <v>24</v>
      </c>
      <c r="P52" s="6" t="s">
        <v>24</v>
      </c>
      <c r="Q52" s="6" t="s">
        <v>24</v>
      </c>
      <c r="R52" s="108"/>
      <c r="S52" s="111"/>
      <c r="T52" s="108"/>
      <c r="U52" s="6" t="s">
        <v>24</v>
      </c>
      <c r="V52" s="6" t="s">
        <v>24</v>
      </c>
      <c r="W52" s="6" t="s">
        <v>24</v>
      </c>
      <c r="X52" s="6" t="s">
        <v>24</v>
      </c>
      <c r="Y52" s="6" t="s">
        <v>24</v>
      </c>
      <c r="Z52" s="111"/>
      <c r="AA52" s="108"/>
      <c r="AB52" s="6" t="s">
        <v>24</v>
      </c>
      <c r="AC52" s="6" t="s">
        <v>24</v>
      </c>
      <c r="AD52" s="6" t="s">
        <v>24</v>
      </c>
      <c r="AE52" s="6" t="s">
        <v>24</v>
      </c>
      <c r="AF52" s="6" t="s">
        <v>24</v>
      </c>
      <c r="AG52" s="84"/>
      <c r="AH52" s="84"/>
    </row>
    <row r="53" spans="2:34" ht="16.5">
      <c r="B53" s="80" t="s">
        <v>316</v>
      </c>
      <c r="C53" s="79" t="s">
        <v>317</v>
      </c>
      <c r="D53" s="5" t="s">
        <v>45</v>
      </c>
      <c r="E53" s="86" t="s">
        <v>24</v>
      </c>
      <c r="F53" s="108"/>
      <c r="G53" s="13" t="s">
        <v>24</v>
      </c>
      <c r="H53" s="13" t="s">
        <v>24</v>
      </c>
      <c r="I53" s="108"/>
      <c r="J53" s="13" t="s">
        <v>24</v>
      </c>
      <c r="K53" s="13" t="s">
        <v>24</v>
      </c>
      <c r="L53" s="87" t="s">
        <v>24</v>
      </c>
      <c r="M53" s="108"/>
      <c r="N53" s="6" t="s">
        <v>24</v>
      </c>
      <c r="O53" s="6" t="s">
        <v>24</v>
      </c>
      <c r="P53" s="6" t="s">
        <v>24</v>
      </c>
      <c r="Q53" s="6" t="s">
        <v>24</v>
      </c>
      <c r="R53" s="108"/>
      <c r="S53" s="111"/>
      <c r="T53" s="108"/>
      <c r="U53" s="6" t="s">
        <v>24</v>
      </c>
      <c r="V53" s="6" t="s">
        <v>24</v>
      </c>
      <c r="W53" s="6" t="s">
        <v>24</v>
      </c>
      <c r="X53" s="6" t="s">
        <v>24</v>
      </c>
      <c r="Y53" s="6" t="s">
        <v>24</v>
      </c>
      <c r="Z53" s="111"/>
      <c r="AA53" s="108"/>
      <c r="AB53" s="6" t="s">
        <v>24</v>
      </c>
      <c r="AC53" s="6" t="s">
        <v>24</v>
      </c>
      <c r="AD53" s="6" t="s">
        <v>24</v>
      </c>
      <c r="AE53" s="6" t="s">
        <v>24</v>
      </c>
      <c r="AF53" s="6" t="s">
        <v>24</v>
      </c>
      <c r="AG53" s="84"/>
      <c r="AH53" s="84"/>
    </row>
    <row r="54" spans="2:34" ht="16.5">
      <c r="B54" s="80" t="s">
        <v>318</v>
      </c>
      <c r="C54" s="79" t="s">
        <v>319</v>
      </c>
      <c r="D54" s="5" t="s">
        <v>45</v>
      </c>
      <c r="E54" s="86" t="s">
        <v>24</v>
      </c>
      <c r="F54" s="109"/>
      <c r="G54" s="13" t="s">
        <v>24</v>
      </c>
      <c r="H54" s="13" t="s">
        <v>24</v>
      </c>
      <c r="I54" s="109"/>
      <c r="J54" s="13" t="s">
        <v>24</v>
      </c>
      <c r="K54" s="13" t="s">
        <v>24</v>
      </c>
      <c r="L54" s="87" t="s">
        <v>24</v>
      </c>
      <c r="M54" s="109"/>
      <c r="N54" s="6" t="s">
        <v>24</v>
      </c>
      <c r="O54" s="6" t="s">
        <v>24</v>
      </c>
      <c r="P54" s="6" t="s">
        <v>24</v>
      </c>
      <c r="Q54" s="6" t="s">
        <v>24</v>
      </c>
      <c r="R54" s="109"/>
      <c r="S54" s="112"/>
      <c r="T54" s="109"/>
      <c r="U54" s="6" t="s">
        <v>24</v>
      </c>
      <c r="V54" s="6" t="s">
        <v>24</v>
      </c>
      <c r="W54" s="6" t="s">
        <v>24</v>
      </c>
      <c r="X54" s="6" t="s">
        <v>24</v>
      </c>
      <c r="Y54" s="6" t="s">
        <v>24</v>
      </c>
      <c r="Z54" s="112"/>
      <c r="AA54" s="109"/>
      <c r="AB54" s="6" t="s">
        <v>24</v>
      </c>
      <c r="AC54" s="6" t="s">
        <v>24</v>
      </c>
      <c r="AD54" s="6" t="s">
        <v>24</v>
      </c>
      <c r="AE54" s="6" t="s">
        <v>24</v>
      </c>
      <c r="AF54" s="6" t="s">
        <v>24</v>
      </c>
      <c r="AG54" s="84"/>
      <c r="AH54" s="84"/>
    </row>
  </sheetData>
  <mergeCells count="19">
    <mergeCell ref="AH3:AH4"/>
    <mergeCell ref="AI3:AJ3"/>
    <mergeCell ref="AI11:AL11"/>
    <mergeCell ref="AI19:AL19"/>
    <mergeCell ref="S5:S54"/>
    <mergeCell ref="Z5:Z54"/>
    <mergeCell ref="AG3:AG4"/>
    <mergeCell ref="F5:F54"/>
    <mergeCell ref="M5:M54"/>
    <mergeCell ref="T5:T54"/>
    <mergeCell ref="AA5:AA54"/>
    <mergeCell ref="I5:I54"/>
    <mergeCell ref="R5:R54"/>
    <mergeCell ref="A1:AF1"/>
    <mergeCell ref="A2:AF2"/>
    <mergeCell ref="A3:A4"/>
    <mergeCell ref="B3:B4"/>
    <mergeCell ref="C3:C4"/>
    <mergeCell ref="D3:D4"/>
  </mergeCells>
  <phoneticPr fontId="19" type="noConversion"/>
  <conditionalFormatting sqref="U5:Z5 E3:AF4 G5:H54 J5:L54 N5:Q54 U6:Y54 AB5:AF54">
    <cfRule type="expression" dxfId="249" priority="53">
      <formula>E$4=TODAY()</formula>
    </cfRule>
    <cfRule type="expression" dxfId="248" priority="56">
      <formula>E$3="Sun"</formula>
    </cfRule>
  </conditionalFormatting>
  <conditionalFormatting sqref="U5:Z5 G5:H54 J5:L54 N5:Q54 U6:Y54 AB5:AF54">
    <cfRule type="cellIs" dxfId="247" priority="52" operator="equal">
      <formula>"L"</formula>
    </cfRule>
    <cfRule type="cellIs" dxfId="246" priority="54" operator="equal">
      <formula>"A"</formula>
    </cfRule>
    <cfRule type="cellIs" dxfId="245" priority="55" operator="equal">
      <formula>"P"</formula>
    </cfRule>
  </conditionalFormatting>
  <conditionalFormatting sqref="AG3:AH3 AG5:AH40">
    <cfRule type="expression" dxfId="244" priority="57">
      <formula>#REF!="Sun"</formula>
    </cfRule>
  </conditionalFormatting>
  <conditionalFormatting sqref="AI5:AI9">
    <cfRule type="expression" dxfId="243" priority="49">
      <formula>AI$3="Sun"</formula>
    </cfRule>
  </conditionalFormatting>
  <conditionalFormatting sqref="AI12:AI15">
    <cfRule type="expression" dxfId="242" priority="47">
      <formula>AI$3="Sun"</formula>
    </cfRule>
  </conditionalFormatting>
  <conditionalFormatting sqref="AI20:AI23">
    <cfRule type="expression" dxfId="241" priority="46">
      <formula>AI$3="Sun"</formula>
    </cfRule>
  </conditionalFormatting>
  <conditionalFormatting sqref="AI4:AJ4">
    <cfRule type="expression" dxfId="240" priority="50">
      <formula>AI$3="Sun"</formula>
    </cfRule>
  </conditionalFormatting>
  <conditionalFormatting sqref="AJ12:AL12 AJ20:AL20">
    <cfRule type="expression" dxfId="239" priority="51">
      <formula>AJ$3="Sun"</formula>
    </cfRule>
  </conditionalFormatting>
  <conditionalFormatting sqref="AL21">
    <cfRule type="expression" dxfId="238" priority="48">
      <formula>AL$3="Sun"</formula>
    </cfRule>
  </conditionalFormatting>
  <conditionalFormatting sqref="S5">
    <cfRule type="expression" dxfId="237" priority="42">
      <formula>S$4=TODAY()</formula>
    </cfRule>
    <cfRule type="expression" dxfId="236" priority="45">
      <formula>S$3="Sun"</formula>
    </cfRule>
  </conditionalFormatting>
  <conditionalFormatting sqref="S5">
    <cfRule type="cellIs" dxfId="235" priority="41" operator="equal">
      <formula>"L"</formula>
    </cfRule>
    <cfRule type="cellIs" dxfId="234" priority="43" operator="equal">
      <formula>"A"</formula>
    </cfRule>
    <cfRule type="cellIs" dxfId="233" priority="44" operator="equal">
      <formula>"P"</formula>
    </cfRule>
  </conditionalFormatting>
  <conditionalFormatting sqref="E5:E54">
    <cfRule type="expression" dxfId="232" priority="37">
      <formula>E$4=TODAY()</formula>
    </cfRule>
    <cfRule type="expression" dxfId="231" priority="40">
      <formula>E$3="Sun"</formula>
    </cfRule>
  </conditionalFormatting>
  <conditionalFormatting sqref="E5:E54">
    <cfRule type="cellIs" dxfId="230" priority="36" operator="equal">
      <formula>"L"</formula>
    </cfRule>
    <cfRule type="cellIs" dxfId="229" priority="38" operator="equal">
      <formula>"A"</formula>
    </cfRule>
    <cfRule type="cellIs" dxfId="228" priority="39" operator="equal">
      <formula>"P"</formula>
    </cfRule>
  </conditionalFormatting>
  <conditionalFormatting sqref="F5">
    <cfRule type="expression" dxfId="227" priority="27">
      <formula>F$4=TODAY()</formula>
    </cfRule>
    <cfRule type="expression" dxfId="226" priority="30">
      <formula>F$3="Sun"</formula>
    </cfRule>
  </conditionalFormatting>
  <conditionalFormatting sqref="F5">
    <cfRule type="cellIs" dxfId="225" priority="26" operator="equal">
      <formula>"L"</formula>
    </cfRule>
    <cfRule type="cellIs" dxfId="224" priority="28" operator="equal">
      <formula>"A"</formula>
    </cfRule>
    <cfRule type="cellIs" dxfId="223" priority="29" operator="equal">
      <formula>"P"</formula>
    </cfRule>
  </conditionalFormatting>
  <conditionalFormatting sqref="M5">
    <cfRule type="expression" dxfId="222" priority="22">
      <formula>M$4=TODAY()</formula>
    </cfRule>
    <cfRule type="expression" dxfId="221" priority="25">
      <formula>M$3="Sun"</formula>
    </cfRule>
  </conditionalFormatting>
  <conditionalFormatting sqref="M5">
    <cfRule type="cellIs" dxfId="220" priority="21" operator="equal">
      <formula>"L"</formula>
    </cfRule>
    <cfRule type="cellIs" dxfId="219" priority="23" operator="equal">
      <formula>"A"</formula>
    </cfRule>
    <cfRule type="cellIs" dxfId="218" priority="24" operator="equal">
      <formula>"P"</formula>
    </cfRule>
  </conditionalFormatting>
  <conditionalFormatting sqref="T5">
    <cfRule type="expression" dxfId="217" priority="17">
      <formula>T$4=TODAY()</formula>
    </cfRule>
    <cfRule type="expression" dxfId="216" priority="20">
      <formula>T$3="Sun"</formula>
    </cfRule>
  </conditionalFormatting>
  <conditionalFormatting sqref="T5">
    <cfRule type="cellIs" dxfId="215" priority="16" operator="equal">
      <formula>"L"</formula>
    </cfRule>
    <cfRule type="cellIs" dxfId="214" priority="18" operator="equal">
      <formula>"A"</formula>
    </cfRule>
    <cfRule type="cellIs" dxfId="213" priority="19" operator="equal">
      <formula>"P"</formula>
    </cfRule>
  </conditionalFormatting>
  <conditionalFormatting sqref="AA5">
    <cfRule type="expression" dxfId="212" priority="12">
      <formula>AA$4=TODAY()</formula>
    </cfRule>
    <cfRule type="expression" dxfId="211" priority="15">
      <formula>AA$3="Sun"</formula>
    </cfRule>
  </conditionalFormatting>
  <conditionalFormatting sqref="AA5">
    <cfRule type="cellIs" dxfId="210" priority="11" operator="equal">
      <formula>"L"</formula>
    </cfRule>
    <cfRule type="cellIs" dxfId="209" priority="13" operator="equal">
      <formula>"A"</formula>
    </cfRule>
    <cfRule type="cellIs" dxfId="208" priority="14" operator="equal">
      <formula>"P"</formula>
    </cfRule>
  </conditionalFormatting>
  <conditionalFormatting sqref="I5">
    <cfRule type="expression" dxfId="207" priority="7">
      <formula>I$4=TODAY()</formula>
    </cfRule>
    <cfRule type="expression" dxfId="206" priority="10">
      <formula>I$3="Sun"</formula>
    </cfRule>
  </conditionalFormatting>
  <conditionalFormatting sqref="I5">
    <cfRule type="cellIs" dxfId="205" priority="6" operator="equal">
      <formula>"L"</formula>
    </cfRule>
    <cfRule type="cellIs" dxfId="204" priority="8" operator="equal">
      <formula>"A"</formula>
    </cfRule>
    <cfRule type="cellIs" dxfId="203" priority="9" operator="equal">
      <formula>"P"</formula>
    </cfRule>
  </conditionalFormatting>
  <conditionalFormatting sqref="R5">
    <cfRule type="expression" dxfId="202" priority="2">
      <formula>R$4=TODAY()</formula>
    </cfRule>
    <cfRule type="expression" dxfId="201" priority="5">
      <formula>R$3="Sun"</formula>
    </cfRule>
  </conditionalFormatting>
  <conditionalFormatting sqref="R5">
    <cfRule type="cellIs" dxfId="200" priority="1" operator="equal">
      <formula>"L"</formula>
    </cfRule>
    <cfRule type="cellIs" dxfId="199" priority="3" operator="equal">
      <formula>"A"</formula>
    </cfRule>
    <cfRule type="cellIs" dxfId="198" priority="4" operator="equal">
      <formula>"P"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B86A-1E1D-4B1A-A428-01532ACDA8AC}">
  <dimension ref="A1:AL51"/>
  <sheetViews>
    <sheetView topLeftCell="C2" zoomScaleNormal="100" workbookViewId="0">
      <selection activeCell="O17" sqref="O17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99" t="s">
        <v>125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1"/>
      <c r="AH1" s="11"/>
    </row>
    <row r="2" spans="1:38" ht="17.25">
      <c r="A2" s="100" t="s">
        <v>404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2"/>
      <c r="AH2" s="12"/>
      <c r="AI2" s="12"/>
    </row>
    <row r="3" spans="1:38" ht="15.75">
      <c r="A3" s="101" t="s">
        <v>0</v>
      </c>
      <c r="B3" s="101" t="s">
        <v>1</v>
      </c>
      <c r="C3" s="101" t="s">
        <v>2</v>
      </c>
      <c r="D3" s="101" t="s">
        <v>3</v>
      </c>
      <c r="E3" s="2" t="s">
        <v>403</v>
      </c>
      <c r="F3" s="2" t="s">
        <v>397</v>
      </c>
      <c r="G3" s="2" t="s">
        <v>398</v>
      </c>
      <c r="H3" s="2" t="s">
        <v>399</v>
      </c>
      <c r="I3" s="114" t="s">
        <v>400</v>
      </c>
      <c r="J3" s="2" t="s">
        <v>401</v>
      </c>
      <c r="K3" s="2" t="s">
        <v>402</v>
      </c>
      <c r="L3" s="2" t="s">
        <v>403</v>
      </c>
      <c r="M3" s="113" t="s">
        <v>397</v>
      </c>
      <c r="N3" s="2" t="s">
        <v>398</v>
      </c>
      <c r="O3" s="2" t="s">
        <v>399</v>
      </c>
      <c r="P3" s="2" t="s">
        <v>400</v>
      </c>
      <c r="Q3" s="2" t="s">
        <v>401</v>
      </c>
      <c r="R3" s="114" t="s">
        <v>402</v>
      </c>
      <c r="S3" s="2" t="s">
        <v>403</v>
      </c>
      <c r="T3" s="113" t="s">
        <v>397</v>
      </c>
      <c r="U3" s="2" t="s">
        <v>398</v>
      </c>
      <c r="V3" s="2" t="s">
        <v>399</v>
      </c>
      <c r="W3" s="2" t="s">
        <v>400</v>
      </c>
      <c r="X3" s="2" t="s">
        <v>401</v>
      </c>
      <c r="Y3" s="2" t="s">
        <v>402</v>
      </c>
      <c r="Z3" s="2" t="s">
        <v>403</v>
      </c>
      <c r="AA3" s="2" t="s">
        <v>397</v>
      </c>
      <c r="AB3" s="2" t="s">
        <v>398</v>
      </c>
      <c r="AC3" s="2" t="s">
        <v>399</v>
      </c>
      <c r="AD3" s="2" t="s">
        <v>400</v>
      </c>
      <c r="AE3" s="2" t="s">
        <v>401</v>
      </c>
      <c r="AF3" s="2" t="s">
        <v>402</v>
      </c>
      <c r="AG3" s="103" t="s">
        <v>4</v>
      </c>
      <c r="AH3" s="103" t="s">
        <v>5</v>
      </c>
      <c r="AI3" s="104" t="s">
        <v>28</v>
      </c>
      <c r="AJ3" s="105"/>
      <c r="AK3" s="3"/>
      <c r="AL3" s="3"/>
    </row>
    <row r="4" spans="1:38" ht="36">
      <c r="A4" s="101"/>
      <c r="B4" s="101"/>
      <c r="C4" s="101"/>
      <c r="D4" s="101"/>
      <c r="E4" s="10">
        <v>45323</v>
      </c>
      <c r="F4" s="10">
        <v>45324</v>
      </c>
      <c r="G4" s="10">
        <v>45325</v>
      </c>
      <c r="H4" s="10">
        <v>45326</v>
      </c>
      <c r="I4" s="115">
        <v>45327</v>
      </c>
      <c r="J4" s="10">
        <v>45328</v>
      </c>
      <c r="K4" s="10">
        <v>45329</v>
      </c>
      <c r="L4" s="10">
        <v>45330</v>
      </c>
      <c r="M4" s="88">
        <v>45331</v>
      </c>
      <c r="N4" s="10">
        <v>45332</v>
      </c>
      <c r="O4" s="10">
        <v>45333</v>
      </c>
      <c r="P4" s="10">
        <v>45334</v>
      </c>
      <c r="Q4" s="10">
        <v>45335</v>
      </c>
      <c r="R4" s="115">
        <v>45336</v>
      </c>
      <c r="S4" s="10">
        <v>45337</v>
      </c>
      <c r="T4" s="88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103"/>
      <c r="AH4" s="103"/>
      <c r="AI4" s="4" t="s">
        <v>29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0" t="s">
        <v>126</v>
      </c>
      <c r="C5" s="80" t="s">
        <v>127</v>
      </c>
      <c r="D5" s="5" t="s">
        <v>50</v>
      </c>
      <c r="E5" s="91" t="s">
        <v>414</v>
      </c>
      <c r="F5" s="107" t="s">
        <v>27</v>
      </c>
      <c r="G5" s="13" t="s">
        <v>24</v>
      </c>
      <c r="H5" s="13" t="s">
        <v>24</v>
      </c>
      <c r="I5" s="107" t="s">
        <v>419</v>
      </c>
      <c r="J5" s="13" t="s">
        <v>24</v>
      </c>
      <c r="K5" s="13" t="s">
        <v>24</v>
      </c>
      <c r="L5" s="90" t="s">
        <v>24</v>
      </c>
      <c r="M5" s="107" t="s">
        <v>27</v>
      </c>
      <c r="N5" s="6" t="s">
        <v>24</v>
      </c>
      <c r="O5" s="6" t="s">
        <v>24</v>
      </c>
      <c r="P5" s="6" t="s">
        <v>24</v>
      </c>
      <c r="Q5" s="6" t="s">
        <v>24</v>
      </c>
      <c r="R5" s="107" t="s">
        <v>420</v>
      </c>
      <c r="S5" s="91" t="s">
        <v>24</v>
      </c>
      <c r="T5" s="107" t="s">
        <v>27</v>
      </c>
      <c r="U5" s="6" t="s">
        <v>24</v>
      </c>
      <c r="V5" s="6" t="s">
        <v>24</v>
      </c>
      <c r="W5" s="6" t="s">
        <v>24</v>
      </c>
      <c r="X5" s="6" t="s">
        <v>24</v>
      </c>
      <c r="Y5" s="6" t="s">
        <v>24</v>
      </c>
      <c r="Z5" s="91" t="s">
        <v>24</v>
      </c>
      <c r="AA5" s="107" t="s">
        <v>27</v>
      </c>
      <c r="AB5" s="6" t="s">
        <v>24</v>
      </c>
      <c r="AC5" s="6" t="s">
        <v>24</v>
      </c>
      <c r="AD5" s="6" t="s">
        <v>24</v>
      </c>
      <c r="AE5" s="6" t="s">
        <v>24</v>
      </c>
      <c r="AF5" s="6" t="s">
        <v>24</v>
      </c>
      <c r="AG5" s="4">
        <f t="shared" ref="AG5:AG40" si="0">COUNTIF(E5:AF5,"P")</f>
        <v>22</v>
      </c>
      <c r="AH5" s="4">
        <f t="shared" ref="AH5:AH40" si="1">COUNTIF(E5:AF5,"A")</f>
        <v>0</v>
      </c>
      <c r="AI5" s="82" t="s">
        <v>7</v>
      </c>
      <c r="AJ5" s="7">
        <v>24</v>
      </c>
      <c r="AK5" s="8"/>
      <c r="AL5" s="3"/>
    </row>
    <row r="6" spans="1:38" ht="16.5">
      <c r="A6" s="7">
        <v>2</v>
      </c>
      <c r="B6" s="80" t="s">
        <v>128</v>
      </c>
      <c r="C6" s="80" t="s">
        <v>129</v>
      </c>
      <c r="D6" s="5" t="s">
        <v>50</v>
      </c>
      <c r="E6" s="91" t="s">
        <v>414</v>
      </c>
      <c r="F6" s="108"/>
      <c r="G6" s="13" t="s">
        <v>24</v>
      </c>
      <c r="H6" s="13" t="s">
        <v>24</v>
      </c>
      <c r="I6" s="108"/>
      <c r="J6" s="13" t="s">
        <v>24</v>
      </c>
      <c r="K6" s="13" t="s">
        <v>24</v>
      </c>
      <c r="L6" s="90" t="s">
        <v>24</v>
      </c>
      <c r="M6" s="108"/>
      <c r="N6" s="6" t="s">
        <v>24</v>
      </c>
      <c r="O6" s="6" t="s">
        <v>24</v>
      </c>
      <c r="P6" s="6" t="s">
        <v>24</v>
      </c>
      <c r="Q6" s="6" t="s">
        <v>24</v>
      </c>
      <c r="R6" s="108"/>
      <c r="S6" s="91" t="s">
        <v>24</v>
      </c>
      <c r="T6" s="108"/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91" t="s">
        <v>24</v>
      </c>
      <c r="AA6" s="108"/>
      <c r="AB6" s="6" t="s">
        <v>24</v>
      </c>
      <c r="AC6" s="6" t="s">
        <v>24</v>
      </c>
      <c r="AD6" s="6" t="s">
        <v>24</v>
      </c>
      <c r="AE6" s="6" t="s">
        <v>24</v>
      </c>
      <c r="AF6" s="6" t="s">
        <v>24</v>
      </c>
      <c r="AG6" s="4">
        <f t="shared" si="0"/>
        <v>22</v>
      </c>
      <c r="AH6" s="4">
        <f t="shared" si="1"/>
        <v>0</v>
      </c>
      <c r="AI6" s="82" t="s">
        <v>8</v>
      </c>
      <c r="AJ6" s="7">
        <v>4</v>
      </c>
      <c r="AK6" s="3"/>
      <c r="AL6" s="3"/>
    </row>
    <row r="7" spans="1:38" ht="16.5">
      <c r="A7" s="7">
        <v>3</v>
      </c>
      <c r="B7" s="80" t="s">
        <v>130</v>
      </c>
      <c r="C7" s="80" t="s">
        <v>121</v>
      </c>
      <c r="D7" s="5" t="s">
        <v>50</v>
      </c>
      <c r="E7" s="91" t="s">
        <v>414</v>
      </c>
      <c r="F7" s="108"/>
      <c r="G7" s="13" t="s">
        <v>24</v>
      </c>
      <c r="H7" s="13" t="s">
        <v>24</v>
      </c>
      <c r="I7" s="108"/>
      <c r="J7" s="13" t="s">
        <v>24</v>
      </c>
      <c r="K7" s="13" t="s">
        <v>24</v>
      </c>
      <c r="L7" s="90" t="s">
        <v>24</v>
      </c>
      <c r="M7" s="108"/>
      <c r="N7" s="6" t="s">
        <v>24</v>
      </c>
      <c r="O7" s="6" t="s">
        <v>24</v>
      </c>
      <c r="P7" s="6" t="s">
        <v>24</v>
      </c>
      <c r="Q7" s="6" t="s">
        <v>24</v>
      </c>
      <c r="R7" s="108"/>
      <c r="S7" s="91" t="s">
        <v>24</v>
      </c>
      <c r="T7" s="108"/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91" t="s">
        <v>24</v>
      </c>
      <c r="AA7" s="108"/>
      <c r="AB7" s="6" t="s">
        <v>24</v>
      </c>
      <c r="AC7" s="6" t="s">
        <v>24</v>
      </c>
      <c r="AD7" s="6" t="s">
        <v>24</v>
      </c>
      <c r="AE7" s="6" t="s">
        <v>24</v>
      </c>
      <c r="AF7" s="6" t="s">
        <v>24</v>
      </c>
      <c r="AG7" s="4">
        <f t="shared" si="0"/>
        <v>22</v>
      </c>
      <c r="AH7" s="4">
        <f t="shared" si="1"/>
        <v>0</v>
      </c>
      <c r="AI7" s="82" t="s">
        <v>32</v>
      </c>
      <c r="AJ7" s="7">
        <v>1</v>
      </c>
      <c r="AK7" s="3"/>
      <c r="AL7" s="3"/>
    </row>
    <row r="8" spans="1:38" ht="16.5">
      <c r="A8" s="7">
        <v>4</v>
      </c>
      <c r="B8" s="80" t="s">
        <v>131</v>
      </c>
      <c r="C8" s="80" t="s">
        <v>132</v>
      </c>
      <c r="D8" s="5" t="s">
        <v>50</v>
      </c>
      <c r="E8" s="91" t="s">
        <v>414</v>
      </c>
      <c r="F8" s="108"/>
      <c r="G8" s="13" t="s">
        <v>24</v>
      </c>
      <c r="H8" s="13" t="s">
        <v>24</v>
      </c>
      <c r="I8" s="108"/>
      <c r="J8" s="13" t="s">
        <v>24</v>
      </c>
      <c r="K8" s="13" t="s">
        <v>24</v>
      </c>
      <c r="L8" s="90" t="s">
        <v>24</v>
      </c>
      <c r="M8" s="108"/>
      <c r="N8" s="6" t="s">
        <v>24</v>
      </c>
      <c r="O8" s="6" t="s">
        <v>24</v>
      </c>
      <c r="P8" s="6" t="s">
        <v>24</v>
      </c>
      <c r="Q8" s="6" t="s">
        <v>24</v>
      </c>
      <c r="R8" s="108"/>
      <c r="S8" s="91" t="s">
        <v>24</v>
      </c>
      <c r="T8" s="108"/>
      <c r="U8" s="6" t="s">
        <v>24</v>
      </c>
      <c r="V8" s="6" t="s">
        <v>24</v>
      </c>
      <c r="W8" s="6" t="s">
        <v>24</v>
      </c>
      <c r="X8" s="6" t="s">
        <v>24</v>
      </c>
      <c r="Y8" s="6" t="s">
        <v>24</v>
      </c>
      <c r="Z8" s="91" t="s">
        <v>24</v>
      </c>
      <c r="AA8" s="108"/>
      <c r="AB8" s="6" t="s">
        <v>24</v>
      </c>
      <c r="AC8" s="6" t="s">
        <v>24</v>
      </c>
      <c r="AD8" s="6" t="s">
        <v>24</v>
      </c>
      <c r="AE8" s="6" t="s">
        <v>24</v>
      </c>
      <c r="AF8" s="6" t="s">
        <v>24</v>
      </c>
      <c r="AG8" s="4">
        <f t="shared" si="0"/>
        <v>22</v>
      </c>
      <c r="AH8" s="4">
        <f t="shared" si="1"/>
        <v>0</v>
      </c>
      <c r="AI8" s="82" t="s">
        <v>30</v>
      </c>
      <c r="AJ8" s="7">
        <v>1</v>
      </c>
      <c r="AK8"/>
      <c r="AL8"/>
    </row>
    <row r="9" spans="1:38" ht="16.5">
      <c r="A9" s="7">
        <v>5</v>
      </c>
      <c r="B9" s="80" t="s">
        <v>133</v>
      </c>
      <c r="C9" s="80" t="s">
        <v>134</v>
      </c>
      <c r="D9" s="5" t="s">
        <v>50</v>
      </c>
      <c r="E9" s="91" t="s">
        <v>414</v>
      </c>
      <c r="F9" s="108"/>
      <c r="G9" s="13" t="s">
        <v>24</v>
      </c>
      <c r="H9" s="13" t="s">
        <v>24</v>
      </c>
      <c r="I9" s="108"/>
      <c r="J9" s="13" t="s">
        <v>24</v>
      </c>
      <c r="K9" s="13" t="s">
        <v>24</v>
      </c>
      <c r="L9" s="90" t="s">
        <v>24</v>
      </c>
      <c r="M9" s="108"/>
      <c r="N9" s="6" t="s">
        <v>24</v>
      </c>
      <c r="O9" s="6" t="s">
        <v>24</v>
      </c>
      <c r="P9" s="6" t="s">
        <v>24</v>
      </c>
      <c r="Q9" s="6" t="s">
        <v>24</v>
      </c>
      <c r="R9" s="108"/>
      <c r="S9" s="91" t="s">
        <v>24</v>
      </c>
      <c r="T9" s="108"/>
      <c r="U9" s="6" t="s">
        <v>24</v>
      </c>
      <c r="V9" s="6" t="s">
        <v>24</v>
      </c>
      <c r="W9" s="6" t="s">
        <v>24</v>
      </c>
      <c r="X9" s="6" t="s">
        <v>24</v>
      </c>
      <c r="Y9" s="6" t="s">
        <v>24</v>
      </c>
      <c r="Z9" s="91" t="s">
        <v>24</v>
      </c>
      <c r="AA9" s="108"/>
      <c r="AB9" s="6" t="s">
        <v>24</v>
      </c>
      <c r="AC9" s="6" t="s">
        <v>24</v>
      </c>
      <c r="AD9" s="6" t="s">
        <v>24</v>
      </c>
      <c r="AE9" s="6" t="s">
        <v>24</v>
      </c>
      <c r="AF9" s="6" t="s">
        <v>24</v>
      </c>
      <c r="AG9" s="4">
        <f t="shared" si="0"/>
        <v>22</v>
      </c>
      <c r="AH9" s="4">
        <f t="shared" si="1"/>
        <v>0</v>
      </c>
      <c r="AI9" s="82"/>
      <c r="AJ9" s="7"/>
    </row>
    <row r="10" spans="1:38" ht="16.5">
      <c r="A10" s="7">
        <v>6</v>
      </c>
      <c r="B10" s="80" t="s">
        <v>135</v>
      </c>
      <c r="C10" s="80" t="s">
        <v>136</v>
      </c>
      <c r="D10" s="5" t="s">
        <v>50</v>
      </c>
      <c r="E10" s="91" t="s">
        <v>414</v>
      </c>
      <c r="F10" s="108"/>
      <c r="G10" s="13" t="s">
        <v>24</v>
      </c>
      <c r="H10" s="13" t="s">
        <v>24</v>
      </c>
      <c r="I10" s="108"/>
      <c r="J10" s="13" t="s">
        <v>24</v>
      </c>
      <c r="K10" s="13" t="s">
        <v>24</v>
      </c>
      <c r="L10" s="90" t="s">
        <v>24</v>
      </c>
      <c r="M10" s="108"/>
      <c r="N10" s="6" t="s">
        <v>24</v>
      </c>
      <c r="O10" s="6" t="s">
        <v>24</v>
      </c>
      <c r="P10" s="6" t="s">
        <v>24</v>
      </c>
      <c r="Q10" s="6" t="s">
        <v>24</v>
      </c>
      <c r="R10" s="108"/>
      <c r="S10" s="91" t="s">
        <v>24</v>
      </c>
      <c r="T10" s="108"/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91" t="s">
        <v>24</v>
      </c>
      <c r="AA10" s="108"/>
      <c r="AB10" s="6" t="s">
        <v>24</v>
      </c>
      <c r="AC10" s="6" t="s">
        <v>24</v>
      </c>
      <c r="AD10" s="6" t="s">
        <v>24</v>
      </c>
      <c r="AE10" s="6" t="s">
        <v>24</v>
      </c>
      <c r="AF10" s="6" t="s">
        <v>24</v>
      </c>
      <c r="AG10" s="4">
        <f t="shared" si="0"/>
        <v>22</v>
      </c>
      <c r="AH10" s="4">
        <f t="shared" si="1"/>
        <v>0</v>
      </c>
    </row>
    <row r="11" spans="1:38" ht="16.5">
      <c r="A11" s="7">
        <v>7</v>
      </c>
      <c r="B11" s="80" t="s">
        <v>137</v>
      </c>
      <c r="C11" s="80" t="s">
        <v>105</v>
      </c>
      <c r="D11" s="5" t="s">
        <v>50</v>
      </c>
      <c r="E11" s="91" t="s">
        <v>414</v>
      </c>
      <c r="F11" s="108"/>
      <c r="G11" s="13" t="s">
        <v>24</v>
      </c>
      <c r="H11" s="13" t="s">
        <v>24</v>
      </c>
      <c r="I11" s="108"/>
      <c r="J11" s="13" t="s">
        <v>24</v>
      </c>
      <c r="K11" s="13" t="s">
        <v>24</v>
      </c>
      <c r="L11" s="90" t="s">
        <v>24</v>
      </c>
      <c r="M11" s="108"/>
      <c r="N11" s="6" t="s">
        <v>24</v>
      </c>
      <c r="O11" s="6" t="s">
        <v>24</v>
      </c>
      <c r="P11" s="6" t="s">
        <v>24</v>
      </c>
      <c r="Q11" s="6" t="s">
        <v>24</v>
      </c>
      <c r="R11" s="108"/>
      <c r="S11" s="91" t="s">
        <v>24</v>
      </c>
      <c r="T11" s="108"/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91" t="s">
        <v>24</v>
      </c>
      <c r="AA11" s="108"/>
      <c r="AB11" s="6" t="s">
        <v>24</v>
      </c>
      <c r="AC11" s="6" t="s">
        <v>24</v>
      </c>
      <c r="AD11" s="6" t="s">
        <v>24</v>
      </c>
      <c r="AE11" s="6" t="s">
        <v>24</v>
      </c>
      <c r="AF11" s="6" t="s">
        <v>24</v>
      </c>
      <c r="AG11" s="4">
        <f t="shared" si="0"/>
        <v>22</v>
      </c>
      <c r="AH11" s="4">
        <f t="shared" si="1"/>
        <v>0</v>
      </c>
      <c r="AI11" s="105" t="s">
        <v>9</v>
      </c>
      <c r="AJ11" s="105"/>
      <c r="AK11" s="105"/>
      <c r="AL11" s="106"/>
    </row>
    <row r="12" spans="1:38" ht="16.5">
      <c r="A12" s="7">
        <v>8</v>
      </c>
      <c r="B12" s="80" t="s">
        <v>138</v>
      </c>
      <c r="C12" s="80" t="s">
        <v>139</v>
      </c>
      <c r="D12" s="5" t="s">
        <v>50</v>
      </c>
      <c r="E12" s="91" t="s">
        <v>414</v>
      </c>
      <c r="F12" s="108"/>
      <c r="G12" s="13" t="s">
        <v>24</v>
      </c>
      <c r="H12" s="13" t="s">
        <v>24</v>
      </c>
      <c r="I12" s="108"/>
      <c r="J12" s="13" t="s">
        <v>24</v>
      </c>
      <c r="K12" s="13" t="s">
        <v>24</v>
      </c>
      <c r="L12" s="90" t="s">
        <v>24</v>
      </c>
      <c r="M12" s="108"/>
      <c r="N12" s="6" t="s">
        <v>24</v>
      </c>
      <c r="O12" s="6" t="s">
        <v>24</v>
      </c>
      <c r="P12" s="6" t="s">
        <v>24</v>
      </c>
      <c r="Q12" s="6" t="s">
        <v>24</v>
      </c>
      <c r="R12" s="108"/>
      <c r="S12" s="91" t="s">
        <v>24</v>
      </c>
      <c r="T12" s="108"/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91" t="s">
        <v>24</v>
      </c>
      <c r="AA12" s="108"/>
      <c r="AB12" s="6" t="s">
        <v>24</v>
      </c>
      <c r="AC12" s="6" t="s">
        <v>24</v>
      </c>
      <c r="AD12" s="6" t="s">
        <v>24</v>
      </c>
      <c r="AE12" s="6" t="s">
        <v>24</v>
      </c>
      <c r="AF12" s="6" t="s">
        <v>24</v>
      </c>
      <c r="AG12" s="4">
        <f t="shared" si="0"/>
        <v>22</v>
      </c>
      <c r="AH12" s="4">
        <f t="shared" si="1"/>
        <v>0</v>
      </c>
      <c r="AI12" s="82" t="s">
        <v>10</v>
      </c>
      <c r="AJ12" s="4" t="s">
        <v>11</v>
      </c>
      <c r="AK12" s="4" t="s">
        <v>12</v>
      </c>
      <c r="AL12" s="4" t="s">
        <v>13</v>
      </c>
    </row>
    <row r="13" spans="1:38" ht="16.5">
      <c r="A13" s="7">
        <v>9</v>
      </c>
      <c r="B13" s="80" t="s">
        <v>140</v>
      </c>
      <c r="C13" s="80" t="s">
        <v>141</v>
      </c>
      <c r="D13" s="5" t="s">
        <v>50</v>
      </c>
      <c r="E13" s="91" t="s">
        <v>414</v>
      </c>
      <c r="F13" s="108"/>
      <c r="G13" s="13" t="s">
        <v>24</v>
      </c>
      <c r="H13" s="13" t="s">
        <v>24</v>
      </c>
      <c r="I13" s="108"/>
      <c r="J13" s="13" t="s">
        <v>24</v>
      </c>
      <c r="K13" s="13" t="s">
        <v>24</v>
      </c>
      <c r="L13" s="90" t="s">
        <v>24</v>
      </c>
      <c r="M13" s="108"/>
      <c r="N13" s="6" t="s">
        <v>24</v>
      </c>
      <c r="O13" s="6" t="s">
        <v>24</v>
      </c>
      <c r="P13" s="6" t="s">
        <v>24</v>
      </c>
      <c r="Q13" s="6" t="s">
        <v>24</v>
      </c>
      <c r="R13" s="108"/>
      <c r="S13" s="91" t="s">
        <v>24</v>
      </c>
      <c r="T13" s="108"/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91" t="s">
        <v>24</v>
      </c>
      <c r="AA13" s="108"/>
      <c r="AB13" s="6" t="s">
        <v>24</v>
      </c>
      <c r="AC13" s="6" t="s">
        <v>24</v>
      </c>
      <c r="AD13" s="6" t="s">
        <v>24</v>
      </c>
      <c r="AE13" s="6" t="s">
        <v>24</v>
      </c>
      <c r="AF13" s="6" t="s">
        <v>24</v>
      </c>
      <c r="AG13" s="4">
        <f t="shared" si="0"/>
        <v>22</v>
      </c>
      <c r="AH13" s="4">
        <f t="shared" si="1"/>
        <v>0</v>
      </c>
      <c r="AI13" s="82" t="s">
        <v>14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142</v>
      </c>
      <c r="C14" s="80" t="s">
        <v>143</v>
      </c>
      <c r="D14" s="5" t="s">
        <v>50</v>
      </c>
      <c r="E14" s="91" t="s">
        <v>414</v>
      </c>
      <c r="F14" s="108"/>
      <c r="G14" s="13" t="s">
        <v>24</v>
      </c>
      <c r="H14" s="13" t="s">
        <v>24</v>
      </c>
      <c r="I14" s="108"/>
      <c r="J14" s="13" t="s">
        <v>24</v>
      </c>
      <c r="K14" s="13" t="s">
        <v>24</v>
      </c>
      <c r="L14" s="90" t="s">
        <v>24</v>
      </c>
      <c r="M14" s="108"/>
      <c r="N14" s="6" t="s">
        <v>24</v>
      </c>
      <c r="O14" s="6" t="s">
        <v>24</v>
      </c>
      <c r="P14" s="6" t="s">
        <v>24</v>
      </c>
      <c r="Q14" s="6" t="s">
        <v>24</v>
      </c>
      <c r="R14" s="108"/>
      <c r="S14" s="91" t="s">
        <v>24</v>
      </c>
      <c r="T14" s="108"/>
      <c r="U14" s="6" t="s">
        <v>24</v>
      </c>
      <c r="V14" s="6" t="s">
        <v>24</v>
      </c>
      <c r="W14" s="6" t="s">
        <v>24</v>
      </c>
      <c r="X14" s="6" t="s">
        <v>24</v>
      </c>
      <c r="Y14" s="6" t="s">
        <v>24</v>
      </c>
      <c r="Z14" s="91" t="s">
        <v>24</v>
      </c>
      <c r="AA14" s="108"/>
      <c r="AB14" s="6" t="s">
        <v>24</v>
      </c>
      <c r="AC14" s="6" t="s">
        <v>24</v>
      </c>
      <c r="AD14" s="6" t="s">
        <v>24</v>
      </c>
      <c r="AE14" s="6" t="s">
        <v>24</v>
      </c>
      <c r="AF14" s="6" t="s">
        <v>24</v>
      </c>
      <c r="AG14" s="4">
        <f t="shared" si="0"/>
        <v>22</v>
      </c>
      <c r="AH14" s="4">
        <f t="shared" si="1"/>
        <v>0</v>
      </c>
      <c r="AI14" s="82" t="s">
        <v>15</v>
      </c>
      <c r="AJ14" s="7" t="e">
        <f>SUM(AG6,AG9,AG11,AG13,AG16,AG21,AG22,AG23,AG24,AG25,AG26,AG27,AG32,AG34,AG36,AG40,#REF!,#REF!,#REF!,#REF!,#REF!,#REF!,#REF!,#REF!,#REF!,#REF!,#REF!)</f>
        <v>#REF!</v>
      </c>
      <c r="AK14" s="7" t="e">
        <f>SUM(AG5,AG7,AG8,AG10,AG12,AG14,AG15,AG17,AG18,AG19,AG20,AG28,AG29,AG30,AG31,AG33,AG35,AG37,AG38,AG39,#REF!,#REF!,#REF!,#REF!,#REF!,#REF!,#REF!)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144</v>
      </c>
      <c r="C15" s="80" t="s">
        <v>145</v>
      </c>
      <c r="D15" s="5" t="s">
        <v>50</v>
      </c>
      <c r="E15" s="91" t="s">
        <v>414</v>
      </c>
      <c r="F15" s="108"/>
      <c r="G15" s="13" t="s">
        <v>24</v>
      </c>
      <c r="H15" s="13" t="s">
        <v>24</v>
      </c>
      <c r="I15" s="108"/>
      <c r="J15" s="13" t="s">
        <v>24</v>
      </c>
      <c r="K15" s="13" t="s">
        <v>24</v>
      </c>
      <c r="L15" s="90" t="s">
        <v>24</v>
      </c>
      <c r="M15" s="108"/>
      <c r="N15" s="6" t="s">
        <v>24</v>
      </c>
      <c r="O15" s="6" t="s">
        <v>24</v>
      </c>
      <c r="P15" s="6" t="s">
        <v>24</v>
      </c>
      <c r="Q15" s="6" t="s">
        <v>24</v>
      </c>
      <c r="R15" s="108"/>
      <c r="S15" s="91" t="s">
        <v>24</v>
      </c>
      <c r="T15" s="108"/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91" t="s">
        <v>24</v>
      </c>
      <c r="AA15" s="108"/>
      <c r="AB15" s="6" t="s">
        <v>24</v>
      </c>
      <c r="AC15" s="6" t="s">
        <v>24</v>
      </c>
      <c r="AD15" s="6" t="s">
        <v>24</v>
      </c>
      <c r="AE15" s="6" t="s">
        <v>24</v>
      </c>
      <c r="AF15" s="6" t="s">
        <v>24</v>
      </c>
      <c r="AG15" s="4">
        <f t="shared" si="0"/>
        <v>22</v>
      </c>
      <c r="AH15" s="4">
        <f t="shared" si="1"/>
        <v>0</v>
      </c>
      <c r="AI15" s="82" t="s">
        <v>16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146</v>
      </c>
      <c r="C16" s="80" t="s">
        <v>147</v>
      </c>
      <c r="D16" s="5" t="s">
        <v>50</v>
      </c>
      <c r="E16" s="91" t="s">
        <v>414</v>
      </c>
      <c r="F16" s="108"/>
      <c r="G16" s="13" t="s">
        <v>24</v>
      </c>
      <c r="H16" s="13" t="s">
        <v>24</v>
      </c>
      <c r="I16" s="108"/>
      <c r="J16" s="13" t="s">
        <v>24</v>
      </c>
      <c r="K16" s="13" t="s">
        <v>24</v>
      </c>
      <c r="L16" s="90" t="s">
        <v>24</v>
      </c>
      <c r="M16" s="108"/>
      <c r="N16" s="6" t="s">
        <v>24</v>
      </c>
      <c r="O16" s="6" t="s">
        <v>24</v>
      </c>
      <c r="P16" s="6" t="s">
        <v>24</v>
      </c>
      <c r="Q16" s="6" t="s">
        <v>24</v>
      </c>
      <c r="R16" s="108"/>
      <c r="S16" s="91" t="s">
        <v>24</v>
      </c>
      <c r="T16" s="108"/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91" t="s">
        <v>24</v>
      </c>
      <c r="AA16" s="108"/>
      <c r="AB16" s="6" t="s">
        <v>24</v>
      </c>
      <c r="AC16" s="6" t="s">
        <v>24</v>
      </c>
      <c r="AD16" s="6" t="s">
        <v>24</v>
      </c>
      <c r="AE16" s="6" t="s">
        <v>24</v>
      </c>
      <c r="AF16" s="6" t="s">
        <v>24</v>
      </c>
      <c r="AG16" s="4">
        <f t="shared" si="0"/>
        <v>22</v>
      </c>
      <c r="AH16" s="4">
        <f t="shared" si="1"/>
        <v>0</v>
      </c>
      <c r="AI16"/>
      <c r="AJ16"/>
      <c r="AK16"/>
      <c r="AL16"/>
    </row>
    <row r="17" spans="1:38" ht="16.5">
      <c r="A17" s="7">
        <v>13</v>
      </c>
      <c r="B17" s="80" t="s">
        <v>148</v>
      </c>
      <c r="C17" s="80" t="s">
        <v>149</v>
      </c>
      <c r="D17" s="5" t="s">
        <v>50</v>
      </c>
      <c r="E17" s="91" t="s">
        <v>414</v>
      </c>
      <c r="F17" s="108"/>
      <c r="G17" s="13" t="s">
        <v>24</v>
      </c>
      <c r="H17" s="13" t="s">
        <v>24</v>
      </c>
      <c r="I17" s="108"/>
      <c r="J17" s="13" t="s">
        <v>24</v>
      </c>
      <c r="K17" s="13" t="s">
        <v>24</v>
      </c>
      <c r="L17" s="90" t="s">
        <v>24</v>
      </c>
      <c r="M17" s="108"/>
      <c r="N17" s="6" t="s">
        <v>24</v>
      </c>
      <c r="O17" s="6" t="s">
        <v>24</v>
      </c>
      <c r="P17" s="6" t="s">
        <v>24</v>
      </c>
      <c r="Q17" s="6" t="s">
        <v>24</v>
      </c>
      <c r="R17" s="108"/>
      <c r="S17" s="91" t="s">
        <v>24</v>
      </c>
      <c r="T17" s="108"/>
      <c r="U17" s="6" t="s">
        <v>24</v>
      </c>
      <c r="V17" s="6" t="s">
        <v>24</v>
      </c>
      <c r="W17" s="6" t="s">
        <v>24</v>
      </c>
      <c r="X17" s="6" t="s">
        <v>24</v>
      </c>
      <c r="Y17" s="6" t="s">
        <v>24</v>
      </c>
      <c r="Z17" s="91" t="s">
        <v>24</v>
      </c>
      <c r="AA17" s="108"/>
      <c r="AB17" s="6" t="s">
        <v>24</v>
      </c>
      <c r="AC17" s="6" t="s">
        <v>24</v>
      </c>
      <c r="AD17" s="6" t="s">
        <v>24</v>
      </c>
      <c r="AE17" s="6" t="s">
        <v>24</v>
      </c>
      <c r="AF17" s="6" t="s">
        <v>24</v>
      </c>
      <c r="AG17" s="4">
        <f t="shared" si="0"/>
        <v>22</v>
      </c>
      <c r="AH17" s="4">
        <f t="shared" si="1"/>
        <v>0</v>
      </c>
      <c r="AI17"/>
      <c r="AJ17"/>
      <c r="AK17"/>
      <c r="AL17"/>
    </row>
    <row r="18" spans="1:38" ht="16.5">
      <c r="A18" s="7">
        <v>14</v>
      </c>
      <c r="B18" s="80" t="s">
        <v>150</v>
      </c>
      <c r="C18" s="80" t="s">
        <v>151</v>
      </c>
      <c r="D18" s="5" t="s">
        <v>50</v>
      </c>
      <c r="E18" s="91" t="s">
        <v>414</v>
      </c>
      <c r="F18" s="108"/>
      <c r="G18" s="13" t="s">
        <v>24</v>
      </c>
      <c r="H18" s="13" t="s">
        <v>24</v>
      </c>
      <c r="I18" s="108"/>
      <c r="J18" s="13" t="s">
        <v>24</v>
      </c>
      <c r="K18" s="13" t="s">
        <v>24</v>
      </c>
      <c r="L18" s="90" t="s">
        <v>24</v>
      </c>
      <c r="M18" s="108"/>
      <c r="N18" s="6" t="s">
        <v>24</v>
      </c>
      <c r="O18" s="6" t="s">
        <v>24</v>
      </c>
      <c r="P18" s="6" t="s">
        <v>24</v>
      </c>
      <c r="Q18" s="6" t="s">
        <v>24</v>
      </c>
      <c r="R18" s="108"/>
      <c r="S18" s="91" t="s">
        <v>24</v>
      </c>
      <c r="T18" s="108"/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91" t="s">
        <v>24</v>
      </c>
      <c r="AA18" s="108"/>
      <c r="AB18" s="6" t="s">
        <v>24</v>
      </c>
      <c r="AC18" s="6" t="s">
        <v>24</v>
      </c>
      <c r="AD18" s="6" t="s">
        <v>24</v>
      </c>
      <c r="AE18" s="6" t="s">
        <v>24</v>
      </c>
      <c r="AF18" s="6" t="s">
        <v>24</v>
      </c>
      <c r="AG18" s="4">
        <f t="shared" si="0"/>
        <v>22</v>
      </c>
      <c r="AH18" s="4">
        <f t="shared" si="1"/>
        <v>0</v>
      </c>
      <c r="AI18"/>
      <c r="AJ18"/>
      <c r="AK18"/>
      <c r="AL18"/>
    </row>
    <row r="19" spans="1:38" ht="16.5">
      <c r="A19" s="7">
        <v>15</v>
      </c>
      <c r="B19" s="80" t="s">
        <v>49</v>
      </c>
      <c r="C19" s="80" t="s">
        <v>152</v>
      </c>
      <c r="D19" s="5" t="s">
        <v>50</v>
      </c>
      <c r="E19" s="91" t="s">
        <v>414</v>
      </c>
      <c r="F19" s="108"/>
      <c r="G19" s="13" t="s">
        <v>24</v>
      </c>
      <c r="H19" s="13" t="s">
        <v>24</v>
      </c>
      <c r="I19" s="108"/>
      <c r="J19" s="13" t="s">
        <v>24</v>
      </c>
      <c r="K19" s="13" t="s">
        <v>24</v>
      </c>
      <c r="L19" s="90" t="s">
        <v>24</v>
      </c>
      <c r="M19" s="108"/>
      <c r="N19" s="6" t="s">
        <v>24</v>
      </c>
      <c r="O19" s="6" t="s">
        <v>24</v>
      </c>
      <c r="P19" s="6" t="s">
        <v>24</v>
      </c>
      <c r="Q19" s="6" t="s">
        <v>24</v>
      </c>
      <c r="R19" s="108"/>
      <c r="S19" s="91" t="s">
        <v>24</v>
      </c>
      <c r="T19" s="108"/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91" t="s">
        <v>24</v>
      </c>
      <c r="AA19" s="108"/>
      <c r="AB19" s="6" t="s">
        <v>24</v>
      </c>
      <c r="AC19" s="6" t="s">
        <v>24</v>
      </c>
      <c r="AD19" s="6" t="s">
        <v>24</v>
      </c>
      <c r="AE19" s="6" t="s">
        <v>24</v>
      </c>
      <c r="AF19" s="6" t="s">
        <v>24</v>
      </c>
      <c r="AG19" s="4">
        <f t="shared" si="0"/>
        <v>22</v>
      </c>
      <c r="AH19" s="4">
        <f t="shared" si="1"/>
        <v>0</v>
      </c>
      <c r="AI19" s="105" t="s">
        <v>31</v>
      </c>
      <c r="AJ19" s="105"/>
      <c r="AK19" s="105"/>
      <c r="AL19" s="106"/>
    </row>
    <row r="20" spans="1:38" ht="16.5">
      <c r="A20" s="7">
        <v>16</v>
      </c>
      <c r="B20" s="80" t="s">
        <v>153</v>
      </c>
      <c r="C20" s="80" t="s">
        <v>154</v>
      </c>
      <c r="D20" s="5" t="s">
        <v>50</v>
      </c>
      <c r="E20" s="91" t="s">
        <v>414</v>
      </c>
      <c r="F20" s="108"/>
      <c r="G20" s="13" t="s">
        <v>24</v>
      </c>
      <c r="H20" s="13" t="s">
        <v>24</v>
      </c>
      <c r="I20" s="108"/>
      <c r="J20" s="13" t="s">
        <v>24</v>
      </c>
      <c r="K20" s="13" t="s">
        <v>24</v>
      </c>
      <c r="L20" s="90" t="s">
        <v>24</v>
      </c>
      <c r="M20" s="108"/>
      <c r="N20" s="6" t="s">
        <v>24</v>
      </c>
      <c r="O20" s="6" t="s">
        <v>24</v>
      </c>
      <c r="P20" s="6" t="s">
        <v>24</v>
      </c>
      <c r="Q20" s="6" t="s">
        <v>24</v>
      </c>
      <c r="R20" s="108"/>
      <c r="S20" s="91" t="s">
        <v>24</v>
      </c>
      <c r="T20" s="108"/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91" t="s">
        <v>24</v>
      </c>
      <c r="AA20" s="108"/>
      <c r="AB20" s="6" t="s">
        <v>24</v>
      </c>
      <c r="AC20" s="6" t="s">
        <v>24</v>
      </c>
      <c r="AD20" s="6" t="s">
        <v>24</v>
      </c>
      <c r="AE20" s="6" t="s">
        <v>24</v>
      </c>
      <c r="AF20" s="6" t="s">
        <v>24</v>
      </c>
      <c r="AG20" s="4">
        <f t="shared" si="0"/>
        <v>22</v>
      </c>
      <c r="AH20" s="4">
        <f t="shared" si="1"/>
        <v>0</v>
      </c>
      <c r="AI20" s="82" t="s">
        <v>10</v>
      </c>
      <c r="AJ20" s="4" t="s">
        <v>11</v>
      </c>
      <c r="AK20" s="4" t="s">
        <v>12</v>
      </c>
      <c r="AL20" s="4" t="s">
        <v>13</v>
      </c>
    </row>
    <row r="21" spans="1:38" ht="16.5">
      <c r="A21" s="7">
        <v>17</v>
      </c>
      <c r="B21" s="80" t="s">
        <v>155</v>
      </c>
      <c r="C21" s="80" t="s">
        <v>156</v>
      </c>
      <c r="D21" s="5" t="s">
        <v>50</v>
      </c>
      <c r="E21" s="91" t="s">
        <v>414</v>
      </c>
      <c r="F21" s="108"/>
      <c r="G21" s="13" t="s">
        <v>24</v>
      </c>
      <c r="H21" s="13" t="s">
        <v>24</v>
      </c>
      <c r="I21" s="108"/>
      <c r="J21" s="13" t="s">
        <v>24</v>
      </c>
      <c r="K21" s="13" t="s">
        <v>24</v>
      </c>
      <c r="L21" s="90" t="s">
        <v>24</v>
      </c>
      <c r="M21" s="108"/>
      <c r="N21" s="6" t="s">
        <v>24</v>
      </c>
      <c r="O21" s="6" t="s">
        <v>24</v>
      </c>
      <c r="P21" s="6" t="s">
        <v>24</v>
      </c>
      <c r="Q21" s="6" t="s">
        <v>24</v>
      </c>
      <c r="R21" s="108"/>
      <c r="S21" s="91" t="s">
        <v>24</v>
      </c>
      <c r="T21" s="108"/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91" t="s">
        <v>24</v>
      </c>
      <c r="AA21" s="108"/>
      <c r="AB21" s="6" t="s">
        <v>24</v>
      </c>
      <c r="AC21" s="6" t="s">
        <v>24</v>
      </c>
      <c r="AD21" s="6" t="s">
        <v>24</v>
      </c>
      <c r="AE21" s="6" t="s">
        <v>24</v>
      </c>
      <c r="AF21" s="6" t="s">
        <v>24</v>
      </c>
      <c r="AG21" s="4">
        <f t="shared" si="0"/>
        <v>22</v>
      </c>
      <c r="AH21" s="4">
        <f t="shared" si="1"/>
        <v>0</v>
      </c>
      <c r="AI21" s="82" t="s">
        <v>14</v>
      </c>
      <c r="AJ21" s="7">
        <f>27*$AJ$5</f>
        <v>648</v>
      </c>
      <c r="AK21" s="7">
        <f>27*$AJ$5</f>
        <v>648</v>
      </c>
      <c r="AL21" s="7">
        <f>AJ21+AK21</f>
        <v>1296</v>
      </c>
    </row>
    <row r="22" spans="1:38" ht="16.5">
      <c r="A22" s="7">
        <v>18</v>
      </c>
      <c r="B22" s="80" t="s">
        <v>157</v>
      </c>
      <c r="C22" s="80" t="s">
        <v>158</v>
      </c>
      <c r="D22" s="5" t="s">
        <v>50</v>
      </c>
      <c r="E22" s="91" t="s">
        <v>414</v>
      </c>
      <c r="F22" s="108"/>
      <c r="G22" s="13" t="s">
        <v>24</v>
      </c>
      <c r="H22" s="13" t="s">
        <v>24</v>
      </c>
      <c r="I22" s="108"/>
      <c r="J22" s="13" t="s">
        <v>24</v>
      </c>
      <c r="K22" s="13" t="s">
        <v>24</v>
      </c>
      <c r="L22" s="90" t="s">
        <v>24</v>
      </c>
      <c r="M22" s="108"/>
      <c r="N22" s="6" t="s">
        <v>24</v>
      </c>
      <c r="O22" s="6" t="s">
        <v>24</v>
      </c>
      <c r="P22" s="6" t="s">
        <v>24</v>
      </c>
      <c r="Q22" s="6" t="s">
        <v>24</v>
      </c>
      <c r="R22" s="108"/>
      <c r="S22" s="91" t="s">
        <v>24</v>
      </c>
      <c r="T22" s="108"/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91" t="s">
        <v>24</v>
      </c>
      <c r="AA22" s="108"/>
      <c r="AB22" s="6" t="s">
        <v>24</v>
      </c>
      <c r="AC22" s="6" t="s">
        <v>24</v>
      </c>
      <c r="AD22" s="6" t="s">
        <v>24</v>
      </c>
      <c r="AE22" s="6" t="s">
        <v>24</v>
      </c>
      <c r="AF22" s="6" t="s">
        <v>24</v>
      </c>
      <c r="AG22" s="4">
        <f t="shared" si="0"/>
        <v>22</v>
      </c>
      <c r="AH22" s="4">
        <f t="shared" si="1"/>
        <v>0</v>
      </c>
      <c r="AI22" s="82" t="s">
        <v>17</v>
      </c>
      <c r="AJ22" s="7" t="e">
        <f>AJ21-AJ14</f>
        <v>#REF!</v>
      </c>
      <c r="AK22" s="7" t="e">
        <f>AK21-AK14</f>
        <v>#REF!</v>
      </c>
      <c r="AL22" s="7" t="e">
        <f>AJ22+AK22</f>
        <v>#REF!</v>
      </c>
    </row>
    <row r="23" spans="1:38" ht="16.5">
      <c r="A23" s="7">
        <v>19</v>
      </c>
      <c r="B23" s="80" t="s">
        <v>21</v>
      </c>
      <c r="C23" s="80" t="s">
        <v>159</v>
      </c>
      <c r="D23" s="5" t="s">
        <v>50</v>
      </c>
      <c r="E23" s="91" t="s">
        <v>414</v>
      </c>
      <c r="F23" s="108"/>
      <c r="G23" s="13" t="s">
        <v>24</v>
      </c>
      <c r="H23" s="13" t="s">
        <v>24</v>
      </c>
      <c r="I23" s="108"/>
      <c r="J23" s="13" t="s">
        <v>24</v>
      </c>
      <c r="K23" s="13" t="s">
        <v>24</v>
      </c>
      <c r="L23" s="90" t="s">
        <v>24</v>
      </c>
      <c r="M23" s="108"/>
      <c r="N23" s="6" t="s">
        <v>24</v>
      </c>
      <c r="O23" s="6" t="s">
        <v>24</v>
      </c>
      <c r="P23" s="6" t="s">
        <v>24</v>
      </c>
      <c r="Q23" s="6" t="s">
        <v>24</v>
      </c>
      <c r="R23" s="108"/>
      <c r="S23" s="91" t="s">
        <v>24</v>
      </c>
      <c r="T23" s="108"/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91" t="s">
        <v>24</v>
      </c>
      <c r="AA23" s="108"/>
      <c r="AB23" s="6" t="s">
        <v>24</v>
      </c>
      <c r="AC23" s="6" t="s">
        <v>24</v>
      </c>
      <c r="AD23" s="6" t="s">
        <v>24</v>
      </c>
      <c r="AE23" s="6" t="s">
        <v>24</v>
      </c>
      <c r="AF23" s="6" t="s">
        <v>24</v>
      </c>
      <c r="AG23" s="4">
        <f t="shared" si="0"/>
        <v>22</v>
      </c>
      <c r="AH23" s="4">
        <f t="shared" si="1"/>
        <v>0</v>
      </c>
      <c r="AI23" s="82" t="s">
        <v>16</v>
      </c>
      <c r="AJ23" s="9" t="e">
        <f>AJ22/AJ21</f>
        <v>#REF!</v>
      </c>
      <c r="AK23" s="9" t="e">
        <f>AK22/AK21</f>
        <v>#REF!</v>
      </c>
      <c r="AL23" s="9" t="e">
        <f>AL22/AL21</f>
        <v>#REF!</v>
      </c>
    </row>
    <row r="24" spans="1:38" ht="16.5">
      <c r="A24" s="7">
        <v>20</v>
      </c>
      <c r="B24" s="80" t="s">
        <v>160</v>
      </c>
      <c r="C24" s="80" t="s">
        <v>161</v>
      </c>
      <c r="D24" s="5" t="s">
        <v>50</v>
      </c>
      <c r="E24" s="91" t="s">
        <v>414</v>
      </c>
      <c r="F24" s="108"/>
      <c r="G24" s="13" t="s">
        <v>24</v>
      </c>
      <c r="H24" s="13" t="s">
        <v>24</v>
      </c>
      <c r="I24" s="108"/>
      <c r="J24" s="13" t="s">
        <v>24</v>
      </c>
      <c r="K24" s="13" t="s">
        <v>24</v>
      </c>
      <c r="L24" s="90" t="s">
        <v>24</v>
      </c>
      <c r="M24" s="108"/>
      <c r="N24" s="6" t="s">
        <v>24</v>
      </c>
      <c r="O24" s="6" t="s">
        <v>24</v>
      </c>
      <c r="P24" s="6" t="s">
        <v>24</v>
      </c>
      <c r="Q24" s="6" t="s">
        <v>24</v>
      </c>
      <c r="R24" s="108"/>
      <c r="S24" s="91" t="s">
        <v>24</v>
      </c>
      <c r="T24" s="108"/>
      <c r="U24" s="6" t="s">
        <v>24</v>
      </c>
      <c r="V24" s="6" t="s">
        <v>24</v>
      </c>
      <c r="W24" s="6" t="s">
        <v>24</v>
      </c>
      <c r="X24" s="6" t="s">
        <v>24</v>
      </c>
      <c r="Y24" s="6" t="s">
        <v>24</v>
      </c>
      <c r="Z24" s="91" t="s">
        <v>24</v>
      </c>
      <c r="AA24" s="108"/>
      <c r="AB24" s="6" t="s">
        <v>24</v>
      </c>
      <c r="AC24" s="6" t="s">
        <v>24</v>
      </c>
      <c r="AD24" s="6" t="s">
        <v>24</v>
      </c>
      <c r="AE24" s="6" t="s">
        <v>24</v>
      </c>
      <c r="AF24" s="6" t="s">
        <v>24</v>
      </c>
      <c r="AG24" s="4">
        <f t="shared" si="0"/>
        <v>22</v>
      </c>
      <c r="AH24" s="4">
        <f t="shared" si="1"/>
        <v>0</v>
      </c>
    </row>
    <row r="25" spans="1:38" ht="16.5">
      <c r="A25" s="7">
        <v>21</v>
      </c>
      <c r="B25" s="80" t="s">
        <v>39</v>
      </c>
      <c r="C25" s="80" t="s">
        <v>162</v>
      </c>
      <c r="D25" s="5" t="s">
        <v>50</v>
      </c>
      <c r="E25" s="91" t="s">
        <v>414</v>
      </c>
      <c r="F25" s="108"/>
      <c r="G25" s="13" t="s">
        <v>24</v>
      </c>
      <c r="H25" s="13" t="s">
        <v>24</v>
      </c>
      <c r="I25" s="108"/>
      <c r="J25" s="13" t="s">
        <v>24</v>
      </c>
      <c r="K25" s="13" t="s">
        <v>24</v>
      </c>
      <c r="L25" s="90" t="s">
        <v>24</v>
      </c>
      <c r="M25" s="108"/>
      <c r="N25" s="6" t="s">
        <v>24</v>
      </c>
      <c r="O25" s="6" t="s">
        <v>24</v>
      </c>
      <c r="P25" s="6" t="s">
        <v>24</v>
      </c>
      <c r="Q25" s="6" t="s">
        <v>24</v>
      </c>
      <c r="R25" s="108"/>
      <c r="S25" s="91" t="s">
        <v>24</v>
      </c>
      <c r="T25" s="108"/>
      <c r="U25" s="6" t="s">
        <v>24</v>
      </c>
      <c r="V25" s="6" t="s">
        <v>24</v>
      </c>
      <c r="W25" s="6" t="s">
        <v>24</v>
      </c>
      <c r="X25" s="6" t="s">
        <v>24</v>
      </c>
      <c r="Y25" s="6" t="s">
        <v>24</v>
      </c>
      <c r="Z25" s="91" t="s">
        <v>24</v>
      </c>
      <c r="AA25" s="108"/>
      <c r="AB25" s="6" t="s">
        <v>24</v>
      </c>
      <c r="AC25" s="6" t="s">
        <v>24</v>
      </c>
      <c r="AD25" s="6" t="s">
        <v>24</v>
      </c>
      <c r="AE25" s="6" t="s">
        <v>24</v>
      </c>
      <c r="AF25" s="6" t="s">
        <v>24</v>
      </c>
      <c r="AG25" s="4">
        <f t="shared" si="0"/>
        <v>22</v>
      </c>
      <c r="AH25" s="4">
        <f t="shared" si="1"/>
        <v>0</v>
      </c>
    </row>
    <row r="26" spans="1:38" ht="16.5">
      <c r="A26" s="7">
        <v>22</v>
      </c>
      <c r="B26" s="80" t="s">
        <v>51</v>
      </c>
      <c r="C26" s="80" t="s">
        <v>162</v>
      </c>
      <c r="D26" s="5" t="s">
        <v>50</v>
      </c>
      <c r="E26" s="91" t="s">
        <v>414</v>
      </c>
      <c r="F26" s="108"/>
      <c r="G26" s="13" t="s">
        <v>24</v>
      </c>
      <c r="H26" s="13" t="s">
        <v>24</v>
      </c>
      <c r="I26" s="108"/>
      <c r="J26" s="13" t="s">
        <v>24</v>
      </c>
      <c r="K26" s="13" t="s">
        <v>24</v>
      </c>
      <c r="L26" s="90" t="s">
        <v>24</v>
      </c>
      <c r="M26" s="108"/>
      <c r="N26" s="6" t="s">
        <v>24</v>
      </c>
      <c r="O26" s="6" t="s">
        <v>24</v>
      </c>
      <c r="P26" s="6" t="s">
        <v>24</v>
      </c>
      <c r="Q26" s="6" t="s">
        <v>24</v>
      </c>
      <c r="R26" s="108"/>
      <c r="S26" s="91" t="s">
        <v>24</v>
      </c>
      <c r="T26" s="108"/>
      <c r="U26" s="6" t="s">
        <v>24</v>
      </c>
      <c r="V26" s="6" t="s">
        <v>24</v>
      </c>
      <c r="W26" s="6" t="s">
        <v>24</v>
      </c>
      <c r="X26" s="6" t="s">
        <v>24</v>
      </c>
      <c r="Y26" s="6" t="s">
        <v>24</v>
      </c>
      <c r="Z26" s="91" t="s">
        <v>24</v>
      </c>
      <c r="AA26" s="108"/>
      <c r="AB26" s="6" t="s">
        <v>24</v>
      </c>
      <c r="AC26" s="6" t="s">
        <v>24</v>
      </c>
      <c r="AD26" s="6" t="s">
        <v>24</v>
      </c>
      <c r="AE26" s="6" t="s">
        <v>24</v>
      </c>
      <c r="AF26" s="6" t="s">
        <v>24</v>
      </c>
      <c r="AG26" s="4">
        <f t="shared" si="0"/>
        <v>22</v>
      </c>
      <c r="AH26" s="4">
        <f t="shared" si="1"/>
        <v>0</v>
      </c>
    </row>
    <row r="27" spans="1:38" ht="16.5">
      <c r="A27" s="7">
        <v>23</v>
      </c>
      <c r="B27" s="80" t="s">
        <v>163</v>
      </c>
      <c r="C27" s="80" t="s">
        <v>164</v>
      </c>
      <c r="D27" s="5" t="s">
        <v>50</v>
      </c>
      <c r="E27" s="91" t="s">
        <v>414</v>
      </c>
      <c r="F27" s="108"/>
      <c r="G27" s="13" t="s">
        <v>24</v>
      </c>
      <c r="H27" s="13" t="s">
        <v>24</v>
      </c>
      <c r="I27" s="108"/>
      <c r="J27" s="13" t="s">
        <v>24</v>
      </c>
      <c r="K27" s="13" t="s">
        <v>24</v>
      </c>
      <c r="L27" s="90" t="s">
        <v>24</v>
      </c>
      <c r="M27" s="108"/>
      <c r="N27" s="6" t="s">
        <v>24</v>
      </c>
      <c r="O27" s="6" t="s">
        <v>24</v>
      </c>
      <c r="P27" s="6" t="s">
        <v>24</v>
      </c>
      <c r="Q27" s="6" t="s">
        <v>24</v>
      </c>
      <c r="R27" s="108"/>
      <c r="S27" s="91" t="s">
        <v>24</v>
      </c>
      <c r="T27" s="108"/>
      <c r="U27" s="6" t="s">
        <v>24</v>
      </c>
      <c r="V27" s="6" t="s">
        <v>24</v>
      </c>
      <c r="W27" s="6" t="s">
        <v>24</v>
      </c>
      <c r="X27" s="6" t="s">
        <v>24</v>
      </c>
      <c r="Y27" s="6" t="s">
        <v>24</v>
      </c>
      <c r="Z27" s="91" t="s">
        <v>24</v>
      </c>
      <c r="AA27" s="108"/>
      <c r="AB27" s="6" t="s">
        <v>24</v>
      </c>
      <c r="AC27" s="6" t="s">
        <v>24</v>
      </c>
      <c r="AD27" s="6" t="s">
        <v>24</v>
      </c>
      <c r="AE27" s="6" t="s">
        <v>24</v>
      </c>
      <c r="AF27" s="6" t="s">
        <v>24</v>
      </c>
      <c r="AG27" s="4">
        <f t="shared" si="0"/>
        <v>22</v>
      </c>
      <c r="AH27" s="4">
        <f t="shared" si="1"/>
        <v>0</v>
      </c>
    </row>
    <row r="28" spans="1:38" ht="16.5">
      <c r="A28" s="7">
        <v>24</v>
      </c>
      <c r="B28" s="80" t="s">
        <v>165</v>
      </c>
      <c r="C28" s="80" t="s">
        <v>166</v>
      </c>
      <c r="D28" s="5" t="s">
        <v>50</v>
      </c>
      <c r="E28" s="91" t="s">
        <v>414</v>
      </c>
      <c r="F28" s="108"/>
      <c r="G28" s="13" t="s">
        <v>24</v>
      </c>
      <c r="H28" s="13" t="s">
        <v>24</v>
      </c>
      <c r="I28" s="108"/>
      <c r="J28" s="13" t="s">
        <v>24</v>
      </c>
      <c r="K28" s="13" t="s">
        <v>24</v>
      </c>
      <c r="L28" s="90" t="s">
        <v>24</v>
      </c>
      <c r="M28" s="108"/>
      <c r="N28" s="6" t="s">
        <v>24</v>
      </c>
      <c r="O28" s="6" t="s">
        <v>24</v>
      </c>
      <c r="P28" s="6" t="s">
        <v>24</v>
      </c>
      <c r="Q28" s="6" t="s">
        <v>24</v>
      </c>
      <c r="R28" s="108"/>
      <c r="S28" s="91" t="s">
        <v>24</v>
      </c>
      <c r="T28" s="108"/>
      <c r="U28" s="6" t="s">
        <v>24</v>
      </c>
      <c r="V28" s="6" t="s">
        <v>24</v>
      </c>
      <c r="W28" s="6" t="s">
        <v>24</v>
      </c>
      <c r="X28" s="6" t="s">
        <v>24</v>
      </c>
      <c r="Y28" s="6" t="s">
        <v>24</v>
      </c>
      <c r="Z28" s="91" t="s">
        <v>24</v>
      </c>
      <c r="AA28" s="108"/>
      <c r="AB28" s="6" t="s">
        <v>24</v>
      </c>
      <c r="AC28" s="6" t="s">
        <v>24</v>
      </c>
      <c r="AD28" s="6" t="s">
        <v>24</v>
      </c>
      <c r="AE28" s="6" t="s">
        <v>24</v>
      </c>
      <c r="AF28" s="6" t="s">
        <v>24</v>
      </c>
      <c r="AG28" s="4">
        <f t="shared" si="0"/>
        <v>22</v>
      </c>
      <c r="AH28" s="4">
        <f t="shared" si="1"/>
        <v>0</v>
      </c>
    </row>
    <row r="29" spans="1:38" ht="16.5">
      <c r="A29" s="7">
        <v>25</v>
      </c>
      <c r="B29" s="80" t="s">
        <v>167</v>
      </c>
      <c r="C29" s="80" t="s">
        <v>168</v>
      </c>
      <c r="D29" s="5" t="s">
        <v>50</v>
      </c>
      <c r="E29" s="91" t="s">
        <v>414</v>
      </c>
      <c r="F29" s="108"/>
      <c r="G29" s="13" t="s">
        <v>24</v>
      </c>
      <c r="H29" s="13" t="s">
        <v>24</v>
      </c>
      <c r="I29" s="108"/>
      <c r="J29" s="13" t="s">
        <v>24</v>
      </c>
      <c r="K29" s="13" t="s">
        <v>24</v>
      </c>
      <c r="L29" s="90" t="s">
        <v>24</v>
      </c>
      <c r="M29" s="108"/>
      <c r="N29" s="6" t="s">
        <v>24</v>
      </c>
      <c r="O29" s="6" t="s">
        <v>24</v>
      </c>
      <c r="P29" s="6" t="s">
        <v>24</v>
      </c>
      <c r="Q29" s="6" t="s">
        <v>24</v>
      </c>
      <c r="R29" s="108"/>
      <c r="S29" s="91" t="s">
        <v>24</v>
      </c>
      <c r="T29" s="108"/>
      <c r="U29" s="6" t="s">
        <v>24</v>
      </c>
      <c r="V29" s="6" t="s">
        <v>24</v>
      </c>
      <c r="W29" s="6" t="s">
        <v>24</v>
      </c>
      <c r="X29" s="6" t="s">
        <v>24</v>
      </c>
      <c r="Y29" s="6" t="s">
        <v>24</v>
      </c>
      <c r="Z29" s="91" t="s">
        <v>24</v>
      </c>
      <c r="AA29" s="108"/>
      <c r="AB29" s="6" t="s">
        <v>24</v>
      </c>
      <c r="AC29" s="6" t="s">
        <v>24</v>
      </c>
      <c r="AD29" s="6" t="s">
        <v>24</v>
      </c>
      <c r="AE29" s="6" t="s">
        <v>24</v>
      </c>
      <c r="AF29" s="6" t="s">
        <v>24</v>
      </c>
      <c r="AG29" s="4">
        <f t="shared" si="0"/>
        <v>22</v>
      </c>
      <c r="AH29" s="4">
        <f t="shared" si="1"/>
        <v>0</v>
      </c>
    </row>
    <row r="30" spans="1:38" ht="16.5">
      <c r="A30" s="7">
        <v>26</v>
      </c>
      <c r="B30" s="80" t="s">
        <v>169</v>
      </c>
      <c r="C30" s="80" t="s">
        <v>170</v>
      </c>
      <c r="D30" s="5" t="s">
        <v>50</v>
      </c>
      <c r="E30" s="91" t="s">
        <v>414</v>
      </c>
      <c r="F30" s="108"/>
      <c r="G30" s="13" t="s">
        <v>24</v>
      </c>
      <c r="H30" s="13" t="s">
        <v>24</v>
      </c>
      <c r="I30" s="108"/>
      <c r="J30" s="13" t="s">
        <v>24</v>
      </c>
      <c r="K30" s="13" t="s">
        <v>24</v>
      </c>
      <c r="L30" s="90" t="s">
        <v>24</v>
      </c>
      <c r="M30" s="108"/>
      <c r="N30" s="6" t="s">
        <v>24</v>
      </c>
      <c r="O30" s="6" t="s">
        <v>24</v>
      </c>
      <c r="P30" s="6" t="s">
        <v>24</v>
      </c>
      <c r="Q30" s="6" t="s">
        <v>24</v>
      </c>
      <c r="R30" s="108"/>
      <c r="S30" s="91" t="s">
        <v>24</v>
      </c>
      <c r="T30" s="108"/>
      <c r="U30" s="6" t="s">
        <v>24</v>
      </c>
      <c r="V30" s="6" t="s">
        <v>24</v>
      </c>
      <c r="W30" s="6" t="s">
        <v>24</v>
      </c>
      <c r="X30" s="6" t="s">
        <v>24</v>
      </c>
      <c r="Y30" s="6" t="s">
        <v>24</v>
      </c>
      <c r="Z30" s="91" t="s">
        <v>24</v>
      </c>
      <c r="AA30" s="108"/>
      <c r="AB30" s="6" t="s">
        <v>24</v>
      </c>
      <c r="AC30" s="6" t="s">
        <v>24</v>
      </c>
      <c r="AD30" s="6" t="s">
        <v>24</v>
      </c>
      <c r="AE30" s="6" t="s">
        <v>24</v>
      </c>
      <c r="AF30" s="6" t="s">
        <v>24</v>
      </c>
      <c r="AG30" s="4">
        <f t="shared" si="0"/>
        <v>22</v>
      </c>
      <c r="AH30" s="4">
        <f t="shared" si="1"/>
        <v>0</v>
      </c>
    </row>
    <row r="31" spans="1:38" ht="16.5">
      <c r="A31" s="7">
        <v>27</v>
      </c>
      <c r="B31" s="80" t="s">
        <v>171</v>
      </c>
      <c r="C31" s="80" t="s">
        <v>172</v>
      </c>
      <c r="D31" s="14" t="s">
        <v>50</v>
      </c>
      <c r="E31" s="91" t="s">
        <v>414</v>
      </c>
      <c r="F31" s="108"/>
      <c r="G31" s="13" t="s">
        <v>24</v>
      </c>
      <c r="H31" s="13" t="s">
        <v>24</v>
      </c>
      <c r="I31" s="108"/>
      <c r="J31" s="13" t="s">
        <v>24</v>
      </c>
      <c r="K31" s="13" t="s">
        <v>24</v>
      </c>
      <c r="L31" s="90" t="s">
        <v>24</v>
      </c>
      <c r="M31" s="108"/>
      <c r="N31" s="6" t="s">
        <v>24</v>
      </c>
      <c r="O31" s="6" t="s">
        <v>24</v>
      </c>
      <c r="P31" s="6" t="s">
        <v>24</v>
      </c>
      <c r="Q31" s="6" t="s">
        <v>24</v>
      </c>
      <c r="R31" s="108"/>
      <c r="S31" s="91" t="s">
        <v>24</v>
      </c>
      <c r="T31" s="108"/>
      <c r="U31" s="6" t="s">
        <v>24</v>
      </c>
      <c r="V31" s="6" t="s">
        <v>24</v>
      </c>
      <c r="W31" s="6" t="s">
        <v>24</v>
      </c>
      <c r="X31" s="6" t="s">
        <v>24</v>
      </c>
      <c r="Y31" s="6" t="s">
        <v>24</v>
      </c>
      <c r="Z31" s="91" t="s">
        <v>24</v>
      </c>
      <c r="AA31" s="108"/>
      <c r="AB31" s="6" t="s">
        <v>24</v>
      </c>
      <c r="AC31" s="6" t="s">
        <v>24</v>
      </c>
      <c r="AD31" s="6" t="s">
        <v>24</v>
      </c>
      <c r="AE31" s="6" t="s">
        <v>24</v>
      </c>
      <c r="AF31" s="6" t="s">
        <v>24</v>
      </c>
      <c r="AG31" s="4">
        <f t="shared" si="0"/>
        <v>22</v>
      </c>
      <c r="AH31" s="4">
        <f t="shared" si="1"/>
        <v>0</v>
      </c>
    </row>
    <row r="32" spans="1:38" ht="16.5">
      <c r="A32" s="7">
        <v>28</v>
      </c>
      <c r="B32" s="80" t="s">
        <v>173</v>
      </c>
      <c r="C32" s="80" t="s">
        <v>110</v>
      </c>
      <c r="D32" s="14" t="s">
        <v>50</v>
      </c>
      <c r="E32" s="91" t="s">
        <v>414</v>
      </c>
      <c r="F32" s="108"/>
      <c r="G32" s="13" t="s">
        <v>24</v>
      </c>
      <c r="H32" s="13" t="s">
        <v>24</v>
      </c>
      <c r="I32" s="108"/>
      <c r="J32" s="13" t="s">
        <v>24</v>
      </c>
      <c r="K32" s="13" t="s">
        <v>24</v>
      </c>
      <c r="L32" s="90" t="s">
        <v>24</v>
      </c>
      <c r="M32" s="108"/>
      <c r="N32" s="6" t="s">
        <v>24</v>
      </c>
      <c r="O32" s="6" t="s">
        <v>24</v>
      </c>
      <c r="P32" s="6" t="s">
        <v>24</v>
      </c>
      <c r="Q32" s="6" t="s">
        <v>24</v>
      </c>
      <c r="R32" s="108"/>
      <c r="S32" s="91" t="s">
        <v>24</v>
      </c>
      <c r="T32" s="108"/>
      <c r="U32" s="6" t="s">
        <v>24</v>
      </c>
      <c r="V32" s="6" t="s">
        <v>24</v>
      </c>
      <c r="W32" s="6" t="s">
        <v>24</v>
      </c>
      <c r="X32" s="6" t="s">
        <v>24</v>
      </c>
      <c r="Y32" s="6" t="s">
        <v>24</v>
      </c>
      <c r="Z32" s="91" t="s">
        <v>24</v>
      </c>
      <c r="AA32" s="108"/>
      <c r="AB32" s="6" t="s">
        <v>24</v>
      </c>
      <c r="AC32" s="6" t="s">
        <v>24</v>
      </c>
      <c r="AD32" s="6" t="s">
        <v>24</v>
      </c>
      <c r="AE32" s="6" t="s">
        <v>24</v>
      </c>
      <c r="AF32" s="6" t="s">
        <v>24</v>
      </c>
      <c r="AG32" s="4">
        <f t="shared" si="0"/>
        <v>22</v>
      </c>
      <c r="AH32" s="4">
        <f t="shared" si="1"/>
        <v>0</v>
      </c>
    </row>
    <row r="33" spans="1:34" ht="16.5">
      <c r="A33" s="7">
        <v>29</v>
      </c>
      <c r="B33" s="80" t="s">
        <v>174</v>
      </c>
      <c r="C33" s="80" t="s">
        <v>175</v>
      </c>
      <c r="D33" s="14" t="s">
        <v>50</v>
      </c>
      <c r="E33" s="91" t="s">
        <v>414</v>
      </c>
      <c r="F33" s="108"/>
      <c r="G33" s="13" t="s">
        <v>24</v>
      </c>
      <c r="H33" s="13" t="s">
        <v>24</v>
      </c>
      <c r="I33" s="108"/>
      <c r="J33" s="13" t="s">
        <v>24</v>
      </c>
      <c r="K33" s="13" t="s">
        <v>24</v>
      </c>
      <c r="L33" s="90" t="s">
        <v>24</v>
      </c>
      <c r="M33" s="108"/>
      <c r="N33" s="6" t="s">
        <v>24</v>
      </c>
      <c r="O33" s="6" t="s">
        <v>24</v>
      </c>
      <c r="P33" s="6" t="s">
        <v>24</v>
      </c>
      <c r="Q33" s="6" t="s">
        <v>24</v>
      </c>
      <c r="R33" s="108"/>
      <c r="S33" s="91" t="s">
        <v>24</v>
      </c>
      <c r="T33" s="108"/>
      <c r="U33" s="6" t="s">
        <v>24</v>
      </c>
      <c r="V33" s="6" t="s">
        <v>24</v>
      </c>
      <c r="W33" s="6" t="s">
        <v>24</v>
      </c>
      <c r="X33" s="6" t="s">
        <v>24</v>
      </c>
      <c r="Y33" s="6" t="s">
        <v>24</v>
      </c>
      <c r="Z33" s="91" t="s">
        <v>24</v>
      </c>
      <c r="AA33" s="108"/>
      <c r="AB33" s="6" t="s">
        <v>24</v>
      </c>
      <c r="AC33" s="6" t="s">
        <v>24</v>
      </c>
      <c r="AD33" s="6" t="s">
        <v>24</v>
      </c>
      <c r="AE33" s="6" t="s">
        <v>24</v>
      </c>
      <c r="AF33" s="6" t="s">
        <v>24</v>
      </c>
      <c r="AG33" s="4">
        <f t="shared" si="0"/>
        <v>22</v>
      </c>
      <c r="AH33" s="4">
        <f t="shared" si="1"/>
        <v>0</v>
      </c>
    </row>
    <row r="34" spans="1:34" ht="16.5">
      <c r="A34" s="7">
        <v>30</v>
      </c>
      <c r="B34" s="80" t="s">
        <v>176</v>
      </c>
      <c r="C34" s="80" t="s">
        <v>177</v>
      </c>
      <c r="D34" s="14" t="s">
        <v>50</v>
      </c>
      <c r="E34" s="91" t="s">
        <v>414</v>
      </c>
      <c r="F34" s="108"/>
      <c r="G34" s="13" t="s">
        <v>24</v>
      </c>
      <c r="H34" s="13" t="s">
        <v>24</v>
      </c>
      <c r="I34" s="108"/>
      <c r="J34" s="13" t="s">
        <v>24</v>
      </c>
      <c r="K34" s="13" t="s">
        <v>24</v>
      </c>
      <c r="L34" s="90" t="s">
        <v>24</v>
      </c>
      <c r="M34" s="108"/>
      <c r="N34" s="6" t="s">
        <v>24</v>
      </c>
      <c r="O34" s="6" t="s">
        <v>24</v>
      </c>
      <c r="P34" s="6" t="s">
        <v>24</v>
      </c>
      <c r="Q34" s="6" t="s">
        <v>24</v>
      </c>
      <c r="R34" s="108"/>
      <c r="S34" s="91" t="s">
        <v>24</v>
      </c>
      <c r="T34" s="108"/>
      <c r="U34" s="6" t="s">
        <v>24</v>
      </c>
      <c r="V34" s="6" t="s">
        <v>24</v>
      </c>
      <c r="W34" s="6" t="s">
        <v>24</v>
      </c>
      <c r="X34" s="6" t="s">
        <v>24</v>
      </c>
      <c r="Y34" s="6" t="s">
        <v>24</v>
      </c>
      <c r="Z34" s="91" t="s">
        <v>24</v>
      </c>
      <c r="AA34" s="108"/>
      <c r="AB34" s="6" t="s">
        <v>24</v>
      </c>
      <c r="AC34" s="6" t="s">
        <v>24</v>
      </c>
      <c r="AD34" s="6" t="s">
        <v>24</v>
      </c>
      <c r="AE34" s="6" t="s">
        <v>24</v>
      </c>
      <c r="AF34" s="6" t="s">
        <v>24</v>
      </c>
      <c r="AG34" s="4">
        <f t="shared" si="0"/>
        <v>22</v>
      </c>
      <c r="AH34" s="4">
        <f t="shared" si="1"/>
        <v>0</v>
      </c>
    </row>
    <row r="35" spans="1:34" ht="16.5">
      <c r="A35" s="7">
        <v>31</v>
      </c>
      <c r="B35" s="80" t="s">
        <v>178</v>
      </c>
      <c r="C35" s="80" t="s">
        <v>179</v>
      </c>
      <c r="D35" s="14" t="s">
        <v>50</v>
      </c>
      <c r="E35" s="91" t="s">
        <v>414</v>
      </c>
      <c r="F35" s="108"/>
      <c r="G35" s="13" t="s">
        <v>24</v>
      </c>
      <c r="H35" s="13" t="s">
        <v>24</v>
      </c>
      <c r="I35" s="108"/>
      <c r="J35" s="13" t="s">
        <v>24</v>
      </c>
      <c r="K35" s="13" t="s">
        <v>24</v>
      </c>
      <c r="L35" s="90" t="s">
        <v>24</v>
      </c>
      <c r="M35" s="108"/>
      <c r="N35" s="6" t="s">
        <v>24</v>
      </c>
      <c r="O35" s="6" t="s">
        <v>24</v>
      </c>
      <c r="P35" s="6" t="s">
        <v>24</v>
      </c>
      <c r="Q35" s="6" t="s">
        <v>24</v>
      </c>
      <c r="R35" s="108"/>
      <c r="S35" s="91" t="s">
        <v>24</v>
      </c>
      <c r="T35" s="108"/>
      <c r="U35" s="6" t="s">
        <v>24</v>
      </c>
      <c r="V35" s="6" t="s">
        <v>24</v>
      </c>
      <c r="W35" s="6" t="s">
        <v>24</v>
      </c>
      <c r="X35" s="6" t="s">
        <v>24</v>
      </c>
      <c r="Y35" s="6" t="s">
        <v>24</v>
      </c>
      <c r="Z35" s="91" t="s">
        <v>24</v>
      </c>
      <c r="AA35" s="108"/>
      <c r="AB35" s="6" t="s">
        <v>24</v>
      </c>
      <c r="AC35" s="6" t="s">
        <v>24</v>
      </c>
      <c r="AD35" s="6" t="s">
        <v>24</v>
      </c>
      <c r="AE35" s="6" t="s">
        <v>24</v>
      </c>
      <c r="AF35" s="6" t="s">
        <v>24</v>
      </c>
      <c r="AG35" s="4">
        <f t="shared" si="0"/>
        <v>22</v>
      </c>
      <c r="AH35" s="4">
        <f t="shared" si="1"/>
        <v>0</v>
      </c>
    </row>
    <row r="36" spans="1:34" ht="16.5">
      <c r="A36" s="7">
        <v>32</v>
      </c>
      <c r="B36" s="80" t="s">
        <v>33</v>
      </c>
      <c r="C36" s="80" t="s">
        <v>134</v>
      </c>
      <c r="D36" s="14" t="s">
        <v>50</v>
      </c>
      <c r="E36" s="91" t="s">
        <v>414</v>
      </c>
      <c r="F36" s="108"/>
      <c r="G36" s="13" t="s">
        <v>24</v>
      </c>
      <c r="H36" s="13" t="s">
        <v>24</v>
      </c>
      <c r="I36" s="108"/>
      <c r="J36" s="13" t="s">
        <v>24</v>
      </c>
      <c r="K36" s="13" t="s">
        <v>24</v>
      </c>
      <c r="L36" s="90" t="s">
        <v>24</v>
      </c>
      <c r="M36" s="108"/>
      <c r="N36" s="6" t="s">
        <v>24</v>
      </c>
      <c r="O36" s="6" t="s">
        <v>24</v>
      </c>
      <c r="P36" s="6" t="s">
        <v>24</v>
      </c>
      <c r="Q36" s="6" t="s">
        <v>24</v>
      </c>
      <c r="R36" s="108"/>
      <c r="S36" s="91" t="s">
        <v>24</v>
      </c>
      <c r="T36" s="108"/>
      <c r="U36" s="6" t="s">
        <v>24</v>
      </c>
      <c r="V36" s="6" t="s">
        <v>24</v>
      </c>
      <c r="W36" s="6" t="s">
        <v>24</v>
      </c>
      <c r="X36" s="6" t="s">
        <v>24</v>
      </c>
      <c r="Y36" s="6" t="s">
        <v>24</v>
      </c>
      <c r="Z36" s="91" t="s">
        <v>24</v>
      </c>
      <c r="AA36" s="108"/>
      <c r="AB36" s="6" t="s">
        <v>24</v>
      </c>
      <c r="AC36" s="6" t="s">
        <v>24</v>
      </c>
      <c r="AD36" s="6" t="s">
        <v>24</v>
      </c>
      <c r="AE36" s="6" t="s">
        <v>24</v>
      </c>
      <c r="AF36" s="6" t="s">
        <v>24</v>
      </c>
      <c r="AG36" s="4">
        <f t="shared" si="0"/>
        <v>22</v>
      </c>
      <c r="AH36" s="4">
        <f t="shared" si="1"/>
        <v>0</v>
      </c>
    </row>
    <row r="37" spans="1:34" ht="16.5">
      <c r="A37" s="7">
        <v>33</v>
      </c>
      <c r="B37" s="80" t="s">
        <v>180</v>
      </c>
      <c r="C37" s="80" t="s">
        <v>181</v>
      </c>
      <c r="D37" s="14" t="s">
        <v>50</v>
      </c>
      <c r="E37" s="91" t="s">
        <v>414</v>
      </c>
      <c r="F37" s="108"/>
      <c r="G37" s="13" t="s">
        <v>24</v>
      </c>
      <c r="H37" s="13" t="s">
        <v>24</v>
      </c>
      <c r="I37" s="108"/>
      <c r="J37" s="13" t="s">
        <v>24</v>
      </c>
      <c r="K37" s="13" t="s">
        <v>24</v>
      </c>
      <c r="L37" s="90" t="s">
        <v>24</v>
      </c>
      <c r="M37" s="108"/>
      <c r="N37" s="6" t="s">
        <v>24</v>
      </c>
      <c r="O37" s="6" t="s">
        <v>24</v>
      </c>
      <c r="P37" s="6" t="s">
        <v>24</v>
      </c>
      <c r="Q37" s="6" t="s">
        <v>24</v>
      </c>
      <c r="R37" s="108"/>
      <c r="S37" s="91" t="s">
        <v>24</v>
      </c>
      <c r="T37" s="108"/>
      <c r="U37" s="6" t="s">
        <v>24</v>
      </c>
      <c r="V37" s="6" t="s">
        <v>24</v>
      </c>
      <c r="W37" s="6" t="s">
        <v>24</v>
      </c>
      <c r="X37" s="6" t="s">
        <v>24</v>
      </c>
      <c r="Y37" s="6" t="s">
        <v>24</v>
      </c>
      <c r="Z37" s="91" t="s">
        <v>24</v>
      </c>
      <c r="AA37" s="108"/>
      <c r="AB37" s="6" t="s">
        <v>24</v>
      </c>
      <c r="AC37" s="6" t="s">
        <v>24</v>
      </c>
      <c r="AD37" s="6" t="s">
        <v>24</v>
      </c>
      <c r="AE37" s="6" t="s">
        <v>24</v>
      </c>
      <c r="AF37" s="6" t="s">
        <v>24</v>
      </c>
      <c r="AG37" s="4">
        <f t="shared" si="0"/>
        <v>22</v>
      </c>
      <c r="AH37" s="4">
        <f t="shared" si="1"/>
        <v>0</v>
      </c>
    </row>
    <row r="38" spans="1:34" ht="16.5">
      <c r="A38" s="7">
        <v>34</v>
      </c>
      <c r="B38" s="80" t="s">
        <v>182</v>
      </c>
      <c r="C38" s="80" t="s">
        <v>183</v>
      </c>
      <c r="D38" s="14" t="s">
        <v>50</v>
      </c>
      <c r="E38" s="91" t="s">
        <v>414</v>
      </c>
      <c r="F38" s="108"/>
      <c r="G38" s="13" t="s">
        <v>24</v>
      </c>
      <c r="H38" s="13" t="s">
        <v>24</v>
      </c>
      <c r="I38" s="108"/>
      <c r="J38" s="13" t="s">
        <v>24</v>
      </c>
      <c r="K38" s="13" t="s">
        <v>24</v>
      </c>
      <c r="L38" s="90" t="s">
        <v>24</v>
      </c>
      <c r="M38" s="108"/>
      <c r="N38" s="6" t="s">
        <v>24</v>
      </c>
      <c r="O38" s="6" t="s">
        <v>24</v>
      </c>
      <c r="P38" s="6" t="s">
        <v>24</v>
      </c>
      <c r="Q38" s="6" t="s">
        <v>24</v>
      </c>
      <c r="R38" s="108"/>
      <c r="S38" s="91" t="s">
        <v>24</v>
      </c>
      <c r="T38" s="108"/>
      <c r="U38" s="6" t="s">
        <v>24</v>
      </c>
      <c r="V38" s="6" t="s">
        <v>24</v>
      </c>
      <c r="W38" s="6" t="s">
        <v>24</v>
      </c>
      <c r="X38" s="6" t="s">
        <v>24</v>
      </c>
      <c r="Y38" s="6" t="s">
        <v>24</v>
      </c>
      <c r="Z38" s="91" t="s">
        <v>24</v>
      </c>
      <c r="AA38" s="108"/>
      <c r="AB38" s="6" t="s">
        <v>24</v>
      </c>
      <c r="AC38" s="6" t="s">
        <v>24</v>
      </c>
      <c r="AD38" s="6" t="s">
        <v>24</v>
      </c>
      <c r="AE38" s="6" t="s">
        <v>24</v>
      </c>
      <c r="AF38" s="6" t="s">
        <v>24</v>
      </c>
      <c r="AG38" s="4">
        <f t="shared" si="0"/>
        <v>22</v>
      </c>
      <c r="AH38" s="4">
        <f t="shared" si="1"/>
        <v>0</v>
      </c>
    </row>
    <row r="39" spans="1:34" ht="16.5">
      <c r="A39" s="7">
        <v>35</v>
      </c>
      <c r="B39" s="80" t="s">
        <v>184</v>
      </c>
      <c r="C39" s="80" t="s">
        <v>185</v>
      </c>
      <c r="D39" s="14" t="s">
        <v>50</v>
      </c>
      <c r="E39" s="91" t="s">
        <v>414</v>
      </c>
      <c r="F39" s="108"/>
      <c r="G39" s="13" t="s">
        <v>24</v>
      </c>
      <c r="H39" s="13" t="s">
        <v>24</v>
      </c>
      <c r="I39" s="108"/>
      <c r="J39" s="13" t="s">
        <v>24</v>
      </c>
      <c r="K39" s="13" t="s">
        <v>24</v>
      </c>
      <c r="L39" s="90" t="s">
        <v>24</v>
      </c>
      <c r="M39" s="108"/>
      <c r="N39" s="6" t="s">
        <v>24</v>
      </c>
      <c r="O39" s="6" t="s">
        <v>24</v>
      </c>
      <c r="P39" s="6" t="s">
        <v>24</v>
      </c>
      <c r="Q39" s="6" t="s">
        <v>24</v>
      </c>
      <c r="R39" s="108"/>
      <c r="S39" s="91" t="s">
        <v>24</v>
      </c>
      <c r="T39" s="108"/>
      <c r="U39" s="6" t="s">
        <v>24</v>
      </c>
      <c r="V39" s="6" t="s">
        <v>24</v>
      </c>
      <c r="W39" s="6" t="s">
        <v>24</v>
      </c>
      <c r="X39" s="6" t="s">
        <v>24</v>
      </c>
      <c r="Y39" s="6" t="s">
        <v>24</v>
      </c>
      <c r="Z39" s="91" t="s">
        <v>24</v>
      </c>
      <c r="AA39" s="108"/>
      <c r="AB39" s="6" t="s">
        <v>24</v>
      </c>
      <c r="AC39" s="6" t="s">
        <v>24</v>
      </c>
      <c r="AD39" s="6" t="s">
        <v>24</v>
      </c>
      <c r="AE39" s="6" t="s">
        <v>24</v>
      </c>
      <c r="AF39" s="6" t="s">
        <v>24</v>
      </c>
      <c r="AG39" s="4">
        <f t="shared" si="0"/>
        <v>22</v>
      </c>
      <c r="AH39" s="4">
        <f t="shared" si="1"/>
        <v>0</v>
      </c>
    </row>
    <row r="40" spans="1:34" ht="16.5">
      <c r="A40" s="7">
        <v>36</v>
      </c>
      <c r="B40" s="80" t="s">
        <v>186</v>
      </c>
      <c r="C40" s="80" t="s">
        <v>187</v>
      </c>
      <c r="D40" s="14" t="s">
        <v>50</v>
      </c>
      <c r="E40" s="91" t="s">
        <v>414</v>
      </c>
      <c r="F40" s="108"/>
      <c r="G40" s="13" t="s">
        <v>24</v>
      </c>
      <c r="H40" s="13" t="s">
        <v>24</v>
      </c>
      <c r="I40" s="108"/>
      <c r="J40" s="13" t="s">
        <v>24</v>
      </c>
      <c r="K40" s="13" t="s">
        <v>24</v>
      </c>
      <c r="L40" s="90" t="s">
        <v>24</v>
      </c>
      <c r="M40" s="108"/>
      <c r="N40" s="6" t="s">
        <v>24</v>
      </c>
      <c r="O40" s="6" t="s">
        <v>24</v>
      </c>
      <c r="P40" s="6" t="s">
        <v>24</v>
      </c>
      <c r="Q40" s="6" t="s">
        <v>24</v>
      </c>
      <c r="R40" s="108"/>
      <c r="S40" s="91" t="s">
        <v>24</v>
      </c>
      <c r="T40" s="108"/>
      <c r="U40" s="6" t="s">
        <v>24</v>
      </c>
      <c r="V40" s="6" t="s">
        <v>24</v>
      </c>
      <c r="W40" s="6" t="s">
        <v>24</v>
      </c>
      <c r="X40" s="6" t="s">
        <v>24</v>
      </c>
      <c r="Y40" s="6" t="s">
        <v>24</v>
      </c>
      <c r="Z40" s="91" t="s">
        <v>24</v>
      </c>
      <c r="AA40" s="108"/>
      <c r="AB40" s="6" t="s">
        <v>24</v>
      </c>
      <c r="AC40" s="6" t="s">
        <v>24</v>
      </c>
      <c r="AD40" s="6" t="s">
        <v>24</v>
      </c>
      <c r="AE40" s="6" t="s">
        <v>24</v>
      </c>
      <c r="AF40" s="6" t="s">
        <v>24</v>
      </c>
      <c r="AG40" s="4">
        <f t="shared" si="0"/>
        <v>22</v>
      </c>
      <c r="AH40" s="4">
        <f t="shared" si="1"/>
        <v>0</v>
      </c>
    </row>
    <row r="41" spans="1:34" ht="16.5">
      <c r="A41" s="85">
        <f>A40+1</f>
        <v>37</v>
      </c>
      <c r="B41" s="80" t="s">
        <v>188</v>
      </c>
      <c r="C41" s="80" t="s">
        <v>151</v>
      </c>
      <c r="D41" s="14" t="s">
        <v>50</v>
      </c>
      <c r="E41" s="91" t="s">
        <v>414</v>
      </c>
      <c r="F41" s="108"/>
      <c r="G41" s="13" t="s">
        <v>24</v>
      </c>
      <c r="H41" s="13" t="s">
        <v>24</v>
      </c>
      <c r="I41" s="108"/>
      <c r="J41" s="13" t="s">
        <v>24</v>
      </c>
      <c r="K41" s="13" t="s">
        <v>24</v>
      </c>
      <c r="L41" s="90" t="s">
        <v>24</v>
      </c>
      <c r="M41" s="108"/>
      <c r="N41" s="6" t="s">
        <v>24</v>
      </c>
      <c r="O41" s="6" t="s">
        <v>24</v>
      </c>
      <c r="P41" s="6" t="s">
        <v>24</v>
      </c>
      <c r="Q41" s="6" t="s">
        <v>24</v>
      </c>
      <c r="R41" s="108"/>
      <c r="S41" s="91" t="s">
        <v>24</v>
      </c>
      <c r="T41" s="108"/>
      <c r="U41" s="6" t="s">
        <v>24</v>
      </c>
      <c r="V41" s="6" t="s">
        <v>24</v>
      </c>
      <c r="W41" s="6" t="s">
        <v>24</v>
      </c>
      <c r="X41" s="6" t="s">
        <v>24</v>
      </c>
      <c r="Y41" s="6" t="s">
        <v>24</v>
      </c>
      <c r="Z41" s="91" t="s">
        <v>24</v>
      </c>
      <c r="AA41" s="108"/>
      <c r="AB41" s="6" t="s">
        <v>24</v>
      </c>
      <c r="AC41" s="6" t="s">
        <v>24</v>
      </c>
      <c r="AD41" s="6" t="s">
        <v>24</v>
      </c>
      <c r="AE41" s="6" t="s">
        <v>24</v>
      </c>
      <c r="AF41" s="6" t="s">
        <v>24</v>
      </c>
      <c r="AG41" s="84"/>
      <c r="AH41" s="84"/>
    </row>
    <row r="42" spans="1:34" ht="16.5">
      <c r="A42" s="85">
        <f t="shared" ref="A42:A51" si="2">A41+1</f>
        <v>38</v>
      </c>
      <c r="B42" s="83" t="s">
        <v>189</v>
      </c>
      <c r="C42" s="83" t="s">
        <v>190</v>
      </c>
      <c r="D42" s="5" t="s">
        <v>50</v>
      </c>
      <c r="E42" s="91" t="s">
        <v>414</v>
      </c>
      <c r="F42" s="108"/>
      <c r="G42" s="13" t="s">
        <v>24</v>
      </c>
      <c r="H42" s="13" t="s">
        <v>24</v>
      </c>
      <c r="I42" s="108"/>
      <c r="J42" s="13" t="s">
        <v>24</v>
      </c>
      <c r="K42" s="13" t="s">
        <v>24</v>
      </c>
      <c r="L42" s="90" t="s">
        <v>24</v>
      </c>
      <c r="M42" s="108"/>
      <c r="N42" s="6" t="s">
        <v>24</v>
      </c>
      <c r="O42" s="6" t="s">
        <v>24</v>
      </c>
      <c r="P42" s="6" t="s">
        <v>24</v>
      </c>
      <c r="Q42" s="6" t="s">
        <v>24</v>
      </c>
      <c r="R42" s="108"/>
      <c r="S42" s="91" t="s">
        <v>24</v>
      </c>
      <c r="T42" s="108"/>
      <c r="U42" s="6" t="s">
        <v>24</v>
      </c>
      <c r="V42" s="6" t="s">
        <v>24</v>
      </c>
      <c r="W42" s="6" t="s">
        <v>24</v>
      </c>
      <c r="X42" s="6" t="s">
        <v>24</v>
      </c>
      <c r="Y42" s="6" t="s">
        <v>24</v>
      </c>
      <c r="Z42" s="91" t="s">
        <v>24</v>
      </c>
      <c r="AA42" s="108"/>
      <c r="AB42" s="6" t="s">
        <v>24</v>
      </c>
      <c r="AC42" s="6" t="s">
        <v>24</v>
      </c>
      <c r="AD42" s="6" t="s">
        <v>24</v>
      </c>
      <c r="AE42" s="6" t="s">
        <v>24</v>
      </c>
      <c r="AF42" s="6" t="s">
        <v>24</v>
      </c>
      <c r="AG42" s="84"/>
      <c r="AH42" s="84"/>
    </row>
    <row r="43" spans="1:34" ht="16.5">
      <c r="A43" s="85">
        <f t="shared" si="2"/>
        <v>39</v>
      </c>
      <c r="B43" s="83" t="s">
        <v>118</v>
      </c>
      <c r="C43" s="83" t="s">
        <v>154</v>
      </c>
      <c r="D43" s="5" t="s">
        <v>50</v>
      </c>
      <c r="E43" s="91" t="s">
        <v>414</v>
      </c>
      <c r="F43" s="108"/>
      <c r="G43" s="13" t="s">
        <v>24</v>
      </c>
      <c r="H43" s="13" t="s">
        <v>24</v>
      </c>
      <c r="I43" s="108"/>
      <c r="J43" s="13" t="s">
        <v>24</v>
      </c>
      <c r="K43" s="13" t="s">
        <v>24</v>
      </c>
      <c r="L43" s="90" t="s">
        <v>24</v>
      </c>
      <c r="M43" s="108"/>
      <c r="N43" s="6" t="s">
        <v>24</v>
      </c>
      <c r="O43" s="6" t="s">
        <v>24</v>
      </c>
      <c r="P43" s="6" t="s">
        <v>24</v>
      </c>
      <c r="Q43" s="6" t="s">
        <v>24</v>
      </c>
      <c r="R43" s="108"/>
      <c r="S43" s="91" t="s">
        <v>24</v>
      </c>
      <c r="T43" s="108"/>
      <c r="U43" s="6" t="s">
        <v>24</v>
      </c>
      <c r="V43" s="6" t="s">
        <v>24</v>
      </c>
      <c r="W43" s="6" t="s">
        <v>24</v>
      </c>
      <c r="X43" s="6" t="s">
        <v>24</v>
      </c>
      <c r="Y43" s="6" t="s">
        <v>24</v>
      </c>
      <c r="Z43" s="91" t="s">
        <v>24</v>
      </c>
      <c r="AA43" s="108"/>
      <c r="AB43" s="6" t="s">
        <v>24</v>
      </c>
      <c r="AC43" s="6" t="s">
        <v>24</v>
      </c>
      <c r="AD43" s="6" t="s">
        <v>24</v>
      </c>
      <c r="AE43" s="6" t="s">
        <v>24</v>
      </c>
      <c r="AF43" s="6" t="s">
        <v>24</v>
      </c>
      <c r="AG43" s="84"/>
      <c r="AH43" s="84"/>
    </row>
    <row r="44" spans="1:34" ht="16.5">
      <c r="A44" s="85">
        <f t="shared" si="2"/>
        <v>40</v>
      </c>
      <c r="B44" s="83" t="s">
        <v>191</v>
      </c>
      <c r="C44" s="83" t="s">
        <v>77</v>
      </c>
      <c r="D44" s="5" t="s">
        <v>50</v>
      </c>
      <c r="E44" s="91" t="s">
        <v>414</v>
      </c>
      <c r="F44" s="108"/>
      <c r="G44" s="13" t="s">
        <v>24</v>
      </c>
      <c r="H44" s="13" t="s">
        <v>24</v>
      </c>
      <c r="I44" s="108"/>
      <c r="J44" s="13" t="s">
        <v>24</v>
      </c>
      <c r="K44" s="13" t="s">
        <v>24</v>
      </c>
      <c r="L44" s="90" t="s">
        <v>24</v>
      </c>
      <c r="M44" s="108"/>
      <c r="N44" s="6" t="s">
        <v>24</v>
      </c>
      <c r="O44" s="6" t="s">
        <v>24</v>
      </c>
      <c r="P44" s="6" t="s">
        <v>24</v>
      </c>
      <c r="Q44" s="6" t="s">
        <v>24</v>
      </c>
      <c r="R44" s="108"/>
      <c r="S44" s="91" t="s">
        <v>24</v>
      </c>
      <c r="T44" s="108"/>
      <c r="U44" s="6" t="s">
        <v>24</v>
      </c>
      <c r="V44" s="6" t="s">
        <v>24</v>
      </c>
      <c r="W44" s="6" t="s">
        <v>24</v>
      </c>
      <c r="X44" s="6" t="s">
        <v>24</v>
      </c>
      <c r="Y44" s="6" t="s">
        <v>24</v>
      </c>
      <c r="Z44" s="91" t="s">
        <v>24</v>
      </c>
      <c r="AA44" s="108"/>
      <c r="AB44" s="6" t="s">
        <v>24</v>
      </c>
      <c r="AC44" s="6" t="s">
        <v>24</v>
      </c>
      <c r="AD44" s="6" t="s">
        <v>24</v>
      </c>
      <c r="AE44" s="6" t="s">
        <v>24</v>
      </c>
      <c r="AF44" s="6" t="s">
        <v>24</v>
      </c>
      <c r="AG44" s="84"/>
      <c r="AH44" s="84"/>
    </row>
    <row r="45" spans="1:34" ht="16.5">
      <c r="A45" s="85">
        <f t="shared" si="2"/>
        <v>41</v>
      </c>
      <c r="B45" s="83" t="s">
        <v>74</v>
      </c>
      <c r="C45" s="83" t="s">
        <v>77</v>
      </c>
      <c r="D45" s="5" t="s">
        <v>50</v>
      </c>
      <c r="E45" s="91" t="s">
        <v>414</v>
      </c>
      <c r="F45" s="108"/>
      <c r="G45" s="13" t="s">
        <v>24</v>
      </c>
      <c r="H45" s="13" t="s">
        <v>24</v>
      </c>
      <c r="I45" s="108"/>
      <c r="J45" s="13" t="s">
        <v>24</v>
      </c>
      <c r="K45" s="13" t="s">
        <v>24</v>
      </c>
      <c r="L45" s="90" t="s">
        <v>24</v>
      </c>
      <c r="M45" s="108"/>
      <c r="N45" s="6" t="s">
        <v>24</v>
      </c>
      <c r="O45" s="6" t="s">
        <v>24</v>
      </c>
      <c r="P45" s="6" t="s">
        <v>24</v>
      </c>
      <c r="Q45" s="6" t="s">
        <v>24</v>
      </c>
      <c r="R45" s="108"/>
      <c r="S45" s="91" t="s">
        <v>24</v>
      </c>
      <c r="T45" s="108"/>
      <c r="U45" s="6" t="s">
        <v>24</v>
      </c>
      <c r="V45" s="6" t="s">
        <v>24</v>
      </c>
      <c r="W45" s="6" t="s">
        <v>24</v>
      </c>
      <c r="X45" s="6" t="s">
        <v>24</v>
      </c>
      <c r="Y45" s="6" t="s">
        <v>24</v>
      </c>
      <c r="Z45" s="91" t="s">
        <v>24</v>
      </c>
      <c r="AA45" s="108"/>
      <c r="AB45" s="6" t="s">
        <v>24</v>
      </c>
      <c r="AC45" s="6" t="s">
        <v>24</v>
      </c>
      <c r="AD45" s="6" t="s">
        <v>24</v>
      </c>
      <c r="AE45" s="6" t="s">
        <v>24</v>
      </c>
      <c r="AF45" s="6" t="s">
        <v>24</v>
      </c>
      <c r="AG45" s="84"/>
      <c r="AH45" s="84"/>
    </row>
    <row r="46" spans="1:34" ht="16.5">
      <c r="A46" s="85">
        <f t="shared" si="2"/>
        <v>42</v>
      </c>
      <c r="B46" s="83" t="s">
        <v>192</v>
      </c>
      <c r="C46" s="83" t="s">
        <v>190</v>
      </c>
      <c r="D46" s="5" t="s">
        <v>50</v>
      </c>
      <c r="E46" s="91" t="s">
        <v>414</v>
      </c>
      <c r="F46" s="108"/>
      <c r="G46" s="13" t="s">
        <v>24</v>
      </c>
      <c r="H46" s="13" t="s">
        <v>24</v>
      </c>
      <c r="I46" s="108"/>
      <c r="J46" s="13" t="s">
        <v>24</v>
      </c>
      <c r="K46" s="13" t="s">
        <v>24</v>
      </c>
      <c r="L46" s="90" t="s">
        <v>24</v>
      </c>
      <c r="M46" s="108"/>
      <c r="N46" s="6" t="s">
        <v>24</v>
      </c>
      <c r="O46" s="6" t="s">
        <v>24</v>
      </c>
      <c r="P46" s="6" t="s">
        <v>24</v>
      </c>
      <c r="Q46" s="6" t="s">
        <v>24</v>
      </c>
      <c r="R46" s="108"/>
      <c r="S46" s="91" t="s">
        <v>24</v>
      </c>
      <c r="T46" s="108"/>
      <c r="U46" s="6" t="s">
        <v>24</v>
      </c>
      <c r="V46" s="6" t="s">
        <v>24</v>
      </c>
      <c r="W46" s="6" t="s">
        <v>24</v>
      </c>
      <c r="X46" s="6" t="s">
        <v>24</v>
      </c>
      <c r="Y46" s="6" t="s">
        <v>24</v>
      </c>
      <c r="Z46" s="91" t="s">
        <v>24</v>
      </c>
      <c r="AA46" s="108"/>
      <c r="AB46" s="6" t="s">
        <v>24</v>
      </c>
      <c r="AC46" s="6" t="s">
        <v>24</v>
      </c>
      <c r="AD46" s="6" t="s">
        <v>24</v>
      </c>
      <c r="AE46" s="6" t="s">
        <v>24</v>
      </c>
      <c r="AF46" s="6" t="s">
        <v>24</v>
      </c>
      <c r="AG46" s="84"/>
      <c r="AH46" s="84"/>
    </row>
    <row r="47" spans="1:34" ht="16.5">
      <c r="A47" s="85">
        <f t="shared" si="2"/>
        <v>43</v>
      </c>
      <c r="B47" s="83" t="s">
        <v>193</v>
      </c>
      <c r="C47" s="83" t="s">
        <v>194</v>
      </c>
      <c r="D47" s="5" t="s">
        <v>50</v>
      </c>
      <c r="E47" s="91" t="s">
        <v>414</v>
      </c>
      <c r="F47" s="108"/>
      <c r="G47" s="13" t="s">
        <v>24</v>
      </c>
      <c r="H47" s="13" t="s">
        <v>24</v>
      </c>
      <c r="I47" s="108"/>
      <c r="J47" s="13" t="s">
        <v>24</v>
      </c>
      <c r="K47" s="13" t="s">
        <v>24</v>
      </c>
      <c r="L47" s="90" t="s">
        <v>24</v>
      </c>
      <c r="M47" s="108"/>
      <c r="N47" s="6" t="s">
        <v>24</v>
      </c>
      <c r="O47" s="6" t="s">
        <v>24</v>
      </c>
      <c r="P47" s="6" t="s">
        <v>24</v>
      </c>
      <c r="Q47" s="6" t="s">
        <v>24</v>
      </c>
      <c r="R47" s="108"/>
      <c r="S47" s="91" t="s">
        <v>24</v>
      </c>
      <c r="T47" s="108"/>
      <c r="U47" s="6" t="s">
        <v>24</v>
      </c>
      <c r="V47" s="6" t="s">
        <v>24</v>
      </c>
      <c r="W47" s="6" t="s">
        <v>24</v>
      </c>
      <c r="X47" s="6" t="s">
        <v>24</v>
      </c>
      <c r="Y47" s="6" t="s">
        <v>24</v>
      </c>
      <c r="Z47" s="91" t="s">
        <v>24</v>
      </c>
      <c r="AA47" s="108"/>
      <c r="AB47" s="6" t="s">
        <v>24</v>
      </c>
      <c r="AC47" s="6" t="s">
        <v>24</v>
      </c>
      <c r="AD47" s="6" t="s">
        <v>24</v>
      </c>
      <c r="AE47" s="6" t="s">
        <v>24</v>
      </c>
      <c r="AF47" s="6" t="s">
        <v>24</v>
      </c>
      <c r="AG47" s="84"/>
      <c r="AH47" s="84"/>
    </row>
    <row r="48" spans="1:34" ht="16.5">
      <c r="A48" s="85">
        <f t="shared" si="2"/>
        <v>44</v>
      </c>
      <c r="B48" s="83" t="s">
        <v>81</v>
      </c>
      <c r="C48" s="83" t="s">
        <v>195</v>
      </c>
      <c r="D48" s="5" t="s">
        <v>50</v>
      </c>
      <c r="E48" s="91" t="s">
        <v>414</v>
      </c>
      <c r="F48" s="108"/>
      <c r="G48" s="13" t="s">
        <v>24</v>
      </c>
      <c r="H48" s="13" t="s">
        <v>24</v>
      </c>
      <c r="I48" s="108"/>
      <c r="J48" s="13" t="s">
        <v>24</v>
      </c>
      <c r="K48" s="13" t="s">
        <v>24</v>
      </c>
      <c r="L48" s="90" t="s">
        <v>24</v>
      </c>
      <c r="M48" s="108"/>
      <c r="N48" s="6" t="s">
        <v>24</v>
      </c>
      <c r="O48" s="6" t="s">
        <v>24</v>
      </c>
      <c r="P48" s="6" t="s">
        <v>24</v>
      </c>
      <c r="Q48" s="6" t="s">
        <v>24</v>
      </c>
      <c r="R48" s="108"/>
      <c r="S48" s="91" t="s">
        <v>24</v>
      </c>
      <c r="T48" s="108"/>
      <c r="U48" s="6" t="s">
        <v>24</v>
      </c>
      <c r="V48" s="6" t="s">
        <v>24</v>
      </c>
      <c r="W48" s="6" t="s">
        <v>24</v>
      </c>
      <c r="X48" s="6" t="s">
        <v>24</v>
      </c>
      <c r="Y48" s="6" t="s">
        <v>24</v>
      </c>
      <c r="Z48" s="91" t="s">
        <v>24</v>
      </c>
      <c r="AA48" s="108"/>
      <c r="AB48" s="6" t="s">
        <v>24</v>
      </c>
      <c r="AC48" s="6" t="s">
        <v>24</v>
      </c>
      <c r="AD48" s="6" t="s">
        <v>24</v>
      </c>
      <c r="AE48" s="6" t="s">
        <v>24</v>
      </c>
      <c r="AF48" s="6" t="s">
        <v>24</v>
      </c>
      <c r="AG48" s="84"/>
      <c r="AH48" s="84"/>
    </row>
    <row r="49" spans="1:34" ht="16.5">
      <c r="A49" s="85">
        <f t="shared" si="2"/>
        <v>45</v>
      </c>
      <c r="B49" s="83" t="s">
        <v>71</v>
      </c>
      <c r="C49" s="83" t="s">
        <v>175</v>
      </c>
      <c r="D49" s="5" t="s">
        <v>50</v>
      </c>
      <c r="E49" s="91" t="s">
        <v>414</v>
      </c>
      <c r="F49" s="108"/>
      <c r="G49" s="13" t="s">
        <v>24</v>
      </c>
      <c r="H49" s="13" t="s">
        <v>24</v>
      </c>
      <c r="I49" s="108"/>
      <c r="J49" s="13" t="s">
        <v>24</v>
      </c>
      <c r="K49" s="13" t="s">
        <v>24</v>
      </c>
      <c r="L49" s="90" t="s">
        <v>24</v>
      </c>
      <c r="M49" s="108"/>
      <c r="N49" s="6" t="s">
        <v>24</v>
      </c>
      <c r="O49" s="6" t="s">
        <v>24</v>
      </c>
      <c r="P49" s="6" t="s">
        <v>24</v>
      </c>
      <c r="Q49" s="6" t="s">
        <v>24</v>
      </c>
      <c r="R49" s="108"/>
      <c r="S49" s="91" t="s">
        <v>24</v>
      </c>
      <c r="T49" s="108"/>
      <c r="U49" s="6" t="s">
        <v>24</v>
      </c>
      <c r="V49" s="6" t="s">
        <v>24</v>
      </c>
      <c r="W49" s="6" t="s">
        <v>24</v>
      </c>
      <c r="X49" s="6" t="s">
        <v>24</v>
      </c>
      <c r="Y49" s="6" t="s">
        <v>24</v>
      </c>
      <c r="Z49" s="91" t="s">
        <v>24</v>
      </c>
      <c r="AA49" s="108"/>
      <c r="AB49" s="6" t="s">
        <v>24</v>
      </c>
      <c r="AC49" s="6" t="s">
        <v>24</v>
      </c>
      <c r="AD49" s="6" t="s">
        <v>24</v>
      </c>
      <c r="AE49" s="6" t="s">
        <v>24</v>
      </c>
      <c r="AF49" s="6" t="s">
        <v>24</v>
      </c>
      <c r="AG49" s="84"/>
      <c r="AH49" s="84"/>
    </row>
    <row r="50" spans="1:34" ht="16.5">
      <c r="A50" s="85">
        <f t="shared" si="2"/>
        <v>46</v>
      </c>
      <c r="B50" s="83" t="s">
        <v>196</v>
      </c>
      <c r="C50" s="83" t="s">
        <v>197</v>
      </c>
      <c r="D50" s="5" t="s">
        <v>50</v>
      </c>
      <c r="E50" s="91" t="s">
        <v>414</v>
      </c>
      <c r="F50" s="108"/>
      <c r="G50" s="13" t="s">
        <v>24</v>
      </c>
      <c r="H50" s="13" t="s">
        <v>24</v>
      </c>
      <c r="I50" s="108"/>
      <c r="J50" s="13" t="s">
        <v>24</v>
      </c>
      <c r="K50" s="13" t="s">
        <v>24</v>
      </c>
      <c r="L50" s="90" t="s">
        <v>24</v>
      </c>
      <c r="M50" s="108"/>
      <c r="N50" s="6" t="s">
        <v>24</v>
      </c>
      <c r="O50" s="6" t="s">
        <v>24</v>
      </c>
      <c r="P50" s="6" t="s">
        <v>24</v>
      </c>
      <c r="Q50" s="6" t="s">
        <v>24</v>
      </c>
      <c r="R50" s="108"/>
      <c r="S50" s="91" t="s">
        <v>24</v>
      </c>
      <c r="T50" s="108"/>
      <c r="U50" s="6" t="s">
        <v>24</v>
      </c>
      <c r="V50" s="6" t="s">
        <v>24</v>
      </c>
      <c r="W50" s="6" t="s">
        <v>24</v>
      </c>
      <c r="X50" s="6" t="s">
        <v>24</v>
      </c>
      <c r="Y50" s="6" t="s">
        <v>24</v>
      </c>
      <c r="Z50" s="91" t="s">
        <v>24</v>
      </c>
      <c r="AA50" s="108"/>
      <c r="AB50" s="6" t="s">
        <v>24</v>
      </c>
      <c r="AC50" s="6" t="s">
        <v>24</v>
      </c>
      <c r="AD50" s="6" t="s">
        <v>24</v>
      </c>
      <c r="AE50" s="6" t="s">
        <v>24</v>
      </c>
      <c r="AF50" s="6" t="s">
        <v>24</v>
      </c>
      <c r="AG50" s="84"/>
      <c r="AH50" s="84"/>
    </row>
    <row r="51" spans="1:34" ht="16.5">
      <c r="A51" s="85">
        <f t="shared" si="2"/>
        <v>47</v>
      </c>
      <c r="B51" s="83" t="s">
        <v>198</v>
      </c>
      <c r="C51" s="83" t="s">
        <v>199</v>
      </c>
      <c r="D51" s="5" t="s">
        <v>50</v>
      </c>
      <c r="E51" s="91" t="s">
        <v>414</v>
      </c>
      <c r="F51" s="109"/>
      <c r="G51" s="13" t="s">
        <v>24</v>
      </c>
      <c r="H51" s="13" t="s">
        <v>24</v>
      </c>
      <c r="I51" s="109"/>
      <c r="J51" s="13" t="s">
        <v>24</v>
      </c>
      <c r="K51" s="13" t="s">
        <v>24</v>
      </c>
      <c r="L51" s="90" t="s">
        <v>24</v>
      </c>
      <c r="M51" s="109"/>
      <c r="N51" s="6" t="s">
        <v>24</v>
      </c>
      <c r="O51" s="6" t="s">
        <v>24</v>
      </c>
      <c r="P51" s="6" t="s">
        <v>24</v>
      </c>
      <c r="Q51" s="6" t="s">
        <v>24</v>
      </c>
      <c r="R51" s="109"/>
      <c r="S51" s="91" t="s">
        <v>24</v>
      </c>
      <c r="T51" s="109"/>
      <c r="U51" s="6" t="s">
        <v>24</v>
      </c>
      <c r="V51" s="6" t="s">
        <v>24</v>
      </c>
      <c r="W51" s="6" t="s">
        <v>24</v>
      </c>
      <c r="X51" s="6" t="s">
        <v>24</v>
      </c>
      <c r="Y51" s="6" t="s">
        <v>24</v>
      </c>
      <c r="Z51" s="91" t="s">
        <v>24</v>
      </c>
      <c r="AA51" s="109"/>
      <c r="AB51" s="6" t="s">
        <v>24</v>
      </c>
      <c r="AC51" s="6" t="s">
        <v>24</v>
      </c>
      <c r="AD51" s="6" t="s">
        <v>24</v>
      </c>
      <c r="AE51" s="6" t="s">
        <v>24</v>
      </c>
      <c r="AF51" s="6" t="s">
        <v>24</v>
      </c>
      <c r="AG51" s="84"/>
      <c r="AH51" s="84"/>
    </row>
  </sheetData>
  <mergeCells count="17">
    <mergeCell ref="AH3:AH4"/>
    <mergeCell ref="AI3:AJ3"/>
    <mergeCell ref="AI11:AL11"/>
    <mergeCell ref="AI19:AL19"/>
    <mergeCell ref="AG3:AG4"/>
    <mergeCell ref="F5:F51"/>
    <mergeCell ref="AA5:AA51"/>
    <mergeCell ref="M5:M51"/>
    <mergeCell ref="T5:T51"/>
    <mergeCell ref="I5:I51"/>
    <mergeCell ref="R5:R51"/>
    <mergeCell ref="A1:AF1"/>
    <mergeCell ref="A2:AF2"/>
    <mergeCell ref="A3:A4"/>
    <mergeCell ref="B3:B4"/>
    <mergeCell ref="C3:C4"/>
    <mergeCell ref="D3:D4"/>
  </mergeCells>
  <phoneticPr fontId="19" type="noConversion"/>
  <conditionalFormatting sqref="E3:AF4 G5:H51 AB5:AF51 N5:Q51 J5:L51 U5:Z51">
    <cfRule type="expression" dxfId="84" priority="53">
      <formula>E$4=TODAY()</formula>
    </cfRule>
    <cfRule type="expression" dxfId="83" priority="56">
      <formula>E$3="Sun"</formula>
    </cfRule>
  </conditionalFormatting>
  <conditionalFormatting sqref="G5:H51 AB5:AF51 N5:Q51 J5:L51 U5:Z51">
    <cfRule type="cellIs" dxfId="82" priority="52" operator="equal">
      <formula>"L"</formula>
    </cfRule>
    <cfRule type="cellIs" dxfId="81" priority="54" operator="equal">
      <formula>"A"</formula>
    </cfRule>
    <cfRule type="cellIs" dxfId="80" priority="55" operator="equal">
      <formula>"P"</formula>
    </cfRule>
  </conditionalFormatting>
  <conditionalFormatting sqref="AG3:AH3 AG5:AH40">
    <cfRule type="expression" dxfId="197" priority="57">
      <formula>#REF!="Sun"</formula>
    </cfRule>
  </conditionalFormatting>
  <conditionalFormatting sqref="AI5:AI9">
    <cfRule type="expression" dxfId="196" priority="49">
      <formula>AI$3="Sun"</formula>
    </cfRule>
  </conditionalFormatting>
  <conditionalFormatting sqref="AI12:AI15">
    <cfRule type="expression" dxfId="195" priority="47">
      <formula>AI$3="Sun"</formula>
    </cfRule>
  </conditionalFormatting>
  <conditionalFormatting sqref="AI20:AI23">
    <cfRule type="expression" dxfId="194" priority="46">
      <formula>AI$3="Sun"</formula>
    </cfRule>
  </conditionalFormatting>
  <conditionalFormatting sqref="AI4:AJ4">
    <cfRule type="expression" dxfId="193" priority="50">
      <formula>AI$3="Sun"</formula>
    </cfRule>
  </conditionalFormatting>
  <conditionalFormatting sqref="AJ12:AL12 AJ20:AL20">
    <cfRule type="expression" dxfId="192" priority="51">
      <formula>AJ$3="Sun"</formula>
    </cfRule>
  </conditionalFormatting>
  <conditionalFormatting sqref="AL21">
    <cfRule type="expression" dxfId="191" priority="48">
      <formula>AL$3="Sun"</formula>
    </cfRule>
  </conditionalFormatting>
  <conditionalFormatting sqref="S5:S51">
    <cfRule type="expression" dxfId="190" priority="42">
      <formula>S$4=TODAY()</formula>
    </cfRule>
    <cfRule type="expression" dxfId="189" priority="45">
      <formula>S$3="Sun"</formula>
    </cfRule>
  </conditionalFormatting>
  <conditionalFormatting sqref="S5:S51">
    <cfRule type="cellIs" dxfId="188" priority="41" operator="equal">
      <formula>"L"</formula>
    </cfRule>
    <cfRule type="cellIs" dxfId="187" priority="43" operator="equal">
      <formula>"A"</formula>
    </cfRule>
    <cfRule type="cellIs" dxfId="186" priority="44" operator="equal">
      <formula>"P"</formula>
    </cfRule>
  </conditionalFormatting>
  <conditionalFormatting sqref="E5:E51">
    <cfRule type="expression" dxfId="185" priority="37">
      <formula>E$4=TODAY()</formula>
    </cfRule>
    <cfRule type="expression" dxfId="184" priority="40">
      <formula>E$3="Sun"</formula>
    </cfRule>
  </conditionalFormatting>
  <conditionalFormatting sqref="E5:E51">
    <cfRule type="cellIs" dxfId="183" priority="36" operator="equal">
      <formula>"L"</formula>
    </cfRule>
    <cfRule type="cellIs" dxfId="182" priority="38" operator="equal">
      <formula>"A"</formula>
    </cfRule>
    <cfRule type="cellIs" dxfId="181" priority="39" operator="equal">
      <formula>"P"</formula>
    </cfRule>
  </conditionalFormatting>
  <conditionalFormatting sqref="F5">
    <cfRule type="expression" dxfId="180" priority="27">
      <formula>F$4=TODAY()</formula>
    </cfRule>
    <cfRule type="expression" dxfId="179" priority="30">
      <formula>F$3="Sun"</formula>
    </cfRule>
  </conditionalFormatting>
  <conditionalFormatting sqref="F5">
    <cfRule type="cellIs" dxfId="178" priority="26" operator="equal">
      <formula>"L"</formula>
    </cfRule>
    <cfRule type="cellIs" dxfId="177" priority="28" operator="equal">
      <formula>"A"</formula>
    </cfRule>
    <cfRule type="cellIs" dxfId="176" priority="29" operator="equal">
      <formula>"P"</formula>
    </cfRule>
  </conditionalFormatting>
  <conditionalFormatting sqref="AA5">
    <cfRule type="expression" dxfId="109" priority="22">
      <formula>AA$4=TODAY()</formula>
    </cfRule>
    <cfRule type="expression" dxfId="108" priority="25">
      <formula>AA$3="Sun"</formula>
    </cfRule>
  </conditionalFormatting>
  <conditionalFormatting sqref="AA5">
    <cfRule type="cellIs" dxfId="107" priority="21" operator="equal">
      <formula>"L"</formula>
    </cfRule>
    <cfRule type="cellIs" dxfId="106" priority="23" operator="equal">
      <formula>"A"</formula>
    </cfRule>
    <cfRule type="cellIs" dxfId="105" priority="24" operator="equal">
      <formula>"P"</formula>
    </cfRule>
  </conditionalFormatting>
  <conditionalFormatting sqref="M5">
    <cfRule type="expression" dxfId="104" priority="17">
      <formula>M$4=TODAY()</formula>
    </cfRule>
    <cfRule type="expression" dxfId="103" priority="20">
      <formula>M$3="Sun"</formula>
    </cfRule>
  </conditionalFormatting>
  <conditionalFormatting sqref="M5">
    <cfRule type="cellIs" dxfId="102" priority="16" operator="equal">
      <formula>"L"</formula>
    </cfRule>
    <cfRule type="cellIs" dxfId="101" priority="18" operator="equal">
      <formula>"A"</formula>
    </cfRule>
    <cfRule type="cellIs" dxfId="100" priority="19" operator="equal">
      <formula>"P"</formula>
    </cfRule>
  </conditionalFormatting>
  <conditionalFormatting sqref="T5">
    <cfRule type="expression" dxfId="99" priority="12">
      <formula>T$4=TODAY()</formula>
    </cfRule>
    <cfRule type="expression" dxfId="98" priority="15">
      <formula>T$3="Sun"</formula>
    </cfRule>
  </conditionalFormatting>
  <conditionalFormatting sqref="T5">
    <cfRule type="cellIs" dxfId="97" priority="11" operator="equal">
      <formula>"L"</formula>
    </cfRule>
    <cfRule type="cellIs" dxfId="96" priority="13" operator="equal">
      <formula>"A"</formula>
    </cfRule>
    <cfRule type="cellIs" dxfId="95" priority="14" operator="equal">
      <formula>"P"</formula>
    </cfRule>
  </conditionalFormatting>
  <conditionalFormatting sqref="I5">
    <cfRule type="expression" dxfId="94" priority="7">
      <formula>I$4=TODAY()</formula>
    </cfRule>
    <cfRule type="expression" dxfId="93" priority="10">
      <formula>I$3="Sun"</formula>
    </cfRule>
  </conditionalFormatting>
  <conditionalFormatting sqref="I5">
    <cfRule type="cellIs" dxfId="92" priority="6" operator="equal">
      <formula>"L"</formula>
    </cfRule>
    <cfRule type="cellIs" dxfId="91" priority="8" operator="equal">
      <formula>"A"</formula>
    </cfRule>
    <cfRule type="cellIs" dxfId="90" priority="9" operator="equal">
      <formula>"P"</formula>
    </cfRule>
  </conditionalFormatting>
  <conditionalFormatting sqref="R5">
    <cfRule type="expression" dxfId="89" priority="2">
      <formula>R$4=TODAY()</formula>
    </cfRule>
    <cfRule type="expression" dxfId="88" priority="5">
      <formula>R$3="Sun"</formula>
    </cfRule>
  </conditionalFormatting>
  <conditionalFormatting sqref="R5">
    <cfRule type="cellIs" dxfId="87" priority="1" operator="equal">
      <formula>"L"</formula>
    </cfRule>
    <cfRule type="cellIs" dxfId="86" priority="3" operator="equal">
      <formula>"A"</formula>
    </cfRule>
    <cfRule type="cellIs" dxfId="85" priority="4" operator="equal">
      <formula>"P"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5633-F779-483D-837D-A2AF1ADACDA8}">
  <dimension ref="A1:AL22"/>
  <sheetViews>
    <sheetView topLeftCell="A2" zoomScale="112" zoomScaleNormal="112" workbookViewId="0">
      <selection activeCell="N7" sqref="N7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99" t="s">
        <v>125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1"/>
      <c r="AH1" s="11"/>
    </row>
    <row r="2" spans="1:38" ht="17.25">
      <c r="A2" s="100" t="s">
        <v>404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2"/>
      <c r="AH2" s="12"/>
      <c r="AI2" s="12"/>
    </row>
    <row r="3" spans="1:38" ht="15.75">
      <c r="A3" s="101" t="s">
        <v>0</v>
      </c>
      <c r="B3" s="101" t="s">
        <v>1</v>
      </c>
      <c r="C3" s="101" t="s">
        <v>2</v>
      </c>
      <c r="D3" s="101" t="s">
        <v>3</v>
      </c>
      <c r="E3" s="2" t="s">
        <v>405</v>
      </c>
      <c r="F3" s="2" t="s">
        <v>408</v>
      </c>
      <c r="G3" s="2" t="s">
        <v>409</v>
      </c>
      <c r="H3" s="2" t="s">
        <v>410</v>
      </c>
      <c r="I3" s="114" t="s">
        <v>411</v>
      </c>
      <c r="J3" s="2" t="s">
        <v>412</v>
      </c>
      <c r="K3" s="2" t="s">
        <v>413</v>
      </c>
      <c r="L3" s="2" t="s">
        <v>405</v>
      </c>
      <c r="M3" s="2" t="s">
        <v>408</v>
      </c>
      <c r="N3" s="2" t="s">
        <v>409</v>
      </c>
      <c r="O3" s="2" t="s">
        <v>410</v>
      </c>
      <c r="P3" s="2" t="s">
        <v>411</v>
      </c>
      <c r="Q3" s="2" t="s">
        <v>412</v>
      </c>
      <c r="R3" s="114" t="s">
        <v>413</v>
      </c>
      <c r="S3" s="2" t="s">
        <v>405</v>
      </c>
      <c r="T3" s="113" t="s">
        <v>408</v>
      </c>
      <c r="U3" s="2" t="s">
        <v>409</v>
      </c>
      <c r="V3" s="2" t="s">
        <v>410</v>
      </c>
      <c r="W3" s="2" t="s">
        <v>411</v>
      </c>
      <c r="X3" s="2" t="s">
        <v>412</v>
      </c>
      <c r="Y3" s="2" t="s">
        <v>413</v>
      </c>
      <c r="Z3" s="2" t="s">
        <v>405</v>
      </c>
      <c r="AA3" s="2" t="s">
        <v>408</v>
      </c>
      <c r="AB3" s="2" t="s">
        <v>409</v>
      </c>
      <c r="AC3" s="2" t="s">
        <v>410</v>
      </c>
      <c r="AD3" s="2" t="s">
        <v>411</v>
      </c>
      <c r="AE3" s="2" t="s">
        <v>412</v>
      </c>
      <c r="AF3" s="2" t="s">
        <v>413</v>
      </c>
      <c r="AG3" s="103" t="s">
        <v>4</v>
      </c>
      <c r="AH3" s="103" t="s">
        <v>5</v>
      </c>
      <c r="AI3" s="104" t="s">
        <v>28</v>
      </c>
      <c r="AJ3" s="105"/>
      <c r="AK3" s="3"/>
      <c r="AL3" s="3"/>
    </row>
    <row r="4" spans="1:38" ht="36">
      <c r="A4" s="101"/>
      <c r="B4" s="101"/>
      <c r="C4" s="101"/>
      <c r="D4" s="101"/>
      <c r="E4" s="10">
        <v>45323</v>
      </c>
      <c r="F4" s="10">
        <v>45324</v>
      </c>
      <c r="G4" s="10">
        <v>45325</v>
      </c>
      <c r="H4" s="10">
        <v>45326</v>
      </c>
      <c r="I4" s="115">
        <v>45327</v>
      </c>
      <c r="J4" s="10">
        <v>45328</v>
      </c>
      <c r="K4" s="10">
        <v>45329</v>
      </c>
      <c r="L4" s="10">
        <v>45330</v>
      </c>
      <c r="M4" s="10">
        <v>45331</v>
      </c>
      <c r="N4" s="10">
        <v>45332</v>
      </c>
      <c r="O4" s="10">
        <v>45333</v>
      </c>
      <c r="P4" s="10">
        <v>45334</v>
      </c>
      <c r="Q4" s="10">
        <v>45335</v>
      </c>
      <c r="R4" s="115">
        <v>45336</v>
      </c>
      <c r="S4" s="10">
        <v>45337</v>
      </c>
      <c r="T4" s="88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103"/>
      <c r="AH4" s="103"/>
      <c r="AI4" s="4" t="s">
        <v>29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0" t="s">
        <v>100</v>
      </c>
      <c r="C5" s="80" t="s">
        <v>101</v>
      </c>
      <c r="D5" s="14" t="s">
        <v>55</v>
      </c>
      <c r="E5" s="91" t="s">
        <v>24</v>
      </c>
      <c r="F5" s="102" t="s">
        <v>27</v>
      </c>
      <c r="G5" s="13" t="s">
        <v>24</v>
      </c>
      <c r="H5" s="13" t="s">
        <v>24</v>
      </c>
      <c r="I5" s="102" t="s">
        <v>421</v>
      </c>
      <c r="J5" s="13" t="s">
        <v>24</v>
      </c>
      <c r="K5" s="13" t="s">
        <v>24</v>
      </c>
      <c r="L5" s="90" t="s">
        <v>24</v>
      </c>
      <c r="M5" s="102" t="s">
        <v>27</v>
      </c>
      <c r="N5" s="6" t="s">
        <v>24</v>
      </c>
      <c r="O5" s="6" t="s">
        <v>24</v>
      </c>
      <c r="P5" s="6" t="s">
        <v>24</v>
      </c>
      <c r="Q5" s="6" t="s">
        <v>24</v>
      </c>
      <c r="R5" s="102" t="s">
        <v>422</v>
      </c>
      <c r="S5" s="91" t="s">
        <v>24</v>
      </c>
      <c r="T5" s="102" t="s">
        <v>27</v>
      </c>
      <c r="U5" s="6" t="s">
        <v>24</v>
      </c>
      <c r="V5" s="6" t="s">
        <v>24</v>
      </c>
      <c r="W5" s="6" t="s">
        <v>24</v>
      </c>
      <c r="X5" s="6" t="s">
        <v>24</v>
      </c>
      <c r="Y5" s="6" t="s">
        <v>24</v>
      </c>
      <c r="Z5" s="91" t="s">
        <v>24</v>
      </c>
      <c r="AA5" s="102" t="s">
        <v>27</v>
      </c>
      <c r="AB5" s="6" t="s">
        <v>24</v>
      </c>
      <c r="AC5" s="6" t="s">
        <v>24</v>
      </c>
      <c r="AD5" s="6" t="s">
        <v>24</v>
      </c>
      <c r="AE5" s="6" t="s">
        <v>24</v>
      </c>
      <c r="AF5" s="6" t="s">
        <v>24</v>
      </c>
      <c r="AG5" s="4">
        <f t="shared" ref="AG5:AG22" si="0">COUNTIF(E5:AF5,"P")</f>
        <v>22</v>
      </c>
      <c r="AH5" s="4">
        <f t="shared" ref="AH5:AH22" si="1">COUNTIF(E5:AF5,"A")</f>
        <v>0</v>
      </c>
      <c r="AI5" s="82" t="s">
        <v>7</v>
      </c>
      <c r="AJ5" s="7">
        <v>24</v>
      </c>
      <c r="AK5" s="8"/>
      <c r="AL5" s="3"/>
    </row>
    <row r="6" spans="1:38" ht="16.5">
      <c r="A6" s="7">
        <v>2</v>
      </c>
      <c r="B6" s="80" t="s">
        <v>102</v>
      </c>
      <c r="C6" s="80" t="s">
        <v>103</v>
      </c>
      <c r="D6" s="14" t="s">
        <v>55</v>
      </c>
      <c r="E6" s="91" t="s">
        <v>24</v>
      </c>
      <c r="F6" s="102"/>
      <c r="G6" s="13" t="s">
        <v>24</v>
      </c>
      <c r="H6" s="13" t="s">
        <v>24</v>
      </c>
      <c r="I6" s="102"/>
      <c r="J6" s="13" t="s">
        <v>24</v>
      </c>
      <c r="K6" s="13" t="s">
        <v>23</v>
      </c>
      <c r="L6" s="90" t="s">
        <v>24</v>
      </c>
      <c r="M6" s="102"/>
      <c r="N6" s="6" t="s">
        <v>24</v>
      </c>
      <c r="O6" s="6" t="s">
        <v>23</v>
      </c>
      <c r="P6" s="6" t="s">
        <v>25</v>
      </c>
      <c r="Q6" s="6" t="s">
        <v>24</v>
      </c>
      <c r="R6" s="102"/>
      <c r="S6" s="91" t="s">
        <v>24</v>
      </c>
      <c r="T6" s="102"/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91" t="s">
        <v>24</v>
      </c>
      <c r="AA6" s="102"/>
      <c r="AB6" s="6" t="s">
        <v>24</v>
      </c>
      <c r="AC6" s="6" t="s">
        <v>24</v>
      </c>
      <c r="AD6" s="6" t="s">
        <v>24</v>
      </c>
      <c r="AE6" s="6" t="s">
        <v>24</v>
      </c>
      <c r="AF6" s="6" t="s">
        <v>24</v>
      </c>
      <c r="AG6" s="4">
        <f t="shared" si="0"/>
        <v>19</v>
      </c>
      <c r="AH6" s="4">
        <f t="shared" si="1"/>
        <v>2</v>
      </c>
      <c r="AI6" s="82" t="s">
        <v>8</v>
      </c>
      <c r="AJ6" s="7">
        <v>4</v>
      </c>
      <c r="AK6" s="3"/>
      <c r="AL6" s="3"/>
    </row>
    <row r="7" spans="1:38" ht="16.5">
      <c r="A7" s="7">
        <v>3</v>
      </c>
      <c r="B7" s="80" t="s">
        <v>104</v>
      </c>
      <c r="C7" s="80" t="s">
        <v>35</v>
      </c>
      <c r="D7" s="14" t="s">
        <v>55</v>
      </c>
      <c r="E7" s="91" t="s">
        <v>24</v>
      </c>
      <c r="F7" s="102"/>
      <c r="G7" s="13" t="s">
        <v>24</v>
      </c>
      <c r="H7" s="13" t="s">
        <v>24</v>
      </c>
      <c r="I7" s="102"/>
      <c r="J7" s="13" t="s">
        <v>24</v>
      </c>
      <c r="K7" s="13" t="s">
        <v>24</v>
      </c>
      <c r="L7" s="90" t="s">
        <v>24</v>
      </c>
      <c r="M7" s="102"/>
      <c r="N7" s="6" t="s">
        <v>24</v>
      </c>
      <c r="O7" s="6" t="s">
        <v>24</v>
      </c>
      <c r="P7" s="6" t="s">
        <v>24</v>
      </c>
      <c r="Q7" s="6" t="s">
        <v>24</v>
      </c>
      <c r="R7" s="102"/>
      <c r="S7" s="91" t="s">
        <v>24</v>
      </c>
      <c r="T7" s="102"/>
      <c r="U7" s="6" t="s">
        <v>24</v>
      </c>
      <c r="V7" s="6" t="s">
        <v>24</v>
      </c>
      <c r="W7" s="6" t="s">
        <v>24</v>
      </c>
      <c r="X7" s="6" t="s">
        <v>24</v>
      </c>
      <c r="Y7" s="6" t="s">
        <v>24</v>
      </c>
      <c r="Z7" s="91" t="s">
        <v>24</v>
      </c>
      <c r="AA7" s="102"/>
      <c r="AB7" s="6" t="s">
        <v>24</v>
      </c>
      <c r="AC7" s="6" t="s">
        <v>24</v>
      </c>
      <c r="AD7" s="6" t="s">
        <v>24</v>
      </c>
      <c r="AE7" s="6" t="s">
        <v>24</v>
      </c>
      <c r="AF7" s="6" t="s">
        <v>24</v>
      </c>
      <c r="AG7" s="4">
        <f t="shared" si="0"/>
        <v>22</v>
      </c>
      <c r="AH7" s="4">
        <f t="shared" si="1"/>
        <v>0</v>
      </c>
      <c r="AI7" s="82" t="s">
        <v>32</v>
      </c>
      <c r="AJ7" s="7">
        <v>1</v>
      </c>
      <c r="AK7" s="3"/>
      <c r="AL7" s="3"/>
    </row>
    <row r="8" spans="1:38" ht="16.5">
      <c r="A8" s="7">
        <v>4</v>
      </c>
      <c r="B8" s="80" t="s">
        <v>49</v>
      </c>
      <c r="C8" s="80" t="s">
        <v>105</v>
      </c>
      <c r="D8" s="14" t="s">
        <v>55</v>
      </c>
      <c r="E8" s="91" t="s">
        <v>24</v>
      </c>
      <c r="F8" s="102"/>
      <c r="G8" s="13" t="s">
        <v>24</v>
      </c>
      <c r="H8" s="13" t="s">
        <v>24</v>
      </c>
      <c r="I8" s="102"/>
      <c r="J8" s="13" t="s">
        <v>24</v>
      </c>
      <c r="K8" s="13" t="s">
        <v>24</v>
      </c>
      <c r="L8" s="90" t="s">
        <v>24</v>
      </c>
      <c r="M8" s="102"/>
      <c r="N8" s="6" t="s">
        <v>24</v>
      </c>
      <c r="O8" s="6" t="s">
        <v>24</v>
      </c>
      <c r="P8" s="6" t="s">
        <v>24</v>
      </c>
      <c r="Q8" s="6" t="s">
        <v>24</v>
      </c>
      <c r="R8" s="102"/>
      <c r="S8" s="91" t="s">
        <v>24</v>
      </c>
      <c r="T8" s="102"/>
      <c r="U8" s="6" t="s">
        <v>24</v>
      </c>
      <c r="V8" s="6" t="s">
        <v>24</v>
      </c>
      <c r="W8" s="6" t="s">
        <v>24</v>
      </c>
      <c r="X8" s="6" t="s">
        <v>24</v>
      </c>
      <c r="Y8" s="6" t="s">
        <v>24</v>
      </c>
      <c r="Z8" s="91" t="s">
        <v>24</v>
      </c>
      <c r="AA8" s="102"/>
      <c r="AB8" s="6" t="s">
        <v>24</v>
      </c>
      <c r="AC8" s="6" t="s">
        <v>24</v>
      </c>
      <c r="AD8" s="6" t="s">
        <v>24</v>
      </c>
      <c r="AE8" s="6" t="s">
        <v>24</v>
      </c>
      <c r="AF8" s="6" t="s">
        <v>24</v>
      </c>
      <c r="AG8" s="4">
        <f t="shared" si="0"/>
        <v>22</v>
      </c>
      <c r="AH8" s="4">
        <f t="shared" si="1"/>
        <v>0</v>
      </c>
      <c r="AI8" s="82" t="s">
        <v>30</v>
      </c>
      <c r="AJ8" s="7">
        <v>1</v>
      </c>
      <c r="AK8"/>
      <c r="AL8"/>
    </row>
    <row r="9" spans="1:38" ht="16.5">
      <c r="A9" s="7">
        <v>5</v>
      </c>
      <c r="B9" s="80" t="s">
        <v>46</v>
      </c>
      <c r="C9" s="80" t="s">
        <v>37</v>
      </c>
      <c r="D9" s="14" t="s">
        <v>55</v>
      </c>
      <c r="E9" s="91" t="s">
        <v>24</v>
      </c>
      <c r="F9" s="102"/>
      <c r="G9" s="13" t="s">
        <v>24</v>
      </c>
      <c r="H9" s="13" t="s">
        <v>23</v>
      </c>
      <c r="I9" s="102"/>
      <c r="J9" s="13" t="s">
        <v>25</v>
      </c>
      <c r="K9" s="13" t="s">
        <v>25</v>
      </c>
      <c r="L9" s="90" t="s">
        <v>24</v>
      </c>
      <c r="M9" s="102"/>
      <c r="N9" s="6" t="s">
        <v>25</v>
      </c>
      <c r="O9" s="6" t="s">
        <v>25</v>
      </c>
      <c r="P9" s="6" t="s">
        <v>25</v>
      </c>
      <c r="Q9" s="6" t="s">
        <v>24</v>
      </c>
      <c r="R9" s="102"/>
      <c r="S9" s="91" t="s">
        <v>24</v>
      </c>
      <c r="T9" s="102"/>
      <c r="U9" s="6" t="s">
        <v>24</v>
      </c>
      <c r="V9" s="6" t="s">
        <v>24</v>
      </c>
      <c r="W9" s="6" t="s">
        <v>24</v>
      </c>
      <c r="X9" s="6" t="s">
        <v>24</v>
      </c>
      <c r="Y9" s="6" t="s">
        <v>24</v>
      </c>
      <c r="Z9" s="91" t="s">
        <v>24</v>
      </c>
      <c r="AA9" s="102"/>
      <c r="AB9" s="6" t="s">
        <v>24</v>
      </c>
      <c r="AC9" s="6" t="s">
        <v>24</v>
      </c>
      <c r="AD9" s="6" t="s">
        <v>24</v>
      </c>
      <c r="AE9" s="6" t="s">
        <v>24</v>
      </c>
      <c r="AF9" s="6" t="s">
        <v>24</v>
      </c>
      <c r="AG9" s="4">
        <f t="shared" si="0"/>
        <v>16</v>
      </c>
      <c r="AH9" s="4">
        <f t="shared" si="1"/>
        <v>1</v>
      </c>
      <c r="AI9" s="82"/>
      <c r="AJ9" s="7"/>
    </row>
    <row r="10" spans="1:38" ht="16.5">
      <c r="A10" s="7">
        <v>6</v>
      </c>
      <c r="B10" s="80" t="s">
        <v>106</v>
      </c>
      <c r="C10" s="80" t="s">
        <v>107</v>
      </c>
      <c r="D10" s="14" t="s">
        <v>55</v>
      </c>
      <c r="E10" s="91" t="s">
        <v>24</v>
      </c>
      <c r="F10" s="102"/>
      <c r="G10" s="13" t="s">
        <v>24</v>
      </c>
      <c r="H10" s="13" t="s">
        <v>24</v>
      </c>
      <c r="I10" s="102"/>
      <c r="J10" s="13" t="s">
        <v>24</v>
      </c>
      <c r="K10" s="13" t="s">
        <v>24</v>
      </c>
      <c r="L10" s="90" t="s">
        <v>24</v>
      </c>
      <c r="M10" s="102"/>
      <c r="N10" s="6" t="s">
        <v>24</v>
      </c>
      <c r="O10" s="6" t="s">
        <v>24</v>
      </c>
      <c r="P10" s="6" t="s">
        <v>24</v>
      </c>
      <c r="Q10" s="6" t="s">
        <v>24</v>
      </c>
      <c r="R10" s="102"/>
      <c r="S10" s="91" t="s">
        <v>24</v>
      </c>
      <c r="T10" s="102"/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91" t="s">
        <v>24</v>
      </c>
      <c r="AA10" s="102"/>
      <c r="AB10" s="6" t="s">
        <v>24</v>
      </c>
      <c r="AC10" s="6" t="s">
        <v>24</v>
      </c>
      <c r="AD10" s="6" t="s">
        <v>24</v>
      </c>
      <c r="AE10" s="6" t="s">
        <v>24</v>
      </c>
      <c r="AF10" s="6" t="s">
        <v>24</v>
      </c>
      <c r="AG10" s="4">
        <f t="shared" si="0"/>
        <v>22</v>
      </c>
      <c r="AH10" s="4">
        <f t="shared" si="1"/>
        <v>0</v>
      </c>
    </row>
    <row r="11" spans="1:38" ht="16.5">
      <c r="A11" s="7">
        <v>7</v>
      </c>
      <c r="B11" s="80" t="s">
        <v>108</v>
      </c>
      <c r="C11" s="80" t="s">
        <v>35</v>
      </c>
      <c r="D11" s="14" t="s">
        <v>55</v>
      </c>
      <c r="E11" s="91" t="s">
        <v>24</v>
      </c>
      <c r="F11" s="102"/>
      <c r="G11" s="13" t="s">
        <v>24</v>
      </c>
      <c r="H11" s="13" t="s">
        <v>24</v>
      </c>
      <c r="I11" s="102"/>
      <c r="J11" s="13" t="s">
        <v>24</v>
      </c>
      <c r="K11" s="13" t="s">
        <v>23</v>
      </c>
      <c r="L11" s="90" t="s">
        <v>24</v>
      </c>
      <c r="M11" s="102"/>
      <c r="N11" s="6" t="s">
        <v>24</v>
      </c>
      <c r="O11" s="6" t="s">
        <v>24</v>
      </c>
      <c r="P11" s="6" t="s">
        <v>23</v>
      </c>
      <c r="Q11" s="6" t="s">
        <v>24</v>
      </c>
      <c r="R11" s="102"/>
      <c r="S11" s="91" t="s">
        <v>24</v>
      </c>
      <c r="T11" s="102"/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91" t="s">
        <v>24</v>
      </c>
      <c r="AA11" s="102"/>
      <c r="AB11" s="6" t="s">
        <v>24</v>
      </c>
      <c r="AC11" s="6" t="s">
        <v>24</v>
      </c>
      <c r="AD11" s="6" t="s">
        <v>24</v>
      </c>
      <c r="AE11" s="6" t="s">
        <v>24</v>
      </c>
      <c r="AF11" s="6" t="s">
        <v>24</v>
      </c>
      <c r="AG11" s="4">
        <f t="shared" si="0"/>
        <v>20</v>
      </c>
      <c r="AH11" s="4">
        <f t="shared" si="1"/>
        <v>2</v>
      </c>
      <c r="AI11" s="105" t="s">
        <v>9</v>
      </c>
      <c r="AJ11" s="105"/>
      <c r="AK11" s="105"/>
      <c r="AL11" s="106"/>
    </row>
    <row r="12" spans="1:38" ht="16.5">
      <c r="A12" s="7">
        <v>8</v>
      </c>
      <c r="B12" s="80" t="s">
        <v>109</v>
      </c>
      <c r="C12" s="80" t="s">
        <v>35</v>
      </c>
      <c r="D12" s="14" t="s">
        <v>55</v>
      </c>
      <c r="E12" s="91" t="s">
        <v>24</v>
      </c>
      <c r="F12" s="102"/>
      <c r="G12" s="13" t="s">
        <v>24</v>
      </c>
      <c r="H12" s="13" t="s">
        <v>24</v>
      </c>
      <c r="I12" s="102"/>
      <c r="J12" s="13" t="s">
        <v>24</v>
      </c>
      <c r="K12" s="13" t="s">
        <v>24</v>
      </c>
      <c r="L12" s="90" t="s">
        <v>24</v>
      </c>
      <c r="M12" s="102"/>
      <c r="N12" s="6" t="s">
        <v>23</v>
      </c>
      <c r="O12" s="6" t="s">
        <v>24</v>
      </c>
      <c r="P12" s="6" t="s">
        <v>23</v>
      </c>
      <c r="Q12" s="6" t="s">
        <v>24</v>
      </c>
      <c r="R12" s="102"/>
      <c r="S12" s="91" t="s">
        <v>24</v>
      </c>
      <c r="T12" s="102"/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91" t="s">
        <v>24</v>
      </c>
      <c r="AA12" s="102"/>
      <c r="AB12" s="6" t="s">
        <v>24</v>
      </c>
      <c r="AC12" s="6" t="s">
        <v>24</v>
      </c>
      <c r="AD12" s="6" t="s">
        <v>24</v>
      </c>
      <c r="AE12" s="6" t="s">
        <v>24</v>
      </c>
      <c r="AF12" s="6" t="s">
        <v>24</v>
      </c>
      <c r="AG12" s="4">
        <f t="shared" si="0"/>
        <v>20</v>
      </c>
      <c r="AH12" s="4">
        <f t="shared" si="1"/>
        <v>2</v>
      </c>
      <c r="AI12" s="82" t="s">
        <v>10</v>
      </c>
      <c r="AJ12" s="4" t="s">
        <v>11</v>
      </c>
      <c r="AK12" s="4" t="s">
        <v>12</v>
      </c>
      <c r="AL12" s="4" t="s">
        <v>13</v>
      </c>
    </row>
    <row r="13" spans="1:38" ht="16.5">
      <c r="A13" s="7">
        <v>9</v>
      </c>
      <c r="B13" s="80" t="s">
        <v>58</v>
      </c>
      <c r="C13" s="80" t="s">
        <v>110</v>
      </c>
      <c r="D13" s="14" t="s">
        <v>55</v>
      </c>
      <c r="E13" s="91" t="s">
        <v>24</v>
      </c>
      <c r="F13" s="102"/>
      <c r="G13" s="13" t="s">
        <v>24</v>
      </c>
      <c r="H13" s="13" t="s">
        <v>24</v>
      </c>
      <c r="I13" s="102"/>
      <c r="J13" s="13" t="s">
        <v>24</v>
      </c>
      <c r="K13" s="13" t="s">
        <v>24</v>
      </c>
      <c r="L13" s="90" t="s">
        <v>24</v>
      </c>
      <c r="M13" s="102"/>
      <c r="N13" s="6" t="s">
        <v>24</v>
      </c>
      <c r="O13" s="6" t="s">
        <v>24</v>
      </c>
      <c r="P13" s="6" t="s">
        <v>23</v>
      </c>
      <c r="Q13" s="6" t="s">
        <v>24</v>
      </c>
      <c r="R13" s="102"/>
      <c r="S13" s="91" t="s">
        <v>24</v>
      </c>
      <c r="T13" s="102"/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91" t="s">
        <v>24</v>
      </c>
      <c r="AA13" s="102"/>
      <c r="AB13" s="6" t="s">
        <v>24</v>
      </c>
      <c r="AC13" s="6" t="s">
        <v>24</v>
      </c>
      <c r="AD13" s="6" t="s">
        <v>24</v>
      </c>
      <c r="AE13" s="6" t="s">
        <v>24</v>
      </c>
      <c r="AF13" s="6" t="s">
        <v>24</v>
      </c>
      <c r="AG13" s="4">
        <f t="shared" si="0"/>
        <v>21</v>
      </c>
      <c r="AH13" s="4">
        <f t="shared" si="1"/>
        <v>1</v>
      </c>
      <c r="AI13" s="82" t="s">
        <v>14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111</v>
      </c>
      <c r="C14" s="80" t="s">
        <v>110</v>
      </c>
      <c r="D14" s="14" t="s">
        <v>55</v>
      </c>
      <c r="E14" s="91" t="s">
        <v>24</v>
      </c>
      <c r="F14" s="102"/>
      <c r="G14" s="13" t="s">
        <v>23</v>
      </c>
      <c r="H14" s="13" t="s">
        <v>23</v>
      </c>
      <c r="I14" s="102"/>
      <c r="J14" s="13" t="s">
        <v>23</v>
      </c>
      <c r="K14" s="13" t="s">
        <v>23</v>
      </c>
      <c r="L14" s="90" t="s">
        <v>24</v>
      </c>
      <c r="M14" s="102"/>
      <c r="N14" s="6" t="s">
        <v>23</v>
      </c>
      <c r="O14" s="6" t="s">
        <v>23</v>
      </c>
      <c r="P14" s="6" t="s">
        <v>23</v>
      </c>
      <c r="Q14" s="6" t="s">
        <v>24</v>
      </c>
      <c r="R14" s="102"/>
      <c r="S14" s="91" t="s">
        <v>24</v>
      </c>
      <c r="T14" s="102"/>
      <c r="U14" s="6" t="s">
        <v>24</v>
      </c>
      <c r="V14" s="6" t="s">
        <v>24</v>
      </c>
      <c r="W14" s="6" t="s">
        <v>24</v>
      </c>
      <c r="X14" s="6" t="s">
        <v>24</v>
      </c>
      <c r="Y14" s="6" t="s">
        <v>24</v>
      </c>
      <c r="Z14" s="91" t="s">
        <v>24</v>
      </c>
      <c r="AA14" s="102"/>
      <c r="AB14" s="6" t="s">
        <v>24</v>
      </c>
      <c r="AC14" s="6" t="s">
        <v>24</v>
      </c>
      <c r="AD14" s="6" t="s">
        <v>24</v>
      </c>
      <c r="AE14" s="6" t="s">
        <v>24</v>
      </c>
      <c r="AF14" s="6" t="s">
        <v>24</v>
      </c>
      <c r="AG14" s="4">
        <f t="shared" si="0"/>
        <v>15</v>
      </c>
      <c r="AH14" s="4">
        <f t="shared" si="1"/>
        <v>7</v>
      </c>
      <c r="AI14" s="82" t="s">
        <v>15</v>
      </c>
      <c r="AJ14" s="7" t="e">
        <f>SUM(AG6,AG9,AG11,AG13,AG16,AG21,AG22,#REF!,#REF!,#REF!,#REF!,#REF!,#REF!,#REF!,#REF!,#REF!,#REF!,#REF!,#REF!,#REF!,#REF!,#REF!,#REF!,#REF!,#REF!,#REF!,#REF!)</f>
        <v>#REF!</v>
      </c>
      <c r="AK14" s="7" t="e">
        <f>SUM(AG5,AG7,AG8,AG10,AG12,AG14,AG15,AG17,AG18,AG19,AG20,#REF!,#REF!,#REF!,#REF!,#REF!,#REF!,#REF!,#REF!,#REF!,#REF!,#REF!,#REF!,#REF!,#REF!,#REF!,#REF!)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112</v>
      </c>
      <c r="C15" s="80" t="s">
        <v>113</v>
      </c>
      <c r="D15" s="14" t="s">
        <v>55</v>
      </c>
      <c r="E15" s="91" t="s">
        <v>24</v>
      </c>
      <c r="F15" s="102"/>
      <c r="G15" s="13" t="s">
        <v>23</v>
      </c>
      <c r="H15" s="13" t="s">
        <v>24</v>
      </c>
      <c r="I15" s="102"/>
      <c r="J15" s="13" t="s">
        <v>24</v>
      </c>
      <c r="K15" s="13" t="s">
        <v>24</v>
      </c>
      <c r="L15" s="90" t="s">
        <v>24</v>
      </c>
      <c r="M15" s="102"/>
      <c r="N15" s="6" t="s">
        <v>24</v>
      </c>
      <c r="O15" s="6" t="s">
        <v>23</v>
      </c>
      <c r="P15" s="6" t="s">
        <v>24</v>
      </c>
      <c r="Q15" s="6" t="s">
        <v>24</v>
      </c>
      <c r="R15" s="102"/>
      <c r="S15" s="91" t="s">
        <v>24</v>
      </c>
      <c r="T15" s="102"/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91" t="s">
        <v>24</v>
      </c>
      <c r="AA15" s="102"/>
      <c r="AB15" s="6" t="s">
        <v>24</v>
      </c>
      <c r="AC15" s="6" t="s">
        <v>24</v>
      </c>
      <c r="AD15" s="6" t="s">
        <v>24</v>
      </c>
      <c r="AE15" s="6" t="s">
        <v>24</v>
      </c>
      <c r="AF15" s="6" t="s">
        <v>24</v>
      </c>
      <c r="AG15" s="4">
        <f t="shared" si="0"/>
        <v>20</v>
      </c>
      <c r="AH15" s="4">
        <f t="shared" si="1"/>
        <v>2</v>
      </c>
      <c r="AI15" s="82" t="s">
        <v>16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114</v>
      </c>
      <c r="C16" s="80" t="s">
        <v>115</v>
      </c>
      <c r="D16" s="14" t="s">
        <v>55</v>
      </c>
      <c r="E16" s="91" t="s">
        <v>24</v>
      </c>
      <c r="F16" s="102"/>
      <c r="G16" s="13" t="s">
        <v>24</v>
      </c>
      <c r="H16" s="13" t="s">
        <v>24</v>
      </c>
      <c r="I16" s="102"/>
      <c r="J16" s="13" t="s">
        <v>24</v>
      </c>
      <c r="K16" s="13" t="s">
        <v>24</v>
      </c>
      <c r="L16" s="90" t="s">
        <v>24</v>
      </c>
      <c r="M16" s="102"/>
      <c r="N16" s="6" t="s">
        <v>24</v>
      </c>
      <c r="O16" s="6" t="s">
        <v>24</v>
      </c>
      <c r="P16" s="6" t="s">
        <v>24</v>
      </c>
      <c r="Q16" s="6" t="s">
        <v>24</v>
      </c>
      <c r="R16" s="102"/>
      <c r="S16" s="91" t="s">
        <v>24</v>
      </c>
      <c r="T16" s="102"/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91" t="s">
        <v>24</v>
      </c>
      <c r="AA16" s="102"/>
      <c r="AB16" s="6" t="s">
        <v>24</v>
      </c>
      <c r="AC16" s="6" t="s">
        <v>24</v>
      </c>
      <c r="AD16" s="6" t="s">
        <v>24</v>
      </c>
      <c r="AE16" s="6" t="s">
        <v>24</v>
      </c>
      <c r="AF16" s="6" t="s">
        <v>24</v>
      </c>
      <c r="AG16" s="4">
        <f t="shared" si="0"/>
        <v>22</v>
      </c>
      <c r="AH16" s="4">
        <f t="shared" si="1"/>
        <v>0</v>
      </c>
      <c r="AI16"/>
      <c r="AJ16"/>
      <c r="AK16"/>
      <c r="AL16"/>
    </row>
    <row r="17" spans="1:38" ht="16.5">
      <c r="A17" s="7">
        <v>13</v>
      </c>
      <c r="B17" s="80" t="s">
        <v>116</v>
      </c>
      <c r="C17" s="80" t="s">
        <v>117</v>
      </c>
      <c r="D17" s="14" t="s">
        <v>55</v>
      </c>
      <c r="E17" s="91" t="s">
        <v>24</v>
      </c>
      <c r="F17" s="102"/>
      <c r="G17" s="13" t="s">
        <v>24</v>
      </c>
      <c r="H17" s="13" t="s">
        <v>24</v>
      </c>
      <c r="I17" s="102"/>
      <c r="J17" s="13" t="s">
        <v>24</v>
      </c>
      <c r="K17" s="13" t="s">
        <v>24</v>
      </c>
      <c r="L17" s="90" t="s">
        <v>24</v>
      </c>
      <c r="M17" s="102"/>
      <c r="N17" s="6" t="s">
        <v>24</v>
      </c>
      <c r="O17" s="6" t="s">
        <v>23</v>
      </c>
      <c r="P17" s="6" t="s">
        <v>23</v>
      </c>
      <c r="Q17" s="6" t="s">
        <v>24</v>
      </c>
      <c r="R17" s="102"/>
      <c r="S17" s="91" t="s">
        <v>24</v>
      </c>
      <c r="T17" s="102"/>
      <c r="U17" s="6" t="s">
        <v>24</v>
      </c>
      <c r="V17" s="6" t="s">
        <v>24</v>
      </c>
      <c r="W17" s="6" t="s">
        <v>24</v>
      </c>
      <c r="X17" s="6" t="s">
        <v>24</v>
      </c>
      <c r="Y17" s="6" t="s">
        <v>24</v>
      </c>
      <c r="Z17" s="91" t="s">
        <v>24</v>
      </c>
      <c r="AA17" s="102"/>
      <c r="AB17" s="6" t="s">
        <v>24</v>
      </c>
      <c r="AC17" s="6" t="s">
        <v>24</v>
      </c>
      <c r="AD17" s="6" t="s">
        <v>24</v>
      </c>
      <c r="AE17" s="6" t="s">
        <v>24</v>
      </c>
      <c r="AF17" s="6" t="s">
        <v>24</v>
      </c>
      <c r="AG17" s="4">
        <f t="shared" si="0"/>
        <v>20</v>
      </c>
      <c r="AH17" s="4">
        <f t="shared" si="1"/>
        <v>2</v>
      </c>
      <c r="AI17"/>
      <c r="AJ17"/>
      <c r="AK17"/>
      <c r="AL17"/>
    </row>
    <row r="18" spans="1:38" ht="16.5">
      <c r="A18" s="7">
        <v>14</v>
      </c>
      <c r="B18" s="80" t="s">
        <v>118</v>
      </c>
      <c r="C18" s="80" t="s">
        <v>117</v>
      </c>
      <c r="D18" s="14" t="s">
        <v>55</v>
      </c>
      <c r="E18" s="91" t="s">
        <v>24</v>
      </c>
      <c r="F18" s="102"/>
      <c r="G18" s="13" t="s">
        <v>23</v>
      </c>
      <c r="H18" s="13" t="s">
        <v>24</v>
      </c>
      <c r="I18" s="102"/>
      <c r="J18" s="13" t="s">
        <v>23</v>
      </c>
      <c r="K18" s="13" t="s">
        <v>24</v>
      </c>
      <c r="L18" s="90" t="s">
        <v>24</v>
      </c>
      <c r="M18" s="102"/>
      <c r="N18" s="6" t="s">
        <v>23</v>
      </c>
      <c r="O18" s="6" t="s">
        <v>24</v>
      </c>
      <c r="P18" s="6" t="s">
        <v>23</v>
      </c>
      <c r="Q18" s="6" t="s">
        <v>24</v>
      </c>
      <c r="R18" s="102"/>
      <c r="S18" s="91" t="s">
        <v>24</v>
      </c>
      <c r="T18" s="102"/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91" t="s">
        <v>24</v>
      </c>
      <c r="AA18" s="102"/>
      <c r="AB18" s="6" t="s">
        <v>24</v>
      </c>
      <c r="AC18" s="6" t="s">
        <v>24</v>
      </c>
      <c r="AD18" s="6" t="s">
        <v>24</v>
      </c>
      <c r="AE18" s="6" t="s">
        <v>24</v>
      </c>
      <c r="AF18" s="6" t="s">
        <v>24</v>
      </c>
      <c r="AG18" s="4">
        <f t="shared" si="0"/>
        <v>18</v>
      </c>
      <c r="AH18" s="4">
        <f t="shared" si="1"/>
        <v>4</v>
      </c>
      <c r="AI18"/>
      <c r="AJ18"/>
      <c r="AK18"/>
      <c r="AL18"/>
    </row>
    <row r="19" spans="1:38" ht="16.5">
      <c r="A19" s="7">
        <v>15</v>
      </c>
      <c r="B19" s="80" t="s">
        <v>119</v>
      </c>
      <c r="C19" s="80" t="s">
        <v>105</v>
      </c>
      <c r="D19" s="14" t="s">
        <v>55</v>
      </c>
      <c r="E19" s="91" t="s">
        <v>24</v>
      </c>
      <c r="F19" s="102"/>
      <c r="G19" s="13" t="s">
        <v>24</v>
      </c>
      <c r="H19" s="13" t="s">
        <v>24</v>
      </c>
      <c r="I19" s="102"/>
      <c r="J19" s="13" t="s">
        <v>24</v>
      </c>
      <c r="K19" s="13" t="s">
        <v>23</v>
      </c>
      <c r="L19" s="90" t="s">
        <v>24</v>
      </c>
      <c r="M19" s="102"/>
      <c r="N19" s="6" t="s">
        <v>24</v>
      </c>
      <c r="O19" s="6" t="s">
        <v>24</v>
      </c>
      <c r="P19" s="6" t="s">
        <v>24</v>
      </c>
      <c r="Q19" s="6" t="s">
        <v>24</v>
      </c>
      <c r="R19" s="102"/>
      <c r="S19" s="91" t="s">
        <v>24</v>
      </c>
      <c r="T19" s="102"/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91" t="s">
        <v>24</v>
      </c>
      <c r="AA19" s="102"/>
      <c r="AB19" s="6" t="s">
        <v>24</v>
      </c>
      <c r="AC19" s="6" t="s">
        <v>24</v>
      </c>
      <c r="AD19" s="6" t="s">
        <v>24</v>
      </c>
      <c r="AE19" s="6" t="s">
        <v>24</v>
      </c>
      <c r="AF19" s="6" t="s">
        <v>24</v>
      </c>
      <c r="AG19" s="4">
        <f t="shared" si="0"/>
        <v>21</v>
      </c>
      <c r="AH19" s="4">
        <f t="shared" si="1"/>
        <v>1</v>
      </c>
      <c r="AI19" s="105" t="s">
        <v>31</v>
      </c>
      <c r="AJ19" s="105"/>
      <c r="AK19" s="105"/>
      <c r="AL19" s="106"/>
    </row>
    <row r="20" spans="1:38" ht="16.5">
      <c r="A20" s="7">
        <v>16</v>
      </c>
      <c r="B20" s="80" t="s">
        <v>120</v>
      </c>
      <c r="C20" s="80" t="s">
        <v>121</v>
      </c>
      <c r="D20" s="14" t="s">
        <v>55</v>
      </c>
      <c r="E20" s="91" t="s">
        <v>24</v>
      </c>
      <c r="F20" s="102"/>
      <c r="G20" s="13" t="s">
        <v>24</v>
      </c>
      <c r="H20" s="13" t="s">
        <v>24</v>
      </c>
      <c r="I20" s="102"/>
      <c r="J20" s="13" t="s">
        <v>24</v>
      </c>
      <c r="K20" s="13" t="s">
        <v>24</v>
      </c>
      <c r="L20" s="90" t="s">
        <v>24</v>
      </c>
      <c r="M20" s="102"/>
      <c r="N20" s="6" t="s">
        <v>24</v>
      </c>
      <c r="O20" s="6" t="s">
        <v>24</v>
      </c>
      <c r="P20" s="6" t="s">
        <v>24</v>
      </c>
      <c r="Q20" s="6" t="s">
        <v>24</v>
      </c>
      <c r="R20" s="102"/>
      <c r="S20" s="91" t="s">
        <v>24</v>
      </c>
      <c r="T20" s="102"/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91" t="s">
        <v>24</v>
      </c>
      <c r="AA20" s="102"/>
      <c r="AB20" s="6" t="s">
        <v>24</v>
      </c>
      <c r="AC20" s="6" t="s">
        <v>24</v>
      </c>
      <c r="AD20" s="6" t="s">
        <v>24</v>
      </c>
      <c r="AE20" s="6" t="s">
        <v>24</v>
      </c>
      <c r="AF20" s="6" t="s">
        <v>24</v>
      </c>
      <c r="AG20" s="4">
        <f t="shared" si="0"/>
        <v>22</v>
      </c>
      <c r="AH20" s="4">
        <f t="shared" si="1"/>
        <v>0</v>
      </c>
      <c r="AI20" s="82" t="s">
        <v>10</v>
      </c>
      <c r="AJ20" s="4" t="s">
        <v>11</v>
      </c>
      <c r="AK20" s="4" t="s">
        <v>12</v>
      </c>
      <c r="AL20" s="4" t="s">
        <v>13</v>
      </c>
    </row>
    <row r="21" spans="1:38" ht="16.5">
      <c r="A21" s="7">
        <v>17</v>
      </c>
      <c r="B21" s="80" t="s">
        <v>122</v>
      </c>
      <c r="C21" s="80" t="s">
        <v>123</v>
      </c>
      <c r="D21" s="14" t="s">
        <v>55</v>
      </c>
      <c r="E21" s="91" t="s">
        <v>24</v>
      </c>
      <c r="F21" s="102"/>
      <c r="G21" s="13" t="s">
        <v>24</v>
      </c>
      <c r="H21" s="13" t="s">
        <v>24</v>
      </c>
      <c r="I21" s="102"/>
      <c r="J21" s="13" t="s">
        <v>24</v>
      </c>
      <c r="K21" s="13" t="s">
        <v>24</v>
      </c>
      <c r="L21" s="90" t="s">
        <v>24</v>
      </c>
      <c r="M21" s="102"/>
      <c r="N21" s="6" t="s">
        <v>24</v>
      </c>
      <c r="O21" s="6" t="s">
        <v>24</v>
      </c>
      <c r="P21" s="6" t="s">
        <v>23</v>
      </c>
      <c r="Q21" s="6" t="s">
        <v>24</v>
      </c>
      <c r="R21" s="102"/>
      <c r="S21" s="91" t="s">
        <v>24</v>
      </c>
      <c r="T21" s="102"/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91" t="s">
        <v>24</v>
      </c>
      <c r="AA21" s="102"/>
      <c r="AB21" s="6" t="s">
        <v>24</v>
      </c>
      <c r="AC21" s="6" t="s">
        <v>24</v>
      </c>
      <c r="AD21" s="6" t="s">
        <v>24</v>
      </c>
      <c r="AE21" s="6" t="s">
        <v>24</v>
      </c>
      <c r="AF21" s="6" t="s">
        <v>24</v>
      </c>
      <c r="AG21" s="4">
        <f t="shared" si="0"/>
        <v>21</v>
      </c>
      <c r="AH21" s="4">
        <f t="shared" si="1"/>
        <v>1</v>
      </c>
      <c r="AI21" s="82" t="s">
        <v>14</v>
      </c>
      <c r="AJ21" s="7">
        <f>27*$AJ$5</f>
        <v>648</v>
      </c>
      <c r="AK21" s="7">
        <f>27*$AJ$5</f>
        <v>648</v>
      </c>
      <c r="AL21" s="7">
        <f>AJ21+AK21</f>
        <v>1296</v>
      </c>
    </row>
    <row r="22" spans="1:38" ht="16.5">
      <c r="A22" s="7">
        <v>18</v>
      </c>
      <c r="B22" s="80" t="s">
        <v>124</v>
      </c>
      <c r="C22" s="80" t="s">
        <v>41</v>
      </c>
      <c r="D22" s="14" t="s">
        <v>55</v>
      </c>
      <c r="E22" s="91" t="s">
        <v>24</v>
      </c>
      <c r="F22" s="102"/>
      <c r="G22" s="13" t="s">
        <v>24</v>
      </c>
      <c r="H22" s="13" t="s">
        <v>24</v>
      </c>
      <c r="I22" s="102"/>
      <c r="J22" s="13" t="s">
        <v>24</v>
      </c>
      <c r="K22" s="13" t="s">
        <v>24</v>
      </c>
      <c r="L22" s="90" t="s">
        <v>24</v>
      </c>
      <c r="M22" s="102"/>
      <c r="N22" s="6" t="s">
        <v>24</v>
      </c>
      <c r="O22" s="6" t="s">
        <v>24</v>
      </c>
      <c r="P22" s="6" t="s">
        <v>23</v>
      </c>
      <c r="Q22" s="6" t="s">
        <v>24</v>
      </c>
      <c r="R22" s="102"/>
      <c r="S22" s="91" t="s">
        <v>24</v>
      </c>
      <c r="T22" s="102"/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91" t="s">
        <v>24</v>
      </c>
      <c r="AA22" s="102"/>
      <c r="AB22" s="6" t="s">
        <v>24</v>
      </c>
      <c r="AC22" s="6" t="s">
        <v>24</v>
      </c>
      <c r="AD22" s="6" t="s">
        <v>24</v>
      </c>
      <c r="AE22" s="6" t="s">
        <v>24</v>
      </c>
      <c r="AF22" s="6" t="s">
        <v>24</v>
      </c>
      <c r="AG22" s="4">
        <f t="shared" si="0"/>
        <v>21</v>
      </c>
      <c r="AH22" s="4">
        <f t="shared" si="1"/>
        <v>1</v>
      </c>
      <c r="AI22" s="82" t="s">
        <v>17</v>
      </c>
      <c r="AJ22" s="7" t="e">
        <f>AJ21-AJ14</f>
        <v>#REF!</v>
      </c>
      <c r="AK22" s="7" t="e">
        <f>AK21-AK14</f>
        <v>#REF!</v>
      </c>
      <c r="AL22" s="7" t="e">
        <f>AJ22+AK22</f>
        <v>#REF!</v>
      </c>
    </row>
  </sheetData>
  <mergeCells count="17">
    <mergeCell ref="AG3:AG4"/>
    <mergeCell ref="AH3:AH4"/>
    <mergeCell ref="AI3:AJ3"/>
    <mergeCell ref="AI11:AL11"/>
    <mergeCell ref="AI19:AL19"/>
    <mergeCell ref="F5:F22"/>
    <mergeCell ref="I5:I22"/>
    <mergeCell ref="M5:M22"/>
    <mergeCell ref="R5:R22"/>
    <mergeCell ref="T5:T22"/>
    <mergeCell ref="AA5:AA22"/>
    <mergeCell ref="A1:AF1"/>
    <mergeCell ref="A2:AF2"/>
    <mergeCell ref="A3:A4"/>
    <mergeCell ref="B3:B4"/>
    <mergeCell ref="C3:C4"/>
    <mergeCell ref="D3:D4"/>
  </mergeCells>
  <phoneticPr fontId="19" type="noConversion"/>
  <conditionalFormatting sqref="G5:H22 E3:AF4 J5:L22 N5:Q22 AB5:AF22 U5:Z22">
    <cfRule type="expression" dxfId="175" priority="53">
      <formula>E$4=TODAY()</formula>
    </cfRule>
    <cfRule type="expression" dxfId="174" priority="56">
      <formula>E$3="Sun"</formula>
    </cfRule>
  </conditionalFormatting>
  <conditionalFormatting sqref="G5:H22 J5:L22 N5:Q22 AB5:AF22 U5:Z22">
    <cfRule type="cellIs" dxfId="173" priority="52" operator="equal">
      <formula>"L"</formula>
    </cfRule>
    <cfRule type="cellIs" dxfId="172" priority="54" operator="equal">
      <formula>"A"</formula>
    </cfRule>
    <cfRule type="cellIs" dxfId="171" priority="55" operator="equal">
      <formula>"P"</formula>
    </cfRule>
  </conditionalFormatting>
  <conditionalFormatting sqref="AG3:AH3 AG5:AH22">
    <cfRule type="expression" dxfId="170" priority="57">
      <formula>#REF!="Sun"</formula>
    </cfRule>
  </conditionalFormatting>
  <conditionalFormatting sqref="AI5:AI9">
    <cfRule type="expression" dxfId="169" priority="49">
      <formula>AI$3="Sun"</formula>
    </cfRule>
  </conditionalFormatting>
  <conditionalFormatting sqref="AI12:AI15">
    <cfRule type="expression" dxfId="168" priority="47">
      <formula>AI$3="Sun"</formula>
    </cfRule>
  </conditionalFormatting>
  <conditionalFormatting sqref="AI20:AI22">
    <cfRule type="expression" dxfId="167" priority="46">
      <formula>AI$3="Sun"</formula>
    </cfRule>
  </conditionalFormatting>
  <conditionalFormatting sqref="AI4:AJ4">
    <cfRule type="expression" dxfId="166" priority="50">
      <formula>AI$3="Sun"</formula>
    </cfRule>
  </conditionalFormatting>
  <conditionalFormatting sqref="AJ12:AL12 AJ20:AL20">
    <cfRule type="expression" dxfId="165" priority="51">
      <formula>AJ$3="Sun"</formula>
    </cfRule>
  </conditionalFormatting>
  <conditionalFormatting sqref="AL21">
    <cfRule type="expression" dxfId="164" priority="48">
      <formula>AL$3="Sun"</formula>
    </cfRule>
  </conditionalFormatting>
  <conditionalFormatting sqref="S5:S22">
    <cfRule type="expression" dxfId="163" priority="42">
      <formula>S$4=TODAY()</formula>
    </cfRule>
    <cfRule type="expression" dxfId="162" priority="45">
      <formula>S$3="Sun"</formula>
    </cfRule>
  </conditionalFormatting>
  <conditionalFormatting sqref="S5:S22">
    <cfRule type="cellIs" dxfId="161" priority="41" operator="equal">
      <formula>"L"</formula>
    </cfRule>
    <cfRule type="cellIs" dxfId="160" priority="43" operator="equal">
      <formula>"A"</formula>
    </cfRule>
    <cfRule type="cellIs" dxfId="159" priority="44" operator="equal">
      <formula>"P"</formula>
    </cfRule>
  </conditionalFormatting>
  <conditionalFormatting sqref="E5:E22">
    <cfRule type="expression" dxfId="158" priority="37">
      <formula>E$4=TODAY()</formula>
    </cfRule>
    <cfRule type="expression" dxfId="157" priority="40">
      <formula>E$3="Sun"</formula>
    </cfRule>
  </conditionalFormatting>
  <conditionalFormatting sqref="E5:E22">
    <cfRule type="cellIs" dxfId="156" priority="36" operator="equal">
      <formula>"L"</formula>
    </cfRule>
    <cfRule type="cellIs" dxfId="155" priority="38" operator="equal">
      <formula>"A"</formula>
    </cfRule>
    <cfRule type="cellIs" dxfId="154" priority="39" operator="equal">
      <formula>"P"</formula>
    </cfRule>
  </conditionalFormatting>
  <conditionalFormatting sqref="F5">
    <cfRule type="expression" dxfId="79" priority="27">
      <formula>F$4=TODAY()</formula>
    </cfRule>
    <cfRule type="expression" dxfId="78" priority="30">
      <formula>F$3="Sun"</formula>
    </cfRule>
  </conditionalFormatting>
  <conditionalFormatting sqref="F5">
    <cfRule type="cellIs" dxfId="77" priority="26" operator="equal">
      <formula>"L"</formula>
    </cfRule>
    <cfRule type="cellIs" dxfId="76" priority="28" operator="equal">
      <formula>"A"</formula>
    </cfRule>
    <cfRule type="cellIs" dxfId="75" priority="29" operator="equal">
      <formula>"P"</formula>
    </cfRule>
  </conditionalFormatting>
  <conditionalFormatting sqref="I5">
    <cfRule type="expression" dxfId="74" priority="22">
      <formula>I$4=TODAY()</formula>
    </cfRule>
    <cfRule type="expression" dxfId="73" priority="25">
      <formula>I$3="Sun"</formula>
    </cfRule>
  </conditionalFormatting>
  <conditionalFormatting sqref="I5">
    <cfRule type="cellIs" dxfId="72" priority="21" operator="equal">
      <formula>"L"</formula>
    </cfRule>
    <cfRule type="cellIs" dxfId="71" priority="23" operator="equal">
      <formula>"A"</formula>
    </cfRule>
    <cfRule type="cellIs" dxfId="70" priority="24" operator="equal">
      <formula>"P"</formula>
    </cfRule>
  </conditionalFormatting>
  <conditionalFormatting sqref="M5">
    <cfRule type="expression" dxfId="69" priority="17">
      <formula>M$4=TODAY()</formula>
    </cfRule>
    <cfRule type="expression" dxfId="68" priority="20">
      <formula>M$3="Sun"</formula>
    </cfRule>
  </conditionalFormatting>
  <conditionalFormatting sqref="M5">
    <cfRule type="cellIs" dxfId="67" priority="16" operator="equal">
      <formula>"L"</formula>
    </cfRule>
    <cfRule type="cellIs" dxfId="66" priority="18" operator="equal">
      <formula>"A"</formula>
    </cfRule>
    <cfRule type="cellIs" dxfId="65" priority="19" operator="equal">
      <formula>"P"</formula>
    </cfRule>
  </conditionalFormatting>
  <conditionalFormatting sqref="R5">
    <cfRule type="expression" dxfId="64" priority="12">
      <formula>R$4=TODAY()</formula>
    </cfRule>
    <cfRule type="expression" dxfId="63" priority="15">
      <formula>R$3="Sun"</formula>
    </cfRule>
  </conditionalFormatting>
  <conditionalFormatting sqref="R5">
    <cfRule type="cellIs" dxfId="62" priority="11" operator="equal">
      <formula>"L"</formula>
    </cfRule>
    <cfRule type="cellIs" dxfId="61" priority="13" operator="equal">
      <formula>"A"</formula>
    </cfRule>
    <cfRule type="cellIs" dxfId="60" priority="14" operator="equal">
      <formula>"P"</formula>
    </cfRule>
  </conditionalFormatting>
  <conditionalFormatting sqref="T5">
    <cfRule type="expression" dxfId="59" priority="7">
      <formula>T$4=TODAY()</formula>
    </cfRule>
    <cfRule type="expression" dxfId="58" priority="10">
      <formula>T$3="Sun"</formula>
    </cfRule>
  </conditionalFormatting>
  <conditionalFormatting sqref="T5">
    <cfRule type="cellIs" dxfId="57" priority="6" operator="equal">
      <formula>"L"</formula>
    </cfRule>
    <cfRule type="cellIs" dxfId="56" priority="8" operator="equal">
      <formula>"A"</formula>
    </cfRule>
    <cfRule type="cellIs" dxfId="55" priority="9" operator="equal">
      <formula>"P"</formula>
    </cfRule>
  </conditionalFormatting>
  <conditionalFormatting sqref="AA5">
    <cfRule type="expression" dxfId="54" priority="2">
      <formula>AA$4=TODAY()</formula>
    </cfRule>
    <cfRule type="expression" dxfId="53" priority="5">
      <formula>AA$3="Sun"</formula>
    </cfRule>
  </conditionalFormatting>
  <conditionalFormatting sqref="AA5">
    <cfRule type="cellIs" dxfId="52" priority="1" operator="equal">
      <formula>"L"</formula>
    </cfRule>
    <cfRule type="cellIs" dxfId="51" priority="3" operator="equal">
      <formula>"A"</formula>
    </cfRule>
    <cfRule type="cellIs" dxfId="50" priority="4" operator="equal">
      <formula>"P"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535D-8519-428A-BD26-6BBC0A68BFD3}">
  <dimension ref="A1:AL24"/>
  <sheetViews>
    <sheetView topLeftCell="A2" zoomScaleNormal="100" workbookViewId="0">
      <selection activeCell="P8" sqref="P8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99" t="s">
        <v>125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1"/>
      <c r="AH1" s="11"/>
    </row>
    <row r="2" spans="1:38" ht="17.25">
      <c r="A2" s="100" t="s">
        <v>404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2"/>
      <c r="AH2" s="12"/>
      <c r="AI2" s="12"/>
    </row>
    <row r="3" spans="1:38" ht="15.75">
      <c r="A3" s="101" t="s">
        <v>0</v>
      </c>
      <c r="B3" s="101" t="s">
        <v>1</v>
      </c>
      <c r="C3" s="101" t="s">
        <v>2</v>
      </c>
      <c r="D3" s="101" t="s">
        <v>3</v>
      </c>
      <c r="E3" s="2" t="s">
        <v>403</v>
      </c>
      <c r="F3" s="2" t="s">
        <v>397</v>
      </c>
      <c r="G3" s="2" t="s">
        <v>398</v>
      </c>
      <c r="H3" s="2" t="s">
        <v>399</v>
      </c>
      <c r="I3" s="2" t="s">
        <v>400</v>
      </c>
      <c r="J3" s="2" t="s">
        <v>401</v>
      </c>
      <c r="K3" s="2" t="s">
        <v>402</v>
      </c>
      <c r="L3" s="2" t="s">
        <v>403</v>
      </c>
      <c r="M3" s="2" t="s">
        <v>397</v>
      </c>
      <c r="N3" s="2" t="s">
        <v>398</v>
      </c>
      <c r="O3" s="2" t="s">
        <v>399</v>
      </c>
      <c r="P3" s="2" t="s">
        <v>400</v>
      </c>
      <c r="Q3" s="2" t="s">
        <v>401</v>
      </c>
      <c r="R3" s="114" t="s">
        <v>402</v>
      </c>
      <c r="S3" s="2" t="s">
        <v>403</v>
      </c>
      <c r="T3" s="2" t="s">
        <v>397</v>
      </c>
      <c r="U3" s="2" t="s">
        <v>398</v>
      </c>
      <c r="V3" s="2" t="s">
        <v>399</v>
      </c>
      <c r="W3" s="2" t="s">
        <v>400</v>
      </c>
      <c r="X3" s="2" t="s">
        <v>401</v>
      </c>
      <c r="Y3" s="2" t="s">
        <v>402</v>
      </c>
      <c r="Z3" s="2" t="s">
        <v>403</v>
      </c>
      <c r="AA3" s="2" t="s">
        <v>397</v>
      </c>
      <c r="AB3" s="2" t="s">
        <v>398</v>
      </c>
      <c r="AC3" s="2" t="s">
        <v>399</v>
      </c>
      <c r="AD3" s="2" t="s">
        <v>400</v>
      </c>
      <c r="AE3" s="2" t="s">
        <v>401</v>
      </c>
      <c r="AF3" s="2" t="s">
        <v>402</v>
      </c>
      <c r="AG3" s="103" t="s">
        <v>4</v>
      </c>
      <c r="AH3" s="103" t="s">
        <v>5</v>
      </c>
      <c r="AI3" s="104" t="s">
        <v>28</v>
      </c>
      <c r="AJ3" s="105"/>
      <c r="AK3" s="3"/>
      <c r="AL3" s="3"/>
    </row>
    <row r="4" spans="1:38" ht="36">
      <c r="A4" s="101"/>
      <c r="B4" s="101"/>
      <c r="C4" s="101"/>
      <c r="D4" s="101"/>
      <c r="E4" s="10">
        <v>45323</v>
      </c>
      <c r="F4" s="10">
        <v>45324</v>
      </c>
      <c r="G4" s="10">
        <v>45325</v>
      </c>
      <c r="H4" s="10">
        <v>45326</v>
      </c>
      <c r="I4" s="10">
        <v>45327</v>
      </c>
      <c r="J4" s="10">
        <v>45328</v>
      </c>
      <c r="K4" s="10">
        <v>45329</v>
      </c>
      <c r="L4" s="10">
        <v>45330</v>
      </c>
      <c r="M4" s="10">
        <v>45331</v>
      </c>
      <c r="N4" s="10">
        <v>45332</v>
      </c>
      <c r="O4" s="10">
        <v>45333</v>
      </c>
      <c r="P4" s="10">
        <v>45334</v>
      </c>
      <c r="Q4" s="10">
        <v>45335</v>
      </c>
      <c r="R4" s="115">
        <v>45336</v>
      </c>
      <c r="S4" s="10">
        <v>45337</v>
      </c>
      <c r="T4" s="10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103"/>
      <c r="AH4" s="103"/>
      <c r="AI4" s="4" t="s">
        <v>29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0" t="s">
        <v>200</v>
      </c>
      <c r="C5" s="80" t="s">
        <v>201</v>
      </c>
      <c r="D5" s="14" t="s">
        <v>60</v>
      </c>
      <c r="E5" s="91" t="s">
        <v>24</v>
      </c>
      <c r="F5" s="102" t="s">
        <v>27</v>
      </c>
      <c r="G5" s="13" t="s">
        <v>24</v>
      </c>
      <c r="H5" s="13" t="s">
        <v>24</v>
      </c>
      <c r="I5" s="13" t="s">
        <v>24</v>
      </c>
      <c r="J5" s="13" t="s">
        <v>25</v>
      </c>
      <c r="K5" s="13" t="s">
        <v>24</v>
      </c>
      <c r="L5" s="90" t="s">
        <v>24</v>
      </c>
      <c r="M5" s="102" t="s">
        <v>27</v>
      </c>
      <c r="N5" s="6" t="s">
        <v>24</v>
      </c>
      <c r="O5" s="6" t="s">
        <v>24</v>
      </c>
      <c r="P5" s="6" t="s">
        <v>24</v>
      </c>
      <c r="Q5" s="6" t="s">
        <v>24</v>
      </c>
      <c r="R5" s="102" t="s">
        <v>423</v>
      </c>
      <c r="S5" s="91" t="s">
        <v>24</v>
      </c>
      <c r="T5" s="102" t="s">
        <v>27</v>
      </c>
      <c r="U5" s="6" t="s">
        <v>24</v>
      </c>
      <c r="V5" s="6" t="s">
        <v>24</v>
      </c>
      <c r="W5" s="6" t="s">
        <v>23</v>
      </c>
      <c r="X5" s="6" t="s">
        <v>23</v>
      </c>
      <c r="Y5" s="6" t="s">
        <v>24</v>
      </c>
      <c r="Z5" s="86" t="s">
        <v>24</v>
      </c>
      <c r="AA5" s="102" t="s">
        <v>27</v>
      </c>
      <c r="AB5" s="6" t="s">
        <v>24</v>
      </c>
      <c r="AC5" s="6" t="s">
        <v>24</v>
      </c>
      <c r="AD5" s="6" t="s">
        <v>24</v>
      </c>
      <c r="AE5" s="6" t="s">
        <v>24</v>
      </c>
      <c r="AF5" s="6" t="s">
        <v>24</v>
      </c>
      <c r="AG5" s="4">
        <f t="shared" ref="AG5:AG24" si="0">COUNTIF(E5:AF5,"P")</f>
        <v>20</v>
      </c>
      <c r="AH5" s="4">
        <f t="shared" ref="AH5:AH24" si="1">COUNTIF(E5:AF5,"A")</f>
        <v>2</v>
      </c>
      <c r="AI5" s="82" t="s">
        <v>7</v>
      </c>
      <c r="AJ5" s="7">
        <v>24</v>
      </c>
      <c r="AK5" s="8"/>
      <c r="AL5" s="3"/>
    </row>
    <row r="6" spans="1:38" ht="16.5">
      <c r="A6" s="7">
        <v>2</v>
      </c>
      <c r="B6" s="80" t="s">
        <v>202</v>
      </c>
      <c r="C6" s="80" t="s">
        <v>121</v>
      </c>
      <c r="D6" s="14" t="s">
        <v>60</v>
      </c>
      <c r="E6" s="91" t="s">
        <v>24</v>
      </c>
      <c r="F6" s="102"/>
      <c r="G6" s="13" t="s">
        <v>24</v>
      </c>
      <c r="H6" s="13" t="s">
        <v>24</v>
      </c>
      <c r="I6" s="13" t="s">
        <v>24</v>
      </c>
      <c r="J6" s="13" t="s">
        <v>24</v>
      </c>
      <c r="K6" s="13" t="s">
        <v>23</v>
      </c>
      <c r="L6" s="90" t="s">
        <v>24</v>
      </c>
      <c r="M6" s="102"/>
      <c r="N6" s="6" t="s">
        <v>24</v>
      </c>
      <c r="O6" s="6" t="s">
        <v>23</v>
      </c>
      <c r="P6" s="6" t="s">
        <v>25</v>
      </c>
      <c r="Q6" s="6" t="s">
        <v>24</v>
      </c>
      <c r="R6" s="102"/>
      <c r="S6" s="91" t="s">
        <v>24</v>
      </c>
      <c r="T6" s="102"/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86" t="s">
        <v>24</v>
      </c>
      <c r="AA6" s="102"/>
      <c r="AB6" s="6" t="s">
        <v>24</v>
      </c>
      <c r="AC6" s="6" t="s">
        <v>24</v>
      </c>
      <c r="AD6" s="6" t="s">
        <v>24</v>
      </c>
      <c r="AE6" s="6" t="s">
        <v>24</v>
      </c>
      <c r="AF6" s="6" t="s">
        <v>24</v>
      </c>
      <c r="AG6" s="4">
        <f t="shared" si="0"/>
        <v>20</v>
      </c>
      <c r="AH6" s="4">
        <f t="shared" si="1"/>
        <v>2</v>
      </c>
      <c r="AI6" s="82" t="s">
        <v>8</v>
      </c>
      <c r="AJ6" s="7">
        <v>4</v>
      </c>
      <c r="AK6" s="3"/>
      <c r="AL6" s="3"/>
    </row>
    <row r="7" spans="1:38" ht="16.5">
      <c r="A7" s="7">
        <v>3</v>
      </c>
      <c r="B7" s="80" t="s">
        <v>203</v>
      </c>
      <c r="C7" s="80" t="s">
        <v>204</v>
      </c>
      <c r="D7" s="14" t="s">
        <v>60</v>
      </c>
      <c r="E7" s="91" t="s">
        <v>24</v>
      </c>
      <c r="F7" s="102"/>
      <c r="G7" s="13" t="s">
        <v>24</v>
      </c>
      <c r="H7" s="13" t="s">
        <v>24</v>
      </c>
      <c r="I7" s="13" t="s">
        <v>24</v>
      </c>
      <c r="J7" s="13" t="s">
        <v>24</v>
      </c>
      <c r="K7" s="13" t="s">
        <v>24</v>
      </c>
      <c r="L7" s="90" t="s">
        <v>24</v>
      </c>
      <c r="M7" s="102"/>
      <c r="N7" s="6" t="s">
        <v>24</v>
      </c>
      <c r="O7" s="6" t="s">
        <v>24</v>
      </c>
      <c r="P7" s="6" t="s">
        <v>24</v>
      </c>
      <c r="Q7" s="6" t="s">
        <v>24</v>
      </c>
      <c r="R7" s="102"/>
      <c r="S7" s="91" t="s">
        <v>24</v>
      </c>
      <c r="T7" s="102"/>
      <c r="U7" s="6" t="s">
        <v>24</v>
      </c>
      <c r="V7" s="6" t="s">
        <v>24</v>
      </c>
      <c r="W7" s="6" t="s">
        <v>24</v>
      </c>
      <c r="X7" s="6" t="s">
        <v>24</v>
      </c>
      <c r="Y7" s="6" t="s">
        <v>23</v>
      </c>
      <c r="Z7" s="86" t="s">
        <v>24</v>
      </c>
      <c r="AA7" s="102"/>
      <c r="AB7" s="6" t="s">
        <v>24</v>
      </c>
      <c r="AC7" s="6" t="s">
        <v>24</v>
      </c>
      <c r="AD7" s="6" t="s">
        <v>24</v>
      </c>
      <c r="AE7" s="6" t="s">
        <v>24</v>
      </c>
      <c r="AF7" s="6" t="s">
        <v>24</v>
      </c>
      <c r="AG7" s="4">
        <f t="shared" si="0"/>
        <v>22</v>
      </c>
      <c r="AH7" s="4">
        <f t="shared" si="1"/>
        <v>1</v>
      </c>
      <c r="AI7" s="82" t="s">
        <v>32</v>
      </c>
      <c r="AJ7" s="7">
        <v>1</v>
      </c>
      <c r="AK7" s="3"/>
      <c r="AL7" s="3"/>
    </row>
    <row r="8" spans="1:38" ht="16.5">
      <c r="A8" s="7">
        <v>4</v>
      </c>
      <c r="B8" s="80" t="s">
        <v>78</v>
      </c>
      <c r="C8" s="80" t="s">
        <v>205</v>
      </c>
      <c r="D8" s="14" t="s">
        <v>60</v>
      </c>
      <c r="E8" s="91" t="s">
        <v>24</v>
      </c>
      <c r="F8" s="102"/>
      <c r="G8" s="13" t="s">
        <v>24</v>
      </c>
      <c r="H8" s="13" t="s">
        <v>24</v>
      </c>
      <c r="I8" s="13" t="s">
        <v>24</v>
      </c>
      <c r="J8" s="13" t="s">
        <v>24</v>
      </c>
      <c r="K8" s="13" t="s">
        <v>24</v>
      </c>
      <c r="L8" s="90" t="s">
        <v>24</v>
      </c>
      <c r="M8" s="102"/>
      <c r="N8" s="6" t="s">
        <v>24</v>
      </c>
      <c r="O8" s="6" t="s">
        <v>24</v>
      </c>
      <c r="P8" s="6" t="s">
        <v>24</v>
      </c>
      <c r="Q8" s="6" t="s">
        <v>24</v>
      </c>
      <c r="R8" s="102"/>
      <c r="S8" s="91" t="s">
        <v>24</v>
      </c>
      <c r="T8" s="102"/>
      <c r="U8" s="6" t="s">
        <v>24</v>
      </c>
      <c r="V8" s="6" t="s">
        <v>24</v>
      </c>
      <c r="W8" s="6" t="s">
        <v>24</v>
      </c>
      <c r="X8" s="6" t="s">
        <v>24</v>
      </c>
      <c r="Y8" s="6" t="s">
        <v>23</v>
      </c>
      <c r="Z8" s="86" t="s">
        <v>24</v>
      </c>
      <c r="AA8" s="102"/>
      <c r="AB8" s="6" t="s">
        <v>24</v>
      </c>
      <c r="AC8" s="6" t="s">
        <v>24</v>
      </c>
      <c r="AD8" s="6" t="s">
        <v>24</v>
      </c>
      <c r="AE8" s="6" t="s">
        <v>24</v>
      </c>
      <c r="AF8" s="6" t="s">
        <v>24</v>
      </c>
      <c r="AG8" s="4">
        <f t="shared" si="0"/>
        <v>22</v>
      </c>
      <c r="AH8" s="4">
        <f t="shared" si="1"/>
        <v>1</v>
      </c>
      <c r="AI8" s="82" t="s">
        <v>30</v>
      </c>
      <c r="AJ8" s="7">
        <v>1</v>
      </c>
      <c r="AK8"/>
      <c r="AL8"/>
    </row>
    <row r="9" spans="1:38" ht="16.5">
      <c r="A9" s="7">
        <v>5</v>
      </c>
      <c r="B9" s="80" t="s">
        <v>206</v>
      </c>
      <c r="C9" s="80" t="s">
        <v>207</v>
      </c>
      <c r="D9" s="14" t="s">
        <v>60</v>
      </c>
      <c r="E9" s="91" t="s">
        <v>24</v>
      </c>
      <c r="F9" s="102"/>
      <c r="G9" s="13" t="s">
        <v>24</v>
      </c>
      <c r="H9" s="13" t="s">
        <v>23</v>
      </c>
      <c r="I9" s="13" t="s">
        <v>25</v>
      </c>
      <c r="J9" s="13" t="s">
        <v>25</v>
      </c>
      <c r="K9" s="13" t="s">
        <v>25</v>
      </c>
      <c r="L9" s="90" t="s">
        <v>24</v>
      </c>
      <c r="M9" s="102"/>
      <c r="N9" s="6" t="s">
        <v>25</v>
      </c>
      <c r="O9" s="6" t="s">
        <v>25</v>
      </c>
      <c r="P9" s="6" t="s">
        <v>25</v>
      </c>
      <c r="Q9" s="6" t="s">
        <v>24</v>
      </c>
      <c r="R9" s="102"/>
      <c r="S9" s="91" t="s">
        <v>24</v>
      </c>
      <c r="T9" s="102"/>
      <c r="U9" s="6" t="s">
        <v>23</v>
      </c>
      <c r="V9" s="6" t="s">
        <v>23</v>
      </c>
      <c r="W9" s="6" t="s">
        <v>24</v>
      </c>
      <c r="X9" s="6" t="s">
        <v>24</v>
      </c>
      <c r="Y9" s="6" t="s">
        <v>23</v>
      </c>
      <c r="Z9" s="86" t="s">
        <v>24</v>
      </c>
      <c r="AA9" s="102"/>
      <c r="AB9" s="6" t="s">
        <v>24</v>
      </c>
      <c r="AC9" s="6" t="s">
        <v>24</v>
      </c>
      <c r="AD9" s="6" t="s">
        <v>24</v>
      </c>
      <c r="AE9" s="6" t="s">
        <v>24</v>
      </c>
      <c r="AF9" s="6" t="s">
        <v>24</v>
      </c>
      <c r="AG9" s="4">
        <f t="shared" si="0"/>
        <v>13</v>
      </c>
      <c r="AH9" s="4">
        <f t="shared" si="1"/>
        <v>4</v>
      </c>
      <c r="AI9" s="82"/>
      <c r="AJ9" s="7"/>
    </row>
    <row r="10" spans="1:38" ht="16.5">
      <c r="A10" s="7">
        <v>6</v>
      </c>
      <c r="B10" s="80" t="s">
        <v>208</v>
      </c>
      <c r="C10" s="80" t="s">
        <v>35</v>
      </c>
      <c r="D10" s="14" t="s">
        <v>60</v>
      </c>
      <c r="E10" s="91" t="s">
        <v>24</v>
      </c>
      <c r="F10" s="102"/>
      <c r="G10" s="13" t="s">
        <v>24</v>
      </c>
      <c r="H10" s="13" t="s">
        <v>24</v>
      </c>
      <c r="I10" s="13" t="s">
        <v>24</v>
      </c>
      <c r="J10" s="13" t="s">
        <v>24</v>
      </c>
      <c r="K10" s="13" t="s">
        <v>24</v>
      </c>
      <c r="L10" s="90" t="s">
        <v>24</v>
      </c>
      <c r="M10" s="102"/>
      <c r="N10" s="6" t="s">
        <v>24</v>
      </c>
      <c r="O10" s="6" t="s">
        <v>24</v>
      </c>
      <c r="P10" s="6" t="s">
        <v>24</v>
      </c>
      <c r="Q10" s="6" t="s">
        <v>24</v>
      </c>
      <c r="R10" s="102"/>
      <c r="S10" s="91" t="s">
        <v>24</v>
      </c>
      <c r="T10" s="102"/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86" t="s">
        <v>24</v>
      </c>
      <c r="AA10" s="102"/>
      <c r="AB10" s="6" t="s">
        <v>24</v>
      </c>
      <c r="AC10" s="6" t="s">
        <v>24</v>
      </c>
      <c r="AD10" s="6" t="s">
        <v>24</v>
      </c>
      <c r="AE10" s="6" t="s">
        <v>24</v>
      </c>
      <c r="AF10" s="6" t="s">
        <v>24</v>
      </c>
      <c r="AG10" s="4">
        <f t="shared" si="0"/>
        <v>23</v>
      </c>
      <c r="AH10" s="4">
        <f t="shared" si="1"/>
        <v>0</v>
      </c>
    </row>
    <row r="11" spans="1:38" ht="16.5">
      <c r="A11" s="7">
        <v>7</v>
      </c>
      <c r="B11" s="80" t="s">
        <v>209</v>
      </c>
      <c r="C11" s="80" t="s">
        <v>210</v>
      </c>
      <c r="D11" s="14" t="s">
        <v>60</v>
      </c>
      <c r="E11" s="91" t="s">
        <v>24</v>
      </c>
      <c r="F11" s="102"/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23</v>
      </c>
      <c r="L11" s="90" t="s">
        <v>24</v>
      </c>
      <c r="M11" s="102"/>
      <c r="N11" s="6" t="s">
        <v>24</v>
      </c>
      <c r="O11" s="6" t="s">
        <v>24</v>
      </c>
      <c r="P11" s="6" t="s">
        <v>23</v>
      </c>
      <c r="Q11" s="6" t="s">
        <v>24</v>
      </c>
      <c r="R11" s="102"/>
      <c r="S11" s="91" t="s">
        <v>24</v>
      </c>
      <c r="T11" s="102"/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23</v>
      </c>
      <c r="Z11" s="86" t="s">
        <v>24</v>
      </c>
      <c r="AA11" s="102"/>
      <c r="AB11" s="6" t="s">
        <v>24</v>
      </c>
      <c r="AC11" s="6" t="s">
        <v>24</v>
      </c>
      <c r="AD11" s="6" t="s">
        <v>24</v>
      </c>
      <c r="AE11" s="6" t="s">
        <v>24</v>
      </c>
      <c r="AF11" s="6" t="s">
        <v>24</v>
      </c>
      <c r="AG11" s="4">
        <f t="shared" si="0"/>
        <v>20</v>
      </c>
      <c r="AH11" s="4">
        <f t="shared" si="1"/>
        <v>3</v>
      </c>
      <c r="AI11" s="105" t="s">
        <v>9</v>
      </c>
      <c r="AJ11" s="105"/>
      <c r="AK11" s="105"/>
      <c r="AL11" s="106"/>
    </row>
    <row r="12" spans="1:38" ht="16.5">
      <c r="A12" s="7">
        <v>8</v>
      </c>
      <c r="B12" s="80" t="s">
        <v>211</v>
      </c>
      <c r="C12" s="80" t="s">
        <v>22</v>
      </c>
      <c r="D12" s="14" t="s">
        <v>60</v>
      </c>
      <c r="E12" s="91" t="s">
        <v>24</v>
      </c>
      <c r="F12" s="102"/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90" t="s">
        <v>24</v>
      </c>
      <c r="M12" s="102"/>
      <c r="N12" s="6" t="s">
        <v>23</v>
      </c>
      <c r="O12" s="6" t="s">
        <v>24</v>
      </c>
      <c r="P12" s="6" t="s">
        <v>23</v>
      </c>
      <c r="Q12" s="6" t="s">
        <v>24</v>
      </c>
      <c r="R12" s="102"/>
      <c r="S12" s="91" t="s">
        <v>24</v>
      </c>
      <c r="T12" s="102"/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86" t="s">
        <v>24</v>
      </c>
      <c r="AA12" s="102"/>
      <c r="AB12" s="6" t="s">
        <v>24</v>
      </c>
      <c r="AC12" s="6" t="s">
        <v>24</v>
      </c>
      <c r="AD12" s="6" t="s">
        <v>24</v>
      </c>
      <c r="AE12" s="6" t="s">
        <v>24</v>
      </c>
      <c r="AF12" s="6" t="s">
        <v>24</v>
      </c>
      <c r="AG12" s="4">
        <f t="shared" si="0"/>
        <v>21</v>
      </c>
      <c r="AH12" s="4">
        <f t="shared" si="1"/>
        <v>2</v>
      </c>
      <c r="AI12" s="82" t="s">
        <v>10</v>
      </c>
      <c r="AJ12" s="4" t="s">
        <v>11</v>
      </c>
      <c r="AK12" s="4" t="s">
        <v>12</v>
      </c>
      <c r="AL12" s="4" t="s">
        <v>13</v>
      </c>
    </row>
    <row r="13" spans="1:38" ht="16.5">
      <c r="A13" s="7">
        <v>9</v>
      </c>
      <c r="B13" s="80" t="s">
        <v>212</v>
      </c>
      <c r="C13" s="80" t="s">
        <v>213</v>
      </c>
      <c r="D13" s="14" t="s">
        <v>60</v>
      </c>
      <c r="E13" s="91" t="s">
        <v>24</v>
      </c>
      <c r="F13" s="102"/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90" t="s">
        <v>24</v>
      </c>
      <c r="M13" s="102"/>
      <c r="N13" s="6" t="s">
        <v>24</v>
      </c>
      <c r="O13" s="6" t="s">
        <v>24</v>
      </c>
      <c r="P13" s="6" t="s">
        <v>23</v>
      </c>
      <c r="Q13" s="6" t="s">
        <v>24</v>
      </c>
      <c r="R13" s="102"/>
      <c r="S13" s="91" t="s">
        <v>24</v>
      </c>
      <c r="T13" s="102"/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86" t="s">
        <v>24</v>
      </c>
      <c r="AA13" s="102"/>
      <c r="AB13" s="6" t="s">
        <v>24</v>
      </c>
      <c r="AC13" s="6" t="s">
        <v>24</v>
      </c>
      <c r="AD13" s="6" t="s">
        <v>24</v>
      </c>
      <c r="AE13" s="6" t="s">
        <v>24</v>
      </c>
      <c r="AF13" s="6" t="s">
        <v>24</v>
      </c>
      <c r="AG13" s="4">
        <f t="shared" si="0"/>
        <v>22</v>
      </c>
      <c r="AH13" s="4">
        <f t="shared" si="1"/>
        <v>1</v>
      </c>
      <c r="AI13" s="82" t="s">
        <v>14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214</v>
      </c>
      <c r="C14" s="80" t="s">
        <v>215</v>
      </c>
      <c r="D14" s="14" t="s">
        <v>60</v>
      </c>
      <c r="E14" s="91" t="s">
        <v>24</v>
      </c>
      <c r="F14" s="102"/>
      <c r="G14" s="13" t="s">
        <v>23</v>
      </c>
      <c r="H14" s="13" t="s">
        <v>23</v>
      </c>
      <c r="I14" s="13" t="s">
        <v>23</v>
      </c>
      <c r="J14" s="13" t="s">
        <v>23</v>
      </c>
      <c r="K14" s="13" t="s">
        <v>23</v>
      </c>
      <c r="L14" s="90" t="s">
        <v>24</v>
      </c>
      <c r="M14" s="102"/>
      <c r="N14" s="6" t="s">
        <v>23</v>
      </c>
      <c r="O14" s="6" t="s">
        <v>23</v>
      </c>
      <c r="P14" s="6" t="s">
        <v>23</v>
      </c>
      <c r="Q14" s="6" t="s">
        <v>24</v>
      </c>
      <c r="R14" s="102"/>
      <c r="S14" s="91" t="s">
        <v>24</v>
      </c>
      <c r="T14" s="102"/>
      <c r="U14" s="6" t="s">
        <v>24</v>
      </c>
      <c r="V14" s="6" t="s">
        <v>24</v>
      </c>
      <c r="W14" s="6" t="s">
        <v>24</v>
      </c>
      <c r="X14" s="6" t="s">
        <v>24</v>
      </c>
      <c r="Y14" s="6" t="s">
        <v>24</v>
      </c>
      <c r="Z14" s="86" t="s">
        <v>24</v>
      </c>
      <c r="AA14" s="102"/>
      <c r="AB14" s="6" t="s">
        <v>24</v>
      </c>
      <c r="AC14" s="6" t="s">
        <v>24</v>
      </c>
      <c r="AD14" s="6" t="s">
        <v>24</v>
      </c>
      <c r="AE14" s="6" t="s">
        <v>24</v>
      </c>
      <c r="AF14" s="6" t="s">
        <v>24</v>
      </c>
      <c r="AG14" s="4">
        <f t="shared" si="0"/>
        <v>15</v>
      </c>
      <c r="AH14" s="4">
        <f t="shared" si="1"/>
        <v>8</v>
      </c>
      <c r="AI14" s="82" t="s">
        <v>15</v>
      </c>
      <c r="AJ14" s="7" t="e">
        <f>SUM(AG6,AG9,AG11,AG13,AG16,AG21,AG22,AG23,AG24,#REF!,#REF!,#REF!,#REF!,#REF!,#REF!,#REF!,#REF!,#REF!,#REF!,#REF!,#REF!,#REF!,#REF!,#REF!,#REF!,#REF!,#REF!)</f>
        <v>#REF!</v>
      </c>
      <c r="AK14" s="7" t="e">
        <f>SUM(AG5,AG7,AG8,AG10,AG12,AG14,AG15,AG17,AG18,AG19,AG20,#REF!,#REF!,#REF!,#REF!,#REF!,#REF!,#REF!,#REF!,#REF!,#REF!,#REF!,#REF!,#REF!,#REF!,#REF!,#REF!)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216</v>
      </c>
      <c r="C15" s="80" t="s">
        <v>62</v>
      </c>
      <c r="D15" s="14" t="s">
        <v>60</v>
      </c>
      <c r="E15" s="91" t="s">
        <v>24</v>
      </c>
      <c r="F15" s="102"/>
      <c r="G15" s="13" t="s">
        <v>23</v>
      </c>
      <c r="H15" s="13" t="s">
        <v>24</v>
      </c>
      <c r="I15" s="13" t="s">
        <v>24</v>
      </c>
      <c r="J15" s="13" t="s">
        <v>24</v>
      </c>
      <c r="K15" s="13" t="s">
        <v>24</v>
      </c>
      <c r="L15" s="90" t="s">
        <v>24</v>
      </c>
      <c r="M15" s="102"/>
      <c r="N15" s="6" t="s">
        <v>24</v>
      </c>
      <c r="O15" s="6" t="s">
        <v>23</v>
      </c>
      <c r="P15" s="6" t="s">
        <v>24</v>
      </c>
      <c r="Q15" s="6" t="s">
        <v>24</v>
      </c>
      <c r="R15" s="102"/>
      <c r="S15" s="91" t="s">
        <v>24</v>
      </c>
      <c r="T15" s="102"/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86" t="s">
        <v>24</v>
      </c>
      <c r="AA15" s="102"/>
      <c r="AB15" s="6" t="s">
        <v>24</v>
      </c>
      <c r="AC15" s="6" t="s">
        <v>24</v>
      </c>
      <c r="AD15" s="6" t="s">
        <v>24</v>
      </c>
      <c r="AE15" s="6" t="s">
        <v>24</v>
      </c>
      <c r="AF15" s="6" t="s">
        <v>24</v>
      </c>
      <c r="AG15" s="4">
        <f t="shared" si="0"/>
        <v>21</v>
      </c>
      <c r="AH15" s="4">
        <f t="shared" si="1"/>
        <v>2</v>
      </c>
      <c r="AI15" s="82" t="s">
        <v>16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36</v>
      </c>
      <c r="C16" s="80" t="s">
        <v>217</v>
      </c>
      <c r="D16" s="14" t="s">
        <v>60</v>
      </c>
      <c r="E16" s="91" t="s">
        <v>24</v>
      </c>
      <c r="F16" s="102"/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90" t="s">
        <v>24</v>
      </c>
      <c r="M16" s="102"/>
      <c r="N16" s="6" t="s">
        <v>24</v>
      </c>
      <c r="O16" s="6" t="s">
        <v>24</v>
      </c>
      <c r="P16" s="6" t="s">
        <v>24</v>
      </c>
      <c r="Q16" s="6" t="s">
        <v>24</v>
      </c>
      <c r="R16" s="102"/>
      <c r="S16" s="91" t="s">
        <v>24</v>
      </c>
      <c r="T16" s="102"/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86" t="s">
        <v>24</v>
      </c>
      <c r="AA16" s="102"/>
      <c r="AB16" s="6" t="s">
        <v>24</v>
      </c>
      <c r="AC16" s="6" t="s">
        <v>24</v>
      </c>
      <c r="AD16" s="6" t="s">
        <v>24</v>
      </c>
      <c r="AE16" s="6" t="s">
        <v>24</v>
      </c>
      <c r="AF16" s="6" t="s">
        <v>24</v>
      </c>
      <c r="AG16" s="4">
        <f t="shared" si="0"/>
        <v>23</v>
      </c>
      <c r="AH16" s="4">
        <f t="shared" si="1"/>
        <v>0</v>
      </c>
      <c r="AI16"/>
      <c r="AJ16"/>
      <c r="AK16"/>
      <c r="AL16"/>
    </row>
    <row r="17" spans="1:38" ht="16.5">
      <c r="A17" s="7">
        <v>13</v>
      </c>
      <c r="B17" s="80" t="s">
        <v>218</v>
      </c>
      <c r="C17" s="80" t="s">
        <v>219</v>
      </c>
      <c r="D17" s="14" t="s">
        <v>60</v>
      </c>
      <c r="E17" s="91" t="s">
        <v>24</v>
      </c>
      <c r="F17" s="102"/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90" t="s">
        <v>24</v>
      </c>
      <c r="M17" s="102"/>
      <c r="N17" s="6" t="s">
        <v>24</v>
      </c>
      <c r="O17" s="6" t="s">
        <v>23</v>
      </c>
      <c r="P17" s="6" t="s">
        <v>23</v>
      </c>
      <c r="Q17" s="6" t="s">
        <v>24</v>
      </c>
      <c r="R17" s="102"/>
      <c r="S17" s="91" t="s">
        <v>24</v>
      </c>
      <c r="T17" s="102"/>
      <c r="U17" s="6" t="s">
        <v>23</v>
      </c>
      <c r="V17" s="6" t="s">
        <v>23</v>
      </c>
      <c r="W17" s="6" t="s">
        <v>24</v>
      </c>
      <c r="X17" s="6" t="s">
        <v>24</v>
      </c>
      <c r="Y17" s="6" t="s">
        <v>23</v>
      </c>
      <c r="Z17" s="86" t="s">
        <v>24</v>
      </c>
      <c r="AA17" s="102"/>
      <c r="AB17" s="6" t="s">
        <v>24</v>
      </c>
      <c r="AC17" s="6" t="s">
        <v>24</v>
      </c>
      <c r="AD17" s="6" t="s">
        <v>24</v>
      </c>
      <c r="AE17" s="6" t="s">
        <v>24</v>
      </c>
      <c r="AF17" s="6" t="s">
        <v>24</v>
      </c>
      <c r="AG17" s="4">
        <f t="shared" si="0"/>
        <v>18</v>
      </c>
      <c r="AH17" s="4">
        <f t="shared" si="1"/>
        <v>5</v>
      </c>
      <c r="AI17"/>
      <c r="AJ17"/>
      <c r="AK17"/>
      <c r="AL17"/>
    </row>
    <row r="18" spans="1:38" ht="16.5">
      <c r="A18" s="7">
        <v>14</v>
      </c>
      <c r="B18" s="80" t="s">
        <v>81</v>
      </c>
      <c r="C18" s="80" t="s">
        <v>117</v>
      </c>
      <c r="D18" s="14" t="s">
        <v>60</v>
      </c>
      <c r="E18" s="91" t="s">
        <v>24</v>
      </c>
      <c r="F18" s="102"/>
      <c r="G18" s="13" t="s">
        <v>23</v>
      </c>
      <c r="H18" s="13" t="s">
        <v>24</v>
      </c>
      <c r="I18" s="13" t="s">
        <v>24</v>
      </c>
      <c r="J18" s="13" t="s">
        <v>23</v>
      </c>
      <c r="K18" s="13" t="s">
        <v>24</v>
      </c>
      <c r="L18" s="90" t="s">
        <v>24</v>
      </c>
      <c r="M18" s="102"/>
      <c r="N18" s="6" t="s">
        <v>23</v>
      </c>
      <c r="O18" s="6" t="s">
        <v>24</v>
      </c>
      <c r="P18" s="6" t="s">
        <v>23</v>
      </c>
      <c r="Q18" s="6" t="s">
        <v>24</v>
      </c>
      <c r="R18" s="102"/>
      <c r="S18" s="91" t="s">
        <v>24</v>
      </c>
      <c r="T18" s="102"/>
      <c r="U18" s="6" t="s">
        <v>23</v>
      </c>
      <c r="V18" s="6" t="s">
        <v>23</v>
      </c>
      <c r="W18" s="6" t="s">
        <v>23</v>
      </c>
      <c r="X18" s="6" t="s">
        <v>23</v>
      </c>
      <c r="Y18" s="6" t="s">
        <v>23</v>
      </c>
      <c r="Z18" s="86" t="s">
        <v>24</v>
      </c>
      <c r="AA18" s="102"/>
      <c r="AB18" s="6" t="s">
        <v>24</v>
      </c>
      <c r="AC18" s="6" t="s">
        <v>24</v>
      </c>
      <c r="AD18" s="6" t="s">
        <v>24</v>
      </c>
      <c r="AE18" s="6" t="s">
        <v>24</v>
      </c>
      <c r="AF18" s="6" t="s">
        <v>24</v>
      </c>
      <c r="AG18" s="4">
        <f t="shared" si="0"/>
        <v>14</v>
      </c>
      <c r="AH18" s="4">
        <f t="shared" si="1"/>
        <v>9</v>
      </c>
      <c r="AI18"/>
      <c r="AJ18"/>
      <c r="AK18"/>
      <c r="AL18"/>
    </row>
    <row r="19" spans="1:38" ht="16.5">
      <c r="A19" s="7">
        <v>15</v>
      </c>
      <c r="B19" s="80" t="s">
        <v>220</v>
      </c>
      <c r="C19" s="80" t="s">
        <v>221</v>
      </c>
      <c r="D19" s="14" t="s">
        <v>60</v>
      </c>
      <c r="E19" s="91" t="s">
        <v>24</v>
      </c>
      <c r="F19" s="102"/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23</v>
      </c>
      <c r="L19" s="90" t="s">
        <v>24</v>
      </c>
      <c r="M19" s="102"/>
      <c r="N19" s="6" t="s">
        <v>24</v>
      </c>
      <c r="O19" s="6" t="s">
        <v>24</v>
      </c>
      <c r="P19" s="6" t="s">
        <v>24</v>
      </c>
      <c r="Q19" s="6" t="s">
        <v>24</v>
      </c>
      <c r="R19" s="102"/>
      <c r="S19" s="91" t="s">
        <v>24</v>
      </c>
      <c r="T19" s="102"/>
      <c r="U19" s="6" t="s">
        <v>23</v>
      </c>
      <c r="V19" s="6" t="s">
        <v>23</v>
      </c>
      <c r="W19" s="6" t="s">
        <v>24</v>
      </c>
      <c r="X19" s="6" t="s">
        <v>23</v>
      </c>
      <c r="Y19" s="6" t="s">
        <v>23</v>
      </c>
      <c r="Z19" s="86" t="s">
        <v>24</v>
      </c>
      <c r="AA19" s="102"/>
      <c r="AB19" s="6" t="s">
        <v>24</v>
      </c>
      <c r="AC19" s="6" t="s">
        <v>24</v>
      </c>
      <c r="AD19" s="6" t="s">
        <v>24</v>
      </c>
      <c r="AE19" s="6" t="s">
        <v>24</v>
      </c>
      <c r="AF19" s="6" t="s">
        <v>24</v>
      </c>
      <c r="AG19" s="4">
        <f t="shared" si="0"/>
        <v>18</v>
      </c>
      <c r="AH19" s="4">
        <f t="shared" si="1"/>
        <v>5</v>
      </c>
      <c r="AI19" s="105" t="s">
        <v>31</v>
      </c>
      <c r="AJ19" s="105"/>
      <c r="AK19" s="105"/>
      <c r="AL19" s="106"/>
    </row>
    <row r="20" spans="1:38" ht="16.5">
      <c r="A20" s="7">
        <v>16</v>
      </c>
      <c r="B20" s="80" t="s">
        <v>63</v>
      </c>
      <c r="C20" s="80" t="s">
        <v>19</v>
      </c>
      <c r="D20" s="14" t="s">
        <v>60</v>
      </c>
      <c r="E20" s="91" t="s">
        <v>24</v>
      </c>
      <c r="F20" s="102"/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90" t="s">
        <v>24</v>
      </c>
      <c r="M20" s="102"/>
      <c r="N20" s="6" t="s">
        <v>24</v>
      </c>
      <c r="O20" s="6" t="s">
        <v>24</v>
      </c>
      <c r="P20" s="6" t="s">
        <v>24</v>
      </c>
      <c r="Q20" s="6" t="s">
        <v>24</v>
      </c>
      <c r="R20" s="102"/>
      <c r="S20" s="91" t="s">
        <v>24</v>
      </c>
      <c r="T20" s="102"/>
      <c r="U20" s="6" t="s">
        <v>24</v>
      </c>
      <c r="V20" s="6" t="s">
        <v>23</v>
      </c>
      <c r="W20" s="6" t="s">
        <v>24</v>
      </c>
      <c r="X20" s="6" t="s">
        <v>24</v>
      </c>
      <c r="Y20" s="6" t="s">
        <v>24</v>
      </c>
      <c r="Z20" s="86" t="s">
        <v>24</v>
      </c>
      <c r="AA20" s="102"/>
      <c r="AB20" s="6" t="s">
        <v>24</v>
      </c>
      <c r="AC20" s="6" t="s">
        <v>24</v>
      </c>
      <c r="AD20" s="6" t="s">
        <v>24</v>
      </c>
      <c r="AE20" s="6" t="s">
        <v>24</v>
      </c>
      <c r="AF20" s="6" t="s">
        <v>24</v>
      </c>
      <c r="AG20" s="4">
        <f t="shared" si="0"/>
        <v>22</v>
      </c>
      <c r="AH20" s="4">
        <f t="shared" si="1"/>
        <v>1</v>
      </c>
      <c r="AI20" s="82" t="s">
        <v>10</v>
      </c>
      <c r="AJ20" s="4" t="s">
        <v>11</v>
      </c>
      <c r="AK20" s="4" t="s">
        <v>12</v>
      </c>
      <c r="AL20" s="4" t="s">
        <v>13</v>
      </c>
    </row>
    <row r="21" spans="1:38" ht="16.5">
      <c r="A21" s="7">
        <v>17</v>
      </c>
      <c r="B21" s="80" t="s">
        <v>222</v>
      </c>
      <c r="C21" s="80" t="s">
        <v>166</v>
      </c>
      <c r="D21" s="14" t="s">
        <v>60</v>
      </c>
      <c r="E21" s="91" t="s">
        <v>24</v>
      </c>
      <c r="F21" s="102"/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90" t="s">
        <v>24</v>
      </c>
      <c r="M21" s="102"/>
      <c r="N21" s="6" t="s">
        <v>24</v>
      </c>
      <c r="O21" s="6" t="s">
        <v>24</v>
      </c>
      <c r="P21" s="6" t="s">
        <v>23</v>
      </c>
      <c r="Q21" s="6" t="s">
        <v>24</v>
      </c>
      <c r="R21" s="102"/>
      <c r="S21" s="91" t="s">
        <v>24</v>
      </c>
      <c r="T21" s="102"/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23</v>
      </c>
      <c r="Z21" s="86" t="s">
        <v>24</v>
      </c>
      <c r="AA21" s="102"/>
      <c r="AB21" s="6" t="s">
        <v>24</v>
      </c>
      <c r="AC21" s="6" t="s">
        <v>24</v>
      </c>
      <c r="AD21" s="6" t="s">
        <v>24</v>
      </c>
      <c r="AE21" s="6" t="s">
        <v>24</v>
      </c>
      <c r="AF21" s="6" t="s">
        <v>24</v>
      </c>
      <c r="AG21" s="4">
        <f t="shared" si="0"/>
        <v>21</v>
      </c>
      <c r="AH21" s="4">
        <f t="shared" si="1"/>
        <v>2</v>
      </c>
      <c r="AI21" s="82" t="s">
        <v>14</v>
      </c>
      <c r="AJ21" s="7">
        <f>27*$AJ$5</f>
        <v>648</v>
      </c>
      <c r="AK21" s="7">
        <f>27*$AJ$5</f>
        <v>648</v>
      </c>
      <c r="AL21" s="7">
        <f>AJ21+AK21</f>
        <v>1296</v>
      </c>
    </row>
    <row r="22" spans="1:38" ht="16.5">
      <c r="A22" s="7">
        <v>18</v>
      </c>
      <c r="B22" s="80" t="s">
        <v>40</v>
      </c>
      <c r="C22" s="80" t="s">
        <v>19</v>
      </c>
      <c r="D22" s="14" t="s">
        <v>60</v>
      </c>
      <c r="E22" s="91" t="s">
        <v>24</v>
      </c>
      <c r="F22" s="102"/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90" t="s">
        <v>24</v>
      </c>
      <c r="M22" s="102"/>
      <c r="N22" s="6" t="s">
        <v>24</v>
      </c>
      <c r="O22" s="6" t="s">
        <v>24</v>
      </c>
      <c r="P22" s="6" t="s">
        <v>23</v>
      </c>
      <c r="Q22" s="6" t="s">
        <v>24</v>
      </c>
      <c r="R22" s="102"/>
      <c r="S22" s="91" t="s">
        <v>24</v>
      </c>
      <c r="T22" s="102"/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86" t="s">
        <v>24</v>
      </c>
      <c r="AA22" s="102"/>
      <c r="AB22" s="6" t="s">
        <v>24</v>
      </c>
      <c r="AC22" s="6" t="s">
        <v>24</v>
      </c>
      <c r="AD22" s="6" t="s">
        <v>24</v>
      </c>
      <c r="AE22" s="6" t="s">
        <v>24</v>
      </c>
      <c r="AF22" s="6" t="s">
        <v>24</v>
      </c>
      <c r="AG22" s="4">
        <f t="shared" si="0"/>
        <v>22</v>
      </c>
      <c r="AH22" s="4">
        <f t="shared" si="1"/>
        <v>1</v>
      </c>
      <c r="AI22" s="82" t="s">
        <v>17</v>
      </c>
      <c r="AJ22" s="7" t="e">
        <f>AJ21-AJ14</f>
        <v>#REF!</v>
      </c>
      <c r="AK22" s="7" t="e">
        <f>AK21-AK14</f>
        <v>#REF!</v>
      </c>
      <c r="AL22" s="7" t="e">
        <f>AJ22+AK22</f>
        <v>#REF!</v>
      </c>
    </row>
    <row r="23" spans="1:38" ht="16.5">
      <c r="A23" s="7">
        <v>19</v>
      </c>
      <c r="B23" s="80" t="s">
        <v>223</v>
      </c>
      <c r="C23" s="80" t="s">
        <v>213</v>
      </c>
      <c r="D23" s="14" t="s">
        <v>60</v>
      </c>
      <c r="E23" s="91" t="s">
        <v>24</v>
      </c>
      <c r="F23" s="102"/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90" t="s">
        <v>24</v>
      </c>
      <c r="M23" s="102"/>
      <c r="N23" s="6" t="s">
        <v>24</v>
      </c>
      <c r="O23" s="6" t="s">
        <v>24</v>
      </c>
      <c r="P23" s="6" t="s">
        <v>24</v>
      </c>
      <c r="Q23" s="6" t="s">
        <v>24</v>
      </c>
      <c r="R23" s="102"/>
      <c r="S23" s="91" t="s">
        <v>24</v>
      </c>
      <c r="T23" s="102"/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86" t="s">
        <v>24</v>
      </c>
      <c r="AA23" s="102"/>
      <c r="AB23" s="6" t="s">
        <v>24</v>
      </c>
      <c r="AC23" s="6" t="s">
        <v>24</v>
      </c>
      <c r="AD23" s="6" t="s">
        <v>24</v>
      </c>
      <c r="AE23" s="6" t="s">
        <v>24</v>
      </c>
      <c r="AF23" s="6" t="s">
        <v>24</v>
      </c>
      <c r="AG23" s="4">
        <f t="shared" si="0"/>
        <v>23</v>
      </c>
      <c r="AH23" s="4">
        <f t="shared" si="1"/>
        <v>0</v>
      </c>
      <c r="AI23" s="82" t="s">
        <v>16</v>
      </c>
      <c r="AJ23" s="9" t="e">
        <f>AJ22/AJ21</f>
        <v>#REF!</v>
      </c>
      <c r="AK23" s="9" t="e">
        <f>AK22/AK21</f>
        <v>#REF!</v>
      </c>
      <c r="AL23" s="9" t="e">
        <f>AL22/AL21</f>
        <v>#REF!</v>
      </c>
    </row>
    <row r="24" spans="1:38" ht="16.5">
      <c r="A24" s="7">
        <v>20</v>
      </c>
      <c r="B24" s="80" t="s">
        <v>180</v>
      </c>
      <c r="C24" s="80" t="s">
        <v>224</v>
      </c>
      <c r="D24" s="14" t="s">
        <v>60</v>
      </c>
      <c r="E24" s="91" t="s">
        <v>24</v>
      </c>
      <c r="F24" s="102"/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90" t="s">
        <v>24</v>
      </c>
      <c r="M24" s="102"/>
      <c r="N24" s="6" t="s">
        <v>24</v>
      </c>
      <c r="O24" s="6" t="s">
        <v>24</v>
      </c>
      <c r="P24" s="6" t="s">
        <v>23</v>
      </c>
      <c r="Q24" s="6" t="s">
        <v>24</v>
      </c>
      <c r="R24" s="102"/>
      <c r="S24" s="91" t="s">
        <v>24</v>
      </c>
      <c r="T24" s="102"/>
      <c r="U24" s="6" t="s">
        <v>24</v>
      </c>
      <c r="V24" s="6" t="s">
        <v>24</v>
      </c>
      <c r="W24" s="6" t="s">
        <v>23</v>
      </c>
      <c r="X24" s="6" t="s">
        <v>24</v>
      </c>
      <c r="Y24" s="6" t="s">
        <v>24</v>
      </c>
      <c r="Z24" s="86" t="s">
        <v>24</v>
      </c>
      <c r="AA24" s="102"/>
      <c r="AB24" s="6" t="s">
        <v>24</v>
      </c>
      <c r="AC24" s="6" t="s">
        <v>24</v>
      </c>
      <c r="AD24" s="6" t="s">
        <v>24</v>
      </c>
      <c r="AE24" s="6" t="s">
        <v>24</v>
      </c>
      <c r="AF24" s="6" t="s">
        <v>24</v>
      </c>
      <c r="AG24" s="4">
        <f t="shared" si="0"/>
        <v>21</v>
      </c>
      <c r="AH24" s="4">
        <f t="shared" si="1"/>
        <v>2</v>
      </c>
    </row>
  </sheetData>
  <mergeCells count="16">
    <mergeCell ref="AG3:AG4"/>
    <mergeCell ref="AH3:AH4"/>
    <mergeCell ref="AI3:AJ3"/>
    <mergeCell ref="AI11:AL11"/>
    <mergeCell ref="AI19:AL19"/>
    <mergeCell ref="F5:F24"/>
    <mergeCell ref="M5:M24"/>
    <mergeCell ref="T5:T24"/>
    <mergeCell ref="AA5:AA24"/>
    <mergeCell ref="R5:R24"/>
    <mergeCell ref="A1:AF1"/>
    <mergeCell ref="A2:AF2"/>
    <mergeCell ref="A3:A4"/>
    <mergeCell ref="B3:B4"/>
    <mergeCell ref="C3:C4"/>
    <mergeCell ref="D3:D4"/>
  </mergeCells>
  <phoneticPr fontId="19" type="noConversion"/>
  <conditionalFormatting sqref="E3:AF4 G5:L24 N5:Q24 AB5:AF24 U5:Z24">
    <cfRule type="expression" dxfId="153" priority="48">
      <formula>E$4=TODAY()</formula>
    </cfRule>
    <cfRule type="expression" dxfId="152" priority="51">
      <formula>E$3="Sun"</formula>
    </cfRule>
  </conditionalFormatting>
  <conditionalFormatting sqref="G5:L24 N5:Q24 AB5:AF24 U5:Z24">
    <cfRule type="cellIs" dxfId="151" priority="47" operator="equal">
      <formula>"L"</formula>
    </cfRule>
    <cfRule type="cellIs" dxfId="150" priority="49" operator="equal">
      <formula>"A"</formula>
    </cfRule>
    <cfRule type="cellIs" dxfId="149" priority="50" operator="equal">
      <formula>"P"</formula>
    </cfRule>
  </conditionalFormatting>
  <conditionalFormatting sqref="AG3:AH3 AG5:AH24">
    <cfRule type="expression" dxfId="148" priority="52">
      <formula>#REF!="Sun"</formula>
    </cfRule>
  </conditionalFormatting>
  <conditionalFormatting sqref="AI5:AI9">
    <cfRule type="expression" dxfId="147" priority="44">
      <formula>AI$3="Sun"</formula>
    </cfRule>
  </conditionalFormatting>
  <conditionalFormatting sqref="AI12:AI15">
    <cfRule type="expression" dxfId="146" priority="42">
      <formula>AI$3="Sun"</formula>
    </cfRule>
  </conditionalFormatting>
  <conditionalFormatting sqref="AI20:AI23">
    <cfRule type="expression" dxfId="145" priority="41">
      <formula>AI$3="Sun"</formula>
    </cfRule>
  </conditionalFormatting>
  <conditionalFormatting sqref="AI4:AJ4">
    <cfRule type="expression" dxfId="144" priority="45">
      <formula>AI$3="Sun"</formula>
    </cfRule>
  </conditionalFormatting>
  <conditionalFormatting sqref="AJ12:AL12 AJ20:AL20">
    <cfRule type="expression" dxfId="143" priority="46">
      <formula>AJ$3="Sun"</formula>
    </cfRule>
  </conditionalFormatting>
  <conditionalFormatting sqref="AL21">
    <cfRule type="expression" dxfId="142" priority="43">
      <formula>AL$3="Sun"</formula>
    </cfRule>
  </conditionalFormatting>
  <conditionalFormatting sqref="S5:S24">
    <cfRule type="expression" dxfId="141" priority="37">
      <formula>S$4=TODAY()</formula>
    </cfRule>
    <cfRule type="expression" dxfId="140" priority="40">
      <formula>S$3="Sun"</formula>
    </cfRule>
  </conditionalFormatting>
  <conditionalFormatting sqref="S5:S24">
    <cfRule type="cellIs" dxfId="139" priority="36" operator="equal">
      <formula>"L"</formula>
    </cfRule>
    <cfRule type="cellIs" dxfId="138" priority="38" operator="equal">
      <formula>"A"</formula>
    </cfRule>
    <cfRule type="cellIs" dxfId="137" priority="39" operator="equal">
      <formula>"P"</formula>
    </cfRule>
  </conditionalFormatting>
  <conditionalFormatting sqref="E5:E24">
    <cfRule type="expression" dxfId="136" priority="32">
      <formula>E$4=TODAY()</formula>
    </cfRule>
    <cfRule type="expression" dxfId="135" priority="35">
      <formula>E$3="Sun"</formula>
    </cfRule>
  </conditionalFormatting>
  <conditionalFormatting sqref="E5:E24">
    <cfRule type="cellIs" dxfId="134" priority="31" operator="equal">
      <formula>"L"</formula>
    </cfRule>
    <cfRule type="cellIs" dxfId="133" priority="33" operator="equal">
      <formula>"A"</formula>
    </cfRule>
    <cfRule type="cellIs" dxfId="132" priority="34" operator="equal">
      <formula>"P"</formula>
    </cfRule>
  </conditionalFormatting>
  <conditionalFormatting sqref="F5">
    <cfRule type="expression" dxfId="49" priority="22">
      <formula>F$4=TODAY()</formula>
    </cfRule>
    <cfRule type="expression" dxfId="48" priority="25">
      <formula>F$3="Sun"</formula>
    </cfRule>
  </conditionalFormatting>
  <conditionalFormatting sqref="F5">
    <cfRule type="cellIs" dxfId="47" priority="21" operator="equal">
      <formula>"L"</formula>
    </cfRule>
    <cfRule type="cellIs" dxfId="46" priority="23" operator="equal">
      <formula>"A"</formula>
    </cfRule>
    <cfRule type="cellIs" dxfId="45" priority="24" operator="equal">
      <formula>"P"</formula>
    </cfRule>
  </conditionalFormatting>
  <conditionalFormatting sqref="M5">
    <cfRule type="expression" dxfId="44" priority="17">
      <formula>M$4=TODAY()</formula>
    </cfRule>
    <cfRule type="expression" dxfId="43" priority="20">
      <formula>M$3="Sun"</formula>
    </cfRule>
  </conditionalFormatting>
  <conditionalFormatting sqref="M5">
    <cfRule type="cellIs" dxfId="42" priority="16" operator="equal">
      <formula>"L"</formula>
    </cfRule>
    <cfRule type="cellIs" dxfId="41" priority="18" operator="equal">
      <formula>"A"</formula>
    </cfRule>
    <cfRule type="cellIs" dxfId="40" priority="19" operator="equal">
      <formula>"P"</formula>
    </cfRule>
  </conditionalFormatting>
  <conditionalFormatting sqref="T5">
    <cfRule type="expression" dxfId="39" priority="12">
      <formula>T$4=TODAY()</formula>
    </cfRule>
    <cfRule type="expression" dxfId="38" priority="15">
      <formula>T$3="Sun"</formula>
    </cfRule>
  </conditionalFormatting>
  <conditionalFormatting sqref="T5">
    <cfRule type="cellIs" dxfId="37" priority="11" operator="equal">
      <formula>"L"</formula>
    </cfRule>
    <cfRule type="cellIs" dxfId="36" priority="13" operator="equal">
      <formula>"A"</formula>
    </cfRule>
    <cfRule type="cellIs" dxfId="35" priority="14" operator="equal">
      <formula>"P"</formula>
    </cfRule>
  </conditionalFormatting>
  <conditionalFormatting sqref="AA5">
    <cfRule type="expression" dxfId="34" priority="7">
      <formula>AA$4=TODAY()</formula>
    </cfRule>
    <cfRule type="expression" dxfId="33" priority="10">
      <formula>AA$3="Sun"</formula>
    </cfRule>
  </conditionalFormatting>
  <conditionalFormatting sqref="AA5">
    <cfRule type="cellIs" dxfId="32" priority="6" operator="equal">
      <formula>"L"</formula>
    </cfRule>
    <cfRule type="cellIs" dxfId="31" priority="8" operator="equal">
      <formula>"A"</formula>
    </cfRule>
    <cfRule type="cellIs" dxfId="30" priority="9" operator="equal">
      <formula>"P"</formula>
    </cfRule>
  </conditionalFormatting>
  <conditionalFormatting sqref="R5">
    <cfRule type="expression" dxfId="29" priority="2">
      <formula>R$4=TODAY()</formula>
    </cfRule>
    <cfRule type="expression" dxfId="28" priority="5">
      <formula>R$3="Sun"</formula>
    </cfRule>
  </conditionalFormatting>
  <conditionalFormatting sqref="R5">
    <cfRule type="cellIs" dxfId="27" priority="1" operator="equal">
      <formula>"L"</formula>
    </cfRule>
    <cfRule type="cellIs" dxfId="26" priority="3" operator="equal">
      <formula>"A"</formula>
    </cfRule>
    <cfRule type="cellIs" dxfId="25" priority="4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AL28"/>
  <sheetViews>
    <sheetView tabSelected="1" topLeftCell="A13" zoomScaleNormal="100" workbookViewId="0">
      <selection activeCell="L21" sqref="L2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7109375" style="1" bestFit="1" customWidth="1"/>
    <col min="7" max="8" width="3.7109375" style="1" bestFit="1" customWidth="1"/>
    <col min="9" max="9" width="3.85546875" style="1" bestFit="1"/>
    <col min="10" max="10" width="4.5703125" style="1" bestFit="1" customWidth="1"/>
    <col min="11" max="11" width="3.85546875" style="1" bestFit="1"/>
    <col min="12" max="12" width="4.85546875" style="1" customWidth="1"/>
    <col min="13" max="14" width="3.7109375" style="1" bestFit="1" customWidth="1"/>
    <col min="15" max="15" width="3.85546875" style="1" bestFit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 bestFit="1"/>
    <col min="23" max="23" width="4.5703125" style="1" bestFit="1" customWidth="1"/>
    <col min="24" max="24" width="3.85546875" style="1" bestFit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 bestFit="1"/>
    <col min="32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99" t="s">
        <v>125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1"/>
      <c r="AH1" s="11"/>
    </row>
    <row r="2" spans="1:38" ht="17.25">
      <c r="A2" s="100" t="s">
        <v>404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2"/>
      <c r="AH2" s="12"/>
      <c r="AI2" s="12"/>
    </row>
    <row r="3" spans="1:38" ht="15.75">
      <c r="A3" s="101" t="s">
        <v>0</v>
      </c>
      <c r="B3" s="101" t="s">
        <v>1</v>
      </c>
      <c r="C3" s="101" t="s">
        <v>2</v>
      </c>
      <c r="D3" s="101" t="s">
        <v>3</v>
      </c>
      <c r="E3" s="2" t="s">
        <v>403</v>
      </c>
      <c r="F3" s="2" t="s">
        <v>397</v>
      </c>
      <c r="G3" s="2" t="s">
        <v>398</v>
      </c>
      <c r="H3" s="2" t="s">
        <v>399</v>
      </c>
      <c r="I3" s="2" t="s">
        <v>400</v>
      </c>
      <c r="J3" s="2" t="s">
        <v>401</v>
      </c>
      <c r="K3" s="2" t="s">
        <v>402</v>
      </c>
      <c r="L3" s="2" t="s">
        <v>403</v>
      </c>
      <c r="M3" s="2" t="s">
        <v>397</v>
      </c>
      <c r="N3" s="2" t="s">
        <v>398</v>
      </c>
      <c r="O3" s="2" t="s">
        <v>399</v>
      </c>
      <c r="P3" s="2" t="s">
        <v>400</v>
      </c>
      <c r="Q3" s="2" t="s">
        <v>401</v>
      </c>
      <c r="R3" s="114" t="s">
        <v>402</v>
      </c>
      <c r="S3" s="2" t="s">
        <v>403</v>
      </c>
      <c r="T3" s="2" t="s">
        <v>397</v>
      </c>
      <c r="U3" s="2" t="s">
        <v>398</v>
      </c>
      <c r="V3" s="2" t="s">
        <v>399</v>
      </c>
      <c r="W3" s="2" t="s">
        <v>400</v>
      </c>
      <c r="X3" s="2" t="s">
        <v>401</v>
      </c>
      <c r="Y3" s="2" t="s">
        <v>402</v>
      </c>
      <c r="Z3" s="2" t="s">
        <v>403</v>
      </c>
      <c r="AA3" s="2" t="s">
        <v>397</v>
      </c>
      <c r="AB3" s="2" t="s">
        <v>398</v>
      </c>
      <c r="AC3" s="2" t="s">
        <v>399</v>
      </c>
      <c r="AD3" s="2" t="s">
        <v>400</v>
      </c>
      <c r="AE3" s="2" t="s">
        <v>401</v>
      </c>
      <c r="AF3" s="2" t="s">
        <v>402</v>
      </c>
      <c r="AG3" s="103" t="s">
        <v>4</v>
      </c>
      <c r="AH3" s="103" t="s">
        <v>5</v>
      </c>
      <c r="AI3" s="104" t="s">
        <v>28</v>
      </c>
      <c r="AJ3" s="105"/>
      <c r="AK3" s="3"/>
      <c r="AL3" s="3"/>
    </row>
    <row r="4" spans="1:38" ht="36">
      <c r="A4" s="101"/>
      <c r="B4" s="101"/>
      <c r="C4" s="101"/>
      <c r="D4" s="101"/>
      <c r="E4" s="10">
        <v>45323</v>
      </c>
      <c r="F4" s="10">
        <v>45324</v>
      </c>
      <c r="G4" s="10">
        <v>45325</v>
      </c>
      <c r="H4" s="10">
        <v>45326</v>
      </c>
      <c r="I4" s="10">
        <v>45327</v>
      </c>
      <c r="J4" s="10">
        <v>45328</v>
      </c>
      <c r="K4" s="10">
        <v>45329</v>
      </c>
      <c r="L4" s="10">
        <v>45330</v>
      </c>
      <c r="M4" s="10">
        <v>45331</v>
      </c>
      <c r="N4" s="10">
        <v>45332</v>
      </c>
      <c r="O4" s="10">
        <v>45333</v>
      </c>
      <c r="P4" s="10">
        <v>45334</v>
      </c>
      <c r="Q4" s="10">
        <v>45335</v>
      </c>
      <c r="R4" s="115">
        <v>45336</v>
      </c>
      <c r="S4" s="10">
        <v>45337</v>
      </c>
      <c r="T4" s="10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103"/>
      <c r="AH4" s="103"/>
      <c r="AI4" s="4" t="s">
        <v>29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0" t="s">
        <v>225</v>
      </c>
      <c r="C5" s="80" t="s">
        <v>129</v>
      </c>
      <c r="D5" s="14" t="s">
        <v>66</v>
      </c>
      <c r="E5" s="91" t="s">
        <v>24</v>
      </c>
      <c r="F5" s="102" t="s">
        <v>27</v>
      </c>
      <c r="G5" s="13" t="s">
        <v>24</v>
      </c>
      <c r="H5" s="13" t="s">
        <v>24</v>
      </c>
      <c r="I5" s="13" t="s">
        <v>24</v>
      </c>
      <c r="J5" s="13" t="s">
        <v>25</v>
      </c>
      <c r="K5" s="13" t="s">
        <v>24</v>
      </c>
      <c r="L5" s="90" t="s">
        <v>24</v>
      </c>
      <c r="M5" s="102" t="s">
        <v>27</v>
      </c>
      <c r="N5" s="6" t="s">
        <v>24</v>
      </c>
      <c r="O5" s="6" t="s">
        <v>24</v>
      </c>
      <c r="P5" s="6" t="s">
        <v>24</v>
      </c>
      <c r="Q5" s="6" t="s">
        <v>24</v>
      </c>
      <c r="R5" s="102" t="s">
        <v>422</v>
      </c>
      <c r="S5" s="91" t="s">
        <v>24</v>
      </c>
      <c r="T5" s="102" t="s">
        <v>27</v>
      </c>
      <c r="U5" s="6" t="s">
        <v>24</v>
      </c>
      <c r="V5" s="6" t="s">
        <v>24</v>
      </c>
      <c r="W5" s="6" t="s">
        <v>23</v>
      </c>
      <c r="X5" s="6" t="s">
        <v>23</v>
      </c>
      <c r="Y5" s="6" t="s">
        <v>24</v>
      </c>
      <c r="Z5" s="91" t="s">
        <v>24</v>
      </c>
      <c r="AA5" s="102" t="s">
        <v>27</v>
      </c>
      <c r="AB5" s="6" t="s">
        <v>24</v>
      </c>
      <c r="AC5" s="6" t="s">
        <v>24</v>
      </c>
      <c r="AD5" s="6" t="s">
        <v>24</v>
      </c>
      <c r="AE5" s="6" t="s">
        <v>24</v>
      </c>
      <c r="AF5" s="6" t="s">
        <v>24</v>
      </c>
      <c r="AG5" s="4">
        <f t="shared" ref="AG5:AG28" si="0">COUNTIF(E5:AF5,"P")</f>
        <v>20</v>
      </c>
      <c r="AH5" s="4">
        <f t="shared" ref="AH5:AH28" si="1">COUNTIF(E5:AF5,"A")</f>
        <v>2</v>
      </c>
      <c r="AI5" s="82" t="s">
        <v>7</v>
      </c>
      <c r="AJ5" s="7">
        <v>24</v>
      </c>
      <c r="AK5" s="8"/>
      <c r="AL5" s="3"/>
    </row>
    <row r="6" spans="1:38" ht="16.5">
      <c r="A6" s="7">
        <v>2</v>
      </c>
      <c r="B6" s="80" t="s">
        <v>226</v>
      </c>
      <c r="C6" s="80" t="s">
        <v>41</v>
      </c>
      <c r="D6" s="14" t="s">
        <v>66</v>
      </c>
      <c r="E6" s="91" t="s">
        <v>24</v>
      </c>
      <c r="F6" s="102"/>
      <c r="G6" s="13" t="s">
        <v>24</v>
      </c>
      <c r="H6" s="13" t="s">
        <v>24</v>
      </c>
      <c r="I6" s="13" t="s">
        <v>24</v>
      </c>
      <c r="J6" s="13" t="s">
        <v>24</v>
      </c>
      <c r="K6" s="13" t="s">
        <v>23</v>
      </c>
      <c r="L6" s="90" t="s">
        <v>24</v>
      </c>
      <c r="M6" s="102"/>
      <c r="N6" s="6" t="s">
        <v>24</v>
      </c>
      <c r="O6" s="6" t="s">
        <v>23</v>
      </c>
      <c r="P6" s="6" t="s">
        <v>25</v>
      </c>
      <c r="Q6" s="6" t="s">
        <v>24</v>
      </c>
      <c r="R6" s="102"/>
      <c r="S6" s="91" t="s">
        <v>24</v>
      </c>
      <c r="T6" s="102"/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91" t="s">
        <v>24</v>
      </c>
      <c r="AA6" s="102"/>
      <c r="AB6" s="6" t="s">
        <v>24</v>
      </c>
      <c r="AC6" s="6" t="s">
        <v>24</v>
      </c>
      <c r="AD6" s="6" t="s">
        <v>24</v>
      </c>
      <c r="AE6" s="6" t="s">
        <v>24</v>
      </c>
      <c r="AF6" s="6" t="s">
        <v>24</v>
      </c>
      <c r="AG6" s="4">
        <f t="shared" si="0"/>
        <v>20</v>
      </c>
      <c r="AH6" s="4">
        <f t="shared" si="1"/>
        <v>2</v>
      </c>
      <c r="AI6" s="82" t="s">
        <v>8</v>
      </c>
      <c r="AJ6" s="7">
        <v>4</v>
      </c>
      <c r="AK6" s="3"/>
      <c r="AL6" s="3"/>
    </row>
    <row r="7" spans="1:38" ht="16.5">
      <c r="A7" s="7">
        <v>3</v>
      </c>
      <c r="B7" s="80" t="s">
        <v>227</v>
      </c>
      <c r="C7" s="80" t="s">
        <v>121</v>
      </c>
      <c r="D7" s="14" t="s">
        <v>66</v>
      </c>
      <c r="E7" s="91" t="s">
        <v>24</v>
      </c>
      <c r="F7" s="102"/>
      <c r="G7" s="13" t="s">
        <v>24</v>
      </c>
      <c r="H7" s="13" t="s">
        <v>24</v>
      </c>
      <c r="I7" s="13" t="s">
        <v>24</v>
      </c>
      <c r="J7" s="13" t="s">
        <v>24</v>
      </c>
      <c r="K7" s="13" t="s">
        <v>24</v>
      </c>
      <c r="L7" s="90" t="s">
        <v>24</v>
      </c>
      <c r="M7" s="102"/>
      <c r="N7" s="6" t="s">
        <v>24</v>
      </c>
      <c r="O7" s="6" t="s">
        <v>24</v>
      </c>
      <c r="P7" s="6" t="s">
        <v>24</v>
      </c>
      <c r="Q7" s="6" t="s">
        <v>24</v>
      </c>
      <c r="R7" s="102"/>
      <c r="S7" s="91" t="s">
        <v>24</v>
      </c>
      <c r="T7" s="102"/>
      <c r="U7" s="6" t="s">
        <v>24</v>
      </c>
      <c r="V7" s="6" t="s">
        <v>24</v>
      </c>
      <c r="W7" s="6" t="s">
        <v>24</v>
      </c>
      <c r="X7" s="6" t="s">
        <v>24</v>
      </c>
      <c r="Y7" s="6" t="s">
        <v>23</v>
      </c>
      <c r="Z7" s="91" t="s">
        <v>24</v>
      </c>
      <c r="AA7" s="102"/>
      <c r="AB7" s="6" t="s">
        <v>24</v>
      </c>
      <c r="AC7" s="6" t="s">
        <v>24</v>
      </c>
      <c r="AD7" s="6" t="s">
        <v>24</v>
      </c>
      <c r="AE7" s="6" t="s">
        <v>24</v>
      </c>
      <c r="AF7" s="6" t="s">
        <v>24</v>
      </c>
      <c r="AG7" s="4">
        <f t="shared" si="0"/>
        <v>22</v>
      </c>
      <c r="AH7" s="4">
        <f t="shared" si="1"/>
        <v>1</v>
      </c>
      <c r="AI7" s="82" t="s">
        <v>32</v>
      </c>
      <c r="AJ7" s="7">
        <v>1</v>
      </c>
      <c r="AK7" s="3"/>
      <c r="AL7" s="3"/>
    </row>
    <row r="8" spans="1:38" ht="16.5">
      <c r="A8" s="7">
        <v>4</v>
      </c>
      <c r="B8" s="80" t="s">
        <v>228</v>
      </c>
      <c r="C8" s="80" t="s">
        <v>229</v>
      </c>
      <c r="D8" s="14" t="s">
        <v>66</v>
      </c>
      <c r="E8" s="91" t="s">
        <v>24</v>
      </c>
      <c r="F8" s="102"/>
      <c r="G8" s="13" t="s">
        <v>24</v>
      </c>
      <c r="H8" s="13" t="s">
        <v>24</v>
      </c>
      <c r="I8" s="13" t="s">
        <v>24</v>
      </c>
      <c r="J8" s="13" t="s">
        <v>24</v>
      </c>
      <c r="K8" s="13" t="s">
        <v>24</v>
      </c>
      <c r="L8" s="90" t="s">
        <v>24</v>
      </c>
      <c r="M8" s="102"/>
      <c r="N8" s="6" t="s">
        <v>24</v>
      </c>
      <c r="O8" s="6" t="s">
        <v>24</v>
      </c>
      <c r="P8" s="6" t="s">
        <v>24</v>
      </c>
      <c r="Q8" s="6" t="s">
        <v>24</v>
      </c>
      <c r="R8" s="102"/>
      <c r="S8" s="91" t="s">
        <v>24</v>
      </c>
      <c r="T8" s="102"/>
      <c r="U8" s="6" t="s">
        <v>24</v>
      </c>
      <c r="V8" s="6" t="s">
        <v>24</v>
      </c>
      <c r="W8" s="6" t="s">
        <v>24</v>
      </c>
      <c r="X8" s="6" t="s">
        <v>24</v>
      </c>
      <c r="Y8" s="6" t="s">
        <v>23</v>
      </c>
      <c r="Z8" s="91" t="s">
        <v>24</v>
      </c>
      <c r="AA8" s="102"/>
      <c r="AB8" s="6" t="s">
        <v>24</v>
      </c>
      <c r="AC8" s="6" t="s">
        <v>24</v>
      </c>
      <c r="AD8" s="6" t="s">
        <v>24</v>
      </c>
      <c r="AE8" s="6" t="s">
        <v>24</v>
      </c>
      <c r="AF8" s="6" t="s">
        <v>24</v>
      </c>
      <c r="AG8" s="4">
        <f t="shared" si="0"/>
        <v>22</v>
      </c>
      <c r="AH8" s="4">
        <f t="shared" si="1"/>
        <v>1</v>
      </c>
      <c r="AI8" s="82" t="s">
        <v>30</v>
      </c>
      <c r="AJ8" s="7">
        <v>1</v>
      </c>
      <c r="AK8"/>
      <c r="AL8"/>
    </row>
    <row r="9" spans="1:38" ht="16.5">
      <c r="A9" s="7">
        <v>5</v>
      </c>
      <c r="B9" s="80" t="s">
        <v>230</v>
      </c>
      <c r="C9" s="80" t="s">
        <v>19</v>
      </c>
      <c r="D9" s="14" t="s">
        <v>66</v>
      </c>
      <c r="E9" s="91" t="s">
        <v>24</v>
      </c>
      <c r="F9" s="102"/>
      <c r="G9" s="13" t="s">
        <v>24</v>
      </c>
      <c r="H9" s="13" t="s">
        <v>23</v>
      </c>
      <c r="I9" s="13" t="s">
        <v>25</v>
      </c>
      <c r="J9" s="13" t="s">
        <v>25</v>
      </c>
      <c r="K9" s="13" t="s">
        <v>25</v>
      </c>
      <c r="L9" s="90" t="s">
        <v>24</v>
      </c>
      <c r="M9" s="102"/>
      <c r="N9" s="6" t="s">
        <v>25</v>
      </c>
      <c r="O9" s="6" t="s">
        <v>25</v>
      </c>
      <c r="P9" s="6" t="s">
        <v>25</v>
      </c>
      <c r="Q9" s="6" t="s">
        <v>24</v>
      </c>
      <c r="R9" s="102"/>
      <c r="S9" s="91" t="s">
        <v>24</v>
      </c>
      <c r="T9" s="102"/>
      <c r="U9" s="6" t="s">
        <v>23</v>
      </c>
      <c r="V9" s="6" t="s">
        <v>23</v>
      </c>
      <c r="W9" s="6" t="s">
        <v>24</v>
      </c>
      <c r="X9" s="6" t="s">
        <v>24</v>
      </c>
      <c r="Y9" s="6" t="s">
        <v>23</v>
      </c>
      <c r="Z9" s="91" t="s">
        <v>24</v>
      </c>
      <c r="AA9" s="102"/>
      <c r="AB9" s="6" t="s">
        <v>24</v>
      </c>
      <c r="AC9" s="6" t="s">
        <v>24</v>
      </c>
      <c r="AD9" s="6" t="s">
        <v>24</v>
      </c>
      <c r="AE9" s="6" t="s">
        <v>24</v>
      </c>
      <c r="AF9" s="6" t="s">
        <v>24</v>
      </c>
      <c r="AG9" s="4">
        <f t="shared" si="0"/>
        <v>13</v>
      </c>
      <c r="AH9" s="4">
        <f t="shared" si="1"/>
        <v>4</v>
      </c>
      <c r="AI9" s="82"/>
      <c r="AJ9" s="7"/>
    </row>
    <row r="10" spans="1:38" ht="16.5">
      <c r="A10" s="7">
        <v>6</v>
      </c>
      <c r="B10" s="80" t="s">
        <v>231</v>
      </c>
      <c r="C10" s="80" t="s">
        <v>232</v>
      </c>
      <c r="D10" s="14" t="s">
        <v>66</v>
      </c>
      <c r="E10" s="91" t="s">
        <v>24</v>
      </c>
      <c r="F10" s="102"/>
      <c r="G10" s="13" t="s">
        <v>24</v>
      </c>
      <c r="H10" s="13" t="s">
        <v>24</v>
      </c>
      <c r="I10" s="13" t="s">
        <v>24</v>
      </c>
      <c r="J10" s="13" t="s">
        <v>24</v>
      </c>
      <c r="K10" s="13" t="s">
        <v>24</v>
      </c>
      <c r="L10" s="90" t="s">
        <v>24</v>
      </c>
      <c r="M10" s="102"/>
      <c r="N10" s="6" t="s">
        <v>24</v>
      </c>
      <c r="O10" s="6" t="s">
        <v>24</v>
      </c>
      <c r="P10" s="6" t="s">
        <v>24</v>
      </c>
      <c r="Q10" s="6" t="s">
        <v>24</v>
      </c>
      <c r="R10" s="102"/>
      <c r="S10" s="91" t="s">
        <v>24</v>
      </c>
      <c r="T10" s="102"/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91" t="s">
        <v>24</v>
      </c>
      <c r="AA10" s="102"/>
      <c r="AB10" s="6" t="s">
        <v>24</v>
      </c>
      <c r="AC10" s="6" t="s">
        <v>24</v>
      </c>
      <c r="AD10" s="6" t="s">
        <v>24</v>
      </c>
      <c r="AE10" s="6" t="s">
        <v>24</v>
      </c>
      <c r="AF10" s="6" t="s">
        <v>24</v>
      </c>
      <c r="AG10" s="4">
        <f t="shared" si="0"/>
        <v>23</v>
      </c>
      <c r="AH10" s="4">
        <f t="shared" si="1"/>
        <v>0</v>
      </c>
    </row>
    <row r="11" spans="1:38" ht="16.5">
      <c r="A11" s="7">
        <v>7</v>
      </c>
      <c r="B11" s="80" t="s">
        <v>52</v>
      </c>
      <c r="C11" s="80" t="s">
        <v>233</v>
      </c>
      <c r="D11" s="14" t="s">
        <v>66</v>
      </c>
      <c r="E11" s="91" t="s">
        <v>24</v>
      </c>
      <c r="F11" s="102"/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23</v>
      </c>
      <c r="L11" s="90" t="s">
        <v>24</v>
      </c>
      <c r="M11" s="102"/>
      <c r="N11" s="6" t="s">
        <v>24</v>
      </c>
      <c r="O11" s="6" t="s">
        <v>24</v>
      </c>
      <c r="P11" s="6" t="s">
        <v>23</v>
      </c>
      <c r="Q11" s="6" t="s">
        <v>24</v>
      </c>
      <c r="R11" s="102"/>
      <c r="S11" s="91" t="s">
        <v>24</v>
      </c>
      <c r="T11" s="102"/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23</v>
      </c>
      <c r="Z11" s="91" t="s">
        <v>24</v>
      </c>
      <c r="AA11" s="102"/>
      <c r="AB11" s="6" t="s">
        <v>24</v>
      </c>
      <c r="AC11" s="6" t="s">
        <v>24</v>
      </c>
      <c r="AD11" s="6" t="s">
        <v>24</v>
      </c>
      <c r="AE11" s="6" t="s">
        <v>24</v>
      </c>
      <c r="AF11" s="6" t="s">
        <v>24</v>
      </c>
      <c r="AG11" s="4">
        <f t="shared" si="0"/>
        <v>20</v>
      </c>
      <c r="AH11" s="4">
        <f t="shared" si="1"/>
        <v>3</v>
      </c>
      <c r="AI11" s="105" t="s">
        <v>9</v>
      </c>
      <c r="AJ11" s="105"/>
      <c r="AK11" s="105"/>
      <c r="AL11" s="106"/>
    </row>
    <row r="12" spans="1:38" ht="16.5">
      <c r="A12" s="7">
        <v>8</v>
      </c>
      <c r="B12" s="80" t="s">
        <v>234</v>
      </c>
      <c r="C12" s="80" t="s">
        <v>235</v>
      </c>
      <c r="D12" s="14" t="s">
        <v>66</v>
      </c>
      <c r="E12" s="91" t="s">
        <v>24</v>
      </c>
      <c r="F12" s="102"/>
      <c r="G12" s="13" t="s">
        <v>24</v>
      </c>
      <c r="H12" s="13" t="s">
        <v>24</v>
      </c>
      <c r="I12" s="13" t="s">
        <v>24</v>
      </c>
      <c r="J12" s="13" t="s">
        <v>24</v>
      </c>
      <c r="K12" s="13" t="s">
        <v>24</v>
      </c>
      <c r="L12" s="90" t="s">
        <v>24</v>
      </c>
      <c r="M12" s="102"/>
      <c r="N12" s="6" t="s">
        <v>23</v>
      </c>
      <c r="O12" s="6" t="s">
        <v>24</v>
      </c>
      <c r="P12" s="6" t="s">
        <v>23</v>
      </c>
      <c r="Q12" s="6" t="s">
        <v>24</v>
      </c>
      <c r="R12" s="102"/>
      <c r="S12" s="91" t="s">
        <v>24</v>
      </c>
      <c r="T12" s="102"/>
      <c r="U12" s="6" t="s">
        <v>24</v>
      </c>
      <c r="V12" s="6" t="s">
        <v>24</v>
      </c>
      <c r="W12" s="6" t="s">
        <v>24</v>
      </c>
      <c r="X12" s="6" t="s">
        <v>24</v>
      </c>
      <c r="Y12" s="6" t="s">
        <v>24</v>
      </c>
      <c r="Z12" s="91" t="s">
        <v>24</v>
      </c>
      <c r="AA12" s="102"/>
      <c r="AB12" s="6" t="s">
        <v>24</v>
      </c>
      <c r="AC12" s="6" t="s">
        <v>24</v>
      </c>
      <c r="AD12" s="6" t="s">
        <v>24</v>
      </c>
      <c r="AE12" s="6" t="s">
        <v>24</v>
      </c>
      <c r="AF12" s="6" t="s">
        <v>24</v>
      </c>
      <c r="AG12" s="4">
        <f t="shared" si="0"/>
        <v>21</v>
      </c>
      <c r="AH12" s="4">
        <f t="shared" si="1"/>
        <v>2</v>
      </c>
      <c r="AI12" s="82" t="s">
        <v>10</v>
      </c>
      <c r="AJ12" s="4" t="s">
        <v>11</v>
      </c>
      <c r="AK12" s="4" t="s">
        <v>12</v>
      </c>
      <c r="AL12" s="4" t="s">
        <v>13</v>
      </c>
    </row>
    <row r="13" spans="1:38" ht="16.5">
      <c r="A13" s="7">
        <v>9</v>
      </c>
      <c r="B13" s="80" t="s">
        <v>236</v>
      </c>
      <c r="C13" s="80" t="s">
        <v>237</v>
      </c>
      <c r="D13" s="14" t="s">
        <v>66</v>
      </c>
      <c r="E13" s="91" t="s">
        <v>24</v>
      </c>
      <c r="F13" s="102"/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90" t="s">
        <v>24</v>
      </c>
      <c r="M13" s="102"/>
      <c r="N13" s="6" t="s">
        <v>24</v>
      </c>
      <c r="O13" s="6" t="s">
        <v>24</v>
      </c>
      <c r="P13" s="6" t="s">
        <v>23</v>
      </c>
      <c r="Q13" s="6" t="s">
        <v>24</v>
      </c>
      <c r="R13" s="102"/>
      <c r="S13" s="91" t="s">
        <v>24</v>
      </c>
      <c r="T13" s="102"/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91" t="s">
        <v>24</v>
      </c>
      <c r="AA13" s="102"/>
      <c r="AB13" s="6" t="s">
        <v>24</v>
      </c>
      <c r="AC13" s="6" t="s">
        <v>24</v>
      </c>
      <c r="AD13" s="6" t="s">
        <v>24</v>
      </c>
      <c r="AE13" s="6" t="s">
        <v>24</v>
      </c>
      <c r="AF13" s="6" t="s">
        <v>24</v>
      </c>
      <c r="AG13" s="4">
        <f t="shared" si="0"/>
        <v>22</v>
      </c>
      <c r="AH13" s="4">
        <f t="shared" si="1"/>
        <v>1</v>
      </c>
      <c r="AI13" s="82" t="s">
        <v>14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18</v>
      </c>
      <c r="C14" s="80" t="s">
        <v>228</v>
      </c>
      <c r="D14" s="14" t="s">
        <v>66</v>
      </c>
      <c r="E14" s="91" t="s">
        <v>24</v>
      </c>
      <c r="F14" s="102"/>
      <c r="G14" s="13" t="s">
        <v>23</v>
      </c>
      <c r="H14" s="13" t="s">
        <v>23</v>
      </c>
      <c r="I14" s="13" t="s">
        <v>23</v>
      </c>
      <c r="J14" s="13" t="s">
        <v>23</v>
      </c>
      <c r="K14" s="13" t="s">
        <v>23</v>
      </c>
      <c r="L14" s="90" t="s">
        <v>24</v>
      </c>
      <c r="M14" s="102"/>
      <c r="N14" s="6" t="s">
        <v>23</v>
      </c>
      <c r="O14" s="6" t="s">
        <v>23</v>
      </c>
      <c r="P14" s="6" t="s">
        <v>23</v>
      </c>
      <c r="Q14" s="6" t="s">
        <v>24</v>
      </c>
      <c r="R14" s="102"/>
      <c r="S14" s="91" t="s">
        <v>24</v>
      </c>
      <c r="T14" s="102"/>
      <c r="U14" s="6" t="s">
        <v>24</v>
      </c>
      <c r="V14" s="6" t="s">
        <v>24</v>
      </c>
      <c r="W14" s="6" t="s">
        <v>24</v>
      </c>
      <c r="X14" s="6" t="s">
        <v>24</v>
      </c>
      <c r="Y14" s="6" t="s">
        <v>24</v>
      </c>
      <c r="Z14" s="91" t="s">
        <v>24</v>
      </c>
      <c r="AA14" s="102"/>
      <c r="AB14" s="6" t="s">
        <v>24</v>
      </c>
      <c r="AC14" s="6" t="s">
        <v>24</v>
      </c>
      <c r="AD14" s="6" t="s">
        <v>24</v>
      </c>
      <c r="AE14" s="6" t="s">
        <v>24</v>
      </c>
      <c r="AF14" s="6" t="s">
        <v>24</v>
      </c>
      <c r="AG14" s="4">
        <f t="shared" si="0"/>
        <v>15</v>
      </c>
      <c r="AH14" s="4">
        <f t="shared" si="1"/>
        <v>8</v>
      </c>
      <c r="AI14" s="82" t="s">
        <v>15</v>
      </c>
      <c r="AJ14" s="7" t="e">
        <f>SUM(AG6,AG9,AG11,AG13,AG16,AG21,AG22,AG23,AG24,AG25,AG26,AG27,#REF!,#REF!,#REF!,#REF!,#REF!,#REF!,#REF!,#REF!,#REF!,#REF!,#REF!,#REF!,#REF!,#REF!,#REF!)</f>
        <v>#REF!</v>
      </c>
      <c r="AK14" s="7" t="e">
        <f>SUM(AG5,AG7,AG8,AG10,AG12,AG14,AG15,AG17,AG18,AG19,AG20,AG28,#REF!,#REF!,#REF!,#REF!,#REF!,#REF!,#REF!,#REF!,#REF!,#REF!,#REF!,#REF!,#REF!,#REF!,#REF!)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238</v>
      </c>
      <c r="C15" s="80" t="s">
        <v>195</v>
      </c>
      <c r="D15" s="14" t="s">
        <v>66</v>
      </c>
      <c r="E15" s="91" t="s">
        <v>24</v>
      </c>
      <c r="F15" s="102"/>
      <c r="G15" s="13" t="s">
        <v>23</v>
      </c>
      <c r="H15" s="13" t="s">
        <v>24</v>
      </c>
      <c r="I15" s="13" t="s">
        <v>24</v>
      </c>
      <c r="J15" s="13" t="s">
        <v>24</v>
      </c>
      <c r="K15" s="13" t="s">
        <v>24</v>
      </c>
      <c r="L15" s="90" t="s">
        <v>24</v>
      </c>
      <c r="M15" s="102"/>
      <c r="N15" s="6" t="s">
        <v>24</v>
      </c>
      <c r="O15" s="6" t="s">
        <v>23</v>
      </c>
      <c r="P15" s="6" t="s">
        <v>24</v>
      </c>
      <c r="Q15" s="6" t="s">
        <v>24</v>
      </c>
      <c r="R15" s="102"/>
      <c r="S15" s="91" t="s">
        <v>24</v>
      </c>
      <c r="T15" s="102"/>
      <c r="U15" s="6" t="s">
        <v>24</v>
      </c>
      <c r="V15" s="6" t="s">
        <v>24</v>
      </c>
      <c r="W15" s="6" t="s">
        <v>24</v>
      </c>
      <c r="X15" s="6" t="s">
        <v>24</v>
      </c>
      <c r="Y15" s="6" t="s">
        <v>24</v>
      </c>
      <c r="Z15" s="91" t="s">
        <v>24</v>
      </c>
      <c r="AA15" s="102"/>
      <c r="AB15" s="6" t="s">
        <v>24</v>
      </c>
      <c r="AC15" s="6" t="s">
        <v>24</v>
      </c>
      <c r="AD15" s="6" t="s">
        <v>24</v>
      </c>
      <c r="AE15" s="6" t="s">
        <v>24</v>
      </c>
      <c r="AF15" s="6" t="s">
        <v>24</v>
      </c>
      <c r="AG15" s="4">
        <f t="shared" si="0"/>
        <v>21</v>
      </c>
      <c r="AH15" s="4">
        <f t="shared" si="1"/>
        <v>2</v>
      </c>
      <c r="AI15" s="82" t="s">
        <v>16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57</v>
      </c>
      <c r="C16" s="80" t="s">
        <v>232</v>
      </c>
      <c r="D16" s="14" t="s">
        <v>66</v>
      </c>
      <c r="E16" s="91" t="s">
        <v>24</v>
      </c>
      <c r="F16" s="102"/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90" t="s">
        <v>24</v>
      </c>
      <c r="M16" s="102"/>
      <c r="N16" s="6" t="s">
        <v>24</v>
      </c>
      <c r="O16" s="6" t="s">
        <v>24</v>
      </c>
      <c r="P16" s="6" t="s">
        <v>24</v>
      </c>
      <c r="Q16" s="6" t="s">
        <v>24</v>
      </c>
      <c r="R16" s="102"/>
      <c r="S16" s="91" t="s">
        <v>24</v>
      </c>
      <c r="T16" s="102"/>
      <c r="U16" s="6" t="s">
        <v>24</v>
      </c>
      <c r="V16" s="6" t="s">
        <v>24</v>
      </c>
      <c r="W16" s="6" t="s">
        <v>24</v>
      </c>
      <c r="X16" s="6" t="s">
        <v>24</v>
      </c>
      <c r="Y16" s="6" t="s">
        <v>24</v>
      </c>
      <c r="Z16" s="91" t="s">
        <v>24</v>
      </c>
      <c r="AA16" s="102"/>
      <c r="AB16" s="6" t="s">
        <v>24</v>
      </c>
      <c r="AC16" s="6" t="s">
        <v>24</v>
      </c>
      <c r="AD16" s="6" t="s">
        <v>24</v>
      </c>
      <c r="AE16" s="6" t="s">
        <v>24</v>
      </c>
      <c r="AF16" s="6" t="s">
        <v>24</v>
      </c>
      <c r="AG16" s="4">
        <f t="shared" si="0"/>
        <v>23</v>
      </c>
      <c r="AH16" s="4">
        <f t="shared" si="1"/>
        <v>0</v>
      </c>
      <c r="AI16"/>
      <c r="AJ16"/>
      <c r="AK16"/>
      <c r="AL16"/>
    </row>
    <row r="17" spans="1:38" ht="16.5">
      <c r="A17" s="7">
        <v>13</v>
      </c>
      <c r="B17" s="80" t="s">
        <v>47</v>
      </c>
      <c r="C17" s="80" t="s">
        <v>239</v>
      </c>
      <c r="D17" s="14" t="s">
        <v>66</v>
      </c>
      <c r="E17" s="91" t="s">
        <v>24</v>
      </c>
      <c r="F17" s="102"/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90" t="s">
        <v>24</v>
      </c>
      <c r="M17" s="102"/>
      <c r="N17" s="6" t="s">
        <v>24</v>
      </c>
      <c r="O17" s="6" t="s">
        <v>23</v>
      </c>
      <c r="P17" s="6" t="s">
        <v>23</v>
      </c>
      <c r="Q17" s="6" t="s">
        <v>24</v>
      </c>
      <c r="R17" s="102"/>
      <c r="S17" s="91" t="s">
        <v>24</v>
      </c>
      <c r="T17" s="102"/>
      <c r="U17" s="6" t="s">
        <v>23</v>
      </c>
      <c r="V17" s="6" t="s">
        <v>23</v>
      </c>
      <c r="W17" s="6" t="s">
        <v>24</v>
      </c>
      <c r="X17" s="6" t="s">
        <v>24</v>
      </c>
      <c r="Y17" s="6" t="s">
        <v>23</v>
      </c>
      <c r="Z17" s="91" t="s">
        <v>24</v>
      </c>
      <c r="AA17" s="102"/>
      <c r="AB17" s="6" t="s">
        <v>24</v>
      </c>
      <c r="AC17" s="6" t="s">
        <v>24</v>
      </c>
      <c r="AD17" s="6" t="s">
        <v>24</v>
      </c>
      <c r="AE17" s="6" t="s">
        <v>24</v>
      </c>
      <c r="AF17" s="6" t="s">
        <v>24</v>
      </c>
      <c r="AG17" s="4">
        <f t="shared" si="0"/>
        <v>18</v>
      </c>
      <c r="AH17" s="4">
        <f t="shared" si="1"/>
        <v>5</v>
      </c>
      <c r="AI17"/>
      <c r="AJ17"/>
      <c r="AK17"/>
      <c r="AL17"/>
    </row>
    <row r="18" spans="1:38" ht="16.5">
      <c r="A18" s="7">
        <v>14</v>
      </c>
      <c r="B18" s="80" t="s">
        <v>240</v>
      </c>
      <c r="C18" s="80" t="s">
        <v>59</v>
      </c>
      <c r="D18" s="14" t="s">
        <v>66</v>
      </c>
      <c r="E18" s="91" t="s">
        <v>24</v>
      </c>
      <c r="F18" s="102"/>
      <c r="G18" s="13" t="s">
        <v>23</v>
      </c>
      <c r="H18" s="13" t="s">
        <v>24</v>
      </c>
      <c r="I18" s="13" t="s">
        <v>24</v>
      </c>
      <c r="J18" s="13" t="s">
        <v>23</v>
      </c>
      <c r="K18" s="13" t="s">
        <v>24</v>
      </c>
      <c r="L18" s="90" t="s">
        <v>24</v>
      </c>
      <c r="M18" s="102"/>
      <c r="N18" s="6" t="s">
        <v>23</v>
      </c>
      <c r="O18" s="6" t="s">
        <v>24</v>
      </c>
      <c r="P18" s="6" t="s">
        <v>23</v>
      </c>
      <c r="Q18" s="6" t="s">
        <v>24</v>
      </c>
      <c r="R18" s="102"/>
      <c r="S18" s="91" t="s">
        <v>24</v>
      </c>
      <c r="T18" s="102"/>
      <c r="U18" s="6" t="s">
        <v>23</v>
      </c>
      <c r="V18" s="6" t="s">
        <v>23</v>
      </c>
      <c r="W18" s="6" t="s">
        <v>23</v>
      </c>
      <c r="X18" s="6" t="s">
        <v>23</v>
      </c>
      <c r="Y18" s="6" t="s">
        <v>23</v>
      </c>
      <c r="Z18" s="91" t="s">
        <v>24</v>
      </c>
      <c r="AA18" s="102"/>
      <c r="AB18" s="6" t="s">
        <v>24</v>
      </c>
      <c r="AC18" s="6" t="s">
        <v>24</v>
      </c>
      <c r="AD18" s="6" t="s">
        <v>24</v>
      </c>
      <c r="AE18" s="6" t="s">
        <v>24</v>
      </c>
      <c r="AF18" s="6" t="s">
        <v>24</v>
      </c>
      <c r="AG18" s="4">
        <f t="shared" si="0"/>
        <v>14</v>
      </c>
      <c r="AH18" s="4">
        <f t="shared" si="1"/>
        <v>9</v>
      </c>
      <c r="AI18"/>
      <c r="AJ18"/>
      <c r="AK18"/>
      <c r="AL18"/>
    </row>
    <row r="19" spans="1:38" ht="16.5">
      <c r="A19" s="7">
        <v>15</v>
      </c>
      <c r="B19" s="80" t="s">
        <v>36</v>
      </c>
      <c r="C19" s="80" t="s">
        <v>64</v>
      </c>
      <c r="D19" s="14" t="s">
        <v>66</v>
      </c>
      <c r="E19" s="91" t="s">
        <v>24</v>
      </c>
      <c r="F19" s="102"/>
      <c r="G19" s="13" t="s">
        <v>24</v>
      </c>
      <c r="H19" s="13" t="s">
        <v>24</v>
      </c>
      <c r="I19" s="13" t="s">
        <v>24</v>
      </c>
      <c r="J19" s="13" t="s">
        <v>24</v>
      </c>
      <c r="K19" s="13" t="s">
        <v>23</v>
      </c>
      <c r="L19" s="90" t="s">
        <v>24</v>
      </c>
      <c r="M19" s="102"/>
      <c r="N19" s="6" t="s">
        <v>24</v>
      </c>
      <c r="O19" s="6" t="s">
        <v>24</v>
      </c>
      <c r="P19" s="6" t="s">
        <v>24</v>
      </c>
      <c r="Q19" s="6" t="s">
        <v>24</v>
      </c>
      <c r="R19" s="102"/>
      <c r="S19" s="91" t="s">
        <v>24</v>
      </c>
      <c r="T19" s="102"/>
      <c r="U19" s="6" t="s">
        <v>23</v>
      </c>
      <c r="V19" s="6" t="s">
        <v>23</v>
      </c>
      <c r="W19" s="6" t="s">
        <v>24</v>
      </c>
      <c r="X19" s="6" t="s">
        <v>23</v>
      </c>
      <c r="Y19" s="6" t="s">
        <v>23</v>
      </c>
      <c r="Z19" s="91" t="s">
        <v>24</v>
      </c>
      <c r="AA19" s="102"/>
      <c r="AB19" s="6" t="s">
        <v>24</v>
      </c>
      <c r="AC19" s="6" t="s">
        <v>24</v>
      </c>
      <c r="AD19" s="6" t="s">
        <v>24</v>
      </c>
      <c r="AE19" s="6" t="s">
        <v>24</v>
      </c>
      <c r="AF19" s="6" t="s">
        <v>24</v>
      </c>
      <c r="AG19" s="4">
        <f t="shared" si="0"/>
        <v>18</v>
      </c>
      <c r="AH19" s="4">
        <f t="shared" si="1"/>
        <v>5</v>
      </c>
      <c r="AI19" s="105" t="s">
        <v>31</v>
      </c>
      <c r="AJ19" s="105"/>
      <c r="AK19" s="105"/>
      <c r="AL19" s="106"/>
    </row>
    <row r="20" spans="1:38" ht="16.5">
      <c r="A20" s="7">
        <v>16</v>
      </c>
      <c r="B20" s="80" t="s">
        <v>241</v>
      </c>
      <c r="C20" s="80" t="s">
        <v>52</v>
      </c>
      <c r="D20" s="14" t="s">
        <v>66</v>
      </c>
      <c r="E20" s="91" t="s">
        <v>24</v>
      </c>
      <c r="F20" s="102"/>
      <c r="G20" s="13" t="s">
        <v>24</v>
      </c>
      <c r="H20" s="13" t="s">
        <v>24</v>
      </c>
      <c r="I20" s="13" t="s">
        <v>24</v>
      </c>
      <c r="J20" s="13" t="s">
        <v>24</v>
      </c>
      <c r="K20" s="13" t="s">
        <v>24</v>
      </c>
      <c r="L20" s="90" t="s">
        <v>24</v>
      </c>
      <c r="M20" s="102"/>
      <c r="N20" s="6" t="s">
        <v>24</v>
      </c>
      <c r="O20" s="6" t="s">
        <v>24</v>
      </c>
      <c r="P20" s="6" t="s">
        <v>24</v>
      </c>
      <c r="Q20" s="6" t="s">
        <v>24</v>
      </c>
      <c r="R20" s="102"/>
      <c r="S20" s="91" t="s">
        <v>24</v>
      </c>
      <c r="T20" s="102"/>
      <c r="U20" s="6" t="s">
        <v>24</v>
      </c>
      <c r="V20" s="6" t="s">
        <v>23</v>
      </c>
      <c r="W20" s="6" t="s">
        <v>24</v>
      </c>
      <c r="X20" s="6" t="s">
        <v>24</v>
      </c>
      <c r="Y20" s="6" t="s">
        <v>24</v>
      </c>
      <c r="Z20" s="91" t="s">
        <v>24</v>
      </c>
      <c r="AA20" s="102"/>
      <c r="AB20" s="6" t="s">
        <v>24</v>
      </c>
      <c r="AC20" s="6" t="s">
        <v>24</v>
      </c>
      <c r="AD20" s="6" t="s">
        <v>24</v>
      </c>
      <c r="AE20" s="6" t="s">
        <v>24</v>
      </c>
      <c r="AF20" s="6" t="s">
        <v>24</v>
      </c>
      <c r="AG20" s="4">
        <f t="shared" si="0"/>
        <v>22</v>
      </c>
      <c r="AH20" s="4">
        <f t="shared" si="1"/>
        <v>1</v>
      </c>
      <c r="AI20" s="82" t="s">
        <v>10</v>
      </c>
      <c r="AJ20" s="4" t="s">
        <v>11</v>
      </c>
      <c r="AK20" s="4" t="s">
        <v>12</v>
      </c>
      <c r="AL20" s="4" t="s">
        <v>13</v>
      </c>
    </row>
    <row r="21" spans="1:38" ht="16.5">
      <c r="A21" s="7">
        <v>17</v>
      </c>
      <c r="B21" s="80" t="s">
        <v>242</v>
      </c>
      <c r="C21" s="80" t="s">
        <v>101</v>
      </c>
      <c r="D21" s="14" t="s">
        <v>66</v>
      </c>
      <c r="E21" s="91" t="s">
        <v>24</v>
      </c>
      <c r="F21" s="102"/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90" t="s">
        <v>24</v>
      </c>
      <c r="M21" s="102"/>
      <c r="N21" s="6" t="s">
        <v>24</v>
      </c>
      <c r="O21" s="6" t="s">
        <v>24</v>
      </c>
      <c r="P21" s="6" t="s">
        <v>23</v>
      </c>
      <c r="Q21" s="6" t="s">
        <v>24</v>
      </c>
      <c r="R21" s="102"/>
      <c r="S21" s="91" t="s">
        <v>24</v>
      </c>
      <c r="T21" s="102"/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23</v>
      </c>
      <c r="Z21" s="91" t="s">
        <v>24</v>
      </c>
      <c r="AA21" s="102"/>
      <c r="AB21" s="6" t="s">
        <v>24</v>
      </c>
      <c r="AC21" s="6" t="s">
        <v>24</v>
      </c>
      <c r="AD21" s="6" t="s">
        <v>24</v>
      </c>
      <c r="AE21" s="6" t="s">
        <v>24</v>
      </c>
      <c r="AF21" s="6" t="s">
        <v>24</v>
      </c>
      <c r="AG21" s="4">
        <f t="shared" si="0"/>
        <v>21</v>
      </c>
      <c r="AH21" s="4">
        <f t="shared" si="1"/>
        <v>2</v>
      </c>
      <c r="AI21" s="82" t="s">
        <v>14</v>
      </c>
      <c r="AJ21" s="7">
        <f>27*$AJ$5</f>
        <v>648</v>
      </c>
      <c r="AK21" s="7">
        <f>27*$AJ$5</f>
        <v>648</v>
      </c>
      <c r="AL21" s="7">
        <f>AJ21+AK21</f>
        <v>1296</v>
      </c>
    </row>
    <row r="22" spans="1:38" ht="16.5">
      <c r="A22" s="7">
        <v>18</v>
      </c>
      <c r="B22" s="80" t="s">
        <v>38</v>
      </c>
      <c r="C22" s="80" t="s">
        <v>243</v>
      </c>
      <c r="D22" s="14" t="s">
        <v>66</v>
      </c>
      <c r="E22" s="91" t="s">
        <v>24</v>
      </c>
      <c r="F22" s="102"/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90" t="s">
        <v>24</v>
      </c>
      <c r="M22" s="102"/>
      <c r="N22" s="6" t="s">
        <v>24</v>
      </c>
      <c r="O22" s="6" t="s">
        <v>24</v>
      </c>
      <c r="P22" s="6" t="s">
        <v>23</v>
      </c>
      <c r="Q22" s="6" t="s">
        <v>24</v>
      </c>
      <c r="R22" s="102"/>
      <c r="S22" s="91" t="s">
        <v>24</v>
      </c>
      <c r="T22" s="102"/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91" t="s">
        <v>24</v>
      </c>
      <c r="AA22" s="102"/>
      <c r="AB22" s="6" t="s">
        <v>24</v>
      </c>
      <c r="AC22" s="6" t="s">
        <v>24</v>
      </c>
      <c r="AD22" s="6" t="s">
        <v>24</v>
      </c>
      <c r="AE22" s="6" t="s">
        <v>24</v>
      </c>
      <c r="AF22" s="6" t="s">
        <v>24</v>
      </c>
      <c r="AG22" s="4">
        <f t="shared" si="0"/>
        <v>22</v>
      </c>
      <c r="AH22" s="4">
        <f t="shared" si="1"/>
        <v>1</v>
      </c>
      <c r="AI22" s="82" t="s">
        <v>17</v>
      </c>
      <c r="AJ22" s="7" t="e">
        <f>AJ21-AJ14</f>
        <v>#REF!</v>
      </c>
      <c r="AK22" s="7" t="e">
        <f>AK21-AK14</f>
        <v>#REF!</v>
      </c>
      <c r="AL22" s="7" t="e">
        <f>AJ22+AK22</f>
        <v>#REF!</v>
      </c>
    </row>
    <row r="23" spans="1:38" ht="16.5">
      <c r="A23" s="7">
        <v>19</v>
      </c>
      <c r="B23" s="80" t="s">
        <v>244</v>
      </c>
      <c r="C23" s="80" t="s">
        <v>245</v>
      </c>
      <c r="D23" s="14" t="s">
        <v>66</v>
      </c>
      <c r="E23" s="91" t="s">
        <v>24</v>
      </c>
      <c r="F23" s="102"/>
      <c r="G23" s="13" t="s">
        <v>24</v>
      </c>
      <c r="H23" s="13" t="s">
        <v>24</v>
      </c>
      <c r="I23" s="13" t="s">
        <v>24</v>
      </c>
      <c r="J23" s="13" t="s">
        <v>24</v>
      </c>
      <c r="K23" s="13" t="s">
        <v>24</v>
      </c>
      <c r="L23" s="90" t="s">
        <v>24</v>
      </c>
      <c r="M23" s="102"/>
      <c r="N23" s="6" t="s">
        <v>24</v>
      </c>
      <c r="O23" s="6" t="s">
        <v>24</v>
      </c>
      <c r="P23" s="6" t="s">
        <v>24</v>
      </c>
      <c r="Q23" s="6" t="s">
        <v>24</v>
      </c>
      <c r="R23" s="102"/>
      <c r="S23" s="91" t="s">
        <v>24</v>
      </c>
      <c r="T23" s="102"/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91" t="s">
        <v>24</v>
      </c>
      <c r="AA23" s="102"/>
      <c r="AB23" s="6" t="s">
        <v>24</v>
      </c>
      <c r="AC23" s="6" t="s">
        <v>24</v>
      </c>
      <c r="AD23" s="6" t="s">
        <v>24</v>
      </c>
      <c r="AE23" s="6" t="s">
        <v>24</v>
      </c>
      <c r="AF23" s="6" t="s">
        <v>24</v>
      </c>
      <c r="AG23" s="4">
        <f t="shared" si="0"/>
        <v>23</v>
      </c>
      <c r="AH23" s="4">
        <f t="shared" si="1"/>
        <v>0</v>
      </c>
      <c r="AI23" s="82" t="s">
        <v>16</v>
      </c>
      <c r="AJ23" s="9" t="e">
        <f>AJ22/AJ21</f>
        <v>#REF!</v>
      </c>
      <c r="AK23" s="9" t="e">
        <f>AK22/AK21</f>
        <v>#REF!</v>
      </c>
      <c r="AL23" s="9" t="e">
        <f>AL22/AL21</f>
        <v>#REF!</v>
      </c>
    </row>
    <row r="24" spans="1:38" ht="16.5">
      <c r="A24" s="7">
        <v>20</v>
      </c>
      <c r="B24" s="80" t="s">
        <v>75</v>
      </c>
      <c r="C24" s="80" t="s">
        <v>20</v>
      </c>
      <c r="D24" s="14" t="s">
        <v>66</v>
      </c>
      <c r="E24" s="91" t="s">
        <v>24</v>
      </c>
      <c r="F24" s="102"/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90" t="s">
        <v>24</v>
      </c>
      <c r="M24" s="102"/>
      <c r="N24" s="6" t="s">
        <v>24</v>
      </c>
      <c r="O24" s="6" t="s">
        <v>24</v>
      </c>
      <c r="P24" s="6" t="s">
        <v>23</v>
      </c>
      <c r="Q24" s="6" t="s">
        <v>24</v>
      </c>
      <c r="R24" s="102"/>
      <c r="S24" s="91" t="s">
        <v>24</v>
      </c>
      <c r="T24" s="102"/>
      <c r="U24" s="6" t="s">
        <v>24</v>
      </c>
      <c r="V24" s="6" t="s">
        <v>24</v>
      </c>
      <c r="W24" s="6" t="s">
        <v>23</v>
      </c>
      <c r="X24" s="6" t="s">
        <v>24</v>
      </c>
      <c r="Y24" s="6" t="s">
        <v>24</v>
      </c>
      <c r="Z24" s="91" t="s">
        <v>24</v>
      </c>
      <c r="AA24" s="102"/>
      <c r="AB24" s="6" t="s">
        <v>24</v>
      </c>
      <c r="AC24" s="6" t="s">
        <v>24</v>
      </c>
      <c r="AD24" s="6" t="s">
        <v>24</v>
      </c>
      <c r="AE24" s="6" t="s">
        <v>24</v>
      </c>
      <c r="AF24" s="6" t="s">
        <v>24</v>
      </c>
      <c r="AG24" s="4">
        <f t="shared" si="0"/>
        <v>21</v>
      </c>
      <c r="AH24" s="4">
        <f t="shared" si="1"/>
        <v>2</v>
      </c>
    </row>
    <row r="25" spans="1:38" ht="16.5">
      <c r="A25" s="7">
        <v>21</v>
      </c>
      <c r="B25" s="80" t="s">
        <v>246</v>
      </c>
      <c r="C25" s="80" t="s">
        <v>65</v>
      </c>
      <c r="D25" s="14" t="s">
        <v>66</v>
      </c>
      <c r="E25" s="91" t="s">
        <v>24</v>
      </c>
      <c r="F25" s="102"/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23</v>
      </c>
      <c r="L25" s="90" t="s">
        <v>24</v>
      </c>
      <c r="M25" s="102"/>
      <c r="N25" s="6" t="s">
        <v>24</v>
      </c>
      <c r="O25" s="6" t="s">
        <v>24</v>
      </c>
      <c r="P25" s="6" t="s">
        <v>23</v>
      </c>
      <c r="Q25" s="6" t="s">
        <v>24</v>
      </c>
      <c r="R25" s="102"/>
      <c r="S25" s="91" t="s">
        <v>24</v>
      </c>
      <c r="T25" s="102"/>
      <c r="U25" s="6" t="s">
        <v>24</v>
      </c>
      <c r="V25" s="6" t="s">
        <v>24</v>
      </c>
      <c r="W25" s="6" t="s">
        <v>24</v>
      </c>
      <c r="X25" s="6" t="s">
        <v>24</v>
      </c>
      <c r="Y25" s="6" t="s">
        <v>24</v>
      </c>
      <c r="Z25" s="91" t="s">
        <v>24</v>
      </c>
      <c r="AA25" s="102"/>
      <c r="AB25" s="6" t="s">
        <v>24</v>
      </c>
      <c r="AC25" s="6" t="s">
        <v>24</v>
      </c>
      <c r="AD25" s="6" t="s">
        <v>24</v>
      </c>
      <c r="AE25" s="6" t="s">
        <v>24</v>
      </c>
      <c r="AF25" s="6" t="s">
        <v>24</v>
      </c>
      <c r="AG25" s="4">
        <f t="shared" si="0"/>
        <v>21</v>
      </c>
      <c r="AH25" s="4">
        <f t="shared" si="1"/>
        <v>2</v>
      </c>
    </row>
    <row r="26" spans="1:38" ht="16.5">
      <c r="A26" s="7">
        <v>22</v>
      </c>
      <c r="B26" s="80" t="s">
        <v>72</v>
      </c>
      <c r="C26" s="80" t="s">
        <v>170</v>
      </c>
      <c r="D26" s="14" t="s">
        <v>66</v>
      </c>
      <c r="E26" s="91" t="s">
        <v>24</v>
      </c>
      <c r="F26" s="102"/>
      <c r="G26" s="13" t="s">
        <v>24</v>
      </c>
      <c r="H26" s="13" t="s">
        <v>24</v>
      </c>
      <c r="I26" s="13" t="s">
        <v>24</v>
      </c>
      <c r="J26" s="13" t="s">
        <v>24</v>
      </c>
      <c r="K26" s="13" t="s">
        <v>24</v>
      </c>
      <c r="L26" s="90" t="s">
        <v>24</v>
      </c>
      <c r="M26" s="102"/>
      <c r="N26" s="6" t="s">
        <v>24</v>
      </c>
      <c r="O26" s="6" t="s">
        <v>24</v>
      </c>
      <c r="P26" s="6" t="s">
        <v>23</v>
      </c>
      <c r="Q26" s="6" t="s">
        <v>24</v>
      </c>
      <c r="R26" s="102"/>
      <c r="S26" s="91" t="s">
        <v>24</v>
      </c>
      <c r="T26" s="102"/>
      <c r="U26" s="6" t="s">
        <v>24</v>
      </c>
      <c r="V26" s="6" t="s">
        <v>24</v>
      </c>
      <c r="W26" s="6" t="s">
        <v>23</v>
      </c>
      <c r="X26" s="6" t="s">
        <v>24</v>
      </c>
      <c r="Y26" s="6" t="s">
        <v>24</v>
      </c>
      <c r="Z26" s="91" t="s">
        <v>24</v>
      </c>
      <c r="AA26" s="102"/>
      <c r="AB26" s="6" t="s">
        <v>24</v>
      </c>
      <c r="AC26" s="6" t="s">
        <v>24</v>
      </c>
      <c r="AD26" s="6" t="s">
        <v>24</v>
      </c>
      <c r="AE26" s="6" t="s">
        <v>24</v>
      </c>
      <c r="AF26" s="6" t="s">
        <v>24</v>
      </c>
      <c r="AG26" s="4">
        <f t="shared" si="0"/>
        <v>21</v>
      </c>
      <c r="AH26" s="4">
        <f t="shared" si="1"/>
        <v>2</v>
      </c>
    </row>
    <row r="27" spans="1:38" ht="16.5">
      <c r="A27" s="7">
        <v>23</v>
      </c>
      <c r="B27" s="80" t="s">
        <v>247</v>
      </c>
      <c r="C27" s="80" t="s">
        <v>197</v>
      </c>
      <c r="D27" s="14" t="s">
        <v>66</v>
      </c>
      <c r="E27" s="91" t="s">
        <v>24</v>
      </c>
      <c r="F27" s="102"/>
      <c r="G27" s="13" t="s">
        <v>24</v>
      </c>
      <c r="H27" s="13" t="s">
        <v>24</v>
      </c>
      <c r="I27" s="13" t="s">
        <v>25</v>
      </c>
      <c r="J27" s="13" t="s">
        <v>25</v>
      </c>
      <c r="K27" s="13" t="s">
        <v>25</v>
      </c>
      <c r="L27" s="90" t="s">
        <v>24</v>
      </c>
      <c r="M27" s="102"/>
      <c r="N27" s="6" t="s">
        <v>23</v>
      </c>
      <c r="O27" s="6" t="s">
        <v>24</v>
      </c>
      <c r="P27" s="6" t="s">
        <v>24</v>
      </c>
      <c r="Q27" s="6" t="s">
        <v>24</v>
      </c>
      <c r="R27" s="102"/>
      <c r="S27" s="91" t="s">
        <v>24</v>
      </c>
      <c r="T27" s="102"/>
      <c r="U27" s="6" t="s">
        <v>24</v>
      </c>
      <c r="V27" s="6" t="s">
        <v>23</v>
      </c>
      <c r="W27" s="6" t="s">
        <v>23</v>
      </c>
      <c r="X27" s="6" t="s">
        <v>24</v>
      </c>
      <c r="Y27" s="6" t="s">
        <v>24</v>
      </c>
      <c r="Z27" s="91" t="s">
        <v>24</v>
      </c>
      <c r="AA27" s="102"/>
      <c r="AB27" s="6" t="s">
        <v>24</v>
      </c>
      <c r="AC27" s="6" t="s">
        <v>24</v>
      </c>
      <c r="AD27" s="6" t="s">
        <v>24</v>
      </c>
      <c r="AE27" s="6" t="s">
        <v>24</v>
      </c>
      <c r="AF27" s="6" t="s">
        <v>24</v>
      </c>
      <c r="AG27" s="4">
        <f t="shared" si="0"/>
        <v>17</v>
      </c>
      <c r="AH27" s="4">
        <f t="shared" si="1"/>
        <v>3</v>
      </c>
    </row>
    <row r="28" spans="1:38" ht="16.5">
      <c r="A28" s="7">
        <v>24</v>
      </c>
      <c r="B28" s="80" t="s">
        <v>248</v>
      </c>
      <c r="C28" s="80" t="s">
        <v>249</v>
      </c>
      <c r="D28" s="14" t="s">
        <v>66</v>
      </c>
      <c r="E28" s="91" t="s">
        <v>24</v>
      </c>
      <c r="F28" s="102"/>
      <c r="G28" s="13" t="s">
        <v>23</v>
      </c>
      <c r="H28" s="13" t="s">
        <v>24</v>
      </c>
      <c r="I28" s="13" t="s">
        <v>24</v>
      </c>
      <c r="J28" s="13" t="s">
        <v>24</v>
      </c>
      <c r="K28" s="13" t="s">
        <v>24</v>
      </c>
      <c r="L28" s="90" t="s">
        <v>24</v>
      </c>
      <c r="M28" s="102"/>
      <c r="N28" s="6" t="s">
        <v>24</v>
      </c>
      <c r="O28" s="6" t="s">
        <v>24</v>
      </c>
      <c r="P28" s="6" t="s">
        <v>24</v>
      </c>
      <c r="Q28" s="6" t="s">
        <v>24</v>
      </c>
      <c r="R28" s="102"/>
      <c r="S28" s="91" t="s">
        <v>24</v>
      </c>
      <c r="T28" s="102"/>
      <c r="U28" s="6" t="s">
        <v>23</v>
      </c>
      <c r="V28" s="6" t="s">
        <v>23</v>
      </c>
      <c r="W28" s="6" t="s">
        <v>23</v>
      </c>
      <c r="X28" s="6" t="s">
        <v>23</v>
      </c>
      <c r="Y28" s="6" t="s">
        <v>23</v>
      </c>
      <c r="Z28" s="91" t="s">
        <v>24</v>
      </c>
      <c r="AA28" s="102"/>
      <c r="AB28" s="6" t="s">
        <v>24</v>
      </c>
      <c r="AC28" s="6" t="s">
        <v>24</v>
      </c>
      <c r="AD28" s="6" t="s">
        <v>24</v>
      </c>
      <c r="AE28" s="6" t="s">
        <v>24</v>
      </c>
      <c r="AF28" s="6" t="s">
        <v>24</v>
      </c>
      <c r="AG28" s="4">
        <f t="shared" si="0"/>
        <v>17</v>
      </c>
      <c r="AH28" s="4">
        <f t="shared" si="1"/>
        <v>6</v>
      </c>
    </row>
  </sheetData>
  <mergeCells count="16">
    <mergeCell ref="A1:AF1"/>
    <mergeCell ref="A2:AF2"/>
    <mergeCell ref="A3:A4"/>
    <mergeCell ref="B3:B4"/>
    <mergeCell ref="C3:C4"/>
    <mergeCell ref="D3:D4"/>
    <mergeCell ref="F5:F28"/>
    <mergeCell ref="M5:M28"/>
    <mergeCell ref="T5:T28"/>
    <mergeCell ref="AA5:AA28"/>
    <mergeCell ref="R5:R28"/>
    <mergeCell ref="AH3:AH4"/>
    <mergeCell ref="AI3:AJ3"/>
    <mergeCell ref="AI11:AL11"/>
    <mergeCell ref="AI19:AL19"/>
    <mergeCell ref="AG3:AG4"/>
  </mergeCells>
  <phoneticPr fontId="19" type="noConversion"/>
  <conditionalFormatting sqref="E3:AF4 N5:Q28 U5:Z28 AB5:AF28 G5:L28">
    <cfRule type="expression" dxfId="131" priority="49">
      <formula>E$4=TODAY()</formula>
    </cfRule>
    <cfRule type="expression" dxfId="130" priority="57">
      <formula>E$3="Sun"</formula>
    </cfRule>
  </conditionalFormatting>
  <conditionalFormatting sqref="N5:Q28 U5:Z28 AB5:AF28 G5:L28">
    <cfRule type="cellIs" dxfId="129" priority="48" operator="equal">
      <formula>"L"</formula>
    </cfRule>
    <cfRule type="cellIs" dxfId="128" priority="50" operator="equal">
      <formula>"A"</formula>
    </cfRule>
    <cfRule type="cellIs" dxfId="127" priority="51" operator="equal">
      <formula>"P"</formula>
    </cfRule>
  </conditionalFormatting>
  <conditionalFormatting sqref="AG3:AH3 AG5:AH28">
    <cfRule type="expression" dxfId="126" priority="58">
      <formula>#REF!="Sun"</formula>
    </cfRule>
  </conditionalFormatting>
  <conditionalFormatting sqref="AI5:AI9">
    <cfRule type="expression" dxfId="125" priority="45">
      <formula>AI$3="Sun"</formula>
    </cfRule>
  </conditionalFormatting>
  <conditionalFormatting sqref="AI12:AI15">
    <cfRule type="expression" dxfId="124" priority="42">
      <formula>AI$3="Sun"</formula>
    </cfRule>
  </conditionalFormatting>
  <conditionalFormatting sqref="AI20:AI23">
    <cfRule type="expression" dxfId="123" priority="41">
      <formula>AI$3="Sun"</formula>
    </cfRule>
  </conditionalFormatting>
  <conditionalFormatting sqref="AI4:AJ4">
    <cfRule type="expression" dxfId="122" priority="46">
      <formula>AI$3="Sun"</formula>
    </cfRule>
  </conditionalFormatting>
  <conditionalFormatting sqref="AJ12:AL12 AJ20:AL20">
    <cfRule type="expression" dxfId="121" priority="47">
      <formula>AJ$3="Sun"</formula>
    </cfRule>
  </conditionalFormatting>
  <conditionalFormatting sqref="AL21">
    <cfRule type="expression" dxfId="120" priority="44">
      <formula>AL$3="Sun"</formula>
    </cfRule>
  </conditionalFormatting>
  <conditionalFormatting sqref="S5:S28">
    <cfRule type="expression" dxfId="119" priority="37">
      <formula>S$4=TODAY()</formula>
    </cfRule>
    <cfRule type="expression" dxfId="118" priority="40">
      <formula>S$3="Sun"</formula>
    </cfRule>
  </conditionalFormatting>
  <conditionalFormatting sqref="S5:S28">
    <cfRule type="cellIs" dxfId="117" priority="36" operator="equal">
      <formula>"L"</formula>
    </cfRule>
    <cfRule type="cellIs" dxfId="116" priority="38" operator="equal">
      <formula>"A"</formula>
    </cfRule>
    <cfRule type="cellIs" dxfId="115" priority="39" operator="equal">
      <formula>"P"</formula>
    </cfRule>
  </conditionalFormatting>
  <conditionalFormatting sqref="E5:E28">
    <cfRule type="expression" dxfId="114" priority="32">
      <formula>E$4=TODAY()</formula>
    </cfRule>
    <cfRule type="expression" dxfId="113" priority="35">
      <formula>E$3="Sun"</formula>
    </cfRule>
  </conditionalFormatting>
  <conditionalFormatting sqref="E5:E28">
    <cfRule type="cellIs" dxfId="112" priority="31" operator="equal">
      <formula>"L"</formula>
    </cfRule>
    <cfRule type="cellIs" dxfId="111" priority="33" operator="equal">
      <formula>"A"</formula>
    </cfRule>
    <cfRule type="cellIs" dxfId="110" priority="34" operator="equal">
      <formula>"P"</formula>
    </cfRule>
  </conditionalFormatting>
  <conditionalFormatting sqref="F5">
    <cfRule type="expression" dxfId="24" priority="22">
      <formula>F$4=TODAY()</formula>
    </cfRule>
    <cfRule type="expression" dxfId="23" priority="25">
      <formula>F$3="Sun"</formula>
    </cfRule>
  </conditionalFormatting>
  <conditionalFormatting sqref="F5">
    <cfRule type="cellIs" dxfId="22" priority="21" operator="equal">
      <formula>"L"</formula>
    </cfRule>
    <cfRule type="cellIs" dxfId="21" priority="23" operator="equal">
      <formula>"A"</formula>
    </cfRule>
    <cfRule type="cellIs" dxfId="20" priority="24" operator="equal">
      <formula>"P"</formula>
    </cfRule>
  </conditionalFormatting>
  <conditionalFormatting sqref="M5">
    <cfRule type="expression" dxfId="19" priority="17">
      <formula>M$4=TODAY()</formula>
    </cfRule>
    <cfRule type="expression" dxfId="18" priority="20">
      <formula>M$3="Sun"</formula>
    </cfRule>
  </conditionalFormatting>
  <conditionalFormatting sqref="M5">
    <cfRule type="cellIs" dxfId="17" priority="16" operator="equal">
      <formula>"L"</formula>
    </cfRule>
    <cfRule type="cellIs" dxfId="16" priority="18" operator="equal">
      <formula>"A"</formula>
    </cfRule>
    <cfRule type="cellIs" dxfId="15" priority="19" operator="equal">
      <formula>"P"</formula>
    </cfRule>
  </conditionalFormatting>
  <conditionalFormatting sqref="T5">
    <cfRule type="expression" dxfId="14" priority="12">
      <formula>T$4=TODAY()</formula>
    </cfRule>
    <cfRule type="expression" dxfId="13" priority="15">
      <formula>T$3="Sun"</formula>
    </cfRule>
  </conditionalFormatting>
  <conditionalFormatting sqref="T5">
    <cfRule type="cellIs" dxfId="12" priority="11" operator="equal">
      <formula>"L"</formula>
    </cfRule>
    <cfRule type="cellIs" dxfId="11" priority="13" operator="equal">
      <formula>"A"</formula>
    </cfRule>
    <cfRule type="cellIs" dxfId="10" priority="14" operator="equal">
      <formula>"P"</formula>
    </cfRule>
  </conditionalFormatting>
  <conditionalFormatting sqref="AA5">
    <cfRule type="expression" dxfId="9" priority="7">
      <formula>AA$4=TODAY()</formula>
    </cfRule>
    <cfRule type="expression" dxfId="8" priority="10">
      <formula>AA$3="Sun"</formula>
    </cfRule>
  </conditionalFormatting>
  <conditionalFormatting sqref="AA5">
    <cfRule type="cellIs" dxfId="7" priority="6" operator="equal">
      <formula>"L"</formula>
    </cfRule>
    <cfRule type="cellIs" dxfId="6" priority="8" operator="equal">
      <formula>"A"</formula>
    </cfRule>
    <cfRule type="cellIs" dxfId="5" priority="9" operator="equal">
      <formula>"P"</formula>
    </cfRule>
  </conditionalFormatting>
  <conditionalFormatting sqref="R5">
    <cfRule type="expression" dxfId="4" priority="2">
      <formula>R$4=TODAY()</formula>
    </cfRule>
    <cfRule type="expression" dxfId="3" priority="5">
      <formula>R$3="Sun"</formula>
    </cfRule>
  </conditionalFormatting>
  <conditionalFormatting sqref="R5">
    <cfRule type="cellIs" dxfId="2" priority="1" operator="equal">
      <formula>"L"</formula>
    </cfRule>
    <cfRule type="cellIs" dxfId="1" priority="3" operator="equal">
      <formula>"A"</formula>
    </cfRule>
    <cfRule type="cellIs" dxfId="0" priority="4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Compile Sheet-November-2024</vt:lpstr>
      <vt:lpstr>ECE</vt:lpstr>
      <vt:lpstr>Kg</vt:lpstr>
      <vt:lpstr>Class-I</vt:lpstr>
      <vt:lpstr>Class-II</vt:lpstr>
      <vt:lpstr>Class-III</vt:lpstr>
      <vt:lpstr>Class-IV</vt:lpstr>
      <vt:lpstr>Class-V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pak</cp:lastModifiedBy>
  <dcterms:created xsi:type="dcterms:W3CDTF">2015-06-05T18:17:20Z</dcterms:created>
  <dcterms:modified xsi:type="dcterms:W3CDTF">2025-03-05T04:19:40Z</dcterms:modified>
</cp:coreProperties>
</file>