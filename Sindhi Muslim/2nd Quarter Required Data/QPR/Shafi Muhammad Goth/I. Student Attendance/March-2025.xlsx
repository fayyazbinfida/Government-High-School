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hafi Muhammad Goth\I. Student Attendance\"/>
    </mc:Choice>
  </mc:AlternateContent>
  <xr:revisionPtr revIDLastSave="0" documentId="13_ncr:1_{DBDEE971-E67B-4B42-9BA5-00F3A300B8B6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2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5" i="25" l="1"/>
  <c r="AK25" i="2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C3" i="20"/>
  <c r="AD3" i="20"/>
  <c r="AE3" i="20"/>
  <c r="AF3" i="20"/>
  <c r="AG3" i="20"/>
  <c r="AH3" i="20"/>
  <c r="AI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E3" i="20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E3" i="21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E3" i="22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E3" i="23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E3" i="24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E3" i="25"/>
  <c r="E3" i="5"/>
  <c r="A41" i="23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K24" i="25"/>
  <c r="AJ24" i="25"/>
  <c r="AK23" i="25"/>
  <c r="AJ23" i="25"/>
  <c r="AK22" i="25"/>
  <c r="AJ22" i="25"/>
  <c r="AN21" i="25"/>
  <c r="AM21" i="25"/>
  <c r="AO21" i="25" s="1"/>
  <c r="AK21" i="25"/>
  <c r="AJ21" i="25"/>
  <c r="AK20" i="25"/>
  <c r="AJ20" i="25"/>
  <c r="AK19" i="25"/>
  <c r="AJ19" i="25"/>
  <c r="AK18" i="25"/>
  <c r="AJ18" i="25"/>
  <c r="AK17" i="25"/>
  <c r="AJ17" i="25"/>
  <c r="AK16" i="25"/>
  <c r="AJ16" i="25"/>
  <c r="AK15" i="25"/>
  <c r="AJ15" i="25"/>
  <c r="AN14" i="25"/>
  <c r="AN22" i="25" s="1"/>
  <c r="AN23" i="25" s="1"/>
  <c r="AM14" i="25"/>
  <c r="AK14" i="25"/>
  <c r="AJ14" i="25"/>
  <c r="AN13" i="25"/>
  <c r="AM13" i="25"/>
  <c r="AO13" i="25" s="1"/>
  <c r="AK13" i="25"/>
  <c r="AJ13" i="25"/>
  <c r="AK12" i="25"/>
  <c r="AJ12" i="25"/>
  <c r="AK11" i="25"/>
  <c r="AJ11" i="25"/>
  <c r="AK10" i="25"/>
  <c r="AJ10" i="25"/>
  <c r="AK9" i="25"/>
  <c r="AJ9" i="25"/>
  <c r="AK8" i="25"/>
  <c r="AJ8" i="25"/>
  <c r="AK7" i="25"/>
  <c r="AJ7" i="25"/>
  <c r="AK6" i="25"/>
  <c r="AJ6" i="25"/>
  <c r="AK5" i="25"/>
  <c r="AJ5" i="25"/>
  <c r="AM4" i="25"/>
  <c r="AK22" i="24"/>
  <c r="AJ22" i="24"/>
  <c r="AN21" i="24"/>
  <c r="AM21" i="24"/>
  <c r="AO21" i="24" s="1"/>
  <c r="AK21" i="24"/>
  <c r="AJ21" i="24"/>
  <c r="AK20" i="24"/>
  <c r="AJ20" i="24"/>
  <c r="AK19" i="24"/>
  <c r="AJ19" i="24"/>
  <c r="AK18" i="24"/>
  <c r="AJ18" i="24"/>
  <c r="AK17" i="24"/>
  <c r="AJ17" i="24"/>
  <c r="AK16" i="24"/>
  <c r="AJ16" i="24"/>
  <c r="AK15" i="24"/>
  <c r="AJ15" i="24"/>
  <c r="AN14" i="24"/>
  <c r="AM14" i="24"/>
  <c r="AK14" i="24"/>
  <c r="AJ14" i="24"/>
  <c r="AN13" i="24"/>
  <c r="AM13" i="24"/>
  <c r="AO13" i="24" s="1"/>
  <c r="AK13" i="24"/>
  <c r="AJ13" i="24"/>
  <c r="AK12" i="24"/>
  <c r="AJ12" i="24"/>
  <c r="AK11" i="24"/>
  <c r="AJ11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M4" i="24"/>
  <c r="AK40" i="23"/>
  <c r="AJ40" i="23"/>
  <c r="AK39" i="23"/>
  <c r="AJ39" i="23"/>
  <c r="AK38" i="23"/>
  <c r="AJ38" i="23"/>
  <c r="AK37" i="23"/>
  <c r="AJ37" i="23"/>
  <c r="AK36" i="23"/>
  <c r="AJ36" i="23"/>
  <c r="AK35" i="23"/>
  <c r="AJ35" i="23"/>
  <c r="AK34" i="23"/>
  <c r="AJ34" i="23"/>
  <c r="AK33" i="23"/>
  <c r="AJ33" i="23"/>
  <c r="AK32" i="23"/>
  <c r="AJ32" i="23"/>
  <c r="AK31" i="23"/>
  <c r="AJ31" i="23"/>
  <c r="AK30" i="23"/>
  <c r="AJ30" i="23"/>
  <c r="AK29" i="23"/>
  <c r="AJ29" i="23"/>
  <c r="AK28" i="23"/>
  <c r="AJ28" i="23"/>
  <c r="AK27" i="23"/>
  <c r="AJ27" i="23"/>
  <c r="AK26" i="23"/>
  <c r="AJ26" i="23"/>
  <c r="AK25" i="23"/>
  <c r="AJ25" i="23"/>
  <c r="AK24" i="23"/>
  <c r="AJ24" i="23"/>
  <c r="AK23" i="23"/>
  <c r="AJ23" i="23"/>
  <c r="AK22" i="23"/>
  <c r="AJ22" i="23"/>
  <c r="AN21" i="23"/>
  <c r="AM21" i="23"/>
  <c r="AK21" i="23"/>
  <c r="AJ21" i="23"/>
  <c r="AK20" i="23"/>
  <c r="AJ20" i="23"/>
  <c r="AK19" i="23"/>
  <c r="AJ19" i="23"/>
  <c r="AK18" i="23"/>
  <c r="AJ18" i="23"/>
  <c r="AK17" i="23"/>
  <c r="AJ17" i="23"/>
  <c r="AK16" i="23"/>
  <c r="AJ16" i="23"/>
  <c r="AK15" i="23"/>
  <c r="AJ15" i="23"/>
  <c r="AN14" i="23"/>
  <c r="AM14" i="23"/>
  <c r="AK14" i="23"/>
  <c r="AJ14" i="23"/>
  <c r="AN13" i="23"/>
  <c r="AM13" i="23"/>
  <c r="AK13" i="23"/>
  <c r="AJ13" i="23"/>
  <c r="AK12" i="23"/>
  <c r="AJ12" i="23"/>
  <c r="AK11" i="23"/>
  <c r="AJ11" i="23"/>
  <c r="AK10" i="23"/>
  <c r="AJ10" i="23"/>
  <c r="AK9" i="23"/>
  <c r="AJ9" i="23"/>
  <c r="AK8" i="23"/>
  <c r="AJ8" i="23"/>
  <c r="AK7" i="23"/>
  <c r="AJ7" i="23"/>
  <c r="AK6" i="23"/>
  <c r="AJ6" i="23"/>
  <c r="AK5" i="23"/>
  <c r="AJ5" i="23"/>
  <c r="AM4" i="23"/>
  <c r="AK40" i="22"/>
  <c r="AJ40" i="22"/>
  <c r="AK39" i="22"/>
  <c r="AJ39" i="22"/>
  <c r="AK38" i="22"/>
  <c r="AJ38" i="22"/>
  <c r="AK37" i="22"/>
  <c r="AJ37" i="22"/>
  <c r="AK36" i="22"/>
  <c r="AJ36" i="22"/>
  <c r="AK35" i="22"/>
  <c r="AJ35" i="22"/>
  <c r="AK34" i="22"/>
  <c r="AJ34" i="22"/>
  <c r="AK33" i="22"/>
  <c r="AJ33" i="22"/>
  <c r="AK32" i="22"/>
  <c r="AJ32" i="22"/>
  <c r="AK31" i="22"/>
  <c r="AJ31" i="22"/>
  <c r="AK30" i="22"/>
  <c r="AJ30" i="22"/>
  <c r="AK29" i="22"/>
  <c r="AJ29" i="22"/>
  <c r="AK28" i="22"/>
  <c r="AJ28" i="22"/>
  <c r="AK27" i="22"/>
  <c r="AJ27" i="22"/>
  <c r="AK26" i="22"/>
  <c r="AJ26" i="22"/>
  <c r="AK25" i="22"/>
  <c r="AJ25" i="22"/>
  <c r="AK24" i="22"/>
  <c r="AJ24" i="22"/>
  <c r="AK23" i="22"/>
  <c r="AJ23" i="22"/>
  <c r="AK22" i="22"/>
  <c r="AJ22" i="22"/>
  <c r="AN21" i="22"/>
  <c r="AM21" i="22"/>
  <c r="AK21" i="22"/>
  <c r="AJ21" i="22"/>
  <c r="AK20" i="22"/>
  <c r="AJ20" i="22"/>
  <c r="AK19" i="22"/>
  <c r="AJ19" i="22"/>
  <c r="AK18" i="22"/>
  <c r="AJ18" i="22"/>
  <c r="AK17" i="22"/>
  <c r="AJ17" i="22"/>
  <c r="AK16" i="22"/>
  <c r="AJ16" i="22"/>
  <c r="AK15" i="22"/>
  <c r="AJ15" i="22"/>
  <c r="AN14" i="22"/>
  <c r="AM14" i="22"/>
  <c r="AK14" i="22"/>
  <c r="AJ14" i="22"/>
  <c r="AN13" i="22"/>
  <c r="AM13" i="22"/>
  <c r="AK13" i="22"/>
  <c r="AJ13" i="22"/>
  <c r="AK12" i="22"/>
  <c r="AJ12" i="22"/>
  <c r="AK11" i="22"/>
  <c r="AJ11" i="22"/>
  <c r="AK10" i="22"/>
  <c r="AJ10" i="22"/>
  <c r="AK9" i="22"/>
  <c r="AJ9" i="22"/>
  <c r="AK8" i="22"/>
  <c r="AJ8" i="22"/>
  <c r="AK7" i="22"/>
  <c r="AJ7" i="22"/>
  <c r="AK6" i="22"/>
  <c r="AJ6" i="22"/>
  <c r="AK5" i="22"/>
  <c r="AJ5" i="22"/>
  <c r="AM4" i="22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N21" i="21"/>
  <c r="AM21" i="21"/>
  <c r="AO21" i="21" s="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N14" i="21"/>
  <c r="AM14" i="21"/>
  <c r="AM22" i="21" s="1"/>
  <c r="AK14" i="21"/>
  <c r="AJ14" i="21"/>
  <c r="AN13" i="21"/>
  <c r="AM13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M4" i="21"/>
  <c r="AK40" i="20"/>
  <c r="AJ40" i="20"/>
  <c r="AK39" i="20"/>
  <c r="AJ39" i="20"/>
  <c r="AK38" i="20"/>
  <c r="AJ38" i="20"/>
  <c r="AK37" i="20"/>
  <c r="AJ37" i="20"/>
  <c r="AK36" i="20"/>
  <c r="AJ36" i="20"/>
  <c r="AK35" i="20"/>
  <c r="AJ35" i="20"/>
  <c r="AK34" i="20"/>
  <c r="AJ34" i="20"/>
  <c r="AK33" i="20"/>
  <c r="AJ33" i="20"/>
  <c r="AK32" i="20"/>
  <c r="AJ32" i="20"/>
  <c r="AK31" i="20"/>
  <c r="AJ31" i="20"/>
  <c r="AK30" i="20"/>
  <c r="AJ30" i="20"/>
  <c r="AK29" i="20"/>
  <c r="AJ29" i="20"/>
  <c r="AK28" i="20"/>
  <c r="AJ28" i="20"/>
  <c r="AK27" i="20"/>
  <c r="AJ27" i="20"/>
  <c r="AK26" i="20"/>
  <c r="AJ26" i="20"/>
  <c r="AK25" i="20"/>
  <c r="AJ25" i="20"/>
  <c r="AK24" i="20"/>
  <c r="AJ24" i="20"/>
  <c r="AK23" i="20"/>
  <c r="AJ23" i="20"/>
  <c r="AK22" i="20"/>
  <c r="AJ22" i="20"/>
  <c r="AN21" i="20"/>
  <c r="AM21" i="20"/>
  <c r="AK21" i="20"/>
  <c r="AJ21" i="20"/>
  <c r="AK20" i="20"/>
  <c r="AJ20" i="20"/>
  <c r="AK19" i="20"/>
  <c r="AJ19" i="20"/>
  <c r="AK18" i="20"/>
  <c r="AJ18" i="20"/>
  <c r="AK17" i="20"/>
  <c r="AJ17" i="20"/>
  <c r="AK16" i="20"/>
  <c r="AJ16" i="20"/>
  <c r="AK15" i="20"/>
  <c r="AJ15" i="20"/>
  <c r="AN14" i="20"/>
  <c r="AM14" i="20"/>
  <c r="AK14" i="20"/>
  <c r="AJ14" i="20"/>
  <c r="AN13" i="20"/>
  <c r="AM13" i="20"/>
  <c r="AO13" i="20" s="1"/>
  <c r="AK13" i="20"/>
  <c r="AJ13" i="20"/>
  <c r="AK12" i="20"/>
  <c r="AJ12" i="20"/>
  <c r="AK11" i="20"/>
  <c r="AJ11" i="20"/>
  <c r="AK10" i="20"/>
  <c r="AJ10" i="20"/>
  <c r="AK9" i="20"/>
  <c r="AJ9" i="20"/>
  <c r="AK8" i="20"/>
  <c r="AJ8" i="20"/>
  <c r="AK7" i="20"/>
  <c r="AJ7" i="20"/>
  <c r="AK6" i="20"/>
  <c r="AJ6" i="20"/>
  <c r="AK5" i="20"/>
  <c r="AJ5" i="20"/>
  <c r="AM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20" l="1"/>
  <c r="AO13" i="22"/>
  <c r="AO21" i="22"/>
  <c r="AO14" i="25"/>
  <c r="AO15" i="25" s="1"/>
  <c r="AO14" i="24"/>
  <c r="AO15" i="24" s="1"/>
  <c r="AN15" i="20"/>
  <c r="AO14" i="20"/>
  <c r="AO15" i="20" s="1"/>
  <c r="AN22" i="20"/>
  <c r="AN23" i="20" s="1"/>
  <c r="AO13" i="21"/>
  <c r="AN15" i="21"/>
  <c r="AN15" i="22"/>
  <c r="AO13" i="23"/>
  <c r="AO21" i="23"/>
  <c r="AO14" i="23"/>
  <c r="AO14" i="22"/>
  <c r="AO15" i="22" s="1"/>
  <c r="AM15" i="22"/>
  <c r="AM22" i="22"/>
  <c r="AM23" i="22" s="1"/>
  <c r="AN22" i="22"/>
  <c r="AN23" i="22" s="1"/>
  <c r="AO14" i="21"/>
  <c r="AN22" i="21"/>
  <c r="AN23" i="21" s="1"/>
  <c r="AN15" i="23"/>
  <c r="AN22" i="23"/>
  <c r="AN23" i="23" s="1"/>
  <c r="AN15" i="24"/>
  <c r="AN22" i="24"/>
  <c r="AM15" i="25"/>
  <c r="AM22" i="25"/>
  <c r="AN15" i="25"/>
  <c r="AM15" i="24"/>
  <c r="AM22" i="24"/>
  <c r="AM15" i="23"/>
  <c r="AM22" i="23"/>
  <c r="AM23" i="21"/>
  <c r="AM15" i="21"/>
  <c r="AM15" i="20"/>
  <c r="AM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O15" i="23" l="1"/>
  <c r="AO15" i="21"/>
  <c r="AO22" i="21"/>
  <c r="AO23" i="21" s="1"/>
  <c r="AO22" i="22"/>
  <c r="AO23" i="22" s="1"/>
  <c r="AM23" i="25"/>
  <c r="AO22" i="25"/>
  <c r="AO23" i="25" s="1"/>
  <c r="AO22" i="24"/>
  <c r="AM23" i="23"/>
  <c r="AO22" i="23"/>
  <c r="AO23" i="23" s="1"/>
  <c r="AM23" i="20"/>
  <c r="AO22" i="20"/>
  <c r="AO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N21" i="5" l="1"/>
  <c r="AM21" i="5"/>
  <c r="AN13" i="5"/>
  <c r="AM13" i="5"/>
  <c r="AM14" i="5"/>
  <c r="I6" i="18" s="1"/>
  <c r="AM4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K6" i="18" l="1"/>
  <c r="I17" i="18"/>
  <c r="M6" i="18"/>
  <c r="AN14" i="5"/>
  <c r="J6" i="18" s="1"/>
  <c r="AO13" i="5"/>
  <c r="AM15" i="5"/>
  <c r="AM22" i="5"/>
  <c r="AM23" i="5" s="1"/>
  <c r="AO21" i="5"/>
  <c r="J17" i="18" l="1"/>
  <c r="L6" i="18"/>
  <c r="O6" i="18" s="1"/>
  <c r="O17" i="18" s="1"/>
  <c r="AO14" i="5"/>
  <c r="AO15" i="5" s="1"/>
  <c r="I18" i="18"/>
  <c r="M17" i="18"/>
  <c r="AN15" i="5"/>
  <c r="AN22" i="5"/>
  <c r="AN23" i="5" s="1"/>
  <c r="N6" i="18"/>
  <c r="N17" i="18" s="1"/>
  <c r="K17" i="18"/>
  <c r="K18" i="18" s="1"/>
  <c r="AO22" i="5" l="1"/>
  <c r="AO23" i="5" s="1"/>
  <c r="J18" i="18"/>
  <c r="L17" i="18"/>
  <c r="O18" i="18" s="1"/>
</calcChain>
</file>

<file path=xl/sharedStrings.xml><?xml version="1.0" encoding="utf-8"?>
<sst xmlns="http://schemas.openxmlformats.org/spreadsheetml/2006/main" count="6723" uniqueCount="401">
  <si>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</si>
  <si>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</si>
  <si>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</si>
  <si>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</si>
  <si>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</si>
  <si>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</si>
  <si>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</si>
  <si>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</si>
  <si>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</si>
  <si>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</si>
  <si>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</si>
  <si>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</si>
  <si>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</si>
  <si>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</si>
  <si>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</si>
  <si>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</si>
  <si>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</si>
  <si>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</si>
  <si>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</si>
  <si>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</si>
  <si>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</si>
  <si>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</si>
  <si>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</si>
  <si>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</si>
  <si>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</si>
  <si>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</si>
  <si>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</si>
  <si>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</si>
  <si>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</si>
  <si>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</si>
  <si>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</si>
  <si>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</si>
  <si>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</si>
  <si>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</si>
  <si>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</si>
  <si>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</si>
  <si>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</si>
  <si>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</si>
  <si>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</si>
  <si>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</si>
  <si>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</si>
  <si>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</si>
  <si>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</si>
  <si>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</si>
  <si>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</si>
  <si>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</si>
  <si>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</si>
  <si>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</si>
  <si>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</si>
  <si>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</si>
  <si>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</si>
  <si>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</si>
  <si>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</si>
  <si>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</si>
  <si>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</si>
  <si>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</si>
  <si>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</si>
  <si>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</si>
  <si>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</si>
  <si>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</si>
  <si>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</si>
  <si>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</si>
  <si>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</si>
  <si>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</si>
  <si>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</si>
  <si>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</si>
  <si>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</si>
  <si>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</si>
  <si>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</si>
  <si>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</si>
  <si>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</si>
  <si>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</si>
  <si>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</si>
  <si>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</si>
  <si>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</si>
  <si>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</si>
  <si>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</si>
  <si>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</si>
  <si>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</si>
  <si>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</si>
  <si>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</si>
  <si>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</si>
  <si>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</si>
  <si>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</si>
  <si>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</si>
  <si>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</si>
  <si>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</si>
  <si>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</si>
  <si>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</si>
  <si>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</si>
  <si>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</si>
  <si>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</si>
  <si>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</si>
  <si>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</si>
  <si>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</si>
  <si>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</si>
  <si>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</si>
  <si>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</si>
  <si>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</si>
  <si>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</si>
  <si>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</si>
  <si>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</si>
  <si>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</si>
  <si>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</si>
  <si>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</si>
  <si>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</si>
  <si>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</si>
  <si>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</si>
  <si>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</si>
  <si>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</si>
  <si>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</si>
  <si>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</si>
  <si>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</si>
  <si>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</si>
  <si>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</si>
  <si>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</si>
  <si>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</si>
  <si>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</si>
  <si>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</si>
  <si>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</si>
  <si>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</si>
  <si>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</si>
  <si>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</si>
  <si>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</si>
  <si>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</si>
  <si>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</si>
  <si>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</si>
  <si>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</si>
  <si>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</si>
  <si>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</si>
  <si>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</si>
  <si>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</si>
  <si>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</si>
  <si>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</si>
  <si>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</si>
  <si>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</si>
  <si>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</si>
  <si>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</si>
  <si>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</si>
  <si>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</si>
  <si>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</si>
  <si>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</si>
  <si>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</si>
  <si>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</si>
  <si>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</si>
  <si>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</si>
  <si>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</si>
  <si>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</si>
  <si>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</si>
  <si>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</si>
  <si>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</si>
  <si>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</si>
  <si>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</si>
  <si>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</si>
  <si>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</si>
  <si>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</si>
  <si>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</si>
  <si>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</si>
  <si>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</si>
  <si>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</si>
  <si>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</si>
  <si>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</si>
  <si>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</si>
  <si>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</si>
  <si>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</si>
  <si>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</si>
  <si>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</si>
  <si>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</si>
  <si>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</si>
  <si>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</si>
  <si>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</si>
  <si>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</si>
  <si>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</si>
  <si>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</si>
  <si>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</si>
  <si>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</si>
  <si>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</si>
  <si>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</si>
  <si>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</si>
  <si>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</si>
  <si>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</si>
  <si>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</si>
  <si>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</si>
  <si>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</si>
  <si>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</si>
  <si>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</si>
  <si>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</si>
  <si>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</si>
  <si>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</si>
  <si>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</si>
  <si>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</si>
  <si>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</si>
  <si>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</si>
  <si>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</si>
  <si>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</si>
  <si>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</si>
  <si>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</si>
  <si>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</si>
  <si>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</si>
  <si>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</si>
  <si>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</si>
  <si>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</si>
  <si>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</si>
  <si>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</si>
  <si>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</si>
  <si>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</si>
  <si>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</si>
  <si>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</si>
  <si>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</si>
  <si>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</si>
  <si>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</si>
  <si>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</si>
  <si>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</si>
  <si>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</si>
  <si>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</si>
  <si>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</si>
  <si>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</si>
  <si>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</si>
  <si>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</si>
  <si>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</si>
  <si>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</si>
  <si>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</si>
  <si>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</si>
  <si>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</si>
  <si>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</si>
  <si>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</si>
  <si>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</si>
  <si>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</si>
  <si>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</si>
  <si>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</si>
  <si>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</si>
  <si>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</si>
  <si>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</si>
  <si>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</si>
  <si>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</si>
  <si>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</si>
  <si>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</si>
  <si>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</si>
  <si>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</si>
  <si>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</si>
  <si>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</si>
  <si>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</si>
  <si>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</si>
  <si>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</si>
  <si>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</si>
  <si>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</si>
  <si>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</si>
  <si>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</si>
  <si>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</si>
  <si>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</si>
  <si>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</si>
  <si>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</si>
  <si>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</si>
  <si>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</si>
  <si>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</si>
  <si>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</si>
  <si>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</si>
  <si>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</si>
  <si>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</si>
  <si>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</si>
  <si>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</si>
  <si>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</si>
  <si>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</si>
  <si>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</si>
  <si>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</si>
  <si>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</si>
  <si>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</si>
  <si>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</si>
  <si>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</si>
  <si>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</si>
  <si>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</si>
  <si>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</si>
  <si>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</si>
  <si>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</si>
  <si>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</si>
  <si>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</si>
  <si>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</si>
  <si>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</si>
  <si>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</si>
  <si>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</si>
  <si>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</si>
  <si>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</si>
  <si>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</si>
  <si>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</si>
  <si>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</si>
  <si>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</si>
  <si>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</si>
  <si>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</si>
  <si>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</si>
  <si>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</si>
  <si>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</si>
  <si>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</si>
  <si>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</si>
  <si>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</si>
  <si>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</si>
  <si>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</si>
  <si>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</si>
  <si>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</si>
  <si>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</si>
  <si>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</si>
  <si>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</si>
  <si>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</si>
  <si>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</si>
  <si>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</si>
  <si>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</si>
  <si>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</si>
  <si>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</si>
  <si>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</si>
  <si>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</si>
  <si>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</si>
  <si>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</si>
  <si>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</si>
  <si>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</si>
  <si>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</si>
  <si>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</si>
  <si>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</si>
  <si>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</si>
  <si>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</si>
  <si>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</si>
  <si>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</si>
  <si>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</si>
  <si>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</si>
  <si>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</si>
  <si>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</si>
  <si>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</si>
  <si>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</si>
  <si>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</si>
  <si>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</si>
  <si>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</si>
  <si>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</si>
  <si>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</si>
  <si>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</si>
  <si>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</si>
  <si>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</si>
  <si>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</si>
  <si>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</si>
  <si>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</si>
  <si>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</si>
  <si>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</si>
  <si>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</si>
  <si>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</si>
  <si>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</si>
  <si>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</si>
  <si>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</si>
  <si>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</si>
  <si>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</si>
  <si>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</si>
  <si>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</si>
  <si>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</si>
  <si>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</si>
  <si>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</si>
  <si>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</si>
  <si>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</si>
  <si>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</si>
  <si>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</si>
  <si>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</si>
  <si>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</si>
  <si>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</si>
  <si>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</si>
  <si>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</si>
  <si>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</si>
  <si>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</si>
  <si>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</si>
  <si>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</si>
  <si>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</si>
  <si>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</si>
  <si>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</si>
  <si>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</si>
  <si>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</si>
  <si>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</si>
  <si>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</si>
  <si>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</si>
  <si>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</si>
  <si>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</si>
  <si>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</si>
  <si>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</si>
  <si>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</si>
  <si>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</si>
  <si>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</si>
  <si>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</si>
  <si>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</si>
  <si>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</si>
  <si>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</si>
  <si>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</si>
  <si>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</si>
  <si>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</si>
  <si>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</si>
  <si>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</si>
  <si>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</si>
  <si>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</si>
  <si>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</si>
  <si>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</si>
  <si>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</si>
  <si>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</si>
  <si>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</si>
  <si>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</si>
  <si>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Monthly Attendence Month of February-2025</t>
  </si>
  <si>
    <t>SUNDAY - SUNDAY - SUNDAY - SUNDAY - SUNDAY</t>
  </si>
  <si>
    <t>SUNDAY - SUNDAY - SUNDAY - SUNDAY</t>
  </si>
  <si>
    <t>SUNDAY - SUNDAY</t>
  </si>
  <si>
    <t>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</si>
</sst>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0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0" fillId="0" borderId="3" xfId="0" applyFont="1" applyBorder="1" applyAlignment="1">
      <alignment vertical="center" textRotation="255"/>
    </xf>
    <xf numFmtId="0" fontId="0" fillId="0" borderId="2" xfId="0" applyFont="1" applyBorder="1" applyAlignment="1">
      <alignment vertical="center" textRotation="255"/>
    </xf>
    <xf numFmtId="0" fontId="0" fillId="0" borderId="3" xfId="0" applyFont="1" applyBorder="1" applyAlignment="1">
      <alignment horizontal="center" vertical="center" textRotation="255"/>
    </xf>
    <xf numFmtId="0" fontId="20" fillId="7" borderId="3" xfId="0" applyFont="1" applyFill="1" applyBorder="1" applyAlignment="1">
      <alignment horizontal="center" vertical="center" textRotation="4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1741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1740"/>
      <tableStyleElement type="headerRow" dxfId="1739"/>
      <tableStyleElement type="totalRow" dxfId="1738"/>
      <tableStyleElement type="firstColumn" dxfId="1737"/>
      <tableStyleElement type="lastColumn" dxfId="1736"/>
      <tableStyleElement type="firstRowStripe" dxfId="1735"/>
      <tableStyleElement type="firstColumnStripe" dxfId="1734"/>
    </tableStyle>
    <tableStyle name="PivotStylePreset2_Accent1" table="0" count="10" xr9:uid="{40508A4A-A46F-4E18-BA94-D1C2B66BBA21}">
      <tableStyleElement type="headerRow" dxfId="1733"/>
      <tableStyleElement type="totalRow" dxfId="1732"/>
      <tableStyleElement type="firstRowStripe" dxfId="1731"/>
      <tableStyleElement type="firstColumnStripe" dxfId="1730"/>
      <tableStyleElement type="firstSubtotalRow" dxfId="1729"/>
      <tableStyleElement type="secondSubtotalRow" dxfId="1728"/>
      <tableStyleElement type="firstRowSubheading" dxfId="1727"/>
      <tableStyleElement type="secondRowSubheading" dxfId="1726"/>
      <tableStyleElement type="pageFieldLabels" dxfId="1725"/>
      <tableStyleElement type="pageFieldValues" dxfId="17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84" t="s">
        <v>3</v>
      </c>
      <c r="B4" s="86" t="s">
        <v>98</v>
      </c>
      <c r="C4" s="87"/>
      <c r="D4" s="87"/>
      <c r="E4" s="88"/>
      <c r="F4" s="88"/>
      <c r="G4" s="88"/>
      <c r="H4" s="88"/>
      <c r="I4" s="87"/>
      <c r="J4" s="87"/>
      <c r="K4" s="87"/>
      <c r="L4" s="88"/>
      <c r="M4" s="88"/>
      <c r="N4" s="89"/>
      <c r="O4" s="90"/>
    </row>
    <row r="5" spans="1:15" ht="34.5" thickBot="1">
      <c r="A5" s="85"/>
      <c r="B5" s="56" t="s">
        <v>11</v>
      </c>
      <c r="C5" s="56" t="s">
        <v>12</v>
      </c>
      <c r="D5" s="56" t="s">
        <v>13</v>
      </c>
      <c r="E5" s="57" t="s">
        <v>82</v>
      </c>
      <c r="F5" s="56" t="s">
        <v>83</v>
      </c>
      <c r="G5" s="56" t="s">
        <v>84</v>
      </c>
      <c r="H5" s="58" t="s">
        <v>85</v>
      </c>
      <c r="I5" s="59" t="s">
        <v>86</v>
      </c>
      <c r="J5" s="60" t="s">
        <v>87</v>
      </c>
      <c r="K5" s="61" t="s">
        <v>88</v>
      </c>
      <c r="L5" s="74" t="s">
        <v>89</v>
      </c>
      <c r="M5" s="75" t="s">
        <v>90</v>
      </c>
      <c r="N5" s="75" t="s">
        <v>90</v>
      </c>
      <c r="O5" s="76" t="s">
        <v>91</v>
      </c>
    </row>
    <row r="6" spans="1:15" ht="18.75">
      <c r="A6" s="44" t="s">
        <v>92</v>
      </c>
      <c r="B6" s="48">
        <v>27</v>
      </c>
      <c r="C6" s="48">
        <v>27</v>
      </c>
      <c r="D6" s="48">
        <f>SUM(B6:C6)</f>
        <v>54</v>
      </c>
      <c r="E6" s="49">
        <v>24</v>
      </c>
      <c r="F6" s="50">
        <f>B6*E6</f>
        <v>648</v>
      </c>
      <c r="G6" s="50">
        <f t="shared" ref="G6:G16" si="0">C6*E6</f>
        <v>648</v>
      </c>
      <c r="H6" s="51">
        <f>SUM(F6:G6)</f>
        <v>1296</v>
      </c>
      <c r="I6" s="62" t="e">
        <f>'Class-V'!AM14</f>
        <v>#REF!</v>
      </c>
      <c r="J6" s="63" t="e">
        <f>'Class-V'!AN14</f>
        <v>#REF!</v>
      </c>
      <c r="K6" s="64" t="e">
        <f>SUM(I6:J6)</f>
        <v>#REF!</v>
      </c>
      <c r="L6" s="52" t="e">
        <f>J6/G6</f>
        <v>#REF!</v>
      </c>
      <c r="M6" s="53" t="e">
        <f>I6/F6</f>
        <v>#REF!</v>
      </c>
      <c r="N6" s="54" t="e">
        <f>K6/H6</f>
        <v>#REF!</v>
      </c>
      <c r="O6" s="55" t="e">
        <f>AVERAGE(L6:M6)</f>
        <v>#REF!</v>
      </c>
    </row>
    <row r="7" spans="1:15" ht="18.75">
      <c r="A7" s="44" t="s">
        <v>93</v>
      </c>
      <c r="B7" s="13">
        <v>31</v>
      </c>
      <c r="C7" s="13">
        <v>25</v>
      </c>
      <c r="D7" s="13">
        <f>SUM(B7:C7)</f>
        <v>56</v>
      </c>
      <c r="E7" s="43">
        <v>24</v>
      </c>
      <c r="F7" s="14">
        <f>B7*E7</f>
        <v>744</v>
      </c>
      <c r="G7" s="14">
        <f t="shared" si="0"/>
        <v>600</v>
      </c>
      <c r="H7" s="15">
        <f>SUM(F7:G7)</f>
        <v>1344</v>
      </c>
      <c r="I7" s="65" t="e">
        <f>#REF!</f>
        <v>#REF!</v>
      </c>
      <c r="J7" s="66" t="e">
        <f>#REF!</f>
        <v>#REF!</v>
      </c>
      <c r="K7" s="67" t="e">
        <f>SUM(I7:J7)</f>
        <v>#REF!</v>
      </c>
      <c r="L7" s="16" t="e">
        <f>J7/G7</f>
        <v>#REF!</v>
      </c>
      <c r="M7" s="17" t="e">
        <f>I7/F7</f>
        <v>#REF!</v>
      </c>
      <c r="N7" s="18" t="e">
        <f>K7/H7</f>
        <v>#REF!</v>
      </c>
      <c r="O7" s="19" t="e">
        <f>AVERAGE(L7:M7)</f>
        <v>#REF!</v>
      </c>
    </row>
    <row r="8" spans="1:15" ht="18.75">
      <c r="A8" s="45" t="s">
        <v>94</v>
      </c>
      <c r="B8" s="13">
        <v>32</v>
      </c>
      <c r="C8" s="13">
        <v>24</v>
      </c>
      <c r="D8" s="13">
        <f t="shared" ref="D8:D16" si="1">SUM(B8:C8)</f>
        <v>56</v>
      </c>
      <c r="E8" s="43">
        <v>24</v>
      </c>
      <c r="F8" s="14">
        <f t="shared" ref="F8:F16" si="2">B8*E8</f>
        <v>768</v>
      </c>
      <c r="G8" s="14">
        <f t="shared" si="0"/>
        <v>576</v>
      </c>
      <c r="H8" s="15">
        <f t="shared" ref="H8:H16" si="3">SUM(F8:G8)</f>
        <v>1344</v>
      </c>
      <c r="I8" s="65" t="e">
        <f>#REF!</f>
        <v>#REF!</v>
      </c>
      <c r="J8" s="66" t="e">
        <f>#REF!</f>
        <v>#REF!</v>
      </c>
      <c r="K8" s="67" t="e">
        <f t="shared" ref="K8:K16" si="4">SUM(I8:J8)</f>
        <v>#REF!</v>
      </c>
      <c r="L8" s="16" t="e">
        <f t="shared" ref="L8:L16" si="5">J8/G8</f>
        <v>#REF!</v>
      </c>
      <c r="M8" s="17" t="e">
        <f t="shared" ref="M8:M16" si="6">I8/F8</f>
        <v>#REF!</v>
      </c>
      <c r="N8" s="18" t="e">
        <f t="shared" ref="N8:N16" si="7">K8/H8</f>
        <v>#REF!</v>
      </c>
      <c r="O8" s="19" t="e">
        <f t="shared" ref="O8:O16" si="8">AVERAGE(L8:M8)</f>
        <v>#REF!</v>
      </c>
    </row>
    <row r="9" spans="1:15" ht="18.75">
      <c r="A9" s="46" t="s">
        <v>49</v>
      </c>
      <c r="B9" s="13">
        <v>26</v>
      </c>
      <c r="C9" s="13">
        <v>26</v>
      </c>
      <c r="D9" s="13">
        <f t="shared" si="1"/>
        <v>52</v>
      </c>
      <c r="E9" s="43">
        <v>24</v>
      </c>
      <c r="F9" s="14">
        <f t="shared" si="2"/>
        <v>624</v>
      </c>
      <c r="G9" s="14">
        <f t="shared" si="0"/>
        <v>624</v>
      </c>
      <c r="H9" s="15">
        <f t="shared" si="3"/>
        <v>1248</v>
      </c>
      <c r="I9" s="65" t="e">
        <f>#REF!</f>
        <v>#REF!</v>
      </c>
      <c r="J9" s="66" t="e">
        <f>#REF!</f>
        <v>#REF!</v>
      </c>
      <c r="K9" s="67" t="e">
        <f t="shared" si="4"/>
        <v>#REF!</v>
      </c>
      <c r="L9" s="16" t="e">
        <f t="shared" si="5"/>
        <v>#REF!</v>
      </c>
      <c r="M9" s="17" t="e">
        <f t="shared" si="6"/>
        <v>#REF!</v>
      </c>
      <c r="N9" s="18" t="e">
        <f t="shared" si="7"/>
        <v>#REF!</v>
      </c>
      <c r="O9" s="19" t="e">
        <f t="shared" si="8"/>
        <v>#REF!</v>
      </c>
    </row>
    <row r="10" spans="1:15" ht="18.75">
      <c r="A10" s="45" t="s">
        <v>54</v>
      </c>
      <c r="B10" s="13">
        <v>28</v>
      </c>
      <c r="C10" s="13">
        <v>24</v>
      </c>
      <c r="D10" s="13">
        <f t="shared" si="1"/>
        <v>52</v>
      </c>
      <c r="E10" s="14">
        <v>24</v>
      </c>
      <c r="F10" s="14">
        <f t="shared" si="2"/>
        <v>672</v>
      </c>
      <c r="G10" s="14">
        <f t="shared" si="0"/>
        <v>576</v>
      </c>
      <c r="H10" s="15">
        <f t="shared" si="3"/>
        <v>1248</v>
      </c>
      <c r="I10" s="65" t="e">
        <f>#REF!</f>
        <v>#REF!</v>
      </c>
      <c r="J10" s="66" t="e">
        <f>#REF!</f>
        <v>#REF!</v>
      </c>
      <c r="K10" s="67" t="e">
        <f>SUM(I10:J10)</f>
        <v>#REF!</v>
      </c>
      <c r="L10" s="16" t="e">
        <f t="shared" si="5"/>
        <v>#REF!</v>
      </c>
      <c r="M10" s="17" t="e">
        <f t="shared" si="6"/>
        <v>#REF!</v>
      </c>
      <c r="N10" s="18" t="e">
        <f>K10/H10</f>
        <v>#REF!</v>
      </c>
      <c r="O10" s="19" t="e">
        <f t="shared" si="8"/>
        <v>#REF!</v>
      </c>
    </row>
    <row r="11" spans="1:15" ht="18.75">
      <c r="A11" s="45" t="s">
        <v>59</v>
      </c>
      <c r="B11" s="13">
        <v>21</v>
      </c>
      <c r="C11" s="13">
        <v>32</v>
      </c>
      <c r="D11" s="13">
        <f t="shared" si="1"/>
        <v>53</v>
      </c>
      <c r="E11" s="14">
        <v>24</v>
      </c>
      <c r="F11" s="14">
        <f t="shared" si="2"/>
        <v>504</v>
      </c>
      <c r="G11" s="14">
        <f t="shared" si="0"/>
        <v>768</v>
      </c>
      <c r="H11" s="15">
        <f t="shared" si="3"/>
        <v>1272</v>
      </c>
      <c r="I11" s="65" t="e">
        <f>#REF!</f>
        <v>#REF!</v>
      </c>
      <c r="J11" s="66" t="e">
        <f>#REF!</f>
        <v>#REF!</v>
      </c>
      <c r="K11" s="67" t="e">
        <f t="shared" si="4"/>
        <v>#REF!</v>
      </c>
      <c r="L11" s="16" t="e">
        <f t="shared" si="5"/>
        <v>#REF!</v>
      </c>
      <c r="M11" s="17" t="e">
        <f t="shared" si="6"/>
        <v>#REF!</v>
      </c>
      <c r="N11" s="18" t="e">
        <f t="shared" si="7"/>
        <v>#REF!</v>
      </c>
      <c r="O11" s="19" t="e">
        <f t="shared" si="8"/>
        <v>#REF!</v>
      </c>
    </row>
    <row r="12" spans="1:15" ht="18.75">
      <c r="A12" s="45" t="s">
        <v>65</v>
      </c>
      <c r="B12" s="13">
        <v>23</v>
      </c>
      <c r="C12" s="13">
        <v>23</v>
      </c>
      <c r="D12" s="13">
        <f t="shared" si="1"/>
        <v>46</v>
      </c>
      <c r="E12" s="14">
        <v>24</v>
      </c>
      <c r="F12" s="14">
        <f t="shared" si="2"/>
        <v>552</v>
      </c>
      <c r="G12" s="14">
        <f t="shared" si="0"/>
        <v>552</v>
      </c>
      <c r="H12" s="15">
        <f t="shared" si="3"/>
        <v>1104</v>
      </c>
      <c r="I12" s="65" t="e">
        <f>#REF!</f>
        <v>#REF!</v>
      </c>
      <c r="J12" s="66" t="e">
        <f>#REF!</f>
        <v>#REF!</v>
      </c>
      <c r="K12" s="67" t="e">
        <f t="shared" si="4"/>
        <v>#REF!</v>
      </c>
      <c r="L12" s="16" t="e">
        <f t="shared" si="5"/>
        <v>#REF!</v>
      </c>
      <c r="M12" s="17" t="e">
        <f t="shared" si="6"/>
        <v>#REF!</v>
      </c>
      <c r="N12" s="18" t="e">
        <f t="shared" si="7"/>
        <v>#REF!</v>
      </c>
      <c r="O12" s="19" t="e">
        <f t="shared" si="8"/>
        <v>#REF!</v>
      </c>
    </row>
    <row r="13" spans="1:15" ht="18.75">
      <c r="A13" s="46" t="s">
        <v>69</v>
      </c>
      <c r="B13" s="13">
        <v>17</v>
      </c>
      <c r="C13" s="13">
        <v>28</v>
      </c>
      <c r="D13" s="13">
        <f t="shared" si="1"/>
        <v>45</v>
      </c>
      <c r="E13" s="14">
        <v>24</v>
      </c>
      <c r="F13" s="14">
        <f t="shared" si="2"/>
        <v>408</v>
      </c>
      <c r="G13" s="14">
        <f t="shared" si="0"/>
        <v>672</v>
      </c>
      <c r="H13" s="15">
        <f t="shared" si="3"/>
        <v>1080</v>
      </c>
      <c r="I13" s="65" t="e">
        <f>#REF!</f>
        <v>#REF!</v>
      </c>
      <c r="J13" s="66" t="e">
        <f>#REF!</f>
        <v>#REF!</v>
      </c>
      <c r="K13" s="67" t="e">
        <f t="shared" si="4"/>
        <v>#REF!</v>
      </c>
      <c r="L13" s="16" t="e">
        <f t="shared" si="5"/>
        <v>#REF!</v>
      </c>
      <c r="M13" s="17" t="e">
        <f t="shared" si="6"/>
        <v>#REF!</v>
      </c>
      <c r="N13" s="18" t="e">
        <f t="shared" si="7"/>
        <v>#REF!</v>
      </c>
      <c r="O13" s="19" t="e">
        <f t="shared" si="8"/>
        <v>#REF!</v>
      </c>
    </row>
    <row r="14" spans="1:15" ht="18.75">
      <c r="A14" s="46" t="s">
        <v>95</v>
      </c>
      <c r="B14" s="13">
        <v>29</v>
      </c>
      <c r="C14" s="13">
        <v>19</v>
      </c>
      <c r="D14" s="13">
        <f t="shared" si="1"/>
        <v>48</v>
      </c>
      <c r="E14" s="14">
        <v>24</v>
      </c>
      <c r="F14" s="14">
        <f t="shared" si="2"/>
        <v>696</v>
      </c>
      <c r="G14" s="14">
        <f t="shared" si="0"/>
        <v>456</v>
      </c>
      <c r="H14" s="15">
        <f t="shared" si="3"/>
        <v>1152</v>
      </c>
      <c r="I14" s="65" t="e">
        <f>#REF!</f>
        <v>#REF!</v>
      </c>
      <c r="J14" s="66" t="e">
        <f>#REF!</f>
        <v>#REF!</v>
      </c>
      <c r="K14" s="67" t="e">
        <f t="shared" si="4"/>
        <v>#REF!</v>
      </c>
      <c r="L14" s="16" t="e">
        <f t="shared" si="5"/>
        <v>#REF!</v>
      </c>
      <c r="M14" s="17" t="e">
        <f t="shared" si="6"/>
        <v>#REF!</v>
      </c>
      <c r="N14" s="18" t="e">
        <f t="shared" si="7"/>
        <v>#REF!</v>
      </c>
      <c r="O14" s="19" t="e">
        <f t="shared" si="8"/>
        <v>#REF!</v>
      </c>
    </row>
    <row r="15" spans="1:15" ht="18.75">
      <c r="A15" s="46" t="s">
        <v>96</v>
      </c>
      <c r="B15" s="13">
        <v>19</v>
      </c>
      <c r="C15" s="13">
        <v>23</v>
      </c>
      <c r="D15" s="13">
        <f t="shared" si="1"/>
        <v>42</v>
      </c>
      <c r="E15" s="14">
        <v>24</v>
      </c>
      <c r="F15" s="14">
        <f t="shared" si="2"/>
        <v>456</v>
      </c>
      <c r="G15" s="14">
        <f t="shared" si="0"/>
        <v>552</v>
      </c>
      <c r="H15" s="15">
        <f t="shared" si="3"/>
        <v>1008</v>
      </c>
      <c r="I15" s="65" t="e">
        <f>#REF!</f>
        <v>#REF!</v>
      </c>
      <c r="J15" s="66" t="e">
        <f>#REF!</f>
        <v>#REF!</v>
      </c>
      <c r="K15" s="67" t="e">
        <f t="shared" si="4"/>
        <v>#REF!</v>
      </c>
      <c r="L15" s="16" t="e">
        <f t="shared" si="5"/>
        <v>#REF!</v>
      </c>
      <c r="M15" s="17" t="e">
        <f t="shared" si="6"/>
        <v>#REF!</v>
      </c>
      <c r="N15" s="18" t="e">
        <f t="shared" si="7"/>
        <v>#REF!</v>
      </c>
      <c r="O15" s="19" t="e">
        <f t="shared" si="8"/>
        <v>#REF!</v>
      </c>
    </row>
    <row r="16" spans="1:15" ht="19.5" thickBot="1">
      <c r="A16" s="47" t="s">
        <v>97</v>
      </c>
      <c r="B16" s="22">
        <v>16</v>
      </c>
      <c r="C16" s="22">
        <v>19</v>
      </c>
      <c r="D16" s="22">
        <f t="shared" si="1"/>
        <v>35</v>
      </c>
      <c r="E16" s="23">
        <v>24</v>
      </c>
      <c r="F16" s="23">
        <f t="shared" si="2"/>
        <v>384</v>
      </c>
      <c r="G16" s="23">
        <f t="shared" si="0"/>
        <v>456</v>
      </c>
      <c r="H16" s="24">
        <f t="shared" si="3"/>
        <v>840</v>
      </c>
      <c r="I16" s="68" t="e">
        <f>#REF!</f>
        <v>#REF!</v>
      </c>
      <c r="J16" s="69" t="e">
        <f>#REF!</f>
        <v>#REF!</v>
      </c>
      <c r="K16" s="70" t="e">
        <f t="shared" si="4"/>
        <v>#REF!</v>
      </c>
      <c r="L16" s="25" t="e">
        <f t="shared" si="5"/>
        <v>#REF!</v>
      </c>
      <c r="M16" s="26" t="e">
        <f t="shared" si="6"/>
        <v>#REF!</v>
      </c>
      <c r="N16" s="27" t="e">
        <f t="shared" si="7"/>
        <v>#REF!</v>
      </c>
      <c r="O16" s="28" t="e">
        <f t="shared" si="8"/>
        <v>#REF!</v>
      </c>
    </row>
    <row r="17" spans="1:15" ht="18.75">
      <c r="A17" s="29" t="s">
        <v>13</v>
      </c>
      <c r="B17" s="30">
        <f t="shared" ref="B17:K17" si="9">SUM(B6:B16)</f>
        <v>269</v>
      </c>
      <c r="C17" s="30">
        <f t="shared" si="9"/>
        <v>270</v>
      </c>
      <c r="D17" s="30">
        <f t="shared" si="9"/>
        <v>539</v>
      </c>
      <c r="E17" s="31">
        <f t="shared" si="9"/>
        <v>264</v>
      </c>
      <c r="F17" s="31">
        <f t="shared" si="9"/>
        <v>6456</v>
      </c>
      <c r="G17" s="31">
        <f t="shared" si="9"/>
        <v>6480</v>
      </c>
      <c r="H17" s="37">
        <f t="shared" si="9"/>
        <v>12936</v>
      </c>
      <c r="I17" s="71" t="e">
        <f t="shared" si="9"/>
        <v>#REF!</v>
      </c>
      <c r="J17" s="72" t="e">
        <f t="shared" si="9"/>
        <v>#REF!</v>
      </c>
      <c r="K17" s="73" t="e">
        <f t="shared" si="9"/>
        <v>#REF!</v>
      </c>
      <c r="L17" s="39" t="e">
        <f>J17/G17</f>
        <v>#REF!</v>
      </c>
      <c r="M17" s="32" t="e">
        <f>I17/F17</f>
        <v>#REF!</v>
      </c>
      <c r="N17" s="32" t="e">
        <f>AVERAGE(N6:N16)</f>
        <v>#REF!</v>
      </c>
      <c r="O17" s="33" t="e">
        <f>AVERAGE(O6:O16)</f>
        <v>#REF!</v>
      </c>
    </row>
    <row r="18" spans="1:15" ht="15.75" thickBot="1">
      <c r="A18" s="34" t="s">
        <v>16</v>
      </c>
      <c r="B18" s="35">
        <v>1</v>
      </c>
      <c r="C18" s="35">
        <v>1</v>
      </c>
      <c r="D18" s="36">
        <v>1</v>
      </c>
      <c r="E18" s="35">
        <v>1</v>
      </c>
      <c r="F18" s="35">
        <v>1</v>
      </c>
      <c r="G18" s="36">
        <v>1</v>
      </c>
      <c r="H18" s="38">
        <v>1</v>
      </c>
      <c r="I18" s="41" t="e">
        <f>I17/F17</f>
        <v>#REF!</v>
      </c>
      <c r="J18" s="36" t="e">
        <f>J17/G17</f>
        <v>#REF!</v>
      </c>
      <c r="K18" s="42" t="e">
        <f>K17/H17</f>
        <v>#REF!</v>
      </c>
      <c r="L18" s="40">
        <v>0.54</v>
      </c>
      <c r="M18" s="20">
        <v>0.56000000000000005</v>
      </c>
      <c r="N18" s="20">
        <v>0.55000000000000004</v>
      </c>
      <c r="O18" s="21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O40"/>
  <sheetViews>
    <sheetView zoomScaleNormal="100" workbookViewId="0">
      <selection activeCell="E4" sqref="E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ref="AC3" si="1">TEXT(AC4,"ddd")</f>
        <v>Tue</v>
      </c>
      <c r="AD3" s="2" t="str">
        <f t="shared" ref="AD3" si="2">TEXT(AD4,"ddd")</f>
        <v>Wed</v>
      </c>
      <c r="AE3" s="2" t="str">
        <f t="shared" ref="AE3" si="3">TEXT(AE4,"ddd")</f>
        <v>Thu</v>
      </c>
      <c r="AF3" s="2" t="str">
        <f t="shared" ref="AF3" si="4">TEXT(AF4,"ddd")</f>
        <v>Fri</v>
      </c>
      <c r="AG3" s="2" t="str">
        <f t="shared" ref="AG3" si="5">TEXT(AG4,"ddd")</f>
        <v>Sat</v>
      </c>
      <c r="AH3" s="2" t="str">
        <f t="shared" ref="AH3" si="6">TEXT(AH4,"ddd")</f>
        <v>Sun</v>
      </c>
      <c r="AI3" s="2" t="str">
        <f t="shared" ref="AI3" si="7">TEXT(AI4,"ddd")</f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9" t="s">
        <v>53</v>
      </c>
      <c r="C5" s="79" t="s">
        <v>171</v>
      </c>
      <c r="D5" s="5" t="s">
        <v>6</v>
      </c>
      <c r="E5" s="104" t="s">
        <v>24</v>
      </c>
      <c r="F5" s="95" t="s">
        <v>398</v>
      </c>
      <c r="G5" s="104" t="s">
        <v>24</v>
      </c>
      <c r="H5" s="104" t="s">
        <v>24</v>
      </c>
      <c r="I5" s="104" t="s">
        <v>24</v>
      </c>
      <c r="J5" s="104" t="s">
        <v>24</v>
      </c>
      <c r="K5" s="104" t="s">
        <v>24</v>
      </c>
      <c r="L5" s="104" t="s">
        <v>24</v>
      </c>
      <c r="M5" s="95" t="s">
        <v>398</v>
      </c>
      <c r="N5" s="104" t="s">
        <v>24</v>
      </c>
      <c r="O5" s="104" t="s">
        <v>24</v>
      </c>
      <c r="P5" s="104" t="s">
        <v>24</v>
      </c>
      <c r="Q5" s="104" t="s">
        <v>24</v>
      </c>
      <c r="R5" s="104" t="s">
        <v>24</v>
      </c>
      <c r="S5" s="104" t="s">
        <v>24</v>
      </c>
      <c r="T5" s="95" t="s">
        <v>398</v>
      </c>
      <c r="U5" s="104" t="s">
        <v>24</v>
      </c>
      <c r="V5" s="104" t="s">
        <v>24</v>
      </c>
      <c r="W5" s="104" t="s">
        <v>24</v>
      </c>
      <c r="X5" s="104" t="s">
        <v>24</v>
      </c>
      <c r="Y5" s="104" t="s">
        <v>24</v>
      </c>
      <c r="Z5" s="104" t="s">
        <v>24</v>
      </c>
      <c r="AA5" s="95" t="s">
        <v>398</v>
      </c>
      <c r="AB5" s="104" t="s">
        <v>24</v>
      </c>
      <c r="AC5" s="104" t="s">
        <v>24</v>
      </c>
      <c r="AD5" s="104" t="s">
        <v>24</v>
      </c>
      <c r="AE5" s="104" t="s">
        <v>24</v>
      </c>
      <c r="AF5" s="104" t="s">
        <v>24</v>
      </c>
      <c r="AG5" s="104" t="s">
        <v>24</v>
      </c>
      <c r="AH5" s="95" t="s">
        <v>398</v>
      </c>
      <c r="AI5" s="104" t="s">
        <v>24</v>
      </c>
      <c r="AJ5" s="4">
        <f t="shared" ref="AJ5:AJ40" si="8">COUNTIF(E5:AI5,"P")</f>
        <v>26</v>
      </c>
      <c r="AK5" s="4">
        <f t="shared" ref="AK5:AK40" si="9">COUNTIF(E5:AI5,"A")</f>
        <v>0</v>
      </c>
      <c r="AL5" s="4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364</v>
      </c>
      <c r="C6" s="78" t="s">
        <v>259</v>
      </c>
      <c r="D6" s="5" t="s">
        <v>6</v>
      </c>
      <c r="E6" s="104" t="s">
        <v>24</v>
      </c>
      <c r="F6" s="95"/>
      <c r="G6" s="104" t="s">
        <v>24</v>
      </c>
      <c r="H6" s="104" t="s">
        <v>24</v>
      </c>
      <c r="I6" s="104" t="s">
        <v>24</v>
      </c>
      <c r="J6" s="104" t="s">
        <v>24</v>
      </c>
      <c r="K6" s="104" t="s">
        <v>24</v>
      </c>
      <c r="L6" s="104" t="s">
        <v>24</v>
      </c>
      <c r="M6" s="95"/>
      <c r="N6" s="104" t="s">
        <v>24</v>
      </c>
      <c r="O6" s="104" t="s">
        <v>24</v>
      </c>
      <c r="P6" s="104" t="s">
        <v>24</v>
      </c>
      <c r="Q6" s="104" t="s">
        <v>24</v>
      </c>
      <c r="R6" s="104" t="s">
        <v>24</v>
      </c>
      <c r="S6" s="104" t="s">
        <v>24</v>
      </c>
      <c r="T6" s="95"/>
      <c r="U6" s="104" t="s">
        <v>24</v>
      </c>
      <c r="V6" s="104" t="s">
        <v>24</v>
      </c>
      <c r="W6" s="104" t="s">
        <v>24</v>
      </c>
      <c r="X6" s="104" t="s">
        <v>24</v>
      </c>
      <c r="Y6" s="104" t="s">
        <v>24</v>
      </c>
      <c r="Z6" s="104" t="s">
        <v>24</v>
      </c>
      <c r="AA6" s="95"/>
      <c r="AB6" s="104" t="s">
        <v>24</v>
      </c>
      <c r="AC6" s="104" t="s">
        <v>24</v>
      </c>
      <c r="AD6" s="104" t="s">
        <v>24</v>
      </c>
      <c r="AE6" s="104" t="s">
        <v>24</v>
      </c>
      <c r="AF6" s="104" t="s">
        <v>24</v>
      </c>
      <c r="AG6" s="104" t="s">
        <v>24</v>
      </c>
      <c r="AH6" s="95"/>
      <c r="AI6" s="104" t="s">
        <v>24</v>
      </c>
      <c r="AJ6" s="4">
        <f t="shared" si="8"/>
        <v>26</v>
      </c>
      <c r="AK6" s="4">
        <f t="shared" si="9"/>
        <v>0</v>
      </c>
      <c r="AL6" s="4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365</v>
      </c>
      <c r="C7" s="78" t="s">
        <v>342</v>
      </c>
      <c r="D7" s="5" t="s">
        <v>6</v>
      </c>
      <c r="E7" s="104" t="s">
        <v>24</v>
      </c>
      <c r="F7" s="95"/>
      <c r="G7" s="104" t="s">
        <v>24</v>
      </c>
      <c r="H7" s="104" t="s">
        <v>24</v>
      </c>
      <c r="I7" s="104" t="s">
        <v>24</v>
      </c>
      <c r="J7" s="104" t="s">
        <v>24</v>
      </c>
      <c r="K7" s="104" t="s">
        <v>24</v>
      </c>
      <c r="L7" s="104" t="s">
        <v>24</v>
      </c>
      <c r="M7" s="95"/>
      <c r="N7" s="104" t="s">
        <v>24</v>
      </c>
      <c r="O7" s="104" t="s">
        <v>24</v>
      </c>
      <c r="P7" s="104" t="s">
        <v>24</v>
      </c>
      <c r="Q7" s="104" t="s">
        <v>24</v>
      </c>
      <c r="R7" s="104" t="s">
        <v>24</v>
      </c>
      <c r="S7" s="104" t="s">
        <v>24</v>
      </c>
      <c r="T7" s="95"/>
      <c r="U7" s="104" t="s">
        <v>24</v>
      </c>
      <c r="V7" s="104" t="s">
        <v>24</v>
      </c>
      <c r="W7" s="104" t="s">
        <v>24</v>
      </c>
      <c r="X7" s="104" t="s">
        <v>24</v>
      </c>
      <c r="Y7" s="104" t="s">
        <v>24</v>
      </c>
      <c r="Z7" s="104" t="s">
        <v>24</v>
      </c>
      <c r="AA7" s="95"/>
      <c r="AB7" s="104" t="s">
        <v>24</v>
      </c>
      <c r="AC7" s="104" t="s">
        <v>24</v>
      </c>
      <c r="AD7" s="104" t="s">
        <v>24</v>
      </c>
      <c r="AE7" s="104" t="s">
        <v>24</v>
      </c>
      <c r="AF7" s="104" t="s">
        <v>24</v>
      </c>
      <c r="AG7" s="104" t="s">
        <v>24</v>
      </c>
      <c r="AH7" s="95"/>
      <c r="AI7" s="104" t="s">
        <v>24</v>
      </c>
      <c r="AJ7" s="4">
        <f t="shared" si="8"/>
        <v>26</v>
      </c>
      <c r="AK7" s="4">
        <f t="shared" si="9"/>
        <v>0</v>
      </c>
      <c r="AL7" s="4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66</v>
      </c>
      <c r="C8" s="78" t="s">
        <v>295</v>
      </c>
      <c r="D8" s="5" t="s">
        <v>6</v>
      </c>
      <c r="E8" s="104" t="s">
        <v>24</v>
      </c>
      <c r="F8" s="95"/>
      <c r="G8" s="104" t="s">
        <v>24</v>
      </c>
      <c r="H8" s="104" t="s">
        <v>24</v>
      </c>
      <c r="I8" s="104" t="s">
        <v>24</v>
      </c>
      <c r="J8" s="104" t="s">
        <v>24</v>
      </c>
      <c r="K8" s="104" t="s">
        <v>24</v>
      </c>
      <c r="L8" s="104" t="s">
        <v>24</v>
      </c>
      <c r="M8" s="95"/>
      <c r="N8" s="104" t="s">
        <v>24</v>
      </c>
      <c r="O8" s="104" t="s">
        <v>24</v>
      </c>
      <c r="P8" s="104" t="s">
        <v>24</v>
      </c>
      <c r="Q8" s="104" t="s">
        <v>24</v>
      </c>
      <c r="R8" s="104" t="s">
        <v>24</v>
      </c>
      <c r="S8" s="104" t="s">
        <v>24</v>
      </c>
      <c r="T8" s="95"/>
      <c r="U8" s="104" t="s">
        <v>24</v>
      </c>
      <c r="V8" s="104" t="s">
        <v>24</v>
      </c>
      <c r="W8" s="104" t="s">
        <v>24</v>
      </c>
      <c r="X8" s="104" t="s">
        <v>24</v>
      </c>
      <c r="Y8" s="104" t="s">
        <v>24</v>
      </c>
      <c r="Z8" s="104" t="s">
        <v>24</v>
      </c>
      <c r="AA8" s="95"/>
      <c r="AB8" s="104" t="s">
        <v>24</v>
      </c>
      <c r="AC8" s="104" t="s">
        <v>24</v>
      </c>
      <c r="AD8" s="104" t="s">
        <v>24</v>
      </c>
      <c r="AE8" s="104" t="s">
        <v>24</v>
      </c>
      <c r="AF8" s="104" t="s">
        <v>24</v>
      </c>
      <c r="AG8" s="104" t="s">
        <v>24</v>
      </c>
      <c r="AH8" s="95"/>
      <c r="AI8" s="104" t="s">
        <v>24</v>
      </c>
      <c r="AJ8" s="4">
        <f t="shared" si="8"/>
        <v>26</v>
      </c>
      <c r="AK8" s="4">
        <f t="shared" si="9"/>
        <v>0</v>
      </c>
      <c r="AL8" s="4" t="s">
        <v>29</v>
      </c>
      <c r="AM8" s="6">
        <v>1</v>
      </c>
      <c r="AN8"/>
      <c r="AO8"/>
    </row>
    <row r="9" spans="1:41" ht="16.5">
      <c r="A9" s="6">
        <v>5</v>
      </c>
      <c r="B9" s="78" t="s">
        <v>366</v>
      </c>
      <c r="C9" s="78" t="s">
        <v>367</v>
      </c>
      <c r="D9" s="5" t="s">
        <v>6</v>
      </c>
      <c r="E9" s="104" t="s">
        <v>24</v>
      </c>
      <c r="F9" s="95"/>
      <c r="G9" s="104" t="s">
        <v>24</v>
      </c>
      <c r="H9" s="104" t="s">
        <v>24</v>
      </c>
      <c r="I9" s="104" t="s">
        <v>24</v>
      </c>
      <c r="J9" s="104" t="s">
        <v>24</v>
      </c>
      <c r="K9" s="104" t="s">
        <v>24</v>
      </c>
      <c r="L9" s="104" t="s">
        <v>24</v>
      </c>
      <c r="M9" s="95"/>
      <c r="N9" s="104" t="s">
        <v>24</v>
      </c>
      <c r="O9" s="104" t="s">
        <v>24</v>
      </c>
      <c r="P9" s="104" t="s">
        <v>24</v>
      </c>
      <c r="Q9" s="104" t="s">
        <v>24</v>
      </c>
      <c r="R9" s="104" t="s">
        <v>24</v>
      </c>
      <c r="S9" s="104" t="s">
        <v>24</v>
      </c>
      <c r="T9" s="95"/>
      <c r="U9" s="104" t="s">
        <v>24</v>
      </c>
      <c r="V9" s="104" t="s">
        <v>24</v>
      </c>
      <c r="W9" s="104" t="s">
        <v>24</v>
      </c>
      <c r="X9" s="104" t="s">
        <v>24</v>
      </c>
      <c r="Y9" s="104" t="s">
        <v>24</v>
      </c>
      <c r="Z9" s="104" t="s">
        <v>24</v>
      </c>
      <c r="AA9" s="95"/>
      <c r="AB9" s="104" t="s">
        <v>24</v>
      </c>
      <c r="AC9" s="104" t="s">
        <v>24</v>
      </c>
      <c r="AD9" s="104" t="s">
        <v>24</v>
      </c>
      <c r="AE9" s="104" t="s">
        <v>24</v>
      </c>
      <c r="AF9" s="104" t="s">
        <v>24</v>
      </c>
      <c r="AG9" s="104" t="s">
        <v>24</v>
      </c>
      <c r="AH9" s="95"/>
      <c r="AI9" s="104" t="s">
        <v>24</v>
      </c>
      <c r="AJ9" s="4">
        <f t="shared" si="8"/>
        <v>26</v>
      </c>
      <c r="AK9" s="4">
        <f t="shared" si="9"/>
        <v>0</v>
      </c>
      <c r="AL9" s="4"/>
      <c r="AM9" s="6"/>
    </row>
    <row r="10" spans="1:41" ht="16.5">
      <c r="A10" s="6">
        <v>6</v>
      </c>
      <c r="B10" s="78" t="s">
        <v>366</v>
      </c>
      <c r="C10" s="78" t="s">
        <v>368</v>
      </c>
      <c r="D10" s="5" t="s">
        <v>6</v>
      </c>
      <c r="E10" s="104" t="s">
        <v>24</v>
      </c>
      <c r="F10" s="95"/>
      <c r="G10" s="104" t="s">
        <v>24</v>
      </c>
      <c r="H10" s="104" t="s">
        <v>24</v>
      </c>
      <c r="I10" s="104" t="s">
        <v>24</v>
      </c>
      <c r="J10" s="104" t="s">
        <v>24</v>
      </c>
      <c r="K10" s="104" t="s">
        <v>24</v>
      </c>
      <c r="L10" s="104" t="s">
        <v>24</v>
      </c>
      <c r="M10" s="95"/>
      <c r="N10" s="104" t="s">
        <v>24</v>
      </c>
      <c r="O10" s="104" t="s">
        <v>24</v>
      </c>
      <c r="P10" s="104" t="s">
        <v>24</v>
      </c>
      <c r="Q10" s="104" t="s">
        <v>24</v>
      </c>
      <c r="R10" s="104" t="s">
        <v>24</v>
      </c>
      <c r="S10" s="104" t="s">
        <v>24</v>
      </c>
      <c r="T10" s="95"/>
      <c r="U10" s="104" t="s">
        <v>24</v>
      </c>
      <c r="V10" s="104" t="s">
        <v>24</v>
      </c>
      <c r="W10" s="104" t="s">
        <v>24</v>
      </c>
      <c r="X10" s="104" t="s">
        <v>24</v>
      </c>
      <c r="Y10" s="104" t="s">
        <v>24</v>
      </c>
      <c r="Z10" s="104" t="s">
        <v>24</v>
      </c>
      <c r="AA10" s="95"/>
      <c r="AB10" s="104" t="s">
        <v>24</v>
      </c>
      <c r="AC10" s="104" t="s">
        <v>24</v>
      </c>
      <c r="AD10" s="104" t="s">
        <v>24</v>
      </c>
      <c r="AE10" s="104" t="s">
        <v>24</v>
      </c>
      <c r="AF10" s="104" t="s">
        <v>24</v>
      </c>
      <c r="AG10" s="104" t="s">
        <v>24</v>
      </c>
      <c r="AH10" s="95"/>
      <c r="AI10" s="104" t="s">
        <v>24</v>
      </c>
      <c r="AJ10" s="4">
        <f t="shared" si="8"/>
        <v>26</v>
      </c>
      <c r="AK10" s="4">
        <f t="shared" si="9"/>
        <v>0</v>
      </c>
    </row>
    <row r="11" spans="1:41" ht="16.5">
      <c r="A11" s="6">
        <v>7</v>
      </c>
      <c r="B11" s="78" t="s">
        <v>43</v>
      </c>
      <c r="C11" s="78" t="s">
        <v>369</v>
      </c>
      <c r="D11" s="5" t="s">
        <v>6</v>
      </c>
      <c r="E11" s="104" t="s">
        <v>24</v>
      </c>
      <c r="F11" s="95"/>
      <c r="G11" s="104" t="s">
        <v>24</v>
      </c>
      <c r="H11" s="104" t="s">
        <v>24</v>
      </c>
      <c r="I11" s="104" t="s">
        <v>24</v>
      </c>
      <c r="J11" s="104" t="s">
        <v>24</v>
      </c>
      <c r="K11" s="104" t="s">
        <v>24</v>
      </c>
      <c r="L11" s="104" t="s">
        <v>24</v>
      </c>
      <c r="M11" s="95"/>
      <c r="N11" s="104" t="s">
        <v>24</v>
      </c>
      <c r="O11" s="104" t="s">
        <v>24</v>
      </c>
      <c r="P11" s="104" t="s">
        <v>24</v>
      </c>
      <c r="Q11" s="104" t="s">
        <v>24</v>
      </c>
      <c r="R11" s="104" t="s">
        <v>24</v>
      </c>
      <c r="S11" s="104" t="s">
        <v>24</v>
      </c>
      <c r="T11" s="95"/>
      <c r="U11" s="104" t="s">
        <v>24</v>
      </c>
      <c r="V11" s="104" t="s">
        <v>24</v>
      </c>
      <c r="W11" s="104" t="s">
        <v>24</v>
      </c>
      <c r="X11" s="104" t="s">
        <v>24</v>
      </c>
      <c r="Y11" s="104" t="s">
        <v>24</v>
      </c>
      <c r="Z11" s="104" t="s">
        <v>24</v>
      </c>
      <c r="AA11" s="95"/>
      <c r="AB11" s="104" t="s">
        <v>24</v>
      </c>
      <c r="AC11" s="104" t="s">
        <v>24</v>
      </c>
      <c r="AD11" s="104" t="s">
        <v>24</v>
      </c>
      <c r="AE11" s="104" t="s">
        <v>24</v>
      </c>
      <c r="AF11" s="104" t="s">
        <v>24</v>
      </c>
      <c r="AG11" s="104" t="s">
        <v>24</v>
      </c>
      <c r="AH11" s="95"/>
      <c r="AI11" s="104" t="s">
        <v>24</v>
      </c>
      <c r="AJ11" s="4">
        <f t="shared" si="8"/>
        <v>26</v>
      </c>
      <c r="AK11" s="4">
        <f t="shared" si="9"/>
        <v>0</v>
      </c>
      <c r="AL11" s="92" t="s">
        <v>9</v>
      </c>
      <c r="AM11" s="93"/>
      <c r="AN11" s="93"/>
      <c r="AO11" s="94"/>
    </row>
    <row r="12" spans="1:41" ht="16.5">
      <c r="A12" s="6">
        <v>8</v>
      </c>
      <c r="B12" s="78" t="s">
        <v>370</v>
      </c>
      <c r="C12" s="78" t="s">
        <v>151</v>
      </c>
      <c r="D12" s="5" t="s">
        <v>6</v>
      </c>
      <c r="E12" s="104" t="s">
        <v>24</v>
      </c>
      <c r="F12" s="95"/>
      <c r="G12" s="104" t="s">
        <v>24</v>
      </c>
      <c r="H12" s="104" t="s">
        <v>24</v>
      </c>
      <c r="I12" s="104" t="s">
        <v>24</v>
      </c>
      <c r="J12" s="104" t="s">
        <v>24</v>
      </c>
      <c r="K12" s="104" t="s">
        <v>24</v>
      </c>
      <c r="L12" s="104" t="s">
        <v>24</v>
      </c>
      <c r="M12" s="95"/>
      <c r="N12" s="104" t="s">
        <v>24</v>
      </c>
      <c r="O12" s="104" t="s">
        <v>24</v>
      </c>
      <c r="P12" s="104" t="s">
        <v>24</v>
      </c>
      <c r="Q12" s="104" t="s">
        <v>24</v>
      </c>
      <c r="R12" s="104" t="s">
        <v>24</v>
      </c>
      <c r="S12" s="104" t="s">
        <v>24</v>
      </c>
      <c r="T12" s="95"/>
      <c r="U12" s="104" t="s">
        <v>24</v>
      </c>
      <c r="V12" s="104" t="s">
        <v>24</v>
      </c>
      <c r="W12" s="104" t="s">
        <v>24</v>
      </c>
      <c r="X12" s="104" t="s">
        <v>24</v>
      </c>
      <c r="Y12" s="104" t="s">
        <v>24</v>
      </c>
      <c r="Z12" s="104" t="s">
        <v>24</v>
      </c>
      <c r="AA12" s="95"/>
      <c r="AB12" s="104" t="s">
        <v>24</v>
      </c>
      <c r="AC12" s="104" t="s">
        <v>24</v>
      </c>
      <c r="AD12" s="104" t="s">
        <v>24</v>
      </c>
      <c r="AE12" s="104" t="s">
        <v>24</v>
      </c>
      <c r="AF12" s="104" t="s">
        <v>24</v>
      </c>
      <c r="AG12" s="104" t="s">
        <v>24</v>
      </c>
      <c r="AH12" s="95"/>
      <c r="AI12" s="104" t="s">
        <v>24</v>
      </c>
      <c r="AJ12" s="4">
        <f t="shared" si="8"/>
        <v>26</v>
      </c>
      <c r="AK12" s="4">
        <f t="shared" si="9"/>
        <v>0</v>
      </c>
      <c r="AL12" s="4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371</v>
      </c>
      <c r="C13" s="78" t="s">
        <v>184</v>
      </c>
      <c r="D13" s="5" t="s">
        <v>6</v>
      </c>
      <c r="E13" s="104" t="s">
        <v>24</v>
      </c>
      <c r="F13" s="95"/>
      <c r="G13" s="104" t="s">
        <v>24</v>
      </c>
      <c r="H13" s="104" t="s">
        <v>24</v>
      </c>
      <c r="I13" s="104" t="s">
        <v>24</v>
      </c>
      <c r="J13" s="104" t="s">
        <v>24</v>
      </c>
      <c r="K13" s="104" t="s">
        <v>24</v>
      </c>
      <c r="L13" s="104" t="s">
        <v>24</v>
      </c>
      <c r="M13" s="95"/>
      <c r="N13" s="104" t="s">
        <v>24</v>
      </c>
      <c r="O13" s="104" t="s">
        <v>24</v>
      </c>
      <c r="P13" s="104" t="s">
        <v>24</v>
      </c>
      <c r="Q13" s="104" t="s">
        <v>24</v>
      </c>
      <c r="R13" s="104" t="s">
        <v>24</v>
      </c>
      <c r="S13" s="104" t="s">
        <v>24</v>
      </c>
      <c r="T13" s="95"/>
      <c r="U13" s="104" t="s">
        <v>24</v>
      </c>
      <c r="V13" s="104" t="s">
        <v>24</v>
      </c>
      <c r="W13" s="104" t="s">
        <v>24</v>
      </c>
      <c r="X13" s="104" t="s">
        <v>24</v>
      </c>
      <c r="Y13" s="104" t="s">
        <v>24</v>
      </c>
      <c r="Z13" s="104" t="s">
        <v>24</v>
      </c>
      <c r="AA13" s="95"/>
      <c r="AB13" s="104" t="s">
        <v>24</v>
      </c>
      <c r="AC13" s="104" t="s">
        <v>24</v>
      </c>
      <c r="AD13" s="104" t="s">
        <v>24</v>
      </c>
      <c r="AE13" s="104" t="s">
        <v>24</v>
      </c>
      <c r="AF13" s="104" t="s">
        <v>24</v>
      </c>
      <c r="AG13" s="104" t="s">
        <v>24</v>
      </c>
      <c r="AH13" s="95"/>
      <c r="AI13" s="104" t="s">
        <v>24</v>
      </c>
      <c r="AJ13" s="4">
        <f t="shared" si="8"/>
        <v>26</v>
      </c>
      <c r="AK13" s="4">
        <f t="shared" si="9"/>
        <v>0</v>
      </c>
      <c r="AL13" s="4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25</v>
      </c>
      <c r="C14" s="78" t="s">
        <v>372</v>
      </c>
      <c r="D14" s="5" t="s">
        <v>6</v>
      </c>
      <c r="E14" s="104" t="s">
        <v>24</v>
      </c>
      <c r="F14" s="95"/>
      <c r="G14" s="104" t="s">
        <v>24</v>
      </c>
      <c r="H14" s="104" t="s">
        <v>24</v>
      </c>
      <c r="I14" s="104" t="s">
        <v>24</v>
      </c>
      <c r="J14" s="104" t="s">
        <v>24</v>
      </c>
      <c r="K14" s="104" t="s">
        <v>24</v>
      </c>
      <c r="L14" s="104" t="s">
        <v>24</v>
      </c>
      <c r="M14" s="95"/>
      <c r="N14" s="104" t="s">
        <v>24</v>
      </c>
      <c r="O14" s="104" t="s">
        <v>24</v>
      </c>
      <c r="P14" s="104" t="s">
        <v>24</v>
      </c>
      <c r="Q14" s="104" t="s">
        <v>24</v>
      </c>
      <c r="R14" s="104" t="s">
        <v>24</v>
      </c>
      <c r="S14" s="104" t="s">
        <v>24</v>
      </c>
      <c r="T14" s="95"/>
      <c r="U14" s="104" t="s">
        <v>24</v>
      </c>
      <c r="V14" s="104" t="s">
        <v>24</v>
      </c>
      <c r="W14" s="104" t="s">
        <v>24</v>
      </c>
      <c r="X14" s="104" t="s">
        <v>24</v>
      </c>
      <c r="Y14" s="104" t="s">
        <v>24</v>
      </c>
      <c r="Z14" s="104" t="s">
        <v>24</v>
      </c>
      <c r="AA14" s="95"/>
      <c r="AB14" s="104" t="s">
        <v>24</v>
      </c>
      <c r="AC14" s="104" t="s">
        <v>24</v>
      </c>
      <c r="AD14" s="104" t="s">
        <v>24</v>
      </c>
      <c r="AE14" s="104" t="s">
        <v>24</v>
      </c>
      <c r="AF14" s="104" t="s">
        <v>24</v>
      </c>
      <c r="AG14" s="104" t="s">
        <v>24</v>
      </c>
      <c r="AH14" s="95"/>
      <c r="AI14" s="104" t="s">
        <v>24</v>
      </c>
      <c r="AJ14" s="4">
        <f t="shared" si="8"/>
        <v>26</v>
      </c>
      <c r="AK14" s="4">
        <f t="shared" si="9"/>
        <v>0</v>
      </c>
      <c r="AL14" s="4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52</v>
      </c>
      <c r="C15" s="78" t="s">
        <v>176</v>
      </c>
      <c r="D15" s="5" t="s">
        <v>6</v>
      </c>
      <c r="E15" s="104" t="s">
        <v>24</v>
      </c>
      <c r="F15" s="95"/>
      <c r="G15" s="104" t="s">
        <v>24</v>
      </c>
      <c r="H15" s="104" t="s">
        <v>24</v>
      </c>
      <c r="I15" s="104" t="s">
        <v>24</v>
      </c>
      <c r="J15" s="104" t="s">
        <v>24</v>
      </c>
      <c r="K15" s="104" t="s">
        <v>24</v>
      </c>
      <c r="L15" s="104" t="s">
        <v>24</v>
      </c>
      <c r="M15" s="95"/>
      <c r="N15" s="104" t="s">
        <v>24</v>
      </c>
      <c r="O15" s="104" t="s">
        <v>24</v>
      </c>
      <c r="P15" s="104" t="s">
        <v>24</v>
      </c>
      <c r="Q15" s="104" t="s">
        <v>24</v>
      </c>
      <c r="R15" s="104" t="s">
        <v>24</v>
      </c>
      <c r="S15" s="104" t="s">
        <v>24</v>
      </c>
      <c r="T15" s="95"/>
      <c r="U15" s="104" t="s">
        <v>24</v>
      </c>
      <c r="V15" s="104" t="s">
        <v>24</v>
      </c>
      <c r="W15" s="104" t="s">
        <v>24</v>
      </c>
      <c r="X15" s="104" t="s">
        <v>24</v>
      </c>
      <c r="Y15" s="104" t="s">
        <v>24</v>
      </c>
      <c r="Z15" s="104" t="s">
        <v>24</v>
      </c>
      <c r="AA15" s="95"/>
      <c r="AB15" s="104" t="s">
        <v>24</v>
      </c>
      <c r="AC15" s="104" t="s">
        <v>24</v>
      </c>
      <c r="AD15" s="104" t="s">
        <v>24</v>
      </c>
      <c r="AE15" s="104" t="s">
        <v>24</v>
      </c>
      <c r="AF15" s="104" t="s">
        <v>24</v>
      </c>
      <c r="AG15" s="104" t="s">
        <v>24</v>
      </c>
      <c r="AH15" s="95"/>
      <c r="AI15" s="104" t="s">
        <v>24</v>
      </c>
      <c r="AJ15" s="4">
        <f t="shared" si="8"/>
        <v>26</v>
      </c>
      <c r="AK15" s="4">
        <f t="shared" si="9"/>
        <v>0</v>
      </c>
      <c r="AL15" s="4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373</v>
      </c>
      <c r="C16" s="78" t="s">
        <v>169</v>
      </c>
      <c r="D16" s="5" t="s">
        <v>6</v>
      </c>
      <c r="E16" s="104" t="s">
        <v>24</v>
      </c>
      <c r="F16" s="95"/>
      <c r="G16" s="104" t="s">
        <v>24</v>
      </c>
      <c r="H16" s="104" t="s">
        <v>24</v>
      </c>
      <c r="I16" s="104" t="s">
        <v>24</v>
      </c>
      <c r="J16" s="104" t="s">
        <v>24</v>
      </c>
      <c r="K16" s="104" t="s">
        <v>24</v>
      </c>
      <c r="L16" s="104" t="s">
        <v>24</v>
      </c>
      <c r="M16" s="95"/>
      <c r="N16" s="104" t="s">
        <v>24</v>
      </c>
      <c r="O16" s="104" t="s">
        <v>24</v>
      </c>
      <c r="P16" s="104" t="s">
        <v>24</v>
      </c>
      <c r="Q16" s="104" t="s">
        <v>24</v>
      </c>
      <c r="R16" s="104" t="s">
        <v>24</v>
      </c>
      <c r="S16" s="104" t="s">
        <v>24</v>
      </c>
      <c r="T16" s="95"/>
      <c r="U16" s="104" t="s">
        <v>24</v>
      </c>
      <c r="V16" s="104" t="s">
        <v>24</v>
      </c>
      <c r="W16" s="104" t="s">
        <v>24</v>
      </c>
      <c r="X16" s="104" t="s">
        <v>24</v>
      </c>
      <c r="Y16" s="104" t="s">
        <v>24</v>
      </c>
      <c r="Z16" s="104" t="s">
        <v>24</v>
      </c>
      <c r="AA16" s="95"/>
      <c r="AB16" s="104" t="s">
        <v>24</v>
      </c>
      <c r="AC16" s="104" t="s">
        <v>24</v>
      </c>
      <c r="AD16" s="104" t="s">
        <v>24</v>
      </c>
      <c r="AE16" s="104" t="s">
        <v>24</v>
      </c>
      <c r="AF16" s="104" t="s">
        <v>24</v>
      </c>
      <c r="AG16" s="104" t="s">
        <v>24</v>
      </c>
      <c r="AH16" s="95"/>
      <c r="AI16" s="104" t="s">
        <v>24</v>
      </c>
      <c r="AJ16" s="4">
        <f t="shared" si="8"/>
        <v>26</v>
      </c>
      <c r="AK16" s="4">
        <f t="shared" si="9"/>
        <v>0</v>
      </c>
      <c r="AL16"/>
      <c r="AM16"/>
      <c r="AN16"/>
      <c r="AO16"/>
    </row>
    <row r="17" spans="1:41" ht="16.5">
      <c r="A17" s="6">
        <v>13</v>
      </c>
      <c r="B17" s="78" t="s">
        <v>374</v>
      </c>
      <c r="C17" s="78" t="s">
        <v>316</v>
      </c>
      <c r="D17" s="5" t="s">
        <v>6</v>
      </c>
      <c r="E17" s="104" t="s">
        <v>24</v>
      </c>
      <c r="F17" s="95"/>
      <c r="G17" s="104" t="s">
        <v>24</v>
      </c>
      <c r="H17" s="104" t="s">
        <v>24</v>
      </c>
      <c r="I17" s="104" t="s">
        <v>24</v>
      </c>
      <c r="J17" s="104" t="s">
        <v>24</v>
      </c>
      <c r="K17" s="104" t="s">
        <v>24</v>
      </c>
      <c r="L17" s="104" t="s">
        <v>24</v>
      </c>
      <c r="M17" s="95"/>
      <c r="N17" s="104" t="s">
        <v>24</v>
      </c>
      <c r="O17" s="104" t="s">
        <v>24</v>
      </c>
      <c r="P17" s="104" t="s">
        <v>24</v>
      </c>
      <c r="Q17" s="104" t="s">
        <v>24</v>
      </c>
      <c r="R17" s="104" t="s">
        <v>24</v>
      </c>
      <c r="S17" s="104" t="s">
        <v>24</v>
      </c>
      <c r="T17" s="95"/>
      <c r="U17" s="104" t="s">
        <v>24</v>
      </c>
      <c r="V17" s="104" t="s">
        <v>24</v>
      </c>
      <c r="W17" s="104" t="s">
        <v>24</v>
      </c>
      <c r="X17" s="104" t="s">
        <v>24</v>
      </c>
      <c r="Y17" s="104" t="s">
        <v>24</v>
      </c>
      <c r="Z17" s="104" t="s">
        <v>24</v>
      </c>
      <c r="AA17" s="95"/>
      <c r="AB17" s="104" t="s">
        <v>24</v>
      </c>
      <c r="AC17" s="104" t="s">
        <v>24</v>
      </c>
      <c r="AD17" s="104" t="s">
        <v>24</v>
      </c>
      <c r="AE17" s="104" t="s">
        <v>24</v>
      </c>
      <c r="AF17" s="104" t="s">
        <v>24</v>
      </c>
      <c r="AG17" s="104" t="s">
        <v>24</v>
      </c>
      <c r="AH17" s="95"/>
      <c r="AI17" s="104" t="s">
        <v>24</v>
      </c>
      <c r="AJ17" s="4">
        <f t="shared" si="8"/>
        <v>26</v>
      </c>
      <c r="AK17" s="4">
        <f t="shared" si="9"/>
        <v>0</v>
      </c>
      <c r="AL17"/>
      <c r="AM17"/>
      <c r="AN17"/>
      <c r="AO17"/>
    </row>
    <row r="18" spans="1:41" ht="16.5">
      <c r="A18" s="6">
        <v>14</v>
      </c>
      <c r="B18" s="78" t="s">
        <v>375</v>
      </c>
      <c r="C18" s="78" t="s">
        <v>275</v>
      </c>
      <c r="D18" s="5" t="s">
        <v>6</v>
      </c>
      <c r="E18" s="104" t="s">
        <v>24</v>
      </c>
      <c r="F18" s="95"/>
      <c r="G18" s="104" t="s">
        <v>24</v>
      </c>
      <c r="H18" s="104" t="s">
        <v>24</v>
      </c>
      <c r="I18" s="104" t="s">
        <v>24</v>
      </c>
      <c r="J18" s="104" t="s">
        <v>24</v>
      </c>
      <c r="K18" s="104" t="s">
        <v>24</v>
      </c>
      <c r="L18" s="104" t="s">
        <v>24</v>
      </c>
      <c r="M18" s="95"/>
      <c r="N18" s="104" t="s">
        <v>24</v>
      </c>
      <c r="O18" s="104" t="s">
        <v>24</v>
      </c>
      <c r="P18" s="104" t="s">
        <v>24</v>
      </c>
      <c r="Q18" s="104" t="s">
        <v>24</v>
      </c>
      <c r="R18" s="104" t="s">
        <v>24</v>
      </c>
      <c r="S18" s="104" t="s">
        <v>24</v>
      </c>
      <c r="T18" s="95"/>
      <c r="U18" s="104" t="s">
        <v>24</v>
      </c>
      <c r="V18" s="104" t="s">
        <v>24</v>
      </c>
      <c r="W18" s="104" t="s">
        <v>24</v>
      </c>
      <c r="X18" s="104" t="s">
        <v>24</v>
      </c>
      <c r="Y18" s="104" t="s">
        <v>24</v>
      </c>
      <c r="Z18" s="104" t="s">
        <v>24</v>
      </c>
      <c r="AA18" s="95"/>
      <c r="AB18" s="104" t="s">
        <v>24</v>
      </c>
      <c r="AC18" s="104" t="s">
        <v>24</v>
      </c>
      <c r="AD18" s="104" t="s">
        <v>24</v>
      </c>
      <c r="AE18" s="104" t="s">
        <v>24</v>
      </c>
      <c r="AF18" s="104" t="s">
        <v>24</v>
      </c>
      <c r="AG18" s="104" t="s">
        <v>24</v>
      </c>
      <c r="AH18" s="95"/>
      <c r="AI18" s="104" t="s">
        <v>24</v>
      </c>
      <c r="AJ18" s="4">
        <f t="shared" si="8"/>
        <v>26</v>
      </c>
      <c r="AK18" s="4">
        <f t="shared" si="9"/>
        <v>0</v>
      </c>
      <c r="AL18"/>
      <c r="AM18"/>
      <c r="AN18"/>
      <c r="AO18"/>
    </row>
    <row r="19" spans="1:41" ht="16.5">
      <c r="A19" s="6">
        <v>15</v>
      </c>
      <c r="B19" s="78" t="s">
        <v>376</v>
      </c>
      <c r="C19" s="78" t="s">
        <v>174</v>
      </c>
      <c r="D19" s="5" t="s">
        <v>6</v>
      </c>
      <c r="E19" s="104" t="s">
        <v>24</v>
      </c>
      <c r="F19" s="95"/>
      <c r="G19" s="104" t="s">
        <v>24</v>
      </c>
      <c r="H19" s="104" t="s">
        <v>24</v>
      </c>
      <c r="I19" s="104" t="s">
        <v>24</v>
      </c>
      <c r="J19" s="104" t="s">
        <v>24</v>
      </c>
      <c r="K19" s="104" t="s">
        <v>24</v>
      </c>
      <c r="L19" s="104" t="s">
        <v>24</v>
      </c>
      <c r="M19" s="95"/>
      <c r="N19" s="104" t="s">
        <v>24</v>
      </c>
      <c r="O19" s="104" t="s">
        <v>24</v>
      </c>
      <c r="P19" s="104" t="s">
        <v>24</v>
      </c>
      <c r="Q19" s="104" t="s">
        <v>24</v>
      </c>
      <c r="R19" s="104" t="s">
        <v>24</v>
      </c>
      <c r="S19" s="104" t="s">
        <v>24</v>
      </c>
      <c r="T19" s="95"/>
      <c r="U19" s="104" t="s">
        <v>24</v>
      </c>
      <c r="V19" s="104" t="s">
        <v>24</v>
      </c>
      <c r="W19" s="104" t="s">
        <v>24</v>
      </c>
      <c r="X19" s="104" t="s">
        <v>24</v>
      </c>
      <c r="Y19" s="104" t="s">
        <v>24</v>
      </c>
      <c r="Z19" s="104" t="s">
        <v>24</v>
      </c>
      <c r="AA19" s="95"/>
      <c r="AB19" s="104" t="s">
        <v>24</v>
      </c>
      <c r="AC19" s="104" t="s">
        <v>24</v>
      </c>
      <c r="AD19" s="104" t="s">
        <v>24</v>
      </c>
      <c r="AE19" s="104" t="s">
        <v>24</v>
      </c>
      <c r="AF19" s="104" t="s">
        <v>24</v>
      </c>
      <c r="AG19" s="104" t="s">
        <v>24</v>
      </c>
      <c r="AH19" s="95"/>
      <c r="AI19" s="104" t="s">
        <v>24</v>
      </c>
      <c r="AJ19" s="4">
        <f t="shared" si="8"/>
        <v>26</v>
      </c>
      <c r="AK19" s="4">
        <f t="shared" si="9"/>
        <v>0</v>
      </c>
      <c r="AL19" s="92" t="s">
        <v>30</v>
      </c>
      <c r="AM19" s="93"/>
      <c r="AN19" s="93"/>
      <c r="AO19" s="94"/>
    </row>
    <row r="20" spans="1:41" ht="16.5">
      <c r="A20" s="6">
        <v>16</v>
      </c>
      <c r="B20" s="78" t="s">
        <v>79</v>
      </c>
      <c r="C20" s="78" t="s">
        <v>361</v>
      </c>
      <c r="D20" s="5" t="s">
        <v>6</v>
      </c>
      <c r="E20" s="104" t="s">
        <v>24</v>
      </c>
      <c r="F20" s="95"/>
      <c r="G20" s="104" t="s">
        <v>24</v>
      </c>
      <c r="H20" s="104" t="s">
        <v>24</v>
      </c>
      <c r="I20" s="104" t="s">
        <v>24</v>
      </c>
      <c r="J20" s="104" t="s">
        <v>24</v>
      </c>
      <c r="K20" s="104" t="s">
        <v>24</v>
      </c>
      <c r="L20" s="104" t="s">
        <v>24</v>
      </c>
      <c r="M20" s="95"/>
      <c r="N20" s="104" t="s">
        <v>24</v>
      </c>
      <c r="O20" s="104" t="s">
        <v>24</v>
      </c>
      <c r="P20" s="104" t="s">
        <v>24</v>
      </c>
      <c r="Q20" s="104" t="s">
        <v>24</v>
      </c>
      <c r="R20" s="104" t="s">
        <v>24</v>
      </c>
      <c r="S20" s="104" t="s">
        <v>24</v>
      </c>
      <c r="T20" s="95"/>
      <c r="U20" s="104" t="s">
        <v>24</v>
      </c>
      <c r="V20" s="104" t="s">
        <v>24</v>
      </c>
      <c r="W20" s="104" t="s">
        <v>24</v>
      </c>
      <c r="X20" s="104" t="s">
        <v>24</v>
      </c>
      <c r="Y20" s="104" t="s">
        <v>24</v>
      </c>
      <c r="Z20" s="104" t="s">
        <v>24</v>
      </c>
      <c r="AA20" s="95"/>
      <c r="AB20" s="104" t="s">
        <v>24</v>
      </c>
      <c r="AC20" s="104" t="s">
        <v>24</v>
      </c>
      <c r="AD20" s="104" t="s">
        <v>24</v>
      </c>
      <c r="AE20" s="104" t="s">
        <v>24</v>
      </c>
      <c r="AF20" s="104" t="s">
        <v>24</v>
      </c>
      <c r="AG20" s="104" t="s">
        <v>24</v>
      </c>
      <c r="AH20" s="95"/>
      <c r="AI20" s="104" t="s">
        <v>24</v>
      </c>
      <c r="AJ20" s="4">
        <f t="shared" si="8"/>
        <v>26</v>
      </c>
      <c r="AK20" s="4">
        <f t="shared" si="9"/>
        <v>0</v>
      </c>
      <c r="AL20" s="4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377</v>
      </c>
      <c r="C21" s="78" t="s">
        <v>293</v>
      </c>
      <c r="D21" s="5" t="s">
        <v>6</v>
      </c>
      <c r="E21" s="104" t="s">
        <v>24</v>
      </c>
      <c r="F21" s="95"/>
      <c r="G21" s="104" t="s">
        <v>24</v>
      </c>
      <c r="H21" s="104" t="s">
        <v>24</v>
      </c>
      <c r="I21" s="104" t="s">
        <v>24</v>
      </c>
      <c r="J21" s="104" t="s">
        <v>24</v>
      </c>
      <c r="K21" s="104" t="s">
        <v>24</v>
      </c>
      <c r="L21" s="104" t="s">
        <v>24</v>
      </c>
      <c r="M21" s="95"/>
      <c r="N21" s="104" t="s">
        <v>24</v>
      </c>
      <c r="O21" s="104" t="s">
        <v>24</v>
      </c>
      <c r="P21" s="104" t="s">
        <v>24</v>
      </c>
      <c r="Q21" s="104" t="s">
        <v>24</v>
      </c>
      <c r="R21" s="104" t="s">
        <v>24</v>
      </c>
      <c r="S21" s="104" t="s">
        <v>24</v>
      </c>
      <c r="T21" s="95"/>
      <c r="U21" s="104" t="s">
        <v>24</v>
      </c>
      <c r="V21" s="104" t="s">
        <v>24</v>
      </c>
      <c r="W21" s="104" t="s">
        <v>24</v>
      </c>
      <c r="X21" s="104" t="s">
        <v>24</v>
      </c>
      <c r="Y21" s="104" t="s">
        <v>24</v>
      </c>
      <c r="Z21" s="104" t="s">
        <v>24</v>
      </c>
      <c r="AA21" s="95"/>
      <c r="AB21" s="104" t="s">
        <v>24</v>
      </c>
      <c r="AC21" s="104" t="s">
        <v>24</v>
      </c>
      <c r="AD21" s="104" t="s">
        <v>24</v>
      </c>
      <c r="AE21" s="104" t="s">
        <v>24</v>
      </c>
      <c r="AF21" s="104" t="s">
        <v>24</v>
      </c>
      <c r="AG21" s="104" t="s">
        <v>24</v>
      </c>
      <c r="AH21" s="95"/>
      <c r="AI21" s="104" t="s">
        <v>24</v>
      </c>
      <c r="AJ21" s="4">
        <f t="shared" si="8"/>
        <v>26</v>
      </c>
      <c r="AK21" s="4">
        <f t="shared" si="9"/>
        <v>0</v>
      </c>
      <c r="AL21" s="4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378</v>
      </c>
      <c r="C22" s="78" t="s">
        <v>79</v>
      </c>
      <c r="D22" s="5" t="s">
        <v>6</v>
      </c>
      <c r="E22" s="104" t="s">
        <v>24</v>
      </c>
      <c r="F22" s="95"/>
      <c r="G22" s="104" t="s">
        <v>24</v>
      </c>
      <c r="H22" s="104" t="s">
        <v>24</v>
      </c>
      <c r="I22" s="104" t="s">
        <v>24</v>
      </c>
      <c r="J22" s="104" t="s">
        <v>24</v>
      </c>
      <c r="K22" s="104" t="s">
        <v>24</v>
      </c>
      <c r="L22" s="104" t="s">
        <v>24</v>
      </c>
      <c r="M22" s="95"/>
      <c r="N22" s="104" t="s">
        <v>24</v>
      </c>
      <c r="O22" s="104" t="s">
        <v>24</v>
      </c>
      <c r="P22" s="104" t="s">
        <v>24</v>
      </c>
      <c r="Q22" s="104" t="s">
        <v>24</v>
      </c>
      <c r="R22" s="104" t="s">
        <v>24</v>
      </c>
      <c r="S22" s="104" t="s">
        <v>24</v>
      </c>
      <c r="T22" s="95"/>
      <c r="U22" s="104" t="s">
        <v>24</v>
      </c>
      <c r="V22" s="104" t="s">
        <v>24</v>
      </c>
      <c r="W22" s="104" t="s">
        <v>24</v>
      </c>
      <c r="X22" s="104" t="s">
        <v>24</v>
      </c>
      <c r="Y22" s="104" t="s">
        <v>24</v>
      </c>
      <c r="Z22" s="104" t="s">
        <v>24</v>
      </c>
      <c r="AA22" s="95"/>
      <c r="AB22" s="104" t="s">
        <v>24</v>
      </c>
      <c r="AC22" s="104" t="s">
        <v>24</v>
      </c>
      <c r="AD22" s="104" t="s">
        <v>24</v>
      </c>
      <c r="AE22" s="104" t="s">
        <v>24</v>
      </c>
      <c r="AF22" s="104" t="s">
        <v>24</v>
      </c>
      <c r="AG22" s="104" t="s">
        <v>24</v>
      </c>
      <c r="AH22" s="95"/>
      <c r="AI22" s="104" t="s">
        <v>24</v>
      </c>
      <c r="AJ22" s="4">
        <f t="shared" si="8"/>
        <v>26</v>
      </c>
      <c r="AK22" s="4">
        <f t="shared" si="9"/>
        <v>0</v>
      </c>
      <c r="AL22" s="4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379</v>
      </c>
      <c r="C23" s="78" t="s">
        <v>380</v>
      </c>
      <c r="D23" s="5" t="s">
        <v>6</v>
      </c>
      <c r="E23" s="104" t="s">
        <v>24</v>
      </c>
      <c r="F23" s="95"/>
      <c r="G23" s="104" t="s">
        <v>24</v>
      </c>
      <c r="H23" s="104" t="s">
        <v>24</v>
      </c>
      <c r="I23" s="104" t="s">
        <v>24</v>
      </c>
      <c r="J23" s="104" t="s">
        <v>24</v>
      </c>
      <c r="K23" s="104" t="s">
        <v>24</v>
      </c>
      <c r="L23" s="104" t="s">
        <v>24</v>
      </c>
      <c r="M23" s="95"/>
      <c r="N23" s="104" t="s">
        <v>24</v>
      </c>
      <c r="O23" s="104" t="s">
        <v>24</v>
      </c>
      <c r="P23" s="104" t="s">
        <v>24</v>
      </c>
      <c r="Q23" s="104" t="s">
        <v>24</v>
      </c>
      <c r="R23" s="104" t="s">
        <v>24</v>
      </c>
      <c r="S23" s="104" t="s">
        <v>24</v>
      </c>
      <c r="T23" s="95"/>
      <c r="U23" s="104" t="s">
        <v>24</v>
      </c>
      <c r="V23" s="104" t="s">
        <v>24</v>
      </c>
      <c r="W23" s="104" t="s">
        <v>24</v>
      </c>
      <c r="X23" s="104" t="s">
        <v>24</v>
      </c>
      <c r="Y23" s="104" t="s">
        <v>24</v>
      </c>
      <c r="Z23" s="104" t="s">
        <v>24</v>
      </c>
      <c r="AA23" s="95"/>
      <c r="AB23" s="104" t="s">
        <v>24</v>
      </c>
      <c r="AC23" s="104" t="s">
        <v>24</v>
      </c>
      <c r="AD23" s="104" t="s">
        <v>24</v>
      </c>
      <c r="AE23" s="104" t="s">
        <v>24</v>
      </c>
      <c r="AF23" s="104" t="s">
        <v>24</v>
      </c>
      <c r="AG23" s="104" t="s">
        <v>24</v>
      </c>
      <c r="AH23" s="95"/>
      <c r="AI23" s="104" t="s">
        <v>24</v>
      </c>
      <c r="AJ23" s="4">
        <f t="shared" si="8"/>
        <v>26</v>
      </c>
      <c r="AK23" s="4">
        <f t="shared" si="9"/>
        <v>0</v>
      </c>
      <c r="AL23" s="4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381</v>
      </c>
      <c r="C24" s="78" t="s">
        <v>142</v>
      </c>
      <c r="D24" s="5" t="s">
        <v>6</v>
      </c>
      <c r="E24" s="104" t="s">
        <v>24</v>
      </c>
      <c r="F24" s="95"/>
      <c r="G24" s="104" t="s">
        <v>24</v>
      </c>
      <c r="H24" s="104" t="s">
        <v>24</v>
      </c>
      <c r="I24" s="104" t="s">
        <v>24</v>
      </c>
      <c r="J24" s="104" t="s">
        <v>24</v>
      </c>
      <c r="K24" s="104" t="s">
        <v>24</v>
      </c>
      <c r="L24" s="104" t="s">
        <v>24</v>
      </c>
      <c r="M24" s="95"/>
      <c r="N24" s="104" t="s">
        <v>24</v>
      </c>
      <c r="O24" s="104" t="s">
        <v>24</v>
      </c>
      <c r="P24" s="104" t="s">
        <v>24</v>
      </c>
      <c r="Q24" s="104" t="s">
        <v>24</v>
      </c>
      <c r="R24" s="104" t="s">
        <v>24</v>
      </c>
      <c r="S24" s="104" t="s">
        <v>24</v>
      </c>
      <c r="T24" s="95"/>
      <c r="U24" s="104" t="s">
        <v>24</v>
      </c>
      <c r="V24" s="104" t="s">
        <v>24</v>
      </c>
      <c r="W24" s="104" t="s">
        <v>24</v>
      </c>
      <c r="X24" s="104" t="s">
        <v>24</v>
      </c>
      <c r="Y24" s="104" t="s">
        <v>24</v>
      </c>
      <c r="Z24" s="104" t="s">
        <v>24</v>
      </c>
      <c r="AA24" s="95"/>
      <c r="AB24" s="104" t="s">
        <v>24</v>
      </c>
      <c r="AC24" s="104" t="s">
        <v>24</v>
      </c>
      <c r="AD24" s="104" t="s">
        <v>24</v>
      </c>
      <c r="AE24" s="104" t="s">
        <v>24</v>
      </c>
      <c r="AF24" s="104" t="s">
        <v>24</v>
      </c>
      <c r="AG24" s="104" t="s">
        <v>24</v>
      </c>
      <c r="AH24" s="95"/>
      <c r="AI24" s="104" t="s">
        <v>24</v>
      </c>
      <c r="AJ24" s="4">
        <f t="shared" si="8"/>
        <v>26</v>
      </c>
      <c r="AK24" s="4">
        <f t="shared" si="9"/>
        <v>0</v>
      </c>
    </row>
    <row r="25" spans="1:41" ht="16.5">
      <c r="A25" s="6">
        <v>21</v>
      </c>
      <c r="B25" s="78" t="s">
        <v>382</v>
      </c>
      <c r="C25" s="78" t="s">
        <v>383</v>
      </c>
      <c r="D25" s="5" t="s">
        <v>6</v>
      </c>
      <c r="E25" s="104" t="s">
        <v>24</v>
      </c>
      <c r="F25" s="95"/>
      <c r="G25" s="104" t="s">
        <v>24</v>
      </c>
      <c r="H25" s="104" t="s">
        <v>24</v>
      </c>
      <c r="I25" s="104" t="s">
        <v>24</v>
      </c>
      <c r="J25" s="104" t="s">
        <v>24</v>
      </c>
      <c r="K25" s="104" t="s">
        <v>24</v>
      </c>
      <c r="L25" s="104" t="s">
        <v>24</v>
      </c>
      <c r="M25" s="95"/>
      <c r="N25" s="104" t="s">
        <v>24</v>
      </c>
      <c r="O25" s="104" t="s">
        <v>24</v>
      </c>
      <c r="P25" s="104" t="s">
        <v>24</v>
      </c>
      <c r="Q25" s="104" t="s">
        <v>24</v>
      </c>
      <c r="R25" s="104" t="s">
        <v>24</v>
      </c>
      <c r="S25" s="104" t="s">
        <v>24</v>
      </c>
      <c r="T25" s="95"/>
      <c r="U25" s="104" t="s">
        <v>24</v>
      </c>
      <c r="V25" s="104" t="s">
        <v>24</v>
      </c>
      <c r="W25" s="104" t="s">
        <v>24</v>
      </c>
      <c r="X25" s="104" t="s">
        <v>24</v>
      </c>
      <c r="Y25" s="104" t="s">
        <v>24</v>
      </c>
      <c r="Z25" s="104" t="s">
        <v>24</v>
      </c>
      <c r="AA25" s="95"/>
      <c r="AB25" s="104" t="s">
        <v>24</v>
      </c>
      <c r="AC25" s="104" t="s">
        <v>24</v>
      </c>
      <c r="AD25" s="104" t="s">
        <v>24</v>
      </c>
      <c r="AE25" s="104" t="s">
        <v>24</v>
      </c>
      <c r="AF25" s="104" t="s">
        <v>24</v>
      </c>
      <c r="AG25" s="104" t="s">
        <v>24</v>
      </c>
      <c r="AH25" s="95"/>
      <c r="AI25" s="104" t="s">
        <v>24</v>
      </c>
      <c r="AJ25" s="4">
        <f t="shared" si="8"/>
        <v>26</v>
      </c>
      <c r="AK25" s="4">
        <f t="shared" si="9"/>
        <v>0</v>
      </c>
    </row>
    <row r="26" spans="1:41" ht="16.5">
      <c r="A26" s="6">
        <v>22</v>
      </c>
      <c r="B26" s="78" t="s">
        <v>384</v>
      </c>
      <c r="C26" s="78" t="s">
        <v>258</v>
      </c>
      <c r="D26" s="5" t="s">
        <v>6</v>
      </c>
      <c r="E26" s="104" t="s">
        <v>24</v>
      </c>
      <c r="F26" s="95"/>
      <c r="G26" s="104" t="s">
        <v>24</v>
      </c>
      <c r="H26" s="104" t="s">
        <v>24</v>
      </c>
      <c r="I26" s="104" t="s">
        <v>24</v>
      </c>
      <c r="J26" s="104" t="s">
        <v>24</v>
      </c>
      <c r="K26" s="104" t="s">
        <v>24</v>
      </c>
      <c r="L26" s="104" t="s">
        <v>24</v>
      </c>
      <c r="M26" s="95"/>
      <c r="N26" s="104" t="s">
        <v>24</v>
      </c>
      <c r="O26" s="104" t="s">
        <v>24</v>
      </c>
      <c r="P26" s="104" t="s">
        <v>24</v>
      </c>
      <c r="Q26" s="104" t="s">
        <v>24</v>
      </c>
      <c r="R26" s="104" t="s">
        <v>24</v>
      </c>
      <c r="S26" s="104" t="s">
        <v>24</v>
      </c>
      <c r="T26" s="95"/>
      <c r="U26" s="104" t="s">
        <v>24</v>
      </c>
      <c r="V26" s="104" t="s">
        <v>24</v>
      </c>
      <c r="W26" s="104" t="s">
        <v>24</v>
      </c>
      <c r="X26" s="104" t="s">
        <v>24</v>
      </c>
      <c r="Y26" s="104" t="s">
        <v>24</v>
      </c>
      <c r="Z26" s="104" t="s">
        <v>24</v>
      </c>
      <c r="AA26" s="95"/>
      <c r="AB26" s="104" t="s">
        <v>24</v>
      </c>
      <c r="AC26" s="104" t="s">
        <v>24</v>
      </c>
      <c r="AD26" s="104" t="s">
        <v>24</v>
      </c>
      <c r="AE26" s="104" t="s">
        <v>24</v>
      </c>
      <c r="AF26" s="104" t="s">
        <v>24</v>
      </c>
      <c r="AG26" s="104" t="s">
        <v>24</v>
      </c>
      <c r="AH26" s="95"/>
      <c r="AI26" s="104" t="s">
        <v>24</v>
      </c>
      <c r="AJ26" s="4">
        <f t="shared" si="8"/>
        <v>26</v>
      </c>
      <c r="AK26" s="4">
        <f t="shared" si="9"/>
        <v>0</v>
      </c>
    </row>
    <row r="27" spans="1:41" ht="16.5">
      <c r="A27" s="6">
        <v>23</v>
      </c>
      <c r="B27" s="78" t="s">
        <v>385</v>
      </c>
      <c r="C27" s="78" t="s">
        <v>347</v>
      </c>
      <c r="D27" s="5" t="s">
        <v>6</v>
      </c>
      <c r="E27" s="104" t="s">
        <v>24</v>
      </c>
      <c r="F27" s="95"/>
      <c r="G27" s="104" t="s">
        <v>24</v>
      </c>
      <c r="H27" s="104" t="s">
        <v>24</v>
      </c>
      <c r="I27" s="104" t="s">
        <v>24</v>
      </c>
      <c r="J27" s="104" t="s">
        <v>24</v>
      </c>
      <c r="K27" s="104" t="s">
        <v>24</v>
      </c>
      <c r="L27" s="104" t="s">
        <v>24</v>
      </c>
      <c r="M27" s="95"/>
      <c r="N27" s="104" t="s">
        <v>24</v>
      </c>
      <c r="O27" s="104" t="s">
        <v>24</v>
      </c>
      <c r="P27" s="104" t="s">
        <v>24</v>
      </c>
      <c r="Q27" s="104" t="s">
        <v>24</v>
      </c>
      <c r="R27" s="104" t="s">
        <v>24</v>
      </c>
      <c r="S27" s="104" t="s">
        <v>24</v>
      </c>
      <c r="T27" s="95"/>
      <c r="U27" s="104" t="s">
        <v>24</v>
      </c>
      <c r="V27" s="104" t="s">
        <v>24</v>
      </c>
      <c r="W27" s="104" t="s">
        <v>24</v>
      </c>
      <c r="X27" s="104" t="s">
        <v>24</v>
      </c>
      <c r="Y27" s="104" t="s">
        <v>24</v>
      </c>
      <c r="Z27" s="104" t="s">
        <v>24</v>
      </c>
      <c r="AA27" s="95"/>
      <c r="AB27" s="104" t="s">
        <v>24</v>
      </c>
      <c r="AC27" s="104" t="s">
        <v>24</v>
      </c>
      <c r="AD27" s="104" t="s">
        <v>24</v>
      </c>
      <c r="AE27" s="104" t="s">
        <v>24</v>
      </c>
      <c r="AF27" s="104" t="s">
        <v>24</v>
      </c>
      <c r="AG27" s="104" t="s">
        <v>24</v>
      </c>
      <c r="AH27" s="95"/>
      <c r="AI27" s="104" t="s">
        <v>24</v>
      </c>
      <c r="AJ27" s="4">
        <f t="shared" si="8"/>
        <v>26</v>
      </c>
      <c r="AK27" s="4">
        <f t="shared" si="9"/>
        <v>0</v>
      </c>
    </row>
    <row r="28" spans="1:41" ht="16.5">
      <c r="A28" s="6">
        <v>24</v>
      </c>
      <c r="B28" s="78" t="s">
        <v>386</v>
      </c>
      <c r="C28" s="78" t="s">
        <v>387</v>
      </c>
      <c r="D28" s="5" t="s">
        <v>6</v>
      </c>
      <c r="E28" s="104" t="s">
        <v>24</v>
      </c>
      <c r="F28" s="95"/>
      <c r="G28" s="104" t="s">
        <v>24</v>
      </c>
      <c r="H28" s="104" t="s">
        <v>24</v>
      </c>
      <c r="I28" s="104" t="s">
        <v>24</v>
      </c>
      <c r="J28" s="104" t="s">
        <v>24</v>
      </c>
      <c r="K28" s="104" t="s">
        <v>24</v>
      </c>
      <c r="L28" s="104" t="s">
        <v>24</v>
      </c>
      <c r="M28" s="95"/>
      <c r="N28" s="104" t="s">
        <v>24</v>
      </c>
      <c r="O28" s="104" t="s">
        <v>24</v>
      </c>
      <c r="P28" s="104" t="s">
        <v>24</v>
      </c>
      <c r="Q28" s="104" t="s">
        <v>24</v>
      </c>
      <c r="R28" s="104" t="s">
        <v>24</v>
      </c>
      <c r="S28" s="104" t="s">
        <v>24</v>
      </c>
      <c r="T28" s="95"/>
      <c r="U28" s="104" t="s">
        <v>24</v>
      </c>
      <c r="V28" s="104" t="s">
        <v>24</v>
      </c>
      <c r="W28" s="104" t="s">
        <v>24</v>
      </c>
      <c r="X28" s="104" t="s">
        <v>24</v>
      </c>
      <c r="Y28" s="104" t="s">
        <v>24</v>
      </c>
      <c r="Z28" s="104" t="s">
        <v>24</v>
      </c>
      <c r="AA28" s="95"/>
      <c r="AB28" s="104" t="s">
        <v>24</v>
      </c>
      <c r="AC28" s="104" t="s">
        <v>24</v>
      </c>
      <c r="AD28" s="104" t="s">
        <v>24</v>
      </c>
      <c r="AE28" s="104" t="s">
        <v>24</v>
      </c>
      <c r="AF28" s="104" t="s">
        <v>24</v>
      </c>
      <c r="AG28" s="104" t="s">
        <v>24</v>
      </c>
      <c r="AH28" s="95"/>
      <c r="AI28" s="104" t="s">
        <v>24</v>
      </c>
      <c r="AJ28" s="4">
        <f t="shared" si="8"/>
        <v>26</v>
      </c>
      <c r="AK28" s="4">
        <f t="shared" si="9"/>
        <v>0</v>
      </c>
    </row>
    <row r="29" spans="1:41" ht="16.5">
      <c r="A29" s="6">
        <v>25</v>
      </c>
      <c r="B29" s="78" t="s">
        <v>388</v>
      </c>
      <c r="C29" s="78" t="s">
        <v>387</v>
      </c>
      <c r="D29" s="5" t="s">
        <v>6</v>
      </c>
      <c r="E29" s="104" t="s">
        <v>24</v>
      </c>
      <c r="F29" s="95"/>
      <c r="G29" s="104" t="s">
        <v>24</v>
      </c>
      <c r="H29" s="104" t="s">
        <v>24</v>
      </c>
      <c r="I29" s="104" t="s">
        <v>24</v>
      </c>
      <c r="J29" s="104" t="s">
        <v>24</v>
      </c>
      <c r="K29" s="104" t="s">
        <v>24</v>
      </c>
      <c r="L29" s="104" t="s">
        <v>24</v>
      </c>
      <c r="M29" s="95"/>
      <c r="N29" s="104" t="s">
        <v>24</v>
      </c>
      <c r="O29" s="104" t="s">
        <v>24</v>
      </c>
      <c r="P29" s="104" t="s">
        <v>24</v>
      </c>
      <c r="Q29" s="104" t="s">
        <v>24</v>
      </c>
      <c r="R29" s="104" t="s">
        <v>24</v>
      </c>
      <c r="S29" s="104" t="s">
        <v>24</v>
      </c>
      <c r="T29" s="95"/>
      <c r="U29" s="104" t="s">
        <v>24</v>
      </c>
      <c r="V29" s="104" t="s">
        <v>24</v>
      </c>
      <c r="W29" s="104" t="s">
        <v>24</v>
      </c>
      <c r="X29" s="104" t="s">
        <v>24</v>
      </c>
      <c r="Y29" s="104" t="s">
        <v>24</v>
      </c>
      <c r="Z29" s="104" t="s">
        <v>24</v>
      </c>
      <c r="AA29" s="95"/>
      <c r="AB29" s="104" t="s">
        <v>24</v>
      </c>
      <c r="AC29" s="104" t="s">
        <v>24</v>
      </c>
      <c r="AD29" s="104" t="s">
        <v>24</v>
      </c>
      <c r="AE29" s="104" t="s">
        <v>24</v>
      </c>
      <c r="AF29" s="104" t="s">
        <v>24</v>
      </c>
      <c r="AG29" s="104" t="s">
        <v>24</v>
      </c>
      <c r="AH29" s="95"/>
      <c r="AI29" s="104" t="s">
        <v>24</v>
      </c>
      <c r="AJ29" s="4">
        <f t="shared" si="8"/>
        <v>26</v>
      </c>
      <c r="AK29" s="4">
        <f t="shared" si="9"/>
        <v>0</v>
      </c>
    </row>
    <row r="30" spans="1:41" ht="16.5">
      <c r="A30" s="6">
        <v>26</v>
      </c>
      <c r="B30" s="78" t="s">
        <v>382</v>
      </c>
      <c r="C30" s="78" t="s">
        <v>42</v>
      </c>
      <c r="D30" s="5" t="s">
        <v>6</v>
      </c>
      <c r="E30" s="104" t="s">
        <v>24</v>
      </c>
      <c r="F30" s="95"/>
      <c r="G30" s="104" t="s">
        <v>24</v>
      </c>
      <c r="H30" s="104" t="s">
        <v>24</v>
      </c>
      <c r="I30" s="104" t="s">
        <v>24</v>
      </c>
      <c r="J30" s="104" t="s">
        <v>24</v>
      </c>
      <c r="K30" s="104" t="s">
        <v>24</v>
      </c>
      <c r="L30" s="104" t="s">
        <v>24</v>
      </c>
      <c r="M30" s="95"/>
      <c r="N30" s="104" t="s">
        <v>24</v>
      </c>
      <c r="O30" s="104" t="s">
        <v>24</v>
      </c>
      <c r="P30" s="104" t="s">
        <v>24</v>
      </c>
      <c r="Q30" s="104" t="s">
        <v>24</v>
      </c>
      <c r="R30" s="104" t="s">
        <v>24</v>
      </c>
      <c r="S30" s="104" t="s">
        <v>24</v>
      </c>
      <c r="T30" s="95"/>
      <c r="U30" s="104" t="s">
        <v>24</v>
      </c>
      <c r="V30" s="104" t="s">
        <v>24</v>
      </c>
      <c r="W30" s="104" t="s">
        <v>24</v>
      </c>
      <c r="X30" s="104" t="s">
        <v>24</v>
      </c>
      <c r="Y30" s="104" t="s">
        <v>24</v>
      </c>
      <c r="Z30" s="104" t="s">
        <v>24</v>
      </c>
      <c r="AA30" s="95"/>
      <c r="AB30" s="104" t="s">
        <v>24</v>
      </c>
      <c r="AC30" s="104" t="s">
        <v>24</v>
      </c>
      <c r="AD30" s="104" t="s">
        <v>24</v>
      </c>
      <c r="AE30" s="104" t="s">
        <v>24</v>
      </c>
      <c r="AF30" s="104" t="s">
        <v>24</v>
      </c>
      <c r="AG30" s="104" t="s">
        <v>24</v>
      </c>
      <c r="AH30" s="95"/>
      <c r="AI30" s="104" t="s">
        <v>24</v>
      </c>
      <c r="AJ30" s="4">
        <f t="shared" si="8"/>
        <v>26</v>
      </c>
      <c r="AK30" s="4">
        <f t="shared" si="9"/>
        <v>0</v>
      </c>
    </row>
    <row r="31" spans="1:41" ht="16.5">
      <c r="A31" s="6">
        <v>27</v>
      </c>
      <c r="B31" s="78" t="s">
        <v>55</v>
      </c>
      <c r="C31" s="78" t="s">
        <v>223</v>
      </c>
      <c r="D31" s="5" t="s">
        <v>6</v>
      </c>
      <c r="E31" s="104" t="s">
        <v>24</v>
      </c>
      <c r="F31" s="95"/>
      <c r="G31" s="104" t="s">
        <v>24</v>
      </c>
      <c r="H31" s="104" t="s">
        <v>24</v>
      </c>
      <c r="I31" s="104" t="s">
        <v>24</v>
      </c>
      <c r="J31" s="104" t="s">
        <v>24</v>
      </c>
      <c r="K31" s="104" t="s">
        <v>24</v>
      </c>
      <c r="L31" s="104" t="s">
        <v>24</v>
      </c>
      <c r="M31" s="95"/>
      <c r="N31" s="104" t="s">
        <v>24</v>
      </c>
      <c r="O31" s="104" t="s">
        <v>24</v>
      </c>
      <c r="P31" s="104" t="s">
        <v>24</v>
      </c>
      <c r="Q31" s="104" t="s">
        <v>24</v>
      </c>
      <c r="R31" s="104" t="s">
        <v>24</v>
      </c>
      <c r="S31" s="104" t="s">
        <v>24</v>
      </c>
      <c r="T31" s="95"/>
      <c r="U31" s="104" t="s">
        <v>24</v>
      </c>
      <c r="V31" s="104" t="s">
        <v>24</v>
      </c>
      <c r="W31" s="104" t="s">
        <v>24</v>
      </c>
      <c r="X31" s="104" t="s">
        <v>24</v>
      </c>
      <c r="Y31" s="104" t="s">
        <v>24</v>
      </c>
      <c r="Z31" s="104" t="s">
        <v>24</v>
      </c>
      <c r="AA31" s="95"/>
      <c r="AB31" s="104" t="s">
        <v>24</v>
      </c>
      <c r="AC31" s="104" t="s">
        <v>24</v>
      </c>
      <c r="AD31" s="104" t="s">
        <v>24</v>
      </c>
      <c r="AE31" s="104" t="s">
        <v>24</v>
      </c>
      <c r="AF31" s="104" t="s">
        <v>24</v>
      </c>
      <c r="AG31" s="104" t="s">
        <v>24</v>
      </c>
      <c r="AH31" s="95"/>
      <c r="AI31" s="104" t="s">
        <v>24</v>
      </c>
      <c r="AJ31" s="4">
        <f t="shared" si="8"/>
        <v>26</v>
      </c>
      <c r="AK31" s="4">
        <f t="shared" si="9"/>
        <v>0</v>
      </c>
    </row>
    <row r="32" spans="1:41" ht="16.5">
      <c r="A32" s="6">
        <v>28</v>
      </c>
      <c r="B32" s="78" t="s">
        <v>389</v>
      </c>
      <c r="C32" s="78" t="s">
        <v>390</v>
      </c>
      <c r="D32" s="5" t="s">
        <v>6</v>
      </c>
      <c r="E32" s="104" t="s">
        <v>24</v>
      </c>
      <c r="F32" s="95"/>
      <c r="G32" s="104" t="s">
        <v>24</v>
      </c>
      <c r="H32" s="104" t="s">
        <v>24</v>
      </c>
      <c r="I32" s="104" t="s">
        <v>24</v>
      </c>
      <c r="J32" s="104" t="s">
        <v>24</v>
      </c>
      <c r="K32" s="104" t="s">
        <v>24</v>
      </c>
      <c r="L32" s="104" t="s">
        <v>24</v>
      </c>
      <c r="M32" s="95"/>
      <c r="N32" s="104" t="s">
        <v>24</v>
      </c>
      <c r="O32" s="104" t="s">
        <v>24</v>
      </c>
      <c r="P32" s="104" t="s">
        <v>24</v>
      </c>
      <c r="Q32" s="104" t="s">
        <v>24</v>
      </c>
      <c r="R32" s="104" t="s">
        <v>24</v>
      </c>
      <c r="S32" s="104" t="s">
        <v>24</v>
      </c>
      <c r="T32" s="95"/>
      <c r="U32" s="104" t="s">
        <v>24</v>
      </c>
      <c r="V32" s="104" t="s">
        <v>24</v>
      </c>
      <c r="W32" s="104" t="s">
        <v>24</v>
      </c>
      <c r="X32" s="104" t="s">
        <v>24</v>
      </c>
      <c r="Y32" s="104" t="s">
        <v>24</v>
      </c>
      <c r="Z32" s="104" t="s">
        <v>24</v>
      </c>
      <c r="AA32" s="95"/>
      <c r="AB32" s="104" t="s">
        <v>24</v>
      </c>
      <c r="AC32" s="104" t="s">
        <v>24</v>
      </c>
      <c r="AD32" s="104" t="s">
        <v>24</v>
      </c>
      <c r="AE32" s="104" t="s">
        <v>24</v>
      </c>
      <c r="AF32" s="104" t="s">
        <v>24</v>
      </c>
      <c r="AG32" s="104" t="s">
        <v>24</v>
      </c>
      <c r="AH32" s="95"/>
      <c r="AI32" s="104" t="s">
        <v>24</v>
      </c>
      <c r="AJ32" s="4">
        <f t="shared" si="8"/>
        <v>26</v>
      </c>
      <c r="AK32" s="4">
        <f t="shared" si="9"/>
        <v>0</v>
      </c>
    </row>
    <row r="33" spans="1:37" ht="16.5">
      <c r="A33" s="6">
        <v>29</v>
      </c>
      <c r="B33" s="78" t="s">
        <v>389</v>
      </c>
      <c r="C33" s="78" t="s">
        <v>391</v>
      </c>
      <c r="D33" s="5" t="s">
        <v>6</v>
      </c>
      <c r="E33" s="104" t="s">
        <v>24</v>
      </c>
      <c r="F33" s="95"/>
      <c r="G33" s="104" t="s">
        <v>24</v>
      </c>
      <c r="H33" s="104" t="s">
        <v>24</v>
      </c>
      <c r="I33" s="104" t="s">
        <v>24</v>
      </c>
      <c r="J33" s="104" t="s">
        <v>24</v>
      </c>
      <c r="K33" s="104" t="s">
        <v>24</v>
      </c>
      <c r="L33" s="104" t="s">
        <v>24</v>
      </c>
      <c r="M33" s="95"/>
      <c r="N33" s="104" t="s">
        <v>24</v>
      </c>
      <c r="O33" s="104" t="s">
        <v>24</v>
      </c>
      <c r="P33" s="104" t="s">
        <v>24</v>
      </c>
      <c r="Q33" s="104" t="s">
        <v>24</v>
      </c>
      <c r="R33" s="104" t="s">
        <v>24</v>
      </c>
      <c r="S33" s="104" t="s">
        <v>24</v>
      </c>
      <c r="T33" s="95"/>
      <c r="U33" s="104" t="s">
        <v>24</v>
      </c>
      <c r="V33" s="104" t="s">
        <v>24</v>
      </c>
      <c r="W33" s="104" t="s">
        <v>24</v>
      </c>
      <c r="X33" s="104" t="s">
        <v>24</v>
      </c>
      <c r="Y33" s="104" t="s">
        <v>24</v>
      </c>
      <c r="Z33" s="104" t="s">
        <v>24</v>
      </c>
      <c r="AA33" s="95"/>
      <c r="AB33" s="104" t="s">
        <v>24</v>
      </c>
      <c r="AC33" s="104" t="s">
        <v>24</v>
      </c>
      <c r="AD33" s="104" t="s">
        <v>24</v>
      </c>
      <c r="AE33" s="104" t="s">
        <v>24</v>
      </c>
      <c r="AF33" s="104" t="s">
        <v>24</v>
      </c>
      <c r="AG33" s="104" t="s">
        <v>24</v>
      </c>
      <c r="AH33" s="95"/>
      <c r="AI33" s="104" t="s">
        <v>24</v>
      </c>
      <c r="AJ33" s="4">
        <f t="shared" si="8"/>
        <v>26</v>
      </c>
      <c r="AK33" s="4">
        <f t="shared" si="9"/>
        <v>0</v>
      </c>
    </row>
    <row r="34" spans="1:37" ht="16.5">
      <c r="A34" s="6">
        <v>30</v>
      </c>
      <c r="B34" s="78" t="s">
        <v>392</v>
      </c>
      <c r="C34" s="78" t="s">
        <v>146</v>
      </c>
      <c r="D34" s="5" t="s">
        <v>6</v>
      </c>
      <c r="E34" s="104" t="s">
        <v>24</v>
      </c>
      <c r="F34" s="95"/>
      <c r="G34" s="104" t="s">
        <v>24</v>
      </c>
      <c r="H34" s="104" t="s">
        <v>24</v>
      </c>
      <c r="I34" s="104" t="s">
        <v>24</v>
      </c>
      <c r="J34" s="104" t="s">
        <v>24</v>
      </c>
      <c r="K34" s="104" t="s">
        <v>24</v>
      </c>
      <c r="L34" s="104" t="s">
        <v>24</v>
      </c>
      <c r="M34" s="95"/>
      <c r="N34" s="104" t="s">
        <v>24</v>
      </c>
      <c r="O34" s="104" t="s">
        <v>24</v>
      </c>
      <c r="P34" s="104" t="s">
        <v>24</v>
      </c>
      <c r="Q34" s="104" t="s">
        <v>24</v>
      </c>
      <c r="R34" s="104" t="s">
        <v>24</v>
      </c>
      <c r="S34" s="104" t="s">
        <v>24</v>
      </c>
      <c r="T34" s="95"/>
      <c r="U34" s="104" t="s">
        <v>24</v>
      </c>
      <c r="V34" s="104" t="s">
        <v>24</v>
      </c>
      <c r="W34" s="104" t="s">
        <v>24</v>
      </c>
      <c r="X34" s="104" t="s">
        <v>24</v>
      </c>
      <c r="Y34" s="104" t="s">
        <v>24</v>
      </c>
      <c r="Z34" s="104" t="s">
        <v>24</v>
      </c>
      <c r="AA34" s="95"/>
      <c r="AB34" s="104" t="s">
        <v>24</v>
      </c>
      <c r="AC34" s="104" t="s">
        <v>24</v>
      </c>
      <c r="AD34" s="104" t="s">
        <v>24</v>
      </c>
      <c r="AE34" s="104" t="s">
        <v>24</v>
      </c>
      <c r="AF34" s="104" t="s">
        <v>24</v>
      </c>
      <c r="AG34" s="104" t="s">
        <v>24</v>
      </c>
      <c r="AH34" s="95"/>
      <c r="AI34" s="104" t="s">
        <v>24</v>
      </c>
      <c r="AJ34" s="4">
        <f t="shared" si="8"/>
        <v>26</v>
      </c>
      <c r="AK34" s="4">
        <f t="shared" si="9"/>
        <v>0</v>
      </c>
    </row>
    <row r="35" spans="1:37" ht="16.5">
      <c r="A35" s="6">
        <v>31</v>
      </c>
      <c r="B35" s="78" t="s">
        <v>393</v>
      </c>
      <c r="C35" s="78" t="s">
        <v>266</v>
      </c>
      <c r="D35" s="5" t="s">
        <v>6</v>
      </c>
      <c r="E35" s="104" t="s">
        <v>24</v>
      </c>
      <c r="F35" s="95"/>
      <c r="G35" s="104" t="s">
        <v>24</v>
      </c>
      <c r="H35" s="104" t="s">
        <v>24</v>
      </c>
      <c r="I35" s="104" t="s">
        <v>24</v>
      </c>
      <c r="J35" s="104" t="s">
        <v>24</v>
      </c>
      <c r="K35" s="104" t="s">
        <v>24</v>
      </c>
      <c r="L35" s="104" t="s">
        <v>24</v>
      </c>
      <c r="M35" s="95"/>
      <c r="N35" s="104" t="s">
        <v>24</v>
      </c>
      <c r="O35" s="104" t="s">
        <v>24</v>
      </c>
      <c r="P35" s="104" t="s">
        <v>24</v>
      </c>
      <c r="Q35" s="104" t="s">
        <v>24</v>
      </c>
      <c r="R35" s="104" t="s">
        <v>24</v>
      </c>
      <c r="S35" s="104" t="s">
        <v>24</v>
      </c>
      <c r="T35" s="95"/>
      <c r="U35" s="104" t="s">
        <v>24</v>
      </c>
      <c r="V35" s="104" t="s">
        <v>24</v>
      </c>
      <c r="W35" s="104" t="s">
        <v>24</v>
      </c>
      <c r="X35" s="104" t="s">
        <v>24</v>
      </c>
      <c r="Y35" s="104" t="s">
        <v>24</v>
      </c>
      <c r="Z35" s="104" t="s">
        <v>24</v>
      </c>
      <c r="AA35" s="95"/>
      <c r="AB35" s="104" t="s">
        <v>24</v>
      </c>
      <c r="AC35" s="104" t="s">
        <v>24</v>
      </c>
      <c r="AD35" s="104" t="s">
        <v>24</v>
      </c>
      <c r="AE35" s="104" t="s">
        <v>24</v>
      </c>
      <c r="AF35" s="104" t="s">
        <v>24</v>
      </c>
      <c r="AG35" s="104" t="s">
        <v>24</v>
      </c>
      <c r="AH35" s="95"/>
      <c r="AI35" s="104" t="s">
        <v>24</v>
      </c>
      <c r="AJ35" s="4">
        <f t="shared" si="8"/>
        <v>26</v>
      </c>
      <c r="AK35" s="4">
        <f t="shared" si="9"/>
        <v>0</v>
      </c>
    </row>
    <row r="36" spans="1:37" ht="16.5">
      <c r="A36" s="6">
        <v>32</v>
      </c>
      <c r="B36" s="78" t="s">
        <v>394</v>
      </c>
      <c r="C36" s="78" t="s">
        <v>306</v>
      </c>
      <c r="D36" s="5" t="s">
        <v>6</v>
      </c>
      <c r="E36" s="104" t="s">
        <v>24</v>
      </c>
      <c r="F36" s="95"/>
      <c r="G36" s="104" t="s">
        <v>24</v>
      </c>
      <c r="H36" s="104" t="s">
        <v>24</v>
      </c>
      <c r="I36" s="104" t="s">
        <v>24</v>
      </c>
      <c r="J36" s="104" t="s">
        <v>24</v>
      </c>
      <c r="K36" s="104" t="s">
        <v>24</v>
      </c>
      <c r="L36" s="104" t="s">
        <v>24</v>
      </c>
      <c r="M36" s="95"/>
      <c r="N36" s="104" t="s">
        <v>24</v>
      </c>
      <c r="O36" s="104" t="s">
        <v>24</v>
      </c>
      <c r="P36" s="104" t="s">
        <v>24</v>
      </c>
      <c r="Q36" s="104" t="s">
        <v>24</v>
      </c>
      <c r="R36" s="104" t="s">
        <v>24</v>
      </c>
      <c r="S36" s="104" t="s">
        <v>24</v>
      </c>
      <c r="T36" s="95"/>
      <c r="U36" s="104" t="s">
        <v>24</v>
      </c>
      <c r="V36" s="104" t="s">
        <v>24</v>
      </c>
      <c r="W36" s="104" t="s">
        <v>24</v>
      </c>
      <c r="X36" s="104" t="s">
        <v>24</v>
      </c>
      <c r="Y36" s="104" t="s">
        <v>24</v>
      </c>
      <c r="Z36" s="104" t="s">
        <v>24</v>
      </c>
      <c r="AA36" s="95"/>
      <c r="AB36" s="104" t="s">
        <v>24</v>
      </c>
      <c r="AC36" s="104" t="s">
        <v>24</v>
      </c>
      <c r="AD36" s="104" t="s">
        <v>24</v>
      </c>
      <c r="AE36" s="104" t="s">
        <v>24</v>
      </c>
      <c r="AF36" s="104" t="s">
        <v>24</v>
      </c>
      <c r="AG36" s="104" t="s">
        <v>24</v>
      </c>
      <c r="AH36" s="95"/>
      <c r="AI36" s="104" t="s">
        <v>24</v>
      </c>
      <c r="AJ36" s="4">
        <f t="shared" si="8"/>
        <v>26</v>
      </c>
      <c r="AK36" s="4">
        <f t="shared" si="9"/>
        <v>0</v>
      </c>
    </row>
    <row r="37" spans="1:37" ht="16.5">
      <c r="A37" s="6">
        <v>33</v>
      </c>
      <c r="B37" s="78" t="s">
        <v>395</v>
      </c>
      <c r="C37" s="78" t="s">
        <v>342</v>
      </c>
      <c r="D37" s="5" t="s">
        <v>6</v>
      </c>
      <c r="E37" s="104" t="s">
        <v>24</v>
      </c>
      <c r="F37" s="95"/>
      <c r="G37" s="104" t="s">
        <v>24</v>
      </c>
      <c r="H37" s="104" t="s">
        <v>24</v>
      </c>
      <c r="I37" s="104" t="s">
        <v>24</v>
      </c>
      <c r="J37" s="104" t="s">
        <v>24</v>
      </c>
      <c r="K37" s="104" t="s">
        <v>24</v>
      </c>
      <c r="L37" s="104" t="s">
        <v>24</v>
      </c>
      <c r="M37" s="95"/>
      <c r="N37" s="104" t="s">
        <v>24</v>
      </c>
      <c r="O37" s="104" t="s">
        <v>24</v>
      </c>
      <c r="P37" s="104" t="s">
        <v>24</v>
      </c>
      <c r="Q37" s="104" t="s">
        <v>24</v>
      </c>
      <c r="R37" s="104" t="s">
        <v>24</v>
      </c>
      <c r="S37" s="104" t="s">
        <v>24</v>
      </c>
      <c r="T37" s="95"/>
      <c r="U37" s="104" t="s">
        <v>24</v>
      </c>
      <c r="V37" s="104" t="s">
        <v>24</v>
      </c>
      <c r="W37" s="104" t="s">
        <v>24</v>
      </c>
      <c r="X37" s="104" t="s">
        <v>24</v>
      </c>
      <c r="Y37" s="104" t="s">
        <v>24</v>
      </c>
      <c r="Z37" s="104" t="s">
        <v>24</v>
      </c>
      <c r="AA37" s="95"/>
      <c r="AB37" s="104" t="s">
        <v>24</v>
      </c>
      <c r="AC37" s="104" t="s">
        <v>24</v>
      </c>
      <c r="AD37" s="104" t="s">
        <v>24</v>
      </c>
      <c r="AE37" s="104" t="s">
        <v>24</v>
      </c>
      <c r="AF37" s="104" t="s">
        <v>24</v>
      </c>
      <c r="AG37" s="104" t="s">
        <v>24</v>
      </c>
      <c r="AH37" s="95"/>
      <c r="AI37" s="104" t="s">
        <v>24</v>
      </c>
      <c r="AJ37" s="4">
        <f t="shared" si="8"/>
        <v>26</v>
      </c>
      <c r="AK37" s="4">
        <f t="shared" si="9"/>
        <v>0</v>
      </c>
    </row>
    <row r="38" spans="1:37" ht="16.5">
      <c r="A38" s="6">
        <v>34</v>
      </c>
      <c r="B38" s="78" t="s">
        <v>33</v>
      </c>
      <c r="C38" s="78" t="s">
        <v>216</v>
      </c>
      <c r="D38" s="5" t="s">
        <v>6</v>
      </c>
      <c r="E38" s="104" t="s">
        <v>24</v>
      </c>
      <c r="F38" s="95"/>
      <c r="G38" s="104" t="s">
        <v>24</v>
      </c>
      <c r="H38" s="104" t="s">
        <v>24</v>
      </c>
      <c r="I38" s="104" t="s">
        <v>24</v>
      </c>
      <c r="J38" s="104" t="s">
        <v>24</v>
      </c>
      <c r="K38" s="104" t="s">
        <v>24</v>
      </c>
      <c r="L38" s="104" t="s">
        <v>24</v>
      </c>
      <c r="M38" s="95"/>
      <c r="N38" s="104" t="s">
        <v>24</v>
      </c>
      <c r="O38" s="104" t="s">
        <v>24</v>
      </c>
      <c r="P38" s="104" t="s">
        <v>24</v>
      </c>
      <c r="Q38" s="104" t="s">
        <v>24</v>
      </c>
      <c r="R38" s="104" t="s">
        <v>24</v>
      </c>
      <c r="S38" s="104" t="s">
        <v>24</v>
      </c>
      <c r="T38" s="95"/>
      <c r="U38" s="104" t="s">
        <v>24</v>
      </c>
      <c r="V38" s="104" t="s">
        <v>24</v>
      </c>
      <c r="W38" s="104" t="s">
        <v>24</v>
      </c>
      <c r="X38" s="104" t="s">
        <v>24</v>
      </c>
      <c r="Y38" s="104" t="s">
        <v>24</v>
      </c>
      <c r="Z38" s="104" t="s">
        <v>24</v>
      </c>
      <c r="AA38" s="95"/>
      <c r="AB38" s="104" t="s">
        <v>24</v>
      </c>
      <c r="AC38" s="104" t="s">
        <v>24</v>
      </c>
      <c r="AD38" s="104" t="s">
        <v>24</v>
      </c>
      <c r="AE38" s="104" t="s">
        <v>24</v>
      </c>
      <c r="AF38" s="104" t="s">
        <v>24</v>
      </c>
      <c r="AG38" s="104" t="s">
        <v>24</v>
      </c>
      <c r="AH38" s="95"/>
      <c r="AI38" s="104" t="s">
        <v>24</v>
      </c>
      <c r="AJ38" s="4">
        <f t="shared" si="8"/>
        <v>26</v>
      </c>
      <c r="AK38" s="4">
        <f t="shared" si="9"/>
        <v>0</v>
      </c>
    </row>
    <row r="39" spans="1:37" ht="16.5">
      <c r="A39" s="6">
        <v>35</v>
      </c>
      <c r="B39" s="78" t="s">
        <v>37</v>
      </c>
      <c r="C39" s="78" t="s">
        <v>133</v>
      </c>
      <c r="D39" s="5" t="s">
        <v>6</v>
      </c>
      <c r="E39" s="104" t="s">
        <v>24</v>
      </c>
      <c r="F39" s="95"/>
      <c r="G39" s="104" t="s">
        <v>24</v>
      </c>
      <c r="H39" s="104" t="s">
        <v>24</v>
      </c>
      <c r="I39" s="104" t="s">
        <v>24</v>
      </c>
      <c r="J39" s="104" t="s">
        <v>24</v>
      </c>
      <c r="K39" s="104" t="s">
        <v>24</v>
      </c>
      <c r="L39" s="104" t="s">
        <v>24</v>
      </c>
      <c r="M39" s="95"/>
      <c r="N39" s="104" t="s">
        <v>24</v>
      </c>
      <c r="O39" s="104" t="s">
        <v>24</v>
      </c>
      <c r="P39" s="104" t="s">
        <v>24</v>
      </c>
      <c r="Q39" s="104" t="s">
        <v>24</v>
      </c>
      <c r="R39" s="104" t="s">
        <v>24</v>
      </c>
      <c r="S39" s="104" t="s">
        <v>24</v>
      </c>
      <c r="T39" s="95"/>
      <c r="U39" s="104" t="s">
        <v>24</v>
      </c>
      <c r="V39" s="104" t="s">
        <v>24</v>
      </c>
      <c r="W39" s="104" t="s">
        <v>24</v>
      </c>
      <c r="X39" s="104" t="s">
        <v>24</v>
      </c>
      <c r="Y39" s="104" t="s">
        <v>24</v>
      </c>
      <c r="Z39" s="104" t="s">
        <v>24</v>
      </c>
      <c r="AA39" s="95"/>
      <c r="AB39" s="104" t="s">
        <v>24</v>
      </c>
      <c r="AC39" s="104" t="s">
        <v>24</v>
      </c>
      <c r="AD39" s="104" t="s">
        <v>24</v>
      </c>
      <c r="AE39" s="104" t="s">
        <v>24</v>
      </c>
      <c r="AF39" s="104" t="s">
        <v>24</v>
      </c>
      <c r="AG39" s="104" t="s">
        <v>24</v>
      </c>
      <c r="AH39" s="95"/>
      <c r="AI39" s="104" t="s">
        <v>24</v>
      </c>
      <c r="AJ39" s="4">
        <f t="shared" si="8"/>
        <v>26</v>
      </c>
      <c r="AK39" s="4">
        <f t="shared" si="9"/>
        <v>0</v>
      </c>
    </row>
    <row r="40" spans="1:37" ht="16.5">
      <c r="A40" s="6">
        <v>36</v>
      </c>
      <c r="B40" s="78" t="s">
        <v>70</v>
      </c>
      <c r="C40" s="78" t="s">
        <v>104</v>
      </c>
      <c r="D40" s="5" t="s">
        <v>6</v>
      </c>
      <c r="E40" s="104" t="s">
        <v>24</v>
      </c>
      <c r="F40" s="95"/>
      <c r="G40" s="104" t="s">
        <v>24</v>
      </c>
      <c r="H40" s="104" t="s">
        <v>24</v>
      </c>
      <c r="I40" s="104" t="s">
        <v>24</v>
      </c>
      <c r="J40" s="104" t="s">
        <v>24</v>
      </c>
      <c r="K40" s="104" t="s">
        <v>24</v>
      </c>
      <c r="L40" s="104" t="s">
        <v>24</v>
      </c>
      <c r="M40" s="95"/>
      <c r="N40" s="104" t="s">
        <v>24</v>
      </c>
      <c r="O40" s="104" t="s">
        <v>24</v>
      </c>
      <c r="P40" s="104" t="s">
        <v>24</v>
      </c>
      <c r="Q40" s="104" t="s">
        <v>24</v>
      </c>
      <c r="R40" s="104" t="s">
        <v>24</v>
      </c>
      <c r="S40" s="104" t="s">
        <v>24</v>
      </c>
      <c r="T40" s="95"/>
      <c r="U40" s="104" t="s">
        <v>24</v>
      </c>
      <c r="V40" s="104" t="s">
        <v>24</v>
      </c>
      <c r="W40" s="104" t="s">
        <v>24</v>
      </c>
      <c r="X40" s="104" t="s">
        <v>24</v>
      </c>
      <c r="Y40" s="104" t="s">
        <v>24</v>
      </c>
      <c r="Z40" s="104" t="s">
        <v>24</v>
      </c>
      <c r="AA40" s="95"/>
      <c r="AB40" s="104" t="s">
        <v>24</v>
      </c>
      <c r="AC40" s="104" t="s">
        <v>24</v>
      </c>
      <c r="AD40" s="104" t="s">
        <v>24</v>
      </c>
      <c r="AE40" s="104" t="s">
        <v>24</v>
      </c>
      <c r="AF40" s="104" t="s">
        <v>24</v>
      </c>
      <c r="AG40" s="104" t="s">
        <v>24</v>
      </c>
      <c r="AH40" s="95"/>
      <c r="AI40" s="104" t="s">
        <v>24</v>
      </c>
      <c r="AJ40" s="4">
        <f t="shared" si="8"/>
        <v>26</v>
      </c>
      <c r="AK40" s="4">
        <f t="shared" si="9"/>
        <v>0</v>
      </c>
    </row>
  </sheetData>
  <mergeCells count="16">
    <mergeCell ref="AH5:AH40"/>
    <mergeCell ref="A1:AI1"/>
    <mergeCell ref="A2:AI2"/>
    <mergeCell ref="A3:A4"/>
    <mergeCell ref="B3:B4"/>
    <mergeCell ref="C3:C4"/>
    <mergeCell ref="D3:D4"/>
    <mergeCell ref="F5:F40"/>
    <mergeCell ref="M5:M40"/>
    <mergeCell ref="T5:T40"/>
    <mergeCell ref="AA5:AA40"/>
    <mergeCell ref="AJ3:AJ4"/>
    <mergeCell ref="AK3:AK4"/>
    <mergeCell ref="AL3:AM3"/>
    <mergeCell ref="AL11:AO11"/>
    <mergeCell ref="AL19:AO19"/>
  </mergeCells>
  <phoneticPr fontId="19" type="noConversion"/>
  <conditionalFormatting sqref="E5:E40">
    <cfRule type="cellIs" dxfId="1723" priority="181" operator="equal">
      <formula>"L"</formula>
    </cfRule>
    <cfRule type="expression" dxfId="1722" priority="182">
      <formula>E$4=TODAY()</formula>
    </cfRule>
    <cfRule type="cellIs" dxfId="1721" priority="183" operator="equal">
      <formula>"A"</formula>
    </cfRule>
    <cfRule type="cellIs" dxfId="1720" priority="184" operator="equal">
      <formula>"P"</formula>
    </cfRule>
    <cfRule type="expression" dxfId="1719" priority="185">
      <formula>E$3="Sun"</formula>
    </cfRule>
  </conditionalFormatting>
  <conditionalFormatting sqref="F5">
    <cfRule type="cellIs" dxfId="1718" priority="176" operator="equal">
      <formula>"L"</formula>
    </cfRule>
    <cfRule type="expression" dxfId="1717" priority="177">
      <formula>F$4=TODAY()</formula>
    </cfRule>
    <cfRule type="cellIs" dxfId="1716" priority="178" operator="equal">
      <formula>"A"</formula>
    </cfRule>
    <cfRule type="cellIs" dxfId="1715" priority="179" operator="equal">
      <formula>"P"</formula>
    </cfRule>
    <cfRule type="expression" dxfId="1714" priority="180">
      <formula>F$3="Sun"</formula>
    </cfRule>
  </conditionalFormatting>
  <conditionalFormatting sqref="E3:AI4">
    <cfRule type="expression" dxfId="1713" priority="198">
      <formula>E$4=TODAY()</formula>
    </cfRule>
    <cfRule type="expression" dxfId="1712" priority="201">
      <formula>E$3="Sun"</formula>
    </cfRule>
  </conditionalFormatting>
  <conditionalFormatting sqref="AJ3:AK3 AJ5:AK40">
    <cfRule type="expression" dxfId="1678" priority="202">
      <formula>#REF!="Sun"</formula>
    </cfRule>
  </conditionalFormatting>
  <conditionalFormatting sqref="AL5:AL9">
    <cfRule type="expression" dxfId="1677" priority="194">
      <formula>AL$3="Sun"</formula>
    </cfRule>
  </conditionalFormatting>
  <conditionalFormatting sqref="AL12:AL15">
    <cfRule type="expression" dxfId="1676" priority="192">
      <formula>AL$3="Sun"</formula>
    </cfRule>
  </conditionalFormatting>
  <conditionalFormatting sqref="AL20:AL23">
    <cfRule type="expression" dxfId="1675" priority="191">
      <formula>AL$3="Sun"</formula>
    </cfRule>
  </conditionalFormatting>
  <conditionalFormatting sqref="AL4:AM4">
    <cfRule type="expression" dxfId="1674" priority="195">
      <formula>AL$3="Sun"</formula>
    </cfRule>
  </conditionalFormatting>
  <conditionalFormatting sqref="AM12:AO12 AM20:AO20">
    <cfRule type="expression" dxfId="1673" priority="196">
      <formula>AM$3="Sun"</formula>
    </cfRule>
  </conditionalFormatting>
  <conditionalFormatting sqref="AO21">
    <cfRule type="expression" dxfId="1672" priority="193">
      <formula>AO$3="Sun"</formula>
    </cfRule>
  </conditionalFormatting>
  <conditionalFormatting sqref="M5">
    <cfRule type="cellIs" dxfId="369" priority="141" operator="equal">
      <formula>"L"</formula>
    </cfRule>
    <cfRule type="expression" dxfId="368" priority="142">
      <formula>M$4=TODAY()</formula>
    </cfRule>
    <cfRule type="cellIs" dxfId="367" priority="143" operator="equal">
      <formula>"A"</formula>
    </cfRule>
    <cfRule type="cellIs" dxfId="366" priority="144" operator="equal">
      <formula>"P"</formula>
    </cfRule>
    <cfRule type="expression" dxfId="365" priority="145">
      <formula>M$3="Sun"</formula>
    </cfRule>
  </conditionalFormatting>
  <conditionalFormatting sqref="T5">
    <cfRule type="cellIs" dxfId="364" priority="136" operator="equal">
      <formula>"L"</formula>
    </cfRule>
    <cfRule type="expression" dxfId="363" priority="137">
      <formula>T$4=TODAY()</formula>
    </cfRule>
    <cfRule type="cellIs" dxfId="362" priority="138" operator="equal">
      <formula>"A"</formula>
    </cfRule>
    <cfRule type="cellIs" dxfId="361" priority="139" operator="equal">
      <formula>"P"</formula>
    </cfRule>
    <cfRule type="expression" dxfId="360" priority="140">
      <formula>T$3="Sun"</formula>
    </cfRule>
  </conditionalFormatting>
  <conditionalFormatting sqref="AA5">
    <cfRule type="cellIs" dxfId="359" priority="131" operator="equal">
      <formula>"L"</formula>
    </cfRule>
    <cfRule type="expression" dxfId="358" priority="132">
      <formula>AA$4=TODAY()</formula>
    </cfRule>
    <cfRule type="cellIs" dxfId="357" priority="133" operator="equal">
      <formula>"A"</formula>
    </cfRule>
    <cfRule type="cellIs" dxfId="356" priority="134" operator="equal">
      <formula>"P"</formula>
    </cfRule>
    <cfRule type="expression" dxfId="355" priority="135">
      <formula>AA$3="Sun"</formula>
    </cfRule>
  </conditionalFormatting>
  <conditionalFormatting sqref="AH5">
    <cfRule type="cellIs" dxfId="354" priority="126" operator="equal">
      <formula>"L"</formula>
    </cfRule>
    <cfRule type="expression" dxfId="353" priority="127">
      <formula>AH$4=TODAY()</formula>
    </cfRule>
    <cfRule type="cellIs" dxfId="352" priority="128" operator="equal">
      <formula>"A"</formula>
    </cfRule>
    <cfRule type="cellIs" dxfId="351" priority="129" operator="equal">
      <formula>"P"</formula>
    </cfRule>
    <cfRule type="expression" dxfId="350" priority="130">
      <formula>AH$3="Sun"</formula>
    </cfRule>
  </conditionalFormatting>
  <conditionalFormatting sqref="G5:G40">
    <cfRule type="cellIs" dxfId="349" priority="121" operator="equal">
      <formula>"L"</formula>
    </cfRule>
    <cfRule type="expression" dxfId="348" priority="122">
      <formula>G$4=TODAY()</formula>
    </cfRule>
    <cfRule type="cellIs" dxfId="347" priority="123" operator="equal">
      <formula>"A"</formula>
    </cfRule>
    <cfRule type="cellIs" dxfId="346" priority="124" operator="equal">
      <formula>"P"</formula>
    </cfRule>
    <cfRule type="expression" dxfId="345" priority="125">
      <formula>G$3="Sun"</formula>
    </cfRule>
  </conditionalFormatting>
  <conditionalFormatting sqref="H5:H40">
    <cfRule type="cellIs" dxfId="344" priority="116" operator="equal">
      <formula>"L"</formula>
    </cfRule>
    <cfRule type="expression" dxfId="343" priority="117">
      <formula>H$4=TODAY()</formula>
    </cfRule>
    <cfRule type="cellIs" dxfId="342" priority="118" operator="equal">
      <formula>"A"</formula>
    </cfRule>
    <cfRule type="cellIs" dxfId="341" priority="119" operator="equal">
      <formula>"P"</formula>
    </cfRule>
    <cfRule type="expression" dxfId="340" priority="120">
      <formula>H$3="Sun"</formula>
    </cfRule>
  </conditionalFormatting>
  <conditionalFormatting sqref="I5:I40">
    <cfRule type="cellIs" dxfId="339" priority="111" operator="equal">
      <formula>"L"</formula>
    </cfRule>
    <cfRule type="expression" dxfId="338" priority="112">
      <formula>I$4=TODAY()</formula>
    </cfRule>
    <cfRule type="cellIs" dxfId="337" priority="113" operator="equal">
      <formula>"A"</formula>
    </cfRule>
    <cfRule type="cellIs" dxfId="336" priority="114" operator="equal">
      <formula>"P"</formula>
    </cfRule>
    <cfRule type="expression" dxfId="335" priority="115">
      <formula>I$3="Sun"</formula>
    </cfRule>
  </conditionalFormatting>
  <conditionalFormatting sqref="J5:J40">
    <cfRule type="cellIs" dxfId="334" priority="106" operator="equal">
      <formula>"L"</formula>
    </cfRule>
    <cfRule type="expression" dxfId="333" priority="107">
      <formula>J$4=TODAY()</formula>
    </cfRule>
    <cfRule type="cellIs" dxfId="332" priority="108" operator="equal">
      <formula>"A"</formula>
    </cfRule>
    <cfRule type="cellIs" dxfId="331" priority="109" operator="equal">
      <formula>"P"</formula>
    </cfRule>
    <cfRule type="expression" dxfId="330" priority="110">
      <formula>J$3="Sun"</formula>
    </cfRule>
  </conditionalFormatting>
  <conditionalFormatting sqref="K5:K40">
    <cfRule type="cellIs" dxfId="329" priority="101" operator="equal">
      <formula>"L"</formula>
    </cfRule>
    <cfRule type="expression" dxfId="328" priority="102">
      <formula>K$4=TODAY()</formula>
    </cfRule>
    <cfRule type="cellIs" dxfId="327" priority="103" operator="equal">
      <formula>"A"</formula>
    </cfRule>
    <cfRule type="cellIs" dxfId="326" priority="104" operator="equal">
      <formula>"P"</formula>
    </cfRule>
    <cfRule type="expression" dxfId="325" priority="105">
      <formula>K$3="Sun"</formula>
    </cfRule>
  </conditionalFormatting>
  <conditionalFormatting sqref="L5:L40">
    <cfRule type="cellIs" dxfId="324" priority="96" operator="equal">
      <formula>"L"</formula>
    </cfRule>
    <cfRule type="expression" dxfId="323" priority="97">
      <formula>L$4=TODAY()</formula>
    </cfRule>
    <cfRule type="cellIs" dxfId="322" priority="98" operator="equal">
      <formula>"A"</formula>
    </cfRule>
    <cfRule type="cellIs" dxfId="321" priority="99" operator="equal">
      <formula>"P"</formula>
    </cfRule>
    <cfRule type="expression" dxfId="320" priority="100">
      <formula>L$3="Sun"</formula>
    </cfRule>
  </conditionalFormatting>
  <conditionalFormatting sqref="N5:N40">
    <cfRule type="cellIs" dxfId="319" priority="91" operator="equal">
      <formula>"L"</formula>
    </cfRule>
    <cfRule type="expression" dxfId="318" priority="92">
      <formula>N$4=TODAY()</formula>
    </cfRule>
    <cfRule type="cellIs" dxfId="317" priority="93" operator="equal">
      <formula>"A"</formula>
    </cfRule>
    <cfRule type="cellIs" dxfId="316" priority="94" operator="equal">
      <formula>"P"</formula>
    </cfRule>
    <cfRule type="expression" dxfId="315" priority="95">
      <formula>N$3="Sun"</formula>
    </cfRule>
  </conditionalFormatting>
  <conditionalFormatting sqref="O5:O40">
    <cfRule type="cellIs" dxfId="314" priority="86" operator="equal">
      <formula>"L"</formula>
    </cfRule>
    <cfRule type="expression" dxfId="313" priority="87">
      <formula>O$4=TODAY()</formula>
    </cfRule>
    <cfRule type="cellIs" dxfId="312" priority="88" operator="equal">
      <formula>"A"</formula>
    </cfRule>
    <cfRule type="cellIs" dxfId="311" priority="89" operator="equal">
      <formula>"P"</formula>
    </cfRule>
    <cfRule type="expression" dxfId="310" priority="90">
      <formula>O$3="Sun"</formula>
    </cfRule>
  </conditionalFormatting>
  <conditionalFormatting sqref="P5:P40">
    <cfRule type="cellIs" dxfId="309" priority="81" operator="equal">
      <formula>"L"</formula>
    </cfRule>
    <cfRule type="expression" dxfId="308" priority="82">
      <formula>P$4=TODAY()</formula>
    </cfRule>
    <cfRule type="cellIs" dxfId="307" priority="83" operator="equal">
      <formula>"A"</formula>
    </cfRule>
    <cfRule type="cellIs" dxfId="306" priority="84" operator="equal">
      <formula>"P"</formula>
    </cfRule>
    <cfRule type="expression" dxfId="305" priority="85">
      <formula>P$3="Sun"</formula>
    </cfRule>
  </conditionalFormatting>
  <conditionalFormatting sqref="Q5:Q40">
    <cfRule type="cellIs" dxfId="304" priority="76" operator="equal">
      <formula>"L"</formula>
    </cfRule>
    <cfRule type="expression" dxfId="303" priority="77">
      <formula>Q$4=TODAY()</formula>
    </cfRule>
    <cfRule type="cellIs" dxfId="302" priority="78" operator="equal">
      <formula>"A"</formula>
    </cfRule>
    <cfRule type="cellIs" dxfId="301" priority="79" operator="equal">
      <formula>"P"</formula>
    </cfRule>
    <cfRule type="expression" dxfId="300" priority="80">
      <formula>Q$3="Sun"</formula>
    </cfRule>
  </conditionalFormatting>
  <conditionalFormatting sqref="R5:R40">
    <cfRule type="cellIs" dxfId="299" priority="71" operator="equal">
      <formula>"L"</formula>
    </cfRule>
    <cfRule type="expression" dxfId="298" priority="72">
      <formula>R$4=TODAY()</formula>
    </cfRule>
    <cfRule type="cellIs" dxfId="297" priority="73" operator="equal">
      <formula>"A"</formula>
    </cfRule>
    <cfRule type="cellIs" dxfId="296" priority="74" operator="equal">
      <formula>"P"</formula>
    </cfRule>
    <cfRule type="expression" dxfId="295" priority="75">
      <formula>R$3="Sun"</formula>
    </cfRule>
  </conditionalFormatting>
  <conditionalFormatting sqref="S5:S40">
    <cfRule type="cellIs" dxfId="294" priority="66" operator="equal">
      <formula>"L"</formula>
    </cfRule>
    <cfRule type="expression" dxfId="293" priority="67">
      <formula>S$4=TODAY()</formula>
    </cfRule>
    <cfRule type="cellIs" dxfId="292" priority="68" operator="equal">
      <formula>"A"</formula>
    </cfRule>
    <cfRule type="cellIs" dxfId="291" priority="69" operator="equal">
      <formula>"P"</formula>
    </cfRule>
    <cfRule type="expression" dxfId="290" priority="70">
      <formula>S$3="Sun"</formula>
    </cfRule>
  </conditionalFormatting>
  <conditionalFormatting sqref="U5:U40">
    <cfRule type="cellIs" dxfId="289" priority="61" operator="equal">
      <formula>"L"</formula>
    </cfRule>
    <cfRule type="expression" dxfId="288" priority="62">
      <formula>U$4=TODAY()</formula>
    </cfRule>
    <cfRule type="cellIs" dxfId="287" priority="63" operator="equal">
      <formula>"A"</formula>
    </cfRule>
    <cfRule type="cellIs" dxfId="286" priority="64" operator="equal">
      <formula>"P"</formula>
    </cfRule>
    <cfRule type="expression" dxfId="285" priority="65">
      <formula>U$3="Sun"</formula>
    </cfRule>
  </conditionalFormatting>
  <conditionalFormatting sqref="V5:V40">
    <cfRule type="cellIs" dxfId="284" priority="56" operator="equal">
      <formula>"L"</formula>
    </cfRule>
    <cfRule type="expression" dxfId="283" priority="57">
      <formula>V$4=TODAY()</formula>
    </cfRule>
    <cfRule type="cellIs" dxfId="282" priority="58" operator="equal">
      <formula>"A"</formula>
    </cfRule>
    <cfRule type="cellIs" dxfId="281" priority="59" operator="equal">
      <formula>"P"</formula>
    </cfRule>
    <cfRule type="expression" dxfId="280" priority="60">
      <formula>V$3="Sun"</formula>
    </cfRule>
  </conditionalFormatting>
  <conditionalFormatting sqref="W5:W40">
    <cfRule type="cellIs" dxfId="279" priority="51" operator="equal">
      <formula>"L"</formula>
    </cfRule>
    <cfRule type="expression" dxfId="278" priority="52">
      <formula>W$4=TODAY()</formula>
    </cfRule>
    <cfRule type="cellIs" dxfId="277" priority="53" operator="equal">
      <formula>"A"</formula>
    </cfRule>
    <cfRule type="cellIs" dxfId="276" priority="54" operator="equal">
      <formula>"P"</formula>
    </cfRule>
    <cfRule type="expression" dxfId="275" priority="55">
      <formula>W$3="Sun"</formula>
    </cfRule>
  </conditionalFormatting>
  <conditionalFormatting sqref="X5:X40">
    <cfRule type="cellIs" dxfId="274" priority="46" operator="equal">
      <formula>"L"</formula>
    </cfRule>
    <cfRule type="expression" dxfId="273" priority="47">
      <formula>X$4=TODAY()</formula>
    </cfRule>
    <cfRule type="cellIs" dxfId="272" priority="48" operator="equal">
      <formula>"A"</formula>
    </cfRule>
    <cfRule type="cellIs" dxfId="271" priority="49" operator="equal">
      <formula>"P"</formula>
    </cfRule>
    <cfRule type="expression" dxfId="270" priority="50">
      <formula>X$3="Sun"</formula>
    </cfRule>
  </conditionalFormatting>
  <conditionalFormatting sqref="Y5:Y40">
    <cfRule type="cellIs" dxfId="269" priority="41" operator="equal">
      <formula>"L"</formula>
    </cfRule>
    <cfRule type="expression" dxfId="268" priority="42">
      <formula>Y$4=TODAY()</formula>
    </cfRule>
    <cfRule type="cellIs" dxfId="267" priority="43" operator="equal">
      <formula>"A"</formula>
    </cfRule>
    <cfRule type="cellIs" dxfId="266" priority="44" operator="equal">
      <formula>"P"</formula>
    </cfRule>
    <cfRule type="expression" dxfId="265" priority="45">
      <formula>Y$3="Sun"</formula>
    </cfRule>
  </conditionalFormatting>
  <conditionalFormatting sqref="Z5:Z40">
    <cfRule type="cellIs" dxfId="264" priority="36" operator="equal">
      <formula>"L"</formula>
    </cfRule>
    <cfRule type="expression" dxfId="263" priority="37">
      <formula>Z$4=TODAY()</formula>
    </cfRule>
    <cfRule type="cellIs" dxfId="262" priority="38" operator="equal">
      <formula>"A"</formula>
    </cfRule>
    <cfRule type="cellIs" dxfId="261" priority="39" operator="equal">
      <formula>"P"</formula>
    </cfRule>
    <cfRule type="expression" dxfId="260" priority="40">
      <formula>Z$3="Sun"</formula>
    </cfRule>
  </conditionalFormatting>
  <conditionalFormatting sqref="AB5:AB40">
    <cfRule type="cellIs" dxfId="259" priority="31" operator="equal">
      <formula>"L"</formula>
    </cfRule>
    <cfRule type="expression" dxfId="258" priority="32">
      <formula>AB$4=TODAY()</formula>
    </cfRule>
    <cfRule type="cellIs" dxfId="257" priority="33" operator="equal">
      <formula>"A"</formula>
    </cfRule>
    <cfRule type="cellIs" dxfId="256" priority="34" operator="equal">
      <formula>"P"</formula>
    </cfRule>
    <cfRule type="expression" dxfId="255" priority="35">
      <formula>AB$3="Sun"</formula>
    </cfRule>
  </conditionalFormatting>
  <conditionalFormatting sqref="AC5:AC40">
    <cfRule type="cellIs" dxfId="254" priority="26" operator="equal">
      <formula>"L"</formula>
    </cfRule>
    <cfRule type="expression" dxfId="253" priority="27">
      <formula>AC$4=TODAY()</formula>
    </cfRule>
    <cfRule type="cellIs" dxfId="252" priority="28" operator="equal">
      <formula>"A"</formula>
    </cfRule>
    <cfRule type="cellIs" dxfId="251" priority="29" operator="equal">
      <formula>"P"</formula>
    </cfRule>
    <cfRule type="expression" dxfId="250" priority="30">
      <formula>AC$3="Sun"</formula>
    </cfRule>
  </conditionalFormatting>
  <conditionalFormatting sqref="AD5:AD40">
    <cfRule type="cellIs" dxfId="249" priority="21" operator="equal">
      <formula>"L"</formula>
    </cfRule>
    <cfRule type="expression" dxfId="248" priority="22">
      <formula>AD$4=TODAY()</formula>
    </cfRule>
    <cfRule type="cellIs" dxfId="247" priority="23" operator="equal">
      <formula>"A"</formula>
    </cfRule>
    <cfRule type="cellIs" dxfId="246" priority="24" operator="equal">
      <formula>"P"</formula>
    </cfRule>
    <cfRule type="expression" dxfId="245" priority="25">
      <formula>AD$3="Sun"</formula>
    </cfRule>
  </conditionalFormatting>
  <conditionalFormatting sqref="AE5:AE40">
    <cfRule type="cellIs" dxfId="244" priority="16" operator="equal">
      <formula>"L"</formula>
    </cfRule>
    <cfRule type="expression" dxfId="243" priority="17">
      <formula>AE$4=TODAY()</formula>
    </cfRule>
    <cfRule type="cellIs" dxfId="242" priority="18" operator="equal">
      <formula>"A"</formula>
    </cfRule>
    <cfRule type="cellIs" dxfId="241" priority="19" operator="equal">
      <formula>"P"</formula>
    </cfRule>
    <cfRule type="expression" dxfId="240" priority="20">
      <formula>AE$3="Sun"</formula>
    </cfRule>
  </conditionalFormatting>
  <conditionalFormatting sqref="AF5:AF40">
    <cfRule type="cellIs" dxfId="239" priority="11" operator="equal">
      <formula>"L"</formula>
    </cfRule>
    <cfRule type="expression" dxfId="238" priority="12">
      <formula>AF$4=TODAY()</formula>
    </cfRule>
    <cfRule type="cellIs" dxfId="237" priority="13" operator="equal">
      <formula>"A"</formula>
    </cfRule>
    <cfRule type="cellIs" dxfId="236" priority="14" operator="equal">
      <formula>"P"</formula>
    </cfRule>
    <cfRule type="expression" dxfId="235" priority="15">
      <formula>AF$3="Sun"</formula>
    </cfRule>
  </conditionalFormatting>
  <conditionalFormatting sqref="AG5:AG40">
    <cfRule type="cellIs" dxfId="234" priority="6" operator="equal">
      <formula>"L"</formula>
    </cfRule>
    <cfRule type="expression" dxfId="233" priority="7">
      <formula>AG$4=TODAY()</formula>
    </cfRule>
    <cfRule type="cellIs" dxfId="232" priority="8" operator="equal">
      <formula>"A"</formula>
    </cfRule>
    <cfRule type="cellIs" dxfId="231" priority="9" operator="equal">
      <formula>"P"</formula>
    </cfRule>
    <cfRule type="expression" dxfId="230" priority="10">
      <formula>AG$3="Sun"</formula>
    </cfRule>
  </conditionalFormatting>
  <conditionalFormatting sqref="AI5:AI40">
    <cfRule type="cellIs" dxfId="229" priority="1" operator="equal">
      <formula>"L"</formula>
    </cfRule>
    <cfRule type="expression" dxfId="228" priority="2">
      <formula>AI$4=TODAY()</formula>
    </cfRule>
    <cfRule type="cellIs" dxfId="227" priority="3" operator="equal">
      <formula>"A"</formula>
    </cfRule>
    <cfRule type="cellIs" dxfId="226" priority="4" operator="equal">
      <formula>"P"</formula>
    </cfRule>
    <cfRule type="expression" dxfId="225" priority="5">
      <formula>AI$3="Sun"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5"/>
  <sheetViews>
    <sheetView zoomScaleNormal="100" workbookViewId="0">
      <selection activeCell="E4" sqref="E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1" t="s">
        <v>78</v>
      </c>
      <c r="C5" s="81" t="s">
        <v>260</v>
      </c>
      <c r="D5" s="5" t="s">
        <v>363</v>
      </c>
      <c r="E5" s="103" t="s">
        <v>24</v>
      </c>
      <c r="F5" s="99" t="s">
        <v>397</v>
      </c>
      <c r="G5" s="103" t="s">
        <v>24</v>
      </c>
      <c r="H5" s="103" t="s">
        <v>24</v>
      </c>
      <c r="I5" s="103" t="s">
        <v>24</v>
      </c>
      <c r="J5" s="103" t="s">
        <v>24</v>
      </c>
      <c r="K5" s="103" t="s">
        <v>24</v>
      </c>
      <c r="L5" s="103" t="s">
        <v>24</v>
      </c>
      <c r="M5" s="99" t="s">
        <v>397</v>
      </c>
      <c r="N5" s="103" t="s">
        <v>24</v>
      </c>
      <c r="O5" s="103" t="s">
        <v>24</v>
      </c>
      <c r="P5" s="103" t="s">
        <v>24</v>
      </c>
      <c r="Q5" s="103" t="s">
        <v>24</v>
      </c>
      <c r="R5" s="103" t="s">
        <v>24</v>
      </c>
      <c r="S5" s="103" t="s">
        <v>24</v>
      </c>
      <c r="T5" s="99" t="s">
        <v>397</v>
      </c>
      <c r="U5" s="103" t="s">
        <v>24</v>
      </c>
      <c r="V5" s="103" t="s">
        <v>24</v>
      </c>
      <c r="W5" s="103" t="s">
        <v>24</v>
      </c>
      <c r="X5" s="103" t="s">
        <v>24</v>
      </c>
      <c r="Y5" s="103" t="s">
        <v>24</v>
      </c>
      <c r="Z5" s="103" t="s">
        <v>24</v>
      </c>
      <c r="AA5" s="99" t="s">
        <v>397</v>
      </c>
      <c r="AB5" s="103" t="s">
        <v>24</v>
      </c>
      <c r="AC5" s="103" t="s">
        <v>24</v>
      </c>
      <c r="AD5" s="103" t="s">
        <v>24</v>
      </c>
      <c r="AE5" s="103" t="s">
        <v>24</v>
      </c>
      <c r="AF5" s="103" t="s">
        <v>24</v>
      </c>
      <c r="AG5" s="103" t="s">
        <v>24</v>
      </c>
      <c r="AH5" s="99" t="s">
        <v>397</v>
      </c>
      <c r="AI5" s="103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81" t="s">
        <v>319</v>
      </c>
      <c r="C6" s="81" t="s">
        <v>284</v>
      </c>
      <c r="D6" s="5" t="s">
        <v>363</v>
      </c>
      <c r="E6" s="103" t="s">
        <v>24</v>
      </c>
      <c r="F6" s="100"/>
      <c r="G6" s="103" t="s">
        <v>24</v>
      </c>
      <c r="H6" s="103" t="s">
        <v>24</v>
      </c>
      <c r="I6" s="103" t="s">
        <v>24</v>
      </c>
      <c r="J6" s="103" t="s">
        <v>24</v>
      </c>
      <c r="K6" s="103" t="s">
        <v>24</v>
      </c>
      <c r="L6" s="103" t="s">
        <v>24</v>
      </c>
      <c r="M6" s="100"/>
      <c r="N6" s="103" t="s">
        <v>24</v>
      </c>
      <c r="O6" s="103" t="s">
        <v>24</v>
      </c>
      <c r="P6" s="103" t="s">
        <v>24</v>
      </c>
      <c r="Q6" s="103" t="s">
        <v>24</v>
      </c>
      <c r="R6" s="103" t="s">
        <v>24</v>
      </c>
      <c r="S6" s="103" t="s">
        <v>24</v>
      </c>
      <c r="T6" s="100"/>
      <c r="U6" s="103" t="s">
        <v>24</v>
      </c>
      <c r="V6" s="103" t="s">
        <v>24</v>
      </c>
      <c r="W6" s="103" t="s">
        <v>24</v>
      </c>
      <c r="X6" s="103" t="s">
        <v>24</v>
      </c>
      <c r="Y6" s="103" t="s">
        <v>24</v>
      </c>
      <c r="Z6" s="103" t="s">
        <v>24</v>
      </c>
      <c r="AA6" s="100"/>
      <c r="AB6" s="103" t="s">
        <v>24</v>
      </c>
      <c r="AC6" s="103" t="s">
        <v>24</v>
      </c>
      <c r="AD6" s="103" t="s">
        <v>24</v>
      </c>
      <c r="AE6" s="103" t="s">
        <v>24</v>
      </c>
      <c r="AF6" s="103" t="s">
        <v>24</v>
      </c>
      <c r="AG6" s="103" t="s">
        <v>24</v>
      </c>
      <c r="AH6" s="100"/>
      <c r="AI6" s="103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81" t="s">
        <v>47</v>
      </c>
      <c r="C7" s="81" t="s">
        <v>253</v>
      </c>
      <c r="D7" s="5" t="s">
        <v>363</v>
      </c>
      <c r="E7" s="103" t="s">
        <v>24</v>
      </c>
      <c r="F7" s="100"/>
      <c r="G7" s="103" t="s">
        <v>24</v>
      </c>
      <c r="H7" s="103" t="s">
        <v>24</v>
      </c>
      <c r="I7" s="103" t="s">
        <v>24</v>
      </c>
      <c r="J7" s="103" t="s">
        <v>24</v>
      </c>
      <c r="K7" s="103" t="s">
        <v>24</v>
      </c>
      <c r="L7" s="103" t="s">
        <v>24</v>
      </c>
      <c r="M7" s="100"/>
      <c r="N7" s="103" t="s">
        <v>24</v>
      </c>
      <c r="O7" s="103" t="s">
        <v>24</v>
      </c>
      <c r="P7" s="103" t="s">
        <v>24</v>
      </c>
      <c r="Q7" s="103" t="s">
        <v>24</v>
      </c>
      <c r="R7" s="103" t="s">
        <v>24</v>
      </c>
      <c r="S7" s="103" t="s">
        <v>24</v>
      </c>
      <c r="T7" s="100"/>
      <c r="U7" s="103" t="s">
        <v>24</v>
      </c>
      <c r="V7" s="103" t="s">
        <v>24</v>
      </c>
      <c r="W7" s="103" t="s">
        <v>24</v>
      </c>
      <c r="X7" s="103" t="s">
        <v>24</v>
      </c>
      <c r="Y7" s="103" t="s">
        <v>24</v>
      </c>
      <c r="Z7" s="103" t="s">
        <v>24</v>
      </c>
      <c r="AA7" s="100"/>
      <c r="AB7" s="103" t="s">
        <v>24</v>
      </c>
      <c r="AC7" s="103" t="s">
        <v>24</v>
      </c>
      <c r="AD7" s="103" t="s">
        <v>24</v>
      </c>
      <c r="AE7" s="103" t="s">
        <v>24</v>
      </c>
      <c r="AF7" s="103" t="s">
        <v>24</v>
      </c>
      <c r="AG7" s="103" t="s">
        <v>24</v>
      </c>
      <c r="AH7" s="100"/>
      <c r="AI7" s="103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81" t="s">
        <v>320</v>
      </c>
      <c r="C8" s="81" t="s">
        <v>302</v>
      </c>
      <c r="D8" s="5" t="s">
        <v>363</v>
      </c>
      <c r="E8" s="103" t="s">
        <v>24</v>
      </c>
      <c r="F8" s="100"/>
      <c r="G8" s="103" t="s">
        <v>24</v>
      </c>
      <c r="H8" s="103" t="s">
        <v>24</v>
      </c>
      <c r="I8" s="103" t="s">
        <v>24</v>
      </c>
      <c r="J8" s="103" t="s">
        <v>24</v>
      </c>
      <c r="K8" s="103" t="s">
        <v>24</v>
      </c>
      <c r="L8" s="103" t="s">
        <v>24</v>
      </c>
      <c r="M8" s="100"/>
      <c r="N8" s="103" t="s">
        <v>24</v>
      </c>
      <c r="O8" s="103" t="s">
        <v>24</v>
      </c>
      <c r="P8" s="103" t="s">
        <v>24</v>
      </c>
      <c r="Q8" s="103" t="s">
        <v>24</v>
      </c>
      <c r="R8" s="103" t="s">
        <v>24</v>
      </c>
      <c r="S8" s="103" t="s">
        <v>24</v>
      </c>
      <c r="T8" s="100"/>
      <c r="U8" s="103" t="s">
        <v>24</v>
      </c>
      <c r="V8" s="103" t="s">
        <v>24</v>
      </c>
      <c r="W8" s="103" t="s">
        <v>24</v>
      </c>
      <c r="X8" s="103" t="s">
        <v>24</v>
      </c>
      <c r="Y8" s="103" t="s">
        <v>24</v>
      </c>
      <c r="Z8" s="103" t="s">
        <v>24</v>
      </c>
      <c r="AA8" s="100"/>
      <c r="AB8" s="103" t="s">
        <v>24</v>
      </c>
      <c r="AC8" s="103" t="s">
        <v>24</v>
      </c>
      <c r="AD8" s="103" t="s">
        <v>24</v>
      </c>
      <c r="AE8" s="103" t="s">
        <v>24</v>
      </c>
      <c r="AF8" s="103" t="s">
        <v>24</v>
      </c>
      <c r="AG8" s="103" t="s">
        <v>24</v>
      </c>
      <c r="AH8" s="100"/>
      <c r="AI8" s="103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81" t="s">
        <v>321</v>
      </c>
      <c r="C9" s="81" t="s">
        <v>120</v>
      </c>
      <c r="D9" s="5" t="s">
        <v>363</v>
      </c>
      <c r="E9" s="103" t="s">
        <v>24</v>
      </c>
      <c r="F9" s="100"/>
      <c r="G9" s="103" t="s">
        <v>24</v>
      </c>
      <c r="H9" s="103" t="s">
        <v>24</v>
      </c>
      <c r="I9" s="103" t="s">
        <v>24</v>
      </c>
      <c r="J9" s="103" t="s">
        <v>24</v>
      </c>
      <c r="K9" s="103" t="s">
        <v>24</v>
      </c>
      <c r="L9" s="103" t="s">
        <v>24</v>
      </c>
      <c r="M9" s="100"/>
      <c r="N9" s="103" t="s">
        <v>24</v>
      </c>
      <c r="O9" s="103" t="s">
        <v>24</v>
      </c>
      <c r="P9" s="103" t="s">
        <v>24</v>
      </c>
      <c r="Q9" s="103" t="s">
        <v>24</v>
      </c>
      <c r="R9" s="103" t="s">
        <v>24</v>
      </c>
      <c r="S9" s="103" t="s">
        <v>24</v>
      </c>
      <c r="T9" s="100"/>
      <c r="U9" s="103" t="s">
        <v>24</v>
      </c>
      <c r="V9" s="103" t="s">
        <v>24</v>
      </c>
      <c r="W9" s="103" t="s">
        <v>24</v>
      </c>
      <c r="X9" s="103" t="s">
        <v>24</v>
      </c>
      <c r="Y9" s="103" t="s">
        <v>24</v>
      </c>
      <c r="Z9" s="103" t="s">
        <v>24</v>
      </c>
      <c r="AA9" s="100"/>
      <c r="AB9" s="103" t="s">
        <v>24</v>
      </c>
      <c r="AC9" s="103" t="s">
        <v>24</v>
      </c>
      <c r="AD9" s="103" t="s">
        <v>24</v>
      </c>
      <c r="AE9" s="103" t="s">
        <v>24</v>
      </c>
      <c r="AF9" s="103" t="s">
        <v>24</v>
      </c>
      <c r="AG9" s="103" t="s">
        <v>24</v>
      </c>
      <c r="AH9" s="100"/>
      <c r="AI9" s="103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81" t="s">
        <v>322</v>
      </c>
      <c r="C10" s="81" t="s">
        <v>323</v>
      </c>
      <c r="D10" s="5" t="s">
        <v>363</v>
      </c>
      <c r="E10" s="103" t="s">
        <v>24</v>
      </c>
      <c r="F10" s="100"/>
      <c r="G10" s="103" t="s">
        <v>24</v>
      </c>
      <c r="H10" s="103" t="s">
        <v>24</v>
      </c>
      <c r="I10" s="103" t="s">
        <v>24</v>
      </c>
      <c r="J10" s="103" t="s">
        <v>24</v>
      </c>
      <c r="K10" s="103" t="s">
        <v>24</v>
      </c>
      <c r="L10" s="103" t="s">
        <v>24</v>
      </c>
      <c r="M10" s="100"/>
      <c r="N10" s="103" t="s">
        <v>24</v>
      </c>
      <c r="O10" s="103" t="s">
        <v>24</v>
      </c>
      <c r="P10" s="103" t="s">
        <v>24</v>
      </c>
      <c r="Q10" s="103" t="s">
        <v>24</v>
      </c>
      <c r="R10" s="103" t="s">
        <v>24</v>
      </c>
      <c r="S10" s="103" t="s">
        <v>24</v>
      </c>
      <c r="T10" s="100"/>
      <c r="U10" s="103" t="s">
        <v>24</v>
      </c>
      <c r="V10" s="103" t="s">
        <v>24</v>
      </c>
      <c r="W10" s="103" t="s">
        <v>24</v>
      </c>
      <c r="X10" s="103" t="s">
        <v>24</v>
      </c>
      <c r="Y10" s="103" t="s">
        <v>24</v>
      </c>
      <c r="Z10" s="103" t="s">
        <v>24</v>
      </c>
      <c r="AA10" s="100"/>
      <c r="AB10" s="103" t="s">
        <v>24</v>
      </c>
      <c r="AC10" s="103" t="s">
        <v>24</v>
      </c>
      <c r="AD10" s="103" t="s">
        <v>24</v>
      </c>
      <c r="AE10" s="103" t="s">
        <v>24</v>
      </c>
      <c r="AF10" s="103" t="s">
        <v>24</v>
      </c>
      <c r="AG10" s="103" t="s">
        <v>24</v>
      </c>
      <c r="AH10" s="100"/>
      <c r="AI10" s="103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81" t="s">
        <v>324</v>
      </c>
      <c r="C11" s="81" t="s">
        <v>268</v>
      </c>
      <c r="D11" s="5" t="s">
        <v>363</v>
      </c>
      <c r="E11" s="103" t="s">
        <v>24</v>
      </c>
      <c r="F11" s="100"/>
      <c r="G11" s="103" t="s">
        <v>24</v>
      </c>
      <c r="H11" s="103" t="s">
        <v>24</v>
      </c>
      <c r="I11" s="103" t="s">
        <v>24</v>
      </c>
      <c r="J11" s="103" t="s">
        <v>24</v>
      </c>
      <c r="K11" s="103" t="s">
        <v>24</v>
      </c>
      <c r="L11" s="103" t="s">
        <v>24</v>
      </c>
      <c r="M11" s="100"/>
      <c r="N11" s="103" t="s">
        <v>24</v>
      </c>
      <c r="O11" s="103" t="s">
        <v>24</v>
      </c>
      <c r="P11" s="103" t="s">
        <v>24</v>
      </c>
      <c r="Q11" s="103" t="s">
        <v>24</v>
      </c>
      <c r="R11" s="103" t="s">
        <v>24</v>
      </c>
      <c r="S11" s="103" t="s">
        <v>24</v>
      </c>
      <c r="T11" s="100"/>
      <c r="U11" s="103" t="s">
        <v>24</v>
      </c>
      <c r="V11" s="103" t="s">
        <v>24</v>
      </c>
      <c r="W11" s="103" t="s">
        <v>24</v>
      </c>
      <c r="X11" s="103" t="s">
        <v>24</v>
      </c>
      <c r="Y11" s="103" t="s">
        <v>24</v>
      </c>
      <c r="Z11" s="103" t="s">
        <v>24</v>
      </c>
      <c r="AA11" s="100"/>
      <c r="AB11" s="103" t="s">
        <v>24</v>
      </c>
      <c r="AC11" s="103" t="s">
        <v>24</v>
      </c>
      <c r="AD11" s="103" t="s">
        <v>24</v>
      </c>
      <c r="AE11" s="103" t="s">
        <v>24</v>
      </c>
      <c r="AF11" s="103" t="s">
        <v>24</v>
      </c>
      <c r="AG11" s="103" t="s">
        <v>24</v>
      </c>
      <c r="AH11" s="100"/>
      <c r="AI11" s="103" t="s">
        <v>24</v>
      </c>
      <c r="AJ11" s="4">
        <f t="shared" si="1"/>
        <v>26</v>
      </c>
      <c r="AK11" s="4">
        <f t="shared" si="2"/>
        <v>0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81" t="s">
        <v>325</v>
      </c>
      <c r="C12" s="81" t="s">
        <v>203</v>
      </c>
      <c r="D12" s="5" t="s">
        <v>363</v>
      </c>
      <c r="E12" s="103" t="s">
        <v>24</v>
      </c>
      <c r="F12" s="100"/>
      <c r="G12" s="103" t="s">
        <v>24</v>
      </c>
      <c r="H12" s="103" t="s">
        <v>24</v>
      </c>
      <c r="I12" s="103" t="s">
        <v>24</v>
      </c>
      <c r="J12" s="103" t="s">
        <v>24</v>
      </c>
      <c r="K12" s="103" t="s">
        <v>24</v>
      </c>
      <c r="L12" s="103" t="s">
        <v>24</v>
      </c>
      <c r="M12" s="100"/>
      <c r="N12" s="103" t="s">
        <v>24</v>
      </c>
      <c r="O12" s="103" t="s">
        <v>24</v>
      </c>
      <c r="P12" s="103" t="s">
        <v>24</v>
      </c>
      <c r="Q12" s="103" t="s">
        <v>24</v>
      </c>
      <c r="R12" s="103" t="s">
        <v>24</v>
      </c>
      <c r="S12" s="103" t="s">
        <v>24</v>
      </c>
      <c r="T12" s="100"/>
      <c r="U12" s="103" t="s">
        <v>24</v>
      </c>
      <c r="V12" s="103" t="s">
        <v>24</v>
      </c>
      <c r="W12" s="103" t="s">
        <v>24</v>
      </c>
      <c r="X12" s="103" t="s">
        <v>24</v>
      </c>
      <c r="Y12" s="103" t="s">
        <v>24</v>
      </c>
      <c r="Z12" s="103" t="s">
        <v>24</v>
      </c>
      <c r="AA12" s="100"/>
      <c r="AB12" s="103" t="s">
        <v>24</v>
      </c>
      <c r="AC12" s="103" t="s">
        <v>24</v>
      </c>
      <c r="AD12" s="103" t="s">
        <v>24</v>
      </c>
      <c r="AE12" s="103" t="s">
        <v>24</v>
      </c>
      <c r="AF12" s="103" t="s">
        <v>24</v>
      </c>
      <c r="AG12" s="103" t="s">
        <v>24</v>
      </c>
      <c r="AH12" s="100"/>
      <c r="AI12" s="103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81" t="s">
        <v>326</v>
      </c>
      <c r="C13" s="81" t="s">
        <v>203</v>
      </c>
      <c r="D13" s="5" t="s">
        <v>363</v>
      </c>
      <c r="E13" s="103" t="s">
        <v>24</v>
      </c>
      <c r="F13" s="100"/>
      <c r="G13" s="103" t="s">
        <v>24</v>
      </c>
      <c r="H13" s="103" t="s">
        <v>24</v>
      </c>
      <c r="I13" s="103" t="s">
        <v>24</v>
      </c>
      <c r="J13" s="103" t="s">
        <v>24</v>
      </c>
      <c r="K13" s="103" t="s">
        <v>24</v>
      </c>
      <c r="L13" s="103" t="s">
        <v>24</v>
      </c>
      <c r="M13" s="100"/>
      <c r="N13" s="103" t="s">
        <v>24</v>
      </c>
      <c r="O13" s="103" t="s">
        <v>24</v>
      </c>
      <c r="P13" s="103" t="s">
        <v>24</v>
      </c>
      <c r="Q13" s="103" t="s">
        <v>24</v>
      </c>
      <c r="R13" s="103" t="s">
        <v>24</v>
      </c>
      <c r="S13" s="103" t="s">
        <v>24</v>
      </c>
      <c r="T13" s="100"/>
      <c r="U13" s="103" t="s">
        <v>24</v>
      </c>
      <c r="V13" s="103" t="s">
        <v>24</v>
      </c>
      <c r="W13" s="103" t="s">
        <v>24</v>
      </c>
      <c r="X13" s="103" t="s">
        <v>24</v>
      </c>
      <c r="Y13" s="103" t="s">
        <v>24</v>
      </c>
      <c r="Z13" s="103" t="s">
        <v>24</v>
      </c>
      <c r="AA13" s="100"/>
      <c r="AB13" s="103" t="s">
        <v>24</v>
      </c>
      <c r="AC13" s="103" t="s">
        <v>24</v>
      </c>
      <c r="AD13" s="103" t="s">
        <v>24</v>
      </c>
      <c r="AE13" s="103" t="s">
        <v>24</v>
      </c>
      <c r="AF13" s="103" t="s">
        <v>24</v>
      </c>
      <c r="AG13" s="103" t="s">
        <v>24</v>
      </c>
      <c r="AH13" s="100"/>
      <c r="AI13" s="103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81" t="s">
        <v>327</v>
      </c>
      <c r="C14" s="81" t="s">
        <v>140</v>
      </c>
      <c r="D14" s="5" t="s">
        <v>363</v>
      </c>
      <c r="E14" s="103" t="s">
        <v>24</v>
      </c>
      <c r="F14" s="100"/>
      <c r="G14" s="103" t="s">
        <v>24</v>
      </c>
      <c r="H14" s="103" t="s">
        <v>24</v>
      </c>
      <c r="I14" s="103" t="s">
        <v>24</v>
      </c>
      <c r="J14" s="103" t="s">
        <v>24</v>
      </c>
      <c r="K14" s="103" t="s">
        <v>24</v>
      </c>
      <c r="L14" s="103" t="s">
        <v>24</v>
      </c>
      <c r="M14" s="100"/>
      <c r="N14" s="103" t="s">
        <v>24</v>
      </c>
      <c r="O14" s="103" t="s">
        <v>24</v>
      </c>
      <c r="P14" s="103" t="s">
        <v>24</v>
      </c>
      <c r="Q14" s="103" t="s">
        <v>24</v>
      </c>
      <c r="R14" s="103" t="s">
        <v>24</v>
      </c>
      <c r="S14" s="103" t="s">
        <v>24</v>
      </c>
      <c r="T14" s="100"/>
      <c r="U14" s="103" t="s">
        <v>24</v>
      </c>
      <c r="V14" s="103" t="s">
        <v>24</v>
      </c>
      <c r="W14" s="103" t="s">
        <v>24</v>
      </c>
      <c r="X14" s="103" t="s">
        <v>24</v>
      </c>
      <c r="Y14" s="103" t="s">
        <v>24</v>
      </c>
      <c r="Z14" s="103" t="s">
        <v>24</v>
      </c>
      <c r="AA14" s="100"/>
      <c r="AB14" s="103" t="s">
        <v>24</v>
      </c>
      <c r="AC14" s="103" t="s">
        <v>24</v>
      </c>
      <c r="AD14" s="103" t="s">
        <v>24</v>
      </c>
      <c r="AE14" s="103" t="s">
        <v>24</v>
      </c>
      <c r="AF14" s="103" t="s">
        <v>24</v>
      </c>
      <c r="AG14" s="103" t="s">
        <v>24</v>
      </c>
      <c r="AH14" s="100"/>
      <c r="AI14" s="103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81" t="s">
        <v>328</v>
      </c>
      <c r="C15" s="81" t="s">
        <v>236</v>
      </c>
      <c r="D15" s="5" t="s">
        <v>363</v>
      </c>
      <c r="E15" s="103" t="s">
        <v>24</v>
      </c>
      <c r="F15" s="100"/>
      <c r="G15" s="103" t="s">
        <v>24</v>
      </c>
      <c r="H15" s="103" t="s">
        <v>24</v>
      </c>
      <c r="I15" s="103" t="s">
        <v>24</v>
      </c>
      <c r="J15" s="103" t="s">
        <v>24</v>
      </c>
      <c r="K15" s="103" t="s">
        <v>24</v>
      </c>
      <c r="L15" s="103" t="s">
        <v>24</v>
      </c>
      <c r="M15" s="100"/>
      <c r="N15" s="103" t="s">
        <v>24</v>
      </c>
      <c r="O15" s="103" t="s">
        <v>24</v>
      </c>
      <c r="P15" s="103" t="s">
        <v>24</v>
      </c>
      <c r="Q15" s="103" t="s">
        <v>24</v>
      </c>
      <c r="R15" s="103" t="s">
        <v>24</v>
      </c>
      <c r="S15" s="103" t="s">
        <v>24</v>
      </c>
      <c r="T15" s="100"/>
      <c r="U15" s="103" t="s">
        <v>24</v>
      </c>
      <c r="V15" s="103" t="s">
        <v>24</v>
      </c>
      <c r="W15" s="103" t="s">
        <v>24</v>
      </c>
      <c r="X15" s="103" t="s">
        <v>24</v>
      </c>
      <c r="Y15" s="103" t="s">
        <v>24</v>
      </c>
      <c r="Z15" s="103" t="s">
        <v>24</v>
      </c>
      <c r="AA15" s="100"/>
      <c r="AB15" s="103" t="s">
        <v>24</v>
      </c>
      <c r="AC15" s="103" t="s">
        <v>24</v>
      </c>
      <c r="AD15" s="103" t="s">
        <v>24</v>
      </c>
      <c r="AE15" s="103" t="s">
        <v>24</v>
      </c>
      <c r="AF15" s="103" t="s">
        <v>24</v>
      </c>
      <c r="AG15" s="103" t="s">
        <v>24</v>
      </c>
      <c r="AH15" s="100"/>
      <c r="AI15" s="103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81" t="s">
        <v>329</v>
      </c>
      <c r="C16" s="81" t="s">
        <v>330</v>
      </c>
      <c r="D16" s="5" t="s">
        <v>363</v>
      </c>
      <c r="E16" s="103" t="s">
        <v>24</v>
      </c>
      <c r="F16" s="100"/>
      <c r="G16" s="103" t="s">
        <v>24</v>
      </c>
      <c r="H16" s="103" t="s">
        <v>24</v>
      </c>
      <c r="I16" s="103" t="s">
        <v>24</v>
      </c>
      <c r="J16" s="103" t="s">
        <v>24</v>
      </c>
      <c r="K16" s="103" t="s">
        <v>24</v>
      </c>
      <c r="L16" s="103" t="s">
        <v>24</v>
      </c>
      <c r="M16" s="100"/>
      <c r="N16" s="103" t="s">
        <v>24</v>
      </c>
      <c r="O16" s="103" t="s">
        <v>24</v>
      </c>
      <c r="P16" s="103" t="s">
        <v>24</v>
      </c>
      <c r="Q16" s="103" t="s">
        <v>24</v>
      </c>
      <c r="R16" s="103" t="s">
        <v>24</v>
      </c>
      <c r="S16" s="103" t="s">
        <v>24</v>
      </c>
      <c r="T16" s="100"/>
      <c r="U16" s="103" t="s">
        <v>24</v>
      </c>
      <c r="V16" s="103" t="s">
        <v>24</v>
      </c>
      <c r="W16" s="103" t="s">
        <v>24</v>
      </c>
      <c r="X16" s="103" t="s">
        <v>24</v>
      </c>
      <c r="Y16" s="103" t="s">
        <v>24</v>
      </c>
      <c r="Z16" s="103" t="s">
        <v>24</v>
      </c>
      <c r="AA16" s="100"/>
      <c r="AB16" s="103" t="s">
        <v>24</v>
      </c>
      <c r="AC16" s="103" t="s">
        <v>24</v>
      </c>
      <c r="AD16" s="103" t="s">
        <v>24</v>
      </c>
      <c r="AE16" s="103" t="s">
        <v>24</v>
      </c>
      <c r="AF16" s="103" t="s">
        <v>24</v>
      </c>
      <c r="AG16" s="103" t="s">
        <v>24</v>
      </c>
      <c r="AH16" s="100"/>
      <c r="AI16" s="103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81" t="s">
        <v>331</v>
      </c>
      <c r="C17" s="81" t="s">
        <v>116</v>
      </c>
      <c r="D17" s="5" t="s">
        <v>363</v>
      </c>
      <c r="E17" s="103" t="s">
        <v>24</v>
      </c>
      <c r="F17" s="100"/>
      <c r="G17" s="103" t="s">
        <v>24</v>
      </c>
      <c r="H17" s="103" t="s">
        <v>24</v>
      </c>
      <c r="I17" s="103" t="s">
        <v>24</v>
      </c>
      <c r="J17" s="103" t="s">
        <v>24</v>
      </c>
      <c r="K17" s="103" t="s">
        <v>24</v>
      </c>
      <c r="L17" s="103" t="s">
        <v>24</v>
      </c>
      <c r="M17" s="100"/>
      <c r="N17" s="103" t="s">
        <v>24</v>
      </c>
      <c r="O17" s="103" t="s">
        <v>24</v>
      </c>
      <c r="P17" s="103" t="s">
        <v>24</v>
      </c>
      <c r="Q17" s="103" t="s">
        <v>24</v>
      </c>
      <c r="R17" s="103" t="s">
        <v>24</v>
      </c>
      <c r="S17" s="103" t="s">
        <v>24</v>
      </c>
      <c r="T17" s="100"/>
      <c r="U17" s="103" t="s">
        <v>24</v>
      </c>
      <c r="V17" s="103" t="s">
        <v>24</v>
      </c>
      <c r="W17" s="103" t="s">
        <v>24</v>
      </c>
      <c r="X17" s="103" t="s">
        <v>24</v>
      </c>
      <c r="Y17" s="103" t="s">
        <v>24</v>
      </c>
      <c r="Z17" s="103" t="s">
        <v>24</v>
      </c>
      <c r="AA17" s="100"/>
      <c r="AB17" s="103" t="s">
        <v>24</v>
      </c>
      <c r="AC17" s="103" t="s">
        <v>24</v>
      </c>
      <c r="AD17" s="103" t="s">
        <v>24</v>
      </c>
      <c r="AE17" s="103" t="s">
        <v>24</v>
      </c>
      <c r="AF17" s="103" t="s">
        <v>24</v>
      </c>
      <c r="AG17" s="103" t="s">
        <v>24</v>
      </c>
      <c r="AH17" s="100"/>
      <c r="AI17" s="103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81" t="s">
        <v>172</v>
      </c>
      <c r="C18" s="81" t="s">
        <v>332</v>
      </c>
      <c r="D18" s="5" t="s">
        <v>363</v>
      </c>
      <c r="E18" s="103" t="s">
        <v>24</v>
      </c>
      <c r="F18" s="100"/>
      <c r="G18" s="103" t="s">
        <v>24</v>
      </c>
      <c r="H18" s="103" t="s">
        <v>24</v>
      </c>
      <c r="I18" s="103" t="s">
        <v>24</v>
      </c>
      <c r="J18" s="103" t="s">
        <v>24</v>
      </c>
      <c r="K18" s="103" t="s">
        <v>24</v>
      </c>
      <c r="L18" s="103" t="s">
        <v>24</v>
      </c>
      <c r="M18" s="100"/>
      <c r="N18" s="103" t="s">
        <v>24</v>
      </c>
      <c r="O18" s="103" t="s">
        <v>24</v>
      </c>
      <c r="P18" s="103" t="s">
        <v>24</v>
      </c>
      <c r="Q18" s="103" t="s">
        <v>24</v>
      </c>
      <c r="R18" s="103" t="s">
        <v>24</v>
      </c>
      <c r="S18" s="103" t="s">
        <v>24</v>
      </c>
      <c r="T18" s="100"/>
      <c r="U18" s="103" t="s">
        <v>24</v>
      </c>
      <c r="V18" s="103" t="s">
        <v>24</v>
      </c>
      <c r="W18" s="103" t="s">
        <v>24</v>
      </c>
      <c r="X18" s="103" t="s">
        <v>24</v>
      </c>
      <c r="Y18" s="103" t="s">
        <v>24</v>
      </c>
      <c r="Z18" s="103" t="s">
        <v>24</v>
      </c>
      <c r="AA18" s="100"/>
      <c r="AB18" s="103" t="s">
        <v>24</v>
      </c>
      <c r="AC18" s="103" t="s">
        <v>24</v>
      </c>
      <c r="AD18" s="103" t="s">
        <v>24</v>
      </c>
      <c r="AE18" s="103" t="s">
        <v>24</v>
      </c>
      <c r="AF18" s="103" t="s">
        <v>24</v>
      </c>
      <c r="AG18" s="103" t="s">
        <v>24</v>
      </c>
      <c r="AH18" s="100"/>
      <c r="AI18" s="103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81" t="s">
        <v>333</v>
      </c>
      <c r="C19" s="81" t="s">
        <v>306</v>
      </c>
      <c r="D19" s="5" t="s">
        <v>363</v>
      </c>
      <c r="E19" s="103" t="s">
        <v>24</v>
      </c>
      <c r="F19" s="100"/>
      <c r="G19" s="103" t="s">
        <v>24</v>
      </c>
      <c r="H19" s="103" t="s">
        <v>24</v>
      </c>
      <c r="I19" s="103" t="s">
        <v>24</v>
      </c>
      <c r="J19" s="103" t="s">
        <v>24</v>
      </c>
      <c r="K19" s="103" t="s">
        <v>24</v>
      </c>
      <c r="L19" s="103" t="s">
        <v>24</v>
      </c>
      <c r="M19" s="100"/>
      <c r="N19" s="103" t="s">
        <v>24</v>
      </c>
      <c r="O19" s="103" t="s">
        <v>24</v>
      </c>
      <c r="P19" s="103" t="s">
        <v>24</v>
      </c>
      <c r="Q19" s="103" t="s">
        <v>24</v>
      </c>
      <c r="R19" s="103" t="s">
        <v>24</v>
      </c>
      <c r="S19" s="103" t="s">
        <v>24</v>
      </c>
      <c r="T19" s="100"/>
      <c r="U19" s="103" t="s">
        <v>24</v>
      </c>
      <c r="V19" s="103" t="s">
        <v>24</v>
      </c>
      <c r="W19" s="103" t="s">
        <v>24</v>
      </c>
      <c r="X19" s="103" t="s">
        <v>24</v>
      </c>
      <c r="Y19" s="103" t="s">
        <v>24</v>
      </c>
      <c r="Z19" s="103" t="s">
        <v>24</v>
      </c>
      <c r="AA19" s="100"/>
      <c r="AB19" s="103" t="s">
        <v>24</v>
      </c>
      <c r="AC19" s="103" t="s">
        <v>24</v>
      </c>
      <c r="AD19" s="103" t="s">
        <v>24</v>
      </c>
      <c r="AE19" s="103" t="s">
        <v>24</v>
      </c>
      <c r="AF19" s="103" t="s">
        <v>24</v>
      </c>
      <c r="AG19" s="103" t="s">
        <v>24</v>
      </c>
      <c r="AH19" s="100"/>
      <c r="AI19" s="103" t="s">
        <v>24</v>
      </c>
      <c r="AJ19" s="4">
        <f t="shared" si="1"/>
        <v>26</v>
      </c>
      <c r="AK19" s="4">
        <f t="shared" si="2"/>
        <v>0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81" t="s">
        <v>334</v>
      </c>
      <c r="C20" s="81" t="s">
        <v>169</v>
      </c>
      <c r="D20" s="5" t="s">
        <v>363</v>
      </c>
      <c r="E20" s="103" t="s">
        <v>24</v>
      </c>
      <c r="F20" s="100"/>
      <c r="G20" s="103" t="s">
        <v>24</v>
      </c>
      <c r="H20" s="103" t="s">
        <v>24</v>
      </c>
      <c r="I20" s="103" t="s">
        <v>24</v>
      </c>
      <c r="J20" s="103" t="s">
        <v>24</v>
      </c>
      <c r="K20" s="103" t="s">
        <v>24</v>
      </c>
      <c r="L20" s="103" t="s">
        <v>24</v>
      </c>
      <c r="M20" s="100"/>
      <c r="N20" s="103" t="s">
        <v>24</v>
      </c>
      <c r="O20" s="103" t="s">
        <v>24</v>
      </c>
      <c r="P20" s="103" t="s">
        <v>24</v>
      </c>
      <c r="Q20" s="103" t="s">
        <v>24</v>
      </c>
      <c r="R20" s="103" t="s">
        <v>24</v>
      </c>
      <c r="S20" s="103" t="s">
        <v>24</v>
      </c>
      <c r="T20" s="100"/>
      <c r="U20" s="103" t="s">
        <v>24</v>
      </c>
      <c r="V20" s="103" t="s">
        <v>24</v>
      </c>
      <c r="W20" s="103" t="s">
        <v>24</v>
      </c>
      <c r="X20" s="103" t="s">
        <v>24</v>
      </c>
      <c r="Y20" s="103" t="s">
        <v>24</v>
      </c>
      <c r="Z20" s="103" t="s">
        <v>24</v>
      </c>
      <c r="AA20" s="100"/>
      <c r="AB20" s="103" t="s">
        <v>24</v>
      </c>
      <c r="AC20" s="103" t="s">
        <v>24</v>
      </c>
      <c r="AD20" s="103" t="s">
        <v>24</v>
      </c>
      <c r="AE20" s="103" t="s">
        <v>24</v>
      </c>
      <c r="AF20" s="103" t="s">
        <v>24</v>
      </c>
      <c r="AG20" s="103" t="s">
        <v>24</v>
      </c>
      <c r="AH20" s="100"/>
      <c r="AI20" s="103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81" t="s">
        <v>328</v>
      </c>
      <c r="C21" s="81" t="s">
        <v>218</v>
      </c>
      <c r="D21" s="5" t="s">
        <v>363</v>
      </c>
      <c r="E21" s="103" t="s">
        <v>24</v>
      </c>
      <c r="F21" s="100"/>
      <c r="G21" s="103" t="s">
        <v>24</v>
      </c>
      <c r="H21" s="103" t="s">
        <v>24</v>
      </c>
      <c r="I21" s="103" t="s">
        <v>24</v>
      </c>
      <c r="J21" s="103" t="s">
        <v>24</v>
      </c>
      <c r="K21" s="103" t="s">
        <v>24</v>
      </c>
      <c r="L21" s="103" t="s">
        <v>24</v>
      </c>
      <c r="M21" s="100"/>
      <c r="N21" s="103" t="s">
        <v>24</v>
      </c>
      <c r="O21" s="103" t="s">
        <v>24</v>
      </c>
      <c r="P21" s="103" t="s">
        <v>24</v>
      </c>
      <c r="Q21" s="103" t="s">
        <v>24</v>
      </c>
      <c r="R21" s="103" t="s">
        <v>24</v>
      </c>
      <c r="S21" s="103" t="s">
        <v>24</v>
      </c>
      <c r="T21" s="100"/>
      <c r="U21" s="103" t="s">
        <v>24</v>
      </c>
      <c r="V21" s="103" t="s">
        <v>24</v>
      </c>
      <c r="W21" s="103" t="s">
        <v>24</v>
      </c>
      <c r="X21" s="103" t="s">
        <v>24</v>
      </c>
      <c r="Y21" s="103" t="s">
        <v>24</v>
      </c>
      <c r="Z21" s="103" t="s">
        <v>24</v>
      </c>
      <c r="AA21" s="100"/>
      <c r="AB21" s="103" t="s">
        <v>24</v>
      </c>
      <c r="AC21" s="103" t="s">
        <v>24</v>
      </c>
      <c r="AD21" s="103" t="s">
        <v>24</v>
      </c>
      <c r="AE21" s="103" t="s">
        <v>24</v>
      </c>
      <c r="AF21" s="103" t="s">
        <v>24</v>
      </c>
      <c r="AG21" s="103" t="s">
        <v>24</v>
      </c>
      <c r="AH21" s="100"/>
      <c r="AI21" s="103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81" t="s">
        <v>335</v>
      </c>
      <c r="C22" s="81" t="s">
        <v>336</v>
      </c>
      <c r="D22" s="5" t="s">
        <v>363</v>
      </c>
      <c r="E22" s="103" t="s">
        <v>24</v>
      </c>
      <c r="F22" s="100"/>
      <c r="G22" s="103" t="s">
        <v>24</v>
      </c>
      <c r="H22" s="103" t="s">
        <v>24</v>
      </c>
      <c r="I22" s="103" t="s">
        <v>24</v>
      </c>
      <c r="J22" s="103" t="s">
        <v>24</v>
      </c>
      <c r="K22" s="103" t="s">
        <v>24</v>
      </c>
      <c r="L22" s="103" t="s">
        <v>24</v>
      </c>
      <c r="M22" s="100"/>
      <c r="N22" s="103" t="s">
        <v>24</v>
      </c>
      <c r="O22" s="103" t="s">
        <v>24</v>
      </c>
      <c r="P22" s="103" t="s">
        <v>24</v>
      </c>
      <c r="Q22" s="103" t="s">
        <v>24</v>
      </c>
      <c r="R22" s="103" t="s">
        <v>24</v>
      </c>
      <c r="S22" s="103" t="s">
        <v>24</v>
      </c>
      <c r="T22" s="100"/>
      <c r="U22" s="103" t="s">
        <v>24</v>
      </c>
      <c r="V22" s="103" t="s">
        <v>24</v>
      </c>
      <c r="W22" s="103" t="s">
        <v>24</v>
      </c>
      <c r="X22" s="103" t="s">
        <v>24</v>
      </c>
      <c r="Y22" s="103" t="s">
        <v>24</v>
      </c>
      <c r="Z22" s="103" t="s">
        <v>24</v>
      </c>
      <c r="AA22" s="100"/>
      <c r="AB22" s="103" t="s">
        <v>24</v>
      </c>
      <c r="AC22" s="103" t="s">
        <v>24</v>
      </c>
      <c r="AD22" s="103" t="s">
        <v>24</v>
      </c>
      <c r="AE22" s="103" t="s">
        <v>24</v>
      </c>
      <c r="AF22" s="103" t="s">
        <v>24</v>
      </c>
      <c r="AG22" s="103" t="s">
        <v>24</v>
      </c>
      <c r="AH22" s="100"/>
      <c r="AI22" s="103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81" t="s">
        <v>337</v>
      </c>
      <c r="C23" s="81" t="s">
        <v>271</v>
      </c>
      <c r="D23" s="5" t="s">
        <v>363</v>
      </c>
      <c r="E23" s="103" t="s">
        <v>24</v>
      </c>
      <c r="F23" s="100"/>
      <c r="G23" s="103" t="s">
        <v>24</v>
      </c>
      <c r="H23" s="103" t="s">
        <v>24</v>
      </c>
      <c r="I23" s="103" t="s">
        <v>24</v>
      </c>
      <c r="J23" s="103" t="s">
        <v>24</v>
      </c>
      <c r="K23" s="103" t="s">
        <v>24</v>
      </c>
      <c r="L23" s="103" t="s">
        <v>24</v>
      </c>
      <c r="M23" s="100"/>
      <c r="N23" s="103" t="s">
        <v>24</v>
      </c>
      <c r="O23" s="103" t="s">
        <v>24</v>
      </c>
      <c r="P23" s="103" t="s">
        <v>24</v>
      </c>
      <c r="Q23" s="103" t="s">
        <v>24</v>
      </c>
      <c r="R23" s="103" t="s">
        <v>24</v>
      </c>
      <c r="S23" s="103" t="s">
        <v>24</v>
      </c>
      <c r="T23" s="100"/>
      <c r="U23" s="103" t="s">
        <v>24</v>
      </c>
      <c r="V23" s="103" t="s">
        <v>24</v>
      </c>
      <c r="W23" s="103" t="s">
        <v>24</v>
      </c>
      <c r="X23" s="103" t="s">
        <v>24</v>
      </c>
      <c r="Y23" s="103" t="s">
        <v>24</v>
      </c>
      <c r="Z23" s="103" t="s">
        <v>24</v>
      </c>
      <c r="AA23" s="100"/>
      <c r="AB23" s="103" t="s">
        <v>24</v>
      </c>
      <c r="AC23" s="103" t="s">
        <v>24</v>
      </c>
      <c r="AD23" s="103" t="s">
        <v>24</v>
      </c>
      <c r="AE23" s="103" t="s">
        <v>24</v>
      </c>
      <c r="AF23" s="103" t="s">
        <v>24</v>
      </c>
      <c r="AG23" s="103" t="s">
        <v>24</v>
      </c>
      <c r="AH23" s="100"/>
      <c r="AI23" s="103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81" t="s">
        <v>41</v>
      </c>
      <c r="C24" s="81" t="s">
        <v>295</v>
      </c>
      <c r="D24" s="5" t="s">
        <v>363</v>
      </c>
      <c r="E24" s="103" t="s">
        <v>24</v>
      </c>
      <c r="F24" s="100"/>
      <c r="G24" s="103" t="s">
        <v>24</v>
      </c>
      <c r="H24" s="103" t="s">
        <v>24</v>
      </c>
      <c r="I24" s="103" t="s">
        <v>24</v>
      </c>
      <c r="J24" s="103" t="s">
        <v>24</v>
      </c>
      <c r="K24" s="103" t="s">
        <v>24</v>
      </c>
      <c r="L24" s="103" t="s">
        <v>24</v>
      </c>
      <c r="M24" s="100"/>
      <c r="N24" s="103" t="s">
        <v>24</v>
      </c>
      <c r="O24" s="103" t="s">
        <v>24</v>
      </c>
      <c r="P24" s="103" t="s">
        <v>24</v>
      </c>
      <c r="Q24" s="103" t="s">
        <v>24</v>
      </c>
      <c r="R24" s="103" t="s">
        <v>24</v>
      </c>
      <c r="S24" s="103" t="s">
        <v>24</v>
      </c>
      <c r="T24" s="100"/>
      <c r="U24" s="103" t="s">
        <v>24</v>
      </c>
      <c r="V24" s="103" t="s">
        <v>24</v>
      </c>
      <c r="W24" s="103" t="s">
        <v>24</v>
      </c>
      <c r="X24" s="103" t="s">
        <v>24</v>
      </c>
      <c r="Y24" s="103" t="s">
        <v>24</v>
      </c>
      <c r="Z24" s="103" t="s">
        <v>24</v>
      </c>
      <c r="AA24" s="100"/>
      <c r="AB24" s="103" t="s">
        <v>24</v>
      </c>
      <c r="AC24" s="103" t="s">
        <v>24</v>
      </c>
      <c r="AD24" s="103" t="s">
        <v>24</v>
      </c>
      <c r="AE24" s="103" t="s">
        <v>24</v>
      </c>
      <c r="AF24" s="103" t="s">
        <v>24</v>
      </c>
      <c r="AG24" s="103" t="s">
        <v>24</v>
      </c>
      <c r="AH24" s="100"/>
      <c r="AI24" s="103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81" t="s">
        <v>338</v>
      </c>
      <c r="C25" s="81" t="s">
        <v>339</v>
      </c>
      <c r="D25" s="5" t="s">
        <v>363</v>
      </c>
      <c r="E25" s="103" t="s">
        <v>24</v>
      </c>
      <c r="F25" s="100"/>
      <c r="G25" s="103" t="s">
        <v>24</v>
      </c>
      <c r="H25" s="103" t="s">
        <v>24</v>
      </c>
      <c r="I25" s="103" t="s">
        <v>24</v>
      </c>
      <c r="J25" s="103" t="s">
        <v>24</v>
      </c>
      <c r="K25" s="103" t="s">
        <v>24</v>
      </c>
      <c r="L25" s="103" t="s">
        <v>24</v>
      </c>
      <c r="M25" s="100"/>
      <c r="N25" s="103" t="s">
        <v>24</v>
      </c>
      <c r="O25" s="103" t="s">
        <v>24</v>
      </c>
      <c r="P25" s="103" t="s">
        <v>24</v>
      </c>
      <c r="Q25" s="103" t="s">
        <v>24</v>
      </c>
      <c r="R25" s="103" t="s">
        <v>24</v>
      </c>
      <c r="S25" s="103" t="s">
        <v>24</v>
      </c>
      <c r="T25" s="100"/>
      <c r="U25" s="103" t="s">
        <v>24</v>
      </c>
      <c r="V25" s="103" t="s">
        <v>24</v>
      </c>
      <c r="W25" s="103" t="s">
        <v>24</v>
      </c>
      <c r="X25" s="103" t="s">
        <v>24</v>
      </c>
      <c r="Y25" s="103" t="s">
        <v>24</v>
      </c>
      <c r="Z25" s="103" t="s">
        <v>24</v>
      </c>
      <c r="AA25" s="100"/>
      <c r="AB25" s="103" t="s">
        <v>24</v>
      </c>
      <c r="AC25" s="103" t="s">
        <v>24</v>
      </c>
      <c r="AD25" s="103" t="s">
        <v>24</v>
      </c>
      <c r="AE25" s="103" t="s">
        <v>24</v>
      </c>
      <c r="AF25" s="103" t="s">
        <v>24</v>
      </c>
      <c r="AG25" s="103" t="s">
        <v>24</v>
      </c>
      <c r="AH25" s="100"/>
      <c r="AI25" s="103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81" t="s">
        <v>340</v>
      </c>
      <c r="C26" s="81" t="s">
        <v>34</v>
      </c>
      <c r="D26" s="5" t="s">
        <v>363</v>
      </c>
      <c r="E26" s="103" t="s">
        <v>24</v>
      </c>
      <c r="F26" s="100"/>
      <c r="G26" s="103" t="s">
        <v>24</v>
      </c>
      <c r="H26" s="103" t="s">
        <v>24</v>
      </c>
      <c r="I26" s="103" t="s">
        <v>24</v>
      </c>
      <c r="J26" s="103" t="s">
        <v>24</v>
      </c>
      <c r="K26" s="103" t="s">
        <v>24</v>
      </c>
      <c r="L26" s="103" t="s">
        <v>24</v>
      </c>
      <c r="M26" s="100"/>
      <c r="N26" s="103" t="s">
        <v>24</v>
      </c>
      <c r="O26" s="103" t="s">
        <v>24</v>
      </c>
      <c r="P26" s="103" t="s">
        <v>24</v>
      </c>
      <c r="Q26" s="103" t="s">
        <v>24</v>
      </c>
      <c r="R26" s="103" t="s">
        <v>24</v>
      </c>
      <c r="S26" s="103" t="s">
        <v>24</v>
      </c>
      <c r="T26" s="100"/>
      <c r="U26" s="103" t="s">
        <v>24</v>
      </c>
      <c r="V26" s="103" t="s">
        <v>24</v>
      </c>
      <c r="W26" s="103" t="s">
        <v>24</v>
      </c>
      <c r="X26" s="103" t="s">
        <v>24</v>
      </c>
      <c r="Y26" s="103" t="s">
        <v>24</v>
      </c>
      <c r="Z26" s="103" t="s">
        <v>24</v>
      </c>
      <c r="AA26" s="100"/>
      <c r="AB26" s="103" t="s">
        <v>24</v>
      </c>
      <c r="AC26" s="103" t="s">
        <v>24</v>
      </c>
      <c r="AD26" s="103" t="s">
        <v>24</v>
      </c>
      <c r="AE26" s="103" t="s">
        <v>24</v>
      </c>
      <c r="AF26" s="103" t="s">
        <v>24</v>
      </c>
      <c r="AG26" s="103" t="s">
        <v>24</v>
      </c>
      <c r="AH26" s="100"/>
      <c r="AI26" s="103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81" t="s">
        <v>18</v>
      </c>
      <c r="C27" s="81" t="s">
        <v>223</v>
      </c>
      <c r="D27" s="5" t="s">
        <v>363</v>
      </c>
      <c r="E27" s="103" t="s">
        <v>24</v>
      </c>
      <c r="F27" s="100"/>
      <c r="G27" s="103" t="s">
        <v>24</v>
      </c>
      <c r="H27" s="103" t="s">
        <v>24</v>
      </c>
      <c r="I27" s="103" t="s">
        <v>24</v>
      </c>
      <c r="J27" s="103" t="s">
        <v>24</v>
      </c>
      <c r="K27" s="103" t="s">
        <v>24</v>
      </c>
      <c r="L27" s="103" t="s">
        <v>24</v>
      </c>
      <c r="M27" s="100"/>
      <c r="N27" s="103" t="s">
        <v>24</v>
      </c>
      <c r="O27" s="103" t="s">
        <v>24</v>
      </c>
      <c r="P27" s="103" t="s">
        <v>24</v>
      </c>
      <c r="Q27" s="103" t="s">
        <v>24</v>
      </c>
      <c r="R27" s="103" t="s">
        <v>24</v>
      </c>
      <c r="S27" s="103" t="s">
        <v>24</v>
      </c>
      <c r="T27" s="100"/>
      <c r="U27" s="103" t="s">
        <v>24</v>
      </c>
      <c r="V27" s="103" t="s">
        <v>24</v>
      </c>
      <c r="W27" s="103" t="s">
        <v>24</v>
      </c>
      <c r="X27" s="103" t="s">
        <v>24</v>
      </c>
      <c r="Y27" s="103" t="s">
        <v>24</v>
      </c>
      <c r="Z27" s="103" t="s">
        <v>24</v>
      </c>
      <c r="AA27" s="100"/>
      <c r="AB27" s="103" t="s">
        <v>24</v>
      </c>
      <c r="AC27" s="103" t="s">
        <v>24</v>
      </c>
      <c r="AD27" s="103" t="s">
        <v>24</v>
      </c>
      <c r="AE27" s="103" t="s">
        <v>24</v>
      </c>
      <c r="AF27" s="103" t="s">
        <v>24</v>
      </c>
      <c r="AG27" s="103" t="s">
        <v>24</v>
      </c>
      <c r="AH27" s="100"/>
      <c r="AI27" s="103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81" t="s">
        <v>341</v>
      </c>
      <c r="C28" s="81" t="s">
        <v>342</v>
      </c>
      <c r="D28" s="5" t="s">
        <v>363</v>
      </c>
      <c r="E28" s="103" t="s">
        <v>24</v>
      </c>
      <c r="F28" s="100"/>
      <c r="G28" s="103" t="s">
        <v>24</v>
      </c>
      <c r="H28" s="103" t="s">
        <v>24</v>
      </c>
      <c r="I28" s="103" t="s">
        <v>24</v>
      </c>
      <c r="J28" s="103" t="s">
        <v>24</v>
      </c>
      <c r="K28" s="103" t="s">
        <v>24</v>
      </c>
      <c r="L28" s="103" t="s">
        <v>24</v>
      </c>
      <c r="M28" s="100"/>
      <c r="N28" s="103" t="s">
        <v>24</v>
      </c>
      <c r="O28" s="103" t="s">
        <v>24</v>
      </c>
      <c r="P28" s="103" t="s">
        <v>24</v>
      </c>
      <c r="Q28" s="103" t="s">
        <v>24</v>
      </c>
      <c r="R28" s="103" t="s">
        <v>24</v>
      </c>
      <c r="S28" s="103" t="s">
        <v>24</v>
      </c>
      <c r="T28" s="100"/>
      <c r="U28" s="103" t="s">
        <v>24</v>
      </c>
      <c r="V28" s="103" t="s">
        <v>24</v>
      </c>
      <c r="W28" s="103" t="s">
        <v>24</v>
      </c>
      <c r="X28" s="103" t="s">
        <v>24</v>
      </c>
      <c r="Y28" s="103" t="s">
        <v>24</v>
      </c>
      <c r="Z28" s="103" t="s">
        <v>24</v>
      </c>
      <c r="AA28" s="100"/>
      <c r="AB28" s="103" t="s">
        <v>24</v>
      </c>
      <c r="AC28" s="103" t="s">
        <v>24</v>
      </c>
      <c r="AD28" s="103" t="s">
        <v>24</v>
      </c>
      <c r="AE28" s="103" t="s">
        <v>24</v>
      </c>
      <c r="AF28" s="103" t="s">
        <v>24</v>
      </c>
      <c r="AG28" s="103" t="s">
        <v>24</v>
      </c>
      <c r="AH28" s="100"/>
      <c r="AI28" s="103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81" t="s">
        <v>343</v>
      </c>
      <c r="C29" s="81" t="s">
        <v>310</v>
      </c>
      <c r="D29" s="5" t="s">
        <v>363</v>
      </c>
      <c r="E29" s="103" t="s">
        <v>24</v>
      </c>
      <c r="F29" s="100"/>
      <c r="G29" s="103" t="s">
        <v>24</v>
      </c>
      <c r="H29" s="103" t="s">
        <v>24</v>
      </c>
      <c r="I29" s="103" t="s">
        <v>24</v>
      </c>
      <c r="J29" s="103" t="s">
        <v>24</v>
      </c>
      <c r="K29" s="103" t="s">
        <v>24</v>
      </c>
      <c r="L29" s="103" t="s">
        <v>24</v>
      </c>
      <c r="M29" s="100"/>
      <c r="N29" s="103" t="s">
        <v>24</v>
      </c>
      <c r="O29" s="103" t="s">
        <v>24</v>
      </c>
      <c r="P29" s="103" t="s">
        <v>24</v>
      </c>
      <c r="Q29" s="103" t="s">
        <v>24</v>
      </c>
      <c r="R29" s="103" t="s">
        <v>24</v>
      </c>
      <c r="S29" s="103" t="s">
        <v>24</v>
      </c>
      <c r="T29" s="100"/>
      <c r="U29" s="103" t="s">
        <v>24</v>
      </c>
      <c r="V29" s="103" t="s">
        <v>24</v>
      </c>
      <c r="W29" s="103" t="s">
        <v>24</v>
      </c>
      <c r="X29" s="103" t="s">
        <v>24</v>
      </c>
      <c r="Y29" s="103" t="s">
        <v>24</v>
      </c>
      <c r="Z29" s="103" t="s">
        <v>24</v>
      </c>
      <c r="AA29" s="100"/>
      <c r="AB29" s="103" t="s">
        <v>24</v>
      </c>
      <c r="AC29" s="103" t="s">
        <v>24</v>
      </c>
      <c r="AD29" s="103" t="s">
        <v>24</v>
      </c>
      <c r="AE29" s="103" t="s">
        <v>24</v>
      </c>
      <c r="AF29" s="103" t="s">
        <v>24</v>
      </c>
      <c r="AG29" s="103" t="s">
        <v>24</v>
      </c>
      <c r="AH29" s="100"/>
      <c r="AI29" s="103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81" t="s">
        <v>344</v>
      </c>
      <c r="C30" s="81" t="s">
        <v>345</v>
      </c>
      <c r="D30" s="5" t="s">
        <v>363</v>
      </c>
      <c r="E30" s="103" t="s">
        <v>24</v>
      </c>
      <c r="F30" s="100"/>
      <c r="G30" s="103" t="s">
        <v>24</v>
      </c>
      <c r="H30" s="103" t="s">
        <v>24</v>
      </c>
      <c r="I30" s="103" t="s">
        <v>24</v>
      </c>
      <c r="J30" s="103" t="s">
        <v>24</v>
      </c>
      <c r="K30" s="103" t="s">
        <v>24</v>
      </c>
      <c r="L30" s="103" t="s">
        <v>24</v>
      </c>
      <c r="M30" s="100"/>
      <c r="N30" s="103" t="s">
        <v>24</v>
      </c>
      <c r="O30" s="103" t="s">
        <v>24</v>
      </c>
      <c r="P30" s="103" t="s">
        <v>24</v>
      </c>
      <c r="Q30" s="103" t="s">
        <v>24</v>
      </c>
      <c r="R30" s="103" t="s">
        <v>24</v>
      </c>
      <c r="S30" s="103" t="s">
        <v>24</v>
      </c>
      <c r="T30" s="100"/>
      <c r="U30" s="103" t="s">
        <v>24</v>
      </c>
      <c r="V30" s="103" t="s">
        <v>24</v>
      </c>
      <c r="W30" s="103" t="s">
        <v>24</v>
      </c>
      <c r="X30" s="103" t="s">
        <v>24</v>
      </c>
      <c r="Y30" s="103" t="s">
        <v>24</v>
      </c>
      <c r="Z30" s="103" t="s">
        <v>24</v>
      </c>
      <c r="AA30" s="100"/>
      <c r="AB30" s="103" t="s">
        <v>24</v>
      </c>
      <c r="AC30" s="103" t="s">
        <v>24</v>
      </c>
      <c r="AD30" s="103" t="s">
        <v>24</v>
      </c>
      <c r="AE30" s="103" t="s">
        <v>24</v>
      </c>
      <c r="AF30" s="103" t="s">
        <v>24</v>
      </c>
      <c r="AG30" s="103" t="s">
        <v>24</v>
      </c>
      <c r="AH30" s="100"/>
      <c r="AI30" s="103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81" t="s">
        <v>313</v>
      </c>
      <c r="C31" s="81" t="s">
        <v>146</v>
      </c>
      <c r="D31" s="5" t="s">
        <v>363</v>
      </c>
      <c r="E31" s="103" t="s">
        <v>24</v>
      </c>
      <c r="F31" s="100"/>
      <c r="G31" s="103" t="s">
        <v>24</v>
      </c>
      <c r="H31" s="103" t="s">
        <v>24</v>
      </c>
      <c r="I31" s="103" t="s">
        <v>24</v>
      </c>
      <c r="J31" s="103" t="s">
        <v>24</v>
      </c>
      <c r="K31" s="103" t="s">
        <v>24</v>
      </c>
      <c r="L31" s="103" t="s">
        <v>24</v>
      </c>
      <c r="M31" s="100"/>
      <c r="N31" s="103" t="s">
        <v>24</v>
      </c>
      <c r="O31" s="103" t="s">
        <v>24</v>
      </c>
      <c r="P31" s="103" t="s">
        <v>24</v>
      </c>
      <c r="Q31" s="103" t="s">
        <v>24</v>
      </c>
      <c r="R31" s="103" t="s">
        <v>24</v>
      </c>
      <c r="S31" s="103" t="s">
        <v>24</v>
      </c>
      <c r="T31" s="100"/>
      <c r="U31" s="103" t="s">
        <v>24</v>
      </c>
      <c r="V31" s="103" t="s">
        <v>24</v>
      </c>
      <c r="W31" s="103" t="s">
        <v>24</v>
      </c>
      <c r="X31" s="103" t="s">
        <v>24</v>
      </c>
      <c r="Y31" s="103" t="s">
        <v>24</v>
      </c>
      <c r="Z31" s="103" t="s">
        <v>24</v>
      </c>
      <c r="AA31" s="100"/>
      <c r="AB31" s="103" t="s">
        <v>24</v>
      </c>
      <c r="AC31" s="103" t="s">
        <v>24</v>
      </c>
      <c r="AD31" s="103" t="s">
        <v>24</v>
      </c>
      <c r="AE31" s="103" t="s">
        <v>24</v>
      </c>
      <c r="AF31" s="103" t="s">
        <v>24</v>
      </c>
      <c r="AG31" s="103" t="s">
        <v>24</v>
      </c>
      <c r="AH31" s="100"/>
      <c r="AI31" s="103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81" t="s">
        <v>67</v>
      </c>
      <c r="C32" s="81" t="s">
        <v>120</v>
      </c>
      <c r="D32" s="5" t="s">
        <v>363</v>
      </c>
      <c r="E32" s="103" t="s">
        <v>24</v>
      </c>
      <c r="F32" s="100"/>
      <c r="G32" s="103" t="s">
        <v>24</v>
      </c>
      <c r="H32" s="103" t="s">
        <v>24</v>
      </c>
      <c r="I32" s="103" t="s">
        <v>24</v>
      </c>
      <c r="J32" s="103" t="s">
        <v>24</v>
      </c>
      <c r="K32" s="103" t="s">
        <v>24</v>
      </c>
      <c r="L32" s="103" t="s">
        <v>24</v>
      </c>
      <c r="M32" s="100"/>
      <c r="N32" s="103" t="s">
        <v>24</v>
      </c>
      <c r="O32" s="103" t="s">
        <v>24</v>
      </c>
      <c r="P32" s="103" t="s">
        <v>24</v>
      </c>
      <c r="Q32" s="103" t="s">
        <v>24</v>
      </c>
      <c r="R32" s="103" t="s">
        <v>24</v>
      </c>
      <c r="S32" s="103" t="s">
        <v>24</v>
      </c>
      <c r="T32" s="100"/>
      <c r="U32" s="103" t="s">
        <v>24</v>
      </c>
      <c r="V32" s="103" t="s">
        <v>24</v>
      </c>
      <c r="W32" s="103" t="s">
        <v>24</v>
      </c>
      <c r="X32" s="103" t="s">
        <v>24</v>
      </c>
      <c r="Y32" s="103" t="s">
        <v>24</v>
      </c>
      <c r="Z32" s="103" t="s">
        <v>24</v>
      </c>
      <c r="AA32" s="100"/>
      <c r="AB32" s="103" t="s">
        <v>24</v>
      </c>
      <c r="AC32" s="103" t="s">
        <v>24</v>
      </c>
      <c r="AD32" s="103" t="s">
        <v>24</v>
      </c>
      <c r="AE32" s="103" t="s">
        <v>24</v>
      </c>
      <c r="AF32" s="103" t="s">
        <v>24</v>
      </c>
      <c r="AG32" s="103" t="s">
        <v>24</v>
      </c>
      <c r="AH32" s="100"/>
      <c r="AI32" s="103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81" t="s">
        <v>346</v>
      </c>
      <c r="C33" s="81" t="s">
        <v>347</v>
      </c>
      <c r="D33" s="5" t="s">
        <v>363</v>
      </c>
      <c r="E33" s="103" t="s">
        <v>24</v>
      </c>
      <c r="F33" s="100"/>
      <c r="G33" s="103" t="s">
        <v>24</v>
      </c>
      <c r="H33" s="103" t="s">
        <v>24</v>
      </c>
      <c r="I33" s="103" t="s">
        <v>24</v>
      </c>
      <c r="J33" s="103" t="s">
        <v>24</v>
      </c>
      <c r="K33" s="103" t="s">
        <v>24</v>
      </c>
      <c r="L33" s="103" t="s">
        <v>24</v>
      </c>
      <c r="M33" s="100"/>
      <c r="N33" s="103" t="s">
        <v>24</v>
      </c>
      <c r="O33" s="103" t="s">
        <v>24</v>
      </c>
      <c r="P33" s="103" t="s">
        <v>24</v>
      </c>
      <c r="Q33" s="103" t="s">
        <v>24</v>
      </c>
      <c r="R33" s="103" t="s">
        <v>24</v>
      </c>
      <c r="S33" s="103" t="s">
        <v>24</v>
      </c>
      <c r="T33" s="100"/>
      <c r="U33" s="103" t="s">
        <v>24</v>
      </c>
      <c r="V33" s="103" t="s">
        <v>24</v>
      </c>
      <c r="W33" s="103" t="s">
        <v>24</v>
      </c>
      <c r="X33" s="103" t="s">
        <v>24</v>
      </c>
      <c r="Y33" s="103" t="s">
        <v>24</v>
      </c>
      <c r="Z33" s="103" t="s">
        <v>24</v>
      </c>
      <c r="AA33" s="100"/>
      <c r="AB33" s="103" t="s">
        <v>24</v>
      </c>
      <c r="AC33" s="103" t="s">
        <v>24</v>
      </c>
      <c r="AD33" s="103" t="s">
        <v>24</v>
      </c>
      <c r="AE33" s="103" t="s">
        <v>24</v>
      </c>
      <c r="AF33" s="103" t="s">
        <v>24</v>
      </c>
      <c r="AG33" s="103" t="s">
        <v>24</v>
      </c>
      <c r="AH33" s="100"/>
      <c r="AI33" s="103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81" t="s">
        <v>348</v>
      </c>
      <c r="C34" s="81" t="s">
        <v>171</v>
      </c>
      <c r="D34" s="5" t="s">
        <v>363</v>
      </c>
      <c r="E34" s="103" t="s">
        <v>24</v>
      </c>
      <c r="F34" s="100"/>
      <c r="G34" s="103" t="s">
        <v>24</v>
      </c>
      <c r="H34" s="103" t="s">
        <v>24</v>
      </c>
      <c r="I34" s="103" t="s">
        <v>24</v>
      </c>
      <c r="J34" s="103" t="s">
        <v>24</v>
      </c>
      <c r="K34" s="103" t="s">
        <v>24</v>
      </c>
      <c r="L34" s="103" t="s">
        <v>24</v>
      </c>
      <c r="M34" s="100"/>
      <c r="N34" s="103" t="s">
        <v>24</v>
      </c>
      <c r="O34" s="103" t="s">
        <v>24</v>
      </c>
      <c r="P34" s="103" t="s">
        <v>24</v>
      </c>
      <c r="Q34" s="103" t="s">
        <v>24</v>
      </c>
      <c r="R34" s="103" t="s">
        <v>24</v>
      </c>
      <c r="S34" s="103" t="s">
        <v>24</v>
      </c>
      <c r="T34" s="100"/>
      <c r="U34" s="103" t="s">
        <v>24</v>
      </c>
      <c r="V34" s="103" t="s">
        <v>24</v>
      </c>
      <c r="W34" s="103" t="s">
        <v>24</v>
      </c>
      <c r="X34" s="103" t="s">
        <v>24</v>
      </c>
      <c r="Y34" s="103" t="s">
        <v>24</v>
      </c>
      <c r="Z34" s="103" t="s">
        <v>24</v>
      </c>
      <c r="AA34" s="100"/>
      <c r="AB34" s="103" t="s">
        <v>24</v>
      </c>
      <c r="AC34" s="103" t="s">
        <v>24</v>
      </c>
      <c r="AD34" s="103" t="s">
        <v>24</v>
      </c>
      <c r="AE34" s="103" t="s">
        <v>24</v>
      </c>
      <c r="AF34" s="103" t="s">
        <v>24</v>
      </c>
      <c r="AG34" s="103" t="s">
        <v>24</v>
      </c>
      <c r="AH34" s="100"/>
      <c r="AI34" s="103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81" t="s">
        <v>349</v>
      </c>
      <c r="C35" s="81" t="s">
        <v>194</v>
      </c>
      <c r="D35" s="5" t="s">
        <v>363</v>
      </c>
      <c r="E35" s="103" t="s">
        <v>24</v>
      </c>
      <c r="F35" s="100"/>
      <c r="G35" s="103" t="s">
        <v>24</v>
      </c>
      <c r="H35" s="103" t="s">
        <v>24</v>
      </c>
      <c r="I35" s="103" t="s">
        <v>24</v>
      </c>
      <c r="J35" s="103" t="s">
        <v>24</v>
      </c>
      <c r="K35" s="103" t="s">
        <v>24</v>
      </c>
      <c r="L35" s="103" t="s">
        <v>24</v>
      </c>
      <c r="M35" s="100"/>
      <c r="N35" s="103" t="s">
        <v>24</v>
      </c>
      <c r="O35" s="103" t="s">
        <v>24</v>
      </c>
      <c r="P35" s="103" t="s">
        <v>24</v>
      </c>
      <c r="Q35" s="103" t="s">
        <v>24</v>
      </c>
      <c r="R35" s="103" t="s">
        <v>24</v>
      </c>
      <c r="S35" s="103" t="s">
        <v>24</v>
      </c>
      <c r="T35" s="100"/>
      <c r="U35" s="103" t="s">
        <v>24</v>
      </c>
      <c r="V35" s="103" t="s">
        <v>24</v>
      </c>
      <c r="W35" s="103" t="s">
        <v>24</v>
      </c>
      <c r="X35" s="103" t="s">
        <v>24</v>
      </c>
      <c r="Y35" s="103" t="s">
        <v>24</v>
      </c>
      <c r="Z35" s="103" t="s">
        <v>24</v>
      </c>
      <c r="AA35" s="100"/>
      <c r="AB35" s="103" t="s">
        <v>24</v>
      </c>
      <c r="AC35" s="103" t="s">
        <v>24</v>
      </c>
      <c r="AD35" s="103" t="s">
        <v>24</v>
      </c>
      <c r="AE35" s="103" t="s">
        <v>24</v>
      </c>
      <c r="AF35" s="103" t="s">
        <v>24</v>
      </c>
      <c r="AG35" s="103" t="s">
        <v>24</v>
      </c>
      <c r="AH35" s="100"/>
      <c r="AI35" s="103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81" t="s">
        <v>72</v>
      </c>
      <c r="C36" s="81" t="s">
        <v>194</v>
      </c>
      <c r="D36" s="5" t="s">
        <v>363</v>
      </c>
      <c r="E36" s="103" t="s">
        <v>24</v>
      </c>
      <c r="F36" s="100"/>
      <c r="G36" s="103" t="s">
        <v>24</v>
      </c>
      <c r="H36" s="103" t="s">
        <v>24</v>
      </c>
      <c r="I36" s="103" t="s">
        <v>24</v>
      </c>
      <c r="J36" s="103" t="s">
        <v>24</v>
      </c>
      <c r="K36" s="103" t="s">
        <v>24</v>
      </c>
      <c r="L36" s="103" t="s">
        <v>24</v>
      </c>
      <c r="M36" s="100"/>
      <c r="N36" s="103" t="s">
        <v>24</v>
      </c>
      <c r="O36" s="103" t="s">
        <v>24</v>
      </c>
      <c r="P36" s="103" t="s">
        <v>24</v>
      </c>
      <c r="Q36" s="103" t="s">
        <v>24</v>
      </c>
      <c r="R36" s="103" t="s">
        <v>24</v>
      </c>
      <c r="S36" s="103" t="s">
        <v>24</v>
      </c>
      <c r="T36" s="100"/>
      <c r="U36" s="103" t="s">
        <v>24</v>
      </c>
      <c r="V36" s="103" t="s">
        <v>24</v>
      </c>
      <c r="W36" s="103" t="s">
        <v>24</v>
      </c>
      <c r="X36" s="103" t="s">
        <v>24</v>
      </c>
      <c r="Y36" s="103" t="s">
        <v>24</v>
      </c>
      <c r="Z36" s="103" t="s">
        <v>24</v>
      </c>
      <c r="AA36" s="100"/>
      <c r="AB36" s="103" t="s">
        <v>24</v>
      </c>
      <c r="AC36" s="103" t="s">
        <v>24</v>
      </c>
      <c r="AD36" s="103" t="s">
        <v>24</v>
      </c>
      <c r="AE36" s="103" t="s">
        <v>24</v>
      </c>
      <c r="AF36" s="103" t="s">
        <v>24</v>
      </c>
      <c r="AG36" s="103" t="s">
        <v>24</v>
      </c>
      <c r="AH36" s="100"/>
      <c r="AI36" s="103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81" t="s">
        <v>350</v>
      </c>
      <c r="C37" s="81" t="s">
        <v>351</v>
      </c>
      <c r="D37" s="5" t="s">
        <v>363</v>
      </c>
      <c r="E37" s="103" t="s">
        <v>24</v>
      </c>
      <c r="F37" s="100"/>
      <c r="G37" s="103" t="s">
        <v>24</v>
      </c>
      <c r="H37" s="103" t="s">
        <v>24</v>
      </c>
      <c r="I37" s="103" t="s">
        <v>24</v>
      </c>
      <c r="J37" s="103" t="s">
        <v>24</v>
      </c>
      <c r="K37" s="103" t="s">
        <v>24</v>
      </c>
      <c r="L37" s="103" t="s">
        <v>24</v>
      </c>
      <c r="M37" s="100"/>
      <c r="N37" s="103" t="s">
        <v>24</v>
      </c>
      <c r="O37" s="103" t="s">
        <v>24</v>
      </c>
      <c r="P37" s="103" t="s">
        <v>24</v>
      </c>
      <c r="Q37" s="103" t="s">
        <v>24</v>
      </c>
      <c r="R37" s="103" t="s">
        <v>24</v>
      </c>
      <c r="S37" s="103" t="s">
        <v>24</v>
      </c>
      <c r="T37" s="100"/>
      <c r="U37" s="103" t="s">
        <v>24</v>
      </c>
      <c r="V37" s="103" t="s">
        <v>24</v>
      </c>
      <c r="W37" s="103" t="s">
        <v>24</v>
      </c>
      <c r="X37" s="103" t="s">
        <v>24</v>
      </c>
      <c r="Y37" s="103" t="s">
        <v>24</v>
      </c>
      <c r="Z37" s="103" t="s">
        <v>24</v>
      </c>
      <c r="AA37" s="100"/>
      <c r="AB37" s="103" t="s">
        <v>24</v>
      </c>
      <c r="AC37" s="103" t="s">
        <v>24</v>
      </c>
      <c r="AD37" s="103" t="s">
        <v>24</v>
      </c>
      <c r="AE37" s="103" t="s">
        <v>24</v>
      </c>
      <c r="AF37" s="103" t="s">
        <v>24</v>
      </c>
      <c r="AG37" s="103" t="s">
        <v>24</v>
      </c>
      <c r="AH37" s="100"/>
      <c r="AI37" s="103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81" t="s">
        <v>352</v>
      </c>
      <c r="C38" s="81" t="s">
        <v>271</v>
      </c>
      <c r="D38" s="5" t="s">
        <v>363</v>
      </c>
      <c r="E38" s="103" t="s">
        <v>24</v>
      </c>
      <c r="F38" s="100"/>
      <c r="G38" s="103" t="s">
        <v>24</v>
      </c>
      <c r="H38" s="103" t="s">
        <v>24</v>
      </c>
      <c r="I38" s="103" t="s">
        <v>24</v>
      </c>
      <c r="J38" s="103" t="s">
        <v>24</v>
      </c>
      <c r="K38" s="103" t="s">
        <v>24</v>
      </c>
      <c r="L38" s="103" t="s">
        <v>24</v>
      </c>
      <c r="M38" s="100"/>
      <c r="N38" s="103" t="s">
        <v>24</v>
      </c>
      <c r="O38" s="103" t="s">
        <v>24</v>
      </c>
      <c r="P38" s="103" t="s">
        <v>24</v>
      </c>
      <c r="Q38" s="103" t="s">
        <v>24</v>
      </c>
      <c r="R38" s="103" t="s">
        <v>24</v>
      </c>
      <c r="S38" s="103" t="s">
        <v>24</v>
      </c>
      <c r="T38" s="100"/>
      <c r="U38" s="103" t="s">
        <v>24</v>
      </c>
      <c r="V38" s="103" t="s">
        <v>24</v>
      </c>
      <c r="W38" s="103" t="s">
        <v>24</v>
      </c>
      <c r="X38" s="103" t="s">
        <v>24</v>
      </c>
      <c r="Y38" s="103" t="s">
        <v>24</v>
      </c>
      <c r="Z38" s="103" t="s">
        <v>24</v>
      </c>
      <c r="AA38" s="100"/>
      <c r="AB38" s="103" t="s">
        <v>24</v>
      </c>
      <c r="AC38" s="103" t="s">
        <v>24</v>
      </c>
      <c r="AD38" s="103" t="s">
        <v>24</v>
      </c>
      <c r="AE38" s="103" t="s">
        <v>24</v>
      </c>
      <c r="AF38" s="103" t="s">
        <v>24</v>
      </c>
      <c r="AG38" s="103" t="s">
        <v>24</v>
      </c>
      <c r="AH38" s="100"/>
      <c r="AI38" s="103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81" t="s">
        <v>353</v>
      </c>
      <c r="C39" s="81" t="s">
        <v>275</v>
      </c>
      <c r="D39" s="5" t="s">
        <v>363</v>
      </c>
      <c r="E39" s="103" t="s">
        <v>24</v>
      </c>
      <c r="F39" s="100"/>
      <c r="G39" s="103" t="s">
        <v>24</v>
      </c>
      <c r="H39" s="103" t="s">
        <v>24</v>
      </c>
      <c r="I39" s="103" t="s">
        <v>24</v>
      </c>
      <c r="J39" s="103" t="s">
        <v>24</v>
      </c>
      <c r="K39" s="103" t="s">
        <v>24</v>
      </c>
      <c r="L39" s="103" t="s">
        <v>24</v>
      </c>
      <c r="M39" s="100"/>
      <c r="N39" s="103" t="s">
        <v>24</v>
      </c>
      <c r="O39" s="103" t="s">
        <v>24</v>
      </c>
      <c r="P39" s="103" t="s">
        <v>24</v>
      </c>
      <c r="Q39" s="103" t="s">
        <v>24</v>
      </c>
      <c r="R39" s="103" t="s">
        <v>24</v>
      </c>
      <c r="S39" s="103" t="s">
        <v>24</v>
      </c>
      <c r="T39" s="100"/>
      <c r="U39" s="103" t="s">
        <v>24</v>
      </c>
      <c r="V39" s="103" t="s">
        <v>24</v>
      </c>
      <c r="W39" s="103" t="s">
        <v>24</v>
      </c>
      <c r="X39" s="103" t="s">
        <v>24</v>
      </c>
      <c r="Y39" s="103" t="s">
        <v>24</v>
      </c>
      <c r="Z39" s="103" t="s">
        <v>24</v>
      </c>
      <c r="AA39" s="100"/>
      <c r="AB39" s="103" t="s">
        <v>24</v>
      </c>
      <c r="AC39" s="103" t="s">
        <v>24</v>
      </c>
      <c r="AD39" s="103" t="s">
        <v>24</v>
      </c>
      <c r="AE39" s="103" t="s">
        <v>24</v>
      </c>
      <c r="AF39" s="103" t="s">
        <v>24</v>
      </c>
      <c r="AG39" s="103" t="s">
        <v>24</v>
      </c>
      <c r="AH39" s="100"/>
      <c r="AI39" s="103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81" t="s">
        <v>354</v>
      </c>
      <c r="C40" s="81" t="s">
        <v>355</v>
      </c>
      <c r="D40" s="5" t="s">
        <v>363</v>
      </c>
      <c r="E40" s="103" t="s">
        <v>24</v>
      </c>
      <c r="F40" s="100"/>
      <c r="G40" s="103" t="s">
        <v>24</v>
      </c>
      <c r="H40" s="103" t="s">
        <v>24</v>
      </c>
      <c r="I40" s="103" t="s">
        <v>24</v>
      </c>
      <c r="J40" s="103" t="s">
        <v>24</v>
      </c>
      <c r="K40" s="103" t="s">
        <v>24</v>
      </c>
      <c r="L40" s="103" t="s">
        <v>24</v>
      </c>
      <c r="M40" s="100"/>
      <c r="N40" s="103" t="s">
        <v>24</v>
      </c>
      <c r="O40" s="103" t="s">
        <v>24</v>
      </c>
      <c r="P40" s="103" t="s">
        <v>24</v>
      </c>
      <c r="Q40" s="103" t="s">
        <v>24</v>
      </c>
      <c r="R40" s="103" t="s">
        <v>24</v>
      </c>
      <c r="S40" s="103" t="s">
        <v>24</v>
      </c>
      <c r="T40" s="100"/>
      <c r="U40" s="103" t="s">
        <v>24</v>
      </c>
      <c r="V40" s="103" t="s">
        <v>24</v>
      </c>
      <c r="W40" s="103" t="s">
        <v>24</v>
      </c>
      <c r="X40" s="103" t="s">
        <v>24</v>
      </c>
      <c r="Y40" s="103" t="s">
        <v>24</v>
      </c>
      <c r="Z40" s="103" t="s">
        <v>24</v>
      </c>
      <c r="AA40" s="100"/>
      <c r="AB40" s="103" t="s">
        <v>24</v>
      </c>
      <c r="AC40" s="103" t="s">
        <v>24</v>
      </c>
      <c r="AD40" s="103" t="s">
        <v>24</v>
      </c>
      <c r="AE40" s="103" t="s">
        <v>24</v>
      </c>
      <c r="AF40" s="103" t="s">
        <v>24</v>
      </c>
      <c r="AG40" s="103" t="s">
        <v>24</v>
      </c>
      <c r="AH40" s="100"/>
      <c r="AI40" s="103" t="s">
        <v>24</v>
      </c>
      <c r="AJ40" s="4">
        <f t="shared" si="1"/>
        <v>26</v>
      </c>
      <c r="AK40" s="4">
        <f t="shared" si="2"/>
        <v>0</v>
      </c>
    </row>
    <row r="41" spans="1:37" ht="15.75" customHeight="1">
      <c r="A41" s="82">
        <v>37</v>
      </c>
      <c r="B41" s="81" t="s">
        <v>356</v>
      </c>
      <c r="C41" s="81" t="s">
        <v>194</v>
      </c>
      <c r="D41" s="5" t="s">
        <v>363</v>
      </c>
      <c r="E41" s="103" t="s">
        <v>24</v>
      </c>
      <c r="F41" s="100"/>
      <c r="G41" s="103" t="s">
        <v>24</v>
      </c>
      <c r="H41" s="103" t="s">
        <v>24</v>
      </c>
      <c r="I41" s="103" t="s">
        <v>24</v>
      </c>
      <c r="J41" s="103" t="s">
        <v>24</v>
      </c>
      <c r="K41" s="103" t="s">
        <v>24</v>
      </c>
      <c r="L41" s="103" t="s">
        <v>24</v>
      </c>
      <c r="M41" s="100"/>
      <c r="N41" s="103" t="s">
        <v>24</v>
      </c>
      <c r="O41" s="103" t="s">
        <v>24</v>
      </c>
      <c r="P41" s="103" t="s">
        <v>24</v>
      </c>
      <c r="Q41" s="103" t="s">
        <v>24</v>
      </c>
      <c r="R41" s="103" t="s">
        <v>24</v>
      </c>
      <c r="S41" s="103" t="s">
        <v>24</v>
      </c>
      <c r="T41" s="100"/>
      <c r="U41" s="103" t="s">
        <v>24</v>
      </c>
      <c r="V41" s="103" t="s">
        <v>24</v>
      </c>
      <c r="W41" s="103" t="s">
        <v>24</v>
      </c>
      <c r="X41" s="103" t="s">
        <v>24</v>
      </c>
      <c r="Y41" s="103" t="s">
        <v>24</v>
      </c>
      <c r="Z41" s="103" t="s">
        <v>24</v>
      </c>
      <c r="AA41" s="100"/>
      <c r="AB41" s="103" t="s">
        <v>24</v>
      </c>
      <c r="AC41" s="103" t="s">
        <v>24</v>
      </c>
      <c r="AD41" s="103" t="s">
        <v>24</v>
      </c>
      <c r="AE41" s="103" t="s">
        <v>24</v>
      </c>
      <c r="AF41" s="103" t="s">
        <v>24</v>
      </c>
      <c r="AG41" s="103" t="s">
        <v>24</v>
      </c>
      <c r="AH41" s="100"/>
      <c r="AI41" s="103" t="s">
        <v>24</v>
      </c>
      <c r="AJ41" s="82"/>
      <c r="AK41" s="82"/>
    </row>
    <row r="42" spans="1:37" ht="16.5">
      <c r="A42" s="82">
        <v>38</v>
      </c>
      <c r="B42" s="81" t="s">
        <v>357</v>
      </c>
      <c r="C42" s="81" t="s">
        <v>358</v>
      </c>
      <c r="D42" s="5" t="s">
        <v>363</v>
      </c>
      <c r="E42" s="103" t="s">
        <v>24</v>
      </c>
      <c r="F42" s="100"/>
      <c r="G42" s="103" t="s">
        <v>24</v>
      </c>
      <c r="H42" s="103" t="s">
        <v>24</v>
      </c>
      <c r="I42" s="103" t="s">
        <v>24</v>
      </c>
      <c r="J42" s="103" t="s">
        <v>24</v>
      </c>
      <c r="K42" s="103" t="s">
        <v>24</v>
      </c>
      <c r="L42" s="103" t="s">
        <v>24</v>
      </c>
      <c r="M42" s="100"/>
      <c r="N42" s="103" t="s">
        <v>24</v>
      </c>
      <c r="O42" s="103" t="s">
        <v>24</v>
      </c>
      <c r="P42" s="103" t="s">
        <v>24</v>
      </c>
      <c r="Q42" s="103" t="s">
        <v>24</v>
      </c>
      <c r="R42" s="103" t="s">
        <v>24</v>
      </c>
      <c r="S42" s="103" t="s">
        <v>24</v>
      </c>
      <c r="T42" s="100"/>
      <c r="U42" s="103" t="s">
        <v>24</v>
      </c>
      <c r="V42" s="103" t="s">
        <v>24</v>
      </c>
      <c r="W42" s="103" t="s">
        <v>24</v>
      </c>
      <c r="X42" s="103" t="s">
        <v>24</v>
      </c>
      <c r="Y42" s="103" t="s">
        <v>24</v>
      </c>
      <c r="Z42" s="103" t="s">
        <v>24</v>
      </c>
      <c r="AA42" s="100"/>
      <c r="AB42" s="103" t="s">
        <v>24</v>
      </c>
      <c r="AC42" s="103" t="s">
        <v>24</v>
      </c>
      <c r="AD42" s="103" t="s">
        <v>24</v>
      </c>
      <c r="AE42" s="103" t="s">
        <v>24</v>
      </c>
      <c r="AF42" s="103" t="s">
        <v>24</v>
      </c>
      <c r="AG42" s="103" t="s">
        <v>24</v>
      </c>
      <c r="AH42" s="100"/>
      <c r="AI42" s="103" t="s">
        <v>24</v>
      </c>
      <c r="AJ42" s="82"/>
      <c r="AK42" s="82"/>
    </row>
    <row r="43" spans="1:37" ht="16.5">
      <c r="A43" s="82">
        <v>39</v>
      </c>
      <c r="B43" s="81" t="s">
        <v>359</v>
      </c>
      <c r="C43" s="81" t="s">
        <v>275</v>
      </c>
      <c r="D43" s="5" t="s">
        <v>363</v>
      </c>
      <c r="E43" s="103" t="s">
        <v>24</v>
      </c>
      <c r="F43" s="100"/>
      <c r="G43" s="103" t="s">
        <v>24</v>
      </c>
      <c r="H43" s="103" t="s">
        <v>24</v>
      </c>
      <c r="I43" s="103" t="s">
        <v>24</v>
      </c>
      <c r="J43" s="103" t="s">
        <v>24</v>
      </c>
      <c r="K43" s="103" t="s">
        <v>24</v>
      </c>
      <c r="L43" s="103" t="s">
        <v>24</v>
      </c>
      <c r="M43" s="100"/>
      <c r="N43" s="103" t="s">
        <v>24</v>
      </c>
      <c r="O43" s="103" t="s">
        <v>24</v>
      </c>
      <c r="P43" s="103" t="s">
        <v>24</v>
      </c>
      <c r="Q43" s="103" t="s">
        <v>24</v>
      </c>
      <c r="R43" s="103" t="s">
        <v>24</v>
      </c>
      <c r="S43" s="103" t="s">
        <v>24</v>
      </c>
      <c r="T43" s="100"/>
      <c r="U43" s="103" t="s">
        <v>24</v>
      </c>
      <c r="V43" s="103" t="s">
        <v>24</v>
      </c>
      <c r="W43" s="103" t="s">
        <v>24</v>
      </c>
      <c r="X43" s="103" t="s">
        <v>24</v>
      </c>
      <c r="Y43" s="103" t="s">
        <v>24</v>
      </c>
      <c r="Z43" s="103" t="s">
        <v>24</v>
      </c>
      <c r="AA43" s="100"/>
      <c r="AB43" s="103" t="s">
        <v>24</v>
      </c>
      <c r="AC43" s="103" t="s">
        <v>24</v>
      </c>
      <c r="AD43" s="103" t="s">
        <v>24</v>
      </c>
      <c r="AE43" s="103" t="s">
        <v>24</v>
      </c>
      <c r="AF43" s="103" t="s">
        <v>24</v>
      </c>
      <c r="AG43" s="103" t="s">
        <v>24</v>
      </c>
      <c r="AH43" s="100"/>
      <c r="AI43" s="103" t="s">
        <v>24</v>
      </c>
      <c r="AJ43" s="82"/>
      <c r="AK43" s="82"/>
    </row>
    <row r="44" spans="1:37" ht="16.5">
      <c r="A44" s="82">
        <v>40</v>
      </c>
      <c r="B44" s="81" t="s">
        <v>360</v>
      </c>
      <c r="C44" s="81" t="s">
        <v>361</v>
      </c>
      <c r="D44" s="5" t="s">
        <v>363</v>
      </c>
      <c r="E44" s="103" t="s">
        <v>24</v>
      </c>
      <c r="F44" s="100"/>
      <c r="G44" s="103" t="s">
        <v>24</v>
      </c>
      <c r="H44" s="103" t="s">
        <v>24</v>
      </c>
      <c r="I44" s="103" t="s">
        <v>24</v>
      </c>
      <c r="J44" s="103" t="s">
        <v>24</v>
      </c>
      <c r="K44" s="103" t="s">
        <v>24</v>
      </c>
      <c r="L44" s="103" t="s">
        <v>24</v>
      </c>
      <c r="M44" s="100"/>
      <c r="N44" s="103" t="s">
        <v>24</v>
      </c>
      <c r="O44" s="103" t="s">
        <v>24</v>
      </c>
      <c r="P44" s="103" t="s">
        <v>24</v>
      </c>
      <c r="Q44" s="103" t="s">
        <v>24</v>
      </c>
      <c r="R44" s="103" t="s">
        <v>24</v>
      </c>
      <c r="S44" s="103" t="s">
        <v>24</v>
      </c>
      <c r="T44" s="100"/>
      <c r="U44" s="103" t="s">
        <v>24</v>
      </c>
      <c r="V44" s="103" t="s">
        <v>24</v>
      </c>
      <c r="W44" s="103" t="s">
        <v>24</v>
      </c>
      <c r="X44" s="103" t="s">
        <v>24</v>
      </c>
      <c r="Y44" s="103" t="s">
        <v>24</v>
      </c>
      <c r="Z44" s="103" t="s">
        <v>24</v>
      </c>
      <c r="AA44" s="100"/>
      <c r="AB44" s="103" t="s">
        <v>24</v>
      </c>
      <c r="AC44" s="103" t="s">
        <v>24</v>
      </c>
      <c r="AD44" s="103" t="s">
        <v>24</v>
      </c>
      <c r="AE44" s="103" t="s">
        <v>24</v>
      </c>
      <c r="AF44" s="103" t="s">
        <v>24</v>
      </c>
      <c r="AG44" s="103" t="s">
        <v>24</v>
      </c>
      <c r="AH44" s="100"/>
      <c r="AI44" s="103" t="s">
        <v>24</v>
      </c>
      <c r="AJ44" s="82"/>
      <c r="AK44" s="82"/>
    </row>
    <row r="45" spans="1:37" ht="16.5">
      <c r="A45" s="82">
        <v>41</v>
      </c>
      <c r="B45" s="81" t="s">
        <v>362</v>
      </c>
      <c r="C45" s="81" t="s">
        <v>196</v>
      </c>
      <c r="D45" s="5" t="s">
        <v>363</v>
      </c>
      <c r="E45" s="103" t="s">
        <v>24</v>
      </c>
      <c r="F45" s="101"/>
      <c r="G45" s="103" t="s">
        <v>24</v>
      </c>
      <c r="H45" s="103" t="s">
        <v>24</v>
      </c>
      <c r="I45" s="103" t="s">
        <v>24</v>
      </c>
      <c r="J45" s="103" t="s">
        <v>24</v>
      </c>
      <c r="K45" s="103" t="s">
        <v>24</v>
      </c>
      <c r="L45" s="103" t="s">
        <v>24</v>
      </c>
      <c r="M45" s="101"/>
      <c r="N45" s="103" t="s">
        <v>24</v>
      </c>
      <c r="O45" s="103" t="s">
        <v>24</v>
      </c>
      <c r="P45" s="103" t="s">
        <v>24</v>
      </c>
      <c r="Q45" s="103" t="s">
        <v>24</v>
      </c>
      <c r="R45" s="103" t="s">
        <v>24</v>
      </c>
      <c r="S45" s="103" t="s">
        <v>24</v>
      </c>
      <c r="T45" s="101"/>
      <c r="U45" s="103" t="s">
        <v>24</v>
      </c>
      <c r="V45" s="103" t="s">
        <v>24</v>
      </c>
      <c r="W45" s="103" t="s">
        <v>24</v>
      </c>
      <c r="X45" s="103" t="s">
        <v>24</v>
      </c>
      <c r="Y45" s="103" t="s">
        <v>24</v>
      </c>
      <c r="Z45" s="103" t="s">
        <v>24</v>
      </c>
      <c r="AA45" s="101"/>
      <c r="AB45" s="103" t="s">
        <v>24</v>
      </c>
      <c r="AC45" s="103" t="s">
        <v>24</v>
      </c>
      <c r="AD45" s="103" t="s">
        <v>24</v>
      </c>
      <c r="AE45" s="103" t="s">
        <v>24</v>
      </c>
      <c r="AF45" s="103" t="s">
        <v>24</v>
      </c>
      <c r="AG45" s="103" t="s">
        <v>24</v>
      </c>
      <c r="AH45" s="101"/>
      <c r="AI45" s="103" t="s">
        <v>24</v>
      </c>
      <c r="AJ45" s="82"/>
      <c r="AK45" s="82"/>
    </row>
  </sheetData>
  <mergeCells count="16">
    <mergeCell ref="AH5:AH45"/>
    <mergeCell ref="F5:F45"/>
    <mergeCell ref="M5:M45"/>
    <mergeCell ref="T5:T45"/>
    <mergeCell ref="AA5:AA45"/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</mergeCells>
  <conditionalFormatting sqref="E5:E45">
    <cfRule type="cellIs" dxfId="1671" priority="196" operator="equal">
      <formula>"L"</formula>
    </cfRule>
    <cfRule type="expression" dxfId="1670" priority="197">
      <formula>E$4=TODAY()</formula>
    </cfRule>
    <cfRule type="cellIs" dxfId="1669" priority="198" operator="equal">
      <formula>"A"</formula>
    </cfRule>
    <cfRule type="cellIs" dxfId="1668" priority="199" operator="equal">
      <formula>"P"</formula>
    </cfRule>
    <cfRule type="expression" dxfId="1667" priority="200">
      <formula>E$3="Sun"</formula>
    </cfRule>
  </conditionalFormatting>
  <conditionalFormatting sqref="E3:AI4">
    <cfRule type="expression" dxfId="1661" priority="213">
      <formula>E$4=TODAY()</formula>
    </cfRule>
    <cfRule type="expression" dxfId="1660" priority="216">
      <formula>E$3="Sun"</formula>
    </cfRule>
  </conditionalFormatting>
  <conditionalFormatting sqref="M5">
    <cfRule type="cellIs" dxfId="1656" priority="181" operator="equal">
      <formula>"L"</formula>
    </cfRule>
    <cfRule type="expression" dxfId="1655" priority="182">
      <formula>M$4=TODAY()</formula>
    </cfRule>
    <cfRule type="cellIs" dxfId="1654" priority="183" operator="equal">
      <formula>"A"</formula>
    </cfRule>
    <cfRule type="cellIs" dxfId="1653" priority="184" operator="equal">
      <formula>"P"</formula>
    </cfRule>
    <cfRule type="expression" dxfId="1652" priority="185">
      <formula>M$3="Sun"</formula>
    </cfRule>
  </conditionalFormatting>
  <conditionalFormatting sqref="AJ3:AK3 AJ5:AK40">
    <cfRule type="expression" dxfId="1636" priority="217">
      <formula>#REF!="Sun"</formula>
    </cfRule>
  </conditionalFormatting>
  <conditionalFormatting sqref="AL5:AL9">
    <cfRule type="expression" dxfId="1635" priority="209">
      <formula>AL$3="Sun"</formula>
    </cfRule>
  </conditionalFormatting>
  <conditionalFormatting sqref="AL12:AL15">
    <cfRule type="expression" dxfId="1634" priority="207">
      <formula>AL$3="Sun"</formula>
    </cfRule>
  </conditionalFormatting>
  <conditionalFormatting sqref="AL20:AL23">
    <cfRule type="expression" dxfId="1633" priority="206">
      <formula>AL$3="Sun"</formula>
    </cfRule>
  </conditionalFormatting>
  <conditionalFormatting sqref="AL4:AM4">
    <cfRule type="expression" dxfId="1632" priority="210">
      <formula>AL$3="Sun"</formula>
    </cfRule>
  </conditionalFormatting>
  <conditionalFormatting sqref="AM12:AO12 AM20:AO20">
    <cfRule type="expression" dxfId="1631" priority="211">
      <formula>AM$3="Sun"</formula>
    </cfRule>
  </conditionalFormatting>
  <conditionalFormatting sqref="AO21">
    <cfRule type="expression" dxfId="1630" priority="208">
      <formula>AO$3="Sun"</formula>
    </cfRule>
  </conditionalFormatting>
  <conditionalFormatting sqref="F5">
    <cfRule type="cellIs" dxfId="1629" priority="161" operator="equal">
      <formula>"L"</formula>
    </cfRule>
    <cfRule type="expression" dxfId="1628" priority="162">
      <formula>F$4=TODAY()</formula>
    </cfRule>
    <cfRule type="cellIs" dxfId="1627" priority="163" operator="equal">
      <formula>"A"</formula>
    </cfRule>
    <cfRule type="cellIs" dxfId="1626" priority="164" operator="equal">
      <formula>"P"</formula>
    </cfRule>
    <cfRule type="expression" dxfId="1625" priority="165">
      <formula>F$3="Sun"</formula>
    </cfRule>
  </conditionalFormatting>
  <conditionalFormatting sqref="T5">
    <cfRule type="cellIs" dxfId="1624" priority="156" operator="equal">
      <formula>"L"</formula>
    </cfRule>
    <cfRule type="expression" dxfId="1623" priority="157">
      <formula>T$4=TODAY()</formula>
    </cfRule>
    <cfRule type="cellIs" dxfId="1622" priority="158" operator="equal">
      <formula>"A"</formula>
    </cfRule>
    <cfRule type="cellIs" dxfId="1621" priority="159" operator="equal">
      <formula>"P"</formula>
    </cfRule>
    <cfRule type="expression" dxfId="1620" priority="160">
      <formula>T$3="Sun"</formula>
    </cfRule>
  </conditionalFormatting>
  <conditionalFormatting sqref="AA5">
    <cfRule type="cellIs" dxfId="1619" priority="151" operator="equal">
      <formula>"L"</formula>
    </cfRule>
    <cfRule type="expression" dxfId="1618" priority="152">
      <formula>AA$4=TODAY()</formula>
    </cfRule>
    <cfRule type="cellIs" dxfId="1617" priority="153" operator="equal">
      <formula>"A"</formula>
    </cfRule>
    <cfRule type="cellIs" dxfId="1616" priority="154" operator="equal">
      <formula>"P"</formula>
    </cfRule>
    <cfRule type="expression" dxfId="1615" priority="155">
      <formula>AA$3="Sun"</formula>
    </cfRule>
  </conditionalFormatting>
  <conditionalFormatting sqref="AH5">
    <cfRule type="cellIs" dxfId="1614" priority="146" operator="equal">
      <formula>"L"</formula>
    </cfRule>
    <cfRule type="expression" dxfId="1613" priority="147">
      <formula>AH$4=TODAY()</formula>
    </cfRule>
    <cfRule type="cellIs" dxfId="1612" priority="148" operator="equal">
      <formula>"A"</formula>
    </cfRule>
    <cfRule type="cellIs" dxfId="1611" priority="149" operator="equal">
      <formula>"P"</formula>
    </cfRule>
    <cfRule type="expression" dxfId="1610" priority="150">
      <formula>AH$3="Sun"</formula>
    </cfRule>
  </conditionalFormatting>
  <conditionalFormatting sqref="G5:G45">
    <cfRule type="cellIs" dxfId="1589" priority="121" operator="equal">
      <formula>"L"</formula>
    </cfRule>
    <cfRule type="expression" dxfId="1588" priority="122">
      <formula>G$4=TODAY()</formula>
    </cfRule>
    <cfRule type="cellIs" dxfId="1587" priority="123" operator="equal">
      <formula>"A"</formula>
    </cfRule>
    <cfRule type="cellIs" dxfId="1586" priority="124" operator="equal">
      <formula>"P"</formula>
    </cfRule>
    <cfRule type="expression" dxfId="1585" priority="125">
      <formula>G$3="Sun"</formula>
    </cfRule>
  </conditionalFormatting>
  <conditionalFormatting sqref="H5:H45">
    <cfRule type="cellIs" dxfId="1584" priority="116" operator="equal">
      <formula>"L"</formula>
    </cfRule>
    <cfRule type="expression" dxfId="1583" priority="117">
      <formula>H$4=TODAY()</formula>
    </cfRule>
    <cfRule type="cellIs" dxfId="1582" priority="118" operator="equal">
      <formula>"A"</formula>
    </cfRule>
    <cfRule type="cellIs" dxfId="1581" priority="119" operator="equal">
      <formula>"P"</formula>
    </cfRule>
    <cfRule type="expression" dxfId="1580" priority="120">
      <formula>H$3="Sun"</formula>
    </cfRule>
  </conditionalFormatting>
  <conditionalFormatting sqref="I5:I45">
    <cfRule type="cellIs" dxfId="1579" priority="111" operator="equal">
      <formula>"L"</formula>
    </cfRule>
    <cfRule type="expression" dxfId="1578" priority="112">
      <formula>I$4=TODAY()</formula>
    </cfRule>
    <cfRule type="cellIs" dxfId="1577" priority="113" operator="equal">
      <formula>"A"</formula>
    </cfRule>
    <cfRule type="cellIs" dxfId="1576" priority="114" operator="equal">
      <formula>"P"</formula>
    </cfRule>
    <cfRule type="expression" dxfId="1575" priority="115">
      <formula>I$3="Sun"</formula>
    </cfRule>
  </conditionalFormatting>
  <conditionalFormatting sqref="J5:J45">
    <cfRule type="cellIs" dxfId="1574" priority="106" operator="equal">
      <formula>"L"</formula>
    </cfRule>
    <cfRule type="expression" dxfId="1573" priority="107">
      <formula>J$4=TODAY()</formula>
    </cfRule>
    <cfRule type="cellIs" dxfId="1572" priority="108" operator="equal">
      <formula>"A"</formula>
    </cfRule>
    <cfRule type="cellIs" dxfId="1571" priority="109" operator="equal">
      <formula>"P"</formula>
    </cfRule>
    <cfRule type="expression" dxfId="1570" priority="110">
      <formula>J$3="Sun"</formula>
    </cfRule>
  </conditionalFormatting>
  <conditionalFormatting sqref="K5:K45">
    <cfRule type="cellIs" dxfId="1569" priority="101" operator="equal">
      <formula>"L"</formula>
    </cfRule>
    <cfRule type="expression" dxfId="1568" priority="102">
      <formula>K$4=TODAY()</formula>
    </cfRule>
    <cfRule type="cellIs" dxfId="1567" priority="103" operator="equal">
      <formula>"A"</formula>
    </cfRule>
    <cfRule type="cellIs" dxfId="1566" priority="104" operator="equal">
      <formula>"P"</formula>
    </cfRule>
    <cfRule type="expression" dxfId="1565" priority="105">
      <formula>K$3="Sun"</formula>
    </cfRule>
  </conditionalFormatting>
  <conditionalFormatting sqref="L5:L45">
    <cfRule type="cellIs" dxfId="1564" priority="96" operator="equal">
      <formula>"L"</formula>
    </cfRule>
    <cfRule type="expression" dxfId="1563" priority="97">
      <formula>L$4=TODAY()</formula>
    </cfRule>
    <cfRule type="cellIs" dxfId="1562" priority="98" operator="equal">
      <formula>"A"</formula>
    </cfRule>
    <cfRule type="cellIs" dxfId="1561" priority="99" operator="equal">
      <formula>"P"</formula>
    </cfRule>
    <cfRule type="expression" dxfId="1560" priority="100">
      <formula>L$3="Sun"</formula>
    </cfRule>
  </conditionalFormatting>
  <conditionalFormatting sqref="N5:N45">
    <cfRule type="cellIs" dxfId="1559" priority="91" operator="equal">
      <formula>"L"</formula>
    </cfRule>
    <cfRule type="expression" dxfId="1558" priority="92">
      <formula>N$4=TODAY()</formula>
    </cfRule>
    <cfRule type="cellIs" dxfId="1557" priority="93" operator="equal">
      <formula>"A"</formula>
    </cfRule>
    <cfRule type="cellIs" dxfId="1556" priority="94" operator="equal">
      <formula>"P"</formula>
    </cfRule>
    <cfRule type="expression" dxfId="1555" priority="95">
      <formula>N$3="Sun"</formula>
    </cfRule>
  </conditionalFormatting>
  <conditionalFormatting sqref="O5:O45">
    <cfRule type="cellIs" dxfId="1554" priority="86" operator="equal">
      <formula>"L"</formula>
    </cfRule>
    <cfRule type="expression" dxfId="1553" priority="87">
      <formula>O$4=TODAY()</formula>
    </cfRule>
    <cfRule type="cellIs" dxfId="1552" priority="88" operator="equal">
      <formula>"A"</formula>
    </cfRule>
    <cfRule type="cellIs" dxfId="1551" priority="89" operator="equal">
      <formula>"P"</formula>
    </cfRule>
    <cfRule type="expression" dxfId="1550" priority="90">
      <formula>O$3="Sun"</formula>
    </cfRule>
  </conditionalFormatting>
  <conditionalFormatting sqref="P5:P45">
    <cfRule type="cellIs" dxfId="1549" priority="81" operator="equal">
      <formula>"L"</formula>
    </cfRule>
    <cfRule type="expression" dxfId="1548" priority="82">
      <formula>P$4=TODAY()</formula>
    </cfRule>
    <cfRule type="cellIs" dxfId="1547" priority="83" operator="equal">
      <formula>"A"</formula>
    </cfRule>
    <cfRule type="cellIs" dxfId="1546" priority="84" operator="equal">
      <formula>"P"</formula>
    </cfRule>
    <cfRule type="expression" dxfId="1545" priority="85">
      <formula>P$3="Sun"</formula>
    </cfRule>
  </conditionalFormatting>
  <conditionalFormatting sqref="Q5:Q45">
    <cfRule type="cellIs" dxfId="1544" priority="76" operator="equal">
      <formula>"L"</formula>
    </cfRule>
    <cfRule type="expression" dxfId="1543" priority="77">
      <formula>Q$4=TODAY()</formula>
    </cfRule>
    <cfRule type="cellIs" dxfId="1542" priority="78" operator="equal">
      <formula>"A"</formula>
    </cfRule>
    <cfRule type="cellIs" dxfId="1541" priority="79" operator="equal">
      <formula>"P"</formula>
    </cfRule>
    <cfRule type="expression" dxfId="1540" priority="80">
      <formula>Q$3="Sun"</formula>
    </cfRule>
  </conditionalFormatting>
  <conditionalFormatting sqref="R5:R45">
    <cfRule type="cellIs" dxfId="1539" priority="71" operator="equal">
      <formula>"L"</formula>
    </cfRule>
    <cfRule type="expression" dxfId="1538" priority="72">
      <formula>R$4=TODAY()</formula>
    </cfRule>
    <cfRule type="cellIs" dxfId="1537" priority="73" operator="equal">
      <formula>"A"</formula>
    </cfRule>
    <cfRule type="cellIs" dxfId="1536" priority="74" operator="equal">
      <formula>"P"</formula>
    </cfRule>
    <cfRule type="expression" dxfId="1535" priority="75">
      <formula>R$3="Sun"</formula>
    </cfRule>
  </conditionalFormatting>
  <conditionalFormatting sqref="S5:S45">
    <cfRule type="cellIs" dxfId="1534" priority="66" operator="equal">
      <formula>"L"</formula>
    </cfRule>
    <cfRule type="expression" dxfId="1533" priority="67">
      <formula>S$4=TODAY()</formula>
    </cfRule>
    <cfRule type="cellIs" dxfId="1532" priority="68" operator="equal">
      <formula>"A"</formula>
    </cfRule>
    <cfRule type="cellIs" dxfId="1531" priority="69" operator="equal">
      <formula>"P"</formula>
    </cfRule>
    <cfRule type="expression" dxfId="1530" priority="70">
      <formula>S$3="Sun"</formula>
    </cfRule>
  </conditionalFormatting>
  <conditionalFormatting sqref="U5:U45">
    <cfRule type="cellIs" dxfId="1529" priority="61" operator="equal">
      <formula>"L"</formula>
    </cfRule>
    <cfRule type="expression" dxfId="1528" priority="62">
      <formula>U$4=TODAY()</formula>
    </cfRule>
    <cfRule type="cellIs" dxfId="1527" priority="63" operator="equal">
      <formula>"A"</formula>
    </cfRule>
    <cfRule type="cellIs" dxfId="1526" priority="64" operator="equal">
      <formula>"P"</formula>
    </cfRule>
    <cfRule type="expression" dxfId="1525" priority="65">
      <formula>U$3="Sun"</formula>
    </cfRule>
  </conditionalFormatting>
  <conditionalFormatting sqref="V5:V45">
    <cfRule type="cellIs" dxfId="1524" priority="56" operator="equal">
      <formula>"L"</formula>
    </cfRule>
    <cfRule type="expression" dxfId="1523" priority="57">
      <formula>V$4=TODAY()</formula>
    </cfRule>
    <cfRule type="cellIs" dxfId="1522" priority="58" operator="equal">
      <formula>"A"</formula>
    </cfRule>
    <cfRule type="cellIs" dxfId="1521" priority="59" operator="equal">
      <formula>"P"</formula>
    </cfRule>
    <cfRule type="expression" dxfId="1520" priority="60">
      <formula>V$3="Sun"</formula>
    </cfRule>
  </conditionalFormatting>
  <conditionalFormatting sqref="W5:W45">
    <cfRule type="cellIs" dxfId="1519" priority="51" operator="equal">
      <formula>"L"</formula>
    </cfRule>
    <cfRule type="expression" dxfId="1518" priority="52">
      <formula>W$4=TODAY()</formula>
    </cfRule>
    <cfRule type="cellIs" dxfId="1517" priority="53" operator="equal">
      <formula>"A"</formula>
    </cfRule>
    <cfRule type="cellIs" dxfId="1516" priority="54" operator="equal">
      <formula>"P"</formula>
    </cfRule>
    <cfRule type="expression" dxfId="1515" priority="55">
      <formula>W$3="Sun"</formula>
    </cfRule>
  </conditionalFormatting>
  <conditionalFormatting sqref="X5:X45">
    <cfRule type="cellIs" dxfId="1514" priority="46" operator="equal">
      <formula>"L"</formula>
    </cfRule>
    <cfRule type="expression" dxfId="1513" priority="47">
      <formula>X$4=TODAY()</formula>
    </cfRule>
    <cfRule type="cellIs" dxfId="1512" priority="48" operator="equal">
      <formula>"A"</formula>
    </cfRule>
    <cfRule type="cellIs" dxfId="1511" priority="49" operator="equal">
      <formula>"P"</formula>
    </cfRule>
    <cfRule type="expression" dxfId="1510" priority="50">
      <formula>X$3="Sun"</formula>
    </cfRule>
  </conditionalFormatting>
  <conditionalFormatting sqref="Y5:Y45">
    <cfRule type="cellIs" dxfId="1509" priority="41" operator="equal">
      <formula>"L"</formula>
    </cfRule>
    <cfRule type="expression" dxfId="1508" priority="42">
      <formula>Y$4=TODAY()</formula>
    </cfRule>
    <cfRule type="cellIs" dxfId="1507" priority="43" operator="equal">
      <formula>"A"</formula>
    </cfRule>
    <cfRule type="cellIs" dxfId="1506" priority="44" operator="equal">
      <formula>"P"</formula>
    </cfRule>
    <cfRule type="expression" dxfId="1505" priority="45">
      <formula>Y$3="Sun"</formula>
    </cfRule>
  </conditionalFormatting>
  <conditionalFormatting sqref="Z5:Z45">
    <cfRule type="cellIs" dxfId="1504" priority="36" operator="equal">
      <formula>"L"</formula>
    </cfRule>
    <cfRule type="expression" dxfId="1503" priority="37">
      <formula>Z$4=TODAY()</formula>
    </cfRule>
    <cfRule type="cellIs" dxfId="1502" priority="38" operator="equal">
      <formula>"A"</formula>
    </cfRule>
    <cfRule type="cellIs" dxfId="1501" priority="39" operator="equal">
      <formula>"P"</formula>
    </cfRule>
    <cfRule type="expression" dxfId="1500" priority="40">
      <formula>Z$3="Sun"</formula>
    </cfRule>
  </conditionalFormatting>
  <conditionalFormatting sqref="AB5:AB45">
    <cfRule type="cellIs" dxfId="1499" priority="31" operator="equal">
      <formula>"L"</formula>
    </cfRule>
    <cfRule type="expression" dxfId="1498" priority="32">
      <formula>AB$4=TODAY()</formula>
    </cfRule>
    <cfRule type="cellIs" dxfId="1497" priority="33" operator="equal">
      <formula>"A"</formula>
    </cfRule>
    <cfRule type="cellIs" dxfId="1496" priority="34" operator="equal">
      <formula>"P"</formula>
    </cfRule>
    <cfRule type="expression" dxfId="1495" priority="35">
      <formula>AB$3="Sun"</formula>
    </cfRule>
  </conditionalFormatting>
  <conditionalFormatting sqref="AC5:AC45">
    <cfRule type="cellIs" dxfId="1494" priority="26" operator="equal">
      <formula>"L"</formula>
    </cfRule>
    <cfRule type="expression" dxfId="1493" priority="27">
      <formula>AC$4=TODAY()</formula>
    </cfRule>
    <cfRule type="cellIs" dxfId="1492" priority="28" operator="equal">
      <formula>"A"</formula>
    </cfRule>
    <cfRule type="cellIs" dxfId="1491" priority="29" operator="equal">
      <formula>"P"</formula>
    </cfRule>
    <cfRule type="expression" dxfId="1490" priority="30">
      <formula>AC$3="Sun"</formula>
    </cfRule>
  </conditionalFormatting>
  <conditionalFormatting sqref="AD5:AD45">
    <cfRule type="cellIs" dxfId="1489" priority="21" operator="equal">
      <formula>"L"</formula>
    </cfRule>
    <cfRule type="expression" dxfId="1488" priority="22">
      <formula>AD$4=TODAY()</formula>
    </cfRule>
    <cfRule type="cellIs" dxfId="1487" priority="23" operator="equal">
      <formula>"A"</formula>
    </cfRule>
    <cfRule type="cellIs" dxfId="1486" priority="24" operator="equal">
      <formula>"P"</formula>
    </cfRule>
    <cfRule type="expression" dxfId="1485" priority="25">
      <formula>AD$3="Sun"</formula>
    </cfRule>
  </conditionalFormatting>
  <conditionalFormatting sqref="AE5:AE45">
    <cfRule type="cellIs" dxfId="1484" priority="16" operator="equal">
      <formula>"L"</formula>
    </cfRule>
    <cfRule type="expression" dxfId="1483" priority="17">
      <formula>AE$4=TODAY()</formula>
    </cfRule>
    <cfRule type="cellIs" dxfId="1482" priority="18" operator="equal">
      <formula>"A"</formula>
    </cfRule>
    <cfRule type="cellIs" dxfId="1481" priority="19" operator="equal">
      <formula>"P"</formula>
    </cfRule>
    <cfRule type="expression" dxfId="1480" priority="20">
      <formula>AE$3="Sun"</formula>
    </cfRule>
  </conditionalFormatting>
  <conditionalFormatting sqref="AF5:AF45">
    <cfRule type="cellIs" dxfId="1479" priority="11" operator="equal">
      <formula>"L"</formula>
    </cfRule>
    <cfRule type="expression" dxfId="1478" priority="12">
      <formula>AF$4=TODAY()</formula>
    </cfRule>
    <cfRule type="cellIs" dxfId="1477" priority="13" operator="equal">
      <formula>"A"</formula>
    </cfRule>
    <cfRule type="cellIs" dxfId="1476" priority="14" operator="equal">
      <formula>"P"</formula>
    </cfRule>
    <cfRule type="expression" dxfId="1475" priority="15">
      <formula>AF$3="Sun"</formula>
    </cfRule>
  </conditionalFormatting>
  <conditionalFormatting sqref="AG5:AG45">
    <cfRule type="cellIs" dxfId="1474" priority="6" operator="equal">
      <formula>"L"</formula>
    </cfRule>
    <cfRule type="expression" dxfId="1473" priority="7">
      <formula>AG$4=TODAY()</formula>
    </cfRule>
    <cfRule type="cellIs" dxfId="1472" priority="8" operator="equal">
      <formula>"A"</formula>
    </cfRule>
    <cfRule type="cellIs" dxfId="1471" priority="9" operator="equal">
      <formula>"P"</formula>
    </cfRule>
    <cfRule type="expression" dxfId="1470" priority="10">
      <formula>AG$3="Sun"</formula>
    </cfRule>
  </conditionalFormatting>
  <conditionalFormatting sqref="AI5:AI45">
    <cfRule type="cellIs" dxfId="1469" priority="1" operator="equal">
      <formula>"L"</formula>
    </cfRule>
    <cfRule type="expression" dxfId="1468" priority="2">
      <formula>AI$4=TODAY()</formula>
    </cfRule>
    <cfRule type="cellIs" dxfId="1467" priority="3" operator="equal">
      <formula>"A"</formula>
    </cfRule>
    <cfRule type="cellIs" dxfId="1466" priority="4" operator="equal">
      <formula>"P"</formula>
    </cfRule>
    <cfRule type="expression" dxfId="1465" priority="5">
      <formula>AI$3="Sun"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O54"/>
  <sheetViews>
    <sheetView topLeftCell="A5" zoomScale="87" zoomScaleNormal="87" workbookViewId="0">
      <selection activeCell="AI5" sqref="AI5:AI5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249</v>
      </c>
      <c r="C5" s="78" t="s">
        <v>60</v>
      </c>
      <c r="D5" s="5" t="s">
        <v>44</v>
      </c>
      <c r="E5" s="103" t="s">
        <v>24</v>
      </c>
      <c r="F5" s="99" t="s">
        <v>26</v>
      </c>
      <c r="G5" s="103" t="s">
        <v>24</v>
      </c>
      <c r="H5" s="103" t="s">
        <v>24</v>
      </c>
      <c r="I5" s="103" t="s">
        <v>24</v>
      </c>
      <c r="J5" s="103" t="s">
        <v>24</v>
      </c>
      <c r="K5" s="103" t="s">
        <v>24</v>
      </c>
      <c r="L5" s="103" t="s">
        <v>24</v>
      </c>
      <c r="M5" s="99" t="s">
        <v>26</v>
      </c>
      <c r="N5" s="103" t="s">
        <v>24</v>
      </c>
      <c r="O5" s="103" t="s">
        <v>24</v>
      </c>
      <c r="P5" s="103" t="s">
        <v>24</v>
      </c>
      <c r="Q5" s="103" t="s">
        <v>24</v>
      </c>
      <c r="R5" s="103" t="s">
        <v>24</v>
      </c>
      <c r="S5" s="103" t="s">
        <v>24</v>
      </c>
      <c r="T5" s="99" t="s">
        <v>26</v>
      </c>
      <c r="U5" s="103" t="s">
        <v>24</v>
      </c>
      <c r="V5" s="103" t="s">
        <v>24</v>
      </c>
      <c r="W5" s="103" t="s">
        <v>24</v>
      </c>
      <c r="X5" s="103" t="s">
        <v>24</v>
      </c>
      <c r="Y5" s="103" t="s">
        <v>24</v>
      </c>
      <c r="Z5" s="103" t="s">
        <v>24</v>
      </c>
      <c r="AA5" s="99" t="s">
        <v>26</v>
      </c>
      <c r="AB5" s="103" t="s">
        <v>24</v>
      </c>
      <c r="AC5" s="103" t="s">
        <v>24</v>
      </c>
      <c r="AD5" s="103" t="s">
        <v>24</v>
      </c>
      <c r="AE5" s="103" t="s">
        <v>24</v>
      </c>
      <c r="AF5" s="103" t="s">
        <v>24</v>
      </c>
      <c r="AG5" s="103" t="s">
        <v>24</v>
      </c>
      <c r="AH5" s="99" t="s">
        <v>26</v>
      </c>
      <c r="AI5" s="103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250</v>
      </c>
      <c r="C6" s="78" t="s">
        <v>251</v>
      </c>
      <c r="D6" s="5" t="s">
        <v>44</v>
      </c>
      <c r="E6" s="103" t="s">
        <v>24</v>
      </c>
      <c r="F6" s="100"/>
      <c r="G6" s="103" t="s">
        <v>24</v>
      </c>
      <c r="H6" s="103" t="s">
        <v>24</v>
      </c>
      <c r="I6" s="103" t="s">
        <v>24</v>
      </c>
      <c r="J6" s="103" t="s">
        <v>24</v>
      </c>
      <c r="K6" s="103" t="s">
        <v>24</v>
      </c>
      <c r="L6" s="103" t="s">
        <v>24</v>
      </c>
      <c r="M6" s="100"/>
      <c r="N6" s="103" t="s">
        <v>24</v>
      </c>
      <c r="O6" s="103" t="s">
        <v>24</v>
      </c>
      <c r="P6" s="103" t="s">
        <v>24</v>
      </c>
      <c r="Q6" s="103" t="s">
        <v>24</v>
      </c>
      <c r="R6" s="103" t="s">
        <v>24</v>
      </c>
      <c r="S6" s="103" t="s">
        <v>24</v>
      </c>
      <c r="T6" s="100"/>
      <c r="U6" s="103" t="s">
        <v>24</v>
      </c>
      <c r="V6" s="103" t="s">
        <v>24</v>
      </c>
      <c r="W6" s="103" t="s">
        <v>24</v>
      </c>
      <c r="X6" s="103" t="s">
        <v>24</v>
      </c>
      <c r="Y6" s="103" t="s">
        <v>24</v>
      </c>
      <c r="Z6" s="103" t="s">
        <v>24</v>
      </c>
      <c r="AA6" s="100"/>
      <c r="AB6" s="103" t="s">
        <v>24</v>
      </c>
      <c r="AC6" s="103" t="s">
        <v>24</v>
      </c>
      <c r="AD6" s="103" t="s">
        <v>24</v>
      </c>
      <c r="AE6" s="103" t="s">
        <v>24</v>
      </c>
      <c r="AF6" s="103" t="s">
        <v>24</v>
      </c>
      <c r="AG6" s="103" t="s">
        <v>24</v>
      </c>
      <c r="AH6" s="100"/>
      <c r="AI6" s="103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252</v>
      </c>
      <c r="C7" s="78" t="s">
        <v>253</v>
      </c>
      <c r="D7" s="5" t="s">
        <v>44</v>
      </c>
      <c r="E7" s="103" t="s">
        <v>24</v>
      </c>
      <c r="F7" s="100"/>
      <c r="G7" s="103" t="s">
        <v>24</v>
      </c>
      <c r="H7" s="103" t="s">
        <v>24</v>
      </c>
      <c r="I7" s="103" t="s">
        <v>24</v>
      </c>
      <c r="J7" s="103" t="s">
        <v>24</v>
      </c>
      <c r="K7" s="103" t="s">
        <v>24</v>
      </c>
      <c r="L7" s="103" t="s">
        <v>24</v>
      </c>
      <c r="M7" s="100"/>
      <c r="N7" s="103" t="s">
        <v>24</v>
      </c>
      <c r="O7" s="103" t="s">
        <v>24</v>
      </c>
      <c r="P7" s="103" t="s">
        <v>24</v>
      </c>
      <c r="Q7" s="103" t="s">
        <v>24</v>
      </c>
      <c r="R7" s="103" t="s">
        <v>24</v>
      </c>
      <c r="S7" s="103" t="s">
        <v>24</v>
      </c>
      <c r="T7" s="100"/>
      <c r="U7" s="103" t="s">
        <v>24</v>
      </c>
      <c r="V7" s="103" t="s">
        <v>24</v>
      </c>
      <c r="W7" s="103" t="s">
        <v>24</v>
      </c>
      <c r="X7" s="103" t="s">
        <v>24</v>
      </c>
      <c r="Y7" s="103" t="s">
        <v>24</v>
      </c>
      <c r="Z7" s="103" t="s">
        <v>24</v>
      </c>
      <c r="AA7" s="100"/>
      <c r="AB7" s="103" t="s">
        <v>24</v>
      </c>
      <c r="AC7" s="103" t="s">
        <v>24</v>
      </c>
      <c r="AD7" s="103" t="s">
        <v>24</v>
      </c>
      <c r="AE7" s="103" t="s">
        <v>24</v>
      </c>
      <c r="AF7" s="103" t="s">
        <v>24</v>
      </c>
      <c r="AG7" s="103" t="s">
        <v>24</v>
      </c>
      <c r="AH7" s="100"/>
      <c r="AI7" s="103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254</v>
      </c>
      <c r="C8" s="78" t="s">
        <v>255</v>
      </c>
      <c r="D8" s="5" t="s">
        <v>44</v>
      </c>
      <c r="E8" s="103" t="s">
        <v>24</v>
      </c>
      <c r="F8" s="100"/>
      <c r="G8" s="103" t="s">
        <v>24</v>
      </c>
      <c r="H8" s="103" t="s">
        <v>24</v>
      </c>
      <c r="I8" s="103" t="s">
        <v>24</v>
      </c>
      <c r="J8" s="103" t="s">
        <v>24</v>
      </c>
      <c r="K8" s="103" t="s">
        <v>24</v>
      </c>
      <c r="L8" s="103" t="s">
        <v>24</v>
      </c>
      <c r="M8" s="100"/>
      <c r="N8" s="103" t="s">
        <v>24</v>
      </c>
      <c r="O8" s="103" t="s">
        <v>24</v>
      </c>
      <c r="P8" s="103" t="s">
        <v>24</v>
      </c>
      <c r="Q8" s="103" t="s">
        <v>24</v>
      </c>
      <c r="R8" s="103" t="s">
        <v>24</v>
      </c>
      <c r="S8" s="103" t="s">
        <v>24</v>
      </c>
      <c r="T8" s="100"/>
      <c r="U8" s="103" t="s">
        <v>24</v>
      </c>
      <c r="V8" s="103" t="s">
        <v>24</v>
      </c>
      <c r="W8" s="103" t="s">
        <v>24</v>
      </c>
      <c r="X8" s="103" t="s">
        <v>24</v>
      </c>
      <c r="Y8" s="103" t="s">
        <v>24</v>
      </c>
      <c r="Z8" s="103" t="s">
        <v>24</v>
      </c>
      <c r="AA8" s="100"/>
      <c r="AB8" s="103" t="s">
        <v>24</v>
      </c>
      <c r="AC8" s="103" t="s">
        <v>24</v>
      </c>
      <c r="AD8" s="103" t="s">
        <v>24</v>
      </c>
      <c r="AE8" s="103" t="s">
        <v>24</v>
      </c>
      <c r="AF8" s="103" t="s">
        <v>24</v>
      </c>
      <c r="AG8" s="103" t="s">
        <v>24</v>
      </c>
      <c r="AH8" s="100"/>
      <c r="AI8" s="103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256</v>
      </c>
      <c r="C9" s="78" t="s">
        <v>257</v>
      </c>
      <c r="D9" s="5" t="s">
        <v>44</v>
      </c>
      <c r="E9" s="103" t="s">
        <v>24</v>
      </c>
      <c r="F9" s="100"/>
      <c r="G9" s="103" t="s">
        <v>24</v>
      </c>
      <c r="H9" s="103" t="s">
        <v>24</v>
      </c>
      <c r="I9" s="103" t="s">
        <v>24</v>
      </c>
      <c r="J9" s="103" t="s">
        <v>24</v>
      </c>
      <c r="K9" s="103" t="s">
        <v>24</v>
      </c>
      <c r="L9" s="103" t="s">
        <v>24</v>
      </c>
      <c r="M9" s="100"/>
      <c r="N9" s="103" t="s">
        <v>24</v>
      </c>
      <c r="O9" s="103" t="s">
        <v>24</v>
      </c>
      <c r="P9" s="103" t="s">
        <v>24</v>
      </c>
      <c r="Q9" s="103" t="s">
        <v>24</v>
      </c>
      <c r="R9" s="103" t="s">
        <v>24</v>
      </c>
      <c r="S9" s="103" t="s">
        <v>24</v>
      </c>
      <c r="T9" s="100"/>
      <c r="U9" s="103" t="s">
        <v>24</v>
      </c>
      <c r="V9" s="103" t="s">
        <v>24</v>
      </c>
      <c r="W9" s="103" t="s">
        <v>24</v>
      </c>
      <c r="X9" s="103" t="s">
        <v>24</v>
      </c>
      <c r="Y9" s="103" t="s">
        <v>24</v>
      </c>
      <c r="Z9" s="103" t="s">
        <v>24</v>
      </c>
      <c r="AA9" s="100"/>
      <c r="AB9" s="103" t="s">
        <v>24</v>
      </c>
      <c r="AC9" s="103" t="s">
        <v>24</v>
      </c>
      <c r="AD9" s="103" t="s">
        <v>24</v>
      </c>
      <c r="AE9" s="103" t="s">
        <v>24</v>
      </c>
      <c r="AF9" s="103" t="s">
        <v>24</v>
      </c>
      <c r="AG9" s="103" t="s">
        <v>24</v>
      </c>
      <c r="AH9" s="100"/>
      <c r="AI9" s="103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258</v>
      </c>
      <c r="C10" s="78" t="s">
        <v>257</v>
      </c>
      <c r="D10" s="5" t="s">
        <v>44</v>
      </c>
      <c r="E10" s="103" t="s">
        <v>24</v>
      </c>
      <c r="F10" s="100"/>
      <c r="G10" s="103" t="s">
        <v>24</v>
      </c>
      <c r="H10" s="103" t="s">
        <v>24</v>
      </c>
      <c r="I10" s="103" t="s">
        <v>24</v>
      </c>
      <c r="J10" s="103" t="s">
        <v>24</v>
      </c>
      <c r="K10" s="103" t="s">
        <v>24</v>
      </c>
      <c r="L10" s="103" t="s">
        <v>24</v>
      </c>
      <c r="M10" s="100"/>
      <c r="N10" s="103" t="s">
        <v>24</v>
      </c>
      <c r="O10" s="103" t="s">
        <v>24</v>
      </c>
      <c r="P10" s="103" t="s">
        <v>24</v>
      </c>
      <c r="Q10" s="103" t="s">
        <v>24</v>
      </c>
      <c r="R10" s="103" t="s">
        <v>24</v>
      </c>
      <c r="S10" s="103" t="s">
        <v>24</v>
      </c>
      <c r="T10" s="100"/>
      <c r="U10" s="103" t="s">
        <v>24</v>
      </c>
      <c r="V10" s="103" t="s">
        <v>24</v>
      </c>
      <c r="W10" s="103" t="s">
        <v>24</v>
      </c>
      <c r="X10" s="103" t="s">
        <v>24</v>
      </c>
      <c r="Y10" s="103" t="s">
        <v>24</v>
      </c>
      <c r="Z10" s="103" t="s">
        <v>24</v>
      </c>
      <c r="AA10" s="100"/>
      <c r="AB10" s="103" t="s">
        <v>24</v>
      </c>
      <c r="AC10" s="103" t="s">
        <v>24</v>
      </c>
      <c r="AD10" s="103" t="s">
        <v>24</v>
      </c>
      <c r="AE10" s="103" t="s">
        <v>24</v>
      </c>
      <c r="AF10" s="103" t="s">
        <v>24</v>
      </c>
      <c r="AG10" s="103" t="s">
        <v>24</v>
      </c>
      <c r="AH10" s="100"/>
      <c r="AI10" s="103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75</v>
      </c>
      <c r="C11" s="78" t="s">
        <v>259</v>
      </c>
      <c r="D11" s="5" t="s">
        <v>44</v>
      </c>
      <c r="E11" s="103" t="s">
        <v>24</v>
      </c>
      <c r="F11" s="100"/>
      <c r="G11" s="103" t="s">
        <v>24</v>
      </c>
      <c r="H11" s="103" t="s">
        <v>24</v>
      </c>
      <c r="I11" s="103" t="s">
        <v>24</v>
      </c>
      <c r="J11" s="103" t="s">
        <v>24</v>
      </c>
      <c r="K11" s="103" t="s">
        <v>24</v>
      </c>
      <c r="L11" s="103" t="s">
        <v>24</v>
      </c>
      <c r="M11" s="100"/>
      <c r="N11" s="103" t="s">
        <v>24</v>
      </c>
      <c r="O11" s="103" t="s">
        <v>24</v>
      </c>
      <c r="P11" s="103" t="s">
        <v>24</v>
      </c>
      <c r="Q11" s="103" t="s">
        <v>24</v>
      </c>
      <c r="R11" s="103" t="s">
        <v>24</v>
      </c>
      <c r="S11" s="103" t="s">
        <v>24</v>
      </c>
      <c r="T11" s="100"/>
      <c r="U11" s="103" t="s">
        <v>24</v>
      </c>
      <c r="V11" s="103" t="s">
        <v>24</v>
      </c>
      <c r="W11" s="103" t="s">
        <v>24</v>
      </c>
      <c r="X11" s="103" t="s">
        <v>24</v>
      </c>
      <c r="Y11" s="103" t="s">
        <v>24</v>
      </c>
      <c r="Z11" s="103" t="s">
        <v>24</v>
      </c>
      <c r="AA11" s="100"/>
      <c r="AB11" s="103" t="s">
        <v>24</v>
      </c>
      <c r="AC11" s="103" t="s">
        <v>24</v>
      </c>
      <c r="AD11" s="103" t="s">
        <v>24</v>
      </c>
      <c r="AE11" s="103" t="s">
        <v>24</v>
      </c>
      <c r="AF11" s="103" t="s">
        <v>24</v>
      </c>
      <c r="AG11" s="103" t="s">
        <v>24</v>
      </c>
      <c r="AH11" s="100"/>
      <c r="AI11" s="103" t="s">
        <v>24</v>
      </c>
      <c r="AJ11" s="4">
        <f t="shared" si="1"/>
        <v>26</v>
      </c>
      <c r="AK11" s="4">
        <f t="shared" si="2"/>
        <v>0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78" t="s">
        <v>78</v>
      </c>
      <c r="C12" s="78" t="s">
        <v>260</v>
      </c>
      <c r="D12" s="5" t="s">
        <v>44</v>
      </c>
      <c r="E12" s="103" t="s">
        <v>24</v>
      </c>
      <c r="F12" s="100"/>
      <c r="G12" s="103" t="s">
        <v>24</v>
      </c>
      <c r="H12" s="103" t="s">
        <v>24</v>
      </c>
      <c r="I12" s="103" t="s">
        <v>24</v>
      </c>
      <c r="J12" s="103" t="s">
        <v>24</v>
      </c>
      <c r="K12" s="103" t="s">
        <v>24</v>
      </c>
      <c r="L12" s="103" t="s">
        <v>24</v>
      </c>
      <c r="M12" s="100"/>
      <c r="N12" s="103" t="s">
        <v>24</v>
      </c>
      <c r="O12" s="103" t="s">
        <v>24</v>
      </c>
      <c r="P12" s="103" t="s">
        <v>24</v>
      </c>
      <c r="Q12" s="103" t="s">
        <v>24</v>
      </c>
      <c r="R12" s="103" t="s">
        <v>24</v>
      </c>
      <c r="S12" s="103" t="s">
        <v>24</v>
      </c>
      <c r="T12" s="100"/>
      <c r="U12" s="103" t="s">
        <v>24</v>
      </c>
      <c r="V12" s="103" t="s">
        <v>24</v>
      </c>
      <c r="W12" s="103" t="s">
        <v>24</v>
      </c>
      <c r="X12" s="103" t="s">
        <v>24</v>
      </c>
      <c r="Y12" s="103" t="s">
        <v>24</v>
      </c>
      <c r="Z12" s="103" t="s">
        <v>24</v>
      </c>
      <c r="AA12" s="100"/>
      <c r="AB12" s="103" t="s">
        <v>24</v>
      </c>
      <c r="AC12" s="103" t="s">
        <v>24</v>
      </c>
      <c r="AD12" s="103" t="s">
        <v>24</v>
      </c>
      <c r="AE12" s="103" t="s">
        <v>24</v>
      </c>
      <c r="AF12" s="103" t="s">
        <v>24</v>
      </c>
      <c r="AG12" s="103" t="s">
        <v>24</v>
      </c>
      <c r="AH12" s="100"/>
      <c r="AI12" s="103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261</v>
      </c>
      <c r="C13" s="78" t="s">
        <v>236</v>
      </c>
      <c r="D13" s="5" t="s">
        <v>44</v>
      </c>
      <c r="E13" s="103" t="s">
        <v>24</v>
      </c>
      <c r="F13" s="100"/>
      <c r="G13" s="103" t="s">
        <v>24</v>
      </c>
      <c r="H13" s="103" t="s">
        <v>24</v>
      </c>
      <c r="I13" s="103" t="s">
        <v>24</v>
      </c>
      <c r="J13" s="103" t="s">
        <v>24</v>
      </c>
      <c r="K13" s="103" t="s">
        <v>24</v>
      </c>
      <c r="L13" s="103" t="s">
        <v>24</v>
      </c>
      <c r="M13" s="100"/>
      <c r="N13" s="103" t="s">
        <v>24</v>
      </c>
      <c r="O13" s="103" t="s">
        <v>24</v>
      </c>
      <c r="P13" s="103" t="s">
        <v>24</v>
      </c>
      <c r="Q13" s="103" t="s">
        <v>24</v>
      </c>
      <c r="R13" s="103" t="s">
        <v>24</v>
      </c>
      <c r="S13" s="103" t="s">
        <v>24</v>
      </c>
      <c r="T13" s="100"/>
      <c r="U13" s="103" t="s">
        <v>24</v>
      </c>
      <c r="V13" s="103" t="s">
        <v>24</v>
      </c>
      <c r="W13" s="103" t="s">
        <v>24</v>
      </c>
      <c r="X13" s="103" t="s">
        <v>24</v>
      </c>
      <c r="Y13" s="103" t="s">
        <v>24</v>
      </c>
      <c r="Z13" s="103" t="s">
        <v>24</v>
      </c>
      <c r="AA13" s="100"/>
      <c r="AB13" s="103" t="s">
        <v>24</v>
      </c>
      <c r="AC13" s="103" t="s">
        <v>24</v>
      </c>
      <c r="AD13" s="103" t="s">
        <v>24</v>
      </c>
      <c r="AE13" s="103" t="s">
        <v>24</v>
      </c>
      <c r="AF13" s="103" t="s">
        <v>24</v>
      </c>
      <c r="AG13" s="103" t="s">
        <v>24</v>
      </c>
      <c r="AH13" s="100"/>
      <c r="AI13" s="103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262</v>
      </c>
      <c r="C14" s="78" t="s">
        <v>131</v>
      </c>
      <c r="D14" s="5" t="s">
        <v>44</v>
      </c>
      <c r="E14" s="103" t="s">
        <v>24</v>
      </c>
      <c r="F14" s="100"/>
      <c r="G14" s="103" t="s">
        <v>24</v>
      </c>
      <c r="H14" s="103" t="s">
        <v>24</v>
      </c>
      <c r="I14" s="103" t="s">
        <v>24</v>
      </c>
      <c r="J14" s="103" t="s">
        <v>24</v>
      </c>
      <c r="K14" s="103" t="s">
        <v>24</v>
      </c>
      <c r="L14" s="103" t="s">
        <v>24</v>
      </c>
      <c r="M14" s="100"/>
      <c r="N14" s="103" t="s">
        <v>24</v>
      </c>
      <c r="O14" s="103" t="s">
        <v>24</v>
      </c>
      <c r="P14" s="103" t="s">
        <v>24</v>
      </c>
      <c r="Q14" s="103" t="s">
        <v>24</v>
      </c>
      <c r="R14" s="103" t="s">
        <v>24</v>
      </c>
      <c r="S14" s="103" t="s">
        <v>24</v>
      </c>
      <c r="T14" s="100"/>
      <c r="U14" s="103" t="s">
        <v>24</v>
      </c>
      <c r="V14" s="103" t="s">
        <v>24</v>
      </c>
      <c r="W14" s="103" t="s">
        <v>24</v>
      </c>
      <c r="X14" s="103" t="s">
        <v>24</v>
      </c>
      <c r="Y14" s="103" t="s">
        <v>24</v>
      </c>
      <c r="Z14" s="103" t="s">
        <v>24</v>
      </c>
      <c r="AA14" s="100"/>
      <c r="AB14" s="103" t="s">
        <v>24</v>
      </c>
      <c r="AC14" s="103" t="s">
        <v>24</v>
      </c>
      <c r="AD14" s="103" t="s">
        <v>24</v>
      </c>
      <c r="AE14" s="103" t="s">
        <v>24</v>
      </c>
      <c r="AF14" s="103" t="s">
        <v>24</v>
      </c>
      <c r="AG14" s="103" t="s">
        <v>24</v>
      </c>
      <c r="AH14" s="100"/>
      <c r="AI14" s="103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263</v>
      </c>
      <c r="C15" s="78" t="s">
        <v>257</v>
      </c>
      <c r="D15" s="5" t="s">
        <v>44</v>
      </c>
      <c r="E15" s="103" t="s">
        <v>24</v>
      </c>
      <c r="F15" s="100"/>
      <c r="G15" s="103" t="s">
        <v>24</v>
      </c>
      <c r="H15" s="103" t="s">
        <v>24</v>
      </c>
      <c r="I15" s="103" t="s">
        <v>24</v>
      </c>
      <c r="J15" s="103" t="s">
        <v>24</v>
      </c>
      <c r="K15" s="103" t="s">
        <v>24</v>
      </c>
      <c r="L15" s="103" t="s">
        <v>24</v>
      </c>
      <c r="M15" s="100"/>
      <c r="N15" s="103" t="s">
        <v>24</v>
      </c>
      <c r="O15" s="103" t="s">
        <v>24</v>
      </c>
      <c r="P15" s="103" t="s">
        <v>24</v>
      </c>
      <c r="Q15" s="103" t="s">
        <v>24</v>
      </c>
      <c r="R15" s="103" t="s">
        <v>24</v>
      </c>
      <c r="S15" s="103" t="s">
        <v>24</v>
      </c>
      <c r="T15" s="100"/>
      <c r="U15" s="103" t="s">
        <v>24</v>
      </c>
      <c r="V15" s="103" t="s">
        <v>24</v>
      </c>
      <c r="W15" s="103" t="s">
        <v>24</v>
      </c>
      <c r="X15" s="103" t="s">
        <v>24</v>
      </c>
      <c r="Y15" s="103" t="s">
        <v>24</v>
      </c>
      <c r="Z15" s="103" t="s">
        <v>24</v>
      </c>
      <c r="AA15" s="100"/>
      <c r="AB15" s="103" t="s">
        <v>24</v>
      </c>
      <c r="AC15" s="103" t="s">
        <v>24</v>
      </c>
      <c r="AD15" s="103" t="s">
        <v>24</v>
      </c>
      <c r="AE15" s="103" t="s">
        <v>24</v>
      </c>
      <c r="AF15" s="103" t="s">
        <v>24</v>
      </c>
      <c r="AG15" s="103" t="s">
        <v>24</v>
      </c>
      <c r="AH15" s="100"/>
      <c r="AI15" s="103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264</v>
      </c>
      <c r="C16" s="78" t="s">
        <v>258</v>
      </c>
      <c r="D16" s="5" t="s">
        <v>44</v>
      </c>
      <c r="E16" s="103" t="s">
        <v>24</v>
      </c>
      <c r="F16" s="100"/>
      <c r="G16" s="103" t="s">
        <v>24</v>
      </c>
      <c r="H16" s="103" t="s">
        <v>24</v>
      </c>
      <c r="I16" s="103" t="s">
        <v>24</v>
      </c>
      <c r="J16" s="103" t="s">
        <v>24</v>
      </c>
      <c r="K16" s="103" t="s">
        <v>24</v>
      </c>
      <c r="L16" s="103" t="s">
        <v>24</v>
      </c>
      <c r="M16" s="100"/>
      <c r="N16" s="103" t="s">
        <v>24</v>
      </c>
      <c r="O16" s="103" t="s">
        <v>24</v>
      </c>
      <c r="P16" s="103" t="s">
        <v>24</v>
      </c>
      <c r="Q16" s="103" t="s">
        <v>24</v>
      </c>
      <c r="R16" s="103" t="s">
        <v>24</v>
      </c>
      <c r="S16" s="103" t="s">
        <v>24</v>
      </c>
      <c r="T16" s="100"/>
      <c r="U16" s="103" t="s">
        <v>24</v>
      </c>
      <c r="V16" s="103" t="s">
        <v>24</v>
      </c>
      <c r="W16" s="103" t="s">
        <v>24</v>
      </c>
      <c r="X16" s="103" t="s">
        <v>24</v>
      </c>
      <c r="Y16" s="103" t="s">
        <v>24</v>
      </c>
      <c r="Z16" s="103" t="s">
        <v>24</v>
      </c>
      <c r="AA16" s="100"/>
      <c r="AB16" s="103" t="s">
        <v>24</v>
      </c>
      <c r="AC16" s="103" t="s">
        <v>24</v>
      </c>
      <c r="AD16" s="103" t="s">
        <v>24</v>
      </c>
      <c r="AE16" s="103" t="s">
        <v>24</v>
      </c>
      <c r="AF16" s="103" t="s">
        <v>24</v>
      </c>
      <c r="AG16" s="103" t="s">
        <v>24</v>
      </c>
      <c r="AH16" s="100"/>
      <c r="AI16" s="103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265</v>
      </c>
      <c r="C17" s="78" t="s">
        <v>266</v>
      </c>
      <c r="D17" s="5" t="s">
        <v>44</v>
      </c>
      <c r="E17" s="103" t="s">
        <v>24</v>
      </c>
      <c r="F17" s="100"/>
      <c r="G17" s="103" t="s">
        <v>24</v>
      </c>
      <c r="H17" s="103" t="s">
        <v>24</v>
      </c>
      <c r="I17" s="103" t="s">
        <v>24</v>
      </c>
      <c r="J17" s="103" t="s">
        <v>24</v>
      </c>
      <c r="K17" s="103" t="s">
        <v>24</v>
      </c>
      <c r="L17" s="103" t="s">
        <v>24</v>
      </c>
      <c r="M17" s="100"/>
      <c r="N17" s="103" t="s">
        <v>24</v>
      </c>
      <c r="O17" s="103" t="s">
        <v>24</v>
      </c>
      <c r="P17" s="103" t="s">
        <v>24</v>
      </c>
      <c r="Q17" s="103" t="s">
        <v>24</v>
      </c>
      <c r="R17" s="103" t="s">
        <v>24</v>
      </c>
      <c r="S17" s="103" t="s">
        <v>24</v>
      </c>
      <c r="T17" s="100"/>
      <c r="U17" s="103" t="s">
        <v>24</v>
      </c>
      <c r="V17" s="103" t="s">
        <v>24</v>
      </c>
      <c r="W17" s="103" t="s">
        <v>24</v>
      </c>
      <c r="X17" s="103" t="s">
        <v>24</v>
      </c>
      <c r="Y17" s="103" t="s">
        <v>24</v>
      </c>
      <c r="Z17" s="103" t="s">
        <v>24</v>
      </c>
      <c r="AA17" s="100"/>
      <c r="AB17" s="103" t="s">
        <v>24</v>
      </c>
      <c r="AC17" s="103" t="s">
        <v>24</v>
      </c>
      <c r="AD17" s="103" t="s">
        <v>24</v>
      </c>
      <c r="AE17" s="103" t="s">
        <v>24</v>
      </c>
      <c r="AF17" s="103" t="s">
        <v>24</v>
      </c>
      <c r="AG17" s="103" t="s">
        <v>24</v>
      </c>
      <c r="AH17" s="100"/>
      <c r="AI17" s="103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267</v>
      </c>
      <c r="C18" s="78" t="s">
        <v>268</v>
      </c>
      <c r="D18" s="5" t="s">
        <v>44</v>
      </c>
      <c r="E18" s="103" t="s">
        <v>24</v>
      </c>
      <c r="F18" s="100"/>
      <c r="G18" s="103" t="s">
        <v>24</v>
      </c>
      <c r="H18" s="103" t="s">
        <v>24</v>
      </c>
      <c r="I18" s="103" t="s">
        <v>24</v>
      </c>
      <c r="J18" s="103" t="s">
        <v>24</v>
      </c>
      <c r="K18" s="103" t="s">
        <v>24</v>
      </c>
      <c r="L18" s="103" t="s">
        <v>24</v>
      </c>
      <c r="M18" s="100"/>
      <c r="N18" s="103" t="s">
        <v>24</v>
      </c>
      <c r="O18" s="103" t="s">
        <v>24</v>
      </c>
      <c r="P18" s="103" t="s">
        <v>24</v>
      </c>
      <c r="Q18" s="103" t="s">
        <v>24</v>
      </c>
      <c r="R18" s="103" t="s">
        <v>24</v>
      </c>
      <c r="S18" s="103" t="s">
        <v>24</v>
      </c>
      <c r="T18" s="100"/>
      <c r="U18" s="103" t="s">
        <v>24</v>
      </c>
      <c r="V18" s="103" t="s">
        <v>24</v>
      </c>
      <c r="W18" s="103" t="s">
        <v>24</v>
      </c>
      <c r="X18" s="103" t="s">
        <v>24</v>
      </c>
      <c r="Y18" s="103" t="s">
        <v>24</v>
      </c>
      <c r="Z18" s="103" t="s">
        <v>24</v>
      </c>
      <c r="AA18" s="100"/>
      <c r="AB18" s="103" t="s">
        <v>24</v>
      </c>
      <c r="AC18" s="103" t="s">
        <v>24</v>
      </c>
      <c r="AD18" s="103" t="s">
        <v>24</v>
      </c>
      <c r="AE18" s="103" t="s">
        <v>24</v>
      </c>
      <c r="AF18" s="103" t="s">
        <v>24</v>
      </c>
      <c r="AG18" s="103" t="s">
        <v>24</v>
      </c>
      <c r="AH18" s="100"/>
      <c r="AI18" s="103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269</v>
      </c>
      <c r="C19" s="78" t="s">
        <v>160</v>
      </c>
      <c r="D19" s="5" t="s">
        <v>44</v>
      </c>
      <c r="E19" s="103" t="s">
        <v>24</v>
      </c>
      <c r="F19" s="100"/>
      <c r="G19" s="103" t="s">
        <v>24</v>
      </c>
      <c r="H19" s="103" t="s">
        <v>24</v>
      </c>
      <c r="I19" s="103" t="s">
        <v>24</v>
      </c>
      <c r="J19" s="103" t="s">
        <v>24</v>
      </c>
      <c r="K19" s="103" t="s">
        <v>24</v>
      </c>
      <c r="L19" s="103" t="s">
        <v>24</v>
      </c>
      <c r="M19" s="100"/>
      <c r="N19" s="103" t="s">
        <v>24</v>
      </c>
      <c r="O19" s="103" t="s">
        <v>24</v>
      </c>
      <c r="P19" s="103" t="s">
        <v>24</v>
      </c>
      <c r="Q19" s="103" t="s">
        <v>24</v>
      </c>
      <c r="R19" s="103" t="s">
        <v>24</v>
      </c>
      <c r="S19" s="103" t="s">
        <v>24</v>
      </c>
      <c r="T19" s="100"/>
      <c r="U19" s="103" t="s">
        <v>24</v>
      </c>
      <c r="V19" s="103" t="s">
        <v>24</v>
      </c>
      <c r="W19" s="103" t="s">
        <v>24</v>
      </c>
      <c r="X19" s="103" t="s">
        <v>24</v>
      </c>
      <c r="Y19" s="103" t="s">
        <v>24</v>
      </c>
      <c r="Z19" s="103" t="s">
        <v>24</v>
      </c>
      <c r="AA19" s="100"/>
      <c r="AB19" s="103" t="s">
        <v>24</v>
      </c>
      <c r="AC19" s="103" t="s">
        <v>24</v>
      </c>
      <c r="AD19" s="103" t="s">
        <v>24</v>
      </c>
      <c r="AE19" s="103" t="s">
        <v>24</v>
      </c>
      <c r="AF19" s="103" t="s">
        <v>24</v>
      </c>
      <c r="AG19" s="103" t="s">
        <v>24</v>
      </c>
      <c r="AH19" s="100"/>
      <c r="AI19" s="103" t="s">
        <v>24</v>
      </c>
      <c r="AJ19" s="4">
        <f t="shared" si="1"/>
        <v>26</v>
      </c>
      <c r="AK19" s="4">
        <f t="shared" si="2"/>
        <v>0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78" t="s">
        <v>270</v>
      </c>
      <c r="C20" s="78" t="s">
        <v>34</v>
      </c>
      <c r="D20" s="5" t="s">
        <v>44</v>
      </c>
      <c r="E20" s="103" t="s">
        <v>24</v>
      </c>
      <c r="F20" s="100"/>
      <c r="G20" s="103" t="s">
        <v>24</v>
      </c>
      <c r="H20" s="103" t="s">
        <v>24</v>
      </c>
      <c r="I20" s="103" t="s">
        <v>24</v>
      </c>
      <c r="J20" s="103" t="s">
        <v>24</v>
      </c>
      <c r="K20" s="103" t="s">
        <v>24</v>
      </c>
      <c r="L20" s="103" t="s">
        <v>24</v>
      </c>
      <c r="M20" s="100"/>
      <c r="N20" s="103" t="s">
        <v>24</v>
      </c>
      <c r="O20" s="103" t="s">
        <v>24</v>
      </c>
      <c r="P20" s="103" t="s">
        <v>24</v>
      </c>
      <c r="Q20" s="103" t="s">
        <v>24</v>
      </c>
      <c r="R20" s="103" t="s">
        <v>24</v>
      </c>
      <c r="S20" s="103" t="s">
        <v>24</v>
      </c>
      <c r="T20" s="100"/>
      <c r="U20" s="103" t="s">
        <v>24</v>
      </c>
      <c r="V20" s="103" t="s">
        <v>24</v>
      </c>
      <c r="W20" s="103" t="s">
        <v>24</v>
      </c>
      <c r="X20" s="103" t="s">
        <v>24</v>
      </c>
      <c r="Y20" s="103" t="s">
        <v>24</v>
      </c>
      <c r="Z20" s="103" t="s">
        <v>24</v>
      </c>
      <c r="AA20" s="100"/>
      <c r="AB20" s="103" t="s">
        <v>24</v>
      </c>
      <c r="AC20" s="103" t="s">
        <v>24</v>
      </c>
      <c r="AD20" s="103" t="s">
        <v>24</v>
      </c>
      <c r="AE20" s="103" t="s">
        <v>24</v>
      </c>
      <c r="AF20" s="103" t="s">
        <v>24</v>
      </c>
      <c r="AG20" s="103" t="s">
        <v>24</v>
      </c>
      <c r="AH20" s="100"/>
      <c r="AI20" s="103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113</v>
      </c>
      <c r="C21" s="78" t="s">
        <v>271</v>
      </c>
      <c r="D21" s="5" t="s">
        <v>44</v>
      </c>
      <c r="E21" s="103" t="s">
        <v>24</v>
      </c>
      <c r="F21" s="100"/>
      <c r="G21" s="103" t="s">
        <v>24</v>
      </c>
      <c r="H21" s="103" t="s">
        <v>24</v>
      </c>
      <c r="I21" s="103" t="s">
        <v>24</v>
      </c>
      <c r="J21" s="103" t="s">
        <v>24</v>
      </c>
      <c r="K21" s="103" t="s">
        <v>24</v>
      </c>
      <c r="L21" s="103" t="s">
        <v>24</v>
      </c>
      <c r="M21" s="100"/>
      <c r="N21" s="103" t="s">
        <v>24</v>
      </c>
      <c r="O21" s="103" t="s">
        <v>24</v>
      </c>
      <c r="P21" s="103" t="s">
        <v>24</v>
      </c>
      <c r="Q21" s="103" t="s">
        <v>24</v>
      </c>
      <c r="R21" s="103" t="s">
        <v>24</v>
      </c>
      <c r="S21" s="103" t="s">
        <v>24</v>
      </c>
      <c r="T21" s="100"/>
      <c r="U21" s="103" t="s">
        <v>24</v>
      </c>
      <c r="V21" s="103" t="s">
        <v>24</v>
      </c>
      <c r="W21" s="103" t="s">
        <v>24</v>
      </c>
      <c r="X21" s="103" t="s">
        <v>24</v>
      </c>
      <c r="Y21" s="103" t="s">
        <v>24</v>
      </c>
      <c r="Z21" s="103" t="s">
        <v>24</v>
      </c>
      <c r="AA21" s="100"/>
      <c r="AB21" s="103" t="s">
        <v>24</v>
      </c>
      <c r="AC21" s="103" t="s">
        <v>24</v>
      </c>
      <c r="AD21" s="103" t="s">
        <v>24</v>
      </c>
      <c r="AE21" s="103" t="s">
        <v>24</v>
      </c>
      <c r="AF21" s="103" t="s">
        <v>24</v>
      </c>
      <c r="AG21" s="103" t="s">
        <v>24</v>
      </c>
      <c r="AH21" s="100"/>
      <c r="AI21" s="103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272</v>
      </c>
      <c r="C22" s="78" t="s">
        <v>100</v>
      </c>
      <c r="D22" s="5" t="s">
        <v>44</v>
      </c>
      <c r="E22" s="103" t="s">
        <v>24</v>
      </c>
      <c r="F22" s="100"/>
      <c r="G22" s="103" t="s">
        <v>24</v>
      </c>
      <c r="H22" s="103" t="s">
        <v>24</v>
      </c>
      <c r="I22" s="103" t="s">
        <v>24</v>
      </c>
      <c r="J22" s="103" t="s">
        <v>24</v>
      </c>
      <c r="K22" s="103" t="s">
        <v>24</v>
      </c>
      <c r="L22" s="103" t="s">
        <v>24</v>
      </c>
      <c r="M22" s="100"/>
      <c r="N22" s="103" t="s">
        <v>24</v>
      </c>
      <c r="O22" s="103" t="s">
        <v>24</v>
      </c>
      <c r="P22" s="103" t="s">
        <v>24</v>
      </c>
      <c r="Q22" s="103" t="s">
        <v>24</v>
      </c>
      <c r="R22" s="103" t="s">
        <v>24</v>
      </c>
      <c r="S22" s="103" t="s">
        <v>24</v>
      </c>
      <c r="T22" s="100"/>
      <c r="U22" s="103" t="s">
        <v>24</v>
      </c>
      <c r="V22" s="103" t="s">
        <v>24</v>
      </c>
      <c r="W22" s="103" t="s">
        <v>24</v>
      </c>
      <c r="X22" s="103" t="s">
        <v>24</v>
      </c>
      <c r="Y22" s="103" t="s">
        <v>24</v>
      </c>
      <c r="Z22" s="103" t="s">
        <v>24</v>
      </c>
      <c r="AA22" s="100"/>
      <c r="AB22" s="103" t="s">
        <v>24</v>
      </c>
      <c r="AC22" s="103" t="s">
        <v>24</v>
      </c>
      <c r="AD22" s="103" t="s">
        <v>24</v>
      </c>
      <c r="AE22" s="103" t="s">
        <v>24</v>
      </c>
      <c r="AF22" s="103" t="s">
        <v>24</v>
      </c>
      <c r="AG22" s="103" t="s">
        <v>24</v>
      </c>
      <c r="AH22" s="100"/>
      <c r="AI22" s="103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227</v>
      </c>
      <c r="C23" s="78" t="s">
        <v>273</v>
      </c>
      <c r="D23" s="5" t="s">
        <v>44</v>
      </c>
      <c r="E23" s="103" t="s">
        <v>24</v>
      </c>
      <c r="F23" s="100"/>
      <c r="G23" s="103" t="s">
        <v>24</v>
      </c>
      <c r="H23" s="103" t="s">
        <v>24</v>
      </c>
      <c r="I23" s="103" t="s">
        <v>24</v>
      </c>
      <c r="J23" s="103" t="s">
        <v>24</v>
      </c>
      <c r="K23" s="103" t="s">
        <v>24</v>
      </c>
      <c r="L23" s="103" t="s">
        <v>24</v>
      </c>
      <c r="M23" s="100"/>
      <c r="N23" s="103" t="s">
        <v>24</v>
      </c>
      <c r="O23" s="103" t="s">
        <v>24</v>
      </c>
      <c r="P23" s="103" t="s">
        <v>24</v>
      </c>
      <c r="Q23" s="103" t="s">
        <v>24</v>
      </c>
      <c r="R23" s="103" t="s">
        <v>24</v>
      </c>
      <c r="S23" s="103" t="s">
        <v>24</v>
      </c>
      <c r="T23" s="100"/>
      <c r="U23" s="103" t="s">
        <v>24</v>
      </c>
      <c r="V23" s="103" t="s">
        <v>24</v>
      </c>
      <c r="W23" s="103" t="s">
        <v>24</v>
      </c>
      <c r="X23" s="103" t="s">
        <v>24</v>
      </c>
      <c r="Y23" s="103" t="s">
        <v>24</v>
      </c>
      <c r="Z23" s="103" t="s">
        <v>24</v>
      </c>
      <c r="AA23" s="100"/>
      <c r="AB23" s="103" t="s">
        <v>24</v>
      </c>
      <c r="AC23" s="103" t="s">
        <v>24</v>
      </c>
      <c r="AD23" s="103" t="s">
        <v>24</v>
      </c>
      <c r="AE23" s="103" t="s">
        <v>24</v>
      </c>
      <c r="AF23" s="103" t="s">
        <v>24</v>
      </c>
      <c r="AG23" s="103" t="s">
        <v>24</v>
      </c>
      <c r="AH23" s="100"/>
      <c r="AI23" s="103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194</v>
      </c>
      <c r="C24" s="78" t="s">
        <v>273</v>
      </c>
      <c r="D24" s="5" t="s">
        <v>44</v>
      </c>
      <c r="E24" s="103" t="s">
        <v>24</v>
      </c>
      <c r="F24" s="100"/>
      <c r="G24" s="103" t="s">
        <v>24</v>
      </c>
      <c r="H24" s="103" t="s">
        <v>24</v>
      </c>
      <c r="I24" s="103" t="s">
        <v>24</v>
      </c>
      <c r="J24" s="103" t="s">
        <v>24</v>
      </c>
      <c r="K24" s="103" t="s">
        <v>24</v>
      </c>
      <c r="L24" s="103" t="s">
        <v>24</v>
      </c>
      <c r="M24" s="100"/>
      <c r="N24" s="103" t="s">
        <v>24</v>
      </c>
      <c r="O24" s="103" t="s">
        <v>24</v>
      </c>
      <c r="P24" s="103" t="s">
        <v>24</v>
      </c>
      <c r="Q24" s="103" t="s">
        <v>24</v>
      </c>
      <c r="R24" s="103" t="s">
        <v>24</v>
      </c>
      <c r="S24" s="103" t="s">
        <v>24</v>
      </c>
      <c r="T24" s="100"/>
      <c r="U24" s="103" t="s">
        <v>24</v>
      </c>
      <c r="V24" s="103" t="s">
        <v>24</v>
      </c>
      <c r="W24" s="103" t="s">
        <v>24</v>
      </c>
      <c r="X24" s="103" t="s">
        <v>24</v>
      </c>
      <c r="Y24" s="103" t="s">
        <v>24</v>
      </c>
      <c r="Z24" s="103" t="s">
        <v>24</v>
      </c>
      <c r="AA24" s="100"/>
      <c r="AB24" s="103" t="s">
        <v>24</v>
      </c>
      <c r="AC24" s="103" t="s">
        <v>24</v>
      </c>
      <c r="AD24" s="103" t="s">
        <v>24</v>
      </c>
      <c r="AE24" s="103" t="s">
        <v>24</v>
      </c>
      <c r="AF24" s="103" t="s">
        <v>24</v>
      </c>
      <c r="AG24" s="103" t="s">
        <v>24</v>
      </c>
      <c r="AH24" s="100"/>
      <c r="AI24" s="103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78" t="s">
        <v>274</v>
      </c>
      <c r="C25" s="78" t="s">
        <v>40</v>
      </c>
      <c r="D25" s="5" t="s">
        <v>44</v>
      </c>
      <c r="E25" s="103" t="s">
        <v>24</v>
      </c>
      <c r="F25" s="100"/>
      <c r="G25" s="103" t="s">
        <v>24</v>
      </c>
      <c r="H25" s="103" t="s">
        <v>24</v>
      </c>
      <c r="I25" s="103" t="s">
        <v>24</v>
      </c>
      <c r="J25" s="103" t="s">
        <v>24</v>
      </c>
      <c r="K25" s="103" t="s">
        <v>24</v>
      </c>
      <c r="L25" s="103" t="s">
        <v>24</v>
      </c>
      <c r="M25" s="100"/>
      <c r="N25" s="103" t="s">
        <v>24</v>
      </c>
      <c r="O25" s="103" t="s">
        <v>24</v>
      </c>
      <c r="P25" s="103" t="s">
        <v>24</v>
      </c>
      <c r="Q25" s="103" t="s">
        <v>24</v>
      </c>
      <c r="R25" s="103" t="s">
        <v>24</v>
      </c>
      <c r="S25" s="103" t="s">
        <v>24</v>
      </c>
      <c r="T25" s="100"/>
      <c r="U25" s="103" t="s">
        <v>24</v>
      </c>
      <c r="V25" s="103" t="s">
        <v>24</v>
      </c>
      <c r="W25" s="103" t="s">
        <v>24</v>
      </c>
      <c r="X25" s="103" t="s">
        <v>24</v>
      </c>
      <c r="Y25" s="103" t="s">
        <v>24</v>
      </c>
      <c r="Z25" s="103" t="s">
        <v>24</v>
      </c>
      <c r="AA25" s="100"/>
      <c r="AB25" s="103" t="s">
        <v>24</v>
      </c>
      <c r="AC25" s="103" t="s">
        <v>24</v>
      </c>
      <c r="AD25" s="103" t="s">
        <v>24</v>
      </c>
      <c r="AE25" s="103" t="s">
        <v>24</v>
      </c>
      <c r="AF25" s="103" t="s">
        <v>24</v>
      </c>
      <c r="AG25" s="103" t="s">
        <v>24</v>
      </c>
      <c r="AH25" s="100"/>
      <c r="AI25" s="103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78" t="s">
        <v>275</v>
      </c>
      <c r="C26" s="78" t="s">
        <v>276</v>
      </c>
      <c r="D26" s="5" t="s">
        <v>44</v>
      </c>
      <c r="E26" s="103" t="s">
        <v>24</v>
      </c>
      <c r="F26" s="100"/>
      <c r="G26" s="103" t="s">
        <v>24</v>
      </c>
      <c r="H26" s="103" t="s">
        <v>24</v>
      </c>
      <c r="I26" s="103" t="s">
        <v>24</v>
      </c>
      <c r="J26" s="103" t="s">
        <v>24</v>
      </c>
      <c r="K26" s="103" t="s">
        <v>24</v>
      </c>
      <c r="L26" s="103" t="s">
        <v>24</v>
      </c>
      <c r="M26" s="100"/>
      <c r="N26" s="103" t="s">
        <v>24</v>
      </c>
      <c r="O26" s="103" t="s">
        <v>24</v>
      </c>
      <c r="P26" s="103" t="s">
        <v>24</v>
      </c>
      <c r="Q26" s="103" t="s">
        <v>24</v>
      </c>
      <c r="R26" s="103" t="s">
        <v>24</v>
      </c>
      <c r="S26" s="103" t="s">
        <v>24</v>
      </c>
      <c r="T26" s="100"/>
      <c r="U26" s="103" t="s">
        <v>24</v>
      </c>
      <c r="V26" s="103" t="s">
        <v>24</v>
      </c>
      <c r="W26" s="103" t="s">
        <v>24</v>
      </c>
      <c r="X26" s="103" t="s">
        <v>24</v>
      </c>
      <c r="Y26" s="103" t="s">
        <v>24</v>
      </c>
      <c r="Z26" s="103" t="s">
        <v>24</v>
      </c>
      <c r="AA26" s="100"/>
      <c r="AB26" s="103" t="s">
        <v>24</v>
      </c>
      <c r="AC26" s="103" t="s">
        <v>24</v>
      </c>
      <c r="AD26" s="103" t="s">
        <v>24</v>
      </c>
      <c r="AE26" s="103" t="s">
        <v>24</v>
      </c>
      <c r="AF26" s="103" t="s">
        <v>24</v>
      </c>
      <c r="AG26" s="103" t="s">
        <v>24</v>
      </c>
      <c r="AH26" s="100"/>
      <c r="AI26" s="103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78" t="s">
        <v>267</v>
      </c>
      <c r="C27" s="78" t="s">
        <v>276</v>
      </c>
      <c r="D27" s="5" t="s">
        <v>44</v>
      </c>
      <c r="E27" s="103" t="s">
        <v>24</v>
      </c>
      <c r="F27" s="100"/>
      <c r="G27" s="103" t="s">
        <v>24</v>
      </c>
      <c r="H27" s="103" t="s">
        <v>24</v>
      </c>
      <c r="I27" s="103" t="s">
        <v>24</v>
      </c>
      <c r="J27" s="103" t="s">
        <v>24</v>
      </c>
      <c r="K27" s="103" t="s">
        <v>24</v>
      </c>
      <c r="L27" s="103" t="s">
        <v>24</v>
      </c>
      <c r="M27" s="100"/>
      <c r="N27" s="103" t="s">
        <v>24</v>
      </c>
      <c r="O27" s="103" t="s">
        <v>24</v>
      </c>
      <c r="P27" s="103" t="s">
        <v>24</v>
      </c>
      <c r="Q27" s="103" t="s">
        <v>24</v>
      </c>
      <c r="R27" s="103" t="s">
        <v>24</v>
      </c>
      <c r="S27" s="103" t="s">
        <v>24</v>
      </c>
      <c r="T27" s="100"/>
      <c r="U27" s="103" t="s">
        <v>24</v>
      </c>
      <c r="V27" s="103" t="s">
        <v>24</v>
      </c>
      <c r="W27" s="103" t="s">
        <v>24</v>
      </c>
      <c r="X27" s="103" t="s">
        <v>24</v>
      </c>
      <c r="Y27" s="103" t="s">
        <v>24</v>
      </c>
      <c r="Z27" s="103" t="s">
        <v>24</v>
      </c>
      <c r="AA27" s="100"/>
      <c r="AB27" s="103" t="s">
        <v>24</v>
      </c>
      <c r="AC27" s="103" t="s">
        <v>24</v>
      </c>
      <c r="AD27" s="103" t="s">
        <v>24</v>
      </c>
      <c r="AE27" s="103" t="s">
        <v>24</v>
      </c>
      <c r="AF27" s="103" t="s">
        <v>24</v>
      </c>
      <c r="AG27" s="103" t="s">
        <v>24</v>
      </c>
      <c r="AH27" s="100"/>
      <c r="AI27" s="103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78" t="s">
        <v>277</v>
      </c>
      <c r="C28" s="78" t="s">
        <v>64</v>
      </c>
      <c r="D28" s="5" t="s">
        <v>44</v>
      </c>
      <c r="E28" s="103" t="s">
        <v>24</v>
      </c>
      <c r="F28" s="100"/>
      <c r="G28" s="103" t="s">
        <v>24</v>
      </c>
      <c r="H28" s="103" t="s">
        <v>24</v>
      </c>
      <c r="I28" s="103" t="s">
        <v>24</v>
      </c>
      <c r="J28" s="103" t="s">
        <v>24</v>
      </c>
      <c r="K28" s="103" t="s">
        <v>24</v>
      </c>
      <c r="L28" s="103" t="s">
        <v>24</v>
      </c>
      <c r="M28" s="100"/>
      <c r="N28" s="103" t="s">
        <v>24</v>
      </c>
      <c r="O28" s="103" t="s">
        <v>24</v>
      </c>
      <c r="P28" s="103" t="s">
        <v>24</v>
      </c>
      <c r="Q28" s="103" t="s">
        <v>24</v>
      </c>
      <c r="R28" s="103" t="s">
        <v>24</v>
      </c>
      <c r="S28" s="103" t="s">
        <v>24</v>
      </c>
      <c r="T28" s="100"/>
      <c r="U28" s="103" t="s">
        <v>24</v>
      </c>
      <c r="V28" s="103" t="s">
        <v>24</v>
      </c>
      <c r="W28" s="103" t="s">
        <v>24</v>
      </c>
      <c r="X28" s="103" t="s">
        <v>24</v>
      </c>
      <c r="Y28" s="103" t="s">
        <v>24</v>
      </c>
      <c r="Z28" s="103" t="s">
        <v>24</v>
      </c>
      <c r="AA28" s="100"/>
      <c r="AB28" s="103" t="s">
        <v>24</v>
      </c>
      <c r="AC28" s="103" t="s">
        <v>24</v>
      </c>
      <c r="AD28" s="103" t="s">
        <v>24</v>
      </c>
      <c r="AE28" s="103" t="s">
        <v>24</v>
      </c>
      <c r="AF28" s="103" t="s">
        <v>24</v>
      </c>
      <c r="AG28" s="103" t="s">
        <v>24</v>
      </c>
      <c r="AH28" s="100"/>
      <c r="AI28" s="103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78" t="s">
        <v>172</v>
      </c>
      <c r="C29" s="78" t="s">
        <v>278</v>
      </c>
      <c r="D29" s="5" t="s">
        <v>44</v>
      </c>
      <c r="E29" s="103" t="s">
        <v>24</v>
      </c>
      <c r="F29" s="100"/>
      <c r="G29" s="103" t="s">
        <v>24</v>
      </c>
      <c r="H29" s="103" t="s">
        <v>24</v>
      </c>
      <c r="I29" s="103" t="s">
        <v>24</v>
      </c>
      <c r="J29" s="103" t="s">
        <v>24</v>
      </c>
      <c r="K29" s="103" t="s">
        <v>24</v>
      </c>
      <c r="L29" s="103" t="s">
        <v>24</v>
      </c>
      <c r="M29" s="100"/>
      <c r="N29" s="103" t="s">
        <v>24</v>
      </c>
      <c r="O29" s="103" t="s">
        <v>24</v>
      </c>
      <c r="P29" s="103" t="s">
        <v>24</v>
      </c>
      <c r="Q29" s="103" t="s">
        <v>24</v>
      </c>
      <c r="R29" s="103" t="s">
        <v>24</v>
      </c>
      <c r="S29" s="103" t="s">
        <v>24</v>
      </c>
      <c r="T29" s="100"/>
      <c r="U29" s="103" t="s">
        <v>24</v>
      </c>
      <c r="V29" s="103" t="s">
        <v>24</v>
      </c>
      <c r="W29" s="103" t="s">
        <v>24</v>
      </c>
      <c r="X29" s="103" t="s">
        <v>24</v>
      </c>
      <c r="Y29" s="103" t="s">
        <v>24</v>
      </c>
      <c r="Z29" s="103" t="s">
        <v>24</v>
      </c>
      <c r="AA29" s="100"/>
      <c r="AB29" s="103" t="s">
        <v>24</v>
      </c>
      <c r="AC29" s="103" t="s">
        <v>24</v>
      </c>
      <c r="AD29" s="103" t="s">
        <v>24</v>
      </c>
      <c r="AE29" s="103" t="s">
        <v>24</v>
      </c>
      <c r="AF29" s="103" t="s">
        <v>24</v>
      </c>
      <c r="AG29" s="103" t="s">
        <v>24</v>
      </c>
      <c r="AH29" s="100"/>
      <c r="AI29" s="103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78" t="s">
        <v>279</v>
      </c>
      <c r="C30" s="78" t="s">
        <v>280</v>
      </c>
      <c r="D30" s="5" t="s">
        <v>44</v>
      </c>
      <c r="E30" s="103" t="s">
        <v>24</v>
      </c>
      <c r="F30" s="100"/>
      <c r="G30" s="103" t="s">
        <v>24</v>
      </c>
      <c r="H30" s="103" t="s">
        <v>24</v>
      </c>
      <c r="I30" s="103" t="s">
        <v>24</v>
      </c>
      <c r="J30" s="103" t="s">
        <v>24</v>
      </c>
      <c r="K30" s="103" t="s">
        <v>24</v>
      </c>
      <c r="L30" s="103" t="s">
        <v>24</v>
      </c>
      <c r="M30" s="100"/>
      <c r="N30" s="103" t="s">
        <v>24</v>
      </c>
      <c r="O30" s="103" t="s">
        <v>24</v>
      </c>
      <c r="P30" s="103" t="s">
        <v>24</v>
      </c>
      <c r="Q30" s="103" t="s">
        <v>24</v>
      </c>
      <c r="R30" s="103" t="s">
        <v>24</v>
      </c>
      <c r="S30" s="103" t="s">
        <v>24</v>
      </c>
      <c r="T30" s="100"/>
      <c r="U30" s="103" t="s">
        <v>24</v>
      </c>
      <c r="V30" s="103" t="s">
        <v>24</v>
      </c>
      <c r="W30" s="103" t="s">
        <v>24</v>
      </c>
      <c r="X30" s="103" t="s">
        <v>24</v>
      </c>
      <c r="Y30" s="103" t="s">
        <v>24</v>
      </c>
      <c r="Z30" s="103" t="s">
        <v>24</v>
      </c>
      <c r="AA30" s="100"/>
      <c r="AB30" s="103" t="s">
        <v>24</v>
      </c>
      <c r="AC30" s="103" t="s">
        <v>24</v>
      </c>
      <c r="AD30" s="103" t="s">
        <v>24</v>
      </c>
      <c r="AE30" s="103" t="s">
        <v>24</v>
      </c>
      <c r="AF30" s="103" t="s">
        <v>24</v>
      </c>
      <c r="AG30" s="103" t="s">
        <v>24</v>
      </c>
      <c r="AH30" s="100"/>
      <c r="AI30" s="103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78" t="s">
        <v>71</v>
      </c>
      <c r="C31" s="78" t="s">
        <v>194</v>
      </c>
      <c r="D31" s="5" t="s">
        <v>44</v>
      </c>
      <c r="E31" s="103" t="s">
        <v>24</v>
      </c>
      <c r="F31" s="100"/>
      <c r="G31" s="103" t="s">
        <v>24</v>
      </c>
      <c r="H31" s="103" t="s">
        <v>24</v>
      </c>
      <c r="I31" s="103" t="s">
        <v>24</v>
      </c>
      <c r="J31" s="103" t="s">
        <v>24</v>
      </c>
      <c r="K31" s="103" t="s">
        <v>24</v>
      </c>
      <c r="L31" s="103" t="s">
        <v>24</v>
      </c>
      <c r="M31" s="100"/>
      <c r="N31" s="103" t="s">
        <v>24</v>
      </c>
      <c r="O31" s="103" t="s">
        <v>24</v>
      </c>
      <c r="P31" s="103" t="s">
        <v>24</v>
      </c>
      <c r="Q31" s="103" t="s">
        <v>24</v>
      </c>
      <c r="R31" s="103" t="s">
        <v>24</v>
      </c>
      <c r="S31" s="103" t="s">
        <v>24</v>
      </c>
      <c r="T31" s="100"/>
      <c r="U31" s="103" t="s">
        <v>24</v>
      </c>
      <c r="V31" s="103" t="s">
        <v>24</v>
      </c>
      <c r="W31" s="103" t="s">
        <v>24</v>
      </c>
      <c r="X31" s="103" t="s">
        <v>24</v>
      </c>
      <c r="Y31" s="103" t="s">
        <v>24</v>
      </c>
      <c r="Z31" s="103" t="s">
        <v>24</v>
      </c>
      <c r="AA31" s="100"/>
      <c r="AB31" s="103" t="s">
        <v>24</v>
      </c>
      <c r="AC31" s="103" t="s">
        <v>24</v>
      </c>
      <c r="AD31" s="103" t="s">
        <v>24</v>
      </c>
      <c r="AE31" s="103" t="s">
        <v>24</v>
      </c>
      <c r="AF31" s="103" t="s">
        <v>24</v>
      </c>
      <c r="AG31" s="103" t="s">
        <v>24</v>
      </c>
      <c r="AH31" s="100"/>
      <c r="AI31" s="103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78" t="s">
        <v>281</v>
      </c>
      <c r="C32" s="78" t="s">
        <v>150</v>
      </c>
      <c r="D32" s="5" t="s">
        <v>44</v>
      </c>
      <c r="E32" s="103" t="s">
        <v>24</v>
      </c>
      <c r="F32" s="100"/>
      <c r="G32" s="103" t="s">
        <v>24</v>
      </c>
      <c r="H32" s="103" t="s">
        <v>24</v>
      </c>
      <c r="I32" s="103" t="s">
        <v>24</v>
      </c>
      <c r="J32" s="103" t="s">
        <v>24</v>
      </c>
      <c r="K32" s="103" t="s">
        <v>24</v>
      </c>
      <c r="L32" s="103" t="s">
        <v>24</v>
      </c>
      <c r="M32" s="100"/>
      <c r="N32" s="103" t="s">
        <v>24</v>
      </c>
      <c r="O32" s="103" t="s">
        <v>24</v>
      </c>
      <c r="P32" s="103" t="s">
        <v>24</v>
      </c>
      <c r="Q32" s="103" t="s">
        <v>24</v>
      </c>
      <c r="R32" s="103" t="s">
        <v>24</v>
      </c>
      <c r="S32" s="103" t="s">
        <v>24</v>
      </c>
      <c r="T32" s="100"/>
      <c r="U32" s="103" t="s">
        <v>24</v>
      </c>
      <c r="V32" s="103" t="s">
        <v>24</v>
      </c>
      <c r="W32" s="103" t="s">
        <v>24</v>
      </c>
      <c r="X32" s="103" t="s">
        <v>24</v>
      </c>
      <c r="Y32" s="103" t="s">
        <v>24</v>
      </c>
      <c r="Z32" s="103" t="s">
        <v>24</v>
      </c>
      <c r="AA32" s="100"/>
      <c r="AB32" s="103" t="s">
        <v>24</v>
      </c>
      <c r="AC32" s="103" t="s">
        <v>24</v>
      </c>
      <c r="AD32" s="103" t="s">
        <v>24</v>
      </c>
      <c r="AE32" s="103" t="s">
        <v>24</v>
      </c>
      <c r="AF32" s="103" t="s">
        <v>24</v>
      </c>
      <c r="AG32" s="103" t="s">
        <v>24</v>
      </c>
      <c r="AH32" s="100"/>
      <c r="AI32" s="103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78" t="s">
        <v>282</v>
      </c>
      <c r="C33" s="78" t="s">
        <v>283</v>
      </c>
      <c r="D33" s="5" t="s">
        <v>44</v>
      </c>
      <c r="E33" s="103" t="s">
        <v>24</v>
      </c>
      <c r="F33" s="100"/>
      <c r="G33" s="103" t="s">
        <v>24</v>
      </c>
      <c r="H33" s="103" t="s">
        <v>24</v>
      </c>
      <c r="I33" s="103" t="s">
        <v>24</v>
      </c>
      <c r="J33" s="103" t="s">
        <v>24</v>
      </c>
      <c r="K33" s="103" t="s">
        <v>24</v>
      </c>
      <c r="L33" s="103" t="s">
        <v>24</v>
      </c>
      <c r="M33" s="100"/>
      <c r="N33" s="103" t="s">
        <v>24</v>
      </c>
      <c r="O33" s="103" t="s">
        <v>24</v>
      </c>
      <c r="P33" s="103" t="s">
        <v>24</v>
      </c>
      <c r="Q33" s="103" t="s">
        <v>24</v>
      </c>
      <c r="R33" s="103" t="s">
        <v>24</v>
      </c>
      <c r="S33" s="103" t="s">
        <v>24</v>
      </c>
      <c r="T33" s="100"/>
      <c r="U33" s="103" t="s">
        <v>24</v>
      </c>
      <c r="V33" s="103" t="s">
        <v>24</v>
      </c>
      <c r="W33" s="103" t="s">
        <v>24</v>
      </c>
      <c r="X33" s="103" t="s">
        <v>24</v>
      </c>
      <c r="Y33" s="103" t="s">
        <v>24</v>
      </c>
      <c r="Z33" s="103" t="s">
        <v>24</v>
      </c>
      <c r="AA33" s="100"/>
      <c r="AB33" s="103" t="s">
        <v>24</v>
      </c>
      <c r="AC33" s="103" t="s">
        <v>24</v>
      </c>
      <c r="AD33" s="103" t="s">
        <v>24</v>
      </c>
      <c r="AE33" s="103" t="s">
        <v>24</v>
      </c>
      <c r="AF33" s="103" t="s">
        <v>24</v>
      </c>
      <c r="AG33" s="103" t="s">
        <v>24</v>
      </c>
      <c r="AH33" s="100"/>
      <c r="AI33" s="103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78" t="s">
        <v>68</v>
      </c>
      <c r="C34" s="78" t="s">
        <v>284</v>
      </c>
      <c r="D34" s="5" t="s">
        <v>44</v>
      </c>
      <c r="E34" s="103" t="s">
        <v>24</v>
      </c>
      <c r="F34" s="100"/>
      <c r="G34" s="103" t="s">
        <v>24</v>
      </c>
      <c r="H34" s="103" t="s">
        <v>24</v>
      </c>
      <c r="I34" s="103" t="s">
        <v>24</v>
      </c>
      <c r="J34" s="103" t="s">
        <v>24</v>
      </c>
      <c r="K34" s="103" t="s">
        <v>24</v>
      </c>
      <c r="L34" s="103" t="s">
        <v>24</v>
      </c>
      <c r="M34" s="100"/>
      <c r="N34" s="103" t="s">
        <v>24</v>
      </c>
      <c r="O34" s="103" t="s">
        <v>24</v>
      </c>
      <c r="P34" s="103" t="s">
        <v>24</v>
      </c>
      <c r="Q34" s="103" t="s">
        <v>24</v>
      </c>
      <c r="R34" s="103" t="s">
        <v>24</v>
      </c>
      <c r="S34" s="103" t="s">
        <v>24</v>
      </c>
      <c r="T34" s="100"/>
      <c r="U34" s="103" t="s">
        <v>24</v>
      </c>
      <c r="V34" s="103" t="s">
        <v>24</v>
      </c>
      <c r="W34" s="103" t="s">
        <v>24</v>
      </c>
      <c r="X34" s="103" t="s">
        <v>24</v>
      </c>
      <c r="Y34" s="103" t="s">
        <v>24</v>
      </c>
      <c r="Z34" s="103" t="s">
        <v>24</v>
      </c>
      <c r="AA34" s="100"/>
      <c r="AB34" s="103" t="s">
        <v>24</v>
      </c>
      <c r="AC34" s="103" t="s">
        <v>24</v>
      </c>
      <c r="AD34" s="103" t="s">
        <v>24</v>
      </c>
      <c r="AE34" s="103" t="s">
        <v>24</v>
      </c>
      <c r="AF34" s="103" t="s">
        <v>24</v>
      </c>
      <c r="AG34" s="103" t="s">
        <v>24</v>
      </c>
      <c r="AH34" s="100"/>
      <c r="AI34" s="103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78" t="s">
        <v>71</v>
      </c>
      <c r="C35" s="78" t="s">
        <v>102</v>
      </c>
      <c r="D35" s="5" t="s">
        <v>44</v>
      </c>
      <c r="E35" s="103" t="s">
        <v>24</v>
      </c>
      <c r="F35" s="100"/>
      <c r="G35" s="103" t="s">
        <v>24</v>
      </c>
      <c r="H35" s="103" t="s">
        <v>24</v>
      </c>
      <c r="I35" s="103" t="s">
        <v>24</v>
      </c>
      <c r="J35" s="103" t="s">
        <v>24</v>
      </c>
      <c r="K35" s="103" t="s">
        <v>24</v>
      </c>
      <c r="L35" s="103" t="s">
        <v>24</v>
      </c>
      <c r="M35" s="100"/>
      <c r="N35" s="103" t="s">
        <v>24</v>
      </c>
      <c r="O35" s="103" t="s">
        <v>24</v>
      </c>
      <c r="P35" s="103" t="s">
        <v>24</v>
      </c>
      <c r="Q35" s="103" t="s">
        <v>24</v>
      </c>
      <c r="R35" s="103" t="s">
        <v>24</v>
      </c>
      <c r="S35" s="103" t="s">
        <v>24</v>
      </c>
      <c r="T35" s="100"/>
      <c r="U35" s="103" t="s">
        <v>24</v>
      </c>
      <c r="V35" s="103" t="s">
        <v>24</v>
      </c>
      <c r="W35" s="103" t="s">
        <v>24</v>
      </c>
      <c r="X35" s="103" t="s">
        <v>24</v>
      </c>
      <c r="Y35" s="103" t="s">
        <v>24</v>
      </c>
      <c r="Z35" s="103" t="s">
        <v>24</v>
      </c>
      <c r="AA35" s="100"/>
      <c r="AB35" s="103" t="s">
        <v>24</v>
      </c>
      <c r="AC35" s="103" t="s">
        <v>24</v>
      </c>
      <c r="AD35" s="103" t="s">
        <v>24</v>
      </c>
      <c r="AE35" s="103" t="s">
        <v>24</v>
      </c>
      <c r="AF35" s="103" t="s">
        <v>24</v>
      </c>
      <c r="AG35" s="103" t="s">
        <v>24</v>
      </c>
      <c r="AH35" s="100"/>
      <c r="AI35" s="103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78" t="s">
        <v>285</v>
      </c>
      <c r="C36" s="78" t="s">
        <v>286</v>
      </c>
      <c r="D36" s="5" t="s">
        <v>44</v>
      </c>
      <c r="E36" s="103" t="s">
        <v>24</v>
      </c>
      <c r="F36" s="100"/>
      <c r="G36" s="103" t="s">
        <v>24</v>
      </c>
      <c r="H36" s="103" t="s">
        <v>24</v>
      </c>
      <c r="I36" s="103" t="s">
        <v>24</v>
      </c>
      <c r="J36" s="103" t="s">
        <v>24</v>
      </c>
      <c r="K36" s="103" t="s">
        <v>24</v>
      </c>
      <c r="L36" s="103" t="s">
        <v>24</v>
      </c>
      <c r="M36" s="100"/>
      <c r="N36" s="103" t="s">
        <v>24</v>
      </c>
      <c r="O36" s="103" t="s">
        <v>24</v>
      </c>
      <c r="P36" s="103" t="s">
        <v>24</v>
      </c>
      <c r="Q36" s="103" t="s">
        <v>24</v>
      </c>
      <c r="R36" s="103" t="s">
        <v>24</v>
      </c>
      <c r="S36" s="103" t="s">
        <v>24</v>
      </c>
      <c r="T36" s="100"/>
      <c r="U36" s="103" t="s">
        <v>24</v>
      </c>
      <c r="V36" s="103" t="s">
        <v>24</v>
      </c>
      <c r="W36" s="103" t="s">
        <v>24</v>
      </c>
      <c r="X36" s="103" t="s">
        <v>24</v>
      </c>
      <c r="Y36" s="103" t="s">
        <v>24</v>
      </c>
      <c r="Z36" s="103" t="s">
        <v>24</v>
      </c>
      <c r="AA36" s="100"/>
      <c r="AB36" s="103" t="s">
        <v>24</v>
      </c>
      <c r="AC36" s="103" t="s">
        <v>24</v>
      </c>
      <c r="AD36" s="103" t="s">
        <v>24</v>
      </c>
      <c r="AE36" s="103" t="s">
        <v>24</v>
      </c>
      <c r="AF36" s="103" t="s">
        <v>24</v>
      </c>
      <c r="AG36" s="103" t="s">
        <v>24</v>
      </c>
      <c r="AH36" s="100"/>
      <c r="AI36" s="103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78" t="s">
        <v>287</v>
      </c>
      <c r="C37" s="78" t="s">
        <v>176</v>
      </c>
      <c r="D37" s="5" t="s">
        <v>44</v>
      </c>
      <c r="E37" s="103" t="s">
        <v>24</v>
      </c>
      <c r="F37" s="100"/>
      <c r="G37" s="103" t="s">
        <v>24</v>
      </c>
      <c r="H37" s="103" t="s">
        <v>24</v>
      </c>
      <c r="I37" s="103" t="s">
        <v>24</v>
      </c>
      <c r="J37" s="103" t="s">
        <v>24</v>
      </c>
      <c r="K37" s="103" t="s">
        <v>24</v>
      </c>
      <c r="L37" s="103" t="s">
        <v>24</v>
      </c>
      <c r="M37" s="100"/>
      <c r="N37" s="103" t="s">
        <v>24</v>
      </c>
      <c r="O37" s="103" t="s">
        <v>24</v>
      </c>
      <c r="P37" s="103" t="s">
        <v>24</v>
      </c>
      <c r="Q37" s="103" t="s">
        <v>24</v>
      </c>
      <c r="R37" s="103" t="s">
        <v>24</v>
      </c>
      <c r="S37" s="103" t="s">
        <v>24</v>
      </c>
      <c r="T37" s="100"/>
      <c r="U37" s="103" t="s">
        <v>24</v>
      </c>
      <c r="V37" s="103" t="s">
        <v>24</v>
      </c>
      <c r="W37" s="103" t="s">
        <v>24</v>
      </c>
      <c r="X37" s="103" t="s">
        <v>24</v>
      </c>
      <c r="Y37" s="103" t="s">
        <v>24</v>
      </c>
      <c r="Z37" s="103" t="s">
        <v>24</v>
      </c>
      <c r="AA37" s="100"/>
      <c r="AB37" s="103" t="s">
        <v>24</v>
      </c>
      <c r="AC37" s="103" t="s">
        <v>24</v>
      </c>
      <c r="AD37" s="103" t="s">
        <v>24</v>
      </c>
      <c r="AE37" s="103" t="s">
        <v>24</v>
      </c>
      <c r="AF37" s="103" t="s">
        <v>24</v>
      </c>
      <c r="AG37" s="103" t="s">
        <v>24</v>
      </c>
      <c r="AH37" s="100"/>
      <c r="AI37" s="103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78" t="s">
        <v>288</v>
      </c>
      <c r="C38" s="78" t="s">
        <v>176</v>
      </c>
      <c r="D38" s="5" t="s">
        <v>44</v>
      </c>
      <c r="E38" s="103" t="s">
        <v>24</v>
      </c>
      <c r="F38" s="100"/>
      <c r="G38" s="103" t="s">
        <v>24</v>
      </c>
      <c r="H38" s="103" t="s">
        <v>24</v>
      </c>
      <c r="I38" s="103" t="s">
        <v>24</v>
      </c>
      <c r="J38" s="103" t="s">
        <v>24</v>
      </c>
      <c r="K38" s="103" t="s">
        <v>24</v>
      </c>
      <c r="L38" s="103" t="s">
        <v>24</v>
      </c>
      <c r="M38" s="100"/>
      <c r="N38" s="103" t="s">
        <v>24</v>
      </c>
      <c r="O38" s="103" t="s">
        <v>24</v>
      </c>
      <c r="P38" s="103" t="s">
        <v>24</v>
      </c>
      <c r="Q38" s="103" t="s">
        <v>24</v>
      </c>
      <c r="R38" s="103" t="s">
        <v>24</v>
      </c>
      <c r="S38" s="103" t="s">
        <v>24</v>
      </c>
      <c r="T38" s="100"/>
      <c r="U38" s="103" t="s">
        <v>24</v>
      </c>
      <c r="V38" s="103" t="s">
        <v>24</v>
      </c>
      <c r="W38" s="103" t="s">
        <v>24</v>
      </c>
      <c r="X38" s="103" t="s">
        <v>24</v>
      </c>
      <c r="Y38" s="103" t="s">
        <v>24</v>
      </c>
      <c r="Z38" s="103" t="s">
        <v>24</v>
      </c>
      <c r="AA38" s="100"/>
      <c r="AB38" s="103" t="s">
        <v>24</v>
      </c>
      <c r="AC38" s="103" t="s">
        <v>24</v>
      </c>
      <c r="AD38" s="103" t="s">
        <v>24</v>
      </c>
      <c r="AE38" s="103" t="s">
        <v>24</v>
      </c>
      <c r="AF38" s="103" t="s">
        <v>24</v>
      </c>
      <c r="AG38" s="103" t="s">
        <v>24</v>
      </c>
      <c r="AH38" s="100"/>
      <c r="AI38" s="103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78" t="s">
        <v>81</v>
      </c>
      <c r="C39" s="78" t="s">
        <v>289</v>
      </c>
      <c r="D39" s="5" t="s">
        <v>44</v>
      </c>
      <c r="E39" s="103" t="s">
        <v>24</v>
      </c>
      <c r="F39" s="100"/>
      <c r="G39" s="103" t="s">
        <v>24</v>
      </c>
      <c r="H39" s="103" t="s">
        <v>24</v>
      </c>
      <c r="I39" s="103" t="s">
        <v>24</v>
      </c>
      <c r="J39" s="103" t="s">
        <v>24</v>
      </c>
      <c r="K39" s="103" t="s">
        <v>24</v>
      </c>
      <c r="L39" s="103" t="s">
        <v>24</v>
      </c>
      <c r="M39" s="100"/>
      <c r="N39" s="103" t="s">
        <v>24</v>
      </c>
      <c r="O39" s="103" t="s">
        <v>24</v>
      </c>
      <c r="P39" s="103" t="s">
        <v>24</v>
      </c>
      <c r="Q39" s="103" t="s">
        <v>24</v>
      </c>
      <c r="R39" s="103" t="s">
        <v>24</v>
      </c>
      <c r="S39" s="103" t="s">
        <v>24</v>
      </c>
      <c r="T39" s="100"/>
      <c r="U39" s="103" t="s">
        <v>24</v>
      </c>
      <c r="V39" s="103" t="s">
        <v>24</v>
      </c>
      <c r="W39" s="103" t="s">
        <v>24</v>
      </c>
      <c r="X39" s="103" t="s">
        <v>24</v>
      </c>
      <c r="Y39" s="103" t="s">
        <v>24</v>
      </c>
      <c r="Z39" s="103" t="s">
        <v>24</v>
      </c>
      <c r="AA39" s="100"/>
      <c r="AB39" s="103" t="s">
        <v>24</v>
      </c>
      <c r="AC39" s="103" t="s">
        <v>24</v>
      </c>
      <c r="AD39" s="103" t="s">
        <v>24</v>
      </c>
      <c r="AE39" s="103" t="s">
        <v>24</v>
      </c>
      <c r="AF39" s="103" t="s">
        <v>24</v>
      </c>
      <c r="AG39" s="103" t="s">
        <v>24</v>
      </c>
      <c r="AH39" s="100"/>
      <c r="AI39" s="103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78" t="s">
        <v>290</v>
      </c>
      <c r="C40" s="78" t="s">
        <v>291</v>
      </c>
      <c r="D40" s="5" t="s">
        <v>44</v>
      </c>
      <c r="E40" s="103" t="s">
        <v>24</v>
      </c>
      <c r="F40" s="100"/>
      <c r="G40" s="103" t="s">
        <v>24</v>
      </c>
      <c r="H40" s="103" t="s">
        <v>24</v>
      </c>
      <c r="I40" s="103" t="s">
        <v>24</v>
      </c>
      <c r="J40" s="103" t="s">
        <v>24</v>
      </c>
      <c r="K40" s="103" t="s">
        <v>24</v>
      </c>
      <c r="L40" s="103" t="s">
        <v>24</v>
      </c>
      <c r="M40" s="100"/>
      <c r="N40" s="103" t="s">
        <v>24</v>
      </c>
      <c r="O40" s="103" t="s">
        <v>24</v>
      </c>
      <c r="P40" s="103" t="s">
        <v>24</v>
      </c>
      <c r="Q40" s="103" t="s">
        <v>24</v>
      </c>
      <c r="R40" s="103" t="s">
        <v>24</v>
      </c>
      <c r="S40" s="103" t="s">
        <v>24</v>
      </c>
      <c r="T40" s="100"/>
      <c r="U40" s="103" t="s">
        <v>24</v>
      </c>
      <c r="V40" s="103" t="s">
        <v>24</v>
      </c>
      <c r="W40" s="103" t="s">
        <v>24</v>
      </c>
      <c r="X40" s="103" t="s">
        <v>24</v>
      </c>
      <c r="Y40" s="103" t="s">
        <v>24</v>
      </c>
      <c r="Z40" s="103" t="s">
        <v>24</v>
      </c>
      <c r="AA40" s="100"/>
      <c r="AB40" s="103" t="s">
        <v>24</v>
      </c>
      <c r="AC40" s="103" t="s">
        <v>24</v>
      </c>
      <c r="AD40" s="103" t="s">
        <v>24</v>
      </c>
      <c r="AE40" s="103" t="s">
        <v>24</v>
      </c>
      <c r="AF40" s="103" t="s">
        <v>24</v>
      </c>
      <c r="AG40" s="103" t="s">
        <v>24</v>
      </c>
      <c r="AH40" s="100"/>
      <c r="AI40" s="103" t="s">
        <v>24</v>
      </c>
      <c r="AJ40" s="4">
        <f t="shared" si="1"/>
        <v>26</v>
      </c>
      <c r="AK40" s="4">
        <f t="shared" si="2"/>
        <v>0</v>
      </c>
    </row>
    <row r="41" spans="1:37" ht="16.5">
      <c r="A41" s="82"/>
      <c r="B41" s="78" t="s">
        <v>292</v>
      </c>
      <c r="C41" s="78" t="s">
        <v>293</v>
      </c>
      <c r="D41" s="5" t="s">
        <v>44</v>
      </c>
      <c r="E41" s="103" t="s">
        <v>24</v>
      </c>
      <c r="F41" s="100"/>
      <c r="G41" s="103" t="s">
        <v>24</v>
      </c>
      <c r="H41" s="103" t="s">
        <v>24</v>
      </c>
      <c r="I41" s="103" t="s">
        <v>24</v>
      </c>
      <c r="J41" s="103" t="s">
        <v>24</v>
      </c>
      <c r="K41" s="103" t="s">
        <v>24</v>
      </c>
      <c r="L41" s="103" t="s">
        <v>24</v>
      </c>
      <c r="M41" s="100"/>
      <c r="N41" s="103" t="s">
        <v>24</v>
      </c>
      <c r="O41" s="103" t="s">
        <v>24</v>
      </c>
      <c r="P41" s="103" t="s">
        <v>24</v>
      </c>
      <c r="Q41" s="103" t="s">
        <v>24</v>
      </c>
      <c r="R41" s="103" t="s">
        <v>24</v>
      </c>
      <c r="S41" s="103" t="s">
        <v>24</v>
      </c>
      <c r="T41" s="100"/>
      <c r="U41" s="103" t="s">
        <v>24</v>
      </c>
      <c r="V41" s="103" t="s">
        <v>24</v>
      </c>
      <c r="W41" s="103" t="s">
        <v>24</v>
      </c>
      <c r="X41" s="103" t="s">
        <v>24</v>
      </c>
      <c r="Y41" s="103" t="s">
        <v>24</v>
      </c>
      <c r="Z41" s="103" t="s">
        <v>24</v>
      </c>
      <c r="AA41" s="100"/>
      <c r="AB41" s="103" t="s">
        <v>24</v>
      </c>
      <c r="AC41" s="103" t="s">
        <v>24</v>
      </c>
      <c r="AD41" s="103" t="s">
        <v>24</v>
      </c>
      <c r="AE41" s="103" t="s">
        <v>24</v>
      </c>
      <c r="AF41" s="103" t="s">
        <v>24</v>
      </c>
      <c r="AG41" s="103" t="s">
        <v>24</v>
      </c>
      <c r="AH41" s="100"/>
      <c r="AI41" s="103" t="s">
        <v>24</v>
      </c>
      <c r="AJ41" s="82"/>
      <c r="AK41" s="82"/>
    </row>
    <row r="42" spans="1:37" ht="16.5">
      <c r="A42" s="82"/>
      <c r="B42" s="78" t="s">
        <v>294</v>
      </c>
      <c r="C42" s="77" t="s">
        <v>295</v>
      </c>
      <c r="D42" s="5" t="s">
        <v>44</v>
      </c>
      <c r="E42" s="103" t="s">
        <v>24</v>
      </c>
      <c r="F42" s="100"/>
      <c r="G42" s="103" t="s">
        <v>24</v>
      </c>
      <c r="H42" s="103" t="s">
        <v>24</v>
      </c>
      <c r="I42" s="103" t="s">
        <v>24</v>
      </c>
      <c r="J42" s="103" t="s">
        <v>24</v>
      </c>
      <c r="K42" s="103" t="s">
        <v>24</v>
      </c>
      <c r="L42" s="103" t="s">
        <v>24</v>
      </c>
      <c r="M42" s="100"/>
      <c r="N42" s="103" t="s">
        <v>24</v>
      </c>
      <c r="O42" s="103" t="s">
        <v>24</v>
      </c>
      <c r="P42" s="103" t="s">
        <v>24</v>
      </c>
      <c r="Q42" s="103" t="s">
        <v>24</v>
      </c>
      <c r="R42" s="103" t="s">
        <v>24</v>
      </c>
      <c r="S42" s="103" t="s">
        <v>24</v>
      </c>
      <c r="T42" s="100"/>
      <c r="U42" s="103" t="s">
        <v>24</v>
      </c>
      <c r="V42" s="103" t="s">
        <v>24</v>
      </c>
      <c r="W42" s="103" t="s">
        <v>24</v>
      </c>
      <c r="X42" s="103" t="s">
        <v>24</v>
      </c>
      <c r="Y42" s="103" t="s">
        <v>24</v>
      </c>
      <c r="Z42" s="103" t="s">
        <v>24</v>
      </c>
      <c r="AA42" s="100"/>
      <c r="AB42" s="103" t="s">
        <v>24</v>
      </c>
      <c r="AC42" s="103" t="s">
        <v>24</v>
      </c>
      <c r="AD42" s="103" t="s">
        <v>24</v>
      </c>
      <c r="AE42" s="103" t="s">
        <v>24</v>
      </c>
      <c r="AF42" s="103" t="s">
        <v>24</v>
      </c>
      <c r="AG42" s="103" t="s">
        <v>24</v>
      </c>
      <c r="AH42" s="100"/>
      <c r="AI42" s="103" t="s">
        <v>24</v>
      </c>
      <c r="AJ42" s="82"/>
      <c r="AK42" s="82"/>
    </row>
    <row r="43" spans="1:37" ht="16.5">
      <c r="A43" s="82"/>
      <c r="B43" s="78" t="s">
        <v>296</v>
      </c>
      <c r="C43" s="77" t="s">
        <v>297</v>
      </c>
      <c r="D43" s="5" t="s">
        <v>44</v>
      </c>
      <c r="E43" s="103" t="s">
        <v>24</v>
      </c>
      <c r="F43" s="100"/>
      <c r="G43" s="103" t="s">
        <v>24</v>
      </c>
      <c r="H43" s="103" t="s">
        <v>24</v>
      </c>
      <c r="I43" s="103" t="s">
        <v>24</v>
      </c>
      <c r="J43" s="103" t="s">
        <v>24</v>
      </c>
      <c r="K43" s="103" t="s">
        <v>24</v>
      </c>
      <c r="L43" s="103" t="s">
        <v>24</v>
      </c>
      <c r="M43" s="100"/>
      <c r="N43" s="103" t="s">
        <v>24</v>
      </c>
      <c r="O43" s="103" t="s">
        <v>24</v>
      </c>
      <c r="P43" s="103" t="s">
        <v>24</v>
      </c>
      <c r="Q43" s="103" t="s">
        <v>24</v>
      </c>
      <c r="R43" s="103" t="s">
        <v>24</v>
      </c>
      <c r="S43" s="103" t="s">
        <v>24</v>
      </c>
      <c r="T43" s="100"/>
      <c r="U43" s="103" t="s">
        <v>24</v>
      </c>
      <c r="V43" s="103" t="s">
        <v>24</v>
      </c>
      <c r="W43" s="103" t="s">
        <v>24</v>
      </c>
      <c r="X43" s="103" t="s">
        <v>24</v>
      </c>
      <c r="Y43" s="103" t="s">
        <v>24</v>
      </c>
      <c r="Z43" s="103" t="s">
        <v>24</v>
      </c>
      <c r="AA43" s="100"/>
      <c r="AB43" s="103" t="s">
        <v>24</v>
      </c>
      <c r="AC43" s="103" t="s">
        <v>24</v>
      </c>
      <c r="AD43" s="103" t="s">
        <v>24</v>
      </c>
      <c r="AE43" s="103" t="s">
        <v>24</v>
      </c>
      <c r="AF43" s="103" t="s">
        <v>24</v>
      </c>
      <c r="AG43" s="103" t="s">
        <v>24</v>
      </c>
      <c r="AH43" s="100"/>
      <c r="AI43" s="103" t="s">
        <v>24</v>
      </c>
      <c r="AJ43" s="82"/>
      <c r="AK43" s="82"/>
    </row>
    <row r="44" spans="1:37" ht="16.5">
      <c r="A44" s="82"/>
      <c r="B44" s="78" t="s">
        <v>298</v>
      </c>
      <c r="C44" s="77" t="s">
        <v>158</v>
      </c>
      <c r="D44" s="5" t="s">
        <v>44</v>
      </c>
      <c r="E44" s="103" t="s">
        <v>24</v>
      </c>
      <c r="F44" s="100"/>
      <c r="G44" s="103" t="s">
        <v>24</v>
      </c>
      <c r="H44" s="103" t="s">
        <v>24</v>
      </c>
      <c r="I44" s="103" t="s">
        <v>24</v>
      </c>
      <c r="J44" s="103" t="s">
        <v>24</v>
      </c>
      <c r="K44" s="103" t="s">
        <v>24</v>
      </c>
      <c r="L44" s="103" t="s">
        <v>24</v>
      </c>
      <c r="M44" s="100"/>
      <c r="N44" s="103" t="s">
        <v>24</v>
      </c>
      <c r="O44" s="103" t="s">
        <v>24</v>
      </c>
      <c r="P44" s="103" t="s">
        <v>24</v>
      </c>
      <c r="Q44" s="103" t="s">
        <v>24</v>
      </c>
      <c r="R44" s="103" t="s">
        <v>24</v>
      </c>
      <c r="S44" s="103" t="s">
        <v>24</v>
      </c>
      <c r="T44" s="100"/>
      <c r="U44" s="103" t="s">
        <v>24</v>
      </c>
      <c r="V44" s="103" t="s">
        <v>24</v>
      </c>
      <c r="W44" s="103" t="s">
        <v>24</v>
      </c>
      <c r="X44" s="103" t="s">
        <v>24</v>
      </c>
      <c r="Y44" s="103" t="s">
        <v>24</v>
      </c>
      <c r="Z44" s="103" t="s">
        <v>24</v>
      </c>
      <c r="AA44" s="100"/>
      <c r="AB44" s="103" t="s">
        <v>24</v>
      </c>
      <c r="AC44" s="103" t="s">
        <v>24</v>
      </c>
      <c r="AD44" s="103" t="s">
        <v>24</v>
      </c>
      <c r="AE44" s="103" t="s">
        <v>24</v>
      </c>
      <c r="AF44" s="103" t="s">
        <v>24</v>
      </c>
      <c r="AG44" s="103" t="s">
        <v>24</v>
      </c>
      <c r="AH44" s="100"/>
      <c r="AI44" s="103" t="s">
        <v>24</v>
      </c>
      <c r="AJ44" s="82"/>
      <c r="AK44" s="82"/>
    </row>
    <row r="45" spans="1:37" ht="16.5">
      <c r="A45" s="82"/>
      <c r="B45" s="78" t="s">
        <v>299</v>
      </c>
      <c r="C45" s="77" t="s">
        <v>300</v>
      </c>
      <c r="D45" s="5" t="s">
        <v>44</v>
      </c>
      <c r="E45" s="103" t="s">
        <v>24</v>
      </c>
      <c r="F45" s="100"/>
      <c r="G45" s="103" t="s">
        <v>24</v>
      </c>
      <c r="H45" s="103" t="s">
        <v>24</v>
      </c>
      <c r="I45" s="103" t="s">
        <v>24</v>
      </c>
      <c r="J45" s="103" t="s">
        <v>24</v>
      </c>
      <c r="K45" s="103" t="s">
        <v>24</v>
      </c>
      <c r="L45" s="103" t="s">
        <v>24</v>
      </c>
      <c r="M45" s="100"/>
      <c r="N45" s="103" t="s">
        <v>24</v>
      </c>
      <c r="O45" s="103" t="s">
        <v>24</v>
      </c>
      <c r="P45" s="103" t="s">
        <v>24</v>
      </c>
      <c r="Q45" s="103" t="s">
        <v>24</v>
      </c>
      <c r="R45" s="103" t="s">
        <v>24</v>
      </c>
      <c r="S45" s="103" t="s">
        <v>24</v>
      </c>
      <c r="T45" s="100"/>
      <c r="U45" s="103" t="s">
        <v>24</v>
      </c>
      <c r="V45" s="103" t="s">
        <v>24</v>
      </c>
      <c r="W45" s="103" t="s">
        <v>24</v>
      </c>
      <c r="X45" s="103" t="s">
        <v>24</v>
      </c>
      <c r="Y45" s="103" t="s">
        <v>24</v>
      </c>
      <c r="Z45" s="103" t="s">
        <v>24</v>
      </c>
      <c r="AA45" s="100"/>
      <c r="AB45" s="103" t="s">
        <v>24</v>
      </c>
      <c r="AC45" s="103" t="s">
        <v>24</v>
      </c>
      <c r="AD45" s="103" t="s">
        <v>24</v>
      </c>
      <c r="AE45" s="103" t="s">
        <v>24</v>
      </c>
      <c r="AF45" s="103" t="s">
        <v>24</v>
      </c>
      <c r="AG45" s="103" t="s">
        <v>24</v>
      </c>
      <c r="AH45" s="100"/>
      <c r="AI45" s="103" t="s">
        <v>24</v>
      </c>
      <c r="AJ45" s="82"/>
      <c r="AK45" s="82"/>
    </row>
    <row r="46" spans="1:37" ht="16.5">
      <c r="B46" s="78" t="s">
        <v>301</v>
      </c>
      <c r="C46" s="77" t="s">
        <v>302</v>
      </c>
      <c r="D46" s="5" t="s">
        <v>44</v>
      </c>
      <c r="E46" s="103" t="s">
        <v>24</v>
      </c>
      <c r="F46" s="100"/>
      <c r="G46" s="103" t="s">
        <v>24</v>
      </c>
      <c r="H46" s="103" t="s">
        <v>24</v>
      </c>
      <c r="I46" s="103" t="s">
        <v>24</v>
      </c>
      <c r="J46" s="103" t="s">
        <v>24</v>
      </c>
      <c r="K46" s="103" t="s">
        <v>24</v>
      </c>
      <c r="L46" s="103" t="s">
        <v>24</v>
      </c>
      <c r="M46" s="100"/>
      <c r="N46" s="103" t="s">
        <v>24</v>
      </c>
      <c r="O46" s="103" t="s">
        <v>24</v>
      </c>
      <c r="P46" s="103" t="s">
        <v>24</v>
      </c>
      <c r="Q46" s="103" t="s">
        <v>24</v>
      </c>
      <c r="R46" s="103" t="s">
        <v>24</v>
      </c>
      <c r="S46" s="103" t="s">
        <v>24</v>
      </c>
      <c r="T46" s="100"/>
      <c r="U46" s="103" t="s">
        <v>24</v>
      </c>
      <c r="V46" s="103" t="s">
        <v>24</v>
      </c>
      <c r="W46" s="103" t="s">
        <v>24</v>
      </c>
      <c r="X46" s="103" t="s">
        <v>24</v>
      </c>
      <c r="Y46" s="103" t="s">
        <v>24</v>
      </c>
      <c r="Z46" s="103" t="s">
        <v>24</v>
      </c>
      <c r="AA46" s="100"/>
      <c r="AB46" s="103" t="s">
        <v>24</v>
      </c>
      <c r="AC46" s="103" t="s">
        <v>24</v>
      </c>
      <c r="AD46" s="103" t="s">
        <v>24</v>
      </c>
      <c r="AE46" s="103" t="s">
        <v>24</v>
      </c>
      <c r="AF46" s="103" t="s">
        <v>24</v>
      </c>
      <c r="AG46" s="103" t="s">
        <v>24</v>
      </c>
      <c r="AH46" s="100"/>
      <c r="AI46" s="103" t="s">
        <v>24</v>
      </c>
      <c r="AJ46" s="82"/>
      <c r="AK46" s="82"/>
    </row>
    <row r="47" spans="1:37" ht="16.5">
      <c r="B47" s="78" t="s">
        <v>303</v>
      </c>
      <c r="C47" s="77" t="s">
        <v>304</v>
      </c>
      <c r="D47" s="5" t="s">
        <v>44</v>
      </c>
      <c r="E47" s="103" t="s">
        <v>24</v>
      </c>
      <c r="F47" s="100"/>
      <c r="G47" s="103" t="s">
        <v>24</v>
      </c>
      <c r="H47" s="103" t="s">
        <v>24</v>
      </c>
      <c r="I47" s="103" t="s">
        <v>24</v>
      </c>
      <c r="J47" s="103" t="s">
        <v>24</v>
      </c>
      <c r="K47" s="103" t="s">
        <v>24</v>
      </c>
      <c r="L47" s="103" t="s">
        <v>24</v>
      </c>
      <c r="M47" s="100"/>
      <c r="N47" s="103" t="s">
        <v>24</v>
      </c>
      <c r="O47" s="103" t="s">
        <v>24</v>
      </c>
      <c r="P47" s="103" t="s">
        <v>24</v>
      </c>
      <c r="Q47" s="103" t="s">
        <v>24</v>
      </c>
      <c r="R47" s="103" t="s">
        <v>24</v>
      </c>
      <c r="S47" s="103" t="s">
        <v>24</v>
      </c>
      <c r="T47" s="100"/>
      <c r="U47" s="103" t="s">
        <v>24</v>
      </c>
      <c r="V47" s="103" t="s">
        <v>24</v>
      </c>
      <c r="W47" s="103" t="s">
        <v>24</v>
      </c>
      <c r="X47" s="103" t="s">
        <v>24</v>
      </c>
      <c r="Y47" s="103" t="s">
        <v>24</v>
      </c>
      <c r="Z47" s="103" t="s">
        <v>24</v>
      </c>
      <c r="AA47" s="100"/>
      <c r="AB47" s="103" t="s">
        <v>24</v>
      </c>
      <c r="AC47" s="103" t="s">
        <v>24</v>
      </c>
      <c r="AD47" s="103" t="s">
        <v>24</v>
      </c>
      <c r="AE47" s="103" t="s">
        <v>24</v>
      </c>
      <c r="AF47" s="103" t="s">
        <v>24</v>
      </c>
      <c r="AG47" s="103" t="s">
        <v>24</v>
      </c>
      <c r="AH47" s="100"/>
      <c r="AI47" s="103" t="s">
        <v>24</v>
      </c>
      <c r="AJ47" s="82"/>
      <c r="AK47" s="82"/>
    </row>
    <row r="48" spans="1:37" ht="16.5">
      <c r="B48" s="78" t="s">
        <v>305</v>
      </c>
      <c r="C48" s="77" t="s">
        <v>306</v>
      </c>
      <c r="D48" s="5" t="s">
        <v>44</v>
      </c>
      <c r="E48" s="103" t="s">
        <v>24</v>
      </c>
      <c r="F48" s="100"/>
      <c r="G48" s="103" t="s">
        <v>24</v>
      </c>
      <c r="H48" s="103" t="s">
        <v>24</v>
      </c>
      <c r="I48" s="103" t="s">
        <v>24</v>
      </c>
      <c r="J48" s="103" t="s">
        <v>24</v>
      </c>
      <c r="K48" s="103" t="s">
        <v>24</v>
      </c>
      <c r="L48" s="103" t="s">
        <v>24</v>
      </c>
      <c r="M48" s="100"/>
      <c r="N48" s="103" t="s">
        <v>24</v>
      </c>
      <c r="O48" s="103" t="s">
        <v>24</v>
      </c>
      <c r="P48" s="103" t="s">
        <v>24</v>
      </c>
      <c r="Q48" s="103" t="s">
        <v>24</v>
      </c>
      <c r="R48" s="103" t="s">
        <v>24</v>
      </c>
      <c r="S48" s="103" t="s">
        <v>24</v>
      </c>
      <c r="T48" s="100"/>
      <c r="U48" s="103" t="s">
        <v>24</v>
      </c>
      <c r="V48" s="103" t="s">
        <v>24</v>
      </c>
      <c r="W48" s="103" t="s">
        <v>24</v>
      </c>
      <c r="X48" s="103" t="s">
        <v>24</v>
      </c>
      <c r="Y48" s="103" t="s">
        <v>24</v>
      </c>
      <c r="Z48" s="103" t="s">
        <v>24</v>
      </c>
      <c r="AA48" s="100"/>
      <c r="AB48" s="103" t="s">
        <v>24</v>
      </c>
      <c r="AC48" s="103" t="s">
        <v>24</v>
      </c>
      <c r="AD48" s="103" t="s">
        <v>24</v>
      </c>
      <c r="AE48" s="103" t="s">
        <v>24</v>
      </c>
      <c r="AF48" s="103" t="s">
        <v>24</v>
      </c>
      <c r="AG48" s="103" t="s">
        <v>24</v>
      </c>
      <c r="AH48" s="100"/>
      <c r="AI48" s="103" t="s">
        <v>24</v>
      </c>
      <c r="AJ48" s="82"/>
      <c r="AK48" s="82"/>
    </row>
    <row r="49" spans="2:37" ht="16.5">
      <c r="B49" s="78" t="s">
        <v>307</v>
      </c>
      <c r="C49" s="77" t="s">
        <v>308</v>
      </c>
      <c r="D49" s="5" t="s">
        <v>44</v>
      </c>
      <c r="E49" s="103" t="s">
        <v>24</v>
      </c>
      <c r="F49" s="100"/>
      <c r="G49" s="103" t="s">
        <v>24</v>
      </c>
      <c r="H49" s="103" t="s">
        <v>24</v>
      </c>
      <c r="I49" s="103" t="s">
        <v>24</v>
      </c>
      <c r="J49" s="103" t="s">
        <v>24</v>
      </c>
      <c r="K49" s="103" t="s">
        <v>24</v>
      </c>
      <c r="L49" s="103" t="s">
        <v>24</v>
      </c>
      <c r="M49" s="100"/>
      <c r="N49" s="103" t="s">
        <v>24</v>
      </c>
      <c r="O49" s="103" t="s">
        <v>24</v>
      </c>
      <c r="P49" s="103" t="s">
        <v>24</v>
      </c>
      <c r="Q49" s="103" t="s">
        <v>24</v>
      </c>
      <c r="R49" s="103" t="s">
        <v>24</v>
      </c>
      <c r="S49" s="103" t="s">
        <v>24</v>
      </c>
      <c r="T49" s="100"/>
      <c r="U49" s="103" t="s">
        <v>24</v>
      </c>
      <c r="V49" s="103" t="s">
        <v>24</v>
      </c>
      <c r="W49" s="103" t="s">
        <v>24</v>
      </c>
      <c r="X49" s="103" t="s">
        <v>24</v>
      </c>
      <c r="Y49" s="103" t="s">
        <v>24</v>
      </c>
      <c r="Z49" s="103" t="s">
        <v>24</v>
      </c>
      <c r="AA49" s="100"/>
      <c r="AB49" s="103" t="s">
        <v>24</v>
      </c>
      <c r="AC49" s="103" t="s">
        <v>24</v>
      </c>
      <c r="AD49" s="103" t="s">
        <v>24</v>
      </c>
      <c r="AE49" s="103" t="s">
        <v>24</v>
      </c>
      <c r="AF49" s="103" t="s">
        <v>24</v>
      </c>
      <c r="AG49" s="103" t="s">
        <v>24</v>
      </c>
      <c r="AH49" s="100"/>
      <c r="AI49" s="103" t="s">
        <v>24</v>
      </c>
      <c r="AJ49" s="82"/>
      <c r="AK49" s="82"/>
    </row>
    <row r="50" spans="2:37" ht="16.5">
      <c r="B50" s="78" t="s">
        <v>309</v>
      </c>
      <c r="C50" s="77" t="s">
        <v>310</v>
      </c>
      <c r="D50" s="5" t="s">
        <v>44</v>
      </c>
      <c r="E50" s="103" t="s">
        <v>24</v>
      </c>
      <c r="F50" s="100"/>
      <c r="G50" s="103" t="s">
        <v>24</v>
      </c>
      <c r="H50" s="103" t="s">
        <v>24</v>
      </c>
      <c r="I50" s="103" t="s">
        <v>24</v>
      </c>
      <c r="J50" s="103" t="s">
        <v>24</v>
      </c>
      <c r="K50" s="103" t="s">
        <v>24</v>
      </c>
      <c r="L50" s="103" t="s">
        <v>24</v>
      </c>
      <c r="M50" s="100"/>
      <c r="N50" s="103" t="s">
        <v>24</v>
      </c>
      <c r="O50" s="103" t="s">
        <v>24</v>
      </c>
      <c r="P50" s="103" t="s">
        <v>24</v>
      </c>
      <c r="Q50" s="103" t="s">
        <v>24</v>
      </c>
      <c r="R50" s="103" t="s">
        <v>24</v>
      </c>
      <c r="S50" s="103" t="s">
        <v>24</v>
      </c>
      <c r="T50" s="100"/>
      <c r="U50" s="103" t="s">
        <v>24</v>
      </c>
      <c r="V50" s="103" t="s">
        <v>24</v>
      </c>
      <c r="W50" s="103" t="s">
        <v>24</v>
      </c>
      <c r="X50" s="103" t="s">
        <v>24</v>
      </c>
      <c r="Y50" s="103" t="s">
        <v>24</v>
      </c>
      <c r="Z50" s="103" t="s">
        <v>24</v>
      </c>
      <c r="AA50" s="100"/>
      <c r="AB50" s="103" t="s">
        <v>24</v>
      </c>
      <c r="AC50" s="103" t="s">
        <v>24</v>
      </c>
      <c r="AD50" s="103" t="s">
        <v>24</v>
      </c>
      <c r="AE50" s="103" t="s">
        <v>24</v>
      </c>
      <c r="AF50" s="103" t="s">
        <v>24</v>
      </c>
      <c r="AG50" s="103" t="s">
        <v>24</v>
      </c>
      <c r="AH50" s="100"/>
      <c r="AI50" s="103" t="s">
        <v>24</v>
      </c>
      <c r="AJ50" s="82"/>
      <c r="AK50" s="82"/>
    </row>
    <row r="51" spans="2:37" ht="16.5">
      <c r="B51" s="78" t="s">
        <v>311</v>
      </c>
      <c r="C51" s="77" t="s">
        <v>312</v>
      </c>
      <c r="D51" s="5" t="s">
        <v>44</v>
      </c>
      <c r="E51" s="103" t="s">
        <v>24</v>
      </c>
      <c r="F51" s="100"/>
      <c r="G51" s="103" t="s">
        <v>24</v>
      </c>
      <c r="H51" s="103" t="s">
        <v>24</v>
      </c>
      <c r="I51" s="103" t="s">
        <v>24</v>
      </c>
      <c r="J51" s="103" t="s">
        <v>24</v>
      </c>
      <c r="K51" s="103" t="s">
        <v>24</v>
      </c>
      <c r="L51" s="103" t="s">
        <v>24</v>
      </c>
      <c r="M51" s="100"/>
      <c r="N51" s="103" t="s">
        <v>24</v>
      </c>
      <c r="O51" s="103" t="s">
        <v>24</v>
      </c>
      <c r="P51" s="103" t="s">
        <v>24</v>
      </c>
      <c r="Q51" s="103" t="s">
        <v>24</v>
      </c>
      <c r="R51" s="103" t="s">
        <v>24</v>
      </c>
      <c r="S51" s="103" t="s">
        <v>24</v>
      </c>
      <c r="T51" s="100"/>
      <c r="U51" s="103" t="s">
        <v>24</v>
      </c>
      <c r="V51" s="103" t="s">
        <v>24</v>
      </c>
      <c r="W51" s="103" t="s">
        <v>24</v>
      </c>
      <c r="X51" s="103" t="s">
        <v>24</v>
      </c>
      <c r="Y51" s="103" t="s">
        <v>24</v>
      </c>
      <c r="Z51" s="103" t="s">
        <v>24</v>
      </c>
      <c r="AA51" s="100"/>
      <c r="AB51" s="103" t="s">
        <v>24</v>
      </c>
      <c r="AC51" s="103" t="s">
        <v>24</v>
      </c>
      <c r="AD51" s="103" t="s">
        <v>24</v>
      </c>
      <c r="AE51" s="103" t="s">
        <v>24</v>
      </c>
      <c r="AF51" s="103" t="s">
        <v>24</v>
      </c>
      <c r="AG51" s="103" t="s">
        <v>24</v>
      </c>
      <c r="AH51" s="100"/>
      <c r="AI51" s="103" t="s">
        <v>24</v>
      </c>
      <c r="AJ51" s="82"/>
      <c r="AK51" s="82"/>
    </row>
    <row r="52" spans="2:37" ht="16.5">
      <c r="B52" s="78" t="s">
        <v>313</v>
      </c>
      <c r="C52" s="77" t="s">
        <v>314</v>
      </c>
      <c r="D52" s="5" t="s">
        <v>44</v>
      </c>
      <c r="E52" s="103" t="s">
        <v>24</v>
      </c>
      <c r="F52" s="100"/>
      <c r="G52" s="103" t="s">
        <v>24</v>
      </c>
      <c r="H52" s="103" t="s">
        <v>24</v>
      </c>
      <c r="I52" s="103" t="s">
        <v>24</v>
      </c>
      <c r="J52" s="103" t="s">
        <v>24</v>
      </c>
      <c r="K52" s="103" t="s">
        <v>24</v>
      </c>
      <c r="L52" s="103" t="s">
        <v>24</v>
      </c>
      <c r="M52" s="100"/>
      <c r="N52" s="103" t="s">
        <v>24</v>
      </c>
      <c r="O52" s="103" t="s">
        <v>24</v>
      </c>
      <c r="P52" s="103" t="s">
        <v>24</v>
      </c>
      <c r="Q52" s="103" t="s">
        <v>24</v>
      </c>
      <c r="R52" s="103" t="s">
        <v>24</v>
      </c>
      <c r="S52" s="103" t="s">
        <v>24</v>
      </c>
      <c r="T52" s="100"/>
      <c r="U52" s="103" t="s">
        <v>24</v>
      </c>
      <c r="V52" s="103" t="s">
        <v>24</v>
      </c>
      <c r="W52" s="103" t="s">
        <v>24</v>
      </c>
      <c r="X52" s="103" t="s">
        <v>24</v>
      </c>
      <c r="Y52" s="103" t="s">
        <v>24</v>
      </c>
      <c r="Z52" s="103" t="s">
        <v>24</v>
      </c>
      <c r="AA52" s="100"/>
      <c r="AB52" s="103" t="s">
        <v>24</v>
      </c>
      <c r="AC52" s="103" t="s">
        <v>24</v>
      </c>
      <c r="AD52" s="103" t="s">
        <v>24</v>
      </c>
      <c r="AE52" s="103" t="s">
        <v>24</v>
      </c>
      <c r="AF52" s="103" t="s">
        <v>24</v>
      </c>
      <c r="AG52" s="103" t="s">
        <v>24</v>
      </c>
      <c r="AH52" s="100"/>
      <c r="AI52" s="103" t="s">
        <v>24</v>
      </c>
      <c r="AJ52" s="82"/>
      <c r="AK52" s="82"/>
    </row>
    <row r="53" spans="2:37" ht="16.5">
      <c r="B53" s="78" t="s">
        <v>315</v>
      </c>
      <c r="C53" s="77" t="s">
        <v>316</v>
      </c>
      <c r="D53" s="5" t="s">
        <v>44</v>
      </c>
      <c r="E53" s="103" t="s">
        <v>24</v>
      </c>
      <c r="F53" s="100"/>
      <c r="G53" s="103" t="s">
        <v>24</v>
      </c>
      <c r="H53" s="103" t="s">
        <v>24</v>
      </c>
      <c r="I53" s="103" t="s">
        <v>24</v>
      </c>
      <c r="J53" s="103" t="s">
        <v>24</v>
      </c>
      <c r="K53" s="103" t="s">
        <v>24</v>
      </c>
      <c r="L53" s="103" t="s">
        <v>24</v>
      </c>
      <c r="M53" s="100"/>
      <c r="N53" s="103" t="s">
        <v>24</v>
      </c>
      <c r="O53" s="103" t="s">
        <v>24</v>
      </c>
      <c r="P53" s="103" t="s">
        <v>24</v>
      </c>
      <c r="Q53" s="103" t="s">
        <v>24</v>
      </c>
      <c r="R53" s="103" t="s">
        <v>24</v>
      </c>
      <c r="S53" s="103" t="s">
        <v>24</v>
      </c>
      <c r="T53" s="100"/>
      <c r="U53" s="103" t="s">
        <v>24</v>
      </c>
      <c r="V53" s="103" t="s">
        <v>24</v>
      </c>
      <c r="W53" s="103" t="s">
        <v>24</v>
      </c>
      <c r="X53" s="103" t="s">
        <v>24</v>
      </c>
      <c r="Y53" s="103" t="s">
        <v>24</v>
      </c>
      <c r="Z53" s="103" t="s">
        <v>24</v>
      </c>
      <c r="AA53" s="100"/>
      <c r="AB53" s="103" t="s">
        <v>24</v>
      </c>
      <c r="AC53" s="103" t="s">
        <v>24</v>
      </c>
      <c r="AD53" s="103" t="s">
        <v>24</v>
      </c>
      <c r="AE53" s="103" t="s">
        <v>24</v>
      </c>
      <c r="AF53" s="103" t="s">
        <v>24</v>
      </c>
      <c r="AG53" s="103" t="s">
        <v>24</v>
      </c>
      <c r="AH53" s="100"/>
      <c r="AI53" s="103" t="s">
        <v>24</v>
      </c>
      <c r="AJ53" s="82"/>
      <c r="AK53" s="82"/>
    </row>
    <row r="54" spans="2:37" ht="16.5">
      <c r="B54" s="78" t="s">
        <v>317</v>
      </c>
      <c r="C54" s="77" t="s">
        <v>318</v>
      </c>
      <c r="D54" s="5" t="s">
        <v>44</v>
      </c>
      <c r="E54" s="103" t="s">
        <v>24</v>
      </c>
      <c r="F54" s="101"/>
      <c r="G54" s="103" t="s">
        <v>24</v>
      </c>
      <c r="H54" s="103" t="s">
        <v>24</v>
      </c>
      <c r="I54" s="103" t="s">
        <v>24</v>
      </c>
      <c r="J54" s="103" t="s">
        <v>24</v>
      </c>
      <c r="K54" s="103" t="s">
        <v>24</v>
      </c>
      <c r="L54" s="103" t="s">
        <v>24</v>
      </c>
      <c r="M54" s="101"/>
      <c r="N54" s="103" t="s">
        <v>24</v>
      </c>
      <c r="O54" s="103" t="s">
        <v>24</v>
      </c>
      <c r="P54" s="103" t="s">
        <v>24</v>
      </c>
      <c r="Q54" s="103" t="s">
        <v>24</v>
      </c>
      <c r="R54" s="103" t="s">
        <v>24</v>
      </c>
      <c r="S54" s="103" t="s">
        <v>24</v>
      </c>
      <c r="T54" s="101"/>
      <c r="U54" s="103" t="s">
        <v>24</v>
      </c>
      <c r="V54" s="103" t="s">
        <v>24</v>
      </c>
      <c r="W54" s="103" t="s">
        <v>24</v>
      </c>
      <c r="X54" s="103" t="s">
        <v>24</v>
      </c>
      <c r="Y54" s="103" t="s">
        <v>24</v>
      </c>
      <c r="Z54" s="103" t="s">
        <v>24</v>
      </c>
      <c r="AA54" s="101"/>
      <c r="AB54" s="103" t="s">
        <v>24</v>
      </c>
      <c r="AC54" s="103" t="s">
        <v>24</v>
      </c>
      <c r="AD54" s="103" t="s">
        <v>24</v>
      </c>
      <c r="AE54" s="103" t="s">
        <v>24</v>
      </c>
      <c r="AF54" s="103" t="s">
        <v>24</v>
      </c>
      <c r="AG54" s="103" t="s">
        <v>24</v>
      </c>
      <c r="AH54" s="101"/>
      <c r="AI54" s="103" t="s">
        <v>24</v>
      </c>
      <c r="AJ54" s="82"/>
      <c r="AK54" s="82"/>
    </row>
  </sheetData>
  <mergeCells count="16">
    <mergeCell ref="A1:AI1"/>
    <mergeCell ref="A2:AI2"/>
    <mergeCell ref="A3:A4"/>
    <mergeCell ref="B3:B4"/>
    <mergeCell ref="C3:C4"/>
    <mergeCell ref="D3:D4"/>
    <mergeCell ref="F5:F54"/>
    <mergeCell ref="M5:M54"/>
    <mergeCell ref="T5:T54"/>
    <mergeCell ref="AA5:AA54"/>
    <mergeCell ref="AK3:AK4"/>
    <mergeCell ref="AL3:AM3"/>
    <mergeCell ref="AL11:AO11"/>
    <mergeCell ref="AL19:AO19"/>
    <mergeCell ref="AJ3:AJ4"/>
    <mergeCell ref="AH5:AH54"/>
  </mergeCells>
  <phoneticPr fontId="19" type="noConversion"/>
  <conditionalFormatting sqref="E5:E54">
    <cfRule type="cellIs" dxfId="1464" priority="246" operator="equal">
      <formula>"L"</formula>
    </cfRule>
    <cfRule type="expression" dxfId="1463" priority="247">
      <formula>E$4=TODAY()</formula>
    </cfRule>
    <cfRule type="cellIs" dxfId="1462" priority="248" operator="equal">
      <formula>"A"</formula>
    </cfRule>
    <cfRule type="cellIs" dxfId="1461" priority="249" operator="equal">
      <formula>"P"</formula>
    </cfRule>
    <cfRule type="expression" dxfId="1460" priority="250">
      <formula>E$3="Sun"</formula>
    </cfRule>
  </conditionalFormatting>
  <conditionalFormatting sqref="F5">
    <cfRule type="cellIs" dxfId="1459" priority="236" operator="equal">
      <formula>"L"</formula>
    </cfRule>
    <cfRule type="expression" dxfId="1458" priority="237">
      <formula>F$4=TODAY()</formula>
    </cfRule>
    <cfRule type="cellIs" dxfId="1457" priority="238" operator="equal">
      <formula>"A"</formula>
    </cfRule>
    <cfRule type="cellIs" dxfId="1456" priority="239" operator="equal">
      <formula>"P"</formula>
    </cfRule>
    <cfRule type="expression" dxfId="1455" priority="240">
      <formula>F$3="Sun"</formula>
    </cfRule>
  </conditionalFormatting>
  <conditionalFormatting sqref="E3:AI4">
    <cfRule type="expression" dxfId="1454" priority="263">
      <formula>E$4=TODAY()</formula>
    </cfRule>
    <cfRule type="expression" dxfId="1453" priority="266">
      <formula>E$3="Sun"</formula>
    </cfRule>
  </conditionalFormatting>
  <conditionalFormatting sqref="AJ3:AK3 AJ5:AK40">
    <cfRule type="expression" dxfId="1434" priority="267">
      <formula>#REF!="Sun"</formula>
    </cfRule>
  </conditionalFormatting>
  <conditionalFormatting sqref="AL5:AL9">
    <cfRule type="expression" dxfId="1433" priority="259">
      <formula>AL$3="Sun"</formula>
    </cfRule>
  </conditionalFormatting>
  <conditionalFormatting sqref="AL12:AL15">
    <cfRule type="expression" dxfId="1432" priority="257">
      <formula>AL$3="Sun"</formula>
    </cfRule>
  </conditionalFormatting>
  <conditionalFormatting sqref="AL20:AL23">
    <cfRule type="expression" dxfId="1431" priority="256">
      <formula>AL$3="Sun"</formula>
    </cfRule>
  </conditionalFormatting>
  <conditionalFormatting sqref="AL4:AM4">
    <cfRule type="expression" dxfId="1430" priority="260">
      <formula>AL$3="Sun"</formula>
    </cfRule>
  </conditionalFormatting>
  <conditionalFormatting sqref="AM12:AO12 AM20:AO20">
    <cfRule type="expression" dxfId="1429" priority="261">
      <formula>AM$3="Sun"</formula>
    </cfRule>
  </conditionalFormatting>
  <conditionalFormatting sqref="AO21">
    <cfRule type="expression" dxfId="1428" priority="258">
      <formula>AO$3="Sun"</formula>
    </cfRule>
  </conditionalFormatting>
  <conditionalFormatting sqref="H5:H54">
    <cfRule type="cellIs" dxfId="1402" priority="181" operator="equal">
      <formula>"L"</formula>
    </cfRule>
    <cfRule type="expression" dxfId="1401" priority="182">
      <formula>H$4=TODAY()</formula>
    </cfRule>
    <cfRule type="cellIs" dxfId="1400" priority="183" operator="equal">
      <formula>"A"</formula>
    </cfRule>
    <cfRule type="cellIs" dxfId="1399" priority="184" operator="equal">
      <formula>"P"</formula>
    </cfRule>
    <cfRule type="expression" dxfId="1398" priority="185">
      <formula>H$3="Sun"</formula>
    </cfRule>
  </conditionalFormatting>
  <conditionalFormatting sqref="I5:I54">
    <cfRule type="cellIs" dxfId="1397" priority="176" operator="equal">
      <formula>"L"</formula>
    </cfRule>
    <cfRule type="expression" dxfId="1396" priority="177">
      <formula>I$4=TODAY()</formula>
    </cfRule>
    <cfRule type="cellIs" dxfId="1395" priority="178" operator="equal">
      <formula>"A"</formula>
    </cfRule>
    <cfRule type="cellIs" dxfId="1394" priority="179" operator="equal">
      <formula>"P"</formula>
    </cfRule>
    <cfRule type="expression" dxfId="1393" priority="180">
      <formula>I$3="Sun"</formula>
    </cfRule>
  </conditionalFormatting>
  <conditionalFormatting sqref="J5:J54">
    <cfRule type="cellIs" dxfId="1392" priority="171" operator="equal">
      <formula>"L"</formula>
    </cfRule>
    <cfRule type="expression" dxfId="1391" priority="172">
      <formula>J$4=TODAY()</formula>
    </cfRule>
    <cfRule type="cellIs" dxfId="1390" priority="173" operator="equal">
      <formula>"A"</formula>
    </cfRule>
    <cfRule type="cellIs" dxfId="1389" priority="174" operator="equal">
      <formula>"P"</formula>
    </cfRule>
    <cfRule type="expression" dxfId="1388" priority="175">
      <formula>J$3="Sun"</formula>
    </cfRule>
  </conditionalFormatting>
  <conditionalFormatting sqref="K5:K54">
    <cfRule type="cellIs" dxfId="1387" priority="166" operator="equal">
      <formula>"L"</formula>
    </cfRule>
    <cfRule type="expression" dxfId="1386" priority="167">
      <formula>K$4=TODAY()</formula>
    </cfRule>
    <cfRule type="cellIs" dxfId="1385" priority="168" operator="equal">
      <formula>"A"</formula>
    </cfRule>
    <cfRule type="cellIs" dxfId="1384" priority="169" operator="equal">
      <formula>"P"</formula>
    </cfRule>
    <cfRule type="expression" dxfId="1383" priority="170">
      <formula>K$3="Sun"</formula>
    </cfRule>
  </conditionalFormatting>
  <conditionalFormatting sqref="L5:L54">
    <cfRule type="cellIs" dxfId="1382" priority="161" operator="equal">
      <formula>"L"</formula>
    </cfRule>
    <cfRule type="expression" dxfId="1381" priority="162">
      <formula>L$4=TODAY()</formula>
    </cfRule>
    <cfRule type="cellIs" dxfId="1380" priority="163" operator="equal">
      <formula>"A"</formula>
    </cfRule>
    <cfRule type="cellIs" dxfId="1379" priority="164" operator="equal">
      <formula>"P"</formula>
    </cfRule>
    <cfRule type="expression" dxfId="1378" priority="165">
      <formula>L$3="Sun"</formula>
    </cfRule>
  </conditionalFormatting>
  <conditionalFormatting sqref="O5:O54">
    <cfRule type="cellIs" dxfId="1372" priority="151" operator="equal">
      <formula>"L"</formula>
    </cfRule>
    <cfRule type="expression" dxfId="1371" priority="152">
      <formula>O$4=TODAY()</formula>
    </cfRule>
    <cfRule type="cellIs" dxfId="1370" priority="153" operator="equal">
      <formula>"A"</formula>
    </cfRule>
    <cfRule type="cellIs" dxfId="1369" priority="154" operator="equal">
      <formula>"P"</formula>
    </cfRule>
    <cfRule type="expression" dxfId="1368" priority="155">
      <formula>O$3="Sun"</formula>
    </cfRule>
  </conditionalFormatting>
  <conditionalFormatting sqref="P5:P54">
    <cfRule type="cellIs" dxfId="1367" priority="146" operator="equal">
      <formula>"L"</formula>
    </cfRule>
    <cfRule type="expression" dxfId="1366" priority="147">
      <formula>P$4=TODAY()</formula>
    </cfRule>
    <cfRule type="cellIs" dxfId="1365" priority="148" operator="equal">
      <formula>"A"</formula>
    </cfRule>
    <cfRule type="cellIs" dxfId="1364" priority="149" operator="equal">
      <formula>"P"</formula>
    </cfRule>
    <cfRule type="expression" dxfId="1363" priority="150">
      <formula>P$3="Sun"</formula>
    </cfRule>
  </conditionalFormatting>
  <conditionalFormatting sqref="Q5:Q54">
    <cfRule type="cellIs" dxfId="1362" priority="141" operator="equal">
      <formula>"L"</formula>
    </cfRule>
    <cfRule type="expression" dxfId="1361" priority="142">
      <formula>Q$4=TODAY()</formula>
    </cfRule>
    <cfRule type="cellIs" dxfId="1360" priority="143" operator="equal">
      <formula>"A"</formula>
    </cfRule>
    <cfRule type="cellIs" dxfId="1359" priority="144" operator="equal">
      <formula>"P"</formula>
    </cfRule>
    <cfRule type="expression" dxfId="1358" priority="145">
      <formula>Q$3="Sun"</formula>
    </cfRule>
  </conditionalFormatting>
  <conditionalFormatting sqref="R5:R54">
    <cfRule type="cellIs" dxfId="1357" priority="136" operator="equal">
      <formula>"L"</formula>
    </cfRule>
    <cfRule type="expression" dxfId="1356" priority="137">
      <formula>R$4=TODAY()</formula>
    </cfRule>
    <cfRule type="cellIs" dxfId="1355" priority="138" operator="equal">
      <formula>"A"</formula>
    </cfRule>
    <cfRule type="cellIs" dxfId="1354" priority="139" operator="equal">
      <formula>"P"</formula>
    </cfRule>
    <cfRule type="expression" dxfId="1353" priority="140">
      <formula>R$3="Sun"</formula>
    </cfRule>
  </conditionalFormatting>
  <conditionalFormatting sqref="S5:S54">
    <cfRule type="cellIs" dxfId="1352" priority="131" operator="equal">
      <formula>"L"</formula>
    </cfRule>
    <cfRule type="expression" dxfId="1351" priority="132">
      <formula>S$4=TODAY()</formula>
    </cfRule>
    <cfRule type="cellIs" dxfId="1350" priority="133" operator="equal">
      <formula>"A"</formula>
    </cfRule>
    <cfRule type="cellIs" dxfId="1349" priority="134" operator="equal">
      <formula>"P"</formula>
    </cfRule>
    <cfRule type="expression" dxfId="1348" priority="135">
      <formula>S$3="Sun"</formula>
    </cfRule>
  </conditionalFormatting>
  <conditionalFormatting sqref="V5:V54">
    <cfRule type="cellIs" dxfId="1342" priority="121" operator="equal">
      <formula>"L"</formula>
    </cfRule>
    <cfRule type="expression" dxfId="1341" priority="122">
      <formula>V$4=TODAY()</formula>
    </cfRule>
    <cfRule type="cellIs" dxfId="1340" priority="123" operator="equal">
      <formula>"A"</formula>
    </cfRule>
    <cfRule type="cellIs" dxfId="1339" priority="124" operator="equal">
      <formula>"P"</formula>
    </cfRule>
    <cfRule type="expression" dxfId="1338" priority="125">
      <formula>V$3="Sun"</formula>
    </cfRule>
  </conditionalFormatting>
  <conditionalFormatting sqref="W5:W54">
    <cfRule type="cellIs" dxfId="1327" priority="106" operator="equal">
      <formula>"L"</formula>
    </cfRule>
    <cfRule type="expression" dxfId="1326" priority="107">
      <formula>W$4=TODAY()</formula>
    </cfRule>
    <cfRule type="cellIs" dxfId="1325" priority="108" operator="equal">
      <formula>"A"</formula>
    </cfRule>
    <cfRule type="cellIs" dxfId="1324" priority="109" operator="equal">
      <formula>"P"</formula>
    </cfRule>
    <cfRule type="expression" dxfId="1323" priority="110">
      <formula>W$3="Sun"</formula>
    </cfRule>
  </conditionalFormatting>
  <conditionalFormatting sqref="X5:X54">
    <cfRule type="cellIs" dxfId="1322" priority="101" operator="equal">
      <formula>"L"</formula>
    </cfRule>
    <cfRule type="expression" dxfId="1321" priority="102">
      <formula>X$4=TODAY()</formula>
    </cfRule>
    <cfRule type="cellIs" dxfId="1320" priority="103" operator="equal">
      <formula>"A"</formula>
    </cfRule>
    <cfRule type="cellIs" dxfId="1319" priority="104" operator="equal">
      <formula>"P"</formula>
    </cfRule>
    <cfRule type="expression" dxfId="1318" priority="105">
      <formula>X$3="Sun"</formula>
    </cfRule>
  </conditionalFormatting>
  <conditionalFormatting sqref="Y5:Y54">
    <cfRule type="cellIs" dxfId="1317" priority="96" operator="equal">
      <formula>"L"</formula>
    </cfRule>
    <cfRule type="expression" dxfId="1316" priority="97">
      <formula>Y$4=TODAY()</formula>
    </cfRule>
    <cfRule type="cellIs" dxfId="1315" priority="98" operator="equal">
      <formula>"A"</formula>
    </cfRule>
    <cfRule type="cellIs" dxfId="1314" priority="99" operator="equal">
      <formula>"P"</formula>
    </cfRule>
    <cfRule type="expression" dxfId="1313" priority="100">
      <formula>Y$3="Sun"</formula>
    </cfRule>
  </conditionalFormatting>
  <conditionalFormatting sqref="Z5:Z54">
    <cfRule type="cellIs" dxfId="1312" priority="91" operator="equal">
      <formula>"L"</formula>
    </cfRule>
    <cfRule type="expression" dxfId="1311" priority="92">
      <formula>Z$4=TODAY()</formula>
    </cfRule>
    <cfRule type="cellIs" dxfId="1310" priority="93" operator="equal">
      <formula>"A"</formula>
    </cfRule>
    <cfRule type="cellIs" dxfId="1309" priority="94" operator="equal">
      <formula>"P"</formula>
    </cfRule>
    <cfRule type="expression" dxfId="1308" priority="95">
      <formula>Z$3="Sun"</formula>
    </cfRule>
  </conditionalFormatting>
  <conditionalFormatting sqref="AC5:AC54">
    <cfRule type="cellIs" dxfId="1307" priority="86" operator="equal">
      <formula>"L"</formula>
    </cfRule>
    <cfRule type="expression" dxfId="1306" priority="87">
      <formula>AC$4=TODAY()</formula>
    </cfRule>
    <cfRule type="cellIs" dxfId="1305" priority="88" operator="equal">
      <formula>"A"</formula>
    </cfRule>
    <cfRule type="cellIs" dxfId="1304" priority="89" operator="equal">
      <formula>"P"</formula>
    </cfRule>
    <cfRule type="expression" dxfId="1303" priority="90">
      <formula>AC$3="Sun"</formula>
    </cfRule>
  </conditionalFormatting>
  <conditionalFormatting sqref="AD5:AD54">
    <cfRule type="cellIs" dxfId="1292" priority="71" operator="equal">
      <formula>"L"</formula>
    </cfRule>
    <cfRule type="expression" dxfId="1291" priority="72">
      <formula>AD$4=TODAY()</formula>
    </cfRule>
    <cfRule type="cellIs" dxfId="1290" priority="73" operator="equal">
      <formula>"A"</formula>
    </cfRule>
    <cfRule type="cellIs" dxfId="1289" priority="74" operator="equal">
      <formula>"P"</formula>
    </cfRule>
    <cfRule type="expression" dxfId="1288" priority="75">
      <formula>AD$3="Sun"</formula>
    </cfRule>
  </conditionalFormatting>
  <conditionalFormatting sqref="AE5:AE54">
    <cfRule type="cellIs" dxfId="1287" priority="66" operator="equal">
      <formula>"L"</formula>
    </cfRule>
    <cfRule type="expression" dxfId="1286" priority="67">
      <formula>AE$4=TODAY()</formula>
    </cfRule>
    <cfRule type="cellIs" dxfId="1285" priority="68" operator="equal">
      <formula>"A"</formula>
    </cfRule>
    <cfRule type="cellIs" dxfId="1284" priority="69" operator="equal">
      <formula>"P"</formula>
    </cfRule>
    <cfRule type="expression" dxfId="1283" priority="70">
      <formula>AE$3="Sun"</formula>
    </cfRule>
  </conditionalFormatting>
  <conditionalFormatting sqref="AF5:AF54">
    <cfRule type="cellIs" dxfId="1282" priority="61" operator="equal">
      <formula>"L"</formula>
    </cfRule>
    <cfRule type="expression" dxfId="1281" priority="62">
      <formula>AF$4=TODAY()</formula>
    </cfRule>
    <cfRule type="cellIs" dxfId="1280" priority="63" operator="equal">
      <formula>"A"</formula>
    </cfRule>
    <cfRule type="cellIs" dxfId="1279" priority="64" operator="equal">
      <formula>"P"</formula>
    </cfRule>
    <cfRule type="expression" dxfId="1278" priority="65">
      <formula>AF$3="Sun"</formula>
    </cfRule>
  </conditionalFormatting>
  <conditionalFormatting sqref="AG5:AG54">
    <cfRule type="cellIs" dxfId="1277" priority="56" operator="equal">
      <formula>"L"</formula>
    </cfRule>
    <cfRule type="expression" dxfId="1276" priority="57">
      <formula>AG$4=TODAY()</formula>
    </cfRule>
    <cfRule type="cellIs" dxfId="1275" priority="58" operator="equal">
      <formula>"A"</formula>
    </cfRule>
    <cfRule type="cellIs" dxfId="1274" priority="59" operator="equal">
      <formula>"P"</formula>
    </cfRule>
    <cfRule type="expression" dxfId="1273" priority="60">
      <formula>AG$3="Sun"</formula>
    </cfRule>
  </conditionalFormatting>
  <conditionalFormatting sqref="M5">
    <cfRule type="cellIs" dxfId="224" priority="41" operator="equal">
      <formula>"L"</formula>
    </cfRule>
    <cfRule type="expression" dxfId="223" priority="42">
      <formula>M$4=TODAY()</formula>
    </cfRule>
    <cfRule type="cellIs" dxfId="222" priority="43" operator="equal">
      <formula>"A"</formula>
    </cfRule>
    <cfRule type="cellIs" dxfId="221" priority="44" operator="equal">
      <formula>"P"</formula>
    </cfRule>
    <cfRule type="expression" dxfId="220" priority="45">
      <formula>M$3="Sun"</formula>
    </cfRule>
  </conditionalFormatting>
  <conditionalFormatting sqref="T5">
    <cfRule type="cellIs" dxfId="219" priority="36" operator="equal">
      <formula>"L"</formula>
    </cfRule>
    <cfRule type="expression" dxfId="218" priority="37">
      <formula>T$4=TODAY()</formula>
    </cfRule>
    <cfRule type="cellIs" dxfId="217" priority="38" operator="equal">
      <formula>"A"</formula>
    </cfRule>
    <cfRule type="cellIs" dxfId="216" priority="39" operator="equal">
      <formula>"P"</formula>
    </cfRule>
    <cfRule type="expression" dxfId="215" priority="40">
      <formula>T$3="Sun"</formula>
    </cfRule>
  </conditionalFormatting>
  <conditionalFormatting sqref="AA5">
    <cfRule type="cellIs" dxfId="214" priority="31" operator="equal">
      <formula>"L"</formula>
    </cfRule>
    <cfRule type="expression" dxfId="213" priority="32">
      <formula>AA$4=TODAY()</formula>
    </cfRule>
    <cfRule type="cellIs" dxfId="212" priority="33" operator="equal">
      <formula>"A"</formula>
    </cfRule>
    <cfRule type="cellIs" dxfId="211" priority="34" operator="equal">
      <formula>"P"</formula>
    </cfRule>
    <cfRule type="expression" dxfId="210" priority="35">
      <formula>AA$3="Sun"</formula>
    </cfRule>
  </conditionalFormatting>
  <conditionalFormatting sqref="AH5">
    <cfRule type="cellIs" dxfId="209" priority="26" operator="equal">
      <formula>"L"</formula>
    </cfRule>
    <cfRule type="expression" dxfId="208" priority="27">
      <formula>AH$4=TODAY()</formula>
    </cfRule>
    <cfRule type="cellIs" dxfId="207" priority="28" operator="equal">
      <formula>"A"</formula>
    </cfRule>
    <cfRule type="cellIs" dxfId="206" priority="29" operator="equal">
      <formula>"P"</formula>
    </cfRule>
    <cfRule type="expression" dxfId="205" priority="30">
      <formula>AH$3="Sun"</formula>
    </cfRule>
  </conditionalFormatting>
  <conditionalFormatting sqref="G5:G54">
    <cfRule type="cellIs" dxfId="204" priority="21" operator="equal">
      <formula>"L"</formula>
    </cfRule>
    <cfRule type="expression" dxfId="203" priority="22">
      <formula>G$4=TODAY()</formula>
    </cfRule>
    <cfRule type="cellIs" dxfId="202" priority="23" operator="equal">
      <formula>"A"</formula>
    </cfRule>
    <cfRule type="cellIs" dxfId="201" priority="24" operator="equal">
      <formula>"P"</formula>
    </cfRule>
    <cfRule type="expression" dxfId="200" priority="25">
      <formula>G$3="Sun"</formula>
    </cfRule>
  </conditionalFormatting>
  <conditionalFormatting sqref="N5:N54">
    <cfRule type="cellIs" dxfId="199" priority="16" operator="equal">
      <formula>"L"</formula>
    </cfRule>
    <cfRule type="expression" dxfId="198" priority="17">
      <formula>N$4=TODAY()</formula>
    </cfRule>
    <cfRule type="cellIs" dxfId="197" priority="18" operator="equal">
      <formula>"A"</formula>
    </cfRule>
    <cfRule type="cellIs" dxfId="196" priority="19" operator="equal">
      <formula>"P"</formula>
    </cfRule>
    <cfRule type="expression" dxfId="195" priority="20">
      <formula>N$3="Sun"</formula>
    </cfRule>
  </conditionalFormatting>
  <conditionalFormatting sqref="U5:U54">
    <cfRule type="cellIs" dxfId="194" priority="11" operator="equal">
      <formula>"L"</formula>
    </cfRule>
    <cfRule type="expression" dxfId="193" priority="12">
      <formula>U$4=TODAY()</formula>
    </cfRule>
    <cfRule type="cellIs" dxfId="192" priority="13" operator="equal">
      <formula>"A"</formula>
    </cfRule>
    <cfRule type="cellIs" dxfId="191" priority="14" operator="equal">
      <formula>"P"</formula>
    </cfRule>
    <cfRule type="expression" dxfId="190" priority="15">
      <formula>U$3="Sun"</formula>
    </cfRule>
  </conditionalFormatting>
  <conditionalFormatting sqref="AB5:AB54">
    <cfRule type="cellIs" dxfId="189" priority="6" operator="equal">
      <formula>"L"</formula>
    </cfRule>
    <cfRule type="expression" dxfId="188" priority="7">
      <formula>AB$4=TODAY()</formula>
    </cfRule>
    <cfRule type="cellIs" dxfId="187" priority="8" operator="equal">
      <formula>"A"</formula>
    </cfRule>
    <cfRule type="cellIs" dxfId="186" priority="9" operator="equal">
      <formula>"P"</formula>
    </cfRule>
    <cfRule type="expression" dxfId="185" priority="10">
      <formula>AB$3="Sun"</formula>
    </cfRule>
  </conditionalFormatting>
  <conditionalFormatting sqref="AI5:AI54">
    <cfRule type="cellIs" dxfId="184" priority="1" operator="equal">
      <formula>"L"</formula>
    </cfRule>
    <cfRule type="expression" dxfId="183" priority="2">
      <formula>AI$4=TODAY()</formula>
    </cfRule>
    <cfRule type="cellIs" dxfId="182" priority="3" operator="equal">
      <formula>"A"</formula>
    </cfRule>
    <cfRule type="cellIs" dxfId="181" priority="4" operator="equal">
      <formula>"P"</formula>
    </cfRule>
    <cfRule type="expression" dxfId="180" priority="5">
      <formula>AI$3="Sun"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O51"/>
  <sheetViews>
    <sheetView topLeftCell="C5" zoomScaleNormal="100" workbookViewId="0">
      <selection activeCell="AI5" sqref="AI5:AI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125</v>
      </c>
      <c r="C5" s="78" t="s">
        <v>126</v>
      </c>
      <c r="D5" s="5" t="s">
        <v>49</v>
      </c>
      <c r="E5" s="102" t="s">
        <v>24</v>
      </c>
      <c r="F5" s="99" t="s">
        <v>26</v>
      </c>
      <c r="G5" s="102" t="s">
        <v>24</v>
      </c>
      <c r="H5" s="102" t="s">
        <v>24</v>
      </c>
      <c r="I5" s="102" t="s">
        <v>24</v>
      </c>
      <c r="J5" s="102" t="s">
        <v>24</v>
      </c>
      <c r="K5" s="102" t="s">
        <v>24</v>
      </c>
      <c r="L5" s="102" t="s">
        <v>24</v>
      </c>
      <c r="M5" s="99" t="s">
        <v>26</v>
      </c>
      <c r="N5" s="102" t="s">
        <v>24</v>
      </c>
      <c r="O5" s="102" t="s">
        <v>24</v>
      </c>
      <c r="P5" s="102" t="s">
        <v>24</v>
      </c>
      <c r="Q5" s="102" t="s">
        <v>24</v>
      </c>
      <c r="R5" s="102" t="s">
        <v>24</v>
      </c>
      <c r="S5" s="102" t="s">
        <v>24</v>
      </c>
      <c r="T5" s="99" t="s">
        <v>26</v>
      </c>
      <c r="U5" s="102" t="s">
        <v>24</v>
      </c>
      <c r="V5" s="102" t="s">
        <v>24</v>
      </c>
      <c r="W5" s="102" t="s">
        <v>24</v>
      </c>
      <c r="X5" s="102" t="s">
        <v>24</v>
      </c>
      <c r="Y5" s="102" t="s">
        <v>24</v>
      </c>
      <c r="Z5" s="102" t="s">
        <v>24</v>
      </c>
      <c r="AA5" s="99" t="s">
        <v>26</v>
      </c>
      <c r="AB5" s="102" t="s">
        <v>24</v>
      </c>
      <c r="AC5" s="102" t="s">
        <v>24</v>
      </c>
      <c r="AD5" s="102" t="s">
        <v>24</v>
      </c>
      <c r="AE5" s="102" t="s">
        <v>24</v>
      </c>
      <c r="AF5" s="102" t="s">
        <v>24</v>
      </c>
      <c r="AG5" s="102" t="s">
        <v>24</v>
      </c>
      <c r="AH5" s="99" t="s">
        <v>26</v>
      </c>
      <c r="AI5" s="102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127</v>
      </c>
      <c r="C6" s="78" t="s">
        <v>128</v>
      </c>
      <c r="D6" s="5" t="s">
        <v>49</v>
      </c>
      <c r="E6" s="102" t="s">
        <v>24</v>
      </c>
      <c r="F6" s="100"/>
      <c r="G6" s="102" t="s">
        <v>24</v>
      </c>
      <c r="H6" s="102" t="s">
        <v>24</v>
      </c>
      <c r="I6" s="102" t="s">
        <v>24</v>
      </c>
      <c r="J6" s="102" t="s">
        <v>24</v>
      </c>
      <c r="K6" s="102" t="s">
        <v>24</v>
      </c>
      <c r="L6" s="102" t="s">
        <v>24</v>
      </c>
      <c r="M6" s="100"/>
      <c r="N6" s="102" t="s">
        <v>24</v>
      </c>
      <c r="O6" s="102" t="s">
        <v>24</v>
      </c>
      <c r="P6" s="102" t="s">
        <v>24</v>
      </c>
      <c r="Q6" s="102" t="s">
        <v>24</v>
      </c>
      <c r="R6" s="102" t="s">
        <v>24</v>
      </c>
      <c r="S6" s="102" t="s">
        <v>24</v>
      </c>
      <c r="T6" s="100"/>
      <c r="U6" s="102" t="s">
        <v>24</v>
      </c>
      <c r="V6" s="102" t="s">
        <v>24</v>
      </c>
      <c r="W6" s="102" t="s">
        <v>24</v>
      </c>
      <c r="X6" s="102" t="s">
        <v>24</v>
      </c>
      <c r="Y6" s="102" t="s">
        <v>24</v>
      </c>
      <c r="Z6" s="102" t="s">
        <v>24</v>
      </c>
      <c r="AA6" s="100"/>
      <c r="AB6" s="102" t="s">
        <v>24</v>
      </c>
      <c r="AC6" s="102" t="s">
        <v>24</v>
      </c>
      <c r="AD6" s="102" t="s">
        <v>24</v>
      </c>
      <c r="AE6" s="102" t="s">
        <v>24</v>
      </c>
      <c r="AF6" s="102" t="s">
        <v>24</v>
      </c>
      <c r="AG6" s="102" t="s">
        <v>24</v>
      </c>
      <c r="AH6" s="100"/>
      <c r="AI6" s="102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129</v>
      </c>
      <c r="C7" s="78" t="s">
        <v>120</v>
      </c>
      <c r="D7" s="5" t="s">
        <v>49</v>
      </c>
      <c r="E7" s="102" t="s">
        <v>24</v>
      </c>
      <c r="F7" s="100"/>
      <c r="G7" s="102" t="s">
        <v>24</v>
      </c>
      <c r="H7" s="102" t="s">
        <v>24</v>
      </c>
      <c r="I7" s="102" t="s">
        <v>24</v>
      </c>
      <c r="J7" s="102" t="s">
        <v>24</v>
      </c>
      <c r="K7" s="102" t="s">
        <v>24</v>
      </c>
      <c r="L7" s="102" t="s">
        <v>24</v>
      </c>
      <c r="M7" s="100"/>
      <c r="N7" s="102" t="s">
        <v>24</v>
      </c>
      <c r="O7" s="102" t="s">
        <v>24</v>
      </c>
      <c r="P7" s="102" t="s">
        <v>24</v>
      </c>
      <c r="Q7" s="102" t="s">
        <v>24</v>
      </c>
      <c r="R7" s="102" t="s">
        <v>24</v>
      </c>
      <c r="S7" s="102" t="s">
        <v>24</v>
      </c>
      <c r="T7" s="100"/>
      <c r="U7" s="102" t="s">
        <v>24</v>
      </c>
      <c r="V7" s="102" t="s">
        <v>24</v>
      </c>
      <c r="W7" s="102" t="s">
        <v>24</v>
      </c>
      <c r="X7" s="102" t="s">
        <v>24</v>
      </c>
      <c r="Y7" s="102" t="s">
        <v>24</v>
      </c>
      <c r="Z7" s="102" t="s">
        <v>24</v>
      </c>
      <c r="AA7" s="100"/>
      <c r="AB7" s="102" t="s">
        <v>24</v>
      </c>
      <c r="AC7" s="102" t="s">
        <v>24</v>
      </c>
      <c r="AD7" s="102" t="s">
        <v>24</v>
      </c>
      <c r="AE7" s="102" t="s">
        <v>24</v>
      </c>
      <c r="AF7" s="102" t="s">
        <v>24</v>
      </c>
      <c r="AG7" s="102" t="s">
        <v>24</v>
      </c>
      <c r="AH7" s="100"/>
      <c r="AI7" s="102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130</v>
      </c>
      <c r="C8" s="78" t="s">
        <v>131</v>
      </c>
      <c r="D8" s="5" t="s">
        <v>49</v>
      </c>
      <c r="E8" s="102" t="s">
        <v>24</v>
      </c>
      <c r="F8" s="100"/>
      <c r="G8" s="102" t="s">
        <v>24</v>
      </c>
      <c r="H8" s="102" t="s">
        <v>24</v>
      </c>
      <c r="I8" s="102" t="s">
        <v>24</v>
      </c>
      <c r="J8" s="102" t="s">
        <v>24</v>
      </c>
      <c r="K8" s="102" t="s">
        <v>24</v>
      </c>
      <c r="L8" s="102" t="s">
        <v>24</v>
      </c>
      <c r="M8" s="100"/>
      <c r="N8" s="102" t="s">
        <v>24</v>
      </c>
      <c r="O8" s="102" t="s">
        <v>24</v>
      </c>
      <c r="P8" s="102" t="s">
        <v>24</v>
      </c>
      <c r="Q8" s="102" t="s">
        <v>24</v>
      </c>
      <c r="R8" s="102" t="s">
        <v>24</v>
      </c>
      <c r="S8" s="102" t="s">
        <v>24</v>
      </c>
      <c r="T8" s="100"/>
      <c r="U8" s="102" t="s">
        <v>24</v>
      </c>
      <c r="V8" s="102" t="s">
        <v>24</v>
      </c>
      <c r="W8" s="102" t="s">
        <v>24</v>
      </c>
      <c r="X8" s="102" t="s">
        <v>24</v>
      </c>
      <c r="Y8" s="102" t="s">
        <v>24</v>
      </c>
      <c r="Z8" s="102" t="s">
        <v>24</v>
      </c>
      <c r="AA8" s="100"/>
      <c r="AB8" s="102" t="s">
        <v>24</v>
      </c>
      <c r="AC8" s="102" t="s">
        <v>24</v>
      </c>
      <c r="AD8" s="102" t="s">
        <v>24</v>
      </c>
      <c r="AE8" s="102" t="s">
        <v>24</v>
      </c>
      <c r="AF8" s="102" t="s">
        <v>24</v>
      </c>
      <c r="AG8" s="102" t="s">
        <v>24</v>
      </c>
      <c r="AH8" s="100"/>
      <c r="AI8" s="102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132</v>
      </c>
      <c r="C9" s="78" t="s">
        <v>133</v>
      </c>
      <c r="D9" s="5" t="s">
        <v>49</v>
      </c>
      <c r="E9" s="102" t="s">
        <v>24</v>
      </c>
      <c r="F9" s="100"/>
      <c r="G9" s="102" t="s">
        <v>24</v>
      </c>
      <c r="H9" s="102" t="s">
        <v>24</v>
      </c>
      <c r="I9" s="102" t="s">
        <v>24</v>
      </c>
      <c r="J9" s="102" t="s">
        <v>24</v>
      </c>
      <c r="K9" s="102" t="s">
        <v>24</v>
      </c>
      <c r="L9" s="102" t="s">
        <v>24</v>
      </c>
      <c r="M9" s="100"/>
      <c r="N9" s="102" t="s">
        <v>24</v>
      </c>
      <c r="O9" s="102" t="s">
        <v>24</v>
      </c>
      <c r="P9" s="102" t="s">
        <v>24</v>
      </c>
      <c r="Q9" s="102" t="s">
        <v>24</v>
      </c>
      <c r="R9" s="102" t="s">
        <v>24</v>
      </c>
      <c r="S9" s="102" t="s">
        <v>24</v>
      </c>
      <c r="T9" s="100"/>
      <c r="U9" s="102" t="s">
        <v>24</v>
      </c>
      <c r="V9" s="102" t="s">
        <v>24</v>
      </c>
      <c r="W9" s="102" t="s">
        <v>24</v>
      </c>
      <c r="X9" s="102" t="s">
        <v>24</v>
      </c>
      <c r="Y9" s="102" t="s">
        <v>24</v>
      </c>
      <c r="Z9" s="102" t="s">
        <v>24</v>
      </c>
      <c r="AA9" s="100"/>
      <c r="AB9" s="102" t="s">
        <v>24</v>
      </c>
      <c r="AC9" s="102" t="s">
        <v>24</v>
      </c>
      <c r="AD9" s="102" t="s">
        <v>24</v>
      </c>
      <c r="AE9" s="102" t="s">
        <v>24</v>
      </c>
      <c r="AF9" s="102" t="s">
        <v>24</v>
      </c>
      <c r="AG9" s="102" t="s">
        <v>24</v>
      </c>
      <c r="AH9" s="100"/>
      <c r="AI9" s="102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134</v>
      </c>
      <c r="C10" s="78" t="s">
        <v>135</v>
      </c>
      <c r="D10" s="5" t="s">
        <v>49</v>
      </c>
      <c r="E10" s="102" t="s">
        <v>24</v>
      </c>
      <c r="F10" s="100"/>
      <c r="G10" s="102" t="s">
        <v>24</v>
      </c>
      <c r="H10" s="102" t="s">
        <v>24</v>
      </c>
      <c r="I10" s="102" t="s">
        <v>24</v>
      </c>
      <c r="J10" s="102" t="s">
        <v>24</v>
      </c>
      <c r="K10" s="102" t="s">
        <v>24</v>
      </c>
      <c r="L10" s="102" t="s">
        <v>24</v>
      </c>
      <c r="M10" s="100"/>
      <c r="N10" s="102" t="s">
        <v>24</v>
      </c>
      <c r="O10" s="102" t="s">
        <v>24</v>
      </c>
      <c r="P10" s="102" t="s">
        <v>24</v>
      </c>
      <c r="Q10" s="102" t="s">
        <v>24</v>
      </c>
      <c r="R10" s="102" t="s">
        <v>24</v>
      </c>
      <c r="S10" s="102" t="s">
        <v>24</v>
      </c>
      <c r="T10" s="100"/>
      <c r="U10" s="102" t="s">
        <v>24</v>
      </c>
      <c r="V10" s="102" t="s">
        <v>24</v>
      </c>
      <c r="W10" s="102" t="s">
        <v>24</v>
      </c>
      <c r="X10" s="102" t="s">
        <v>24</v>
      </c>
      <c r="Y10" s="102" t="s">
        <v>24</v>
      </c>
      <c r="Z10" s="102" t="s">
        <v>24</v>
      </c>
      <c r="AA10" s="100"/>
      <c r="AB10" s="102" t="s">
        <v>24</v>
      </c>
      <c r="AC10" s="102" t="s">
        <v>24</v>
      </c>
      <c r="AD10" s="102" t="s">
        <v>24</v>
      </c>
      <c r="AE10" s="102" t="s">
        <v>24</v>
      </c>
      <c r="AF10" s="102" t="s">
        <v>24</v>
      </c>
      <c r="AG10" s="102" t="s">
        <v>24</v>
      </c>
      <c r="AH10" s="100"/>
      <c r="AI10" s="102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136</v>
      </c>
      <c r="C11" s="78" t="s">
        <v>104</v>
      </c>
      <c r="D11" s="5" t="s">
        <v>49</v>
      </c>
      <c r="E11" s="102" t="s">
        <v>24</v>
      </c>
      <c r="F11" s="100"/>
      <c r="G11" s="102" t="s">
        <v>24</v>
      </c>
      <c r="H11" s="102" t="s">
        <v>24</v>
      </c>
      <c r="I11" s="102" t="s">
        <v>24</v>
      </c>
      <c r="J11" s="102" t="s">
        <v>24</v>
      </c>
      <c r="K11" s="102" t="s">
        <v>24</v>
      </c>
      <c r="L11" s="102" t="s">
        <v>24</v>
      </c>
      <c r="M11" s="100"/>
      <c r="N11" s="102" t="s">
        <v>24</v>
      </c>
      <c r="O11" s="102" t="s">
        <v>24</v>
      </c>
      <c r="P11" s="102" t="s">
        <v>24</v>
      </c>
      <c r="Q11" s="102" t="s">
        <v>24</v>
      </c>
      <c r="R11" s="102" t="s">
        <v>24</v>
      </c>
      <c r="S11" s="102" t="s">
        <v>24</v>
      </c>
      <c r="T11" s="100"/>
      <c r="U11" s="102" t="s">
        <v>24</v>
      </c>
      <c r="V11" s="102" t="s">
        <v>24</v>
      </c>
      <c r="W11" s="102" t="s">
        <v>24</v>
      </c>
      <c r="X11" s="102" t="s">
        <v>24</v>
      </c>
      <c r="Y11" s="102" t="s">
        <v>24</v>
      </c>
      <c r="Z11" s="102" t="s">
        <v>24</v>
      </c>
      <c r="AA11" s="100"/>
      <c r="AB11" s="102" t="s">
        <v>24</v>
      </c>
      <c r="AC11" s="102" t="s">
        <v>24</v>
      </c>
      <c r="AD11" s="102" t="s">
        <v>24</v>
      </c>
      <c r="AE11" s="102" t="s">
        <v>24</v>
      </c>
      <c r="AF11" s="102" t="s">
        <v>24</v>
      </c>
      <c r="AG11" s="102" t="s">
        <v>24</v>
      </c>
      <c r="AH11" s="100"/>
      <c r="AI11" s="102" t="s">
        <v>24</v>
      </c>
      <c r="AJ11" s="4">
        <f t="shared" si="1"/>
        <v>26</v>
      </c>
      <c r="AK11" s="4">
        <f t="shared" si="2"/>
        <v>0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78" t="s">
        <v>137</v>
      </c>
      <c r="C12" s="78" t="s">
        <v>138</v>
      </c>
      <c r="D12" s="5" t="s">
        <v>49</v>
      </c>
      <c r="E12" s="102" t="s">
        <v>24</v>
      </c>
      <c r="F12" s="100"/>
      <c r="G12" s="102" t="s">
        <v>24</v>
      </c>
      <c r="H12" s="102" t="s">
        <v>24</v>
      </c>
      <c r="I12" s="102" t="s">
        <v>24</v>
      </c>
      <c r="J12" s="102" t="s">
        <v>24</v>
      </c>
      <c r="K12" s="102" t="s">
        <v>24</v>
      </c>
      <c r="L12" s="102" t="s">
        <v>24</v>
      </c>
      <c r="M12" s="100"/>
      <c r="N12" s="102" t="s">
        <v>24</v>
      </c>
      <c r="O12" s="102" t="s">
        <v>24</v>
      </c>
      <c r="P12" s="102" t="s">
        <v>24</v>
      </c>
      <c r="Q12" s="102" t="s">
        <v>24</v>
      </c>
      <c r="R12" s="102" t="s">
        <v>24</v>
      </c>
      <c r="S12" s="102" t="s">
        <v>24</v>
      </c>
      <c r="T12" s="100"/>
      <c r="U12" s="102" t="s">
        <v>24</v>
      </c>
      <c r="V12" s="102" t="s">
        <v>24</v>
      </c>
      <c r="W12" s="102" t="s">
        <v>24</v>
      </c>
      <c r="X12" s="102" t="s">
        <v>24</v>
      </c>
      <c r="Y12" s="102" t="s">
        <v>24</v>
      </c>
      <c r="Z12" s="102" t="s">
        <v>24</v>
      </c>
      <c r="AA12" s="100"/>
      <c r="AB12" s="102" t="s">
        <v>24</v>
      </c>
      <c r="AC12" s="102" t="s">
        <v>24</v>
      </c>
      <c r="AD12" s="102" t="s">
        <v>24</v>
      </c>
      <c r="AE12" s="102" t="s">
        <v>24</v>
      </c>
      <c r="AF12" s="102" t="s">
        <v>24</v>
      </c>
      <c r="AG12" s="102" t="s">
        <v>24</v>
      </c>
      <c r="AH12" s="100"/>
      <c r="AI12" s="102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139</v>
      </c>
      <c r="C13" s="78" t="s">
        <v>140</v>
      </c>
      <c r="D13" s="5" t="s">
        <v>49</v>
      </c>
      <c r="E13" s="102" t="s">
        <v>24</v>
      </c>
      <c r="F13" s="100"/>
      <c r="G13" s="102" t="s">
        <v>24</v>
      </c>
      <c r="H13" s="102" t="s">
        <v>24</v>
      </c>
      <c r="I13" s="102" t="s">
        <v>24</v>
      </c>
      <c r="J13" s="102" t="s">
        <v>24</v>
      </c>
      <c r="K13" s="102" t="s">
        <v>24</v>
      </c>
      <c r="L13" s="102" t="s">
        <v>24</v>
      </c>
      <c r="M13" s="100"/>
      <c r="N13" s="102" t="s">
        <v>24</v>
      </c>
      <c r="O13" s="102" t="s">
        <v>24</v>
      </c>
      <c r="P13" s="102" t="s">
        <v>24</v>
      </c>
      <c r="Q13" s="102" t="s">
        <v>24</v>
      </c>
      <c r="R13" s="102" t="s">
        <v>24</v>
      </c>
      <c r="S13" s="102" t="s">
        <v>24</v>
      </c>
      <c r="T13" s="100"/>
      <c r="U13" s="102" t="s">
        <v>24</v>
      </c>
      <c r="V13" s="102" t="s">
        <v>24</v>
      </c>
      <c r="W13" s="102" t="s">
        <v>24</v>
      </c>
      <c r="X13" s="102" t="s">
        <v>24</v>
      </c>
      <c r="Y13" s="102" t="s">
        <v>24</v>
      </c>
      <c r="Z13" s="102" t="s">
        <v>24</v>
      </c>
      <c r="AA13" s="100"/>
      <c r="AB13" s="102" t="s">
        <v>24</v>
      </c>
      <c r="AC13" s="102" t="s">
        <v>24</v>
      </c>
      <c r="AD13" s="102" t="s">
        <v>24</v>
      </c>
      <c r="AE13" s="102" t="s">
        <v>24</v>
      </c>
      <c r="AF13" s="102" t="s">
        <v>24</v>
      </c>
      <c r="AG13" s="102" t="s">
        <v>24</v>
      </c>
      <c r="AH13" s="100"/>
      <c r="AI13" s="102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141</v>
      </c>
      <c r="C14" s="78" t="s">
        <v>142</v>
      </c>
      <c r="D14" s="5" t="s">
        <v>49</v>
      </c>
      <c r="E14" s="102" t="s">
        <v>24</v>
      </c>
      <c r="F14" s="100"/>
      <c r="G14" s="102" t="s">
        <v>24</v>
      </c>
      <c r="H14" s="102" t="s">
        <v>24</v>
      </c>
      <c r="I14" s="102" t="s">
        <v>24</v>
      </c>
      <c r="J14" s="102" t="s">
        <v>24</v>
      </c>
      <c r="K14" s="102" t="s">
        <v>24</v>
      </c>
      <c r="L14" s="102" t="s">
        <v>24</v>
      </c>
      <c r="M14" s="100"/>
      <c r="N14" s="102" t="s">
        <v>24</v>
      </c>
      <c r="O14" s="102" t="s">
        <v>24</v>
      </c>
      <c r="P14" s="102" t="s">
        <v>24</v>
      </c>
      <c r="Q14" s="102" t="s">
        <v>24</v>
      </c>
      <c r="R14" s="102" t="s">
        <v>24</v>
      </c>
      <c r="S14" s="102" t="s">
        <v>24</v>
      </c>
      <c r="T14" s="100"/>
      <c r="U14" s="102" t="s">
        <v>24</v>
      </c>
      <c r="V14" s="102" t="s">
        <v>24</v>
      </c>
      <c r="W14" s="102" t="s">
        <v>24</v>
      </c>
      <c r="X14" s="102" t="s">
        <v>24</v>
      </c>
      <c r="Y14" s="102" t="s">
        <v>24</v>
      </c>
      <c r="Z14" s="102" t="s">
        <v>24</v>
      </c>
      <c r="AA14" s="100"/>
      <c r="AB14" s="102" t="s">
        <v>24</v>
      </c>
      <c r="AC14" s="102" t="s">
        <v>24</v>
      </c>
      <c r="AD14" s="102" t="s">
        <v>24</v>
      </c>
      <c r="AE14" s="102" t="s">
        <v>24</v>
      </c>
      <c r="AF14" s="102" t="s">
        <v>24</v>
      </c>
      <c r="AG14" s="102" t="s">
        <v>24</v>
      </c>
      <c r="AH14" s="100"/>
      <c r="AI14" s="102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143</v>
      </c>
      <c r="C15" s="78" t="s">
        <v>144</v>
      </c>
      <c r="D15" s="5" t="s">
        <v>49</v>
      </c>
      <c r="E15" s="102" t="s">
        <v>24</v>
      </c>
      <c r="F15" s="100"/>
      <c r="G15" s="102" t="s">
        <v>24</v>
      </c>
      <c r="H15" s="102" t="s">
        <v>24</v>
      </c>
      <c r="I15" s="102" t="s">
        <v>24</v>
      </c>
      <c r="J15" s="102" t="s">
        <v>24</v>
      </c>
      <c r="K15" s="102" t="s">
        <v>24</v>
      </c>
      <c r="L15" s="102" t="s">
        <v>24</v>
      </c>
      <c r="M15" s="100"/>
      <c r="N15" s="102" t="s">
        <v>24</v>
      </c>
      <c r="O15" s="102" t="s">
        <v>24</v>
      </c>
      <c r="P15" s="102" t="s">
        <v>24</v>
      </c>
      <c r="Q15" s="102" t="s">
        <v>24</v>
      </c>
      <c r="R15" s="102" t="s">
        <v>24</v>
      </c>
      <c r="S15" s="102" t="s">
        <v>24</v>
      </c>
      <c r="T15" s="100"/>
      <c r="U15" s="102" t="s">
        <v>24</v>
      </c>
      <c r="V15" s="102" t="s">
        <v>24</v>
      </c>
      <c r="W15" s="102" t="s">
        <v>24</v>
      </c>
      <c r="X15" s="102" t="s">
        <v>24</v>
      </c>
      <c r="Y15" s="102" t="s">
        <v>24</v>
      </c>
      <c r="Z15" s="102" t="s">
        <v>24</v>
      </c>
      <c r="AA15" s="100"/>
      <c r="AB15" s="102" t="s">
        <v>24</v>
      </c>
      <c r="AC15" s="102" t="s">
        <v>24</v>
      </c>
      <c r="AD15" s="102" t="s">
        <v>24</v>
      </c>
      <c r="AE15" s="102" t="s">
        <v>24</v>
      </c>
      <c r="AF15" s="102" t="s">
        <v>24</v>
      </c>
      <c r="AG15" s="102" t="s">
        <v>24</v>
      </c>
      <c r="AH15" s="100"/>
      <c r="AI15" s="102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145</v>
      </c>
      <c r="C16" s="78" t="s">
        <v>146</v>
      </c>
      <c r="D16" s="5" t="s">
        <v>49</v>
      </c>
      <c r="E16" s="102" t="s">
        <v>24</v>
      </c>
      <c r="F16" s="100"/>
      <c r="G16" s="102" t="s">
        <v>24</v>
      </c>
      <c r="H16" s="102" t="s">
        <v>24</v>
      </c>
      <c r="I16" s="102" t="s">
        <v>24</v>
      </c>
      <c r="J16" s="102" t="s">
        <v>24</v>
      </c>
      <c r="K16" s="102" t="s">
        <v>24</v>
      </c>
      <c r="L16" s="102" t="s">
        <v>24</v>
      </c>
      <c r="M16" s="100"/>
      <c r="N16" s="102" t="s">
        <v>24</v>
      </c>
      <c r="O16" s="102" t="s">
        <v>24</v>
      </c>
      <c r="P16" s="102" t="s">
        <v>24</v>
      </c>
      <c r="Q16" s="102" t="s">
        <v>24</v>
      </c>
      <c r="R16" s="102" t="s">
        <v>24</v>
      </c>
      <c r="S16" s="102" t="s">
        <v>24</v>
      </c>
      <c r="T16" s="100"/>
      <c r="U16" s="102" t="s">
        <v>24</v>
      </c>
      <c r="V16" s="102" t="s">
        <v>24</v>
      </c>
      <c r="W16" s="102" t="s">
        <v>24</v>
      </c>
      <c r="X16" s="102" t="s">
        <v>24</v>
      </c>
      <c r="Y16" s="102" t="s">
        <v>24</v>
      </c>
      <c r="Z16" s="102" t="s">
        <v>24</v>
      </c>
      <c r="AA16" s="100"/>
      <c r="AB16" s="102" t="s">
        <v>24</v>
      </c>
      <c r="AC16" s="102" t="s">
        <v>24</v>
      </c>
      <c r="AD16" s="102" t="s">
        <v>24</v>
      </c>
      <c r="AE16" s="102" t="s">
        <v>24</v>
      </c>
      <c r="AF16" s="102" t="s">
        <v>24</v>
      </c>
      <c r="AG16" s="102" t="s">
        <v>24</v>
      </c>
      <c r="AH16" s="100"/>
      <c r="AI16" s="102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147</v>
      </c>
      <c r="C17" s="78" t="s">
        <v>148</v>
      </c>
      <c r="D17" s="5" t="s">
        <v>49</v>
      </c>
      <c r="E17" s="102" t="s">
        <v>24</v>
      </c>
      <c r="F17" s="100"/>
      <c r="G17" s="102" t="s">
        <v>24</v>
      </c>
      <c r="H17" s="102" t="s">
        <v>24</v>
      </c>
      <c r="I17" s="102" t="s">
        <v>24</v>
      </c>
      <c r="J17" s="102" t="s">
        <v>24</v>
      </c>
      <c r="K17" s="102" t="s">
        <v>24</v>
      </c>
      <c r="L17" s="102" t="s">
        <v>24</v>
      </c>
      <c r="M17" s="100"/>
      <c r="N17" s="102" t="s">
        <v>24</v>
      </c>
      <c r="O17" s="102" t="s">
        <v>24</v>
      </c>
      <c r="P17" s="102" t="s">
        <v>24</v>
      </c>
      <c r="Q17" s="102" t="s">
        <v>24</v>
      </c>
      <c r="R17" s="102" t="s">
        <v>24</v>
      </c>
      <c r="S17" s="102" t="s">
        <v>24</v>
      </c>
      <c r="T17" s="100"/>
      <c r="U17" s="102" t="s">
        <v>24</v>
      </c>
      <c r="V17" s="102" t="s">
        <v>24</v>
      </c>
      <c r="W17" s="102" t="s">
        <v>24</v>
      </c>
      <c r="X17" s="102" t="s">
        <v>24</v>
      </c>
      <c r="Y17" s="102" t="s">
        <v>24</v>
      </c>
      <c r="Z17" s="102" t="s">
        <v>24</v>
      </c>
      <c r="AA17" s="100"/>
      <c r="AB17" s="102" t="s">
        <v>24</v>
      </c>
      <c r="AC17" s="102" t="s">
        <v>24</v>
      </c>
      <c r="AD17" s="102" t="s">
        <v>24</v>
      </c>
      <c r="AE17" s="102" t="s">
        <v>24</v>
      </c>
      <c r="AF17" s="102" t="s">
        <v>24</v>
      </c>
      <c r="AG17" s="102" t="s">
        <v>24</v>
      </c>
      <c r="AH17" s="100"/>
      <c r="AI17" s="102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149</v>
      </c>
      <c r="C18" s="78" t="s">
        <v>150</v>
      </c>
      <c r="D18" s="5" t="s">
        <v>49</v>
      </c>
      <c r="E18" s="102" t="s">
        <v>24</v>
      </c>
      <c r="F18" s="100"/>
      <c r="G18" s="102" t="s">
        <v>24</v>
      </c>
      <c r="H18" s="102" t="s">
        <v>24</v>
      </c>
      <c r="I18" s="102" t="s">
        <v>24</v>
      </c>
      <c r="J18" s="102" t="s">
        <v>24</v>
      </c>
      <c r="K18" s="102" t="s">
        <v>24</v>
      </c>
      <c r="L18" s="102" t="s">
        <v>24</v>
      </c>
      <c r="M18" s="100"/>
      <c r="N18" s="102" t="s">
        <v>24</v>
      </c>
      <c r="O18" s="102" t="s">
        <v>24</v>
      </c>
      <c r="P18" s="102" t="s">
        <v>24</v>
      </c>
      <c r="Q18" s="102" t="s">
        <v>24</v>
      </c>
      <c r="R18" s="102" t="s">
        <v>24</v>
      </c>
      <c r="S18" s="102" t="s">
        <v>24</v>
      </c>
      <c r="T18" s="100"/>
      <c r="U18" s="102" t="s">
        <v>24</v>
      </c>
      <c r="V18" s="102" t="s">
        <v>24</v>
      </c>
      <c r="W18" s="102" t="s">
        <v>24</v>
      </c>
      <c r="X18" s="102" t="s">
        <v>24</v>
      </c>
      <c r="Y18" s="102" t="s">
        <v>24</v>
      </c>
      <c r="Z18" s="102" t="s">
        <v>24</v>
      </c>
      <c r="AA18" s="100"/>
      <c r="AB18" s="102" t="s">
        <v>24</v>
      </c>
      <c r="AC18" s="102" t="s">
        <v>24</v>
      </c>
      <c r="AD18" s="102" t="s">
        <v>24</v>
      </c>
      <c r="AE18" s="102" t="s">
        <v>24</v>
      </c>
      <c r="AF18" s="102" t="s">
        <v>24</v>
      </c>
      <c r="AG18" s="102" t="s">
        <v>24</v>
      </c>
      <c r="AH18" s="100"/>
      <c r="AI18" s="102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48</v>
      </c>
      <c r="C19" s="78" t="s">
        <v>151</v>
      </c>
      <c r="D19" s="5" t="s">
        <v>49</v>
      </c>
      <c r="E19" s="102" t="s">
        <v>24</v>
      </c>
      <c r="F19" s="100"/>
      <c r="G19" s="102" t="s">
        <v>24</v>
      </c>
      <c r="H19" s="102" t="s">
        <v>24</v>
      </c>
      <c r="I19" s="102" t="s">
        <v>24</v>
      </c>
      <c r="J19" s="102" t="s">
        <v>24</v>
      </c>
      <c r="K19" s="102" t="s">
        <v>24</v>
      </c>
      <c r="L19" s="102" t="s">
        <v>24</v>
      </c>
      <c r="M19" s="100"/>
      <c r="N19" s="102" t="s">
        <v>24</v>
      </c>
      <c r="O19" s="102" t="s">
        <v>24</v>
      </c>
      <c r="P19" s="102" t="s">
        <v>24</v>
      </c>
      <c r="Q19" s="102" t="s">
        <v>24</v>
      </c>
      <c r="R19" s="102" t="s">
        <v>24</v>
      </c>
      <c r="S19" s="102" t="s">
        <v>24</v>
      </c>
      <c r="T19" s="100"/>
      <c r="U19" s="102" t="s">
        <v>24</v>
      </c>
      <c r="V19" s="102" t="s">
        <v>24</v>
      </c>
      <c r="W19" s="102" t="s">
        <v>24</v>
      </c>
      <c r="X19" s="102" t="s">
        <v>24</v>
      </c>
      <c r="Y19" s="102" t="s">
        <v>24</v>
      </c>
      <c r="Z19" s="102" t="s">
        <v>24</v>
      </c>
      <c r="AA19" s="100"/>
      <c r="AB19" s="102" t="s">
        <v>24</v>
      </c>
      <c r="AC19" s="102" t="s">
        <v>24</v>
      </c>
      <c r="AD19" s="102" t="s">
        <v>24</v>
      </c>
      <c r="AE19" s="102" t="s">
        <v>24</v>
      </c>
      <c r="AF19" s="102" t="s">
        <v>24</v>
      </c>
      <c r="AG19" s="102" t="s">
        <v>24</v>
      </c>
      <c r="AH19" s="100"/>
      <c r="AI19" s="102" t="s">
        <v>24</v>
      </c>
      <c r="AJ19" s="4">
        <f t="shared" si="1"/>
        <v>26</v>
      </c>
      <c r="AK19" s="4">
        <f t="shared" si="2"/>
        <v>0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78" t="s">
        <v>152</v>
      </c>
      <c r="C20" s="78" t="s">
        <v>153</v>
      </c>
      <c r="D20" s="5" t="s">
        <v>49</v>
      </c>
      <c r="E20" s="102" t="s">
        <v>24</v>
      </c>
      <c r="F20" s="100"/>
      <c r="G20" s="102" t="s">
        <v>24</v>
      </c>
      <c r="H20" s="102" t="s">
        <v>24</v>
      </c>
      <c r="I20" s="102" t="s">
        <v>24</v>
      </c>
      <c r="J20" s="102" t="s">
        <v>24</v>
      </c>
      <c r="K20" s="102" t="s">
        <v>24</v>
      </c>
      <c r="L20" s="102" t="s">
        <v>24</v>
      </c>
      <c r="M20" s="100"/>
      <c r="N20" s="102" t="s">
        <v>24</v>
      </c>
      <c r="O20" s="102" t="s">
        <v>24</v>
      </c>
      <c r="P20" s="102" t="s">
        <v>24</v>
      </c>
      <c r="Q20" s="102" t="s">
        <v>24</v>
      </c>
      <c r="R20" s="102" t="s">
        <v>24</v>
      </c>
      <c r="S20" s="102" t="s">
        <v>24</v>
      </c>
      <c r="T20" s="100"/>
      <c r="U20" s="102" t="s">
        <v>24</v>
      </c>
      <c r="V20" s="102" t="s">
        <v>24</v>
      </c>
      <c r="W20" s="102" t="s">
        <v>24</v>
      </c>
      <c r="X20" s="102" t="s">
        <v>24</v>
      </c>
      <c r="Y20" s="102" t="s">
        <v>24</v>
      </c>
      <c r="Z20" s="102" t="s">
        <v>24</v>
      </c>
      <c r="AA20" s="100"/>
      <c r="AB20" s="102" t="s">
        <v>24</v>
      </c>
      <c r="AC20" s="102" t="s">
        <v>24</v>
      </c>
      <c r="AD20" s="102" t="s">
        <v>24</v>
      </c>
      <c r="AE20" s="102" t="s">
        <v>24</v>
      </c>
      <c r="AF20" s="102" t="s">
        <v>24</v>
      </c>
      <c r="AG20" s="102" t="s">
        <v>24</v>
      </c>
      <c r="AH20" s="100"/>
      <c r="AI20" s="102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154</v>
      </c>
      <c r="C21" s="78" t="s">
        <v>155</v>
      </c>
      <c r="D21" s="5" t="s">
        <v>49</v>
      </c>
      <c r="E21" s="102" t="s">
        <v>24</v>
      </c>
      <c r="F21" s="100"/>
      <c r="G21" s="102" t="s">
        <v>24</v>
      </c>
      <c r="H21" s="102" t="s">
        <v>24</v>
      </c>
      <c r="I21" s="102" t="s">
        <v>24</v>
      </c>
      <c r="J21" s="102" t="s">
        <v>24</v>
      </c>
      <c r="K21" s="102" t="s">
        <v>24</v>
      </c>
      <c r="L21" s="102" t="s">
        <v>24</v>
      </c>
      <c r="M21" s="100"/>
      <c r="N21" s="102" t="s">
        <v>24</v>
      </c>
      <c r="O21" s="102" t="s">
        <v>24</v>
      </c>
      <c r="P21" s="102" t="s">
        <v>24</v>
      </c>
      <c r="Q21" s="102" t="s">
        <v>24</v>
      </c>
      <c r="R21" s="102" t="s">
        <v>24</v>
      </c>
      <c r="S21" s="102" t="s">
        <v>24</v>
      </c>
      <c r="T21" s="100"/>
      <c r="U21" s="102" t="s">
        <v>24</v>
      </c>
      <c r="V21" s="102" t="s">
        <v>24</v>
      </c>
      <c r="W21" s="102" t="s">
        <v>24</v>
      </c>
      <c r="X21" s="102" t="s">
        <v>24</v>
      </c>
      <c r="Y21" s="102" t="s">
        <v>24</v>
      </c>
      <c r="Z21" s="102" t="s">
        <v>24</v>
      </c>
      <c r="AA21" s="100"/>
      <c r="AB21" s="102" t="s">
        <v>24</v>
      </c>
      <c r="AC21" s="102" t="s">
        <v>24</v>
      </c>
      <c r="AD21" s="102" t="s">
        <v>24</v>
      </c>
      <c r="AE21" s="102" t="s">
        <v>24</v>
      </c>
      <c r="AF21" s="102" t="s">
        <v>24</v>
      </c>
      <c r="AG21" s="102" t="s">
        <v>24</v>
      </c>
      <c r="AH21" s="100"/>
      <c r="AI21" s="102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156</v>
      </c>
      <c r="C22" s="78" t="s">
        <v>157</v>
      </c>
      <c r="D22" s="5" t="s">
        <v>49</v>
      </c>
      <c r="E22" s="102" t="s">
        <v>24</v>
      </c>
      <c r="F22" s="100"/>
      <c r="G22" s="102" t="s">
        <v>24</v>
      </c>
      <c r="H22" s="102" t="s">
        <v>24</v>
      </c>
      <c r="I22" s="102" t="s">
        <v>24</v>
      </c>
      <c r="J22" s="102" t="s">
        <v>24</v>
      </c>
      <c r="K22" s="102" t="s">
        <v>24</v>
      </c>
      <c r="L22" s="102" t="s">
        <v>24</v>
      </c>
      <c r="M22" s="100"/>
      <c r="N22" s="102" t="s">
        <v>24</v>
      </c>
      <c r="O22" s="102" t="s">
        <v>24</v>
      </c>
      <c r="P22" s="102" t="s">
        <v>24</v>
      </c>
      <c r="Q22" s="102" t="s">
        <v>24</v>
      </c>
      <c r="R22" s="102" t="s">
        <v>24</v>
      </c>
      <c r="S22" s="102" t="s">
        <v>24</v>
      </c>
      <c r="T22" s="100"/>
      <c r="U22" s="102" t="s">
        <v>24</v>
      </c>
      <c r="V22" s="102" t="s">
        <v>24</v>
      </c>
      <c r="W22" s="102" t="s">
        <v>24</v>
      </c>
      <c r="X22" s="102" t="s">
        <v>24</v>
      </c>
      <c r="Y22" s="102" t="s">
        <v>24</v>
      </c>
      <c r="Z22" s="102" t="s">
        <v>24</v>
      </c>
      <c r="AA22" s="100"/>
      <c r="AB22" s="102" t="s">
        <v>24</v>
      </c>
      <c r="AC22" s="102" t="s">
        <v>24</v>
      </c>
      <c r="AD22" s="102" t="s">
        <v>24</v>
      </c>
      <c r="AE22" s="102" t="s">
        <v>24</v>
      </c>
      <c r="AF22" s="102" t="s">
        <v>24</v>
      </c>
      <c r="AG22" s="102" t="s">
        <v>24</v>
      </c>
      <c r="AH22" s="100"/>
      <c r="AI22" s="102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21</v>
      </c>
      <c r="C23" s="78" t="s">
        <v>158</v>
      </c>
      <c r="D23" s="5" t="s">
        <v>49</v>
      </c>
      <c r="E23" s="102" t="s">
        <v>24</v>
      </c>
      <c r="F23" s="100"/>
      <c r="G23" s="102" t="s">
        <v>24</v>
      </c>
      <c r="H23" s="102" t="s">
        <v>24</v>
      </c>
      <c r="I23" s="102" t="s">
        <v>24</v>
      </c>
      <c r="J23" s="102" t="s">
        <v>24</v>
      </c>
      <c r="K23" s="102" t="s">
        <v>24</v>
      </c>
      <c r="L23" s="102" t="s">
        <v>24</v>
      </c>
      <c r="M23" s="100"/>
      <c r="N23" s="102" t="s">
        <v>24</v>
      </c>
      <c r="O23" s="102" t="s">
        <v>24</v>
      </c>
      <c r="P23" s="102" t="s">
        <v>24</v>
      </c>
      <c r="Q23" s="102" t="s">
        <v>24</v>
      </c>
      <c r="R23" s="102" t="s">
        <v>24</v>
      </c>
      <c r="S23" s="102" t="s">
        <v>24</v>
      </c>
      <c r="T23" s="100"/>
      <c r="U23" s="102" t="s">
        <v>24</v>
      </c>
      <c r="V23" s="102" t="s">
        <v>24</v>
      </c>
      <c r="W23" s="102" t="s">
        <v>24</v>
      </c>
      <c r="X23" s="102" t="s">
        <v>24</v>
      </c>
      <c r="Y23" s="102" t="s">
        <v>24</v>
      </c>
      <c r="Z23" s="102" t="s">
        <v>24</v>
      </c>
      <c r="AA23" s="100"/>
      <c r="AB23" s="102" t="s">
        <v>24</v>
      </c>
      <c r="AC23" s="102" t="s">
        <v>24</v>
      </c>
      <c r="AD23" s="102" t="s">
        <v>24</v>
      </c>
      <c r="AE23" s="102" t="s">
        <v>24</v>
      </c>
      <c r="AF23" s="102" t="s">
        <v>24</v>
      </c>
      <c r="AG23" s="102" t="s">
        <v>24</v>
      </c>
      <c r="AH23" s="100"/>
      <c r="AI23" s="102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159</v>
      </c>
      <c r="C24" s="78" t="s">
        <v>160</v>
      </c>
      <c r="D24" s="5" t="s">
        <v>49</v>
      </c>
      <c r="E24" s="102" t="s">
        <v>24</v>
      </c>
      <c r="F24" s="100"/>
      <c r="G24" s="102" t="s">
        <v>24</v>
      </c>
      <c r="H24" s="102" t="s">
        <v>24</v>
      </c>
      <c r="I24" s="102" t="s">
        <v>24</v>
      </c>
      <c r="J24" s="102" t="s">
        <v>24</v>
      </c>
      <c r="K24" s="102" t="s">
        <v>24</v>
      </c>
      <c r="L24" s="102" t="s">
        <v>24</v>
      </c>
      <c r="M24" s="100"/>
      <c r="N24" s="102" t="s">
        <v>24</v>
      </c>
      <c r="O24" s="102" t="s">
        <v>24</v>
      </c>
      <c r="P24" s="102" t="s">
        <v>24</v>
      </c>
      <c r="Q24" s="102" t="s">
        <v>24</v>
      </c>
      <c r="R24" s="102" t="s">
        <v>24</v>
      </c>
      <c r="S24" s="102" t="s">
        <v>24</v>
      </c>
      <c r="T24" s="100"/>
      <c r="U24" s="102" t="s">
        <v>24</v>
      </c>
      <c r="V24" s="102" t="s">
        <v>24</v>
      </c>
      <c r="W24" s="102" t="s">
        <v>24</v>
      </c>
      <c r="X24" s="102" t="s">
        <v>24</v>
      </c>
      <c r="Y24" s="102" t="s">
        <v>24</v>
      </c>
      <c r="Z24" s="102" t="s">
        <v>24</v>
      </c>
      <c r="AA24" s="100"/>
      <c r="AB24" s="102" t="s">
        <v>24</v>
      </c>
      <c r="AC24" s="102" t="s">
        <v>24</v>
      </c>
      <c r="AD24" s="102" t="s">
        <v>24</v>
      </c>
      <c r="AE24" s="102" t="s">
        <v>24</v>
      </c>
      <c r="AF24" s="102" t="s">
        <v>24</v>
      </c>
      <c r="AG24" s="102" t="s">
        <v>24</v>
      </c>
      <c r="AH24" s="100"/>
      <c r="AI24" s="102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78" t="s">
        <v>38</v>
      </c>
      <c r="C25" s="78" t="s">
        <v>161</v>
      </c>
      <c r="D25" s="5" t="s">
        <v>49</v>
      </c>
      <c r="E25" s="102" t="s">
        <v>24</v>
      </c>
      <c r="F25" s="100"/>
      <c r="G25" s="102" t="s">
        <v>24</v>
      </c>
      <c r="H25" s="102" t="s">
        <v>24</v>
      </c>
      <c r="I25" s="102" t="s">
        <v>24</v>
      </c>
      <c r="J25" s="102" t="s">
        <v>24</v>
      </c>
      <c r="K25" s="102" t="s">
        <v>24</v>
      </c>
      <c r="L25" s="102" t="s">
        <v>24</v>
      </c>
      <c r="M25" s="100"/>
      <c r="N25" s="102" t="s">
        <v>24</v>
      </c>
      <c r="O25" s="102" t="s">
        <v>24</v>
      </c>
      <c r="P25" s="102" t="s">
        <v>24</v>
      </c>
      <c r="Q25" s="102" t="s">
        <v>24</v>
      </c>
      <c r="R25" s="102" t="s">
        <v>24</v>
      </c>
      <c r="S25" s="102" t="s">
        <v>24</v>
      </c>
      <c r="T25" s="100"/>
      <c r="U25" s="102" t="s">
        <v>24</v>
      </c>
      <c r="V25" s="102" t="s">
        <v>24</v>
      </c>
      <c r="W25" s="102" t="s">
        <v>24</v>
      </c>
      <c r="X25" s="102" t="s">
        <v>24</v>
      </c>
      <c r="Y25" s="102" t="s">
        <v>24</v>
      </c>
      <c r="Z25" s="102" t="s">
        <v>24</v>
      </c>
      <c r="AA25" s="100"/>
      <c r="AB25" s="102" t="s">
        <v>24</v>
      </c>
      <c r="AC25" s="102" t="s">
        <v>24</v>
      </c>
      <c r="AD25" s="102" t="s">
        <v>24</v>
      </c>
      <c r="AE25" s="102" t="s">
        <v>24</v>
      </c>
      <c r="AF25" s="102" t="s">
        <v>24</v>
      </c>
      <c r="AG25" s="102" t="s">
        <v>24</v>
      </c>
      <c r="AH25" s="100"/>
      <c r="AI25" s="102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78" t="s">
        <v>50</v>
      </c>
      <c r="C26" s="78" t="s">
        <v>161</v>
      </c>
      <c r="D26" s="5" t="s">
        <v>49</v>
      </c>
      <c r="E26" s="102" t="s">
        <v>24</v>
      </c>
      <c r="F26" s="100"/>
      <c r="G26" s="102" t="s">
        <v>24</v>
      </c>
      <c r="H26" s="102" t="s">
        <v>24</v>
      </c>
      <c r="I26" s="102" t="s">
        <v>24</v>
      </c>
      <c r="J26" s="102" t="s">
        <v>24</v>
      </c>
      <c r="K26" s="102" t="s">
        <v>24</v>
      </c>
      <c r="L26" s="102" t="s">
        <v>24</v>
      </c>
      <c r="M26" s="100"/>
      <c r="N26" s="102" t="s">
        <v>24</v>
      </c>
      <c r="O26" s="102" t="s">
        <v>24</v>
      </c>
      <c r="P26" s="102" t="s">
        <v>24</v>
      </c>
      <c r="Q26" s="102" t="s">
        <v>24</v>
      </c>
      <c r="R26" s="102" t="s">
        <v>24</v>
      </c>
      <c r="S26" s="102" t="s">
        <v>24</v>
      </c>
      <c r="T26" s="100"/>
      <c r="U26" s="102" t="s">
        <v>24</v>
      </c>
      <c r="V26" s="102" t="s">
        <v>24</v>
      </c>
      <c r="W26" s="102" t="s">
        <v>24</v>
      </c>
      <c r="X26" s="102" t="s">
        <v>24</v>
      </c>
      <c r="Y26" s="102" t="s">
        <v>24</v>
      </c>
      <c r="Z26" s="102" t="s">
        <v>24</v>
      </c>
      <c r="AA26" s="100"/>
      <c r="AB26" s="102" t="s">
        <v>24</v>
      </c>
      <c r="AC26" s="102" t="s">
        <v>24</v>
      </c>
      <c r="AD26" s="102" t="s">
        <v>24</v>
      </c>
      <c r="AE26" s="102" t="s">
        <v>24</v>
      </c>
      <c r="AF26" s="102" t="s">
        <v>24</v>
      </c>
      <c r="AG26" s="102" t="s">
        <v>24</v>
      </c>
      <c r="AH26" s="100"/>
      <c r="AI26" s="102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78" t="s">
        <v>162</v>
      </c>
      <c r="C27" s="78" t="s">
        <v>163</v>
      </c>
      <c r="D27" s="5" t="s">
        <v>49</v>
      </c>
      <c r="E27" s="102" t="s">
        <v>24</v>
      </c>
      <c r="F27" s="100"/>
      <c r="G27" s="102" t="s">
        <v>24</v>
      </c>
      <c r="H27" s="102" t="s">
        <v>24</v>
      </c>
      <c r="I27" s="102" t="s">
        <v>24</v>
      </c>
      <c r="J27" s="102" t="s">
        <v>24</v>
      </c>
      <c r="K27" s="102" t="s">
        <v>24</v>
      </c>
      <c r="L27" s="102" t="s">
        <v>24</v>
      </c>
      <c r="M27" s="100"/>
      <c r="N27" s="102" t="s">
        <v>24</v>
      </c>
      <c r="O27" s="102" t="s">
        <v>24</v>
      </c>
      <c r="P27" s="102" t="s">
        <v>24</v>
      </c>
      <c r="Q27" s="102" t="s">
        <v>24</v>
      </c>
      <c r="R27" s="102" t="s">
        <v>24</v>
      </c>
      <c r="S27" s="102" t="s">
        <v>24</v>
      </c>
      <c r="T27" s="100"/>
      <c r="U27" s="102" t="s">
        <v>24</v>
      </c>
      <c r="V27" s="102" t="s">
        <v>24</v>
      </c>
      <c r="W27" s="102" t="s">
        <v>24</v>
      </c>
      <c r="X27" s="102" t="s">
        <v>24</v>
      </c>
      <c r="Y27" s="102" t="s">
        <v>24</v>
      </c>
      <c r="Z27" s="102" t="s">
        <v>24</v>
      </c>
      <c r="AA27" s="100"/>
      <c r="AB27" s="102" t="s">
        <v>24</v>
      </c>
      <c r="AC27" s="102" t="s">
        <v>24</v>
      </c>
      <c r="AD27" s="102" t="s">
        <v>24</v>
      </c>
      <c r="AE27" s="102" t="s">
        <v>24</v>
      </c>
      <c r="AF27" s="102" t="s">
        <v>24</v>
      </c>
      <c r="AG27" s="102" t="s">
        <v>24</v>
      </c>
      <c r="AH27" s="100"/>
      <c r="AI27" s="102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78" t="s">
        <v>164</v>
      </c>
      <c r="C28" s="78" t="s">
        <v>165</v>
      </c>
      <c r="D28" s="5" t="s">
        <v>49</v>
      </c>
      <c r="E28" s="102" t="s">
        <v>24</v>
      </c>
      <c r="F28" s="100"/>
      <c r="G28" s="102" t="s">
        <v>24</v>
      </c>
      <c r="H28" s="102" t="s">
        <v>24</v>
      </c>
      <c r="I28" s="102" t="s">
        <v>24</v>
      </c>
      <c r="J28" s="102" t="s">
        <v>24</v>
      </c>
      <c r="K28" s="102" t="s">
        <v>24</v>
      </c>
      <c r="L28" s="102" t="s">
        <v>24</v>
      </c>
      <c r="M28" s="100"/>
      <c r="N28" s="102" t="s">
        <v>24</v>
      </c>
      <c r="O28" s="102" t="s">
        <v>24</v>
      </c>
      <c r="P28" s="102" t="s">
        <v>24</v>
      </c>
      <c r="Q28" s="102" t="s">
        <v>24</v>
      </c>
      <c r="R28" s="102" t="s">
        <v>24</v>
      </c>
      <c r="S28" s="102" t="s">
        <v>24</v>
      </c>
      <c r="T28" s="100"/>
      <c r="U28" s="102" t="s">
        <v>24</v>
      </c>
      <c r="V28" s="102" t="s">
        <v>24</v>
      </c>
      <c r="W28" s="102" t="s">
        <v>24</v>
      </c>
      <c r="X28" s="102" t="s">
        <v>24</v>
      </c>
      <c r="Y28" s="102" t="s">
        <v>24</v>
      </c>
      <c r="Z28" s="102" t="s">
        <v>24</v>
      </c>
      <c r="AA28" s="100"/>
      <c r="AB28" s="102" t="s">
        <v>24</v>
      </c>
      <c r="AC28" s="102" t="s">
        <v>24</v>
      </c>
      <c r="AD28" s="102" t="s">
        <v>24</v>
      </c>
      <c r="AE28" s="102" t="s">
        <v>24</v>
      </c>
      <c r="AF28" s="102" t="s">
        <v>24</v>
      </c>
      <c r="AG28" s="102" t="s">
        <v>24</v>
      </c>
      <c r="AH28" s="100"/>
      <c r="AI28" s="102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78" t="s">
        <v>166</v>
      </c>
      <c r="C29" s="78" t="s">
        <v>167</v>
      </c>
      <c r="D29" s="5" t="s">
        <v>49</v>
      </c>
      <c r="E29" s="102" t="s">
        <v>24</v>
      </c>
      <c r="F29" s="100"/>
      <c r="G29" s="102" t="s">
        <v>24</v>
      </c>
      <c r="H29" s="102" t="s">
        <v>24</v>
      </c>
      <c r="I29" s="102" t="s">
        <v>24</v>
      </c>
      <c r="J29" s="102" t="s">
        <v>24</v>
      </c>
      <c r="K29" s="102" t="s">
        <v>24</v>
      </c>
      <c r="L29" s="102" t="s">
        <v>24</v>
      </c>
      <c r="M29" s="100"/>
      <c r="N29" s="102" t="s">
        <v>24</v>
      </c>
      <c r="O29" s="102" t="s">
        <v>24</v>
      </c>
      <c r="P29" s="102" t="s">
        <v>24</v>
      </c>
      <c r="Q29" s="102" t="s">
        <v>24</v>
      </c>
      <c r="R29" s="102" t="s">
        <v>24</v>
      </c>
      <c r="S29" s="102" t="s">
        <v>24</v>
      </c>
      <c r="T29" s="100"/>
      <c r="U29" s="102" t="s">
        <v>24</v>
      </c>
      <c r="V29" s="102" t="s">
        <v>24</v>
      </c>
      <c r="W29" s="102" t="s">
        <v>24</v>
      </c>
      <c r="X29" s="102" t="s">
        <v>24</v>
      </c>
      <c r="Y29" s="102" t="s">
        <v>24</v>
      </c>
      <c r="Z29" s="102" t="s">
        <v>24</v>
      </c>
      <c r="AA29" s="100"/>
      <c r="AB29" s="102" t="s">
        <v>24</v>
      </c>
      <c r="AC29" s="102" t="s">
        <v>24</v>
      </c>
      <c r="AD29" s="102" t="s">
        <v>24</v>
      </c>
      <c r="AE29" s="102" t="s">
        <v>24</v>
      </c>
      <c r="AF29" s="102" t="s">
        <v>24</v>
      </c>
      <c r="AG29" s="102" t="s">
        <v>24</v>
      </c>
      <c r="AH29" s="100"/>
      <c r="AI29" s="102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78" t="s">
        <v>168</v>
      </c>
      <c r="C30" s="78" t="s">
        <v>169</v>
      </c>
      <c r="D30" s="5" t="s">
        <v>49</v>
      </c>
      <c r="E30" s="102" t="s">
        <v>24</v>
      </c>
      <c r="F30" s="100"/>
      <c r="G30" s="102" t="s">
        <v>24</v>
      </c>
      <c r="H30" s="102" t="s">
        <v>24</v>
      </c>
      <c r="I30" s="102" t="s">
        <v>24</v>
      </c>
      <c r="J30" s="102" t="s">
        <v>24</v>
      </c>
      <c r="K30" s="102" t="s">
        <v>24</v>
      </c>
      <c r="L30" s="102" t="s">
        <v>24</v>
      </c>
      <c r="M30" s="100"/>
      <c r="N30" s="102" t="s">
        <v>24</v>
      </c>
      <c r="O30" s="102" t="s">
        <v>24</v>
      </c>
      <c r="P30" s="102" t="s">
        <v>24</v>
      </c>
      <c r="Q30" s="102" t="s">
        <v>24</v>
      </c>
      <c r="R30" s="102" t="s">
        <v>24</v>
      </c>
      <c r="S30" s="102" t="s">
        <v>24</v>
      </c>
      <c r="T30" s="100"/>
      <c r="U30" s="102" t="s">
        <v>24</v>
      </c>
      <c r="V30" s="102" t="s">
        <v>24</v>
      </c>
      <c r="W30" s="102" t="s">
        <v>24</v>
      </c>
      <c r="X30" s="102" t="s">
        <v>24</v>
      </c>
      <c r="Y30" s="102" t="s">
        <v>24</v>
      </c>
      <c r="Z30" s="102" t="s">
        <v>24</v>
      </c>
      <c r="AA30" s="100"/>
      <c r="AB30" s="102" t="s">
        <v>24</v>
      </c>
      <c r="AC30" s="102" t="s">
        <v>24</v>
      </c>
      <c r="AD30" s="102" t="s">
        <v>24</v>
      </c>
      <c r="AE30" s="102" t="s">
        <v>24</v>
      </c>
      <c r="AF30" s="102" t="s">
        <v>24</v>
      </c>
      <c r="AG30" s="102" t="s">
        <v>24</v>
      </c>
      <c r="AH30" s="100"/>
      <c r="AI30" s="102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78" t="s">
        <v>170</v>
      </c>
      <c r="C31" s="78" t="s">
        <v>171</v>
      </c>
      <c r="D31" s="12" t="s">
        <v>49</v>
      </c>
      <c r="E31" s="102" t="s">
        <v>24</v>
      </c>
      <c r="F31" s="100"/>
      <c r="G31" s="102" t="s">
        <v>24</v>
      </c>
      <c r="H31" s="102" t="s">
        <v>24</v>
      </c>
      <c r="I31" s="102" t="s">
        <v>24</v>
      </c>
      <c r="J31" s="102" t="s">
        <v>24</v>
      </c>
      <c r="K31" s="102" t="s">
        <v>24</v>
      </c>
      <c r="L31" s="102" t="s">
        <v>24</v>
      </c>
      <c r="M31" s="100"/>
      <c r="N31" s="102" t="s">
        <v>24</v>
      </c>
      <c r="O31" s="102" t="s">
        <v>24</v>
      </c>
      <c r="P31" s="102" t="s">
        <v>24</v>
      </c>
      <c r="Q31" s="102" t="s">
        <v>24</v>
      </c>
      <c r="R31" s="102" t="s">
        <v>24</v>
      </c>
      <c r="S31" s="102" t="s">
        <v>24</v>
      </c>
      <c r="T31" s="100"/>
      <c r="U31" s="102" t="s">
        <v>24</v>
      </c>
      <c r="V31" s="102" t="s">
        <v>24</v>
      </c>
      <c r="W31" s="102" t="s">
        <v>24</v>
      </c>
      <c r="X31" s="102" t="s">
        <v>24</v>
      </c>
      <c r="Y31" s="102" t="s">
        <v>24</v>
      </c>
      <c r="Z31" s="102" t="s">
        <v>24</v>
      </c>
      <c r="AA31" s="100"/>
      <c r="AB31" s="102" t="s">
        <v>24</v>
      </c>
      <c r="AC31" s="102" t="s">
        <v>24</v>
      </c>
      <c r="AD31" s="102" t="s">
        <v>24</v>
      </c>
      <c r="AE31" s="102" t="s">
        <v>24</v>
      </c>
      <c r="AF31" s="102" t="s">
        <v>24</v>
      </c>
      <c r="AG31" s="102" t="s">
        <v>24</v>
      </c>
      <c r="AH31" s="100"/>
      <c r="AI31" s="102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78" t="s">
        <v>172</v>
      </c>
      <c r="C32" s="78" t="s">
        <v>109</v>
      </c>
      <c r="D32" s="12" t="s">
        <v>49</v>
      </c>
      <c r="E32" s="102" t="s">
        <v>24</v>
      </c>
      <c r="F32" s="100"/>
      <c r="G32" s="102" t="s">
        <v>24</v>
      </c>
      <c r="H32" s="102" t="s">
        <v>24</v>
      </c>
      <c r="I32" s="102" t="s">
        <v>24</v>
      </c>
      <c r="J32" s="102" t="s">
        <v>24</v>
      </c>
      <c r="K32" s="102" t="s">
        <v>24</v>
      </c>
      <c r="L32" s="102" t="s">
        <v>24</v>
      </c>
      <c r="M32" s="100"/>
      <c r="N32" s="102" t="s">
        <v>24</v>
      </c>
      <c r="O32" s="102" t="s">
        <v>24</v>
      </c>
      <c r="P32" s="102" t="s">
        <v>24</v>
      </c>
      <c r="Q32" s="102" t="s">
        <v>24</v>
      </c>
      <c r="R32" s="102" t="s">
        <v>24</v>
      </c>
      <c r="S32" s="102" t="s">
        <v>24</v>
      </c>
      <c r="T32" s="100"/>
      <c r="U32" s="102" t="s">
        <v>24</v>
      </c>
      <c r="V32" s="102" t="s">
        <v>24</v>
      </c>
      <c r="W32" s="102" t="s">
        <v>24</v>
      </c>
      <c r="X32" s="102" t="s">
        <v>24</v>
      </c>
      <c r="Y32" s="102" t="s">
        <v>24</v>
      </c>
      <c r="Z32" s="102" t="s">
        <v>24</v>
      </c>
      <c r="AA32" s="100"/>
      <c r="AB32" s="102" t="s">
        <v>24</v>
      </c>
      <c r="AC32" s="102" t="s">
        <v>24</v>
      </c>
      <c r="AD32" s="102" t="s">
        <v>24</v>
      </c>
      <c r="AE32" s="102" t="s">
        <v>24</v>
      </c>
      <c r="AF32" s="102" t="s">
        <v>24</v>
      </c>
      <c r="AG32" s="102" t="s">
        <v>24</v>
      </c>
      <c r="AH32" s="100"/>
      <c r="AI32" s="102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78" t="s">
        <v>173</v>
      </c>
      <c r="C33" s="78" t="s">
        <v>174</v>
      </c>
      <c r="D33" s="12" t="s">
        <v>49</v>
      </c>
      <c r="E33" s="102" t="s">
        <v>24</v>
      </c>
      <c r="F33" s="100"/>
      <c r="G33" s="102" t="s">
        <v>24</v>
      </c>
      <c r="H33" s="102" t="s">
        <v>24</v>
      </c>
      <c r="I33" s="102" t="s">
        <v>24</v>
      </c>
      <c r="J33" s="102" t="s">
        <v>24</v>
      </c>
      <c r="K33" s="102" t="s">
        <v>24</v>
      </c>
      <c r="L33" s="102" t="s">
        <v>24</v>
      </c>
      <c r="M33" s="100"/>
      <c r="N33" s="102" t="s">
        <v>24</v>
      </c>
      <c r="O33" s="102" t="s">
        <v>24</v>
      </c>
      <c r="P33" s="102" t="s">
        <v>24</v>
      </c>
      <c r="Q33" s="102" t="s">
        <v>24</v>
      </c>
      <c r="R33" s="102" t="s">
        <v>24</v>
      </c>
      <c r="S33" s="102" t="s">
        <v>24</v>
      </c>
      <c r="T33" s="100"/>
      <c r="U33" s="102" t="s">
        <v>24</v>
      </c>
      <c r="V33" s="102" t="s">
        <v>24</v>
      </c>
      <c r="W33" s="102" t="s">
        <v>24</v>
      </c>
      <c r="X33" s="102" t="s">
        <v>24</v>
      </c>
      <c r="Y33" s="102" t="s">
        <v>24</v>
      </c>
      <c r="Z33" s="102" t="s">
        <v>24</v>
      </c>
      <c r="AA33" s="100"/>
      <c r="AB33" s="102" t="s">
        <v>24</v>
      </c>
      <c r="AC33" s="102" t="s">
        <v>24</v>
      </c>
      <c r="AD33" s="102" t="s">
        <v>24</v>
      </c>
      <c r="AE33" s="102" t="s">
        <v>24</v>
      </c>
      <c r="AF33" s="102" t="s">
        <v>24</v>
      </c>
      <c r="AG33" s="102" t="s">
        <v>24</v>
      </c>
      <c r="AH33" s="100"/>
      <c r="AI33" s="102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78" t="s">
        <v>175</v>
      </c>
      <c r="C34" s="78" t="s">
        <v>176</v>
      </c>
      <c r="D34" s="12" t="s">
        <v>49</v>
      </c>
      <c r="E34" s="102" t="s">
        <v>24</v>
      </c>
      <c r="F34" s="100"/>
      <c r="G34" s="102" t="s">
        <v>24</v>
      </c>
      <c r="H34" s="102" t="s">
        <v>24</v>
      </c>
      <c r="I34" s="102" t="s">
        <v>24</v>
      </c>
      <c r="J34" s="102" t="s">
        <v>24</v>
      </c>
      <c r="K34" s="102" t="s">
        <v>24</v>
      </c>
      <c r="L34" s="102" t="s">
        <v>24</v>
      </c>
      <c r="M34" s="100"/>
      <c r="N34" s="102" t="s">
        <v>24</v>
      </c>
      <c r="O34" s="102" t="s">
        <v>24</v>
      </c>
      <c r="P34" s="102" t="s">
        <v>24</v>
      </c>
      <c r="Q34" s="102" t="s">
        <v>24</v>
      </c>
      <c r="R34" s="102" t="s">
        <v>24</v>
      </c>
      <c r="S34" s="102" t="s">
        <v>24</v>
      </c>
      <c r="T34" s="100"/>
      <c r="U34" s="102" t="s">
        <v>24</v>
      </c>
      <c r="V34" s="102" t="s">
        <v>24</v>
      </c>
      <c r="W34" s="102" t="s">
        <v>24</v>
      </c>
      <c r="X34" s="102" t="s">
        <v>24</v>
      </c>
      <c r="Y34" s="102" t="s">
        <v>24</v>
      </c>
      <c r="Z34" s="102" t="s">
        <v>24</v>
      </c>
      <c r="AA34" s="100"/>
      <c r="AB34" s="102" t="s">
        <v>24</v>
      </c>
      <c r="AC34" s="102" t="s">
        <v>24</v>
      </c>
      <c r="AD34" s="102" t="s">
        <v>24</v>
      </c>
      <c r="AE34" s="102" t="s">
        <v>24</v>
      </c>
      <c r="AF34" s="102" t="s">
        <v>24</v>
      </c>
      <c r="AG34" s="102" t="s">
        <v>24</v>
      </c>
      <c r="AH34" s="100"/>
      <c r="AI34" s="102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78" t="s">
        <v>177</v>
      </c>
      <c r="C35" s="78" t="s">
        <v>178</v>
      </c>
      <c r="D35" s="12" t="s">
        <v>49</v>
      </c>
      <c r="E35" s="102" t="s">
        <v>24</v>
      </c>
      <c r="F35" s="100"/>
      <c r="G35" s="102" t="s">
        <v>24</v>
      </c>
      <c r="H35" s="102" t="s">
        <v>24</v>
      </c>
      <c r="I35" s="102" t="s">
        <v>24</v>
      </c>
      <c r="J35" s="102" t="s">
        <v>24</v>
      </c>
      <c r="K35" s="102" t="s">
        <v>24</v>
      </c>
      <c r="L35" s="102" t="s">
        <v>24</v>
      </c>
      <c r="M35" s="100"/>
      <c r="N35" s="102" t="s">
        <v>24</v>
      </c>
      <c r="O35" s="102" t="s">
        <v>24</v>
      </c>
      <c r="P35" s="102" t="s">
        <v>24</v>
      </c>
      <c r="Q35" s="102" t="s">
        <v>24</v>
      </c>
      <c r="R35" s="102" t="s">
        <v>24</v>
      </c>
      <c r="S35" s="102" t="s">
        <v>24</v>
      </c>
      <c r="T35" s="100"/>
      <c r="U35" s="102" t="s">
        <v>24</v>
      </c>
      <c r="V35" s="102" t="s">
        <v>24</v>
      </c>
      <c r="W35" s="102" t="s">
        <v>24</v>
      </c>
      <c r="X35" s="102" t="s">
        <v>24</v>
      </c>
      <c r="Y35" s="102" t="s">
        <v>24</v>
      </c>
      <c r="Z35" s="102" t="s">
        <v>24</v>
      </c>
      <c r="AA35" s="100"/>
      <c r="AB35" s="102" t="s">
        <v>24</v>
      </c>
      <c r="AC35" s="102" t="s">
        <v>24</v>
      </c>
      <c r="AD35" s="102" t="s">
        <v>24</v>
      </c>
      <c r="AE35" s="102" t="s">
        <v>24</v>
      </c>
      <c r="AF35" s="102" t="s">
        <v>24</v>
      </c>
      <c r="AG35" s="102" t="s">
        <v>24</v>
      </c>
      <c r="AH35" s="100"/>
      <c r="AI35" s="102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78" t="s">
        <v>32</v>
      </c>
      <c r="C36" s="78" t="s">
        <v>133</v>
      </c>
      <c r="D36" s="12" t="s">
        <v>49</v>
      </c>
      <c r="E36" s="102" t="s">
        <v>24</v>
      </c>
      <c r="F36" s="100"/>
      <c r="G36" s="102" t="s">
        <v>24</v>
      </c>
      <c r="H36" s="102" t="s">
        <v>24</v>
      </c>
      <c r="I36" s="102" t="s">
        <v>24</v>
      </c>
      <c r="J36" s="102" t="s">
        <v>24</v>
      </c>
      <c r="K36" s="102" t="s">
        <v>24</v>
      </c>
      <c r="L36" s="102" t="s">
        <v>24</v>
      </c>
      <c r="M36" s="100"/>
      <c r="N36" s="102" t="s">
        <v>24</v>
      </c>
      <c r="O36" s="102" t="s">
        <v>24</v>
      </c>
      <c r="P36" s="102" t="s">
        <v>24</v>
      </c>
      <c r="Q36" s="102" t="s">
        <v>24</v>
      </c>
      <c r="R36" s="102" t="s">
        <v>24</v>
      </c>
      <c r="S36" s="102" t="s">
        <v>24</v>
      </c>
      <c r="T36" s="100"/>
      <c r="U36" s="102" t="s">
        <v>24</v>
      </c>
      <c r="V36" s="102" t="s">
        <v>24</v>
      </c>
      <c r="W36" s="102" t="s">
        <v>24</v>
      </c>
      <c r="X36" s="102" t="s">
        <v>24</v>
      </c>
      <c r="Y36" s="102" t="s">
        <v>24</v>
      </c>
      <c r="Z36" s="102" t="s">
        <v>24</v>
      </c>
      <c r="AA36" s="100"/>
      <c r="AB36" s="102" t="s">
        <v>24</v>
      </c>
      <c r="AC36" s="102" t="s">
        <v>24</v>
      </c>
      <c r="AD36" s="102" t="s">
        <v>24</v>
      </c>
      <c r="AE36" s="102" t="s">
        <v>24</v>
      </c>
      <c r="AF36" s="102" t="s">
        <v>24</v>
      </c>
      <c r="AG36" s="102" t="s">
        <v>24</v>
      </c>
      <c r="AH36" s="100"/>
      <c r="AI36" s="102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78" t="s">
        <v>179</v>
      </c>
      <c r="C37" s="78" t="s">
        <v>180</v>
      </c>
      <c r="D37" s="12" t="s">
        <v>49</v>
      </c>
      <c r="E37" s="102" t="s">
        <v>24</v>
      </c>
      <c r="F37" s="100"/>
      <c r="G37" s="102" t="s">
        <v>24</v>
      </c>
      <c r="H37" s="102" t="s">
        <v>24</v>
      </c>
      <c r="I37" s="102" t="s">
        <v>24</v>
      </c>
      <c r="J37" s="102" t="s">
        <v>24</v>
      </c>
      <c r="K37" s="102" t="s">
        <v>24</v>
      </c>
      <c r="L37" s="102" t="s">
        <v>24</v>
      </c>
      <c r="M37" s="100"/>
      <c r="N37" s="102" t="s">
        <v>24</v>
      </c>
      <c r="O37" s="102" t="s">
        <v>24</v>
      </c>
      <c r="P37" s="102" t="s">
        <v>24</v>
      </c>
      <c r="Q37" s="102" t="s">
        <v>24</v>
      </c>
      <c r="R37" s="102" t="s">
        <v>24</v>
      </c>
      <c r="S37" s="102" t="s">
        <v>24</v>
      </c>
      <c r="T37" s="100"/>
      <c r="U37" s="102" t="s">
        <v>24</v>
      </c>
      <c r="V37" s="102" t="s">
        <v>24</v>
      </c>
      <c r="W37" s="102" t="s">
        <v>24</v>
      </c>
      <c r="X37" s="102" t="s">
        <v>24</v>
      </c>
      <c r="Y37" s="102" t="s">
        <v>24</v>
      </c>
      <c r="Z37" s="102" t="s">
        <v>24</v>
      </c>
      <c r="AA37" s="100"/>
      <c r="AB37" s="102" t="s">
        <v>24</v>
      </c>
      <c r="AC37" s="102" t="s">
        <v>24</v>
      </c>
      <c r="AD37" s="102" t="s">
        <v>24</v>
      </c>
      <c r="AE37" s="102" t="s">
        <v>24</v>
      </c>
      <c r="AF37" s="102" t="s">
        <v>24</v>
      </c>
      <c r="AG37" s="102" t="s">
        <v>24</v>
      </c>
      <c r="AH37" s="100"/>
      <c r="AI37" s="102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78" t="s">
        <v>181</v>
      </c>
      <c r="C38" s="78" t="s">
        <v>182</v>
      </c>
      <c r="D38" s="12" t="s">
        <v>49</v>
      </c>
      <c r="E38" s="102" t="s">
        <v>24</v>
      </c>
      <c r="F38" s="100"/>
      <c r="G38" s="102" t="s">
        <v>24</v>
      </c>
      <c r="H38" s="102" t="s">
        <v>24</v>
      </c>
      <c r="I38" s="102" t="s">
        <v>24</v>
      </c>
      <c r="J38" s="102" t="s">
        <v>24</v>
      </c>
      <c r="K38" s="102" t="s">
        <v>24</v>
      </c>
      <c r="L38" s="102" t="s">
        <v>24</v>
      </c>
      <c r="M38" s="100"/>
      <c r="N38" s="102" t="s">
        <v>24</v>
      </c>
      <c r="O38" s="102" t="s">
        <v>24</v>
      </c>
      <c r="P38" s="102" t="s">
        <v>24</v>
      </c>
      <c r="Q38" s="102" t="s">
        <v>24</v>
      </c>
      <c r="R38" s="102" t="s">
        <v>24</v>
      </c>
      <c r="S38" s="102" t="s">
        <v>24</v>
      </c>
      <c r="T38" s="100"/>
      <c r="U38" s="102" t="s">
        <v>24</v>
      </c>
      <c r="V38" s="102" t="s">
        <v>24</v>
      </c>
      <c r="W38" s="102" t="s">
        <v>24</v>
      </c>
      <c r="X38" s="102" t="s">
        <v>24</v>
      </c>
      <c r="Y38" s="102" t="s">
        <v>24</v>
      </c>
      <c r="Z38" s="102" t="s">
        <v>24</v>
      </c>
      <c r="AA38" s="100"/>
      <c r="AB38" s="102" t="s">
        <v>24</v>
      </c>
      <c r="AC38" s="102" t="s">
        <v>24</v>
      </c>
      <c r="AD38" s="102" t="s">
        <v>24</v>
      </c>
      <c r="AE38" s="102" t="s">
        <v>24</v>
      </c>
      <c r="AF38" s="102" t="s">
        <v>24</v>
      </c>
      <c r="AG38" s="102" t="s">
        <v>24</v>
      </c>
      <c r="AH38" s="100"/>
      <c r="AI38" s="102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78" t="s">
        <v>183</v>
      </c>
      <c r="C39" s="78" t="s">
        <v>184</v>
      </c>
      <c r="D39" s="12" t="s">
        <v>49</v>
      </c>
      <c r="E39" s="102" t="s">
        <v>24</v>
      </c>
      <c r="F39" s="100"/>
      <c r="G39" s="102" t="s">
        <v>24</v>
      </c>
      <c r="H39" s="102" t="s">
        <v>24</v>
      </c>
      <c r="I39" s="102" t="s">
        <v>24</v>
      </c>
      <c r="J39" s="102" t="s">
        <v>24</v>
      </c>
      <c r="K39" s="102" t="s">
        <v>24</v>
      </c>
      <c r="L39" s="102" t="s">
        <v>24</v>
      </c>
      <c r="M39" s="100"/>
      <c r="N39" s="102" t="s">
        <v>24</v>
      </c>
      <c r="O39" s="102" t="s">
        <v>24</v>
      </c>
      <c r="P39" s="102" t="s">
        <v>24</v>
      </c>
      <c r="Q39" s="102" t="s">
        <v>24</v>
      </c>
      <c r="R39" s="102" t="s">
        <v>24</v>
      </c>
      <c r="S39" s="102" t="s">
        <v>24</v>
      </c>
      <c r="T39" s="100"/>
      <c r="U39" s="102" t="s">
        <v>24</v>
      </c>
      <c r="V39" s="102" t="s">
        <v>24</v>
      </c>
      <c r="W39" s="102" t="s">
        <v>24</v>
      </c>
      <c r="X39" s="102" t="s">
        <v>24</v>
      </c>
      <c r="Y39" s="102" t="s">
        <v>24</v>
      </c>
      <c r="Z39" s="102" t="s">
        <v>24</v>
      </c>
      <c r="AA39" s="100"/>
      <c r="AB39" s="102" t="s">
        <v>24</v>
      </c>
      <c r="AC39" s="102" t="s">
        <v>24</v>
      </c>
      <c r="AD39" s="102" t="s">
        <v>24</v>
      </c>
      <c r="AE39" s="102" t="s">
        <v>24</v>
      </c>
      <c r="AF39" s="102" t="s">
        <v>24</v>
      </c>
      <c r="AG39" s="102" t="s">
        <v>24</v>
      </c>
      <c r="AH39" s="100"/>
      <c r="AI39" s="102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78" t="s">
        <v>185</v>
      </c>
      <c r="C40" s="78" t="s">
        <v>186</v>
      </c>
      <c r="D40" s="12" t="s">
        <v>49</v>
      </c>
      <c r="E40" s="102" t="s">
        <v>24</v>
      </c>
      <c r="F40" s="100"/>
      <c r="G40" s="102" t="s">
        <v>24</v>
      </c>
      <c r="H40" s="102" t="s">
        <v>24</v>
      </c>
      <c r="I40" s="102" t="s">
        <v>24</v>
      </c>
      <c r="J40" s="102" t="s">
        <v>24</v>
      </c>
      <c r="K40" s="102" t="s">
        <v>24</v>
      </c>
      <c r="L40" s="102" t="s">
        <v>24</v>
      </c>
      <c r="M40" s="100"/>
      <c r="N40" s="102" t="s">
        <v>24</v>
      </c>
      <c r="O40" s="102" t="s">
        <v>24</v>
      </c>
      <c r="P40" s="102" t="s">
        <v>24</v>
      </c>
      <c r="Q40" s="102" t="s">
        <v>24</v>
      </c>
      <c r="R40" s="102" t="s">
        <v>24</v>
      </c>
      <c r="S40" s="102" t="s">
        <v>24</v>
      </c>
      <c r="T40" s="100"/>
      <c r="U40" s="102" t="s">
        <v>24</v>
      </c>
      <c r="V40" s="102" t="s">
        <v>24</v>
      </c>
      <c r="W40" s="102" t="s">
        <v>24</v>
      </c>
      <c r="X40" s="102" t="s">
        <v>24</v>
      </c>
      <c r="Y40" s="102" t="s">
        <v>24</v>
      </c>
      <c r="Z40" s="102" t="s">
        <v>24</v>
      </c>
      <c r="AA40" s="100"/>
      <c r="AB40" s="102" t="s">
        <v>24</v>
      </c>
      <c r="AC40" s="102" t="s">
        <v>24</v>
      </c>
      <c r="AD40" s="102" t="s">
        <v>24</v>
      </c>
      <c r="AE40" s="102" t="s">
        <v>24</v>
      </c>
      <c r="AF40" s="102" t="s">
        <v>24</v>
      </c>
      <c r="AG40" s="102" t="s">
        <v>24</v>
      </c>
      <c r="AH40" s="100"/>
      <c r="AI40" s="102" t="s">
        <v>24</v>
      </c>
      <c r="AJ40" s="4">
        <f t="shared" si="1"/>
        <v>26</v>
      </c>
      <c r="AK40" s="4">
        <f t="shared" si="2"/>
        <v>0</v>
      </c>
    </row>
    <row r="41" spans="1:37" ht="16.5">
      <c r="A41" s="83">
        <f>A40+1</f>
        <v>37</v>
      </c>
      <c r="B41" s="78" t="s">
        <v>187</v>
      </c>
      <c r="C41" s="78" t="s">
        <v>150</v>
      </c>
      <c r="D41" s="12" t="s">
        <v>49</v>
      </c>
      <c r="E41" s="102" t="s">
        <v>24</v>
      </c>
      <c r="F41" s="100"/>
      <c r="G41" s="102" t="s">
        <v>24</v>
      </c>
      <c r="H41" s="102" t="s">
        <v>24</v>
      </c>
      <c r="I41" s="102" t="s">
        <v>24</v>
      </c>
      <c r="J41" s="102" t="s">
        <v>24</v>
      </c>
      <c r="K41" s="102" t="s">
        <v>24</v>
      </c>
      <c r="L41" s="102" t="s">
        <v>24</v>
      </c>
      <c r="M41" s="100"/>
      <c r="N41" s="102" t="s">
        <v>24</v>
      </c>
      <c r="O41" s="102" t="s">
        <v>24</v>
      </c>
      <c r="P41" s="102" t="s">
        <v>24</v>
      </c>
      <c r="Q41" s="102" t="s">
        <v>24</v>
      </c>
      <c r="R41" s="102" t="s">
        <v>24</v>
      </c>
      <c r="S41" s="102" t="s">
        <v>24</v>
      </c>
      <c r="T41" s="100"/>
      <c r="U41" s="102" t="s">
        <v>24</v>
      </c>
      <c r="V41" s="102" t="s">
        <v>24</v>
      </c>
      <c r="W41" s="102" t="s">
        <v>24</v>
      </c>
      <c r="X41" s="102" t="s">
        <v>24</v>
      </c>
      <c r="Y41" s="102" t="s">
        <v>24</v>
      </c>
      <c r="Z41" s="102" t="s">
        <v>24</v>
      </c>
      <c r="AA41" s="100"/>
      <c r="AB41" s="102" t="s">
        <v>24</v>
      </c>
      <c r="AC41" s="102" t="s">
        <v>24</v>
      </c>
      <c r="AD41" s="102" t="s">
        <v>24</v>
      </c>
      <c r="AE41" s="102" t="s">
        <v>24</v>
      </c>
      <c r="AF41" s="102" t="s">
        <v>24</v>
      </c>
      <c r="AG41" s="102" t="s">
        <v>24</v>
      </c>
      <c r="AH41" s="100"/>
      <c r="AI41" s="102" t="s">
        <v>24</v>
      </c>
      <c r="AJ41" s="82"/>
      <c r="AK41" s="82"/>
    </row>
    <row r="42" spans="1:37" ht="16.5">
      <c r="A42" s="83">
        <f t="shared" ref="A42:A51" si="3">A41+1</f>
        <v>38</v>
      </c>
      <c r="B42" s="81" t="s">
        <v>188</v>
      </c>
      <c r="C42" s="81" t="s">
        <v>189</v>
      </c>
      <c r="D42" s="5" t="s">
        <v>49</v>
      </c>
      <c r="E42" s="102" t="s">
        <v>24</v>
      </c>
      <c r="F42" s="100"/>
      <c r="G42" s="102" t="s">
        <v>24</v>
      </c>
      <c r="H42" s="102" t="s">
        <v>24</v>
      </c>
      <c r="I42" s="102" t="s">
        <v>24</v>
      </c>
      <c r="J42" s="102" t="s">
        <v>24</v>
      </c>
      <c r="K42" s="102" t="s">
        <v>24</v>
      </c>
      <c r="L42" s="102" t="s">
        <v>24</v>
      </c>
      <c r="M42" s="100"/>
      <c r="N42" s="102" t="s">
        <v>24</v>
      </c>
      <c r="O42" s="102" t="s">
        <v>24</v>
      </c>
      <c r="P42" s="102" t="s">
        <v>24</v>
      </c>
      <c r="Q42" s="102" t="s">
        <v>24</v>
      </c>
      <c r="R42" s="102" t="s">
        <v>24</v>
      </c>
      <c r="S42" s="102" t="s">
        <v>24</v>
      </c>
      <c r="T42" s="100"/>
      <c r="U42" s="102" t="s">
        <v>24</v>
      </c>
      <c r="V42" s="102" t="s">
        <v>24</v>
      </c>
      <c r="W42" s="102" t="s">
        <v>24</v>
      </c>
      <c r="X42" s="102" t="s">
        <v>24</v>
      </c>
      <c r="Y42" s="102" t="s">
        <v>24</v>
      </c>
      <c r="Z42" s="102" t="s">
        <v>24</v>
      </c>
      <c r="AA42" s="100"/>
      <c r="AB42" s="102" t="s">
        <v>24</v>
      </c>
      <c r="AC42" s="102" t="s">
        <v>24</v>
      </c>
      <c r="AD42" s="102" t="s">
        <v>24</v>
      </c>
      <c r="AE42" s="102" t="s">
        <v>24</v>
      </c>
      <c r="AF42" s="102" t="s">
        <v>24</v>
      </c>
      <c r="AG42" s="102" t="s">
        <v>24</v>
      </c>
      <c r="AH42" s="100"/>
      <c r="AI42" s="102" t="s">
        <v>24</v>
      </c>
      <c r="AJ42" s="82"/>
      <c r="AK42" s="82"/>
    </row>
    <row r="43" spans="1:37" ht="16.5">
      <c r="A43" s="83">
        <f t="shared" si="3"/>
        <v>39</v>
      </c>
      <c r="B43" s="81" t="s">
        <v>117</v>
      </c>
      <c r="C43" s="81" t="s">
        <v>153</v>
      </c>
      <c r="D43" s="5" t="s">
        <v>49</v>
      </c>
      <c r="E43" s="102" t="s">
        <v>24</v>
      </c>
      <c r="F43" s="100"/>
      <c r="G43" s="102" t="s">
        <v>24</v>
      </c>
      <c r="H43" s="102" t="s">
        <v>24</v>
      </c>
      <c r="I43" s="102" t="s">
        <v>24</v>
      </c>
      <c r="J43" s="102" t="s">
        <v>24</v>
      </c>
      <c r="K43" s="102" t="s">
        <v>24</v>
      </c>
      <c r="L43" s="102" t="s">
        <v>24</v>
      </c>
      <c r="M43" s="100"/>
      <c r="N43" s="102" t="s">
        <v>24</v>
      </c>
      <c r="O43" s="102" t="s">
        <v>24</v>
      </c>
      <c r="P43" s="102" t="s">
        <v>24</v>
      </c>
      <c r="Q43" s="102" t="s">
        <v>24</v>
      </c>
      <c r="R43" s="102" t="s">
        <v>24</v>
      </c>
      <c r="S43" s="102" t="s">
        <v>24</v>
      </c>
      <c r="T43" s="100"/>
      <c r="U43" s="102" t="s">
        <v>24</v>
      </c>
      <c r="V43" s="102" t="s">
        <v>24</v>
      </c>
      <c r="W43" s="102" t="s">
        <v>24</v>
      </c>
      <c r="X43" s="102" t="s">
        <v>24</v>
      </c>
      <c r="Y43" s="102" t="s">
        <v>24</v>
      </c>
      <c r="Z43" s="102" t="s">
        <v>24</v>
      </c>
      <c r="AA43" s="100"/>
      <c r="AB43" s="102" t="s">
        <v>24</v>
      </c>
      <c r="AC43" s="102" t="s">
        <v>24</v>
      </c>
      <c r="AD43" s="102" t="s">
        <v>24</v>
      </c>
      <c r="AE43" s="102" t="s">
        <v>24</v>
      </c>
      <c r="AF43" s="102" t="s">
        <v>24</v>
      </c>
      <c r="AG43" s="102" t="s">
        <v>24</v>
      </c>
      <c r="AH43" s="100"/>
      <c r="AI43" s="102" t="s">
        <v>24</v>
      </c>
      <c r="AJ43" s="82"/>
      <c r="AK43" s="82"/>
    </row>
    <row r="44" spans="1:37" ht="16.5">
      <c r="A44" s="83">
        <f t="shared" si="3"/>
        <v>40</v>
      </c>
      <c r="B44" s="81" t="s">
        <v>190</v>
      </c>
      <c r="C44" s="81" t="s">
        <v>76</v>
      </c>
      <c r="D44" s="5" t="s">
        <v>49</v>
      </c>
      <c r="E44" s="102" t="s">
        <v>24</v>
      </c>
      <c r="F44" s="100"/>
      <c r="G44" s="102" t="s">
        <v>24</v>
      </c>
      <c r="H44" s="102" t="s">
        <v>24</v>
      </c>
      <c r="I44" s="102" t="s">
        <v>24</v>
      </c>
      <c r="J44" s="102" t="s">
        <v>24</v>
      </c>
      <c r="K44" s="102" t="s">
        <v>24</v>
      </c>
      <c r="L44" s="102" t="s">
        <v>24</v>
      </c>
      <c r="M44" s="100"/>
      <c r="N44" s="102" t="s">
        <v>24</v>
      </c>
      <c r="O44" s="102" t="s">
        <v>24</v>
      </c>
      <c r="P44" s="102" t="s">
        <v>24</v>
      </c>
      <c r="Q44" s="102" t="s">
        <v>24</v>
      </c>
      <c r="R44" s="102" t="s">
        <v>24</v>
      </c>
      <c r="S44" s="102" t="s">
        <v>24</v>
      </c>
      <c r="T44" s="100"/>
      <c r="U44" s="102" t="s">
        <v>24</v>
      </c>
      <c r="V44" s="102" t="s">
        <v>24</v>
      </c>
      <c r="W44" s="102" t="s">
        <v>24</v>
      </c>
      <c r="X44" s="102" t="s">
        <v>24</v>
      </c>
      <c r="Y44" s="102" t="s">
        <v>24</v>
      </c>
      <c r="Z44" s="102" t="s">
        <v>24</v>
      </c>
      <c r="AA44" s="100"/>
      <c r="AB44" s="102" t="s">
        <v>24</v>
      </c>
      <c r="AC44" s="102" t="s">
        <v>24</v>
      </c>
      <c r="AD44" s="102" t="s">
        <v>24</v>
      </c>
      <c r="AE44" s="102" t="s">
        <v>24</v>
      </c>
      <c r="AF44" s="102" t="s">
        <v>24</v>
      </c>
      <c r="AG44" s="102" t="s">
        <v>24</v>
      </c>
      <c r="AH44" s="100"/>
      <c r="AI44" s="102" t="s">
        <v>24</v>
      </c>
      <c r="AJ44" s="82"/>
      <c r="AK44" s="82"/>
    </row>
    <row r="45" spans="1:37" ht="16.5">
      <c r="A45" s="83">
        <f t="shared" si="3"/>
        <v>41</v>
      </c>
      <c r="B45" s="81" t="s">
        <v>73</v>
      </c>
      <c r="C45" s="81" t="s">
        <v>76</v>
      </c>
      <c r="D45" s="5" t="s">
        <v>49</v>
      </c>
      <c r="E45" s="102" t="s">
        <v>24</v>
      </c>
      <c r="F45" s="100"/>
      <c r="G45" s="102" t="s">
        <v>24</v>
      </c>
      <c r="H45" s="102" t="s">
        <v>24</v>
      </c>
      <c r="I45" s="102" t="s">
        <v>24</v>
      </c>
      <c r="J45" s="102" t="s">
        <v>24</v>
      </c>
      <c r="K45" s="102" t="s">
        <v>24</v>
      </c>
      <c r="L45" s="102" t="s">
        <v>24</v>
      </c>
      <c r="M45" s="100"/>
      <c r="N45" s="102" t="s">
        <v>24</v>
      </c>
      <c r="O45" s="102" t="s">
        <v>24</v>
      </c>
      <c r="P45" s="102" t="s">
        <v>24</v>
      </c>
      <c r="Q45" s="102" t="s">
        <v>24</v>
      </c>
      <c r="R45" s="102" t="s">
        <v>24</v>
      </c>
      <c r="S45" s="102" t="s">
        <v>24</v>
      </c>
      <c r="T45" s="100"/>
      <c r="U45" s="102" t="s">
        <v>24</v>
      </c>
      <c r="V45" s="102" t="s">
        <v>24</v>
      </c>
      <c r="W45" s="102" t="s">
        <v>24</v>
      </c>
      <c r="X45" s="102" t="s">
        <v>24</v>
      </c>
      <c r="Y45" s="102" t="s">
        <v>24</v>
      </c>
      <c r="Z45" s="102" t="s">
        <v>24</v>
      </c>
      <c r="AA45" s="100"/>
      <c r="AB45" s="102" t="s">
        <v>24</v>
      </c>
      <c r="AC45" s="102" t="s">
        <v>24</v>
      </c>
      <c r="AD45" s="102" t="s">
        <v>24</v>
      </c>
      <c r="AE45" s="102" t="s">
        <v>24</v>
      </c>
      <c r="AF45" s="102" t="s">
        <v>24</v>
      </c>
      <c r="AG45" s="102" t="s">
        <v>24</v>
      </c>
      <c r="AH45" s="100"/>
      <c r="AI45" s="102" t="s">
        <v>24</v>
      </c>
      <c r="AJ45" s="82"/>
      <c r="AK45" s="82"/>
    </row>
    <row r="46" spans="1:37" ht="16.5">
      <c r="A46" s="83">
        <f t="shared" si="3"/>
        <v>42</v>
      </c>
      <c r="B46" s="81" t="s">
        <v>191</v>
      </c>
      <c r="C46" s="81" t="s">
        <v>189</v>
      </c>
      <c r="D46" s="5" t="s">
        <v>49</v>
      </c>
      <c r="E46" s="102" t="s">
        <v>24</v>
      </c>
      <c r="F46" s="100"/>
      <c r="G46" s="102" t="s">
        <v>24</v>
      </c>
      <c r="H46" s="102" t="s">
        <v>24</v>
      </c>
      <c r="I46" s="102" t="s">
        <v>24</v>
      </c>
      <c r="J46" s="102" t="s">
        <v>24</v>
      </c>
      <c r="K46" s="102" t="s">
        <v>24</v>
      </c>
      <c r="L46" s="102" t="s">
        <v>24</v>
      </c>
      <c r="M46" s="100"/>
      <c r="N46" s="102" t="s">
        <v>24</v>
      </c>
      <c r="O46" s="102" t="s">
        <v>24</v>
      </c>
      <c r="P46" s="102" t="s">
        <v>24</v>
      </c>
      <c r="Q46" s="102" t="s">
        <v>24</v>
      </c>
      <c r="R46" s="102" t="s">
        <v>24</v>
      </c>
      <c r="S46" s="102" t="s">
        <v>24</v>
      </c>
      <c r="T46" s="100"/>
      <c r="U46" s="102" t="s">
        <v>24</v>
      </c>
      <c r="V46" s="102" t="s">
        <v>24</v>
      </c>
      <c r="W46" s="102" t="s">
        <v>24</v>
      </c>
      <c r="X46" s="102" t="s">
        <v>24</v>
      </c>
      <c r="Y46" s="102" t="s">
        <v>24</v>
      </c>
      <c r="Z46" s="102" t="s">
        <v>24</v>
      </c>
      <c r="AA46" s="100"/>
      <c r="AB46" s="102" t="s">
        <v>24</v>
      </c>
      <c r="AC46" s="102" t="s">
        <v>24</v>
      </c>
      <c r="AD46" s="102" t="s">
        <v>24</v>
      </c>
      <c r="AE46" s="102" t="s">
        <v>24</v>
      </c>
      <c r="AF46" s="102" t="s">
        <v>24</v>
      </c>
      <c r="AG46" s="102" t="s">
        <v>24</v>
      </c>
      <c r="AH46" s="100"/>
      <c r="AI46" s="102" t="s">
        <v>24</v>
      </c>
      <c r="AJ46" s="82"/>
      <c r="AK46" s="82"/>
    </row>
    <row r="47" spans="1:37" ht="16.5">
      <c r="A47" s="83">
        <f t="shared" si="3"/>
        <v>43</v>
      </c>
      <c r="B47" s="81" t="s">
        <v>192</v>
      </c>
      <c r="C47" s="81" t="s">
        <v>193</v>
      </c>
      <c r="D47" s="5" t="s">
        <v>49</v>
      </c>
      <c r="E47" s="102" t="s">
        <v>24</v>
      </c>
      <c r="F47" s="100"/>
      <c r="G47" s="102" t="s">
        <v>24</v>
      </c>
      <c r="H47" s="102" t="s">
        <v>24</v>
      </c>
      <c r="I47" s="102" t="s">
        <v>24</v>
      </c>
      <c r="J47" s="102" t="s">
        <v>24</v>
      </c>
      <c r="K47" s="102" t="s">
        <v>24</v>
      </c>
      <c r="L47" s="102" t="s">
        <v>24</v>
      </c>
      <c r="M47" s="100"/>
      <c r="N47" s="102" t="s">
        <v>24</v>
      </c>
      <c r="O47" s="102" t="s">
        <v>24</v>
      </c>
      <c r="P47" s="102" t="s">
        <v>24</v>
      </c>
      <c r="Q47" s="102" t="s">
        <v>24</v>
      </c>
      <c r="R47" s="102" t="s">
        <v>24</v>
      </c>
      <c r="S47" s="102" t="s">
        <v>24</v>
      </c>
      <c r="T47" s="100"/>
      <c r="U47" s="102" t="s">
        <v>24</v>
      </c>
      <c r="V47" s="102" t="s">
        <v>24</v>
      </c>
      <c r="W47" s="102" t="s">
        <v>24</v>
      </c>
      <c r="X47" s="102" t="s">
        <v>24</v>
      </c>
      <c r="Y47" s="102" t="s">
        <v>24</v>
      </c>
      <c r="Z47" s="102" t="s">
        <v>24</v>
      </c>
      <c r="AA47" s="100"/>
      <c r="AB47" s="102" t="s">
        <v>24</v>
      </c>
      <c r="AC47" s="102" t="s">
        <v>24</v>
      </c>
      <c r="AD47" s="102" t="s">
        <v>24</v>
      </c>
      <c r="AE47" s="102" t="s">
        <v>24</v>
      </c>
      <c r="AF47" s="102" t="s">
        <v>24</v>
      </c>
      <c r="AG47" s="102" t="s">
        <v>24</v>
      </c>
      <c r="AH47" s="100"/>
      <c r="AI47" s="102" t="s">
        <v>24</v>
      </c>
      <c r="AJ47" s="82"/>
      <c r="AK47" s="82"/>
    </row>
    <row r="48" spans="1:37" ht="16.5">
      <c r="A48" s="83">
        <f t="shared" si="3"/>
        <v>44</v>
      </c>
      <c r="B48" s="81" t="s">
        <v>80</v>
      </c>
      <c r="C48" s="81" t="s">
        <v>194</v>
      </c>
      <c r="D48" s="5" t="s">
        <v>49</v>
      </c>
      <c r="E48" s="102" t="s">
        <v>24</v>
      </c>
      <c r="F48" s="100"/>
      <c r="G48" s="102" t="s">
        <v>24</v>
      </c>
      <c r="H48" s="102" t="s">
        <v>24</v>
      </c>
      <c r="I48" s="102" t="s">
        <v>24</v>
      </c>
      <c r="J48" s="102" t="s">
        <v>24</v>
      </c>
      <c r="K48" s="102" t="s">
        <v>24</v>
      </c>
      <c r="L48" s="102" t="s">
        <v>24</v>
      </c>
      <c r="M48" s="100"/>
      <c r="N48" s="102" t="s">
        <v>24</v>
      </c>
      <c r="O48" s="102" t="s">
        <v>24</v>
      </c>
      <c r="P48" s="102" t="s">
        <v>24</v>
      </c>
      <c r="Q48" s="102" t="s">
        <v>24</v>
      </c>
      <c r="R48" s="102" t="s">
        <v>24</v>
      </c>
      <c r="S48" s="102" t="s">
        <v>24</v>
      </c>
      <c r="T48" s="100"/>
      <c r="U48" s="102" t="s">
        <v>24</v>
      </c>
      <c r="V48" s="102" t="s">
        <v>24</v>
      </c>
      <c r="W48" s="102" t="s">
        <v>24</v>
      </c>
      <c r="X48" s="102" t="s">
        <v>24</v>
      </c>
      <c r="Y48" s="102" t="s">
        <v>24</v>
      </c>
      <c r="Z48" s="102" t="s">
        <v>24</v>
      </c>
      <c r="AA48" s="100"/>
      <c r="AB48" s="102" t="s">
        <v>24</v>
      </c>
      <c r="AC48" s="102" t="s">
        <v>24</v>
      </c>
      <c r="AD48" s="102" t="s">
        <v>24</v>
      </c>
      <c r="AE48" s="102" t="s">
        <v>24</v>
      </c>
      <c r="AF48" s="102" t="s">
        <v>24</v>
      </c>
      <c r="AG48" s="102" t="s">
        <v>24</v>
      </c>
      <c r="AH48" s="100"/>
      <c r="AI48" s="102" t="s">
        <v>24</v>
      </c>
      <c r="AJ48" s="82"/>
      <c r="AK48" s="82"/>
    </row>
    <row r="49" spans="1:37" ht="16.5">
      <c r="A49" s="83">
        <f t="shared" si="3"/>
        <v>45</v>
      </c>
      <c r="B49" s="81" t="s">
        <v>70</v>
      </c>
      <c r="C49" s="81" t="s">
        <v>174</v>
      </c>
      <c r="D49" s="5" t="s">
        <v>49</v>
      </c>
      <c r="E49" s="102" t="s">
        <v>24</v>
      </c>
      <c r="F49" s="100"/>
      <c r="G49" s="102" t="s">
        <v>24</v>
      </c>
      <c r="H49" s="102" t="s">
        <v>24</v>
      </c>
      <c r="I49" s="102" t="s">
        <v>24</v>
      </c>
      <c r="J49" s="102" t="s">
        <v>24</v>
      </c>
      <c r="K49" s="102" t="s">
        <v>24</v>
      </c>
      <c r="L49" s="102" t="s">
        <v>24</v>
      </c>
      <c r="M49" s="100"/>
      <c r="N49" s="102" t="s">
        <v>24</v>
      </c>
      <c r="O49" s="102" t="s">
        <v>24</v>
      </c>
      <c r="P49" s="102" t="s">
        <v>24</v>
      </c>
      <c r="Q49" s="102" t="s">
        <v>24</v>
      </c>
      <c r="R49" s="102" t="s">
        <v>24</v>
      </c>
      <c r="S49" s="102" t="s">
        <v>24</v>
      </c>
      <c r="T49" s="100"/>
      <c r="U49" s="102" t="s">
        <v>24</v>
      </c>
      <c r="V49" s="102" t="s">
        <v>24</v>
      </c>
      <c r="W49" s="102" t="s">
        <v>24</v>
      </c>
      <c r="X49" s="102" t="s">
        <v>24</v>
      </c>
      <c r="Y49" s="102" t="s">
        <v>24</v>
      </c>
      <c r="Z49" s="102" t="s">
        <v>24</v>
      </c>
      <c r="AA49" s="100"/>
      <c r="AB49" s="102" t="s">
        <v>24</v>
      </c>
      <c r="AC49" s="102" t="s">
        <v>24</v>
      </c>
      <c r="AD49" s="102" t="s">
        <v>24</v>
      </c>
      <c r="AE49" s="102" t="s">
        <v>24</v>
      </c>
      <c r="AF49" s="102" t="s">
        <v>24</v>
      </c>
      <c r="AG49" s="102" t="s">
        <v>24</v>
      </c>
      <c r="AH49" s="100"/>
      <c r="AI49" s="102" t="s">
        <v>24</v>
      </c>
      <c r="AJ49" s="82"/>
      <c r="AK49" s="82"/>
    </row>
    <row r="50" spans="1:37" ht="16.5">
      <c r="A50" s="83">
        <f t="shared" si="3"/>
        <v>46</v>
      </c>
      <c r="B50" s="81" t="s">
        <v>195</v>
      </c>
      <c r="C50" s="81" t="s">
        <v>196</v>
      </c>
      <c r="D50" s="5" t="s">
        <v>49</v>
      </c>
      <c r="E50" s="102" t="s">
        <v>24</v>
      </c>
      <c r="F50" s="100"/>
      <c r="G50" s="102" t="s">
        <v>24</v>
      </c>
      <c r="H50" s="102" t="s">
        <v>24</v>
      </c>
      <c r="I50" s="102" t="s">
        <v>24</v>
      </c>
      <c r="J50" s="102" t="s">
        <v>24</v>
      </c>
      <c r="K50" s="102" t="s">
        <v>24</v>
      </c>
      <c r="L50" s="102" t="s">
        <v>24</v>
      </c>
      <c r="M50" s="100"/>
      <c r="N50" s="102" t="s">
        <v>24</v>
      </c>
      <c r="O50" s="102" t="s">
        <v>24</v>
      </c>
      <c r="P50" s="102" t="s">
        <v>24</v>
      </c>
      <c r="Q50" s="102" t="s">
        <v>24</v>
      </c>
      <c r="R50" s="102" t="s">
        <v>24</v>
      </c>
      <c r="S50" s="102" t="s">
        <v>24</v>
      </c>
      <c r="T50" s="100"/>
      <c r="U50" s="102" t="s">
        <v>24</v>
      </c>
      <c r="V50" s="102" t="s">
        <v>24</v>
      </c>
      <c r="W50" s="102" t="s">
        <v>24</v>
      </c>
      <c r="X50" s="102" t="s">
        <v>24</v>
      </c>
      <c r="Y50" s="102" t="s">
        <v>24</v>
      </c>
      <c r="Z50" s="102" t="s">
        <v>24</v>
      </c>
      <c r="AA50" s="100"/>
      <c r="AB50" s="102" t="s">
        <v>24</v>
      </c>
      <c r="AC50" s="102" t="s">
        <v>24</v>
      </c>
      <c r="AD50" s="102" t="s">
        <v>24</v>
      </c>
      <c r="AE50" s="102" t="s">
        <v>24</v>
      </c>
      <c r="AF50" s="102" t="s">
        <v>24</v>
      </c>
      <c r="AG50" s="102" t="s">
        <v>24</v>
      </c>
      <c r="AH50" s="100"/>
      <c r="AI50" s="102" t="s">
        <v>24</v>
      </c>
      <c r="AJ50" s="82"/>
      <c r="AK50" s="82"/>
    </row>
    <row r="51" spans="1:37" ht="16.5">
      <c r="A51" s="83">
        <f t="shared" si="3"/>
        <v>47</v>
      </c>
      <c r="B51" s="81" t="s">
        <v>197</v>
      </c>
      <c r="C51" s="81" t="s">
        <v>198</v>
      </c>
      <c r="D51" s="5" t="s">
        <v>49</v>
      </c>
      <c r="E51" s="102" t="s">
        <v>24</v>
      </c>
      <c r="F51" s="101"/>
      <c r="G51" s="102" t="s">
        <v>24</v>
      </c>
      <c r="H51" s="102" t="s">
        <v>24</v>
      </c>
      <c r="I51" s="102" t="s">
        <v>24</v>
      </c>
      <c r="J51" s="102" t="s">
        <v>24</v>
      </c>
      <c r="K51" s="102" t="s">
        <v>24</v>
      </c>
      <c r="L51" s="102" t="s">
        <v>24</v>
      </c>
      <c r="M51" s="101"/>
      <c r="N51" s="102" t="s">
        <v>24</v>
      </c>
      <c r="O51" s="102" t="s">
        <v>24</v>
      </c>
      <c r="P51" s="102" t="s">
        <v>24</v>
      </c>
      <c r="Q51" s="102" t="s">
        <v>24</v>
      </c>
      <c r="R51" s="102" t="s">
        <v>24</v>
      </c>
      <c r="S51" s="102" t="s">
        <v>24</v>
      </c>
      <c r="T51" s="101"/>
      <c r="U51" s="102" t="s">
        <v>24</v>
      </c>
      <c r="V51" s="102" t="s">
        <v>24</v>
      </c>
      <c r="W51" s="102" t="s">
        <v>24</v>
      </c>
      <c r="X51" s="102" t="s">
        <v>24</v>
      </c>
      <c r="Y51" s="102" t="s">
        <v>24</v>
      </c>
      <c r="Z51" s="102" t="s">
        <v>24</v>
      </c>
      <c r="AA51" s="101"/>
      <c r="AB51" s="102" t="s">
        <v>24</v>
      </c>
      <c r="AC51" s="102" t="s">
        <v>24</v>
      </c>
      <c r="AD51" s="102" t="s">
        <v>24</v>
      </c>
      <c r="AE51" s="102" t="s">
        <v>24</v>
      </c>
      <c r="AF51" s="102" t="s">
        <v>24</v>
      </c>
      <c r="AG51" s="102" t="s">
        <v>24</v>
      </c>
      <c r="AH51" s="101"/>
      <c r="AI51" s="102" t="s">
        <v>24</v>
      </c>
      <c r="AJ51" s="82"/>
      <c r="AK51" s="82"/>
    </row>
  </sheetData>
  <mergeCells count="16">
    <mergeCell ref="AH5:AH51"/>
    <mergeCell ref="A1:AI1"/>
    <mergeCell ref="A2:AI2"/>
    <mergeCell ref="A3:A4"/>
    <mergeCell ref="B3:B4"/>
    <mergeCell ref="C3:C4"/>
    <mergeCell ref="D3:D4"/>
    <mergeCell ref="F5:F51"/>
    <mergeCell ref="AA5:AA51"/>
    <mergeCell ref="M5:M51"/>
    <mergeCell ref="T5:T51"/>
    <mergeCell ref="AK3:AK4"/>
    <mergeCell ref="AL3:AM3"/>
    <mergeCell ref="AL11:AO11"/>
    <mergeCell ref="AL19:AO19"/>
    <mergeCell ref="AJ3:AJ4"/>
  </mergeCells>
  <phoneticPr fontId="19" type="noConversion"/>
  <conditionalFormatting sqref="E5:E51">
    <cfRule type="cellIs" dxfId="1262" priority="236" operator="equal">
      <formula>"L"</formula>
    </cfRule>
    <cfRule type="expression" dxfId="1261" priority="237">
      <formula>E$4=TODAY()</formula>
    </cfRule>
    <cfRule type="cellIs" dxfId="1260" priority="238" operator="equal">
      <formula>"A"</formula>
    </cfRule>
    <cfRule type="cellIs" dxfId="1259" priority="239" operator="equal">
      <formula>"P"</formula>
    </cfRule>
    <cfRule type="expression" dxfId="1258" priority="240">
      <formula>E$3="Sun"</formula>
    </cfRule>
  </conditionalFormatting>
  <conditionalFormatting sqref="E3:AI4">
    <cfRule type="expression" dxfId="1252" priority="253">
      <formula>E$4=TODAY()</formula>
    </cfRule>
    <cfRule type="expression" dxfId="1251" priority="256">
      <formula>E$3="Sun"</formula>
    </cfRule>
  </conditionalFormatting>
  <conditionalFormatting sqref="AJ3:AK3 AJ5:AK40">
    <cfRule type="expression" dxfId="1217" priority="257">
      <formula>#REF!="Sun"</formula>
    </cfRule>
  </conditionalFormatting>
  <conditionalFormatting sqref="AL5:AL9">
    <cfRule type="expression" dxfId="1216" priority="249">
      <formula>AL$3="Sun"</formula>
    </cfRule>
  </conditionalFormatting>
  <conditionalFormatting sqref="AL12:AL15">
    <cfRule type="expression" dxfId="1215" priority="247">
      <formula>AL$3="Sun"</formula>
    </cfRule>
  </conditionalFormatting>
  <conditionalFormatting sqref="AL20:AL23">
    <cfRule type="expression" dxfId="1214" priority="246">
      <formula>AL$3="Sun"</formula>
    </cfRule>
  </conditionalFormatting>
  <conditionalFormatting sqref="AL4:AM4">
    <cfRule type="expression" dxfId="1213" priority="250">
      <formula>AL$3="Sun"</formula>
    </cfRule>
  </conditionalFormatting>
  <conditionalFormatting sqref="AM12:AO12 AM20:AO20">
    <cfRule type="expression" dxfId="1212" priority="251">
      <formula>AM$3="Sun"</formula>
    </cfRule>
  </conditionalFormatting>
  <conditionalFormatting sqref="AO21">
    <cfRule type="expression" dxfId="1211" priority="248">
      <formula>AO$3="Sun"</formula>
    </cfRule>
  </conditionalFormatting>
  <conditionalFormatting sqref="H5:H51">
    <cfRule type="cellIs" dxfId="1195" priority="181" operator="equal">
      <formula>"L"</formula>
    </cfRule>
    <cfRule type="expression" dxfId="1194" priority="182">
      <formula>H$4=TODAY()</formula>
    </cfRule>
    <cfRule type="cellIs" dxfId="1193" priority="183" operator="equal">
      <formula>"A"</formula>
    </cfRule>
    <cfRule type="cellIs" dxfId="1192" priority="184" operator="equal">
      <formula>"P"</formula>
    </cfRule>
    <cfRule type="expression" dxfId="1191" priority="185">
      <formula>H$3="Sun"</formula>
    </cfRule>
  </conditionalFormatting>
  <conditionalFormatting sqref="I5:I51">
    <cfRule type="cellIs" dxfId="1190" priority="176" operator="equal">
      <formula>"L"</formula>
    </cfRule>
    <cfRule type="expression" dxfId="1189" priority="177">
      <formula>I$4=TODAY()</formula>
    </cfRule>
    <cfRule type="cellIs" dxfId="1188" priority="178" operator="equal">
      <formula>"A"</formula>
    </cfRule>
    <cfRule type="cellIs" dxfId="1187" priority="179" operator="equal">
      <formula>"P"</formula>
    </cfRule>
    <cfRule type="expression" dxfId="1186" priority="180">
      <formula>I$3="Sun"</formula>
    </cfRule>
  </conditionalFormatting>
  <conditionalFormatting sqref="J5:J51">
    <cfRule type="cellIs" dxfId="1185" priority="171" operator="equal">
      <formula>"L"</formula>
    </cfRule>
    <cfRule type="expression" dxfId="1184" priority="172">
      <formula>J$4=TODAY()</formula>
    </cfRule>
    <cfRule type="cellIs" dxfId="1183" priority="173" operator="equal">
      <formula>"A"</formula>
    </cfRule>
    <cfRule type="cellIs" dxfId="1182" priority="174" operator="equal">
      <formula>"P"</formula>
    </cfRule>
    <cfRule type="expression" dxfId="1181" priority="175">
      <formula>J$3="Sun"</formula>
    </cfRule>
  </conditionalFormatting>
  <conditionalFormatting sqref="K5:K51">
    <cfRule type="cellIs" dxfId="1180" priority="166" operator="equal">
      <formula>"L"</formula>
    </cfRule>
    <cfRule type="expression" dxfId="1179" priority="167">
      <formula>K$4=TODAY()</formula>
    </cfRule>
    <cfRule type="cellIs" dxfId="1178" priority="168" operator="equal">
      <formula>"A"</formula>
    </cfRule>
    <cfRule type="cellIs" dxfId="1177" priority="169" operator="equal">
      <formula>"P"</formula>
    </cfRule>
    <cfRule type="expression" dxfId="1176" priority="170">
      <formula>K$3="Sun"</formula>
    </cfRule>
  </conditionalFormatting>
  <conditionalFormatting sqref="L5:L51">
    <cfRule type="cellIs" dxfId="1175" priority="161" operator="equal">
      <formula>"L"</formula>
    </cfRule>
    <cfRule type="expression" dxfId="1174" priority="162">
      <formula>L$4=TODAY()</formula>
    </cfRule>
    <cfRule type="cellIs" dxfId="1173" priority="163" operator="equal">
      <formula>"A"</formula>
    </cfRule>
    <cfRule type="cellIs" dxfId="1172" priority="164" operator="equal">
      <formula>"P"</formula>
    </cfRule>
    <cfRule type="expression" dxfId="1171" priority="165">
      <formula>L$3="Sun"</formula>
    </cfRule>
  </conditionalFormatting>
  <conditionalFormatting sqref="F5">
    <cfRule type="cellIs" dxfId="1170" priority="156" operator="equal">
      <formula>"L"</formula>
    </cfRule>
    <cfRule type="expression" dxfId="1169" priority="157">
      <formula>F$4=TODAY()</formula>
    </cfRule>
    <cfRule type="cellIs" dxfId="1168" priority="158" operator="equal">
      <formula>"A"</formula>
    </cfRule>
    <cfRule type="cellIs" dxfId="1167" priority="159" operator="equal">
      <formula>"P"</formula>
    </cfRule>
    <cfRule type="expression" dxfId="1166" priority="160">
      <formula>F$3="Sun"</formula>
    </cfRule>
  </conditionalFormatting>
  <conditionalFormatting sqref="O5:O51">
    <cfRule type="cellIs" dxfId="1145" priority="131" operator="equal">
      <formula>"L"</formula>
    </cfRule>
    <cfRule type="expression" dxfId="1144" priority="132">
      <formula>O$4=TODAY()</formula>
    </cfRule>
    <cfRule type="cellIs" dxfId="1143" priority="133" operator="equal">
      <formula>"A"</formula>
    </cfRule>
    <cfRule type="cellIs" dxfId="1142" priority="134" operator="equal">
      <formula>"P"</formula>
    </cfRule>
    <cfRule type="expression" dxfId="1141" priority="135">
      <formula>O$3="Sun"</formula>
    </cfRule>
  </conditionalFormatting>
  <conditionalFormatting sqref="P5:P51">
    <cfRule type="cellIs" dxfId="1140" priority="126" operator="equal">
      <formula>"L"</formula>
    </cfRule>
    <cfRule type="expression" dxfId="1139" priority="127">
      <formula>P$4=TODAY()</formula>
    </cfRule>
    <cfRule type="cellIs" dxfId="1138" priority="128" operator="equal">
      <formula>"A"</formula>
    </cfRule>
    <cfRule type="cellIs" dxfId="1137" priority="129" operator="equal">
      <formula>"P"</formula>
    </cfRule>
    <cfRule type="expression" dxfId="1136" priority="130">
      <formula>P$3="Sun"</formula>
    </cfRule>
  </conditionalFormatting>
  <conditionalFormatting sqref="Q5:Q51">
    <cfRule type="cellIs" dxfId="1135" priority="121" operator="equal">
      <formula>"L"</formula>
    </cfRule>
    <cfRule type="expression" dxfId="1134" priority="122">
      <formula>Q$4=TODAY()</formula>
    </cfRule>
    <cfRule type="cellIs" dxfId="1133" priority="123" operator="equal">
      <formula>"A"</formula>
    </cfRule>
    <cfRule type="cellIs" dxfId="1132" priority="124" operator="equal">
      <formula>"P"</formula>
    </cfRule>
    <cfRule type="expression" dxfId="1131" priority="125">
      <formula>Q$3="Sun"</formula>
    </cfRule>
  </conditionalFormatting>
  <conditionalFormatting sqref="R5:R51">
    <cfRule type="cellIs" dxfId="1130" priority="116" operator="equal">
      <formula>"L"</formula>
    </cfRule>
    <cfRule type="expression" dxfId="1129" priority="117">
      <formula>R$4=TODAY()</formula>
    </cfRule>
    <cfRule type="cellIs" dxfId="1128" priority="118" operator="equal">
      <formula>"A"</formula>
    </cfRule>
    <cfRule type="cellIs" dxfId="1127" priority="119" operator="equal">
      <formula>"P"</formula>
    </cfRule>
    <cfRule type="expression" dxfId="1126" priority="120">
      <formula>R$3="Sun"</formula>
    </cfRule>
  </conditionalFormatting>
  <conditionalFormatting sqref="S5:S51">
    <cfRule type="cellIs" dxfId="1125" priority="111" operator="equal">
      <formula>"L"</formula>
    </cfRule>
    <cfRule type="expression" dxfId="1124" priority="112">
      <formula>S$4=TODAY()</formula>
    </cfRule>
    <cfRule type="cellIs" dxfId="1123" priority="113" operator="equal">
      <formula>"A"</formula>
    </cfRule>
    <cfRule type="cellIs" dxfId="1122" priority="114" operator="equal">
      <formula>"P"</formula>
    </cfRule>
    <cfRule type="expression" dxfId="1121" priority="115">
      <formula>S$3="Sun"</formula>
    </cfRule>
  </conditionalFormatting>
  <conditionalFormatting sqref="V5:V51">
    <cfRule type="cellIs" dxfId="1115" priority="101" operator="equal">
      <formula>"L"</formula>
    </cfRule>
    <cfRule type="expression" dxfId="1114" priority="102">
      <formula>V$4=TODAY()</formula>
    </cfRule>
    <cfRule type="cellIs" dxfId="1113" priority="103" operator="equal">
      <formula>"A"</formula>
    </cfRule>
    <cfRule type="cellIs" dxfId="1112" priority="104" operator="equal">
      <formula>"P"</formula>
    </cfRule>
    <cfRule type="expression" dxfId="1111" priority="105">
      <formula>V$3="Sun"</formula>
    </cfRule>
  </conditionalFormatting>
  <conditionalFormatting sqref="W5:W51">
    <cfRule type="cellIs" dxfId="1110" priority="96" operator="equal">
      <formula>"L"</formula>
    </cfRule>
    <cfRule type="expression" dxfId="1109" priority="97">
      <formula>W$4=TODAY()</formula>
    </cfRule>
    <cfRule type="cellIs" dxfId="1108" priority="98" operator="equal">
      <formula>"A"</formula>
    </cfRule>
    <cfRule type="cellIs" dxfId="1107" priority="99" operator="equal">
      <formula>"P"</formula>
    </cfRule>
    <cfRule type="expression" dxfId="1106" priority="100">
      <formula>W$3="Sun"</formula>
    </cfRule>
  </conditionalFormatting>
  <conditionalFormatting sqref="X5:X51">
    <cfRule type="cellIs" dxfId="1105" priority="91" operator="equal">
      <formula>"L"</formula>
    </cfRule>
    <cfRule type="expression" dxfId="1104" priority="92">
      <formula>X$4=TODAY()</formula>
    </cfRule>
    <cfRule type="cellIs" dxfId="1103" priority="93" operator="equal">
      <formula>"A"</formula>
    </cfRule>
    <cfRule type="cellIs" dxfId="1102" priority="94" operator="equal">
      <formula>"P"</formula>
    </cfRule>
    <cfRule type="expression" dxfId="1101" priority="95">
      <formula>X$3="Sun"</formula>
    </cfRule>
  </conditionalFormatting>
  <conditionalFormatting sqref="Y5:Y51">
    <cfRule type="cellIs" dxfId="1100" priority="86" operator="equal">
      <formula>"L"</formula>
    </cfRule>
    <cfRule type="expression" dxfId="1099" priority="87">
      <formula>Y$4=TODAY()</formula>
    </cfRule>
    <cfRule type="cellIs" dxfId="1098" priority="88" operator="equal">
      <formula>"A"</formula>
    </cfRule>
    <cfRule type="cellIs" dxfId="1097" priority="89" operator="equal">
      <formula>"P"</formula>
    </cfRule>
    <cfRule type="expression" dxfId="1096" priority="90">
      <formula>Y$3="Sun"</formula>
    </cfRule>
  </conditionalFormatting>
  <conditionalFormatting sqref="Z5:Z51">
    <cfRule type="cellIs" dxfId="1095" priority="81" operator="equal">
      <formula>"L"</formula>
    </cfRule>
    <cfRule type="expression" dxfId="1094" priority="82">
      <formula>Z$4=TODAY()</formula>
    </cfRule>
    <cfRule type="cellIs" dxfId="1093" priority="83" operator="equal">
      <formula>"A"</formula>
    </cfRule>
    <cfRule type="cellIs" dxfId="1092" priority="84" operator="equal">
      <formula>"P"</formula>
    </cfRule>
    <cfRule type="expression" dxfId="1091" priority="85">
      <formula>Z$3="Sun"</formula>
    </cfRule>
  </conditionalFormatting>
  <conditionalFormatting sqref="AC5:AC51">
    <cfRule type="cellIs" dxfId="1085" priority="71" operator="equal">
      <formula>"L"</formula>
    </cfRule>
    <cfRule type="expression" dxfId="1084" priority="72">
      <formula>AC$4=TODAY()</formula>
    </cfRule>
    <cfRule type="cellIs" dxfId="1083" priority="73" operator="equal">
      <formula>"A"</formula>
    </cfRule>
    <cfRule type="cellIs" dxfId="1082" priority="74" operator="equal">
      <formula>"P"</formula>
    </cfRule>
    <cfRule type="expression" dxfId="1081" priority="75">
      <formula>AC$3="Sun"</formula>
    </cfRule>
  </conditionalFormatting>
  <conditionalFormatting sqref="AD5:AD51">
    <cfRule type="cellIs" dxfId="1080" priority="66" operator="equal">
      <formula>"L"</formula>
    </cfRule>
    <cfRule type="expression" dxfId="1079" priority="67">
      <formula>AD$4=TODAY()</formula>
    </cfRule>
    <cfRule type="cellIs" dxfId="1078" priority="68" operator="equal">
      <formula>"A"</formula>
    </cfRule>
    <cfRule type="cellIs" dxfId="1077" priority="69" operator="equal">
      <formula>"P"</formula>
    </cfRule>
    <cfRule type="expression" dxfId="1076" priority="70">
      <formula>AD$3="Sun"</formula>
    </cfRule>
  </conditionalFormatting>
  <conditionalFormatting sqref="AE5:AE51">
    <cfRule type="cellIs" dxfId="1075" priority="61" operator="equal">
      <formula>"L"</formula>
    </cfRule>
    <cfRule type="expression" dxfId="1074" priority="62">
      <formula>AE$4=TODAY()</formula>
    </cfRule>
    <cfRule type="cellIs" dxfId="1073" priority="63" operator="equal">
      <formula>"A"</formula>
    </cfRule>
    <cfRule type="cellIs" dxfId="1072" priority="64" operator="equal">
      <formula>"P"</formula>
    </cfRule>
    <cfRule type="expression" dxfId="1071" priority="65">
      <formula>AE$3="Sun"</formula>
    </cfRule>
  </conditionalFormatting>
  <conditionalFormatting sqref="AF5:AF51">
    <cfRule type="cellIs" dxfId="1070" priority="56" operator="equal">
      <formula>"L"</formula>
    </cfRule>
    <cfRule type="expression" dxfId="1069" priority="57">
      <formula>AF$4=TODAY()</formula>
    </cfRule>
    <cfRule type="cellIs" dxfId="1068" priority="58" operator="equal">
      <formula>"A"</formula>
    </cfRule>
    <cfRule type="cellIs" dxfId="1067" priority="59" operator="equal">
      <formula>"P"</formula>
    </cfRule>
    <cfRule type="expression" dxfId="1066" priority="60">
      <formula>AF$3="Sun"</formula>
    </cfRule>
  </conditionalFormatting>
  <conditionalFormatting sqref="AG5:AG51">
    <cfRule type="cellIs" dxfId="1065" priority="51" operator="equal">
      <formula>"L"</formula>
    </cfRule>
    <cfRule type="expression" dxfId="1064" priority="52">
      <formula>AG$4=TODAY()</formula>
    </cfRule>
    <cfRule type="cellIs" dxfId="1063" priority="53" operator="equal">
      <formula>"A"</formula>
    </cfRule>
    <cfRule type="cellIs" dxfId="1062" priority="54" operator="equal">
      <formula>"P"</formula>
    </cfRule>
    <cfRule type="expression" dxfId="1061" priority="55">
      <formula>AG$3="Sun"</formula>
    </cfRule>
  </conditionalFormatting>
  <conditionalFormatting sqref="M5">
    <cfRule type="cellIs" dxfId="179" priority="41" operator="equal">
      <formula>"L"</formula>
    </cfRule>
    <cfRule type="expression" dxfId="178" priority="42">
      <formula>M$4=TODAY()</formula>
    </cfRule>
    <cfRule type="cellIs" dxfId="177" priority="43" operator="equal">
      <formula>"A"</formula>
    </cfRule>
    <cfRule type="cellIs" dxfId="176" priority="44" operator="equal">
      <formula>"P"</formula>
    </cfRule>
    <cfRule type="expression" dxfId="175" priority="45">
      <formula>M$3="Sun"</formula>
    </cfRule>
  </conditionalFormatting>
  <conditionalFormatting sqref="T5">
    <cfRule type="cellIs" dxfId="174" priority="36" operator="equal">
      <formula>"L"</formula>
    </cfRule>
    <cfRule type="expression" dxfId="173" priority="37">
      <formula>T$4=TODAY()</formula>
    </cfRule>
    <cfRule type="cellIs" dxfId="172" priority="38" operator="equal">
      <formula>"A"</formula>
    </cfRule>
    <cfRule type="cellIs" dxfId="171" priority="39" operator="equal">
      <formula>"P"</formula>
    </cfRule>
    <cfRule type="expression" dxfId="170" priority="40">
      <formula>T$3="Sun"</formula>
    </cfRule>
  </conditionalFormatting>
  <conditionalFormatting sqref="AA5">
    <cfRule type="cellIs" dxfId="169" priority="31" operator="equal">
      <formula>"L"</formula>
    </cfRule>
    <cfRule type="expression" dxfId="168" priority="32">
      <formula>AA$4=TODAY()</formula>
    </cfRule>
    <cfRule type="cellIs" dxfId="167" priority="33" operator="equal">
      <formula>"A"</formula>
    </cfRule>
    <cfRule type="cellIs" dxfId="166" priority="34" operator="equal">
      <formula>"P"</formula>
    </cfRule>
    <cfRule type="expression" dxfId="165" priority="35">
      <formula>AA$3="Sun"</formula>
    </cfRule>
  </conditionalFormatting>
  <conditionalFormatting sqref="AH5">
    <cfRule type="cellIs" dxfId="164" priority="26" operator="equal">
      <formula>"L"</formula>
    </cfRule>
    <cfRule type="expression" dxfId="163" priority="27">
      <formula>AH$4=TODAY()</formula>
    </cfRule>
    <cfRule type="cellIs" dxfId="162" priority="28" operator="equal">
      <formula>"A"</formula>
    </cfRule>
    <cfRule type="cellIs" dxfId="161" priority="29" operator="equal">
      <formula>"P"</formula>
    </cfRule>
    <cfRule type="expression" dxfId="160" priority="30">
      <formula>AH$3="Sun"</formula>
    </cfRule>
  </conditionalFormatting>
  <conditionalFormatting sqref="G5:G51">
    <cfRule type="cellIs" dxfId="159" priority="21" operator="equal">
      <formula>"L"</formula>
    </cfRule>
    <cfRule type="expression" dxfId="158" priority="22">
      <formula>G$4=TODAY()</formula>
    </cfRule>
    <cfRule type="cellIs" dxfId="157" priority="23" operator="equal">
      <formula>"A"</formula>
    </cfRule>
    <cfRule type="cellIs" dxfId="156" priority="24" operator="equal">
      <formula>"P"</formula>
    </cfRule>
    <cfRule type="expression" dxfId="155" priority="25">
      <formula>G$3="Sun"</formula>
    </cfRule>
  </conditionalFormatting>
  <conditionalFormatting sqref="N5:N51">
    <cfRule type="cellIs" dxfId="154" priority="16" operator="equal">
      <formula>"L"</formula>
    </cfRule>
    <cfRule type="expression" dxfId="153" priority="17">
      <formula>N$4=TODAY()</formula>
    </cfRule>
    <cfRule type="cellIs" dxfId="152" priority="18" operator="equal">
      <formula>"A"</formula>
    </cfRule>
    <cfRule type="cellIs" dxfId="151" priority="19" operator="equal">
      <formula>"P"</formula>
    </cfRule>
    <cfRule type="expression" dxfId="150" priority="20">
      <formula>N$3="Sun"</formula>
    </cfRule>
  </conditionalFormatting>
  <conditionalFormatting sqref="U5:U51">
    <cfRule type="cellIs" dxfId="149" priority="11" operator="equal">
      <formula>"L"</formula>
    </cfRule>
    <cfRule type="expression" dxfId="148" priority="12">
      <formula>U$4=TODAY()</formula>
    </cfRule>
    <cfRule type="cellIs" dxfId="147" priority="13" operator="equal">
      <formula>"A"</formula>
    </cfRule>
    <cfRule type="cellIs" dxfId="146" priority="14" operator="equal">
      <formula>"P"</formula>
    </cfRule>
    <cfRule type="expression" dxfId="145" priority="15">
      <formula>U$3="Sun"</formula>
    </cfRule>
  </conditionalFormatting>
  <conditionalFormatting sqref="AB5:AB51">
    <cfRule type="cellIs" dxfId="144" priority="6" operator="equal">
      <formula>"L"</formula>
    </cfRule>
    <cfRule type="expression" dxfId="143" priority="7">
      <formula>AB$4=TODAY()</formula>
    </cfRule>
    <cfRule type="cellIs" dxfId="142" priority="8" operator="equal">
      <formula>"A"</formula>
    </cfRule>
    <cfRule type="cellIs" dxfId="141" priority="9" operator="equal">
      <formula>"P"</formula>
    </cfRule>
    <cfRule type="expression" dxfId="140" priority="10">
      <formula>AB$3="Sun"</formula>
    </cfRule>
  </conditionalFormatting>
  <conditionalFormatting sqref="AI5:AI51">
    <cfRule type="cellIs" dxfId="139" priority="1" operator="equal">
      <formula>"L"</formula>
    </cfRule>
    <cfRule type="expression" dxfId="138" priority="2">
      <formula>AI$4=TODAY()</formula>
    </cfRule>
    <cfRule type="cellIs" dxfId="137" priority="3" operator="equal">
      <formula>"A"</formula>
    </cfRule>
    <cfRule type="cellIs" dxfId="136" priority="4" operator="equal">
      <formula>"P"</formula>
    </cfRule>
    <cfRule type="expression" dxfId="135" priority="5">
      <formula>AI$3="Sun"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O22"/>
  <sheetViews>
    <sheetView topLeftCell="C1" zoomScaleNormal="100" workbookViewId="0">
      <selection activeCell="AI5" sqref="AI5:AI2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4" width="3.7109375" style="1" bestFit="1" customWidth="1"/>
    <col min="35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99</v>
      </c>
      <c r="C5" s="78" t="s">
        <v>100</v>
      </c>
      <c r="D5" s="12" t="s">
        <v>54</v>
      </c>
      <c r="E5" s="102" t="s">
        <v>24</v>
      </c>
      <c r="F5" s="95" t="s">
        <v>399</v>
      </c>
      <c r="G5" s="102" t="s">
        <v>24</v>
      </c>
      <c r="H5" s="102" t="s">
        <v>24</v>
      </c>
      <c r="I5" s="102" t="s">
        <v>24</v>
      </c>
      <c r="J5" s="102" t="s">
        <v>24</v>
      </c>
      <c r="K5" s="102" t="s">
        <v>24</v>
      </c>
      <c r="L5" s="102" t="s">
        <v>24</v>
      </c>
      <c r="M5" s="95" t="s">
        <v>399</v>
      </c>
      <c r="N5" s="102" t="s">
        <v>24</v>
      </c>
      <c r="O5" s="102" t="s">
        <v>24</v>
      </c>
      <c r="P5" s="102" t="s">
        <v>24</v>
      </c>
      <c r="Q5" s="102" t="s">
        <v>24</v>
      </c>
      <c r="R5" s="102" t="s">
        <v>24</v>
      </c>
      <c r="S5" s="102" t="s">
        <v>24</v>
      </c>
      <c r="T5" s="95" t="s">
        <v>399</v>
      </c>
      <c r="U5" s="102" t="s">
        <v>24</v>
      </c>
      <c r="V5" s="102" t="s">
        <v>24</v>
      </c>
      <c r="W5" s="102" t="s">
        <v>24</v>
      </c>
      <c r="X5" s="102" t="s">
        <v>24</v>
      </c>
      <c r="Y5" s="102" t="s">
        <v>24</v>
      </c>
      <c r="Z5" s="102" t="s">
        <v>24</v>
      </c>
      <c r="AA5" s="95" t="s">
        <v>399</v>
      </c>
      <c r="AB5" s="102" t="s">
        <v>24</v>
      </c>
      <c r="AC5" s="102" t="s">
        <v>24</v>
      </c>
      <c r="AD5" s="102" t="s">
        <v>24</v>
      </c>
      <c r="AE5" s="102" t="s">
        <v>24</v>
      </c>
      <c r="AF5" s="102" t="s">
        <v>24</v>
      </c>
      <c r="AG5" s="102" t="s">
        <v>24</v>
      </c>
      <c r="AH5" s="95" t="s">
        <v>399</v>
      </c>
      <c r="AI5" s="102" t="s">
        <v>24</v>
      </c>
      <c r="AJ5" s="4">
        <f t="shared" ref="AJ5:AJ22" si="1">COUNTIF(E5:AI5,"P")</f>
        <v>26</v>
      </c>
      <c r="AK5" s="4">
        <f t="shared" ref="AK5:AK22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101</v>
      </c>
      <c r="C6" s="78" t="s">
        <v>102</v>
      </c>
      <c r="D6" s="12" t="s">
        <v>54</v>
      </c>
      <c r="E6" s="102" t="s">
        <v>24</v>
      </c>
      <c r="F6" s="95"/>
      <c r="G6" s="102" t="s">
        <v>24</v>
      </c>
      <c r="H6" s="102" t="s">
        <v>24</v>
      </c>
      <c r="I6" s="102" t="s">
        <v>24</v>
      </c>
      <c r="J6" s="102" t="s">
        <v>24</v>
      </c>
      <c r="K6" s="102" t="s">
        <v>24</v>
      </c>
      <c r="L6" s="102" t="s">
        <v>24</v>
      </c>
      <c r="M6" s="95"/>
      <c r="N6" s="102" t="s">
        <v>24</v>
      </c>
      <c r="O6" s="102" t="s">
        <v>24</v>
      </c>
      <c r="P6" s="102" t="s">
        <v>24</v>
      </c>
      <c r="Q6" s="102" t="s">
        <v>24</v>
      </c>
      <c r="R6" s="102" t="s">
        <v>24</v>
      </c>
      <c r="S6" s="102" t="s">
        <v>24</v>
      </c>
      <c r="T6" s="95"/>
      <c r="U6" s="102" t="s">
        <v>24</v>
      </c>
      <c r="V6" s="102" t="s">
        <v>24</v>
      </c>
      <c r="W6" s="102" t="s">
        <v>24</v>
      </c>
      <c r="X6" s="102" t="s">
        <v>24</v>
      </c>
      <c r="Y6" s="102" t="s">
        <v>24</v>
      </c>
      <c r="Z6" s="102" t="s">
        <v>24</v>
      </c>
      <c r="AA6" s="95"/>
      <c r="AB6" s="102" t="s">
        <v>24</v>
      </c>
      <c r="AC6" s="102" t="s">
        <v>24</v>
      </c>
      <c r="AD6" s="102" t="s">
        <v>24</v>
      </c>
      <c r="AE6" s="102" t="s">
        <v>24</v>
      </c>
      <c r="AF6" s="102" t="s">
        <v>24</v>
      </c>
      <c r="AG6" s="102" t="s">
        <v>24</v>
      </c>
      <c r="AH6" s="95"/>
      <c r="AI6" s="102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103</v>
      </c>
      <c r="C7" s="78" t="s">
        <v>34</v>
      </c>
      <c r="D7" s="12" t="s">
        <v>54</v>
      </c>
      <c r="E7" s="102" t="s">
        <v>24</v>
      </c>
      <c r="F7" s="95"/>
      <c r="G7" s="102" t="s">
        <v>24</v>
      </c>
      <c r="H7" s="102" t="s">
        <v>24</v>
      </c>
      <c r="I7" s="102" t="s">
        <v>24</v>
      </c>
      <c r="J7" s="102" t="s">
        <v>24</v>
      </c>
      <c r="K7" s="102" t="s">
        <v>24</v>
      </c>
      <c r="L7" s="102" t="s">
        <v>24</v>
      </c>
      <c r="M7" s="95"/>
      <c r="N7" s="102" t="s">
        <v>24</v>
      </c>
      <c r="O7" s="102" t="s">
        <v>24</v>
      </c>
      <c r="P7" s="102" t="s">
        <v>24</v>
      </c>
      <c r="Q7" s="102" t="s">
        <v>24</v>
      </c>
      <c r="R7" s="102" t="s">
        <v>24</v>
      </c>
      <c r="S7" s="102" t="s">
        <v>24</v>
      </c>
      <c r="T7" s="95"/>
      <c r="U7" s="102" t="s">
        <v>24</v>
      </c>
      <c r="V7" s="102" t="s">
        <v>24</v>
      </c>
      <c r="W7" s="102" t="s">
        <v>24</v>
      </c>
      <c r="X7" s="102" t="s">
        <v>24</v>
      </c>
      <c r="Y7" s="102" t="s">
        <v>24</v>
      </c>
      <c r="Z7" s="102" t="s">
        <v>24</v>
      </c>
      <c r="AA7" s="95"/>
      <c r="AB7" s="102" t="s">
        <v>24</v>
      </c>
      <c r="AC7" s="102" t="s">
        <v>24</v>
      </c>
      <c r="AD7" s="102" t="s">
        <v>24</v>
      </c>
      <c r="AE7" s="102" t="s">
        <v>24</v>
      </c>
      <c r="AF7" s="102" t="s">
        <v>24</v>
      </c>
      <c r="AG7" s="102" t="s">
        <v>24</v>
      </c>
      <c r="AH7" s="95"/>
      <c r="AI7" s="102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48</v>
      </c>
      <c r="C8" s="78" t="s">
        <v>104</v>
      </c>
      <c r="D8" s="12" t="s">
        <v>54</v>
      </c>
      <c r="E8" s="102" t="s">
        <v>24</v>
      </c>
      <c r="F8" s="95"/>
      <c r="G8" s="102" t="s">
        <v>24</v>
      </c>
      <c r="H8" s="102" t="s">
        <v>24</v>
      </c>
      <c r="I8" s="102" t="s">
        <v>24</v>
      </c>
      <c r="J8" s="102" t="s">
        <v>24</v>
      </c>
      <c r="K8" s="102" t="s">
        <v>24</v>
      </c>
      <c r="L8" s="102" t="s">
        <v>24</v>
      </c>
      <c r="M8" s="95"/>
      <c r="N8" s="102" t="s">
        <v>24</v>
      </c>
      <c r="O8" s="102" t="s">
        <v>24</v>
      </c>
      <c r="P8" s="102" t="s">
        <v>24</v>
      </c>
      <c r="Q8" s="102" t="s">
        <v>24</v>
      </c>
      <c r="R8" s="102" t="s">
        <v>24</v>
      </c>
      <c r="S8" s="102" t="s">
        <v>24</v>
      </c>
      <c r="T8" s="95"/>
      <c r="U8" s="102" t="s">
        <v>24</v>
      </c>
      <c r="V8" s="102" t="s">
        <v>24</v>
      </c>
      <c r="W8" s="102" t="s">
        <v>24</v>
      </c>
      <c r="X8" s="102" t="s">
        <v>24</v>
      </c>
      <c r="Y8" s="102" t="s">
        <v>24</v>
      </c>
      <c r="Z8" s="102" t="s">
        <v>24</v>
      </c>
      <c r="AA8" s="95"/>
      <c r="AB8" s="102" t="s">
        <v>24</v>
      </c>
      <c r="AC8" s="102" t="s">
        <v>24</v>
      </c>
      <c r="AD8" s="102" t="s">
        <v>24</v>
      </c>
      <c r="AE8" s="102" t="s">
        <v>24</v>
      </c>
      <c r="AF8" s="102" t="s">
        <v>24</v>
      </c>
      <c r="AG8" s="102" t="s">
        <v>24</v>
      </c>
      <c r="AH8" s="95"/>
      <c r="AI8" s="102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45</v>
      </c>
      <c r="C9" s="78" t="s">
        <v>36</v>
      </c>
      <c r="D9" s="12" t="s">
        <v>54</v>
      </c>
      <c r="E9" s="102" t="s">
        <v>24</v>
      </c>
      <c r="F9" s="95"/>
      <c r="G9" s="102" t="s">
        <v>24</v>
      </c>
      <c r="H9" s="102" t="s">
        <v>24</v>
      </c>
      <c r="I9" s="102" t="s">
        <v>24</v>
      </c>
      <c r="J9" s="102" t="s">
        <v>24</v>
      </c>
      <c r="K9" s="102" t="s">
        <v>24</v>
      </c>
      <c r="L9" s="102" t="s">
        <v>24</v>
      </c>
      <c r="M9" s="95"/>
      <c r="N9" s="102" t="s">
        <v>24</v>
      </c>
      <c r="O9" s="102" t="s">
        <v>24</v>
      </c>
      <c r="P9" s="102" t="s">
        <v>24</v>
      </c>
      <c r="Q9" s="102" t="s">
        <v>24</v>
      </c>
      <c r="R9" s="102" t="s">
        <v>24</v>
      </c>
      <c r="S9" s="102" t="s">
        <v>24</v>
      </c>
      <c r="T9" s="95"/>
      <c r="U9" s="102" t="s">
        <v>24</v>
      </c>
      <c r="V9" s="102" t="s">
        <v>24</v>
      </c>
      <c r="W9" s="102" t="s">
        <v>24</v>
      </c>
      <c r="X9" s="102" t="s">
        <v>24</v>
      </c>
      <c r="Y9" s="102" t="s">
        <v>24</v>
      </c>
      <c r="Z9" s="102" t="s">
        <v>24</v>
      </c>
      <c r="AA9" s="95"/>
      <c r="AB9" s="102" t="s">
        <v>24</v>
      </c>
      <c r="AC9" s="102" t="s">
        <v>24</v>
      </c>
      <c r="AD9" s="102" t="s">
        <v>24</v>
      </c>
      <c r="AE9" s="102" t="s">
        <v>24</v>
      </c>
      <c r="AF9" s="102" t="s">
        <v>24</v>
      </c>
      <c r="AG9" s="102" t="s">
        <v>24</v>
      </c>
      <c r="AH9" s="95"/>
      <c r="AI9" s="102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105</v>
      </c>
      <c r="C10" s="78" t="s">
        <v>106</v>
      </c>
      <c r="D10" s="12" t="s">
        <v>54</v>
      </c>
      <c r="E10" s="102" t="s">
        <v>24</v>
      </c>
      <c r="F10" s="95"/>
      <c r="G10" s="102" t="s">
        <v>24</v>
      </c>
      <c r="H10" s="102" t="s">
        <v>24</v>
      </c>
      <c r="I10" s="102" t="s">
        <v>24</v>
      </c>
      <c r="J10" s="102" t="s">
        <v>24</v>
      </c>
      <c r="K10" s="102" t="s">
        <v>24</v>
      </c>
      <c r="L10" s="102" t="s">
        <v>24</v>
      </c>
      <c r="M10" s="95"/>
      <c r="N10" s="102" t="s">
        <v>24</v>
      </c>
      <c r="O10" s="102" t="s">
        <v>24</v>
      </c>
      <c r="P10" s="102" t="s">
        <v>24</v>
      </c>
      <c r="Q10" s="102" t="s">
        <v>24</v>
      </c>
      <c r="R10" s="102" t="s">
        <v>24</v>
      </c>
      <c r="S10" s="102" t="s">
        <v>24</v>
      </c>
      <c r="T10" s="95"/>
      <c r="U10" s="102" t="s">
        <v>24</v>
      </c>
      <c r="V10" s="102" t="s">
        <v>24</v>
      </c>
      <c r="W10" s="102" t="s">
        <v>24</v>
      </c>
      <c r="X10" s="102" t="s">
        <v>24</v>
      </c>
      <c r="Y10" s="102" t="s">
        <v>24</v>
      </c>
      <c r="Z10" s="102" t="s">
        <v>24</v>
      </c>
      <c r="AA10" s="95"/>
      <c r="AB10" s="102" t="s">
        <v>24</v>
      </c>
      <c r="AC10" s="102" t="s">
        <v>24</v>
      </c>
      <c r="AD10" s="102" t="s">
        <v>24</v>
      </c>
      <c r="AE10" s="102" t="s">
        <v>24</v>
      </c>
      <c r="AF10" s="102" t="s">
        <v>24</v>
      </c>
      <c r="AG10" s="102" t="s">
        <v>24</v>
      </c>
      <c r="AH10" s="95"/>
      <c r="AI10" s="102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107</v>
      </c>
      <c r="C11" s="78" t="s">
        <v>34</v>
      </c>
      <c r="D11" s="12" t="s">
        <v>54</v>
      </c>
      <c r="E11" s="102" t="s">
        <v>24</v>
      </c>
      <c r="F11" s="95"/>
      <c r="G11" s="102" t="s">
        <v>24</v>
      </c>
      <c r="H11" s="102" t="s">
        <v>24</v>
      </c>
      <c r="I11" s="102" t="s">
        <v>24</v>
      </c>
      <c r="J11" s="102" t="s">
        <v>24</v>
      </c>
      <c r="K11" s="102" t="s">
        <v>24</v>
      </c>
      <c r="L11" s="102" t="s">
        <v>24</v>
      </c>
      <c r="M11" s="95"/>
      <c r="N11" s="102" t="s">
        <v>24</v>
      </c>
      <c r="O11" s="102" t="s">
        <v>24</v>
      </c>
      <c r="P11" s="102" t="s">
        <v>24</v>
      </c>
      <c r="Q11" s="102" t="s">
        <v>24</v>
      </c>
      <c r="R11" s="102" t="s">
        <v>24</v>
      </c>
      <c r="S11" s="102" t="s">
        <v>24</v>
      </c>
      <c r="T11" s="95"/>
      <c r="U11" s="102" t="s">
        <v>24</v>
      </c>
      <c r="V11" s="102" t="s">
        <v>24</v>
      </c>
      <c r="W11" s="102" t="s">
        <v>24</v>
      </c>
      <c r="X11" s="102" t="s">
        <v>24</v>
      </c>
      <c r="Y11" s="102" t="s">
        <v>24</v>
      </c>
      <c r="Z11" s="102" t="s">
        <v>24</v>
      </c>
      <c r="AA11" s="95"/>
      <c r="AB11" s="102" t="s">
        <v>24</v>
      </c>
      <c r="AC11" s="102" t="s">
        <v>24</v>
      </c>
      <c r="AD11" s="102" t="s">
        <v>24</v>
      </c>
      <c r="AE11" s="102" t="s">
        <v>24</v>
      </c>
      <c r="AF11" s="102" t="s">
        <v>24</v>
      </c>
      <c r="AG11" s="102" t="s">
        <v>24</v>
      </c>
      <c r="AH11" s="95"/>
      <c r="AI11" s="102" t="s">
        <v>24</v>
      </c>
      <c r="AJ11" s="4">
        <f t="shared" si="1"/>
        <v>26</v>
      </c>
      <c r="AK11" s="4">
        <f t="shared" si="2"/>
        <v>0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78" t="s">
        <v>108</v>
      </c>
      <c r="C12" s="78" t="s">
        <v>34</v>
      </c>
      <c r="D12" s="12" t="s">
        <v>54</v>
      </c>
      <c r="E12" s="102" t="s">
        <v>24</v>
      </c>
      <c r="F12" s="95"/>
      <c r="G12" s="102" t="s">
        <v>24</v>
      </c>
      <c r="H12" s="102" t="s">
        <v>24</v>
      </c>
      <c r="I12" s="102" t="s">
        <v>24</v>
      </c>
      <c r="J12" s="102" t="s">
        <v>24</v>
      </c>
      <c r="K12" s="102" t="s">
        <v>24</v>
      </c>
      <c r="L12" s="102" t="s">
        <v>24</v>
      </c>
      <c r="M12" s="95"/>
      <c r="N12" s="102" t="s">
        <v>24</v>
      </c>
      <c r="O12" s="102" t="s">
        <v>24</v>
      </c>
      <c r="P12" s="102" t="s">
        <v>24</v>
      </c>
      <c r="Q12" s="102" t="s">
        <v>24</v>
      </c>
      <c r="R12" s="102" t="s">
        <v>24</v>
      </c>
      <c r="S12" s="102" t="s">
        <v>24</v>
      </c>
      <c r="T12" s="95"/>
      <c r="U12" s="102" t="s">
        <v>24</v>
      </c>
      <c r="V12" s="102" t="s">
        <v>24</v>
      </c>
      <c r="W12" s="102" t="s">
        <v>24</v>
      </c>
      <c r="X12" s="102" t="s">
        <v>24</v>
      </c>
      <c r="Y12" s="102" t="s">
        <v>24</v>
      </c>
      <c r="Z12" s="102" t="s">
        <v>24</v>
      </c>
      <c r="AA12" s="95"/>
      <c r="AB12" s="102" t="s">
        <v>24</v>
      </c>
      <c r="AC12" s="102" t="s">
        <v>24</v>
      </c>
      <c r="AD12" s="102" t="s">
        <v>24</v>
      </c>
      <c r="AE12" s="102" t="s">
        <v>24</v>
      </c>
      <c r="AF12" s="102" t="s">
        <v>24</v>
      </c>
      <c r="AG12" s="102" t="s">
        <v>24</v>
      </c>
      <c r="AH12" s="95"/>
      <c r="AI12" s="102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57</v>
      </c>
      <c r="C13" s="78" t="s">
        <v>109</v>
      </c>
      <c r="D13" s="12" t="s">
        <v>54</v>
      </c>
      <c r="E13" s="102" t="s">
        <v>24</v>
      </c>
      <c r="F13" s="95"/>
      <c r="G13" s="102" t="s">
        <v>24</v>
      </c>
      <c r="H13" s="102" t="s">
        <v>24</v>
      </c>
      <c r="I13" s="102" t="s">
        <v>24</v>
      </c>
      <c r="J13" s="102" t="s">
        <v>24</v>
      </c>
      <c r="K13" s="102" t="s">
        <v>24</v>
      </c>
      <c r="L13" s="102" t="s">
        <v>24</v>
      </c>
      <c r="M13" s="95"/>
      <c r="N13" s="102" t="s">
        <v>24</v>
      </c>
      <c r="O13" s="102" t="s">
        <v>24</v>
      </c>
      <c r="P13" s="102" t="s">
        <v>24</v>
      </c>
      <c r="Q13" s="102" t="s">
        <v>24</v>
      </c>
      <c r="R13" s="102" t="s">
        <v>24</v>
      </c>
      <c r="S13" s="102" t="s">
        <v>24</v>
      </c>
      <c r="T13" s="95"/>
      <c r="U13" s="102" t="s">
        <v>24</v>
      </c>
      <c r="V13" s="102" t="s">
        <v>24</v>
      </c>
      <c r="W13" s="102" t="s">
        <v>24</v>
      </c>
      <c r="X13" s="102" t="s">
        <v>24</v>
      </c>
      <c r="Y13" s="102" t="s">
        <v>24</v>
      </c>
      <c r="Z13" s="102" t="s">
        <v>24</v>
      </c>
      <c r="AA13" s="95"/>
      <c r="AB13" s="102" t="s">
        <v>24</v>
      </c>
      <c r="AC13" s="102" t="s">
        <v>24</v>
      </c>
      <c r="AD13" s="102" t="s">
        <v>24</v>
      </c>
      <c r="AE13" s="102" t="s">
        <v>24</v>
      </c>
      <c r="AF13" s="102" t="s">
        <v>24</v>
      </c>
      <c r="AG13" s="102" t="s">
        <v>24</v>
      </c>
      <c r="AH13" s="95"/>
      <c r="AI13" s="102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110</v>
      </c>
      <c r="C14" s="78" t="s">
        <v>109</v>
      </c>
      <c r="D14" s="12" t="s">
        <v>54</v>
      </c>
      <c r="E14" s="102" t="s">
        <v>24</v>
      </c>
      <c r="F14" s="95"/>
      <c r="G14" s="102" t="s">
        <v>24</v>
      </c>
      <c r="H14" s="102" t="s">
        <v>24</v>
      </c>
      <c r="I14" s="102" t="s">
        <v>24</v>
      </c>
      <c r="J14" s="102" t="s">
        <v>24</v>
      </c>
      <c r="K14" s="102" t="s">
        <v>24</v>
      </c>
      <c r="L14" s="102" t="s">
        <v>24</v>
      </c>
      <c r="M14" s="95"/>
      <c r="N14" s="102" t="s">
        <v>24</v>
      </c>
      <c r="O14" s="102" t="s">
        <v>24</v>
      </c>
      <c r="P14" s="102" t="s">
        <v>24</v>
      </c>
      <c r="Q14" s="102" t="s">
        <v>24</v>
      </c>
      <c r="R14" s="102" t="s">
        <v>24</v>
      </c>
      <c r="S14" s="102" t="s">
        <v>24</v>
      </c>
      <c r="T14" s="95"/>
      <c r="U14" s="102" t="s">
        <v>24</v>
      </c>
      <c r="V14" s="102" t="s">
        <v>24</v>
      </c>
      <c r="W14" s="102" t="s">
        <v>24</v>
      </c>
      <c r="X14" s="102" t="s">
        <v>24</v>
      </c>
      <c r="Y14" s="102" t="s">
        <v>24</v>
      </c>
      <c r="Z14" s="102" t="s">
        <v>24</v>
      </c>
      <c r="AA14" s="95"/>
      <c r="AB14" s="102" t="s">
        <v>24</v>
      </c>
      <c r="AC14" s="102" t="s">
        <v>24</v>
      </c>
      <c r="AD14" s="102" t="s">
        <v>24</v>
      </c>
      <c r="AE14" s="102" t="s">
        <v>24</v>
      </c>
      <c r="AF14" s="102" t="s">
        <v>24</v>
      </c>
      <c r="AG14" s="102" t="s">
        <v>24</v>
      </c>
      <c r="AH14" s="95"/>
      <c r="AI14" s="102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SUM(AJ6,AJ9,AJ11,AJ13,AJ16,AJ21,AJ22,#REF!,#REF!,#REF!,#REF!,#REF!,#REF!,#REF!,#REF!,#REF!,#REF!,#REF!,#REF!,#REF!,#REF!,#REF!,#REF!,#REF!,#REF!,#REF!,#REF!)</f>
        <v>#REF!</v>
      </c>
      <c r="AN14" s="6" t="e">
        <f>SUM(AJ5,AJ7,AJ8,AJ10,AJ12,AJ14,AJ15,AJ17,AJ18,AJ19,AJ20,#REF!,#REF!,#REF!,#REF!,#REF!,#REF!,#REF!,#REF!,#REF!,#REF!,#REF!,#REF!,#REF!,#REF!,#REF!,#REF!)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111</v>
      </c>
      <c r="C15" s="78" t="s">
        <v>112</v>
      </c>
      <c r="D15" s="12" t="s">
        <v>54</v>
      </c>
      <c r="E15" s="102" t="s">
        <v>24</v>
      </c>
      <c r="F15" s="95"/>
      <c r="G15" s="102" t="s">
        <v>24</v>
      </c>
      <c r="H15" s="102" t="s">
        <v>24</v>
      </c>
      <c r="I15" s="102" t="s">
        <v>24</v>
      </c>
      <c r="J15" s="102" t="s">
        <v>24</v>
      </c>
      <c r="K15" s="102" t="s">
        <v>24</v>
      </c>
      <c r="L15" s="102" t="s">
        <v>24</v>
      </c>
      <c r="M15" s="95"/>
      <c r="N15" s="102" t="s">
        <v>24</v>
      </c>
      <c r="O15" s="102" t="s">
        <v>24</v>
      </c>
      <c r="P15" s="102" t="s">
        <v>24</v>
      </c>
      <c r="Q15" s="102" t="s">
        <v>24</v>
      </c>
      <c r="R15" s="102" t="s">
        <v>24</v>
      </c>
      <c r="S15" s="102" t="s">
        <v>24</v>
      </c>
      <c r="T15" s="95"/>
      <c r="U15" s="102" t="s">
        <v>24</v>
      </c>
      <c r="V15" s="102" t="s">
        <v>24</v>
      </c>
      <c r="W15" s="102" t="s">
        <v>24</v>
      </c>
      <c r="X15" s="102" t="s">
        <v>24</v>
      </c>
      <c r="Y15" s="102" t="s">
        <v>24</v>
      </c>
      <c r="Z15" s="102" t="s">
        <v>24</v>
      </c>
      <c r="AA15" s="95"/>
      <c r="AB15" s="102" t="s">
        <v>24</v>
      </c>
      <c r="AC15" s="102" t="s">
        <v>24</v>
      </c>
      <c r="AD15" s="102" t="s">
        <v>24</v>
      </c>
      <c r="AE15" s="102" t="s">
        <v>24</v>
      </c>
      <c r="AF15" s="102" t="s">
        <v>24</v>
      </c>
      <c r="AG15" s="102" t="s">
        <v>24</v>
      </c>
      <c r="AH15" s="95"/>
      <c r="AI15" s="102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113</v>
      </c>
      <c r="C16" s="78" t="s">
        <v>114</v>
      </c>
      <c r="D16" s="12" t="s">
        <v>54</v>
      </c>
      <c r="E16" s="102" t="s">
        <v>24</v>
      </c>
      <c r="F16" s="95"/>
      <c r="G16" s="102" t="s">
        <v>24</v>
      </c>
      <c r="H16" s="102" t="s">
        <v>24</v>
      </c>
      <c r="I16" s="102" t="s">
        <v>24</v>
      </c>
      <c r="J16" s="102" t="s">
        <v>24</v>
      </c>
      <c r="K16" s="102" t="s">
        <v>24</v>
      </c>
      <c r="L16" s="102" t="s">
        <v>24</v>
      </c>
      <c r="M16" s="95"/>
      <c r="N16" s="102" t="s">
        <v>24</v>
      </c>
      <c r="O16" s="102" t="s">
        <v>24</v>
      </c>
      <c r="P16" s="102" t="s">
        <v>24</v>
      </c>
      <c r="Q16" s="102" t="s">
        <v>24</v>
      </c>
      <c r="R16" s="102" t="s">
        <v>24</v>
      </c>
      <c r="S16" s="102" t="s">
        <v>24</v>
      </c>
      <c r="T16" s="95"/>
      <c r="U16" s="102" t="s">
        <v>24</v>
      </c>
      <c r="V16" s="102" t="s">
        <v>24</v>
      </c>
      <c r="W16" s="102" t="s">
        <v>24</v>
      </c>
      <c r="X16" s="102" t="s">
        <v>24</v>
      </c>
      <c r="Y16" s="102" t="s">
        <v>24</v>
      </c>
      <c r="Z16" s="102" t="s">
        <v>24</v>
      </c>
      <c r="AA16" s="95"/>
      <c r="AB16" s="102" t="s">
        <v>24</v>
      </c>
      <c r="AC16" s="102" t="s">
        <v>24</v>
      </c>
      <c r="AD16" s="102" t="s">
        <v>24</v>
      </c>
      <c r="AE16" s="102" t="s">
        <v>24</v>
      </c>
      <c r="AF16" s="102" t="s">
        <v>24</v>
      </c>
      <c r="AG16" s="102" t="s">
        <v>24</v>
      </c>
      <c r="AH16" s="95"/>
      <c r="AI16" s="102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115</v>
      </c>
      <c r="C17" s="78" t="s">
        <v>116</v>
      </c>
      <c r="D17" s="12" t="s">
        <v>54</v>
      </c>
      <c r="E17" s="102" t="s">
        <v>24</v>
      </c>
      <c r="F17" s="95"/>
      <c r="G17" s="102" t="s">
        <v>24</v>
      </c>
      <c r="H17" s="102" t="s">
        <v>24</v>
      </c>
      <c r="I17" s="102" t="s">
        <v>24</v>
      </c>
      <c r="J17" s="102" t="s">
        <v>24</v>
      </c>
      <c r="K17" s="102" t="s">
        <v>24</v>
      </c>
      <c r="L17" s="102" t="s">
        <v>24</v>
      </c>
      <c r="M17" s="95"/>
      <c r="N17" s="102" t="s">
        <v>24</v>
      </c>
      <c r="O17" s="102" t="s">
        <v>24</v>
      </c>
      <c r="P17" s="102" t="s">
        <v>24</v>
      </c>
      <c r="Q17" s="102" t="s">
        <v>24</v>
      </c>
      <c r="R17" s="102" t="s">
        <v>24</v>
      </c>
      <c r="S17" s="102" t="s">
        <v>24</v>
      </c>
      <c r="T17" s="95"/>
      <c r="U17" s="102" t="s">
        <v>24</v>
      </c>
      <c r="V17" s="102" t="s">
        <v>24</v>
      </c>
      <c r="W17" s="102" t="s">
        <v>24</v>
      </c>
      <c r="X17" s="102" t="s">
        <v>24</v>
      </c>
      <c r="Y17" s="102" t="s">
        <v>24</v>
      </c>
      <c r="Z17" s="102" t="s">
        <v>24</v>
      </c>
      <c r="AA17" s="95"/>
      <c r="AB17" s="102" t="s">
        <v>24</v>
      </c>
      <c r="AC17" s="102" t="s">
        <v>24</v>
      </c>
      <c r="AD17" s="102" t="s">
        <v>24</v>
      </c>
      <c r="AE17" s="102" t="s">
        <v>24</v>
      </c>
      <c r="AF17" s="102" t="s">
        <v>24</v>
      </c>
      <c r="AG17" s="102" t="s">
        <v>24</v>
      </c>
      <c r="AH17" s="95"/>
      <c r="AI17" s="102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117</v>
      </c>
      <c r="C18" s="78" t="s">
        <v>116</v>
      </c>
      <c r="D18" s="12" t="s">
        <v>54</v>
      </c>
      <c r="E18" s="102" t="s">
        <v>24</v>
      </c>
      <c r="F18" s="95"/>
      <c r="G18" s="102" t="s">
        <v>24</v>
      </c>
      <c r="H18" s="102" t="s">
        <v>24</v>
      </c>
      <c r="I18" s="102" t="s">
        <v>24</v>
      </c>
      <c r="J18" s="102" t="s">
        <v>24</v>
      </c>
      <c r="K18" s="102" t="s">
        <v>24</v>
      </c>
      <c r="L18" s="102" t="s">
        <v>24</v>
      </c>
      <c r="M18" s="95"/>
      <c r="N18" s="102" t="s">
        <v>24</v>
      </c>
      <c r="O18" s="102" t="s">
        <v>24</v>
      </c>
      <c r="P18" s="102" t="s">
        <v>24</v>
      </c>
      <c r="Q18" s="102" t="s">
        <v>24</v>
      </c>
      <c r="R18" s="102" t="s">
        <v>24</v>
      </c>
      <c r="S18" s="102" t="s">
        <v>24</v>
      </c>
      <c r="T18" s="95"/>
      <c r="U18" s="102" t="s">
        <v>24</v>
      </c>
      <c r="V18" s="102" t="s">
        <v>24</v>
      </c>
      <c r="W18" s="102" t="s">
        <v>24</v>
      </c>
      <c r="X18" s="102" t="s">
        <v>24</v>
      </c>
      <c r="Y18" s="102" t="s">
        <v>24</v>
      </c>
      <c r="Z18" s="102" t="s">
        <v>24</v>
      </c>
      <c r="AA18" s="95"/>
      <c r="AB18" s="102" t="s">
        <v>24</v>
      </c>
      <c r="AC18" s="102" t="s">
        <v>24</v>
      </c>
      <c r="AD18" s="102" t="s">
        <v>24</v>
      </c>
      <c r="AE18" s="102" t="s">
        <v>24</v>
      </c>
      <c r="AF18" s="102" t="s">
        <v>24</v>
      </c>
      <c r="AG18" s="102" t="s">
        <v>24</v>
      </c>
      <c r="AH18" s="95"/>
      <c r="AI18" s="102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118</v>
      </c>
      <c r="C19" s="78" t="s">
        <v>104</v>
      </c>
      <c r="D19" s="12" t="s">
        <v>54</v>
      </c>
      <c r="E19" s="102" t="s">
        <v>24</v>
      </c>
      <c r="F19" s="95"/>
      <c r="G19" s="102" t="s">
        <v>24</v>
      </c>
      <c r="H19" s="102" t="s">
        <v>24</v>
      </c>
      <c r="I19" s="102" t="s">
        <v>24</v>
      </c>
      <c r="J19" s="102" t="s">
        <v>24</v>
      </c>
      <c r="K19" s="102" t="s">
        <v>24</v>
      </c>
      <c r="L19" s="102" t="s">
        <v>24</v>
      </c>
      <c r="M19" s="95"/>
      <c r="N19" s="102" t="s">
        <v>24</v>
      </c>
      <c r="O19" s="102" t="s">
        <v>24</v>
      </c>
      <c r="P19" s="102" t="s">
        <v>24</v>
      </c>
      <c r="Q19" s="102" t="s">
        <v>24</v>
      </c>
      <c r="R19" s="102" t="s">
        <v>24</v>
      </c>
      <c r="S19" s="102" t="s">
        <v>24</v>
      </c>
      <c r="T19" s="95"/>
      <c r="U19" s="102" t="s">
        <v>24</v>
      </c>
      <c r="V19" s="102" t="s">
        <v>24</v>
      </c>
      <c r="W19" s="102" t="s">
        <v>24</v>
      </c>
      <c r="X19" s="102" t="s">
        <v>24</v>
      </c>
      <c r="Y19" s="102" t="s">
        <v>24</v>
      </c>
      <c r="Z19" s="102" t="s">
        <v>24</v>
      </c>
      <c r="AA19" s="95"/>
      <c r="AB19" s="102" t="s">
        <v>24</v>
      </c>
      <c r="AC19" s="102" t="s">
        <v>24</v>
      </c>
      <c r="AD19" s="102" t="s">
        <v>24</v>
      </c>
      <c r="AE19" s="102" t="s">
        <v>24</v>
      </c>
      <c r="AF19" s="102" t="s">
        <v>24</v>
      </c>
      <c r="AG19" s="102" t="s">
        <v>24</v>
      </c>
      <c r="AH19" s="95"/>
      <c r="AI19" s="102" t="s">
        <v>24</v>
      </c>
      <c r="AJ19" s="4">
        <f t="shared" si="1"/>
        <v>26</v>
      </c>
      <c r="AK19" s="4">
        <f t="shared" si="2"/>
        <v>0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78" t="s">
        <v>119</v>
      </c>
      <c r="C20" s="78" t="s">
        <v>120</v>
      </c>
      <c r="D20" s="12" t="s">
        <v>54</v>
      </c>
      <c r="E20" s="102" t="s">
        <v>24</v>
      </c>
      <c r="F20" s="95"/>
      <c r="G20" s="102" t="s">
        <v>24</v>
      </c>
      <c r="H20" s="102" t="s">
        <v>24</v>
      </c>
      <c r="I20" s="102" t="s">
        <v>24</v>
      </c>
      <c r="J20" s="102" t="s">
        <v>24</v>
      </c>
      <c r="K20" s="102" t="s">
        <v>24</v>
      </c>
      <c r="L20" s="102" t="s">
        <v>24</v>
      </c>
      <c r="M20" s="95"/>
      <c r="N20" s="102" t="s">
        <v>24</v>
      </c>
      <c r="O20" s="102" t="s">
        <v>24</v>
      </c>
      <c r="P20" s="102" t="s">
        <v>24</v>
      </c>
      <c r="Q20" s="102" t="s">
        <v>24</v>
      </c>
      <c r="R20" s="102" t="s">
        <v>24</v>
      </c>
      <c r="S20" s="102" t="s">
        <v>24</v>
      </c>
      <c r="T20" s="95"/>
      <c r="U20" s="102" t="s">
        <v>24</v>
      </c>
      <c r="V20" s="102" t="s">
        <v>24</v>
      </c>
      <c r="W20" s="102" t="s">
        <v>24</v>
      </c>
      <c r="X20" s="102" t="s">
        <v>24</v>
      </c>
      <c r="Y20" s="102" t="s">
        <v>24</v>
      </c>
      <c r="Z20" s="102" t="s">
        <v>24</v>
      </c>
      <c r="AA20" s="95"/>
      <c r="AB20" s="102" t="s">
        <v>24</v>
      </c>
      <c r="AC20" s="102" t="s">
        <v>24</v>
      </c>
      <c r="AD20" s="102" t="s">
        <v>24</v>
      </c>
      <c r="AE20" s="102" t="s">
        <v>24</v>
      </c>
      <c r="AF20" s="102" t="s">
        <v>24</v>
      </c>
      <c r="AG20" s="102" t="s">
        <v>24</v>
      </c>
      <c r="AH20" s="95"/>
      <c r="AI20" s="102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121</v>
      </c>
      <c r="C21" s="78" t="s">
        <v>122</v>
      </c>
      <c r="D21" s="12" t="s">
        <v>54</v>
      </c>
      <c r="E21" s="102" t="s">
        <v>24</v>
      </c>
      <c r="F21" s="95"/>
      <c r="G21" s="102" t="s">
        <v>24</v>
      </c>
      <c r="H21" s="102" t="s">
        <v>24</v>
      </c>
      <c r="I21" s="102" t="s">
        <v>24</v>
      </c>
      <c r="J21" s="102" t="s">
        <v>24</v>
      </c>
      <c r="K21" s="102" t="s">
        <v>24</v>
      </c>
      <c r="L21" s="102" t="s">
        <v>24</v>
      </c>
      <c r="M21" s="95"/>
      <c r="N21" s="102" t="s">
        <v>24</v>
      </c>
      <c r="O21" s="102" t="s">
        <v>24</v>
      </c>
      <c r="P21" s="102" t="s">
        <v>24</v>
      </c>
      <c r="Q21" s="102" t="s">
        <v>24</v>
      </c>
      <c r="R21" s="102" t="s">
        <v>24</v>
      </c>
      <c r="S21" s="102" t="s">
        <v>24</v>
      </c>
      <c r="T21" s="95"/>
      <c r="U21" s="102" t="s">
        <v>24</v>
      </c>
      <c r="V21" s="102" t="s">
        <v>24</v>
      </c>
      <c r="W21" s="102" t="s">
        <v>24</v>
      </c>
      <c r="X21" s="102" t="s">
        <v>24</v>
      </c>
      <c r="Y21" s="102" t="s">
        <v>24</v>
      </c>
      <c r="Z21" s="102" t="s">
        <v>24</v>
      </c>
      <c r="AA21" s="95"/>
      <c r="AB21" s="102" t="s">
        <v>24</v>
      </c>
      <c r="AC21" s="102" t="s">
        <v>24</v>
      </c>
      <c r="AD21" s="102" t="s">
        <v>24</v>
      </c>
      <c r="AE21" s="102" t="s">
        <v>24</v>
      </c>
      <c r="AF21" s="102" t="s">
        <v>24</v>
      </c>
      <c r="AG21" s="102" t="s">
        <v>24</v>
      </c>
      <c r="AH21" s="95"/>
      <c r="AI21" s="102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123</v>
      </c>
      <c r="C22" s="78" t="s">
        <v>40</v>
      </c>
      <c r="D22" s="12" t="s">
        <v>54</v>
      </c>
      <c r="E22" s="102" t="s">
        <v>24</v>
      </c>
      <c r="F22" s="95"/>
      <c r="G22" s="102" t="s">
        <v>24</v>
      </c>
      <c r="H22" s="102" t="s">
        <v>24</v>
      </c>
      <c r="I22" s="102" t="s">
        <v>24</v>
      </c>
      <c r="J22" s="102" t="s">
        <v>24</v>
      </c>
      <c r="K22" s="102" t="s">
        <v>24</v>
      </c>
      <c r="L22" s="102" t="s">
        <v>24</v>
      </c>
      <c r="M22" s="95"/>
      <c r="N22" s="102" t="s">
        <v>24</v>
      </c>
      <c r="O22" s="102" t="s">
        <v>24</v>
      </c>
      <c r="P22" s="102" t="s">
        <v>24</v>
      </c>
      <c r="Q22" s="102" t="s">
        <v>24</v>
      </c>
      <c r="R22" s="102" t="s">
        <v>24</v>
      </c>
      <c r="S22" s="102" t="s">
        <v>24</v>
      </c>
      <c r="T22" s="95"/>
      <c r="U22" s="102" t="s">
        <v>24</v>
      </c>
      <c r="V22" s="102" t="s">
        <v>24</v>
      </c>
      <c r="W22" s="102" t="s">
        <v>24</v>
      </c>
      <c r="X22" s="102" t="s">
        <v>24</v>
      </c>
      <c r="Y22" s="102" t="s">
        <v>24</v>
      </c>
      <c r="Z22" s="102" t="s">
        <v>24</v>
      </c>
      <c r="AA22" s="95"/>
      <c r="AB22" s="102" t="s">
        <v>24</v>
      </c>
      <c r="AC22" s="102" t="s">
        <v>24</v>
      </c>
      <c r="AD22" s="102" t="s">
        <v>24</v>
      </c>
      <c r="AE22" s="102" t="s">
        <v>24</v>
      </c>
      <c r="AF22" s="102" t="s">
        <v>24</v>
      </c>
      <c r="AG22" s="102" t="s">
        <v>24</v>
      </c>
      <c r="AH22" s="95"/>
      <c r="AI22" s="102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</sheetData>
  <mergeCells count="16">
    <mergeCell ref="AA5:AA22"/>
    <mergeCell ref="A1:AI1"/>
    <mergeCell ref="A2:AI2"/>
    <mergeCell ref="A3:A4"/>
    <mergeCell ref="B3:B4"/>
    <mergeCell ref="C3:C4"/>
    <mergeCell ref="D3:D4"/>
    <mergeCell ref="AH5:AH22"/>
    <mergeCell ref="F5:F22"/>
    <mergeCell ref="M5:M22"/>
    <mergeCell ref="T5:T22"/>
    <mergeCell ref="AJ3:AJ4"/>
    <mergeCell ref="AK3:AK4"/>
    <mergeCell ref="AL3:AM3"/>
    <mergeCell ref="AL11:AO11"/>
    <mergeCell ref="AL19:AO19"/>
  </mergeCells>
  <phoneticPr fontId="19" type="noConversion"/>
  <conditionalFormatting sqref="E5:E22">
    <cfRule type="cellIs" dxfId="1055" priority="231" operator="equal">
      <formula>"L"</formula>
    </cfRule>
    <cfRule type="expression" dxfId="1054" priority="232">
      <formula>E$4=TODAY()</formula>
    </cfRule>
    <cfRule type="cellIs" dxfId="1053" priority="233" operator="equal">
      <formula>"A"</formula>
    </cfRule>
    <cfRule type="cellIs" dxfId="1052" priority="234" operator="equal">
      <formula>"P"</formula>
    </cfRule>
    <cfRule type="expression" dxfId="1051" priority="235">
      <formula>E$3="Sun"</formula>
    </cfRule>
  </conditionalFormatting>
  <conditionalFormatting sqref="F5">
    <cfRule type="cellIs" dxfId="1050" priority="221" operator="equal">
      <formula>"L"</formula>
    </cfRule>
    <cfRule type="expression" dxfId="1049" priority="222">
      <formula>F$4=TODAY()</formula>
    </cfRule>
    <cfRule type="cellIs" dxfId="1048" priority="223" operator="equal">
      <formula>"A"</formula>
    </cfRule>
    <cfRule type="cellIs" dxfId="1047" priority="224" operator="equal">
      <formula>"P"</formula>
    </cfRule>
    <cfRule type="expression" dxfId="1046" priority="225">
      <formula>F$3="Sun"</formula>
    </cfRule>
  </conditionalFormatting>
  <conditionalFormatting sqref="E3:AI4">
    <cfRule type="expression" dxfId="1045" priority="248">
      <formula>E$4=TODAY()</formula>
    </cfRule>
    <cfRule type="expression" dxfId="1044" priority="251">
      <formula>E$3="Sun"</formula>
    </cfRule>
  </conditionalFormatting>
  <conditionalFormatting sqref="AJ3:AK3 AJ5:AK22">
    <cfRule type="expression" dxfId="1010" priority="252">
      <formula>#REF!="Sun"</formula>
    </cfRule>
  </conditionalFormatting>
  <conditionalFormatting sqref="AL5:AL9">
    <cfRule type="expression" dxfId="1009" priority="244">
      <formula>AL$3="Sun"</formula>
    </cfRule>
  </conditionalFormatting>
  <conditionalFormatting sqref="AL12:AL15">
    <cfRule type="expression" dxfId="1008" priority="242">
      <formula>AL$3="Sun"</formula>
    </cfRule>
  </conditionalFormatting>
  <conditionalFormatting sqref="AL20:AL22">
    <cfRule type="expression" dxfId="1007" priority="241">
      <formula>AL$3="Sun"</formula>
    </cfRule>
  </conditionalFormatting>
  <conditionalFormatting sqref="AL4:AM4">
    <cfRule type="expression" dxfId="1006" priority="245">
      <formula>AL$3="Sun"</formula>
    </cfRule>
  </conditionalFormatting>
  <conditionalFormatting sqref="AM12:AO12 AM20:AO20">
    <cfRule type="expression" dxfId="1005" priority="246">
      <formula>AM$3="Sun"</formula>
    </cfRule>
  </conditionalFormatting>
  <conditionalFormatting sqref="AO21">
    <cfRule type="expression" dxfId="1004" priority="243">
      <formula>AO$3="Sun"</formula>
    </cfRule>
  </conditionalFormatting>
  <conditionalFormatting sqref="H5:H22">
    <cfRule type="cellIs" dxfId="973" priority="161" operator="equal">
      <formula>"L"</formula>
    </cfRule>
    <cfRule type="expression" dxfId="972" priority="162">
      <formula>H$4=TODAY()</formula>
    </cfRule>
    <cfRule type="cellIs" dxfId="971" priority="163" operator="equal">
      <formula>"A"</formula>
    </cfRule>
    <cfRule type="cellIs" dxfId="970" priority="164" operator="equal">
      <formula>"P"</formula>
    </cfRule>
    <cfRule type="expression" dxfId="969" priority="165">
      <formula>H$3="Sun"</formula>
    </cfRule>
  </conditionalFormatting>
  <conditionalFormatting sqref="I5:I22">
    <cfRule type="cellIs" dxfId="968" priority="156" operator="equal">
      <formula>"L"</formula>
    </cfRule>
    <cfRule type="expression" dxfId="967" priority="157">
      <formula>I$4=TODAY()</formula>
    </cfRule>
    <cfRule type="cellIs" dxfId="966" priority="158" operator="equal">
      <formula>"A"</formula>
    </cfRule>
    <cfRule type="cellIs" dxfId="965" priority="159" operator="equal">
      <formula>"P"</formula>
    </cfRule>
    <cfRule type="expression" dxfId="964" priority="160">
      <formula>I$3="Sun"</formula>
    </cfRule>
  </conditionalFormatting>
  <conditionalFormatting sqref="J5:J22">
    <cfRule type="cellIs" dxfId="963" priority="151" operator="equal">
      <formula>"L"</formula>
    </cfRule>
    <cfRule type="expression" dxfId="962" priority="152">
      <formula>J$4=TODAY()</formula>
    </cfRule>
    <cfRule type="cellIs" dxfId="961" priority="153" operator="equal">
      <formula>"A"</formula>
    </cfRule>
    <cfRule type="cellIs" dxfId="960" priority="154" operator="equal">
      <formula>"P"</formula>
    </cfRule>
    <cfRule type="expression" dxfId="959" priority="155">
      <formula>J$3="Sun"</formula>
    </cfRule>
  </conditionalFormatting>
  <conditionalFormatting sqref="K5:K22">
    <cfRule type="cellIs" dxfId="958" priority="146" operator="equal">
      <formula>"L"</formula>
    </cfRule>
    <cfRule type="expression" dxfId="957" priority="147">
      <formula>K$4=TODAY()</formula>
    </cfRule>
    <cfRule type="cellIs" dxfId="956" priority="148" operator="equal">
      <formula>"A"</formula>
    </cfRule>
    <cfRule type="cellIs" dxfId="955" priority="149" operator="equal">
      <formula>"P"</formula>
    </cfRule>
    <cfRule type="expression" dxfId="954" priority="150">
      <formula>K$3="Sun"</formula>
    </cfRule>
  </conditionalFormatting>
  <conditionalFormatting sqref="L5:L22">
    <cfRule type="cellIs" dxfId="953" priority="141" operator="equal">
      <formula>"L"</formula>
    </cfRule>
    <cfRule type="expression" dxfId="952" priority="142">
      <formula>L$4=TODAY()</formula>
    </cfRule>
    <cfRule type="cellIs" dxfId="951" priority="143" operator="equal">
      <formula>"A"</formula>
    </cfRule>
    <cfRule type="cellIs" dxfId="950" priority="144" operator="equal">
      <formula>"P"</formula>
    </cfRule>
    <cfRule type="expression" dxfId="949" priority="145">
      <formula>L$3="Sun"</formula>
    </cfRule>
  </conditionalFormatting>
  <conditionalFormatting sqref="O5:O22">
    <cfRule type="cellIs" dxfId="943" priority="131" operator="equal">
      <formula>"L"</formula>
    </cfRule>
    <cfRule type="expression" dxfId="942" priority="132">
      <formula>O$4=TODAY()</formula>
    </cfRule>
    <cfRule type="cellIs" dxfId="941" priority="133" operator="equal">
      <formula>"A"</formula>
    </cfRule>
    <cfRule type="cellIs" dxfId="940" priority="134" operator="equal">
      <formula>"P"</formula>
    </cfRule>
    <cfRule type="expression" dxfId="939" priority="135">
      <formula>O$3="Sun"</formula>
    </cfRule>
  </conditionalFormatting>
  <conditionalFormatting sqref="P5:P22">
    <cfRule type="cellIs" dxfId="938" priority="126" operator="equal">
      <formula>"L"</formula>
    </cfRule>
    <cfRule type="expression" dxfId="937" priority="127">
      <formula>P$4=TODAY()</formula>
    </cfRule>
    <cfRule type="cellIs" dxfId="936" priority="128" operator="equal">
      <formula>"A"</formula>
    </cfRule>
    <cfRule type="cellIs" dxfId="935" priority="129" operator="equal">
      <formula>"P"</formula>
    </cfRule>
    <cfRule type="expression" dxfId="934" priority="130">
      <formula>P$3="Sun"</formula>
    </cfRule>
  </conditionalFormatting>
  <conditionalFormatting sqref="Q5:Q22">
    <cfRule type="cellIs" dxfId="933" priority="121" operator="equal">
      <formula>"L"</formula>
    </cfRule>
    <cfRule type="expression" dxfId="932" priority="122">
      <formula>Q$4=TODAY()</formula>
    </cfRule>
    <cfRule type="cellIs" dxfId="931" priority="123" operator="equal">
      <formula>"A"</formula>
    </cfRule>
    <cfRule type="cellIs" dxfId="930" priority="124" operator="equal">
      <formula>"P"</formula>
    </cfRule>
    <cfRule type="expression" dxfId="929" priority="125">
      <formula>Q$3="Sun"</formula>
    </cfRule>
  </conditionalFormatting>
  <conditionalFormatting sqref="R5:R22">
    <cfRule type="cellIs" dxfId="928" priority="116" operator="equal">
      <formula>"L"</formula>
    </cfRule>
    <cfRule type="expression" dxfId="927" priority="117">
      <formula>R$4=TODAY()</formula>
    </cfRule>
    <cfRule type="cellIs" dxfId="926" priority="118" operator="equal">
      <formula>"A"</formula>
    </cfRule>
    <cfRule type="cellIs" dxfId="925" priority="119" operator="equal">
      <formula>"P"</formula>
    </cfRule>
    <cfRule type="expression" dxfId="924" priority="120">
      <formula>R$3="Sun"</formula>
    </cfRule>
  </conditionalFormatting>
  <conditionalFormatting sqref="S5:S22">
    <cfRule type="cellIs" dxfId="923" priority="111" operator="equal">
      <formula>"L"</formula>
    </cfRule>
    <cfRule type="expression" dxfId="922" priority="112">
      <formula>S$4=TODAY()</formula>
    </cfRule>
    <cfRule type="cellIs" dxfId="921" priority="113" operator="equal">
      <formula>"A"</formula>
    </cfRule>
    <cfRule type="cellIs" dxfId="920" priority="114" operator="equal">
      <formula>"P"</formula>
    </cfRule>
    <cfRule type="expression" dxfId="919" priority="115">
      <formula>S$3="Sun"</formula>
    </cfRule>
  </conditionalFormatting>
  <conditionalFormatting sqref="V5:V22">
    <cfRule type="cellIs" dxfId="913" priority="101" operator="equal">
      <formula>"L"</formula>
    </cfRule>
    <cfRule type="expression" dxfId="912" priority="102">
      <formula>V$4=TODAY()</formula>
    </cfRule>
    <cfRule type="cellIs" dxfId="911" priority="103" operator="equal">
      <formula>"A"</formula>
    </cfRule>
    <cfRule type="cellIs" dxfId="910" priority="104" operator="equal">
      <formula>"P"</formula>
    </cfRule>
    <cfRule type="expression" dxfId="909" priority="105">
      <formula>V$3="Sun"</formula>
    </cfRule>
  </conditionalFormatting>
  <conditionalFormatting sqref="W5:W22">
    <cfRule type="cellIs" dxfId="908" priority="96" operator="equal">
      <formula>"L"</formula>
    </cfRule>
    <cfRule type="expression" dxfId="907" priority="97">
      <formula>W$4=TODAY()</formula>
    </cfRule>
    <cfRule type="cellIs" dxfId="906" priority="98" operator="equal">
      <formula>"A"</formula>
    </cfRule>
    <cfRule type="cellIs" dxfId="905" priority="99" operator="equal">
      <formula>"P"</formula>
    </cfRule>
    <cfRule type="expression" dxfId="904" priority="100">
      <formula>W$3="Sun"</formula>
    </cfRule>
  </conditionalFormatting>
  <conditionalFormatting sqref="X5:X22">
    <cfRule type="cellIs" dxfId="903" priority="91" operator="equal">
      <formula>"L"</formula>
    </cfRule>
    <cfRule type="expression" dxfId="902" priority="92">
      <formula>X$4=TODAY()</formula>
    </cfRule>
    <cfRule type="cellIs" dxfId="901" priority="93" operator="equal">
      <formula>"A"</formula>
    </cfRule>
    <cfRule type="cellIs" dxfId="900" priority="94" operator="equal">
      <formula>"P"</formula>
    </cfRule>
    <cfRule type="expression" dxfId="899" priority="95">
      <formula>X$3="Sun"</formula>
    </cfRule>
  </conditionalFormatting>
  <conditionalFormatting sqref="Y5:Y22">
    <cfRule type="cellIs" dxfId="898" priority="86" operator="equal">
      <formula>"L"</formula>
    </cfRule>
    <cfRule type="expression" dxfId="897" priority="87">
      <formula>Y$4=TODAY()</formula>
    </cfRule>
    <cfRule type="cellIs" dxfId="896" priority="88" operator="equal">
      <formula>"A"</formula>
    </cfRule>
    <cfRule type="cellIs" dxfId="895" priority="89" operator="equal">
      <formula>"P"</formula>
    </cfRule>
    <cfRule type="expression" dxfId="894" priority="90">
      <formula>Y$3="Sun"</formula>
    </cfRule>
  </conditionalFormatting>
  <conditionalFormatting sqref="Z5:Z22">
    <cfRule type="cellIs" dxfId="893" priority="81" operator="equal">
      <formula>"L"</formula>
    </cfRule>
    <cfRule type="expression" dxfId="892" priority="82">
      <formula>Z$4=TODAY()</formula>
    </cfRule>
    <cfRule type="cellIs" dxfId="891" priority="83" operator="equal">
      <formula>"A"</formula>
    </cfRule>
    <cfRule type="cellIs" dxfId="890" priority="84" operator="equal">
      <formula>"P"</formula>
    </cfRule>
    <cfRule type="expression" dxfId="889" priority="85">
      <formula>Z$3="Sun"</formula>
    </cfRule>
  </conditionalFormatting>
  <conditionalFormatting sqref="AC5:AC22">
    <cfRule type="cellIs" dxfId="883" priority="71" operator="equal">
      <formula>"L"</formula>
    </cfRule>
    <cfRule type="expression" dxfId="882" priority="72">
      <formula>AC$4=TODAY()</formula>
    </cfRule>
    <cfRule type="cellIs" dxfId="881" priority="73" operator="equal">
      <formula>"A"</formula>
    </cfRule>
    <cfRule type="cellIs" dxfId="880" priority="74" operator="equal">
      <formula>"P"</formula>
    </cfRule>
    <cfRule type="expression" dxfId="879" priority="75">
      <formula>AC$3="Sun"</formula>
    </cfRule>
  </conditionalFormatting>
  <conditionalFormatting sqref="AD5:AD22">
    <cfRule type="cellIs" dxfId="878" priority="66" operator="equal">
      <formula>"L"</formula>
    </cfRule>
    <cfRule type="expression" dxfId="877" priority="67">
      <formula>AD$4=TODAY()</formula>
    </cfRule>
    <cfRule type="cellIs" dxfId="876" priority="68" operator="equal">
      <formula>"A"</formula>
    </cfRule>
    <cfRule type="cellIs" dxfId="875" priority="69" operator="equal">
      <formula>"P"</formula>
    </cfRule>
    <cfRule type="expression" dxfId="874" priority="70">
      <formula>AD$3="Sun"</formula>
    </cfRule>
  </conditionalFormatting>
  <conditionalFormatting sqref="AE5:AE22">
    <cfRule type="cellIs" dxfId="873" priority="61" operator="equal">
      <formula>"L"</formula>
    </cfRule>
    <cfRule type="expression" dxfId="872" priority="62">
      <formula>AE$4=TODAY()</formula>
    </cfRule>
    <cfRule type="cellIs" dxfId="871" priority="63" operator="equal">
      <formula>"A"</formula>
    </cfRule>
    <cfRule type="cellIs" dxfId="870" priority="64" operator="equal">
      <formula>"P"</formula>
    </cfRule>
    <cfRule type="expression" dxfId="869" priority="65">
      <formula>AE$3="Sun"</formula>
    </cfRule>
  </conditionalFormatting>
  <conditionalFormatting sqref="AF5:AF22">
    <cfRule type="cellIs" dxfId="868" priority="56" operator="equal">
      <formula>"L"</formula>
    </cfRule>
    <cfRule type="expression" dxfId="867" priority="57">
      <formula>AF$4=TODAY()</formula>
    </cfRule>
    <cfRule type="cellIs" dxfId="866" priority="58" operator="equal">
      <formula>"A"</formula>
    </cfRule>
    <cfRule type="cellIs" dxfId="865" priority="59" operator="equal">
      <formula>"P"</formula>
    </cfRule>
    <cfRule type="expression" dxfId="864" priority="60">
      <formula>AF$3="Sun"</formula>
    </cfRule>
  </conditionalFormatting>
  <conditionalFormatting sqref="AG5:AG22">
    <cfRule type="cellIs" dxfId="863" priority="51" operator="equal">
      <formula>"L"</formula>
    </cfRule>
    <cfRule type="expression" dxfId="862" priority="52">
      <formula>AG$4=TODAY()</formula>
    </cfRule>
    <cfRule type="cellIs" dxfId="861" priority="53" operator="equal">
      <formula>"A"</formula>
    </cfRule>
    <cfRule type="cellIs" dxfId="860" priority="54" operator="equal">
      <formula>"P"</formula>
    </cfRule>
    <cfRule type="expression" dxfId="859" priority="55">
      <formula>AG$3="Sun"</formula>
    </cfRule>
  </conditionalFormatting>
  <conditionalFormatting sqref="M5">
    <cfRule type="cellIs" dxfId="134" priority="41" operator="equal">
      <formula>"L"</formula>
    </cfRule>
    <cfRule type="expression" dxfId="133" priority="42">
      <formula>M$4=TODAY()</formula>
    </cfRule>
    <cfRule type="cellIs" dxfId="132" priority="43" operator="equal">
      <formula>"A"</formula>
    </cfRule>
    <cfRule type="cellIs" dxfId="131" priority="44" operator="equal">
      <formula>"P"</formula>
    </cfRule>
    <cfRule type="expression" dxfId="130" priority="45">
      <formula>M$3="Sun"</formula>
    </cfRule>
  </conditionalFormatting>
  <conditionalFormatting sqref="T5">
    <cfRule type="cellIs" dxfId="129" priority="36" operator="equal">
      <formula>"L"</formula>
    </cfRule>
    <cfRule type="expression" dxfId="128" priority="37">
      <formula>T$4=TODAY()</formula>
    </cfRule>
    <cfRule type="cellIs" dxfId="127" priority="38" operator="equal">
      <formula>"A"</formula>
    </cfRule>
    <cfRule type="cellIs" dxfId="126" priority="39" operator="equal">
      <formula>"P"</formula>
    </cfRule>
    <cfRule type="expression" dxfId="125" priority="40">
      <formula>T$3="Sun"</formula>
    </cfRule>
  </conditionalFormatting>
  <conditionalFormatting sqref="AA5">
    <cfRule type="cellIs" dxfId="124" priority="31" operator="equal">
      <formula>"L"</formula>
    </cfRule>
    <cfRule type="expression" dxfId="123" priority="32">
      <formula>AA$4=TODAY()</formula>
    </cfRule>
    <cfRule type="cellIs" dxfId="122" priority="33" operator="equal">
      <formula>"A"</formula>
    </cfRule>
    <cfRule type="cellIs" dxfId="121" priority="34" operator="equal">
      <formula>"P"</formula>
    </cfRule>
    <cfRule type="expression" dxfId="120" priority="35">
      <formula>AA$3="Sun"</formula>
    </cfRule>
  </conditionalFormatting>
  <conditionalFormatting sqref="AH5">
    <cfRule type="cellIs" dxfId="119" priority="26" operator="equal">
      <formula>"L"</formula>
    </cfRule>
    <cfRule type="expression" dxfId="118" priority="27">
      <formula>AH$4=TODAY()</formula>
    </cfRule>
    <cfRule type="cellIs" dxfId="117" priority="28" operator="equal">
      <formula>"A"</formula>
    </cfRule>
    <cfRule type="cellIs" dxfId="116" priority="29" operator="equal">
      <formula>"P"</formula>
    </cfRule>
    <cfRule type="expression" dxfId="115" priority="30">
      <formula>AH$3="Sun"</formula>
    </cfRule>
  </conditionalFormatting>
  <conditionalFormatting sqref="G5:G22">
    <cfRule type="cellIs" dxfId="114" priority="21" operator="equal">
      <formula>"L"</formula>
    </cfRule>
    <cfRule type="expression" dxfId="113" priority="22">
      <formula>G$4=TODAY()</formula>
    </cfRule>
    <cfRule type="cellIs" dxfId="112" priority="23" operator="equal">
      <formula>"A"</formula>
    </cfRule>
    <cfRule type="cellIs" dxfId="111" priority="24" operator="equal">
      <formula>"P"</formula>
    </cfRule>
    <cfRule type="expression" dxfId="110" priority="25">
      <formula>G$3="Sun"</formula>
    </cfRule>
  </conditionalFormatting>
  <conditionalFormatting sqref="N5:N22">
    <cfRule type="cellIs" dxfId="109" priority="16" operator="equal">
      <formula>"L"</formula>
    </cfRule>
    <cfRule type="expression" dxfId="108" priority="17">
      <formula>N$4=TODAY()</formula>
    </cfRule>
    <cfRule type="cellIs" dxfId="107" priority="18" operator="equal">
      <formula>"A"</formula>
    </cfRule>
    <cfRule type="cellIs" dxfId="106" priority="19" operator="equal">
      <formula>"P"</formula>
    </cfRule>
    <cfRule type="expression" dxfId="105" priority="20">
      <formula>N$3="Sun"</formula>
    </cfRule>
  </conditionalFormatting>
  <conditionalFormatting sqref="U5:U22">
    <cfRule type="cellIs" dxfId="104" priority="11" operator="equal">
      <formula>"L"</formula>
    </cfRule>
    <cfRule type="expression" dxfId="103" priority="12">
      <formula>U$4=TODAY()</formula>
    </cfRule>
    <cfRule type="cellIs" dxfId="102" priority="13" operator="equal">
      <formula>"A"</formula>
    </cfRule>
    <cfRule type="cellIs" dxfId="101" priority="14" operator="equal">
      <formula>"P"</formula>
    </cfRule>
    <cfRule type="expression" dxfId="100" priority="15">
      <formula>U$3="Sun"</formula>
    </cfRule>
  </conditionalFormatting>
  <conditionalFormatting sqref="AB5:AB22">
    <cfRule type="cellIs" dxfId="99" priority="6" operator="equal">
      <formula>"L"</formula>
    </cfRule>
    <cfRule type="expression" dxfId="98" priority="7">
      <formula>AB$4=TODAY()</formula>
    </cfRule>
    <cfRule type="cellIs" dxfId="97" priority="8" operator="equal">
      <formula>"A"</formula>
    </cfRule>
    <cfRule type="cellIs" dxfId="96" priority="9" operator="equal">
      <formula>"P"</formula>
    </cfRule>
    <cfRule type="expression" dxfId="95" priority="10">
      <formula>AB$3="Sun"</formula>
    </cfRule>
  </conditionalFormatting>
  <conditionalFormatting sqref="AI5:AI22">
    <cfRule type="cellIs" dxfId="94" priority="1" operator="equal">
      <formula>"L"</formula>
    </cfRule>
    <cfRule type="expression" dxfId="93" priority="2">
      <formula>AI$4=TODAY()</formula>
    </cfRule>
    <cfRule type="cellIs" dxfId="92" priority="3" operator="equal">
      <formula>"A"</formula>
    </cfRule>
    <cfRule type="cellIs" dxfId="91" priority="4" operator="equal">
      <formula>"P"</formula>
    </cfRule>
    <cfRule type="expression" dxfId="90" priority="5">
      <formula>AI$3="Sun"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O25"/>
  <sheetViews>
    <sheetView tabSelected="1" topLeftCell="D5" zoomScaleNormal="100" workbookViewId="0">
      <selection activeCell="L5" sqref="L5:AI25"/>
    </sheetView>
  </sheetViews>
  <sheetFormatPr defaultColWidth="3.85546875" defaultRowHeight="15"/>
  <cols>
    <col min="1" max="1" width="5.140625" style="1" bestFit="1" customWidth="1"/>
    <col min="2" max="2" width="26.140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199</v>
      </c>
      <c r="C5" s="78" t="s">
        <v>200</v>
      </c>
      <c r="D5" s="12" t="s">
        <v>59</v>
      </c>
      <c r="E5" s="102" t="s">
        <v>24</v>
      </c>
      <c r="F5" s="95" t="s">
        <v>399</v>
      </c>
      <c r="G5" s="102" t="s">
        <v>24</v>
      </c>
      <c r="H5" s="102" t="s">
        <v>24</v>
      </c>
      <c r="I5" s="102" t="s">
        <v>24</v>
      </c>
      <c r="J5" s="102" t="s">
        <v>24</v>
      </c>
      <c r="K5" s="102" t="s">
        <v>24</v>
      </c>
      <c r="L5" s="105" t="s">
        <v>400</v>
      </c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80">
        <f t="shared" ref="AJ5:AJ24" si="1">COUNTIF(E5:AI5,"P")</f>
        <v>6</v>
      </c>
      <c r="AK5" s="4">
        <f t="shared" ref="AK5:AK24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201</v>
      </c>
      <c r="C6" s="78" t="s">
        <v>120</v>
      </c>
      <c r="D6" s="12" t="s">
        <v>59</v>
      </c>
      <c r="E6" s="102" t="s">
        <v>24</v>
      </c>
      <c r="F6" s="95"/>
      <c r="G6" s="102" t="s">
        <v>24</v>
      </c>
      <c r="H6" s="102" t="s">
        <v>24</v>
      </c>
      <c r="I6" s="102" t="s">
        <v>24</v>
      </c>
      <c r="J6" s="102" t="s">
        <v>24</v>
      </c>
      <c r="K6" s="102" t="s">
        <v>24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80">
        <f t="shared" si="1"/>
        <v>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202</v>
      </c>
      <c r="C7" s="78" t="s">
        <v>203</v>
      </c>
      <c r="D7" s="12" t="s">
        <v>59</v>
      </c>
      <c r="E7" s="102" t="s">
        <v>24</v>
      </c>
      <c r="F7" s="95"/>
      <c r="G7" s="102" t="s">
        <v>24</v>
      </c>
      <c r="H7" s="102" t="s">
        <v>24</v>
      </c>
      <c r="I7" s="102" t="s">
        <v>24</v>
      </c>
      <c r="J7" s="102" t="s">
        <v>24</v>
      </c>
      <c r="K7" s="102" t="s">
        <v>24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80">
        <f t="shared" si="1"/>
        <v>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77</v>
      </c>
      <c r="C8" s="78" t="s">
        <v>204</v>
      </c>
      <c r="D8" s="12" t="s">
        <v>59</v>
      </c>
      <c r="E8" s="102" t="s">
        <v>24</v>
      </c>
      <c r="F8" s="95"/>
      <c r="G8" s="102" t="s">
        <v>24</v>
      </c>
      <c r="H8" s="102" t="s">
        <v>24</v>
      </c>
      <c r="I8" s="102" t="s">
        <v>24</v>
      </c>
      <c r="J8" s="102" t="s">
        <v>24</v>
      </c>
      <c r="K8" s="102" t="s">
        <v>24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80">
        <f t="shared" si="1"/>
        <v>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205</v>
      </c>
      <c r="C9" s="78" t="s">
        <v>206</v>
      </c>
      <c r="D9" s="12" t="s">
        <v>59</v>
      </c>
      <c r="E9" s="102" t="s">
        <v>24</v>
      </c>
      <c r="F9" s="95"/>
      <c r="G9" s="102" t="s">
        <v>24</v>
      </c>
      <c r="H9" s="102" t="s">
        <v>24</v>
      </c>
      <c r="I9" s="102" t="s">
        <v>24</v>
      </c>
      <c r="J9" s="102" t="s">
        <v>24</v>
      </c>
      <c r="K9" s="102" t="s">
        <v>24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80">
        <f t="shared" si="1"/>
        <v>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207</v>
      </c>
      <c r="C10" s="78" t="s">
        <v>34</v>
      </c>
      <c r="D10" s="12" t="s">
        <v>59</v>
      </c>
      <c r="E10" s="102" t="s">
        <v>24</v>
      </c>
      <c r="F10" s="95"/>
      <c r="G10" s="102" t="s">
        <v>24</v>
      </c>
      <c r="H10" s="102" t="s">
        <v>24</v>
      </c>
      <c r="I10" s="102" t="s">
        <v>24</v>
      </c>
      <c r="J10" s="102" t="s">
        <v>24</v>
      </c>
      <c r="K10" s="102" t="s">
        <v>24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80">
        <f t="shared" si="1"/>
        <v>6</v>
      </c>
      <c r="AK10" s="4">
        <f t="shared" si="2"/>
        <v>0</v>
      </c>
    </row>
    <row r="11" spans="1:41" ht="16.5">
      <c r="A11" s="6">
        <v>7</v>
      </c>
      <c r="B11" s="78" t="s">
        <v>208</v>
      </c>
      <c r="C11" s="78" t="s">
        <v>209</v>
      </c>
      <c r="D11" s="12" t="s">
        <v>59</v>
      </c>
      <c r="E11" s="102" t="s">
        <v>23</v>
      </c>
      <c r="F11" s="95"/>
      <c r="G11" s="102" t="s">
        <v>23</v>
      </c>
      <c r="H11" s="102" t="s">
        <v>23</v>
      </c>
      <c r="I11" s="102" t="s">
        <v>23</v>
      </c>
      <c r="J11" s="102" t="s">
        <v>23</v>
      </c>
      <c r="K11" s="102" t="s">
        <v>23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80">
        <f t="shared" si="1"/>
        <v>0</v>
      </c>
      <c r="AK11" s="4">
        <f t="shared" si="2"/>
        <v>6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78" t="s">
        <v>210</v>
      </c>
      <c r="C12" s="78" t="s">
        <v>22</v>
      </c>
      <c r="D12" s="12" t="s">
        <v>59</v>
      </c>
      <c r="E12" s="102" t="s">
        <v>24</v>
      </c>
      <c r="F12" s="95"/>
      <c r="G12" s="102" t="s">
        <v>24</v>
      </c>
      <c r="H12" s="102" t="s">
        <v>24</v>
      </c>
      <c r="I12" s="102" t="s">
        <v>24</v>
      </c>
      <c r="J12" s="102" t="s">
        <v>24</v>
      </c>
      <c r="K12" s="102" t="s">
        <v>24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80">
        <f t="shared" si="1"/>
        <v>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211</v>
      </c>
      <c r="C13" s="78" t="s">
        <v>212</v>
      </c>
      <c r="D13" s="12" t="s">
        <v>59</v>
      </c>
      <c r="E13" s="102" t="s">
        <v>24</v>
      </c>
      <c r="F13" s="95"/>
      <c r="G13" s="102" t="s">
        <v>24</v>
      </c>
      <c r="H13" s="102" t="s">
        <v>24</v>
      </c>
      <c r="I13" s="102" t="s">
        <v>24</v>
      </c>
      <c r="J13" s="102" t="s">
        <v>24</v>
      </c>
      <c r="K13" s="102" t="s">
        <v>24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80">
        <f t="shared" si="1"/>
        <v>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213</v>
      </c>
      <c r="C14" s="78" t="s">
        <v>214</v>
      </c>
      <c r="D14" s="12" t="s">
        <v>59</v>
      </c>
      <c r="E14" s="102" t="s">
        <v>23</v>
      </c>
      <c r="F14" s="95"/>
      <c r="G14" s="102" t="s">
        <v>23</v>
      </c>
      <c r="H14" s="102" t="s">
        <v>23</v>
      </c>
      <c r="I14" s="102" t="s">
        <v>23</v>
      </c>
      <c r="J14" s="102" t="s">
        <v>23</v>
      </c>
      <c r="K14" s="102" t="s">
        <v>23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80">
        <f t="shared" si="1"/>
        <v>0</v>
      </c>
      <c r="AK14" s="4">
        <f t="shared" si="2"/>
        <v>6</v>
      </c>
      <c r="AL14" s="80" t="s">
        <v>15</v>
      </c>
      <c r="AM14" s="6" t="e">
        <f>SUM(AJ6,AJ9,AJ11,AJ13,AJ16,AJ21,AJ22,AJ23,AJ24,#REF!,#REF!,#REF!,#REF!,#REF!,#REF!,#REF!,#REF!,#REF!,#REF!,#REF!,#REF!,#REF!,#REF!,#REF!,#REF!,#REF!,#REF!)</f>
        <v>#REF!</v>
      </c>
      <c r="AN14" s="6" t="e">
        <f>SUM(AJ5,AJ7,AJ8,AJ10,AJ12,AJ14,AJ15,AJ17,AJ18,AJ19,AJ20,#REF!,#REF!,#REF!,#REF!,#REF!,#REF!,#REF!,#REF!,#REF!,#REF!,#REF!,#REF!,#REF!,#REF!,#REF!,#REF!)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215</v>
      </c>
      <c r="C15" s="78" t="s">
        <v>61</v>
      </c>
      <c r="D15" s="12" t="s">
        <v>59</v>
      </c>
      <c r="E15" s="102" t="s">
        <v>24</v>
      </c>
      <c r="F15" s="95"/>
      <c r="G15" s="102" t="s">
        <v>24</v>
      </c>
      <c r="H15" s="102" t="s">
        <v>24</v>
      </c>
      <c r="I15" s="102" t="s">
        <v>24</v>
      </c>
      <c r="J15" s="102" t="s">
        <v>24</v>
      </c>
      <c r="K15" s="102" t="s">
        <v>24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80">
        <f t="shared" si="1"/>
        <v>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35</v>
      </c>
      <c r="C16" s="78" t="s">
        <v>216</v>
      </c>
      <c r="D16" s="12" t="s">
        <v>59</v>
      </c>
      <c r="E16" s="102" t="s">
        <v>24</v>
      </c>
      <c r="F16" s="95"/>
      <c r="G16" s="102" t="s">
        <v>24</v>
      </c>
      <c r="H16" s="102" t="s">
        <v>24</v>
      </c>
      <c r="I16" s="102" t="s">
        <v>24</v>
      </c>
      <c r="J16" s="102" t="s">
        <v>24</v>
      </c>
      <c r="K16" s="102" t="s">
        <v>24</v>
      </c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80">
        <f t="shared" si="1"/>
        <v>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217</v>
      </c>
      <c r="C17" s="78" t="s">
        <v>218</v>
      </c>
      <c r="D17" s="12" t="s">
        <v>59</v>
      </c>
      <c r="E17" s="102" t="s">
        <v>24</v>
      </c>
      <c r="F17" s="95"/>
      <c r="G17" s="102" t="s">
        <v>24</v>
      </c>
      <c r="H17" s="102" t="s">
        <v>24</v>
      </c>
      <c r="I17" s="102" t="s">
        <v>24</v>
      </c>
      <c r="J17" s="102" t="s">
        <v>24</v>
      </c>
      <c r="K17" s="102" t="s">
        <v>24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80">
        <f t="shared" si="1"/>
        <v>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80</v>
      </c>
      <c r="C18" s="78" t="s">
        <v>116</v>
      </c>
      <c r="D18" s="12" t="s">
        <v>59</v>
      </c>
      <c r="E18" s="102" t="s">
        <v>24</v>
      </c>
      <c r="F18" s="95"/>
      <c r="G18" s="102" t="s">
        <v>24</v>
      </c>
      <c r="H18" s="102" t="s">
        <v>24</v>
      </c>
      <c r="I18" s="102" t="s">
        <v>24</v>
      </c>
      <c r="J18" s="102" t="s">
        <v>24</v>
      </c>
      <c r="K18" s="102" t="s">
        <v>24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80">
        <f t="shared" si="1"/>
        <v>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219</v>
      </c>
      <c r="C19" s="78" t="s">
        <v>220</v>
      </c>
      <c r="D19" s="12" t="s">
        <v>59</v>
      </c>
      <c r="E19" s="102" t="s">
        <v>23</v>
      </c>
      <c r="F19" s="95"/>
      <c r="G19" s="102" t="s">
        <v>23</v>
      </c>
      <c r="H19" s="102" t="s">
        <v>23</v>
      </c>
      <c r="I19" s="102" t="s">
        <v>23</v>
      </c>
      <c r="J19" s="102" t="s">
        <v>23</v>
      </c>
      <c r="K19" s="102" t="s">
        <v>23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80">
        <f t="shared" si="1"/>
        <v>0</v>
      </c>
      <c r="AK19" s="4">
        <f t="shared" si="2"/>
        <v>6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78" t="s">
        <v>62</v>
      </c>
      <c r="C20" s="78" t="s">
        <v>19</v>
      </c>
      <c r="D20" s="12" t="s">
        <v>59</v>
      </c>
      <c r="E20" s="102" t="s">
        <v>23</v>
      </c>
      <c r="F20" s="95"/>
      <c r="G20" s="102" t="s">
        <v>23</v>
      </c>
      <c r="H20" s="102" t="s">
        <v>23</v>
      </c>
      <c r="I20" s="102" t="s">
        <v>23</v>
      </c>
      <c r="J20" s="102" t="s">
        <v>23</v>
      </c>
      <c r="K20" s="102" t="s">
        <v>23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80">
        <f t="shared" si="1"/>
        <v>0</v>
      </c>
      <c r="AK20" s="4">
        <f t="shared" si="2"/>
        <v>6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221</v>
      </c>
      <c r="C21" s="78" t="s">
        <v>165</v>
      </c>
      <c r="D21" s="12" t="s">
        <v>59</v>
      </c>
      <c r="E21" s="102" t="s">
        <v>23</v>
      </c>
      <c r="F21" s="95"/>
      <c r="G21" s="102" t="s">
        <v>23</v>
      </c>
      <c r="H21" s="102" t="s">
        <v>23</v>
      </c>
      <c r="I21" s="102" t="s">
        <v>23</v>
      </c>
      <c r="J21" s="102" t="s">
        <v>23</v>
      </c>
      <c r="K21" s="102" t="s">
        <v>23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80">
        <f t="shared" si="1"/>
        <v>0</v>
      </c>
      <c r="AK21" s="4">
        <f t="shared" si="2"/>
        <v>6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39</v>
      </c>
      <c r="C22" s="78" t="s">
        <v>19</v>
      </c>
      <c r="D22" s="12" t="s">
        <v>59</v>
      </c>
      <c r="E22" s="102" t="s">
        <v>23</v>
      </c>
      <c r="F22" s="95"/>
      <c r="G22" s="102" t="s">
        <v>23</v>
      </c>
      <c r="H22" s="102" t="s">
        <v>23</v>
      </c>
      <c r="I22" s="102" t="s">
        <v>23</v>
      </c>
      <c r="J22" s="102" t="s">
        <v>23</v>
      </c>
      <c r="K22" s="102" t="s">
        <v>23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80">
        <f t="shared" si="1"/>
        <v>0</v>
      </c>
      <c r="AK22" s="4">
        <f t="shared" si="2"/>
        <v>6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222</v>
      </c>
      <c r="C23" s="78" t="s">
        <v>212</v>
      </c>
      <c r="D23" s="12" t="s">
        <v>59</v>
      </c>
      <c r="E23" s="102" t="s">
        <v>24</v>
      </c>
      <c r="F23" s="95"/>
      <c r="G23" s="102" t="s">
        <v>24</v>
      </c>
      <c r="H23" s="102" t="s">
        <v>24</v>
      </c>
      <c r="I23" s="102" t="s">
        <v>24</v>
      </c>
      <c r="J23" s="102" t="s">
        <v>24</v>
      </c>
      <c r="K23" s="102" t="s">
        <v>24</v>
      </c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80">
        <f t="shared" si="1"/>
        <v>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179</v>
      </c>
      <c r="C24" s="78" t="s">
        <v>223</v>
      </c>
      <c r="D24" s="12" t="s">
        <v>59</v>
      </c>
      <c r="E24" s="102" t="s">
        <v>23</v>
      </c>
      <c r="F24" s="95"/>
      <c r="G24" s="102" t="s">
        <v>23</v>
      </c>
      <c r="H24" s="102" t="s">
        <v>23</v>
      </c>
      <c r="I24" s="102" t="s">
        <v>23</v>
      </c>
      <c r="J24" s="102" t="s">
        <v>23</v>
      </c>
      <c r="K24" s="102" t="s">
        <v>23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80">
        <f t="shared" si="1"/>
        <v>0</v>
      </c>
      <c r="AK24" s="4">
        <f t="shared" si="2"/>
        <v>6</v>
      </c>
    </row>
    <row r="25" spans="1:41" ht="16.5">
      <c r="A25" s="6">
        <v>20</v>
      </c>
      <c r="B25" s="78" t="s">
        <v>179</v>
      </c>
      <c r="C25" s="78" t="s">
        <v>223</v>
      </c>
      <c r="D25" s="12" t="s">
        <v>59</v>
      </c>
      <c r="E25" s="102" t="s">
        <v>24</v>
      </c>
      <c r="F25" s="95"/>
      <c r="G25" s="102" t="s">
        <v>24</v>
      </c>
      <c r="H25" s="102" t="s">
        <v>24</v>
      </c>
      <c r="I25" s="102" t="s">
        <v>24</v>
      </c>
      <c r="J25" s="102" t="s">
        <v>24</v>
      </c>
      <c r="K25" s="102" t="s">
        <v>24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80">
        <f t="shared" ref="AJ25" si="3">COUNTIF(E25:AI25,"P")</f>
        <v>6</v>
      </c>
      <c r="AK25" s="4">
        <f t="shared" ref="AK25" si="4">COUNTIF(E25:AI25,"A")</f>
        <v>0</v>
      </c>
    </row>
  </sheetData>
  <mergeCells count="13">
    <mergeCell ref="F5:F25"/>
    <mergeCell ref="L5:AI25"/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</mergeCells>
  <phoneticPr fontId="19" type="noConversion"/>
  <conditionalFormatting sqref="E5:E25">
    <cfRule type="cellIs" dxfId="853" priority="266" operator="equal">
      <formula>"L"</formula>
    </cfRule>
    <cfRule type="expression" dxfId="852" priority="267">
      <formula>E$4=TODAY()</formula>
    </cfRule>
    <cfRule type="cellIs" dxfId="851" priority="268" operator="equal">
      <formula>"A"</formula>
    </cfRule>
    <cfRule type="cellIs" dxfId="850" priority="269" operator="equal">
      <formula>"P"</formula>
    </cfRule>
    <cfRule type="expression" dxfId="849" priority="270">
      <formula>E$3="Sun"</formula>
    </cfRule>
  </conditionalFormatting>
  <conditionalFormatting sqref="F5">
    <cfRule type="cellIs" dxfId="848" priority="256" operator="equal">
      <formula>"L"</formula>
    </cfRule>
    <cfRule type="expression" dxfId="847" priority="257">
      <formula>F$4=TODAY()</formula>
    </cfRule>
    <cfRule type="cellIs" dxfId="846" priority="258" operator="equal">
      <formula>"A"</formula>
    </cfRule>
    <cfRule type="cellIs" dxfId="845" priority="259" operator="equal">
      <formula>"P"</formula>
    </cfRule>
    <cfRule type="expression" dxfId="844" priority="260">
      <formula>F$3="Sun"</formula>
    </cfRule>
  </conditionalFormatting>
  <conditionalFormatting sqref="E3:AI4">
    <cfRule type="expression" dxfId="843" priority="283">
      <formula>E$4=TODAY()</formula>
    </cfRule>
    <cfRule type="expression" dxfId="842" priority="286">
      <formula>E$3="Sun"</formula>
    </cfRule>
  </conditionalFormatting>
  <conditionalFormatting sqref="AJ3:AK3 AJ5:AK25">
    <cfRule type="expression" dxfId="813" priority="287">
      <formula>#REF!="Sun"</formula>
    </cfRule>
  </conditionalFormatting>
  <conditionalFormatting sqref="AL5:AL9">
    <cfRule type="expression" dxfId="812" priority="279">
      <formula>AL$3="Sun"</formula>
    </cfRule>
  </conditionalFormatting>
  <conditionalFormatting sqref="AL12:AL15">
    <cfRule type="expression" dxfId="811" priority="277">
      <formula>AL$3="Sun"</formula>
    </cfRule>
  </conditionalFormatting>
  <conditionalFormatting sqref="AL20:AL23">
    <cfRule type="expression" dxfId="810" priority="276">
      <formula>AL$3="Sun"</formula>
    </cfRule>
  </conditionalFormatting>
  <conditionalFormatting sqref="AL4:AM4">
    <cfRule type="expression" dxfId="809" priority="280">
      <formula>AL$3="Sun"</formula>
    </cfRule>
  </conditionalFormatting>
  <conditionalFormatting sqref="AM12:AO12 AM20:AO20">
    <cfRule type="expression" dxfId="808" priority="281">
      <formula>AM$3="Sun"</formula>
    </cfRule>
  </conditionalFormatting>
  <conditionalFormatting sqref="AO21">
    <cfRule type="expression" dxfId="807" priority="278">
      <formula>AO$3="Sun"</formula>
    </cfRule>
  </conditionalFormatting>
  <conditionalFormatting sqref="H5:H25">
    <cfRule type="cellIs" dxfId="781" priority="206" operator="equal">
      <formula>"L"</formula>
    </cfRule>
    <cfRule type="expression" dxfId="780" priority="207">
      <formula>H$4=TODAY()</formula>
    </cfRule>
    <cfRule type="cellIs" dxfId="779" priority="208" operator="equal">
      <formula>"A"</formula>
    </cfRule>
    <cfRule type="cellIs" dxfId="778" priority="209" operator="equal">
      <formula>"P"</formula>
    </cfRule>
    <cfRule type="expression" dxfId="777" priority="210">
      <formula>H$3="Sun"</formula>
    </cfRule>
  </conditionalFormatting>
  <conditionalFormatting sqref="I5:I25">
    <cfRule type="cellIs" dxfId="776" priority="201" operator="equal">
      <formula>"L"</formula>
    </cfRule>
    <cfRule type="expression" dxfId="775" priority="202">
      <formula>I$4=TODAY()</formula>
    </cfRule>
    <cfRule type="cellIs" dxfId="774" priority="203" operator="equal">
      <formula>"A"</formula>
    </cfRule>
    <cfRule type="cellIs" dxfId="773" priority="204" operator="equal">
      <formula>"P"</formula>
    </cfRule>
    <cfRule type="expression" dxfId="772" priority="205">
      <formula>I$3="Sun"</formula>
    </cfRule>
  </conditionalFormatting>
  <conditionalFormatting sqref="J5:J25">
    <cfRule type="cellIs" dxfId="771" priority="196" operator="equal">
      <formula>"L"</formula>
    </cfRule>
    <cfRule type="expression" dxfId="770" priority="197">
      <formula>J$4=TODAY()</formula>
    </cfRule>
    <cfRule type="cellIs" dxfId="769" priority="198" operator="equal">
      <formula>"A"</formula>
    </cfRule>
    <cfRule type="cellIs" dxfId="768" priority="199" operator="equal">
      <formula>"P"</formula>
    </cfRule>
    <cfRule type="expression" dxfId="767" priority="200">
      <formula>J$3="Sun"</formula>
    </cfRule>
  </conditionalFormatting>
  <conditionalFormatting sqref="K5:K25">
    <cfRule type="cellIs" dxfId="766" priority="191" operator="equal">
      <formula>"L"</formula>
    </cfRule>
    <cfRule type="expression" dxfId="765" priority="192">
      <formula>K$4=TODAY()</formula>
    </cfRule>
    <cfRule type="cellIs" dxfId="764" priority="193" operator="equal">
      <formula>"A"</formula>
    </cfRule>
    <cfRule type="cellIs" dxfId="763" priority="194" operator="equal">
      <formula>"P"</formula>
    </cfRule>
    <cfRule type="expression" dxfId="762" priority="195">
      <formula>K$3="Sun"</formula>
    </cfRule>
  </conditionalFormatting>
  <conditionalFormatting sqref="L5">
    <cfRule type="cellIs" dxfId="761" priority="186" operator="equal">
      <formula>"L"</formula>
    </cfRule>
    <cfRule type="expression" dxfId="760" priority="187">
      <formula>L$4=TODAY()</formula>
    </cfRule>
    <cfRule type="cellIs" dxfId="759" priority="188" operator="equal">
      <formula>"A"</formula>
    </cfRule>
    <cfRule type="cellIs" dxfId="758" priority="189" operator="equal">
      <formula>"P"</formula>
    </cfRule>
    <cfRule type="expression" dxfId="757" priority="190">
      <formula>L$3="Sun"</formula>
    </cfRule>
  </conditionalFormatting>
  <conditionalFormatting sqref="G5:G25">
    <cfRule type="cellIs" dxfId="69" priority="21" operator="equal">
      <formula>"L"</formula>
    </cfRule>
    <cfRule type="expression" dxfId="68" priority="22">
      <formula>G$4=TODAY()</formula>
    </cfRule>
    <cfRule type="cellIs" dxfId="67" priority="23" operator="equal">
      <formula>"A"</formula>
    </cfRule>
    <cfRule type="cellIs" dxfId="66" priority="24" operator="equal">
      <formula>"P"</formula>
    </cfRule>
    <cfRule type="expression" dxfId="65" priority="25">
      <formula>G$3="Sun"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O28"/>
  <sheetViews>
    <sheetView topLeftCell="D5" zoomScaleNormal="100" workbookViewId="0">
      <selection activeCell="AI5" sqref="AI5:AI28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33" width="3.85546875" style="1"/>
    <col min="34" max="34" width="4.5703125" style="1" bestFit="1" customWidth="1"/>
    <col min="35" max="35" width="3.85546875" style="1" bestFit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0"/>
      <c r="AK1" s="10"/>
    </row>
    <row r="2" spans="1:41" ht="17.25">
      <c r="A2" s="97" t="s">
        <v>396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11"/>
      <c r="AK2" s="11"/>
      <c r="AL2" s="11"/>
    </row>
    <row r="3" spans="1:41" ht="15.75">
      <c r="A3" s="98" t="s">
        <v>0</v>
      </c>
      <c r="B3" s="98" t="s">
        <v>1</v>
      </c>
      <c r="C3" s="98" t="s">
        <v>2</v>
      </c>
      <c r="D3" s="98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1" t="s">
        <v>4</v>
      </c>
      <c r="AK3" s="91" t="s">
        <v>5</v>
      </c>
      <c r="AL3" s="92" t="s">
        <v>27</v>
      </c>
      <c r="AM3" s="93"/>
      <c r="AN3" s="3"/>
      <c r="AO3" s="3"/>
    </row>
    <row r="4" spans="1:41" ht="37.5">
      <c r="A4" s="98"/>
      <c r="B4" s="98"/>
      <c r="C4" s="98"/>
      <c r="D4" s="98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1"/>
      <c r="AK4" s="91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224</v>
      </c>
      <c r="C5" s="78" t="s">
        <v>128</v>
      </c>
      <c r="D5" s="12" t="s">
        <v>65</v>
      </c>
      <c r="E5" s="102" t="s">
        <v>24</v>
      </c>
      <c r="F5" s="95" t="s">
        <v>397</v>
      </c>
      <c r="G5" s="102" t="s">
        <v>24</v>
      </c>
      <c r="H5" s="102" t="s">
        <v>24</v>
      </c>
      <c r="I5" s="102" t="s">
        <v>24</v>
      </c>
      <c r="J5" s="102" t="s">
        <v>24</v>
      </c>
      <c r="K5" s="102" t="s">
        <v>24</v>
      </c>
      <c r="L5" s="102" t="s">
        <v>24</v>
      </c>
      <c r="M5" s="95" t="s">
        <v>397</v>
      </c>
      <c r="N5" s="102" t="s">
        <v>24</v>
      </c>
      <c r="O5" s="102" t="s">
        <v>24</v>
      </c>
      <c r="P5" s="102" t="s">
        <v>24</v>
      </c>
      <c r="Q5" s="102" t="s">
        <v>24</v>
      </c>
      <c r="R5" s="102" t="s">
        <v>24</v>
      </c>
      <c r="S5" s="102" t="s">
        <v>24</v>
      </c>
      <c r="T5" s="95" t="s">
        <v>397</v>
      </c>
      <c r="U5" s="102" t="s">
        <v>24</v>
      </c>
      <c r="V5" s="102" t="s">
        <v>24</v>
      </c>
      <c r="W5" s="102" t="s">
        <v>24</v>
      </c>
      <c r="X5" s="102" t="s">
        <v>24</v>
      </c>
      <c r="Y5" s="102" t="s">
        <v>24</v>
      </c>
      <c r="Z5" s="102" t="s">
        <v>24</v>
      </c>
      <c r="AA5" s="95" t="s">
        <v>397</v>
      </c>
      <c r="AB5" s="102" t="s">
        <v>24</v>
      </c>
      <c r="AC5" s="102" t="s">
        <v>24</v>
      </c>
      <c r="AD5" s="102" t="s">
        <v>24</v>
      </c>
      <c r="AE5" s="102" t="s">
        <v>24</v>
      </c>
      <c r="AF5" s="102" t="s">
        <v>24</v>
      </c>
      <c r="AG5" s="102" t="s">
        <v>24</v>
      </c>
      <c r="AH5" s="95" t="s">
        <v>397</v>
      </c>
      <c r="AI5" s="102" t="s">
        <v>24</v>
      </c>
      <c r="AJ5" s="4">
        <f>COUNTIF(E5:AI5,"P")</f>
        <v>26</v>
      </c>
      <c r="AK5" s="4">
        <f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225</v>
      </c>
      <c r="C6" s="78" t="s">
        <v>40</v>
      </c>
      <c r="D6" s="12" t="s">
        <v>65</v>
      </c>
      <c r="E6" s="102" t="s">
        <v>24</v>
      </c>
      <c r="F6" s="95"/>
      <c r="G6" s="102" t="s">
        <v>24</v>
      </c>
      <c r="H6" s="102" t="s">
        <v>24</v>
      </c>
      <c r="I6" s="102" t="s">
        <v>24</v>
      </c>
      <c r="J6" s="102" t="s">
        <v>24</v>
      </c>
      <c r="K6" s="102" t="s">
        <v>24</v>
      </c>
      <c r="L6" s="102" t="s">
        <v>24</v>
      </c>
      <c r="M6" s="95"/>
      <c r="N6" s="102" t="s">
        <v>24</v>
      </c>
      <c r="O6" s="102" t="s">
        <v>24</v>
      </c>
      <c r="P6" s="102" t="s">
        <v>24</v>
      </c>
      <c r="Q6" s="102" t="s">
        <v>24</v>
      </c>
      <c r="R6" s="102" t="s">
        <v>24</v>
      </c>
      <c r="S6" s="102" t="s">
        <v>24</v>
      </c>
      <c r="T6" s="95"/>
      <c r="U6" s="102" t="s">
        <v>24</v>
      </c>
      <c r="V6" s="102" t="s">
        <v>24</v>
      </c>
      <c r="W6" s="102" t="s">
        <v>24</v>
      </c>
      <c r="X6" s="102" t="s">
        <v>24</v>
      </c>
      <c r="Y6" s="102" t="s">
        <v>24</v>
      </c>
      <c r="Z6" s="102" t="s">
        <v>24</v>
      </c>
      <c r="AA6" s="95"/>
      <c r="AB6" s="102" t="s">
        <v>24</v>
      </c>
      <c r="AC6" s="102" t="s">
        <v>24</v>
      </c>
      <c r="AD6" s="102" t="s">
        <v>24</v>
      </c>
      <c r="AE6" s="102" t="s">
        <v>24</v>
      </c>
      <c r="AF6" s="102" t="s">
        <v>24</v>
      </c>
      <c r="AG6" s="102" t="s">
        <v>24</v>
      </c>
      <c r="AH6" s="95"/>
      <c r="AI6" s="102" t="s">
        <v>24</v>
      </c>
      <c r="AJ6" s="4">
        <f>COUNTIF(E6:AI6,"P")</f>
        <v>26</v>
      </c>
      <c r="AK6" s="4">
        <f>COUNTIF(E6:AI6,"A")</f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226</v>
      </c>
      <c r="C7" s="78" t="s">
        <v>120</v>
      </c>
      <c r="D7" s="12" t="s">
        <v>65</v>
      </c>
      <c r="E7" s="102" t="s">
        <v>24</v>
      </c>
      <c r="F7" s="95"/>
      <c r="G7" s="102" t="s">
        <v>24</v>
      </c>
      <c r="H7" s="102" t="s">
        <v>24</v>
      </c>
      <c r="I7" s="102" t="s">
        <v>24</v>
      </c>
      <c r="J7" s="102" t="s">
        <v>24</v>
      </c>
      <c r="K7" s="102" t="s">
        <v>24</v>
      </c>
      <c r="L7" s="102" t="s">
        <v>24</v>
      </c>
      <c r="M7" s="95"/>
      <c r="N7" s="102" t="s">
        <v>24</v>
      </c>
      <c r="O7" s="102" t="s">
        <v>24</v>
      </c>
      <c r="P7" s="102" t="s">
        <v>24</v>
      </c>
      <c r="Q7" s="102" t="s">
        <v>24</v>
      </c>
      <c r="R7" s="102" t="s">
        <v>24</v>
      </c>
      <c r="S7" s="102" t="s">
        <v>24</v>
      </c>
      <c r="T7" s="95"/>
      <c r="U7" s="102" t="s">
        <v>24</v>
      </c>
      <c r="V7" s="102" t="s">
        <v>24</v>
      </c>
      <c r="W7" s="102" t="s">
        <v>24</v>
      </c>
      <c r="X7" s="102" t="s">
        <v>24</v>
      </c>
      <c r="Y7" s="102" t="s">
        <v>24</v>
      </c>
      <c r="Z7" s="102" t="s">
        <v>24</v>
      </c>
      <c r="AA7" s="95"/>
      <c r="AB7" s="102" t="s">
        <v>24</v>
      </c>
      <c r="AC7" s="102" t="s">
        <v>24</v>
      </c>
      <c r="AD7" s="102" t="s">
        <v>24</v>
      </c>
      <c r="AE7" s="102" t="s">
        <v>24</v>
      </c>
      <c r="AF7" s="102" t="s">
        <v>24</v>
      </c>
      <c r="AG7" s="102" t="s">
        <v>24</v>
      </c>
      <c r="AH7" s="95"/>
      <c r="AI7" s="102" t="s">
        <v>24</v>
      </c>
      <c r="AJ7" s="4">
        <f>COUNTIF(E7:AI7,"P")</f>
        <v>26</v>
      </c>
      <c r="AK7" s="4">
        <f>COUNTIF(E7:AI7,"A")</f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227</v>
      </c>
      <c r="C8" s="78" t="s">
        <v>228</v>
      </c>
      <c r="D8" s="12" t="s">
        <v>65</v>
      </c>
      <c r="E8" s="102" t="s">
        <v>24</v>
      </c>
      <c r="F8" s="95"/>
      <c r="G8" s="102" t="s">
        <v>24</v>
      </c>
      <c r="H8" s="102" t="s">
        <v>24</v>
      </c>
      <c r="I8" s="102" t="s">
        <v>24</v>
      </c>
      <c r="J8" s="102" t="s">
        <v>24</v>
      </c>
      <c r="K8" s="102" t="s">
        <v>24</v>
      </c>
      <c r="L8" s="102" t="s">
        <v>24</v>
      </c>
      <c r="M8" s="95"/>
      <c r="N8" s="102" t="s">
        <v>24</v>
      </c>
      <c r="O8" s="102" t="s">
        <v>24</v>
      </c>
      <c r="P8" s="102" t="s">
        <v>24</v>
      </c>
      <c r="Q8" s="102" t="s">
        <v>24</v>
      </c>
      <c r="R8" s="102" t="s">
        <v>24</v>
      </c>
      <c r="S8" s="102" t="s">
        <v>24</v>
      </c>
      <c r="T8" s="95"/>
      <c r="U8" s="102" t="s">
        <v>24</v>
      </c>
      <c r="V8" s="102" t="s">
        <v>24</v>
      </c>
      <c r="W8" s="102" t="s">
        <v>24</v>
      </c>
      <c r="X8" s="102" t="s">
        <v>24</v>
      </c>
      <c r="Y8" s="102" t="s">
        <v>24</v>
      </c>
      <c r="Z8" s="102" t="s">
        <v>24</v>
      </c>
      <c r="AA8" s="95"/>
      <c r="AB8" s="102" t="s">
        <v>24</v>
      </c>
      <c r="AC8" s="102" t="s">
        <v>24</v>
      </c>
      <c r="AD8" s="102" t="s">
        <v>24</v>
      </c>
      <c r="AE8" s="102" t="s">
        <v>24</v>
      </c>
      <c r="AF8" s="102" t="s">
        <v>24</v>
      </c>
      <c r="AG8" s="102" t="s">
        <v>24</v>
      </c>
      <c r="AH8" s="95"/>
      <c r="AI8" s="102" t="s">
        <v>24</v>
      </c>
      <c r="AJ8" s="4">
        <f>COUNTIF(E8:AI8,"P")</f>
        <v>26</v>
      </c>
      <c r="AK8" s="4">
        <f>COUNTIF(E8:AI8,"A")</f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229</v>
      </c>
      <c r="C9" s="78" t="s">
        <v>19</v>
      </c>
      <c r="D9" s="12" t="s">
        <v>65</v>
      </c>
      <c r="E9" s="102" t="s">
        <v>24</v>
      </c>
      <c r="F9" s="95"/>
      <c r="G9" s="102" t="s">
        <v>24</v>
      </c>
      <c r="H9" s="102" t="s">
        <v>24</v>
      </c>
      <c r="I9" s="102" t="s">
        <v>24</v>
      </c>
      <c r="J9" s="102" t="s">
        <v>24</v>
      </c>
      <c r="K9" s="102" t="s">
        <v>24</v>
      </c>
      <c r="L9" s="102" t="s">
        <v>24</v>
      </c>
      <c r="M9" s="95"/>
      <c r="N9" s="102" t="s">
        <v>24</v>
      </c>
      <c r="O9" s="102" t="s">
        <v>24</v>
      </c>
      <c r="P9" s="102" t="s">
        <v>24</v>
      </c>
      <c r="Q9" s="102" t="s">
        <v>24</v>
      </c>
      <c r="R9" s="102" t="s">
        <v>24</v>
      </c>
      <c r="S9" s="102" t="s">
        <v>24</v>
      </c>
      <c r="T9" s="95"/>
      <c r="U9" s="102" t="s">
        <v>24</v>
      </c>
      <c r="V9" s="102" t="s">
        <v>24</v>
      </c>
      <c r="W9" s="102" t="s">
        <v>24</v>
      </c>
      <c r="X9" s="102" t="s">
        <v>24</v>
      </c>
      <c r="Y9" s="102" t="s">
        <v>24</v>
      </c>
      <c r="Z9" s="102" t="s">
        <v>24</v>
      </c>
      <c r="AA9" s="95"/>
      <c r="AB9" s="102" t="s">
        <v>24</v>
      </c>
      <c r="AC9" s="102" t="s">
        <v>24</v>
      </c>
      <c r="AD9" s="102" t="s">
        <v>24</v>
      </c>
      <c r="AE9" s="102" t="s">
        <v>24</v>
      </c>
      <c r="AF9" s="102" t="s">
        <v>24</v>
      </c>
      <c r="AG9" s="102" t="s">
        <v>24</v>
      </c>
      <c r="AH9" s="95"/>
      <c r="AI9" s="102" t="s">
        <v>24</v>
      </c>
      <c r="AJ9" s="4">
        <f>COUNTIF(E9:AI9,"P")</f>
        <v>26</v>
      </c>
      <c r="AK9" s="4">
        <f>COUNTIF(E9:AI9,"A")</f>
        <v>0</v>
      </c>
      <c r="AL9" s="80"/>
      <c r="AM9" s="6"/>
    </row>
    <row r="10" spans="1:41" ht="16.5">
      <c r="A10" s="6">
        <v>6</v>
      </c>
      <c r="B10" s="78" t="s">
        <v>230</v>
      </c>
      <c r="C10" s="78" t="s">
        <v>231</v>
      </c>
      <c r="D10" s="12" t="s">
        <v>65</v>
      </c>
      <c r="E10" s="102" t="s">
        <v>24</v>
      </c>
      <c r="F10" s="95"/>
      <c r="G10" s="102" t="s">
        <v>24</v>
      </c>
      <c r="H10" s="102" t="s">
        <v>24</v>
      </c>
      <c r="I10" s="102" t="s">
        <v>24</v>
      </c>
      <c r="J10" s="102" t="s">
        <v>24</v>
      </c>
      <c r="K10" s="102" t="s">
        <v>24</v>
      </c>
      <c r="L10" s="102" t="s">
        <v>24</v>
      </c>
      <c r="M10" s="95"/>
      <c r="N10" s="102" t="s">
        <v>24</v>
      </c>
      <c r="O10" s="102" t="s">
        <v>24</v>
      </c>
      <c r="P10" s="102" t="s">
        <v>24</v>
      </c>
      <c r="Q10" s="102" t="s">
        <v>24</v>
      </c>
      <c r="R10" s="102" t="s">
        <v>24</v>
      </c>
      <c r="S10" s="102" t="s">
        <v>24</v>
      </c>
      <c r="T10" s="95"/>
      <c r="U10" s="102" t="s">
        <v>24</v>
      </c>
      <c r="V10" s="102" t="s">
        <v>24</v>
      </c>
      <c r="W10" s="102" t="s">
        <v>24</v>
      </c>
      <c r="X10" s="102" t="s">
        <v>24</v>
      </c>
      <c r="Y10" s="102" t="s">
        <v>24</v>
      </c>
      <c r="Z10" s="102" t="s">
        <v>24</v>
      </c>
      <c r="AA10" s="95"/>
      <c r="AB10" s="102" t="s">
        <v>24</v>
      </c>
      <c r="AC10" s="102" t="s">
        <v>24</v>
      </c>
      <c r="AD10" s="102" t="s">
        <v>24</v>
      </c>
      <c r="AE10" s="102" t="s">
        <v>24</v>
      </c>
      <c r="AF10" s="102" t="s">
        <v>24</v>
      </c>
      <c r="AG10" s="102" t="s">
        <v>24</v>
      </c>
      <c r="AH10" s="95"/>
      <c r="AI10" s="102" t="s">
        <v>24</v>
      </c>
      <c r="AJ10" s="4">
        <f>COUNTIF(E10:AI10,"P")</f>
        <v>26</v>
      </c>
      <c r="AK10" s="4">
        <f>COUNTIF(E10:AI10,"A")</f>
        <v>0</v>
      </c>
    </row>
    <row r="11" spans="1:41" ht="16.5">
      <c r="A11" s="6">
        <v>7</v>
      </c>
      <c r="B11" s="78" t="s">
        <v>51</v>
      </c>
      <c r="C11" s="78" t="s">
        <v>232</v>
      </c>
      <c r="D11" s="12" t="s">
        <v>65</v>
      </c>
      <c r="E11" s="102" t="s">
        <v>24</v>
      </c>
      <c r="F11" s="95"/>
      <c r="G11" s="102" t="s">
        <v>24</v>
      </c>
      <c r="H11" s="102" t="s">
        <v>24</v>
      </c>
      <c r="I11" s="102" t="s">
        <v>24</v>
      </c>
      <c r="J11" s="102" t="s">
        <v>24</v>
      </c>
      <c r="K11" s="102" t="s">
        <v>24</v>
      </c>
      <c r="L11" s="102" t="s">
        <v>24</v>
      </c>
      <c r="M11" s="95"/>
      <c r="N11" s="102" t="s">
        <v>24</v>
      </c>
      <c r="O11" s="102" t="s">
        <v>24</v>
      </c>
      <c r="P11" s="102" t="s">
        <v>24</v>
      </c>
      <c r="Q11" s="102" t="s">
        <v>24</v>
      </c>
      <c r="R11" s="102" t="s">
        <v>24</v>
      </c>
      <c r="S11" s="102" t="s">
        <v>24</v>
      </c>
      <c r="T11" s="95"/>
      <c r="U11" s="102" t="s">
        <v>24</v>
      </c>
      <c r="V11" s="102" t="s">
        <v>24</v>
      </c>
      <c r="W11" s="102" t="s">
        <v>24</v>
      </c>
      <c r="X11" s="102" t="s">
        <v>24</v>
      </c>
      <c r="Y11" s="102" t="s">
        <v>24</v>
      </c>
      <c r="Z11" s="102" t="s">
        <v>24</v>
      </c>
      <c r="AA11" s="95"/>
      <c r="AB11" s="102" t="s">
        <v>24</v>
      </c>
      <c r="AC11" s="102" t="s">
        <v>24</v>
      </c>
      <c r="AD11" s="102" t="s">
        <v>24</v>
      </c>
      <c r="AE11" s="102" t="s">
        <v>24</v>
      </c>
      <c r="AF11" s="102" t="s">
        <v>24</v>
      </c>
      <c r="AG11" s="102" t="s">
        <v>24</v>
      </c>
      <c r="AH11" s="95"/>
      <c r="AI11" s="102" t="s">
        <v>24</v>
      </c>
      <c r="AJ11" s="4">
        <f>COUNTIF(E11:AI11,"P")</f>
        <v>26</v>
      </c>
      <c r="AK11" s="4">
        <f>COUNTIF(E11:AI11,"A")</f>
        <v>0</v>
      </c>
      <c r="AL11" s="93" t="s">
        <v>9</v>
      </c>
      <c r="AM11" s="93"/>
      <c r="AN11" s="93"/>
      <c r="AO11" s="94"/>
    </row>
    <row r="12" spans="1:41" ht="16.5">
      <c r="A12" s="6">
        <v>8</v>
      </c>
      <c r="B12" s="78" t="s">
        <v>233</v>
      </c>
      <c r="C12" s="78" t="s">
        <v>234</v>
      </c>
      <c r="D12" s="12" t="s">
        <v>65</v>
      </c>
      <c r="E12" s="102" t="s">
        <v>24</v>
      </c>
      <c r="F12" s="95"/>
      <c r="G12" s="102" t="s">
        <v>24</v>
      </c>
      <c r="H12" s="102" t="s">
        <v>24</v>
      </c>
      <c r="I12" s="102" t="s">
        <v>24</v>
      </c>
      <c r="J12" s="102" t="s">
        <v>24</v>
      </c>
      <c r="K12" s="102" t="s">
        <v>24</v>
      </c>
      <c r="L12" s="102" t="s">
        <v>24</v>
      </c>
      <c r="M12" s="95"/>
      <c r="N12" s="102" t="s">
        <v>24</v>
      </c>
      <c r="O12" s="102" t="s">
        <v>24</v>
      </c>
      <c r="P12" s="102" t="s">
        <v>24</v>
      </c>
      <c r="Q12" s="102" t="s">
        <v>24</v>
      </c>
      <c r="R12" s="102" t="s">
        <v>24</v>
      </c>
      <c r="S12" s="102" t="s">
        <v>24</v>
      </c>
      <c r="T12" s="95"/>
      <c r="U12" s="102" t="s">
        <v>24</v>
      </c>
      <c r="V12" s="102" t="s">
        <v>24</v>
      </c>
      <c r="W12" s="102" t="s">
        <v>24</v>
      </c>
      <c r="X12" s="102" t="s">
        <v>24</v>
      </c>
      <c r="Y12" s="102" t="s">
        <v>24</v>
      </c>
      <c r="Z12" s="102" t="s">
        <v>24</v>
      </c>
      <c r="AA12" s="95"/>
      <c r="AB12" s="102" t="s">
        <v>24</v>
      </c>
      <c r="AC12" s="102" t="s">
        <v>24</v>
      </c>
      <c r="AD12" s="102" t="s">
        <v>24</v>
      </c>
      <c r="AE12" s="102" t="s">
        <v>24</v>
      </c>
      <c r="AF12" s="102" t="s">
        <v>24</v>
      </c>
      <c r="AG12" s="102" t="s">
        <v>24</v>
      </c>
      <c r="AH12" s="95"/>
      <c r="AI12" s="102" t="s">
        <v>24</v>
      </c>
      <c r="AJ12" s="4">
        <f>COUNTIF(E12:AI12,"P")</f>
        <v>26</v>
      </c>
      <c r="AK12" s="4">
        <f>COUNTIF(E12:AI12,"A")</f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235</v>
      </c>
      <c r="C13" s="78" t="s">
        <v>236</v>
      </c>
      <c r="D13" s="12" t="s">
        <v>65</v>
      </c>
      <c r="E13" s="102" t="s">
        <v>24</v>
      </c>
      <c r="F13" s="95"/>
      <c r="G13" s="102" t="s">
        <v>24</v>
      </c>
      <c r="H13" s="102" t="s">
        <v>24</v>
      </c>
      <c r="I13" s="102" t="s">
        <v>24</v>
      </c>
      <c r="J13" s="102" t="s">
        <v>24</v>
      </c>
      <c r="K13" s="102" t="s">
        <v>24</v>
      </c>
      <c r="L13" s="102" t="s">
        <v>24</v>
      </c>
      <c r="M13" s="95"/>
      <c r="N13" s="102" t="s">
        <v>24</v>
      </c>
      <c r="O13" s="102" t="s">
        <v>24</v>
      </c>
      <c r="P13" s="102" t="s">
        <v>24</v>
      </c>
      <c r="Q13" s="102" t="s">
        <v>24</v>
      </c>
      <c r="R13" s="102" t="s">
        <v>24</v>
      </c>
      <c r="S13" s="102" t="s">
        <v>24</v>
      </c>
      <c r="T13" s="95"/>
      <c r="U13" s="102" t="s">
        <v>24</v>
      </c>
      <c r="V13" s="102" t="s">
        <v>24</v>
      </c>
      <c r="W13" s="102" t="s">
        <v>24</v>
      </c>
      <c r="X13" s="102" t="s">
        <v>24</v>
      </c>
      <c r="Y13" s="102" t="s">
        <v>24</v>
      </c>
      <c r="Z13" s="102" t="s">
        <v>24</v>
      </c>
      <c r="AA13" s="95"/>
      <c r="AB13" s="102" t="s">
        <v>24</v>
      </c>
      <c r="AC13" s="102" t="s">
        <v>24</v>
      </c>
      <c r="AD13" s="102" t="s">
        <v>24</v>
      </c>
      <c r="AE13" s="102" t="s">
        <v>24</v>
      </c>
      <c r="AF13" s="102" t="s">
        <v>24</v>
      </c>
      <c r="AG13" s="102" t="s">
        <v>24</v>
      </c>
      <c r="AH13" s="95"/>
      <c r="AI13" s="102" t="s">
        <v>24</v>
      </c>
      <c r="AJ13" s="4">
        <f>COUNTIF(E13:AI13,"P")</f>
        <v>26</v>
      </c>
      <c r="AK13" s="4">
        <f>COUNTIF(E13:AI13,"A")</f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18</v>
      </c>
      <c r="C14" s="78" t="s">
        <v>227</v>
      </c>
      <c r="D14" s="12" t="s">
        <v>65</v>
      </c>
      <c r="E14" s="102" t="s">
        <v>24</v>
      </c>
      <c r="F14" s="95"/>
      <c r="G14" s="102" t="s">
        <v>24</v>
      </c>
      <c r="H14" s="102" t="s">
        <v>24</v>
      </c>
      <c r="I14" s="102" t="s">
        <v>24</v>
      </c>
      <c r="J14" s="102" t="s">
        <v>24</v>
      </c>
      <c r="K14" s="102" t="s">
        <v>24</v>
      </c>
      <c r="L14" s="102" t="s">
        <v>24</v>
      </c>
      <c r="M14" s="95"/>
      <c r="N14" s="102" t="s">
        <v>24</v>
      </c>
      <c r="O14" s="102" t="s">
        <v>24</v>
      </c>
      <c r="P14" s="102" t="s">
        <v>24</v>
      </c>
      <c r="Q14" s="102" t="s">
        <v>24</v>
      </c>
      <c r="R14" s="102" t="s">
        <v>24</v>
      </c>
      <c r="S14" s="102" t="s">
        <v>24</v>
      </c>
      <c r="T14" s="95"/>
      <c r="U14" s="102" t="s">
        <v>24</v>
      </c>
      <c r="V14" s="102" t="s">
        <v>24</v>
      </c>
      <c r="W14" s="102" t="s">
        <v>24</v>
      </c>
      <c r="X14" s="102" t="s">
        <v>24</v>
      </c>
      <c r="Y14" s="102" t="s">
        <v>24</v>
      </c>
      <c r="Z14" s="102" t="s">
        <v>24</v>
      </c>
      <c r="AA14" s="95"/>
      <c r="AB14" s="102" t="s">
        <v>24</v>
      </c>
      <c r="AC14" s="102" t="s">
        <v>24</v>
      </c>
      <c r="AD14" s="102" t="s">
        <v>24</v>
      </c>
      <c r="AE14" s="102" t="s">
        <v>24</v>
      </c>
      <c r="AF14" s="102" t="s">
        <v>24</v>
      </c>
      <c r="AG14" s="102" t="s">
        <v>24</v>
      </c>
      <c r="AH14" s="95"/>
      <c r="AI14" s="102" t="s">
        <v>24</v>
      </c>
      <c r="AJ14" s="4">
        <f>COUNTIF(E14:AI14,"P")</f>
        <v>26</v>
      </c>
      <c r="AK14" s="4">
        <f>COUNTIF(E14:AI14,"A")</f>
        <v>0</v>
      </c>
      <c r="AL14" s="80" t="s">
        <v>15</v>
      </c>
      <c r="AM14" s="6" t="e">
        <f>SUM(AJ6,AJ9,AJ11,AJ13,AJ16,AJ21,AJ22,AJ23,AJ24,AJ25,AJ26,AJ27,#REF!,#REF!,#REF!,#REF!,#REF!,#REF!,#REF!,#REF!,#REF!,#REF!,#REF!,#REF!,#REF!,#REF!,#REF!)</f>
        <v>#REF!</v>
      </c>
      <c r="AN14" s="6" t="e">
        <f>SUM(AJ5,AJ7,AJ8,AJ10,AJ12,AJ14,AJ15,AJ17,AJ18,AJ19,AJ20,AJ28,#REF!,#REF!,#REF!,#REF!,#REF!,#REF!,#REF!,#REF!,#REF!,#REF!,#REF!,#REF!,#REF!,#REF!,#REF!)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237</v>
      </c>
      <c r="C15" s="78" t="s">
        <v>194</v>
      </c>
      <c r="D15" s="12" t="s">
        <v>65</v>
      </c>
      <c r="E15" s="102" t="s">
        <v>24</v>
      </c>
      <c r="F15" s="95"/>
      <c r="G15" s="102" t="s">
        <v>24</v>
      </c>
      <c r="H15" s="102" t="s">
        <v>24</v>
      </c>
      <c r="I15" s="102" t="s">
        <v>24</v>
      </c>
      <c r="J15" s="102" t="s">
        <v>24</v>
      </c>
      <c r="K15" s="102" t="s">
        <v>24</v>
      </c>
      <c r="L15" s="102" t="s">
        <v>24</v>
      </c>
      <c r="M15" s="95"/>
      <c r="N15" s="102" t="s">
        <v>24</v>
      </c>
      <c r="O15" s="102" t="s">
        <v>24</v>
      </c>
      <c r="P15" s="102" t="s">
        <v>24</v>
      </c>
      <c r="Q15" s="102" t="s">
        <v>24</v>
      </c>
      <c r="R15" s="102" t="s">
        <v>24</v>
      </c>
      <c r="S15" s="102" t="s">
        <v>24</v>
      </c>
      <c r="T15" s="95"/>
      <c r="U15" s="102" t="s">
        <v>24</v>
      </c>
      <c r="V15" s="102" t="s">
        <v>24</v>
      </c>
      <c r="W15" s="102" t="s">
        <v>24</v>
      </c>
      <c r="X15" s="102" t="s">
        <v>24</v>
      </c>
      <c r="Y15" s="102" t="s">
        <v>24</v>
      </c>
      <c r="Z15" s="102" t="s">
        <v>24</v>
      </c>
      <c r="AA15" s="95"/>
      <c r="AB15" s="102" t="s">
        <v>24</v>
      </c>
      <c r="AC15" s="102" t="s">
        <v>24</v>
      </c>
      <c r="AD15" s="102" t="s">
        <v>24</v>
      </c>
      <c r="AE15" s="102" t="s">
        <v>24</v>
      </c>
      <c r="AF15" s="102" t="s">
        <v>24</v>
      </c>
      <c r="AG15" s="102" t="s">
        <v>24</v>
      </c>
      <c r="AH15" s="95"/>
      <c r="AI15" s="102" t="s">
        <v>24</v>
      </c>
      <c r="AJ15" s="4">
        <f>COUNTIF(E15:AI15,"P")</f>
        <v>26</v>
      </c>
      <c r="AK15" s="4">
        <f>COUNTIF(E15:AI15,"A")</f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56</v>
      </c>
      <c r="C16" s="78" t="s">
        <v>231</v>
      </c>
      <c r="D16" s="12" t="s">
        <v>65</v>
      </c>
      <c r="E16" s="102" t="s">
        <v>24</v>
      </c>
      <c r="F16" s="95"/>
      <c r="G16" s="102" t="s">
        <v>24</v>
      </c>
      <c r="H16" s="102" t="s">
        <v>24</v>
      </c>
      <c r="I16" s="102" t="s">
        <v>24</v>
      </c>
      <c r="J16" s="102" t="s">
        <v>24</v>
      </c>
      <c r="K16" s="102" t="s">
        <v>24</v>
      </c>
      <c r="L16" s="102" t="s">
        <v>24</v>
      </c>
      <c r="M16" s="95"/>
      <c r="N16" s="102" t="s">
        <v>24</v>
      </c>
      <c r="O16" s="102" t="s">
        <v>24</v>
      </c>
      <c r="P16" s="102" t="s">
        <v>24</v>
      </c>
      <c r="Q16" s="102" t="s">
        <v>24</v>
      </c>
      <c r="R16" s="102" t="s">
        <v>24</v>
      </c>
      <c r="S16" s="102" t="s">
        <v>24</v>
      </c>
      <c r="T16" s="95"/>
      <c r="U16" s="102" t="s">
        <v>24</v>
      </c>
      <c r="V16" s="102" t="s">
        <v>24</v>
      </c>
      <c r="W16" s="102" t="s">
        <v>24</v>
      </c>
      <c r="X16" s="102" t="s">
        <v>24</v>
      </c>
      <c r="Y16" s="102" t="s">
        <v>24</v>
      </c>
      <c r="Z16" s="102" t="s">
        <v>24</v>
      </c>
      <c r="AA16" s="95"/>
      <c r="AB16" s="102" t="s">
        <v>24</v>
      </c>
      <c r="AC16" s="102" t="s">
        <v>24</v>
      </c>
      <c r="AD16" s="102" t="s">
        <v>24</v>
      </c>
      <c r="AE16" s="102" t="s">
        <v>24</v>
      </c>
      <c r="AF16" s="102" t="s">
        <v>24</v>
      </c>
      <c r="AG16" s="102" t="s">
        <v>24</v>
      </c>
      <c r="AH16" s="95"/>
      <c r="AI16" s="102" t="s">
        <v>24</v>
      </c>
      <c r="AJ16" s="4">
        <f>COUNTIF(E16:AI16,"P")</f>
        <v>26</v>
      </c>
      <c r="AK16" s="4">
        <f>COUNTIF(E16:AI16,"A")</f>
        <v>0</v>
      </c>
      <c r="AL16"/>
      <c r="AM16"/>
      <c r="AN16"/>
      <c r="AO16"/>
    </row>
    <row r="17" spans="1:41" ht="16.5">
      <c r="A17" s="6">
        <v>13</v>
      </c>
      <c r="B17" s="78" t="s">
        <v>46</v>
      </c>
      <c r="C17" s="78" t="s">
        <v>238</v>
      </c>
      <c r="D17" s="12" t="s">
        <v>65</v>
      </c>
      <c r="E17" s="102" t="s">
        <v>24</v>
      </c>
      <c r="F17" s="95"/>
      <c r="G17" s="102" t="s">
        <v>24</v>
      </c>
      <c r="H17" s="102" t="s">
        <v>24</v>
      </c>
      <c r="I17" s="102" t="s">
        <v>24</v>
      </c>
      <c r="J17" s="102" t="s">
        <v>24</v>
      </c>
      <c r="K17" s="102" t="s">
        <v>24</v>
      </c>
      <c r="L17" s="102" t="s">
        <v>24</v>
      </c>
      <c r="M17" s="95"/>
      <c r="N17" s="102" t="s">
        <v>24</v>
      </c>
      <c r="O17" s="102" t="s">
        <v>24</v>
      </c>
      <c r="P17" s="102" t="s">
        <v>24</v>
      </c>
      <c r="Q17" s="102" t="s">
        <v>24</v>
      </c>
      <c r="R17" s="102" t="s">
        <v>24</v>
      </c>
      <c r="S17" s="102" t="s">
        <v>24</v>
      </c>
      <c r="T17" s="95"/>
      <c r="U17" s="102" t="s">
        <v>24</v>
      </c>
      <c r="V17" s="102" t="s">
        <v>24</v>
      </c>
      <c r="W17" s="102" t="s">
        <v>24</v>
      </c>
      <c r="X17" s="102" t="s">
        <v>24</v>
      </c>
      <c r="Y17" s="102" t="s">
        <v>24</v>
      </c>
      <c r="Z17" s="102" t="s">
        <v>24</v>
      </c>
      <c r="AA17" s="95"/>
      <c r="AB17" s="102" t="s">
        <v>24</v>
      </c>
      <c r="AC17" s="102" t="s">
        <v>24</v>
      </c>
      <c r="AD17" s="102" t="s">
        <v>24</v>
      </c>
      <c r="AE17" s="102" t="s">
        <v>24</v>
      </c>
      <c r="AF17" s="102" t="s">
        <v>24</v>
      </c>
      <c r="AG17" s="102" t="s">
        <v>24</v>
      </c>
      <c r="AH17" s="95"/>
      <c r="AI17" s="102" t="s">
        <v>24</v>
      </c>
      <c r="AJ17" s="4">
        <f>COUNTIF(E17:AI17,"P")</f>
        <v>26</v>
      </c>
      <c r="AK17" s="4">
        <f>COUNTIF(E17:AI17,"A")</f>
        <v>0</v>
      </c>
      <c r="AL17"/>
      <c r="AM17"/>
      <c r="AN17"/>
      <c r="AO17"/>
    </row>
    <row r="18" spans="1:41" ht="16.5">
      <c r="A18" s="6">
        <v>14</v>
      </c>
      <c r="B18" s="78" t="s">
        <v>239</v>
      </c>
      <c r="C18" s="78" t="s">
        <v>58</v>
      </c>
      <c r="D18" s="12" t="s">
        <v>65</v>
      </c>
      <c r="E18" s="102" t="s">
        <v>24</v>
      </c>
      <c r="F18" s="95"/>
      <c r="G18" s="102" t="s">
        <v>24</v>
      </c>
      <c r="H18" s="102" t="s">
        <v>24</v>
      </c>
      <c r="I18" s="102" t="s">
        <v>24</v>
      </c>
      <c r="J18" s="102" t="s">
        <v>24</v>
      </c>
      <c r="K18" s="102" t="s">
        <v>24</v>
      </c>
      <c r="L18" s="102" t="s">
        <v>24</v>
      </c>
      <c r="M18" s="95"/>
      <c r="N18" s="102" t="s">
        <v>24</v>
      </c>
      <c r="O18" s="102" t="s">
        <v>24</v>
      </c>
      <c r="P18" s="102" t="s">
        <v>24</v>
      </c>
      <c r="Q18" s="102" t="s">
        <v>24</v>
      </c>
      <c r="R18" s="102" t="s">
        <v>24</v>
      </c>
      <c r="S18" s="102" t="s">
        <v>24</v>
      </c>
      <c r="T18" s="95"/>
      <c r="U18" s="102" t="s">
        <v>24</v>
      </c>
      <c r="V18" s="102" t="s">
        <v>24</v>
      </c>
      <c r="W18" s="102" t="s">
        <v>24</v>
      </c>
      <c r="X18" s="102" t="s">
        <v>24</v>
      </c>
      <c r="Y18" s="102" t="s">
        <v>24</v>
      </c>
      <c r="Z18" s="102" t="s">
        <v>24</v>
      </c>
      <c r="AA18" s="95"/>
      <c r="AB18" s="102" t="s">
        <v>24</v>
      </c>
      <c r="AC18" s="102" t="s">
        <v>24</v>
      </c>
      <c r="AD18" s="102" t="s">
        <v>24</v>
      </c>
      <c r="AE18" s="102" t="s">
        <v>24</v>
      </c>
      <c r="AF18" s="102" t="s">
        <v>24</v>
      </c>
      <c r="AG18" s="102" t="s">
        <v>24</v>
      </c>
      <c r="AH18" s="95"/>
      <c r="AI18" s="102" t="s">
        <v>24</v>
      </c>
      <c r="AJ18" s="4">
        <f>COUNTIF(E18:AI18,"P")</f>
        <v>26</v>
      </c>
      <c r="AK18" s="4">
        <f>COUNTIF(E18:AI18,"A")</f>
        <v>0</v>
      </c>
      <c r="AL18"/>
      <c r="AM18"/>
      <c r="AN18"/>
      <c r="AO18"/>
    </row>
    <row r="19" spans="1:41" ht="16.5">
      <c r="A19" s="6">
        <v>15</v>
      </c>
      <c r="B19" s="78" t="s">
        <v>35</v>
      </c>
      <c r="C19" s="78" t="s">
        <v>63</v>
      </c>
      <c r="D19" s="12" t="s">
        <v>65</v>
      </c>
      <c r="E19" s="102" t="s">
        <v>24</v>
      </c>
      <c r="F19" s="95"/>
      <c r="G19" s="102" t="s">
        <v>24</v>
      </c>
      <c r="H19" s="102" t="s">
        <v>24</v>
      </c>
      <c r="I19" s="102" t="s">
        <v>24</v>
      </c>
      <c r="J19" s="102" t="s">
        <v>24</v>
      </c>
      <c r="K19" s="102" t="s">
        <v>24</v>
      </c>
      <c r="L19" s="102" t="s">
        <v>24</v>
      </c>
      <c r="M19" s="95"/>
      <c r="N19" s="102" t="s">
        <v>24</v>
      </c>
      <c r="O19" s="102" t="s">
        <v>24</v>
      </c>
      <c r="P19" s="102" t="s">
        <v>24</v>
      </c>
      <c r="Q19" s="102" t="s">
        <v>24</v>
      </c>
      <c r="R19" s="102" t="s">
        <v>24</v>
      </c>
      <c r="S19" s="102" t="s">
        <v>24</v>
      </c>
      <c r="T19" s="95"/>
      <c r="U19" s="102" t="s">
        <v>24</v>
      </c>
      <c r="V19" s="102" t="s">
        <v>24</v>
      </c>
      <c r="W19" s="102" t="s">
        <v>24</v>
      </c>
      <c r="X19" s="102" t="s">
        <v>24</v>
      </c>
      <c r="Y19" s="102" t="s">
        <v>24</v>
      </c>
      <c r="Z19" s="102" t="s">
        <v>24</v>
      </c>
      <c r="AA19" s="95"/>
      <c r="AB19" s="102" t="s">
        <v>24</v>
      </c>
      <c r="AC19" s="102" t="s">
        <v>24</v>
      </c>
      <c r="AD19" s="102" t="s">
        <v>24</v>
      </c>
      <c r="AE19" s="102" t="s">
        <v>24</v>
      </c>
      <c r="AF19" s="102" t="s">
        <v>24</v>
      </c>
      <c r="AG19" s="102" t="s">
        <v>24</v>
      </c>
      <c r="AH19" s="95"/>
      <c r="AI19" s="102" t="s">
        <v>24</v>
      </c>
      <c r="AJ19" s="4">
        <f>COUNTIF(E19:AI19,"P")</f>
        <v>26</v>
      </c>
      <c r="AK19" s="4">
        <f>COUNTIF(E19:AI19,"A")</f>
        <v>0</v>
      </c>
      <c r="AL19" s="93" t="s">
        <v>30</v>
      </c>
      <c r="AM19" s="93"/>
      <c r="AN19" s="93"/>
      <c r="AO19" s="94"/>
    </row>
    <row r="20" spans="1:41" ht="16.5">
      <c r="A20" s="6">
        <v>16</v>
      </c>
      <c r="B20" s="78" t="s">
        <v>240</v>
      </c>
      <c r="C20" s="78" t="s">
        <v>51</v>
      </c>
      <c r="D20" s="12" t="s">
        <v>65</v>
      </c>
      <c r="E20" s="102" t="s">
        <v>24</v>
      </c>
      <c r="F20" s="95"/>
      <c r="G20" s="102" t="s">
        <v>24</v>
      </c>
      <c r="H20" s="102" t="s">
        <v>24</v>
      </c>
      <c r="I20" s="102" t="s">
        <v>24</v>
      </c>
      <c r="J20" s="102" t="s">
        <v>24</v>
      </c>
      <c r="K20" s="102" t="s">
        <v>24</v>
      </c>
      <c r="L20" s="102" t="s">
        <v>24</v>
      </c>
      <c r="M20" s="95"/>
      <c r="N20" s="102" t="s">
        <v>24</v>
      </c>
      <c r="O20" s="102" t="s">
        <v>24</v>
      </c>
      <c r="P20" s="102" t="s">
        <v>24</v>
      </c>
      <c r="Q20" s="102" t="s">
        <v>24</v>
      </c>
      <c r="R20" s="102" t="s">
        <v>24</v>
      </c>
      <c r="S20" s="102" t="s">
        <v>24</v>
      </c>
      <c r="T20" s="95"/>
      <c r="U20" s="102" t="s">
        <v>24</v>
      </c>
      <c r="V20" s="102" t="s">
        <v>24</v>
      </c>
      <c r="W20" s="102" t="s">
        <v>24</v>
      </c>
      <c r="X20" s="102" t="s">
        <v>24</v>
      </c>
      <c r="Y20" s="102" t="s">
        <v>24</v>
      </c>
      <c r="Z20" s="102" t="s">
        <v>24</v>
      </c>
      <c r="AA20" s="95"/>
      <c r="AB20" s="102" t="s">
        <v>24</v>
      </c>
      <c r="AC20" s="102" t="s">
        <v>24</v>
      </c>
      <c r="AD20" s="102" t="s">
        <v>24</v>
      </c>
      <c r="AE20" s="102" t="s">
        <v>24</v>
      </c>
      <c r="AF20" s="102" t="s">
        <v>24</v>
      </c>
      <c r="AG20" s="102" t="s">
        <v>24</v>
      </c>
      <c r="AH20" s="95"/>
      <c r="AI20" s="102" t="s">
        <v>24</v>
      </c>
      <c r="AJ20" s="4">
        <f>COUNTIF(E20:AI20,"P")</f>
        <v>26</v>
      </c>
      <c r="AK20" s="4">
        <f>COUNTIF(E20:AI20,"A")</f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241</v>
      </c>
      <c r="C21" s="78" t="s">
        <v>100</v>
      </c>
      <c r="D21" s="12" t="s">
        <v>65</v>
      </c>
      <c r="E21" s="102" t="s">
        <v>24</v>
      </c>
      <c r="F21" s="95"/>
      <c r="G21" s="102" t="s">
        <v>24</v>
      </c>
      <c r="H21" s="102" t="s">
        <v>24</v>
      </c>
      <c r="I21" s="102" t="s">
        <v>24</v>
      </c>
      <c r="J21" s="102" t="s">
        <v>24</v>
      </c>
      <c r="K21" s="102" t="s">
        <v>24</v>
      </c>
      <c r="L21" s="102" t="s">
        <v>24</v>
      </c>
      <c r="M21" s="95"/>
      <c r="N21" s="102" t="s">
        <v>24</v>
      </c>
      <c r="O21" s="102" t="s">
        <v>24</v>
      </c>
      <c r="P21" s="102" t="s">
        <v>24</v>
      </c>
      <c r="Q21" s="102" t="s">
        <v>24</v>
      </c>
      <c r="R21" s="102" t="s">
        <v>24</v>
      </c>
      <c r="S21" s="102" t="s">
        <v>24</v>
      </c>
      <c r="T21" s="95"/>
      <c r="U21" s="102" t="s">
        <v>24</v>
      </c>
      <c r="V21" s="102" t="s">
        <v>24</v>
      </c>
      <c r="W21" s="102" t="s">
        <v>24</v>
      </c>
      <c r="X21" s="102" t="s">
        <v>24</v>
      </c>
      <c r="Y21" s="102" t="s">
        <v>24</v>
      </c>
      <c r="Z21" s="102" t="s">
        <v>24</v>
      </c>
      <c r="AA21" s="95"/>
      <c r="AB21" s="102" t="s">
        <v>24</v>
      </c>
      <c r="AC21" s="102" t="s">
        <v>24</v>
      </c>
      <c r="AD21" s="102" t="s">
        <v>24</v>
      </c>
      <c r="AE21" s="102" t="s">
        <v>24</v>
      </c>
      <c r="AF21" s="102" t="s">
        <v>24</v>
      </c>
      <c r="AG21" s="102" t="s">
        <v>24</v>
      </c>
      <c r="AH21" s="95"/>
      <c r="AI21" s="102" t="s">
        <v>24</v>
      </c>
      <c r="AJ21" s="4">
        <f>COUNTIF(E21:AI21,"P")</f>
        <v>26</v>
      </c>
      <c r="AK21" s="4">
        <f>COUNTIF(E21:AI21,"A")</f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37</v>
      </c>
      <c r="C22" s="78" t="s">
        <v>242</v>
      </c>
      <c r="D22" s="12" t="s">
        <v>65</v>
      </c>
      <c r="E22" s="102" t="s">
        <v>24</v>
      </c>
      <c r="F22" s="95"/>
      <c r="G22" s="102" t="s">
        <v>24</v>
      </c>
      <c r="H22" s="102" t="s">
        <v>24</v>
      </c>
      <c r="I22" s="102" t="s">
        <v>24</v>
      </c>
      <c r="J22" s="102" t="s">
        <v>24</v>
      </c>
      <c r="K22" s="102" t="s">
        <v>24</v>
      </c>
      <c r="L22" s="102" t="s">
        <v>24</v>
      </c>
      <c r="M22" s="95"/>
      <c r="N22" s="102" t="s">
        <v>24</v>
      </c>
      <c r="O22" s="102" t="s">
        <v>24</v>
      </c>
      <c r="P22" s="102" t="s">
        <v>24</v>
      </c>
      <c r="Q22" s="102" t="s">
        <v>24</v>
      </c>
      <c r="R22" s="102" t="s">
        <v>24</v>
      </c>
      <c r="S22" s="102" t="s">
        <v>24</v>
      </c>
      <c r="T22" s="95"/>
      <c r="U22" s="102" t="s">
        <v>24</v>
      </c>
      <c r="V22" s="102" t="s">
        <v>24</v>
      </c>
      <c r="W22" s="102" t="s">
        <v>24</v>
      </c>
      <c r="X22" s="102" t="s">
        <v>24</v>
      </c>
      <c r="Y22" s="102" t="s">
        <v>24</v>
      </c>
      <c r="Z22" s="102" t="s">
        <v>24</v>
      </c>
      <c r="AA22" s="95"/>
      <c r="AB22" s="102" t="s">
        <v>24</v>
      </c>
      <c r="AC22" s="102" t="s">
        <v>24</v>
      </c>
      <c r="AD22" s="102" t="s">
        <v>24</v>
      </c>
      <c r="AE22" s="102" t="s">
        <v>24</v>
      </c>
      <c r="AF22" s="102" t="s">
        <v>24</v>
      </c>
      <c r="AG22" s="102" t="s">
        <v>24</v>
      </c>
      <c r="AH22" s="95"/>
      <c r="AI22" s="102" t="s">
        <v>24</v>
      </c>
      <c r="AJ22" s="4">
        <f>COUNTIF(E22:AI22,"P")</f>
        <v>26</v>
      </c>
      <c r="AK22" s="4">
        <f>COUNTIF(E22:AI22,"A")</f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243</v>
      </c>
      <c r="C23" s="78" t="s">
        <v>244</v>
      </c>
      <c r="D23" s="12" t="s">
        <v>65</v>
      </c>
      <c r="E23" s="102" t="s">
        <v>24</v>
      </c>
      <c r="F23" s="95"/>
      <c r="G23" s="102" t="s">
        <v>24</v>
      </c>
      <c r="H23" s="102" t="s">
        <v>24</v>
      </c>
      <c r="I23" s="102" t="s">
        <v>24</v>
      </c>
      <c r="J23" s="102" t="s">
        <v>24</v>
      </c>
      <c r="K23" s="102" t="s">
        <v>24</v>
      </c>
      <c r="L23" s="102" t="s">
        <v>24</v>
      </c>
      <c r="M23" s="95"/>
      <c r="N23" s="102" t="s">
        <v>24</v>
      </c>
      <c r="O23" s="102" t="s">
        <v>24</v>
      </c>
      <c r="P23" s="102" t="s">
        <v>24</v>
      </c>
      <c r="Q23" s="102" t="s">
        <v>24</v>
      </c>
      <c r="R23" s="102" t="s">
        <v>24</v>
      </c>
      <c r="S23" s="102" t="s">
        <v>24</v>
      </c>
      <c r="T23" s="95"/>
      <c r="U23" s="102" t="s">
        <v>24</v>
      </c>
      <c r="V23" s="102" t="s">
        <v>24</v>
      </c>
      <c r="W23" s="102" t="s">
        <v>24</v>
      </c>
      <c r="X23" s="102" t="s">
        <v>24</v>
      </c>
      <c r="Y23" s="102" t="s">
        <v>24</v>
      </c>
      <c r="Z23" s="102" t="s">
        <v>24</v>
      </c>
      <c r="AA23" s="95"/>
      <c r="AB23" s="102" t="s">
        <v>24</v>
      </c>
      <c r="AC23" s="102" t="s">
        <v>24</v>
      </c>
      <c r="AD23" s="102" t="s">
        <v>24</v>
      </c>
      <c r="AE23" s="102" t="s">
        <v>24</v>
      </c>
      <c r="AF23" s="102" t="s">
        <v>24</v>
      </c>
      <c r="AG23" s="102" t="s">
        <v>24</v>
      </c>
      <c r="AH23" s="95"/>
      <c r="AI23" s="102" t="s">
        <v>24</v>
      </c>
      <c r="AJ23" s="4">
        <f>COUNTIF(E23:AI23,"P")</f>
        <v>26</v>
      </c>
      <c r="AK23" s="4">
        <f>COUNTIF(E23:AI23,"A")</f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74</v>
      </c>
      <c r="C24" s="78" t="s">
        <v>20</v>
      </c>
      <c r="D24" s="12" t="s">
        <v>65</v>
      </c>
      <c r="E24" s="102" t="s">
        <v>24</v>
      </c>
      <c r="F24" s="95"/>
      <c r="G24" s="102" t="s">
        <v>24</v>
      </c>
      <c r="H24" s="102" t="s">
        <v>24</v>
      </c>
      <c r="I24" s="102" t="s">
        <v>24</v>
      </c>
      <c r="J24" s="102" t="s">
        <v>24</v>
      </c>
      <c r="K24" s="102" t="s">
        <v>24</v>
      </c>
      <c r="L24" s="102" t="s">
        <v>24</v>
      </c>
      <c r="M24" s="95"/>
      <c r="N24" s="102" t="s">
        <v>24</v>
      </c>
      <c r="O24" s="102" t="s">
        <v>24</v>
      </c>
      <c r="P24" s="102" t="s">
        <v>24</v>
      </c>
      <c r="Q24" s="102" t="s">
        <v>24</v>
      </c>
      <c r="R24" s="102" t="s">
        <v>24</v>
      </c>
      <c r="S24" s="102" t="s">
        <v>24</v>
      </c>
      <c r="T24" s="95"/>
      <c r="U24" s="102" t="s">
        <v>24</v>
      </c>
      <c r="V24" s="102" t="s">
        <v>24</v>
      </c>
      <c r="W24" s="102" t="s">
        <v>24</v>
      </c>
      <c r="X24" s="102" t="s">
        <v>24</v>
      </c>
      <c r="Y24" s="102" t="s">
        <v>24</v>
      </c>
      <c r="Z24" s="102" t="s">
        <v>24</v>
      </c>
      <c r="AA24" s="95"/>
      <c r="AB24" s="102" t="s">
        <v>24</v>
      </c>
      <c r="AC24" s="102" t="s">
        <v>24</v>
      </c>
      <c r="AD24" s="102" t="s">
        <v>24</v>
      </c>
      <c r="AE24" s="102" t="s">
        <v>24</v>
      </c>
      <c r="AF24" s="102" t="s">
        <v>24</v>
      </c>
      <c r="AG24" s="102" t="s">
        <v>24</v>
      </c>
      <c r="AH24" s="95"/>
      <c r="AI24" s="102" t="s">
        <v>24</v>
      </c>
      <c r="AJ24" s="4">
        <f>COUNTIF(E24:AI24,"P")</f>
        <v>26</v>
      </c>
      <c r="AK24" s="4">
        <f>COUNTIF(E24:AI24,"A")</f>
        <v>0</v>
      </c>
    </row>
    <row r="25" spans="1:41" ht="16.5">
      <c r="A25" s="6">
        <v>21</v>
      </c>
      <c r="B25" s="78" t="s">
        <v>245</v>
      </c>
      <c r="C25" s="78" t="s">
        <v>64</v>
      </c>
      <c r="D25" s="12" t="s">
        <v>65</v>
      </c>
      <c r="E25" s="102" t="s">
        <v>24</v>
      </c>
      <c r="F25" s="95"/>
      <c r="G25" s="102" t="s">
        <v>24</v>
      </c>
      <c r="H25" s="102" t="s">
        <v>24</v>
      </c>
      <c r="I25" s="102" t="s">
        <v>24</v>
      </c>
      <c r="J25" s="102" t="s">
        <v>24</v>
      </c>
      <c r="K25" s="102" t="s">
        <v>24</v>
      </c>
      <c r="L25" s="102" t="s">
        <v>24</v>
      </c>
      <c r="M25" s="95"/>
      <c r="N25" s="102" t="s">
        <v>24</v>
      </c>
      <c r="O25" s="102" t="s">
        <v>24</v>
      </c>
      <c r="P25" s="102" t="s">
        <v>24</v>
      </c>
      <c r="Q25" s="102" t="s">
        <v>24</v>
      </c>
      <c r="R25" s="102" t="s">
        <v>24</v>
      </c>
      <c r="S25" s="102" t="s">
        <v>24</v>
      </c>
      <c r="T25" s="95"/>
      <c r="U25" s="102" t="s">
        <v>24</v>
      </c>
      <c r="V25" s="102" t="s">
        <v>24</v>
      </c>
      <c r="W25" s="102" t="s">
        <v>24</v>
      </c>
      <c r="X25" s="102" t="s">
        <v>24</v>
      </c>
      <c r="Y25" s="102" t="s">
        <v>24</v>
      </c>
      <c r="Z25" s="102" t="s">
        <v>24</v>
      </c>
      <c r="AA25" s="95"/>
      <c r="AB25" s="102" t="s">
        <v>24</v>
      </c>
      <c r="AC25" s="102" t="s">
        <v>24</v>
      </c>
      <c r="AD25" s="102" t="s">
        <v>24</v>
      </c>
      <c r="AE25" s="102" t="s">
        <v>24</v>
      </c>
      <c r="AF25" s="102" t="s">
        <v>24</v>
      </c>
      <c r="AG25" s="102" t="s">
        <v>24</v>
      </c>
      <c r="AH25" s="95"/>
      <c r="AI25" s="102" t="s">
        <v>24</v>
      </c>
      <c r="AJ25" s="4">
        <f>COUNTIF(E25:AI25,"P")</f>
        <v>26</v>
      </c>
      <c r="AK25" s="4">
        <f>COUNTIF(E25:AI25,"A")</f>
        <v>0</v>
      </c>
    </row>
    <row r="26" spans="1:41" ht="16.5">
      <c r="A26" s="6">
        <v>22</v>
      </c>
      <c r="B26" s="78" t="s">
        <v>71</v>
      </c>
      <c r="C26" s="78" t="s">
        <v>169</v>
      </c>
      <c r="D26" s="12" t="s">
        <v>65</v>
      </c>
      <c r="E26" s="102" t="s">
        <v>24</v>
      </c>
      <c r="F26" s="95"/>
      <c r="G26" s="102" t="s">
        <v>24</v>
      </c>
      <c r="H26" s="102" t="s">
        <v>24</v>
      </c>
      <c r="I26" s="102" t="s">
        <v>24</v>
      </c>
      <c r="J26" s="102" t="s">
        <v>24</v>
      </c>
      <c r="K26" s="102" t="s">
        <v>24</v>
      </c>
      <c r="L26" s="102" t="s">
        <v>24</v>
      </c>
      <c r="M26" s="95"/>
      <c r="N26" s="102" t="s">
        <v>24</v>
      </c>
      <c r="O26" s="102" t="s">
        <v>24</v>
      </c>
      <c r="P26" s="102" t="s">
        <v>24</v>
      </c>
      <c r="Q26" s="102" t="s">
        <v>24</v>
      </c>
      <c r="R26" s="102" t="s">
        <v>24</v>
      </c>
      <c r="S26" s="102" t="s">
        <v>24</v>
      </c>
      <c r="T26" s="95"/>
      <c r="U26" s="102" t="s">
        <v>24</v>
      </c>
      <c r="V26" s="102" t="s">
        <v>24</v>
      </c>
      <c r="W26" s="102" t="s">
        <v>24</v>
      </c>
      <c r="X26" s="102" t="s">
        <v>24</v>
      </c>
      <c r="Y26" s="102" t="s">
        <v>24</v>
      </c>
      <c r="Z26" s="102" t="s">
        <v>24</v>
      </c>
      <c r="AA26" s="95"/>
      <c r="AB26" s="102" t="s">
        <v>24</v>
      </c>
      <c r="AC26" s="102" t="s">
        <v>24</v>
      </c>
      <c r="AD26" s="102" t="s">
        <v>24</v>
      </c>
      <c r="AE26" s="102" t="s">
        <v>24</v>
      </c>
      <c r="AF26" s="102" t="s">
        <v>24</v>
      </c>
      <c r="AG26" s="102" t="s">
        <v>24</v>
      </c>
      <c r="AH26" s="95"/>
      <c r="AI26" s="102" t="s">
        <v>24</v>
      </c>
      <c r="AJ26" s="4">
        <f>COUNTIF(E26:AI26,"P")</f>
        <v>26</v>
      </c>
      <c r="AK26" s="4">
        <f>COUNTIF(E26:AI26,"A")</f>
        <v>0</v>
      </c>
    </row>
    <row r="27" spans="1:41" ht="16.5">
      <c r="A27" s="6">
        <v>23</v>
      </c>
      <c r="B27" s="78" t="s">
        <v>246</v>
      </c>
      <c r="C27" s="78" t="s">
        <v>196</v>
      </c>
      <c r="D27" s="12" t="s">
        <v>65</v>
      </c>
      <c r="E27" s="102" t="s">
        <v>24</v>
      </c>
      <c r="F27" s="95"/>
      <c r="G27" s="102" t="s">
        <v>24</v>
      </c>
      <c r="H27" s="102" t="s">
        <v>24</v>
      </c>
      <c r="I27" s="102" t="s">
        <v>24</v>
      </c>
      <c r="J27" s="102" t="s">
        <v>24</v>
      </c>
      <c r="K27" s="102" t="s">
        <v>24</v>
      </c>
      <c r="L27" s="102" t="s">
        <v>24</v>
      </c>
      <c r="M27" s="95"/>
      <c r="N27" s="102" t="s">
        <v>24</v>
      </c>
      <c r="O27" s="102" t="s">
        <v>24</v>
      </c>
      <c r="P27" s="102" t="s">
        <v>24</v>
      </c>
      <c r="Q27" s="102" t="s">
        <v>24</v>
      </c>
      <c r="R27" s="102" t="s">
        <v>24</v>
      </c>
      <c r="S27" s="102" t="s">
        <v>24</v>
      </c>
      <c r="T27" s="95"/>
      <c r="U27" s="102" t="s">
        <v>24</v>
      </c>
      <c r="V27" s="102" t="s">
        <v>24</v>
      </c>
      <c r="W27" s="102" t="s">
        <v>24</v>
      </c>
      <c r="X27" s="102" t="s">
        <v>24</v>
      </c>
      <c r="Y27" s="102" t="s">
        <v>24</v>
      </c>
      <c r="Z27" s="102" t="s">
        <v>24</v>
      </c>
      <c r="AA27" s="95"/>
      <c r="AB27" s="102" t="s">
        <v>24</v>
      </c>
      <c r="AC27" s="102" t="s">
        <v>24</v>
      </c>
      <c r="AD27" s="102" t="s">
        <v>24</v>
      </c>
      <c r="AE27" s="102" t="s">
        <v>24</v>
      </c>
      <c r="AF27" s="102" t="s">
        <v>24</v>
      </c>
      <c r="AG27" s="102" t="s">
        <v>24</v>
      </c>
      <c r="AH27" s="95"/>
      <c r="AI27" s="102" t="s">
        <v>24</v>
      </c>
      <c r="AJ27" s="4">
        <f>COUNTIF(E27:AI27,"P")</f>
        <v>26</v>
      </c>
      <c r="AK27" s="4">
        <f>COUNTIF(E27:AI27,"A")</f>
        <v>0</v>
      </c>
    </row>
    <row r="28" spans="1:41" ht="16.5">
      <c r="A28" s="6">
        <v>24</v>
      </c>
      <c r="B28" s="78" t="s">
        <v>247</v>
      </c>
      <c r="C28" s="78" t="s">
        <v>248</v>
      </c>
      <c r="D28" s="12" t="s">
        <v>65</v>
      </c>
      <c r="E28" s="102" t="s">
        <v>24</v>
      </c>
      <c r="F28" s="95"/>
      <c r="G28" s="102" t="s">
        <v>24</v>
      </c>
      <c r="H28" s="102" t="s">
        <v>24</v>
      </c>
      <c r="I28" s="102" t="s">
        <v>24</v>
      </c>
      <c r="J28" s="102" t="s">
        <v>24</v>
      </c>
      <c r="K28" s="102" t="s">
        <v>24</v>
      </c>
      <c r="L28" s="102" t="s">
        <v>24</v>
      </c>
      <c r="M28" s="95"/>
      <c r="N28" s="102" t="s">
        <v>24</v>
      </c>
      <c r="O28" s="102" t="s">
        <v>24</v>
      </c>
      <c r="P28" s="102" t="s">
        <v>24</v>
      </c>
      <c r="Q28" s="102" t="s">
        <v>24</v>
      </c>
      <c r="R28" s="102" t="s">
        <v>24</v>
      </c>
      <c r="S28" s="102" t="s">
        <v>24</v>
      </c>
      <c r="T28" s="95"/>
      <c r="U28" s="102" t="s">
        <v>24</v>
      </c>
      <c r="V28" s="102" t="s">
        <v>24</v>
      </c>
      <c r="W28" s="102" t="s">
        <v>24</v>
      </c>
      <c r="X28" s="102" t="s">
        <v>24</v>
      </c>
      <c r="Y28" s="102" t="s">
        <v>24</v>
      </c>
      <c r="Z28" s="102" t="s">
        <v>24</v>
      </c>
      <c r="AA28" s="95"/>
      <c r="AB28" s="102" t="s">
        <v>24</v>
      </c>
      <c r="AC28" s="102" t="s">
        <v>24</v>
      </c>
      <c r="AD28" s="102" t="s">
        <v>24</v>
      </c>
      <c r="AE28" s="102" t="s">
        <v>24</v>
      </c>
      <c r="AF28" s="102" t="s">
        <v>24</v>
      </c>
      <c r="AG28" s="102" t="s">
        <v>24</v>
      </c>
      <c r="AH28" s="95"/>
      <c r="AI28" s="102" t="s">
        <v>24</v>
      </c>
      <c r="AJ28" s="4">
        <f>COUNTIF(E28:AI28,"P")</f>
        <v>26</v>
      </c>
      <c r="AK28" s="4">
        <f>COUNTIF(E28:AI28,"A")</f>
        <v>0</v>
      </c>
    </row>
  </sheetData>
  <mergeCells count="16">
    <mergeCell ref="AH5:AH28"/>
    <mergeCell ref="AK3:AK4"/>
    <mergeCell ref="AL3:AM3"/>
    <mergeCell ref="AL11:AO11"/>
    <mergeCell ref="AL19:AO19"/>
    <mergeCell ref="AJ3:AJ4"/>
    <mergeCell ref="F5:F28"/>
    <mergeCell ref="M5:M28"/>
    <mergeCell ref="T5:T28"/>
    <mergeCell ref="AA5:AA28"/>
    <mergeCell ref="A1:AI1"/>
    <mergeCell ref="A2:AI2"/>
    <mergeCell ref="A3:A4"/>
    <mergeCell ref="B3:B4"/>
    <mergeCell ref="C3:C4"/>
    <mergeCell ref="D3:D4"/>
  </mergeCells>
  <phoneticPr fontId="19" type="noConversion"/>
  <conditionalFormatting sqref="E5:E28">
    <cfRule type="cellIs" dxfId="616" priority="276" operator="equal">
      <formula>"L"</formula>
    </cfRule>
    <cfRule type="expression" dxfId="615" priority="277">
      <formula>E$4=TODAY()</formula>
    </cfRule>
    <cfRule type="cellIs" dxfId="614" priority="278" operator="equal">
      <formula>"A"</formula>
    </cfRule>
    <cfRule type="cellIs" dxfId="613" priority="279" operator="equal">
      <formula>"P"</formula>
    </cfRule>
    <cfRule type="expression" dxfId="612" priority="280">
      <formula>E$3="Sun"</formula>
    </cfRule>
  </conditionalFormatting>
  <conditionalFormatting sqref="F5">
    <cfRule type="cellIs" dxfId="611" priority="266" operator="equal">
      <formula>"L"</formula>
    </cfRule>
    <cfRule type="expression" dxfId="610" priority="267">
      <formula>F$4=TODAY()</formula>
    </cfRule>
    <cfRule type="cellIs" dxfId="609" priority="268" operator="equal">
      <formula>"A"</formula>
    </cfRule>
    <cfRule type="cellIs" dxfId="608" priority="269" operator="equal">
      <formula>"P"</formula>
    </cfRule>
    <cfRule type="expression" dxfId="607" priority="270">
      <formula>F$3="Sun"</formula>
    </cfRule>
  </conditionalFormatting>
  <conditionalFormatting sqref="E3:AI4">
    <cfRule type="expression" dxfId="606" priority="294">
      <formula>E$4=TODAY()</formula>
    </cfRule>
    <cfRule type="expression" dxfId="605" priority="302">
      <formula>E$3="Sun"</formula>
    </cfRule>
  </conditionalFormatting>
  <conditionalFormatting sqref="AJ3:AK3 AJ5:AK28">
    <cfRule type="expression" dxfId="576" priority="303">
      <formula>#REF!="Sun"</formula>
    </cfRule>
  </conditionalFormatting>
  <conditionalFormatting sqref="AL5:AL9">
    <cfRule type="expression" dxfId="575" priority="290">
      <formula>AL$3="Sun"</formula>
    </cfRule>
  </conditionalFormatting>
  <conditionalFormatting sqref="AL12:AL15">
    <cfRule type="expression" dxfId="574" priority="287">
      <formula>AL$3="Sun"</formula>
    </cfRule>
  </conditionalFormatting>
  <conditionalFormatting sqref="AL20:AL23">
    <cfRule type="expression" dxfId="573" priority="286">
      <formula>AL$3="Sun"</formula>
    </cfRule>
  </conditionalFormatting>
  <conditionalFormatting sqref="AL4:AM4">
    <cfRule type="expression" dxfId="572" priority="291">
      <formula>AL$3="Sun"</formula>
    </cfRule>
  </conditionalFormatting>
  <conditionalFormatting sqref="AM12:AO12 AM20:AO20">
    <cfRule type="expression" dxfId="571" priority="292">
      <formula>AM$3="Sun"</formula>
    </cfRule>
  </conditionalFormatting>
  <conditionalFormatting sqref="AO21">
    <cfRule type="expression" dxfId="570" priority="289">
      <formula>AO$3="Sun"</formula>
    </cfRule>
  </conditionalFormatting>
  <conditionalFormatting sqref="H5:H28">
    <cfRule type="cellIs" dxfId="564" priority="236" operator="equal">
      <formula>"L"</formula>
    </cfRule>
    <cfRule type="expression" dxfId="563" priority="237">
      <formula>H$4=TODAY()</formula>
    </cfRule>
    <cfRule type="cellIs" dxfId="562" priority="238" operator="equal">
      <formula>"A"</formula>
    </cfRule>
    <cfRule type="cellIs" dxfId="561" priority="239" operator="equal">
      <formula>"P"</formula>
    </cfRule>
    <cfRule type="expression" dxfId="560" priority="240">
      <formula>H$3="Sun"</formula>
    </cfRule>
  </conditionalFormatting>
  <conditionalFormatting sqref="I5:I28">
    <cfRule type="cellIs" dxfId="559" priority="231" operator="equal">
      <formula>"L"</formula>
    </cfRule>
    <cfRule type="expression" dxfId="558" priority="232">
      <formula>I$4=TODAY()</formula>
    </cfRule>
    <cfRule type="cellIs" dxfId="557" priority="233" operator="equal">
      <formula>"A"</formula>
    </cfRule>
    <cfRule type="cellIs" dxfId="556" priority="234" operator="equal">
      <formula>"P"</formula>
    </cfRule>
    <cfRule type="expression" dxfId="555" priority="235">
      <formula>I$3="Sun"</formula>
    </cfRule>
  </conditionalFormatting>
  <conditionalFormatting sqref="J5:J28">
    <cfRule type="cellIs" dxfId="554" priority="226" operator="equal">
      <formula>"L"</formula>
    </cfRule>
    <cfRule type="expression" dxfId="553" priority="227">
      <formula>J$4=TODAY()</formula>
    </cfRule>
    <cfRule type="cellIs" dxfId="552" priority="228" operator="equal">
      <formula>"A"</formula>
    </cfRule>
    <cfRule type="cellIs" dxfId="551" priority="229" operator="equal">
      <formula>"P"</formula>
    </cfRule>
    <cfRule type="expression" dxfId="550" priority="230">
      <formula>J$3="Sun"</formula>
    </cfRule>
  </conditionalFormatting>
  <conditionalFormatting sqref="K5:K28">
    <cfRule type="cellIs" dxfId="549" priority="221" operator="equal">
      <formula>"L"</formula>
    </cfRule>
    <cfRule type="expression" dxfId="548" priority="222">
      <formula>K$4=TODAY()</formula>
    </cfRule>
    <cfRule type="cellIs" dxfId="547" priority="223" operator="equal">
      <formula>"A"</formula>
    </cfRule>
    <cfRule type="cellIs" dxfId="546" priority="224" operator="equal">
      <formula>"P"</formula>
    </cfRule>
    <cfRule type="expression" dxfId="545" priority="225">
      <formula>K$3="Sun"</formula>
    </cfRule>
  </conditionalFormatting>
  <conditionalFormatting sqref="L5:L28">
    <cfRule type="cellIs" dxfId="544" priority="216" operator="equal">
      <formula>"L"</formula>
    </cfRule>
    <cfRule type="expression" dxfId="543" priority="217">
      <formula>L$4=TODAY()</formula>
    </cfRule>
    <cfRule type="cellIs" dxfId="542" priority="218" operator="equal">
      <formula>"A"</formula>
    </cfRule>
    <cfRule type="cellIs" dxfId="541" priority="219" operator="equal">
      <formula>"P"</formula>
    </cfRule>
    <cfRule type="expression" dxfId="540" priority="220">
      <formula>L$3="Sun"</formula>
    </cfRule>
  </conditionalFormatting>
  <conditionalFormatting sqref="O5:O28">
    <cfRule type="cellIs" dxfId="534" priority="206" operator="equal">
      <formula>"L"</formula>
    </cfRule>
    <cfRule type="expression" dxfId="533" priority="207">
      <formula>O$4=TODAY()</formula>
    </cfRule>
    <cfRule type="cellIs" dxfId="532" priority="208" operator="equal">
      <formula>"A"</formula>
    </cfRule>
    <cfRule type="cellIs" dxfId="531" priority="209" operator="equal">
      <formula>"P"</formula>
    </cfRule>
    <cfRule type="expression" dxfId="530" priority="210">
      <formula>O$3="Sun"</formula>
    </cfRule>
  </conditionalFormatting>
  <conditionalFormatting sqref="P5:P28">
    <cfRule type="cellIs" dxfId="529" priority="201" operator="equal">
      <formula>"L"</formula>
    </cfRule>
    <cfRule type="expression" dxfId="528" priority="202">
      <formula>P$4=TODAY()</formula>
    </cfRule>
    <cfRule type="cellIs" dxfId="527" priority="203" operator="equal">
      <formula>"A"</formula>
    </cfRule>
    <cfRule type="cellIs" dxfId="526" priority="204" operator="equal">
      <formula>"P"</formula>
    </cfRule>
    <cfRule type="expression" dxfId="525" priority="205">
      <formula>P$3="Sun"</formula>
    </cfRule>
  </conditionalFormatting>
  <conditionalFormatting sqref="Q5:Q28">
    <cfRule type="cellIs" dxfId="524" priority="196" operator="equal">
      <formula>"L"</formula>
    </cfRule>
    <cfRule type="expression" dxfId="523" priority="197">
      <formula>Q$4=TODAY()</formula>
    </cfRule>
    <cfRule type="cellIs" dxfId="522" priority="198" operator="equal">
      <formula>"A"</formula>
    </cfRule>
    <cfRule type="cellIs" dxfId="521" priority="199" operator="equal">
      <formula>"P"</formula>
    </cfRule>
    <cfRule type="expression" dxfId="520" priority="200">
      <formula>Q$3="Sun"</formula>
    </cfRule>
  </conditionalFormatting>
  <conditionalFormatting sqref="R5:R28">
    <cfRule type="cellIs" dxfId="519" priority="191" operator="equal">
      <formula>"L"</formula>
    </cfRule>
    <cfRule type="expression" dxfId="518" priority="192">
      <formula>R$4=TODAY()</formula>
    </cfRule>
    <cfRule type="cellIs" dxfId="517" priority="193" operator="equal">
      <formula>"A"</formula>
    </cfRule>
    <cfRule type="cellIs" dxfId="516" priority="194" operator="equal">
      <formula>"P"</formula>
    </cfRule>
    <cfRule type="expression" dxfId="515" priority="195">
      <formula>R$3="Sun"</formula>
    </cfRule>
  </conditionalFormatting>
  <conditionalFormatting sqref="S5:S28">
    <cfRule type="cellIs" dxfId="514" priority="186" operator="equal">
      <formula>"L"</formula>
    </cfRule>
    <cfRule type="expression" dxfId="513" priority="187">
      <formula>S$4=TODAY()</formula>
    </cfRule>
    <cfRule type="cellIs" dxfId="512" priority="188" operator="equal">
      <formula>"A"</formula>
    </cfRule>
    <cfRule type="cellIs" dxfId="511" priority="189" operator="equal">
      <formula>"P"</formula>
    </cfRule>
    <cfRule type="expression" dxfId="510" priority="190">
      <formula>S$3="Sun"</formula>
    </cfRule>
  </conditionalFormatting>
  <conditionalFormatting sqref="V5:V28">
    <cfRule type="cellIs" dxfId="504" priority="176" operator="equal">
      <formula>"L"</formula>
    </cfRule>
    <cfRule type="expression" dxfId="503" priority="177">
      <formula>V$4=TODAY()</formula>
    </cfRule>
    <cfRule type="cellIs" dxfId="502" priority="178" operator="equal">
      <formula>"A"</formula>
    </cfRule>
    <cfRule type="cellIs" dxfId="501" priority="179" operator="equal">
      <formula>"P"</formula>
    </cfRule>
    <cfRule type="expression" dxfId="500" priority="180">
      <formula>V$3="Sun"</formula>
    </cfRule>
  </conditionalFormatting>
  <conditionalFormatting sqref="W5:W28">
    <cfRule type="cellIs" dxfId="499" priority="171" operator="equal">
      <formula>"L"</formula>
    </cfRule>
    <cfRule type="expression" dxfId="498" priority="172">
      <formula>W$4=TODAY()</formula>
    </cfRule>
    <cfRule type="cellIs" dxfId="497" priority="173" operator="equal">
      <formula>"A"</formula>
    </cfRule>
    <cfRule type="cellIs" dxfId="496" priority="174" operator="equal">
      <formula>"P"</formula>
    </cfRule>
    <cfRule type="expression" dxfId="495" priority="175">
      <formula>W$3="Sun"</formula>
    </cfRule>
  </conditionalFormatting>
  <conditionalFormatting sqref="X5:X28">
    <cfRule type="cellIs" dxfId="494" priority="166" operator="equal">
      <formula>"L"</formula>
    </cfRule>
    <cfRule type="expression" dxfId="493" priority="167">
      <formula>X$4=TODAY()</formula>
    </cfRule>
    <cfRule type="cellIs" dxfId="492" priority="168" operator="equal">
      <formula>"A"</formula>
    </cfRule>
    <cfRule type="cellIs" dxfId="491" priority="169" operator="equal">
      <formula>"P"</formula>
    </cfRule>
    <cfRule type="expression" dxfId="490" priority="170">
      <formula>X$3="Sun"</formula>
    </cfRule>
  </conditionalFormatting>
  <conditionalFormatting sqref="Y5:Y28">
    <cfRule type="cellIs" dxfId="489" priority="161" operator="equal">
      <formula>"L"</formula>
    </cfRule>
    <cfRule type="expression" dxfId="488" priority="162">
      <formula>Y$4=TODAY()</formula>
    </cfRule>
    <cfRule type="cellIs" dxfId="487" priority="163" operator="equal">
      <formula>"A"</formula>
    </cfRule>
    <cfRule type="cellIs" dxfId="486" priority="164" operator="equal">
      <formula>"P"</formula>
    </cfRule>
    <cfRule type="expression" dxfId="485" priority="165">
      <formula>Y$3="Sun"</formula>
    </cfRule>
  </conditionalFormatting>
  <conditionalFormatting sqref="Z5:Z28">
    <cfRule type="cellIs" dxfId="484" priority="156" operator="equal">
      <formula>"L"</formula>
    </cfRule>
    <cfRule type="expression" dxfId="483" priority="157">
      <formula>Z$4=TODAY()</formula>
    </cfRule>
    <cfRule type="cellIs" dxfId="482" priority="158" operator="equal">
      <formula>"A"</formula>
    </cfRule>
    <cfRule type="cellIs" dxfId="481" priority="159" operator="equal">
      <formula>"P"</formula>
    </cfRule>
    <cfRule type="expression" dxfId="480" priority="160">
      <formula>Z$3="Sun"</formula>
    </cfRule>
  </conditionalFormatting>
  <conditionalFormatting sqref="AC5:AC28">
    <cfRule type="cellIs" dxfId="474" priority="146" operator="equal">
      <formula>"L"</formula>
    </cfRule>
    <cfRule type="expression" dxfId="473" priority="147">
      <formula>AC$4=TODAY()</formula>
    </cfRule>
    <cfRule type="cellIs" dxfId="472" priority="148" operator="equal">
      <formula>"A"</formula>
    </cfRule>
    <cfRule type="cellIs" dxfId="471" priority="149" operator="equal">
      <formula>"P"</formula>
    </cfRule>
    <cfRule type="expression" dxfId="470" priority="150">
      <formula>AC$3="Sun"</formula>
    </cfRule>
  </conditionalFormatting>
  <conditionalFormatting sqref="AD5:AD28">
    <cfRule type="cellIs" dxfId="469" priority="141" operator="equal">
      <formula>"L"</formula>
    </cfRule>
    <cfRule type="expression" dxfId="468" priority="142">
      <formula>AD$4=TODAY()</formula>
    </cfRule>
    <cfRule type="cellIs" dxfId="467" priority="143" operator="equal">
      <formula>"A"</formula>
    </cfRule>
    <cfRule type="cellIs" dxfId="466" priority="144" operator="equal">
      <formula>"P"</formula>
    </cfRule>
    <cfRule type="expression" dxfId="465" priority="145">
      <formula>AD$3="Sun"</formula>
    </cfRule>
  </conditionalFormatting>
  <conditionalFormatting sqref="AE5:AE28">
    <cfRule type="cellIs" dxfId="464" priority="136" operator="equal">
      <formula>"L"</formula>
    </cfRule>
    <cfRule type="expression" dxfId="463" priority="137">
      <formula>AE$4=TODAY()</formula>
    </cfRule>
    <cfRule type="cellIs" dxfId="462" priority="138" operator="equal">
      <formula>"A"</formula>
    </cfRule>
    <cfRule type="cellIs" dxfId="461" priority="139" operator="equal">
      <formula>"P"</formula>
    </cfRule>
    <cfRule type="expression" dxfId="460" priority="140">
      <formula>AE$3="Sun"</formula>
    </cfRule>
  </conditionalFormatting>
  <conditionalFormatting sqref="AF5:AF28">
    <cfRule type="cellIs" dxfId="454" priority="126" operator="equal">
      <formula>"L"</formula>
    </cfRule>
    <cfRule type="expression" dxfId="453" priority="127">
      <formula>AF$4=TODAY()</formula>
    </cfRule>
    <cfRule type="cellIs" dxfId="452" priority="128" operator="equal">
      <formula>"A"</formula>
    </cfRule>
    <cfRule type="cellIs" dxfId="451" priority="129" operator="equal">
      <formula>"P"</formula>
    </cfRule>
    <cfRule type="expression" dxfId="450" priority="130">
      <formula>AF$3="Sun"</formula>
    </cfRule>
  </conditionalFormatting>
  <conditionalFormatting sqref="AG5:AG28">
    <cfRule type="cellIs" dxfId="449" priority="121" operator="equal">
      <formula>"L"</formula>
    </cfRule>
    <cfRule type="expression" dxfId="448" priority="122">
      <formula>AG$4=TODAY()</formula>
    </cfRule>
    <cfRule type="cellIs" dxfId="447" priority="123" operator="equal">
      <formula>"A"</formula>
    </cfRule>
    <cfRule type="cellIs" dxfId="446" priority="124" operator="equal">
      <formula>"P"</formula>
    </cfRule>
    <cfRule type="expression" dxfId="445" priority="125">
      <formula>AG$3="Sun"</formula>
    </cfRule>
  </conditionalFormatting>
  <conditionalFormatting sqref="M5">
    <cfRule type="cellIs" dxfId="44" priority="41" operator="equal">
      <formula>"L"</formula>
    </cfRule>
    <cfRule type="expression" dxfId="43" priority="42">
      <formula>M$4=TODAY()</formula>
    </cfRule>
    <cfRule type="cellIs" dxfId="42" priority="43" operator="equal">
      <formula>"A"</formula>
    </cfRule>
    <cfRule type="cellIs" dxfId="41" priority="44" operator="equal">
      <formula>"P"</formula>
    </cfRule>
    <cfRule type="expression" dxfId="40" priority="45">
      <formula>M$3="Sun"</formula>
    </cfRule>
  </conditionalFormatting>
  <conditionalFormatting sqref="T5">
    <cfRule type="cellIs" dxfId="39" priority="36" operator="equal">
      <formula>"L"</formula>
    </cfRule>
    <cfRule type="expression" dxfId="38" priority="37">
      <formula>T$4=TODAY()</formula>
    </cfRule>
    <cfRule type="cellIs" dxfId="37" priority="38" operator="equal">
      <formula>"A"</formula>
    </cfRule>
    <cfRule type="cellIs" dxfId="36" priority="39" operator="equal">
      <formula>"P"</formula>
    </cfRule>
    <cfRule type="expression" dxfId="35" priority="40">
      <formula>T$3="Sun"</formula>
    </cfRule>
  </conditionalFormatting>
  <conditionalFormatting sqref="AA5">
    <cfRule type="cellIs" dxfId="34" priority="31" operator="equal">
      <formula>"L"</formula>
    </cfRule>
    <cfRule type="expression" dxfId="33" priority="32">
      <formula>AA$4=TODAY()</formula>
    </cfRule>
    <cfRule type="cellIs" dxfId="32" priority="33" operator="equal">
      <formula>"A"</formula>
    </cfRule>
    <cfRule type="cellIs" dxfId="31" priority="34" operator="equal">
      <formula>"P"</formula>
    </cfRule>
    <cfRule type="expression" dxfId="30" priority="35">
      <formula>AA$3="Sun"</formula>
    </cfRule>
  </conditionalFormatting>
  <conditionalFormatting sqref="AH5">
    <cfRule type="cellIs" dxfId="29" priority="26" operator="equal">
      <formula>"L"</formula>
    </cfRule>
    <cfRule type="expression" dxfId="28" priority="27">
      <formula>AH$4=TODAY()</formula>
    </cfRule>
    <cfRule type="cellIs" dxfId="27" priority="28" operator="equal">
      <formula>"A"</formula>
    </cfRule>
    <cfRule type="cellIs" dxfId="26" priority="29" operator="equal">
      <formula>"P"</formula>
    </cfRule>
    <cfRule type="expression" dxfId="25" priority="30">
      <formula>AH$3="Sun"</formula>
    </cfRule>
  </conditionalFormatting>
  <conditionalFormatting sqref="G5:G28">
    <cfRule type="cellIs" dxfId="24" priority="21" operator="equal">
      <formula>"L"</formula>
    </cfRule>
    <cfRule type="expression" dxfId="23" priority="22">
      <formula>G$4=TODAY()</formula>
    </cfRule>
    <cfRule type="cellIs" dxfId="22" priority="23" operator="equal">
      <formula>"A"</formula>
    </cfRule>
    <cfRule type="cellIs" dxfId="21" priority="24" operator="equal">
      <formula>"P"</formula>
    </cfRule>
    <cfRule type="expression" dxfId="20" priority="25">
      <formula>G$3="Sun"</formula>
    </cfRule>
  </conditionalFormatting>
  <conditionalFormatting sqref="N5:N28">
    <cfRule type="cellIs" dxfId="19" priority="16" operator="equal">
      <formula>"L"</formula>
    </cfRule>
    <cfRule type="expression" dxfId="18" priority="17">
      <formula>N$4=TODAY()</formula>
    </cfRule>
    <cfRule type="cellIs" dxfId="17" priority="18" operator="equal">
      <formula>"A"</formula>
    </cfRule>
    <cfRule type="cellIs" dxfId="16" priority="19" operator="equal">
      <formula>"P"</formula>
    </cfRule>
    <cfRule type="expression" dxfId="15" priority="20">
      <formula>N$3="Sun"</formula>
    </cfRule>
  </conditionalFormatting>
  <conditionalFormatting sqref="U5:U28">
    <cfRule type="cellIs" dxfId="14" priority="11" operator="equal">
      <formula>"L"</formula>
    </cfRule>
    <cfRule type="expression" dxfId="13" priority="12">
      <formula>U$4=TODAY()</formula>
    </cfRule>
    <cfRule type="cellIs" dxfId="12" priority="13" operator="equal">
      <formula>"A"</formula>
    </cfRule>
    <cfRule type="cellIs" dxfId="11" priority="14" operator="equal">
      <formula>"P"</formula>
    </cfRule>
    <cfRule type="expression" dxfId="10" priority="15">
      <formula>U$3="Sun"</formula>
    </cfRule>
  </conditionalFormatting>
  <conditionalFormatting sqref="AB5:AB28">
    <cfRule type="cellIs" dxfId="9" priority="6" operator="equal">
      <formula>"L"</formula>
    </cfRule>
    <cfRule type="expression" dxfId="8" priority="7">
      <formula>AB$4=TODAY()</formula>
    </cfRule>
    <cfRule type="cellIs" dxfId="7" priority="8" operator="equal">
      <formula>"A"</formula>
    </cfRule>
    <cfRule type="cellIs" dxfId="6" priority="9" operator="equal">
      <formula>"P"</formula>
    </cfRule>
    <cfRule type="expression" dxfId="5" priority="10">
      <formula>AB$3="Sun"</formula>
    </cfRule>
  </conditionalFormatting>
  <conditionalFormatting sqref="AI5:AI28">
    <cfRule type="cellIs" dxfId="4" priority="1" operator="equal">
      <formula>"L"</formula>
    </cfRule>
    <cfRule type="expression" dxfId="3" priority="2">
      <formula>AI$4=TODAY()</formula>
    </cfRule>
    <cfRule type="cellIs" dxfId="2" priority="3" operator="equal">
      <formula>"A"</formula>
    </cfRule>
    <cfRule type="cellIs" dxfId="1" priority="4" operator="equal">
      <formula>"P"</formula>
    </cfRule>
    <cfRule type="expression" dxfId="0" priority="5">
      <formula>AI$3="Sun"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2025-05-03T06:04:05Z</dcterms:modified>
</cp:coreProperties>
</file>