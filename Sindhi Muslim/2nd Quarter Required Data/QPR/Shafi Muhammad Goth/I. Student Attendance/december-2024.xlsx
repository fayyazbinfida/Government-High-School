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Shafi Goth\"/>
    </mc:Choice>
  </mc:AlternateContent>
  <xr:revisionPtr revIDLastSave="0" documentId="13_ncr:1_{49391A26-9DBB-4FC1-BA8E-5CB45F3781F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2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22" l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41" i="22"/>
  <c r="A42" i="23"/>
  <c r="A43" i="23" s="1"/>
  <c r="A44" i="23" s="1"/>
  <c r="A45" i="23" s="1"/>
  <c r="A46" i="23" s="1"/>
  <c r="A47" i="23" s="1"/>
  <c r="A48" i="23" s="1"/>
  <c r="A49" i="23" s="1"/>
  <c r="A50" i="23" s="1"/>
  <c r="A51" i="23" s="1"/>
  <c r="A41" i="23"/>
  <c r="AK24" i="25"/>
  <c r="AJ24" i="25"/>
  <c r="AK23" i="25"/>
  <c r="AJ23" i="25"/>
  <c r="AK22" i="25"/>
  <c r="AJ22" i="25"/>
  <c r="AN21" i="25"/>
  <c r="AM21" i="25"/>
  <c r="AO21" i="25" s="1"/>
  <c r="AK21" i="25"/>
  <c r="AJ21" i="25"/>
  <c r="AK20" i="25"/>
  <c r="AJ20" i="25"/>
  <c r="AK19" i="25"/>
  <c r="AJ19" i="25"/>
  <c r="AK18" i="25"/>
  <c r="AJ18" i="25"/>
  <c r="AK17" i="25"/>
  <c r="AJ17" i="25"/>
  <c r="AK16" i="25"/>
  <c r="AJ16" i="25"/>
  <c r="AK15" i="25"/>
  <c r="AJ15" i="25"/>
  <c r="AN14" i="25"/>
  <c r="AN22" i="25" s="1"/>
  <c r="AN23" i="25" s="1"/>
  <c r="AM14" i="25"/>
  <c r="AK14" i="25"/>
  <c r="AJ14" i="25"/>
  <c r="AN13" i="25"/>
  <c r="AM13" i="25"/>
  <c r="AO13" i="25" s="1"/>
  <c r="AK13" i="25"/>
  <c r="AJ13" i="25"/>
  <c r="AK12" i="25"/>
  <c r="AJ12" i="25"/>
  <c r="AK11" i="25"/>
  <c r="AJ11" i="25"/>
  <c r="AK10" i="25"/>
  <c r="AJ10" i="25"/>
  <c r="AK9" i="25"/>
  <c r="AJ9" i="25"/>
  <c r="AK8" i="25"/>
  <c r="AJ8" i="25"/>
  <c r="AK7" i="25"/>
  <c r="AJ7" i="25"/>
  <c r="AK6" i="25"/>
  <c r="AJ6" i="25"/>
  <c r="AK5" i="25"/>
  <c r="AJ5" i="25"/>
  <c r="AM4" i="25"/>
  <c r="K3" i="25"/>
  <c r="J3" i="25"/>
  <c r="I3" i="25"/>
  <c r="H3" i="25"/>
  <c r="G3" i="25"/>
  <c r="F3" i="25"/>
  <c r="E3" i="25"/>
  <c r="AK22" i="24"/>
  <c r="AJ22" i="24"/>
  <c r="AN21" i="24"/>
  <c r="AM21" i="24"/>
  <c r="AO21" i="24" s="1"/>
  <c r="AK21" i="24"/>
  <c r="AJ21" i="24"/>
  <c r="AK20" i="24"/>
  <c r="AJ20" i="24"/>
  <c r="AK19" i="24"/>
  <c r="AJ19" i="24"/>
  <c r="AK18" i="24"/>
  <c r="AJ18" i="24"/>
  <c r="AK17" i="24"/>
  <c r="AJ17" i="24"/>
  <c r="AK16" i="24"/>
  <c r="AJ16" i="24"/>
  <c r="AK15" i="24"/>
  <c r="AJ15" i="24"/>
  <c r="AN14" i="24"/>
  <c r="AM14" i="24"/>
  <c r="AK14" i="24"/>
  <c r="AJ14" i="24"/>
  <c r="AN13" i="24"/>
  <c r="AM13" i="24"/>
  <c r="AO13" i="24" s="1"/>
  <c r="AK13" i="24"/>
  <c r="AJ13" i="24"/>
  <c r="AK12" i="24"/>
  <c r="AJ12" i="24"/>
  <c r="AK11" i="24"/>
  <c r="AJ11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M4" i="24"/>
  <c r="K3" i="24"/>
  <c r="J3" i="24"/>
  <c r="I3" i="24"/>
  <c r="H3" i="24"/>
  <c r="G3" i="24"/>
  <c r="F3" i="24"/>
  <c r="E3" i="24"/>
  <c r="AK40" i="23"/>
  <c r="AJ40" i="23"/>
  <c r="AK39" i="23"/>
  <c r="AJ39" i="23"/>
  <c r="AK38" i="23"/>
  <c r="AJ38" i="23"/>
  <c r="AK37" i="23"/>
  <c r="AJ37" i="23"/>
  <c r="AK36" i="23"/>
  <c r="AJ36" i="23"/>
  <c r="AK35" i="23"/>
  <c r="AJ35" i="23"/>
  <c r="AK34" i="23"/>
  <c r="AJ34" i="23"/>
  <c r="AK33" i="23"/>
  <c r="AJ33" i="23"/>
  <c r="AK32" i="23"/>
  <c r="AJ32" i="23"/>
  <c r="AK31" i="23"/>
  <c r="AJ31" i="23"/>
  <c r="AK30" i="23"/>
  <c r="AJ30" i="23"/>
  <c r="AK29" i="23"/>
  <c r="AJ29" i="23"/>
  <c r="AK28" i="23"/>
  <c r="AJ28" i="23"/>
  <c r="AK27" i="23"/>
  <c r="AJ27" i="23"/>
  <c r="AK26" i="23"/>
  <c r="AJ26" i="23"/>
  <c r="AK25" i="23"/>
  <c r="AJ25" i="23"/>
  <c r="AK24" i="23"/>
  <c r="AJ24" i="23"/>
  <c r="AK23" i="23"/>
  <c r="AJ23" i="23"/>
  <c r="AK22" i="23"/>
  <c r="AJ22" i="23"/>
  <c r="AN21" i="23"/>
  <c r="AM21" i="23"/>
  <c r="AO21" i="23" s="1"/>
  <c r="AK21" i="23"/>
  <c r="AJ21" i="23"/>
  <c r="AK20" i="23"/>
  <c r="AJ20" i="23"/>
  <c r="AK19" i="23"/>
  <c r="AJ19" i="23"/>
  <c r="AK18" i="23"/>
  <c r="AJ18" i="23"/>
  <c r="AK17" i="23"/>
  <c r="AJ17" i="23"/>
  <c r="AK16" i="23"/>
  <c r="AJ16" i="23"/>
  <c r="AK15" i="23"/>
  <c r="AJ15" i="23"/>
  <c r="AN14" i="23"/>
  <c r="AM14" i="23"/>
  <c r="AK14" i="23"/>
  <c r="AJ14" i="23"/>
  <c r="AN13" i="23"/>
  <c r="AM13" i="23"/>
  <c r="AO13" i="23" s="1"/>
  <c r="AK13" i="23"/>
  <c r="AJ13" i="23"/>
  <c r="AK12" i="23"/>
  <c r="AJ12" i="23"/>
  <c r="AK11" i="23"/>
  <c r="AJ11" i="23"/>
  <c r="AK10" i="23"/>
  <c r="AJ10" i="23"/>
  <c r="AK9" i="23"/>
  <c r="AJ9" i="23"/>
  <c r="AK8" i="23"/>
  <c r="AJ8" i="23"/>
  <c r="AK7" i="23"/>
  <c r="AJ7" i="23"/>
  <c r="AK6" i="23"/>
  <c r="AJ6" i="23"/>
  <c r="AK5" i="23"/>
  <c r="AJ5" i="23"/>
  <c r="AM4" i="23"/>
  <c r="K3" i="23"/>
  <c r="J3" i="23"/>
  <c r="I3" i="23"/>
  <c r="H3" i="23"/>
  <c r="G3" i="23"/>
  <c r="F3" i="23"/>
  <c r="E3" i="23"/>
  <c r="AK40" i="22"/>
  <c r="AJ40" i="22"/>
  <c r="AK39" i="22"/>
  <c r="AJ39" i="22"/>
  <c r="AK38" i="22"/>
  <c r="AJ38" i="22"/>
  <c r="AK37" i="22"/>
  <c r="AJ37" i="22"/>
  <c r="AK36" i="22"/>
  <c r="AJ36" i="22"/>
  <c r="AK35" i="22"/>
  <c r="AJ35" i="22"/>
  <c r="AK34" i="22"/>
  <c r="AJ34" i="22"/>
  <c r="AK33" i="22"/>
  <c r="AJ33" i="22"/>
  <c r="AK32" i="22"/>
  <c r="AJ32" i="22"/>
  <c r="AK31" i="22"/>
  <c r="AJ31" i="22"/>
  <c r="AK30" i="22"/>
  <c r="AJ30" i="22"/>
  <c r="AK29" i="22"/>
  <c r="AJ29" i="22"/>
  <c r="AK28" i="22"/>
  <c r="AJ28" i="22"/>
  <c r="AK27" i="22"/>
  <c r="AJ27" i="22"/>
  <c r="AK26" i="22"/>
  <c r="AJ26" i="22"/>
  <c r="AK25" i="22"/>
  <c r="AJ25" i="22"/>
  <c r="AK24" i="22"/>
  <c r="AJ24" i="22"/>
  <c r="AK23" i="22"/>
  <c r="AJ23" i="22"/>
  <c r="AK22" i="22"/>
  <c r="AJ22" i="22"/>
  <c r="AN21" i="22"/>
  <c r="AM21" i="22"/>
  <c r="AO21" i="22" s="1"/>
  <c r="AK21" i="22"/>
  <c r="AJ21" i="22"/>
  <c r="AK20" i="22"/>
  <c r="AJ20" i="22"/>
  <c r="AK19" i="22"/>
  <c r="AJ19" i="22"/>
  <c r="AK18" i="22"/>
  <c r="AJ18" i="22"/>
  <c r="AK17" i="22"/>
  <c r="AJ17" i="22"/>
  <c r="AK16" i="22"/>
  <c r="AJ16" i="22"/>
  <c r="AK15" i="22"/>
  <c r="AJ15" i="22"/>
  <c r="AN14" i="22"/>
  <c r="AN15" i="22" s="1"/>
  <c r="AM14" i="22"/>
  <c r="AK14" i="22"/>
  <c r="AJ14" i="22"/>
  <c r="AO13" i="22"/>
  <c r="AN13" i="22"/>
  <c r="AM13" i="22"/>
  <c r="AK13" i="22"/>
  <c r="AJ13" i="22"/>
  <c r="AK12" i="22"/>
  <c r="AJ12" i="22"/>
  <c r="AK11" i="22"/>
  <c r="AJ11" i="22"/>
  <c r="AK10" i="22"/>
  <c r="AJ10" i="22"/>
  <c r="AK9" i="22"/>
  <c r="AJ9" i="22"/>
  <c r="AK8" i="22"/>
  <c r="AJ8" i="22"/>
  <c r="AK7" i="22"/>
  <c r="AJ7" i="22"/>
  <c r="AK6" i="22"/>
  <c r="AJ6" i="22"/>
  <c r="AK5" i="22"/>
  <c r="AJ5" i="22"/>
  <c r="AM4" i="22"/>
  <c r="K3" i="22"/>
  <c r="J3" i="22"/>
  <c r="I3" i="22"/>
  <c r="H3" i="22"/>
  <c r="G3" i="22"/>
  <c r="F3" i="22"/>
  <c r="E3" i="22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O21" i="21"/>
  <c r="AN21" i="21"/>
  <c r="AM21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N14" i="21"/>
  <c r="AN15" i="21" s="1"/>
  <c r="AM14" i="21"/>
  <c r="AM22" i="21" s="1"/>
  <c r="AK14" i="21"/>
  <c r="AJ14" i="21"/>
  <c r="AO13" i="21"/>
  <c r="AN13" i="21"/>
  <c r="AM13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M4" i="21"/>
  <c r="K3" i="21"/>
  <c r="J3" i="21"/>
  <c r="I3" i="21"/>
  <c r="H3" i="21"/>
  <c r="G3" i="21"/>
  <c r="F3" i="21"/>
  <c r="E3" i="21"/>
  <c r="AK40" i="20"/>
  <c r="AJ40" i="20"/>
  <c r="AK39" i="20"/>
  <c r="AJ39" i="20"/>
  <c r="AK38" i="20"/>
  <c r="AJ38" i="20"/>
  <c r="AK37" i="20"/>
  <c r="AJ37" i="20"/>
  <c r="AK36" i="20"/>
  <c r="AJ36" i="20"/>
  <c r="AK35" i="20"/>
  <c r="AJ35" i="20"/>
  <c r="AK34" i="20"/>
  <c r="AJ34" i="20"/>
  <c r="AK33" i="20"/>
  <c r="AJ33" i="20"/>
  <c r="AK32" i="20"/>
  <c r="AJ32" i="20"/>
  <c r="AK31" i="20"/>
  <c r="AJ31" i="20"/>
  <c r="AK30" i="20"/>
  <c r="AJ30" i="20"/>
  <c r="AK29" i="20"/>
  <c r="AJ29" i="20"/>
  <c r="AK28" i="20"/>
  <c r="AJ28" i="20"/>
  <c r="AK27" i="20"/>
  <c r="AJ27" i="20"/>
  <c r="AK26" i="20"/>
  <c r="AJ26" i="20"/>
  <c r="AK25" i="20"/>
  <c r="AJ25" i="20"/>
  <c r="AK24" i="20"/>
  <c r="AJ24" i="20"/>
  <c r="AK23" i="20"/>
  <c r="AJ23" i="20"/>
  <c r="AK22" i="20"/>
  <c r="AJ22" i="20"/>
  <c r="AN21" i="20"/>
  <c r="AM21" i="20"/>
  <c r="AK21" i="20"/>
  <c r="AJ21" i="20"/>
  <c r="AK20" i="20"/>
  <c r="AJ20" i="20"/>
  <c r="AK19" i="20"/>
  <c r="AJ19" i="20"/>
  <c r="AK18" i="20"/>
  <c r="AJ18" i="20"/>
  <c r="AK17" i="20"/>
  <c r="AJ17" i="20"/>
  <c r="AK16" i="20"/>
  <c r="AJ16" i="20"/>
  <c r="AK15" i="20"/>
  <c r="AJ15" i="20"/>
  <c r="AN14" i="20"/>
  <c r="AN15" i="20" s="1"/>
  <c r="AM14" i="20"/>
  <c r="AK14" i="20"/>
  <c r="AJ14" i="20"/>
  <c r="AN13" i="20"/>
  <c r="AM13" i="20"/>
  <c r="AK13" i="20"/>
  <c r="AJ13" i="20"/>
  <c r="AK12" i="20"/>
  <c r="AJ12" i="20"/>
  <c r="AK11" i="20"/>
  <c r="AJ11" i="20"/>
  <c r="AK10" i="20"/>
  <c r="AJ10" i="20"/>
  <c r="AK9" i="20"/>
  <c r="AJ9" i="20"/>
  <c r="AK8" i="20"/>
  <c r="AJ8" i="20"/>
  <c r="AK7" i="20"/>
  <c r="AJ7" i="20"/>
  <c r="AK6" i="20"/>
  <c r="AJ6" i="20"/>
  <c r="AK5" i="20"/>
  <c r="AJ5" i="20"/>
  <c r="K3" i="20"/>
  <c r="J3" i="20"/>
  <c r="I3" i="20"/>
  <c r="H3" i="20"/>
  <c r="G3" i="20"/>
  <c r="F3" i="20"/>
  <c r="E3" i="20"/>
  <c r="F3" i="5"/>
  <c r="G3" i="5"/>
  <c r="H3" i="5"/>
  <c r="I3" i="5"/>
  <c r="J3" i="5"/>
  <c r="K3" i="5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13" i="20" l="1"/>
  <c r="AO21" i="20"/>
  <c r="AO14" i="24"/>
  <c r="AO15" i="24" s="1"/>
  <c r="AO14" i="20"/>
  <c r="AN22" i="20"/>
  <c r="AN23" i="20" s="1"/>
  <c r="AO14" i="25"/>
  <c r="AO15" i="25" s="1"/>
  <c r="AO14" i="23"/>
  <c r="AO15" i="23" s="1"/>
  <c r="AO14" i="22"/>
  <c r="AO15" i="22" s="1"/>
  <c r="AM15" i="22"/>
  <c r="AM22" i="22"/>
  <c r="AM23" i="22" s="1"/>
  <c r="AN22" i="22"/>
  <c r="AN23" i="22" s="1"/>
  <c r="AO14" i="21"/>
  <c r="AO15" i="21" s="1"/>
  <c r="AN22" i="21"/>
  <c r="AN23" i="21" s="1"/>
  <c r="AN15" i="23"/>
  <c r="AN22" i="23"/>
  <c r="AN23" i="23" s="1"/>
  <c r="AN15" i="24"/>
  <c r="AN22" i="24"/>
  <c r="AM15" i="25"/>
  <c r="AM22" i="25"/>
  <c r="AN15" i="25"/>
  <c r="AM15" i="24"/>
  <c r="AM22" i="24"/>
  <c r="AM15" i="23"/>
  <c r="AM22" i="23"/>
  <c r="AM23" i="21"/>
  <c r="AM15" i="21"/>
  <c r="AO15" i="20"/>
  <c r="AM15" i="20"/>
  <c r="AM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O22" i="21" l="1"/>
  <c r="AO23" i="21" s="1"/>
  <c r="AO22" i="22"/>
  <c r="AO23" i="22" s="1"/>
  <c r="AM23" i="25"/>
  <c r="AO22" i="25"/>
  <c r="AO23" i="25" s="1"/>
  <c r="AO22" i="24"/>
  <c r="AM23" i="23"/>
  <c r="AO22" i="23"/>
  <c r="AO23" i="23" s="1"/>
  <c r="AM23" i="20"/>
  <c r="AO22" i="20"/>
  <c r="AO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N21" i="5" l="1"/>
  <c r="AM21" i="5"/>
  <c r="AN13" i="5"/>
  <c r="AM13" i="5"/>
  <c r="AM14" i="5"/>
  <c r="I6" i="18" s="1"/>
  <c r="AM4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E3" i="5"/>
  <c r="K6" i="18" l="1"/>
  <c r="I17" i="18"/>
  <c r="M6" i="18"/>
  <c r="AN14" i="5"/>
  <c r="J6" i="18" s="1"/>
  <c r="AO13" i="5"/>
  <c r="AM15" i="5"/>
  <c r="AM22" i="5"/>
  <c r="AM23" i="5" s="1"/>
  <c r="AO21" i="5"/>
  <c r="J17" i="18" l="1"/>
  <c r="L6" i="18"/>
  <c r="O6" i="18" s="1"/>
  <c r="O17" i="18" s="1"/>
  <c r="AO14" i="5"/>
  <c r="AO15" i="5" s="1"/>
  <c r="I18" i="18"/>
  <c r="M17" i="18"/>
  <c r="AN15" i="5"/>
  <c r="AN22" i="5"/>
  <c r="AN23" i="5" s="1"/>
  <c r="N6" i="18"/>
  <c r="N17" i="18" s="1"/>
  <c r="K17" i="18"/>
  <c r="K18" i="18" s="1"/>
  <c r="AO22" i="5" l="1"/>
  <c r="AO23" i="5" s="1"/>
  <c r="J18" i="18"/>
  <c r="L17" i="18"/>
  <c r="O18" i="18" s="1"/>
</calcChain>
</file>

<file path=xl/sharedStrings.xml><?xml version="1.0" encoding="utf-8"?>
<sst xmlns="http://schemas.openxmlformats.org/spreadsheetml/2006/main" count="5414" uniqueCount="408">
  <si>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</si>
  <si>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</si>
  <si>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</si>
  <si>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</si>
  <si>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</si>
  <si>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</si>
  <si>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</si>
  <si>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</si>
  <si>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</si>
  <si>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</si>
  <si>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</si>
  <si>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</si>
  <si>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</si>
  <si>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</si>
  <si>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</si>
  <si>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</si>
  <si>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</si>
  <si>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</si>
  <si>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</si>
  <si>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</si>
  <si>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</si>
  <si>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</si>
  <si>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</si>
  <si>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</si>
  <si>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</si>
  <si>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</si>
  <si>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</si>
  <si>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</si>
  <si>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</si>
  <si>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</si>
  <si>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</si>
  <si>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</si>
  <si>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</si>
  <si>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</si>
  <si>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</si>
  <si>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</si>
  <si>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</si>
  <si>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</si>
  <si>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</si>
  <si>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</si>
  <si>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</si>
  <si>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</si>
  <si>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</si>
  <si>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</si>
  <si>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</si>
  <si>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</si>
  <si>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</si>
  <si>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</si>
  <si>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</si>
  <si>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</si>
  <si>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</si>
  <si>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</si>
  <si>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</si>
  <si>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</si>
  <si>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</si>
  <si>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</si>
  <si>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</si>
  <si>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</si>
  <si>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</si>
  <si>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</si>
  <si>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</si>
  <si>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</si>
  <si>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</si>
  <si>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</si>
  <si>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</si>
  <si>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</si>
  <si>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</si>
  <si>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</si>
  <si>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</si>
  <si>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</si>
  <si>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</si>
  <si>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</si>
  <si>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</si>
  <si>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</si>
  <si>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</si>
  <si>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</si>
  <si>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</si>
  <si>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</si>
  <si>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</si>
  <si>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</si>
  <si>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</si>
  <si>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</si>
  <si>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</si>
  <si>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</si>
  <si>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</si>
  <si>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</si>
  <si>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</si>
  <si>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</si>
  <si>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</si>
  <si>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</si>
  <si>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</si>
  <si>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</si>
  <si>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</si>
  <si>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</si>
  <si>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</si>
  <si>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</si>
  <si>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</si>
  <si>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</si>
  <si>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</si>
  <si>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</si>
  <si>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</si>
  <si>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</si>
  <si>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</si>
  <si>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</si>
  <si>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</si>
  <si>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</si>
  <si>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</si>
  <si>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</si>
  <si>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</si>
  <si>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</si>
  <si>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</si>
  <si>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</si>
  <si>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</si>
  <si>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</si>
  <si>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</si>
  <si>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</si>
  <si>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</si>
  <si>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</si>
  <si>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</si>
  <si>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</si>
  <si>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</si>
  <si>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</si>
  <si>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</si>
  <si>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</si>
  <si>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</si>
  <si>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</si>
  <si>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Monthly Attendence Month of December-2024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</si>
  <si>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</si>
  <si>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</si>
  <si>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</si>
  <si>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</si>
  <si>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</si>
  <si>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</si>
  <si>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</si>
  <si>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</si>
  <si>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</si>
  <si>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</si>
  <si>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</si>
  <si>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</si>
  <si>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</si>
  <si>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</si>
  <si>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</si>
  <si>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</si>
  <si>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</si>
  <si>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</si>
  <si>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</si>
  <si>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</si>
  <si>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</si>
  <si>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</si>
  <si>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</si>
  <si>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</si>
  <si>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</si>
  <si>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</si>
  <si>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</si>
  <si>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</si>
  <si>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</si>
  <si>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</si>
  <si>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</si>
  <si>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</si>
  <si>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</si>
  <si>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</si>
  <si>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</si>
  <si>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</si>
  <si>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</si>
  <si>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</si>
  <si>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</si>
  <si>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</si>
  <si>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</si>
  <si>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</si>
  <si>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</si>
  <si>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</si>
  <si>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</si>
  <si>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</si>
  <si>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</si>
  <si>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</si>
  <si>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</si>
  <si>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</si>
  <si>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</si>
  <si>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</si>
  <si>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</si>
  <si>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</si>
  <si>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</si>
  <si>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</si>
  <si>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</si>
  <si>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</si>
  <si>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</si>
  <si>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</si>
  <si>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</si>
  <si>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</si>
  <si>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</si>
  <si>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</si>
  <si>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</si>
  <si>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</si>
  <si>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</si>
  <si>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</si>
  <si>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</si>
  <si>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</si>
  <si>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</si>
  <si>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</si>
  <si>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</si>
  <si>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</si>
  <si>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</si>
  <si>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</si>
  <si>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</si>
  <si>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</si>
  <si>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</si>
  <si>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</si>
  <si>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</si>
  <si>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</si>
  <si>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</si>
  <si>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</si>
  <si>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</si>
  <si>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</si>
  <si>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</si>
  <si>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</si>
  <si>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</si>
  <si>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</si>
  <si>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</si>
  <si>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</si>
  <si>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</si>
  <si>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</si>
  <si>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</si>
  <si>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</si>
  <si>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</si>
  <si>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</si>
  <si>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</si>
  <si>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</si>
  <si>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</si>
  <si>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</si>
  <si>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</si>
  <si>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</si>
  <si>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</si>
  <si>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</si>
  <si>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</si>
  <si>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</si>
  <si>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</si>
  <si>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</si>
  <si>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</si>
  <si>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</si>
  <si>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</si>
  <si>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</si>
  <si>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</si>
  <si>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</si>
  <si>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</si>
  <si>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</si>
  <si>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</si>
  <si>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</si>
  <si>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</si>
  <si>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</si>
  <si>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</si>
  <si>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</si>
  <si>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</si>
  <si>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</si>
  <si>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</si>
  <si>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</si>
  <si>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</si>
  <si>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</si>
  <si>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</si>
  <si>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</si>
  <si>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</si>
  <si>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</si>
  <si>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</si>
  <si>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</si>
  <si>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</si>
  <si>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</si>
  <si>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</si>
  <si>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</si>
  <si>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</si>
  <si>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</si>
  <si>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</si>
  <si>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</si>
  <si>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</si>
  <si>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</si>
  <si>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</si>
  <si>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</si>
  <si>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</si>
  <si>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</si>
  <si>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</si>
  <si>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</si>
  <si>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</si>
  <si>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</si>
  <si>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</si>
  <si>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</si>
  <si>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</si>
  <si>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</si>
  <si>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</si>
  <si>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</si>
  <si>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</si>
  <si>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</si>
  <si>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</si>
  <si>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</si>
  <si>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</si>
  <si>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</si>
  <si>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</si>
  <si>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</si>
  <si>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</si>
  <si>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</si>
  <si>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</si>
  <si>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</si>
  <si>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</si>
  <si>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</si>
  <si>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</si>
  <si>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</si>
  <si>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</si>
  <si>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</si>
  <si>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</si>
  <si>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</si>
  <si>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</si>
  <si>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</si>
  <si>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</si>
  <si>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</si>
  <si>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</si>
  <si>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</si>
  <si>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</si>
  <si>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</si>
  <si>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</si>
  <si>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</si>
  <si>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</si>
  <si>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</si>
  <si>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</si>
  <si>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</si>
  <si>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</si>
  <si>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</si>
  <si>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</si>
  <si>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</si>
  <si>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</si>
  <si>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</si>
  <si>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</si>
  <si>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</si>
  <si>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</si>
  <si>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</si>
  <si>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</si>
  <si>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</si>
  <si>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</si>
  <si>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</si>
  <si>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</si>
  <si>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</si>
  <si>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</si>
  <si>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</si>
  <si>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</si>
  <si>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</si>
  <si>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</si>
  <si>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</si>
  <si>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</si>
  <si>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</si>
  <si>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</si>
  <si>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</si>
  <si>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</si>
  <si>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</si>
  <si>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</si>
  <si>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</si>
  <si>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</si>
  <si>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</si>
  <si>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</si>
  <si>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</si>
  <si>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</si>
  <si>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</si>
  <si>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</si>
  <si>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</si>
  <si>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</si>
  <si>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</si>
  <si>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</si>
  <si>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</si>
  <si>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</si>
  <si>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</si>
  <si>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</si>
  <si>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</si>
  <si>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</si>
  <si>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</si>
  <si>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</si>
  <si>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</si>
  <si>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</si>
  <si>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</si>
  <si>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</si>
  <si>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</si>
  <si>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</si>
  <si>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</si>
  <si>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</si>
  <si>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</si>
  <si>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</si>
  <si>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</si>
  <si>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</si>
  <si>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</si>
  <si>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</si>
  <si>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</si>
  <si>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</si>
  <si>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</si>
  <si>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</si>
  <si>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</si>
  <si>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</si>
  <si>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</si>
  <si>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</si>
  <si>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</si>
  <si>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</si>
  <si>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</si>
  <si>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</si>
  <si>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</si>
  <si>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</si>
  <si>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</si>
  <si>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</si>
  <si>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</si>
  <si>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</si>
  <si>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</si>
  <si>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</si>
  <si>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</si>
  <si>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p</t>
  </si>
  <si>
    <t>WINTER</t>
  </si>
  <si>
    <t>VACATIONS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</si>
</sst>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0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4" fillId="6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  <xf numFmtId="17" fontId="8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2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230"/>
      <tableStyleElement type="headerRow" dxfId="229"/>
      <tableStyleElement type="totalRow" dxfId="228"/>
      <tableStyleElement type="firstColumn" dxfId="227"/>
      <tableStyleElement type="lastColumn" dxfId="226"/>
      <tableStyleElement type="firstRowStripe" dxfId="225"/>
      <tableStyleElement type="firstColumnStripe" dxfId="224"/>
    </tableStyle>
    <tableStyle name="PivotStylePreset2_Accent1" table="0" count="10" xr9:uid="{40508A4A-A46F-4E18-BA94-D1C2B66BBA21}">
      <tableStyleElement type="headerRow" dxfId="223"/>
      <tableStyleElement type="totalRow" dxfId="222"/>
      <tableStyleElement type="firstRowStripe" dxfId="221"/>
      <tableStyleElement type="firstColumnStripe" dxfId="220"/>
      <tableStyleElement type="firstSubtotalRow" dxfId="219"/>
      <tableStyleElement type="secondSubtotalRow" dxfId="218"/>
      <tableStyleElement type="firstRowSubheading" dxfId="217"/>
      <tableStyleElement type="secondRowSubheading" dxfId="216"/>
      <tableStyleElement type="pageFieldLabels" dxfId="215"/>
      <tableStyleElement type="pageFieldValues" dxfId="2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C12" sqref="C12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87" t="s">
        <v>3</v>
      </c>
      <c r="B4" s="89" t="s">
        <v>99</v>
      </c>
      <c r="C4" s="90"/>
      <c r="D4" s="90"/>
      <c r="E4" s="91"/>
      <c r="F4" s="91"/>
      <c r="G4" s="91"/>
      <c r="H4" s="91"/>
      <c r="I4" s="90"/>
      <c r="J4" s="90"/>
      <c r="K4" s="90"/>
      <c r="L4" s="91"/>
      <c r="M4" s="91"/>
      <c r="N4" s="92"/>
      <c r="O4" s="93"/>
    </row>
    <row r="5" spans="1:15" ht="34.5" thickBot="1">
      <c r="A5" s="88"/>
      <c r="B5" s="58" t="s">
        <v>11</v>
      </c>
      <c r="C5" s="58" t="s">
        <v>12</v>
      </c>
      <c r="D5" s="58" t="s">
        <v>13</v>
      </c>
      <c r="E5" s="59" t="s">
        <v>83</v>
      </c>
      <c r="F5" s="58" t="s">
        <v>84</v>
      </c>
      <c r="G5" s="58" t="s">
        <v>85</v>
      </c>
      <c r="H5" s="60" t="s">
        <v>86</v>
      </c>
      <c r="I5" s="61" t="s">
        <v>87</v>
      </c>
      <c r="J5" s="62" t="s">
        <v>88</v>
      </c>
      <c r="K5" s="63" t="s">
        <v>89</v>
      </c>
      <c r="L5" s="76" t="s">
        <v>90</v>
      </c>
      <c r="M5" s="77" t="s">
        <v>91</v>
      </c>
      <c r="N5" s="77" t="s">
        <v>91</v>
      </c>
      <c r="O5" s="78" t="s">
        <v>92</v>
      </c>
    </row>
    <row r="6" spans="1:15" ht="18.75">
      <c r="A6" s="46" t="s">
        <v>93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'Class-V'!AM14</f>
        <v>#REF!</v>
      </c>
      <c r="J6" s="65" t="e">
        <f>'Class-V'!AN14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94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95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50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55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60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66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70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96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97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98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13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16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O40"/>
  <sheetViews>
    <sheetView zoomScaleNormal="100" workbookViewId="0">
      <selection sqref="A1:AI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/>
      <c r="AN4" s="3"/>
      <c r="AO4" s="3"/>
    </row>
    <row r="5" spans="1:41" ht="15" customHeight="1">
      <c r="A5" s="7">
        <v>1</v>
      </c>
      <c r="B5" s="81" t="s">
        <v>54</v>
      </c>
      <c r="C5" s="81" t="s">
        <v>173</v>
      </c>
      <c r="D5" s="5" t="s">
        <v>6</v>
      </c>
      <c r="E5" s="97" t="s">
        <v>27</v>
      </c>
      <c r="F5" s="13" t="s">
        <v>24</v>
      </c>
      <c r="G5" s="13" t="s">
        <v>24</v>
      </c>
      <c r="H5" s="13" t="s">
        <v>24</v>
      </c>
      <c r="I5" s="13" t="s">
        <v>23</v>
      </c>
      <c r="J5" s="13" t="s">
        <v>24</v>
      </c>
      <c r="K5" s="13" t="s">
        <v>24</v>
      </c>
      <c r="L5" s="98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97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7" t="s">
        <v>27</v>
      </c>
      <c r="AA5" s="6"/>
      <c r="AB5" s="6"/>
      <c r="AC5" s="6"/>
      <c r="AD5" s="6"/>
      <c r="AE5" s="6"/>
      <c r="AF5" s="6"/>
      <c r="AG5" s="6"/>
      <c r="AH5" s="6"/>
      <c r="AI5" s="6"/>
      <c r="AJ5" s="4">
        <f t="shared" ref="AJ5:AJ40" si="1">COUNTIF(E5:AI5,"P")</f>
        <v>17</v>
      </c>
      <c r="AK5" s="4">
        <f t="shared" ref="AK5:AK36" si="2">COUNTIF(E5:AI5,"A")</f>
        <v>1</v>
      </c>
      <c r="AL5" s="4" t="s">
        <v>7</v>
      </c>
      <c r="AM5" s="7"/>
      <c r="AN5" s="8"/>
      <c r="AO5" s="3"/>
    </row>
    <row r="6" spans="1:41" ht="16.5">
      <c r="A6" s="7">
        <v>2</v>
      </c>
      <c r="B6" s="80" t="s">
        <v>366</v>
      </c>
      <c r="C6" s="80" t="s">
        <v>261</v>
      </c>
      <c r="D6" s="5" t="s">
        <v>6</v>
      </c>
      <c r="E6" s="97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98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97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7"/>
      <c r="AA6" s="6"/>
      <c r="AB6" s="6"/>
      <c r="AC6" s="6"/>
      <c r="AD6" s="6"/>
      <c r="AE6" s="6"/>
      <c r="AF6" s="6"/>
      <c r="AG6" s="6"/>
      <c r="AH6" s="6"/>
      <c r="AI6" s="6"/>
      <c r="AJ6" s="4">
        <f t="shared" si="1"/>
        <v>18</v>
      </c>
      <c r="AK6" s="4">
        <f t="shared" si="2"/>
        <v>0</v>
      </c>
      <c r="AL6" s="4" t="s">
        <v>8</v>
      </c>
      <c r="AM6" s="7"/>
      <c r="AN6" s="3"/>
      <c r="AO6" s="3"/>
    </row>
    <row r="7" spans="1:41" ht="16.5">
      <c r="A7" s="7">
        <v>3</v>
      </c>
      <c r="B7" s="80" t="s">
        <v>367</v>
      </c>
      <c r="C7" s="80" t="s">
        <v>344</v>
      </c>
      <c r="D7" s="5" t="s">
        <v>6</v>
      </c>
      <c r="E7" s="97"/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23</v>
      </c>
      <c r="K7" s="13" t="s">
        <v>24</v>
      </c>
      <c r="L7" s="98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97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7"/>
      <c r="AA7" s="6"/>
      <c r="AB7" s="6"/>
      <c r="AC7" s="6"/>
      <c r="AD7" s="6"/>
      <c r="AE7" s="6"/>
      <c r="AF7" s="6"/>
      <c r="AG7" s="6"/>
      <c r="AH7" s="6"/>
      <c r="AI7" s="6"/>
      <c r="AJ7" s="4">
        <f t="shared" si="1"/>
        <v>17</v>
      </c>
      <c r="AK7" s="4">
        <f t="shared" si="2"/>
        <v>1</v>
      </c>
      <c r="AL7" s="4" t="s">
        <v>32</v>
      </c>
      <c r="AM7" s="7"/>
      <c r="AN7" s="3"/>
      <c r="AO7" s="3"/>
    </row>
    <row r="8" spans="1:41" ht="16.5">
      <c r="A8" s="7">
        <v>4</v>
      </c>
      <c r="B8" s="80" t="s">
        <v>67</v>
      </c>
      <c r="C8" s="80" t="s">
        <v>297</v>
      </c>
      <c r="D8" s="5" t="s">
        <v>6</v>
      </c>
      <c r="E8" s="97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98"/>
      <c r="M8" s="6" t="s">
        <v>24</v>
      </c>
      <c r="N8" s="6" t="s">
        <v>24</v>
      </c>
      <c r="O8" s="6" t="s">
        <v>24</v>
      </c>
      <c r="P8" s="6" t="s">
        <v>23</v>
      </c>
      <c r="Q8" s="6" t="s">
        <v>24</v>
      </c>
      <c r="R8" s="6" t="s">
        <v>24</v>
      </c>
      <c r="S8" s="97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97"/>
      <c r="AA8" s="6"/>
      <c r="AB8" s="6"/>
      <c r="AC8" s="6"/>
      <c r="AD8" s="6"/>
      <c r="AE8" s="6"/>
      <c r="AF8" s="6"/>
      <c r="AG8" s="6"/>
      <c r="AH8" s="6"/>
      <c r="AI8" s="6"/>
      <c r="AJ8" s="4">
        <f t="shared" si="1"/>
        <v>17</v>
      </c>
      <c r="AK8" s="4">
        <f t="shared" si="2"/>
        <v>1</v>
      </c>
      <c r="AL8" s="4" t="s">
        <v>30</v>
      </c>
      <c r="AM8" s="7"/>
      <c r="AN8"/>
      <c r="AO8"/>
    </row>
    <row r="9" spans="1:41" ht="16.5">
      <c r="A9" s="7">
        <v>5</v>
      </c>
      <c r="B9" s="80" t="s">
        <v>368</v>
      </c>
      <c r="C9" s="80" t="s">
        <v>369</v>
      </c>
      <c r="D9" s="5" t="s">
        <v>6</v>
      </c>
      <c r="E9" s="97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98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97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7"/>
      <c r="AA9" s="6"/>
      <c r="AB9" s="6" t="s">
        <v>406</v>
      </c>
      <c r="AC9" s="6"/>
      <c r="AD9" s="6"/>
      <c r="AE9" s="6"/>
      <c r="AF9" s="6"/>
      <c r="AG9" s="6"/>
      <c r="AH9" s="6"/>
      <c r="AI9" s="6"/>
      <c r="AJ9" s="4">
        <f t="shared" si="1"/>
        <v>18</v>
      </c>
      <c r="AK9" s="4">
        <f t="shared" si="2"/>
        <v>0</v>
      </c>
      <c r="AL9" s="4"/>
      <c r="AM9" s="7"/>
    </row>
    <row r="10" spans="1:41" ht="16.5">
      <c r="A10" s="7">
        <v>6</v>
      </c>
      <c r="B10" s="80" t="s">
        <v>368</v>
      </c>
      <c r="C10" s="80" t="s">
        <v>370</v>
      </c>
      <c r="D10" s="5" t="s">
        <v>6</v>
      </c>
      <c r="E10" s="97"/>
      <c r="F10" s="13" t="s">
        <v>24</v>
      </c>
      <c r="G10" s="13" t="s">
        <v>23</v>
      </c>
      <c r="H10" s="13" t="s">
        <v>24</v>
      </c>
      <c r="I10" s="13" t="s">
        <v>24</v>
      </c>
      <c r="J10" s="13" t="s">
        <v>24</v>
      </c>
      <c r="K10" s="13" t="s">
        <v>24</v>
      </c>
      <c r="L10" s="98"/>
      <c r="M10" s="6" t="s">
        <v>24</v>
      </c>
      <c r="N10" s="6" t="s">
        <v>23</v>
      </c>
      <c r="O10" s="6" t="s">
        <v>24</v>
      </c>
      <c r="P10" s="6" t="s">
        <v>24</v>
      </c>
      <c r="Q10" s="6" t="s">
        <v>24</v>
      </c>
      <c r="R10" s="6" t="s">
        <v>24</v>
      </c>
      <c r="S10" s="97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7"/>
      <c r="AA10" s="6"/>
      <c r="AB10" s="6"/>
      <c r="AC10" s="6"/>
      <c r="AD10" s="6"/>
      <c r="AE10" s="6"/>
      <c r="AF10" s="6"/>
      <c r="AG10" s="6"/>
      <c r="AH10" s="6"/>
      <c r="AI10" s="6"/>
      <c r="AJ10" s="4">
        <f t="shared" si="1"/>
        <v>16</v>
      </c>
      <c r="AK10" s="4">
        <f t="shared" si="2"/>
        <v>2</v>
      </c>
    </row>
    <row r="11" spans="1:41" ht="16.5">
      <c r="A11" s="7">
        <v>7</v>
      </c>
      <c r="B11" s="80" t="s">
        <v>44</v>
      </c>
      <c r="C11" s="80" t="s">
        <v>371</v>
      </c>
      <c r="D11" s="5" t="s">
        <v>6</v>
      </c>
      <c r="E11" s="97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98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97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7"/>
      <c r="AA11" s="6"/>
      <c r="AB11" s="6" t="s">
        <v>407</v>
      </c>
      <c r="AC11" s="6"/>
      <c r="AD11" s="6"/>
      <c r="AE11" s="6"/>
      <c r="AF11" s="6"/>
      <c r="AG11" s="6"/>
      <c r="AH11" s="6"/>
      <c r="AI11" s="6"/>
      <c r="AJ11" s="4">
        <f t="shared" si="1"/>
        <v>18</v>
      </c>
      <c r="AK11" s="4">
        <f t="shared" si="2"/>
        <v>0</v>
      </c>
      <c r="AL11" s="95" t="s">
        <v>9</v>
      </c>
      <c r="AM11" s="96"/>
      <c r="AN11" s="96"/>
      <c r="AO11" s="99"/>
    </row>
    <row r="12" spans="1:41" ht="16.5">
      <c r="A12" s="7">
        <v>8</v>
      </c>
      <c r="B12" s="80" t="s">
        <v>372</v>
      </c>
      <c r="C12" s="80" t="s">
        <v>153</v>
      </c>
      <c r="D12" s="5" t="s">
        <v>6</v>
      </c>
      <c r="E12" s="97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98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97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7"/>
      <c r="AA12" s="6"/>
      <c r="AB12" s="6"/>
      <c r="AC12" s="6"/>
      <c r="AD12" s="6"/>
      <c r="AE12" s="6"/>
      <c r="AF12" s="6"/>
      <c r="AG12" s="6"/>
      <c r="AH12" s="6"/>
      <c r="AI12" s="6"/>
      <c r="AJ12" s="4">
        <f t="shared" si="1"/>
        <v>18</v>
      </c>
      <c r="AK12" s="4">
        <f t="shared" si="2"/>
        <v>0</v>
      </c>
      <c r="AL12" s="4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373</v>
      </c>
      <c r="C13" s="80" t="s">
        <v>186</v>
      </c>
      <c r="D13" s="5" t="s">
        <v>6</v>
      </c>
      <c r="E13" s="97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98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97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7"/>
      <c r="AA13" s="6"/>
      <c r="AB13" s="6"/>
      <c r="AC13" s="6"/>
      <c r="AD13" s="6"/>
      <c r="AE13" s="6"/>
      <c r="AF13" s="6"/>
      <c r="AG13" s="6"/>
      <c r="AH13" s="6"/>
      <c r="AI13" s="6"/>
      <c r="AJ13" s="4">
        <f t="shared" si="1"/>
        <v>18</v>
      </c>
      <c r="AK13" s="4">
        <f t="shared" si="2"/>
        <v>0</v>
      </c>
      <c r="AL13" s="4" t="s">
        <v>14</v>
      </c>
      <c r="AM13" s="7">
        <f>27*$AM$5</f>
        <v>0</v>
      </c>
      <c r="AN13" s="7">
        <f>27*$AM$5</f>
        <v>0</v>
      </c>
      <c r="AO13" s="7">
        <f>SUM(AM13:AN13)</f>
        <v>0</v>
      </c>
    </row>
    <row r="14" spans="1:41" ht="16.5">
      <c r="A14" s="7">
        <v>10</v>
      </c>
      <c r="B14" s="80" t="s">
        <v>26</v>
      </c>
      <c r="C14" s="80" t="s">
        <v>374</v>
      </c>
      <c r="D14" s="5" t="s">
        <v>6</v>
      </c>
      <c r="E14" s="97"/>
      <c r="F14" s="13" t="s">
        <v>24</v>
      </c>
      <c r="G14" s="13" t="s">
        <v>23</v>
      </c>
      <c r="H14" s="13" t="s">
        <v>24</v>
      </c>
      <c r="I14" s="13" t="s">
        <v>24</v>
      </c>
      <c r="J14" s="13" t="s">
        <v>24</v>
      </c>
      <c r="K14" s="13" t="s">
        <v>24</v>
      </c>
      <c r="L14" s="98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97"/>
      <c r="T14" s="6" t="s">
        <v>24</v>
      </c>
      <c r="U14" s="6" t="s">
        <v>23</v>
      </c>
      <c r="V14" s="6" t="s">
        <v>24</v>
      </c>
      <c r="W14" s="6" t="s">
        <v>24</v>
      </c>
      <c r="X14" s="6" t="s">
        <v>24</v>
      </c>
      <c r="Y14" s="6" t="s">
        <v>24</v>
      </c>
      <c r="Z14" s="97"/>
      <c r="AA14" s="6"/>
      <c r="AB14" s="6"/>
      <c r="AC14" s="6"/>
      <c r="AD14" s="6"/>
      <c r="AE14" s="6"/>
      <c r="AF14" s="6"/>
      <c r="AG14" s="6"/>
      <c r="AH14" s="6"/>
      <c r="AI14" s="6"/>
      <c r="AJ14" s="4">
        <f t="shared" si="1"/>
        <v>16</v>
      </c>
      <c r="AK14" s="4">
        <f t="shared" si="2"/>
        <v>2</v>
      </c>
      <c r="AL14" s="4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53</v>
      </c>
      <c r="C15" s="80" t="s">
        <v>178</v>
      </c>
      <c r="D15" s="5" t="s">
        <v>6</v>
      </c>
      <c r="E15" s="97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23</v>
      </c>
      <c r="K15" s="13" t="s">
        <v>24</v>
      </c>
      <c r="L15" s="98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97"/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7"/>
      <c r="AA15" s="6"/>
      <c r="AB15" s="6"/>
      <c r="AC15" s="6"/>
      <c r="AD15" s="6"/>
      <c r="AE15" s="6"/>
      <c r="AF15" s="6"/>
      <c r="AG15" s="6"/>
      <c r="AH15" s="6"/>
      <c r="AI15" s="6"/>
      <c r="AJ15" s="4">
        <f t="shared" si="1"/>
        <v>17</v>
      </c>
      <c r="AK15" s="4">
        <f t="shared" si="2"/>
        <v>1</v>
      </c>
      <c r="AL15" s="4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375</v>
      </c>
      <c r="C16" s="80" t="s">
        <v>171</v>
      </c>
      <c r="D16" s="5" t="s">
        <v>6</v>
      </c>
      <c r="E16" s="97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98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97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7"/>
      <c r="AA16" s="6"/>
      <c r="AB16" s="6"/>
      <c r="AC16" s="6"/>
      <c r="AD16" s="6"/>
      <c r="AE16" s="6"/>
      <c r="AF16" s="6"/>
      <c r="AG16" s="6"/>
      <c r="AH16" s="6"/>
      <c r="AI16" s="6"/>
      <c r="AJ16" s="4">
        <f t="shared" si="1"/>
        <v>18</v>
      </c>
      <c r="AK16" s="4">
        <f t="shared" si="2"/>
        <v>0</v>
      </c>
      <c r="AL16"/>
      <c r="AM16"/>
      <c r="AN16"/>
      <c r="AO16"/>
    </row>
    <row r="17" spans="1:41" ht="16.5">
      <c r="A17" s="7">
        <v>13</v>
      </c>
      <c r="B17" s="80" t="s">
        <v>376</v>
      </c>
      <c r="C17" s="80" t="s">
        <v>318</v>
      </c>
      <c r="D17" s="5" t="s">
        <v>6</v>
      </c>
      <c r="E17" s="97"/>
      <c r="F17" s="13" t="s">
        <v>24</v>
      </c>
      <c r="G17" s="13" t="s">
        <v>23</v>
      </c>
      <c r="H17" s="13" t="s">
        <v>24</v>
      </c>
      <c r="I17" s="13" t="s">
        <v>24</v>
      </c>
      <c r="J17" s="13" t="s">
        <v>24</v>
      </c>
      <c r="K17" s="13" t="s">
        <v>24</v>
      </c>
      <c r="L17" s="98"/>
      <c r="M17" s="6" t="s">
        <v>24</v>
      </c>
      <c r="N17" s="6" t="s">
        <v>23</v>
      </c>
      <c r="O17" s="6" t="s">
        <v>24</v>
      </c>
      <c r="P17" s="6" t="s">
        <v>24</v>
      </c>
      <c r="Q17" s="6" t="s">
        <v>24</v>
      </c>
      <c r="R17" s="6" t="s">
        <v>24</v>
      </c>
      <c r="S17" s="97"/>
      <c r="T17" s="6" t="s">
        <v>24</v>
      </c>
      <c r="U17" s="6" t="s">
        <v>23</v>
      </c>
      <c r="V17" s="6" t="s">
        <v>24</v>
      </c>
      <c r="W17" s="6" t="s">
        <v>24</v>
      </c>
      <c r="X17" s="6" t="s">
        <v>24</v>
      </c>
      <c r="Y17" s="6" t="s">
        <v>24</v>
      </c>
      <c r="Z17" s="97"/>
      <c r="AA17" s="6"/>
      <c r="AB17" s="6"/>
      <c r="AC17" s="6"/>
      <c r="AD17" s="6"/>
      <c r="AE17" s="6"/>
      <c r="AF17" s="6"/>
      <c r="AG17" s="6"/>
      <c r="AH17" s="6"/>
      <c r="AI17" s="6"/>
      <c r="AJ17" s="4">
        <f t="shared" si="1"/>
        <v>15</v>
      </c>
      <c r="AK17" s="4">
        <f t="shared" si="2"/>
        <v>3</v>
      </c>
      <c r="AL17"/>
      <c r="AM17"/>
      <c r="AN17"/>
      <c r="AO17"/>
    </row>
    <row r="18" spans="1:41" ht="16.5">
      <c r="A18" s="7">
        <v>14</v>
      </c>
      <c r="B18" s="80" t="s">
        <v>377</v>
      </c>
      <c r="C18" s="80" t="s">
        <v>277</v>
      </c>
      <c r="D18" s="5" t="s">
        <v>6</v>
      </c>
      <c r="E18" s="97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98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97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7"/>
      <c r="AA18" s="6"/>
      <c r="AB18" s="6"/>
      <c r="AC18" s="6"/>
      <c r="AD18" s="6"/>
      <c r="AE18" s="6"/>
      <c r="AF18" s="6"/>
      <c r="AG18" s="6"/>
      <c r="AH18" s="6"/>
      <c r="AI18" s="6"/>
      <c r="AJ18" s="4">
        <f t="shared" si="1"/>
        <v>18</v>
      </c>
      <c r="AK18" s="4">
        <f t="shared" si="2"/>
        <v>0</v>
      </c>
      <c r="AL18"/>
      <c r="AM18"/>
      <c r="AN18"/>
      <c r="AO18"/>
    </row>
    <row r="19" spans="1:41" ht="16.5">
      <c r="A19" s="7">
        <v>15</v>
      </c>
      <c r="B19" s="80" t="s">
        <v>378</v>
      </c>
      <c r="C19" s="80" t="s">
        <v>176</v>
      </c>
      <c r="D19" s="5" t="s">
        <v>6</v>
      </c>
      <c r="E19" s="97"/>
      <c r="F19" s="13" t="s">
        <v>24</v>
      </c>
      <c r="G19" s="13" t="s">
        <v>24</v>
      </c>
      <c r="H19" s="13" t="s">
        <v>24</v>
      </c>
      <c r="I19" s="13" t="s">
        <v>23</v>
      </c>
      <c r="J19" s="13" t="s">
        <v>24</v>
      </c>
      <c r="K19" s="13" t="s">
        <v>24</v>
      </c>
      <c r="L19" s="98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97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7"/>
      <c r="AA19" s="6"/>
      <c r="AB19" s="6"/>
      <c r="AC19" s="6"/>
      <c r="AD19" s="6"/>
      <c r="AE19" s="6"/>
      <c r="AF19" s="6"/>
      <c r="AG19" s="6"/>
      <c r="AH19" s="6"/>
      <c r="AI19" s="6"/>
      <c r="AJ19" s="4">
        <f t="shared" si="1"/>
        <v>17</v>
      </c>
      <c r="AK19" s="4">
        <f t="shared" si="2"/>
        <v>1</v>
      </c>
      <c r="AL19" s="95" t="s">
        <v>31</v>
      </c>
      <c r="AM19" s="96"/>
      <c r="AN19" s="96"/>
      <c r="AO19" s="99"/>
    </row>
    <row r="20" spans="1:41" ht="16.5">
      <c r="A20" s="7">
        <v>16</v>
      </c>
      <c r="B20" s="80" t="s">
        <v>80</v>
      </c>
      <c r="C20" s="80" t="s">
        <v>363</v>
      </c>
      <c r="D20" s="5" t="s">
        <v>6</v>
      </c>
      <c r="E20" s="97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8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97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7"/>
      <c r="AA20" s="6"/>
      <c r="AB20" s="6"/>
      <c r="AC20" s="6"/>
      <c r="AD20" s="6"/>
      <c r="AE20" s="6"/>
      <c r="AF20" s="6"/>
      <c r="AG20" s="6"/>
      <c r="AH20" s="6"/>
      <c r="AI20" s="6"/>
      <c r="AJ20" s="4">
        <f t="shared" si="1"/>
        <v>18</v>
      </c>
      <c r="AK20" s="4">
        <f t="shared" si="2"/>
        <v>0</v>
      </c>
      <c r="AL20" s="4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379</v>
      </c>
      <c r="C21" s="80" t="s">
        <v>295</v>
      </c>
      <c r="D21" s="5" t="s">
        <v>6</v>
      </c>
      <c r="E21" s="97"/>
      <c r="F21" s="13" t="s">
        <v>24</v>
      </c>
      <c r="G21" s="13" t="s">
        <v>24</v>
      </c>
      <c r="H21" s="13" t="s">
        <v>23</v>
      </c>
      <c r="I21" s="13" t="s">
        <v>24</v>
      </c>
      <c r="J21" s="13" t="s">
        <v>24</v>
      </c>
      <c r="K21" s="13" t="s">
        <v>24</v>
      </c>
      <c r="L21" s="98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97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7"/>
      <c r="AA21" s="6"/>
      <c r="AB21" s="6"/>
      <c r="AC21" s="6"/>
      <c r="AD21" s="6"/>
      <c r="AE21" s="6"/>
      <c r="AF21" s="6"/>
      <c r="AG21" s="6"/>
      <c r="AH21" s="6"/>
      <c r="AI21" s="6"/>
      <c r="AJ21" s="4">
        <f t="shared" si="1"/>
        <v>17</v>
      </c>
      <c r="AK21" s="4">
        <f t="shared" si="2"/>
        <v>1</v>
      </c>
      <c r="AL21" s="4" t="s">
        <v>14</v>
      </c>
      <c r="AM21" s="7">
        <f>27*$AM$5</f>
        <v>0</v>
      </c>
      <c r="AN21" s="7">
        <f>27*$AM$5</f>
        <v>0</v>
      </c>
      <c r="AO21" s="7">
        <f>AM21+AN21</f>
        <v>0</v>
      </c>
    </row>
    <row r="22" spans="1:41" ht="16.5">
      <c r="A22" s="7">
        <v>18</v>
      </c>
      <c r="B22" s="80" t="s">
        <v>380</v>
      </c>
      <c r="C22" s="80" t="s">
        <v>80</v>
      </c>
      <c r="D22" s="5" t="s">
        <v>6</v>
      </c>
      <c r="E22" s="97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98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97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7"/>
      <c r="AA22" s="6"/>
      <c r="AB22" s="6"/>
      <c r="AC22" s="6"/>
      <c r="AD22" s="6"/>
      <c r="AE22" s="6"/>
      <c r="AF22" s="6"/>
      <c r="AG22" s="6"/>
      <c r="AH22" s="6"/>
      <c r="AI22" s="6"/>
      <c r="AJ22" s="4">
        <f t="shared" si="1"/>
        <v>18</v>
      </c>
      <c r="AK22" s="4">
        <f t="shared" si="2"/>
        <v>0</v>
      </c>
      <c r="AL22" s="4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0" t="s">
        <v>381</v>
      </c>
      <c r="C23" s="80" t="s">
        <v>382</v>
      </c>
      <c r="D23" s="5" t="s">
        <v>6</v>
      </c>
      <c r="E23" s="97"/>
      <c r="F23" s="13" t="s">
        <v>24</v>
      </c>
      <c r="G23" s="13" t="s">
        <v>24</v>
      </c>
      <c r="H23" s="13" t="s">
        <v>23</v>
      </c>
      <c r="I23" s="13" t="s">
        <v>24</v>
      </c>
      <c r="J23" s="13" t="s">
        <v>24</v>
      </c>
      <c r="K23" s="13" t="s">
        <v>24</v>
      </c>
      <c r="L23" s="98"/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  <c r="R23" s="6" t="s">
        <v>24</v>
      </c>
      <c r="S23" s="97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7"/>
      <c r="AA23" s="6"/>
      <c r="AB23" s="6"/>
      <c r="AC23" s="6"/>
      <c r="AD23" s="6"/>
      <c r="AE23" s="6"/>
      <c r="AF23" s="6"/>
      <c r="AG23" s="6"/>
      <c r="AH23" s="6"/>
      <c r="AI23" s="6"/>
      <c r="AJ23" s="4">
        <f t="shared" si="1"/>
        <v>17</v>
      </c>
      <c r="AK23" s="4">
        <f t="shared" si="2"/>
        <v>1</v>
      </c>
      <c r="AL23" s="4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0" t="s">
        <v>383</v>
      </c>
      <c r="C24" s="80" t="s">
        <v>144</v>
      </c>
      <c r="D24" s="5" t="s">
        <v>6</v>
      </c>
      <c r="E24" s="97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98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97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97"/>
      <c r="AA24" s="6"/>
      <c r="AB24" s="6"/>
      <c r="AC24" s="6"/>
      <c r="AD24" s="6"/>
      <c r="AE24" s="6"/>
      <c r="AF24" s="6"/>
      <c r="AG24" s="6"/>
      <c r="AH24" s="6"/>
      <c r="AI24" s="6"/>
      <c r="AJ24" s="4">
        <f t="shared" si="1"/>
        <v>18</v>
      </c>
      <c r="AK24" s="4">
        <f t="shared" si="2"/>
        <v>0</v>
      </c>
    </row>
    <row r="25" spans="1:41" ht="16.5">
      <c r="A25" s="7">
        <v>21</v>
      </c>
      <c r="B25" s="80" t="s">
        <v>384</v>
      </c>
      <c r="C25" s="80" t="s">
        <v>385</v>
      </c>
      <c r="D25" s="5" t="s">
        <v>6</v>
      </c>
      <c r="E25" s="97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98"/>
      <c r="M25" s="6" t="s">
        <v>24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97"/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97"/>
      <c r="AA25" s="6"/>
      <c r="AB25" s="6"/>
      <c r="AC25" s="6"/>
      <c r="AD25" s="6"/>
      <c r="AE25" s="6"/>
      <c r="AF25" s="6"/>
      <c r="AG25" s="6"/>
      <c r="AH25" s="6"/>
      <c r="AI25" s="6"/>
      <c r="AJ25" s="4">
        <f t="shared" si="1"/>
        <v>18</v>
      </c>
      <c r="AK25" s="4">
        <f t="shared" si="2"/>
        <v>0</v>
      </c>
    </row>
    <row r="26" spans="1:41" ht="16.5">
      <c r="A26" s="7">
        <v>22</v>
      </c>
      <c r="B26" s="80" t="s">
        <v>386</v>
      </c>
      <c r="C26" s="80" t="s">
        <v>260</v>
      </c>
      <c r="D26" s="5" t="s">
        <v>6</v>
      </c>
      <c r="E26" s="97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98"/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97"/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97"/>
      <c r="AA26" s="6"/>
      <c r="AB26" s="6"/>
      <c r="AC26" s="6"/>
      <c r="AD26" s="6"/>
      <c r="AE26" s="6"/>
      <c r="AF26" s="6"/>
      <c r="AG26" s="6"/>
      <c r="AH26" s="6"/>
      <c r="AI26" s="6"/>
      <c r="AJ26" s="4">
        <f t="shared" si="1"/>
        <v>18</v>
      </c>
      <c r="AK26" s="4">
        <f t="shared" si="2"/>
        <v>0</v>
      </c>
    </row>
    <row r="27" spans="1:41" ht="16.5">
      <c r="A27" s="7">
        <v>23</v>
      </c>
      <c r="B27" s="80" t="s">
        <v>387</v>
      </c>
      <c r="C27" s="80" t="s">
        <v>349</v>
      </c>
      <c r="D27" s="5" t="s">
        <v>6</v>
      </c>
      <c r="E27" s="97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98"/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97"/>
      <c r="T27" s="6" t="s">
        <v>24</v>
      </c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97"/>
      <c r="AA27" s="6"/>
      <c r="AB27" s="6"/>
      <c r="AC27" s="6"/>
      <c r="AD27" s="6"/>
      <c r="AE27" s="6"/>
      <c r="AF27" s="6"/>
      <c r="AG27" s="6"/>
      <c r="AH27" s="6"/>
      <c r="AI27" s="6"/>
      <c r="AJ27" s="4">
        <f t="shared" si="1"/>
        <v>18</v>
      </c>
      <c r="AK27" s="4">
        <f t="shared" si="2"/>
        <v>0</v>
      </c>
    </row>
    <row r="28" spans="1:41" ht="16.5">
      <c r="A28" s="7">
        <v>24</v>
      </c>
      <c r="B28" s="80" t="s">
        <v>388</v>
      </c>
      <c r="C28" s="80" t="s">
        <v>389</v>
      </c>
      <c r="D28" s="5" t="s">
        <v>6</v>
      </c>
      <c r="E28" s="97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98"/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97"/>
      <c r="T28" s="6" t="s">
        <v>24</v>
      </c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97"/>
      <c r="AA28" s="6"/>
      <c r="AB28" s="6"/>
      <c r="AC28" s="6"/>
      <c r="AD28" s="6"/>
      <c r="AE28" s="6"/>
      <c r="AF28" s="6"/>
      <c r="AG28" s="6"/>
      <c r="AH28" s="6"/>
      <c r="AI28" s="6"/>
      <c r="AJ28" s="4">
        <f t="shared" si="1"/>
        <v>18</v>
      </c>
      <c r="AK28" s="4">
        <f t="shared" si="2"/>
        <v>0</v>
      </c>
    </row>
    <row r="29" spans="1:41" ht="16.5">
      <c r="A29" s="7">
        <v>25</v>
      </c>
      <c r="B29" s="80" t="s">
        <v>390</v>
      </c>
      <c r="C29" s="80" t="s">
        <v>389</v>
      </c>
      <c r="D29" s="5" t="s">
        <v>6</v>
      </c>
      <c r="E29" s="97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98"/>
      <c r="M29" s="6" t="s">
        <v>24</v>
      </c>
      <c r="N29" s="6" t="s">
        <v>24</v>
      </c>
      <c r="O29" s="6" t="s">
        <v>24</v>
      </c>
      <c r="P29" s="6" t="s">
        <v>24</v>
      </c>
      <c r="Q29" s="6" t="s">
        <v>24</v>
      </c>
      <c r="R29" s="6" t="s">
        <v>24</v>
      </c>
      <c r="S29" s="97"/>
      <c r="T29" s="6" t="s">
        <v>24</v>
      </c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97"/>
      <c r="AA29" s="6"/>
      <c r="AB29" s="6"/>
      <c r="AC29" s="6"/>
      <c r="AD29" s="6"/>
      <c r="AE29" s="6"/>
      <c r="AF29" s="6"/>
      <c r="AG29" s="6"/>
      <c r="AH29" s="6"/>
      <c r="AI29" s="6"/>
      <c r="AJ29" s="4">
        <f t="shared" si="1"/>
        <v>18</v>
      </c>
      <c r="AK29" s="4">
        <f t="shared" si="2"/>
        <v>0</v>
      </c>
    </row>
    <row r="30" spans="1:41" ht="16.5">
      <c r="A30" s="7">
        <v>26</v>
      </c>
      <c r="B30" s="80" t="s">
        <v>384</v>
      </c>
      <c r="C30" s="80" t="s">
        <v>43</v>
      </c>
      <c r="D30" s="5" t="s">
        <v>6</v>
      </c>
      <c r="E30" s="97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98"/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97"/>
      <c r="T30" s="6" t="s">
        <v>24</v>
      </c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97"/>
      <c r="AA30" s="6"/>
      <c r="AB30" s="6"/>
      <c r="AC30" s="6"/>
      <c r="AD30" s="6"/>
      <c r="AE30" s="6"/>
      <c r="AF30" s="6"/>
      <c r="AG30" s="6"/>
      <c r="AH30" s="6"/>
      <c r="AI30" s="6"/>
      <c r="AJ30" s="4">
        <f t="shared" si="1"/>
        <v>18</v>
      </c>
      <c r="AK30" s="4">
        <f t="shared" si="2"/>
        <v>0</v>
      </c>
    </row>
    <row r="31" spans="1:41" ht="16.5">
      <c r="A31" s="7">
        <v>27</v>
      </c>
      <c r="B31" s="80" t="s">
        <v>56</v>
      </c>
      <c r="C31" s="80" t="s">
        <v>225</v>
      </c>
      <c r="D31" s="5" t="s">
        <v>6</v>
      </c>
      <c r="E31" s="97"/>
      <c r="F31" s="13" t="s">
        <v>24</v>
      </c>
      <c r="G31" s="13" t="s">
        <v>24</v>
      </c>
      <c r="H31" s="13" t="s">
        <v>24</v>
      </c>
      <c r="I31" s="13" t="s">
        <v>23</v>
      </c>
      <c r="J31" s="13" t="s">
        <v>24</v>
      </c>
      <c r="K31" s="13" t="s">
        <v>24</v>
      </c>
      <c r="L31" s="98"/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97"/>
      <c r="T31" s="6" t="s">
        <v>24</v>
      </c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97"/>
      <c r="AA31" s="6"/>
      <c r="AB31" s="6"/>
      <c r="AC31" s="6"/>
      <c r="AD31" s="6"/>
      <c r="AE31" s="6"/>
      <c r="AF31" s="6"/>
      <c r="AG31" s="6"/>
      <c r="AH31" s="6"/>
      <c r="AI31" s="6"/>
      <c r="AJ31" s="4">
        <f t="shared" si="1"/>
        <v>17</v>
      </c>
      <c r="AK31" s="4">
        <f t="shared" si="2"/>
        <v>1</v>
      </c>
    </row>
    <row r="32" spans="1:41" ht="16.5">
      <c r="A32" s="7">
        <v>28</v>
      </c>
      <c r="B32" s="80" t="s">
        <v>391</v>
      </c>
      <c r="C32" s="80" t="s">
        <v>392</v>
      </c>
      <c r="D32" s="5" t="s">
        <v>6</v>
      </c>
      <c r="E32" s="97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98"/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97"/>
      <c r="T32" s="6" t="s">
        <v>24</v>
      </c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97"/>
      <c r="AA32" s="6"/>
      <c r="AB32" s="6"/>
      <c r="AC32" s="6"/>
      <c r="AD32" s="6"/>
      <c r="AE32" s="6"/>
      <c r="AF32" s="6"/>
      <c r="AG32" s="6"/>
      <c r="AH32" s="6"/>
      <c r="AI32" s="6"/>
      <c r="AJ32" s="4">
        <f t="shared" si="1"/>
        <v>18</v>
      </c>
      <c r="AK32" s="4">
        <f t="shared" si="2"/>
        <v>0</v>
      </c>
    </row>
    <row r="33" spans="1:37" ht="16.5">
      <c r="A33" s="7">
        <v>29</v>
      </c>
      <c r="B33" s="80" t="s">
        <v>391</v>
      </c>
      <c r="C33" s="80" t="s">
        <v>393</v>
      </c>
      <c r="D33" s="5" t="s">
        <v>6</v>
      </c>
      <c r="E33" s="97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98"/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  <c r="R33" s="6" t="s">
        <v>24</v>
      </c>
      <c r="S33" s="97"/>
      <c r="T33" s="6" t="s">
        <v>24</v>
      </c>
      <c r="U33" s="6" t="s">
        <v>24</v>
      </c>
      <c r="V33" s="6" t="s">
        <v>23</v>
      </c>
      <c r="W33" s="6" t="s">
        <v>24</v>
      </c>
      <c r="X33" s="6" t="s">
        <v>24</v>
      </c>
      <c r="Y33" s="6" t="s">
        <v>24</v>
      </c>
      <c r="Z33" s="97"/>
      <c r="AA33" s="6"/>
      <c r="AB33" s="6"/>
      <c r="AC33" s="6"/>
      <c r="AD33" s="6"/>
      <c r="AE33" s="6"/>
      <c r="AF33" s="6"/>
      <c r="AG33" s="6"/>
      <c r="AH33" s="6"/>
      <c r="AI33" s="6"/>
      <c r="AJ33" s="4">
        <f t="shared" si="1"/>
        <v>17</v>
      </c>
      <c r="AK33" s="4">
        <f t="shared" si="2"/>
        <v>1</v>
      </c>
    </row>
    <row r="34" spans="1:37" ht="16.5">
      <c r="A34" s="7">
        <v>30</v>
      </c>
      <c r="B34" s="80" t="s">
        <v>394</v>
      </c>
      <c r="C34" s="80" t="s">
        <v>148</v>
      </c>
      <c r="D34" s="5" t="s">
        <v>6</v>
      </c>
      <c r="E34" s="97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98"/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  <c r="R34" s="6" t="s">
        <v>24</v>
      </c>
      <c r="S34" s="97"/>
      <c r="T34" s="6" t="s">
        <v>24</v>
      </c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97"/>
      <c r="AA34" s="6"/>
      <c r="AB34" s="6"/>
      <c r="AC34" s="6"/>
      <c r="AD34" s="6"/>
      <c r="AE34" s="6"/>
      <c r="AF34" s="6"/>
      <c r="AG34" s="6"/>
      <c r="AH34" s="6"/>
      <c r="AI34" s="6"/>
      <c r="AJ34" s="4">
        <f t="shared" si="1"/>
        <v>18</v>
      </c>
      <c r="AK34" s="4">
        <f t="shared" si="2"/>
        <v>0</v>
      </c>
    </row>
    <row r="35" spans="1:37" ht="16.5">
      <c r="A35" s="7">
        <v>31</v>
      </c>
      <c r="B35" s="80" t="s">
        <v>395</v>
      </c>
      <c r="C35" s="80" t="s">
        <v>268</v>
      </c>
      <c r="D35" s="5" t="s">
        <v>6</v>
      </c>
      <c r="E35" s="97"/>
      <c r="F35" s="13" t="s">
        <v>24</v>
      </c>
      <c r="G35" s="13" t="s">
        <v>24</v>
      </c>
      <c r="H35" s="13" t="s">
        <v>24</v>
      </c>
      <c r="I35" s="13" t="s">
        <v>23</v>
      </c>
      <c r="J35" s="13" t="s">
        <v>24</v>
      </c>
      <c r="K35" s="13" t="s">
        <v>24</v>
      </c>
      <c r="L35" s="98"/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97"/>
      <c r="T35" s="6" t="s">
        <v>24</v>
      </c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97"/>
      <c r="AA35" s="6"/>
      <c r="AB35" s="6"/>
      <c r="AC35" s="6"/>
      <c r="AD35" s="6"/>
      <c r="AE35" s="6"/>
      <c r="AF35" s="6"/>
      <c r="AG35" s="6"/>
      <c r="AH35" s="6"/>
      <c r="AI35" s="6"/>
      <c r="AJ35" s="4">
        <f t="shared" si="1"/>
        <v>17</v>
      </c>
      <c r="AK35" s="4">
        <f t="shared" si="2"/>
        <v>1</v>
      </c>
    </row>
    <row r="36" spans="1:37" ht="16.5">
      <c r="A36" s="7">
        <v>32</v>
      </c>
      <c r="B36" s="80" t="s">
        <v>396</v>
      </c>
      <c r="C36" s="80" t="s">
        <v>308</v>
      </c>
      <c r="D36" s="5" t="s">
        <v>6</v>
      </c>
      <c r="E36" s="97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98"/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23</v>
      </c>
      <c r="R36" s="6" t="s">
        <v>24</v>
      </c>
      <c r="S36" s="97"/>
      <c r="T36" s="6" t="s">
        <v>24</v>
      </c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97"/>
      <c r="AA36" s="6"/>
      <c r="AB36" s="6"/>
      <c r="AC36" s="6"/>
      <c r="AD36" s="6"/>
      <c r="AE36" s="6"/>
      <c r="AF36" s="6"/>
      <c r="AG36" s="6"/>
      <c r="AH36" s="6"/>
      <c r="AI36" s="6"/>
      <c r="AJ36" s="4">
        <f t="shared" si="1"/>
        <v>17</v>
      </c>
      <c r="AK36" s="4">
        <f t="shared" si="2"/>
        <v>1</v>
      </c>
    </row>
    <row r="37" spans="1:37" ht="16.5">
      <c r="A37" s="7">
        <v>33</v>
      </c>
      <c r="B37" s="80" t="s">
        <v>397</v>
      </c>
      <c r="C37" s="80" t="s">
        <v>344</v>
      </c>
      <c r="D37" s="5" t="s">
        <v>6</v>
      </c>
      <c r="E37" s="97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98"/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97"/>
      <c r="T37" s="6" t="s">
        <v>24</v>
      </c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97"/>
      <c r="AA37" s="6"/>
      <c r="AB37" s="6"/>
      <c r="AC37" s="6"/>
      <c r="AD37" s="6"/>
      <c r="AE37" s="6"/>
      <c r="AF37" s="6"/>
      <c r="AG37" s="6"/>
      <c r="AH37" s="6"/>
      <c r="AI37" s="6"/>
      <c r="AJ37" s="4">
        <f t="shared" si="1"/>
        <v>18</v>
      </c>
      <c r="AK37" s="4">
        <f t="shared" ref="AK37:AK40" si="3">COUNTIF(E37:AI37,"A")</f>
        <v>0</v>
      </c>
    </row>
    <row r="38" spans="1:37" ht="16.5">
      <c r="A38" s="7">
        <v>34</v>
      </c>
      <c r="B38" s="80" t="s">
        <v>34</v>
      </c>
      <c r="C38" s="80" t="s">
        <v>218</v>
      </c>
      <c r="D38" s="5" t="s">
        <v>6</v>
      </c>
      <c r="E38" s="97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98"/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97"/>
      <c r="T38" s="6" t="s">
        <v>24</v>
      </c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97"/>
      <c r="AA38" s="6"/>
      <c r="AB38" s="6"/>
      <c r="AC38" s="6"/>
      <c r="AD38" s="6"/>
      <c r="AE38" s="6"/>
      <c r="AF38" s="6"/>
      <c r="AG38" s="6"/>
      <c r="AH38" s="6"/>
      <c r="AI38" s="6"/>
      <c r="AJ38" s="4">
        <f t="shared" si="1"/>
        <v>18</v>
      </c>
      <c r="AK38" s="4">
        <f t="shared" si="3"/>
        <v>0</v>
      </c>
    </row>
    <row r="39" spans="1:37" ht="16.5">
      <c r="A39" s="7">
        <v>35</v>
      </c>
      <c r="B39" s="80" t="s">
        <v>38</v>
      </c>
      <c r="C39" s="80" t="s">
        <v>135</v>
      </c>
      <c r="D39" s="5" t="s">
        <v>6</v>
      </c>
      <c r="E39" s="97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98"/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23</v>
      </c>
      <c r="R39" s="6" t="s">
        <v>24</v>
      </c>
      <c r="S39" s="97"/>
      <c r="T39" s="6" t="s">
        <v>24</v>
      </c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97"/>
      <c r="AA39" s="6"/>
      <c r="AB39" s="6"/>
      <c r="AC39" s="6"/>
      <c r="AD39" s="6"/>
      <c r="AE39" s="6"/>
      <c r="AF39" s="6"/>
      <c r="AG39" s="6"/>
      <c r="AH39" s="6"/>
      <c r="AI39" s="6"/>
      <c r="AJ39" s="4">
        <f t="shared" si="1"/>
        <v>17</v>
      </c>
      <c r="AK39" s="4">
        <f t="shared" si="3"/>
        <v>1</v>
      </c>
    </row>
    <row r="40" spans="1:37" ht="16.5">
      <c r="A40" s="7">
        <v>36</v>
      </c>
      <c r="B40" s="80" t="s">
        <v>71</v>
      </c>
      <c r="C40" s="80" t="s">
        <v>105</v>
      </c>
      <c r="D40" s="5" t="s">
        <v>6</v>
      </c>
      <c r="E40" s="97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98"/>
      <c r="M40" s="6" t="s">
        <v>24</v>
      </c>
      <c r="N40" s="6" t="s">
        <v>24</v>
      </c>
      <c r="O40" s="6" t="s">
        <v>23</v>
      </c>
      <c r="P40" s="6" t="s">
        <v>24</v>
      </c>
      <c r="Q40" s="6" t="s">
        <v>24</v>
      </c>
      <c r="R40" s="6" t="s">
        <v>24</v>
      </c>
      <c r="S40" s="97"/>
      <c r="T40" s="6" t="s">
        <v>24</v>
      </c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97"/>
      <c r="AA40" s="6"/>
      <c r="AB40" s="6"/>
      <c r="AC40" s="6"/>
      <c r="AD40" s="6"/>
      <c r="AE40" s="6"/>
      <c r="AF40" s="6"/>
      <c r="AG40" s="6"/>
      <c r="AH40" s="6"/>
      <c r="AI40" s="6"/>
      <c r="AJ40" s="4">
        <f t="shared" si="1"/>
        <v>17</v>
      </c>
      <c r="AK40" s="4">
        <f t="shared" si="3"/>
        <v>1</v>
      </c>
    </row>
  </sheetData>
  <mergeCells count="15"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E5:E40"/>
    <mergeCell ref="L5:L40"/>
    <mergeCell ref="S5:S40"/>
    <mergeCell ref="Z5:Z40"/>
    <mergeCell ref="AL11:AO11"/>
    <mergeCell ref="AL19:AO19"/>
  </mergeCells>
  <conditionalFormatting sqref="AA6:AI8 F5:R5 T5:AI5 AA12:AI40 AA9:AA11 AC9:AI11 M6:R40 F6:K40 T6:Y40 E3:AI4">
    <cfRule type="expression" dxfId="213" priority="23">
      <formula>E$4=TODAY()</formula>
    </cfRule>
    <cfRule type="expression" dxfId="212" priority="26">
      <formula>E$3="Sun"</formula>
    </cfRule>
  </conditionalFormatting>
  <conditionalFormatting sqref="AA6:AI8 F5:R5 T5:AI5 AA12:AI40 AA9:AA11 AC9:AI11 M6:R40 F6:K40 T6:Y40">
    <cfRule type="cellIs" dxfId="211" priority="22" operator="equal">
      <formula>"L"</formula>
    </cfRule>
    <cfRule type="cellIs" dxfId="210" priority="24" operator="equal">
      <formula>"A"</formula>
    </cfRule>
    <cfRule type="cellIs" dxfId="209" priority="25" operator="equal">
      <formula>"P"</formula>
    </cfRule>
  </conditionalFormatting>
  <conditionalFormatting sqref="AJ3:AK3 AJ5:AK40">
    <cfRule type="expression" dxfId="208" priority="27">
      <formula>#REF!="Sun"</formula>
    </cfRule>
  </conditionalFormatting>
  <conditionalFormatting sqref="AL5:AL9">
    <cfRule type="expression" dxfId="207" priority="19">
      <formula>AL$3="Sun"</formula>
    </cfRule>
  </conditionalFormatting>
  <conditionalFormatting sqref="AL12:AL15">
    <cfRule type="expression" dxfId="206" priority="17">
      <formula>AL$3="Sun"</formula>
    </cfRule>
  </conditionalFormatting>
  <conditionalFormatting sqref="AL20:AL23">
    <cfRule type="expression" dxfId="205" priority="16">
      <formula>AL$3="Sun"</formula>
    </cfRule>
  </conditionalFormatting>
  <conditionalFormatting sqref="AL4:AM4">
    <cfRule type="expression" dxfId="204" priority="20">
      <formula>AL$3="Sun"</formula>
    </cfRule>
  </conditionalFormatting>
  <conditionalFormatting sqref="AM12:AO12 AM20:AO20">
    <cfRule type="expression" dxfId="203" priority="21">
      <formula>AM$3="Sun"</formula>
    </cfRule>
  </conditionalFormatting>
  <conditionalFormatting sqref="AO21">
    <cfRule type="expression" dxfId="202" priority="18">
      <formula>AO$3="Sun"</formula>
    </cfRule>
  </conditionalFormatting>
  <conditionalFormatting sqref="S5">
    <cfRule type="expression" dxfId="201" priority="12">
      <formula>S$4=TODAY()</formula>
    </cfRule>
    <cfRule type="expression" dxfId="200" priority="15">
      <formula>S$3="Sun"</formula>
    </cfRule>
  </conditionalFormatting>
  <conditionalFormatting sqref="S5">
    <cfRule type="cellIs" dxfId="199" priority="11" operator="equal">
      <formula>"L"</formula>
    </cfRule>
    <cfRule type="cellIs" dxfId="198" priority="13" operator="equal">
      <formula>"A"</formula>
    </cfRule>
    <cfRule type="cellIs" dxfId="197" priority="14" operator="equal">
      <formula>"P"</formula>
    </cfRule>
  </conditionalFormatting>
  <conditionalFormatting sqref="E5">
    <cfRule type="expression" dxfId="196" priority="7">
      <formula>E$4=TODAY()</formula>
    </cfRule>
    <cfRule type="expression" dxfId="195" priority="10">
      <formula>E$3="Sun"</formula>
    </cfRule>
  </conditionalFormatting>
  <conditionalFormatting sqref="E5">
    <cfRule type="cellIs" dxfId="194" priority="6" operator="equal">
      <formula>"L"</formula>
    </cfRule>
    <cfRule type="cellIs" dxfId="193" priority="8" operator="equal">
      <formula>"A"</formula>
    </cfRule>
    <cfRule type="cellIs" dxfId="192" priority="9" operator="equal">
      <formula>"P"</formula>
    </cfRule>
  </conditionalFormatting>
  <conditionalFormatting sqref="AB9:AB11">
    <cfRule type="expression" dxfId="191" priority="2">
      <formula>AB$4=TODAY()</formula>
    </cfRule>
    <cfRule type="expression" dxfId="190" priority="5">
      <formula>AB$3="Sun"</formula>
    </cfRule>
  </conditionalFormatting>
  <conditionalFormatting sqref="AB9:AB11">
    <cfRule type="cellIs" dxfId="189" priority="1" operator="equal">
      <formula>"L"</formula>
    </cfRule>
    <cfRule type="cellIs" dxfId="188" priority="3" operator="equal">
      <formula>"A"</formula>
    </cfRule>
    <cfRule type="cellIs" dxfId="187" priority="4" operator="equal">
      <formula>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5"/>
  <sheetViews>
    <sheetView topLeftCell="A18" zoomScaleNormal="100" workbookViewId="0">
      <selection activeCell="G33" sqref="G33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4" t="s">
        <v>79</v>
      </c>
      <c r="C5" s="84" t="s">
        <v>262</v>
      </c>
      <c r="D5" s="5" t="s">
        <v>365</v>
      </c>
      <c r="E5" s="103" t="s">
        <v>27</v>
      </c>
      <c r="F5" s="13" t="s">
        <v>24</v>
      </c>
      <c r="G5" s="13" t="s">
        <v>24</v>
      </c>
      <c r="H5" s="13" t="s">
        <v>24</v>
      </c>
      <c r="I5" s="13" t="s">
        <v>24</v>
      </c>
      <c r="J5" s="13" t="s">
        <v>24</v>
      </c>
      <c r="K5" s="13" t="s">
        <v>24</v>
      </c>
      <c r="L5" s="106" t="s">
        <v>27</v>
      </c>
      <c r="M5" s="6" t="s">
        <v>24</v>
      </c>
      <c r="N5" s="6" t="s">
        <v>23</v>
      </c>
      <c r="O5" s="6" t="s">
        <v>24</v>
      </c>
      <c r="P5" s="6" t="s">
        <v>24</v>
      </c>
      <c r="Q5" s="6" t="s">
        <v>24</v>
      </c>
      <c r="R5" s="6" t="s">
        <v>24</v>
      </c>
      <c r="S5" s="103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103" t="s">
        <v>27</v>
      </c>
      <c r="AA5" s="6"/>
      <c r="AB5" s="6"/>
      <c r="AC5" s="6"/>
      <c r="AD5" s="6"/>
      <c r="AE5" s="6"/>
      <c r="AF5" s="6"/>
      <c r="AG5" s="106" t="s">
        <v>27</v>
      </c>
      <c r="AH5" s="6"/>
      <c r="AI5" s="6"/>
      <c r="AJ5" s="4">
        <f t="shared" ref="AJ5:AJ40" si="1">COUNTIF(E5:AI5,"P")</f>
        <v>17</v>
      </c>
      <c r="AK5" s="4">
        <f t="shared" ref="AK5:AK36" si="2">COUNTIF(E5:AI5,"A")</f>
        <v>1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4" t="s">
        <v>321</v>
      </c>
      <c r="C6" s="84" t="s">
        <v>286</v>
      </c>
      <c r="D6" s="5" t="s">
        <v>365</v>
      </c>
      <c r="E6" s="104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107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104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104"/>
      <c r="AA6" s="6"/>
      <c r="AB6" s="6"/>
      <c r="AC6" s="6"/>
      <c r="AD6" s="6"/>
      <c r="AE6" s="6"/>
      <c r="AF6" s="6"/>
      <c r="AG6" s="107"/>
      <c r="AH6" s="6"/>
      <c r="AI6" s="6"/>
      <c r="AJ6" s="4">
        <f t="shared" si="1"/>
        <v>18</v>
      </c>
      <c r="AK6" s="4">
        <f t="shared" si="2"/>
        <v>0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4" t="s">
        <v>48</v>
      </c>
      <c r="C7" s="84" t="s">
        <v>255</v>
      </c>
      <c r="D7" s="5" t="s">
        <v>365</v>
      </c>
      <c r="E7" s="104"/>
      <c r="F7" s="13" t="s">
        <v>24</v>
      </c>
      <c r="G7" s="13" t="s">
        <v>23</v>
      </c>
      <c r="H7" s="13" t="s">
        <v>24</v>
      </c>
      <c r="I7" s="13" t="s">
        <v>24</v>
      </c>
      <c r="J7" s="13" t="s">
        <v>24</v>
      </c>
      <c r="K7" s="13" t="s">
        <v>24</v>
      </c>
      <c r="L7" s="107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104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104"/>
      <c r="AA7" s="6"/>
      <c r="AB7" s="6"/>
      <c r="AC7" s="6"/>
      <c r="AD7" s="6"/>
      <c r="AE7" s="6"/>
      <c r="AF7" s="6"/>
      <c r="AG7" s="107"/>
      <c r="AH7" s="6"/>
      <c r="AI7" s="6"/>
      <c r="AJ7" s="4">
        <f t="shared" si="1"/>
        <v>17</v>
      </c>
      <c r="AK7" s="4">
        <f t="shared" si="2"/>
        <v>1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4" t="s">
        <v>322</v>
      </c>
      <c r="C8" s="84" t="s">
        <v>304</v>
      </c>
      <c r="D8" s="5" t="s">
        <v>365</v>
      </c>
      <c r="E8" s="104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107"/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104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104"/>
      <c r="AA8" s="6"/>
      <c r="AB8" s="6"/>
      <c r="AC8" s="6"/>
      <c r="AD8" s="6"/>
      <c r="AE8" s="6"/>
      <c r="AF8" s="6"/>
      <c r="AG8" s="107"/>
      <c r="AH8" s="6"/>
      <c r="AI8" s="6"/>
      <c r="AJ8" s="4">
        <f t="shared" si="1"/>
        <v>18</v>
      </c>
      <c r="AK8" s="4">
        <f t="shared" si="2"/>
        <v>0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4" t="s">
        <v>323</v>
      </c>
      <c r="C9" s="84" t="s">
        <v>121</v>
      </c>
      <c r="D9" s="5" t="s">
        <v>365</v>
      </c>
      <c r="E9" s="104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07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104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104"/>
      <c r="AA9" s="6"/>
      <c r="AB9" s="6"/>
      <c r="AC9" s="6"/>
      <c r="AD9" s="6"/>
      <c r="AE9" s="6"/>
      <c r="AF9" s="6"/>
      <c r="AG9" s="107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4" t="s">
        <v>324</v>
      </c>
      <c r="C10" s="84" t="s">
        <v>325</v>
      </c>
      <c r="D10" s="5" t="s">
        <v>365</v>
      </c>
      <c r="E10" s="104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107"/>
      <c r="M10" s="6" t="s">
        <v>24</v>
      </c>
      <c r="N10" s="6" t="s">
        <v>24</v>
      </c>
      <c r="O10" s="6" t="s">
        <v>24</v>
      </c>
      <c r="P10" s="6" t="s">
        <v>23</v>
      </c>
      <c r="Q10" s="6" t="s">
        <v>24</v>
      </c>
      <c r="R10" s="6" t="s">
        <v>24</v>
      </c>
      <c r="S10" s="104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104"/>
      <c r="AA10" s="6"/>
      <c r="AB10" s="6"/>
      <c r="AC10" s="6"/>
      <c r="AD10" s="6"/>
      <c r="AE10" s="6"/>
      <c r="AF10" s="6"/>
      <c r="AG10" s="107"/>
      <c r="AH10" s="6"/>
      <c r="AI10" s="6"/>
      <c r="AJ10" s="4">
        <f t="shared" si="1"/>
        <v>17</v>
      </c>
      <c r="AK10" s="4">
        <f t="shared" si="2"/>
        <v>1</v>
      </c>
    </row>
    <row r="11" spans="1:41" ht="16.5">
      <c r="A11" s="7">
        <v>7</v>
      </c>
      <c r="B11" s="84" t="s">
        <v>326</v>
      </c>
      <c r="C11" s="84" t="s">
        <v>270</v>
      </c>
      <c r="D11" s="5" t="s">
        <v>365</v>
      </c>
      <c r="E11" s="104"/>
      <c r="F11" s="13" t="s">
        <v>24</v>
      </c>
      <c r="G11" s="13" t="s">
        <v>24</v>
      </c>
      <c r="H11" s="13" t="s">
        <v>23</v>
      </c>
      <c r="I11" s="13" t="s">
        <v>24</v>
      </c>
      <c r="J11" s="13" t="s">
        <v>24</v>
      </c>
      <c r="K11" s="13" t="s">
        <v>24</v>
      </c>
      <c r="L11" s="107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104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104"/>
      <c r="AA11" s="6"/>
      <c r="AB11" s="6"/>
      <c r="AC11" s="6"/>
      <c r="AD11" s="6"/>
      <c r="AE11" s="6"/>
      <c r="AF11" s="6"/>
      <c r="AG11" s="107"/>
      <c r="AH11" s="6"/>
      <c r="AI11" s="6"/>
      <c r="AJ11" s="4">
        <f t="shared" si="1"/>
        <v>17</v>
      </c>
      <c r="AK11" s="4">
        <f t="shared" si="2"/>
        <v>1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4" t="s">
        <v>327</v>
      </c>
      <c r="C12" s="84" t="s">
        <v>205</v>
      </c>
      <c r="D12" s="5" t="s">
        <v>365</v>
      </c>
      <c r="E12" s="104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07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104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104"/>
      <c r="AA12" s="6"/>
      <c r="AB12" s="6"/>
      <c r="AC12" s="6"/>
      <c r="AD12" s="6"/>
      <c r="AE12" s="6"/>
      <c r="AF12" s="6"/>
      <c r="AG12" s="107"/>
      <c r="AH12" s="6"/>
      <c r="AI12" s="6"/>
      <c r="AJ12" s="4">
        <f t="shared" si="1"/>
        <v>18</v>
      </c>
      <c r="AK12" s="4">
        <f t="shared" si="2"/>
        <v>0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4" t="s">
        <v>328</v>
      </c>
      <c r="C13" s="84" t="s">
        <v>205</v>
      </c>
      <c r="D13" s="5" t="s">
        <v>365</v>
      </c>
      <c r="E13" s="104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07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104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104"/>
      <c r="AA13" s="6"/>
      <c r="AB13" s="6"/>
      <c r="AC13" s="6"/>
      <c r="AD13" s="6"/>
      <c r="AE13" s="6"/>
      <c r="AF13" s="6"/>
      <c r="AG13" s="107"/>
      <c r="AH13" s="6"/>
      <c r="AI13" s="6"/>
      <c r="AJ13" s="4">
        <f t="shared" si="1"/>
        <v>18</v>
      </c>
      <c r="AK13" s="4">
        <f t="shared" si="2"/>
        <v>0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4" t="s">
        <v>329</v>
      </c>
      <c r="C14" s="84" t="s">
        <v>142</v>
      </c>
      <c r="D14" s="5" t="s">
        <v>365</v>
      </c>
      <c r="E14" s="104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07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104"/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104"/>
      <c r="AA14" s="6"/>
      <c r="AB14" s="6"/>
      <c r="AC14" s="6"/>
      <c r="AD14" s="6"/>
      <c r="AE14" s="6"/>
      <c r="AF14" s="6"/>
      <c r="AG14" s="107"/>
      <c r="AH14" s="6"/>
      <c r="AI14" s="6"/>
      <c r="AJ14" s="4">
        <f t="shared" si="1"/>
        <v>18</v>
      </c>
      <c r="AK14" s="4">
        <f t="shared" si="2"/>
        <v>0</v>
      </c>
      <c r="AL14" s="83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4" t="s">
        <v>330</v>
      </c>
      <c r="C15" s="84" t="s">
        <v>238</v>
      </c>
      <c r="D15" s="5" t="s">
        <v>365</v>
      </c>
      <c r="E15" s="104"/>
      <c r="F15" s="13" t="s">
        <v>24</v>
      </c>
      <c r="G15" s="13" t="s">
        <v>23</v>
      </c>
      <c r="H15" s="13" t="s">
        <v>24</v>
      </c>
      <c r="I15" s="13" t="s">
        <v>24</v>
      </c>
      <c r="J15" s="13" t="s">
        <v>24</v>
      </c>
      <c r="K15" s="13" t="s">
        <v>24</v>
      </c>
      <c r="L15" s="107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104"/>
      <c r="T15" s="6" t="s">
        <v>24</v>
      </c>
      <c r="U15" s="6" t="s">
        <v>24</v>
      </c>
      <c r="V15" s="6" t="s">
        <v>24</v>
      </c>
      <c r="W15" s="6" t="s">
        <v>23</v>
      </c>
      <c r="X15" s="6" t="s">
        <v>24</v>
      </c>
      <c r="Y15" s="6" t="s">
        <v>24</v>
      </c>
      <c r="Z15" s="104"/>
      <c r="AA15" s="6"/>
      <c r="AB15" s="6"/>
      <c r="AC15" s="6"/>
      <c r="AD15" s="6"/>
      <c r="AE15" s="6"/>
      <c r="AF15" s="6"/>
      <c r="AG15" s="107"/>
      <c r="AH15" s="6"/>
      <c r="AI15" s="6"/>
      <c r="AJ15" s="4">
        <f t="shared" si="1"/>
        <v>16</v>
      </c>
      <c r="AK15" s="4">
        <f t="shared" si="2"/>
        <v>2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4" t="s">
        <v>331</v>
      </c>
      <c r="C16" s="84" t="s">
        <v>332</v>
      </c>
      <c r="D16" s="5" t="s">
        <v>365</v>
      </c>
      <c r="E16" s="104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07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23</v>
      </c>
      <c r="R16" s="6" t="s">
        <v>24</v>
      </c>
      <c r="S16" s="104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104"/>
      <c r="AA16" s="6"/>
      <c r="AB16" s="6"/>
      <c r="AC16" s="6"/>
      <c r="AD16" s="6"/>
      <c r="AE16" s="6"/>
      <c r="AF16" s="6"/>
      <c r="AG16" s="107"/>
      <c r="AH16" s="6"/>
      <c r="AI16" s="6"/>
      <c r="AJ16" s="4">
        <f t="shared" si="1"/>
        <v>17</v>
      </c>
      <c r="AK16" s="4">
        <f t="shared" si="2"/>
        <v>1</v>
      </c>
      <c r="AL16"/>
      <c r="AM16"/>
      <c r="AN16"/>
      <c r="AO16"/>
    </row>
    <row r="17" spans="1:41" ht="16.5">
      <c r="A17" s="7">
        <v>13</v>
      </c>
      <c r="B17" s="84" t="s">
        <v>333</v>
      </c>
      <c r="C17" s="84" t="s">
        <v>117</v>
      </c>
      <c r="D17" s="5" t="s">
        <v>365</v>
      </c>
      <c r="E17" s="104"/>
      <c r="F17" s="13" t="s">
        <v>24</v>
      </c>
      <c r="G17" s="13" t="s">
        <v>24</v>
      </c>
      <c r="H17" s="13" t="s">
        <v>23</v>
      </c>
      <c r="I17" s="13" t="s">
        <v>24</v>
      </c>
      <c r="J17" s="13" t="s">
        <v>24</v>
      </c>
      <c r="K17" s="13" t="s">
        <v>24</v>
      </c>
      <c r="L17" s="107"/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  <c r="R17" s="6" t="s">
        <v>24</v>
      </c>
      <c r="S17" s="104"/>
      <c r="T17" s="6" t="s">
        <v>24</v>
      </c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104"/>
      <c r="AA17" s="6"/>
      <c r="AB17" s="6"/>
      <c r="AC17" s="6"/>
      <c r="AD17" s="6"/>
      <c r="AE17" s="6"/>
      <c r="AF17" s="6"/>
      <c r="AG17" s="107"/>
      <c r="AH17" s="6"/>
      <c r="AI17" s="6"/>
      <c r="AJ17" s="4">
        <f t="shared" si="1"/>
        <v>17</v>
      </c>
      <c r="AK17" s="4">
        <f t="shared" si="2"/>
        <v>1</v>
      </c>
      <c r="AL17"/>
      <c r="AM17"/>
      <c r="AN17"/>
      <c r="AO17"/>
    </row>
    <row r="18" spans="1:41" ht="16.5">
      <c r="A18" s="7">
        <v>14</v>
      </c>
      <c r="B18" s="84" t="s">
        <v>174</v>
      </c>
      <c r="C18" s="84" t="s">
        <v>334</v>
      </c>
      <c r="D18" s="5" t="s">
        <v>365</v>
      </c>
      <c r="E18" s="104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07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104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104"/>
      <c r="AA18" s="6"/>
      <c r="AB18" s="6"/>
      <c r="AC18" s="6"/>
      <c r="AD18" s="6"/>
      <c r="AE18" s="6"/>
      <c r="AF18" s="6"/>
      <c r="AG18" s="107"/>
      <c r="AH18" s="6"/>
      <c r="AI18" s="6"/>
      <c r="AJ18" s="4">
        <f t="shared" si="1"/>
        <v>18</v>
      </c>
      <c r="AK18" s="4">
        <f t="shared" si="2"/>
        <v>0</v>
      </c>
      <c r="AL18"/>
      <c r="AM18"/>
      <c r="AN18"/>
      <c r="AO18"/>
    </row>
    <row r="19" spans="1:41" ht="16.5">
      <c r="A19" s="7">
        <v>15</v>
      </c>
      <c r="B19" s="84" t="s">
        <v>335</v>
      </c>
      <c r="C19" s="84" t="s">
        <v>308</v>
      </c>
      <c r="D19" s="5" t="s">
        <v>365</v>
      </c>
      <c r="E19" s="104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07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104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104"/>
      <c r="AA19" s="6"/>
      <c r="AB19" s="6"/>
      <c r="AC19" s="6"/>
      <c r="AD19" s="6"/>
      <c r="AE19" s="6"/>
      <c r="AF19" s="6"/>
      <c r="AG19" s="107"/>
      <c r="AH19" s="6"/>
      <c r="AI19" s="6"/>
      <c r="AJ19" s="4">
        <f t="shared" si="1"/>
        <v>18</v>
      </c>
      <c r="AK19" s="4">
        <f t="shared" si="2"/>
        <v>0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4" t="s">
        <v>336</v>
      </c>
      <c r="C20" s="84" t="s">
        <v>171</v>
      </c>
      <c r="D20" s="5" t="s">
        <v>365</v>
      </c>
      <c r="E20" s="104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07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104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104"/>
      <c r="AA20" s="6"/>
      <c r="AB20" s="6"/>
      <c r="AC20" s="6"/>
      <c r="AD20" s="6"/>
      <c r="AE20" s="6"/>
      <c r="AF20" s="6"/>
      <c r="AG20" s="107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4" t="s">
        <v>330</v>
      </c>
      <c r="C21" s="84" t="s">
        <v>220</v>
      </c>
      <c r="D21" s="5" t="s">
        <v>365</v>
      </c>
      <c r="E21" s="104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07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104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104"/>
      <c r="AA21" s="6"/>
      <c r="AB21" s="6"/>
      <c r="AC21" s="6"/>
      <c r="AD21" s="6"/>
      <c r="AE21" s="6"/>
      <c r="AF21" s="6"/>
      <c r="AG21" s="107"/>
      <c r="AH21" s="6"/>
      <c r="AI21" s="6"/>
      <c r="AJ21" s="4">
        <f t="shared" si="1"/>
        <v>18</v>
      </c>
      <c r="AK21" s="4">
        <f t="shared" si="2"/>
        <v>0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4" t="s">
        <v>337</v>
      </c>
      <c r="C22" s="84" t="s">
        <v>338</v>
      </c>
      <c r="D22" s="5" t="s">
        <v>365</v>
      </c>
      <c r="E22" s="104"/>
      <c r="F22" s="13" t="s">
        <v>24</v>
      </c>
      <c r="G22" s="13" t="s">
        <v>23</v>
      </c>
      <c r="H22" s="13" t="s">
        <v>24</v>
      </c>
      <c r="I22" s="13" t="s">
        <v>24</v>
      </c>
      <c r="J22" s="13" t="s">
        <v>24</v>
      </c>
      <c r="K22" s="13" t="s">
        <v>24</v>
      </c>
      <c r="L22" s="107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104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104"/>
      <c r="AA22" s="6"/>
      <c r="AB22" s="6"/>
      <c r="AC22" s="6"/>
      <c r="AD22" s="6"/>
      <c r="AE22" s="6"/>
      <c r="AF22" s="6"/>
      <c r="AG22" s="107"/>
      <c r="AH22" s="6"/>
      <c r="AI22" s="6"/>
      <c r="AJ22" s="4">
        <f t="shared" si="1"/>
        <v>17</v>
      </c>
      <c r="AK22" s="4">
        <f t="shared" si="2"/>
        <v>1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4" t="s">
        <v>339</v>
      </c>
      <c r="C23" s="84" t="s">
        <v>273</v>
      </c>
      <c r="D23" s="5" t="s">
        <v>365</v>
      </c>
      <c r="E23" s="104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07"/>
      <c r="M23" s="6" t="s">
        <v>24</v>
      </c>
      <c r="N23" s="6" t="s">
        <v>23</v>
      </c>
      <c r="O23" s="6" t="s">
        <v>24</v>
      </c>
      <c r="P23" s="6" t="s">
        <v>24</v>
      </c>
      <c r="Q23" s="6" t="s">
        <v>24</v>
      </c>
      <c r="R23" s="6" t="s">
        <v>24</v>
      </c>
      <c r="S23" s="104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104"/>
      <c r="AA23" s="6"/>
      <c r="AB23" s="6"/>
      <c r="AC23" s="6"/>
      <c r="AD23" s="6"/>
      <c r="AE23" s="6"/>
      <c r="AF23" s="6"/>
      <c r="AG23" s="107"/>
      <c r="AH23" s="6"/>
      <c r="AI23" s="6"/>
      <c r="AJ23" s="4">
        <f t="shared" si="1"/>
        <v>17</v>
      </c>
      <c r="AK23" s="4">
        <f t="shared" si="2"/>
        <v>1</v>
      </c>
      <c r="AL23" s="83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4" t="s">
        <v>42</v>
      </c>
      <c r="C24" s="84" t="s">
        <v>297</v>
      </c>
      <c r="D24" s="5" t="s">
        <v>365</v>
      </c>
      <c r="E24" s="104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07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104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104"/>
      <c r="AA24" s="6"/>
      <c r="AB24" s="6"/>
      <c r="AC24" s="6"/>
      <c r="AD24" s="6"/>
      <c r="AE24" s="6"/>
      <c r="AF24" s="6"/>
      <c r="AG24" s="107"/>
      <c r="AH24" s="6"/>
      <c r="AI24" s="6"/>
      <c r="AJ24" s="4">
        <f t="shared" si="1"/>
        <v>18</v>
      </c>
      <c r="AK24" s="4">
        <f t="shared" si="2"/>
        <v>0</v>
      </c>
    </row>
    <row r="25" spans="1:41" ht="16.5">
      <c r="A25" s="7">
        <v>21</v>
      </c>
      <c r="B25" s="84" t="s">
        <v>340</v>
      </c>
      <c r="C25" s="84" t="s">
        <v>341</v>
      </c>
      <c r="D25" s="5" t="s">
        <v>365</v>
      </c>
      <c r="E25" s="104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07"/>
      <c r="M25" s="6" t="s">
        <v>24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104"/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104"/>
      <c r="AA25" s="6"/>
      <c r="AB25" s="6"/>
      <c r="AC25" s="6"/>
      <c r="AD25" s="6"/>
      <c r="AE25" s="6"/>
      <c r="AF25" s="6"/>
      <c r="AG25" s="107"/>
      <c r="AH25" s="6"/>
      <c r="AI25" s="6"/>
      <c r="AJ25" s="4">
        <f t="shared" si="1"/>
        <v>18</v>
      </c>
      <c r="AK25" s="4">
        <f t="shared" si="2"/>
        <v>0</v>
      </c>
    </row>
    <row r="26" spans="1:41" ht="16.5">
      <c r="A26" s="7">
        <v>22</v>
      </c>
      <c r="B26" s="84" t="s">
        <v>342</v>
      </c>
      <c r="C26" s="84" t="s">
        <v>35</v>
      </c>
      <c r="D26" s="5" t="s">
        <v>365</v>
      </c>
      <c r="E26" s="104"/>
      <c r="F26" s="13" t="s">
        <v>24</v>
      </c>
      <c r="G26" s="13" t="s">
        <v>23</v>
      </c>
      <c r="H26" s="13" t="s">
        <v>24</v>
      </c>
      <c r="I26" s="13" t="s">
        <v>24</v>
      </c>
      <c r="J26" s="13" t="s">
        <v>24</v>
      </c>
      <c r="K26" s="13" t="s">
        <v>24</v>
      </c>
      <c r="L26" s="107"/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104"/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104"/>
      <c r="AA26" s="6"/>
      <c r="AB26" s="6"/>
      <c r="AC26" s="6"/>
      <c r="AD26" s="6"/>
      <c r="AE26" s="6"/>
      <c r="AF26" s="6"/>
      <c r="AG26" s="107"/>
      <c r="AH26" s="6"/>
      <c r="AI26" s="6"/>
      <c r="AJ26" s="4">
        <f t="shared" si="1"/>
        <v>17</v>
      </c>
      <c r="AK26" s="4">
        <f t="shared" si="2"/>
        <v>1</v>
      </c>
    </row>
    <row r="27" spans="1:41" ht="16.5">
      <c r="A27" s="7">
        <v>23</v>
      </c>
      <c r="B27" s="84" t="s">
        <v>18</v>
      </c>
      <c r="C27" s="84" t="s">
        <v>225</v>
      </c>
      <c r="D27" s="5" t="s">
        <v>365</v>
      </c>
      <c r="E27" s="104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07"/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104"/>
      <c r="T27" s="6" t="s">
        <v>24</v>
      </c>
      <c r="U27" s="6" t="s">
        <v>23</v>
      </c>
      <c r="V27" s="6" t="s">
        <v>24</v>
      </c>
      <c r="W27" s="6" t="s">
        <v>24</v>
      </c>
      <c r="X27" s="6" t="s">
        <v>24</v>
      </c>
      <c r="Y27" s="6" t="s">
        <v>24</v>
      </c>
      <c r="Z27" s="104"/>
      <c r="AA27" s="6"/>
      <c r="AB27" s="6"/>
      <c r="AC27" s="6"/>
      <c r="AD27" s="6"/>
      <c r="AE27" s="6"/>
      <c r="AF27" s="6"/>
      <c r="AG27" s="107"/>
      <c r="AH27" s="6"/>
      <c r="AI27" s="6"/>
      <c r="AJ27" s="4">
        <f t="shared" si="1"/>
        <v>17</v>
      </c>
      <c r="AK27" s="4">
        <f t="shared" si="2"/>
        <v>1</v>
      </c>
    </row>
    <row r="28" spans="1:41" ht="16.5">
      <c r="A28" s="7">
        <v>24</v>
      </c>
      <c r="B28" s="84" t="s">
        <v>343</v>
      </c>
      <c r="C28" s="84" t="s">
        <v>344</v>
      </c>
      <c r="D28" s="5" t="s">
        <v>365</v>
      </c>
      <c r="E28" s="104"/>
      <c r="F28" s="13" t="s">
        <v>24</v>
      </c>
      <c r="G28" s="13" t="s">
        <v>24</v>
      </c>
      <c r="H28" s="13" t="s">
        <v>24</v>
      </c>
      <c r="I28" s="13" t="s">
        <v>23</v>
      </c>
      <c r="J28" s="13" t="s">
        <v>24</v>
      </c>
      <c r="K28" s="13" t="s">
        <v>24</v>
      </c>
      <c r="L28" s="107"/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104"/>
      <c r="T28" s="6" t="s">
        <v>24</v>
      </c>
      <c r="U28" s="6" t="s">
        <v>23</v>
      </c>
      <c r="V28" s="6" t="s">
        <v>24</v>
      </c>
      <c r="W28" s="6" t="s">
        <v>24</v>
      </c>
      <c r="X28" s="6" t="s">
        <v>24</v>
      </c>
      <c r="Y28" s="6" t="s">
        <v>24</v>
      </c>
      <c r="Z28" s="104"/>
      <c r="AA28" s="6"/>
      <c r="AB28" s="6"/>
      <c r="AC28" s="6"/>
      <c r="AD28" s="6"/>
      <c r="AE28" s="6"/>
      <c r="AF28" s="6"/>
      <c r="AG28" s="107"/>
      <c r="AH28" s="6"/>
      <c r="AI28" s="6"/>
      <c r="AJ28" s="4">
        <f t="shared" si="1"/>
        <v>16</v>
      </c>
      <c r="AK28" s="4">
        <f t="shared" si="2"/>
        <v>2</v>
      </c>
    </row>
    <row r="29" spans="1:41" ht="16.5">
      <c r="A29" s="7">
        <v>25</v>
      </c>
      <c r="B29" s="84" t="s">
        <v>345</v>
      </c>
      <c r="C29" s="84" t="s">
        <v>312</v>
      </c>
      <c r="D29" s="5" t="s">
        <v>365</v>
      </c>
      <c r="E29" s="104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07"/>
      <c r="M29" s="6" t="s">
        <v>24</v>
      </c>
      <c r="N29" s="6" t="s">
        <v>24</v>
      </c>
      <c r="O29" s="6" t="s">
        <v>24</v>
      </c>
      <c r="P29" s="6" t="s">
        <v>24</v>
      </c>
      <c r="Q29" s="6" t="s">
        <v>24</v>
      </c>
      <c r="R29" s="6" t="s">
        <v>24</v>
      </c>
      <c r="S29" s="104"/>
      <c r="T29" s="6" t="s">
        <v>24</v>
      </c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104"/>
      <c r="AA29" s="6"/>
      <c r="AB29" s="6"/>
      <c r="AC29" s="6"/>
      <c r="AD29" s="6"/>
      <c r="AE29" s="6"/>
      <c r="AF29" s="6"/>
      <c r="AG29" s="107"/>
      <c r="AH29" s="6"/>
      <c r="AI29" s="6"/>
      <c r="AJ29" s="4">
        <f t="shared" si="1"/>
        <v>18</v>
      </c>
      <c r="AK29" s="4">
        <f t="shared" si="2"/>
        <v>0</v>
      </c>
    </row>
    <row r="30" spans="1:41" ht="16.5">
      <c r="A30" s="7">
        <v>26</v>
      </c>
      <c r="B30" s="84" t="s">
        <v>346</v>
      </c>
      <c r="C30" s="84" t="s">
        <v>347</v>
      </c>
      <c r="D30" s="5" t="s">
        <v>365</v>
      </c>
      <c r="E30" s="104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07"/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104"/>
      <c r="T30" s="6" t="s">
        <v>24</v>
      </c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104"/>
      <c r="AA30" s="6"/>
      <c r="AB30" s="6"/>
      <c r="AC30" s="6"/>
      <c r="AD30" s="6"/>
      <c r="AE30" s="6"/>
      <c r="AF30" s="6"/>
      <c r="AG30" s="107"/>
      <c r="AH30" s="6"/>
      <c r="AI30" s="6"/>
      <c r="AJ30" s="4">
        <f t="shared" si="1"/>
        <v>18</v>
      </c>
      <c r="AK30" s="4">
        <f t="shared" si="2"/>
        <v>0</v>
      </c>
    </row>
    <row r="31" spans="1:41" ht="16.5">
      <c r="A31" s="7">
        <v>27</v>
      </c>
      <c r="B31" s="84" t="s">
        <v>315</v>
      </c>
      <c r="C31" s="84" t="s">
        <v>148</v>
      </c>
      <c r="D31" s="5" t="s">
        <v>365</v>
      </c>
      <c r="E31" s="104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07"/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104"/>
      <c r="T31" s="6" t="s">
        <v>24</v>
      </c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104"/>
      <c r="AA31" s="6"/>
      <c r="AB31" s="6"/>
      <c r="AC31" s="6"/>
      <c r="AD31" s="6"/>
      <c r="AE31" s="6"/>
      <c r="AF31" s="6"/>
      <c r="AG31" s="107"/>
      <c r="AH31" s="6"/>
      <c r="AI31" s="6"/>
      <c r="AJ31" s="4">
        <f t="shared" si="1"/>
        <v>18</v>
      </c>
      <c r="AK31" s="4">
        <f t="shared" si="2"/>
        <v>0</v>
      </c>
    </row>
    <row r="32" spans="1:41" ht="16.5">
      <c r="A32" s="7">
        <v>28</v>
      </c>
      <c r="B32" s="84" t="s">
        <v>68</v>
      </c>
      <c r="C32" s="84" t="s">
        <v>121</v>
      </c>
      <c r="D32" s="5" t="s">
        <v>365</v>
      </c>
      <c r="E32" s="104"/>
      <c r="F32" s="13" t="s">
        <v>24</v>
      </c>
      <c r="G32" s="13" t="s">
        <v>24</v>
      </c>
      <c r="H32" s="13" t="s">
        <v>24</v>
      </c>
      <c r="I32" s="13" t="s">
        <v>23</v>
      </c>
      <c r="J32" s="13" t="s">
        <v>24</v>
      </c>
      <c r="K32" s="13" t="s">
        <v>24</v>
      </c>
      <c r="L32" s="107"/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104"/>
      <c r="T32" s="6" t="s">
        <v>24</v>
      </c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104"/>
      <c r="AA32" s="6"/>
      <c r="AB32" s="6" t="s">
        <v>406</v>
      </c>
      <c r="AC32" s="6"/>
      <c r="AD32" s="6"/>
      <c r="AE32" s="6"/>
      <c r="AF32" s="6"/>
      <c r="AG32" s="107"/>
      <c r="AH32" s="6"/>
      <c r="AI32" s="6"/>
      <c r="AJ32" s="4">
        <f t="shared" si="1"/>
        <v>17</v>
      </c>
      <c r="AK32" s="4">
        <f t="shared" si="2"/>
        <v>1</v>
      </c>
    </row>
    <row r="33" spans="1:37" ht="16.5">
      <c r="A33" s="7">
        <v>29</v>
      </c>
      <c r="B33" s="84" t="s">
        <v>348</v>
      </c>
      <c r="C33" s="84" t="s">
        <v>349</v>
      </c>
      <c r="D33" s="5" t="s">
        <v>365</v>
      </c>
      <c r="E33" s="104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07"/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  <c r="R33" s="6" t="s">
        <v>24</v>
      </c>
      <c r="S33" s="104"/>
      <c r="T33" s="6" t="s">
        <v>24</v>
      </c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104"/>
      <c r="AA33" s="6"/>
      <c r="AB33" s="6"/>
      <c r="AC33" s="6"/>
      <c r="AD33" s="6"/>
      <c r="AE33" s="6"/>
      <c r="AF33" s="6"/>
      <c r="AG33" s="107"/>
      <c r="AH33" s="6"/>
      <c r="AI33" s="6"/>
      <c r="AJ33" s="4">
        <f t="shared" si="1"/>
        <v>18</v>
      </c>
      <c r="AK33" s="4">
        <f t="shared" si="2"/>
        <v>0</v>
      </c>
    </row>
    <row r="34" spans="1:37" ht="16.5">
      <c r="A34" s="7">
        <v>30</v>
      </c>
      <c r="B34" s="84" t="s">
        <v>350</v>
      </c>
      <c r="C34" s="84" t="s">
        <v>173</v>
      </c>
      <c r="D34" s="5" t="s">
        <v>365</v>
      </c>
      <c r="E34" s="104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07"/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  <c r="R34" s="6" t="s">
        <v>24</v>
      </c>
      <c r="S34" s="104"/>
      <c r="T34" s="6" t="s">
        <v>24</v>
      </c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104"/>
      <c r="AA34" s="6"/>
      <c r="AB34" s="6" t="s">
        <v>407</v>
      </c>
      <c r="AC34" s="6"/>
      <c r="AD34" s="6"/>
      <c r="AE34" s="6"/>
      <c r="AF34" s="6"/>
      <c r="AG34" s="107"/>
      <c r="AH34" s="6"/>
      <c r="AI34" s="6"/>
      <c r="AJ34" s="4">
        <f t="shared" si="1"/>
        <v>18</v>
      </c>
      <c r="AK34" s="4">
        <f t="shared" si="2"/>
        <v>0</v>
      </c>
    </row>
    <row r="35" spans="1:37" ht="16.5">
      <c r="A35" s="7">
        <v>31</v>
      </c>
      <c r="B35" s="84" t="s">
        <v>351</v>
      </c>
      <c r="C35" s="84" t="s">
        <v>196</v>
      </c>
      <c r="D35" s="5" t="s">
        <v>365</v>
      </c>
      <c r="E35" s="104"/>
      <c r="F35" s="13" t="s">
        <v>24</v>
      </c>
      <c r="G35" s="13" t="s">
        <v>24</v>
      </c>
      <c r="H35" s="13" t="s">
        <v>24</v>
      </c>
      <c r="I35" s="13" t="s">
        <v>23</v>
      </c>
      <c r="J35" s="13" t="s">
        <v>24</v>
      </c>
      <c r="K35" s="13" t="s">
        <v>24</v>
      </c>
      <c r="L35" s="107"/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104"/>
      <c r="T35" s="6" t="s">
        <v>24</v>
      </c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104"/>
      <c r="AA35" s="6"/>
      <c r="AB35" s="6"/>
      <c r="AC35" s="6"/>
      <c r="AD35" s="6"/>
      <c r="AE35" s="6"/>
      <c r="AF35" s="6"/>
      <c r="AG35" s="107"/>
      <c r="AH35" s="6"/>
      <c r="AI35" s="6"/>
      <c r="AJ35" s="4">
        <f t="shared" si="1"/>
        <v>17</v>
      </c>
      <c r="AK35" s="4">
        <f t="shared" si="2"/>
        <v>1</v>
      </c>
    </row>
    <row r="36" spans="1:37" ht="16.5">
      <c r="A36" s="7">
        <v>32</v>
      </c>
      <c r="B36" s="84" t="s">
        <v>73</v>
      </c>
      <c r="C36" s="84" t="s">
        <v>196</v>
      </c>
      <c r="D36" s="5" t="s">
        <v>365</v>
      </c>
      <c r="E36" s="104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07"/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  <c r="R36" s="6" t="s">
        <v>24</v>
      </c>
      <c r="S36" s="104"/>
      <c r="T36" s="6" t="s">
        <v>24</v>
      </c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104"/>
      <c r="AA36" s="6"/>
      <c r="AB36" s="6"/>
      <c r="AC36" s="6"/>
      <c r="AD36" s="6"/>
      <c r="AE36" s="6"/>
      <c r="AF36" s="6"/>
      <c r="AG36" s="107"/>
      <c r="AH36" s="6"/>
      <c r="AI36" s="6"/>
      <c r="AJ36" s="4">
        <f t="shared" si="1"/>
        <v>18</v>
      </c>
      <c r="AK36" s="4">
        <f t="shared" si="2"/>
        <v>0</v>
      </c>
    </row>
    <row r="37" spans="1:37" ht="16.5">
      <c r="A37" s="7">
        <v>33</v>
      </c>
      <c r="B37" s="84" t="s">
        <v>352</v>
      </c>
      <c r="C37" s="84" t="s">
        <v>353</v>
      </c>
      <c r="D37" s="5" t="s">
        <v>365</v>
      </c>
      <c r="E37" s="104"/>
      <c r="F37" s="13" t="s">
        <v>24</v>
      </c>
      <c r="G37" s="13" t="s">
        <v>24</v>
      </c>
      <c r="H37" s="13" t="s">
        <v>24</v>
      </c>
      <c r="I37" s="13" t="s">
        <v>23</v>
      </c>
      <c r="J37" s="13" t="s">
        <v>24</v>
      </c>
      <c r="K37" s="13" t="s">
        <v>24</v>
      </c>
      <c r="L37" s="107"/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104"/>
      <c r="T37" s="6" t="s">
        <v>24</v>
      </c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104"/>
      <c r="AA37" s="6"/>
      <c r="AB37" s="6"/>
      <c r="AC37" s="6"/>
      <c r="AD37" s="6"/>
      <c r="AE37" s="6"/>
      <c r="AF37" s="6"/>
      <c r="AG37" s="107"/>
      <c r="AH37" s="6"/>
      <c r="AI37" s="6"/>
      <c r="AJ37" s="4">
        <f t="shared" si="1"/>
        <v>17</v>
      </c>
      <c r="AK37" s="4">
        <f t="shared" ref="AK37:AK40" si="3">COUNTIF(E37:AI37,"A")</f>
        <v>1</v>
      </c>
    </row>
    <row r="38" spans="1:37" ht="16.5">
      <c r="A38" s="7">
        <v>34</v>
      </c>
      <c r="B38" s="84" t="s">
        <v>354</v>
      </c>
      <c r="C38" s="84" t="s">
        <v>273</v>
      </c>
      <c r="D38" s="5" t="s">
        <v>365</v>
      </c>
      <c r="E38" s="104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07"/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104"/>
      <c r="T38" s="6" t="s">
        <v>24</v>
      </c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104"/>
      <c r="AA38" s="6"/>
      <c r="AB38" s="6"/>
      <c r="AC38" s="6"/>
      <c r="AD38" s="6"/>
      <c r="AE38" s="6"/>
      <c r="AF38" s="6"/>
      <c r="AG38" s="107"/>
      <c r="AH38" s="6"/>
      <c r="AI38" s="6"/>
      <c r="AJ38" s="4">
        <f t="shared" si="1"/>
        <v>18</v>
      </c>
      <c r="AK38" s="4">
        <f t="shared" si="3"/>
        <v>0</v>
      </c>
    </row>
    <row r="39" spans="1:37" ht="16.5">
      <c r="A39" s="7">
        <v>35</v>
      </c>
      <c r="B39" s="84" t="s">
        <v>355</v>
      </c>
      <c r="C39" s="84" t="s">
        <v>277</v>
      </c>
      <c r="D39" s="5" t="s">
        <v>365</v>
      </c>
      <c r="E39" s="104"/>
      <c r="F39" s="13" t="s">
        <v>24</v>
      </c>
      <c r="G39" s="13" t="s">
        <v>23</v>
      </c>
      <c r="H39" s="13" t="s">
        <v>24</v>
      </c>
      <c r="I39" s="13" t="s">
        <v>24</v>
      </c>
      <c r="J39" s="13" t="s">
        <v>24</v>
      </c>
      <c r="K39" s="13" t="s">
        <v>24</v>
      </c>
      <c r="L39" s="107"/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104"/>
      <c r="T39" s="6" t="s">
        <v>24</v>
      </c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104"/>
      <c r="AA39" s="6"/>
      <c r="AB39" s="6"/>
      <c r="AC39" s="6"/>
      <c r="AD39" s="6"/>
      <c r="AE39" s="6"/>
      <c r="AF39" s="6"/>
      <c r="AG39" s="107"/>
      <c r="AH39" s="6"/>
      <c r="AI39" s="6"/>
      <c r="AJ39" s="4">
        <f t="shared" si="1"/>
        <v>17</v>
      </c>
      <c r="AK39" s="4">
        <f t="shared" si="3"/>
        <v>1</v>
      </c>
    </row>
    <row r="40" spans="1:37" ht="16.5">
      <c r="A40" s="7">
        <v>36</v>
      </c>
      <c r="B40" s="84" t="s">
        <v>356</v>
      </c>
      <c r="C40" s="84" t="s">
        <v>357</v>
      </c>
      <c r="D40" s="5" t="s">
        <v>365</v>
      </c>
      <c r="E40" s="104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07"/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104"/>
      <c r="T40" s="6" t="s">
        <v>24</v>
      </c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104"/>
      <c r="AA40" s="6"/>
      <c r="AB40" s="6"/>
      <c r="AC40" s="6"/>
      <c r="AD40" s="6"/>
      <c r="AE40" s="6"/>
      <c r="AF40" s="6"/>
      <c r="AG40" s="107"/>
      <c r="AH40" s="6"/>
      <c r="AI40" s="6"/>
      <c r="AJ40" s="4">
        <f t="shared" si="1"/>
        <v>18</v>
      </c>
      <c r="AK40" s="4">
        <f t="shared" si="3"/>
        <v>0</v>
      </c>
    </row>
    <row r="41" spans="1:37" ht="15.75" customHeight="1">
      <c r="A41" s="85"/>
      <c r="B41" s="84" t="s">
        <v>358</v>
      </c>
      <c r="C41" s="84" t="s">
        <v>196</v>
      </c>
      <c r="D41" s="5" t="s">
        <v>365</v>
      </c>
      <c r="E41" s="104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07"/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104"/>
      <c r="T41" s="6" t="s">
        <v>24</v>
      </c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104"/>
      <c r="AA41" s="85"/>
      <c r="AB41" s="85"/>
      <c r="AC41" s="85"/>
      <c r="AD41" s="85"/>
      <c r="AE41" s="85"/>
      <c r="AF41" s="85"/>
      <c r="AG41" s="107"/>
      <c r="AH41" s="85"/>
      <c r="AI41" s="85"/>
      <c r="AJ41" s="85"/>
      <c r="AK41" s="85"/>
    </row>
    <row r="42" spans="1:37" ht="16.5">
      <c r="A42" s="85"/>
      <c r="B42" s="84" t="s">
        <v>359</v>
      </c>
      <c r="C42" s="84" t="s">
        <v>360</v>
      </c>
      <c r="D42" s="5" t="s">
        <v>365</v>
      </c>
      <c r="E42" s="104"/>
      <c r="F42" s="13" t="s">
        <v>24</v>
      </c>
      <c r="G42" s="13" t="s">
        <v>24</v>
      </c>
      <c r="H42" s="13" t="s">
        <v>24</v>
      </c>
      <c r="I42" s="13" t="s">
        <v>23</v>
      </c>
      <c r="J42" s="13" t="s">
        <v>24</v>
      </c>
      <c r="K42" s="13" t="s">
        <v>24</v>
      </c>
      <c r="L42" s="107"/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  <c r="R42" s="6" t="s">
        <v>24</v>
      </c>
      <c r="S42" s="104"/>
      <c r="T42" s="6" t="s">
        <v>24</v>
      </c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104"/>
      <c r="AA42" s="85"/>
      <c r="AB42" s="85"/>
      <c r="AC42" s="85"/>
      <c r="AD42" s="85"/>
      <c r="AE42" s="85"/>
      <c r="AF42" s="85"/>
      <c r="AG42" s="107"/>
      <c r="AH42" s="85"/>
      <c r="AI42" s="85"/>
      <c r="AJ42" s="85"/>
      <c r="AK42" s="85"/>
    </row>
    <row r="43" spans="1:37" ht="16.5">
      <c r="A43" s="85"/>
      <c r="B43" s="84" t="s">
        <v>361</v>
      </c>
      <c r="C43" s="84" t="s">
        <v>277</v>
      </c>
      <c r="D43" s="5" t="s">
        <v>365</v>
      </c>
      <c r="E43" s="104"/>
      <c r="F43" s="13" t="s">
        <v>24</v>
      </c>
      <c r="G43" s="13" t="s">
        <v>24</v>
      </c>
      <c r="H43" s="13" t="s">
        <v>24</v>
      </c>
      <c r="I43" s="13" t="s">
        <v>24</v>
      </c>
      <c r="J43" s="13" t="s">
        <v>24</v>
      </c>
      <c r="K43" s="13" t="s">
        <v>24</v>
      </c>
      <c r="L43" s="107"/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  <c r="R43" s="6" t="s">
        <v>24</v>
      </c>
      <c r="S43" s="104"/>
      <c r="T43" s="6" t="s">
        <v>24</v>
      </c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104"/>
      <c r="AA43" s="85"/>
      <c r="AB43" s="85"/>
      <c r="AC43" s="85"/>
      <c r="AD43" s="85"/>
      <c r="AE43" s="85"/>
      <c r="AF43" s="85"/>
      <c r="AG43" s="107"/>
      <c r="AH43" s="85"/>
      <c r="AI43" s="85"/>
      <c r="AJ43" s="85"/>
      <c r="AK43" s="85"/>
    </row>
    <row r="44" spans="1:37" ht="16.5">
      <c r="A44" s="85"/>
      <c r="B44" s="84" t="s">
        <v>362</v>
      </c>
      <c r="C44" s="84" t="s">
        <v>363</v>
      </c>
      <c r="D44" s="5" t="s">
        <v>365</v>
      </c>
      <c r="E44" s="104"/>
      <c r="F44" s="13" t="s">
        <v>23</v>
      </c>
      <c r="G44" s="13" t="s">
        <v>24</v>
      </c>
      <c r="H44" s="13" t="s">
        <v>24</v>
      </c>
      <c r="I44" s="13" t="s">
        <v>24</v>
      </c>
      <c r="J44" s="13" t="s">
        <v>24</v>
      </c>
      <c r="K44" s="13" t="s">
        <v>24</v>
      </c>
      <c r="L44" s="107"/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104"/>
      <c r="T44" s="6" t="s">
        <v>24</v>
      </c>
      <c r="U44" s="6" t="s">
        <v>24</v>
      </c>
      <c r="V44" s="6" t="s">
        <v>24</v>
      </c>
      <c r="W44" s="6" t="s">
        <v>24</v>
      </c>
      <c r="X44" s="6" t="s">
        <v>24</v>
      </c>
      <c r="Y44" s="6" t="s">
        <v>24</v>
      </c>
      <c r="Z44" s="104"/>
      <c r="AA44" s="85"/>
      <c r="AB44" s="85"/>
      <c r="AC44" s="85"/>
      <c r="AD44" s="85"/>
      <c r="AE44" s="85"/>
      <c r="AF44" s="85"/>
      <c r="AG44" s="107"/>
      <c r="AH44" s="85"/>
      <c r="AI44" s="85"/>
      <c r="AJ44" s="85"/>
      <c r="AK44" s="85"/>
    </row>
    <row r="45" spans="1:37" ht="16.5">
      <c r="A45" s="85"/>
      <c r="B45" s="84" t="s">
        <v>364</v>
      </c>
      <c r="C45" s="84" t="s">
        <v>198</v>
      </c>
      <c r="D45" s="5" t="s">
        <v>365</v>
      </c>
      <c r="E45" s="105"/>
      <c r="F45" s="13" t="s">
        <v>24</v>
      </c>
      <c r="G45" s="13" t="s">
        <v>24</v>
      </c>
      <c r="H45" s="13" t="s">
        <v>23</v>
      </c>
      <c r="I45" s="13" t="s">
        <v>24</v>
      </c>
      <c r="J45" s="13" t="s">
        <v>24</v>
      </c>
      <c r="K45" s="13" t="s">
        <v>24</v>
      </c>
      <c r="L45" s="108"/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105"/>
      <c r="T45" s="6" t="s">
        <v>24</v>
      </c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105"/>
      <c r="AA45" s="85"/>
      <c r="AB45" s="85"/>
      <c r="AC45" s="85"/>
      <c r="AD45" s="85"/>
      <c r="AE45" s="85"/>
      <c r="AF45" s="85"/>
      <c r="AG45" s="108"/>
      <c r="AH45" s="85"/>
      <c r="AI45" s="85"/>
      <c r="AJ45" s="85"/>
      <c r="AK45" s="85"/>
    </row>
  </sheetData>
  <mergeCells count="16"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  <mergeCell ref="E5:E45"/>
    <mergeCell ref="L5:L45"/>
    <mergeCell ref="S5:S45"/>
    <mergeCell ref="Z5:Z45"/>
    <mergeCell ref="AG5:AG45"/>
  </mergeCells>
  <conditionalFormatting sqref="AA6:AF31 F5:R5 T5:AF5 AH5:AI40 AA35:AF40 AA32:AA34 AC32:AF34 F6:K45 E3:AI4 M6:R45 T6:Y45">
    <cfRule type="expression" dxfId="186" priority="28">
      <formula>E$4=TODAY()</formula>
    </cfRule>
    <cfRule type="expression" dxfId="185" priority="31">
      <formula>E$3="Sun"</formula>
    </cfRule>
  </conditionalFormatting>
  <conditionalFormatting sqref="AA6:AF31 F5:R5 T5:AF5 AH5:AI40 AA35:AF40 AA32:AA34 AC32:AF34 F6:K45 M6:R45 T6:Y45">
    <cfRule type="cellIs" dxfId="184" priority="27" operator="equal">
      <formula>"L"</formula>
    </cfRule>
    <cfRule type="cellIs" dxfId="183" priority="29" operator="equal">
      <formula>"A"</formula>
    </cfRule>
    <cfRule type="cellIs" dxfId="182" priority="30" operator="equal">
      <formula>"P"</formula>
    </cfRule>
  </conditionalFormatting>
  <conditionalFormatting sqref="AJ3:AK3 AJ5:AK40">
    <cfRule type="expression" dxfId="181" priority="32">
      <formula>#REF!="Sun"</formula>
    </cfRule>
  </conditionalFormatting>
  <conditionalFormatting sqref="AL5:AL9">
    <cfRule type="expression" dxfId="180" priority="24">
      <formula>AL$3="Sun"</formula>
    </cfRule>
  </conditionalFormatting>
  <conditionalFormatting sqref="AL12:AL15">
    <cfRule type="expression" dxfId="179" priority="22">
      <formula>AL$3="Sun"</formula>
    </cfRule>
  </conditionalFormatting>
  <conditionalFormatting sqref="AL20:AL23">
    <cfRule type="expression" dxfId="178" priority="21">
      <formula>AL$3="Sun"</formula>
    </cfRule>
  </conditionalFormatting>
  <conditionalFormatting sqref="AL4:AM4">
    <cfRule type="expression" dxfId="177" priority="25">
      <formula>AL$3="Sun"</formula>
    </cfRule>
  </conditionalFormatting>
  <conditionalFormatting sqref="AM12:AO12 AM20:AO20">
    <cfRule type="expression" dxfId="176" priority="26">
      <formula>AM$3="Sun"</formula>
    </cfRule>
  </conditionalFormatting>
  <conditionalFormatting sqref="AO21">
    <cfRule type="expression" dxfId="175" priority="23">
      <formula>AO$3="Sun"</formula>
    </cfRule>
  </conditionalFormatting>
  <conditionalFormatting sqref="S5">
    <cfRule type="expression" dxfId="174" priority="17">
      <formula>S$4=TODAY()</formula>
    </cfRule>
    <cfRule type="expression" dxfId="173" priority="20">
      <formula>S$3="Sun"</formula>
    </cfRule>
  </conditionalFormatting>
  <conditionalFormatting sqref="S5">
    <cfRule type="cellIs" dxfId="172" priority="16" operator="equal">
      <formula>"L"</formula>
    </cfRule>
    <cfRule type="cellIs" dxfId="171" priority="18" operator="equal">
      <formula>"A"</formula>
    </cfRule>
    <cfRule type="cellIs" dxfId="170" priority="19" operator="equal">
      <formula>"P"</formula>
    </cfRule>
  </conditionalFormatting>
  <conditionalFormatting sqref="E5">
    <cfRule type="expression" dxfId="169" priority="12">
      <formula>E$4=TODAY()</formula>
    </cfRule>
    <cfRule type="expression" dxfId="168" priority="15">
      <formula>E$3="Sun"</formula>
    </cfRule>
  </conditionalFormatting>
  <conditionalFormatting sqref="E5">
    <cfRule type="cellIs" dxfId="167" priority="11" operator="equal">
      <formula>"L"</formula>
    </cfRule>
    <cfRule type="cellIs" dxfId="166" priority="13" operator="equal">
      <formula>"A"</formula>
    </cfRule>
    <cfRule type="cellIs" dxfId="165" priority="14" operator="equal">
      <formula>"P"</formula>
    </cfRule>
  </conditionalFormatting>
  <conditionalFormatting sqref="AG5">
    <cfRule type="expression" dxfId="164" priority="7">
      <formula>AG$4=TODAY()</formula>
    </cfRule>
    <cfRule type="expression" dxfId="163" priority="10">
      <formula>AG$3="Sun"</formula>
    </cfRule>
  </conditionalFormatting>
  <conditionalFormatting sqref="AG5">
    <cfRule type="cellIs" dxfId="162" priority="6" operator="equal">
      <formula>"L"</formula>
    </cfRule>
    <cfRule type="cellIs" dxfId="161" priority="8" operator="equal">
      <formula>"A"</formula>
    </cfRule>
    <cfRule type="cellIs" dxfId="160" priority="9" operator="equal">
      <formula>"P"</formula>
    </cfRule>
  </conditionalFormatting>
  <conditionalFormatting sqref="AB32:AB34">
    <cfRule type="expression" dxfId="159" priority="2">
      <formula>AB$4=TODAY()</formula>
    </cfRule>
    <cfRule type="expression" dxfId="158" priority="5">
      <formula>AB$3="Sun"</formula>
    </cfRule>
  </conditionalFormatting>
  <conditionalFormatting sqref="AB32:AB34">
    <cfRule type="cellIs" dxfId="157" priority="1" operator="equal">
      <formula>"L"</formula>
    </cfRule>
    <cfRule type="cellIs" dxfId="156" priority="3" operator="equal">
      <formula>"A"</formula>
    </cfRule>
    <cfRule type="cellIs" dxfId="155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O54"/>
  <sheetViews>
    <sheetView zoomScaleNormal="100" workbookViewId="0">
      <selection sqref="A1:AI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251</v>
      </c>
      <c r="C5" s="80" t="s">
        <v>61</v>
      </c>
      <c r="D5" s="5" t="s">
        <v>45</v>
      </c>
      <c r="E5" s="103" t="s">
        <v>27</v>
      </c>
      <c r="F5" s="13" t="s">
        <v>24</v>
      </c>
      <c r="G5" s="13" t="s">
        <v>24</v>
      </c>
      <c r="H5" s="13" t="s">
        <v>24</v>
      </c>
      <c r="I5" s="13" t="s">
        <v>24</v>
      </c>
      <c r="J5" s="13" t="s">
        <v>24</v>
      </c>
      <c r="K5" s="13" t="s">
        <v>24</v>
      </c>
      <c r="L5" s="106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103" t="s">
        <v>27</v>
      </c>
      <c r="T5" s="6" t="s">
        <v>23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103" t="s">
        <v>27</v>
      </c>
      <c r="AA5" s="6"/>
      <c r="AB5" s="6"/>
      <c r="AC5" s="6"/>
      <c r="AD5" s="6"/>
      <c r="AE5" s="6"/>
      <c r="AF5" s="6"/>
      <c r="AG5" s="103" t="s">
        <v>27</v>
      </c>
      <c r="AH5" s="6"/>
      <c r="AI5" s="6"/>
      <c r="AJ5" s="4">
        <f t="shared" ref="AJ5:AJ40" si="1">COUNTIF(E5:AI5,"P")</f>
        <v>17</v>
      </c>
      <c r="AK5" s="4">
        <f t="shared" ref="AK5:AK36" si="2">COUNTIF(E5:AI5,"A")</f>
        <v>1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0" t="s">
        <v>252</v>
      </c>
      <c r="C6" s="80" t="s">
        <v>253</v>
      </c>
      <c r="D6" s="5" t="s">
        <v>45</v>
      </c>
      <c r="E6" s="104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107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104"/>
      <c r="T6" s="6" t="s">
        <v>24</v>
      </c>
      <c r="U6" s="6" t="s">
        <v>24</v>
      </c>
      <c r="V6" s="6" t="s">
        <v>23</v>
      </c>
      <c r="W6" s="6" t="s">
        <v>24</v>
      </c>
      <c r="X6" s="6" t="s">
        <v>24</v>
      </c>
      <c r="Y6" s="6" t="s">
        <v>24</v>
      </c>
      <c r="Z6" s="104"/>
      <c r="AA6" s="6"/>
      <c r="AB6" s="6"/>
      <c r="AC6" s="6"/>
      <c r="AD6" s="6"/>
      <c r="AE6" s="6"/>
      <c r="AF6" s="6"/>
      <c r="AG6" s="104"/>
      <c r="AH6" s="6"/>
      <c r="AI6" s="6"/>
      <c r="AJ6" s="4">
        <f t="shared" si="1"/>
        <v>17</v>
      </c>
      <c r="AK6" s="4">
        <f t="shared" si="2"/>
        <v>1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0" t="s">
        <v>254</v>
      </c>
      <c r="C7" s="80" t="s">
        <v>255</v>
      </c>
      <c r="D7" s="5" t="s">
        <v>45</v>
      </c>
      <c r="E7" s="104"/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107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104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104"/>
      <c r="AA7" s="6"/>
      <c r="AB7" s="6"/>
      <c r="AC7" s="6"/>
      <c r="AD7" s="6"/>
      <c r="AE7" s="6"/>
      <c r="AF7" s="6"/>
      <c r="AG7" s="104"/>
      <c r="AH7" s="6"/>
      <c r="AI7" s="6"/>
      <c r="AJ7" s="4">
        <f t="shared" si="1"/>
        <v>18</v>
      </c>
      <c r="AK7" s="4">
        <f t="shared" si="2"/>
        <v>0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0" t="s">
        <v>256</v>
      </c>
      <c r="C8" s="80" t="s">
        <v>257</v>
      </c>
      <c r="D8" s="5" t="s">
        <v>45</v>
      </c>
      <c r="E8" s="104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107"/>
      <c r="M8" s="6" t="s">
        <v>24</v>
      </c>
      <c r="N8" s="6" t="s">
        <v>24</v>
      </c>
      <c r="O8" s="6" t="s">
        <v>24</v>
      </c>
      <c r="P8" s="6" t="s">
        <v>23</v>
      </c>
      <c r="Q8" s="6" t="s">
        <v>24</v>
      </c>
      <c r="R8" s="6" t="s">
        <v>24</v>
      </c>
      <c r="S8" s="104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104"/>
      <c r="AA8" s="6"/>
      <c r="AB8" s="6"/>
      <c r="AC8" s="6"/>
      <c r="AD8" s="6"/>
      <c r="AE8" s="6"/>
      <c r="AF8" s="6"/>
      <c r="AG8" s="104"/>
      <c r="AH8" s="6"/>
      <c r="AI8" s="6"/>
      <c r="AJ8" s="4">
        <f t="shared" si="1"/>
        <v>17</v>
      </c>
      <c r="AK8" s="4">
        <f t="shared" si="2"/>
        <v>1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0" t="s">
        <v>258</v>
      </c>
      <c r="C9" s="80" t="s">
        <v>259</v>
      </c>
      <c r="D9" s="5" t="s">
        <v>45</v>
      </c>
      <c r="E9" s="104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07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104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104"/>
      <c r="AA9" s="6"/>
      <c r="AB9" s="6"/>
      <c r="AC9" s="6"/>
      <c r="AD9" s="6"/>
      <c r="AE9" s="6"/>
      <c r="AF9" s="6"/>
      <c r="AG9" s="104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0" t="s">
        <v>260</v>
      </c>
      <c r="C10" s="80" t="s">
        <v>259</v>
      </c>
      <c r="D10" s="5" t="s">
        <v>45</v>
      </c>
      <c r="E10" s="104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107"/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104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104"/>
      <c r="AA10" s="6"/>
      <c r="AB10" s="6"/>
      <c r="AC10" s="6"/>
      <c r="AD10" s="6"/>
      <c r="AE10" s="6"/>
      <c r="AF10" s="6"/>
      <c r="AG10" s="104"/>
      <c r="AH10" s="6"/>
      <c r="AI10" s="6"/>
      <c r="AJ10" s="4">
        <f t="shared" si="1"/>
        <v>18</v>
      </c>
      <c r="AK10" s="4">
        <f t="shared" si="2"/>
        <v>0</v>
      </c>
    </row>
    <row r="11" spans="1:41" ht="16.5">
      <c r="A11" s="7">
        <v>7</v>
      </c>
      <c r="B11" s="80" t="s">
        <v>76</v>
      </c>
      <c r="C11" s="80" t="s">
        <v>261</v>
      </c>
      <c r="D11" s="5" t="s">
        <v>45</v>
      </c>
      <c r="E11" s="104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07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104"/>
      <c r="T11" s="6" t="s">
        <v>24</v>
      </c>
      <c r="U11" s="6" t="s">
        <v>24</v>
      </c>
      <c r="V11" s="6" t="s">
        <v>23</v>
      </c>
      <c r="W11" s="6" t="s">
        <v>24</v>
      </c>
      <c r="X11" s="6" t="s">
        <v>24</v>
      </c>
      <c r="Y11" s="6" t="s">
        <v>24</v>
      </c>
      <c r="Z11" s="104"/>
      <c r="AA11" s="6"/>
      <c r="AB11" s="6"/>
      <c r="AC11" s="6"/>
      <c r="AD11" s="6"/>
      <c r="AE11" s="6"/>
      <c r="AF11" s="6"/>
      <c r="AG11" s="104"/>
      <c r="AH11" s="6"/>
      <c r="AI11" s="6"/>
      <c r="AJ11" s="4">
        <f t="shared" si="1"/>
        <v>17</v>
      </c>
      <c r="AK11" s="4">
        <f t="shared" si="2"/>
        <v>1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0" t="s">
        <v>79</v>
      </c>
      <c r="C12" s="80" t="s">
        <v>262</v>
      </c>
      <c r="D12" s="5" t="s">
        <v>45</v>
      </c>
      <c r="E12" s="104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07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104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104"/>
      <c r="AA12" s="6"/>
      <c r="AB12" s="6"/>
      <c r="AC12" s="6"/>
      <c r="AD12" s="6"/>
      <c r="AE12" s="6"/>
      <c r="AF12" s="6"/>
      <c r="AG12" s="104"/>
      <c r="AH12" s="6"/>
      <c r="AI12" s="6"/>
      <c r="AJ12" s="4">
        <f t="shared" si="1"/>
        <v>18</v>
      </c>
      <c r="AK12" s="4">
        <f t="shared" si="2"/>
        <v>0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263</v>
      </c>
      <c r="C13" s="80" t="s">
        <v>238</v>
      </c>
      <c r="D13" s="5" t="s">
        <v>45</v>
      </c>
      <c r="E13" s="104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07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104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104"/>
      <c r="AA13" s="6"/>
      <c r="AB13" s="6"/>
      <c r="AC13" s="6"/>
      <c r="AD13" s="6"/>
      <c r="AE13" s="6"/>
      <c r="AF13" s="6"/>
      <c r="AG13" s="104"/>
      <c r="AH13" s="6"/>
      <c r="AI13" s="6"/>
      <c r="AJ13" s="4">
        <f t="shared" si="1"/>
        <v>18</v>
      </c>
      <c r="AK13" s="4">
        <f t="shared" si="2"/>
        <v>0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0" t="s">
        <v>264</v>
      </c>
      <c r="C14" s="80" t="s">
        <v>133</v>
      </c>
      <c r="D14" s="5" t="s">
        <v>45</v>
      </c>
      <c r="E14" s="104"/>
      <c r="F14" s="13" t="s">
        <v>24</v>
      </c>
      <c r="G14" s="13" t="s">
        <v>24</v>
      </c>
      <c r="H14" s="13" t="s">
        <v>24</v>
      </c>
      <c r="I14" s="13" t="s">
        <v>23</v>
      </c>
      <c r="J14" s="13" t="s">
        <v>24</v>
      </c>
      <c r="K14" s="13" t="s">
        <v>24</v>
      </c>
      <c r="L14" s="107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104"/>
      <c r="T14" s="6" t="s">
        <v>24</v>
      </c>
      <c r="U14" s="6" t="s">
        <v>24</v>
      </c>
      <c r="V14" s="6" t="s">
        <v>23</v>
      </c>
      <c r="W14" s="6" t="s">
        <v>24</v>
      </c>
      <c r="X14" s="6" t="s">
        <v>24</v>
      </c>
      <c r="Y14" s="6" t="s">
        <v>24</v>
      </c>
      <c r="Z14" s="104"/>
      <c r="AA14" s="6"/>
      <c r="AB14" s="6"/>
      <c r="AC14" s="6"/>
      <c r="AD14" s="6"/>
      <c r="AE14" s="6"/>
      <c r="AF14" s="6"/>
      <c r="AG14" s="104"/>
      <c r="AH14" s="6"/>
      <c r="AI14" s="6"/>
      <c r="AJ14" s="4">
        <f t="shared" si="1"/>
        <v>16</v>
      </c>
      <c r="AK14" s="4">
        <f t="shared" si="2"/>
        <v>2</v>
      </c>
      <c r="AL14" s="83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265</v>
      </c>
      <c r="C15" s="80" t="s">
        <v>259</v>
      </c>
      <c r="D15" s="5" t="s">
        <v>45</v>
      </c>
      <c r="E15" s="104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07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104"/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104"/>
      <c r="AA15" s="6"/>
      <c r="AB15" s="6"/>
      <c r="AC15" s="6"/>
      <c r="AD15" s="6"/>
      <c r="AE15" s="6"/>
      <c r="AF15" s="6"/>
      <c r="AG15" s="104"/>
      <c r="AH15" s="6"/>
      <c r="AI15" s="6"/>
      <c r="AJ15" s="4">
        <f t="shared" si="1"/>
        <v>18</v>
      </c>
      <c r="AK15" s="4">
        <f t="shared" si="2"/>
        <v>0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266</v>
      </c>
      <c r="C16" s="80" t="s">
        <v>260</v>
      </c>
      <c r="D16" s="5" t="s">
        <v>45</v>
      </c>
      <c r="E16" s="104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07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104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104"/>
      <c r="AA16" s="6"/>
      <c r="AB16" s="6"/>
      <c r="AC16" s="6"/>
      <c r="AD16" s="6"/>
      <c r="AE16" s="6"/>
      <c r="AF16" s="6"/>
      <c r="AG16" s="104"/>
      <c r="AH16" s="6"/>
      <c r="AI16" s="6"/>
      <c r="AJ16" s="4">
        <f t="shared" si="1"/>
        <v>18</v>
      </c>
      <c r="AK16" s="4">
        <f t="shared" si="2"/>
        <v>0</v>
      </c>
      <c r="AL16"/>
      <c r="AM16"/>
      <c r="AN16"/>
      <c r="AO16"/>
    </row>
    <row r="17" spans="1:41" ht="16.5">
      <c r="A17" s="7">
        <v>13</v>
      </c>
      <c r="B17" s="80" t="s">
        <v>267</v>
      </c>
      <c r="C17" s="80" t="s">
        <v>268</v>
      </c>
      <c r="D17" s="5" t="s">
        <v>45</v>
      </c>
      <c r="E17" s="104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07"/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  <c r="R17" s="6" t="s">
        <v>24</v>
      </c>
      <c r="S17" s="104"/>
      <c r="T17" s="6" t="s">
        <v>24</v>
      </c>
      <c r="U17" s="6" t="s">
        <v>24</v>
      </c>
      <c r="V17" s="6" t="s">
        <v>23</v>
      </c>
      <c r="W17" s="6" t="s">
        <v>24</v>
      </c>
      <c r="X17" s="6" t="s">
        <v>24</v>
      </c>
      <c r="Y17" s="6" t="s">
        <v>24</v>
      </c>
      <c r="Z17" s="104"/>
      <c r="AA17" s="6"/>
      <c r="AB17" s="6"/>
      <c r="AC17" s="6"/>
      <c r="AD17" s="6"/>
      <c r="AE17" s="6"/>
      <c r="AF17" s="6"/>
      <c r="AG17" s="104"/>
      <c r="AH17" s="6"/>
      <c r="AI17" s="6"/>
      <c r="AJ17" s="4">
        <f t="shared" si="1"/>
        <v>17</v>
      </c>
      <c r="AK17" s="4">
        <f t="shared" si="2"/>
        <v>1</v>
      </c>
      <c r="AL17"/>
      <c r="AM17"/>
      <c r="AN17"/>
      <c r="AO17"/>
    </row>
    <row r="18" spans="1:41" ht="16.5">
      <c r="A18" s="7">
        <v>14</v>
      </c>
      <c r="B18" s="80" t="s">
        <v>269</v>
      </c>
      <c r="C18" s="80" t="s">
        <v>270</v>
      </c>
      <c r="D18" s="5" t="s">
        <v>45</v>
      </c>
      <c r="E18" s="104"/>
      <c r="F18" s="13" t="s">
        <v>24</v>
      </c>
      <c r="G18" s="13" t="s">
        <v>24</v>
      </c>
      <c r="H18" s="13" t="s">
        <v>24</v>
      </c>
      <c r="I18" s="13" t="s">
        <v>23</v>
      </c>
      <c r="J18" s="13" t="s">
        <v>24</v>
      </c>
      <c r="K18" s="13" t="s">
        <v>24</v>
      </c>
      <c r="L18" s="107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104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104"/>
      <c r="AA18" s="6"/>
      <c r="AB18" s="6"/>
      <c r="AC18" s="6"/>
      <c r="AD18" s="6"/>
      <c r="AE18" s="6"/>
      <c r="AF18" s="6"/>
      <c r="AG18" s="104"/>
      <c r="AH18" s="6"/>
      <c r="AI18" s="6"/>
      <c r="AJ18" s="4">
        <f t="shared" si="1"/>
        <v>17</v>
      </c>
      <c r="AK18" s="4">
        <f t="shared" si="2"/>
        <v>1</v>
      </c>
      <c r="AL18"/>
      <c r="AM18"/>
      <c r="AN18"/>
      <c r="AO18"/>
    </row>
    <row r="19" spans="1:41" ht="16.5">
      <c r="A19" s="7">
        <v>15</v>
      </c>
      <c r="B19" s="80" t="s">
        <v>271</v>
      </c>
      <c r="C19" s="80" t="s">
        <v>162</v>
      </c>
      <c r="D19" s="5" t="s">
        <v>45</v>
      </c>
      <c r="E19" s="104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07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104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104"/>
      <c r="AA19" s="6"/>
      <c r="AB19" s="6"/>
      <c r="AC19" s="6"/>
      <c r="AD19" s="6"/>
      <c r="AE19" s="6"/>
      <c r="AF19" s="6"/>
      <c r="AG19" s="104"/>
      <c r="AH19" s="6"/>
      <c r="AI19" s="6"/>
      <c r="AJ19" s="4">
        <f t="shared" si="1"/>
        <v>18</v>
      </c>
      <c r="AK19" s="4">
        <f t="shared" si="2"/>
        <v>0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0" t="s">
        <v>272</v>
      </c>
      <c r="C20" s="80" t="s">
        <v>35</v>
      </c>
      <c r="D20" s="5" t="s">
        <v>45</v>
      </c>
      <c r="E20" s="104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07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104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104"/>
      <c r="AA20" s="6"/>
      <c r="AB20" s="6"/>
      <c r="AC20" s="6"/>
      <c r="AD20" s="6"/>
      <c r="AE20" s="6"/>
      <c r="AF20" s="6"/>
      <c r="AG20" s="104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114</v>
      </c>
      <c r="C21" s="80" t="s">
        <v>273</v>
      </c>
      <c r="D21" s="5" t="s">
        <v>45</v>
      </c>
      <c r="E21" s="104"/>
      <c r="F21" s="13" t="s">
        <v>24</v>
      </c>
      <c r="G21" s="13" t="s">
        <v>24</v>
      </c>
      <c r="H21" s="13" t="s">
        <v>24</v>
      </c>
      <c r="I21" s="13" t="s">
        <v>23</v>
      </c>
      <c r="J21" s="13" t="s">
        <v>24</v>
      </c>
      <c r="K21" s="13" t="s">
        <v>24</v>
      </c>
      <c r="L21" s="107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104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104"/>
      <c r="AA21" s="6"/>
      <c r="AB21" s="6"/>
      <c r="AC21" s="6"/>
      <c r="AD21" s="6"/>
      <c r="AE21" s="6"/>
      <c r="AF21" s="6"/>
      <c r="AG21" s="104"/>
      <c r="AH21" s="6"/>
      <c r="AI21" s="6"/>
      <c r="AJ21" s="4">
        <f t="shared" si="1"/>
        <v>17</v>
      </c>
      <c r="AK21" s="4">
        <f t="shared" si="2"/>
        <v>1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0" t="s">
        <v>274</v>
      </c>
      <c r="C22" s="80" t="s">
        <v>101</v>
      </c>
      <c r="D22" s="5" t="s">
        <v>45</v>
      </c>
      <c r="E22" s="104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07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104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104"/>
      <c r="AA22" s="6"/>
      <c r="AB22" s="6"/>
      <c r="AC22" s="6"/>
      <c r="AD22" s="6"/>
      <c r="AE22" s="6"/>
      <c r="AF22" s="6"/>
      <c r="AG22" s="104"/>
      <c r="AH22" s="6"/>
      <c r="AI22" s="6"/>
      <c r="AJ22" s="4">
        <f t="shared" si="1"/>
        <v>18</v>
      </c>
      <c r="AK22" s="4">
        <f t="shared" si="2"/>
        <v>0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0" t="s">
        <v>229</v>
      </c>
      <c r="C23" s="80" t="s">
        <v>275</v>
      </c>
      <c r="D23" s="5" t="s">
        <v>45</v>
      </c>
      <c r="E23" s="104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07"/>
      <c r="M23" s="6" t="s">
        <v>24</v>
      </c>
      <c r="N23" s="6" t="s">
        <v>24</v>
      </c>
      <c r="O23" s="6" t="s">
        <v>23</v>
      </c>
      <c r="P23" s="6" t="s">
        <v>24</v>
      </c>
      <c r="Q23" s="6" t="s">
        <v>24</v>
      </c>
      <c r="R23" s="6" t="s">
        <v>24</v>
      </c>
      <c r="S23" s="104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104"/>
      <c r="AA23" s="6"/>
      <c r="AB23" s="6"/>
      <c r="AC23" s="6"/>
      <c r="AD23" s="6"/>
      <c r="AE23" s="6"/>
      <c r="AF23" s="6"/>
      <c r="AG23" s="104"/>
      <c r="AH23" s="6"/>
      <c r="AI23" s="6"/>
      <c r="AJ23" s="4">
        <f t="shared" si="1"/>
        <v>17</v>
      </c>
      <c r="AK23" s="4">
        <f t="shared" si="2"/>
        <v>1</v>
      </c>
      <c r="AL23" s="83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0" t="s">
        <v>196</v>
      </c>
      <c r="C24" s="80" t="s">
        <v>275</v>
      </c>
      <c r="D24" s="5" t="s">
        <v>45</v>
      </c>
      <c r="E24" s="104"/>
      <c r="F24" s="13" t="s">
        <v>24</v>
      </c>
      <c r="G24" s="13" t="s">
        <v>24</v>
      </c>
      <c r="H24" s="13" t="s">
        <v>24</v>
      </c>
      <c r="I24" s="13" t="s">
        <v>23</v>
      </c>
      <c r="J24" s="13" t="s">
        <v>24</v>
      </c>
      <c r="K24" s="13" t="s">
        <v>24</v>
      </c>
      <c r="L24" s="107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104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104"/>
      <c r="AA24" s="6"/>
      <c r="AB24" s="6"/>
      <c r="AC24" s="6"/>
      <c r="AD24" s="6"/>
      <c r="AE24" s="6"/>
      <c r="AF24" s="6"/>
      <c r="AG24" s="104"/>
      <c r="AH24" s="6"/>
      <c r="AI24" s="6"/>
      <c r="AJ24" s="4">
        <f t="shared" si="1"/>
        <v>17</v>
      </c>
      <c r="AK24" s="4">
        <f t="shared" si="2"/>
        <v>1</v>
      </c>
    </row>
    <row r="25" spans="1:41" ht="16.5">
      <c r="A25" s="7">
        <v>21</v>
      </c>
      <c r="B25" s="80" t="s">
        <v>276</v>
      </c>
      <c r="C25" s="80" t="s">
        <v>41</v>
      </c>
      <c r="D25" s="5" t="s">
        <v>45</v>
      </c>
      <c r="E25" s="104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07"/>
      <c r="M25" s="6" t="s">
        <v>24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104"/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104"/>
      <c r="AA25" s="6"/>
      <c r="AB25" s="6"/>
      <c r="AC25" s="6"/>
      <c r="AD25" s="6"/>
      <c r="AE25" s="6"/>
      <c r="AF25" s="6"/>
      <c r="AG25" s="104"/>
      <c r="AH25" s="6"/>
      <c r="AI25" s="6"/>
      <c r="AJ25" s="4">
        <f t="shared" si="1"/>
        <v>18</v>
      </c>
      <c r="AK25" s="4">
        <f t="shared" si="2"/>
        <v>0</v>
      </c>
    </row>
    <row r="26" spans="1:41" ht="16.5">
      <c r="A26" s="7">
        <v>22</v>
      </c>
      <c r="B26" s="80" t="s">
        <v>277</v>
      </c>
      <c r="C26" s="80" t="s">
        <v>278</v>
      </c>
      <c r="D26" s="5" t="s">
        <v>45</v>
      </c>
      <c r="E26" s="104"/>
      <c r="F26" s="13" t="s">
        <v>24</v>
      </c>
      <c r="G26" s="13" t="s">
        <v>24</v>
      </c>
      <c r="H26" s="13" t="s">
        <v>24</v>
      </c>
      <c r="I26" s="13" t="s">
        <v>23</v>
      </c>
      <c r="J26" s="13" t="s">
        <v>24</v>
      </c>
      <c r="K26" s="13" t="s">
        <v>24</v>
      </c>
      <c r="L26" s="107"/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104"/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104"/>
      <c r="AA26" s="6"/>
      <c r="AB26" s="6"/>
      <c r="AC26" s="6"/>
      <c r="AD26" s="6"/>
      <c r="AE26" s="6"/>
      <c r="AF26" s="6"/>
      <c r="AG26" s="104"/>
      <c r="AH26" s="6"/>
      <c r="AI26" s="6"/>
      <c r="AJ26" s="4">
        <f t="shared" si="1"/>
        <v>17</v>
      </c>
      <c r="AK26" s="4">
        <f t="shared" si="2"/>
        <v>1</v>
      </c>
    </row>
    <row r="27" spans="1:41" ht="16.5">
      <c r="A27" s="7">
        <v>23</v>
      </c>
      <c r="B27" s="80" t="s">
        <v>269</v>
      </c>
      <c r="C27" s="80" t="s">
        <v>278</v>
      </c>
      <c r="D27" s="5" t="s">
        <v>45</v>
      </c>
      <c r="E27" s="104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07"/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104"/>
      <c r="T27" s="6" t="s">
        <v>24</v>
      </c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104"/>
      <c r="AA27" s="6"/>
      <c r="AB27" s="6"/>
      <c r="AC27" s="6"/>
      <c r="AD27" s="6"/>
      <c r="AE27" s="6"/>
      <c r="AF27" s="6"/>
      <c r="AG27" s="104"/>
      <c r="AH27" s="6"/>
      <c r="AI27" s="6"/>
      <c r="AJ27" s="4">
        <f t="shared" si="1"/>
        <v>18</v>
      </c>
      <c r="AK27" s="4">
        <f t="shared" si="2"/>
        <v>0</v>
      </c>
    </row>
    <row r="28" spans="1:41" ht="16.5">
      <c r="A28" s="7">
        <v>24</v>
      </c>
      <c r="B28" s="80" t="s">
        <v>279</v>
      </c>
      <c r="C28" s="80" t="s">
        <v>65</v>
      </c>
      <c r="D28" s="5" t="s">
        <v>45</v>
      </c>
      <c r="E28" s="104"/>
      <c r="F28" s="13" t="s">
        <v>24</v>
      </c>
      <c r="G28" s="13" t="s">
        <v>24</v>
      </c>
      <c r="H28" s="13" t="s">
        <v>24</v>
      </c>
      <c r="I28" s="13" t="s">
        <v>23</v>
      </c>
      <c r="J28" s="13" t="s">
        <v>24</v>
      </c>
      <c r="K28" s="13" t="s">
        <v>24</v>
      </c>
      <c r="L28" s="107"/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104"/>
      <c r="T28" s="6" t="s">
        <v>24</v>
      </c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104"/>
      <c r="AA28" s="6"/>
      <c r="AB28" s="6"/>
      <c r="AC28" s="6"/>
      <c r="AD28" s="6"/>
      <c r="AE28" s="6"/>
      <c r="AF28" s="6"/>
      <c r="AG28" s="104"/>
      <c r="AH28" s="6"/>
      <c r="AI28" s="6"/>
      <c r="AJ28" s="4">
        <f t="shared" si="1"/>
        <v>17</v>
      </c>
      <c r="AK28" s="4">
        <f t="shared" si="2"/>
        <v>1</v>
      </c>
    </row>
    <row r="29" spans="1:41" ht="16.5">
      <c r="A29" s="7">
        <v>25</v>
      </c>
      <c r="B29" s="80" t="s">
        <v>174</v>
      </c>
      <c r="C29" s="80" t="s">
        <v>280</v>
      </c>
      <c r="D29" s="5" t="s">
        <v>45</v>
      </c>
      <c r="E29" s="104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07"/>
      <c r="M29" s="6" t="s">
        <v>24</v>
      </c>
      <c r="N29" s="6" t="s">
        <v>24</v>
      </c>
      <c r="O29" s="6" t="s">
        <v>24</v>
      </c>
      <c r="P29" s="6" t="s">
        <v>24</v>
      </c>
      <c r="Q29" s="6" t="s">
        <v>24</v>
      </c>
      <c r="R29" s="6" t="s">
        <v>24</v>
      </c>
      <c r="S29" s="104"/>
      <c r="T29" s="6" t="s">
        <v>24</v>
      </c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104"/>
      <c r="AA29" s="6"/>
      <c r="AB29" s="6"/>
      <c r="AC29" s="6"/>
      <c r="AD29" s="6"/>
      <c r="AE29" s="6"/>
      <c r="AF29" s="6"/>
      <c r="AG29" s="104"/>
      <c r="AH29" s="6"/>
      <c r="AI29" s="6"/>
      <c r="AJ29" s="4">
        <f t="shared" si="1"/>
        <v>18</v>
      </c>
      <c r="AK29" s="4">
        <f t="shared" si="2"/>
        <v>0</v>
      </c>
    </row>
    <row r="30" spans="1:41" ht="16.5">
      <c r="A30" s="7">
        <v>26</v>
      </c>
      <c r="B30" s="80" t="s">
        <v>281</v>
      </c>
      <c r="C30" s="80" t="s">
        <v>282</v>
      </c>
      <c r="D30" s="5" t="s">
        <v>45</v>
      </c>
      <c r="E30" s="104"/>
      <c r="F30" s="13" t="s">
        <v>24</v>
      </c>
      <c r="G30" s="13" t="s">
        <v>24</v>
      </c>
      <c r="H30" s="13" t="s">
        <v>24</v>
      </c>
      <c r="I30" s="13" t="s">
        <v>23</v>
      </c>
      <c r="J30" s="13" t="s">
        <v>24</v>
      </c>
      <c r="K30" s="13" t="s">
        <v>24</v>
      </c>
      <c r="L30" s="107"/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104"/>
      <c r="T30" s="6" t="s">
        <v>24</v>
      </c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104"/>
      <c r="AA30" s="6"/>
      <c r="AB30" s="6"/>
      <c r="AC30" s="6"/>
      <c r="AD30" s="6"/>
      <c r="AE30" s="6"/>
      <c r="AF30" s="6"/>
      <c r="AG30" s="104"/>
      <c r="AH30" s="6"/>
      <c r="AI30" s="6"/>
      <c r="AJ30" s="4">
        <f t="shared" si="1"/>
        <v>17</v>
      </c>
      <c r="AK30" s="4">
        <f t="shared" si="2"/>
        <v>1</v>
      </c>
    </row>
    <row r="31" spans="1:41" ht="16.5">
      <c r="A31" s="7">
        <v>27</v>
      </c>
      <c r="B31" s="80" t="s">
        <v>72</v>
      </c>
      <c r="C31" s="80" t="s">
        <v>196</v>
      </c>
      <c r="D31" s="5" t="s">
        <v>45</v>
      </c>
      <c r="E31" s="104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07"/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104"/>
      <c r="T31" s="6" t="s">
        <v>24</v>
      </c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104"/>
      <c r="AA31" s="6"/>
      <c r="AB31" s="6"/>
      <c r="AC31" s="6"/>
      <c r="AD31" s="6"/>
      <c r="AE31" s="6"/>
      <c r="AF31" s="6"/>
      <c r="AG31" s="104"/>
      <c r="AH31" s="6"/>
      <c r="AI31" s="6"/>
      <c r="AJ31" s="4">
        <f t="shared" si="1"/>
        <v>18</v>
      </c>
      <c r="AK31" s="4">
        <f t="shared" si="2"/>
        <v>0</v>
      </c>
    </row>
    <row r="32" spans="1:41" ht="16.5">
      <c r="A32" s="7">
        <v>28</v>
      </c>
      <c r="B32" s="80" t="s">
        <v>283</v>
      </c>
      <c r="C32" s="80" t="s">
        <v>152</v>
      </c>
      <c r="D32" s="5" t="s">
        <v>45</v>
      </c>
      <c r="E32" s="104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07"/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104"/>
      <c r="T32" s="6" t="s">
        <v>24</v>
      </c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104"/>
      <c r="AA32" s="6"/>
      <c r="AB32" s="6"/>
      <c r="AC32" s="6"/>
      <c r="AD32" s="6"/>
      <c r="AE32" s="6"/>
      <c r="AF32" s="6"/>
      <c r="AG32" s="104"/>
      <c r="AH32" s="6"/>
      <c r="AI32" s="6"/>
      <c r="AJ32" s="4">
        <f t="shared" si="1"/>
        <v>18</v>
      </c>
      <c r="AK32" s="4">
        <f t="shared" si="2"/>
        <v>0</v>
      </c>
    </row>
    <row r="33" spans="1:37" ht="16.5">
      <c r="A33" s="7">
        <v>29</v>
      </c>
      <c r="B33" s="80" t="s">
        <v>284</v>
      </c>
      <c r="C33" s="80" t="s">
        <v>285</v>
      </c>
      <c r="D33" s="5" t="s">
        <v>45</v>
      </c>
      <c r="E33" s="104"/>
      <c r="F33" s="13" t="s">
        <v>24</v>
      </c>
      <c r="G33" s="13" t="s">
        <v>24</v>
      </c>
      <c r="H33" s="13" t="s">
        <v>24</v>
      </c>
      <c r="I33" s="13" t="s">
        <v>23</v>
      </c>
      <c r="J33" s="13" t="s">
        <v>24</v>
      </c>
      <c r="K33" s="13" t="s">
        <v>24</v>
      </c>
      <c r="L33" s="107"/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  <c r="R33" s="6" t="s">
        <v>24</v>
      </c>
      <c r="S33" s="104"/>
      <c r="T33" s="6" t="s">
        <v>24</v>
      </c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104"/>
      <c r="AA33" s="6"/>
      <c r="AB33" s="6"/>
      <c r="AC33" s="6"/>
      <c r="AD33" s="6"/>
      <c r="AE33" s="6"/>
      <c r="AF33" s="6"/>
      <c r="AG33" s="104"/>
      <c r="AH33" s="6"/>
      <c r="AI33" s="6"/>
      <c r="AJ33" s="4">
        <f t="shared" si="1"/>
        <v>17</v>
      </c>
      <c r="AK33" s="4">
        <f t="shared" si="2"/>
        <v>1</v>
      </c>
    </row>
    <row r="34" spans="1:37" ht="16.5">
      <c r="A34" s="7">
        <v>30</v>
      </c>
      <c r="B34" s="80" t="s">
        <v>69</v>
      </c>
      <c r="C34" s="80" t="s">
        <v>286</v>
      </c>
      <c r="D34" s="5" t="s">
        <v>45</v>
      </c>
      <c r="E34" s="104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07"/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  <c r="R34" s="6" t="s">
        <v>24</v>
      </c>
      <c r="S34" s="104"/>
      <c r="T34" s="6" t="s">
        <v>24</v>
      </c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104"/>
      <c r="AA34" s="6"/>
      <c r="AB34" s="6"/>
      <c r="AC34" s="6"/>
      <c r="AD34" s="6"/>
      <c r="AE34" s="6"/>
      <c r="AF34" s="6"/>
      <c r="AG34" s="104"/>
      <c r="AH34" s="6"/>
      <c r="AI34" s="6"/>
      <c r="AJ34" s="4">
        <f t="shared" si="1"/>
        <v>18</v>
      </c>
      <c r="AK34" s="4">
        <f t="shared" si="2"/>
        <v>0</v>
      </c>
    </row>
    <row r="35" spans="1:37" ht="16.5">
      <c r="A35" s="7">
        <v>31</v>
      </c>
      <c r="B35" s="80" t="s">
        <v>72</v>
      </c>
      <c r="C35" s="80" t="s">
        <v>103</v>
      </c>
      <c r="D35" s="5" t="s">
        <v>45</v>
      </c>
      <c r="E35" s="104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07"/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104"/>
      <c r="T35" s="6" t="s">
        <v>24</v>
      </c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104"/>
      <c r="AA35" s="6"/>
      <c r="AB35" s="6"/>
      <c r="AC35" s="6"/>
      <c r="AD35" s="6"/>
      <c r="AE35" s="6"/>
      <c r="AF35" s="6"/>
      <c r="AG35" s="104"/>
      <c r="AH35" s="6"/>
      <c r="AI35" s="6"/>
      <c r="AJ35" s="4">
        <f t="shared" si="1"/>
        <v>18</v>
      </c>
      <c r="AK35" s="4">
        <f t="shared" si="2"/>
        <v>0</v>
      </c>
    </row>
    <row r="36" spans="1:37" ht="16.5">
      <c r="A36" s="7">
        <v>32</v>
      </c>
      <c r="B36" s="80" t="s">
        <v>287</v>
      </c>
      <c r="C36" s="80" t="s">
        <v>288</v>
      </c>
      <c r="D36" s="5" t="s">
        <v>45</v>
      </c>
      <c r="E36" s="104"/>
      <c r="F36" s="13" t="s">
        <v>24</v>
      </c>
      <c r="G36" s="13" t="s">
        <v>24</v>
      </c>
      <c r="H36" s="13" t="s">
        <v>24</v>
      </c>
      <c r="I36" s="13" t="s">
        <v>23</v>
      </c>
      <c r="J36" s="13" t="s">
        <v>24</v>
      </c>
      <c r="K36" s="13" t="s">
        <v>24</v>
      </c>
      <c r="L36" s="107"/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  <c r="R36" s="6" t="s">
        <v>24</v>
      </c>
      <c r="S36" s="104"/>
      <c r="T36" s="6" t="s">
        <v>24</v>
      </c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104"/>
      <c r="AA36" s="6"/>
      <c r="AB36" s="6"/>
      <c r="AC36" s="6"/>
      <c r="AD36" s="6"/>
      <c r="AE36" s="6"/>
      <c r="AF36" s="6"/>
      <c r="AG36" s="104"/>
      <c r="AH36" s="6"/>
      <c r="AI36" s="6"/>
      <c r="AJ36" s="4">
        <f t="shared" si="1"/>
        <v>17</v>
      </c>
      <c r="AK36" s="4">
        <f t="shared" si="2"/>
        <v>1</v>
      </c>
    </row>
    <row r="37" spans="1:37" ht="16.5">
      <c r="A37" s="7">
        <v>33</v>
      </c>
      <c r="B37" s="80" t="s">
        <v>289</v>
      </c>
      <c r="C37" s="80" t="s">
        <v>178</v>
      </c>
      <c r="D37" s="5" t="s">
        <v>45</v>
      </c>
      <c r="E37" s="104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07"/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104"/>
      <c r="T37" s="6" t="s">
        <v>24</v>
      </c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104"/>
      <c r="AA37" s="6"/>
      <c r="AB37" s="6" t="s">
        <v>406</v>
      </c>
      <c r="AC37" s="6"/>
      <c r="AD37" s="6"/>
      <c r="AE37" s="6"/>
      <c r="AF37" s="6"/>
      <c r="AG37" s="104"/>
      <c r="AH37" s="6"/>
      <c r="AI37" s="6"/>
      <c r="AJ37" s="4">
        <f t="shared" si="1"/>
        <v>18</v>
      </c>
      <c r="AK37" s="4">
        <f t="shared" ref="AK37:AK40" si="3">COUNTIF(E37:AI37,"A")</f>
        <v>0</v>
      </c>
    </row>
    <row r="38" spans="1:37" ht="16.5">
      <c r="A38" s="7">
        <v>34</v>
      </c>
      <c r="B38" s="80" t="s">
        <v>290</v>
      </c>
      <c r="C38" s="80" t="s">
        <v>178</v>
      </c>
      <c r="D38" s="5" t="s">
        <v>45</v>
      </c>
      <c r="E38" s="104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07"/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104"/>
      <c r="T38" s="6" t="s">
        <v>24</v>
      </c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104"/>
      <c r="AA38" s="6"/>
      <c r="AB38" s="6"/>
      <c r="AC38" s="6"/>
      <c r="AD38" s="6"/>
      <c r="AE38" s="6"/>
      <c r="AF38" s="6"/>
      <c r="AG38" s="104"/>
      <c r="AH38" s="6"/>
      <c r="AI38" s="6"/>
      <c r="AJ38" s="4">
        <f t="shared" si="1"/>
        <v>18</v>
      </c>
      <c r="AK38" s="4">
        <f t="shared" si="3"/>
        <v>0</v>
      </c>
    </row>
    <row r="39" spans="1:37" ht="16.5">
      <c r="A39" s="7">
        <v>35</v>
      </c>
      <c r="B39" s="80" t="s">
        <v>82</v>
      </c>
      <c r="C39" s="80" t="s">
        <v>291</v>
      </c>
      <c r="D39" s="5" t="s">
        <v>45</v>
      </c>
      <c r="E39" s="104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07"/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104"/>
      <c r="T39" s="6" t="s">
        <v>24</v>
      </c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104"/>
      <c r="AA39" s="6"/>
      <c r="AB39" s="6" t="s">
        <v>407</v>
      </c>
      <c r="AC39" s="6"/>
      <c r="AD39" s="6"/>
      <c r="AE39" s="6"/>
      <c r="AF39" s="6"/>
      <c r="AG39" s="104"/>
      <c r="AH39" s="6"/>
      <c r="AI39" s="6"/>
      <c r="AJ39" s="4">
        <f t="shared" si="1"/>
        <v>18</v>
      </c>
      <c r="AK39" s="4">
        <f t="shared" si="3"/>
        <v>0</v>
      </c>
    </row>
    <row r="40" spans="1:37" ht="16.5">
      <c r="A40" s="7">
        <v>36</v>
      </c>
      <c r="B40" s="80" t="s">
        <v>292</v>
      </c>
      <c r="C40" s="80" t="s">
        <v>293</v>
      </c>
      <c r="D40" s="5" t="s">
        <v>45</v>
      </c>
      <c r="E40" s="104"/>
      <c r="F40" s="13" t="s">
        <v>24</v>
      </c>
      <c r="G40" s="13" t="s">
        <v>24</v>
      </c>
      <c r="H40" s="13" t="s">
        <v>24</v>
      </c>
      <c r="I40" s="13" t="s">
        <v>23</v>
      </c>
      <c r="J40" s="13" t="s">
        <v>24</v>
      </c>
      <c r="K40" s="13" t="s">
        <v>24</v>
      </c>
      <c r="L40" s="107"/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104"/>
      <c r="T40" s="6" t="s">
        <v>24</v>
      </c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104"/>
      <c r="AA40" s="6"/>
      <c r="AB40" s="6"/>
      <c r="AC40" s="6"/>
      <c r="AD40" s="6"/>
      <c r="AE40" s="6"/>
      <c r="AF40" s="6"/>
      <c r="AG40" s="104"/>
      <c r="AH40" s="6"/>
      <c r="AI40" s="6"/>
      <c r="AJ40" s="4">
        <f t="shared" si="1"/>
        <v>17</v>
      </c>
      <c r="AK40" s="4">
        <f t="shared" si="3"/>
        <v>1</v>
      </c>
    </row>
    <row r="41" spans="1:37" ht="16.5">
      <c r="A41" s="86">
        <f>A40+1</f>
        <v>37</v>
      </c>
      <c r="B41" s="80" t="s">
        <v>294</v>
      </c>
      <c r="C41" s="80" t="s">
        <v>295</v>
      </c>
      <c r="D41" s="5" t="s">
        <v>45</v>
      </c>
      <c r="E41" s="104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07"/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104"/>
      <c r="T41" s="6" t="s">
        <v>24</v>
      </c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104"/>
      <c r="AA41" s="85"/>
      <c r="AB41" s="85"/>
      <c r="AC41" s="85"/>
      <c r="AD41" s="85"/>
      <c r="AE41" s="85"/>
      <c r="AF41" s="85"/>
      <c r="AG41" s="104"/>
      <c r="AH41" s="85"/>
      <c r="AI41" s="85"/>
      <c r="AJ41" s="85"/>
      <c r="AK41" s="85"/>
    </row>
    <row r="42" spans="1:37" ht="16.5">
      <c r="A42" s="86">
        <f t="shared" ref="A42:A54" si="4">A41+1</f>
        <v>38</v>
      </c>
      <c r="B42" s="80" t="s">
        <v>296</v>
      </c>
      <c r="C42" s="79" t="s">
        <v>297</v>
      </c>
      <c r="D42" s="5" t="s">
        <v>45</v>
      </c>
      <c r="E42" s="104"/>
      <c r="F42" s="13" t="s">
        <v>24</v>
      </c>
      <c r="G42" s="13" t="s">
        <v>24</v>
      </c>
      <c r="H42" s="13" t="s">
        <v>24</v>
      </c>
      <c r="I42" s="13" t="s">
        <v>24</v>
      </c>
      <c r="J42" s="13" t="s">
        <v>24</v>
      </c>
      <c r="K42" s="13" t="s">
        <v>24</v>
      </c>
      <c r="L42" s="107"/>
      <c r="M42" s="6" t="s">
        <v>24</v>
      </c>
      <c r="N42" s="6" t="s">
        <v>23</v>
      </c>
      <c r="O42" s="6" t="s">
        <v>23</v>
      </c>
      <c r="P42" s="6" t="s">
        <v>24</v>
      </c>
      <c r="Q42" s="6" t="s">
        <v>24</v>
      </c>
      <c r="R42" s="6" t="s">
        <v>24</v>
      </c>
      <c r="S42" s="104"/>
      <c r="T42" s="6" t="s">
        <v>24</v>
      </c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104"/>
      <c r="AA42" s="85"/>
      <c r="AB42" s="85"/>
      <c r="AC42" s="85"/>
      <c r="AD42" s="85"/>
      <c r="AE42" s="85"/>
      <c r="AF42" s="85"/>
      <c r="AG42" s="104"/>
      <c r="AH42" s="85"/>
      <c r="AI42" s="85"/>
      <c r="AJ42" s="85"/>
      <c r="AK42" s="85"/>
    </row>
    <row r="43" spans="1:37" ht="16.5">
      <c r="A43" s="86">
        <f t="shared" si="4"/>
        <v>39</v>
      </c>
      <c r="B43" s="80" t="s">
        <v>298</v>
      </c>
      <c r="C43" s="79" t="s">
        <v>299</v>
      </c>
      <c r="D43" s="5" t="s">
        <v>45</v>
      </c>
      <c r="E43" s="104"/>
      <c r="F43" s="13" t="s">
        <v>24</v>
      </c>
      <c r="G43" s="13" t="s">
        <v>24</v>
      </c>
      <c r="H43" s="13" t="s">
        <v>24</v>
      </c>
      <c r="I43" s="13" t="s">
        <v>24</v>
      </c>
      <c r="J43" s="13" t="s">
        <v>24</v>
      </c>
      <c r="K43" s="13" t="s">
        <v>24</v>
      </c>
      <c r="L43" s="107"/>
      <c r="M43" s="6" t="s">
        <v>24</v>
      </c>
      <c r="N43" s="6" t="s">
        <v>24</v>
      </c>
      <c r="O43" s="6" t="s">
        <v>24</v>
      </c>
      <c r="P43" s="6" t="s">
        <v>23</v>
      </c>
      <c r="Q43" s="6" t="s">
        <v>24</v>
      </c>
      <c r="R43" s="6" t="s">
        <v>23</v>
      </c>
      <c r="S43" s="104"/>
      <c r="T43" s="6" t="s">
        <v>24</v>
      </c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104"/>
      <c r="AA43" s="85"/>
      <c r="AB43" s="85"/>
      <c r="AC43" s="85"/>
      <c r="AD43" s="85"/>
      <c r="AE43" s="85"/>
      <c r="AF43" s="85"/>
      <c r="AG43" s="104"/>
      <c r="AH43" s="85"/>
      <c r="AI43" s="85"/>
      <c r="AJ43" s="85"/>
      <c r="AK43" s="85"/>
    </row>
    <row r="44" spans="1:37" ht="16.5">
      <c r="A44" s="86">
        <f t="shared" si="4"/>
        <v>40</v>
      </c>
      <c r="B44" s="80" t="s">
        <v>300</v>
      </c>
      <c r="C44" s="79" t="s">
        <v>160</v>
      </c>
      <c r="D44" s="5" t="s">
        <v>45</v>
      </c>
      <c r="E44" s="104"/>
      <c r="F44" s="13" t="s">
        <v>24</v>
      </c>
      <c r="G44" s="13" t="s">
        <v>24</v>
      </c>
      <c r="H44" s="13" t="s">
        <v>24</v>
      </c>
      <c r="I44" s="13" t="s">
        <v>23</v>
      </c>
      <c r="J44" s="13" t="s">
        <v>24</v>
      </c>
      <c r="K44" s="13" t="s">
        <v>24</v>
      </c>
      <c r="L44" s="107"/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104"/>
      <c r="T44" s="6" t="s">
        <v>24</v>
      </c>
      <c r="U44" s="6" t="s">
        <v>24</v>
      </c>
      <c r="V44" s="6" t="s">
        <v>24</v>
      </c>
      <c r="W44" s="6" t="s">
        <v>24</v>
      </c>
      <c r="X44" s="6" t="s">
        <v>24</v>
      </c>
      <c r="Y44" s="6" t="s">
        <v>24</v>
      </c>
      <c r="Z44" s="104"/>
      <c r="AA44" s="85"/>
      <c r="AB44" s="85"/>
      <c r="AC44" s="85"/>
      <c r="AD44" s="85"/>
      <c r="AE44" s="85"/>
      <c r="AF44" s="85"/>
      <c r="AG44" s="104"/>
      <c r="AH44" s="85"/>
      <c r="AI44" s="85"/>
      <c r="AJ44" s="85"/>
      <c r="AK44" s="85"/>
    </row>
    <row r="45" spans="1:37" ht="16.5">
      <c r="A45" s="86">
        <f t="shared" si="4"/>
        <v>41</v>
      </c>
      <c r="B45" s="80" t="s">
        <v>301</v>
      </c>
      <c r="C45" s="79" t="s">
        <v>302</v>
      </c>
      <c r="D45" s="5" t="s">
        <v>45</v>
      </c>
      <c r="E45" s="104"/>
      <c r="F45" s="13" t="s">
        <v>24</v>
      </c>
      <c r="G45" s="13" t="s">
        <v>24</v>
      </c>
      <c r="H45" s="13" t="s">
        <v>24</v>
      </c>
      <c r="I45" s="13" t="s">
        <v>24</v>
      </c>
      <c r="J45" s="13" t="s">
        <v>24</v>
      </c>
      <c r="K45" s="13" t="s">
        <v>24</v>
      </c>
      <c r="L45" s="107"/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104"/>
      <c r="T45" s="6" t="s">
        <v>24</v>
      </c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104"/>
      <c r="AA45" s="85"/>
      <c r="AB45" s="85"/>
      <c r="AC45" s="85"/>
      <c r="AD45" s="85"/>
      <c r="AE45" s="85"/>
      <c r="AF45" s="85"/>
      <c r="AG45" s="104"/>
      <c r="AH45" s="85"/>
      <c r="AI45" s="85"/>
      <c r="AJ45" s="85"/>
      <c r="AK45" s="85"/>
    </row>
    <row r="46" spans="1:37" ht="16.5">
      <c r="A46" s="86">
        <f t="shared" si="4"/>
        <v>42</v>
      </c>
      <c r="B46" s="80" t="s">
        <v>303</v>
      </c>
      <c r="C46" s="79" t="s">
        <v>304</v>
      </c>
      <c r="D46" s="5" t="s">
        <v>45</v>
      </c>
      <c r="E46" s="104"/>
      <c r="F46" s="13" t="s">
        <v>24</v>
      </c>
      <c r="G46" s="13" t="s">
        <v>24</v>
      </c>
      <c r="H46" s="13" t="s">
        <v>24</v>
      </c>
      <c r="I46" s="13" t="s">
        <v>24</v>
      </c>
      <c r="J46" s="13" t="s">
        <v>24</v>
      </c>
      <c r="K46" s="13" t="s">
        <v>24</v>
      </c>
      <c r="L46" s="107"/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23</v>
      </c>
      <c r="R46" s="6" t="s">
        <v>24</v>
      </c>
      <c r="S46" s="104"/>
      <c r="T46" s="6" t="s">
        <v>24</v>
      </c>
      <c r="U46" s="6" t="s">
        <v>24</v>
      </c>
      <c r="V46" s="6" t="s">
        <v>24</v>
      </c>
      <c r="W46" s="6" t="s">
        <v>24</v>
      </c>
      <c r="X46" s="6" t="s">
        <v>24</v>
      </c>
      <c r="Y46" s="6" t="s">
        <v>24</v>
      </c>
      <c r="Z46" s="104"/>
      <c r="AA46" s="85"/>
      <c r="AB46" s="85"/>
      <c r="AC46" s="85"/>
      <c r="AD46" s="85"/>
      <c r="AE46" s="85"/>
      <c r="AF46" s="85"/>
      <c r="AG46" s="104"/>
      <c r="AH46" s="85"/>
      <c r="AI46" s="85"/>
      <c r="AJ46" s="85"/>
      <c r="AK46" s="85"/>
    </row>
    <row r="47" spans="1:37" ht="16.5">
      <c r="A47" s="86">
        <f t="shared" si="4"/>
        <v>43</v>
      </c>
      <c r="B47" s="80" t="s">
        <v>305</v>
      </c>
      <c r="C47" s="79" t="s">
        <v>306</v>
      </c>
      <c r="D47" s="5" t="s">
        <v>45</v>
      </c>
      <c r="E47" s="104"/>
      <c r="F47" s="13" t="s">
        <v>24</v>
      </c>
      <c r="G47" s="13" t="s">
        <v>24</v>
      </c>
      <c r="H47" s="13" t="s">
        <v>24</v>
      </c>
      <c r="I47" s="13" t="s">
        <v>24</v>
      </c>
      <c r="J47" s="13" t="s">
        <v>24</v>
      </c>
      <c r="K47" s="13" t="s">
        <v>24</v>
      </c>
      <c r="L47" s="107"/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104"/>
      <c r="T47" s="6" t="s">
        <v>24</v>
      </c>
      <c r="U47" s="6" t="s">
        <v>24</v>
      </c>
      <c r="V47" s="6" t="s">
        <v>24</v>
      </c>
      <c r="W47" s="6" t="s">
        <v>24</v>
      </c>
      <c r="X47" s="6" t="s">
        <v>24</v>
      </c>
      <c r="Y47" s="6" t="s">
        <v>24</v>
      </c>
      <c r="Z47" s="104"/>
      <c r="AA47" s="85"/>
      <c r="AB47" s="85"/>
      <c r="AC47" s="85"/>
      <c r="AD47" s="85"/>
      <c r="AE47" s="85"/>
      <c r="AF47" s="85"/>
      <c r="AG47" s="104"/>
      <c r="AH47" s="85"/>
      <c r="AI47" s="85"/>
      <c r="AJ47" s="85"/>
      <c r="AK47" s="85"/>
    </row>
    <row r="48" spans="1:37" ht="16.5">
      <c r="A48" s="86">
        <f t="shared" si="4"/>
        <v>44</v>
      </c>
      <c r="B48" s="80" t="s">
        <v>307</v>
      </c>
      <c r="C48" s="79" t="s">
        <v>308</v>
      </c>
      <c r="D48" s="5" t="s">
        <v>45</v>
      </c>
      <c r="E48" s="104"/>
      <c r="F48" s="13" t="s">
        <v>24</v>
      </c>
      <c r="G48" s="13" t="s">
        <v>24</v>
      </c>
      <c r="H48" s="13" t="s">
        <v>24</v>
      </c>
      <c r="I48" s="13" t="s">
        <v>23</v>
      </c>
      <c r="J48" s="13" t="s">
        <v>24</v>
      </c>
      <c r="K48" s="13" t="s">
        <v>24</v>
      </c>
      <c r="L48" s="107"/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6" t="s">
        <v>24</v>
      </c>
      <c r="S48" s="104"/>
      <c r="T48" s="6" t="s">
        <v>24</v>
      </c>
      <c r="U48" s="6" t="s">
        <v>24</v>
      </c>
      <c r="V48" s="6" t="s">
        <v>24</v>
      </c>
      <c r="W48" s="6" t="s">
        <v>24</v>
      </c>
      <c r="X48" s="6" t="s">
        <v>24</v>
      </c>
      <c r="Y48" s="6" t="s">
        <v>24</v>
      </c>
      <c r="Z48" s="104"/>
      <c r="AA48" s="85"/>
      <c r="AB48" s="85"/>
      <c r="AC48" s="85"/>
      <c r="AD48" s="85"/>
      <c r="AE48" s="85"/>
      <c r="AF48" s="85"/>
      <c r="AG48" s="104"/>
      <c r="AH48" s="85"/>
      <c r="AI48" s="85"/>
      <c r="AJ48" s="85"/>
      <c r="AK48" s="85"/>
    </row>
    <row r="49" spans="1:37" ht="16.5">
      <c r="A49" s="86">
        <f t="shared" si="4"/>
        <v>45</v>
      </c>
      <c r="B49" s="80" t="s">
        <v>309</v>
      </c>
      <c r="C49" s="79" t="s">
        <v>310</v>
      </c>
      <c r="D49" s="5" t="s">
        <v>45</v>
      </c>
      <c r="E49" s="104"/>
      <c r="F49" s="13" t="s">
        <v>24</v>
      </c>
      <c r="G49" s="13" t="s">
        <v>24</v>
      </c>
      <c r="H49" s="13" t="s">
        <v>24</v>
      </c>
      <c r="I49" s="13" t="s">
        <v>24</v>
      </c>
      <c r="J49" s="13" t="s">
        <v>24</v>
      </c>
      <c r="K49" s="13" t="s">
        <v>24</v>
      </c>
      <c r="L49" s="107"/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6" t="s">
        <v>24</v>
      </c>
      <c r="S49" s="104"/>
      <c r="T49" s="6" t="s">
        <v>24</v>
      </c>
      <c r="U49" s="6" t="s">
        <v>24</v>
      </c>
      <c r="V49" s="6" t="s">
        <v>24</v>
      </c>
      <c r="W49" s="6" t="s">
        <v>24</v>
      </c>
      <c r="X49" s="6" t="s">
        <v>24</v>
      </c>
      <c r="Y49" s="6" t="s">
        <v>24</v>
      </c>
      <c r="Z49" s="104"/>
      <c r="AA49" s="85"/>
      <c r="AB49" s="85"/>
      <c r="AC49" s="85"/>
      <c r="AD49" s="85"/>
      <c r="AE49" s="85"/>
      <c r="AF49" s="85"/>
      <c r="AG49" s="104"/>
      <c r="AH49" s="85"/>
      <c r="AI49" s="85"/>
      <c r="AJ49" s="85"/>
      <c r="AK49" s="85"/>
    </row>
    <row r="50" spans="1:37" ht="16.5">
      <c r="A50" s="86">
        <f t="shared" si="4"/>
        <v>46</v>
      </c>
      <c r="B50" s="80" t="s">
        <v>311</v>
      </c>
      <c r="C50" s="79" t="s">
        <v>312</v>
      </c>
      <c r="D50" s="5" t="s">
        <v>45</v>
      </c>
      <c r="E50" s="104"/>
      <c r="F50" s="13" t="s">
        <v>24</v>
      </c>
      <c r="G50" s="13" t="s">
        <v>23</v>
      </c>
      <c r="H50" s="13" t="s">
        <v>24</v>
      </c>
      <c r="I50" s="13" t="s">
        <v>24</v>
      </c>
      <c r="J50" s="13" t="s">
        <v>24</v>
      </c>
      <c r="K50" s="13" t="s">
        <v>23</v>
      </c>
      <c r="L50" s="107"/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  <c r="R50" s="6" t="s">
        <v>24</v>
      </c>
      <c r="S50" s="104"/>
      <c r="T50" s="6" t="s">
        <v>24</v>
      </c>
      <c r="U50" s="6" t="s">
        <v>24</v>
      </c>
      <c r="V50" s="6" t="s">
        <v>24</v>
      </c>
      <c r="W50" s="6" t="s">
        <v>24</v>
      </c>
      <c r="X50" s="6" t="s">
        <v>24</v>
      </c>
      <c r="Y50" s="6" t="s">
        <v>24</v>
      </c>
      <c r="Z50" s="104"/>
      <c r="AA50" s="85"/>
      <c r="AB50" s="85"/>
      <c r="AC50" s="85"/>
      <c r="AD50" s="85"/>
      <c r="AE50" s="85"/>
      <c r="AF50" s="85"/>
      <c r="AG50" s="104"/>
      <c r="AH50" s="85"/>
      <c r="AI50" s="85"/>
      <c r="AJ50" s="85"/>
      <c r="AK50" s="85"/>
    </row>
    <row r="51" spans="1:37" ht="16.5">
      <c r="A51" s="86">
        <f t="shared" si="4"/>
        <v>47</v>
      </c>
      <c r="B51" s="80" t="s">
        <v>313</v>
      </c>
      <c r="C51" s="79" t="s">
        <v>314</v>
      </c>
      <c r="D51" s="5" t="s">
        <v>45</v>
      </c>
      <c r="E51" s="104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07"/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  <c r="R51" s="6" t="s">
        <v>24</v>
      </c>
      <c r="S51" s="104"/>
      <c r="T51" s="6" t="s">
        <v>24</v>
      </c>
      <c r="U51" s="6" t="s">
        <v>24</v>
      </c>
      <c r="V51" s="6" t="s">
        <v>24</v>
      </c>
      <c r="W51" s="6" t="s">
        <v>24</v>
      </c>
      <c r="X51" s="6" t="s">
        <v>24</v>
      </c>
      <c r="Y51" s="6" t="s">
        <v>24</v>
      </c>
      <c r="Z51" s="104"/>
      <c r="AA51" s="85"/>
      <c r="AB51" s="85"/>
      <c r="AC51" s="85"/>
      <c r="AD51" s="85"/>
      <c r="AE51" s="85"/>
      <c r="AF51" s="85"/>
      <c r="AG51" s="104"/>
      <c r="AH51" s="85"/>
      <c r="AI51" s="85"/>
      <c r="AJ51" s="85"/>
      <c r="AK51" s="85"/>
    </row>
    <row r="52" spans="1:37" ht="16.5">
      <c r="A52" s="86">
        <f t="shared" si="4"/>
        <v>48</v>
      </c>
      <c r="B52" s="80" t="s">
        <v>315</v>
      </c>
      <c r="C52" s="79" t="s">
        <v>316</v>
      </c>
      <c r="D52" s="5" t="s">
        <v>45</v>
      </c>
      <c r="E52" s="104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07"/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  <c r="R52" s="6" t="s">
        <v>24</v>
      </c>
      <c r="S52" s="104"/>
      <c r="T52" s="6" t="s">
        <v>24</v>
      </c>
      <c r="U52" s="6" t="s">
        <v>24</v>
      </c>
      <c r="V52" s="6" t="s">
        <v>24</v>
      </c>
      <c r="W52" s="6" t="s">
        <v>24</v>
      </c>
      <c r="X52" s="6" t="s">
        <v>24</v>
      </c>
      <c r="Y52" s="6" t="s">
        <v>24</v>
      </c>
      <c r="Z52" s="104"/>
      <c r="AA52" s="85"/>
      <c r="AB52" s="85"/>
      <c r="AC52" s="85"/>
      <c r="AD52" s="85"/>
      <c r="AE52" s="85"/>
      <c r="AF52" s="85"/>
      <c r="AG52" s="104"/>
      <c r="AH52" s="85"/>
      <c r="AI52" s="85"/>
      <c r="AJ52" s="85"/>
      <c r="AK52" s="85"/>
    </row>
    <row r="53" spans="1:37" ht="16.5">
      <c r="A53" s="86">
        <f t="shared" si="4"/>
        <v>49</v>
      </c>
      <c r="B53" s="80" t="s">
        <v>317</v>
      </c>
      <c r="C53" s="79" t="s">
        <v>318</v>
      </c>
      <c r="D53" s="5" t="s">
        <v>45</v>
      </c>
      <c r="E53" s="104"/>
      <c r="F53" s="13" t="s">
        <v>24</v>
      </c>
      <c r="G53" s="13" t="s">
        <v>24</v>
      </c>
      <c r="H53" s="13" t="s">
        <v>24</v>
      </c>
      <c r="I53" s="13" t="s">
        <v>23</v>
      </c>
      <c r="J53" s="13" t="s">
        <v>24</v>
      </c>
      <c r="K53" s="13" t="s">
        <v>24</v>
      </c>
      <c r="L53" s="107"/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  <c r="R53" s="6" t="s">
        <v>24</v>
      </c>
      <c r="S53" s="104"/>
      <c r="T53" s="6" t="s">
        <v>24</v>
      </c>
      <c r="U53" s="6" t="s">
        <v>24</v>
      </c>
      <c r="V53" s="6" t="s">
        <v>24</v>
      </c>
      <c r="W53" s="6" t="s">
        <v>24</v>
      </c>
      <c r="X53" s="6" t="s">
        <v>24</v>
      </c>
      <c r="Y53" s="6" t="s">
        <v>24</v>
      </c>
      <c r="Z53" s="104"/>
      <c r="AA53" s="85"/>
      <c r="AB53" s="85"/>
      <c r="AC53" s="85"/>
      <c r="AD53" s="85"/>
      <c r="AE53" s="85"/>
      <c r="AF53" s="85"/>
      <c r="AG53" s="104"/>
      <c r="AH53" s="85"/>
      <c r="AI53" s="85"/>
      <c r="AJ53" s="85"/>
      <c r="AK53" s="85"/>
    </row>
    <row r="54" spans="1:37" ht="16.5">
      <c r="A54" s="86">
        <f t="shared" si="4"/>
        <v>50</v>
      </c>
      <c r="B54" s="80" t="s">
        <v>319</v>
      </c>
      <c r="C54" s="79" t="s">
        <v>320</v>
      </c>
      <c r="D54" s="5" t="s">
        <v>45</v>
      </c>
      <c r="E54" s="105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08"/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  <c r="R54" s="6" t="s">
        <v>24</v>
      </c>
      <c r="S54" s="105"/>
      <c r="T54" s="6" t="s">
        <v>24</v>
      </c>
      <c r="U54" s="6" t="s">
        <v>24</v>
      </c>
      <c r="V54" s="6" t="s">
        <v>24</v>
      </c>
      <c r="W54" s="6" t="s">
        <v>24</v>
      </c>
      <c r="X54" s="6" t="s">
        <v>24</v>
      </c>
      <c r="Y54" s="6" t="s">
        <v>24</v>
      </c>
      <c r="Z54" s="105"/>
      <c r="AA54" s="85"/>
      <c r="AB54" s="85"/>
      <c r="AC54" s="85"/>
      <c r="AD54" s="85"/>
      <c r="AE54" s="85"/>
      <c r="AF54" s="85"/>
      <c r="AG54" s="105"/>
      <c r="AH54" s="85"/>
      <c r="AI54" s="85"/>
      <c r="AJ54" s="85"/>
      <c r="AK54" s="85"/>
    </row>
  </sheetData>
  <mergeCells count="16">
    <mergeCell ref="A1:AI1"/>
    <mergeCell ref="A2:AI2"/>
    <mergeCell ref="A3:A4"/>
    <mergeCell ref="B3:B4"/>
    <mergeCell ref="C3:C4"/>
    <mergeCell ref="D3:D4"/>
    <mergeCell ref="AK3:AK4"/>
    <mergeCell ref="AL3:AM3"/>
    <mergeCell ref="AL11:AO11"/>
    <mergeCell ref="AL19:AO19"/>
    <mergeCell ref="E5:E54"/>
    <mergeCell ref="L5:L54"/>
    <mergeCell ref="S5:S54"/>
    <mergeCell ref="Z5:Z54"/>
    <mergeCell ref="AG5:AG54"/>
    <mergeCell ref="AJ3:AJ4"/>
  </mergeCells>
  <conditionalFormatting sqref="AA6:AF36 F5:R5 T5:AF5 AH5:AI40 AA40:AF40 AA37:AA39 AC37:AF39 E3:AI4 F6:K54 M6:R54 T6:Y54">
    <cfRule type="expression" dxfId="154" priority="28">
      <formula>E$4=TODAY()</formula>
    </cfRule>
    <cfRule type="expression" dxfId="153" priority="31">
      <formula>E$3="Sun"</formula>
    </cfRule>
  </conditionalFormatting>
  <conditionalFormatting sqref="AA6:AF36 F5:R5 T5:AF5 AH5:AI40 AA40:AF40 AA37:AA39 AC37:AF39 F6:K54 M6:R54 T6:Y54">
    <cfRule type="cellIs" dxfId="152" priority="27" operator="equal">
      <formula>"L"</formula>
    </cfRule>
    <cfRule type="cellIs" dxfId="151" priority="29" operator="equal">
      <formula>"A"</formula>
    </cfRule>
    <cfRule type="cellIs" dxfId="150" priority="30" operator="equal">
      <formula>"P"</formula>
    </cfRule>
  </conditionalFormatting>
  <conditionalFormatting sqref="AJ3:AK3 AJ5:AK40">
    <cfRule type="expression" dxfId="149" priority="32">
      <formula>#REF!="Sun"</formula>
    </cfRule>
  </conditionalFormatting>
  <conditionalFormatting sqref="AL5:AL9">
    <cfRule type="expression" dxfId="148" priority="24">
      <formula>AL$3="Sun"</formula>
    </cfRule>
  </conditionalFormatting>
  <conditionalFormatting sqref="AL12:AL15">
    <cfRule type="expression" dxfId="147" priority="22">
      <formula>AL$3="Sun"</formula>
    </cfRule>
  </conditionalFormatting>
  <conditionalFormatting sqref="AL20:AL23">
    <cfRule type="expression" dxfId="146" priority="21">
      <formula>AL$3="Sun"</formula>
    </cfRule>
  </conditionalFormatting>
  <conditionalFormatting sqref="AL4:AM4">
    <cfRule type="expression" dxfId="145" priority="25">
      <formula>AL$3="Sun"</formula>
    </cfRule>
  </conditionalFormatting>
  <conditionalFormatting sqref="AM12:AO12 AM20:AO20">
    <cfRule type="expression" dxfId="144" priority="26">
      <formula>AM$3="Sun"</formula>
    </cfRule>
  </conditionalFormatting>
  <conditionalFormatting sqref="AO21">
    <cfRule type="expression" dxfId="143" priority="23">
      <formula>AO$3="Sun"</formula>
    </cfRule>
  </conditionalFormatting>
  <conditionalFormatting sqref="S5">
    <cfRule type="expression" dxfId="142" priority="17">
      <formula>S$4=TODAY()</formula>
    </cfRule>
    <cfRule type="expression" dxfId="141" priority="20">
      <formula>S$3="Sun"</formula>
    </cfRule>
  </conditionalFormatting>
  <conditionalFormatting sqref="S5">
    <cfRule type="cellIs" dxfId="140" priority="16" operator="equal">
      <formula>"L"</formula>
    </cfRule>
    <cfRule type="cellIs" dxfId="139" priority="18" operator="equal">
      <formula>"A"</formula>
    </cfRule>
    <cfRule type="cellIs" dxfId="138" priority="19" operator="equal">
      <formula>"P"</formula>
    </cfRule>
  </conditionalFormatting>
  <conditionalFormatting sqref="E5">
    <cfRule type="expression" dxfId="137" priority="12">
      <formula>E$4=TODAY()</formula>
    </cfRule>
    <cfRule type="expression" dxfId="136" priority="15">
      <formula>E$3="Sun"</formula>
    </cfRule>
  </conditionalFormatting>
  <conditionalFormatting sqref="E5">
    <cfRule type="cellIs" dxfId="135" priority="11" operator="equal">
      <formula>"L"</formula>
    </cfRule>
    <cfRule type="cellIs" dxfId="134" priority="13" operator="equal">
      <formula>"A"</formula>
    </cfRule>
    <cfRule type="cellIs" dxfId="133" priority="14" operator="equal">
      <formula>"P"</formula>
    </cfRule>
  </conditionalFormatting>
  <conditionalFormatting sqref="AG5">
    <cfRule type="expression" dxfId="132" priority="7">
      <formula>AG$4=TODAY()</formula>
    </cfRule>
    <cfRule type="expression" dxfId="131" priority="10">
      <formula>AG$3="Sun"</formula>
    </cfRule>
  </conditionalFormatting>
  <conditionalFormatting sqref="AG5">
    <cfRule type="cellIs" dxfId="130" priority="6" operator="equal">
      <formula>"L"</formula>
    </cfRule>
    <cfRule type="cellIs" dxfId="129" priority="8" operator="equal">
      <formula>"A"</formula>
    </cfRule>
    <cfRule type="cellIs" dxfId="128" priority="9" operator="equal">
      <formula>"P"</formula>
    </cfRule>
  </conditionalFormatting>
  <conditionalFormatting sqref="AB37:AB39">
    <cfRule type="expression" dxfId="127" priority="2">
      <formula>AB$4=TODAY()</formula>
    </cfRule>
    <cfRule type="expression" dxfId="126" priority="5">
      <formula>AB$3="Sun"</formula>
    </cfRule>
  </conditionalFormatting>
  <conditionalFormatting sqref="AB37:AB39">
    <cfRule type="cellIs" dxfId="125" priority="1" operator="equal">
      <formula>"L"</formula>
    </cfRule>
    <cfRule type="cellIs" dxfId="124" priority="3" operator="equal">
      <formula>"A"</formula>
    </cfRule>
    <cfRule type="cellIs" dxfId="123" priority="4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O51"/>
  <sheetViews>
    <sheetView zoomScaleNormal="100" workbookViewId="0">
      <selection sqref="A1:AI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127</v>
      </c>
      <c r="C5" s="80" t="s">
        <v>128</v>
      </c>
      <c r="D5" s="5" t="s">
        <v>50</v>
      </c>
      <c r="E5" s="103" t="s">
        <v>27</v>
      </c>
      <c r="F5" s="13" t="s">
        <v>24</v>
      </c>
      <c r="G5" s="13" t="s">
        <v>24</v>
      </c>
      <c r="H5" s="13" t="s">
        <v>24</v>
      </c>
      <c r="I5" s="13" t="s">
        <v>24</v>
      </c>
      <c r="J5" s="13" t="s">
        <v>24</v>
      </c>
      <c r="K5" s="13" t="s">
        <v>24</v>
      </c>
      <c r="L5" s="106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103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103" t="s">
        <v>27</v>
      </c>
      <c r="AA5" s="6"/>
      <c r="AB5" s="6"/>
      <c r="AC5" s="6"/>
      <c r="AD5" s="6"/>
      <c r="AE5" s="6"/>
      <c r="AF5" s="6"/>
      <c r="AG5" s="103" t="s">
        <v>27</v>
      </c>
      <c r="AH5" s="6"/>
      <c r="AI5" s="6"/>
      <c r="AJ5" s="4">
        <f t="shared" ref="AJ5:AJ40" si="1">COUNTIF(E5:AI5,"P")</f>
        <v>18</v>
      </c>
      <c r="AK5" s="4">
        <f t="shared" ref="AK5:AK36" si="2">COUNTIF(E5:AI5,"A")</f>
        <v>0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0" t="s">
        <v>129</v>
      </c>
      <c r="C6" s="80" t="s">
        <v>130</v>
      </c>
      <c r="D6" s="5" t="s">
        <v>50</v>
      </c>
      <c r="E6" s="104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107"/>
      <c r="M6" s="6" t="s">
        <v>24</v>
      </c>
      <c r="N6" s="6" t="s">
        <v>24</v>
      </c>
      <c r="O6" s="6" t="s">
        <v>24</v>
      </c>
      <c r="P6" s="6" t="s">
        <v>23</v>
      </c>
      <c r="Q6" s="6" t="s">
        <v>24</v>
      </c>
      <c r="R6" s="6" t="s">
        <v>24</v>
      </c>
      <c r="S6" s="104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104"/>
      <c r="AA6" s="6"/>
      <c r="AB6" s="6"/>
      <c r="AC6" s="6"/>
      <c r="AD6" s="6"/>
      <c r="AE6" s="6"/>
      <c r="AF6" s="6"/>
      <c r="AG6" s="104"/>
      <c r="AH6" s="6"/>
      <c r="AI6" s="6"/>
      <c r="AJ6" s="4">
        <f t="shared" si="1"/>
        <v>17</v>
      </c>
      <c r="AK6" s="4">
        <f t="shared" si="2"/>
        <v>1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0" t="s">
        <v>131</v>
      </c>
      <c r="C7" s="80" t="s">
        <v>121</v>
      </c>
      <c r="D7" s="5" t="s">
        <v>50</v>
      </c>
      <c r="E7" s="104"/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107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104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104"/>
      <c r="AA7" s="6"/>
      <c r="AB7" s="6"/>
      <c r="AC7" s="6"/>
      <c r="AD7" s="6"/>
      <c r="AE7" s="6"/>
      <c r="AF7" s="6"/>
      <c r="AG7" s="104"/>
      <c r="AH7" s="6"/>
      <c r="AI7" s="6"/>
      <c r="AJ7" s="4">
        <f t="shared" si="1"/>
        <v>18</v>
      </c>
      <c r="AK7" s="4">
        <f t="shared" si="2"/>
        <v>0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0" t="s">
        <v>132</v>
      </c>
      <c r="C8" s="80" t="s">
        <v>133</v>
      </c>
      <c r="D8" s="5" t="s">
        <v>50</v>
      </c>
      <c r="E8" s="104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107"/>
      <c r="M8" s="6" t="s">
        <v>24</v>
      </c>
      <c r="N8" s="6" t="s">
        <v>24</v>
      </c>
      <c r="O8" s="6" t="s">
        <v>24</v>
      </c>
      <c r="P8" s="6" t="s">
        <v>23</v>
      </c>
      <c r="Q8" s="6" t="s">
        <v>24</v>
      </c>
      <c r="R8" s="6" t="s">
        <v>24</v>
      </c>
      <c r="S8" s="104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104"/>
      <c r="AA8" s="6"/>
      <c r="AB8" s="6"/>
      <c r="AC8" s="6"/>
      <c r="AD8" s="6"/>
      <c r="AE8" s="6"/>
      <c r="AF8" s="6"/>
      <c r="AG8" s="104"/>
      <c r="AH8" s="6"/>
      <c r="AI8" s="6"/>
      <c r="AJ8" s="4">
        <f t="shared" si="1"/>
        <v>17</v>
      </c>
      <c r="AK8" s="4">
        <f t="shared" si="2"/>
        <v>1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0" t="s">
        <v>134</v>
      </c>
      <c r="C9" s="80" t="s">
        <v>135</v>
      </c>
      <c r="D9" s="5" t="s">
        <v>50</v>
      </c>
      <c r="E9" s="104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07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104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104"/>
      <c r="AA9" s="6"/>
      <c r="AB9" s="6"/>
      <c r="AC9" s="6"/>
      <c r="AD9" s="6"/>
      <c r="AE9" s="6"/>
      <c r="AF9" s="6"/>
      <c r="AG9" s="104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0" t="s">
        <v>136</v>
      </c>
      <c r="C10" s="80" t="s">
        <v>137</v>
      </c>
      <c r="D10" s="5" t="s">
        <v>50</v>
      </c>
      <c r="E10" s="104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107"/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104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104"/>
      <c r="AA10" s="6"/>
      <c r="AB10" s="6"/>
      <c r="AC10" s="6"/>
      <c r="AD10" s="6"/>
      <c r="AE10" s="6"/>
      <c r="AF10" s="6"/>
      <c r="AG10" s="104"/>
      <c r="AH10" s="6"/>
      <c r="AI10" s="6"/>
      <c r="AJ10" s="4">
        <f t="shared" si="1"/>
        <v>18</v>
      </c>
      <c r="AK10" s="4">
        <f t="shared" si="2"/>
        <v>0</v>
      </c>
    </row>
    <row r="11" spans="1:41" ht="16.5">
      <c r="A11" s="7">
        <v>7</v>
      </c>
      <c r="B11" s="80" t="s">
        <v>138</v>
      </c>
      <c r="C11" s="80" t="s">
        <v>105</v>
      </c>
      <c r="D11" s="5" t="s">
        <v>50</v>
      </c>
      <c r="E11" s="104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07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104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104"/>
      <c r="AA11" s="6"/>
      <c r="AB11" s="6"/>
      <c r="AC11" s="6"/>
      <c r="AD11" s="6"/>
      <c r="AE11" s="6"/>
      <c r="AF11" s="6"/>
      <c r="AG11" s="104"/>
      <c r="AH11" s="6"/>
      <c r="AI11" s="6"/>
      <c r="AJ11" s="4">
        <f t="shared" si="1"/>
        <v>18</v>
      </c>
      <c r="AK11" s="4">
        <f t="shared" si="2"/>
        <v>0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0" t="s">
        <v>139</v>
      </c>
      <c r="C12" s="80" t="s">
        <v>140</v>
      </c>
      <c r="D12" s="5" t="s">
        <v>50</v>
      </c>
      <c r="E12" s="104"/>
      <c r="F12" s="13" t="s">
        <v>24</v>
      </c>
      <c r="G12" s="13" t="s">
        <v>24</v>
      </c>
      <c r="H12" s="13" t="s">
        <v>23</v>
      </c>
      <c r="I12" s="13" t="s">
        <v>24</v>
      </c>
      <c r="J12" s="13" t="s">
        <v>24</v>
      </c>
      <c r="K12" s="13" t="s">
        <v>24</v>
      </c>
      <c r="L12" s="107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104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104"/>
      <c r="AA12" s="6"/>
      <c r="AB12" s="6" t="s">
        <v>406</v>
      </c>
      <c r="AC12" s="6"/>
      <c r="AD12" s="6"/>
      <c r="AE12" s="6"/>
      <c r="AF12" s="6"/>
      <c r="AG12" s="104"/>
      <c r="AH12" s="6"/>
      <c r="AI12" s="6"/>
      <c r="AJ12" s="4">
        <f t="shared" si="1"/>
        <v>17</v>
      </c>
      <c r="AK12" s="4">
        <f t="shared" si="2"/>
        <v>1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141</v>
      </c>
      <c r="C13" s="80" t="s">
        <v>142</v>
      </c>
      <c r="D13" s="5" t="s">
        <v>50</v>
      </c>
      <c r="E13" s="104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07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104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104"/>
      <c r="AA13" s="6"/>
      <c r="AB13" s="6"/>
      <c r="AC13" s="6"/>
      <c r="AD13" s="6"/>
      <c r="AE13" s="6"/>
      <c r="AF13" s="6"/>
      <c r="AG13" s="104"/>
      <c r="AH13" s="6"/>
      <c r="AI13" s="6"/>
      <c r="AJ13" s="4">
        <f t="shared" si="1"/>
        <v>18</v>
      </c>
      <c r="AK13" s="4">
        <f t="shared" si="2"/>
        <v>0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0" t="s">
        <v>143</v>
      </c>
      <c r="C14" s="80" t="s">
        <v>144</v>
      </c>
      <c r="D14" s="5" t="s">
        <v>50</v>
      </c>
      <c r="E14" s="104"/>
      <c r="F14" s="13" t="s">
        <v>24</v>
      </c>
      <c r="G14" s="13" t="s">
        <v>24</v>
      </c>
      <c r="H14" s="13" t="s">
        <v>24</v>
      </c>
      <c r="I14" s="13" t="s">
        <v>23</v>
      </c>
      <c r="J14" s="13" t="s">
        <v>24</v>
      </c>
      <c r="K14" s="13" t="s">
        <v>24</v>
      </c>
      <c r="L14" s="107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104"/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104"/>
      <c r="AA14" s="6"/>
      <c r="AB14" s="6" t="s">
        <v>407</v>
      </c>
      <c r="AC14" s="6"/>
      <c r="AD14" s="6"/>
      <c r="AE14" s="6"/>
      <c r="AF14" s="6"/>
      <c r="AG14" s="104"/>
      <c r="AH14" s="6"/>
      <c r="AI14" s="6"/>
      <c r="AJ14" s="4">
        <f t="shared" si="1"/>
        <v>17</v>
      </c>
      <c r="AK14" s="4">
        <f t="shared" si="2"/>
        <v>1</v>
      </c>
      <c r="AL14" s="83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145</v>
      </c>
      <c r="C15" s="80" t="s">
        <v>146</v>
      </c>
      <c r="D15" s="5" t="s">
        <v>50</v>
      </c>
      <c r="E15" s="104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07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104"/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104"/>
      <c r="AA15" s="6"/>
      <c r="AB15" s="6"/>
      <c r="AC15" s="6"/>
      <c r="AD15" s="6"/>
      <c r="AE15" s="6"/>
      <c r="AF15" s="6"/>
      <c r="AG15" s="104"/>
      <c r="AH15" s="6"/>
      <c r="AI15" s="6"/>
      <c r="AJ15" s="4">
        <f t="shared" si="1"/>
        <v>18</v>
      </c>
      <c r="AK15" s="4">
        <f t="shared" si="2"/>
        <v>0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147</v>
      </c>
      <c r="C16" s="80" t="s">
        <v>148</v>
      </c>
      <c r="D16" s="5" t="s">
        <v>50</v>
      </c>
      <c r="E16" s="104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07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104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104"/>
      <c r="AA16" s="6"/>
      <c r="AB16" s="6"/>
      <c r="AC16" s="6"/>
      <c r="AD16" s="6"/>
      <c r="AE16" s="6"/>
      <c r="AF16" s="6"/>
      <c r="AG16" s="104"/>
      <c r="AH16" s="6"/>
      <c r="AI16" s="6"/>
      <c r="AJ16" s="4">
        <f t="shared" si="1"/>
        <v>18</v>
      </c>
      <c r="AK16" s="4">
        <f t="shared" si="2"/>
        <v>0</v>
      </c>
      <c r="AL16"/>
      <c r="AM16"/>
      <c r="AN16"/>
      <c r="AO16"/>
    </row>
    <row r="17" spans="1:41" ht="16.5">
      <c r="A17" s="7">
        <v>13</v>
      </c>
      <c r="B17" s="80" t="s">
        <v>149</v>
      </c>
      <c r="C17" s="80" t="s">
        <v>150</v>
      </c>
      <c r="D17" s="5" t="s">
        <v>50</v>
      </c>
      <c r="E17" s="104"/>
      <c r="F17" s="13" t="s">
        <v>24</v>
      </c>
      <c r="G17" s="13" t="s">
        <v>24</v>
      </c>
      <c r="H17" s="13" t="s">
        <v>23</v>
      </c>
      <c r="I17" s="13" t="s">
        <v>24</v>
      </c>
      <c r="J17" s="13" t="s">
        <v>24</v>
      </c>
      <c r="K17" s="13" t="s">
        <v>24</v>
      </c>
      <c r="L17" s="107"/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  <c r="R17" s="6" t="s">
        <v>24</v>
      </c>
      <c r="S17" s="104"/>
      <c r="T17" s="6" t="s">
        <v>24</v>
      </c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104"/>
      <c r="AA17" s="6"/>
      <c r="AB17" s="6"/>
      <c r="AC17" s="6"/>
      <c r="AD17" s="6"/>
      <c r="AE17" s="6"/>
      <c r="AF17" s="6"/>
      <c r="AG17" s="104"/>
      <c r="AH17" s="6"/>
      <c r="AI17" s="6"/>
      <c r="AJ17" s="4">
        <f t="shared" si="1"/>
        <v>17</v>
      </c>
      <c r="AK17" s="4">
        <f t="shared" si="2"/>
        <v>1</v>
      </c>
      <c r="AL17"/>
      <c r="AM17"/>
      <c r="AN17"/>
      <c r="AO17"/>
    </row>
    <row r="18" spans="1:41" ht="16.5">
      <c r="A18" s="7">
        <v>14</v>
      </c>
      <c r="B18" s="80" t="s">
        <v>151</v>
      </c>
      <c r="C18" s="80" t="s">
        <v>152</v>
      </c>
      <c r="D18" s="5" t="s">
        <v>50</v>
      </c>
      <c r="E18" s="104"/>
      <c r="F18" s="13" t="s">
        <v>24</v>
      </c>
      <c r="G18" s="13" t="s">
        <v>24</v>
      </c>
      <c r="H18" s="13" t="s">
        <v>25</v>
      </c>
      <c r="I18" s="13" t="s">
        <v>24</v>
      </c>
      <c r="J18" s="13" t="s">
        <v>24</v>
      </c>
      <c r="K18" s="13" t="s">
        <v>24</v>
      </c>
      <c r="L18" s="107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104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104"/>
      <c r="AA18" s="6"/>
      <c r="AB18" s="6"/>
      <c r="AC18" s="6"/>
      <c r="AD18" s="6"/>
      <c r="AE18" s="6"/>
      <c r="AF18" s="6"/>
      <c r="AG18" s="104"/>
      <c r="AH18" s="6"/>
      <c r="AI18" s="6"/>
      <c r="AJ18" s="4">
        <f t="shared" si="1"/>
        <v>17</v>
      </c>
      <c r="AK18" s="4">
        <f t="shared" si="2"/>
        <v>0</v>
      </c>
      <c r="AL18"/>
      <c r="AM18"/>
      <c r="AN18"/>
      <c r="AO18"/>
    </row>
    <row r="19" spans="1:41" ht="16.5">
      <c r="A19" s="7">
        <v>15</v>
      </c>
      <c r="B19" s="80" t="s">
        <v>49</v>
      </c>
      <c r="C19" s="80" t="s">
        <v>153</v>
      </c>
      <c r="D19" s="5" t="s">
        <v>50</v>
      </c>
      <c r="E19" s="104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07"/>
      <c r="M19" s="6" t="s">
        <v>24</v>
      </c>
      <c r="N19" s="6" t="s">
        <v>23</v>
      </c>
      <c r="O19" s="6" t="s">
        <v>24</v>
      </c>
      <c r="P19" s="6" t="s">
        <v>24</v>
      </c>
      <c r="Q19" s="6" t="s">
        <v>24</v>
      </c>
      <c r="R19" s="6" t="s">
        <v>24</v>
      </c>
      <c r="S19" s="104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104"/>
      <c r="AA19" s="6"/>
      <c r="AB19" s="6"/>
      <c r="AC19" s="6"/>
      <c r="AD19" s="6"/>
      <c r="AE19" s="6"/>
      <c r="AF19" s="6"/>
      <c r="AG19" s="104"/>
      <c r="AH19" s="6"/>
      <c r="AI19" s="6"/>
      <c r="AJ19" s="4">
        <f t="shared" si="1"/>
        <v>17</v>
      </c>
      <c r="AK19" s="4">
        <f t="shared" si="2"/>
        <v>1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0" t="s">
        <v>154</v>
      </c>
      <c r="C20" s="80" t="s">
        <v>155</v>
      </c>
      <c r="D20" s="5" t="s">
        <v>50</v>
      </c>
      <c r="E20" s="104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07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104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104"/>
      <c r="AA20" s="6"/>
      <c r="AB20" s="6"/>
      <c r="AC20" s="6"/>
      <c r="AD20" s="6"/>
      <c r="AE20" s="6"/>
      <c r="AF20" s="6"/>
      <c r="AG20" s="104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156</v>
      </c>
      <c r="C21" s="80" t="s">
        <v>157</v>
      </c>
      <c r="D21" s="5" t="s">
        <v>50</v>
      </c>
      <c r="E21" s="104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07"/>
      <c r="M21" s="6" t="s">
        <v>24</v>
      </c>
      <c r="N21" s="6" t="s">
        <v>24</v>
      </c>
      <c r="O21" s="6" t="s">
        <v>24</v>
      </c>
      <c r="P21" s="6" t="s">
        <v>25</v>
      </c>
      <c r="Q21" s="6" t="s">
        <v>24</v>
      </c>
      <c r="R21" s="6" t="s">
        <v>24</v>
      </c>
      <c r="S21" s="104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104"/>
      <c r="AA21" s="6"/>
      <c r="AB21" s="6"/>
      <c r="AC21" s="6"/>
      <c r="AD21" s="6"/>
      <c r="AE21" s="6"/>
      <c r="AF21" s="6"/>
      <c r="AG21" s="104"/>
      <c r="AH21" s="6"/>
      <c r="AI21" s="6"/>
      <c r="AJ21" s="4">
        <f t="shared" si="1"/>
        <v>17</v>
      </c>
      <c r="AK21" s="4">
        <f t="shared" si="2"/>
        <v>0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0" t="s">
        <v>158</v>
      </c>
      <c r="C22" s="80" t="s">
        <v>159</v>
      </c>
      <c r="D22" s="5" t="s">
        <v>50</v>
      </c>
      <c r="E22" s="104"/>
      <c r="F22" s="13" t="s">
        <v>24</v>
      </c>
      <c r="G22" s="13" t="s">
        <v>24</v>
      </c>
      <c r="H22" s="13" t="s">
        <v>23</v>
      </c>
      <c r="I22" s="13" t="s">
        <v>24</v>
      </c>
      <c r="J22" s="13" t="s">
        <v>24</v>
      </c>
      <c r="K22" s="13" t="s">
        <v>24</v>
      </c>
      <c r="L22" s="107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104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104"/>
      <c r="AA22" s="6"/>
      <c r="AB22" s="6"/>
      <c r="AC22" s="6"/>
      <c r="AD22" s="6"/>
      <c r="AE22" s="6"/>
      <c r="AF22" s="6"/>
      <c r="AG22" s="104"/>
      <c r="AH22" s="6"/>
      <c r="AI22" s="6"/>
      <c r="AJ22" s="4">
        <f t="shared" si="1"/>
        <v>17</v>
      </c>
      <c r="AK22" s="4">
        <f t="shared" si="2"/>
        <v>1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0" t="s">
        <v>21</v>
      </c>
      <c r="C23" s="80" t="s">
        <v>160</v>
      </c>
      <c r="D23" s="5" t="s">
        <v>50</v>
      </c>
      <c r="E23" s="104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07"/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  <c r="R23" s="6" t="s">
        <v>24</v>
      </c>
      <c r="S23" s="104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104"/>
      <c r="AA23" s="6"/>
      <c r="AB23" s="6"/>
      <c r="AC23" s="6"/>
      <c r="AD23" s="6"/>
      <c r="AE23" s="6"/>
      <c r="AF23" s="6"/>
      <c r="AG23" s="104"/>
      <c r="AH23" s="6"/>
      <c r="AI23" s="6"/>
      <c r="AJ23" s="4">
        <f t="shared" si="1"/>
        <v>18</v>
      </c>
      <c r="AK23" s="4">
        <f t="shared" si="2"/>
        <v>0</v>
      </c>
      <c r="AL23" s="83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0" t="s">
        <v>161</v>
      </c>
      <c r="C24" s="80" t="s">
        <v>162</v>
      </c>
      <c r="D24" s="5" t="s">
        <v>50</v>
      </c>
      <c r="E24" s="104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07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104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104"/>
      <c r="AA24" s="6"/>
      <c r="AB24" s="6"/>
      <c r="AC24" s="6"/>
      <c r="AD24" s="6"/>
      <c r="AE24" s="6"/>
      <c r="AF24" s="6"/>
      <c r="AG24" s="104"/>
      <c r="AH24" s="6"/>
      <c r="AI24" s="6"/>
      <c r="AJ24" s="4">
        <f t="shared" si="1"/>
        <v>18</v>
      </c>
      <c r="AK24" s="4">
        <f t="shared" si="2"/>
        <v>0</v>
      </c>
    </row>
    <row r="25" spans="1:41" ht="16.5">
      <c r="A25" s="7">
        <v>21</v>
      </c>
      <c r="B25" s="80" t="s">
        <v>39</v>
      </c>
      <c r="C25" s="80" t="s">
        <v>163</v>
      </c>
      <c r="D25" s="5" t="s">
        <v>50</v>
      </c>
      <c r="E25" s="104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07"/>
      <c r="M25" s="6" t="s">
        <v>24</v>
      </c>
      <c r="N25" s="6" t="s">
        <v>23</v>
      </c>
      <c r="O25" s="6" t="s">
        <v>24</v>
      </c>
      <c r="P25" s="6" t="s">
        <v>24</v>
      </c>
      <c r="Q25" s="6" t="s">
        <v>24</v>
      </c>
      <c r="R25" s="6" t="s">
        <v>24</v>
      </c>
      <c r="S25" s="104"/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104"/>
      <c r="AA25" s="6"/>
      <c r="AB25" s="6"/>
      <c r="AC25" s="6"/>
      <c r="AD25" s="6"/>
      <c r="AE25" s="6"/>
      <c r="AF25" s="6"/>
      <c r="AG25" s="104"/>
      <c r="AH25" s="6"/>
      <c r="AI25" s="6"/>
      <c r="AJ25" s="4">
        <f t="shared" si="1"/>
        <v>17</v>
      </c>
      <c r="AK25" s="4">
        <f t="shared" si="2"/>
        <v>1</v>
      </c>
    </row>
    <row r="26" spans="1:41" ht="16.5">
      <c r="A26" s="7">
        <v>22</v>
      </c>
      <c r="B26" s="80" t="s">
        <v>51</v>
      </c>
      <c r="C26" s="80" t="s">
        <v>163</v>
      </c>
      <c r="D26" s="5" t="s">
        <v>50</v>
      </c>
      <c r="E26" s="104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07"/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104"/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104"/>
      <c r="AA26" s="6"/>
      <c r="AB26" s="6"/>
      <c r="AC26" s="6"/>
      <c r="AD26" s="6"/>
      <c r="AE26" s="6"/>
      <c r="AF26" s="6"/>
      <c r="AG26" s="104"/>
      <c r="AH26" s="6"/>
      <c r="AI26" s="6"/>
      <c r="AJ26" s="4">
        <f t="shared" si="1"/>
        <v>18</v>
      </c>
      <c r="AK26" s="4">
        <f t="shared" si="2"/>
        <v>0</v>
      </c>
    </row>
    <row r="27" spans="1:41" ht="16.5">
      <c r="A27" s="7">
        <v>23</v>
      </c>
      <c r="B27" s="80" t="s">
        <v>164</v>
      </c>
      <c r="C27" s="80" t="s">
        <v>165</v>
      </c>
      <c r="D27" s="5" t="s">
        <v>50</v>
      </c>
      <c r="E27" s="104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07"/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104"/>
      <c r="T27" s="6" t="s">
        <v>24</v>
      </c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104"/>
      <c r="AA27" s="6"/>
      <c r="AB27" s="6"/>
      <c r="AC27" s="6"/>
      <c r="AD27" s="6"/>
      <c r="AE27" s="6"/>
      <c r="AF27" s="6"/>
      <c r="AG27" s="104"/>
      <c r="AH27" s="6"/>
      <c r="AI27" s="6"/>
      <c r="AJ27" s="4">
        <f t="shared" si="1"/>
        <v>18</v>
      </c>
      <c r="AK27" s="4">
        <f t="shared" si="2"/>
        <v>0</v>
      </c>
    </row>
    <row r="28" spans="1:41" ht="16.5">
      <c r="A28" s="7">
        <v>24</v>
      </c>
      <c r="B28" s="80" t="s">
        <v>166</v>
      </c>
      <c r="C28" s="80" t="s">
        <v>167</v>
      </c>
      <c r="D28" s="5" t="s">
        <v>50</v>
      </c>
      <c r="E28" s="104"/>
      <c r="F28" s="13" t="s">
        <v>24</v>
      </c>
      <c r="G28" s="13" t="s">
        <v>24</v>
      </c>
      <c r="H28" s="13" t="s">
        <v>25</v>
      </c>
      <c r="I28" s="13" t="s">
        <v>24</v>
      </c>
      <c r="J28" s="13" t="s">
        <v>24</v>
      </c>
      <c r="K28" s="13" t="s">
        <v>24</v>
      </c>
      <c r="L28" s="107"/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104"/>
      <c r="T28" s="6" t="s">
        <v>24</v>
      </c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104"/>
      <c r="AA28" s="6"/>
      <c r="AB28" s="6"/>
      <c r="AC28" s="6"/>
      <c r="AD28" s="6"/>
      <c r="AE28" s="6"/>
      <c r="AF28" s="6"/>
      <c r="AG28" s="104"/>
      <c r="AH28" s="6"/>
      <c r="AI28" s="6"/>
      <c r="AJ28" s="4">
        <f t="shared" si="1"/>
        <v>17</v>
      </c>
      <c r="AK28" s="4">
        <f t="shared" si="2"/>
        <v>0</v>
      </c>
    </row>
    <row r="29" spans="1:41" ht="16.5">
      <c r="A29" s="7">
        <v>25</v>
      </c>
      <c r="B29" s="80" t="s">
        <v>168</v>
      </c>
      <c r="C29" s="80" t="s">
        <v>169</v>
      </c>
      <c r="D29" s="5" t="s">
        <v>50</v>
      </c>
      <c r="E29" s="104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07"/>
      <c r="M29" s="6" t="s">
        <v>24</v>
      </c>
      <c r="N29" s="6" t="s">
        <v>24</v>
      </c>
      <c r="O29" s="6" t="s">
        <v>24</v>
      </c>
      <c r="P29" s="6" t="s">
        <v>24</v>
      </c>
      <c r="Q29" s="6" t="s">
        <v>24</v>
      </c>
      <c r="R29" s="6" t="s">
        <v>24</v>
      </c>
      <c r="S29" s="104"/>
      <c r="T29" s="6" t="s">
        <v>24</v>
      </c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104"/>
      <c r="AA29" s="6"/>
      <c r="AB29" s="6"/>
      <c r="AC29" s="6"/>
      <c r="AD29" s="6"/>
      <c r="AE29" s="6"/>
      <c r="AF29" s="6"/>
      <c r="AG29" s="104"/>
      <c r="AH29" s="6"/>
      <c r="AI29" s="6"/>
      <c r="AJ29" s="4">
        <f t="shared" si="1"/>
        <v>18</v>
      </c>
      <c r="AK29" s="4">
        <f t="shared" si="2"/>
        <v>0</v>
      </c>
    </row>
    <row r="30" spans="1:41" ht="16.5">
      <c r="A30" s="7">
        <v>26</v>
      </c>
      <c r="B30" s="80" t="s">
        <v>170</v>
      </c>
      <c r="C30" s="80" t="s">
        <v>171</v>
      </c>
      <c r="D30" s="5" t="s">
        <v>50</v>
      </c>
      <c r="E30" s="104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07"/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104"/>
      <c r="T30" s="6" t="s">
        <v>24</v>
      </c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104"/>
      <c r="AA30" s="6"/>
      <c r="AB30" s="6"/>
      <c r="AC30" s="6"/>
      <c r="AD30" s="6"/>
      <c r="AE30" s="6"/>
      <c r="AF30" s="6"/>
      <c r="AG30" s="104"/>
      <c r="AH30" s="6"/>
      <c r="AI30" s="6"/>
      <c r="AJ30" s="4">
        <f t="shared" si="1"/>
        <v>18</v>
      </c>
      <c r="AK30" s="4">
        <f t="shared" si="2"/>
        <v>0</v>
      </c>
    </row>
    <row r="31" spans="1:41" ht="16.5">
      <c r="A31" s="7">
        <v>27</v>
      </c>
      <c r="B31" s="80" t="s">
        <v>172</v>
      </c>
      <c r="C31" s="80" t="s">
        <v>173</v>
      </c>
      <c r="D31" s="14" t="s">
        <v>50</v>
      </c>
      <c r="E31" s="104"/>
      <c r="F31" s="13" t="s">
        <v>24</v>
      </c>
      <c r="G31" s="13" t="s">
        <v>24</v>
      </c>
      <c r="H31" s="13" t="s">
        <v>25</v>
      </c>
      <c r="I31" s="13" t="s">
        <v>24</v>
      </c>
      <c r="J31" s="13" t="s">
        <v>24</v>
      </c>
      <c r="K31" s="13" t="s">
        <v>24</v>
      </c>
      <c r="L31" s="107"/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104"/>
      <c r="T31" s="6" t="s">
        <v>24</v>
      </c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104"/>
      <c r="AA31" s="6"/>
      <c r="AB31" s="6"/>
      <c r="AC31" s="6"/>
      <c r="AD31" s="6"/>
      <c r="AE31" s="6"/>
      <c r="AF31" s="6"/>
      <c r="AG31" s="104"/>
      <c r="AH31" s="6"/>
      <c r="AI31" s="6"/>
      <c r="AJ31" s="4">
        <f t="shared" si="1"/>
        <v>17</v>
      </c>
      <c r="AK31" s="4">
        <f t="shared" si="2"/>
        <v>0</v>
      </c>
    </row>
    <row r="32" spans="1:41" ht="16.5">
      <c r="A32" s="7">
        <v>28</v>
      </c>
      <c r="B32" s="80" t="s">
        <v>174</v>
      </c>
      <c r="C32" s="80" t="s">
        <v>110</v>
      </c>
      <c r="D32" s="14" t="s">
        <v>50</v>
      </c>
      <c r="E32" s="104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07"/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104"/>
      <c r="T32" s="6" t="s">
        <v>24</v>
      </c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104"/>
      <c r="AA32" s="6"/>
      <c r="AB32" s="6"/>
      <c r="AC32" s="6"/>
      <c r="AD32" s="6"/>
      <c r="AE32" s="6"/>
      <c r="AF32" s="6"/>
      <c r="AG32" s="104"/>
      <c r="AH32" s="6"/>
      <c r="AI32" s="6"/>
      <c r="AJ32" s="4">
        <f t="shared" si="1"/>
        <v>18</v>
      </c>
      <c r="AK32" s="4">
        <f t="shared" si="2"/>
        <v>0</v>
      </c>
    </row>
    <row r="33" spans="1:37" ht="16.5">
      <c r="A33" s="7">
        <v>29</v>
      </c>
      <c r="B33" s="80" t="s">
        <v>175</v>
      </c>
      <c r="C33" s="80" t="s">
        <v>176</v>
      </c>
      <c r="D33" s="14" t="s">
        <v>50</v>
      </c>
      <c r="E33" s="104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07"/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  <c r="R33" s="6" t="s">
        <v>24</v>
      </c>
      <c r="S33" s="104"/>
      <c r="T33" s="6" t="s">
        <v>24</v>
      </c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104"/>
      <c r="AA33" s="6"/>
      <c r="AB33" s="6"/>
      <c r="AC33" s="6"/>
      <c r="AD33" s="6"/>
      <c r="AE33" s="6"/>
      <c r="AF33" s="6"/>
      <c r="AG33" s="104"/>
      <c r="AH33" s="6"/>
      <c r="AI33" s="6"/>
      <c r="AJ33" s="4">
        <f t="shared" si="1"/>
        <v>18</v>
      </c>
      <c r="AK33" s="4">
        <f t="shared" si="2"/>
        <v>0</v>
      </c>
    </row>
    <row r="34" spans="1:37" ht="16.5">
      <c r="A34" s="7">
        <v>30</v>
      </c>
      <c r="B34" s="80" t="s">
        <v>177</v>
      </c>
      <c r="C34" s="80" t="s">
        <v>178</v>
      </c>
      <c r="D34" s="14" t="s">
        <v>50</v>
      </c>
      <c r="E34" s="104"/>
      <c r="F34" s="13" t="s">
        <v>24</v>
      </c>
      <c r="G34" s="13" t="s">
        <v>24</v>
      </c>
      <c r="H34" s="13" t="s">
        <v>25</v>
      </c>
      <c r="I34" s="13" t="s">
        <v>24</v>
      </c>
      <c r="J34" s="13" t="s">
        <v>24</v>
      </c>
      <c r="K34" s="13" t="s">
        <v>24</v>
      </c>
      <c r="L34" s="107"/>
      <c r="M34" s="6" t="s">
        <v>24</v>
      </c>
      <c r="N34" s="6" t="s">
        <v>24</v>
      </c>
      <c r="O34" s="6" t="s">
        <v>24</v>
      </c>
      <c r="P34" s="6" t="s">
        <v>23</v>
      </c>
      <c r="Q34" s="6" t="s">
        <v>24</v>
      </c>
      <c r="R34" s="6" t="s">
        <v>24</v>
      </c>
      <c r="S34" s="104"/>
      <c r="T34" s="6" t="s">
        <v>24</v>
      </c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104"/>
      <c r="AA34" s="6"/>
      <c r="AB34" s="6"/>
      <c r="AC34" s="6"/>
      <c r="AD34" s="6"/>
      <c r="AE34" s="6"/>
      <c r="AF34" s="6"/>
      <c r="AG34" s="104"/>
      <c r="AH34" s="6"/>
      <c r="AI34" s="6"/>
      <c r="AJ34" s="4">
        <f t="shared" si="1"/>
        <v>16</v>
      </c>
      <c r="AK34" s="4">
        <f t="shared" si="2"/>
        <v>1</v>
      </c>
    </row>
    <row r="35" spans="1:37" ht="16.5">
      <c r="A35" s="7">
        <v>31</v>
      </c>
      <c r="B35" s="80" t="s">
        <v>179</v>
      </c>
      <c r="C35" s="80" t="s">
        <v>180</v>
      </c>
      <c r="D35" s="14" t="s">
        <v>50</v>
      </c>
      <c r="E35" s="104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07"/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104"/>
      <c r="T35" s="6" t="s">
        <v>24</v>
      </c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104"/>
      <c r="AA35" s="6"/>
      <c r="AB35" s="6"/>
      <c r="AC35" s="6"/>
      <c r="AD35" s="6"/>
      <c r="AE35" s="6"/>
      <c r="AF35" s="6"/>
      <c r="AG35" s="104"/>
      <c r="AH35" s="6"/>
      <c r="AI35" s="6"/>
      <c r="AJ35" s="4">
        <f t="shared" si="1"/>
        <v>18</v>
      </c>
      <c r="AK35" s="4">
        <f t="shared" si="2"/>
        <v>0</v>
      </c>
    </row>
    <row r="36" spans="1:37" ht="16.5">
      <c r="A36" s="7">
        <v>32</v>
      </c>
      <c r="B36" s="80" t="s">
        <v>33</v>
      </c>
      <c r="C36" s="80" t="s">
        <v>135</v>
      </c>
      <c r="D36" s="14" t="s">
        <v>50</v>
      </c>
      <c r="E36" s="104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07"/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  <c r="R36" s="6" t="s">
        <v>24</v>
      </c>
      <c r="S36" s="104"/>
      <c r="T36" s="6" t="s">
        <v>24</v>
      </c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104"/>
      <c r="AA36" s="6"/>
      <c r="AB36" s="6"/>
      <c r="AC36" s="6"/>
      <c r="AD36" s="6"/>
      <c r="AE36" s="6"/>
      <c r="AF36" s="6"/>
      <c r="AG36" s="104"/>
      <c r="AH36" s="6"/>
      <c r="AI36" s="6"/>
      <c r="AJ36" s="4">
        <f t="shared" si="1"/>
        <v>18</v>
      </c>
      <c r="AK36" s="4">
        <f t="shared" si="2"/>
        <v>0</v>
      </c>
    </row>
    <row r="37" spans="1:37" ht="16.5">
      <c r="A37" s="7">
        <v>33</v>
      </c>
      <c r="B37" s="80" t="s">
        <v>181</v>
      </c>
      <c r="C37" s="80" t="s">
        <v>182</v>
      </c>
      <c r="D37" s="14" t="s">
        <v>50</v>
      </c>
      <c r="E37" s="104"/>
      <c r="F37" s="13" t="s">
        <v>24</v>
      </c>
      <c r="G37" s="13" t="s">
        <v>24</v>
      </c>
      <c r="H37" s="13" t="s">
        <v>24</v>
      </c>
      <c r="I37" s="13" t="s">
        <v>25</v>
      </c>
      <c r="J37" s="13" t="s">
        <v>24</v>
      </c>
      <c r="K37" s="13" t="s">
        <v>24</v>
      </c>
      <c r="L37" s="107"/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104"/>
      <c r="T37" s="6" t="s">
        <v>24</v>
      </c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104"/>
      <c r="AA37" s="6"/>
      <c r="AB37" s="6"/>
      <c r="AC37" s="6"/>
      <c r="AD37" s="6"/>
      <c r="AE37" s="6"/>
      <c r="AF37" s="6"/>
      <c r="AG37" s="104"/>
      <c r="AH37" s="6"/>
      <c r="AI37" s="6"/>
      <c r="AJ37" s="4">
        <f t="shared" si="1"/>
        <v>17</v>
      </c>
      <c r="AK37" s="4">
        <f t="shared" ref="AK37:AK40" si="3">COUNTIF(E37:AI37,"A")</f>
        <v>0</v>
      </c>
    </row>
    <row r="38" spans="1:37" ht="16.5">
      <c r="A38" s="7">
        <v>34</v>
      </c>
      <c r="B38" s="80" t="s">
        <v>183</v>
      </c>
      <c r="C38" s="80" t="s">
        <v>184</v>
      </c>
      <c r="D38" s="14" t="s">
        <v>50</v>
      </c>
      <c r="E38" s="104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07"/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104"/>
      <c r="T38" s="6" t="s">
        <v>24</v>
      </c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104"/>
      <c r="AA38" s="6"/>
      <c r="AB38" s="6"/>
      <c r="AC38" s="6"/>
      <c r="AD38" s="6"/>
      <c r="AE38" s="6"/>
      <c r="AF38" s="6"/>
      <c r="AG38" s="104"/>
      <c r="AH38" s="6"/>
      <c r="AI38" s="6"/>
      <c r="AJ38" s="4">
        <f t="shared" si="1"/>
        <v>18</v>
      </c>
      <c r="AK38" s="4">
        <f t="shared" si="3"/>
        <v>0</v>
      </c>
    </row>
    <row r="39" spans="1:37" ht="16.5">
      <c r="A39" s="7">
        <v>35</v>
      </c>
      <c r="B39" s="80" t="s">
        <v>185</v>
      </c>
      <c r="C39" s="80" t="s">
        <v>186</v>
      </c>
      <c r="D39" s="14" t="s">
        <v>50</v>
      </c>
      <c r="E39" s="104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07"/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104"/>
      <c r="T39" s="6" t="s">
        <v>24</v>
      </c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104"/>
      <c r="AA39" s="6"/>
      <c r="AB39" s="6"/>
      <c r="AC39" s="6"/>
      <c r="AD39" s="6"/>
      <c r="AE39" s="6"/>
      <c r="AF39" s="6"/>
      <c r="AG39" s="104"/>
      <c r="AH39" s="6"/>
      <c r="AI39" s="6"/>
      <c r="AJ39" s="4">
        <f t="shared" si="1"/>
        <v>18</v>
      </c>
      <c r="AK39" s="4">
        <f t="shared" si="3"/>
        <v>0</v>
      </c>
    </row>
    <row r="40" spans="1:37" ht="16.5">
      <c r="A40" s="7">
        <v>36</v>
      </c>
      <c r="B40" s="80" t="s">
        <v>187</v>
      </c>
      <c r="C40" s="80" t="s">
        <v>188</v>
      </c>
      <c r="D40" s="14" t="s">
        <v>50</v>
      </c>
      <c r="E40" s="104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07"/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104"/>
      <c r="T40" s="6" t="s">
        <v>24</v>
      </c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104"/>
      <c r="AA40" s="6"/>
      <c r="AB40" s="6"/>
      <c r="AC40" s="6"/>
      <c r="AD40" s="6"/>
      <c r="AE40" s="6"/>
      <c r="AF40" s="6"/>
      <c r="AG40" s="104"/>
      <c r="AH40" s="6"/>
      <c r="AI40" s="6"/>
      <c r="AJ40" s="4">
        <f t="shared" si="1"/>
        <v>18</v>
      </c>
      <c r="AK40" s="4">
        <f t="shared" si="3"/>
        <v>0</v>
      </c>
    </row>
    <row r="41" spans="1:37" ht="16.5">
      <c r="A41" s="86">
        <f>A40+1</f>
        <v>37</v>
      </c>
      <c r="B41" s="80" t="s">
        <v>189</v>
      </c>
      <c r="C41" s="80" t="s">
        <v>152</v>
      </c>
      <c r="D41" s="14" t="s">
        <v>50</v>
      </c>
      <c r="E41" s="104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07"/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104"/>
      <c r="T41" s="6" t="s">
        <v>24</v>
      </c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104"/>
      <c r="AA41" s="85"/>
      <c r="AB41" s="85"/>
      <c r="AC41" s="85"/>
      <c r="AD41" s="85"/>
      <c r="AE41" s="85"/>
      <c r="AF41" s="85"/>
      <c r="AG41" s="104"/>
      <c r="AH41" s="85"/>
      <c r="AI41" s="85"/>
      <c r="AJ41" s="85"/>
      <c r="AK41" s="85"/>
    </row>
    <row r="42" spans="1:37" ht="16.5">
      <c r="A42" s="86">
        <f t="shared" ref="A42:A51" si="4">A41+1</f>
        <v>38</v>
      </c>
      <c r="B42" s="84" t="s">
        <v>190</v>
      </c>
      <c r="C42" s="84" t="s">
        <v>191</v>
      </c>
      <c r="D42" s="5" t="s">
        <v>50</v>
      </c>
      <c r="E42" s="104"/>
      <c r="F42" s="13" t="s">
        <v>24</v>
      </c>
      <c r="G42" s="13" t="s">
        <v>24</v>
      </c>
      <c r="H42" s="13" t="s">
        <v>24</v>
      </c>
      <c r="I42" s="13" t="s">
        <v>24</v>
      </c>
      <c r="J42" s="13" t="s">
        <v>24</v>
      </c>
      <c r="K42" s="13" t="s">
        <v>24</v>
      </c>
      <c r="L42" s="107"/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  <c r="R42" s="6" t="s">
        <v>24</v>
      </c>
      <c r="S42" s="104"/>
      <c r="T42" s="6" t="s">
        <v>24</v>
      </c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104"/>
      <c r="AA42" s="85"/>
      <c r="AB42" s="85"/>
      <c r="AC42" s="85"/>
      <c r="AD42" s="85"/>
      <c r="AE42" s="85"/>
      <c r="AF42" s="85"/>
      <c r="AG42" s="104"/>
      <c r="AH42" s="85"/>
      <c r="AI42" s="85"/>
      <c r="AJ42" s="85"/>
      <c r="AK42" s="85"/>
    </row>
    <row r="43" spans="1:37" ht="16.5">
      <c r="A43" s="86">
        <f t="shared" si="4"/>
        <v>39</v>
      </c>
      <c r="B43" s="84" t="s">
        <v>118</v>
      </c>
      <c r="C43" s="84" t="s">
        <v>155</v>
      </c>
      <c r="D43" s="5" t="s">
        <v>50</v>
      </c>
      <c r="E43" s="104"/>
      <c r="F43" s="13" t="s">
        <v>24</v>
      </c>
      <c r="G43" s="13" t="s">
        <v>24</v>
      </c>
      <c r="H43" s="13" t="s">
        <v>24</v>
      </c>
      <c r="I43" s="13" t="s">
        <v>25</v>
      </c>
      <c r="J43" s="13" t="s">
        <v>24</v>
      </c>
      <c r="K43" s="13" t="s">
        <v>24</v>
      </c>
      <c r="L43" s="107"/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  <c r="R43" s="6" t="s">
        <v>24</v>
      </c>
      <c r="S43" s="104"/>
      <c r="T43" s="6" t="s">
        <v>24</v>
      </c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104"/>
      <c r="AA43" s="85"/>
      <c r="AB43" s="85"/>
      <c r="AC43" s="85"/>
      <c r="AD43" s="85"/>
      <c r="AE43" s="85"/>
      <c r="AF43" s="85"/>
      <c r="AG43" s="104"/>
      <c r="AH43" s="85"/>
      <c r="AI43" s="85"/>
      <c r="AJ43" s="85"/>
      <c r="AK43" s="85"/>
    </row>
    <row r="44" spans="1:37" ht="16.5">
      <c r="A44" s="86">
        <f t="shared" si="4"/>
        <v>40</v>
      </c>
      <c r="B44" s="84" t="s">
        <v>192</v>
      </c>
      <c r="C44" s="84" t="s">
        <v>77</v>
      </c>
      <c r="D44" s="5" t="s">
        <v>50</v>
      </c>
      <c r="E44" s="104"/>
      <c r="F44" s="13" t="s">
        <v>24</v>
      </c>
      <c r="G44" s="13" t="s">
        <v>24</v>
      </c>
      <c r="H44" s="13" t="s">
        <v>24</v>
      </c>
      <c r="I44" s="13" t="s">
        <v>24</v>
      </c>
      <c r="J44" s="13" t="s">
        <v>24</v>
      </c>
      <c r="K44" s="13" t="s">
        <v>24</v>
      </c>
      <c r="L44" s="107"/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104"/>
      <c r="T44" s="6" t="s">
        <v>24</v>
      </c>
      <c r="U44" s="6" t="s">
        <v>24</v>
      </c>
      <c r="V44" s="6" t="s">
        <v>24</v>
      </c>
      <c r="W44" s="6" t="s">
        <v>24</v>
      </c>
      <c r="X44" s="6" t="s">
        <v>24</v>
      </c>
      <c r="Y44" s="6" t="s">
        <v>24</v>
      </c>
      <c r="Z44" s="104"/>
      <c r="AA44" s="85"/>
      <c r="AB44" s="85"/>
      <c r="AC44" s="85"/>
      <c r="AD44" s="85"/>
      <c r="AE44" s="85"/>
      <c r="AF44" s="85"/>
      <c r="AG44" s="104"/>
      <c r="AH44" s="85"/>
      <c r="AI44" s="85"/>
      <c r="AJ44" s="85"/>
      <c r="AK44" s="85"/>
    </row>
    <row r="45" spans="1:37" ht="16.5">
      <c r="A45" s="86">
        <f t="shared" si="4"/>
        <v>41</v>
      </c>
      <c r="B45" s="84" t="s">
        <v>74</v>
      </c>
      <c r="C45" s="84" t="s">
        <v>77</v>
      </c>
      <c r="D45" s="5" t="s">
        <v>50</v>
      </c>
      <c r="E45" s="104"/>
      <c r="F45" s="13" t="s">
        <v>24</v>
      </c>
      <c r="G45" s="13" t="s">
        <v>24</v>
      </c>
      <c r="H45" s="13" t="s">
        <v>24</v>
      </c>
      <c r="I45" s="13" t="s">
        <v>24</v>
      </c>
      <c r="J45" s="13" t="s">
        <v>24</v>
      </c>
      <c r="K45" s="13" t="s">
        <v>24</v>
      </c>
      <c r="L45" s="107"/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104"/>
      <c r="T45" s="6" t="s">
        <v>24</v>
      </c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104"/>
      <c r="AA45" s="85"/>
      <c r="AB45" s="85"/>
      <c r="AC45" s="85"/>
      <c r="AD45" s="85"/>
      <c r="AE45" s="85"/>
      <c r="AF45" s="85"/>
      <c r="AG45" s="104"/>
      <c r="AH45" s="85"/>
      <c r="AI45" s="85"/>
      <c r="AJ45" s="85"/>
      <c r="AK45" s="85"/>
    </row>
    <row r="46" spans="1:37" ht="16.5">
      <c r="A46" s="86">
        <f t="shared" si="4"/>
        <v>42</v>
      </c>
      <c r="B46" s="84" t="s">
        <v>193</v>
      </c>
      <c r="C46" s="84" t="s">
        <v>191</v>
      </c>
      <c r="D46" s="5" t="s">
        <v>50</v>
      </c>
      <c r="E46" s="104"/>
      <c r="F46" s="13" t="s">
        <v>24</v>
      </c>
      <c r="G46" s="13" t="s">
        <v>24</v>
      </c>
      <c r="H46" s="13" t="s">
        <v>24</v>
      </c>
      <c r="I46" s="13" t="s">
        <v>23</v>
      </c>
      <c r="J46" s="13" t="s">
        <v>24</v>
      </c>
      <c r="K46" s="13" t="s">
        <v>24</v>
      </c>
      <c r="L46" s="107"/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  <c r="R46" s="6" t="s">
        <v>24</v>
      </c>
      <c r="S46" s="104"/>
      <c r="T46" s="6" t="s">
        <v>24</v>
      </c>
      <c r="U46" s="6" t="s">
        <v>24</v>
      </c>
      <c r="V46" s="6" t="s">
        <v>24</v>
      </c>
      <c r="W46" s="6" t="s">
        <v>24</v>
      </c>
      <c r="X46" s="6" t="s">
        <v>24</v>
      </c>
      <c r="Y46" s="6" t="s">
        <v>24</v>
      </c>
      <c r="Z46" s="104"/>
      <c r="AA46" s="85"/>
      <c r="AB46" s="85"/>
      <c r="AC46" s="85"/>
      <c r="AD46" s="85"/>
      <c r="AE46" s="85"/>
      <c r="AF46" s="85"/>
      <c r="AG46" s="104"/>
      <c r="AH46" s="85"/>
      <c r="AI46" s="85"/>
      <c r="AJ46" s="85"/>
      <c r="AK46" s="85"/>
    </row>
    <row r="47" spans="1:37" ht="16.5">
      <c r="A47" s="86">
        <f t="shared" si="4"/>
        <v>43</v>
      </c>
      <c r="B47" s="84" t="s">
        <v>194</v>
      </c>
      <c r="C47" s="84" t="s">
        <v>195</v>
      </c>
      <c r="D47" s="5" t="s">
        <v>50</v>
      </c>
      <c r="E47" s="104"/>
      <c r="F47" s="13" t="s">
        <v>24</v>
      </c>
      <c r="G47" s="13" t="s">
        <v>24</v>
      </c>
      <c r="H47" s="13" t="s">
        <v>24</v>
      </c>
      <c r="I47" s="13" t="s">
        <v>24</v>
      </c>
      <c r="J47" s="13" t="s">
        <v>24</v>
      </c>
      <c r="K47" s="13" t="s">
        <v>24</v>
      </c>
      <c r="L47" s="107"/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104"/>
      <c r="T47" s="6" t="s">
        <v>24</v>
      </c>
      <c r="U47" s="6" t="s">
        <v>24</v>
      </c>
      <c r="V47" s="6" t="s">
        <v>24</v>
      </c>
      <c r="W47" s="6" t="s">
        <v>24</v>
      </c>
      <c r="X47" s="6" t="s">
        <v>24</v>
      </c>
      <c r="Y47" s="6" t="s">
        <v>24</v>
      </c>
      <c r="Z47" s="104"/>
      <c r="AA47" s="85"/>
      <c r="AB47" s="85"/>
      <c r="AC47" s="85"/>
      <c r="AD47" s="85"/>
      <c r="AE47" s="85"/>
      <c r="AF47" s="85"/>
      <c r="AG47" s="104"/>
      <c r="AH47" s="85"/>
      <c r="AI47" s="85"/>
      <c r="AJ47" s="85"/>
      <c r="AK47" s="85"/>
    </row>
    <row r="48" spans="1:37" ht="16.5">
      <c r="A48" s="86">
        <f t="shared" si="4"/>
        <v>44</v>
      </c>
      <c r="B48" s="84" t="s">
        <v>81</v>
      </c>
      <c r="C48" s="84" t="s">
        <v>196</v>
      </c>
      <c r="D48" s="5" t="s">
        <v>50</v>
      </c>
      <c r="E48" s="104"/>
      <c r="F48" s="13" t="s">
        <v>24</v>
      </c>
      <c r="G48" s="13" t="s">
        <v>24</v>
      </c>
      <c r="H48" s="13" t="s">
        <v>24</v>
      </c>
      <c r="I48" s="13" t="s">
        <v>24</v>
      </c>
      <c r="J48" s="13" t="s">
        <v>24</v>
      </c>
      <c r="K48" s="13" t="s">
        <v>24</v>
      </c>
      <c r="L48" s="107"/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6" t="s">
        <v>24</v>
      </c>
      <c r="S48" s="104"/>
      <c r="T48" s="6" t="s">
        <v>24</v>
      </c>
      <c r="U48" s="6" t="s">
        <v>24</v>
      </c>
      <c r="V48" s="6" t="s">
        <v>24</v>
      </c>
      <c r="W48" s="6" t="s">
        <v>24</v>
      </c>
      <c r="X48" s="6" t="s">
        <v>24</v>
      </c>
      <c r="Y48" s="6" t="s">
        <v>24</v>
      </c>
      <c r="Z48" s="104"/>
      <c r="AA48" s="85"/>
      <c r="AB48" s="85"/>
      <c r="AC48" s="85"/>
      <c r="AD48" s="85"/>
      <c r="AE48" s="85"/>
      <c r="AF48" s="85"/>
      <c r="AG48" s="104"/>
      <c r="AH48" s="85"/>
      <c r="AI48" s="85"/>
      <c r="AJ48" s="85"/>
      <c r="AK48" s="85"/>
    </row>
    <row r="49" spans="1:37" ht="16.5">
      <c r="A49" s="86">
        <f t="shared" si="4"/>
        <v>45</v>
      </c>
      <c r="B49" s="84" t="s">
        <v>71</v>
      </c>
      <c r="C49" s="84" t="s">
        <v>176</v>
      </c>
      <c r="D49" s="5" t="s">
        <v>50</v>
      </c>
      <c r="E49" s="104"/>
      <c r="F49" s="13" t="s">
        <v>24</v>
      </c>
      <c r="G49" s="13" t="s">
        <v>24</v>
      </c>
      <c r="H49" s="13" t="s">
        <v>24</v>
      </c>
      <c r="I49" s="13" t="s">
        <v>24</v>
      </c>
      <c r="J49" s="13" t="s">
        <v>24</v>
      </c>
      <c r="K49" s="13" t="s">
        <v>24</v>
      </c>
      <c r="L49" s="107"/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6" t="s">
        <v>24</v>
      </c>
      <c r="S49" s="104"/>
      <c r="T49" s="6" t="s">
        <v>24</v>
      </c>
      <c r="U49" s="6" t="s">
        <v>24</v>
      </c>
      <c r="V49" s="6" t="s">
        <v>24</v>
      </c>
      <c r="W49" s="6" t="s">
        <v>24</v>
      </c>
      <c r="X49" s="6" t="s">
        <v>24</v>
      </c>
      <c r="Y49" s="6" t="s">
        <v>24</v>
      </c>
      <c r="Z49" s="104"/>
      <c r="AA49" s="85"/>
      <c r="AB49" s="85"/>
      <c r="AC49" s="85"/>
      <c r="AD49" s="85"/>
      <c r="AE49" s="85"/>
      <c r="AF49" s="85"/>
      <c r="AG49" s="104"/>
      <c r="AH49" s="85"/>
      <c r="AI49" s="85"/>
      <c r="AJ49" s="85"/>
      <c r="AK49" s="85"/>
    </row>
    <row r="50" spans="1:37" ht="16.5">
      <c r="A50" s="86">
        <f t="shared" si="4"/>
        <v>46</v>
      </c>
      <c r="B50" s="84" t="s">
        <v>197</v>
      </c>
      <c r="C50" s="84" t="s">
        <v>198</v>
      </c>
      <c r="D50" s="5" t="s">
        <v>50</v>
      </c>
      <c r="E50" s="104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07"/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  <c r="R50" s="6" t="s">
        <v>24</v>
      </c>
      <c r="S50" s="104"/>
      <c r="T50" s="6" t="s">
        <v>24</v>
      </c>
      <c r="U50" s="6" t="s">
        <v>24</v>
      </c>
      <c r="V50" s="6" t="s">
        <v>24</v>
      </c>
      <c r="W50" s="6" t="s">
        <v>24</v>
      </c>
      <c r="X50" s="6" t="s">
        <v>24</v>
      </c>
      <c r="Y50" s="6" t="s">
        <v>24</v>
      </c>
      <c r="Z50" s="104"/>
      <c r="AA50" s="85"/>
      <c r="AB50" s="85"/>
      <c r="AC50" s="85"/>
      <c r="AD50" s="85"/>
      <c r="AE50" s="85"/>
      <c r="AF50" s="85"/>
      <c r="AG50" s="104"/>
      <c r="AH50" s="85"/>
      <c r="AI50" s="85"/>
      <c r="AJ50" s="85"/>
      <c r="AK50" s="85"/>
    </row>
    <row r="51" spans="1:37" ht="16.5">
      <c r="A51" s="86">
        <f t="shared" si="4"/>
        <v>47</v>
      </c>
      <c r="B51" s="84" t="s">
        <v>199</v>
      </c>
      <c r="C51" s="84" t="s">
        <v>200</v>
      </c>
      <c r="D51" s="5" t="s">
        <v>50</v>
      </c>
      <c r="E51" s="105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08"/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  <c r="R51" s="6" t="s">
        <v>24</v>
      </c>
      <c r="S51" s="105"/>
      <c r="T51" s="6" t="s">
        <v>24</v>
      </c>
      <c r="U51" s="6" t="s">
        <v>24</v>
      </c>
      <c r="V51" s="6" t="s">
        <v>24</v>
      </c>
      <c r="W51" s="6" t="s">
        <v>24</v>
      </c>
      <c r="X51" s="6" t="s">
        <v>24</v>
      </c>
      <c r="Y51" s="6" t="s">
        <v>24</v>
      </c>
      <c r="Z51" s="105"/>
      <c r="AA51" s="85"/>
      <c r="AB51" s="85"/>
      <c r="AC51" s="85"/>
      <c r="AD51" s="85"/>
      <c r="AE51" s="85"/>
      <c r="AF51" s="85"/>
      <c r="AG51" s="105"/>
      <c r="AH51" s="85"/>
      <c r="AI51" s="85"/>
      <c r="AJ51" s="85"/>
      <c r="AK51" s="85"/>
    </row>
  </sheetData>
  <mergeCells count="16">
    <mergeCell ref="A1:AI1"/>
    <mergeCell ref="A2:AI2"/>
    <mergeCell ref="A3:A4"/>
    <mergeCell ref="B3:B4"/>
    <mergeCell ref="C3:C4"/>
    <mergeCell ref="D3:D4"/>
    <mergeCell ref="AK3:AK4"/>
    <mergeCell ref="AL3:AM3"/>
    <mergeCell ref="AL11:AO11"/>
    <mergeCell ref="AL19:AO19"/>
    <mergeCell ref="E5:E51"/>
    <mergeCell ref="L5:L51"/>
    <mergeCell ref="S5:S51"/>
    <mergeCell ref="Z5:Z51"/>
    <mergeCell ref="AG5:AG51"/>
    <mergeCell ref="AJ3:AJ4"/>
  </mergeCells>
  <conditionalFormatting sqref="AA6:AF11 F5:R5 T5:AF5 AH5:AI40 AA15:AF40 AA12:AA14 AC12:AF14 E3:AI4 F6:K51 M6:R51 T6:Y51">
    <cfRule type="expression" dxfId="122" priority="28">
      <formula>E$4=TODAY()</formula>
    </cfRule>
    <cfRule type="expression" dxfId="121" priority="31">
      <formula>E$3="Sun"</formula>
    </cfRule>
  </conditionalFormatting>
  <conditionalFormatting sqref="AA6:AF11 F5:R5 T5:AF5 AH5:AI40 AA15:AF40 AA12:AA14 AC12:AF14 F6:K51 M6:R51 T6:Y51">
    <cfRule type="cellIs" dxfId="120" priority="27" operator="equal">
      <formula>"L"</formula>
    </cfRule>
    <cfRule type="cellIs" dxfId="119" priority="29" operator="equal">
      <formula>"A"</formula>
    </cfRule>
    <cfRule type="cellIs" dxfId="118" priority="30" operator="equal">
      <formula>"P"</formula>
    </cfRule>
  </conditionalFormatting>
  <conditionalFormatting sqref="AJ3:AK3 AJ5:AK40">
    <cfRule type="expression" dxfId="117" priority="32">
      <formula>#REF!="Sun"</formula>
    </cfRule>
  </conditionalFormatting>
  <conditionalFormatting sqref="AL5:AL9">
    <cfRule type="expression" dxfId="116" priority="24">
      <formula>AL$3="Sun"</formula>
    </cfRule>
  </conditionalFormatting>
  <conditionalFormatting sqref="AL12:AL15">
    <cfRule type="expression" dxfId="115" priority="22">
      <formula>AL$3="Sun"</formula>
    </cfRule>
  </conditionalFormatting>
  <conditionalFormatting sqref="AL20:AL23">
    <cfRule type="expression" dxfId="114" priority="21">
      <formula>AL$3="Sun"</formula>
    </cfRule>
  </conditionalFormatting>
  <conditionalFormatting sqref="AL4:AM4">
    <cfRule type="expression" dxfId="113" priority="25">
      <formula>AL$3="Sun"</formula>
    </cfRule>
  </conditionalFormatting>
  <conditionalFormatting sqref="AM12:AO12 AM20:AO20">
    <cfRule type="expression" dxfId="112" priority="26">
      <formula>AM$3="Sun"</formula>
    </cfRule>
  </conditionalFormatting>
  <conditionalFormatting sqref="AO21">
    <cfRule type="expression" dxfId="111" priority="23">
      <formula>AO$3="Sun"</formula>
    </cfRule>
  </conditionalFormatting>
  <conditionalFormatting sqref="S5">
    <cfRule type="expression" dxfId="110" priority="17">
      <formula>S$4=TODAY()</formula>
    </cfRule>
    <cfRule type="expression" dxfId="109" priority="20">
      <formula>S$3="Sun"</formula>
    </cfRule>
  </conditionalFormatting>
  <conditionalFormatting sqref="S5">
    <cfRule type="cellIs" dxfId="108" priority="16" operator="equal">
      <formula>"L"</formula>
    </cfRule>
    <cfRule type="cellIs" dxfId="107" priority="18" operator="equal">
      <formula>"A"</formula>
    </cfRule>
    <cfRule type="cellIs" dxfId="106" priority="19" operator="equal">
      <formula>"P"</formula>
    </cfRule>
  </conditionalFormatting>
  <conditionalFormatting sqref="E5">
    <cfRule type="expression" dxfId="105" priority="12">
      <formula>E$4=TODAY()</formula>
    </cfRule>
    <cfRule type="expression" dxfId="104" priority="15">
      <formula>E$3="Sun"</formula>
    </cfRule>
  </conditionalFormatting>
  <conditionalFormatting sqref="E5">
    <cfRule type="cellIs" dxfId="103" priority="11" operator="equal">
      <formula>"L"</formula>
    </cfRule>
    <cfRule type="cellIs" dxfId="102" priority="13" operator="equal">
      <formula>"A"</formula>
    </cfRule>
    <cfRule type="cellIs" dxfId="101" priority="14" operator="equal">
      <formula>"P"</formula>
    </cfRule>
  </conditionalFormatting>
  <conditionalFormatting sqref="AG5">
    <cfRule type="expression" dxfId="100" priority="7">
      <formula>AG$4=TODAY()</formula>
    </cfRule>
    <cfRule type="expression" dxfId="99" priority="10">
      <formula>AG$3="Sun"</formula>
    </cfRule>
  </conditionalFormatting>
  <conditionalFormatting sqref="AG5">
    <cfRule type="cellIs" dxfId="98" priority="6" operator="equal">
      <formula>"L"</formula>
    </cfRule>
    <cfRule type="cellIs" dxfId="97" priority="8" operator="equal">
      <formula>"A"</formula>
    </cfRule>
    <cfRule type="cellIs" dxfId="96" priority="9" operator="equal">
      <formula>"P"</formula>
    </cfRule>
  </conditionalFormatting>
  <conditionalFormatting sqref="AB12:AB14">
    <cfRule type="expression" dxfId="95" priority="2">
      <formula>AB$4=TODAY()</formula>
    </cfRule>
    <cfRule type="expression" dxfId="94" priority="5">
      <formula>AB$3="Sun"</formula>
    </cfRule>
  </conditionalFormatting>
  <conditionalFormatting sqref="AB12:AB14">
    <cfRule type="cellIs" dxfId="93" priority="1" operator="equal">
      <formula>"L"</formula>
    </cfRule>
    <cfRule type="cellIs" dxfId="92" priority="3" operator="equal">
      <formula>"A"</formula>
    </cfRule>
    <cfRule type="cellIs" dxfId="91" priority="4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O22"/>
  <sheetViews>
    <sheetView zoomScaleNormal="100" workbookViewId="0">
      <selection activeCell="O7" sqref="O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100</v>
      </c>
      <c r="C5" s="80" t="s">
        <v>101</v>
      </c>
      <c r="D5" s="14" t="s">
        <v>55</v>
      </c>
      <c r="E5" s="97" t="s">
        <v>27</v>
      </c>
      <c r="F5" s="13" t="s">
        <v>24</v>
      </c>
      <c r="G5" s="13" t="s">
        <v>24</v>
      </c>
      <c r="H5" s="13" t="s">
        <v>23</v>
      </c>
      <c r="I5" s="13" t="s">
        <v>24</v>
      </c>
      <c r="J5" s="13" t="s">
        <v>24</v>
      </c>
      <c r="K5" s="13" t="s">
        <v>24</v>
      </c>
      <c r="L5" s="98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97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7" t="s">
        <v>27</v>
      </c>
      <c r="AA5" s="6"/>
      <c r="AB5" s="6"/>
      <c r="AC5" s="6"/>
      <c r="AD5" s="6"/>
      <c r="AE5" s="6"/>
      <c r="AF5" s="6"/>
      <c r="AG5" s="97" t="s">
        <v>27</v>
      </c>
      <c r="AH5" s="6"/>
      <c r="AI5" s="6"/>
      <c r="AJ5" s="4">
        <f t="shared" ref="AJ5:AJ22" si="1">COUNTIF(E5:AI5,"P")</f>
        <v>17</v>
      </c>
      <c r="AK5" s="4">
        <f t="shared" ref="AK5:AK22" si="2">COUNTIF(E5:AI5,"A")</f>
        <v>1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0" t="s">
        <v>102</v>
      </c>
      <c r="C6" s="80" t="s">
        <v>103</v>
      </c>
      <c r="D6" s="14" t="s">
        <v>55</v>
      </c>
      <c r="E6" s="97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98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97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7"/>
      <c r="AA6" s="6"/>
      <c r="AB6" s="6"/>
      <c r="AC6" s="6"/>
      <c r="AD6" s="6"/>
      <c r="AE6" s="6"/>
      <c r="AF6" s="6"/>
      <c r="AG6" s="97"/>
      <c r="AH6" s="6"/>
      <c r="AI6" s="6"/>
      <c r="AJ6" s="4">
        <f t="shared" si="1"/>
        <v>18</v>
      </c>
      <c r="AK6" s="4">
        <f t="shared" si="2"/>
        <v>0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0" t="s">
        <v>104</v>
      </c>
      <c r="C7" s="80" t="s">
        <v>35</v>
      </c>
      <c r="D7" s="14" t="s">
        <v>55</v>
      </c>
      <c r="E7" s="97"/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98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97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7"/>
      <c r="AA7" s="6"/>
      <c r="AB7" s="6"/>
      <c r="AC7" s="6"/>
      <c r="AD7" s="6"/>
      <c r="AE7" s="6"/>
      <c r="AF7" s="6"/>
      <c r="AG7" s="97"/>
      <c r="AH7" s="6"/>
      <c r="AI7" s="6"/>
      <c r="AJ7" s="4">
        <f t="shared" si="1"/>
        <v>18</v>
      </c>
      <c r="AK7" s="4">
        <f t="shared" si="2"/>
        <v>0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0" t="s">
        <v>49</v>
      </c>
      <c r="C8" s="80" t="s">
        <v>105</v>
      </c>
      <c r="D8" s="14" t="s">
        <v>55</v>
      </c>
      <c r="E8" s="97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98"/>
      <c r="M8" s="6" t="s">
        <v>24</v>
      </c>
      <c r="N8" s="6" t="s">
        <v>24</v>
      </c>
      <c r="O8" s="6" t="s">
        <v>24</v>
      </c>
      <c r="P8" s="6" t="s">
        <v>24</v>
      </c>
      <c r="Q8" s="6" t="s">
        <v>23</v>
      </c>
      <c r="R8" s="6" t="s">
        <v>24</v>
      </c>
      <c r="S8" s="97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97"/>
      <c r="AA8" s="6"/>
      <c r="AB8" s="6"/>
      <c r="AC8" s="6"/>
      <c r="AD8" s="6"/>
      <c r="AE8" s="6"/>
      <c r="AF8" s="6"/>
      <c r="AG8" s="97"/>
      <c r="AH8" s="6"/>
      <c r="AI8" s="6"/>
      <c r="AJ8" s="4">
        <f t="shared" si="1"/>
        <v>17</v>
      </c>
      <c r="AK8" s="4">
        <f t="shared" si="2"/>
        <v>1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0" t="s">
        <v>46</v>
      </c>
      <c r="C9" s="80" t="s">
        <v>37</v>
      </c>
      <c r="D9" s="14" t="s">
        <v>55</v>
      </c>
      <c r="E9" s="97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98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97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7"/>
      <c r="AA9" s="6"/>
      <c r="AB9" s="6"/>
      <c r="AC9" s="6"/>
      <c r="AD9" s="6"/>
      <c r="AE9" s="6"/>
      <c r="AF9" s="6"/>
      <c r="AG9" s="97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0" t="s">
        <v>106</v>
      </c>
      <c r="C10" s="80" t="s">
        <v>107</v>
      </c>
      <c r="D10" s="14" t="s">
        <v>55</v>
      </c>
      <c r="E10" s="97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98"/>
      <c r="M10" s="6" t="s">
        <v>24</v>
      </c>
      <c r="N10" s="6" t="s">
        <v>24</v>
      </c>
      <c r="O10" s="6" t="s">
        <v>24</v>
      </c>
      <c r="P10" s="6" t="s">
        <v>23</v>
      </c>
      <c r="Q10" s="6" t="s">
        <v>24</v>
      </c>
      <c r="R10" s="6" t="s">
        <v>24</v>
      </c>
      <c r="S10" s="97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7"/>
      <c r="AA10" s="6"/>
      <c r="AB10" s="6"/>
      <c r="AC10" s="6"/>
      <c r="AD10" s="6"/>
      <c r="AE10" s="6"/>
      <c r="AF10" s="6"/>
      <c r="AG10" s="97"/>
      <c r="AH10" s="6"/>
      <c r="AI10" s="6"/>
      <c r="AJ10" s="4">
        <f t="shared" si="1"/>
        <v>17</v>
      </c>
      <c r="AK10" s="4">
        <f t="shared" si="2"/>
        <v>1</v>
      </c>
    </row>
    <row r="11" spans="1:41" ht="16.5">
      <c r="A11" s="7">
        <v>7</v>
      </c>
      <c r="B11" s="80" t="s">
        <v>108</v>
      </c>
      <c r="C11" s="80" t="s">
        <v>35</v>
      </c>
      <c r="D11" s="14" t="s">
        <v>55</v>
      </c>
      <c r="E11" s="97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98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97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7"/>
      <c r="AA11" s="6"/>
      <c r="AB11" s="6" t="s">
        <v>406</v>
      </c>
      <c r="AC11" s="6"/>
      <c r="AD11" s="6"/>
      <c r="AE11" s="6"/>
      <c r="AF11" s="6"/>
      <c r="AG11" s="97"/>
      <c r="AH11" s="6"/>
      <c r="AI11" s="6"/>
      <c r="AJ11" s="4">
        <f t="shared" si="1"/>
        <v>18</v>
      </c>
      <c r="AK11" s="4">
        <f t="shared" si="2"/>
        <v>0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0" t="s">
        <v>109</v>
      </c>
      <c r="C12" s="80" t="s">
        <v>35</v>
      </c>
      <c r="D12" s="14" t="s">
        <v>55</v>
      </c>
      <c r="E12" s="97"/>
      <c r="F12" s="13" t="s">
        <v>24</v>
      </c>
      <c r="G12" s="13" t="s">
        <v>24</v>
      </c>
      <c r="H12" s="13" t="s">
        <v>23</v>
      </c>
      <c r="I12" s="13" t="s">
        <v>24</v>
      </c>
      <c r="J12" s="13" t="s">
        <v>24</v>
      </c>
      <c r="K12" s="13" t="s">
        <v>24</v>
      </c>
      <c r="L12" s="98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97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7"/>
      <c r="AA12" s="6"/>
      <c r="AB12" s="6"/>
      <c r="AC12" s="6"/>
      <c r="AD12" s="6"/>
      <c r="AE12" s="6"/>
      <c r="AF12" s="6"/>
      <c r="AG12" s="97"/>
      <c r="AH12" s="6"/>
      <c r="AI12" s="6"/>
      <c r="AJ12" s="4">
        <f t="shared" si="1"/>
        <v>17</v>
      </c>
      <c r="AK12" s="4">
        <f t="shared" si="2"/>
        <v>1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58</v>
      </c>
      <c r="C13" s="80" t="s">
        <v>110</v>
      </c>
      <c r="D13" s="14" t="s">
        <v>55</v>
      </c>
      <c r="E13" s="97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98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97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7"/>
      <c r="AA13" s="6"/>
      <c r="AB13" s="6" t="s">
        <v>407</v>
      </c>
      <c r="AC13" s="6"/>
      <c r="AD13" s="6"/>
      <c r="AE13" s="6"/>
      <c r="AF13" s="6"/>
      <c r="AG13" s="97"/>
      <c r="AH13" s="6"/>
      <c r="AI13" s="6"/>
      <c r="AJ13" s="4">
        <f t="shared" si="1"/>
        <v>18</v>
      </c>
      <c r="AK13" s="4">
        <f t="shared" si="2"/>
        <v>0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0" t="s">
        <v>111</v>
      </c>
      <c r="C14" s="80" t="s">
        <v>110</v>
      </c>
      <c r="D14" s="14" t="s">
        <v>55</v>
      </c>
      <c r="E14" s="97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98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97"/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7"/>
      <c r="AA14" s="6"/>
      <c r="AB14" s="6"/>
      <c r="AC14" s="6"/>
      <c r="AD14" s="6"/>
      <c r="AE14" s="6"/>
      <c r="AF14" s="6"/>
      <c r="AG14" s="97"/>
      <c r="AH14" s="6"/>
      <c r="AI14" s="6"/>
      <c r="AJ14" s="4">
        <f t="shared" si="1"/>
        <v>18</v>
      </c>
      <c r="AK14" s="4">
        <f t="shared" si="2"/>
        <v>0</v>
      </c>
      <c r="AL14" s="83" t="s">
        <v>15</v>
      </c>
      <c r="AM14" s="7" t="e">
        <f>SUM(AJ6,AJ9,AJ11,AJ13,AJ16,AJ21,AJ22,#REF!,#REF!,#REF!,#REF!,#REF!,#REF!,#REF!,#REF!,#REF!,#REF!,#REF!,#REF!,#REF!,#REF!,#REF!,#REF!,#REF!,#REF!,#REF!,#REF!)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112</v>
      </c>
      <c r="C15" s="80" t="s">
        <v>113</v>
      </c>
      <c r="D15" s="14" t="s">
        <v>55</v>
      </c>
      <c r="E15" s="97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98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97"/>
      <c r="T15" s="6" t="s">
        <v>24</v>
      </c>
      <c r="U15" s="6" t="s">
        <v>24</v>
      </c>
      <c r="V15" s="6" t="s">
        <v>25</v>
      </c>
      <c r="W15" s="6" t="s">
        <v>24</v>
      </c>
      <c r="X15" s="6" t="s">
        <v>24</v>
      </c>
      <c r="Y15" s="6" t="s">
        <v>24</v>
      </c>
      <c r="Z15" s="97"/>
      <c r="AA15" s="6"/>
      <c r="AB15" s="6"/>
      <c r="AC15" s="6"/>
      <c r="AD15" s="6"/>
      <c r="AE15" s="6"/>
      <c r="AF15" s="6"/>
      <c r="AG15" s="97"/>
      <c r="AH15" s="6"/>
      <c r="AI15" s="6"/>
      <c r="AJ15" s="4">
        <f t="shared" si="1"/>
        <v>17</v>
      </c>
      <c r="AK15" s="4">
        <f t="shared" si="2"/>
        <v>0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114</v>
      </c>
      <c r="C16" s="80" t="s">
        <v>115</v>
      </c>
      <c r="D16" s="14" t="s">
        <v>55</v>
      </c>
      <c r="E16" s="97"/>
      <c r="F16" s="13" t="s">
        <v>24</v>
      </c>
      <c r="G16" s="13" t="s">
        <v>24</v>
      </c>
      <c r="H16" s="13" t="s">
        <v>23</v>
      </c>
      <c r="I16" s="13" t="s">
        <v>24</v>
      </c>
      <c r="J16" s="13" t="s">
        <v>24</v>
      </c>
      <c r="K16" s="13" t="s">
        <v>24</v>
      </c>
      <c r="L16" s="98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97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7"/>
      <c r="AA16" s="6"/>
      <c r="AB16" s="6"/>
      <c r="AC16" s="6"/>
      <c r="AD16" s="6"/>
      <c r="AE16" s="6"/>
      <c r="AF16" s="6"/>
      <c r="AG16" s="97"/>
      <c r="AH16" s="6"/>
      <c r="AI16" s="6"/>
      <c r="AJ16" s="4">
        <f t="shared" si="1"/>
        <v>17</v>
      </c>
      <c r="AK16" s="4">
        <f t="shared" si="2"/>
        <v>1</v>
      </c>
      <c r="AL16"/>
      <c r="AM16"/>
      <c r="AN16"/>
      <c r="AO16"/>
    </row>
    <row r="17" spans="1:41" ht="16.5">
      <c r="A17" s="7">
        <v>13</v>
      </c>
      <c r="B17" s="80" t="s">
        <v>116</v>
      </c>
      <c r="C17" s="80" t="s">
        <v>117</v>
      </c>
      <c r="D17" s="14" t="s">
        <v>55</v>
      </c>
      <c r="E17" s="97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98"/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  <c r="R17" s="6" t="s">
        <v>24</v>
      </c>
      <c r="S17" s="97"/>
      <c r="T17" s="6" t="s">
        <v>24</v>
      </c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97"/>
      <c r="AA17" s="6"/>
      <c r="AB17" s="6"/>
      <c r="AC17" s="6"/>
      <c r="AD17" s="6"/>
      <c r="AE17" s="6"/>
      <c r="AF17" s="6"/>
      <c r="AG17" s="97"/>
      <c r="AH17" s="6"/>
      <c r="AI17" s="6"/>
      <c r="AJ17" s="4">
        <f t="shared" si="1"/>
        <v>18</v>
      </c>
      <c r="AK17" s="4">
        <f t="shared" si="2"/>
        <v>0</v>
      </c>
      <c r="AL17"/>
      <c r="AM17"/>
      <c r="AN17"/>
      <c r="AO17"/>
    </row>
    <row r="18" spans="1:41" ht="16.5">
      <c r="A18" s="7">
        <v>14</v>
      </c>
      <c r="B18" s="80" t="s">
        <v>118</v>
      </c>
      <c r="C18" s="80" t="s">
        <v>117</v>
      </c>
      <c r="D18" s="14" t="s">
        <v>55</v>
      </c>
      <c r="E18" s="97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98"/>
      <c r="M18" s="6" t="s">
        <v>24</v>
      </c>
      <c r="N18" s="6" t="s">
        <v>24</v>
      </c>
      <c r="O18" s="6" t="s">
        <v>25</v>
      </c>
      <c r="P18" s="6" t="s">
        <v>24</v>
      </c>
      <c r="Q18" s="6" t="s">
        <v>24</v>
      </c>
      <c r="R18" s="6" t="s">
        <v>24</v>
      </c>
      <c r="S18" s="97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7"/>
      <c r="AA18" s="6"/>
      <c r="AB18" s="6"/>
      <c r="AC18" s="6"/>
      <c r="AD18" s="6"/>
      <c r="AE18" s="6"/>
      <c r="AF18" s="6"/>
      <c r="AG18" s="97"/>
      <c r="AH18" s="6"/>
      <c r="AI18" s="6"/>
      <c r="AJ18" s="4">
        <f t="shared" si="1"/>
        <v>17</v>
      </c>
      <c r="AK18" s="4">
        <f t="shared" si="2"/>
        <v>0</v>
      </c>
      <c r="AL18"/>
      <c r="AM18"/>
      <c r="AN18"/>
      <c r="AO18"/>
    </row>
    <row r="19" spans="1:41" ht="16.5">
      <c r="A19" s="7">
        <v>15</v>
      </c>
      <c r="B19" s="80" t="s">
        <v>119</v>
      </c>
      <c r="C19" s="80" t="s">
        <v>105</v>
      </c>
      <c r="D19" s="14" t="s">
        <v>55</v>
      </c>
      <c r="E19" s="97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98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97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7"/>
      <c r="AA19" s="6"/>
      <c r="AB19" s="6"/>
      <c r="AC19" s="6"/>
      <c r="AD19" s="6"/>
      <c r="AE19" s="6"/>
      <c r="AF19" s="6"/>
      <c r="AG19" s="97"/>
      <c r="AH19" s="6"/>
      <c r="AI19" s="6"/>
      <c r="AJ19" s="4">
        <f t="shared" si="1"/>
        <v>18</v>
      </c>
      <c r="AK19" s="4">
        <f t="shared" si="2"/>
        <v>0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0" t="s">
        <v>120</v>
      </c>
      <c r="C20" s="80" t="s">
        <v>121</v>
      </c>
      <c r="D20" s="14" t="s">
        <v>55</v>
      </c>
      <c r="E20" s="97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8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97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7"/>
      <c r="AA20" s="6"/>
      <c r="AB20" s="6"/>
      <c r="AC20" s="6"/>
      <c r="AD20" s="6"/>
      <c r="AE20" s="6"/>
      <c r="AF20" s="6"/>
      <c r="AG20" s="97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122</v>
      </c>
      <c r="C21" s="80" t="s">
        <v>123</v>
      </c>
      <c r="D21" s="14" t="s">
        <v>55</v>
      </c>
      <c r="E21" s="97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98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97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7"/>
      <c r="AA21" s="6"/>
      <c r="AB21" s="6"/>
      <c r="AC21" s="6"/>
      <c r="AD21" s="6"/>
      <c r="AE21" s="6"/>
      <c r="AF21" s="6"/>
      <c r="AG21" s="97"/>
      <c r="AH21" s="6"/>
      <c r="AI21" s="6"/>
      <c r="AJ21" s="4">
        <f t="shared" si="1"/>
        <v>18</v>
      </c>
      <c r="AK21" s="4">
        <f t="shared" si="2"/>
        <v>0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0" t="s">
        <v>124</v>
      </c>
      <c r="C22" s="80" t="s">
        <v>41</v>
      </c>
      <c r="D22" s="14" t="s">
        <v>55</v>
      </c>
      <c r="E22" s="97"/>
      <c r="F22" s="13" t="s">
        <v>24</v>
      </c>
      <c r="G22" s="13" t="s">
        <v>24</v>
      </c>
      <c r="H22" s="13" t="s">
        <v>23</v>
      </c>
      <c r="I22" s="13" t="s">
        <v>23</v>
      </c>
      <c r="J22" s="13" t="s">
        <v>23</v>
      </c>
      <c r="K22" s="13" t="s">
        <v>24</v>
      </c>
      <c r="L22" s="98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97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7"/>
      <c r="AA22" s="6"/>
      <c r="AB22" s="6"/>
      <c r="AC22" s="6"/>
      <c r="AD22" s="6"/>
      <c r="AE22" s="6"/>
      <c r="AF22" s="6"/>
      <c r="AG22" s="97"/>
      <c r="AH22" s="6"/>
      <c r="AI22" s="6"/>
      <c r="AJ22" s="4">
        <f t="shared" si="1"/>
        <v>15</v>
      </c>
      <c r="AK22" s="4">
        <f t="shared" si="2"/>
        <v>3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</sheetData>
  <mergeCells count="16"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E5:E22"/>
    <mergeCell ref="L5:L22"/>
    <mergeCell ref="S5:S22"/>
    <mergeCell ref="Z5:Z22"/>
    <mergeCell ref="AL11:AO11"/>
    <mergeCell ref="AL19:AO19"/>
    <mergeCell ref="AG5:AG22"/>
  </mergeCells>
  <conditionalFormatting sqref="AA6:AF10 F5:R5 T5:AF5 AH5:AI22 AA14:AF22 AA11:AA13 AC11:AF13 E3:AI4 F6:K22 M6:R22 T6:Y22">
    <cfRule type="expression" dxfId="90" priority="28">
      <formula>E$4=TODAY()</formula>
    </cfRule>
    <cfRule type="expression" dxfId="89" priority="31">
      <formula>E$3="Sun"</formula>
    </cfRule>
  </conditionalFormatting>
  <conditionalFormatting sqref="AA6:AF10 F5:R5 T5:AF5 AH5:AI22 AA14:AF22 AA11:AA13 AC11:AF13 F6:K22 M6:R22 T6:Y22">
    <cfRule type="cellIs" dxfId="88" priority="27" operator="equal">
      <formula>"L"</formula>
    </cfRule>
    <cfRule type="cellIs" dxfId="87" priority="29" operator="equal">
      <formula>"A"</formula>
    </cfRule>
    <cfRule type="cellIs" dxfId="86" priority="30" operator="equal">
      <formula>"P"</formula>
    </cfRule>
  </conditionalFormatting>
  <conditionalFormatting sqref="AJ3:AK3 AJ5:AK22">
    <cfRule type="expression" dxfId="85" priority="32">
      <formula>#REF!="Sun"</formula>
    </cfRule>
  </conditionalFormatting>
  <conditionalFormatting sqref="AL5:AL9">
    <cfRule type="expression" dxfId="84" priority="24">
      <formula>AL$3="Sun"</formula>
    </cfRule>
  </conditionalFormatting>
  <conditionalFormatting sqref="AL12:AL15">
    <cfRule type="expression" dxfId="83" priority="22">
      <formula>AL$3="Sun"</formula>
    </cfRule>
  </conditionalFormatting>
  <conditionalFormatting sqref="AL20:AL22">
    <cfRule type="expression" dxfId="82" priority="21">
      <formula>AL$3="Sun"</formula>
    </cfRule>
  </conditionalFormatting>
  <conditionalFormatting sqref="AL4:AM4">
    <cfRule type="expression" dxfId="81" priority="25">
      <formula>AL$3="Sun"</formula>
    </cfRule>
  </conditionalFormatting>
  <conditionalFormatting sqref="AM12:AO12 AM20:AO20">
    <cfRule type="expression" dxfId="80" priority="26">
      <formula>AM$3="Sun"</formula>
    </cfRule>
  </conditionalFormatting>
  <conditionalFormatting sqref="AO21">
    <cfRule type="expression" dxfId="79" priority="23">
      <formula>AO$3="Sun"</formula>
    </cfRule>
  </conditionalFormatting>
  <conditionalFormatting sqref="S5">
    <cfRule type="expression" dxfId="78" priority="17">
      <formula>S$4=TODAY()</formula>
    </cfRule>
    <cfRule type="expression" dxfId="77" priority="20">
      <formula>S$3="Sun"</formula>
    </cfRule>
  </conditionalFormatting>
  <conditionalFormatting sqref="S5">
    <cfRule type="cellIs" dxfId="76" priority="16" operator="equal">
      <formula>"L"</formula>
    </cfRule>
    <cfRule type="cellIs" dxfId="75" priority="18" operator="equal">
      <formula>"A"</formula>
    </cfRule>
    <cfRule type="cellIs" dxfId="74" priority="19" operator="equal">
      <formula>"P"</formula>
    </cfRule>
  </conditionalFormatting>
  <conditionalFormatting sqref="E5">
    <cfRule type="expression" dxfId="73" priority="12">
      <formula>E$4=TODAY()</formula>
    </cfRule>
    <cfRule type="expression" dxfId="72" priority="15">
      <formula>E$3="Sun"</formula>
    </cfRule>
  </conditionalFormatting>
  <conditionalFormatting sqref="E5">
    <cfRule type="cellIs" dxfId="71" priority="11" operator="equal">
      <formula>"L"</formula>
    </cfRule>
    <cfRule type="cellIs" dxfId="70" priority="13" operator="equal">
      <formula>"A"</formula>
    </cfRule>
    <cfRule type="cellIs" dxfId="69" priority="14" operator="equal">
      <formula>"P"</formula>
    </cfRule>
  </conditionalFormatting>
  <conditionalFormatting sqref="AG5">
    <cfRule type="expression" dxfId="68" priority="7">
      <formula>AG$4=TODAY()</formula>
    </cfRule>
    <cfRule type="expression" dxfId="67" priority="10">
      <formula>AG$3="Sun"</formula>
    </cfRule>
  </conditionalFormatting>
  <conditionalFormatting sqref="AG5">
    <cfRule type="cellIs" dxfId="66" priority="6" operator="equal">
      <formula>"L"</formula>
    </cfRule>
    <cfRule type="cellIs" dxfId="65" priority="8" operator="equal">
      <formula>"A"</formula>
    </cfRule>
    <cfRule type="cellIs" dxfId="64" priority="9" operator="equal">
      <formula>"P"</formula>
    </cfRule>
  </conditionalFormatting>
  <conditionalFormatting sqref="AB11:AB13">
    <cfRule type="expression" dxfId="63" priority="2">
      <formula>AB$4=TODAY()</formula>
    </cfRule>
    <cfRule type="expression" dxfId="62" priority="5">
      <formula>AB$3="Sun"</formula>
    </cfRule>
  </conditionalFormatting>
  <conditionalFormatting sqref="AB11:AB13">
    <cfRule type="cellIs" dxfId="61" priority="1" operator="equal">
      <formula>"L"</formula>
    </cfRule>
    <cfRule type="cellIs" dxfId="60" priority="3" operator="equal">
      <formula>"A"</formula>
    </cfRule>
    <cfRule type="cellIs" dxfId="59" priority="4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O24"/>
  <sheetViews>
    <sheetView topLeftCell="A4" zoomScaleNormal="100" workbookViewId="0">
      <selection activeCell="T12" sqref="T1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201</v>
      </c>
      <c r="C5" s="80" t="s">
        <v>202</v>
      </c>
      <c r="D5" s="14" t="s">
        <v>60</v>
      </c>
      <c r="E5" s="97" t="s">
        <v>27</v>
      </c>
      <c r="F5" s="13" t="s">
        <v>24</v>
      </c>
      <c r="G5" s="13" t="s">
        <v>24</v>
      </c>
      <c r="H5" s="13" t="s">
        <v>24</v>
      </c>
      <c r="I5" s="13" t="s">
        <v>24</v>
      </c>
      <c r="J5" s="13" t="s">
        <v>24</v>
      </c>
      <c r="K5" s="13" t="s">
        <v>24</v>
      </c>
      <c r="L5" s="98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97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7" t="s">
        <v>27</v>
      </c>
      <c r="AA5" s="6"/>
      <c r="AB5" s="6"/>
      <c r="AC5" s="6"/>
      <c r="AD5" s="6"/>
      <c r="AE5" s="6"/>
      <c r="AF5" s="6"/>
      <c r="AG5" s="98" t="s">
        <v>27</v>
      </c>
      <c r="AH5" s="6"/>
      <c r="AI5" s="6"/>
      <c r="AJ5" s="4">
        <f t="shared" ref="AJ5:AJ24" si="1">COUNTIF(E5:AI5,"P")</f>
        <v>18</v>
      </c>
      <c r="AK5" s="4">
        <f t="shared" ref="AK5:AK24" si="2">COUNTIF(E5:AI5,"A")</f>
        <v>0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0" t="s">
        <v>203</v>
      </c>
      <c r="C6" s="80" t="s">
        <v>121</v>
      </c>
      <c r="D6" s="14" t="s">
        <v>60</v>
      </c>
      <c r="E6" s="97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98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97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7"/>
      <c r="AA6" s="6"/>
      <c r="AB6" s="6"/>
      <c r="AC6" s="6"/>
      <c r="AD6" s="6"/>
      <c r="AE6" s="6"/>
      <c r="AF6" s="6"/>
      <c r="AG6" s="98"/>
      <c r="AH6" s="6"/>
      <c r="AI6" s="6"/>
      <c r="AJ6" s="4">
        <f t="shared" si="1"/>
        <v>18</v>
      </c>
      <c r="AK6" s="4">
        <f t="shared" si="2"/>
        <v>0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0" t="s">
        <v>204</v>
      </c>
      <c r="C7" s="80" t="s">
        <v>205</v>
      </c>
      <c r="D7" s="14" t="s">
        <v>60</v>
      </c>
      <c r="E7" s="97"/>
      <c r="F7" s="13" t="s">
        <v>24</v>
      </c>
      <c r="G7" s="13" t="s">
        <v>23</v>
      </c>
      <c r="H7" s="13" t="s">
        <v>24</v>
      </c>
      <c r="I7" s="13" t="s">
        <v>24</v>
      </c>
      <c r="J7" s="13" t="s">
        <v>24</v>
      </c>
      <c r="K7" s="13" t="s">
        <v>24</v>
      </c>
      <c r="L7" s="98"/>
      <c r="M7" s="6" t="s">
        <v>24</v>
      </c>
      <c r="N7" s="6" t="s">
        <v>24</v>
      </c>
      <c r="O7" s="6" t="s">
        <v>25</v>
      </c>
      <c r="P7" s="6" t="s">
        <v>24</v>
      </c>
      <c r="Q7" s="6" t="s">
        <v>24</v>
      </c>
      <c r="R7" s="6" t="s">
        <v>24</v>
      </c>
      <c r="S7" s="97"/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7"/>
      <c r="AA7" s="6"/>
      <c r="AB7" s="6"/>
      <c r="AC7" s="6"/>
      <c r="AD7" s="6"/>
      <c r="AE7" s="6"/>
      <c r="AF7" s="6"/>
      <c r="AG7" s="98"/>
      <c r="AH7" s="6"/>
      <c r="AI7" s="6"/>
      <c r="AJ7" s="4">
        <f t="shared" si="1"/>
        <v>16</v>
      </c>
      <c r="AK7" s="4">
        <f t="shared" si="2"/>
        <v>1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0" t="s">
        <v>78</v>
      </c>
      <c r="C8" s="80" t="s">
        <v>206</v>
      </c>
      <c r="D8" s="14" t="s">
        <v>60</v>
      </c>
      <c r="E8" s="97"/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98"/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97"/>
      <c r="T8" s="6" t="s">
        <v>24</v>
      </c>
      <c r="U8" s="6" t="s">
        <v>24</v>
      </c>
      <c r="V8" s="6" t="s">
        <v>24</v>
      </c>
      <c r="W8" s="6" t="s">
        <v>23</v>
      </c>
      <c r="X8" s="6" t="s">
        <v>24</v>
      </c>
      <c r="Y8" s="6" t="s">
        <v>24</v>
      </c>
      <c r="Z8" s="97"/>
      <c r="AA8" s="6"/>
      <c r="AB8" s="6"/>
      <c r="AC8" s="6"/>
      <c r="AD8" s="6"/>
      <c r="AE8" s="6"/>
      <c r="AF8" s="6"/>
      <c r="AG8" s="98"/>
      <c r="AH8" s="6"/>
      <c r="AI8" s="6"/>
      <c r="AJ8" s="4">
        <f t="shared" si="1"/>
        <v>17</v>
      </c>
      <c r="AK8" s="4">
        <f t="shared" si="2"/>
        <v>1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0" t="s">
        <v>207</v>
      </c>
      <c r="C9" s="80" t="s">
        <v>208</v>
      </c>
      <c r="D9" s="14" t="s">
        <v>60</v>
      </c>
      <c r="E9" s="97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98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97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7"/>
      <c r="AA9" s="6"/>
      <c r="AB9" s="6"/>
      <c r="AC9" s="6"/>
      <c r="AD9" s="6"/>
      <c r="AE9" s="6"/>
      <c r="AF9" s="6"/>
      <c r="AG9" s="98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0" t="s">
        <v>209</v>
      </c>
      <c r="C10" s="80" t="s">
        <v>35</v>
      </c>
      <c r="D10" s="14" t="s">
        <v>60</v>
      </c>
      <c r="E10" s="97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98"/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97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7"/>
      <c r="AA10" s="6"/>
      <c r="AB10" s="6" t="s">
        <v>406</v>
      </c>
      <c r="AC10" s="6"/>
      <c r="AD10" s="6"/>
      <c r="AE10" s="6"/>
      <c r="AF10" s="6"/>
      <c r="AG10" s="98"/>
      <c r="AH10" s="6"/>
      <c r="AI10" s="6"/>
      <c r="AJ10" s="4">
        <f t="shared" si="1"/>
        <v>18</v>
      </c>
      <c r="AK10" s="4">
        <f t="shared" si="2"/>
        <v>0</v>
      </c>
    </row>
    <row r="11" spans="1:41" ht="16.5">
      <c r="A11" s="7">
        <v>7</v>
      </c>
      <c r="B11" s="80" t="s">
        <v>210</v>
      </c>
      <c r="C11" s="80" t="s">
        <v>211</v>
      </c>
      <c r="D11" s="14" t="s">
        <v>60</v>
      </c>
      <c r="E11" s="97"/>
      <c r="F11" s="13" t="s">
        <v>24</v>
      </c>
      <c r="G11" s="13" t="s">
        <v>24</v>
      </c>
      <c r="H11" s="13" t="s">
        <v>23</v>
      </c>
      <c r="I11" s="13" t="s">
        <v>24</v>
      </c>
      <c r="J11" s="13" t="s">
        <v>24</v>
      </c>
      <c r="K11" s="13" t="s">
        <v>24</v>
      </c>
      <c r="L11" s="98"/>
      <c r="M11" s="6" t="s">
        <v>24</v>
      </c>
      <c r="N11" s="6" t="s">
        <v>24</v>
      </c>
      <c r="O11" s="6" t="s">
        <v>25</v>
      </c>
      <c r="P11" s="6" t="s">
        <v>24</v>
      </c>
      <c r="Q11" s="6" t="s">
        <v>24</v>
      </c>
      <c r="R11" s="6" t="s">
        <v>24</v>
      </c>
      <c r="S11" s="97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7"/>
      <c r="AA11" s="6"/>
      <c r="AB11" s="6"/>
      <c r="AC11" s="6"/>
      <c r="AD11" s="6"/>
      <c r="AE11" s="6"/>
      <c r="AF11" s="6"/>
      <c r="AG11" s="98"/>
      <c r="AH11" s="6"/>
      <c r="AI11" s="6"/>
      <c r="AJ11" s="4">
        <f t="shared" si="1"/>
        <v>16</v>
      </c>
      <c r="AK11" s="4">
        <f t="shared" si="2"/>
        <v>1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0" t="s">
        <v>212</v>
      </c>
      <c r="C12" s="80" t="s">
        <v>22</v>
      </c>
      <c r="D12" s="14" t="s">
        <v>60</v>
      </c>
      <c r="E12" s="97"/>
      <c r="F12" s="13" t="s">
        <v>23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98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97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7"/>
      <c r="AA12" s="6"/>
      <c r="AB12" s="6" t="s">
        <v>407</v>
      </c>
      <c r="AC12" s="6"/>
      <c r="AD12" s="6"/>
      <c r="AE12" s="6"/>
      <c r="AF12" s="6"/>
      <c r="AG12" s="98"/>
      <c r="AH12" s="6"/>
      <c r="AI12" s="6"/>
      <c r="AJ12" s="4">
        <f t="shared" si="1"/>
        <v>17</v>
      </c>
      <c r="AK12" s="4">
        <f t="shared" si="2"/>
        <v>1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213</v>
      </c>
      <c r="C13" s="80" t="s">
        <v>214</v>
      </c>
      <c r="D13" s="14" t="s">
        <v>60</v>
      </c>
      <c r="E13" s="97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98"/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97"/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7"/>
      <c r="AA13" s="6"/>
      <c r="AB13" s="6"/>
      <c r="AC13" s="6"/>
      <c r="AD13" s="6"/>
      <c r="AE13" s="6"/>
      <c r="AF13" s="6"/>
      <c r="AG13" s="98"/>
      <c r="AH13" s="6"/>
      <c r="AI13" s="6"/>
      <c r="AJ13" s="4">
        <f t="shared" si="1"/>
        <v>18</v>
      </c>
      <c r="AK13" s="4">
        <f t="shared" si="2"/>
        <v>0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0" t="s">
        <v>215</v>
      </c>
      <c r="C14" s="80" t="s">
        <v>216</v>
      </c>
      <c r="D14" s="14" t="s">
        <v>60</v>
      </c>
      <c r="E14" s="97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98"/>
      <c r="M14" s="6" t="s">
        <v>24</v>
      </c>
      <c r="N14" s="6" t="s">
        <v>24</v>
      </c>
      <c r="O14" s="6" t="s">
        <v>25</v>
      </c>
      <c r="P14" s="6" t="s">
        <v>24</v>
      </c>
      <c r="Q14" s="6" t="s">
        <v>24</v>
      </c>
      <c r="R14" s="6" t="s">
        <v>24</v>
      </c>
      <c r="S14" s="97"/>
      <c r="T14" s="6" t="s">
        <v>24</v>
      </c>
      <c r="U14" s="6" t="s">
        <v>24</v>
      </c>
      <c r="V14" s="6" t="s">
        <v>24</v>
      </c>
      <c r="W14" s="6" t="s">
        <v>23</v>
      </c>
      <c r="X14" s="6" t="s">
        <v>24</v>
      </c>
      <c r="Y14" s="6" t="s">
        <v>24</v>
      </c>
      <c r="Z14" s="97"/>
      <c r="AA14" s="6"/>
      <c r="AB14" s="6"/>
      <c r="AC14" s="6"/>
      <c r="AD14" s="6"/>
      <c r="AE14" s="6"/>
      <c r="AF14" s="6"/>
      <c r="AG14" s="98"/>
      <c r="AH14" s="6"/>
      <c r="AI14" s="6"/>
      <c r="AJ14" s="4">
        <f t="shared" si="1"/>
        <v>16</v>
      </c>
      <c r="AK14" s="4">
        <f t="shared" si="2"/>
        <v>1</v>
      </c>
      <c r="AL14" s="83" t="s">
        <v>15</v>
      </c>
      <c r="AM14" s="7" t="e">
        <f>SUM(AJ6,AJ9,AJ11,AJ13,AJ16,AJ21,AJ22,AJ23,AJ24,#REF!,#REF!,#REF!,#REF!,#REF!,#REF!,#REF!,#REF!,#REF!,#REF!,#REF!,#REF!,#REF!,#REF!,#REF!,#REF!,#REF!,#REF!)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217</v>
      </c>
      <c r="C15" s="80" t="s">
        <v>62</v>
      </c>
      <c r="D15" s="14" t="s">
        <v>60</v>
      </c>
      <c r="E15" s="97"/>
      <c r="F15" s="13" t="s">
        <v>24</v>
      </c>
      <c r="G15" s="13" t="s">
        <v>24</v>
      </c>
      <c r="H15" s="13" t="s">
        <v>23</v>
      </c>
      <c r="I15" s="13" t="s">
        <v>24</v>
      </c>
      <c r="J15" s="13" t="s">
        <v>24</v>
      </c>
      <c r="K15" s="13" t="s">
        <v>24</v>
      </c>
      <c r="L15" s="98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97"/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7"/>
      <c r="AA15" s="6"/>
      <c r="AB15" s="6"/>
      <c r="AC15" s="6"/>
      <c r="AD15" s="6"/>
      <c r="AE15" s="6"/>
      <c r="AF15" s="6"/>
      <c r="AG15" s="98"/>
      <c r="AH15" s="6"/>
      <c r="AI15" s="6"/>
      <c r="AJ15" s="4">
        <f t="shared" si="1"/>
        <v>17</v>
      </c>
      <c r="AK15" s="4">
        <f t="shared" si="2"/>
        <v>1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36</v>
      </c>
      <c r="C16" s="80" t="s">
        <v>218</v>
      </c>
      <c r="D16" s="14" t="s">
        <v>60</v>
      </c>
      <c r="E16" s="97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98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97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7"/>
      <c r="AA16" s="6"/>
      <c r="AB16" s="6"/>
      <c r="AC16" s="6"/>
      <c r="AD16" s="6"/>
      <c r="AE16" s="6"/>
      <c r="AF16" s="6"/>
      <c r="AG16" s="98"/>
      <c r="AH16" s="6"/>
      <c r="AI16" s="6"/>
      <c r="AJ16" s="4">
        <f t="shared" si="1"/>
        <v>18</v>
      </c>
      <c r="AK16" s="4">
        <f t="shared" si="2"/>
        <v>0</v>
      </c>
      <c r="AL16"/>
      <c r="AM16"/>
      <c r="AN16"/>
      <c r="AO16"/>
    </row>
    <row r="17" spans="1:41" ht="16.5">
      <c r="A17" s="7">
        <v>13</v>
      </c>
      <c r="B17" s="80" t="s">
        <v>219</v>
      </c>
      <c r="C17" s="80" t="s">
        <v>220</v>
      </c>
      <c r="D17" s="14" t="s">
        <v>60</v>
      </c>
      <c r="E17" s="97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98"/>
      <c r="M17" s="6" t="s">
        <v>24</v>
      </c>
      <c r="N17" s="6" t="s">
        <v>24</v>
      </c>
      <c r="O17" s="6" t="s">
        <v>25</v>
      </c>
      <c r="P17" s="6" t="s">
        <v>24</v>
      </c>
      <c r="Q17" s="6" t="s">
        <v>24</v>
      </c>
      <c r="R17" s="6" t="s">
        <v>24</v>
      </c>
      <c r="S17" s="97"/>
      <c r="T17" s="6" t="s">
        <v>24</v>
      </c>
      <c r="U17" s="6" t="s">
        <v>23</v>
      </c>
      <c r="V17" s="6" t="s">
        <v>24</v>
      </c>
      <c r="W17" s="6" t="s">
        <v>24</v>
      </c>
      <c r="X17" s="6" t="s">
        <v>24</v>
      </c>
      <c r="Y17" s="6" t="s">
        <v>24</v>
      </c>
      <c r="Z17" s="97"/>
      <c r="AA17" s="6"/>
      <c r="AB17" s="6"/>
      <c r="AC17" s="6"/>
      <c r="AD17" s="6"/>
      <c r="AE17" s="6"/>
      <c r="AF17" s="6"/>
      <c r="AG17" s="98"/>
      <c r="AH17" s="6"/>
      <c r="AI17" s="6"/>
      <c r="AJ17" s="4">
        <f t="shared" si="1"/>
        <v>16</v>
      </c>
      <c r="AK17" s="4">
        <f t="shared" si="2"/>
        <v>1</v>
      </c>
      <c r="AL17"/>
      <c r="AM17"/>
      <c r="AN17"/>
      <c r="AO17"/>
    </row>
    <row r="18" spans="1:41" ht="16.5">
      <c r="A18" s="7">
        <v>14</v>
      </c>
      <c r="B18" s="80" t="s">
        <v>81</v>
      </c>
      <c r="C18" s="80" t="s">
        <v>117</v>
      </c>
      <c r="D18" s="14" t="s">
        <v>60</v>
      </c>
      <c r="E18" s="97"/>
      <c r="F18" s="13" t="s">
        <v>24</v>
      </c>
      <c r="G18" s="13" t="s">
        <v>24</v>
      </c>
      <c r="H18" s="13" t="s">
        <v>23</v>
      </c>
      <c r="I18" s="13" t="s">
        <v>24</v>
      </c>
      <c r="J18" s="13" t="s">
        <v>24</v>
      </c>
      <c r="K18" s="13" t="s">
        <v>24</v>
      </c>
      <c r="L18" s="98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97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7"/>
      <c r="AA18" s="6"/>
      <c r="AB18" s="6"/>
      <c r="AC18" s="6"/>
      <c r="AD18" s="6"/>
      <c r="AE18" s="6"/>
      <c r="AF18" s="6"/>
      <c r="AG18" s="98"/>
      <c r="AH18" s="6"/>
      <c r="AI18" s="6"/>
      <c r="AJ18" s="4">
        <f t="shared" si="1"/>
        <v>17</v>
      </c>
      <c r="AK18" s="4">
        <f t="shared" si="2"/>
        <v>1</v>
      </c>
      <c r="AL18"/>
      <c r="AM18"/>
      <c r="AN18"/>
      <c r="AO18"/>
    </row>
    <row r="19" spans="1:41" ht="16.5">
      <c r="A19" s="7">
        <v>15</v>
      </c>
      <c r="B19" s="80" t="s">
        <v>221</v>
      </c>
      <c r="C19" s="80" t="s">
        <v>222</v>
      </c>
      <c r="D19" s="14" t="s">
        <v>60</v>
      </c>
      <c r="E19" s="97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98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97"/>
      <c r="T19" s="6" t="s">
        <v>24</v>
      </c>
      <c r="U19" s="6" t="s">
        <v>24</v>
      </c>
      <c r="V19" s="6" t="s">
        <v>24</v>
      </c>
      <c r="W19" s="6" t="s">
        <v>23</v>
      </c>
      <c r="X19" s="6" t="s">
        <v>24</v>
      </c>
      <c r="Y19" s="6" t="s">
        <v>24</v>
      </c>
      <c r="Z19" s="97"/>
      <c r="AA19" s="6"/>
      <c r="AB19" s="6" t="s">
        <v>406</v>
      </c>
      <c r="AC19" s="6"/>
      <c r="AD19" s="6"/>
      <c r="AE19" s="6"/>
      <c r="AF19" s="6"/>
      <c r="AG19" s="98"/>
      <c r="AH19" s="6"/>
      <c r="AI19" s="6"/>
      <c r="AJ19" s="4">
        <f t="shared" si="1"/>
        <v>17</v>
      </c>
      <c r="AK19" s="4">
        <f t="shared" si="2"/>
        <v>1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0" t="s">
        <v>63</v>
      </c>
      <c r="C20" s="80" t="s">
        <v>19</v>
      </c>
      <c r="D20" s="14" t="s">
        <v>60</v>
      </c>
      <c r="E20" s="97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8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97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7"/>
      <c r="AA20" s="6"/>
      <c r="AB20" s="6"/>
      <c r="AC20" s="6"/>
      <c r="AD20" s="6"/>
      <c r="AE20" s="6"/>
      <c r="AF20" s="6"/>
      <c r="AG20" s="98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223</v>
      </c>
      <c r="C21" s="80" t="s">
        <v>167</v>
      </c>
      <c r="D21" s="14" t="s">
        <v>60</v>
      </c>
      <c r="E21" s="97"/>
      <c r="F21" s="13" t="s">
        <v>24</v>
      </c>
      <c r="G21" s="13" t="s">
        <v>24</v>
      </c>
      <c r="H21" s="13" t="s">
        <v>23</v>
      </c>
      <c r="I21" s="13" t="s">
        <v>24</v>
      </c>
      <c r="J21" s="13" t="s">
        <v>24</v>
      </c>
      <c r="K21" s="13" t="s">
        <v>24</v>
      </c>
      <c r="L21" s="98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97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7"/>
      <c r="AA21" s="6"/>
      <c r="AB21" s="6" t="s">
        <v>407</v>
      </c>
      <c r="AC21" s="6"/>
      <c r="AD21" s="6"/>
      <c r="AE21" s="6"/>
      <c r="AF21" s="6"/>
      <c r="AG21" s="98"/>
      <c r="AH21" s="6"/>
      <c r="AI21" s="6"/>
      <c r="AJ21" s="4">
        <f t="shared" si="1"/>
        <v>17</v>
      </c>
      <c r="AK21" s="4">
        <f t="shared" si="2"/>
        <v>1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0" t="s">
        <v>40</v>
      </c>
      <c r="C22" s="80" t="s">
        <v>19</v>
      </c>
      <c r="D22" s="14" t="s">
        <v>60</v>
      </c>
      <c r="E22" s="97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98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97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7"/>
      <c r="AA22" s="6"/>
      <c r="AB22" s="6"/>
      <c r="AC22" s="6"/>
      <c r="AD22" s="6"/>
      <c r="AE22" s="6"/>
      <c r="AF22" s="6"/>
      <c r="AG22" s="98"/>
      <c r="AH22" s="6"/>
      <c r="AI22" s="6"/>
      <c r="AJ22" s="4">
        <f t="shared" si="1"/>
        <v>18</v>
      </c>
      <c r="AK22" s="4">
        <f t="shared" si="2"/>
        <v>0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0" t="s">
        <v>224</v>
      </c>
      <c r="C23" s="80" t="s">
        <v>214</v>
      </c>
      <c r="D23" s="14" t="s">
        <v>60</v>
      </c>
      <c r="E23" s="97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98"/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  <c r="R23" s="6" t="s">
        <v>24</v>
      </c>
      <c r="S23" s="97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7"/>
      <c r="AA23" s="6"/>
      <c r="AB23" s="6"/>
      <c r="AC23" s="6"/>
      <c r="AD23" s="6"/>
      <c r="AE23" s="6"/>
      <c r="AF23" s="6"/>
      <c r="AG23" s="98"/>
      <c r="AH23" s="6"/>
      <c r="AI23" s="6"/>
      <c r="AJ23" s="4">
        <f t="shared" si="1"/>
        <v>18</v>
      </c>
      <c r="AK23" s="4">
        <f t="shared" si="2"/>
        <v>0</v>
      </c>
      <c r="AL23" s="83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0" t="s">
        <v>181</v>
      </c>
      <c r="C24" s="80" t="s">
        <v>225</v>
      </c>
      <c r="D24" s="14" t="s">
        <v>60</v>
      </c>
      <c r="E24" s="97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98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97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97"/>
      <c r="AA24" s="6"/>
      <c r="AB24" s="6"/>
      <c r="AC24" s="6"/>
      <c r="AD24" s="6"/>
      <c r="AE24" s="6"/>
      <c r="AF24" s="6"/>
      <c r="AG24" s="98"/>
      <c r="AH24" s="6"/>
      <c r="AI24" s="6"/>
      <c r="AJ24" s="4">
        <f t="shared" si="1"/>
        <v>18</v>
      </c>
      <c r="AK24" s="4">
        <f t="shared" si="2"/>
        <v>0</v>
      </c>
    </row>
  </sheetData>
  <mergeCells count="16">
    <mergeCell ref="A1:AI1"/>
    <mergeCell ref="A2:AI2"/>
    <mergeCell ref="A3:A4"/>
    <mergeCell ref="B3:B4"/>
    <mergeCell ref="C3:C4"/>
    <mergeCell ref="D3:D4"/>
    <mergeCell ref="AJ3:AJ4"/>
    <mergeCell ref="AK3:AK4"/>
    <mergeCell ref="AL3:AM3"/>
    <mergeCell ref="E5:E24"/>
    <mergeCell ref="L5:L24"/>
    <mergeCell ref="S5:S24"/>
    <mergeCell ref="Z5:Z24"/>
    <mergeCell ref="AL11:AO11"/>
    <mergeCell ref="AL19:AO19"/>
    <mergeCell ref="AG5:AG24"/>
  </mergeCells>
  <conditionalFormatting sqref="AA6:AF9 F5:R5 T5:AF5 AH5:AI24 AA22:AF24 AA10:AA21 AE10:AF21 E3:AI4 F6:K24 M6:R24 T6:Y24">
    <cfRule type="expression" dxfId="58" priority="28">
      <formula>E$4=TODAY()</formula>
    </cfRule>
    <cfRule type="expression" dxfId="57" priority="31">
      <formula>E$3="Sun"</formula>
    </cfRule>
  </conditionalFormatting>
  <conditionalFormatting sqref="AA6:AF9 F5:R5 T5:AF5 AH5:AI24 AA22:AF24 AA10:AA21 AE10:AF21 F6:K24 M6:R24 T6:Y24">
    <cfRule type="cellIs" dxfId="56" priority="27" operator="equal">
      <formula>"L"</formula>
    </cfRule>
    <cfRule type="cellIs" dxfId="55" priority="29" operator="equal">
      <formula>"A"</formula>
    </cfRule>
    <cfRule type="cellIs" dxfId="54" priority="30" operator="equal">
      <formula>"P"</formula>
    </cfRule>
  </conditionalFormatting>
  <conditionalFormatting sqref="AJ3:AK3 AJ5:AK24">
    <cfRule type="expression" dxfId="53" priority="32">
      <formula>#REF!="Sun"</formula>
    </cfRule>
  </conditionalFormatting>
  <conditionalFormatting sqref="AL5:AL9">
    <cfRule type="expression" dxfId="52" priority="24">
      <formula>AL$3="Sun"</formula>
    </cfRule>
  </conditionalFormatting>
  <conditionalFormatting sqref="AL12:AL15">
    <cfRule type="expression" dxfId="51" priority="22">
      <formula>AL$3="Sun"</formula>
    </cfRule>
  </conditionalFormatting>
  <conditionalFormatting sqref="AL20:AL23">
    <cfRule type="expression" dxfId="50" priority="21">
      <formula>AL$3="Sun"</formula>
    </cfRule>
  </conditionalFormatting>
  <conditionalFormatting sqref="AL4:AM4">
    <cfRule type="expression" dxfId="49" priority="25">
      <formula>AL$3="Sun"</formula>
    </cfRule>
  </conditionalFormatting>
  <conditionalFormatting sqref="AM12:AO12 AM20:AO20">
    <cfRule type="expression" dxfId="48" priority="26">
      <formula>AM$3="Sun"</formula>
    </cfRule>
  </conditionalFormatting>
  <conditionalFormatting sqref="AO21">
    <cfRule type="expression" dxfId="47" priority="23">
      <formula>AO$3="Sun"</formula>
    </cfRule>
  </conditionalFormatting>
  <conditionalFormatting sqref="S5">
    <cfRule type="expression" dxfId="46" priority="17">
      <formula>S$4=TODAY()</formula>
    </cfRule>
    <cfRule type="expression" dxfId="45" priority="20">
      <formula>S$3="Sun"</formula>
    </cfRule>
  </conditionalFormatting>
  <conditionalFormatting sqref="S5">
    <cfRule type="cellIs" dxfId="44" priority="16" operator="equal">
      <formula>"L"</formula>
    </cfRule>
    <cfRule type="cellIs" dxfId="43" priority="18" operator="equal">
      <formula>"A"</formula>
    </cfRule>
    <cfRule type="cellIs" dxfId="42" priority="19" operator="equal">
      <formula>"P"</formula>
    </cfRule>
  </conditionalFormatting>
  <conditionalFormatting sqref="E5">
    <cfRule type="expression" dxfId="41" priority="12">
      <formula>E$4=TODAY()</formula>
    </cfRule>
    <cfRule type="expression" dxfId="40" priority="15">
      <formula>E$3="Sun"</formula>
    </cfRule>
  </conditionalFormatting>
  <conditionalFormatting sqref="E5">
    <cfRule type="cellIs" dxfId="39" priority="11" operator="equal">
      <formula>"L"</formula>
    </cfRule>
    <cfRule type="cellIs" dxfId="38" priority="13" operator="equal">
      <formula>"A"</formula>
    </cfRule>
    <cfRule type="cellIs" dxfId="37" priority="14" operator="equal">
      <formula>"P"</formula>
    </cfRule>
  </conditionalFormatting>
  <conditionalFormatting sqref="AG5">
    <cfRule type="expression" dxfId="36" priority="7">
      <formula>AG$4=TODAY()</formula>
    </cfRule>
    <cfRule type="expression" dxfId="35" priority="10">
      <formula>AG$3="Sun"</formula>
    </cfRule>
  </conditionalFormatting>
  <conditionalFormatting sqref="AG5">
    <cfRule type="cellIs" dxfId="34" priority="6" operator="equal">
      <formula>"L"</formula>
    </cfRule>
    <cfRule type="cellIs" dxfId="33" priority="8" operator="equal">
      <formula>"A"</formula>
    </cfRule>
    <cfRule type="cellIs" dxfId="32" priority="9" operator="equal">
      <formula>"P"</formula>
    </cfRule>
  </conditionalFormatting>
  <conditionalFormatting sqref="AB10:AD21">
    <cfRule type="expression" dxfId="31" priority="2">
      <formula>AB$4=TODAY()</formula>
    </cfRule>
    <cfRule type="expression" dxfId="30" priority="5">
      <formula>AB$3="Sun"</formula>
    </cfRule>
  </conditionalFormatting>
  <conditionalFormatting sqref="AB10:AD21">
    <cfRule type="cellIs" dxfId="29" priority="1" operator="equal">
      <formula>"L"</formula>
    </cfRule>
    <cfRule type="cellIs" dxfId="28" priority="3" operator="equal">
      <formula>"A"</formula>
    </cfRule>
    <cfRule type="cellIs" dxfId="27" priority="4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O28"/>
  <sheetViews>
    <sheetView tabSelected="1" topLeftCell="A5" zoomScaleNormal="100" workbookViewId="0">
      <selection activeCell="N23" sqref="N23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 bestFit="1"/>
    <col min="32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126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K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82" t="s">
        <v>27</v>
      </c>
      <c r="M3" s="2" t="s">
        <v>399</v>
      </c>
      <c r="N3" s="2" t="s">
        <v>400</v>
      </c>
      <c r="O3" s="2" t="s">
        <v>401</v>
      </c>
      <c r="P3" s="2" t="s">
        <v>402</v>
      </c>
      <c r="Q3" s="2" t="s">
        <v>403</v>
      </c>
      <c r="R3" s="2" t="s">
        <v>404</v>
      </c>
      <c r="S3" s="2" t="s">
        <v>398</v>
      </c>
      <c r="T3" s="2" t="s">
        <v>399</v>
      </c>
      <c r="U3" s="2" t="s">
        <v>400</v>
      </c>
      <c r="V3" s="2" t="s">
        <v>401</v>
      </c>
      <c r="W3" s="2" t="s">
        <v>402</v>
      </c>
      <c r="X3" s="2" t="s">
        <v>403</v>
      </c>
      <c r="Y3" s="2" t="s">
        <v>404</v>
      </c>
      <c r="Z3" s="2" t="s">
        <v>398</v>
      </c>
      <c r="AA3" s="2" t="s">
        <v>399</v>
      </c>
      <c r="AB3" s="2" t="s">
        <v>400</v>
      </c>
      <c r="AC3" s="2" t="s">
        <v>401</v>
      </c>
      <c r="AD3" s="2" t="s">
        <v>402</v>
      </c>
      <c r="AE3" s="2" t="s">
        <v>403</v>
      </c>
      <c r="AF3" s="2" t="s">
        <v>404</v>
      </c>
      <c r="AG3" s="2" t="s">
        <v>398</v>
      </c>
      <c r="AH3" s="2" t="s">
        <v>399</v>
      </c>
      <c r="AI3" s="2" t="s">
        <v>400</v>
      </c>
      <c r="AJ3" s="94" t="s">
        <v>4</v>
      </c>
      <c r="AK3" s="94" t="s">
        <v>5</v>
      </c>
      <c r="AL3" s="95" t="s">
        <v>28</v>
      </c>
      <c r="AM3" s="96"/>
      <c r="AN3" s="3"/>
      <c r="AO3" s="3"/>
    </row>
    <row r="4" spans="1:41" ht="36">
      <c r="A4" s="102"/>
      <c r="B4" s="102"/>
      <c r="C4" s="102"/>
      <c r="D4" s="102"/>
      <c r="E4" s="10">
        <v>45627</v>
      </c>
      <c r="F4" s="10">
        <v>45628</v>
      </c>
      <c r="G4" s="10">
        <v>45629</v>
      </c>
      <c r="H4" s="10">
        <v>45630</v>
      </c>
      <c r="I4" s="10">
        <v>45631</v>
      </c>
      <c r="J4" s="10">
        <v>45632</v>
      </c>
      <c r="K4" s="10">
        <v>45633</v>
      </c>
      <c r="L4" s="10">
        <v>45634</v>
      </c>
      <c r="M4" s="10">
        <v>45635</v>
      </c>
      <c r="N4" s="10">
        <v>45636</v>
      </c>
      <c r="O4" s="10">
        <v>45637</v>
      </c>
      <c r="P4" s="10">
        <v>45638</v>
      </c>
      <c r="Q4" s="10">
        <v>45639</v>
      </c>
      <c r="R4" s="10">
        <v>45640</v>
      </c>
      <c r="S4" s="10">
        <v>45641</v>
      </c>
      <c r="T4" s="10">
        <v>45642</v>
      </c>
      <c r="U4" s="10">
        <v>45643</v>
      </c>
      <c r="V4" s="10">
        <v>45644</v>
      </c>
      <c r="W4" s="10">
        <v>45645</v>
      </c>
      <c r="X4" s="10">
        <v>45646</v>
      </c>
      <c r="Y4" s="10">
        <v>45647</v>
      </c>
      <c r="Z4" s="10">
        <v>45648</v>
      </c>
      <c r="AA4" s="10">
        <v>45649</v>
      </c>
      <c r="AB4" s="10">
        <v>45650</v>
      </c>
      <c r="AC4" s="10">
        <v>45651</v>
      </c>
      <c r="AD4" s="10">
        <v>45652</v>
      </c>
      <c r="AE4" s="10">
        <v>45653</v>
      </c>
      <c r="AF4" s="10">
        <v>45654</v>
      </c>
      <c r="AG4" s="10">
        <v>45655</v>
      </c>
      <c r="AH4" s="10">
        <v>45656</v>
      </c>
      <c r="AI4" s="10">
        <v>45657</v>
      </c>
      <c r="AJ4" s="94"/>
      <c r="AK4" s="94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226</v>
      </c>
      <c r="C5" s="80" t="s">
        <v>130</v>
      </c>
      <c r="D5" s="14" t="s">
        <v>66</v>
      </c>
      <c r="E5" s="97" t="s">
        <v>27</v>
      </c>
      <c r="F5" s="13" t="s">
        <v>24</v>
      </c>
      <c r="G5" s="13" t="s">
        <v>24</v>
      </c>
      <c r="H5" s="13" t="s">
        <v>24</v>
      </c>
      <c r="I5" s="13" t="s">
        <v>405</v>
      </c>
      <c r="J5" s="13" t="s">
        <v>24</v>
      </c>
      <c r="K5" s="13" t="s">
        <v>24</v>
      </c>
      <c r="L5" s="98" t="s">
        <v>27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97" t="s">
        <v>27</v>
      </c>
      <c r="T5" s="6" t="s">
        <v>24</v>
      </c>
      <c r="U5" s="6" t="s">
        <v>24</v>
      </c>
      <c r="V5" s="6" t="s">
        <v>24</v>
      </c>
      <c r="W5" s="6" t="s">
        <v>24</v>
      </c>
      <c r="X5" s="6" t="s">
        <v>23</v>
      </c>
      <c r="Y5" s="6" t="s">
        <v>24</v>
      </c>
      <c r="Z5" s="97" t="s">
        <v>27</v>
      </c>
      <c r="AA5" s="6"/>
      <c r="AB5" s="6"/>
      <c r="AC5" s="6"/>
      <c r="AD5" s="6"/>
      <c r="AE5" s="6"/>
      <c r="AF5" s="6"/>
      <c r="AG5" s="97" t="s">
        <v>27</v>
      </c>
      <c r="AH5" s="6"/>
      <c r="AI5" s="6"/>
      <c r="AJ5" s="4">
        <f t="shared" ref="AJ5:AJ28" si="1">COUNTIF(E5:AI5,"P")</f>
        <v>17</v>
      </c>
      <c r="AK5" s="4">
        <f t="shared" ref="AK5:AK28" si="2">COUNTIF(E5:AI5,"A")</f>
        <v>1</v>
      </c>
      <c r="AL5" s="83" t="s">
        <v>7</v>
      </c>
      <c r="AM5" s="7">
        <v>24</v>
      </c>
      <c r="AN5" s="8"/>
      <c r="AO5" s="3"/>
    </row>
    <row r="6" spans="1:41" ht="16.5">
      <c r="A6" s="7">
        <v>2</v>
      </c>
      <c r="B6" s="80" t="s">
        <v>227</v>
      </c>
      <c r="C6" s="80" t="s">
        <v>41</v>
      </c>
      <c r="D6" s="14" t="s">
        <v>66</v>
      </c>
      <c r="E6" s="97"/>
      <c r="F6" s="13" t="s">
        <v>24</v>
      </c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98"/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97"/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7"/>
      <c r="AA6" s="6"/>
      <c r="AB6" s="6"/>
      <c r="AC6" s="6"/>
      <c r="AD6" s="6"/>
      <c r="AE6" s="6"/>
      <c r="AF6" s="6"/>
      <c r="AG6" s="97"/>
      <c r="AH6" s="6"/>
      <c r="AI6" s="6"/>
      <c r="AJ6" s="4">
        <f t="shared" si="1"/>
        <v>18</v>
      </c>
      <c r="AK6" s="4">
        <f t="shared" si="2"/>
        <v>0</v>
      </c>
      <c r="AL6" s="83" t="s">
        <v>8</v>
      </c>
      <c r="AM6" s="7">
        <v>4</v>
      </c>
      <c r="AN6" s="3"/>
      <c r="AO6" s="3"/>
    </row>
    <row r="7" spans="1:41" ht="16.5">
      <c r="A7" s="7">
        <v>3</v>
      </c>
      <c r="B7" s="80" t="s">
        <v>228</v>
      </c>
      <c r="C7" s="80" t="s">
        <v>121</v>
      </c>
      <c r="D7" s="14" t="s">
        <v>66</v>
      </c>
      <c r="E7" s="97"/>
      <c r="F7" s="13" t="s">
        <v>24</v>
      </c>
      <c r="G7" s="13" t="s">
        <v>24</v>
      </c>
      <c r="H7" s="13" t="s">
        <v>24</v>
      </c>
      <c r="I7" s="13" t="s">
        <v>23</v>
      </c>
      <c r="J7" s="13" t="s">
        <v>24</v>
      </c>
      <c r="K7" s="13" t="s">
        <v>24</v>
      </c>
      <c r="L7" s="98"/>
      <c r="M7" s="6" t="s">
        <v>24</v>
      </c>
      <c r="N7" s="6" t="s">
        <v>24</v>
      </c>
      <c r="O7" s="6" t="s">
        <v>24</v>
      </c>
      <c r="P7" s="6" t="s">
        <v>23</v>
      </c>
      <c r="Q7" s="6" t="s">
        <v>24</v>
      </c>
      <c r="R7" s="6" t="s">
        <v>24</v>
      </c>
      <c r="S7" s="97"/>
      <c r="T7" s="6" t="s">
        <v>24</v>
      </c>
      <c r="U7" s="6" t="s">
        <v>24</v>
      </c>
      <c r="V7" s="6" t="s">
        <v>23</v>
      </c>
      <c r="W7" s="6" t="s">
        <v>24</v>
      </c>
      <c r="X7" s="6" t="s">
        <v>24</v>
      </c>
      <c r="Y7" s="6" t="s">
        <v>24</v>
      </c>
      <c r="Z7" s="97"/>
      <c r="AA7" s="6"/>
      <c r="AB7" s="6" t="s">
        <v>406</v>
      </c>
      <c r="AC7" s="6"/>
      <c r="AD7" s="6"/>
      <c r="AE7" s="6"/>
      <c r="AF7" s="6"/>
      <c r="AG7" s="97"/>
      <c r="AH7" s="6"/>
      <c r="AI7" s="6"/>
      <c r="AJ7" s="4">
        <f t="shared" si="1"/>
        <v>15</v>
      </c>
      <c r="AK7" s="4">
        <f t="shared" si="2"/>
        <v>3</v>
      </c>
      <c r="AL7" s="83" t="s">
        <v>32</v>
      </c>
      <c r="AM7" s="7">
        <v>1</v>
      </c>
      <c r="AN7" s="3"/>
      <c r="AO7" s="3"/>
    </row>
    <row r="8" spans="1:41" ht="16.5">
      <c r="A8" s="7">
        <v>4</v>
      </c>
      <c r="B8" s="80" t="s">
        <v>229</v>
      </c>
      <c r="C8" s="80" t="s">
        <v>230</v>
      </c>
      <c r="D8" s="14" t="s">
        <v>66</v>
      </c>
      <c r="E8" s="97"/>
      <c r="F8" s="13" t="s">
        <v>24</v>
      </c>
      <c r="G8" s="13" t="s">
        <v>24</v>
      </c>
      <c r="H8" s="13" t="s">
        <v>24</v>
      </c>
      <c r="I8" s="13" t="s">
        <v>23</v>
      </c>
      <c r="J8" s="13" t="s">
        <v>24</v>
      </c>
      <c r="K8" s="13" t="s">
        <v>23</v>
      </c>
      <c r="L8" s="98"/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23</v>
      </c>
      <c r="S8" s="97"/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23</v>
      </c>
      <c r="Z8" s="97"/>
      <c r="AA8" s="6"/>
      <c r="AB8" s="6"/>
      <c r="AC8" s="6"/>
      <c r="AD8" s="6"/>
      <c r="AE8" s="6"/>
      <c r="AF8" s="6"/>
      <c r="AG8" s="97"/>
      <c r="AH8" s="6"/>
      <c r="AI8" s="6"/>
      <c r="AJ8" s="4">
        <f t="shared" si="1"/>
        <v>14</v>
      </c>
      <c r="AK8" s="4">
        <f t="shared" si="2"/>
        <v>4</v>
      </c>
      <c r="AL8" s="83" t="s">
        <v>30</v>
      </c>
      <c r="AM8" s="7">
        <v>1</v>
      </c>
      <c r="AN8"/>
      <c r="AO8"/>
    </row>
    <row r="9" spans="1:41" ht="16.5">
      <c r="A9" s="7">
        <v>5</v>
      </c>
      <c r="B9" s="80" t="s">
        <v>231</v>
      </c>
      <c r="C9" s="80" t="s">
        <v>19</v>
      </c>
      <c r="D9" s="14" t="s">
        <v>66</v>
      </c>
      <c r="E9" s="97"/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98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97"/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7"/>
      <c r="AA9" s="6"/>
      <c r="AB9" s="6" t="s">
        <v>407</v>
      </c>
      <c r="AC9" s="6"/>
      <c r="AD9" s="6"/>
      <c r="AE9" s="6"/>
      <c r="AF9" s="6"/>
      <c r="AG9" s="97"/>
      <c r="AH9" s="6"/>
      <c r="AI9" s="6"/>
      <c r="AJ9" s="4">
        <f t="shared" si="1"/>
        <v>18</v>
      </c>
      <c r="AK9" s="4">
        <f t="shared" si="2"/>
        <v>0</v>
      </c>
      <c r="AL9" s="83"/>
      <c r="AM9" s="7"/>
    </row>
    <row r="10" spans="1:41" ht="16.5">
      <c r="A10" s="7">
        <v>6</v>
      </c>
      <c r="B10" s="80" t="s">
        <v>232</v>
      </c>
      <c r="C10" s="80" t="s">
        <v>233</v>
      </c>
      <c r="D10" s="14" t="s">
        <v>66</v>
      </c>
      <c r="E10" s="97"/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98"/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97"/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7"/>
      <c r="AA10" s="6"/>
      <c r="AB10" s="6"/>
      <c r="AC10" s="6"/>
      <c r="AD10" s="6"/>
      <c r="AE10" s="6"/>
      <c r="AF10" s="6"/>
      <c r="AG10" s="97"/>
      <c r="AH10" s="6"/>
      <c r="AI10" s="6"/>
      <c r="AJ10" s="4">
        <f t="shared" si="1"/>
        <v>18</v>
      </c>
      <c r="AK10" s="4">
        <f t="shared" si="2"/>
        <v>0</v>
      </c>
    </row>
    <row r="11" spans="1:41" ht="16.5">
      <c r="A11" s="7">
        <v>7</v>
      </c>
      <c r="B11" s="80" t="s">
        <v>52</v>
      </c>
      <c r="C11" s="80" t="s">
        <v>234</v>
      </c>
      <c r="D11" s="14" t="s">
        <v>66</v>
      </c>
      <c r="E11" s="97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98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97"/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7"/>
      <c r="AA11" s="6"/>
      <c r="AB11" s="6"/>
      <c r="AC11" s="6"/>
      <c r="AD11" s="6"/>
      <c r="AE11" s="6"/>
      <c r="AF11" s="6"/>
      <c r="AG11" s="97"/>
      <c r="AH11" s="6"/>
      <c r="AI11" s="6"/>
      <c r="AJ11" s="4">
        <f t="shared" si="1"/>
        <v>18</v>
      </c>
      <c r="AK11" s="4">
        <f t="shared" si="2"/>
        <v>0</v>
      </c>
      <c r="AL11" s="96" t="s">
        <v>9</v>
      </c>
      <c r="AM11" s="96"/>
      <c r="AN11" s="96"/>
      <c r="AO11" s="99"/>
    </row>
    <row r="12" spans="1:41" ht="16.5">
      <c r="A12" s="7">
        <v>8</v>
      </c>
      <c r="B12" s="80" t="s">
        <v>235</v>
      </c>
      <c r="C12" s="80" t="s">
        <v>236</v>
      </c>
      <c r="D12" s="14" t="s">
        <v>66</v>
      </c>
      <c r="E12" s="97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98"/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97"/>
      <c r="T12" s="6" t="s">
        <v>24</v>
      </c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7"/>
      <c r="AA12" s="6"/>
      <c r="AB12" s="6"/>
      <c r="AC12" s="6"/>
      <c r="AD12" s="6"/>
      <c r="AE12" s="6"/>
      <c r="AF12" s="6"/>
      <c r="AG12" s="97"/>
      <c r="AH12" s="6"/>
      <c r="AI12" s="6"/>
      <c r="AJ12" s="4">
        <f t="shared" si="1"/>
        <v>18</v>
      </c>
      <c r="AK12" s="4">
        <f t="shared" si="2"/>
        <v>0</v>
      </c>
      <c r="AL12" s="83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0" t="s">
        <v>237</v>
      </c>
      <c r="C13" s="80" t="s">
        <v>238</v>
      </c>
      <c r="D13" s="14" t="s">
        <v>66</v>
      </c>
      <c r="E13" s="97"/>
      <c r="F13" s="13" t="s">
        <v>24</v>
      </c>
      <c r="G13" s="13" t="s">
        <v>24</v>
      </c>
      <c r="H13" s="13" t="s">
        <v>23</v>
      </c>
      <c r="I13" s="13" t="s">
        <v>24</v>
      </c>
      <c r="J13" s="13" t="s">
        <v>24</v>
      </c>
      <c r="K13" s="13" t="s">
        <v>24</v>
      </c>
      <c r="L13" s="98"/>
      <c r="M13" s="6" t="s">
        <v>24</v>
      </c>
      <c r="N13" s="6" t="s">
        <v>23</v>
      </c>
      <c r="O13" s="6" t="s">
        <v>24</v>
      </c>
      <c r="P13" s="6" t="s">
        <v>24</v>
      </c>
      <c r="Q13" s="6" t="s">
        <v>24</v>
      </c>
      <c r="R13" s="6" t="s">
        <v>23</v>
      </c>
      <c r="S13" s="97"/>
      <c r="T13" s="6" t="s">
        <v>24</v>
      </c>
      <c r="U13" s="6" t="s">
        <v>24</v>
      </c>
      <c r="V13" s="6" t="s">
        <v>23</v>
      </c>
      <c r="W13" s="6" t="s">
        <v>24</v>
      </c>
      <c r="X13" s="6" t="s">
        <v>24</v>
      </c>
      <c r="Y13" s="6" t="s">
        <v>24</v>
      </c>
      <c r="Z13" s="97"/>
      <c r="AA13" s="6"/>
      <c r="AB13" s="6"/>
      <c r="AC13" s="6"/>
      <c r="AD13" s="6"/>
      <c r="AE13" s="6"/>
      <c r="AF13" s="6"/>
      <c r="AG13" s="97"/>
      <c r="AH13" s="6"/>
      <c r="AI13" s="6"/>
      <c r="AJ13" s="4">
        <f t="shared" si="1"/>
        <v>14</v>
      </c>
      <c r="AK13" s="4">
        <f t="shared" si="2"/>
        <v>4</v>
      </c>
      <c r="AL13" s="83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0" t="s">
        <v>18</v>
      </c>
      <c r="C14" s="80" t="s">
        <v>229</v>
      </c>
      <c r="D14" s="14" t="s">
        <v>66</v>
      </c>
      <c r="E14" s="97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98"/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97"/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7"/>
      <c r="AA14" s="6"/>
      <c r="AB14" s="6"/>
      <c r="AC14" s="6"/>
      <c r="AD14" s="6"/>
      <c r="AE14" s="6"/>
      <c r="AF14" s="6"/>
      <c r="AG14" s="97"/>
      <c r="AH14" s="6"/>
      <c r="AI14" s="6"/>
      <c r="AJ14" s="4">
        <f t="shared" si="1"/>
        <v>18</v>
      </c>
      <c r="AK14" s="4">
        <f t="shared" si="2"/>
        <v>0</v>
      </c>
      <c r="AL14" s="83" t="s">
        <v>15</v>
      </c>
      <c r="AM14" s="7" t="e">
        <f>SUM(AJ6,AJ9,AJ11,AJ13,AJ16,AJ21,AJ22,AJ23,AJ24,AJ25,AJ26,AJ27,#REF!,#REF!,#REF!,#REF!,#REF!,#REF!,#REF!,#REF!,#REF!,#REF!,#REF!,#REF!,#REF!,#REF!,#REF!)</f>
        <v>#REF!</v>
      </c>
      <c r="AN14" s="7" t="e">
        <f>SUM(AJ5,AJ7,AJ8,AJ10,AJ12,AJ14,AJ15,AJ17,AJ18,AJ19,AJ20,AJ28,#REF!,#REF!,#REF!,#REF!,#REF!,#REF!,#REF!,#REF!,#REF!,#REF!,#REF!,#REF!,#REF!,#REF!,#REF!)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0" t="s">
        <v>239</v>
      </c>
      <c r="C15" s="80" t="s">
        <v>196</v>
      </c>
      <c r="D15" s="14" t="s">
        <v>66</v>
      </c>
      <c r="E15" s="97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98"/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97"/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7"/>
      <c r="AA15" s="6"/>
      <c r="AB15" s="6"/>
      <c r="AC15" s="6"/>
      <c r="AD15" s="6"/>
      <c r="AE15" s="6"/>
      <c r="AF15" s="6"/>
      <c r="AG15" s="97"/>
      <c r="AH15" s="6"/>
      <c r="AI15" s="6"/>
      <c r="AJ15" s="4">
        <f t="shared" si="1"/>
        <v>18</v>
      </c>
      <c r="AK15" s="4">
        <f t="shared" si="2"/>
        <v>0</v>
      </c>
      <c r="AL15" s="83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0" t="s">
        <v>57</v>
      </c>
      <c r="C16" s="80" t="s">
        <v>233</v>
      </c>
      <c r="D16" s="14" t="s">
        <v>66</v>
      </c>
      <c r="E16" s="97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98"/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97"/>
      <c r="T16" s="6" t="s">
        <v>24</v>
      </c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7"/>
      <c r="AA16" s="6"/>
      <c r="AB16" s="6" t="s">
        <v>406</v>
      </c>
      <c r="AC16" s="6"/>
      <c r="AD16" s="6"/>
      <c r="AE16" s="6"/>
      <c r="AF16" s="6"/>
      <c r="AG16" s="97"/>
      <c r="AH16" s="6"/>
      <c r="AI16" s="6"/>
      <c r="AJ16" s="4">
        <f t="shared" si="1"/>
        <v>18</v>
      </c>
      <c r="AK16" s="4">
        <f t="shared" si="2"/>
        <v>0</v>
      </c>
      <c r="AL16"/>
      <c r="AM16"/>
      <c r="AN16"/>
      <c r="AO16"/>
    </row>
    <row r="17" spans="1:41" ht="16.5">
      <c r="A17" s="7">
        <v>13</v>
      </c>
      <c r="B17" s="80" t="s">
        <v>47</v>
      </c>
      <c r="C17" s="80" t="s">
        <v>240</v>
      </c>
      <c r="D17" s="14" t="s">
        <v>66</v>
      </c>
      <c r="E17" s="97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98"/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  <c r="R17" s="6" t="s">
        <v>24</v>
      </c>
      <c r="S17" s="97"/>
      <c r="T17" s="6" t="s">
        <v>24</v>
      </c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97"/>
      <c r="AA17" s="6"/>
      <c r="AB17" s="6"/>
      <c r="AC17" s="6"/>
      <c r="AD17" s="6"/>
      <c r="AE17" s="6"/>
      <c r="AF17" s="6"/>
      <c r="AG17" s="97"/>
      <c r="AH17" s="6"/>
      <c r="AI17" s="6"/>
      <c r="AJ17" s="4">
        <f t="shared" si="1"/>
        <v>18</v>
      </c>
      <c r="AK17" s="4">
        <f t="shared" si="2"/>
        <v>0</v>
      </c>
      <c r="AL17"/>
      <c r="AM17"/>
      <c r="AN17"/>
      <c r="AO17"/>
    </row>
    <row r="18" spans="1:41" ht="16.5">
      <c r="A18" s="7">
        <v>14</v>
      </c>
      <c r="B18" s="80" t="s">
        <v>241</v>
      </c>
      <c r="C18" s="80" t="s">
        <v>59</v>
      </c>
      <c r="D18" s="14" t="s">
        <v>66</v>
      </c>
      <c r="E18" s="97"/>
      <c r="F18" s="13" t="s">
        <v>24</v>
      </c>
      <c r="G18" s="13" t="s">
        <v>24</v>
      </c>
      <c r="H18" s="13" t="s">
        <v>24</v>
      </c>
      <c r="I18" s="13" t="s">
        <v>23</v>
      </c>
      <c r="J18" s="13" t="s">
        <v>24</v>
      </c>
      <c r="K18" s="13" t="s">
        <v>24</v>
      </c>
      <c r="L18" s="98"/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97"/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7"/>
      <c r="AA18" s="6"/>
      <c r="AB18" s="6" t="s">
        <v>407</v>
      </c>
      <c r="AC18" s="6"/>
      <c r="AD18" s="6"/>
      <c r="AE18" s="6"/>
      <c r="AF18" s="6"/>
      <c r="AG18" s="97"/>
      <c r="AH18" s="6"/>
      <c r="AI18" s="6"/>
      <c r="AJ18" s="4">
        <f t="shared" si="1"/>
        <v>17</v>
      </c>
      <c r="AK18" s="4">
        <f t="shared" si="2"/>
        <v>1</v>
      </c>
      <c r="AL18"/>
      <c r="AM18"/>
      <c r="AN18"/>
      <c r="AO18"/>
    </row>
    <row r="19" spans="1:41" ht="16.5">
      <c r="A19" s="7">
        <v>15</v>
      </c>
      <c r="B19" s="80" t="s">
        <v>36</v>
      </c>
      <c r="C19" s="80" t="s">
        <v>64</v>
      </c>
      <c r="D19" s="14" t="s">
        <v>66</v>
      </c>
      <c r="E19" s="97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98"/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97"/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7"/>
      <c r="AA19" s="6"/>
      <c r="AB19" s="6"/>
      <c r="AC19" s="6"/>
      <c r="AD19" s="6"/>
      <c r="AE19" s="6"/>
      <c r="AF19" s="6"/>
      <c r="AG19" s="97"/>
      <c r="AH19" s="6"/>
      <c r="AI19" s="6"/>
      <c r="AJ19" s="4">
        <f t="shared" si="1"/>
        <v>18</v>
      </c>
      <c r="AK19" s="4">
        <f t="shared" si="2"/>
        <v>0</v>
      </c>
      <c r="AL19" s="96" t="s">
        <v>31</v>
      </c>
      <c r="AM19" s="96"/>
      <c r="AN19" s="96"/>
      <c r="AO19" s="99"/>
    </row>
    <row r="20" spans="1:41" ht="16.5">
      <c r="A20" s="7">
        <v>16</v>
      </c>
      <c r="B20" s="80" t="s">
        <v>242</v>
      </c>
      <c r="C20" s="80" t="s">
        <v>52</v>
      </c>
      <c r="D20" s="14" t="s">
        <v>66</v>
      </c>
      <c r="E20" s="97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8"/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97"/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7"/>
      <c r="AA20" s="6"/>
      <c r="AB20" s="6"/>
      <c r="AC20" s="6"/>
      <c r="AD20" s="6"/>
      <c r="AE20" s="6"/>
      <c r="AF20" s="6"/>
      <c r="AG20" s="97"/>
      <c r="AH20" s="6"/>
      <c r="AI20" s="6"/>
      <c r="AJ20" s="4">
        <f t="shared" si="1"/>
        <v>18</v>
      </c>
      <c r="AK20" s="4">
        <f t="shared" si="2"/>
        <v>0</v>
      </c>
      <c r="AL20" s="83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0" t="s">
        <v>243</v>
      </c>
      <c r="C21" s="80" t="s">
        <v>101</v>
      </c>
      <c r="D21" s="14" t="s">
        <v>66</v>
      </c>
      <c r="E21" s="97"/>
      <c r="F21" s="13" t="s">
        <v>23</v>
      </c>
      <c r="G21" s="13" t="s">
        <v>24</v>
      </c>
      <c r="H21" s="13" t="s">
        <v>24</v>
      </c>
      <c r="I21" s="13" t="s">
        <v>23</v>
      </c>
      <c r="J21" s="13" t="s">
        <v>24</v>
      </c>
      <c r="K21" s="13" t="s">
        <v>24</v>
      </c>
      <c r="L21" s="98"/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97"/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7"/>
      <c r="AA21" s="6"/>
      <c r="AB21" s="6"/>
      <c r="AC21" s="6"/>
      <c r="AD21" s="6"/>
      <c r="AE21" s="6"/>
      <c r="AF21" s="6"/>
      <c r="AG21" s="97"/>
      <c r="AH21" s="6"/>
      <c r="AI21" s="6"/>
      <c r="AJ21" s="4">
        <f t="shared" si="1"/>
        <v>16</v>
      </c>
      <c r="AK21" s="4">
        <f t="shared" si="2"/>
        <v>2</v>
      </c>
      <c r="AL21" s="83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0" t="s">
        <v>38</v>
      </c>
      <c r="C22" s="80" t="s">
        <v>244</v>
      </c>
      <c r="D22" s="14" t="s">
        <v>66</v>
      </c>
      <c r="E22" s="97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98"/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97"/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7"/>
      <c r="AA22" s="6"/>
      <c r="AB22" s="6"/>
      <c r="AC22" s="6"/>
      <c r="AD22" s="6"/>
      <c r="AE22" s="6"/>
      <c r="AF22" s="6"/>
      <c r="AG22" s="97"/>
      <c r="AH22" s="6"/>
      <c r="AI22" s="6"/>
      <c r="AJ22" s="4">
        <f t="shared" si="1"/>
        <v>18</v>
      </c>
      <c r="AK22" s="4">
        <f t="shared" si="2"/>
        <v>0</v>
      </c>
      <c r="AL22" s="83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0" t="s">
        <v>245</v>
      </c>
      <c r="C23" s="80" t="s">
        <v>246</v>
      </c>
      <c r="D23" s="14" t="s">
        <v>66</v>
      </c>
      <c r="E23" s="97"/>
      <c r="F23" s="13" t="s">
        <v>24</v>
      </c>
      <c r="G23" s="13" t="s">
        <v>23</v>
      </c>
      <c r="H23" s="13" t="s">
        <v>24</v>
      </c>
      <c r="I23" s="13" t="s">
        <v>24</v>
      </c>
      <c r="J23" s="13" t="s">
        <v>24</v>
      </c>
      <c r="K23" s="13" t="s">
        <v>24</v>
      </c>
      <c r="L23" s="98"/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  <c r="R23" s="6" t="s">
        <v>24</v>
      </c>
      <c r="S23" s="97"/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7"/>
      <c r="AA23" s="6"/>
      <c r="AB23" s="6"/>
      <c r="AC23" s="6"/>
      <c r="AD23" s="6"/>
      <c r="AE23" s="6"/>
      <c r="AF23" s="6"/>
      <c r="AG23" s="97"/>
      <c r="AH23" s="6"/>
      <c r="AI23" s="6"/>
      <c r="AJ23" s="4">
        <f t="shared" si="1"/>
        <v>17</v>
      </c>
      <c r="AK23" s="4">
        <f t="shared" si="2"/>
        <v>1</v>
      </c>
      <c r="AL23" s="83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0" t="s">
        <v>75</v>
      </c>
      <c r="C24" s="80" t="s">
        <v>20</v>
      </c>
      <c r="D24" s="14" t="s">
        <v>66</v>
      </c>
      <c r="E24" s="97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98"/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97"/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97"/>
      <c r="AA24" s="6"/>
      <c r="AB24" s="6"/>
      <c r="AC24" s="6"/>
      <c r="AD24" s="6"/>
      <c r="AE24" s="6"/>
      <c r="AF24" s="6"/>
      <c r="AG24" s="97"/>
      <c r="AH24" s="6"/>
      <c r="AI24" s="6"/>
      <c r="AJ24" s="4">
        <f t="shared" si="1"/>
        <v>18</v>
      </c>
      <c r="AK24" s="4">
        <f t="shared" si="2"/>
        <v>0</v>
      </c>
    </row>
    <row r="25" spans="1:41" ht="16.5">
      <c r="A25" s="7">
        <v>21</v>
      </c>
      <c r="B25" s="80" t="s">
        <v>247</v>
      </c>
      <c r="C25" s="80" t="s">
        <v>65</v>
      </c>
      <c r="D25" s="14" t="s">
        <v>66</v>
      </c>
      <c r="E25" s="97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98"/>
      <c r="M25" s="6" t="s">
        <v>24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97"/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97"/>
      <c r="AA25" s="6"/>
      <c r="AB25" s="6"/>
      <c r="AC25" s="6"/>
      <c r="AD25" s="6"/>
      <c r="AE25" s="6"/>
      <c r="AF25" s="6"/>
      <c r="AG25" s="97"/>
      <c r="AH25" s="6"/>
      <c r="AI25" s="6"/>
      <c r="AJ25" s="4">
        <f t="shared" si="1"/>
        <v>18</v>
      </c>
      <c r="AK25" s="4">
        <f t="shared" si="2"/>
        <v>0</v>
      </c>
    </row>
    <row r="26" spans="1:41" ht="16.5">
      <c r="A26" s="7">
        <v>22</v>
      </c>
      <c r="B26" s="80" t="s">
        <v>72</v>
      </c>
      <c r="C26" s="80" t="s">
        <v>171</v>
      </c>
      <c r="D26" s="14" t="s">
        <v>66</v>
      </c>
      <c r="E26" s="97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98"/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97"/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97"/>
      <c r="AA26" s="6"/>
      <c r="AB26" s="6"/>
      <c r="AC26" s="6"/>
      <c r="AD26" s="6"/>
      <c r="AE26" s="6"/>
      <c r="AF26" s="6"/>
      <c r="AG26" s="97"/>
      <c r="AH26" s="6"/>
      <c r="AI26" s="6"/>
      <c r="AJ26" s="4">
        <f t="shared" si="1"/>
        <v>18</v>
      </c>
      <c r="AK26" s="4">
        <f t="shared" si="2"/>
        <v>0</v>
      </c>
    </row>
    <row r="27" spans="1:41" ht="16.5">
      <c r="A27" s="7">
        <v>23</v>
      </c>
      <c r="B27" s="80" t="s">
        <v>248</v>
      </c>
      <c r="C27" s="80" t="s">
        <v>198</v>
      </c>
      <c r="D27" s="14" t="s">
        <v>66</v>
      </c>
      <c r="E27" s="97"/>
      <c r="F27" s="13" t="s">
        <v>24</v>
      </c>
      <c r="G27" s="13" t="s">
        <v>23</v>
      </c>
      <c r="H27" s="13" t="s">
        <v>24</v>
      </c>
      <c r="I27" s="13" t="s">
        <v>24</v>
      </c>
      <c r="J27" s="13" t="s">
        <v>24</v>
      </c>
      <c r="K27" s="13" t="s">
        <v>24</v>
      </c>
      <c r="L27" s="98"/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97"/>
      <c r="T27" s="6" t="s">
        <v>24</v>
      </c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97"/>
      <c r="AA27" s="6"/>
      <c r="AB27" s="6"/>
      <c r="AC27" s="6"/>
      <c r="AD27" s="6"/>
      <c r="AE27" s="6"/>
      <c r="AF27" s="6"/>
      <c r="AG27" s="97"/>
      <c r="AH27" s="6"/>
      <c r="AI27" s="6"/>
      <c r="AJ27" s="4">
        <f t="shared" si="1"/>
        <v>17</v>
      </c>
      <c r="AK27" s="4">
        <f t="shared" si="2"/>
        <v>1</v>
      </c>
    </row>
    <row r="28" spans="1:41" ht="16.5">
      <c r="A28" s="7">
        <v>24</v>
      </c>
      <c r="B28" s="80" t="s">
        <v>249</v>
      </c>
      <c r="C28" s="80" t="s">
        <v>250</v>
      </c>
      <c r="D28" s="14" t="s">
        <v>66</v>
      </c>
      <c r="E28" s="97"/>
      <c r="F28" s="13" t="s">
        <v>24</v>
      </c>
      <c r="G28" s="13" t="s">
        <v>23</v>
      </c>
      <c r="H28" s="13" t="s">
        <v>24</v>
      </c>
      <c r="I28" s="13" t="s">
        <v>24</v>
      </c>
      <c r="J28" s="13" t="s">
        <v>24</v>
      </c>
      <c r="K28" s="13" t="s">
        <v>24</v>
      </c>
      <c r="L28" s="98"/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97"/>
      <c r="T28" s="6" t="s">
        <v>24</v>
      </c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97"/>
      <c r="AA28" s="6"/>
      <c r="AB28" s="6"/>
      <c r="AC28" s="6"/>
      <c r="AD28" s="6"/>
      <c r="AE28" s="6"/>
      <c r="AF28" s="6"/>
      <c r="AG28" s="97"/>
      <c r="AH28" s="6"/>
      <c r="AI28" s="6"/>
      <c r="AJ28" s="4">
        <f t="shared" si="1"/>
        <v>17</v>
      </c>
      <c r="AK28" s="4">
        <f t="shared" si="2"/>
        <v>1</v>
      </c>
    </row>
  </sheetData>
  <mergeCells count="16">
    <mergeCell ref="AK3:AK4"/>
    <mergeCell ref="AL3:AM3"/>
    <mergeCell ref="AL11:AO11"/>
    <mergeCell ref="AL19:AO19"/>
    <mergeCell ref="Z5:Z28"/>
    <mergeCell ref="AJ3:AJ4"/>
    <mergeCell ref="E5:E28"/>
    <mergeCell ref="AG5:AG28"/>
    <mergeCell ref="L5:L28"/>
    <mergeCell ref="S5:S28"/>
    <mergeCell ref="A1:AI1"/>
    <mergeCell ref="A2:AI2"/>
    <mergeCell ref="A3:A4"/>
    <mergeCell ref="B3:B4"/>
    <mergeCell ref="C3:C4"/>
    <mergeCell ref="D3:D4"/>
  </mergeCells>
  <phoneticPr fontId="19" type="noConversion"/>
  <conditionalFormatting sqref="F6:K28 F5:R5 T6:Y28 AH5:AI28 E3:AI4 M6:R28 T5:AF5 AA6:AF28">
    <cfRule type="expression" dxfId="26" priority="24">
      <formula>E$4=TODAY()</formula>
    </cfRule>
    <cfRule type="expression" dxfId="25" priority="32">
      <formula>E$3="Sun"</formula>
    </cfRule>
  </conditionalFormatting>
  <conditionalFormatting sqref="F6:K28 F5:R5 T6:Y28 AH5:AI28 M6:R28 T5:AF5 AA6:AF28">
    <cfRule type="cellIs" dxfId="24" priority="23" operator="equal">
      <formula>"L"</formula>
    </cfRule>
    <cfRule type="cellIs" dxfId="23" priority="25" operator="equal">
      <formula>"A"</formula>
    </cfRule>
    <cfRule type="cellIs" dxfId="22" priority="26" operator="equal">
      <formula>"P"</formula>
    </cfRule>
  </conditionalFormatting>
  <conditionalFormatting sqref="AJ3:AK3 AJ5:AK28">
    <cfRule type="expression" dxfId="21" priority="33">
      <formula>#REF!="Sun"</formula>
    </cfRule>
  </conditionalFormatting>
  <conditionalFormatting sqref="AL5:AL9">
    <cfRule type="expression" dxfId="20" priority="20">
      <formula>AL$3="Sun"</formula>
    </cfRule>
  </conditionalFormatting>
  <conditionalFormatting sqref="AL12:AL15">
    <cfRule type="expression" dxfId="19" priority="17">
      <formula>AL$3="Sun"</formula>
    </cfRule>
  </conditionalFormatting>
  <conditionalFormatting sqref="AL20:AL23">
    <cfRule type="expression" dxfId="18" priority="16">
      <formula>AL$3="Sun"</formula>
    </cfRule>
  </conditionalFormatting>
  <conditionalFormatting sqref="AL4:AM4">
    <cfRule type="expression" dxfId="17" priority="21">
      <formula>AL$3="Sun"</formula>
    </cfRule>
  </conditionalFormatting>
  <conditionalFormatting sqref="AM12:AO12 AM20:AO20">
    <cfRule type="expression" dxfId="16" priority="22">
      <formula>AM$3="Sun"</formula>
    </cfRule>
  </conditionalFormatting>
  <conditionalFormatting sqref="AO21">
    <cfRule type="expression" dxfId="15" priority="19">
      <formula>AO$3="Sun"</formula>
    </cfRule>
  </conditionalFormatting>
  <conditionalFormatting sqref="S5">
    <cfRule type="expression" dxfId="14" priority="12">
      <formula>S$4=TODAY()</formula>
    </cfRule>
    <cfRule type="expression" dxfId="13" priority="15">
      <formula>S$3="Sun"</formula>
    </cfRule>
  </conditionalFormatting>
  <conditionalFormatting sqref="S5">
    <cfRule type="cellIs" dxfId="12" priority="11" operator="equal">
      <formula>"L"</formula>
    </cfRule>
    <cfRule type="cellIs" dxfId="11" priority="13" operator="equal">
      <formula>"A"</formula>
    </cfRule>
    <cfRule type="cellIs" dxfId="10" priority="14" operator="equal">
      <formula>"P"</formula>
    </cfRule>
  </conditionalFormatting>
  <conditionalFormatting sqref="E5">
    <cfRule type="expression" dxfId="9" priority="7">
      <formula>E$4=TODAY()</formula>
    </cfRule>
    <cfRule type="expression" dxfId="8" priority="10">
      <formula>E$3="Sun"</formula>
    </cfRule>
  </conditionalFormatting>
  <conditionalFormatting sqref="E5">
    <cfRule type="cellIs" dxfId="7" priority="6" operator="equal">
      <formula>"L"</formula>
    </cfRule>
    <cfRule type="cellIs" dxfId="6" priority="8" operator="equal">
      <formula>"A"</formula>
    </cfRule>
    <cfRule type="cellIs" dxfId="5" priority="9" operator="equal">
      <formula>"P"</formula>
    </cfRule>
  </conditionalFormatting>
  <conditionalFormatting sqref="AG5">
    <cfRule type="expression" dxfId="4" priority="2">
      <formula>AG$4=TODAY()</formula>
    </cfRule>
    <cfRule type="expression" dxfId="3" priority="5">
      <formula>AG$3="Sun"</formula>
    </cfRule>
  </conditionalFormatting>
  <conditionalFormatting sqref="AG5">
    <cfRule type="cellIs" dxfId="2" priority="1" operator="equal">
      <formula>"L"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pak</cp:lastModifiedBy>
  <dcterms:created xsi:type="dcterms:W3CDTF">2015-06-05T18:17:20Z</dcterms:created>
  <dcterms:modified xsi:type="dcterms:W3CDTF">2025-02-28T05:20:38Z</dcterms:modified>
</cp:coreProperties>
</file>