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2nd Quarter Required Data\QPR\Shafi Muhammad Goth\H. Staff Attendance\"/>
    </mc:Choice>
  </mc:AlternateContent>
  <xr:revisionPtr revIDLastSave="0" documentId="13_ncr:1_{2F180638-2C28-4D63-BFA2-1D7BDA273450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FEBRUARY-2025" sheetId="17" r:id="rId1"/>
    <sheet name="MARCH-2025" sheetId="18" r:id="rId2"/>
    <sheet name="APRIL-2025" sheetId="21" r:id="rId3"/>
    <sheet name="MAY-2025" sheetId="2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1" i="22" l="1"/>
  <c r="V11" i="22"/>
  <c r="U11" i="22"/>
  <c r="T11" i="22"/>
  <c r="W10" i="22"/>
  <c r="V10" i="22"/>
  <c r="U10" i="22"/>
  <c r="T10" i="22"/>
  <c r="W9" i="22"/>
  <c r="V9" i="22"/>
  <c r="U9" i="22"/>
  <c r="T9" i="22"/>
  <c r="W8" i="22"/>
  <c r="V8" i="22"/>
  <c r="U8" i="22"/>
  <c r="T8" i="22"/>
  <c r="W7" i="22"/>
  <c r="V7" i="22"/>
  <c r="U7" i="22"/>
  <c r="T7" i="22"/>
  <c r="W6" i="22"/>
  <c r="V6" i="22"/>
  <c r="U6" i="22"/>
  <c r="T6" i="22"/>
  <c r="V5" i="22"/>
  <c r="U5" i="22"/>
  <c r="T5" i="22"/>
  <c r="X5" i="22" s="1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AK9" i="21"/>
  <c r="AJ9" i="21"/>
  <c r="AI9" i="21"/>
  <c r="AH9" i="21"/>
  <c r="AL9" i="21" s="1"/>
  <c r="AK11" i="21"/>
  <c r="AJ11" i="21"/>
  <c r="AI11" i="21"/>
  <c r="AH11" i="21"/>
  <c r="AK10" i="21"/>
  <c r="AJ10" i="21"/>
  <c r="AI10" i="21"/>
  <c r="AH10" i="21"/>
  <c r="AK8" i="21"/>
  <c r="AJ8" i="21"/>
  <c r="AI8" i="21"/>
  <c r="AH8" i="21"/>
  <c r="AK7" i="21"/>
  <c r="AJ7" i="21"/>
  <c r="AI7" i="21"/>
  <c r="AH7" i="21"/>
  <c r="AK6" i="21"/>
  <c r="AJ6" i="21"/>
  <c r="AI6" i="21"/>
  <c r="AH6" i="21"/>
  <c r="AJ5" i="21"/>
  <c r="AI5" i="21"/>
  <c r="AH5" i="21"/>
  <c r="AG3" i="21"/>
  <c r="AF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AL10" i="18"/>
  <c r="AK10" i="18"/>
  <c r="AJ10" i="18"/>
  <c r="AI10" i="18"/>
  <c r="AL11" i="18"/>
  <c r="AK11" i="18"/>
  <c r="AJ11" i="18"/>
  <c r="AI11" i="18"/>
  <c r="AL9" i="18"/>
  <c r="AK9" i="18"/>
  <c r="AJ9" i="18"/>
  <c r="AI9" i="18"/>
  <c r="AL8" i="18"/>
  <c r="AK8" i="18"/>
  <c r="AJ8" i="18"/>
  <c r="AI8" i="18"/>
  <c r="AL7" i="18"/>
  <c r="AK7" i="18"/>
  <c r="AJ7" i="18"/>
  <c r="AI7" i="18"/>
  <c r="AL6" i="18"/>
  <c r="AK6" i="18"/>
  <c r="AJ6" i="18"/>
  <c r="AI6" i="18"/>
  <c r="AK5" i="18"/>
  <c r="AJ5" i="18"/>
  <c r="AI5" i="18"/>
  <c r="AH3" i="18"/>
  <c r="AG3" i="18"/>
  <c r="AF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S10" i="17"/>
  <c r="R10" i="17"/>
  <c r="Q10" i="17"/>
  <c r="P10" i="17"/>
  <c r="S9" i="17"/>
  <c r="R9" i="17"/>
  <c r="Q9" i="17"/>
  <c r="P9" i="17"/>
  <c r="S8" i="17"/>
  <c r="R8" i="17"/>
  <c r="Q8" i="17"/>
  <c r="P8" i="17"/>
  <c r="S7" i="17"/>
  <c r="R7" i="17"/>
  <c r="Q7" i="17"/>
  <c r="P7" i="17"/>
  <c r="S6" i="17"/>
  <c r="R6" i="17"/>
  <c r="Q6" i="17"/>
  <c r="P6" i="17"/>
  <c r="R5" i="17"/>
  <c r="Q5" i="17"/>
  <c r="P5" i="17"/>
  <c r="O3" i="17"/>
  <c r="N3" i="17"/>
  <c r="M3" i="17"/>
  <c r="L3" i="17"/>
  <c r="K3" i="17"/>
  <c r="J3" i="17"/>
  <c r="I3" i="17"/>
  <c r="H3" i="17"/>
  <c r="G3" i="17"/>
  <c r="F3" i="17"/>
  <c r="E3" i="17"/>
  <c r="D3" i="17"/>
  <c r="T5" i="17" l="1"/>
  <c r="X6" i="22"/>
  <c r="X7" i="22"/>
  <c r="X8" i="22"/>
  <c r="X9" i="22"/>
  <c r="X10" i="22"/>
  <c r="X11" i="22"/>
  <c r="AM10" i="18"/>
  <c r="AL6" i="21"/>
  <c r="AL7" i="21"/>
  <c r="AL8" i="21"/>
  <c r="AL10" i="21"/>
  <c r="AL11" i="21"/>
  <c r="AL5" i="21"/>
  <c r="T6" i="17"/>
  <c r="T7" i="17"/>
  <c r="T8" i="17"/>
  <c r="T9" i="17"/>
  <c r="T10" i="17"/>
  <c r="AM5" i="18"/>
  <c r="AM6" i="18"/>
  <c r="AM7" i="18"/>
  <c r="AM8" i="18"/>
  <c r="AM9" i="18"/>
  <c r="AM11" i="18"/>
</calcChain>
</file>

<file path=xl/sharedStrings.xml><?xml version="1.0" encoding="utf-8"?>
<sst xmlns="http://schemas.openxmlformats.org/spreadsheetml/2006/main" count="591" uniqueCount="29">
  <si>
    <t>Employee Attendance Sheet</t>
  </si>
  <si>
    <t>Result</t>
  </si>
  <si>
    <t>S No</t>
  </si>
  <si>
    <t>Name of Employee</t>
  </si>
  <si>
    <t>Designation</t>
  </si>
  <si>
    <t>P.DAYS</t>
  </si>
  <si>
    <t>P</t>
  </si>
  <si>
    <t>A</t>
  </si>
  <si>
    <t>L</t>
  </si>
  <si>
    <t>SUN</t>
  </si>
  <si>
    <t>SUNDAY</t>
  </si>
  <si>
    <t>TEACHING STAFF</t>
  </si>
  <si>
    <t>PST</t>
  </si>
  <si>
    <t>HM</t>
  </si>
  <si>
    <t>Muhammad Hussain</t>
  </si>
  <si>
    <t>Muhammad Yasir</t>
  </si>
  <si>
    <t>Ghulam Muhammad</t>
  </si>
  <si>
    <t>Muneer Ahmed</t>
  </si>
  <si>
    <t>Hajira Bibi</t>
  </si>
  <si>
    <t>Iffat Naaz</t>
  </si>
  <si>
    <t>SLT</t>
  </si>
  <si>
    <t>Urs Lal Shehbaz Qalandar</t>
  </si>
  <si>
    <t>Ahsan Ali</t>
  </si>
  <si>
    <t>Youm-E-Ali</t>
  </si>
  <si>
    <t>Laylat al-Qadr</t>
  </si>
  <si>
    <t>-</t>
  </si>
  <si>
    <t>Eid Ul Fitar</t>
  </si>
  <si>
    <t>Death Anniversory (SZAB)</t>
  </si>
  <si>
    <t>Labour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</si>
</sst>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textRotation="90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textRotation="255"/>
    </xf>
    <xf numFmtId="0" fontId="2" fillId="3" borderId="8" xfId="0" applyFont="1" applyFill="1" applyBorder="1" applyAlignment="1">
      <alignment horizontal="center" vertical="center" textRotation="255"/>
    </xf>
    <xf numFmtId="164" fontId="0" fillId="3" borderId="13" xfId="0" applyNumberForma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textRotation="180"/>
    </xf>
    <xf numFmtId="0" fontId="2" fillId="5" borderId="8" xfId="0" applyFont="1" applyFill="1" applyBorder="1" applyAlignment="1">
      <alignment horizontal="center" vertical="center" textRotation="180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textRotation="255"/>
    </xf>
    <xf numFmtId="0" fontId="2" fillId="5" borderId="1" xfId="0" applyFont="1" applyFill="1" applyBorder="1" applyAlignment="1">
      <alignment horizontal="center" vertical="center" textRotation="90"/>
    </xf>
    <xf numFmtId="0" fontId="2" fillId="5" borderId="15" xfId="0" applyFont="1" applyFill="1" applyBorder="1" applyAlignment="1">
      <alignment horizontal="center" vertical="center" textRotation="90"/>
    </xf>
    <xf numFmtId="0" fontId="2" fillId="5" borderId="8" xfId="0" applyFont="1" applyFill="1" applyBorder="1" applyAlignment="1">
      <alignment horizontal="center" vertical="center" textRotation="90"/>
    </xf>
    <xf numFmtId="164" fontId="0" fillId="3" borderId="16" xfId="0" applyNumberForma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 textRotation="90"/>
    </xf>
    <xf numFmtId="0" fontId="0" fillId="3" borderId="19" xfId="0" applyFill="1" applyBorder="1" applyAlignment="1">
      <alignment horizontal="center" vertical="center" textRotation="90"/>
    </xf>
    <xf numFmtId="0" fontId="0" fillId="3" borderId="22" xfId="0" applyFill="1" applyBorder="1" applyAlignment="1">
      <alignment horizontal="center" vertical="center" textRotation="90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 textRotation="180"/>
    </xf>
    <xf numFmtId="0" fontId="2" fillId="6" borderId="23" xfId="0" applyFont="1" applyFill="1" applyBorder="1" applyAlignment="1">
      <alignment horizontal="center" vertical="center" textRotation="180"/>
    </xf>
    <xf numFmtId="0" fontId="2" fillId="6" borderId="24" xfId="0" applyFont="1" applyFill="1" applyBorder="1" applyAlignment="1">
      <alignment horizontal="center" vertical="center" textRotation="180"/>
    </xf>
    <xf numFmtId="0" fontId="2" fillId="5" borderId="15" xfId="0" applyFont="1" applyFill="1" applyBorder="1" applyAlignment="1">
      <alignment horizontal="center" vertical="center" textRotation="180"/>
    </xf>
    <xf numFmtId="0" fontId="2" fillId="5" borderId="23" xfId="0" applyFont="1" applyFill="1" applyBorder="1" applyAlignment="1">
      <alignment horizontal="center" vertical="center" textRotation="180"/>
    </xf>
    <xf numFmtId="0" fontId="2" fillId="5" borderId="24" xfId="0" applyFont="1" applyFill="1" applyBorder="1" applyAlignment="1">
      <alignment horizontal="center" vertical="center" textRotation="180"/>
    </xf>
  </cellXfs>
  <cellStyles count="1">
    <cellStyle name="Normal" xfId="0" builtinId="0"/>
  </cellStyles>
  <dxfs count="3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BB08-A46D-40A6-8C4D-472E092480D2}">
  <dimension ref="A1:T17"/>
  <sheetViews>
    <sheetView workbookViewId="0">
      <selection activeCell="M9" sqref="M9"/>
    </sheetView>
  </sheetViews>
  <sheetFormatPr defaultRowHeight="15" x14ac:dyDescent="0.25"/>
  <cols>
    <col min="1" max="1" width="5" bestFit="1" customWidth="1"/>
    <col min="2" max="2" width="19.140625" bestFit="1" customWidth="1"/>
    <col min="3" max="3" width="11.5703125" bestFit="1" customWidth="1"/>
    <col min="4" max="15" width="3.7109375" bestFit="1" customWidth="1"/>
    <col min="16" max="19" width="5.7109375" customWidth="1"/>
    <col min="20" max="20" width="7.42578125" bestFit="1" customWidth="1"/>
  </cols>
  <sheetData>
    <row r="1" spans="1:20" ht="15.75" thickBot="1" x14ac:dyDescent="0.3"/>
    <row r="2" spans="1:20" ht="32.25" thickBot="1" x14ac:dyDescent="0.55000000000000004">
      <c r="A2" s="13" t="s">
        <v>11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5"/>
    </row>
    <row r="3" spans="1:20" ht="27" x14ac:dyDescent="0.25">
      <c r="A3" s="16" t="s">
        <v>0</v>
      </c>
      <c r="B3" s="17"/>
      <c r="C3" s="17"/>
      <c r="D3" s="10" t="str">
        <f t="shared" ref="D3:O3" si="0">TEXT(D4,"ddd")</f>
        <v>Mon</v>
      </c>
      <c r="E3" s="10" t="str">
        <f t="shared" si="0"/>
        <v>Tue</v>
      </c>
      <c r="F3" s="10" t="str">
        <f t="shared" si="0"/>
        <v>Wed</v>
      </c>
      <c r="G3" s="10" t="str">
        <f t="shared" si="0"/>
        <v>Thu</v>
      </c>
      <c r="H3" s="10" t="str">
        <f t="shared" si="0"/>
        <v>Fri</v>
      </c>
      <c r="I3" s="10" t="str">
        <f t="shared" si="0"/>
        <v>Sat</v>
      </c>
      <c r="J3" s="10" t="str">
        <f t="shared" si="0"/>
        <v>Sun</v>
      </c>
      <c r="K3" s="10" t="str">
        <f t="shared" si="0"/>
        <v>Mon</v>
      </c>
      <c r="L3" s="10" t="str">
        <f t="shared" si="0"/>
        <v>Tue</v>
      </c>
      <c r="M3" s="10" t="str">
        <f t="shared" si="0"/>
        <v>Wed</v>
      </c>
      <c r="N3" s="10" t="str">
        <f t="shared" si="0"/>
        <v>Thu</v>
      </c>
      <c r="O3" s="10" t="str">
        <f t="shared" si="0"/>
        <v>Fri</v>
      </c>
      <c r="P3" s="18" t="s">
        <v>1</v>
      </c>
      <c r="Q3" s="18"/>
      <c r="R3" s="18"/>
      <c r="S3" s="18"/>
      <c r="T3" s="19"/>
    </row>
    <row r="4" spans="1:20" x14ac:dyDescent="0.25">
      <c r="A4" s="1" t="s">
        <v>2</v>
      </c>
      <c r="B4" s="2" t="s">
        <v>3</v>
      </c>
      <c r="C4" s="2" t="s">
        <v>4</v>
      </c>
      <c r="D4" s="7">
        <v>45705</v>
      </c>
      <c r="E4" s="7">
        <v>45706</v>
      </c>
      <c r="F4" s="7">
        <v>45707</v>
      </c>
      <c r="G4" s="7">
        <v>45708</v>
      </c>
      <c r="H4" s="7">
        <v>45709</v>
      </c>
      <c r="I4" s="7">
        <v>45710</v>
      </c>
      <c r="J4" s="7">
        <v>45711</v>
      </c>
      <c r="K4" s="7">
        <v>45712</v>
      </c>
      <c r="L4" s="7">
        <v>45713</v>
      </c>
      <c r="M4" s="7">
        <v>45714</v>
      </c>
      <c r="N4" s="7">
        <v>45715</v>
      </c>
      <c r="O4" s="7">
        <v>45716</v>
      </c>
      <c r="P4" s="8" t="s">
        <v>6</v>
      </c>
      <c r="Q4" s="8" t="s">
        <v>7</v>
      </c>
      <c r="R4" s="8" t="s">
        <v>8</v>
      </c>
      <c r="S4" s="8" t="s">
        <v>9</v>
      </c>
      <c r="T4" s="9" t="s">
        <v>5</v>
      </c>
    </row>
    <row r="5" spans="1:20" ht="15" customHeight="1" x14ac:dyDescent="0.25">
      <c r="A5" s="3">
        <v>1</v>
      </c>
      <c r="B5" s="4" t="s">
        <v>14</v>
      </c>
      <c r="C5" s="4" t="s">
        <v>13</v>
      </c>
      <c r="D5" s="4" t="s">
        <v>6</v>
      </c>
      <c r="E5" s="4" t="s">
        <v>6</v>
      </c>
      <c r="F5" s="25" t="s">
        <v>21</v>
      </c>
      <c r="G5" s="4" t="s">
        <v>6</v>
      </c>
      <c r="H5" s="4" t="s">
        <v>6</v>
      </c>
      <c r="I5" s="4" t="s">
        <v>6</v>
      </c>
      <c r="J5" s="20" t="s">
        <v>10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4">
        <f>COUNTIF(D5:O5,"P")</f>
        <v>10</v>
      </c>
      <c r="Q5" s="4">
        <f>COUNTIF(D5:O5,"A")</f>
        <v>0</v>
      </c>
      <c r="R5" s="4">
        <f>COUNTIF(D5:O5,"L")</f>
        <v>0</v>
      </c>
      <c r="S5" s="4">
        <v>5</v>
      </c>
      <c r="T5" s="11">
        <f>P5+R5+S5</f>
        <v>15</v>
      </c>
    </row>
    <row r="6" spans="1:20" x14ac:dyDescent="0.25">
      <c r="A6" s="3">
        <v>2</v>
      </c>
      <c r="B6" s="4" t="s">
        <v>15</v>
      </c>
      <c r="C6" s="4" t="s">
        <v>12</v>
      </c>
      <c r="D6" s="4" t="s">
        <v>6</v>
      </c>
      <c r="E6" s="4" t="s">
        <v>6</v>
      </c>
      <c r="F6" s="25"/>
      <c r="G6" s="4" t="s">
        <v>6</v>
      </c>
      <c r="H6" s="4" t="s">
        <v>6</v>
      </c>
      <c r="I6" s="4" t="s">
        <v>6</v>
      </c>
      <c r="J6" s="20"/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4">
        <f>COUNTIF(D6:O6,"P")</f>
        <v>10</v>
      </c>
      <c r="Q6" s="4">
        <f>COUNTIF(D6:O6,"A")</f>
        <v>0</v>
      </c>
      <c r="R6" s="4">
        <f>COUNTIF(D6:O6,"L")</f>
        <v>0</v>
      </c>
      <c r="S6" s="4">
        <f>COUNTBLANK(D6:O6)</f>
        <v>2</v>
      </c>
      <c r="T6" s="11">
        <f t="shared" ref="T6:T10" si="1">P6+R6+S6</f>
        <v>12</v>
      </c>
    </row>
    <row r="7" spans="1:20" x14ac:dyDescent="0.25">
      <c r="A7" s="3">
        <v>3</v>
      </c>
      <c r="B7" s="4" t="s">
        <v>16</v>
      </c>
      <c r="C7" s="4" t="s">
        <v>12</v>
      </c>
      <c r="D7" s="4" t="s">
        <v>6</v>
      </c>
      <c r="E7" s="4" t="s">
        <v>6</v>
      </c>
      <c r="F7" s="25"/>
      <c r="G7" s="4" t="s">
        <v>6</v>
      </c>
      <c r="H7" s="4" t="s">
        <v>6</v>
      </c>
      <c r="I7" s="4" t="s">
        <v>6</v>
      </c>
      <c r="J7" s="20"/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4">
        <f>COUNTIF(D7:O7,"P")</f>
        <v>10</v>
      </c>
      <c r="Q7" s="4">
        <f>COUNTIF(D7:O7,"A")</f>
        <v>0</v>
      </c>
      <c r="R7" s="4">
        <f>COUNTIF(D7:O7,"L")</f>
        <v>0</v>
      </c>
      <c r="S7" s="4">
        <f>COUNTBLANK(D7:O7)</f>
        <v>2</v>
      </c>
      <c r="T7" s="11">
        <f t="shared" si="1"/>
        <v>12</v>
      </c>
    </row>
    <row r="8" spans="1:20" x14ac:dyDescent="0.25">
      <c r="A8" s="3">
        <v>4</v>
      </c>
      <c r="B8" s="4" t="s">
        <v>17</v>
      </c>
      <c r="C8" s="4" t="s">
        <v>20</v>
      </c>
      <c r="D8" s="4" t="s">
        <v>6</v>
      </c>
      <c r="E8" s="4" t="s">
        <v>6</v>
      </c>
      <c r="F8" s="25"/>
      <c r="G8" s="4" t="s">
        <v>6</v>
      </c>
      <c r="H8" s="4" t="s">
        <v>6</v>
      </c>
      <c r="I8" s="4" t="s">
        <v>8</v>
      </c>
      <c r="J8" s="20"/>
      <c r="K8" s="4" t="s">
        <v>6</v>
      </c>
      <c r="L8" s="4" t="s">
        <v>6</v>
      </c>
      <c r="M8" s="4" t="s">
        <v>6</v>
      </c>
      <c r="N8" s="4" t="s">
        <v>6</v>
      </c>
      <c r="O8" s="4" t="s">
        <v>8</v>
      </c>
      <c r="P8" s="4">
        <f>COUNTIF(D8:O8,"P")</f>
        <v>8</v>
      </c>
      <c r="Q8" s="4">
        <f>COUNTIF(D8:O8,"A")</f>
        <v>0</v>
      </c>
      <c r="R8" s="4">
        <f>COUNTIF(D8:O8,"L")</f>
        <v>2</v>
      </c>
      <c r="S8" s="4">
        <f>COUNTBLANK(D8:O8)</f>
        <v>2</v>
      </c>
      <c r="T8" s="11">
        <f t="shared" si="1"/>
        <v>12</v>
      </c>
    </row>
    <row r="9" spans="1:20" x14ac:dyDescent="0.25">
      <c r="A9" s="3">
        <v>5</v>
      </c>
      <c r="B9" s="4" t="s">
        <v>18</v>
      </c>
      <c r="C9" s="4" t="s">
        <v>12</v>
      </c>
      <c r="D9" s="4" t="s">
        <v>6</v>
      </c>
      <c r="E9" s="4" t="s">
        <v>6</v>
      </c>
      <c r="F9" s="25"/>
      <c r="G9" s="4" t="s">
        <v>6</v>
      </c>
      <c r="H9" s="4" t="s">
        <v>6</v>
      </c>
      <c r="I9" s="4" t="s">
        <v>6</v>
      </c>
      <c r="J9" s="20"/>
      <c r="K9" s="4" t="s">
        <v>6</v>
      </c>
      <c r="L9" s="4" t="s">
        <v>6</v>
      </c>
      <c r="M9" s="4" t="s">
        <v>6</v>
      </c>
      <c r="N9" s="4" t="s">
        <v>6</v>
      </c>
      <c r="O9" s="4" t="s">
        <v>8</v>
      </c>
      <c r="P9" s="4">
        <f>COUNTIF(D9:O9,"P")</f>
        <v>9</v>
      </c>
      <c r="Q9" s="4">
        <f>COUNTIF(D9:O9,"A")</f>
        <v>0</v>
      </c>
      <c r="R9" s="4">
        <f>COUNTIF(D9:O9,"L")</f>
        <v>1</v>
      </c>
      <c r="S9" s="4">
        <f>COUNTBLANK(D9:O9)</f>
        <v>2</v>
      </c>
      <c r="T9" s="11">
        <f t="shared" si="1"/>
        <v>12</v>
      </c>
    </row>
    <row r="10" spans="1:20" ht="15.75" thickBot="1" x14ac:dyDescent="0.3">
      <c r="A10" s="5">
        <v>6</v>
      </c>
      <c r="B10" s="6" t="s">
        <v>19</v>
      </c>
      <c r="C10" s="6" t="s">
        <v>12</v>
      </c>
      <c r="D10" s="6" t="s">
        <v>6</v>
      </c>
      <c r="E10" s="6" t="s">
        <v>6</v>
      </c>
      <c r="F10" s="26"/>
      <c r="G10" s="6" t="s">
        <v>6</v>
      </c>
      <c r="H10" s="6" t="s">
        <v>8</v>
      </c>
      <c r="I10" s="6" t="s">
        <v>6</v>
      </c>
      <c r="J10" s="21"/>
      <c r="K10" s="6" t="s">
        <v>6</v>
      </c>
      <c r="L10" s="6" t="s">
        <v>6</v>
      </c>
      <c r="M10" s="6" t="s">
        <v>6</v>
      </c>
      <c r="N10" s="6" t="s">
        <v>6</v>
      </c>
      <c r="O10" s="6" t="s">
        <v>8</v>
      </c>
      <c r="P10" s="6">
        <f>COUNTIF(D10:O10,"P")</f>
        <v>8</v>
      </c>
      <c r="Q10" s="6">
        <f>COUNTIF(D10:O10,"A")</f>
        <v>0</v>
      </c>
      <c r="R10" s="6">
        <f>COUNTIF(D10:O10,"L")</f>
        <v>2</v>
      </c>
      <c r="S10" s="6">
        <f>COUNTBLANK(D10:O10)</f>
        <v>2</v>
      </c>
      <c r="T10" s="12">
        <f t="shared" si="1"/>
        <v>12</v>
      </c>
    </row>
    <row r="17" ht="15" customHeight="1" x14ac:dyDescent="0.25"/>
  </sheetData>
  <mergeCells count="5">
    <mergeCell ref="J5:J10"/>
    <mergeCell ref="A2:T2"/>
    <mergeCell ref="A3:C3"/>
    <mergeCell ref="P3:T3"/>
    <mergeCell ref="F5:F10"/>
  </mergeCells>
  <conditionalFormatting sqref="J5 D5:E10 K5:O10 G5:I10 F5">
    <cfRule type="cellIs" dxfId="37" priority="2" operator="equal">
      <formula>"A"</formula>
    </cfRule>
    <cfRule type="cellIs" dxfId="36" priority="3" operator="equal">
      <formula>"P"</formula>
    </cfRule>
  </conditionalFormatting>
  <conditionalFormatting sqref="J5 D5:E10 K5:O10 G5:I10 F5 D3:O4">
    <cfRule type="expression" dxfId="35" priority="1">
      <formula>D$3="SUN"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348B-0B0F-4C18-BABF-CCB291680EEF}">
  <dimension ref="A1:AM17"/>
  <sheetViews>
    <sheetView workbookViewId="0">
      <selection activeCell="AH5" sqref="AH5:AH11"/>
    </sheetView>
  </sheetViews>
  <sheetFormatPr defaultRowHeight="15" x14ac:dyDescent="0.25"/>
  <cols>
    <col min="1" max="1" width="5" bestFit="1" customWidth="1"/>
    <col min="2" max="2" width="19.140625" bestFit="1" customWidth="1"/>
    <col min="3" max="3" width="11.5703125" bestFit="1" customWidth="1"/>
    <col min="4" max="33" width="3.7109375" bestFit="1" customWidth="1"/>
    <col min="34" max="34" width="3.7109375" customWidth="1"/>
    <col min="35" max="38" width="5.7109375" customWidth="1"/>
    <col min="39" max="39" width="7.42578125" bestFit="1" customWidth="1"/>
  </cols>
  <sheetData>
    <row r="1" spans="1:39" ht="15.75" thickBot="1" x14ac:dyDescent="0.3"/>
    <row r="2" spans="1:39" ht="32.25" thickBot="1" x14ac:dyDescent="0.55000000000000004">
      <c r="A2" s="13" t="s">
        <v>11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5"/>
    </row>
    <row r="3" spans="1:39" ht="27" x14ac:dyDescent="0.25">
      <c r="A3" s="16" t="s">
        <v>0</v>
      </c>
      <c r="B3" s="17"/>
      <c r="C3" s="17"/>
      <c r="D3" s="10" t="str">
        <f>TEXT(D4,"ddd")</f>
        <v>Sat</v>
      </c>
      <c r="E3" s="10" t="str">
        <f t="shared" ref="E3:AH3" si="0">TEXT(E4,"ddd")</f>
        <v>Sun</v>
      </c>
      <c r="F3" s="10" t="str">
        <f t="shared" si="0"/>
        <v>Mon</v>
      </c>
      <c r="G3" s="10" t="str">
        <f t="shared" si="0"/>
        <v>Tue</v>
      </c>
      <c r="H3" s="10" t="str">
        <f t="shared" si="0"/>
        <v>Wed</v>
      </c>
      <c r="I3" s="10" t="str">
        <f t="shared" si="0"/>
        <v>Thu</v>
      </c>
      <c r="J3" s="10" t="str">
        <f t="shared" si="0"/>
        <v>Fri</v>
      </c>
      <c r="K3" s="10" t="str">
        <f t="shared" si="0"/>
        <v>Sat</v>
      </c>
      <c r="L3" s="10" t="str">
        <f t="shared" si="0"/>
        <v>Sun</v>
      </c>
      <c r="M3" s="10" t="str">
        <f t="shared" si="0"/>
        <v>Mon</v>
      </c>
      <c r="N3" s="10" t="str">
        <f t="shared" si="0"/>
        <v>Tue</v>
      </c>
      <c r="O3" s="10" t="str">
        <f t="shared" si="0"/>
        <v>Wed</v>
      </c>
      <c r="P3" s="10" t="str">
        <f t="shared" si="0"/>
        <v>Thu</v>
      </c>
      <c r="Q3" s="10" t="str">
        <f t="shared" si="0"/>
        <v>Fri</v>
      </c>
      <c r="R3" s="10" t="str">
        <f t="shared" si="0"/>
        <v>Sat</v>
      </c>
      <c r="S3" s="10" t="str">
        <f t="shared" si="0"/>
        <v>Sun</v>
      </c>
      <c r="T3" s="10" t="str">
        <f t="shared" si="0"/>
        <v>Mon</v>
      </c>
      <c r="U3" s="10" t="str">
        <f t="shared" si="0"/>
        <v>Tue</v>
      </c>
      <c r="V3" s="10" t="str">
        <f t="shared" si="0"/>
        <v>Wed</v>
      </c>
      <c r="W3" s="10" t="str">
        <f t="shared" si="0"/>
        <v>Thu</v>
      </c>
      <c r="X3" s="10" t="str">
        <f t="shared" si="0"/>
        <v>Fri</v>
      </c>
      <c r="Y3" s="10" t="str">
        <f t="shared" si="0"/>
        <v>Sat</v>
      </c>
      <c r="Z3" s="10" t="str">
        <f t="shared" si="0"/>
        <v>Sun</v>
      </c>
      <c r="AA3" s="10" t="str">
        <f t="shared" si="0"/>
        <v>Mon</v>
      </c>
      <c r="AB3" s="10" t="str">
        <f t="shared" si="0"/>
        <v>Tue</v>
      </c>
      <c r="AC3" s="10" t="str">
        <f t="shared" si="0"/>
        <v>Wed</v>
      </c>
      <c r="AD3" s="10" t="str">
        <f t="shared" si="0"/>
        <v>Thu</v>
      </c>
      <c r="AE3" s="10" t="str">
        <f t="shared" si="0"/>
        <v>Fri</v>
      </c>
      <c r="AF3" s="10" t="str">
        <f t="shared" si="0"/>
        <v>Sat</v>
      </c>
      <c r="AG3" s="10" t="str">
        <f t="shared" si="0"/>
        <v>Sun</v>
      </c>
      <c r="AH3" s="10" t="str">
        <f t="shared" si="0"/>
        <v>Mon</v>
      </c>
      <c r="AI3" s="18" t="s">
        <v>1</v>
      </c>
      <c r="AJ3" s="18"/>
      <c r="AK3" s="18"/>
      <c r="AL3" s="18"/>
      <c r="AM3" s="19"/>
    </row>
    <row r="4" spans="1:39" x14ac:dyDescent="0.25">
      <c r="A4" s="1" t="s">
        <v>2</v>
      </c>
      <c r="B4" s="2" t="s">
        <v>3</v>
      </c>
      <c r="C4" s="2" t="s">
        <v>4</v>
      </c>
      <c r="D4" s="7">
        <v>45717</v>
      </c>
      <c r="E4" s="7">
        <v>45718</v>
      </c>
      <c r="F4" s="7">
        <v>45719</v>
      </c>
      <c r="G4" s="7">
        <v>45720</v>
      </c>
      <c r="H4" s="7">
        <v>45721</v>
      </c>
      <c r="I4" s="7">
        <v>45722</v>
      </c>
      <c r="J4" s="7">
        <v>45723</v>
      </c>
      <c r="K4" s="7">
        <v>45724</v>
      </c>
      <c r="L4" s="7">
        <v>45725</v>
      </c>
      <c r="M4" s="7">
        <v>45726</v>
      </c>
      <c r="N4" s="7">
        <v>45727</v>
      </c>
      <c r="O4" s="7">
        <v>45728</v>
      </c>
      <c r="P4" s="7">
        <v>45729</v>
      </c>
      <c r="Q4" s="7">
        <v>45730</v>
      </c>
      <c r="R4" s="7">
        <v>45731</v>
      </c>
      <c r="S4" s="7">
        <v>45732</v>
      </c>
      <c r="T4" s="7">
        <v>45733</v>
      </c>
      <c r="U4" s="7">
        <v>45734</v>
      </c>
      <c r="V4" s="7">
        <v>45735</v>
      </c>
      <c r="W4" s="7">
        <v>45736</v>
      </c>
      <c r="X4" s="7">
        <v>45737</v>
      </c>
      <c r="Y4" s="7">
        <v>45738</v>
      </c>
      <c r="Z4" s="7">
        <v>45739</v>
      </c>
      <c r="AA4" s="7">
        <v>45740</v>
      </c>
      <c r="AB4" s="7">
        <v>45741</v>
      </c>
      <c r="AC4" s="7">
        <v>45742</v>
      </c>
      <c r="AD4" s="7">
        <v>45743</v>
      </c>
      <c r="AE4" s="7">
        <v>45744</v>
      </c>
      <c r="AF4" s="7">
        <v>45745</v>
      </c>
      <c r="AG4" s="7">
        <v>45746</v>
      </c>
      <c r="AH4" s="7">
        <v>45747</v>
      </c>
      <c r="AI4" s="8" t="s">
        <v>6</v>
      </c>
      <c r="AJ4" s="8" t="s">
        <v>7</v>
      </c>
      <c r="AK4" s="8" t="s">
        <v>8</v>
      </c>
      <c r="AL4" s="8" t="s">
        <v>9</v>
      </c>
      <c r="AM4" s="9" t="s">
        <v>5</v>
      </c>
    </row>
    <row r="5" spans="1:39" ht="15" customHeight="1" x14ac:dyDescent="0.25">
      <c r="A5" s="3">
        <v>1</v>
      </c>
      <c r="B5" s="4" t="s">
        <v>14</v>
      </c>
      <c r="C5" s="4" t="s">
        <v>13</v>
      </c>
      <c r="D5" s="4" t="s">
        <v>6</v>
      </c>
      <c r="E5" s="20" t="s">
        <v>10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  <c r="L5" s="20" t="s">
        <v>10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  <c r="R5" s="4" t="s">
        <v>6</v>
      </c>
      <c r="S5" s="20" t="s">
        <v>10</v>
      </c>
      <c r="T5" s="4" t="s">
        <v>6</v>
      </c>
      <c r="U5" s="4" t="s">
        <v>6</v>
      </c>
      <c r="V5" s="4" t="s">
        <v>6</v>
      </c>
      <c r="W5" s="4" t="s">
        <v>6</v>
      </c>
      <c r="X5" s="4" t="s">
        <v>6</v>
      </c>
      <c r="Y5" s="30" t="s">
        <v>23</v>
      </c>
      <c r="Z5" s="20" t="s">
        <v>10</v>
      </c>
      <c r="AA5" s="4" t="s">
        <v>6</v>
      </c>
      <c r="AB5" s="4" t="s">
        <v>6</v>
      </c>
      <c r="AC5" s="4" t="s">
        <v>6</v>
      </c>
      <c r="AD5" s="4" t="s">
        <v>6</v>
      </c>
      <c r="AE5" s="30" t="s">
        <v>24</v>
      </c>
      <c r="AF5" s="4" t="s">
        <v>6</v>
      </c>
      <c r="AG5" s="20" t="s">
        <v>10</v>
      </c>
      <c r="AH5" s="45" t="s">
        <v>26</v>
      </c>
      <c r="AI5" s="4">
        <f t="shared" ref="AI5:AI11" si="1">COUNTIF(D5:AH5,"P")</f>
        <v>23</v>
      </c>
      <c r="AJ5" s="4">
        <f t="shared" ref="AJ5:AJ11" si="2">COUNTIF(D5:AH5,"A")</f>
        <v>0</v>
      </c>
      <c r="AK5" s="4">
        <f t="shared" ref="AK5:AK11" si="3">COUNTIF(D5:AH5,"L")</f>
        <v>0</v>
      </c>
      <c r="AL5" s="4">
        <v>5</v>
      </c>
      <c r="AM5" s="11">
        <f>AI5+AK5+AL5</f>
        <v>28</v>
      </c>
    </row>
    <row r="6" spans="1:39" x14ac:dyDescent="0.25">
      <c r="A6" s="3">
        <v>2</v>
      </c>
      <c r="B6" s="4" t="s">
        <v>15</v>
      </c>
      <c r="C6" s="4" t="s">
        <v>12</v>
      </c>
      <c r="D6" s="4" t="s">
        <v>6</v>
      </c>
      <c r="E6" s="20"/>
      <c r="F6" s="4" t="s">
        <v>6</v>
      </c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  <c r="L6" s="20"/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  <c r="R6" s="4" t="s">
        <v>6</v>
      </c>
      <c r="S6" s="20"/>
      <c r="T6" s="4" t="s">
        <v>6</v>
      </c>
      <c r="U6" s="4" t="s">
        <v>6</v>
      </c>
      <c r="V6" s="4" t="s">
        <v>6</v>
      </c>
      <c r="W6" s="4" t="s">
        <v>6</v>
      </c>
      <c r="X6" s="4" t="s">
        <v>6</v>
      </c>
      <c r="Y6" s="30"/>
      <c r="Z6" s="20"/>
      <c r="AA6" s="4" t="s">
        <v>6</v>
      </c>
      <c r="AB6" s="4" t="s">
        <v>6</v>
      </c>
      <c r="AC6" s="4" t="s">
        <v>6</v>
      </c>
      <c r="AD6" s="4" t="s">
        <v>6</v>
      </c>
      <c r="AE6" s="30"/>
      <c r="AF6" s="4" t="s">
        <v>6</v>
      </c>
      <c r="AG6" s="20"/>
      <c r="AH6" s="46"/>
      <c r="AI6" s="4">
        <f t="shared" si="1"/>
        <v>23</v>
      </c>
      <c r="AJ6" s="4">
        <f t="shared" si="2"/>
        <v>0</v>
      </c>
      <c r="AK6" s="4">
        <f t="shared" si="3"/>
        <v>0</v>
      </c>
      <c r="AL6" s="4">
        <f t="shared" ref="AL6:AL11" si="4">COUNTBLANK(D6:AH6)</f>
        <v>8</v>
      </c>
      <c r="AM6" s="11">
        <f t="shared" ref="AM6:AM11" si="5">AI6+AK6+AL6</f>
        <v>31</v>
      </c>
    </row>
    <row r="7" spans="1:39" x14ac:dyDescent="0.25">
      <c r="A7" s="3">
        <v>3</v>
      </c>
      <c r="B7" s="4" t="s">
        <v>16</v>
      </c>
      <c r="C7" s="4" t="s">
        <v>12</v>
      </c>
      <c r="D7" s="4" t="s">
        <v>6</v>
      </c>
      <c r="E7" s="20"/>
      <c r="F7" s="4" t="s">
        <v>6</v>
      </c>
      <c r="G7" s="4" t="s">
        <v>6</v>
      </c>
      <c r="H7" s="4" t="s">
        <v>6</v>
      </c>
      <c r="I7" s="4" t="s">
        <v>6</v>
      </c>
      <c r="J7" s="4" t="s">
        <v>6</v>
      </c>
      <c r="K7" s="4" t="s">
        <v>6</v>
      </c>
      <c r="L7" s="20"/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  <c r="R7" s="4" t="s">
        <v>6</v>
      </c>
      <c r="S7" s="20"/>
      <c r="T7" s="4" t="s">
        <v>6</v>
      </c>
      <c r="U7" s="4" t="s">
        <v>6</v>
      </c>
      <c r="V7" s="4" t="s">
        <v>6</v>
      </c>
      <c r="W7" s="4" t="s">
        <v>6</v>
      </c>
      <c r="X7" s="4" t="s">
        <v>6</v>
      </c>
      <c r="Y7" s="30"/>
      <c r="Z7" s="20"/>
      <c r="AA7" s="4" t="s">
        <v>6</v>
      </c>
      <c r="AB7" s="4" t="s">
        <v>6</v>
      </c>
      <c r="AC7" s="4" t="s">
        <v>6</v>
      </c>
      <c r="AD7" s="4" t="s">
        <v>6</v>
      </c>
      <c r="AE7" s="30"/>
      <c r="AF7" s="4" t="s">
        <v>6</v>
      </c>
      <c r="AG7" s="20"/>
      <c r="AH7" s="46"/>
      <c r="AI7" s="4">
        <f t="shared" si="1"/>
        <v>23</v>
      </c>
      <c r="AJ7" s="4">
        <f t="shared" si="2"/>
        <v>0</v>
      </c>
      <c r="AK7" s="4">
        <f t="shared" si="3"/>
        <v>0</v>
      </c>
      <c r="AL7" s="4">
        <f t="shared" si="4"/>
        <v>8</v>
      </c>
      <c r="AM7" s="11">
        <f t="shared" si="5"/>
        <v>31</v>
      </c>
    </row>
    <row r="8" spans="1:39" x14ac:dyDescent="0.25">
      <c r="A8" s="3">
        <v>4</v>
      </c>
      <c r="B8" s="4" t="s">
        <v>17</v>
      </c>
      <c r="C8" s="4" t="s">
        <v>20</v>
      </c>
      <c r="D8" s="4" t="s">
        <v>6</v>
      </c>
      <c r="E8" s="20"/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4" t="s">
        <v>6</v>
      </c>
      <c r="L8" s="20"/>
      <c r="M8" s="4" t="s">
        <v>6</v>
      </c>
      <c r="N8" s="4" t="s">
        <v>6</v>
      </c>
      <c r="O8" s="4" t="s">
        <v>6</v>
      </c>
      <c r="P8" s="4" t="s">
        <v>6</v>
      </c>
      <c r="Q8" s="4" t="s">
        <v>6</v>
      </c>
      <c r="R8" s="4" t="s">
        <v>6</v>
      </c>
      <c r="S8" s="20"/>
      <c r="T8" s="4" t="s">
        <v>6</v>
      </c>
      <c r="U8" s="4" t="s">
        <v>6</v>
      </c>
      <c r="V8" s="4" t="s">
        <v>6</v>
      </c>
      <c r="W8" s="4" t="s">
        <v>6</v>
      </c>
      <c r="X8" s="4" t="s">
        <v>6</v>
      </c>
      <c r="Y8" s="30"/>
      <c r="Z8" s="20"/>
      <c r="AA8" s="4" t="s">
        <v>6</v>
      </c>
      <c r="AB8" s="4" t="s">
        <v>6</v>
      </c>
      <c r="AC8" s="4" t="s">
        <v>6</v>
      </c>
      <c r="AD8" s="4" t="s">
        <v>6</v>
      </c>
      <c r="AE8" s="30"/>
      <c r="AF8" s="4" t="s">
        <v>6</v>
      </c>
      <c r="AG8" s="20"/>
      <c r="AH8" s="46"/>
      <c r="AI8" s="4">
        <f t="shared" si="1"/>
        <v>23</v>
      </c>
      <c r="AJ8" s="4">
        <f t="shared" si="2"/>
        <v>0</v>
      </c>
      <c r="AK8" s="4">
        <f t="shared" si="3"/>
        <v>0</v>
      </c>
      <c r="AL8" s="4">
        <f t="shared" si="4"/>
        <v>8</v>
      </c>
      <c r="AM8" s="11">
        <f t="shared" si="5"/>
        <v>31</v>
      </c>
    </row>
    <row r="9" spans="1:39" x14ac:dyDescent="0.25">
      <c r="A9" s="3">
        <v>5</v>
      </c>
      <c r="B9" s="4" t="s">
        <v>18</v>
      </c>
      <c r="C9" s="4" t="s">
        <v>12</v>
      </c>
      <c r="D9" s="4" t="s">
        <v>6</v>
      </c>
      <c r="E9" s="20"/>
      <c r="F9" s="4" t="s">
        <v>6</v>
      </c>
      <c r="G9" s="4" t="s">
        <v>6</v>
      </c>
      <c r="H9" s="4" t="s">
        <v>6</v>
      </c>
      <c r="I9" s="4" t="s">
        <v>6</v>
      </c>
      <c r="J9" s="4" t="s">
        <v>6</v>
      </c>
      <c r="K9" s="4" t="s">
        <v>6</v>
      </c>
      <c r="L9" s="20"/>
      <c r="M9" s="4" t="s">
        <v>6</v>
      </c>
      <c r="N9" s="4" t="s">
        <v>6</v>
      </c>
      <c r="O9" s="4" t="s">
        <v>6</v>
      </c>
      <c r="P9" s="4" t="s">
        <v>6</v>
      </c>
      <c r="Q9" s="4" t="s">
        <v>6</v>
      </c>
      <c r="R9" s="4" t="s">
        <v>8</v>
      </c>
      <c r="S9" s="20"/>
      <c r="T9" s="4" t="s">
        <v>6</v>
      </c>
      <c r="U9" s="4" t="s">
        <v>6</v>
      </c>
      <c r="V9" s="4" t="s">
        <v>6</v>
      </c>
      <c r="W9" s="4" t="s">
        <v>6</v>
      </c>
      <c r="X9" s="4" t="s">
        <v>6</v>
      </c>
      <c r="Y9" s="30"/>
      <c r="Z9" s="20"/>
      <c r="AA9" s="4" t="s">
        <v>6</v>
      </c>
      <c r="AB9" s="4" t="s">
        <v>6</v>
      </c>
      <c r="AC9" s="4" t="s">
        <v>6</v>
      </c>
      <c r="AD9" s="4" t="s">
        <v>6</v>
      </c>
      <c r="AE9" s="30"/>
      <c r="AF9" s="4" t="s">
        <v>6</v>
      </c>
      <c r="AG9" s="20"/>
      <c r="AH9" s="46"/>
      <c r="AI9" s="4">
        <f t="shared" si="1"/>
        <v>22</v>
      </c>
      <c r="AJ9" s="4">
        <f t="shared" si="2"/>
        <v>0</v>
      </c>
      <c r="AK9" s="4">
        <f t="shared" si="3"/>
        <v>1</v>
      </c>
      <c r="AL9" s="4">
        <f t="shared" si="4"/>
        <v>8</v>
      </c>
      <c r="AM9" s="11">
        <f t="shared" si="5"/>
        <v>31</v>
      </c>
    </row>
    <row r="10" spans="1:39" x14ac:dyDescent="0.25">
      <c r="A10" s="27">
        <v>6</v>
      </c>
      <c r="B10" s="28" t="s">
        <v>19</v>
      </c>
      <c r="C10" s="4" t="s">
        <v>12</v>
      </c>
      <c r="D10" s="4" t="s">
        <v>6</v>
      </c>
      <c r="E10" s="29"/>
      <c r="F10" s="4" t="s">
        <v>6</v>
      </c>
      <c r="G10" s="4" t="s">
        <v>6</v>
      </c>
      <c r="H10" s="4" t="s">
        <v>6</v>
      </c>
      <c r="I10" s="4" t="s">
        <v>6</v>
      </c>
      <c r="J10" s="4" t="s">
        <v>6</v>
      </c>
      <c r="K10" s="4" t="s">
        <v>6</v>
      </c>
      <c r="L10" s="29"/>
      <c r="M10" s="4" t="s">
        <v>6</v>
      </c>
      <c r="N10" s="4" t="s">
        <v>6</v>
      </c>
      <c r="O10" s="4" t="s">
        <v>6</v>
      </c>
      <c r="P10" s="4" t="s">
        <v>6</v>
      </c>
      <c r="Q10" s="4" t="s">
        <v>6</v>
      </c>
      <c r="R10" s="4" t="s">
        <v>6</v>
      </c>
      <c r="S10" s="29"/>
      <c r="T10" s="4" t="s">
        <v>6</v>
      </c>
      <c r="U10" s="4" t="s">
        <v>6</v>
      </c>
      <c r="V10" s="4" t="s">
        <v>8</v>
      </c>
      <c r="W10" s="4" t="s">
        <v>6</v>
      </c>
      <c r="X10" s="4" t="s">
        <v>6</v>
      </c>
      <c r="Y10" s="31"/>
      <c r="Z10" s="29"/>
      <c r="AA10" s="4" t="s">
        <v>6</v>
      </c>
      <c r="AB10" s="4" t="s">
        <v>6</v>
      </c>
      <c r="AC10" s="4" t="s">
        <v>6</v>
      </c>
      <c r="AD10" s="4" t="s">
        <v>6</v>
      </c>
      <c r="AE10" s="31"/>
      <c r="AF10" s="4" t="s">
        <v>6</v>
      </c>
      <c r="AG10" s="29"/>
      <c r="AH10" s="46"/>
      <c r="AI10" s="4">
        <f t="shared" si="1"/>
        <v>22</v>
      </c>
      <c r="AJ10" s="4">
        <f t="shared" si="2"/>
        <v>0</v>
      </c>
      <c r="AK10" s="4">
        <f t="shared" si="3"/>
        <v>1</v>
      </c>
      <c r="AL10" s="4">
        <f t="shared" si="4"/>
        <v>8</v>
      </c>
      <c r="AM10" s="11">
        <f t="shared" si="5"/>
        <v>31</v>
      </c>
    </row>
    <row r="11" spans="1:39" ht="15.75" thickBot="1" x14ac:dyDescent="0.3">
      <c r="A11" s="5">
        <v>7</v>
      </c>
      <c r="B11" s="6" t="s">
        <v>22</v>
      </c>
      <c r="C11" s="6" t="s">
        <v>12</v>
      </c>
      <c r="D11" s="6" t="s">
        <v>25</v>
      </c>
      <c r="E11" s="21"/>
      <c r="F11" s="6" t="s">
        <v>25</v>
      </c>
      <c r="G11" s="6" t="s">
        <v>6</v>
      </c>
      <c r="H11" s="6" t="s">
        <v>6</v>
      </c>
      <c r="I11" s="6" t="s">
        <v>6</v>
      </c>
      <c r="J11" s="6" t="s">
        <v>6</v>
      </c>
      <c r="K11" s="6" t="s">
        <v>6</v>
      </c>
      <c r="L11" s="21"/>
      <c r="M11" s="6" t="s">
        <v>6</v>
      </c>
      <c r="N11" s="6" t="s">
        <v>6</v>
      </c>
      <c r="O11" s="6" t="s">
        <v>6</v>
      </c>
      <c r="P11" s="6" t="s">
        <v>6</v>
      </c>
      <c r="Q11" s="6" t="s">
        <v>6</v>
      </c>
      <c r="R11" s="6" t="s">
        <v>6</v>
      </c>
      <c r="S11" s="21"/>
      <c r="T11" s="6" t="s">
        <v>6</v>
      </c>
      <c r="U11" s="6" t="s">
        <v>6</v>
      </c>
      <c r="V11" s="6" t="s">
        <v>6</v>
      </c>
      <c r="W11" s="6" t="s">
        <v>6</v>
      </c>
      <c r="X11" s="6" t="s">
        <v>6</v>
      </c>
      <c r="Y11" s="32"/>
      <c r="Z11" s="21"/>
      <c r="AA11" s="6" t="s">
        <v>6</v>
      </c>
      <c r="AB11" s="6" t="s">
        <v>6</v>
      </c>
      <c r="AC11" s="6" t="s">
        <v>6</v>
      </c>
      <c r="AD11" s="6" t="s">
        <v>6</v>
      </c>
      <c r="AE11" s="32"/>
      <c r="AF11" s="6" t="s">
        <v>6</v>
      </c>
      <c r="AG11" s="21"/>
      <c r="AH11" s="47"/>
      <c r="AI11" s="6">
        <f t="shared" si="1"/>
        <v>21</v>
      </c>
      <c r="AJ11" s="6">
        <f t="shared" si="2"/>
        <v>0</v>
      </c>
      <c r="AK11" s="6">
        <f t="shared" si="3"/>
        <v>0</v>
      </c>
      <c r="AL11" s="6">
        <f t="shared" si="4"/>
        <v>8</v>
      </c>
      <c r="AM11" s="12">
        <f t="shared" si="5"/>
        <v>29</v>
      </c>
    </row>
    <row r="17" ht="15" customHeight="1" x14ac:dyDescent="0.25"/>
  </sheetData>
  <mergeCells count="11">
    <mergeCell ref="Z5:Z11"/>
    <mergeCell ref="AG5:AG11"/>
    <mergeCell ref="Y5:Y11"/>
    <mergeCell ref="AE5:AE11"/>
    <mergeCell ref="AH5:AH11"/>
    <mergeCell ref="A2:AM2"/>
    <mergeCell ref="A3:C3"/>
    <mergeCell ref="AI3:AM3"/>
    <mergeCell ref="E5:E11"/>
    <mergeCell ref="L5:L11"/>
    <mergeCell ref="S5:S11"/>
  </mergeCells>
  <conditionalFormatting sqref="E5 L5 S5 AG5 D5:D11 F5:K11 M5:R11 T5:X11 Y5:Z5 AF5:AF11 AE5 AA5:AD11">
    <cfRule type="cellIs" dxfId="34" priority="6" operator="equal">
      <formula>"A"</formula>
    </cfRule>
    <cfRule type="cellIs" dxfId="33" priority="7" operator="equal">
      <formula>"P"</formula>
    </cfRule>
  </conditionalFormatting>
  <conditionalFormatting sqref="D3:AH4 E5 L5 S5 AG5 D5:D11 F5:K11 M5:R11 T5:X11 Y5:Z5 AF5:AF11 AE5 AA5:AD11">
    <cfRule type="expression" dxfId="32" priority="5">
      <formula>D$3="SUN"</formula>
    </cfRule>
  </conditionalFormatting>
  <conditionalFormatting sqref="AH5:AH11">
    <cfRule type="cellIs" dxfId="31" priority="1" operator="equal">
      <formula>"L"</formula>
    </cfRule>
  </conditionalFormatting>
  <conditionalFormatting sqref="AH5">
    <cfRule type="expression" dxfId="30" priority="2">
      <formula>AH$3="SUN"</formula>
    </cfRule>
    <cfRule type="cellIs" dxfId="29" priority="3" operator="equal">
      <formula>"A"</formula>
    </cfRule>
    <cfRule type="cellIs" dxfId="28" priority="4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0A078-2837-43E3-9F3F-3F06D76D98CE}">
  <dimension ref="A1:AL18"/>
  <sheetViews>
    <sheetView workbookViewId="0">
      <selection activeCell="G5" sqref="G5:G11"/>
    </sheetView>
  </sheetViews>
  <sheetFormatPr defaultRowHeight="15" x14ac:dyDescent="0.25"/>
  <cols>
    <col min="1" max="1" width="5" bestFit="1" customWidth="1"/>
    <col min="2" max="2" width="19.140625" bestFit="1" customWidth="1"/>
    <col min="3" max="3" width="11.5703125" bestFit="1" customWidth="1"/>
    <col min="4" max="33" width="3.7109375" bestFit="1" customWidth="1"/>
    <col min="34" max="37" width="5.7109375" customWidth="1"/>
    <col min="38" max="38" width="7.42578125" bestFit="1" customWidth="1"/>
  </cols>
  <sheetData>
    <row r="1" spans="1:38" ht="15.75" thickBot="1" x14ac:dyDescent="0.3"/>
    <row r="2" spans="1:38" ht="32.25" thickBot="1" x14ac:dyDescent="0.55000000000000004">
      <c r="A2" s="13" t="s">
        <v>11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5"/>
    </row>
    <row r="3" spans="1:38" ht="27" x14ac:dyDescent="0.25">
      <c r="A3" s="36" t="s">
        <v>0</v>
      </c>
      <c r="B3" s="37"/>
      <c r="C3" s="38"/>
      <c r="D3" s="39" t="str">
        <f>TEXT(D4,"ddd")</f>
        <v>Tue</v>
      </c>
      <c r="E3" s="40" t="str">
        <f t="shared" ref="E3:AG3" si="0">TEXT(E4,"ddd")</f>
        <v>Wed</v>
      </c>
      <c r="F3" s="40" t="str">
        <f t="shared" si="0"/>
        <v>Thu</v>
      </c>
      <c r="G3" s="40" t="str">
        <f t="shared" si="0"/>
        <v>Fri</v>
      </c>
      <c r="H3" s="40" t="str">
        <f t="shared" si="0"/>
        <v>Sat</v>
      </c>
      <c r="I3" s="40" t="str">
        <f t="shared" si="0"/>
        <v>Sun</v>
      </c>
      <c r="J3" s="40" t="str">
        <f t="shared" si="0"/>
        <v>Mon</v>
      </c>
      <c r="K3" s="40" t="str">
        <f t="shared" si="0"/>
        <v>Tue</v>
      </c>
      <c r="L3" s="40" t="str">
        <f t="shared" si="0"/>
        <v>Wed</v>
      </c>
      <c r="M3" s="40" t="str">
        <f t="shared" si="0"/>
        <v>Thu</v>
      </c>
      <c r="N3" s="40" t="str">
        <f t="shared" si="0"/>
        <v>Fri</v>
      </c>
      <c r="O3" s="40" t="str">
        <f t="shared" si="0"/>
        <v>Sat</v>
      </c>
      <c r="P3" s="40" t="str">
        <f t="shared" si="0"/>
        <v>Sun</v>
      </c>
      <c r="Q3" s="40" t="str">
        <f t="shared" si="0"/>
        <v>Mon</v>
      </c>
      <c r="R3" s="40" t="str">
        <f t="shared" si="0"/>
        <v>Tue</v>
      </c>
      <c r="S3" s="40" t="str">
        <f t="shared" si="0"/>
        <v>Wed</v>
      </c>
      <c r="T3" s="40" t="str">
        <f t="shared" si="0"/>
        <v>Thu</v>
      </c>
      <c r="U3" s="40" t="str">
        <f t="shared" si="0"/>
        <v>Fri</v>
      </c>
      <c r="V3" s="40" t="str">
        <f t="shared" si="0"/>
        <v>Sat</v>
      </c>
      <c r="W3" s="40" t="str">
        <f t="shared" si="0"/>
        <v>Sun</v>
      </c>
      <c r="X3" s="40" t="str">
        <f t="shared" si="0"/>
        <v>Mon</v>
      </c>
      <c r="Y3" s="40" t="str">
        <f t="shared" si="0"/>
        <v>Tue</v>
      </c>
      <c r="Z3" s="40" t="str">
        <f t="shared" si="0"/>
        <v>Wed</v>
      </c>
      <c r="AA3" s="40" t="str">
        <f t="shared" si="0"/>
        <v>Thu</v>
      </c>
      <c r="AB3" s="40" t="str">
        <f t="shared" si="0"/>
        <v>Fri</v>
      </c>
      <c r="AC3" s="40" t="str">
        <f t="shared" si="0"/>
        <v>Sat</v>
      </c>
      <c r="AD3" s="40" t="str">
        <f t="shared" si="0"/>
        <v>Sun</v>
      </c>
      <c r="AE3" s="40" t="str">
        <f t="shared" si="0"/>
        <v>Mon</v>
      </c>
      <c r="AF3" s="40" t="str">
        <f t="shared" si="0"/>
        <v>Tue</v>
      </c>
      <c r="AG3" s="41" t="str">
        <f t="shared" si="0"/>
        <v>Wed</v>
      </c>
      <c r="AH3" s="42" t="s">
        <v>1</v>
      </c>
      <c r="AI3" s="43"/>
      <c r="AJ3" s="43"/>
      <c r="AK3" s="43"/>
      <c r="AL3" s="44"/>
    </row>
    <row r="4" spans="1:38" x14ac:dyDescent="0.25">
      <c r="A4" s="1" t="s">
        <v>2</v>
      </c>
      <c r="B4" s="2" t="s">
        <v>3</v>
      </c>
      <c r="C4" s="23" t="s">
        <v>4</v>
      </c>
      <c r="D4" s="22">
        <v>45748</v>
      </c>
      <c r="E4" s="7">
        <v>45749</v>
      </c>
      <c r="F4" s="7">
        <v>45750</v>
      </c>
      <c r="G4" s="7">
        <v>45751</v>
      </c>
      <c r="H4" s="7">
        <v>45752</v>
      </c>
      <c r="I4" s="7">
        <v>45753</v>
      </c>
      <c r="J4" s="7">
        <v>45754</v>
      </c>
      <c r="K4" s="7">
        <v>45755</v>
      </c>
      <c r="L4" s="7">
        <v>45756</v>
      </c>
      <c r="M4" s="7">
        <v>45757</v>
      </c>
      <c r="N4" s="7">
        <v>45758</v>
      </c>
      <c r="O4" s="7">
        <v>45759</v>
      </c>
      <c r="P4" s="7">
        <v>45760</v>
      </c>
      <c r="Q4" s="7">
        <v>45761</v>
      </c>
      <c r="R4" s="7">
        <v>45762</v>
      </c>
      <c r="S4" s="7">
        <v>45763</v>
      </c>
      <c r="T4" s="7">
        <v>45764</v>
      </c>
      <c r="U4" s="7">
        <v>45765</v>
      </c>
      <c r="V4" s="7">
        <v>45766</v>
      </c>
      <c r="W4" s="7">
        <v>45767</v>
      </c>
      <c r="X4" s="7">
        <v>45768</v>
      </c>
      <c r="Y4" s="7">
        <v>45769</v>
      </c>
      <c r="Z4" s="7">
        <v>45770</v>
      </c>
      <c r="AA4" s="7">
        <v>45771</v>
      </c>
      <c r="AB4" s="7">
        <v>45772</v>
      </c>
      <c r="AC4" s="7">
        <v>45773</v>
      </c>
      <c r="AD4" s="7">
        <v>45774</v>
      </c>
      <c r="AE4" s="7">
        <v>45775</v>
      </c>
      <c r="AF4" s="7">
        <v>45776</v>
      </c>
      <c r="AG4" s="33">
        <v>45777</v>
      </c>
      <c r="AH4" s="24" t="s">
        <v>6</v>
      </c>
      <c r="AI4" s="8" t="s">
        <v>7</v>
      </c>
      <c r="AJ4" s="8" t="s">
        <v>8</v>
      </c>
      <c r="AK4" s="8" t="s">
        <v>9</v>
      </c>
      <c r="AL4" s="9" t="s">
        <v>5</v>
      </c>
    </row>
    <row r="5" spans="1:38" ht="15" customHeight="1" x14ac:dyDescent="0.25">
      <c r="A5" s="3">
        <v>1</v>
      </c>
      <c r="B5" s="4" t="s">
        <v>14</v>
      </c>
      <c r="C5" s="11" t="s">
        <v>13</v>
      </c>
      <c r="D5" s="45" t="s">
        <v>26</v>
      </c>
      <c r="E5" s="45" t="s">
        <v>26</v>
      </c>
      <c r="F5" s="4" t="s">
        <v>6</v>
      </c>
      <c r="G5" s="48" t="s">
        <v>27</v>
      </c>
      <c r="H5" s="4" t="s">
        <v>6</v>
      </c>
      <c r="I5" s="20" t="s">
        <v>10</v>
      </c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20" t="s">
        <v>10</v>
      </c>
      <c r="Q5" s="4" t="s">
        <v>6</v>
      </c>
      <c r="R5" s="4" t="s">
        <v>6</v>
      </c>
      <c r="S5" s="4" t="s">
        <v>6</v>
      </c>
      <c r="T5" s="4" t="s">
        <v>6</v>
      </c>
      <c r="U5" s="4" t="s">
        <v>6</v>
      </c>
      <c r="V5" s="4" t="s">
        <v>6</v>
      </c>
      <c r="W5" s="20" t="s">
        <v>10</v>
      </c>
      <c r="X5" s="4" t="s">
        <v>6</v>
      </c>
      <c r="Y5" s="4" t="s">
        <v>6</v>
      </c>
      <c r="Z5" s="4" t="s">
        <v>6</v>
      </c>
      <c r="AA5" s="4" t="s">
        <v>6</v>
      </c>
      <c r="AB5" s="4" t="s">
        <v>6</v>
      </c>
      <c r="AC5" s="4" t="s">
        <v>6</v>
      </c>
      <c r="AD5" s="20" t="s">
        <v>10</v>
      </c>
      <c r="AE5" s="4" t="s">
        <v>6</v>
      </c>
      <c r="AF5" s="4" t="s">
        <v>6</v>
      </c>
      <c r="AG5" s="34" t="s">
        <v>6</v>
      </c>
      <c r="AH5" s="3">
        <f>COUNTIF(D5:AG5,"P")</f>
        <v>23</v>
      </c>
      <c r="AI5" s="4">
        <f>COUNTIF(D5:AG5,"A")</f>
        <v>0</v>
      </c>
      <c r="AJ5" s="4">
        <f>COUNTIF(D5:AG5,"L")</f>
        <v>0</v>
      </c>
      <c r="AK5" s="4">
        <v>5</v>
      </c>
      <c r="AL5" s="11">
        <f>AH5+AJ5+AK5</f>
        <v>28</v>
      </c>
    </row>
    <row r="6" spans="1:38" x14ac:dyDescent="0.25">
      <c r="A6" s="3">
        <v>2</v>
      </c>
      <c r="B6" s="4" t="s">
        <v>15</v>
      </c>
      <c r="C6" s="11" t="s">
        <v>12</v>
      </c>
      <c r="D6" s="46"/>
      <c r="E6" s="46"/>
      <c r="F6" s="4" t="s">
        <v>6</v>
      </c>
      <c r="G6" s="49"/>
      <c r="H6" s="4" t="s">
        <v>6</v>
      </c>
      <c r="I6" s="20"/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20"/>
      <c r="Q6" s="4" t="s">
        <v>6</v>
      </c>
      <c r="R6" s="4" t="s">
        <v>6</v>
      </c>
      <c r="S6" s="4" t="s">
        <v>6</v>
      </c>
      <c r="T6" s="4" t="s">
        <v>6</v>
      </c>
      <c r="U6" s="4" t="s">
        <v>6</v>
      </c>
      <c r="V6" s="4" t="s">
        <v>6</v>
      </c>
      <c r="W6" s="20"/>
      <c r="X6" s="4" t="s">
        <v>6</v>
      </c>
      <c r="Y6" s="4" t="s">
        <v>6</v>
      </c>
      <c r="Z6" s="4" t="s">
        <v>6</v>
      </c>
      <c r="AA6" s="4" t="s">
        <v>6</v>
      </c>
      <c r="AB6" s="4" t="s">
        <v>6</v>
      </c>
      <c r="AC6" s="4" t="s">
        <v>6</v>
      </c>
      <c r="AD6" s="20"/>
      <c r="AE6" s="4" t="s">
        <v>6</v>
      </c>
      <c r="AF6" s="4" t="s">
        <v>6</v>
      </c>
      <c r="AG6" s="34" t="s">
        <v>6</v>
      </c>
      <c r="AH6" s="3">
        <f>COUNTIF(D6:AG6,"P")</f>
        <v>23</v>
      </c>
      <c r="AI6" s="4">
        <f>COUNTIF(D6:AG6,"A")</f>
        <v>0</v>
      </c>
      <c r="AJ6" s="4">
        <f>COUNTIF(D6:AG6,"L")</f>
        <v>0</v>
      </c>
      <c r="AK6" s="4">
        <f>COUNTBLANK(D6:AG6)</f>
        <v>7</v>
      </c>
      <c r="AL6" s="11">
        <f t="shared" ref="AL6:AL11" si="1">AH6+AJ6+AK6</f>
        <v>30</v>
      </c>
    </row>
    <row r="7" spans="1:38" x14ac:dyDescent="0.25">
      <c r="A7" s="3">
        <v>3</v>
      </c>
      <c r="B7" s="4" t="s">
        <v>16</v>
      </c>
      <c r="C7" s="11" t="s">
        <v>12</v>
      </c>
      <c r="D7" s="46"/>
      <c r="E7" s="46"/>
      <c r="F7" s="4" t="s">
        <v>6</v>
      </c>
      <c r="G7" s="49"/>
      <c r="H7" s="4" t="s">
        <v>6</v>
      </c>
      <c r="I7" s="20"/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8</v>
      </c>
      <c r="P7" s="20"/>
      <c r="Q7" s="4" t="s">
        <v>6</v>
      </c>
      <c r="R7" s="4" t="s">
        <v>6</v>
      </c>
      <c r="S7" s="4" t="s">
        <v>6</v>
      </c>
      <c r="T7" s="4" t="s">
        <v>6</v>
      </c>
      <c r="U7" s="4" t="s">
        <v>6</v>
      </c>
      <c r="V7" s="4" t="s">
        <v>6</v>
      </c>
      <c r="W7" s="20"/>
      <c r="X7" s="4" t="s">
        <v>6</v>
      </c>
      <c r="Y7" s="4" t="s">
        <v>6</v>
      </c>
      <c r="Z7" s="4" t="s">
        <v>6</v>
      </c>
      <c r="AA7" s="4" t="s">
        <v>6</v>
      </c>
      <c r="AB7" s="4" t="s">
        <v>6</v>
      </c>
      <c r="AC7" s="4" t="s">
        <v>8</v>
      </c>
      <c r="AD7" s="20"/>
      <c r="AE7" s="4" t="s">
        <v>6</v>
      </c>
      <c r="AF7" s="4" t="s">
        <v>6</v>
      </c>
      <c r="AG7" s="34" t="s">
        <v>6</v>
      </c>
      <c r="AH7" s="3">
        <f>COUNTIF(D7:AG7,"P")</f>
        <v>21</v>
      </c>
      <c r="AI7" s="4">
        <f>COUNTIF(D7:AG7,"A")</f>
        <v>0</v>
      </c>
      <c r="AJ7" s="4">
        <f>COUNTIF(D7:AG7,"L")</f>
        <v>2</v>
      </c>
      <c r="AK7" s="4">
        <f>COUNTBLANK(D7:AG7)</f>
        <v>7</v>
      </c>
      <c r="AL7" s="11">
        <f t="shared" si="1"/>
        <v>30</v>
      </c>
    </row>
    <row r="8" spans="1:38" x14ac:dyDescent="0.25">
      <c r="A8" s="3">
        <v>4</v>
      </c>
      <c r="B8" s="4" t="s">
        <v>17</v>
      </c>
      <c r="C8" s="11" t="s">
        <v>20</v>
      </c>
      <c r="D8" s="46"/>
      <c r="E8" s="46"/>
      <c r="F8" s="4" t="s">
        <v>6</v>
      </c>
      <c r="G8" s="49"/>
      <c r="H8" s="4" t="s">
        <v>6</v>
      </c>
      <c r="I8" s="20"/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4" t="s">
        <v>8</v>
      </c>
      <c r="P8" s="20"/>
      <c r="Q8" s="4" t="s">
        <v>6</v>
      </c>
      <c r="R8" s="4" t="s">
        <v>6</v>
      </c>
      <c r="S8" s="4" t="s">
        <v>6</v>
      </c>
      <c r="T8" s="4" t="s">
        <v>6</v>
      </c>
      <c r="U8" s="4" t="s">
        <v>6</v>
      </c>
      <c r="V8" s="4" t="s">
        <v>6</v>
      </c>
      <c r="W8" s="20"/>
      <c r="X8" s="4" t="s">
        <v>6</v>
      </c>
      <c r="Y8" s="4" t="s">
        <v>6</v>
      </c>
      <c r="Z8" s="4" t="s">
        <v>6</v>
      </c>
      <c r="AA8" s="4" t="s">
        <v>6</v>
      </c>
      <c r="AB8" s="4" t="s">
        <v>6</v>
      </c>
      <c r="AC8" s="4" t="s">
        <v>6</v>
      </c>
      <c r="AD8" s="20"/>
      <c r="AE8" s="4" t="s">
        <v>6</v>
      </c>
      <c r="AF8" s="4" t="s">
        <v>8</v>
      </c>
      <c r="AG8" s="34" t="s">
        <v>6</v>
      </c>
      <c r="AH8" s="3">
        <f>COUNTIF(D8:AG8,"P")</f>
        <v>21</v>
      </c>
      <c r="AI8" s="4">
        <f>COUNTIF(D8:AG8,"A")</f>
        <v>0</v>
      </c>
      <c r="AJ8" s="4">
        <f>COUNTIF(D8:AG8,"L")</f>
        <v>2</v>
      </c>
      <c r="AK8" s="4">
        <f>COUNTBLANK(D8:AG8)</f>
        <v>7</v>
      </c>
      <c r="AL8" s="11">
        <f t="shared" si="1"/>
        <v>30</v>
      </c>
    </row>
    <row r="9" spans="1:38" x14ac:dyDescent="0.25">
      <c r="A9" s="3">
        <v>5</v>
      </c>
      <c r="B9" s="4" t="s">
        <v>22</v>
      </c>
      <c r="C9" s="11" t="s">
        <v>12</v>
      </c>
      <c r="D9" s="46"/>
      <c r="E9" s="46"/>
      <c r="F9" s="4" t="s">
        <v>6</v>
      </c>
      <c r="G9" s="49"/>
      <c r="H9" s="4" t="s">
        <v>6</v>
      </c>
      <c r="I9" s="20"/>
      <c r="J9" s="4" t="s">
        <v>6</v>
      </c>
      <c r="K9" s="4" t="s">
        <v>6</v>
      </c>
      <c r="L9" s="4" t="s">
        <v>6</v>
      </c>
      <c r="M9" s="4" t="s">
        <v>6</v>
      </c>
      <c r="N9" s="4" t="s">
        <v>6</v>
      </c>
      <c r="O9" s="4" t="s">
        <v>6</v>
      </c>
      <c r="P9" s="20"/>
      <c r="Q9" s="4" t="s">
        <v>6</v>
      </c>
      <c r="R9" s="4" t="s">
        <v>6</v>
      </c>
      <c r="S9" s="4" t="s">
        <v>6</v>
      </c>
      <c r="T9" s="4" t="s">
        <v>6</v>
      </c>
      <c r="U9" s="4" t="s">
        <v>6</v>
      </c>
      <c r="V9" s="4" t="s">
        <v>6</v>
      </c>
      <c r="W9" s="20"/>
      <c r="X9" s="4" t="s">
        <v>6</v>
      </c>
      <c r="Y9" s="4" t="s">
        <v>6</v>
      </c>
      <c r="Z9" s="4" t="s">
        <v>6</v>
      </c>
      <c r="AA9" s="4" t="s">
        <v>6</v>
      </c>
      <c r="AB9" s="4" t="s">
        <v>6</v>
      </c>
      <c r="AC9" s="4" t="s">
        <v>6</v>
      </c>
      <c r="AD9" s="20"/>
      <c r="AE9" s="4" t="s">
        <v>6</v>
      </c>
      <c r="AF9" s="4" t="s">
        <v>6</v>
      </c>
      <c r="AG9" s="34" t="s">
        <v>6</v>
      </c>
      <c r="AH9" s="3">
        <f>COUNTIF(D9:AG9,"P")</f>
        <v>23</v>
      </c>
      <c r="AI9" s="4">
        <f>COUNTIF(D9:AG9,"A")</f>
        <v>0</v>
      </c>
      <c r="AJ9" s="4">
        <f>COUNTIF(D9:AG9,"L")</f>
        <v>0</v>
      </c>
      <c r="AK9" s="4">
        <f>COUNTBLANK(D9:AG9)</f>
        <v>7</v>
      </c>
      <c r="AL9" s="11">
        <f t="shared" ref="AL9" si="2">AH9+AJ9+AK9</f>
        <v>30</v>
      </c>
    </row>
    <row r="10" spans="1:38" x14ac:dyDescent="0.25">
      <c r="A10" s="3">
        <v>6</v>
      </c>
      <c r="B10" s="4" t="s">
        <v>18</v>
      </c>
      <c r="C10" s="11" t="s">
        <v>12</v>
      </c>
      <c r="D10" s="46"/>
      <c r="E10" s="46"/>
      <c r="F10" s="4" t="s">
        <v>6</v>
      </c>
      <c r="G10" s="49"/>
      <c r="H10" s="4" t="s">
        <v>8</v>
      </c>
      <c r="I10" s="20"/>
      <c r="J10" s="4" t="s">
        <v>6</v>
      </c>
      <c r="K10" s="4" t="s">
        <v>6</v>
      </c>
      <c r="L10" s="4" t="s">
        <v>6</v>
      </c>
      <c r="M10" s="4" t="s">
        <v>6</v>
      </c>
      <c r="N10" s="4" t="s">
        <v>6</v>
      </c>
      <c r="O10" s="4" t="s">
        <v>8</v>
      </c>
      <c r="P10" s="20"/>
      <c r="Q10" s="4" t="s">
        <v>6</v>
      </c>
      <c r="R10" s="4" t="s">
        <v>6</v>
      </c>
      <c r="S10" s="4" t="s">
        <v>6</v>
      </c>
      <c r="T10" s="4" t="s">
        <v>6</v>
      </c>
      <c r="U10" s="4" t="s">
        <v>6</v>
      </c>
      <c r="V10" s="4" t="s">
        <v>6</v>
      </c>
      <c r="W10" s="20"/>
      <c r="X10" s="4" t="s">
        <v>6</v>
      </c>
      <c r="Y10" s="4" t="s">
        <v>6</v>
      </c>
      <c r="Z10" s="4" t="s">
        <v>6</v>
      </c>
      <c r="AA10" s="4" t="s">
        <v>6</v>
      </c>
      <c r="AB10" s="4" t="s">
        <v>6</v>
      </c>
      <c r="AC10" s="4" t="s">
        <v>8</v>
      </c>
      <c r="AD10" s="20"/>
      <c r="AE10" s="4" t="s">
        <v>6</v>
      </c>
      <c r="AF10" s="4" t="s">
        <v>6</v>
      </c>
      <c r="AG10" s="34" t="s">
        <v>6</v>
      </c>
      <c r="AH10" s="3">
        <f>COUNTIF(D10:AG10,"P")</f>
        <v>20</v>
      </c>
      <c r="AI10" s="4">
        <f>COUNTIF(D10:AG10,"A")</f>
        <v>0</v>
      </c>
      <c r="AJ10" s="4">
        <f>COUNTIF(D10:AG10,"L")</f>
        <v>3</v>
      </c>
      <c r="AK10" s="4">
        <f>COUNTBLANK(D10:AG10)</f>
        <v>7</v>
      </c>
      <c r="AL10" s="11">
        <f t="shared" si="1"/>
        <v>30</v>
      </c>
    </row>
    <row r="11" spans="1:38" ht="15.75" thickBot="1" x14ac:dyDescent="0.3">
      <c r="A11" s="5">
        <v>7</v>
      </c>
      <c r="B11" s="6" t="s">
        <v>19</v>
      </c>
      <c r="C11" s="12" t="s">
        <v>12</v>
      </c>
      <c r="D11" s="47"/>
      <c r="E11" s="47"/>
      <c r="F11" s="6" t="s">
        <v>6</v>
      </c>
      <c r="G11" s="50"/>
      <c r="H11" s="6" t="s">
        <v>6</v>
      </c>
      <c r="I11" s="21"/>
      <c r="J11" s="6" t="s">
        <v>6</v>
      </c>
      <c r="K11" s="6" t="s">
        <v>6</v>
      </c>
      <c r="L11" s="6" t="s">
        <v>6</v>
      </c>
      <c r="M11" s="6" t="s">
        <v>6</v>
      </c>
      <c r="N11" s="6" t="s">
        <v>6</v>
      </c>
      <c r="O11" s="6" t="s">
        <v>6</v>
      </c>
      <c r="P11" s="21"/>
      <c r="Q11" s="6" t="s">
        <v>6</v>
      </c>
      <c r="R11" s="6" t="s">
        <v>8</v>
      </c>
      <c r="S11" s="6" t="s">
        <v>6</v>
      </c>
      <c r="T11" s="6" t="s">
        <v>6</v>
      </c>
      <c r="U11" s="6" t="s">
        <v>6</v>
      </c>
      <c r="V11" s="6" t="s">
        <v>6</v>
      </c>
      <c r="W11" s="21"/>
      <c r="X11" s="6" t="s">
        <v>6</v>
      </c>
      <c r="Y11" s="6" t="s">
        <v>6</v>
      </c>
      <c r="Z11" s="6" t="s">
        <v>6</v>
      </c>
      <c r="AA11" s="6" t="s">
        <v>6</v>
      </c>
      <c r="AB11" s="6" t="s">
        <v>6</v>
      </c>
      <c r="AC11" s="6" t="s">
        <v>8</v>
      </c>
      <c r="AD11" s="21"/>
      <c r="AE11" s="6" t="s">
        <v>6</v>
      </c>
      <c r="AF11" s="6" t="s">
        <v>6</v>
      </c>
      <c r="AG11" s="35" t="s">
        <v>6</v>
      </c>
      <c r="AH11" s="5">
        <f>COUNTIF(D11:AG11,"P")</f>
        <v>21</v>
      </c>
      <c r="AI11" s="6">
        <f>COUNTIF(D11:AG11,"A")</f>
        <v>0</v>
      </c>
      <c r="AJ11" s="6">
        <f>COUNTIF(D11:AG11,"L")</f>
        <v>2</v>
      </c>
      <c r="AK11" s="6">
        <f>COUNTBLANK(D11:AG11)</f>
        <v>7</v>
      </c>
      <c r="AL11" s="12">
        <f t="shared" si="1"/>
        <v>30</v>
      </c>
    </row>
    <row r="18" ht="15" customHeight="1" x14ac:dyDescent="0.25"/>
  </sheetData>
  <mergeCells count="10">
    <mergeCell ref="I5:I11"/>
    <mergeCell ref="P5:P11"/>
    <mergeCell ref="W5:W11"/>
    <mergeCell ref="AD5:AD11"/>
    <mergeCell ref="D5:D11"/>
    <mergeCell ref="E5:E11"/>
    <mergeCell ref="G5:G11"/>
    <mergeCell ref="A2:AL2"/>
    <mergeCell ref="A3:C3"/>
    <mergeCell ref="AH3:AL3"/>
  </mergeCells>
  <conditionalFormatting sqref="I5 P5 W5 AD5 J5:O11 F5:F11 Q5:V11 X5:AC11 AE5:AG11 H5:H11">
    <cfRule type="cellIs" dxfId="27" priority="14" operator="equal">
      <formula>"A"</formula>
    </cfRule>
    <cfRule type="cellIs" dxfId="26" priority="15" operator="equal">
      <formula>"P"</formula>
    </cfRule>
  </conditionalFormatting>
  <conditionalFormatting sqref="D3:AG4 I5 P5 W5 AD5 J5:O11 F5:F11 Q5:V11 X5:AC11 AE5:AG11 H5:H11">
    <cfRule type="expression" dxfId="25" priority="13">
      <formula>D$3="SUN"</formula>
    </cfRule>
  </conditionalFormatting>
  <conditionalFormatting sqref="D5:D11">
    <cfRule type="cellIs" dxfId="24" priority="9" operator="equal">
      <formula>"L"</formula>
    </cfRule>
  </conditionalFormatting>
  <conditionalFormatting sqref="D5">
    <cfRule type="expression" dxfId="23" priority="10">
      <formula>D$3="SUN"</formula>
    </cfRule>
    <cfRule type="cellIs" dxfId="22" priority="11" operator="equal">
      <formula>"A"</formula>
    </cfRule>
    <cfRule type="cellIs" dxfId="21" priority="12" operator="equal">
      <formula>"P"</formula>
    </cfRule>
  </conditionalFormatting>
  <conditionalFormatting sqref="E5:E11">
    <cfRule type="cellIs" dxfId="20" priority="5" operator="equal">
      <formula>"L"</formula>
    </cfRule>
  </conditionalFormatting>
  <conditionalFormatting sqref="E5">
    <cfRule type="expression" dxfId="19" priority="6">
      <formula>E$3="SUN"</formula>
    </cfRule>
    <cfRule type="cellIs" dxfId="18" priority="7" operator="equal">
      <formula>"A"</formula>
    </cfRule>
    <cfRule type="cellIs" dxfId="17" priority="8" operator="equal">
      <formula>"P"</formula>
    </cfRule>
  </conditionalFormatting>
  <conditionalFormatting sqref="G5:G11">
    <cfRule type="cellIs" dxfId="16" priority="1" operator="equal">
      <formula>"L"</formula>
    </cfRule>
  </conditionalFormatting>
  <conditionalFormatting sqref="G5">
    <cfRule type="expression" dxfId="15" priority="2">
      <formula>G$3="SUN"</formula>
    </cfRule>
    <cfRule type="cellIs" dxfId="14" priority="3" operator="equal">
      <formula>"A"</formula>
    </cfRule>
    <cfRule type="cellIs" dxfId="13" priority="4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4AFE2-8E45-43DC-BC24-3B2144E6E59A}">
  <dimension ref="A1:X18"/>
  <sheetViews>
    <sheetView tabSelected="1" workbookViewId="0">
      <selection activeCell="T1" sqref="T1:AH1048576"/>
    </sheetView>
  </sheetViews>
  <sheetFormatPr defaultRowHeight="15" x14ac:dyDescent="0.25"/>
  <cols>
    <col min="1" max="1" width="5" bestFit="1" customWidth="1"/>
    <col min="2" max="2" width="19.140625" bestFit="1" customWidth="1"/>
    <col min="3" max="3" width="11.5703125" bestFit="1" customWidth="1"/>
    <col min="4" max="19" width="3.7109375" bestFit="1" customWidth="1"/>
    <col min="20" max="23" width="5.7109375" customWidth="1"/>
    <col min="24" max="24" width="7.42578125" bestFit="1" customWidth="1"/>
  </cols>
  <sheetData>
    <row r="1" spans="1:24" ht="15.75" thickBot="1" x14ac:dyDescent="0.3"/>
    <row r="2" spans="1:24" ht="32.25" thickBot="1" x14ac:dyDescent="0.55000000000000004">
      <c r="A2" s="13" t="s">
        <v>11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5"/>
    </row>
    <row r="3" spans="1:24" ht="27" x14ac:dyDescent="0.25">
      <c r="A3" s="36" t="s">
        <v>0</v>
      </c>
      <c r="B3" s="37"/>
      <c r="C3" s="38"/>
      <c r="D3" s="39" t="str">
        <f>TEXT(D4,"ddd")</f>
        <v>Thu</v>
      </c>
      <c r="E3" s="40" t="str">
        <f t="shared" ref="E3:S3" si="0">TEXT(E4,"ddd")</f>
        <v>Fri</v>
      </c>
      <c r="F3" s="40" t="str">
        <f t="shared" si="0"/>
        <v>Sat</v>
      </c>
      <c r="G3" s="40" t="str">
        <f t="shared" si="0"/>
        <v>Sun</v>
      </c>
      <c r="H3" s="40" t="str">
        <f t="shared" si="0"/>
        <v>Mon</v>
      </c>
      <c r="I3" s="40" t="str">
        <f t="shared" si="0"/>
        <v>Tue</v>
      </c>
      <c r="J3" s="40" t="str">
        <f t="shared" si="0"/>
        <v>Wed</v>
      </c>
      <c r="K3" s="40" t="str">
        <f t="shared" si="0"/>
        <v>Thu</v>
      </c>
      <c r="L3" s="40" t="str">
        <f t="shared" si="0"/>
        <v>Fri</v>
      </c>
      <c r="M3" s="40" t="str">
        <f t="shared" si="0"/>
        <v>Sat</v>
      </c>
      <c r="N3" s="40" t="str">
        <f t="shared" si="0"/>
        <v>Sun</v>
      </c>
      <c r="O3" s="40" t="str">
        <f t="shared" si="0"/>
        <v>Mon</v>
      </c>
      <c r="P3" s="40" t="str">
        <f t="shared" si="0"/>
        <v>Tue</v>
      </c>
      <c r="Q3" s="40" t="str">
        <f t="shared" si="0"/>
        <v>Wed</v>
      </c>
      <c r="R3" s="40" t="str">
        <f t="shared" si="0"/>
        <v>Thu</v>
      </c>
      <c r="S3" s="40" t="str">
        <f t="shared" si="0"/>
        <v>Fri</v>
      </c>
      <c r="T3" s="42" t="s">
        <v>1</v>
      </c>
      <c r="U3" s="43"/>
      <c r="V3" s="43"/>
      <c r="W3" s="43"/>
      <c r="X3" s="44"/>
    </row>
    <row r="4" spans="1:24" x14ac:dyDescent="0.25">
      <c r="A4" s="1" t="s">
        <v>2</v>
      </c>
      <c r="B4" s="2" t="s">
        <v>3</v>
      </c>
      <c r="C4" s="23" t="s">
        <v>4</v>
      </c>
      <c r="D4" s="22">
        <v>45778</v>
      </c>
      <c r="E4" s="22">
        <v>45779</v>
      </c>
      <c r="F4" s="22">
        <v>45780</v>
      </c>
      <c r="G4" s="22">
        <v>45781</v>
      </c>
      <c r="H4" s="22">
        <v>45782</v>
      </c>
      <c r="I4" s="22">
        <v>45783</v>
      </c>
      <c r="J4" s="22">
        <v>45784</v>
      </c>
      <c r="K4" s="22">
        <v>45785</v>
      </c>
      <c r="L4" s="22">
        <v>45786</v>
      </c>
      <c r="M4" s="22">
        <v>45787</v>
      </c>
      <c r="N4" s="22">
        <v>45788</v>
      </c>
      <c r="O4" s="22">
        <v>45789</v>
      </c>
      <c r="P4" s="22">
        <v>45790</v>
      </c>
      <c r="Q4" s="22">
        <v>45791</v>
      </c>
      <c r="R4" s="22">
        <v>45792</v>
      </c>
      <c r="S4" s="22">
        <v>45793</v>
      </c>
      <c r="T4" s="24" t="s">
        <v>6</v>
      </c>
      <c r="U4" s="8" t="s">
        <v>7</v>
      </c>
      <c r="V4" s="8" t="s">
        <v>8</v>
      </c>
      <c r="W4" s="8" t="s">
        <v>9</v>
      </c>
      <c r="X4" s="9" t="s">
        <v>5</v>
      </c>
    </row>
    <row r="5" spans="1:24" ht="15" customHeight="1" x14ac:dyDescent="0.25">
      <c r="A5" s="3">
        <v>1</v>
      </c>
      <c r="B5" s="4" t="s">
        <v>14</v>
      </c>
      <c r="C5" s="11" t="s">
        <v>13</v>
      </c>
      <c r="D5" s="48" t="s">
        <v>28</v>
      </c>
      <c r="E5" s="4" t="s">
        <v>6</v>
      </c>
      <c r="F5" s="4" t="s">
        <v>6</v>
      </c>
      <c r="G5" s="20" t="s">
        <v>10</v>
      </c>
      <c r="H5" s="4" t="s">
        <v>6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6</v>
      </c>
      <c r="N5" s="20" t="s">
        <v>10</v>
      </c>
      <c r="O5" s="4" t="s">
        <v>6</v>
      </c>
      <c r="P5" s="4" t="s">
        <v>6</v>
      </c>
      <c r="Q5" s="4" t="s">
        <v>6</v>
      </c>
      <c r="R5" s="4" t="s">
        <v>6</v>
      </c>
      <c r="S5" s="4" t="s">
        <v>6</v>
      </c>
      <c r="T5" s="3">
        <f>COUNTIF(D5:S5,"P")</f>
        <v>13</v>
      </c>
      <c r="U5" s="4">
        <f>COUNTIF(D5:S5,"A")</f>
        <v>0</v>
      </c>
      <c r="V5" s="4">
        <f>COUNTIF(D5:S5,"L")</f>
        <v>0</v>
      </c>
      <c r="W5" s="4">
        <v>5</v>
      </c>
      <c r="X5" s="11">
        <f>T5+V5+W5</f>
        <v>18</v>
      </c>
    </row>
    <row r="6" spans="1:24" x14ac:dyDescent="0.25">
      <c r="A6" s="3">
        <v>2</v>
      </c>
      <c r="B6" s="4" t="s">
        <v>15</v>
      </c>
      <c r="C6" s="11" t="s">
        <v>12</v>
      </c>
      <c r="D6" s="49"/>
      <c r="E6" s="4" t="s">
        <v>6</v>
      </c>
      <c r="F6" s="4" t="s">
        <v>6</v>
      </c>
      <c r="G6" s="20"/>
      <c r="H6" s="4" t="s">
        <v>6</v>
      </c>
      <c r="I6" s="4" t="s">
        <v>6</v>
      </c>
      <c r="J6" s="4" t="s">
        <v>6</v>
      </c>
      <c r="K6" s="4" t="s">
        <v>6</v>
      </c>
      <c r="L6" s="4" t="s">
        <v>6</v>
      </c>
      <c r="M6" s="4" t="s">
        <v>6</v>
      </c>
      <c r="N6" s="20"/>
      <c r="O6" s="4" t="s">
        <v>8</v>
      </c>
      <c r="P6" s="4" t="s">
        <v>6</v>
      </c>
      <c r="Q6" s="4" t="s">
        <v>6</v>
      </c>
      <c r="R6" s="4" t="s">
        <v>6</v>
      </c>
      <c r="S6" s="4" t="s">
        <v>6</v>
      </c>
      <c r="T6" s="3">
        <f>COUNTIF(D6:S6,"P")</f>
        <v>12</v>
      </c>
      <c r="U6" s="4">
        <f>COUNTIF(D6:S6,"A")</f>
        <v>0</v>
      </c>
      <c r="V6" s="4">
        <f>COUNTIF(D6:S6,"L")</f>
        <v>1</v>
      </c>
      <c r="W6" s="4">
        <f>COUNTBLANK(D6:S6)</f>
        <v>3</v>
      </c>
      <c r="X6" s="11">
        <f t="shared" ref="X6:X11" si="1">T6+V6+W6</f>
        <v>16</v>
      </c>
    </row>
    <row r="7" spans="1:24" x14ac:dyDescent="0.25">
      <c r="A7" s="3">
        <v>3</v>
      </c>
      <c r="B7" s="4" t="s">
        <v>16</v>
      </c>
      <c r="C7" s="11" t="s">
        <v>12</v>
      </c>
      <c r="D7" s="49"/>
      <c r="E7" s="4" t="s">
        <v>6</v>
      </c>
      <c r="F7" s="4" t="s">
        <v>6</v>
      </c>
      <c r="G7" s="20"/>
      <c r="H7" s="4" t="s">
        <v>6</v>
      </c>
      <c r="I7" s="4" t="s">
        <v>6</v>
      </c>
      <c r="J7" s="4" t="s">
        <v>6</v>
      </c>
      <c r="K7" s="4" t="s">
        <v>6</v>
      </c>
      <c r="L7" s="4" t="s">
        <v>6</v>
      </c>
      <c r="M7" s="4" t="s">
        <v>8</v>
      </c>
      <c r="N7" s="20"/>
      <c r="O7" s="4" t="s">
        <v>8</v>
      </c>
      <c r="P7" s="4" t="s">
        <v>6</v>
      </c>
      <c r="Q7" s="4" t="s">
        <v>6</v>
      </c>
      <c r="R7" s="4" t="s">
        <v>6</v>
      </c>
      <c r="S7" s="4" t="s">
        <v>6</v>
      </c>
      <c r="T7" s="3">
        <f>COUNTIF(D7:S7,"P")</f>
        <v>11</v>
      </c>
      <c r="U7" s="4">
        <f>COUNTIF(D7:S7,"A")</f>
        <v>0</v>
      </c>
      <c r="V7" s="4">
        <f>COUNTIF(D7:S7,"L")</f>
        <v>2</v>
      </c>
      <c r="W7" s="4">
        <f>COUNTBLANK(D7:S7)</f>
        <v>3</v>
      </c>
      <c r="X7" s="11">
        <f t="shared" si="1"/>
        <v>16</v>
      </c>
    </row>
    <row r="8" spans="1:24" x14ac:dyDescent="0.25">
      <c r="A8" s="3">
        <v>4</v>
      </c>
      <c r="B8" s="4" t="s">
        <v>17</v>
      </c>
      <c r="C8" s="11" t="s">
        <v>20</v>
      </c>
      <c r="D8" s="49"/>
      <c r="E8" s="4" t="s">
        <v>6</v>
      </c>
      <c r="F8" s="4" t="s">
        <v>6</v>
      </c>
      <c r="G8" s="20"/>
      <c r="H8" s="4" t="s">
        <v>6</v>
      </c>
      <c r="I8" s="4" t="s">
        <v>6</v>
      </c>
      <c r="J8" s="4" t="s">
        <v>6</v>
      </c>
      <c r="K8" s="4" t="s">
        <v>6</v>
      </c>
      <c r="L8" s="4" t="s">
        <v>6</v>
      </c>
      <c r="M8" s="4" t="s">
        <v>6</v>
      </c>
      <c r="N8" s="20"/>
      <c r="O8" s="4" t="s">
        <v>6</v>
      </c>
      <c r="P8" s="4" t="s">
        <v>6</v>
      </c>
      <c r="Q8" s="4" t="s">
        <v>6</v>
      </c>
      <c r="R8" s="4" t="s">
        <v>6</v>
      </c>
      <c r="S8" s="4" t="s">
        <v>8</v>
      </c>
      <c r="T8" s="3">
        <f>COUNTIF(D8:S8,"P")</f>
        <v>12</v>
      </c>
      <c r="U8" s="4">
        <f>COUNTIF(D8:S8,"A")</f>
        <v>0</v>
      </c>
      <c r="V8" s="4">
        <f>COUNTIF(D8:S8,"L")</f>
        <v>1</v>
      </c>
      <c r="W8" s="4">
        <f>COUNTBLANK(D8:S8)</f>
        <v>3</v>
      </c>
      <c r="X8" s="11">
        <f t="shared" si="1"/>
        <v>16</v>
      </c>
    </row>
    <row r="9" spans="1:24" x14ac:dyDescent="0.25">
      <c r="A9" s="3">
        <v>5</v>
      </c>
      <c r="B9" s="4" t="s">
        <v>22</v>
      </c>
      <c r="C9" s="11" t="s">
        <v>12</v>
      </c>
      <c r="D9" s="49"/>
      <c r="E9" s="4" t="s">
        <v>6</v>
      </c>
      <c r="F9" s="4" t="s">
        <v>6</v>
      </c>
      <c r="G9" s="20"/>
      <c r="H9" s="4" t="s">
        <v>6</v>
      </c>
      <c r="I9" s="4" t="s">
        <v>6</v>
      </c>
      <c r="J9" s="4" t="s">
        <v>6</v>
      </c>
      <c r="K9" s="4" t="s">
        <v>6</v>
      </c>
      <c r="L9" s="4" t="s">
        <v>6</v>
      </c>
      <c r="M9" s="4" t="s">
        <v>6</v>
      </c>
      <c r="N9" s="20"/>
      <c r="O9" s="4" t="s">
        <v>25</v>
      </c>
      <c r="P9" s="4" t="s">
        <v>25</v>
      </c>
      <c r="Q9" s="4" t="s">
        <v>25</v>
      </c>
      <c r="R9" s="4" t="s">
        <v>25</v>
      </c>
      <c r="S9" s="4" t="s">
        <v>25</v>
      </c>
      <c r="T9" s="3">
        <f>COUNTIF(D9:S9,"P")</f>
        <v>8</v>
      </c>
      <c r="U9" s="4">
        <f>COUNTIF(D9:S9,"A")</f>
        <v>0</v>
      </c>
      <c r="V9" s="4">
        <f>COUNTIF(D9:S9,"L")</f>
        <v>0</v>
      </c>
      <c r="W9" s="4">
        <f>COUNTBLANK(D9:S9)</f>
        <v>3</v>
      </c>
      <c r="X9" s="11">
        <f t="shared" si="1"/>
        <v>11</v>
      </c>
    </row>
    <row r="10" spans="1:24" x14ac:dyDescent="0.25">
      <c r="A10" s="3">
        <v>6</v>
      </c>
      <c r="B10" s="4" t="s">
        <v>18</v>
      </c>
      <c r="C10" s="11" t="s">
        <v>12</v>
      </c>
      <c r="D10" s="49"/>
      <c r="E10" s="4" t="s">
        <v>6</v>
      </c>
      <c r="F10" s="4" t="s">
        <v>6</v>
      </c>
      <c r="G10" s="20"/>
      <c r="H10" s="4" t="s">
        <v>6</v>
      </c>
      <c r="I10" s="4" t="s">
        <v>6</v>
      </c>
      <c r="J10" s="4" t="s">
        <v>6</v>
      </c>
      <c r="K10" s="4" t="s">
        <v>6</v>
      </c>
      <c r="L10" s="4" t="s">
        <v>6</v>
      </c>
      <c r="M10" s="4" t="s">
        <v>8</v>
      </c>
      <c r="N10" s="20"/>
      <c r="O10" s="4" t="s">
        <v>6</v>
      </c>
      <c r="P10" s="4" t="s">
        <v>6</v>
      </c>
      <c r="Q10" s="4" t="s">
        <v>6</v>
      </c>
      <c r="R10" s="4" t="s">
        <v>6</v>
      </c>
      <c r="S10" s="4" t="s">
        <v>6</v>
      </c>
      <c r="T10" s="3">
        <f>COUNTIF(D10:S10,"P")</f>
        <v>12</v>
      </c>
      <c r="U10" s="4">
        <f>COUNTIF(D10:S10,"A")</f>
        <v>0</v>
      </c>
      <c r="V10" s="4">
        <f>COUNTIF(D10:S10,"L")</f>
        <v>1</v>
      </c>
      <c r="W10" s="4">
        <f>COUNTBLANK(D10:S10)</f>
        <v>3</v>
      </c>
      <c r="X10" s="11">
        <f t="shared" si="1"/>
        <v>16</v>
      </c>
    </row>
    <row r="11" spans="1:24" ht="15.75" thickBot="1" x14ac:dyDescent="0.3">
      <c r="A11" s="5">
        <v>7</v>
      </c>
      <c r="B11" s="6" t="s">
        <v>19</v>
      </c>
      <c r="C11" s="12" t="s">
        <v>12</v>
      </c>
      <c r="D11" s="50"/>
      <c r="E11" s="6" t="s">
        <v>6</v>
      </c>
      <c r="F11" s="6" t="s">
        <v>6</v>
      </c>
      <c r="G11" s="21"/>
      <c r="H11" s="6" t="s">
        <v>6</v>
      </c>
      <c r="I11" s="6" t="s">
        <v>6</v>
      </c>
      <c r="J11" s="6" t="s">
        <v>6</v>
      </c>
      <c r="K11" s="6" t="s">
        <v>6</v>
      </c>
      <c r="L11" s="6" t="s">
        <v>6</v>
      </c>
      <c r="M11" s="6" t="s">
        <v>8</v>
      </c>
      <c r="N11" s="21"/>
      <c r="O11" s="6" t="s">
        <v>6</v>
      </c>
      <c r="P11" s="6" t="s">
        <v>8</v>
      </c>
      <c r="Q11" s="6" t="s">
        <v>6</v>
      </c>
      <c r="R11" s="6" t="s">
        <v>6</v>
      </c>
      <c r="S11" s="6" t="s">
        <v>6</v>
      </c>
      <c r="T11" s="5">
        <f>COUNTIF(D11:S11,"P")</f>
        <v>11</v>
      </c>
      <c r="U11" s="6">
        <f>COUNTIF(D11:S11,"A")</f>
        <v>0</v>
      </c>
      <c r="V11" s="6">
        <f>COUNTIF(D11:S11,"L")</f>
        <v>2</v>
      </c>
      <c r="W11" s="6">
        <f>COUNTBLANK(D11:S11)</f>
        <v>3</v>
      </c>
      <c r="X11" s="12">
        <f t="shared" si="1"/>
        <v>16</v>
      </c>
    </row>
    <row r="18" ht="15" customHeight="1" x14ac:dyDescent="0.25"/>
  </sheetData>
  <mergeCells count="6">
    <mergeCell ref="N5:N11"/>
    <mergeCell ref="A2:X2"/>
    <mergeCell ref="A3:C3"/>
    <mergeCell ref="T3:X3"/>
    <mergeCell ref="D5:D11"/>
    <mergeCell ref="G5:G11"/>
  </mergeCells>
  <conditionalFormatting sqref="F5:F11 N5 H5:M11 O5:S11">
    <cfRule type="cellIs" dxfId="12" priority="27" operator="equal">
      <formula>"A"</formula>
    </cfRule>
    <cfRule type="cellIs" dxfId="11" priority="28" operator="equal">
      <formula>"P"</formula>
    </cfRule>
  </conditionalFormatting>
  <conditionalFormatting sqref="F5:F11 N5 H5:M11 D3:S4 O5:S11">
    <cfRule type="expression" dxfId="10" priority="26">
      <formula>D$3="SUN"</formula>
    </cfRule>
  </conditionalFormatting>
  <conditionalFormatting sqref="G5">
    <cfRule type="cellIs" dxfId="9" priority="12" operator="equal">
      <formula>"A"</formula>
    </cfRule>
    <cfRule type="cellIs" dxfId="8" priority="13" operator="equal">
      <formula>"P"</formula>
    </cfRule>
  </conditionalFormatting>
  <conditionalFormatting sqref="G5">
    <cfRule type="expression" dxfId="7" priority="11">
      <formula>G$3="SUN"</formula>
    </cfRule>
  </conditionalFormatting>
  <conditionalFormatting sqref="E5:E11">
    <cfRule type="cellIs" dxfId="6" priority="6" operator="equal">
      <formula>"A"</formula>
    </cfRule>
    <cfRule type="cellIs" dxfId="5" priority="7" operator="equal">
      <formula>"P"</formula>
    </cfRule>
  </conditionalFormatting>
  <conditionalFormatting sqref="E5:E11">
    <cfRule type="expression" dxfId="4" priority="5">
      <formula>E$3="SUN"</formula>
    </cfRule>
  </conditionalFormatting>
  <conditionalFormatting sqref="D5:D11">
    <cfRule type="cellIs" dxfId="3" priority="1" operator="equal">
      <formula>"L"</formula>
    </cfRule>
  </conditionalFormatting>
  <conditionalFormatting sqref="D5">
    <cfRule type="expression" dxfId="2" priority="2">
      <formula>D$3="SUN"</formula>
    </cfRule>
    <cfRule type="cellIs" dxfId="1" priority="3" operator="equal">
      <formula>"A"</formula>
    </cfRule>
    <cfRule type="cellIs" dxfId="0" priority="4" operator="equal">
      <formula>"P"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FEBRUARY-2025</vt:lpstr>
      <vt:lpstr>MARCH-2025</vt:lpstr>
      <vt:lpstr>APRIL-2025</vt:lpstr>
      <vt:lpstr>MAY-2025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</dc:creator>
  <cp:lastModifiedBy>Fayyaz Mohammad</cp:lastModifiedBy>
  <cp:lastPrinted>2024-10-26T05:35:38Z</cp:lastPrinted>
  <dcterms:created xsi:type="dcterms:W3CDTF">2022-08-25T22:49:00Z</dcterms:created>
  <dcterms:modified xsi:type="dcterms:W3CDTF">2025-05-21T06:14:41Z</dcterms:modified>
</cp:coreProperties>
</file>