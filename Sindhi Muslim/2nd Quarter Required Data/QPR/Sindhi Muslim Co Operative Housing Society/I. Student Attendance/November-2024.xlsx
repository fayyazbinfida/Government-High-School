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2nd Quarter Required Data\QPR\Sindhi Muslim Co Operative Housing Society\I. Student Attendance\"/>
    </mc:Choice>
  </mc:AlternateContent>
  <xr:revisionPtr revIDLastSave="0" documentId="13_ncr:1_{A365DC2E-BDA5-4804-B439-BA7A78701B97}" xr6:coauthVersionLast="47" xr6:coauthVersionMax="47" xr10:uidLastSave="{00000000-0000-0000-0000-000000000000}"/>
  <bookViews>
    <workbookView xWindow="-120" yWindow="-120" windowWidth="20730" windowHeight="11160" firstSheet="4" activeTab="11" xr2:uid="{00000000-000D-0000-FFFF-FFFF00000000}"/>
  </bookViews>
  <sheets>
    <sheet name="Compile Sheet-November-2024" sheetId="18" r:id="rId1"/>
    <sheet name="ECE (ROSE)" sheetId="5" r:id="rId2"/>
    <sheet name="ECE (Daffodills)" sheetId="8" r:id="rId3"/>
    <sheet name="Class-I" sheetId="9" r:id="rId4"/>
    <sheet name="Class-II" sheetId="10" r:id="rId5"/>
    <sheet name="Class-III" sheetId="11" r:id="rId6"/>
    <sheet name="Class-IV" sheetId="12" r:id="rId7"/>
    <sheet name="Class-V" sheetId="13" r:id="rId8"/>
    <sheet name="Class-VI" sheetId="14" r:id="rId9"/>
    <sheet name="Class-VII" sheetId="15" r:id="rId10"/>
    <sheet name="Class-VIII" sheetId="16" r:id="rId11"/>
    <sheet name="Class-IX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" i="11" l="1"/>
  <c r="W13" i="11"/>
  <c r="V21" i="11"/>
  <c r="W21" i="11"/>
  <c r="V14" i="11"/>
  <c r="W14" i="11"/>
  <c r="E7" i="18"/>
  <c r="E8" i="18"/>
  <c r="E9" i="18"/>
  <c r="E10" i="18"/>
  <c r="E17" i="18" s="1"/>
  <c r="E11" i="18"/>
  <c r="E12" i="18"/>
  <c r="E13" i="18"/>
  <c r="E14" i="18"/>
  <c r="G14" i="18" s="1"/>
  <c r="E15" i="18"/>
  <c r="E16" i="18"/>
  <c r="E6" i="18"/>
  <c r="G6" i="18" s="1"/>
  <c r="I6" i="18"/>
  <c r="W21" i="10"/>
  <c r="V21" i="10"/>
  <c r="C17" i="18"/>
  <c r="B17" i="18"/>
  <c r="G16" i="18"/>
  <c r="F16" i="18"/>
  <c r="D16" i="18"/>
  <c r="G15" i="18"/>
  <c r="F15" i="18"/>
  <c r="D15" i="18"/>
  <c r="D14" i="18"/>
  <c r="G13" i="18"/>
  <c r="F13" i="18"/>
  <c r="D13" i="18"/>
  <c r="G12" i="18"/>
  <c r="F12" i="18"/>
  <c r="D12" i="18"/>
  <c r="G11" i="18"/>
  <c r="F11" i="18"/>
  <c r="D11" i="18"/>
  <c r="D10" i="18"/>
  <c r="G9" i="18"/>
  <c r="F9" i="18"/>
  <c r="D9" i="18"/>
  <c r="G8" i="18"/>
  <c r="F8" i="18"/>
  <c r="D8" i="18"/>
  <c r="G7" i="18"/>
  <c r="F7" i="18"/>
  <c r="D7" i="18"/>
  <c r="F6" i="18"/>
  <c r="D6" i="18"/>
  <c r="W21" i="17"/>
  <c r="V21" i="17"/>
  <c r="W14" i="17"/>
  <c r="W13" i="17"/>
  <c r="V13" i="17"/>
  <c r="V4" i="17"/>
  <c r="T39" i="17"/>
  <c r="S39" i="17"/>
  <c r="T38" i="17"/>
  <c r="S38" i="17"/>
  <c r="T37" i="17"/>
  <c r="S37" i="17"/>
  <c r="T36" i="17"/>
  <c r="S36" i="17"/>
  <c r="T35" i="17"/>
  <c r="S35" i="17"/>
  <c r="T34" i="17"/>
  <c r="S34" i="17"/>
  <c r="T33" i="17"/>
  <c r="S33" i="17"/>
  <c r="T32" i="17"/>
  <c r="S32" i="17"/>
  <c r="T31" i="17"/>
  <c r="S31" i="17"/>
  <c r="T30" i="17"/>
  <c r="S30" i="17"/>
  <c r="T29" i="17"/>
  <c r="S29" i="17"/>
  <c r="T28" i="17"/>
  <c r="S28" i="17"/>
  <c r="T27" i="17"/>
  <c r="S27" i="17"/>
  <c r="T26" i="17"/>
  <c r="S26" i="17"/>
  <c r="T25" i="17"/>
  <c r="S25" i="17"/>
  <c r="T24" i="17"/>
  <c r="S24" i="17"/>
  <c r="T23" i="17"/>
  <c r="S23" i="17"/>
  <c r="T22" i="17"/>
  <c r="S22" i="17"/>
  <c r="T21" i="17"/>
  <c r="S21" i="17"/>
  <c r="T20" i="17"/>
  <c r="S20" i="17"/>
  <c r="T19" i="17"/>
  <c r="S19" i="17"/>
  <c r="T18" i="17"/>
  <c r="S18" i="17"/>
  <c r="T17" i="17"/>
  <c r="S17" i="17"/>
  <c r="T16" i="17"/>
  <c r="S16" i="17"/>
  <c r="T15" i="17"/>
  <c r="S15" i="17"/>
  <c r="T14" i="17"/>
  <c r="S14" i="17"/>
  <c r="T13" i="17"/>
  <c r="S13" i="17"/>
  <c r="T12" i="17"/>
  <c r="S12" i="17"/>
  <c r="T11" i="17"/>
  <c r="S11" i="17"/>
  <c r="T10" i="17"/>
  <c r="S10" i="17"/>
  <c r="T9" i="17"/>
  <c r="S9" i="17"/>
  <c r="T8" i="17"/>
  <c r="S8" i="17"/>
  <c r="T7" i="17"/>
  <c r="S7" i="17"/>
  <c r="T6" i="17"/>
  <c r="S6" i="17"/>
  <c r="T5" i="17"/>
  <c r="S5" i="17"/>
  <c r="V14" i="17" s="1"/>
  <c r="R3" i="17"/>
  <c r="Q3" i="17"/>
  <c r="P3" i="17"/>
  <c r="O3" i="17"/>
  <c r="N3" i="17"/>
  <c r="M3" i="17"/>
  <c r="L3" i="17"/>
  <c r="K3" i="17"/>
  <c r="J3" i="17"/>
  <c r="I3" i="17"/>
  <c r="H3" i="17"/>
  <c r="G3" i="17"/>
  <c r="F3" i="17"/>
  <c r="E3" i="17"/>
  <c r="W15" i="17" l="1"/>
  <c r="V15" i="17"/>
  <c r="I16" i="18"/>
  <c r="V22" i="17"/>
  <c r="V23" i="17" s="1"/>
  <c r="X13" i="17"/>
  <c r="X15" i="17" s="1"/>
  <c r="J16" i="18"/>
  <c r="L16" i="18" s="1"/>
  <c r="F10" i="18"/>
  <c r="F14" i="18"/>
  <c r="G10" i="18"/>
  <c r="M16" i="18"/>
  <c r="H14" i="18"/>
  <c r="H15" i="18"/>
  <c r="H12" i="18"/>
  <c r="H10" i="18"/>
  <c r="H7" i="18"/>
  <c r="F17" i="18"/>
  <c r="H11" i="18"/>
  <c r="H16" i="18"/>
  <c r="G17" i="18"/>
  <c r="H8" i="18"/>
  <c r="H6" i="18"/>
  <c r="D17" i="18"/>
  <c r="H9" i="18"/>
  <c r="H13" i="18"/>
  <c r="W22" i="17"/>
  <c r="W23" i="17" s="1"/>
  <c r="X14" i="17"/>
  <c r="X22" i="17"/>
  <c r="X21" i="17"/>
  <c r="K16" i="18" l="1"/>
  <c r="N16" i="18" s="1"/>
  <c r="O16" i="18"/>
  <c r="H17" i="18"/>
  <c r="X23" i="17"/>
  <c r="W21" i="16" l="1"/>
  <c r="V21" i="16"/>
  <c r="W13" i="16"/>
  <c r="V13" i="16"/>
  <c r="V4" i="16"/>
  <c r="T46" i="16"/>
  <c r="S46" i="16"/>
  <c r="T45" i="16"/>
  <c r="S45" i="16"/>
  <c r="T44" i="16"/>
  <c r="S44" i="16"/>
  <c r="T43" i="16"/>
  <c r="S43" i="16"/>
  <c r="T42" i="16"/>
  <c r="S42" i="16"/>
  <c r="T41" i="16"/>
  <c r="S41" i="16"/>
  <c r="T40" i="16"/>
  <c r="S40" i="16"/>
  <c r="T39" i="16"/>
  <c r="S39" i="16"/>
  <c r="T38" i="16"/>
  <c r="S38" i="16"/>
  <c r="T37" i="16"/>
  <c r="S37" i="16"/>
  <c r="T36" i="16"/>
  <c r="S36" i="16"/>
  <c r="T35" i="16"/>
  <c r="S35" i="16"/>
  <c r="T34" i="16"/>
  <c r="S34" i="16"/>
  <c r="T33" i="16"/>
  <c r="S33" i="16"/>
  <c r="T32" i="16"/>
  <c r="S32" i="16"/>
  <c r="T31" i="16"/>
  <c r="S31" i="16"/>
  <c r="T30" i="16"/>
  <c r="S30" i="16"/>
  <c r="T29" i="16"/>
  <c r="S29" i="16"/>
  <c r="T28" i="16"/>
  <c r="S28" i="16"/>
  <c r="V14" i="16" s="1"/>
  <c r="I15" i="18" s="1"/>
  <c r="T27" i="16"/>
  <c r="S27" i="16"/>
  <c r="T26" i="16"/>
  <c r="S26" i="16"/>
  <c r="T25" i="16"/>
  <c r="S25" i="16"/>
  <c r="T24" i="16"/>
  <c r="S24" i="16"/>
  <c r="T23" i="16"/>
  <c r="S23" i="16"/>
  <c r="T22" i="16"/>
  <c r="S22" i="16"/>
  <c r="T21" i="16"/>
  <c r="S21" i="16"/>
  <c r="T20" i="16"/>
  <c r="S20" i="16"/>
  <c r="T19" i="16"/>
  <c r="S19" i="16"/>
  <c r="T18" i="16"/>
  <c r="S18" i="16"/>
  <c r="T17" i="16"/>
  <c r="S17" i="16"/>
  <c r="T16" i="16"/>
  <c r="S16" i="16"/>
  <c r="T15" i="16"/>
  <c r="S15" i="16"/>
  <c r="T14" i="16"/>
  <c r="S14" i="16"/>
  <c r="T13" i="16"/>
  <c r="S13" i="16"/>
  <c r="T12" i="16"/>
  <c r="S12" i="16"/>
  <c r="T11" i="16"/>
  <c r="S11" i="16"/>
  <c r="T10" i="16"/>
  <c r="S10" i="16"/>
  <c r="T9" i="16"/>
  <c r="S9" i="16"/>
  <c r="T8" i="16"/>
  <c r="S8" i="16"/>
  <c r="T7" i="16"/>
  <c r="S7" i="16"/>
  <c r="T6" i="16"/>
  <c r="S6" i="16"/>
  <c r="T5" i="16"/>
  <c r="S5" i="16"/>
  <c r="W14" i="16" s="1"/>
  <c r="J15" i="18" s="1"/>
  <c r="L15" i="18" s="1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X13" i="16" l="1"/>
  <c r="O15" i="18"/>
  <c r="K15" i="18"/>
  <c r="N15" i="18" s="1"/>
  <c r="M15" i="18"/>
  <c r="V15" i="16"/>
  <c r="W22" i="16"/>
  <c r="W23" i="16" s="1"/>
  <c r="V22" i="16"/>
  <c r="V23" i="16" s="1"/>
  <c r="X14" i="16"/>
  <c r="W15" i="16"/>
  <c r="X21" i="16"/>
  <c r="X15" i="16" l="1"/>
  <c r="X22" i="16"/>
  <c r="X23" i="16" s="1"/>
  <c r="V21" i="15" l="1"/>
  <c r="U21" i="15"/>
  <c r="V13" i="15"/>
  <c r="W13" i="15" s="1"/>
  <c r="U13" i="15"/>
  <c r="U4" i="15"/>
  <c r="S52" i="15"/>
  <c r="R52" i="15"/>
  <c r="S51" i="15"/>
  <c r="R51" i="15"/>
  <c r="S50" i="15"/>
  <c r="R50" i="15"/>
  <c r="S49" i="15"/>
  <c r="R49" i="15"/>
  <c r="S48" i="15"/>
  <c r="R48" i="15"/>
  <c r="S47" i="15"/>
  <c r="R47" i="15"/>
  <c r="S46" i="15"/>
  <c r="R46" i="15"/>
  <c r="S45" i="15"/>
  <c r="R45" i="15"/>
  <c r="S44" i="15"/>
  <c r="R44" i="15"/>
  <c r="S43" i="15"/>
  <c r="R43" i="15"/>
  <c r="S42" i="15"/>
  <c r="R42" i="15"/>
  <c r="S41" i="15"/>
  <c r="R41" i="15"/>
  <c r="S40" i="15"/>
  <c r="R40" i="15"/>
  <c r="S39" i="15"/>
  <c r="R39" i="15"/>
  <c r="S38" i="15"/>
  <c r="R38" i="15"/>
  <c r="S37" i="15"/>
  <c r="R37" i="15"/>
  <c r="S36" i="15"/>
  <c r="R36" i="15"/>
  <c r="S35" i="15"/>
  <c r="R35" i="15"/>
  <c r="S34" i="15"/>
  <c r="R34" i="15"/>
  <c r="V14" i="15" s="1"/>
  <c r="S33" i="15"/>
  <c r="R33" i="15"/>
  <c r="S32" i="15"/>
  <c r="R32" i="15"/>
  <c r="S31" i="15"/>
  <c r="R31" i="15"/>
  <c r="S30" i="15"/>
  <c r="R30" i="15"/>
  <c r="S29" i="15"/>
  <c r="R29" i="15"/>
  <c r="S28" i="15"/>
  <c r="R28" i="15"/>
  <c r="S27" i="15"/>
  <c r="R27" i="15"/>
  <c r="S26" i="15"/>
  <c r="R26" i="15"/>
  <c r="S25" i="15"/>
  <c r="R25" i="15"/>
  <c r="S24" i="15"/>
  <c r="R24" i="15"/>
  <c r="S23" i="15"/>
  <c r="R23" i="15"/>
  <c r="S22" i="15"/>
  <c r="R22" i="15"/>
  <c r="S21" i="15"/>
  <c r="R21" i="15"/>
  <c r="S20" i="15"/>
  <c r="R20" i="15"/>
  <c r="S19" i="15"/>
  <c r="R19" i="15"/>
  <c r="S18" i="15"/>
  <c r="R18" i="15"/>
  <c r="S17" i="15"/>
  <c r="R17" i="15"/>
  <c r="S16" i="15"/>
  <c r="R16" i="15"/>
  <c r="S15" i="15"/>
  <c r="R15" i="15"/>
  <c r="S14" i="15"/>
  <c r="R14" i="15"/>
  <c r="S13" i="15"/>
  <c r="R13" i="15"/>
  <c r="S12" i="15"/>
  <c r="R12" i="15"/>
  <c r="S11" i="15"/>
  <c r="R11" i="15"/>
  <c r="S10" i="15"/>
  <c r="R10" i="15"/>
  <c r="S9" i="15"/>
  <c r="R9" i="15"/>
  <c r="S8" i="15"/>
  <c r="R8" i="15"/>
  <c r="S7" i="15"/>
  <c r="R7" i="15"/>
  <c r="S6" i="15"/>
  <c r="R6" i="15"/>
  <c r="S5" i="15"/>
  <c r="R5" i="15"/>
  <c r="U14" i="15" s="1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I14" i="18" l="1"/>
  <c r="M14" i="18" s="1"/>
  <c r="W14" i="15"/>
  <c r="U22" i="15"/>
  <c r="V15" i="15"/>
  <c r="J14" i="18"/>
  <c r="V22" i="15"/>
  <c r="V23" i="15" s="1"/>
  <c r="U15" i="15"/>
  <c r="W15" i="15"/>
  <c r="U23" i="15"/>
  <c r="W21" i="15"/>
  <c r="W22" i="15" l="1"/>
  <c r="O14" i="18"/>
  <c r="K14" i="18"/>
  <c r="N14" i="18" s="1"/>
  <c r="L14" i="18"/>
  <c r="W23" i="15"/>
  <c r="W21" i="14" l="1"/>
  <c r="V21" i="14"/>
  <c r="V14" i="14"/>
  <c r="W13" i="14"/>
  <c r="V13" i="14"/>
  <c r="V4" i="14"/>
  <c r="T49" i="14"/>
  <c r="S49" i="14"/>
  <c r="T48" i="14"/>
  <c r="S48" i="14"/>
  <c r="T47" i="14"/>
  <c r="S47" i="14"/>
  <c r="T46" i="14"/>
  <c r="S46" i="14"/>
  <c r="T45" i="14"/>
  <c r="S45" i="14"/>
  <c r="T44" i="14"/>
  <c r="S44" i="14"/>
  <c r="T43" i="14"/>
  <c r="S43" i="14"/>
  <c r="T42" i="14"/>
  <c r="S42" i="14"/>
  <c r="T41" i="14"/>
  <c r="S41" i="14"/>
  <c r="T40" i="14"/>
  <c r="S40" i="14"/>
  <c r="T39" i="14"/>
  <c r="S39" i="14"/>
  <c r="T38" i="14"/>
  <c r="S38" i="14"/>
  <c r="T37" i="14"/>
  <c r="S37" i="14"/>
  <c r="T36" i="14"/>
  <c r="S36" i="14"/>
  <c r="T35" i="14"/>
  <c r="S35" i="14"/>
  <c r="T34" i="14"/>
  <c r="S34" i="14"/>
  <c r="T33" i="14"/>
  <c r="S33" i="14"/>
  <c r="T32" i="14"/>
  <c r="S32" i="14"/>
  <c r="T31" i="14"/>
  <c r="S31" i="14"/>
  <c r="T30" i="14"/>
  <c r="S30" i="14"/>
  <c r="T29" i="14"/>
  <c r="S29" i="14"/>
  <c r="T28" i="14"/>
  <c r="S28" i="14"/>
  <c r="T27" i="14"/>
  <c r="S27" i="14"/>
  <c r="T26" i="14"/>
  <c r="S26" i="14"/>
  <c r="T25" i="14"/>
  <c r="S25" i="14"/>
  <c r="T24" i="14"/>
  <c r="S24" i="14"/>
  <c r="T23" i="14"/>
  <c r="S23" i="14"/>
  <c r="T22" i="14"/>
  <c r="S22" i="14"/>
  <c r="W14" i="14" s="1"/>
  <c r="T21" i="14"/>
  <c r="S21" i="14"/>
  <c r="T20" i="14"/>
  <c r="S20" i="14"/>
  <c r="T19" i="14"/>
  <c r="S19" i="14"/>
  <c r="T18" i="14"/>
  <c r="S18" i="14"/>
  <c r="T17" i="14"/>
  <c r="S17" i="14"/>
  <c r="T16" i="14"/>
  <c r="S16" i="14"/>
  <c r="T15" i="14"/>
  <c r="S15" i="14"/>
  <c r="T14" i="14"/>
  <c r="S14" i="14"/>
  <c r="T13" i="14"/>
  <c r="S13" i="14"/>
  <c r="T12" i="14"/>
  <c r="S12" i="14"/>
  <c r="T11" i="14"/>
  <c r="S11" i="14"/>
  <c r="T10" i="14"/>
  <c r="S10" i="14"/>
  <c r="T9" i="14"/>
  <c r="S9" i="14"/>
  <c r="T8" i="14"/>
  <c r="S8" i="14"/>
  <c r="T7" i="14"/>
  <c r="S7" i="14"/>
  <c r="T6" i="14"/>
  <c r="S6" i="14"/>
  <c r="T5" i="14"/>
  <c r="S5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W15" i="14" l="1"/>
  <c r="J13" i="18"/>
  <c r="L13" i="18" s="1"/>
  <c r="X14" i="14"/>
  <c r="W22" i="14"/>
  <c r="W23" i="14" s="1"/>
  <c r="V15" i="14"/>
  <c r="I13" i="18"/>
  <c r="V22" i="14"/>
  <c r="V23" i="14" s="1"/>
  <c r="X13" i="14"/>
  <c r="X21" i="14"/>
  <c r="X15" i="14" l="1"/>
  <c r="X22" i="14"/>
  <c r="X23" i="14" s="1"/>
  <c r="K13" i="18"/>
  <c r="N13" i="18" s="1"/>
  <c r="M13" i="18"/>
  <c r="O13" i="18" s="1"/>
  <c r="W21" i="13" l="1"/>
  <c r="V21" i="13"/>
  <c r="V14" i="13"/>
  <c r="W13" i="13"/>
  <c r="V13" i="13"/>
  <c r="X13" i="13" s="1"/>
  <c r="V22" i="13"/>
  <c r="V4" i="13"/>
  <c r="T50" i="13"/>
  <c r="S50" i="13"/>
  <c r="T49" i="13"/>
  <c r="S49" i="13"/>
  <c r="T48" i="13"/>
  <c r="S48" i="13"/>
  <c r="T47" i="13"/>
  <c r="S47" i="13"/>
  <c r="T46" i="13"/>
  <c r="S46" i="13"/>
  <c r="T45" i="13"/>
  <c r="S45" i="13"/>
  <c r="T44" i="13"/>
  <c r="S44" i="13"/>
  <c r="T43" i="13"/>
  <c r="S43" i="13"/>
  <c r="T42" i="13"/>
  <c r="S42" i="13"/>
  <c r="T41" i="13"/>
  <c r="S41" i="13"/>
  <c r="T40" i="13"/>
  <c r="S40" i="13"/>
  <c r="T39" i="13"/>
  <c r="S39" i="13"/>
  <c r="T38" i="13"/>
  <c r="S38" i="13"/>
  <c r="T37" i="13"/>
  <c r="S37" i="13"/>
  <c r="T36" i="13"/>
  <c r="S36" i="13"/>
  <c r="T35" i="13"/>
  <c r="S35" i="13"/>
  <c r="T34" i="13"/>
  <c r="S34" i="13"/>
  <c r="T33" i="13"/>
  <c r="S33" i="13"/>
  <c r="T32" i="13"/>
  <c r="S32" i="13"/>
  <c r="T31" i="13"/>
  <c r="S31" i="13"/>
  <c r="T30" i="13"/>
  <c r="S30" i="13"/>
  <c r="T29" i="13"/>
  <c r="S29" i="13"/>
  <c r="T28" i="13"/>
  <c r="S28" i="13"/>
  <c r="W14" i="13" s="1"/>
  <c r="T27" i="13"/>
  <c r="S27" i="13"/>
  <c r="T26" i="13"/>
  <c r="S26" i="13"/>
  <c r="T25" i="13"/>
  <c r="S25" i="13"/>
  <c r="T24" i="13"/>
  <c r="S24" i="13"/>
  <c r="T23" i="13"/>
  <c r="S23" i="13"/>
  <c r="T22" i="13"/>
  <c r="S22" i="13"/>
  <c r="T21" i="13"/>
  <c r="S21" i="13"/>
  <c r="T20" i="13"/>
  <c r="S20" i="13"/>
  <c r="T19" i="13"/>
  <c r="S19" i="13"/>
  <c r="T18" i="13"/>
  <c r="S18" i="13"/>
  <c r="T17" i="13"/>
  <c r="S17" i="13"/>
  <c r="T16" i="13"/>
  <c r="S16" i="13"/>
  <c r="T15" i="13"/>
  <c r="S15" i="13"/>
  <c r="T14" i="13"/>
  <c r="S14" i="13"/>
  <c r="T13" i="13"/>
  <c r="S13" i="13"/>
  <c r="T12" i="13"/>
  <c r="S12" i="13"/>
  <c r="T11" i="13"/>
  <c r="S11" i="13"/>
  <c r="T10" i="13"/>
  <c r="S10" i="13"/>
  <c r="T9" i="13"/>
  <c r="S9" i="13"/>
  <c r="T8" i="13"/>
  <c r="S8" i="13"/>
  <c r="T7" i="13"/>
  <c r="S7" i="13"/>
  <c r="T6" i="13"/>
  <c r="S6" i="13"/>
  <c r="T5" i="13"/>
  <c r="S5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J12" i="18" l="1"/>
  <c r="L12" i="18" s="1"/>
  <c r="W22" i="13"/>
  <c r="W23" i="13" s="1"/>
  <c r="V15" i="13"/>
  <c r="I12" i="18"/>
  <c r="X14" i="13"/>
  <c r="X15" i="13" s="1"/>
  <c r="W15" i="13"/>
  <c r="V23" i="13"/>
  <c r="X21" i="13"/>
  <c r="X22" i="13" l="1"/>
  <c r="O12" i="18"/>
  <c r="M12" i="18"/>
  <c r="K12" i="18"/>
  <c r="N12" i="18" s="1"/>
  <c r="X23" i="13"/>
  <c r="W21" i="12" l="1"/>
  <c r="V21" i="12"/>
  <c r="W13" i="12"/>
  <c r="V13" i="12"/>
  <c r="V4" i="12"/>
  <c r="T57" i="12"/>
  <c r="S57" i="12"/>
  <c r="T56" i="12"/>
  <c r="S56" i="12"/>
  <c r="T55" i="12"/>
  <c r="S55" i="12"/>
  <c r="T54" i="12"/>
  <c r="S54" i="12"/>
  <c r="T53" i="12"/>
  <c r="S53" i="12"/>
  <c r="T52" i="12"/>
  <c r="S52" i="12"/>
  <c r="T51" i="12"/>
  <c r="S51" i="12"/>
  <c r="T50" i="12"/>
  <c r="S50" i="12"/>
  <c r="T49" i="12"/>
  <c r="S49" i="12"/>
  <c r="T48" i="12"/>
  <c r="S48" i="12"/>
  <c r="T47" i="12"/>
  <c r="S47" i="12"/>
  <c r="T46" i="12"/>
  <c r="S46" i="12"/>
  <c r="T45" i="12"/>
  <c r="S45" i="12"/>
  <c r="T44" i="12"/>
  <c r="S44" i="12"/>
  <c r="T43" i="12"/>
  <c r="S43" i="12"/>
  <c r="T42" i="12"/>
  <c r="S42" i="12"/>
  <c r="T41" i="12"/>
  <c r="S41" i="12"/>
  <c r="T40" i="12"/>
  <c r="S40" i="12"/>
  <c r="T39" i="12"/>
  <c r="S39" i="12"/>
  <c r="T38" i="12"/>
  <c r="S38" i="12"/>
  <c r="T37" i="12"/>
  <c r="S37" i="12"/>
  <c r="T36" i="12"/>
  <c r="S36" i="12"/>
  <c r="T35" i="12"/>
  <c r="S35" i="12"/>
  <c r="T34" i="12"/>
  <c r="S34" i="12"/>
  <c r="T33" i="12"/>
  <c r="S33" i="12"/>
  <c r="T32" i="12"/>
  <c r="S32" i="12"/>
  <c r="T31" i="12"/>
  <c r="S31" i="12"/>
  <c r="T30" i="12"/>
  <c r="S30" i="12"/>
  <c r="T29" i="12"/>
  <c r="S29" i="12"/>
  <c r="T28" i="12"/>
  <c r="S28" i="12"/>
  <c r="T27" i="12"/>
  <c r="S27" i="12"/>
  <c r="W14" i="12" s="1"/>
  <c r="T26" i="12"/>
  <c r="S26" i="12"/>
  <c r="T25" i="12"/>
  <c r="S25" i="12"/>
  <c r="T24" i="12"/>
  <c r="S24" i="12"/>
  <c r="T23" i="12"/>
  <c r="S23" i="12"/>
  <c r="T22" i="12"/>
  <c r="S22" i="12"/>
  <c r="T21" i="12"/>
  <c r="S21" i="12"/>
  <c r="T20" i="12"/>
  <c r="S20" i="12"/>
  <c r="T19" i="12"/>
  <c r="S19" i="12"/>
  <c r="T18" i="12"/>
  <c r="S18" i="12"/>
  <c r="T17" i="12"/>
  <c r="S17" i="12"/>
  <c r="T16" i="12"/>
  <c r="S16" i="12"/>
  <c r="T15" i="12"/>
  <c r="S15" i="12"/>
  <c r="T14" i="12"/>
  <c r="S14" i="12"/>
  <c r="T13" i="12"/>
  <c r="S13" i="12"/>
  <c r="T12" i="12"/>
  <c r="S12" i="12"/>
  <c r="T11" i="12"/>
  <c r="S11" i="12"/>
  <c r="T10" i="12"/>
  <c r="S10" i="12"/>
  <c r="T9" i="12"/>
  <c r="S9" i="12"/>
  <c r="T8" i="12"/>
  <c r="S8" i="12"/>
  <c r="T7" i="12"/>
  <c r="S7" i="12"/>
  <c r="T6" i="12"/>
  <c r="S6" i="12"/>
  <c r="T5" i="12"/>
  <c r="S5" i="12"/>
  <c r="V14" i="12" s="1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W15" i="12" l="1"/>
  <c r="J11" i="18"/>
  <c r="W22" i="12"/>
  <c r="W23" i="12" s="1"/>
  <c r="V15" i="12"/>
  <c r="I11" i="18"/>
  <c r="M11" i="18" s="1"/>
  <c r="X14" i="12"/>
  <c r="V22" i="12"/>
  <c r="V23" i="12" s="1"/>
  <c r="X13" i="12"/>
  <c r="X21" i="12"/>
  <c r="X22" i="12" l="1"/>
  <c r="X15" i="12"/>
  <c r="K11" i="18"/>
  <c r="N11" i="18" s="1"/>
  <c r="L11" i="18"/>
  <c r="O11" i="18" s="1"/>
  <c r="X23" i="12"/>
  <c r="X13" i="11" l="1"/>
  <c r="V4" i="11"/>
  <c r="T56" i="11"/>
  <c r="S56" i="11"/>
  <c r="T55" i="11"/>
  <c r="S55" i="11"/>
  <c r="T54" i="11"/>
  <c r="S54" i="11"/>
  <c r="T53" i="11"/>
  <c r="S53" i="11"/>
  <c r="T52" i="11"/>
  <c r="S52" i="11"/>
  <c r="T51" i="11"/>
  <c r="S51" i="11"/>
  <c r="T50" i="11"/>
  <c r="S50" i="11"/>
  <c r="T49" i="11"/>
  <c r="S49" i="11"/>
  <c r="T48" i="11"/>
  <c r="S48" i="11"/>
  <c r="T47" i="11"/>
  <c r="S47" i="11"/>
  <c r="T46" i="11"/>
  <c r="S46" i="11"/>
  <c r="T45" i="11"/>
  <c r="S45" i="11"/>
  <c r="T44" i="11"/>
  <c r="S44" i="11"/>
  <c r="T43" i="11"/>
  <c r="S43" i="11"/>
  <c r="T42" i="11"/>
  <c r="S42" i="11"/>
  <c r="T41" i="11"/>
  <c r="S41" i="11"/>
  <c r="T40" i="11"/>
  <c r="S40" i="11"/>
  <c r="T39" i="11"/>
  <c r="S39" i="11"/>
  <c r="T38" i="11"/>
  <c r="S38" i="11"/>
  <c r="T37" i="11"/>
  <c r="S37" i="11"/>
  <c r="T36" i="11"/>
  <c r="S36" i="11"/>
  <c r="T35" i="11"/>
  <c r="S35" i="11"/>
  <c r="T34" i="11"/>
  <c r="S34" i="11"/>
  <c r="T33" i="11"/>
  <c r="S33" i="11"/>
  <c r="T32" i="11"/>
  <c r="S32" i="11"/>
  <c r="T31" i="11"/>
  <c r="S31" i="11"/>
  <c r="T30" i="11"/>
  <c r="S30" i="11"/>
  <c r="T29" i="11"/>
  <c r="S29" i="11"/>
  <c r="T28" i="11"/>
  <c r="S28" i="11"/>
  <c r="T27" i="11"/>
  <c r="S27" i="11"/>
  <c r="T26" i="11"/>
  <c r="S26" i="11"/>
  <c r="T25" i="11"/>
  <c r="S25" i="11"/>
  <c r="T24" i="11"/>
  <c r="S24" i="11"/>
  <c r="T23" i="11"/>
  <c r="S23" i="11"/>
  <c r="T22" i="11"/>
  <c r="S22" i="11"/>
  <c r="T21" i="11"/>
  <c r="S21" i="11"/>
  <c r="T20" i="11"/>
  <c r="S20" i="11"/>
  <c r="T19" i="11"/>
  <c r="S19" i="11"/>
  <c r="T18" i="11"/>
  <c r="S18" i="11"/>
  <c r="T17" i="11"/>
  <c r="S17" i="11"/>
  <c r="T16" i="11"/>
  <c r="S16" i="11"/>
  <c r="T15" i="11"/>
  <c r="S15" i="11"/>
  <c r="T14" i="11"/>
  <c r="S14" i="11"/>
  <c r="T13" i="11"/>
  <c r="S13" i="11"/>
  <c r="T12" i="11"/>
  <c r="S12" i="11"/>
  <c r="T11" i="11"/>
  <c r="S11" i="11"/>
  <c r="T10" i="11"/>
  <c r="S10" i="11"/>
  <c r="T9" i="11"/>
  <c r="S9" i="11"/>
  <c r="T8" i="11"/>
  <c r="S8" i="11"/>
  <c r="T7" i="11"/>
  <c r="S7" i="11"/>
  <c r="T6" i="11"/>
  <c r="S6" i="11"/>
  <c r="T5" i="11"/>
  <c r="S5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V15" i="11" l="1"/>
  <c r="I10" i="18"/>
  <c r="W15" i="11"/>
  <c r="J10" i="18"/>
  <c r="L10" i="18" s="1"/>
  <c r="V22" i="11"/>
  <c r="V23" i="11" s="1"/>
  <c r="W22" i="11"/>
  <c r="W23" i="11" s="1"/>
  <c r="X14" i="11"/>
  <c r="X15" i="11" s="1"/>
  <c r="X21" i="11"/>
  <c r="X22" i="11" l="1"/>
  <c r="X23" i="11" s="1"/>
  <c r="K10" i="18"/>
  <c r="N10" i="18" s="1"/>
  <c r="M10" i="18"/>
  <c r="O10" i="18" s="1"/>
  <c r="W13" i="10" l="1"/>
  <c r="V13" i="10"/>
  <c r="V4" i="10"/>
  <c r="T56" i="10"/>
  <c r="S56" i="10"/>
  <c r="T55" i="10"/>
  <c r="S55" i="10"/>
  <c r="T54" i="10"/>
  <c r="S54" i="10"/>
  <c r="T53" i="10"/>
  <c r="S53" i="10"/>
  <c r="T52" i="10"/>
  <c r="S52" i="10"/>
  <c r="T51" i="10"/>
  <c r="S51" i="10"/>
  <c r="T50" i="10"/>
  <c r="S50" i="10"/>
  <c r="T49" i="10"/>
  <c r="S49" i="10"/>
  <c r="T48" i="10"/>
  <c r="S48" i="10"/>
  <c r="T47" i="10"/>
  <c r="S47" i="10"/>
  <c r="T46" i="10"/>
  <c r="S46" i="10"/>
  <c r="T45" i="10"/>
  <c r="S45" i="10"/>
  <c r="T44" i="10"/>
  <c r="S44" i="10"/>
  <c r="T43" i="10"/>
  <c r="S43" i="10"/>
  <c r="T42" i="10"/>
  <c r="S42" i="10"/>
  <c r="T41" i="10"/>
  <c r="S41" i="10"/>
  <c r="T40" i="10"/>
  <c r="S40" i="10"/>
  <c r="T39" i="10"/>
  <c r="S39" i="10"/>
  <c r="T38" i="10"/>
  <c r="S38" i="10"/>
  <c r="T37" i="10"/>
  <c r="S37" i="10"/>
  <c r="T36" i="10"/>
  <c r="S36" i="10"/>
  <c r="T35" i="10"/>
  <c r="S35" i="10"/>
  <c r="T34" i="10"/>
  <c r="S34" i="10"/>
  <c r="T33" i="10"/>
  <c r="S33" i="10"/>
  <c r="T32" i="10"/>
  <c r="S32" i="10"/>
  <c r="T31" i="10"/>
  <c r="S31" i="10"/>
  <c r="V14" i="10" s="1"/>
  <c r="T30" i="10"/>
  <c r="S30" i="10"/>
  <c r="T29" i="10"/>
  <c r="S29" i="10"/>
  <c r="T28" i="10"/>
  <c r="S28" i="10"/>
  <c r="T27" i="10"/>
  <c r="S27" i="10"/>
  <c r="T26" i="10"/>
  <c r="S26" i="10"/>
  <c r="T25" i="10"/>
  <c r="S25" i="10"/>
  <c r="T24" i="10"/>
  <c r="S24" i="10"/>
  <c r="T23" i="10"/>
  <c r="S23" i="10"/>
  <c r="T22" i="10"/>
  <c r="S22" i="10"/>
  <c r="T21" i="10"/>
  <c r="S21" i="10"/>
  <c r="T20" i="10"/>
  <c r="S20" i="10"/>
  <c r="T19" i="10"/>
  <c r="S19" i="10"/>
  <c r="T18" i="10"/>
  <c r="S18" i="10"/>
  <c r="T17" i="10"/>
  <c r="S17" i="10"/>
  <c r="T16" i="10"/>
  <c r="S16" i="10"/>
  <c r="T15" i="10"/>
  <c r="S15" i="10"/>
  <c r="T14" i="10"/>
  <c r="S14" i="10"/>
  <c r="T13" i="10"/>
  <c r="S13" i="10"/>
  <c r="T12" i="10"/>
  <c r="S12" i="10"/>
  <c r="T11" i="10"/>
  <c r="S11" i="10"/>
  <c r="T10" i="10"/>
  <c r="S10" i="10"/>
  <c r="T9" i="10"/>
  <c r="S9" i="10"/>
  <c r="T8" i="10"/>
  <c r="S8" i="10"/>
  <c r="T7" i="10"/>
  <c r="S7" i="10"/>
  <c r="T6" i="10"/>
  <c r="S6" i="10"/>
  <c r="T5" i="10"/>
  <c r="S5" i="10"/>
  <c r="W14" i="10" s="1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I9" i="18" l="1"/>
  <c r="V22" i="10"/>
  <c r="V23" i="10" s="1"/>
  <c r="V15" i="10"/>
  <c r="J9" i="18"/>
  <c r="L9" i="18" s="1"/>
  <c r="W22" i="10"/>
  <c r="W23" i="10" s="1"/>
  <c r="X14" i="10"/>
  <c r="X13" i="10"/>
  <c r="W15" i="10"/>
  <c r="X21" i="10"/>
  <c r="X15" i="10" l="1"/>
  <c r="X22" i="10"/>
  <c r="X23" i="10" s="1"/>
  <c r="K9" i="18"/>
  <c r="N9" i="18" s="1"/>
  <c r="M9" i="18"/>
  <c r="O9" i="18" s="1"/>
  <c r="W21" i="9" l="1"/>
  <c r="V21" i="9"/>
  <c r="W13" i="9"/>
  <c r="V13" i="9"/>
  <c r="X13" i="9"/>
  <c r="V4" i="9"/>
  <c r="T60" i="9"/>
  <c r="S60" i="9"/>
  <c r="T59" i="9"/>
  <c r="S59" i="9"/>
  <c r="T58" i="9"/>
  <c r="S58" i="9"/>
  <c r="T57" i="9"/>
  <c r="S57" i="9"/>
  <c r="T56" i="9"/>
  <c r="S56" i="9"/>
  <c r="T55" i="9"/>
  <c r="S55" i="9"/>
  <c r="T54" i="9"/>
  <c r="S54" i="9"/>
  <c r="T53" i="9"/>
  <c r="S53" i="9"/>
  <c r="T52" i="9"/>
  <c r="S52" i="9"/>
  <c r="T51" i="9"/>
  <c r="S51" i="9"/>
  <c r="T50" i="9"/>
  <c r="S50" i="9"/>
  <c r="T49" i="9"/>
  <c r="S49" i="9"/>
  <c r="T48" i="9"/>
  <c r="S48" i="9"/>
  <c r="T47" i="9"/>
  <c r="S47" i="9"/>
  <c r="T46" i="9"/>
  <c r="S46" i="9"/>
  <c r="T45" i="9"/>
  <c r="S45" i="9"/>
  <c r="T44" i="9"/>
  <c r="S44" i="9"/>
  <c r="T43" i="9"/>
  <c r="S43" i="9"/>
  <c r="T42" i="9"/>
  <c r="S42" i="9"/>
  <c r="T41" i="9"/>
  <c r="S41" i="9"/>
  <c r="T40" i="9"/>
  <c r="S40" i="9"/>
  <c r="T39" i="9"/>
  <c r="S39" i="9"/>
  <c r="T38" i="9"/>
  <c r="S38" i="9"/>
  <c r="T37" i="9"/>
  <c r="S37" i="9"/>
  <c r="T36" i="9"/>
  <c r="S36" i="9"/>
  <c r="T35" i="9"/>
  <c r="S35" i="9"/>
  <c r="T34" i="9"/>
  <c r="S34" i="9"/>
  <c r="T33" i="9"/>
  <c r="S33" i="9"/>
  <c r="T32" i="9"/>
  <c r="S32" i="9"/>
  <c r="T31" i="9"/>
  <c r="S31" i="9"/>
  <c r="T30" i="9"/>
  <c r="S30" i="9"/>
  <c r="T29" i="9"/>
  <c r="S29" i="9"/>
  <c r="V14" i="9" s="1"/>
  <c r="T28" i="9"/>
  <c r="S28" i="9"/>
  <c r="T27" i="9"/>
  <c r="S27" i="9"/>
  <c r="T26" i="9"/>
  <c r="S26" i="9"/>
  <c r="T25" i="9"/>
  <c r="S25" i="9"/>
  <c r="T24" i="9"/>
  <c r="S24" i="9"/>
  <c r="T23" i="9"/>
  <c r="S23" i="9"/>
  <c r="T22" i="9"/>
  <c r="S22" i="9"/>
  <c r="T21" i="9"/>
  <c r="S21" i="9"/>
  <c r="T20" i="9"/>
  <c r="S20" i="9"/>
  <c r="T19" i="9"/>
  <c r="S19" i="9"/>
  <c r="T18" i="9"/>
  <c r="S18" i="9"/>
  <c r="T17" i="9"/>
  <c r="S17" i="9"/>
  <c r="T16" i="9"/>
  <c r="S16" i="9"/>
  <c r="T15" i="9"/>
  <c r="S15" i="9"/>
  <c r="T14" i="9"/>
  <c r="S14" i="9"/>
  <c r="T13" i="9"/>
  <c r="S13" i="9"/>
  <c r="T12" i="9"/>
  <c r="S12" i="9"/>
  <c r="T11" i="9"/>
  <c r="S11" i="9"/>
  <c r="T10" i="9"/>
  <c r="S10" i="9"/>
  <c r="T9" i="9"/>
  <c r="S9" i="9"/>
  <c r="T8" i="9"/>
  <c r="S8" i="9"/>
  <c r="T7" i="9"/>
  <c r="S7" i="9"/>
  <c r="T6" i="9"/>
  <c r="S6" i="9"/>
  <c r="T5" i="9"/>
  <c r="S5" i="9"/>
  <c r="W14" i="9" s="1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V15" i="9" l="1"/>
  <c r="I8" i="18"/>
  <c r="X14" i="9"/>
  <c r="W15" i="9"/>
  <c r="J8" i="18"/>
  <c r="L8" i="18" s="1"/>
  <c r="W22" i="9"/>
  <c r="W23" i="9" s="1"/>
  <c r="X15" i="9"/>
  <c r="X21" i="9"/>
  <c r="V22" i="9"/>
  <c r="M8" i="18" l="1"/>
  <c r="O8" i="18" s="1"/>
  <c r="K8" i="18"/>
  <c r="N8" i="18" s="1"/>
  <c r="V23" i="9"/>
  <c r="X22" i="9"/>
  <c r="X23" i="9" s="1"/>
  <c r="W21" i="8" l="1"/>
  <c r="V21" i="8"/>
  <c r="W13" i="8"/>
  <c r="V13" i="8"/>
  <c r="X13" i="8" s="1"/>
  <c r="V4" i="8"/>
  <c r="T60" i="8"/>
  <c r="S60" i="8"/>
  <c r="T59" i="8"/>
  <c r="S59" i="8"/>
  <c r="T58" i="8"/>
  <c r="S58" i="8"/>
  <c r="T57" i="8"/>
  <c r="S57" i="8"/>
  <c r="T56" i="8"/>
  <c r="S56" i="8"/>
  <c r="T55" i="8"/>
  <c r="S55" i="8"/>
  <c r="T54" i="8"/>
  <c r="S54" i="8"/>
  <c r="T53" i="8"/>
  <c r="S53" i="8"/>
  <c r="T52" i="8"/>
  <c r="S52" i="8"/>
  <c r="T51" i="8"/>
  <c r="S51" i="8"/>
  <c r="T50" i="8"/>
  <c r="S50" i="8"/>
  <c r="T49" i="8"/>
  <c r="S49" i="8"/>
  <c r="T48" i="8"/>
  <c r="S48" i="8"/>
  <c r="T47" i="8"/>
  <c r="S47" i="8"/>
  <c r="T46" i="8"/>
  <c r="S46" i="8"/>
  <c r="T45" i="8"/>
  <c r="S45" i="8"/>
  <c r="T44" i="8"/>
  <c r="S44" i="8"/>
  <c r="T43" i="8"/>
  <c r="S43" i="8"/>
  <c r="T42" i="8"/>
  <c r="S42" i="8"/>
  <c r="T41" i="8"/>
  <c r="S41" i="8"/>
  <c r="T40" i="8"/>
  <c r="S40" i="8"/>
  <c r="T39" i="8"/>
  <c r="S39" i="8"/>
  <c r="T38" i="8"/>
  <c r="S38" i="8"/>
  <c r="T37" i="8"/>
  <c r="S37" i="8"/>
  <c r="T36" i="8"/>
  <c r="S36" i="8"/>
  <c r="T35" i="8"/>
  <c r="S35" i="8"/>
  <c r="T34" i="8"/>
  <c r="S34" i="8"/>
  <c r="T33" i="8"/>
  <c r="S33" i="8"/>
  <c r="T32" i="8"/>
  <c r="S32" i="8"/>
  <c r="T31" i="8"/>
  <c r="S31" i="8"/>
  <c r="T30" i="8"/>
  <c r="S30" i="8"/>
  <c r="V14" i="8" s="1"/>
  <c r="T29" i="8"/>
  <c r="S29" i="8"/>
  <c r="T28" i="8"/>
  <c r="S28" i="8"/>
  <c r="T27" i="8"/>
  <c r="S27" i="8"/>
  <c r="T26" i="8"/>
  <c r="S26" i="8"/>
  <c r="T25" i="8"/>
  <c r="S25" i="8"/>
  <c r="T24" i="8"/>
  <c r="S24" i="8"/>
  <c r="T23" i="8"/>
  <c r="S23" i="8"/>
  <c r="T22" i="8"/>
  <c r="S22" i="8"/>
  <c r="T21" i="8"/>
  <c r="S21" i="8"/>
  <c r="T20" i="8"/>
  <c r="S20" i="8"/>
  <c r="T19" i="8"/>
  <c r="S19" i="8"/>
  <c r="T18" i="8"/>
  <c r="S18" i="8"/>
  <c r="T17" i="8"/>
  <c r="S17" i="8"/>
  <c r="T16" i="8"/>
  <c r="S16" i="8"/>
  <c r="T15" i="8"/>
  <c r="S15" i="8"/>
  <c r="T14" i="8"/>
  <c r="S14" i="8"/>
  <c r="T13" i="8"/>
  <c r="S13" i="8"/>
  <c r="T12" i="8"/>
  <c r="S12" i="8"/>
  <c r="T11" i="8"/>
  <c r="S11" i="8"/>
  <c r="T10" i="8"/>
  <c r="S10" i="8"/>
  <c r="T9" i="8"/>
  <c r="S9" i="8"/>
  <c r="T8" i="8"/>
  <c r="S8" i="8"/>
  <c r="T7" i="8"/>
  <c r="S7" i="8"/>
  <c r="T6" i="8"/>
  <c r="S6" i="8"/>
  <c r="T5" i="8"/>
  <c r="S5" i="8"/>
  <c r="W14" i="8" s="1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W15" i="8" l="1"/>
  <c r="J7" i="18"/>
  <c r="L7" i="18" s="1"/>
  <c r="V15" i="8"/>
  <c r="I7" i="18"/>
  <c r="X14" i="8"/>
  <c r="X15" i="8" s="1"/>
  <c r="W22" i="8"/>
  <c r="W23" i="8" s="1"/>
  <c r="V22" i="8"/>
  <c r="X21" i="8"/>
  <c r="M7" i="18" l="1"/>
  <c r="O7" i="18" s="1"/>
  <c r="K7" i="18"/>
  <c r="N7" i="18" s="1"/>
  <c r="X22" i="8"/>
  <c r="X23" i="8" s="1"/>
  <c r="V23" i="8"/>
  <c r="W21" i="5" l="1"/>
  <c r="V21" i="5"/>
  <c r="W13" i="5"/>
  <c r="V13" i="5"/>
  <c r="V4" i="5"/>
  <c r="T58" i="5"/>
  <c r="S58" i="5"/>
  <c r="T57" i="5"/>
  <c r="S57" i="5"/>
  <c r="T56" i="5"/>
  <c r="S56" i="5"/>
  <c r="T55" i="5"/>
  <c r="S55" i="5"/>
  <c r="T54" i="5"/>
  <c r="S54" i="5"/>
  <c r="T53" i="5"/>
  <c r="S53" i="5"/>
  <c r="T52" i="5"/>
  <c r="S52" i="5"/>
  <c r="T51" i="5"/>
  <c r="S51" i="5"/>
  <c r="T50" i="5"/>
  <c r="S50" i="5"/>
  <c r="T49" i="5"/>
  <c r="S49" i="5"/>
  <c r="T48" i="5"/>
  <c r="S48" i="5"/>
  <c r="T47" i="5"/>
  <c r="S47" i="5"/>
  <c r="T46" i="5"/>
  <c r="S46" i="5"/>
  <c r="T45" i="5"/>
  <c r="S45" i="5"/>
  <c r="T44" i="5"/>
  <c r="S44" i="5"/>
  <c r="T43" i="5"/>
  <c r="S43" i="5"/>
  <c r="T42" i="5"/>
  <c r="S42" i="5"/>
  <c r="T41" i="5"/>
  <c r="S41" i="5"/>
  <c r="T40" i="5"/>
  <c r="S40" i="5"/>
  <c r="T39" i="5"/>
  <c r="S39" i="5"/>
  <c r="T38" i="5"/>
  <c r="S38" i="5"/>
  <c r="T37" i="5"/>
  <c r="S37" i="5"/>
  <c r="T36" i="5"/>
  <c r="S36" i="5"/>
  <c r="T35" i="5"/>
  <c r="S35" i="5"/>
  <c r="T34" i="5"/>
  <c r="S34" i="5"/>
  <c r="T33" i="5"/>
  <c r="S33" i="5"/>
  <c r="T32" i="5"/>
  <c r="S32" i="5"/>
  <c r="T31" i="5"/>
  <c r="S31" i="5"/>
  <c r="T30" i="5"/>
  <c r="S30" i="5"/>
  <c r="T29" i="5"/>
  <c r="S29" i="5"/>
  <c r="T28" i="5"/>
  <c r="S28" i="5"/>
  <c r="T27" i="5"/>
  <c r="S27" i="5"/>
  <c r="T26" i="5"/>
  <c r="S26" i="5"/>
  <c r="T25" i="5"/>
  <c r="S25" i="5"/>
  <c r="T24" i="5"/>
  <c r="S24" i="5"/>
  <c r="T23" i="5"/>
  <c r="S23" i="5"/>
  <c r="T22" i="5"/>
  <c r="S22" i="5"/>
  <c r="T21" i="5"/>
  <c r="S21" i="5"/>
  <c r="T20" i="5"/>
  <c r="S20" i="5"/>
  <c r="T19" i="5"/>
  <c r="S19" i="5"/>
  <c r="T18" i="5"/>
  <c r="S18" i="5"/>
  <c r="T17" i="5"/>
  <c r="S17" i="5"/>
  <c r="T16" i="5"/>
  <c r="S16" i="5"/>
  <c r="T15" i="5"/>
  <c r="S15" i="5"/>
  <c r="T14" i="5"/>
  <c r="S14" i="5"/>
  <c r="T13" i="5"/>
  <c r="S13" i="5"/>
  <c r="T12" i="5"/>
  <c r="S12" i="5"/>
  <c r="T11" i="5"/>
  <c r="S11" i="5"/>
  <c r="T10" i="5"/>
  <c r="S10" i="5"/>
  <c r="T9" i="5"/>
  <c r="S9" i="5"/>
  <c r="T8" i="5"/>
  <c r="S8" i="5"/>
  <c r="T7" i="5"/>
  <c r="S7" i="5"/>
  <c r="T6" i="5"/>
  <c r="S6" i="5"/>
  <c r="V14" i="5" s="1"/>
  <c r="T5" i="5"/>
  <c r="S5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K6" i="18" l="1"/>
  <c r="I17" i="18"/>
  <c r="M6" i="18"/>
  <c r="W14" i="5"/>
  <c r="J6" i="18" s="1"/>
  <c r="W22" i="5"/>
  <c r="W23" i="5" s="1"/>
  <c r="X13" i="5"/>
  <c r="V15" i="5"/>
  <c r="X14" i="5"/>
  <c r="V22" i="5"/>
  <c r="V23" i="5" s="1"/>
  <c r="X21" i="5"/>
  <c r="N6" i="18" l="1"/>
  <c r="N17" i="18" s="1"/>
  <c r="K17" i="18"/>
  <c r="K18" i="18" s="1"/>
  <c r="J17" i="18"/>
  <c r="L6" i="18"/>
  <c r="O6" i="18" s="1"/>
  <c r="O17" i="18" s="1"/>
  <c r="W15" i="5"/>
  <c r="I18" i="18"/>
  <c r="M17" i="18"/>
  <c r="X22" i="5"/>
  <c r="X23" i="5" s="1"/>
  <c r="X15" i="5"/>
  <c r="J18" i="18" l="1"/>
  <c r="L17" i="18"/>
  <c r="O18" i="18" s="1"/>
</calcChain>
</file>

<file path=xl/sharedStrings.xml><?xml version="1.0" encoding="utf-8"?>
<sst xmlns="http://schemas.openxmlformats.org/spreadsheetml/2006/main" count="8198" uniqueCount="823">
  <si>
    <t>S.No</t>
  </si>
  <si>
    <t>Student Name</t>
  </si>
  <si>
    <t>Father Name</t>
  </si>
  <si>
    <t>Class</t>
  </si>
  <si>
    <t>Present</t>
  </si>
  <si>
    <t>Absent</t>
  </si>
  <si>
    <t>ECE</t>
  </si>
  <si>
    <t>Working days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</si>
  <si>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</si>
  <si>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</si>
  <si>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</si>
  <si>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</si>
  <si>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</si>
  <si>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</si>
  <si>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</si>
  <si>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</si>
  <si>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</si>
  <si>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</si>
  <si>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</si>
  <si>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</si>
  <si>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</si>
  <si>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</si>
  <si>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</si>
  <si>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</si>
  <si>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</si>
  <si>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</si>
  <si>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</si>
  <si>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</si>
  <si>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</si>
  <si>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</si>
  <si>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</si>
  <si>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</si>
  <si>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</si>
  <si>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</si>
  <si>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</si>
  <si>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</si>
  <si>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</si>
  <si>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</si>
  <si>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</si>
  <si>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</si>
  <si>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</si>
  <si>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</si>
  <si>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</si>
  <si>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</si>
  <si>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</si>
  <si>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</si>
  <si>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</si>
  <si>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</si>
  <si>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</si>
  <si>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</si>
  <si>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</si>
  <si>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</si>
  <si>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</si>
  <si>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</si>
  <si>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</si>
  <si>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</si>
  <si>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</si>
  <si>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</si>
  <si>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</si>
  <si>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</si>
  <si>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</si>
  <si>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</si>
  <si>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</si>
  <si>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</si>
  <si>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</si>
  <si>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</si>
  <si>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</si>
  <si>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</si>
  <si>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</si>
  <si>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</si>
  <si>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</si>
  <si>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</si>
  <si>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</si>
  <si>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</si>
  <si>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</si>
  <si>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</si>
  <si>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</si>
  <si>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</si>
  <si>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</si>
  <si>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</si>
  <si>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</si>
  <si>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</si>
  <si>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</si>
  <si>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</si>
  <si>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</si>
  <si>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</si>
  <si>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</si>
  <si>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</si>
  <si>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</si>
  <si>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</si>
  <si>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</si>
  <si>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</si>
  <si>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</si>
  <si>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</si>
  <si>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</si>
  <si>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</si>
  <si>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</si>
  <si>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</si>
  <si>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</si>
  <si>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</si>
  <si>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</si>
  <si>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</si>
  <si>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</si>
  <si>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</si>
  <si>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</si>
  <si>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</si>
  <si>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</si>
  <si>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Musfiral</t>
  </si>
  <si>
    <t>Faisal</t>
  </si>
  <si>
    <t>Saifullah</t>
  </si>
  <si>
    <t>Farooq Ali</t>
  </si>
  <si>
    <t>A</t>
  </si>
  <si>
    <t>P</t>
  </si>
  <si>
    <t>L</t>
  </si>
  <si>
    <t>Ali Usman</t>
  </si>
  <si>
    <t>SUNDAY - SUNDAY - SUNDAY - SUNDAY - SUNDAY - SUNDAY - SUNDAY</t>
  </si>
  <si>
    <t>Abdullah</t>
  </si>
  <si>
    <t>Jameel Hussain</t>
  </si>
  <si>
    <t>Israr</t>
  </si>
  <si>
    <t>Zulfiqar Ali</t>
  </si>
  <si>
    <t>Zakria</t>
  </si>
  <si>
    <t>Anabia</t>
  </si>
  <si>
    <t>Monthly Attendence Month of November-2024</t>
  </si>
  <si>
    <t>SUNDAY - SUNDAY - SUNDAY - SUNDAY - SUNDAY- SUNDAY</t>
  </si>
  <si>
    <t>Hoorain Noor</t>
  </si>
  <si>
    <t>Muhammad Akram</t>
  </si>
  <si>
    <t>Abdul Hadi</t>
  </si>
  <si>
    <t>Year 2024</t>
  </si>
  <si>
    <t>Total days</t>
  </si>
  <si>
    <t>Absent Days Details</t>
  </si>
  <si>
    <t>Alishba Batool</t>
  </si>
  <si>
    <t>Irfan Ali</t>
  </si>
  <si>
    <t>Amna</t>
  </si>
  <si>
    <t>Imtiaz Hussain</t>
  </si>
  <si>
    <t>Aniza Memon</t>
  </si>
  <si>
    <t>Areeba</t>
  </si>
  <si>
    <t>Altaf Hussain</t>
  </si>
  <si>
    <t>Batool</t>
  </si>
  <si>
    <t>Amjad Ali</t>
  </si>
  <si>
    <t>Dua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</si>
  <si>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</si>
  <si>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</si>
  <si>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</si>
  <si>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</si>
  <si>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</si>
  <si>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</si>
  <si>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</si>
  <si>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</si>
  <si>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</si>
  <si>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</si>
  <si>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</si>
  <si>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</si>
  <si>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</si>
  <si>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</si>
  <si>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</si>
  <si>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</si>
  <si>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</si>
  <si>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</si>
  <si>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 Batool</t>
  </si>
  <si>
    <t>Muhammad Khan</t>
  </si>
  <si>
    <t>Sidra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</si>
  <si>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</si>
  <si>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</si>
  <si>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</si>
  <si>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</si>
  <si>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</si>
  <si>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</si>
  <si>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</si>
  <si>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</si>
  <si>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</si>
  <si>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</si>
  <si>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</si>
  <si>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</si>
  <si>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</si>
  <si>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</si>
  <si>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Imran Ali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</si>
  <si>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</si>
  <si>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</si>
  <si>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</si>
  <si>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</si>
  <si>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</si>
  <si>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</si>
  <si>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</si>
  <si>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</si>
  <si>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</si>
  <si>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</si>
  <si>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</si>
  <si>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</si>
  <si>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</si>
  <si>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</si>
  <si>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</si>
  <si>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</si>
  <si>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</si>
  <si>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</si>
  <si>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</si>
  <si>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</si>
  <si>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</si>
  <si>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</si>
  <si>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</si>
  <si>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</si>
  <si>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</si>
  <si>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</si>
  <si>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</si>
  <si>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</si>
  <si>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</si>
  <si>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</si>
  <si>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</si>
  <si>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</si>
  <si>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</si>
  <si>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</si>
  <si>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</si>
  <si>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</si>
  <si>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</si>
  <si>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</si>
  <si>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</si>
  <si>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</si>
  <si>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</si>
  <si>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Immadullah</t>
  </si>
  <si>
    <t>Ahmed Zia</t>
  </si>
  <si>
    <t>Zia Buksh</t>
  </si>
  <si>
    <t>M Fahad</t>
  </si>
  <si>
    <t>Bilal Faheem</t>
  </si>
  <si>
    <t>M. Faheem</t>
  </si>
  <si>
    <t>Ab. Barri</t>
  </si>
  <si>
    <t>Ghulam Mustafa</t>
  </si>
  <si>
    <t>Hasnain Naeem</t>
  </si>
  <si>
    <t>Naeem Ahmed</t>
  </si>
  <si>
    <t>M. Ahad</t>
  </si>
  <si>
    <t>Aman Badshah</t>
  </si>
  <si>
    <t>Ab. Hadi</t>
  </si>
  <si>
    <t>Sajid Ali</t>
  </si>
  <si>
    <t>Anum</t>
  </si>
  <si>
    <t>M. Arif</t>
  </si>
  <si>
    <t>One</t>
  </si>
  <si>
    <t>SUNDAY - SUNDAY - SUNDAY - SUNDAY - SUNDAY - SUNDAY - SUNDAY - SUNDAY - SUNDAY</t>
  </si>
  <si>
    <t>Ayat</t>
  </si>
  <si>
    <t>Meer Mohammad</t>
  </si>
  <si>
    <t>Saeed Ahmed</t>
  </si>
  <si>
    <t>Adeeba</t>
  </si>
  <si>
    <t>Qurban Ali</t>
  </si>
  <si>
    <t>Emaan Noor</t>
  </si>
  <si>
    <t>Noor Mohammad</t>
  </si>
  <si>
    <t>Horain</t>
  </si>
  <si>
    <t>Hannah</t>
  </si>
  <si>
    <t>Luqman Ali</t>
  </si>
  <si>
    <t>Horiya</t>
  </si>
  <si>
    <t>Siddique</t>
  </si>
  <si>
    <t>Hareem Fatima</t>
  </si>
  <si>
    <t>Deedar Ali</t>
  </si>
  <si>
    <t>Maham Noor</t>
  </si>
  <si>
    <t>Zaheer Abbas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</si>
  <si>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</si>
  <si>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</si>
  <si>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</si>
  <si>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</si>
  <si>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</si>
  <si>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</si>
  <si>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</si>
  <si>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</si>
  <si>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</si>
  <si>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</si>
  <si>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</si>
  <si>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</si>
  <si>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</si>
  <si>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</si>
  <si>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</si>
  <si>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Zainab</t>
  </si>
  <si>
    <t>A. Aziz</t>
  </si>
  <si>
    <t>Zulfiqar</t>
  </si>
  <si>
    <t>Waniya</t>
  </si>
  <si>
    <t>Asad Ali</t>
  </si>
  <si>
    <t>Haram</t>
  </si>
  <si>
    <t>Moien Khan</t>
  </si>
  <si>
    <t>Ayesha</t>
  </si>
  <si>
    <t>A. Latif</t>
  </si>
  <si>
    <t>Arsalan</t>
  </si>
  <si>
    <t>Faheem</t>
  </si>
  <si>
    <t>Ahmed Nawaz</t>
  </si>
  <si>
    <t>Ali Nawaz</t>
  </si>
  <si>
    <t>A. Malik</t>
  </si>
  <si>
    <t>Sohail</t>
  </si>
  <si>
    <t>Imtiaz</t>
  </si>
  <si>
    <t>Aqeel</t>
  </si>
  <si>
    <t>A. Ghaffar</t>
  </si>
  <si>
    <t>A. Wasay</t>
  </si>
  <si>
    <t>Aslam</t>
  </si>
  <si>
    <t>A. Qadir</t>
  </si>
  <si>
    <t>A. Hammad</t>
  </si>
  <si>
    <t>Akbar Ali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</si>
  <si>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</si>
  <si>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</si>
  <si>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</si>
  <si>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</si>
  <si>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</si>
  <si>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</si>
  <si>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</si>
  <si>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</si>
  <si>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</si>
  <si>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</si>
  <si>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</si>
  <si>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</si>
  <si>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</si>
  <si>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</si>
  <si>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</si>
  <si>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</si>
  <si>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</si>
  <si>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</si>
  <si>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</si>
  <si>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</si>
  <si>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</si>
  <si>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</si>
  <si>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</si>
  <si>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</si>
  <si>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</si>
  <si>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</si>
  <si>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</si>
  <si>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Muzammil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</si>
  <si>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</si>
  <si>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</si>
  <si>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</si>
  <si>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</si>
  <si>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</si>
  <si>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</si>
  <si>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</si>
  <si>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</si>
  <si>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</si>
  <si>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</si>
  <si>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</si>
  <si>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Goverment High School (SJCHS)</t>
  </si>
  <si>
    <t>Abiha Zehra</t>
  </si>
  <si>
    <t>Ab. Mateen</t>
  </si>
  <si>
    <t>Two</t>
  </si>
  <si>
    <t xml:space="preserve">SUNDAY - SUNDAY - SUNDAY - SUNDAY - SUNDAY - SUNDAY </t>
  </si>
  <si>
    <t>Aleena Zia</t>
  </si>
  <si>
    <t>Khuda Baksh</t>
  </si>
  <si>
    <t>Anumta Jamali</t>
  </si>
  <si>
    <t>Anusha</t>
  </si>
  <si>
    <t>Mukhtiyar Ali</t>
  </si>
  <si>
    <t>Ali Muhammad</t>
  </si>
  <si>
    <t>Abdul Hafeez</t>
  </si>
  <si>
    <t>Jannat Fatima</t>
  </si>
  <si>
    <t>Kashaf</t>
  </si>
  <si>
    <t>Kashish</t>
  </si>
  <si>
    <t>M. Noman</t>
  </si>
  <si>
    <t>Muneeza</t>
  </si>
  <si>
    <t>Mir Amirudin</t>
  </si>
  <si>
    <t>Nayyara</t>
  </si>
  <si>
    <t>Rashida</t>
  </si>
  <si>
    <t>Sajjad Ahmed</t>
  </si>
  <si>
    <t>Rubab Zahra</t>
  </si>
  <si>
    <t>Abdul Aziz</t>
  </si>
  <si>
    <t>Soha Jamali</t>
  </si>
  <si>
    <t>Sehar Fatima</t>
  </si>
  <si>
    <t>Saba</t>
  </si>
  <si>
    <t>Asif</t>
  </si>
  <si>
    <t>Sehrish</t>
  </si>
  <si>
    <t>Fida Hussain</t>
  </si>
  <si>
    <t>Tahreem Fatima</t>
  </si>
  <si>
    <t>Afsana</t>
  </si>
  <si>
    <t>Taskeen</t>
  </si>
  <si>
    <t>Abdul Musawir</t>
  </si>
  <si>
    <t>M. Ismail</t>
  </si>
  <si>
    <t>Abdul Wahab</t>
  </si>
  <si>
    <t>Riazuddin</t>
  </si>
  <si>
    <t>Ali Shanawar</t>
  </si>
  <si>
    <t>Mukhtiyar</t>
  </si>
  <si>
    <t>Burair Abbas</t>
  </si>
  <si>
    <t>Azhar Abbas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</si>
  <si>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</si>
  <si>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</si>
  <si>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</si>
  <si>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</si>
  <si>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</si>
  <si>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</si>
  <si>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</si>
  <si>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</si>
  <si>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Mehar Ali</t>
  </si>
  <si>
    <t>Faiz Mohammad</t>
  </si>
  <si>
    <t>M. Arsalan</t>
  </si>
  <si>
    <t>Shahbaz Ahmed</t>
  </si>
  <si>
    <t>Mohammad Nawaz</t>
  </si>
  <si>
    <t>Mohammad Rafay</t>
  </si>
  <si>
    <t>Mohammad Waseem</t>
  </si>
  <si>
    <t>Mohammad Azeem</t>
  </si>
  <si>
    <t>Mohammad Shayan</t>
  </si>
  <si>
    <t>Mohammad Shareef</t>
  </si>
  <si>
    <t>Muhammad Ali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</si>
  <si>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</si>
  <si>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</si>
  <si>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</si>
  <si>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</si>
  <si>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</si>
  <si>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</si>
  <si>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</si>
  <si>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</si>
  <si>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Anjuman</t>
  </si>
  <si>
    <t>Ab. Ghaffar</t>
  </si>
  <si>
    <t>Three</t>
  </si>
  <si>
    <t>SUNDAY - SUNDAY - SUNDAY - SUNDAY - SUNDAY - SUNDAY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</si>
  <si>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</si>
  <si>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</si>
  <si>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</si>
  <si>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</si>
  <si>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</si>
  <si>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</si>
  <si>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</si>
  <si>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</si>
  <si>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</si>
  <si>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</si>
  <si>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</si>
  <si>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</si>
  <si>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</si>
  <si>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</si>
  <si>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Mir Ameerudin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</si>
  <si>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</si>
  <si>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</si>
  <si>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</si>
  <si>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</si>
  <si>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</si>
  <si>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</si>
  <si>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</si>
  <si>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</si>
  <si>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</si>
  <si>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</si>
  <si>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</si>
  <si>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</si>
  <si>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Hooriya</t>
  </si>
  <si>
    <t>Zainab Batool</t>
  </si>
  <si>
    <t>Rida-E-Zainab</t>
  </si>
  <si>
    <t>Faraz Hyder</t>
  </si>
  <si>
    <t>Bushra</t>
  </si>
  <si>
    <t>Farhan</t>
  </si>
  <si>
    <t>Mubashira</t>
  </si>
  <si>
    <t>Ubaidullah</t>
  </si>
  <si>
    <t>Abdul Qudoos</t>
  </si>
  <si>
    <t>Waheed Ahmed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</si>
  <si>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</si>
  <si>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</si>
  <si>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</si>
  <si>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</si>
  <si>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</si>
  <si>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</si>
  <si>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</si>
  <si>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</si>
  <si>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</si>
  <si>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</si>
  <si>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</si>
  <si>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</si>
  <si>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</si>
  <si>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</si>
  <si>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</si>
  <si>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</si>
  <si>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Zawiyar</t>
  </si>
  <si>
    <t>Zulfiqar Ali Mangi</t>
  </si>
  <si>
    <t>Muneer Ahmed</t>
  </si>
  <si>
    <t>Ghous Bux</t>
  </si>
  <si>
    <t>Shah Fahad</t>
  </si>
  <si>
    <t>Saif Ali</t>
  </si>
  <si>
    <t>Riaz uddin Qureshi</t>
  </si>
  <si>
    <t>Shehbaz Ali</t>
  </si>
  <si>
    <t>Zain Zulfiqar</t>
  </si>
  <si>
    <t>Zulfiqar Qureshi</t>
  </si>
  <si>
    <t>Zeeshan</t>
  </si>
  <si>
    <t>M. Hussain</t>
  </si>
  <si>
    <t>Roohan</t>
  </si>
  <si>
    <t>Ishfaque</t>
  </si>
  <si>
    <t>Subhan</t>
  </si>
  <si>
    <t>Atteeque ur Rehman</t>
  </si>
  <si>
    <t>Raffique Ahmed</t>
  </si>
  <si>
    <t>Muhammad Essa</t>
  </si>
  <si>
    <t>Aqeel Ahmed</t>
  </si>
  <si>
    <t>Najeebullah</t>
  </si>
  <si>
    <t>Four</t>
  </si>
  <si>
    <t>Alijan</t>
  </si>
  <si>
    <t>M. Shafique</t>
  </si>
  <si>
    <t>Dost M.</t>
  </si>
  <si>
    <t>M. Usman</t>
  </si>
  <si>
    <t>Riaz</t>
  </si>
  <si>
    <t>Imdad Ali</t>
  </si>
  <si>
    <t>Hamid Ali</t>
  </si>
  <si>
    <t>M. Suleman</t>
  </si>
  <si>
    <t>Usman</t>
  </si>
  <si>
    <t>M. Faisal</t>
  </si>
  <si>
    <t>Abdull Sattar</t>
  </si>
  <si>
    <t>Tanveer Ahmed</t>
  </si>
  <si>
    <t>Wazeer Ahmed</t>
  </si>
  <si>
    <t xml:space="preserve">Zain </t>
  </si>
  <si>
    <t>Zaheer Ahmed</t>
  </si>
  <si>
    <t>Nazeer Ali</t>
  </si>
  <si>
    <t>Tasawur Ali</t>
  </si>
  <si>
    <t>Zain-ul-Abdin</t>
  </si>
  <si>
    <t>Dill Murad</t>
  </si>
  <si>
    <t>Sameer Ali</t>
  </si>
  <si>
    <t>Gulbahar Ali</t>
  </si>
  <si>
    <t>M. Anees</t>
  </si>
  <si>
    <t>M. Ramzan</t>
  </si>
  <si>
    <t>Hamadullah</t>
  </si>
  <si>
    <t>Abrar Hussain</t>
  </si>
  <si>
    <t>Khawar</t>
  </si>
  <si>
    <t>Saadullah</t>
  </si>
  <si>
    <t>Saqlain</t>
  </si>
  <si>
    <t>M. Qassam</t>
  </si>
  <si>
    <t>Imran H.</t>
  </si>
  <si>
    <t>Aliyan</t>
  </si>
  <si>
    <t>Gulraiz</t>
  </si>
  <si>
    <t>Ambreen</t>
  </si>
  <si>
    <t>Abdul Ghafoor</t>
  </si>
  <si>
    <t>Bakhtawar</t>
  </si>
  <si>
    <t>Taj Muhammad</t>
  </si>
  <si>
    <t>Bibi Zehra</t>
  </si>
  <si>
    <t xml:space="preserve">Liaquat </t>
  </si>
  <si>
    <t>Rana</t>
  </si>
  <si>
    <t>Fatima Gul</t>
  </si>
  <si>
    <t>Shah Nazwaz</t>
  </si>
  <si>
    <t>Sakina</t>
  </si>
  <si>
    <t>Rafique</t>
  </si>
  <si>
    <t>Sanober</t>
  </si>
  <si>
    <t>Sabir Hussain</t>
  </si>
  <si>
    <t>Hiba</t>
  </si>
  <si>
    <t>Mazeem</t>
  </si>
  <si>
    <t>Isha</t>
  </si>
  <si>
    <t>Fazal Muhammad</t>
  </si>
  <si>
    <t>Khadija -tul- Kubra</t>
  </si>
  <si>
    <t>Adnan</t>
  </si>
  <si>
    <t>Khushboo</t>
  </si>
  <si>
    <t>Abdull Rehman</t>
  </si>
  <si>
    <t>Laraib</t>
  </si>
  <si>
    <t>Maheen</t>
  </si>
  <si>
    <t>Sohail Ahmed</t>
  </si>
  <si>
    <t>Maryam</t>
  </si>
  <si>
    <t>Minal</t>
  </si>
  <si>
    <t>Faraz Hydar</t>
  </si>
  <si>
    <t>Misbah</t>
  </si>
  <si>
    <t>Faiz Ali</t>
  </si>
  <si>
    <t>Muntasha</t>
  </si>
  <si>
    <t>Nimra</t>
  </si>
  <si>
    <t>M. Ghaffar</t>
  </si>
  <si>
    <t>Nisha</t>
  </si>
  <si>
    <t>Noor Nisa</t>
  </si>
  <si>
    <t>Nuzhat</t>
  </si>
  <si>
    <t>Rooba</t>
  </si>
  <si>
    <t>Tahmeena</t>
  </si>
  <si>
    <t>Zara</t>
  </si>
  <si>
    <t>Zoya</t>
  </si>
  <si>
    <t>Bisma</t>
  </si>
  <si>
    <t>Basheer Ahmed</t>
  </si>
  <si>
    <t>Sabeen</t>
  </si>
  <si>
    <t>Javeria</t>
  </si>
  <si>
    <t>Nisa Fatima</t>
  </si>
  <si>
    <t>Liaquat Ali</t>
  </si>
  <si>
    <t>Abdul Fatah</t>
  </si>
  <si>
    <t>Manzoor Ahmed</t>
  </si>
  <si>
    <t>Five</t>
  </si>
  <si>
    <t>SUNDAY - SUNDAY - SUNDAY - SUNDAY - SUNDAY</t>
  </si>
  <si>
    <t xml:space="preserve">Ahmed Ali </t>
  </si>
  <si>
    <t>Nasrullah</t>
  </si>
  <si>
    <t>Ahsan Raza</t>
  </si>
  <si>
    <t>Ayan Ali</t>
  </si>
  <si>
    <t>Ghulam Muhammad</t>
  </si>
  <si>
    <t>Parvaiz Ahmed</t>
  </si>
  <si>
    <t>Masab Ali</t>
  </si>
  <si>
    <t>Meesam Abbas</t>
  </si>
  <si>
    <t>Muhammad Hassan</t>
  </si>
  <si>
    <t>Javaid Ali</t>
  </si>
  <si>
    <t xml:space="preserve">Muhammad Zaid </t>
  </si>
  <si>
    <t>Khalid Abbasi</t>
  </si>
  <si>
    <t>Usman Jamali</t>
  </si>
  <si>
    <t>Maula Abdullah Bux</t>
  </si>
  <si>
    <t>Muhammad Israr</t>
  </si>
  <si>
    <t>Abdullah Bhand</t>
  </si>
  <si>
    <t>Muhammad Rahim</t>
  </si>
  <si>
    <t>Muhammad Azeem</t>
  </si>
  <si>
    <t>Sajid Ali Junejo</t>
  </si>
  <si>
    <t>M. Ammad-ud-din</t>
  </si>
  <si>
    <t>Riyaz-ud-din</t>
  </si>
  <si>
    <t>Noman</t>
  </si>
  <si>
    <t>Rahib Hussain</t>
  </si>
  <si>
    <t>Zahid Hussain</t>
  </si>
  <si>
    <t>Shamsuddin</t>
  </si>
  <si>
    <t>Massab Ali</t>
  </si>
  <si>
    <t>Safdar Ali</t>
  </si>
  <si>
    <t>Zohaib Ali</t>
  </si>
  <si>
    <t>M. Husnain</t>
  </si>
  <si>
    <t>Nazakat</t>
  </si>
  <si>
    <t>Syed Qutab Ali</t>
  </si>
  <si>
    <t>Aitina Sohail</t>
  </si>
  <si>
    <t>Sohail Sarwar Jatoi</t>
  </si>
  <si>
    <t>Ajwa Gul</t>
  </si>
  <si>
    <t xml:space="preserve">Alishba </t>
  </si>
  <si>
    <t>Anosha</t>
  </si>
  <si>
    <t>Gul Naz</t>
  </si>
  <si>
    <t>Hina</t>
  </si>
  <si>
    <t>Lutufullah</t>
  </si>
  <si>
    <t>Iqra</t>
  </si>
  <si>
    <t>Javeria Batool</t>
  </si>
  <si>
    <t>Khadija Bibi</t>
  </si>
  <si>
    <t>Zulfiqar Quraishi</t>
  </si>
  <si>
    <t>Laiba</t>
  </si>
  <si>
    <t>Amjad Hussain</t>
  </si>
  <si>
    <t>Maheen Nisa</t>
  </si>
  <si>
    <t>Murk Fatima</t>
  </si>
  <si>
    <t xml:space="preserve">Nayab </t>
  </si>
  <si>
    <t>Sidra Bibi</t>
  </si>
  <si>
    <t>Sidratul Muntaha</t>
  </si>
  <si>
    <t>Sundas Qamar</t>
  </si>
  <si>
    <t>Imran Qamar</t>
  </si>
  <si>
    <t>Tayyaba Fatima</t>
  </si>
  <si>
    <t>Urooj</t>
  </si>
  <si>
    <t>Mehmood Khan</t>
  </si>
  <si>
    <t>Zahra Batool</t>
  </si>
  <si>
    <t>Zainab Bibi</t>
  </si>
  <si>
    <t>Bakhshal Ali</t>
  </si>
  <si>
    <t>Inshra</t>
  </si>
  <si>
    <t>Abdul Alber</t>
  </si>
  <si>
    <t>Rukhsana</t>
  </si>
  <si>
    <t>M. Sultan</t>
  </si>
  <si>
    <t>Monthly Attendence Month of August-2024</t>
  </si>
  <si>
    <t>Six</t>
  </si>
  <si>
    <t>SUNDAY - SUNDAY - SUNDAY - SUNDAY</t>
  </si>
  <si>
    <t>Abdul Samad</t>
  </si>
  <si>
    <t>Abdul Wassay</t>
  </si>
  <si>
    <t>Sohail Sarwar</t>
  </si>
  <si>
    <t>Abid Ali</t>
  </si>
  <si>
    <t>Irshaad Ali</t>
  </si>
  <si>
    <t>Joun Ali</t>
  </si>
  <si>
    <t>M. Muzzamil</t>
  </si>
  <si>
    <t>M. Sameer</t>
  </si>
  <si>
    <t>Meer Majid</t>
  </si>
  <si>
    <t>Haji Iqbal</t>
  </si>
  <si>
    <t>M. Tayyab</t>
  </si>
  <si>
    <t>Mudasir Hussain</t>
  </si>
  <si>
    <t>Uzair Ahmed</t>
  </si>
  <si>
    <t>Abdul Sattar</t>
  </si>
  <si>
    <t>M. Yaseen</t>
  </si>
  <si>
    <t>Muhammad Younus</t>
  </si>
  <si>
    <t>Faisal Ahmed</t>
  </si>
  <si>
    <t>Wajid Ali</t>
  </si>
  <si>
    <t>M. Ali Ahmed</t>
  </si>
  <si>
    <t>Ayan</t>
  </si>
  <si>
    <t>Rafeeque Ahmed</t>
  </si>
  <si>
    <t>Fahmida</t>
  </si>
  <si>
    <t>M. Ghafoor Jukhio</t>
  </si>
  <si>
    <t>Kaneez Fatima</t>
  </si>
  <si>
    <t>Rizwan Ali</t>
  </si>
  <si>
    <t>Mahnoor Fatima</t>
  </si>
  <si>
    <t>Ghulam Yaseen</t>
  </si>
  <si>
    <t>Zulfiqaar Ali</t>
  </si>
  <si>
    <t>Naina Naz</t>
  </si>
  <si>
    <t>Khawar Ali</t>
  </si>
  <si>
    <t xml:space="preserve">Nida </t>
  </si>
  <si>
    <t>Noor Muqadis</t>
  </si>
  <si>
    <t>Muhammad Idrees</t>
  </si>
  <si>
    <t xml:space="preserve">Rubina </t>
  </si>
  <si>
    <t>Suhan</t>
  </si>
  <si>
    <t>Sahar</t>
  </si>
  <si>
    <t>Sana Jamali</t>
  </si>
  <si>
    <t>Sawera</t>
  </si>
  <si>
    <t>Abdul Raheem</t>
  </si>
  <si>
    <t>Shabnam</t>
  </si>
  <si>
    <t>Shaista</t>
  </si>
  <si>
    <t>Naseer Ahmed</t>
  </si>
  <si>
    <t>Zohrra</t>
  </si>
  <si>
    <t>Zainab Khatoon</t>
  </si>
  <si>
    <t>Sohrab</t>
  </si>
  <si>
    <t xml:space="preserve">Zainab </t>
  </si>
  <si>
    <t>Murtaza Ali</t>
  </si>
  <si>
    <t>Muskan</t>
  </si>
  <si>
    <t>Zara Bano</t>
  </si>
  <si>
    <t>Nabi Bux</t>
  </si>
  <si>
    <t xml:space="preserve">Razia </t>
  </si>
  <si>
    <t>Aman</t>
  </si>
  <si>
    <t>Maham</t>
  </si>
  <si>
    <t>M. Irfan</t>
  </si>
  <si>
    <t>7th</t>
  </si>
  <si>
    <t>Adil Khan</t>
  </si>
  <si>
    <t>Ali Khan</t>
  </si>
  <si>
    <t>Ameer Hamza</t>
  </si>
  <si>
    <t>Bismillah Khan</t>
  </si>
  <si>
    <t>.</t>
  </si>
  <si>
    <t>Daniyal</t>
  </si>
  <si>
    <t>Hamza Nisar</t>
  </si>
  <si>
    <t>Haseeb Hyder</t>
  </si>
  <si>
    <t>Hasnain G. Nabi</t>
  </si>
  <si>
    <t>Hasnain Ali Soomro</t>
  </si>
  <si>
    <t xml:space="preserve">Hasnain Raza </t>
  </si>
  <si>
    <t>Hasnain yasir</t>
  </si>
  <si>
    <t>Hasnain Mumtaz Ali</t>
  </si>
  <si>
    <t xml:space="preserve">Mubashir </t>
  </si>
  <si>
    <t>M. Anwaar</t>
  </si>
  <si>
    <t>M. Hassan</t>
  </si>
  <si>
    <t>M. Raza</t>
  </si>
  <si>
    <t>Nisar Ali</t>
  </si>
  <si>
    <t>Rizwan Arbab</t>
  </si>
  <si>
    <t>Rizwan Razique</t>
  </si>
  <si>
    <t>Safiullah Hafeez</t>
  </si>
  <si>
    <t>Asma</t>
  </si>
  <si>
    <t>Aiman Khan</t>
  </si>
  <si>
    <t>Aiman Safdar</t>
  </si>
  <si>
    <t>Ayesha Agha</t>
  </si>
  <si>
    <t>Bushra Ubaid</t>
  </si>
  <si>
    <t>Erum</t>
  </si>
  <si>
    <t>Fatima zahra</t>
  </si>
  <si>
    <t>Hira Abroo</t>
  </si>
  <si>
    <t>Muniza Ali Sher</t>
  </si>
  <si>
    <t>Rimsha Khatoon</t>
  </si>
  <si>
    <t>Sadaf</t>
  </si>
  <si>
    <t>Sania</t>
  </si>
  <si>
    <t>Seema</t>
  </si>
  <si>
    <t>Tamana</t>
  </si>
  <si>
    <t>Azra</t>
  </si>
  <si>
    <t>Muhammad Usman</t>
  </si>
  <si>
    <t>8th</t>
  </si>
  <si>
    <t xml:space="preserve">Hina </t>
  </si>
  <si>
    <t xml:space="preserve">Iqra </t>
  </si>
  <si>
    <t>Kanwal Naz</t>
  </si>
  <si>
    <t>M. Rehman Abbasi</t>
  </si>
  <si>
    <t>Murk</t>
  </si>
  <si>
    <t>Noshina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</si>
  <si>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</si>
  <si>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</si>
  <si>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</si>
  <si>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</si>
  <si>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</si>
  <si>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</si>
  <si>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</t>
  </si>
  <si>
    <t>Younus</t>
  </si>
  <si>
    <t>Naghma Naz</t>
  </si>
  <si>
    <t xml:space="preserve">Dua </t>
  </si>
  <si>
    <t>Bahar Ali</t>
  </si>
  <si>
    <t>Sara Fatima</t>
  </si>
  <si>
    <t>M. Ashfaq</t>
  </si>
  <si>
    <t xml:space="preserve">Muskan </t>
  </si>
  <si>
    <t>Dildar Hussain</t>
  </si>
  <si>
    <t>Saira</t>
  </si>
  <si>
    <t>M. Salah</t>
  </si>
  <si>
    <t>Awais</t>
  </si>
  <si>
    <t>Abdul Salam</t>
  </si>
  <si>
    <t>Ameer Ali</t>
  </si>
  <si>
    <t>Faizan Ali</t>
  </si>
  <si>
    <t>Ghaibi Khan</t>
  </si>
  <si>
    <t>Hasnain</t>
  </si>
  <si>
    <t>Kabeer Ahmed</t>
  </si>
  <si>
    <t>Shah M.</t>
  </si>
  <si>
    <t>M. Ahmed Khalid</t>
  </si>
  <si>
    <t>M. Rafi</t>
  </si>
  <si>
    <t>Abdul Jabbar</t>
  </si>
  <si>
    <t>M. Saim</t>
  </si>
  <si>
    <t>Layaqat Ali</t>
  </si>
  <si>
    <t>Muzakir</t>
  </si>
  <si>
    <t>Gulzar Ahmed</t>
  </si>
  <si>
    <t>Shezad Ali</t>
  </si>
  <si>
    <t>Abdul Qadir</t>
  </si>
  <si>
    <t>Syed Rashid</t>
  </si>
  <si>
    <t>Syed Mehboob</t>
  </si>
  <si>
    <t>Shayan Ali</t>
  </si>
  <si>
    <t>Alyan Ali</t>
  </si>
  <si>
    <t>Jawad Ahmed</t>
  </si>
  <si>
    <t>Ali Raza</t>
  </si>
  <si>
    <t>Riaz Gul</t>
  </si>
  <si>
    <t>Salman</t>
  </si>
  <si>
    <t>Maroof Ali</t>
  </si>
  <si>
    <t>Salar</t>
  </si>
  <si>
    <t>Ghulam Aslam</t>
  </si>
  <si>
    <t>Asim</t>
  </si>
  <si>
    <t>M. Haneef</t>
  </si>
  <si>
    <t>Haseeb ullah</t>
  </si>
  <si>
    <t>Hafeezullah Abro</t>
  </si>
  <si>
    <t>Moez</t>
  </si>
  <si>
    <t>Munawar Ali  Bhatti</t>
  </si>
  <si>
    <t>Mudassir</t>
  </si>
  <si>
    <t>Nawab Khan</t>
  </si>
  <si>
    <t>M. Khan</t>
  </si>
  <si>
    <t>Meesum Abbas</t>
  </si>
  <si>
    <t>Waheed ali</t>
  </si>
  <si>
    <t>Manzar Hussain</t>
  </si>
  <si>
    <t>Noorullah</t>
  </si>
  <si>
    <t>Saif ur Rehman</t>
  </si>
  <si>
    <t>Imran Ahmed</t>
  </si>
  <si>
    <t>Shafique</t>
  </si>
  <si>
    <t>Rafique Ahmed</t>
  </si>
  <si>
    <t>M.Murtaqeem</t>
  </si>
  <si>
    <t>Shams</t>
  </si>
  <si>
    <t>Shaban</t>
  </si>
  <si>
    <t>Allah Dino</t>
  </si>
  <si>
    <t>M. Sufian</t>
  </si>
  <si>
    <t>Haleema</t>
  </si>
  <si>
    <t>Qalandar Bakhsh</t>
  </si>
  <si>
    <t>Maheen Zulfiqar</t>
  </si>
  <si>
    <t>Qandeel Zehra</t>
  </si>
  <si>
    <t>Waheed Ali</t>
  </si>
  <si>
    <t>Sanam</t>
  </si>
  <si>
    <t>Sultan Ahmed</t>
  </si>
  <si>
    <t>Asia</t>
  </si>
  <si>
    <t>Tooba</t>
  </si>
  <si>
    <t>Afsheen</t>
  </si>
  <si>
    <t>Nosheen</t>
  </si>
  <si>
    <t>Khair Un Nisa</t>
  </si>
  <si>
    <t>Syed Qutab Ali Shah</t>
  </si>
  <si>
    <t>Salwa</t>
  </si>
  <si>
    <t>Madina</t>
  </si>
  <si>
    <t>Yasir Arfat</t>
  </si>
  <si>
    <t>Farasha</t>
  </si>
  <si>
    <t>Javed Ali</t>
  </si>
  <si>
    <t>Kashaf Kanwal</t>
  </si>
  <si>
    <t>Saima</t>
  </si>
  <si>
    <t>9TH</t>
  </si>
  <si>
    <t>total working Days</t>
  </si>
  <si>
    <t>Total working days-Boys</t>
  </si>
  <si>
    <t>Total working days-Girls</t>
  </si>
  <si>
    <t>Total working days-All</t>
  </si>
  <si>
    <t>P-Days Boys</t>
  </si>
  <si>
    <t>P-Days Girls</t>
  </si>
  <si>
    <t>P-Days All</t>
  </si>
  <si>
    <t>Percentage-Girls</t>
  </si>
  <si>
    <t>Percentage-Boys</t>
  </si>
  <si>
    <t>Total average</t>
  </si>
  <si>
    <t>ECE (ROSE)</t>
  </si>
  <si>
    <t>ECE (Daffodils)</t>
  </si>
  <si>
    <t xml:space="preserve">One </t>
  </si>
  <si>
    <t>Seven</t>
  </si>
  <si>
    <t>Eight</t>
  </si>
  <si>
    <t>Ninth</t>
  </si>
  <si>
    <t>Total Enrolment &amp; Attendance November-24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</si>
</sst>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Times New Roman"/>
      <family val="1"/>
    </font>
    <font>
      <b/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9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5" tint="-0.249977111117893"/>
      <name val="Times New Roman"/>
      <family val="1"/>
    </font>
    <font>
      <b/>
      <sz val="8"/>
      <color theme="5" tint="-0.249977111117893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5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3" fillId="0" borderId="3" xfId="0" applyFont="1" applyBorder="1"/>
    <xf numFmtId="0" fontId="8" fillId="0" borderId="0" xfId="0" applyFont="1" applyAlignment="1">
      <alignment vertical="center"/>
    </xf>
    <xf numFmtId="0" fontId="8" fillId="0" borderId="1" xfId="0" applyFont="1" applyBorder="1"/>
    <xf numFmtId="0" fontId="6" fillId="0" borderId="3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0" fillId="0" borderId="6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6" fillId="0" borderId="5" xfId="0" applyFont="1" applyBorder="1"/>
    <xf numFmtId="0" fontId="10" fillId="0" borderId="3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0" fillId="3" borderId="2" xfId="0" applyFill="1" applyBorder="1" applyAlignment="1">
      <alignment vertical="center" textRotation="255"/>
    </xf>
    <xf numFmtId="0" fontId="11" fillId="0" borderId="3" xfId="0" applyFont="1" applyBorder="1"/>
    <xf numFmtId="0" fontId="11" fillId="0" borderId="9" xfId="0" applyFont="1" applyBorder="1"/>
    <xf numFmtId="0" fontId="11" fillId="0" borderId="10" xfId="0" applyFont="1" applyBorder="1"/>
    <xf numFmtId="0" fontId="1" fillId="0" borderId="3" xfId="0" applyFont="1" applyBorder="1"/>
    <xf numFmtId="0" fontId="1" fillId="0" borderId="5" xfId="0" applyFont="1" applyBorder="1"/>
    <xf numFmtId="0" fontId="11" fillId="0" borderId="5" xfId="0" applyFont="1" applyBorder="1"/>
    <xf numFmtId="0" fontId="3" fillId="0" borderId="2" xfId="0" applyFont="1" applyBorder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5" fillId="0" borderId="3" xfId="0" applyFont="1" applyBorder="1"/>
    <xf numFmtId="0" fontId="16" fillId="0" borderId="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9" fontId="16" fillId="0" borderId="5" xfId="1" applyFont="1" applyFill="1" applyBorder="1" applyAlignment="1">
      <alignment horizontal="center" vertical="center"/>
    </xf>
    <xf numFmtId="9" fontId="16" fillId="0" borderId="3" xfId="1" applyFont="1" applyFill="1" applyBorder="1" applyAlignment="1">
      <alignment horizontal="center" vertical="center"/>
    </xf>
    <xf numFmtId="9" fontId="16" fillId="0" borderId="4" xfId="1" applyFont="1" applyFill="1" applyBorder="1" applyAlignment="1">
      <alignment horizontal="center" vertical="center"/>
    </xf>
    <xf numFmtId="9" fontId="16" fillId="3" borderId="17" xfId="1" applyFont="1" applyFill="1" applyBorder="1"/>
    <xf numFmtId="9" fontId="16" fillId="0" borderId="20" xfId="1" applyFont="1" applyFill="1" applyBorder="1" applyAlignment="1">
      <alignment horizontal="center" vertical="center"/>
    </xf>
    <xf numFmtId="9" fontId="16" fillId="3" borderId="21" xfId="1" applyFont="1" applyFill="1" applyBorder="1"/>
    <xf numFmtId="0" fontId="15" fillId="0" borderId="2" xfId="0" applyFont="1" applyBorder="1"/>
    <xf numFmtId="0" fontId="16" fillId="0" borderId="2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8" xfId="1" applyFont="1" applyFill="1" applyBorder="1" applyAlignment="1">
      <alignment horizontal="center" vertical="center"/>
    </xf>
    <xf numFmtId="9" fontId="16" fillId="0" borderId="2" xfId="1" applyFont="1" applyFill="1" applyBorder="1" applyAlignment="1">
      <alignment horizontal="center" vertical="center"/>
    </xf>
    <xf numFmtId="9" fontId="16" fillId="0" borderId="24" xfId="1" applyFont="1" applyFill="1" applyBorder="1" applyAlignment="1">
      <alignment horizontal="center" vertical="center"/>
    </xf>
    <xf numFmtId="9" fontId="16" fillId="3" borderId="27" xfId="1" applyFont="1" applyFill="1" applyBorder="1"/>
    <xf numFmtId="0" fontId="17" fillId="0" borderId="16" xfId="0" applyFont="1" applyBorder="1" applyAlignment="1">
      <alignment horizontal="center"/>
    </xf>
    <xf numFmtId="0" fontId="15" fillId="0" borderId="12" xfId="0" applyFont="1" applyBorder="1"/>
    <xf numFmtId="0" fontId="17" fillId="0" borderId="12" xfId="0" applyFont="1" applyBorder="1" applyAlignment="1">
      <alignment horizontal="center"/>
    </xf>
    <xf numFmtId="9" fontId="16" fillId="0" borderId="12" xfId="1" applyFont="1" applyFill="1" applyBorder="1" applyAlignment="1">
      <alignment horizontal="center" vertical="center"/>
    </xf>
    <xf numFmtId="9" fontId="16" fillId="3" borderId="15" xfId="1" applyFont="1" applyFill="1" applyBorder="1"/>
    <xf numFmtId="0" fontId="18" fillId="0" borderId="19" xfId="0" applyFont="1" applyBorder="1" applyAlignment="1">
      <alignment horizontal="center"/>
    </xf>
    <xf numFmtId="9" fontId="18" fillId="0" borderId="20" xfId="1" applyFont="1" applyFill="1" applyBorder="1" applyAlignment="1">
      <alignment horizontal="center"/>
    </xf>
    <xf numFmtId="9" fontId="19" fillId="0" borderId="20" xfId="1" applyFont="1" applyFill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9" fontId="19" fillId="0" borderId="22" xfId="1" applyFont="1" applyFill="1" applyBorder="1" applyAlignment="1">
      <alignment horizontal="center" vertical="center" wrapText="1"/>
    </xf>
    <xf numFmtId="9" fontId="16" fillId="0" borderId="11" xfId="1" applyFont="1" applyFill="1" applyBorder="1" applyAlignment="1">
      <alignment horizontal="center" vertical="center"/>
    </xf>
    <xf numFmtId="9" fontId="3" fillId="0" borderId="29" xfId="1" applyFont="1" applyFill="1" applyBorder="1" applyAlignment="1">
      <alignment horizontal="center" vertical="center"/>
    </xf>
    <xf numFmtId="9" fontId="19" fillId="0" borderId="19" xfId="1" applyFont="1" applyFill="1" applyBorder="1" applyAlignment="1">
      <alignment horizontal="center" vertical="center" wrapText="1"/>
    </xf>
    <xf numFmtId="9" fontId="19" fillId="0" borderId="21" xfId="1" applyFont="1" applyFill="1" applyBorder="1" applyAlignment="1">
      <alignment horizontal="center" vertical="center" wrapText="1"/>
    </xf>
    <xf numFmtId="0" fontId="3" fillId="0" borderId="31" xfId="0" applyFont="1" applyBorder="1"/>
    <xf numFmtId="0" fontId="3" fillId="3" borderId="32" xfId="0" applyFont="1" applyFill="1" applyBorder="1"/>
    <xf numFmtId="0" fontId="3" fillId="0" borderId="32" xfId="0" applyFont="1" applyBorder="1"/>
    <xf numFmtId="0" fontId="3" fillId="0" borderId="33" xfId="0" applyFont="1" applyBorder="1"/>
    <xf numFmtId="0" fontId="15" fillId="0" borderId="6" xfId="0" applyFont="1" applyBorder="1"/>
    <xf numFmtId="0" fontId="16" fillId="0" borderId="7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9" fontId="16" fillId="0" borderId="7" xfId="1" applyFont="1" applyFill="1" applyBorder="1" applyAlignment="1">
      <alignment horizontal="center" vertical="center"/>
    </xf>
    <xf numFmtId="9" fontId="16" fillId="0" borderId="6" xfId="1" applyFont="1" applyFill="1" applyBorder="1" applyAlignment="1">
      <alignment horizontal="center" vertical="center"/>
    </xf>
    <xf numFmtId="9" fontId="16" fillId="0" borderId="18" xfId="1" applyFont="1" applyFill="1" applyBorder="1" applyAlignment="1">
      <alignment horizontal="center" vertical="center"/>
    </xf>
    <xf numFmtId="9" fontId="16" fillId="3" borderId="35" xfId="1" applyFont="1" applyFill="1" applyBorder="1"/>
    <xf numFmtId="0" fontId="13" fillId="0" borderId="20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3" fillId="5" borderId="34" xfId="0" applyFont="1" applyFill="1" applyBorder="1"/>
    <xf numFmtId="0" fontId="3" fillId="5" borderId="6" xfId="0" applyFont="1" applyFill="1" applyBorder="1"/>
    <xf numFmtId="0" fontId="3" fillId="5" borderId="35" xfId="0" applyFont="1" applyFill="1" applyBorder="1"/>
    <xf numFmtId="0" fontId="3" fillId="5" borderId="23" xfId="0" applyFont="1" applyFill="1" applyBorder="1"/>
    <xf numFmtId="0" fontId="3" fillId="5" borderId="3" xfId="0" applyFont="1" applyFill="1" applyBorder="1"/>
    <xf numFmtId="0" fontId="3" fillId="5" borderId="17" xfId="0" applyFont="1" applyFill="1" applyBorder="1"/>
    <xf numFmtId="0" fontId="3" fillId="5" borderId="26" xfId="0" applyFont="1" applyFill="1" applyBorder="1"/>
    <xf numFmtId="0" fontId="3" fillId="5" borderId="2" xfId="0" applyFont="1" applyFill="1" applyBorder="1"/>
    <xf numFmtId="0" fontId="3" fillId="5" borderId="27" xfId="0" applyFont="1" applyFill="1" applyBorder="1"/>
    <xf numFmtId="0" fontId="17" fillId="5" borderId="16" xfId="0" applyFont="1" applyFill="1" applyBorder="1" applyAlignment="1">
      <alignment horizontal="center"/>
    </xf>
    <xf numFmtId="0" fontId="17" fillId="5" borderId="12" xfId="0" applyFont="1" applyFill="1" applyBorder="1" applyAlignment="1">
      <alignment horizontal="center"/>
    </xf>
    <xf numFmtId="0" fontId="17" fillId="5" borderId="15" xfId="0" applyFont="1" applyFill="1" applyBorder="1" applyAlignment="1">
      <alignment horizontal="center"/>
    </xf>
    <xf numFmtId="0" fontId="13" fillId="5" borderId="29" xfId="0" applyFont="1" applyFill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center" vertical="center" wrapText="1"/>
    </xf>
    <xf numFmtId="0" fontId="13" fillId="5" borderId="21" xfId="0" applyFont="1" applyFill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17" fontId="14" fillId="0" borderId="30" xfId="0" applyNumberFormat="1" applyFont="1" applyBorder="1" applyAlignment="1">
      <alignment horizontal="center"/>
    </xf>
    <xf numFmtId="17" fontId="14" fillId="0" borderId="13" xfId="0" applyNumberFormat="1" applyFont="1" applyBorder="1" applyAlignment="1">
      <alignment horizontal="center"/>
    </xf>
    <xf numFmtId="17" fontId="14" fillId="0" borderId="12" xfId="0" applyNumberFormat="1" applyFont="1" applyBorder="1" applyAlignment="1">
      <alignment horizontal="center"/>
    </xf>
    <xf numFmtId="17" fontId="14" fillId="0" borderId="14" xfId="0" applyNumberFormat="1" applyFont="1" applyBorder="1" applyAlignment="1">
      <alignment horizontal="center"/>
    </xf>
    <xf numFmtId="17" fontId="14" fillId="0" borderId="15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 vertical="center" textRotation="255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7" fillId="2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17" fontId="9" fillId="2" borderId="4" xfId="0" applyNumberFormat="1" applyFont="1" applyFill="1" applyBorder="1" applyAlignment="1">
      <alignment horizontal="center" vertical="center"/>
    </xf>
    <xf numFmtId="17" fontId="9" fillId="2" borderId="8" xfId="0" applyNumberFormat="1" applyFont="1" applyFill="1" applyBorder="1" applyAlignment="1">
      <alignment horizontal="center" vertical="center"/>
    </xf>
    <xf numFmtId="17" fontId="9" fillId="2" borderId="5" xfId="0" applyNumberFormat="1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0" fontId="7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99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AB969-B87D-4540-B048-C5AD2B9E6653}">
  <dimension ref="A3:O18"/>
  <sheetViews>
    <sheetView workbookViewId="0">
      <selection activeCell="I12" sqref="I12"/>
    </sheetView>
  </sheetViews>
  <sheetFormatPr defaultRowHeight="15" x14ac:dyDescent="0.25"/>
  <cols>
    <col min="1" max="1" width="14.85546875" bestFit="1" customWidth="1"/>
  </cols>
  <sheetData>
    <row r="3" spans="1:15" ht="15.75" thickBot="1" x14ac:dyDescent="0.3"/>
    <row r="4" spans="1:15" ht="16.5" thickBot="1" x14ac:dyDescent="0.3">
      <c r="A4" s="106" t="s">
        <v>3</v>
      </c>
      <c r="B4" s="108" t="s">
        <v>822</v>
      </c>
      <c r="C4" s="109"/>
      <c r="D4" s="109"/>
      <c r="E4" s="110"/>
      <c r="F4" s="110"/>
      <c r="G4" s="110"/>
      <c r="H4" s="110"/>
      <c r="I4" s="109"/>
      <c r="J4" s="109"/>
      <c r="K4" s="109"/>
      <c r="L4" s="110"/>
      <c r="M4" s="110"/>
      <c r="N4" s="111"/>
      <c r="O4" s="112"/>
    </row>
    <row r="5" spans="1:15" ht="34.5" thickBot="1" x14ac:dyDescent="0.3">
      <c r="A5" s="107"/>
      <c r="B5" s="85" t="s">
        <v>11</v>
      </c>
      <c r="C5" s="85" t="s">
        <v>12</v>
      </c>
      <c r="D5" s="85" t="s">
        <v>13</v>
      </c>
      <c r="E5" s="86" t="s">
        <v>806</v>
      </c>
      <c r="F5" s="85" t="s">
        <v>807</v>
      </c>
      <c r="G5" s="85" t="s">
        <v>808</v>
      </c>
      <c r="H5" s="87" t="s">
        <v>809</v>
      </c>
      <c r="I5" s="88" t="s">
        <v>810</v>
      </c>
      <c r="J5" s="89" t="s">
        <v>811</v>
      </c>
      <c r="K5" s="90" t="s">
        <v>812</v>
      </c>
      <c r="L5" s="103" t="s">
        <v>813</v>
      </c>
      <c r="M5" s="104" t="s">
        <v>814</v>
      </c>
      <c r="N5" s="104" t="s">
        <v>814</v>
      </c>
      <c r="O5" s="105" t="s">
        <v>815</v>
      </c>
    </row>
    <row r="6" spans="1:15" ht="18.75" x14ac:dyDescent="0.3">
      <c r="A6" s="73" t="s">
        <v>816</v>
      </c>
      <c r="B6" s="77">
        <v>27</v>
      </c>
      <c r="C6" s="77">
        <v>27</v>
      </c>
      <c r="D6" s="77">
        <f>SUM(B6:C6)</f>
        <v>54</v>
      </c>
      <c r="E6" s="78">
        <f>'ECE (ROSE)'!$V$4</f>
        <v>14</v>
      </c>
      <c r="F6" s="79">
        <f>B6*E6</f>
        <v>378</v>
      </c>
      <c r="G6" s="79">
        <f t="shared" ref="G6:G16" si="0">C6*E6</f>
        <v>378</v>
      </c>
      <c r="H6" s="80">
        <f>SUM(F6:G6)</f>
        <v>756</v>
      </c>
      <c r="I6" s="91">
        <f>'ECE (ROSE)'!V14</f>
        <v>281</v>
      </c>
      <c r="J6" s="92">
        <f>'ECE (ROSE)'!W14</f>
        <v>244</v>
      </c>
      <c r="K6" s="93">
        <f>SUM(I6:J6)</f>
        <v>525</v>
      </c>
      <c r="L6" s="81">
        <f>J6/G6</f>
        <v>0.64550264550264547</v>
      </c>
      <c r="M6" s="82">
        <f>I6/F6</f>
        <v>0.74338624338624337</v>
      </c>
      <c r="N6" s="83">
        <f>K6/H6</f>
        <v>0.69444444444444442</v>
      </c>
      <c r="O6" s="84">
        <f>AVERAGE(L6:M6)</f>
        <v>0.69444444444444442</v>
      </c>
    </row>
    <row r="7" spans="1:15" ht="18.75" x14ac:dyDescent="0.3">
      <c r="A7" s="73" t="s">
        <v>817</v>
      </c>
      <c r="B7" s="43">
        <v>31</v>
      </c>
      <c r="C7" s="43">
        <v>25</v>
      </c>
      <c r="D7" s="43">
        <f>SUM(B7:C7)</f>
        <v>56</v>
      </c>
      <c r="E7" s="78">
        <f>'ECE (ROSE)'!$V$4</f>
        <v>14</v>
      </c>
      <c r="F7" s="44">
        <f>B7*E7</f>
        <v>434</v>
      </c>
      <c r="G7" s="44">
        <f t="shared" si="0"/>
        <v>350</v>
      </c>
      <c r="H7" s="45">
        <f>SUM(F7:G7)</f>
        <v>784</v>
      </c>
      <c r="I7" s="94">
        <f>'ECE (Daffodills)'!V14</f>
        <v>328</v>
      </c>
      <c r="J7" s="95">
        <f>'ECE (Daffodills)'!W14</f>
        <v>255</v>
      </c>
      <c r="K7" s="96">
        <f>SUM(I7:J7)</f>
        <v>583</v>
      </c>
      <c r="L7" s="46">
        <f>J7/G7</f>
        <v>0.72857142857142854</v>
      </c>
      <c r="M7" s="47">
        <f>I7/F7</f>
        <v>0.75576036866359442</v>
      </c>
      <c r="N7" s="48">
        <f>K7/H7</f>
        <v>0.74362244897959184</v>
      </c>
      <c r="O7" s="49">
        <f>AVERAGE(L7:M7)</f>
        <v>0.74216589861751148</v>
      </c>
    </row>
    <row r="8" spans="1:15" ht="18.75" x14ac:dyDescent="0.3">
      <c r="A8" s="74" t="s">
        <v>818</v>
      </c>
      <c r="B8" s="43">
        <v>32</v>
      </c>
      <c r="C8" s="43">
        <v>24</v>
      </c>
      <c r="D8" s="43">
        <f t="shared" ref="D8:D16" si="1">SUM(B8:C8)</f>
        <v>56</v>
      </c>
      <c r="E8" s="78">
        <f>'ECE (ROSE)'!$V$4</f>
        <v>14</v>
      </c>
      <c r="F8" s="44">
        <f t="shared" ref="F8:F16" si="2">B8*E8</f>
        <v>448</v>
      </c>
      <c r="G8" s="44">
        <f t="shared" si="0"/>
        <v>336</v>
      </c>
      <c r="H8" s="45">
        <f t="shared" ref="H8:H16" si="3">SUM(F8:G8)</f>
        <v>784</v>
      </c>
      <c r="I8" s="94">
        <f>'Class-I'!V14</f>
        <v>334</v>
      </c>
      <c r="J8" s="95">
        <f>'Class-I'!W14</f>
        <v>227</v>
      </c>
      <c r="K8" s="96">
        <f t="shared" ref="K8:K16" si="4">SUM(I8:J8)</f>
        <v>561</v>
      </c>
      <c r="L8" s="46">
        <f t="shared" ref="L8:L16" si="5">J8/G8</f>
        <v>0.67559523809523814</v>
      </c>
      <c r="M8" s="47">
        <f t="shared" ref="M8:M16" si="6">I8/F8</f>
        <v>0.7455357142857143</v>
      </c>
      <c r="N8" s="48">
        <f t="shared" ref="N8:N16" si="7">K8/H8</f>
        <v>0.71556122448979587</v>
      </c>
      <c r="O8" s="49">
        <f t="shared" ref="O8:O16" si="8">AVERAGE(L8:M8)</f>
        <v>0.71056547619047628</v>
      </c>
    </row>
    <row r="9" spans="1:15" ht="18.75" x14ac:dyDescent="0.3">
      <c r="A9" s="75" t="s">
        <v>331</v>
      </c>
      <c r="B9" s="43">
        <v>26</v>
      </c>
      <c r="C9" s="43">
        <v>26</v>
      </c>
      <c r="D9" s="43">
        <f t="shared" si="1"/>
        <v>52</v>
      </c>
      <c r="E9" s="78">
        <f>'ECE (ROSE)'!$V$4</f>
        <v>14</v>
      </c>
      <c r="F9" s="44">
        <f t="shared" si="2"/>
        <v>364</v>
      </c>
      <c r="G9" s="44">
        <f t="shared" si="0"/>
        <v>364</v>
      </c>
      <c r="H9" s="45">
        <f t="shared" si="3"/>
        <v>728</v>
      </c>
      <c r="I9" s="94">
        <f>'Class-II'!V14</f>
        <v>261</v>
      </c>
      <c r="J9" s="95">
        <f>'Class-II'!W14</f>
        <v>252</v>
      </c>
      <c r="K9" s="96">
        <f t="shared" si="4"/>
        <v>513</v>
      </c>
      <c r="L9" s="46">
        <f t="shared" si="5"/>
        <v>0.69230769230769229</v>
      </c>
      <c r="M9" s="47">
        <f t="shared" si="6"/>
        <v>0.71703296703296704</v>
      </c>
      <c r="N9" s="48">
        <f t="shared" si="7"/>
        <v>0.70467032967032972</v>
      </c>
      <c r="O9" s="49">
        <f t="shared" si="8"/>
        <v>0.70467032967032961</v>
      </c>
    </row>
    <row r="10" spans="1:15" ht="18.75" x14ac:dyDescent="0.3">
      <c r="A10" s="74" t="s">
        <v>397</v>
      </c>
      <c r="B10" s="43">
        <v>28</v>
      </c>
      <c r="C10" s="43">
        <v>24</v>
      </c>
      <c r="D10" s="43">
        <f t="shared" si="1"/>
        <v>52</v>
      </c>
      <c r="E10" s="78">
        <f>'ECE (ROSE)'!$V$4</f>
        <v>14</v>
      </c>
      <c r="F10" s="44">
        <f t="shared" si="2"/>
        <v>392</v>
      </c>
      <c r="G10" s="44">
        <f t="shared" si="0"/>
        <v>336</v>
      </c>
      <c r="H10" s="45">
        <f t="shared" si="3"/>
        <v>728</v>
      </c>
      <c r="I10" s="94">
        <f>'Class-III'!V14</f>
        <v>276</v>
      </c>
      <c r="J10" s="95">
        <f>'Class-III'!W14</f>
        <v>249</v>
      </c>
      <c r="K10" s="96">
        <f>SUM(I10:J10)</f>
        <v>525</v>
      </c>
      <c r="L10" s="46">
        <f t="shared" si="5"/>
        <v>0.7410714285714286</v>
      </c>
      <c r="M10" s="47">
        <f t="shared" si="6"/>
        <v>0.70408163265306123</v>
      </c>
      <c r="N10" s="48">
        <f>K10/H10</f>
        <v>0.72115384615384615</v>
      </c>
      <c r="O10" s="49">
        <f t="shared" si="8"/>
        <v>0.72257653061224492</v>
      </c>
    </row>
    <row r="11" spans="1:15" ht="18.75" x14ac:dyDescent="0.3">
      <c r="A11" s="74" t="s">
        <v>472</v>
      </c>
      <c r="B11" s="43">
        <v>21</v>
      </c>
      <c r="C11" s="43">
        <v>32</v>
      </c>
      <c r="D11" s="43">
        <f t="shared" si="1"/>
        <v>53</v>
      </c>
      <c r="E11" s="78">
        <f>'ECE (ROSE)'!$V$4</f>
        <v>14</v>
      </c>
      <c r="F11" s="44">
        <f t="shared" si="2"/>
        <v>294</v>
      </c>
      <c r="G11" s="44">
        <f t="shared" si="0"/>
        <v>448</v>
      </c>
      <c r="H11" s="45">
        <f t="shared" si="3"/>
        <v>742</v>
      </c>
      <c r="I11" s="94">
        <f>'Class-IV'!V14</f>
        <v>172</v>
      </c>
      <c r="J11" s="95">
        <f>'Class-IV'!W14</f>
        <v>330</v>
      </c>
      <c r="K11" s="96">
        <f t="shared" si="4"/>
        <v>502</v>
      </c>
      <c r="L11" s="46">
        <f t="shared" si="5"/>
        <v>0.7366071428571429</v>
      </c>
      <c r="M11" s="47">
        <f t="shared" si="6"/>
        <v>0.58503401360544216</v>
      </c>
      <c r="N11" s="48">
        <f t="shared" si="7"/>
        <v>0.67654986522911054</v>
      </c>
      <c r="O11" s="49">
        <f t="shared" si="8"/>
        <v>0.66082057823129259</v>
      </c>
    </row>
    <row r="12" spans="1:15" ht="18.75" x14ac:dyDescent="0.3">
      <c r="A12" s="74" t="s">
        <v>552</v>
      </c>
      <c r="B12" s="43">
        <v>23</v>
      </c>
      <c r="C12" s="43">
        <v>23</v>
      </c>
      <c r="D12" s="43">
        <f t="shared" si="1"/>
        <v>46</v>
      </c>
      <c r="E12" s="78">
        <f>'ECE (ROSE)'!$V$4</f>
        <v>14</v>
      </c>
      <c r="F12" s="44">
        <f t="shared" si="2"/>
        <v>322</v>
      </c>
      <c r="G12" s="44">
        <f t="shared" si="0"/>
        <v>322</v>
      </c>
      <c r="H12" s="45">
        <f t="shared" si="3"/>
        <v>644</v>
      </c>
      <c r="I12" s="94">
        <f>'Class-V'!V14</f>
        <v>220</v>
      </c>
      <c r="J12" s="95">
        <f>'Class-V'!W14</f>
        <v>203</v>
      </c>
      <c r="K12" s="96">
        <f t="shared" si="4"/>
        <v>423</v>
      </c>
      <c r="L12" s="46">
        <f t="shared" si="5"/>
        <v>0.63043478260869568</v>
      </c>
      <c r="M12" s="47">
        <f t="shared" si="6"/>
        <v>0.68322981366459623</v>
      </c>
      <c r="N12" s="48">
        <f t="shared" si="7"/>
        <v>0.65683229813664601</v>
      </c>
      <c r="O12" s="49">
        <f t="shared" si="8"/>
        <v>0.6568322981366459</v>
      </c>
    </row>
    <row r="13" spans="1:15" ht="18.75" x14ac:dyDescent="0.3">
      <c r="A13" s="75" t="s">
        <v>617</v>
      </c>
      <c r="B13" s="43">
        <v>17</v>
      </c>
      <c r="C13" s="43">
        <v>28</v>
      </c>
      <c r="D13" s="43">
        <f t="shared" si="1"/>
        <v>45</v>
      </c>
      <c r="E13" s="78">
        <f>'ECE (ROSE)'!$V$4</f>
        <v>14</v>
      </c>
      <c r="F13" s="44">
        <f t="shared" si="2"/>
        <v>238</v>
      </c>
      <c r="G13" s="44">
        <f t="shared" si="0"/>
        <v>392</v>
      </c>
      <c r="H13" s="45">
        <f t="shared" si="3"/>
        <v>630</v>
      </c>
      <c r="I13" s="94">
        <f>'Class-VI'!V14</f>
        <v>168</v>
      </c>
      <c r="J13" s="95">
        <f>'Class-VI'!W14</f>
        <v>293</v>
      </c>
      <c r="K13" s="96">
        <f t="shared" si="4"/>
        <v>461</v>
      </c>
      <c r="L13" s="46">
        <f t="shared" si="5"/>
        <v>0.74744897959183676</v>
      </c>
      <c r="M13" s="47">
        <f t="shared" si="6"/>
        <v>0.70588235294117652</v>
      </c>
      <c r="N13" s="48">
        <f t="shared" si="7"/>
        <v>0.7317460317460317</v>
      </c>
      <c r="O13" s="49">
        <f t="shared" si="8"/>
        <v>0.72666566626650664</v>
      </c>
    </row>
    <row r="14" spans="1:15" ht="18.75" x14ac:dyDescent="0.3">
      <c r="A14" s="75" t="s">
        <v>819</v>
      </c>
      <c r="B14" s="43">
        <v>29</v>
      </c>
      <c r="C14" s="43">
        <v>19</v>
      </c>
      <c r="D14" s="43">
        <f t="shared" si="1"/>
        <v>48</v>
      </c>
      <c r="E14" s="78">
        <f>'ECE (ROSE)'!$V$4</f>
        <v>14</v>
      </c>
      <c r="F14" s="44">
        <f t="shared" si="2"/>
        <v>406</v>
      </c>
      <c r="G14" s="44">
        <f t="shared" si="0"/>
        <v>266</v>
      </c>
      <c r="H14" s="45">
        <f t="shared" si="3"/>
        <v>672</v>
      </c>
      <c r="I14" s="94">
        <f>'Class-VII'!U14</f>
        <v>254</v>
      </c>
      <c r="J14" s="95">
        <f>'Class-VII'!V14</f>
        <v>187</v>
      </c>
      <c r="K14" s="96">
        <f t="shared" si="4"/>
        <v>441</v>
      </c>
      <c r="L14" s="46">
        <f t="shared" si="5"/>
        <v>0.70300751879699253</v>
      </c>
      <c r="M14" s="47">
        <f t="shared" si="6"/>
        <v>0.62561576354679804</v>
      </c>
      <c r="N14" s="48">
        <f t="shared" si="7"/>
        <v>0.65625</v>
      </c>
      <c r="O14" s="49">
        <f t="shared" si="8"/>
        <v>0.66431164117189523</v>
      </c>
    </row>
    <row r="15" spans="1:15" ht="18.75" x14ac:dyDescent="0.3">
      <c r="A15" s="75" t="s">
        <v>820</v>
      </c>
      <c r="B15" s="43">
        <v>19</v>
      </c>
      <c r="C15" s="43">
        <v>23</v>
      </c>
      <c r="D15" s="43">
        <f t="shared" si="1"/>
        <v>42</v>
      </c>
      <c r="E15" s="78">
        <f>'ECE (ROSE)'!$V$4</f>
        <v>14</v>
      </c>
      <c r="F15" s="44">
        <f t="shared" si="2"/>
        <v>266</v>
      </c>
      <c r="G15" s="44">
        <f t="shared" si="0"/>
        <v>322</v>
      </c>
      <c r="H15" s="45">
        <f t="shared" si="3"/>
        <v>588</v>
      </c>
      <c r="I15" s="94">
        <f>'Class-VIII'!V14</f>
        <v>145</v>
      </c>
      <c r="J15" s="95">
        <f>'Class-VIII'!W14</f>
        <v>219</v>
      </c>
      <c r="K15" s="96">
        <f t="shared" si="4"/>
        <v>364</v>
      </c>
      <c r="L15" s="46">
        <f t="shared" si="5"/>
        <v>0.68012422360248448</v>
      </c>
      <c r="M15" s="47">
        <f t="shared" si="6"/>
        <v>0.54511278195488722</v>
      </c>
      <c r="N15" s="48">
        <f t="shared" si="7"/>
        <v>0.61904761904761907</v>
      </c>
      <c r="O15" s="49">
        <f t="shared" si="8"/>
        <v>0.6126185027786859</v>
      </c>
    </row>
    <row r="16" spans="1:15" ht="19.5" thickBot="1" x14ac:dyDescent="0.35">
      <c r="A16" s="76" t="s">
        <v>821</v>
      </c>
      <c r="B16" s="52">
        <v>16</v>
      </c>
      <c r="C16" s="52">
        <v>19</v>
      </c>
      <c r="D16" s="52">
        <f t="shared" si="1"/>
        <v>35</v>
      </c>
      <c r="E16" s="78">
        <f>'ECE (ROSE)'!$V$4</f>
        <v>14</v>
      </c>
      <c r="F16" s="53">
        <f t="shared" si="2"/>
        <v>224</v>
      </c>
      <c r="G16" s="53">
        <f t="shared" si="0"/>
        <v>266</v>
      </c>
      <c r="H16" s="54">
        <f t="shared" si="3"/>
        <v>490</v>
      </c>
      <c r="I16" s="97">
        <f>'Class-IX'!V14</f>
        <v>147</v>
      </c>
      <c r="J16" s="98">
        <f>'Class-IX'!W14</f>
        <v>157</v>
      </c>
      <c r="K16" s="99">
        <f t="shared" si="4"/>
        <v>304</v>
      </c>
      <c r="L16" s="55">
        <f t="shared" si="5"/>
        <v>0.59022556390977443</v>
      </c>
      <c r="M16" s="56">
        <f t="shared" si="6"/>
        <v>0.65625</v>
      </c>
      <c r="N16" s="57">
        <f t="shared" si="7"/>
        <v>0.62040816326530612</v>
      </c>
      <c r="O16" s="58">
        <f t="shared" si="8"/>
        <v>0.62323778195488722</v>
      </c>
    </row>
    <row r="17" spans="1:15" ht="18.75" x14ac:dyDescent="0.3">
      <c r="A17" s="59" t="s">
        <v>13</v>
      </c>
      <c r="B17" s="60">
        <f t="shared" ref="B17:K17" si="9">SUM(B6:B16)</f>
        <v>269</v>
      </c>
      <c r="C17" s="60">
        <f t="shared" si="9"/>
        <v>270</v>
      </c>
      <c r="D17" s="60">
        <f t="shared" si="9"/>
        <v>539</v>
      </c>
      <c r="E17" s="61">
        <f t="shared" si="9"/>
        <v>154</v>
      </c>
      <c r="F17" s="61">
        <f t="shared" si="9"/>
        <v>3766</v>
      </c>
      <c r="G17" s="61">
        <f t="shared" si="9"/>
        <v>3780</v>
      </c>
      <c r="H17" s="67">
        <f t="shared" si="9"/>
        <v>7546</v>
      </c>
      <c r="I17" s="100">
        <f t="shared" si="9"/>
        <v>2586</v>
      </c>
      <c r="J17" s="101">
        <f t="shared" si="9"/>
        <v>2616</v>
      </c>
      <c r="K17" s="102">
        <f t="shared" si="9"/>
        <v>5202</v>
      </c>
      <c r="L17" s="69">
        <f>J17/G17</f>
        <v>0.69206349206349205</v>
      </c>
      <c r="M17" s="62">
        <f>I17/F17</f>
        <v>0.68667020711630378</v>
      </c>
      <c r="N17" s="62">
        <f>AVERAGE(N6:N16)</f>
        <v>0.68548057010570185</v>
      </c>
      <c r="O17" s="63">
        <f>AVERAGE(O6:O16)</f>
        <v>0.68353719527953816</v>
      </c>
    </row>
    <row r="18" spans="1:15" ht="15.75" thickBot="1" x14ac:dyDescent="0.3">
      <c r="A18" s="64" t="s">
        <v>16</v>
      </c>
      <c r="B18" s="65">
        <v>1</v>
      </c>
      <c r="C18" s="65">
        <v>1</v>
      </c>
      <c r="D18" s="66">
        <v>1</v>
      </c>
      <c r="E18" s="65">
        <v>1</v>
      </c>
      <c r="F18" s="65">
        <v>1</v>
      </c>
      <c r="G18" s="66">
        <v>1</v>
      </c>
      <c r="H18" s="68">
        <v>1</v>
      </c>
      <c r="I18" s="71">
        <f>I17/F17</f>
        <v>0.68667020711630378</v>
      </c>
      <c r="J18" s="66">
        <f>J17/G17</f>
        <v>0.69206349206349205</v>
      </c>
      <c r="K18" s="72">
        <f>K17/H17</f>
        <v>0.68937185263715872</v>
      </c>
      <c r="L18" s="70">
        <v>0.54</v>
      </c>
      <c r="M18" s="50">
        <v>0.56000000000000005</v>
      </c>
      <c r="N18" s="50">
        <v>0.55000000000000004</v>
      </c>
      <c r="O18" s="51">
        <f>AVERAGE(L17:M17)</f>
        <v>0.68936684958989791</v>
      </c>
    </row>
  </sheetData>
  <mergeCells count="2">
    <mergeCell ref="A4:A5"/>
    <mergeCell ref="B4:O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E65A6-E583-47F2-AF7B-83FC50637EA8}">
  <dimension ref="A1:X58"/>
  <sheetViews>
    <sheetView workbookViewId="0">
      <selection activeCell="V13" sqref="V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7" width="3.7109375" style="1" bestFit="1" customWidth="1"/>
    <col min="8" max="8" width="3.85546875" style="1" bestFit="1"/>
    <col min="9" max="9" width="4.5703125" style="1" bestFit="1" customWidth="1"/>
    <col min="10" max="10" width="3.85546875" style="1" bestFit="1"/>
    <col min="11" max="11" width="4.7109375" style="1" bestFit="1" customWidth="1"/>
    <col min="12" max="12" width="3.85546875" style="1" bestFit="1"/>
    <col min="13" max="14" width="3.7109375" style="1" bestFit="1" customWidth="1"/>
    <col min="15" max="15" width="3.85546875" style="1"/>
    <col min="16" max="16" width="4.5703125" style="1" bestFit="1" customWidth="1"/>
    <col min="17" max="17" width="3.85546875" style="1" bestFit="1"/>
    <col min="18" max="18" width="4.7109375" style="1" bestFit="1" customWidth="1"/>
    <col min="19" max="19" width="7.140625" style="1" bestFit="1" customWidth="1"/>
    <col min="20" max="20" width="6.7109375" style="1" bestFit="1" customWidth="1"/>
    <col min="21" max="21" width="18.5703125" style="1" bestFit="1" customWidth="1"/>
    <col min="22" max="22" width="5.85546875" style="1" bestFit="1" customWidth="1"/>
    <col min="23" max="23" width="14.28515625" style="1" bestFit="1" customWidth="1"/>
    <col min="24" max="24" width="6.7109375" style="1" bestFit="1" customWidth="1"/>
    <col min="25" max="16384" width="3.85546875" style="1"/>
  </cols>
  <sheetData>
    <row r="1" spans="1:24" ht="17.25" x14ac:dyDescent="0.25">
      <c r="A1" s="114" t="s">
        <v>18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6"/>
      <c r="T1" s="16"/>
    </row>
    <row r="2" spans="1:24" ht="17.25" x14ac:dyDescent="0.3">
      <c r="A2" s="115" t="s">
        <v>122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7"/>
      <c r="T2" s="17"/>
      <c r="U2" s="17"/>
    </row>
    <row r="3" spans="1:24" ht="15.75" x14ac:dyDescent="0.25">
      <c r="A3" s="116" t="s">
        <v>0</v>
      </c>
      <c r="B3" s="116" t="s">
        <v>1</v>
      </c>
      <c r="C3" s="116" t="s">
        <v>2</v>
      </c>
      <c r="D3" s="116" t="s">
        <v>3</v>
      </c>
      <c r="E3" s="2" t="str">
        <f t="shared" ref="E3:R3" si="0">TEXT(E4,"ddd")</f>
        <v>Sun</v>
      </c>
      <c r="F3" s="2" t="str">
        <f t="shared" si="0"/>
        <v>Mon</v>
      </c>
      <c r="G3" s="2" t="str">
        <f t="shared" si="0"/>
        <v>Tue</v>
      </c>
      <c r="H3" s="2" t="str">
        <f t="shared" si="0"/>
        <v>Wed</v>
      </c>
      <c r="I3" s="2" t="str">
        <f t="shared" si="0"/>
        <v>Thu</v>
      </c>
      <c r="J3" s="2" t="str">
        <f t="shared" si="0"/>
        <v>Fri</v>
      </c>
      <c r="K3" s="2" t="str">
        <f t="shared" si="0"/>
        <v>Sat</v>
      </c>
      <c r="L3" s="2" t="str">
        <f t="shared" si="0"/>
        <v>Sun</v>
      </c>
      <c r="M3" s="2" t="str">
        <f t="shared" si="0"/>
        <v>Mon</v>
      </c>
      <c r="N3" s="2" t="str">
        <f t="shared" si="0"/>
        <v>Tue</v>
      </c>
      <c r="O3" s="2" t="str">
        <f t="shared" si="0"/>
        <v>Wed</v>
      </c>
      <c r="P3" s="2" t="str">
        <f t="shared" si="0"/>
        <v>Thu</v>
      </c>
      <c r="Q3" s="2" t="str">
        <f t="shared" si="0"/>
        <v>Fri</v>
      </c>
      <c r="R3" s="2" t="str">
        <f t="shared" si="0"/>
        <v>Sat</v>
      </c>
      <c r="S3" s="117" t="s">
        <v>4</v>
      </c>
      <c r="T3" s="117" t="s">
        <v>5</v>
      </c>
      <c r="U3" s="118" t="s">
        <v>127</v>
      </c>
      <c r="V3" s="119"/>
      <c r="W3" s="3"/>
      <c r="X3" s="3"/>
    </row>
    <row r="4" spans="1:24" ht="37.5" x14ac:dyDescent="0.25">
      <c r="A4" s="116"/>
      <c r="B4" s="116"/>
      <c r="C4" s="116"/>
      <c r="D4" s="116"/>
      <c r="E4" s="14">
        <v>45613</v>
      </c>
      <c r="F4" s="14">
        <v>45614</v>
      </c>
      <c r="G4" s="14">
        <v>45615</v>
      </c>
      <c r="H4" s="14">
        <v>45616</v>
      </c>
      <c r="I4" s="14">
        <v>45617</v>
      </c>
      <c r="J4" s="14">
        <v>45618</v>
      </c>
      <c r="K4" s="14">
        <v>45619</v>
      </c>
      <c r="L4" s="14">
        <v>45620</v>
      </c>
      <c r="M4" s="14">
        <v>45621</v>
      </c>
      <c r="N4" s="14">
        <v>45622</v>
      </c>
      <c r="O4" s="14">
        <v>45623</v>
      </c>
      <c r="P4" s="14">
        <v>45624</v>
      </c>
      <c r="Q4" s="14">
        <v>45625</v>
      </c>
      <c r="R4" s="14">
        <v>45626</v>
      </c>
      <c r="S4" s="117"/>
      <c r="T4" s="117"/>
      <c r="U4" s="5" t="s">
        <v>128</v>
      </c>
      <c r="V4" s="5">
        <f>SUM(V5:V8)</f>
        <v>14</v>
      </c>
      <c r="W4" s="3"/>
      <c r="X4" s="3"/>
    </row>
    <row r="5" spans="1:24" ht="15" customHeight="1" x14ac:dyDescent="0.25">
      <c r="A5" s="10">
        <v>1</v>
      </c>
      <c r="B5" s="7" t="s">
        <v>19</v>
      </c>
      <c r="C5" s="7" t="s">
        <v>20</v>
      </c>
      <c r="D5" s="8" t="s">
        <v>6</v>
      </c>
      <c r="E5" s="113" t="s">
        <v>123</v>
      </c>
      <c r="F5" s="9" t="s">
        <v>111</v>
      </c>
      <c r="G5" s="9" t="s">
        <v>112</v>
      </c>
      <c r="H5" s="9" t="s">
        <v>112</v>
      </c>
      <c r="I5" s="9" t="s">
        <v>111</v>
      </c>
      <c r="J5" s="9" t="s">
        <v>111</v>
      </c>
      <c r="K5" s="9" t="s">
        <v>112</v>
      </c>
      <c r="L5" s="113" t="s">
        <v>123</v>
      </c>
      <c r="M5" s="9" t="s">
        <v>113</v>
      </c>
      <c r="N5" s="9" t="s">
        <v>113</v>
      </c>
      <c r="O5" s="9" t="s">
        <v>113</v>
      </c>
      <c r="P5" s="9" t="s">
        <v>113</v>
      </c>
      <c r="Q5" s="9" t="s">
        <v>113</v>
      </c>
      <c r="R5" s="9" t="s">
        <v>113</v>
      </c>
      <c r="S5" s="5">
        <f t="shared" ref="S5:S36" si="1">COUNTIF(E5:R5,"P")</f>
        <v>3</v>
      </c>
      <c r="T5" s="5">
        <f t="shared" ref="T5:T36" si="2">COUNTIF(E5:R5,"A")</f>
        <v>3</v>
      </c>
      <c r="U5" s="5" t="s">
        <v>7</v>
      </c>
      <c r="V5" s="10">
        <v>12</v>
      </c>
      <c r="W5" s="11"/>
      <c r="X5" s="3"/>
    </row>
    <row r="6" spans="1:24" x14ac:dyDescent="0.25">
      <c r="A6" s="10">
        <v>2</v>
      </c>
      <c r="B6" s="7" t="s">
        <v>21</v>
      </c>
      <c r="C6" s="7" t="s">
        <v>22</v>
      </c>
      <c r="D6" s="8" t="s">
        <v>6</v>
      </c>
      <c r="E6" s="113"/>
      <c r="F6" s="9" t="s">
        <v>113</v>
      </c>
      <c r="G6" s="9" t="s">
        <v>112</v>
      </c>
      <c r="H6" s="9" t="s">
        <v>112</v>
      </c>
      <c r="I6" s="9" t="s">
        <v>112</v>
      </c>
      <c r="J6" s="9" t="s">
        <v>112</v>
      </c>
      <c r="K6" s="9" t="s">
        <v>112</v>
      </c>
      <c r="L6" s="113"/>
      <c r="M6" s="9" t="s">
        <v>112</v>
      </c>
      <c r="N6" s="9" t="s">
        <v>112</v>
      </c>
      <c r="O6" s="9" t="s">
        <v>112</v>
      </c>
      <c r="P6" s="9" t="s">
        <v>112</v>
      </c>
      <c r="Q6" s="9" t="s">
        <v>112</v>
      </c>
      <c r="R6" s="9" t="s">
        <v>112</v>
      </c>
      <c r="S6" s="5">
        <f t="shared" si="1"/>
        <v>11</v>
      </c>
      <c r="T6" s="5">
        <f t="shared" si="2"/>
        <v>0</v>
      </c>
      <c r="U6" s="5" t="s">
        <v>8</v>
      </c>
      <c r="V6" s="10">
        <v>2</v>
      </c>
      <c r="W6" s="3"/>
      <c r="X6" s="3"/>
    </row>
    <row r="7" spans="1:24" x14ac:dyDescent="0.25">
      <c r="A7" s="10">
        <v>3</v>
      </c>
      <c r="B7" s="7" t="s">
        <v>23</v>
      </c>
      <c r="C7" s="7" t="s">
        <v>24</v>
      </c>
      <c r="D7" s="8" t="s">
        <v>6</v>
      </c>
      <c r="E7" s="113"/>
      <c r="F7" s="9" t="s">
        <v>112</v>
      </c>
      <c r="G7" s="9" t="s">
        <v>112</v>
      </c>
      <c r="H7" s="9" t="s">
        <v>112</v>
      </c>
      <c r="I7" s="9" t="s">
        <v>112</v>
      </c>
      <c r="J7" s="9" t="s">
        <v>112</v>
      </c>
      <c r="K7" s="9" t="s">
        <v>111</v>
      </c>
      <c r="L7" s="113"/>
      <c r="M7" s="9" t="s">
        <v>112</v>
      </c>
      <c r="N7" s="9" t="s">
        <v>112</v>
      </c>
      <c r="O7" s="9" t="s">
        <v>112</v>
      </c>
      <c r="P7" s="9" t="s">
        <v>112</v>
      </c>
      <c r="Q7" s="9" t="s">
        <v>112</v>
      </c>
      <c r="R7" s="9" t="s">
        <v>111</v>
      </c>
      <c r="S7" s="5">
        <f t="shared" si="1"/>
        <v>10</v>
      </c>
      <c r="T7" s="5">
        <f t="shared" si="2"/>
        <v>2</v>
      </c>
      <c r="U7" s="5"/>
      <c r="V7" s="10"/>
      <c r="W7" s="3"/>
      <c r="X7" s="3"/>
    </row>
    <row r="8" spans="1:24" x14ac:dyDescent="0.25">
      <c r="A8" s="10">
        <v>4</v>
      </c>
      <c r="B8" s="7" t="s">
        <v>25</v>
      </c>
      <c r="C8" s="7" t="s">
        <v>26</v>
      </c>
      <c r="D8" s="8" t="s">
        <v>6</v>
      </c>
      <c r="E8" s="113"/>
      <c r="F8" s="9" t="s">
        <v>112</v>
      </c>
      <c r="G8" s="9" t="s">
        <v>112</v>
      </c>
      <c r="H8" s="9" t="s">
        <v>112</v>
      </c>
      <c r="I8" s="9" t="s">
        <v>112</v>
      </c>
      <c r="J8" s="9" t="s">
        <v>112</v>
      </c>
      <c r="K8" s="9" t="s">
        <v>111</v>
      </c>
      <c r="L8" s="113"/>
      <c r="M8" s="9" t="s">
        <v>112</v>
      </c>
      <c r="N8" s="9" t="s">
        <v>112</v>
      </c>
      <c r="O8" s="9" t="s">
        <v>111</v>
      </c>
      <c r="P8" s="9" t="s">
        <v>112</v>
      </c>
      <c r="Q8" s="9" t="s">
        <v>112</v>
      </c>
      <c r="R8" s="9" t="s">
        <v>111</v>
      </c>
      <c r="S8" s="5">
        <f t="shared" si="1"/>
        <v>9</v>
      </c>
      <c r="T8" s="5">
        <f t="shared" si="2"/>
        <v>3</v>
      </c>
      <c r="U8" s="5"/>
      <c r="V8" s="10"/>
      <c r="W8"/>
      <c r="X8"/>
    </row>
    <row r="9" spans="1:24" x14ac:dyDescent="0.25">
      <c r="A9" s="10">
        <v>5</v>
      </c>
      <c r="B9" s="7" t="s">
        <v>27</v>
      </c>
      <c r="C9" s="7" t="s">
        <v>28</v>
      </c>
      <c r="D9" s="8" t="s">
        <v>6</v>
      </c>
      <c r="E9" s="113"/>
      <c r="F9" s="9" t="s">
        <v>111</v>
      </c>
      <c r="G9" s="9" t="s">
        <v>111</v>
      </c>
      <c r="H9" s="9" t="s">
        <v>111</v>
      </c>
      <c r="I9" s="9" t="s">
        <v>112</v>
      </c>
      <c r="J9" s="9" t="s">
        <v>112</v>
      </c>
      <c r="K9" s="9" t="s">
        <v>111</v>
      </c>
      <c r="L9" s="113"/>
      <c r="M9" s="9" t="s">
        <v>113</v>
      </c>
      <c r="N9" s="9" t="s">
        <v>112</v>
      </c>
      <c r="O9" s="9" t="s">
        <v>111</v>
      </c>
      <c r="P9" s="9" t="s">
        <v>112</v>
      </c>
      <c r="Q9" s="9" t="s">
        <v>112</v>
      </c>
      <c r="R9" s="9" t="s">
        <v>112</v>
      </c>
      <c r="S9" s="5">
        <f t="shared" si="1"/>
        <v>6</v>
      </c>
      <c r="T9" s="5">
        <f t="shared" si="2"/>
        <v>5</v>
      </c>
      <c r="U9" s="5"/>
      <c r="V9" s="10"/>
    </row>
    <row r="10" spans="1:24" x14ac:dyDescent="0.25">
      <c r="A10" s="10">
        <v>6</v>
      </c>
      <c r="B10" s="7" t="s">
        <v>29</v>
      </c>
      <c r="C10" s="7" t="s">
        <v>30</v>
      </c>
      <c r="D10" s="8" t="s">
        <v>6</v>
      </c>
      <c r="E10" s="113"/>
      <c r="F10" s="9" t="s">
        <v>112</v>
      </c>
      <c r="G10" s="9" t="s">
        <v>112</v>
      </c>
      <c r="H10" s="9" t="s">
        <v>112</v>
      </c>
      <c r="I10" s="9" t="s">
        <v>112</v>
      </c>
      <c r="J10" s="9" t="s">
        <v>112</v>
      </c>
      <c r="K10" s="9" t="s">
        <v>112</v>
      </c>
      <c r="L10" s="113"/>
      <c r="M10" s="9" t="s">
        <v>112</v>
      </c>
      <c r="N10" s="9" t="s">
        <v>112</v>
      </c>
      <c r="O10" s="9" t="s">
        <v>111</v>
      </c>
      <c r="P10" s="9" t="s">
        <v>112</v>
      </c>
      <c r="Q10" s="9" t="s">
        <v>112</v>
      </c>
      <c r="R10" s="9" t="s">
        <v>112</v>
      </c>
      <c r="S10" s="5">
        <f t="shared" si="1"/>
        <v>11</v>
      </c>
      <c r="T10" s="5">
        <f t="shared" si="2"/>
        <v>1</v>
      </c>
    </row>
    <row r="11" spans="1:24" ht="15.75" x14ac:dyDescent="0.25">
      <c r="A11" s="10">
        <v>7</v>
      </c>
      <c r="B11" s="7" t="s">
        <v>31</v>
      </c>
      <c r="C11" s="7" t="s">
        <v>32</v>
      </c>
      <c r="D11" s="8" t="s">
        <v>6</v>
      </c>
      <c r="E11" s="113"/>
      <c r="F11" s="9" t="s">
        <v>112</v>
      </c>
      <c r="G11" s="9" t="s">
        <v>112</v>
      </c>
      <c r="H11" s="9" t="s">
        <v>112</v>
      </c>
      <c r="I11" s="9" t="s">
        <v>112</v>
      </c>
      <c r="J11" s="9" t="s">
        <v>112</v>
      </c>
      <c r="K11" s="9" t="s">
        <v>111</v>
      </c>
      <c r="L11" s="113"/>
      <c r="M11" s="9" t="s">
        <v>112</v>
      </c>
      <c r="N11" s="9" t="s">
        <v>112</v>
      </c>
      <c r="O11" s="9" t="s">
        <v>112</v>
      </c>
      <c r="P11" s="9" t="s">
        <v>112</v>
      </c>
      <c r="Q11" s="9" t="s">
        <v>112</v>
      </c>
      <c r="R11" s="9" t="s">
        <v>112</v>
      </c>
      <c r="S11" s="5">
        <f t="shared" si="1"/>
        <v>11</v>
      </c>
      <c r="T11" s="5">
        <f t="shared" si="2"/>
        <v>1</v>
      </c>
      <c r="U11" s="118" t="s">
        <v>9</v>
      </c>
      <c r="V11" s="119"/>
      <c r="W11" s="119"/>
      <c r="X11" s="120"/>
    </row>
    <row r="12" spans="1:24" x14ac:dyDescent="0.25">
      <c r="A12" s="10">
        <v>8</v>
      </c>
      <c r="B12" s="7" t="s">
        <v>33</v>
      </c>
      <c r="C12" s="7" t="s">
        <v>34</v>
      </c>
      <c r="D12" s="8" t="s">
        <v>6</v>
      </c>
      <c r="E12" s="113"/>
      <c r="F12" s="9" t="s">
        <v>112</v>
      </c>
      <c r="G12" s="9" t="s">
        <v>112</v>
      </c>
      <c r="H12" s="9" t="s">
        <v>112</v>
      </c>
      <c r="I12" s="9" t="s">
        <v>112</v>
      </c>
      <c r="J12" s="9" t="s">
        <v>112</v>
      </c>
      <c r="K12" s="9" t="s">
        <v>112</v>
      </c>
      <c r="L12" s="113"/>
      <c r="M12" s="9" t="s">
        <v>112</v>
      </c>
      <c r="N12" s="9" t="s">
        <v>111</v>
      </c>
      <c r="O12" s="9" t="s">
        <v>112</v>
      </c>
      <c r="P12" s="9" t="s">
        <v>112</v>
      </c>
      <c r="Q12" s="9" t="s">
        <v>112</v>
      </c>
      <c r="R12" s="9" t="s">
        <v>112</v>
      </c>
      <c r="S12" s="5">
        <f t="shared" si="1"/>
        <v>11</v>
      </c>
      <c r="T12" s="5">
        <f t="shared" si="2"/>
        <v>1</v>
      </c>
      <c r="U12" s="5" t="s">
        <v>10</v>
      </c>
      <c r="V12" s="5" t="s">
        <v>11</v>
      </c>
      <c r="W12" s="5" t="s">
        <v>12</v>
      </c>
      <c r="X12" s="5" t="s">
        <v>13</v>
      </c>
    </row>
    <row r="13" spans="1:24" x14ac:dyDescent="0.25">
      <c r="A13" s="10">
        <v>9</v>
      </c>
      <c r="B13" s="7" t="s">
        <v>35</v>
      </c>
      <c r="C13" s="7" t="s">
        <v>36</v>
      </c>
      <c r="D13" s="8" t="s">
        <v>6</v>
      </c>
      <c r="E13" s="113"/>
      <c r="F13" s="9" t="s">
        <v>112</v>
      </c>
      <c r="G13" s="9" t="s">
        <v>112</v>
      </c>
      <c r="H13" s="9" t="s">
        <v>112</v>
      </c>
      <c r="I13" s="9" t="s">
        <v>112</v>
      </c>
      <c r="J13" s="9" t="s">
        <v>112</v>
      </c>
      <c r="K13" s="9" t="s">
        <v>112</v>
      </c>
      <c r="L13" s="113"/>
      <c r="M13" s="9" t="s">
        <v>112</v>
      </c>
      <c r="N13" s="9" t="s">
        <v>112</v>
      </c>
      <c r="O13" s="9" t="s">
        <v>112</v>
      </c>
      <c r="P13" s="9" t="s">
        <v>112</v>
      </c>
      <c r="Q13" s="9" t="s">
        <v>112</v>
      </c>
      <c r="R13" s="9" t="s">
        <v>112</v>
      </c>
      <c r="S13" s="5">
        <f t="shared" si="1"/>
        <v>12</v>
      </c>
      <c r="T13" s="5">
        <f t="shared" si="2"/>
        <v>0</v>
      </c>
      <c r="U13" s="5" t="s">
        <v>14</v>
      </c>
      <c r="V13" s="10">
        <f>27*$V$5</f>
        <v>324</v>
      </c>
      <c r="W13" s="10">
        <f>27*$V$5</f>
        <v>324</v>
      </c>
      <c r="X13" s="10">
        <f>SUM(V13:W13)</f>
        <v>648</v>
      </c>
    </row>
    <row r="14" spans="1:24" x14ac:dyDescent="0.25">
      <c r="A14" s="10">
        <v>10</v>
      </c>
      <c r="B14" s="7" t="s">
        <v>37</v>
      </c>
      <c r="C14" s="7" t="s">
        <v>38</v>
      </c>
      <c r="D14" s="8" t="s">
        <v>6</v>
      </c>
      <c r="E14" s="113"/>
      <c r="F14" s="9" t="s">
        <v>112</v>
      </c>
      <c r="G14" s="9" t="s">
        <v>112</v>
      </c>
      <c r="H14" s="9" t="s">
        <v>112</v>
      </c>
      <c r="I14" s="9" t="s">
        <v>112</v>
      </c>
      <c r="J14" s="9" t="s">
        <v>112</v>
      </c>
      <c r="K14" s="9" t="s">
        <v>112</v>
      </c>
      <c r="L14" s="113"/>
      <c r="M14" s="9" t="s">
        <v>112</v>
      </c>
      <c r="N14" s="9" t="s">
        <v>112</v>
      </c>
      <c r="O14" s="9" t="s">
        <v>112</v>
      </c>
      <c r="P14" s="9" t="s">
        <v>112</v>
      </c>
      <c r="Q14" s="9" t="s">
        <v>112</v>
      </c>
      <c r="R14" s="9" t="s">
        <v>112</v>
      </c>
      <c r="S14" s="5">
        <f t="shared" si="1"/>
        <v>12</v>
      </c>
      <c r="T14" s="5">
        <f t="shared" si="2"/>
        <v>0</v>
      </c>
      <c r="U14" s="5" t="s">
        <v>15</v>
      </c>
      <c r="V14" s="10">
        <f>SUM(S6,S9,S11,S13,S16,S21,S22,S23,S24,S25,S26,S27,S32,S34,S36,S40,S41,S43,S44,S45,S46,S50,S51,S52,S53,S54,S58)</f>
        <v>281</v>
      </c>
      <c r="W14" s="10">
        <f>SUM(S5,S7,S8,S10,S12,S14,S15,S17,S18,S19,S20,S28,S29,S30,S31,S33,S35,S37,S38,S39,S42,S47,S48,S49,S55,S56,S57)</f>
        <v>244</v>
      </c>
      <c r="X14" s="10">
        <f>V14+W14</f>
        <v>525</v>
      </c>
    </row>
    <row r="15" spans="1:24" x14ac:dyDescent="0.25">
      <c r="A15" s="10">
        <v>11</v>
      </c>
      <c r="B15" s="7" t="s">
        <v>39</v>
      </c>
      <c r="C15" s="7" t="s">
        <v>40</v>
      </c>
      <c r="D15" s="8" t="s">
        <v>6</v>
      </c>
      <c r="E15" s="113"/>
      <c r="F15" s="9" t="s">
        <v>112</v>
      </c>
      <c r="G15" s="9" t="s">
        <v>112</v>
      </c>
      <c r="H15" s="9" t="s">
        <v>112</v>
      </c>
      <c r="I15" s="9" t="s">
        <v>112</v>
      </c>
      <c r="J15" s="9" t="s">
        <v>112</v>
      </c>
      <c r="K15" s="9" t="s">
        <v>112</v>
      </c>
      <c r="L15" s="113"/>
      <c r="M15" s="9" t="s">
        <v>112</v>
      </c>
      <c r="N15" s="9" t="s">
        <v>112</v>
      </c>
      <c r="O15" s="9" t="s">
        <v>112</v>
      </c>
      <c r="P15" s="9" t="s">
        <v>111</v>
      </c>
      <c r="Q15" s="9" t="s">
        <v>112</v>
      </c>
      <c r="R15" s="9" t="s">
        <v>111</v>
      </c>
      <c r="S15" s="5">
        <f t="shared" si="1"/>
        <v>10</v>
      </c>
      <c r="T15" s="5">
        <f t="shared" si="2"/>
        <v>2</v>
      </c>
      <c r="U15" s="5" t="s">
        <v>16</v>
      </c>
      <c r="V15" s="13">
        <f>V14/V13</f>
        <v>0.86728395061728392</v>
      </c>
      <c r="W15" s="13">
        <f>W14/W13</f>
        <v>0.75308641975308643</v>
      </c>
      <c r="X15" s="13">
        <f>X14/X13</f>
        <v>0.81018518518518523</v>
      </c>
    </row>
    <row r="16" spans="1:24" x14ac:dyDescent="0.25">
      <c r="A16" s="10">
        <v>12</v>
      </c>
      <c r="B16" s="7" t="s">
        <v>41</v>
      </c>
      <c r="C16" s="7" t="s">
        <v>42</v>
      </c>
      <c r="D16" s="8" t="s">
        <v>6</v>
      </c>
      <c r="E16" s="113"/>
      <c r="F16" s="9" t="s">
        <v>112</v>
      </c>
      <c r="G16" s="9" t="s">
        <v>112</v>
      </c>
      <c r="H16" s="9" t="s">
        <v>112</v>
      </c>
      <c r="I16" s="9" t="s">
        <v>112</v>
      </c>
      <c r="J16" s="9" t="s">
        <v>112</v>
      </c>
      <c r="K16" s="9" t="s">
        <v>112</v>
      </c>
      <c r="L16" s="113"/>
      <c r="M16" s="9" t="s">
        <v>112</v>
      </c>
      <c r="N16" s="9" t="s">
        <v>112</v>
      </c>
      <c r="O16" s="9" t="s">
        <v>112</v>
      </c>
      <c r="P16" s="9" t="s">
        <v>112</v>
      </c>
      <c r="Q16" s="9" t="s">
        <v>112</v>
      </c>
      <c r="R16" s="9" t="s">
        <v>112</v>
      </c>
      <c r="S16" s="5">
        <f t="shared" si="1"/>
        <v>12</v>
      </c>
      <c r="T16" s="5">
        <f t="shared" si="2"/>
        <v>0</v>
      </c>
      <c r="U16"/>
      <c r="V16"/>
      <c r="W16"/>
      <c r="X16"/>
    </row>
    <row r="17" spans="1:24" x14ac:dyDescent="0.25">
      <c r="A17" s="10">
        <v>13</v>
      </c>
      <c r="B17" s="7" t="s">
        <v>43</v>
      </c>
      <c r="C17" s="7" t="s">
        <v>44</v>
      </c>
      <c r="D17" s="8" t="s">
        <v>6</v>
      </c>
      <c r="E17" s="113"/>
      <c r="F17" s="9" t="s">
        <v>112</v>
      </c>
      <c r="G17" s="9" t="s">
        <v>111</v>
      </c>
      <c r="H17" s="9" t="s">
        <v>111</v>
      </c>
      <c r="I17" s="9" t="s">
        <v>112</v>
      </c>
      <c r="J17" s="9" t="s">
        <v>112</v>
      </c>
      <c r="K17" s="9" t="s">
        <v>111</v>
      </c>
      <c r="L17" s="113"/>
      <c r="M17" s="9" t="s">
        <v>112</v>
      </c>
      <c r="N17" s="9" t="s">
        <v>112</v>
      </c>
      <c r="O17" s="9" t="s">
        <v>112</v>
      </c>
      <c r="P17" s="9" t="s">
        <v>112</v>
      </c>
      <c r="Q17" s="9" t="s">
        <v>112</v>
      </c>
      <c r="R17" s="9" t="s">
        <v>112</v>
      </c>
      <c r="S17" s="5">
        <f t="shared" si="1"/>
        <v>9</v>
      </c>
      <c r="T17" s="5">
        <f t="shared" si="2"/>
        <v>3</v>
      </c>
      <c r="U17"/>
      <c r="V17"/>
      <c r="W17"/>
      <c r="X17"/>
    </row>
    <row r="18" spans="1:24" x14ac:dyDescent="0.25">
      <c r="A18" s="10">
        <v>14</v>
      </c>
      <c r="B18" s="7" t="s">
        <v>45</v>
      </c>
      <c r="C18" s="7" t="s">
        <v>46</v>
      </c>
      <c r="D18" s="8" t="s">
        <v>6</v>
      </c>
      <c r="E18" s="113"/>
      <c r="F18" s="9" t="s">
        <v>111</v>
      </c>
      <c r="G18" s="9" t="s">
        <v>111</v>
      </c>
      <c r="H18" s="9" t="s">
        <v>111</v>
      </c>
      <c r="I18" s="9" t="s">
        <v>111</v>
      </c>
      <c r="J18" s="9" t="s">
        <v>111</v>
      </c>
      <c r="K18" s="9" t="s">
        <v>111</v>
      </c>
      <c r="L18" s="113"/>
      <c r="M18" s="9" t="s">
        <v>112</v>
      </c>
      <c r="N18" s="9" t="s">
        <v>112</v>
      </c>
      <c r="O18" s="9" t="s">
        <v>112</v>
      </c>
      <c r="P18" s="9" t="s">
        <v>112</v>
      </c>
      <c r="Q18" s="9" t="s">
        <v>111</v>
      </c>
      <c r="R18" s="9" t="s">
        <v>112</v>
      </c>
      <c r="S18" s="5">
        <f t="shared" si="1"/>
        <v>5</v>
      </c>
      <c r="T18" s="5">
        <f t="shared" si="2"/>
        <v>7</v>
      </c>
      <c r="U18"/>
      <c r="V18"/>
      <c r="W18"/>
      <c r="X18"/>
    </row>
    <row r="19" spans="1:24" ht="15.75" x14ac:dyDescent="0.25">
      <c r="A19" s="10">
        <v>15</v>
      </c>
      <c r="B19" s="7" t="s">
        <v>47</v>
      </c>
      <c r="C19" s="7" t="s">
        <v>48</v>
      </c>
      <c r="D19" s="8" t="s">
        <v>6</v>
      </c>
      <c r="E19" s="113"/>
      <c r="F19" s="9" t="s">
        <v>111</v>
      </c>
      <c r="G19" s="9" t="s">
        <v>111</v>
      </c>
      <c r="H19" s="9" t="s">
        <v>111</v>
      </c>
      <c r="I19" s="9" t="s">
        <v>112</v>
      </c>
      <c r="J19" s="9" t="s">
        <v>111</v>
      </c>
      <c r="K19" s="9" t="s">
        <v>111</v>
      </c>
      <c r="L19" s="113"/>
      <c r="M19" s="9" t="s">
        <v>111</v>
      </c>
      <c r="N19" s="9" t="s">
        <v>111</v>
      </c>
      <c r="O19" s="9" t="s">
        <v>112</v>
      </c>
      <c r="P19" s="9" t="s">
        <v>112</v>
      </c>
      <c r="Q19" s="9" t="s">
        <v>112</v>
      </c>
      <c r="R19" s="9" t="s">
        <v>111</v>
      </c>
      <c r="S19" s="5">
        <f t="shared" si="1"/>
        <v>4</v>
      </c>
      <c r="T19" s="5">
        <f t="shared" si="2"/>
        <v>8</v>
      </c>
      <c r="U19" s="118" t="s">
        <v>129</v>
      </c>
      <c r="V19" s="119"/>
      <c r="W19" s="119"/>
      <c r="X19" s="120"/>
    </row>
    <row r="20" spans="1:24" x14ac:dyDescent="0.25">
      <c r="A20" s="10">
        <v>16</v>
      </c>
      <c r="B20" s="7" t="s">
        <v>49</v>
      </c>
      <c r="C20" s="7" t="s">
        <v>50</v>
      </c>
      <c r="D20" s="8" t="s">
        <v>6</v>
      </c>
      <c r="E20" s="113"/>
      <c r="F20" s="9" t="s">
        <v>112</v>
      </c>
      <c r="G20" s="9" t="s">
        <v>112</v>
      </c>
      <c r="H20" s="9" t="s">
        <v>111</v>
      </c>
      <c r="I20" s="9" t="s">
        <v>112</v>
      </c>
      <c r="J20" s="9" t="s">
        <v>112</v>
      </c>
      <c r="K20" s="9" t="s">
        <v>112</v>
      </c>
      <c r="L20" s="113"/>
      <c r="M20" s="9" t="s">
        <v>112</v>
      </c>
      <c r="N20" s="9" t="s">
        <v>112</v>
      </c>
      <c r="O20" s="9" t="s">
        <v>112</v>
      </c>
      <c r="P20" s="9" t="s">
        <v>112</v>
      </c>
      <c r="Q20" s="9" t="s">
        <v>112</v>
      </c>
      <c r="R20" s="9" t="s">
        <v>112</v>
      </c>
      <c r="S20" s="5">
        <f t="shared" si="1"/>
        <v>11</v>
      </c>
      <c r="T20" s="5">
        <f t="shared" si="2"/>
        <v>1</v>
      </c>
      <c r="U20" s="5" t="s">
        <v>10</v>
      </c>
      <c r="V20" s="5" t="s">
        <v>11</v>
      </c>
      <c r="W20" s="5" t="s">
        <v>12</v>
      </c>
      <c r="X20" s="5" t="s">
        <v>13</v>
      </c>
    </row>
    <row r="21" spans="1:24" x14ac:dyDescent="0.25">
      <c r="A21" s="10">
        <v>17</v>
      </c>
      <c r="B21" s="7" t="s">
        <v>51</v>
      </c>
      <c r="C21" s="7" t="s">
        <v>52</v>
      </c>
      <c r="D21" s="8" t="s">
        <v>6</v>
      </c>
      <c r="E21" s="113"/>
      <c r="F21" s="9" t="s">
        <v>112</v>
      </c>
      <c r="G21" s="9" t="s">
        <v>112</v>
      </c>
      <c r="H21" s="9" t="s">
        <v>112</v>
      </c>
      <c r="I21" s="9" t="s">
        <v>112</v>
      </c>
      <c r="J21" s="9" t="s">
        <v>112</v>
      </c>
      <c r="K21" s="9" t="s">
        <v>111</v>
      </c>
      <c r="L21" s="113"/>
      <c r="M21" s="9" t="s">
        <v>112</v>
      </c>
      <c r="N21" s="9" t="s">
        <v>112</v>
      </c>
      <c r="O21" s="9" t="s">
        <v>112</v>
      </c>
      <c r="P21" s="9" t="s">
        <v>112</v>
      </c>
      <c r="Q21" s="9" t="s">
        <v>112</v>
      </c>
      <c r="R21" s="9" t="s">
        <v>112</v>
      </c>
      <c r="S21" s="5">
        <f t="shared" si="1"/>
        <v>11</v>
      </c>
      <c r="T21" s="5">
        <f t="shared" si="2"/>
        <v>1</v>
      </c>
      <c r="U21" s="5" t="s">
        <v>14</v>
      </c>
      <c r="V21" s="10">
        <f>27*$V$5</f>
        <v>324</v>
      </c>
      <c r="W21" s="10">
        <f>27*$V$5</f>
        <v>324</v>
      </c>
      <c r="X21" s="10">
        <f>V21+W21</f>
        <v>648</v>
      </c>
    </row>
    <row r="22" spans="1:24" x14ac:dyDescent="0.25">
      <c r="A22" s="10">
        <v>18</v>
      </c>
      <c r="B22" s="7" t="s">
        <v>53</v>
      </c>
      <c r="C22" s="7" t="s">
        <v>54</v>
      </c>
      <c r="D22" s="8" t="s">
        <v>6</v>
      </c>
      <c r="E22" s="113"/>
      <c r="F22" s="9" t="s">
        <v>112</v>
      </c>
      <c r="G22" s="9" t="s">
        <v>112</v>
      </c>
      <c r="H22" s="9" t="s">
        <v>112</v>
      </c>
      <c r="I22" s="9" t="s">
        <v>112</v>
      </c>
      <c r="J22" s="9" t="s">
        <v>112</v>
      </c>
      <c r="K22" s="9" t="s">
        <v>112</v>
      </c>
      <c r="L22" s="113"/>
      <c r="M22" s="9" t="s">
        <v>112</v>
      </c>
      <c r="N22" s="9" t="s">
        <v>112</v>
      </c>
      <c r="O22" s="9" t="s">
        <v>112</v>
      </c>
      <c r="P22" s="9" t="s">
        <v>112</v>
      </c>
      <c r="Q22" s="9" t="s">
        <v>112</v>
      </c>
      <c r="R22" s="9" t="s">
        <v>112</v>
      </c>
      <c r="S22" s="5">
        <f t="shared" si="1"/>
        <v>12</v>
      </c>
      <c r="T22" s="5">
        <f t="shared" si="2"/>
        <v>0</v>
      </c>
      <c r="U22" s="5" t="s">
        <v>17</v>
      </c>
      <c r="V22" s="10">
        <f>V21-V14</f>
        <v>43</v>
      </c>
      <c r="W22" s="10">
        <f>W21-W14</f>
        <v>80</v>
      </c>
      <c r="X22" s="10">
        <f>V22+W22</f>
        <v>123</v>
      </c>
    </row>
    <row r="23" spans="1:24" x14ac:dyDescent="0.25">
      <c r="A23" s="10">
        <v>19</v>
      </c>
      <c r="B23" s="7" t="s">
        <v>55</v>
      </c>
      <c r="C23" s="7" t="s">
        <v>56</v>
      </c>
      <c r="D23" s="8" t="s">
        <v>6</v>
      </c>
      <c r="E23" s="113"/>
      <c r="F23" s="9" t="s">
        <v>112</v>
      </c>
      <c r="G23" s="9" t="s">
        <v>112</v>
      </c>
      <c r="H23" s="9" t="s">
        <v>112</v>
      </c>
      <c r="I23" s="9" t="s">
        <v>112</v>
      </c>
      <c r="J23" s="9" t="s">
        <v>112</v>
      </c>
      <c r="K23" s="9" t="s">
        <v>112</v>
      </c>
      <c r="L23" s="113"/>
      <c r="M23" s="9" t="s">
        <v>111</v>
      </c>
      <c r="N23" s="9" t="s">
        <v>112</v>
      </c>
      <c r="O23" s="9" t="s">
        <v>112</v>
      </c>
      <c r="P23" s="9" t="s">
        <v>112</v>
      </c>
      <c r="Q23" s="9" t="s">
        <v>112</v>
      </c>
      <c r="R23" s="9" t="s">
        <v>112</v>
      </c>
      <c r="S23" s="5">
        <f t="shared" si="1"/>
        <v>11</v>
      </c>
      <c r="T23" s="5">
        <f t="shared" si="2"/>
        <v>1</v>
      </c>
      <c r="U23" s="5" t="s">
        <v>16</v>
      </c>
      <c r="V23" s="13">
        <f>V22/V21</f>
        <v>0.13271604938271606</v>
      </c>
      <c r="W23" s="13">
        <f>W22/W21</f>
        <v>0.24691358024691357</v>
      </c>
      <c r="X23" s="13">
        <f>X22/X21</f>
        <v>0.18981481481481483</v>
      </c>
    </row>
    <row r="24" spans="1:24" x14ac:dyDescent="0.25">
      <c r="A24" s="10">
        <v>20</v>
      </c>
      <c r="B24" s="7" t="s">
        <v>57</v>
      </c>
      <c r="C24" s="7" t="s">
        <v>58</v>
      </c>
      <c r="D24" s="8" t="s">
        <v>6</v>
      </c>
      <c r="E24" s="113"/>
      <c r="F24" s="9" t="s">
        <v>112</v>
      </c>
      <c r="G24" s="9" t="s">
        <v>112</v>
      </c>
      <c r="H24" s="9" t="s">
        <v>112</v>
      </c>
      <c r="I24" s="9" t="s">
        <v>111</v>
      </c>
      <c r="J24" s="9" t="s">
        <v>112</v>
      </c>
      <c r="K24" s="9" t="s">
        <v>112</v>
      </c>
      <c r="L24" s="113"/>
      <c r="M24" s="9" t="s">
        <v>112</v>
      </c>
      <c r="N24" s="9" t="s">
        <v>112</v>
      </c>
      <c r="O24" s="9" t="s">
        <v>112</v>
      </c>
      <c r="P24" s="9" t="s">
        <v>112</v>
      </c>
      <c r="Q24" s="9" t="s">
        <v>112</v>
      </c>
      <c r="R24" s="9" t="s">
        <v>112</v>
      </c>
      <c r="S24" s="5">
        <f t="shared" si="1"/>
        <v>11</v>
      </c>
      <c r="T24" s="5">
        <f t="shared" si="2"/>
        <v>1</v>
      </c>
    </row>
    <row r="25" spans="1:24" x14ac:dyDescent="0.25">
      <c r="A25" s="10">
        <v>21</v>
      </c>
      <c r="B25" s="7" t="s">
        <v>59</v>
      </c>
      <c r="C25" s="7" t="s">
        <v>60</v>
      </c>
      <c r="D25" s="8" t="s">
        <v>6</v>
      </c>
      <c r="E25" s="113"/>
      <c r="F25" s="9" t="s">
        <v>112</v>
      </c>
      <c r="G25" s="9" t="s">
        <v>112</v>
      </c>
      <c r="H25" s="9" t="s">
        <v>112</v>
      </c>
      <c r="I25" s="9" t="s">
        <v>112</v>
      </c>
      <c r="J25" s="9" t="s">
        <v>112</v>
      </c>
      <c r="K25" s="9" t="s">
        <v>112</v>
      </c>
      <c r="L25" s="113"/>
      <c r="M25" s="9" t="s">
        <v>112</v>
      </c>
      <c r="N25" s="9" t="s">
        <v>112</v>
      </c>
      <c r="O25" s="9" t="s">
        <v>112</v>
      </c>
      <c r="P25" s="9" t="s">
        <v>111</v>
      </c>
      <c r="Q25" s="9" t="s">
        <v>112</v>
      </c>
      <c r="R25" s="9" t="s">
        <v>112</v>
      </c>
      <c r="S25" s="5">
        <f t="shared" si="1"/>
        <v>11</v>
      </c>
      <c r="T25" s="5">
        <f t="shared" si="2"/>
        <v>1</v>
      </c>
    </row>
    <row r="26" spans="1:24" x14ac:dyDescent="0.25">
      <c r="A26" s="10">
        <v>22</v>
      </c>
      <c r="B26" s="7" t="s">
        <v>61</v>
      </c>
      <c r="C26" s="7" t="s">
        <v>62</v>
      </c>
      <c r="D26" s="8" t="s">
        <v>6</v>
      </c>
      <c r="E26" s="113"/>
      <c r="F26" s="9" t="s">
        <v>112</v>
      </c>
      <c r="G26" s="9" t="s">
        <v>112</v>
      </c>
      <c r="H26" s="9" t="s">
        <v>112</v>
      </c>
      <c r="I26" s="9" t="s">
        <v>111</v>
      </c>
      <c r="J26" s="9" t="s">
        <v>112</v>
      </c>
      <c r="K26" s="9" t="s">
        <v>112</v>
      </c>
      <c r="L26" s="113"/>
      <c r="M26" s="9" t="s">
        <v>112</v>
      </c>
      <c r="N26" s="9" t="s">
        <v>112</v>
      </c>
      <c r="O26" s="9" t="s">
        <v>112</v>
      </c>
      <c r="P26" s="9" t="s">
        <v>112</v>
      </c>
      <c r="Q26" s="9" t="s">
        <v>112</v>
      </c>
      <c r="R26" s="9" t="s">
        <v>112</v>
      </c>
      <c r="S26" s="5">
        <f t="shared" si="1"/>
        <v>11</v>
      </c>
      <c r="T26" s="5">
        <f t="shared" si="2"/>
        <v>1</v>
      </c>
    </row>
    <row r="27" spans="1:24" x14ac:dyDescent="0.25">
      <c r="A27" s="10">
        <v>23</v>
      </c>
      <c r="B27" s="7" t="s">
        <v>63</v>
      </c>
      <c r="C27" s="7" t="s">
        <v>64</v>
      </c>
      <c r="D27" s="8" t="s">
        <v>6</v>
      </c>
      <c r="E27" s="113"/>
      <c r="F27" s="9" t="s">
        <v>112</v>
      </c>
      <c r="G27" s="9" t="s">
        <v>112</v>
      </c>
      <c r="H27" s="9" t="s">
        <v>111</v>
      </c>
      <c r="I27" s="9" t="s">
        <v>111</v>
      </c>
      <c r="J27" s="9" t="s">
        <v>112</v>
      </c>
      <c r="K27" s="9" t="s">
        <v>112</v>
      </c>
      <c r="L27" s="113"/>
      <c r="M27" s="9" t="s">
        <v>112</v>
      </c>
      <c r="N27" s="9" t="s">
        <v>112</v>
      </c>
      <c r="O27" s="9" t="s">
        <v>112</v>
      </c>
      <c r="P27" s="9" t="s">
        <v>111</v>
      </c>
      <c r="Q27" s="9" t="s">
        <v>112</v>
      </c>
      <c r="R27" s="9" t="s">
        <v>111</v>
      </c>
      <c r="S27" s="5">
        <f t="shared" si="1"/>
        <v>8</v>
      </c>
      <c r="T27" s="5">
        <f t="shared" si="2"/>
        <v>4</v>
      </c>
    </row>
    <row r="28" spans="1:24" x14ac:dyDescent="0.25">
      <c r="A28" s="10">
        <v>24</v>
      </c>
      <c r="B28" s="7" t="s">
        <v>65</v>
      </c>
      <c r="C28" s="7" t="s">
        <v>66</v>
      </c>
      <c r="D28" s="8" t="s">
        <v>6</v>
      </c>
      <c r="E28" s="113"/>
      <c r="F28" s="9" t="s">
        <v>111</v>
      </c>
      <c r="G28" s="9" t="s">
        <v>111</v>
      </c>
      <c r="H28" s="9" t="s">
        <v>111</v>
      </c>
      <c r="I28" s="9" t="s">
        <v>111</v>
      </c>
      <c r="J28" s="9" t="s">
        <v>111</v>
      </c>
      <c r="K28" s="9" t="s">
        <v>111</v>
      </c>
      <c r="L28" s="113"/>
      <c r="M28" s="9" t="s">
        <v>112</v>
      </c>
      <c r="N28" s="9" t="s">
        <v>112</v>
      </c>
      <c r="O28" s="9" t="s">
        <v>112</v>
      </c>
      <c r="P28" s="9" t="s">
        <v>112</v>
      </c>
      <c r="Q28" s="9" t="s">
        <v>112</v>
      </c>
      <c r="R28" s="9" t="s">
        <v>111</v>
      </c>
      <c r="S28" s="5">
        <f t="shared" si="1"/>
        <v>5</v>
      </c>
      <c r="T28" s="5">
        <f t="shared" si="2"/>
        <v>7</v>
      </c>
    </row>
    <row r="29" spans="1:24" x14ac:dyDescent="0.25">
      <c r="A29" s="10">
        <v>25</v>
      </c>
      <c r="B29" s="7" t="s">
        <v>67</v>
      </c>
      <c r="C29" s="7" t="s">
        <v>68</v>
      </c>
      <c r="D29" s="8" t="s">
        <v>6</v>
      </c>
      <c r="E29" s="113"/>
      <c r="F29" s="9" t="s">
        <v>112</v>
      </c>
      <c r="G29" s="9" t="s">
        <v>112</v>
      </c>
      <c r="H29" s="9" t="s">
        <v>112</v>
      </c>
      <c r="I29" s="9" t="s">
        <v>112</v>
      </c>
      <c r="J29" s="9" t="s">
        <v>112</v>
      </c>
      <c r="K29" s="9" t="s">
        <v>112</v>
      </c>
      <c r="L29" s="113"/>
      <c r="M29" s="9" t="s">
        <v>111</v>
      </c>
      <c r="N29" s="9" t="s">
        <v>112</v>
      </c>
      <c r="O29" s="9" t="s">
        <v>112</v>
      </c>
      <c r="P29" s="9" t="s">
        <v>112</v>
      </c>
      <c r="Q29" s="9" t="s">
        <v>112</v>
      </c>
      <c r="R29" s="9" t="s">
        <v>112</v>
      </c>
      <c r="S29" s="5">
        <f t="shared" si="1"/>
        <v>11</v>
      </c>
      <c r="T29" s="5">
        <f t="shared" si="2"/>
        <v>1</v>
      </c>
    </row>
    <row r="30" spans="1:24" x14ac:dyDescent="0.25">
      <c r="A30" s="10">
        <v>26</v>
      </c>
      <c r="B30" s="7" t="s">
        <v>69</v>
      </c>
      <c r="C30" s="7" t="s">
        <v>70</v>
      </c>
      <c r="D30" s="8" t="s">
        <v>6</v>
      </c>
      <c r="E30" s="113"/>
      <c r="F30" s="9" t="s">
        <v>112</v>
      </c>
      <c r="G30" s="9" t="s">
        <v>112</v>
      </c>
      <c r="H30" s="9" t="s">
        <v>112</v>
      </c>
      <c r="I30" s="9" t="s">
        <v>112</v>
      </c>
      <c r="J30" s="9" t="s">
        <v>112</v>
      </c>
      <c r="K30" s="9" t="s">
        <v>112</v>
      </c>
      <c r="L30" s="113"/>
      <c r="M30" s="9" t="s">
        <v>112</v>
      </c>
      <c r="N30" s="9" t="s">
        <v>112</v>
      </c>
      <c r="O30" s="9" t="s">
        <v>112</v>
      </c>
      <c r="P30" s="9" t="s">
        <v>112</v>
      </c>
      <c r="Q30" s="9" t="s">
        <v>112</v>
      </c>
      <c r="R30" s="9" t="s">
        <v>112</v>
      </c>
      <c r="S30" s="5">
        <f t="shared" si="1"/>
        <v>12</v>
      </c>
      <c r="T30" s="5">
        <f t="shared" si="2"/>
        <v>0</v>
      </c>
    </row>
    <row r="31" spans="1:24" x14ac:dyDescent="0.25">
      <c r="A31" s="10">
        <v>27</v>
      </c>
      <c r="B31" s="7" t="s">
        <v>71</v>
      </c>
      <c r="C31" s="7" t="s">
        <v>72</v>
      </c>
      <c r="D31" s="8" t="s">
        <v>6</v>
      </c>
      <c r="E31" s="113"/>
      <c r="F31" s="9" t="s">
        <v>111</v>
      </c>
      <c r="G31" s="9" t="s">
        <v>111</v>
      </c>
      <c r="H31" s="9" t="s">
        <v>112</v>
      </c>
      <c r="I31" s="9" t="s">
        <v>112</v>
      </c>
      <c r="J31" s="9" t="s">
        <v>112</v>
      </c>
      <c r="K31" s="9" t="s">
        <v>112</v>
      </c>
      <c r="L31" s="113"/>
      <c r="M31" s="9" t="s">
        <v>112</v>
      </c>
      <c r="N31" s="9" t="s">
        <v>112</v>
      </c>
      <c r="O31" s="9" t="s">
        <v>112</v>
      </c>
      <c r="P31" s="9" t="s">
        <v>112</v>
      </c>
      <c r="Q31" s="9" t="s">
        <v>112</v>
      </c>
      <c r="R31" s="9" t="s">
        <v>112</v>
      </c>
      <c r="S31" s="5">
        <f t="shared" si="1"/>
        <v>10</v>
      </c>
      <c r="T31" s="5">
        <f t="shared" si="2"/>
        <v>2</v>
      </c>
    </row>
    <row r="32" spans="1:24" x14ac:dyDescent="0.25">
      <c r="A32" s="10">
        <v>28</v>
      </c>
      <c r="B32" s="7" t="s">
        <v>73</v>
      </c>
      <c r="C32" s="7" t="s">
        <v>74</v>
      </c>
      <c r="D32" s="8" t="s">
        <v>6</v>
      </c>
      <c r="E32" s="113"/>
      <c r="F32" s="9" t="s">
        <v>112</v>
      </c>
      <c r="G32" s="9" t="s">
        <v>112</v>
      </c>
      <c r="H32" s="9" t="s">
        <v>112</v>
      </c>
      <c r="I32" s="9" t="s">
        <v>112</v>
      </c>
      <c r="J32" s="9" t="s">
        <v>112</v>
      </c>
      <c r="K32" s="9" t="s">
        <v>111</v>
      </c>
      <c r="L32" s="113"/>
      <c r="M32" s="9" t="s">
        <v>112</v>
      </c>
      <c r="N32" s="9" t="s">
        <v>112</v>
      </c>
      <c r="O32" s="9" t="s">
        <v>112</v>
      </c>
      <c r="P32" s="9" t="s">
        <v>111</v>
      </c>
      <c r="Q32" s="9" t="s">
        <v>112</v>
      </c>
      <c r="R32" s="9" t="s">
        <v>111</v>
      </c>
      <c r="S32" s="5">
        <f t="shared" si="1"/>
        <v>9</v>
      </c>
      <c r="T32" s="5">
        <f t="shared" si="2"/>
        <v>3</v>
      </c>
    </row>
    <row r="33" spans="1:20" x14ac:dyDescent="0.25">
      <c r="A33" s="10">
        <v>29</v>
      </c>
      <c r="B33" s="7" t="s">
        <v>75</v>
      </c>
      <c r="C33" s="7" t="s">
        <v>76</v>
      </c>
      <c r="D33" s="8" t="s">
        <v>6</v>
      </c>
      <c r="E33" s="113"/>
      <c r="F33" s="9" t="s">
        <v>112</v>
      </c>
      <c r="G33" s="9" t="s">
        <v>112</v>
      </c>
      <c r="H33" s="9" t="s">
        <v>112</v>
      </c>
      <c r="I33" s="9" t="s">
        <v>112</v>
      </c>
      <c r="J33" s="9" t="s">
        <v>112</v>
      </c>
      <c r="K33" s="9" t="s">
        <v>113</v>
      </c>
      <c r="L33" s="113"/>
      <c r="M33" s="9" t="s">
        <v>113</v>
      </c>
      <c r="N33" s="9" t="s">
        <v>111</v>
      </c>
      <c r="O33" s="9" t="s">
        <v>112</v>
      </c>
      <c r="P33" s="9" t="s">
        <v>113</v>
      </c>
      <c r="Q33" s="9" t="s">
        <v>113</v>
      </c>
      <c r="R33" s="9" t="s">
        <v>113</v>
      </c>
      <c r="S33" s="5">
        <f t="shared" si="1"/>
        <v>6</v>
      </c>
      <c r="T33" s="5">
        <f t="shared" si="2"/>
        <v>1</v>
      </c>
    </row>
    <row r="34" spans="1:20" x14ac:dyDescent="0.25">
      <c r="A34" s="10">
        <v>30</v>
      </c>
      <c r="B34" s="7" t="s">
        <v>87</v>
      </c>
      <c r="C34" s="7" t="s">
        <v>76</v>
      </c>
      <c r="D34" s="8" t="s">
        <v>6</v>
      </c>
      <c r="E34" s="113"/>
      <c r="F34" s="9" t="s">
        <v>112</v>
      </c>
      <c r="G34" s="9" t="s">
        <v>112</v>
      </c>
      <c r="H34" s="9" t="s">
        <v>112</v>
      </c>
      <c r="I34" s="9" t="s">
        <v>112</v>
      </c>
      <c r="J34" s="9" t="s">
        <v>112</v>
      </c>
      <c r="K34" s="9" t="s">
        <v>112</v>
      </c>
      <c r="L34" s="113"/>
      <c r="M34" s="9" t="s">
        <v>112</v>
      </c>
      <c r="N34" s="9" t="s">
        <v>112</v>
      </c>
      <c r="O34" s="9" t="s">
        <v>112</v>
      </c>
      <c r="P34" s="9" t="s">
        <v>113</v>
      </c>
      <c r="Q34" s="9" t="s">
        <v>112</v>
      </c>
      <c r="R34" s="9" t="s">
        <v>112</v>
      </c>
      <c r="S34" s="5">
        <f t="shared" si="1"/>
        <v>11</v>
      </c>
      <c r="T34" s="5">
        <f t="shared" si="2"/>
        <v>0</v>
      </c>
    </row>
    <row r="35" spans="1:20" x14ac:dyDescent="0.25">
      <c r="A35" s="10">
        <v>31</v>
      </c>
      <c r="B35" s="7" t="s">
        <v>77</v>
      </c>
      <c r="C35" s="7" t="s">
        <v>78</v>
      </c>
      <c r="D35" s="8" t="s">
        <v>6</v>
      </c>
      <c r="E35" s="113"/>
      <c r="F35" s="9" t="s">
        <v>112</v>
      </c>
      <c r="G35" s="9" t="s">
        <v>111</v>
      </c>
      <c r="H35" s="9" t="s">
        <v>112</v>
      </c>
      <c r="I35" s="9" t="s">
        <v>112</v>
      </c>
      <c r="J35" s="9" t="s">
        <v>112</v>
      </c>
      <c r="K35" s="9" t="s">
        <v>112</v>
      </c>
      <c r="L35" s="113"/>
      <c r="M35" s="9" t="s">
        <v>112</v>
      </c>
      <c r="N35" s="9" t="s">
        <v>112</v>
      </c>
      <c r="O35" s="9" t="s">
        <v>112</v>
      </c>
      <c r="P35" s="9" t="s">
        <v>112</v>
      </c>
      <c r="Q35" s="9" t="s">
        <v>112</v>
      </c>
      <c r="R35" s="9" t="s">
        <v>111</v>
      </c>
      <c r="S35" s="5">
        <f t="shared" si="1"/>
        <v>10</v>
      </c>
      <c r="T35" s="5">
        <f t="shared" si="2"/>
        <v>2</v>
      </c>
    </row>
    <row r="36" spans="1:20" x14ac:dyDescent="0.25">
      <c r="A36" s="10">
        <v>32</v>
      </c>
      <c r="B36" s="7" t="s">
        <v>79</v>
      </c>
      <c r="C36" s="7" t="s">
        <v>80</v>
      </c>
      <c r="D36" s="8" t="s">
        <v>6</v>
      </c>
      <c r="E36" s="113"/>
      <c r="F36" s="9" t="s">
        <v>112</v>
      </c>
      <c r="G36" s="9" t="s">
        <v>112</v>
      </c>
      <c r="H36" s="9" t="s">
        <v>111</v>
      </c>
      <c r="I36" s="9" t="s">
        <v>112</v>
      </c>
      <c r="J36" s="9" t="s">
        <v>112</v>
      </c>
      <c r="K36" s="9" t="s">
        <v>112</v>
      </c>
      <c r="L36" s="113"/>
      <c r="M36" s="9" t="s">
        <v>112</v>
      </c>
      <c r="N36" s="9" t="s">
        <v>112</v>
      </c>
      <c r="O36" s="9" t="s">
        <v>112</v>
      </c>
      <c r="P36" s="9" t="s">
        <v>112</v>
      </c>
      <c r="Q36" s="9" t="s">
        <v>112</v>
      </c>
      <c r="R36" s="9" t="s">
        <v>112</v>
      </c>
      <c r="S36" s="5">
        <f t="shared" si="1"/>
        <v>11</v>
      </c>
      <c r="T36" s="5">
        <f t="shared" si="2"/>
        <v>1</v>
      </c>
    </row>
    <row r="37" spans="1:20" x14ac:dyDescent="0.25">
      <c r="A37" s="10">
        <v>33</v>
      </c>
      <c r="B37" s="7" t="s">
        <v>81</v>
      </c>
      <c r="C37" s="7" t="s">
        <v>82</v>
      </c>
      <c r="D37" s="8" t="s">
        <v>6</v>
      </c>
      <c r="E37" s="113"/>
      <c r="F37" s="9" t="s">
        <v>111</v>
      </c>
      <c r="G37" s="9" t="s">
        <v>112</v>
      </c>
      <c r="H37" s="9" t="s">
        <v>112</v>
      </c>
      <c r="I37" s="9" t="s">
        <v>112</v>
      </c>
      <c r="J37" s="9" t="s">
        <v>112</v>
      </c>
      <c r="K37" s="9" t="s">
        <v>112</v>
      </c>
      <c r="L37" s="113"/>
      <c r="M37" s="9" t="s">
        <v>112</v>
      </c>
      <c r="N37" s="9" t="s">
        <v>112</v>
      </c>
      <c r="O37" s="9" t="s">
        <v>112</v>
      </c>
      <c r="P37" s="9" t="s">
        <v>112</v>
      </c>
      <c r="Q37" s="9" t="s">
        <v>112</v>
      </c>
      <c r="R37" s="9" t="s">
        <v>112</v>
      </c>
      <c r="S37" s="5">
        <f t="shared" ref="S37:S68" si="3">COUNTIF(E37:R37,"P")</f>
        <v>11</v>
      </c>
      <c r="T37" s="5">
        <f t="shared" ref="T37:T58" si="4">COUNTIF(E37:R37,"A")</f>
        <v>1</v>
      </c>
    </row>
    <row r="38" spans="1:20" x14ac:dyDescent="0.25">
      <c r="A38" s="10">
        <v>34</v>
      </c>
      <c r="B38" s="7" t="s">
        <v>83</v>
      </c>
      <c r="C38" s="7" t="s">
        <v>84</v>
      </c>
      <c r="D38" s="8" t="s">
        <v>6</v>
      </c>
      <c r="E38" s="113"/>
      <c r="F38" s="9" t="s">
        <v>112</v>
      </c>
      <c r="G38" s="9" t="s">
        <v>112</v>
      </c>
      <c r="H38" s="9" t="s">
        <v>112</v>
      </c>
      <c r="I38" s="9" t="s">
        <v>112</v>
      </c>
      <c r="J38" s="9" t="s">
        <v>112</v>
      </c>
      <c r="K38" s="9" t="s">
        <v>112</v>
      </c>
      <c r="L38" s="113"/>
      <c r="M38" s="9" t="s">
        <v>112</v>
      </c>
      <c r="N38" s="9" t="s">
        <v>112</v>
      </c>
      <c r="O38" s="9" t="s">
        <v>112</v>
      </c>
      <c r="P38" s="9" t="s">
        <v>112</v>
      </c>
      <c r="Q38" s="9" t="s">
        <v>112</v>
      </c>
      <c r="R38" s="9" t="s">
        <v>112</v>
      </c>
      <c r="S38" s="5">
        <f t="shared" si="3"/>
        <v>12</v>
      </c>
      <c r="T38" s="5">
        <f t="shared" si="4"/>
        <v>0</v>
      </c>
    </row>
    <row r="39" spans="1:20" x14ac:dyDescent="0.25">
      <c r="A39" s="10">
        <v>35</v>
      </c>
      <c r="B39" s="7" t="s">
        <v>85</v>
      </c>
      <c r="C39" s="7" t="s">
        <v>86</v>
      </c>
      <c r="D39" s="8" t="s">
        <v>6</v>
      </c>
      <c r="E39" s="113"/>
      <c r="F39" s="9" t="s">
        <v>111</v>
      </c>
      <c r="G39" s="9" t="s">
        <v>112</v>
      </c>
      <c r="H39" s="9" t="s">
        <v>112</v>
      </c>
      <c r="I39" s="9" t="s">
        <v>112</v>
      </c>
      <c r="J39" s="9" t="s">
        <v>112</v>
      </c>
      <c r="K39" s="9" t="s">
        <v>112</v>
      </c>
      <c r="L39" s="113"/>
      <c r="M39" s="9" t="s">
        <v>112</v>
      </c>
      <c r="N39" s="9" t="s">
        <v>112</v>
      </c>
      <c r="O39" s="9" t="s">
        <v>111</v>
      </c>
      <c r="P39" s="9" t="s">
        <v>112</v>
      </c>
      <c r="Q39" s="9" t="s">
        <v>112</v>
      </c>
      <c r="R39" s="9" t="s">
        <v>111</v>
      </c>
      <c r="S39" s="5">
        <f t="shared" si="3"/>
        <v>9</v>
      </c>
      <c r="T39" s="5">
        <f t="shared" si="4"/>
        <v>3</v>
      </c>
    </row>
    <row r="40" spans="1:20" x14ac:dyDescent="0.25">
      <c r="A40" s="10">
        <v>36</v>
      </c>
      <c r="B40" s="7" t="s">
        <v>88</v>
      </c>
      <c r="C40" s="7" t="s">
        <v>89</v>
      </c>
      <c r="D40" s="8" t="s">
        <v>6</v>
      </c>
      <c r="E40" s="113"/>
      <c r="F40" s="9" t="s">
        <v>112</v>
      </c>
      <c r="G40" s="9" t="s">
        <v>112</v>
      </c>
      <c r="H40" s="9" t="s">
        <v>112</v>
      </c>
      <c r="I40" s="9" t="s">
        <v>112</v>
      </c>
      <c r="J40" s="9" t="s">
        <v>112</v>
      </c>
      <c r="K40" s="9" t="s">
        <v>112</v>
      </c>
      <c r="L40" s="113"/>
      <c r="M40" s="9" t="s">
        <v>112</v>
      </c>
      <c r="N40" s="9" t="s">
        <v>112</v>
      </c>
      <c r="O40" s="9" t="s">
        <v>112</v>
      </c>
      <c r="P40" s="9" t="s">
        <v>111</v>
      </c>
      <c r="Q40" s="9" t="s">
        <v>112</v>
      </c>
      <c r="R40" s="9" t="s">
        <v>111</v>
      </c>
      <c r="S40" s="5">
        <f t="shared" si="3"/>
        <v>10</v>
      </c>
      <c r="T40" s="5">
        <f t="shared" si="4"/>
        <v>2</v>
      </c>
    </row>
    <row r="41" spans="1:20" x14ac:dyDescent="0.25">
      <c r="A41" s="10">
        <v>37</v>
      </c>
      <c r="B41" s="7" t="s">
        <v>90</v>
      </c>
      <c r="C41" s="7"/>
      <c r="D41" s="8" t="s">
        <v>6</v>
      </c>
      <c r="E41" s="113"/>
      <c r="F41" s="9" t="s">
        <v>112</v>
      </c>
      <c r="G41" s="9" t="s">
        <v>112</v>
      </c>
      <c r="H41" s="9" t="s">
        <v>112</v>
      </c>
      <c r="I41" s="9" t="s">
        <v>112</v>
      </c>
      <c r="J41" s="9" t="s">
        <v>112</v>
      </c>
      <c r="K41" s="9" t="s">
        <v>112</v>
      </c>
      <c r="L41" s="113"/>
      <c r="M41" s="9" t="s">
        <v>112</v>
      </c>
      <c r="N41" s="9" t="s">
        <v>111</v>
      </c>
      <c r="O41" s="9" t="s">
        <v>112</v>
      </c>
      <c r="P41" s="9" t="s">
        <v>111</v>
      </c>
      <c r="Q41" s="9" t="s">
        <v>112</v>
      </c>
      <c r="R41" s="9" t="s">
        <v>111</v>
      </c>
      <c r="S41" s="5">
        <f t="shared" si="3"/>
        <v>9</v>
      </c>
      <c r="T41" s="5">
        <f t="shared" si="4"/>
        <v>3</v>
      </c>
    </row>
    <row r="42" spans="1:20" x14ac:dyDescent="0.25">
      <c r="A42" s="10">
        <v>38</v>
      </c>
      <c r="B42" s="7" t="s">
        <v>91</v>
      </c>
      <c r="C42" s="7" t="s">
        <v>92</v>
      </c>
      <c r="D42" s="8" t="s">
        <v>6</v>
      </c>
      <c r="E42" s="113"/>
      <c r="F42" s="9" t="s">
        <v>112</v>
      </c>
      <c r="G42" s="9" t="s">
        <v>112</v>
      </c>
      <c r="H42" s="9" t="s">
        <v>112</v>
      </c>
      <c r="I42" s="9" t="s">
        <v>111</v>
      </c>
      <c r="J42" s="9" t="s">
        <v>112</v>
      </c>
      <c r="K42" s="9" t="s">
        <v>112</v>
      </c>
      <c r="L42" s="113"/>
      <c r="M42" s="9" t="s">
        <v>112</v>
      </c>
      <c r="N42" s="9" t="s">
        <v>112</v>
      </c>
      <c r="O42" s="9" t="s">
        <v>112</v>
      </c>
      <c r="P42" s="9" t="s">
        <v>112</v>
      </c>
      <c r="Q42" s="9" t="s">
        <v>112</v>
      </c>
      <c r="R42" s="9" t="s">
        <v>111</v>
      </c>
      <c r="S42" s="5">
        <f t="shared" si="3"/>
        <v>10</v>
      </c>
      <c r="T42" s="5">
        <f t="shared" si="4"/>
        <v>2</v>
      </c>
    </row>
    <row r="43" spans="1:20" x14ac:dyDescent="0.25">
      <c r="A43" s="10">
        <v>39</v>
      </c>
      <c r="B43" s="7" t="s">
        <v>93</v>
      </c>
      <c r="C43" s="7" t="s">
        <v>94</v>
      </c>
      <c r="D43" s="8" t="s">
        <v>6</v>
      </c>
      <c r="E43" s="113"/>
      <c r="F43" s="9" t="s">
        <v>112</v>
      </c>
      <c r="G43" s="9" t="s">
        <v>112</v>
      </c>
      <c r="H43" s="9" t="s">
        <v>112</v>
      </c>
      <c r="I43" s="9" t="s">
        <v>112</v>
      </c>
      <c r="J43" s="9" t="s">
        <v>112</v>
      </c>
      <c r="K43" s="9" t="s">
        <v>112</v>
      </c>
      <c r="L43" s="113"/>
      <c r="M43" s="9" t="s">
        <v>112</v>
      </c>
      <c r="N43" s="9" t="s">
        <v>112</v>
      </c>
      <c r="O43" s="9" t="s">
        <v>112</v>
      </c>
      <c r="P43" s="9" t="s">
        <v>112</v>
      </c>
      <c r="Q43" s="9" t="s">
        <v>112</v>
      </c>
      <c r="R43" s="9" t="s">
        <v>111</v>
      </c>
      <c r="S43" s="5">
        <f t="shared" si="3"/>
        <v>11</v>
      </c>
      <c r="T43" s="5">
        <f t="shared" si="4"/>
        <v>1</v>
      </c>
    </row>
    <row r="44" spans="1:20" x14ac:dyDescent="0.25">
      <c r="A44" s="10">
        <v>40</v>
      </c>
      <c r="B44" s="7" t="s">
        <v>95</v>
      </c>
      <c r="C44" s="7" t="s">
        <v>96</v>
      </c>
      <c r="D44" s="8" t="s">
        <v>6</v>
      </c>
      <c r="E44" s="113"/>
      <c r="F44" s="9" t="s">
        <v>112</v>
      </c>
      <c r="G44" s="9" t="s">
        <v>112</v>
      </c>
      <c r="H44" s="9" t="s">
        <v>112</v>
      </c>
      <c r="I44" s="9" t="s">
        <v>112</v>
      </c>
      <c r="J44" s="9" t="s">
        <v>112</v>
      </c>
      <c r="K44" s="9" t="s">
        <v>112</v>
      </c>
      <c r="L44" s="113"/>
      <c r="M44" s="9" t="s">
        <v>112</v>
      </c>
      <c r="N44" s="9" t="s">
        <v>112</v>
      </c>
      <c r="O44" s="9" t="s">
        <v>112</v>
      </c>
      <c r="P44" s="9" t="s">
        <v>112</v>
      </c>
      <c r="Q44" s="9" t="s">
        <v>112</v>
      </c>
      <c r="R44" s="9" t="s">
        <v>112</v>
      </c>
      <c r="S44" s="5">
        <f t="shared" si="3"/>
        <v>12</v>
      </c>
      <c r="T44" s="5">
        <f t="shared" si="4"/>
        <v>0</v>
      </c>
    </row>
    <row r="45" spans="1:20" x14ac:dyDescent="0.25">
      <c r="A45" s="10">
        <v>41</v>
      </c>
      <c r="B45" s="7" t="s">
        <v>97</v>
      </c>
      <c r="C45" s="7" t="s">
        <v>98</v>
      </c>
      <c r="D45" s="8" t="s">
        <v>6</v>
      </c>
      <c r="E45" s="113"/>
      <c r="F45" s="9" t="s">
        <v>112</v>
      </c>
      <c r="G45" s="9" t="s">
        <v>112</v>
      </c>
      <c r="H45" s="9" t="s">
        <v>112</v>
      </c>
      <c r="I45" s="9" t="s">
        <v>112</v>
      </c>
      <c r="J45" s="9" t="s">
        <v>112</v>
      </c>
      <c r="K45" s="9" t="s">
        <v>111</v>
      </c>
      <c r="L45" s="113"/>
      <c r="M45" s="9" t="s">
        <v>112</v>
      </c>
      <c r="N45" s="9" t="s">
        <v>112</v>
      </c>
      <c r="O45" s="9" t="s">
        <v>112</v>
      </c>
      <c r="P45" s="9" t="s">
        <v>112</v>
      </c>
      <c r="Q45" s="9" t="s">
        <v>112</v>
      </c>
      <c r="R45" s="9" t="s">
        <v>112</v>
      </c>
      <c r="S45" s="5">
        <f t="shared" si="3"/>
        <v>11</v>
      </c>
      <c r="T45" s="5">
        <f t="shared" si="4"/>
        <v>1</v>
      </c>
    </row>
    <row r="46" spans="1:20" x14ac:dyDescent="0.25">
      <c r="A46" s="10">
        <v>42</v>
      </c>
      <c r="B46" s="7" t="s">
        <v>100</v>
      </c>
      <c r="C46" s="7" t="s">
        <v>101</v>
      </c>
      <c r="D46" s="8" t="s">
        <v>6</v>
      </c>
      <c r="E46" s="113"/>
      <c r="F46" s="9" t="s">
        <v>112</v>
      </c>
      <c r="G46" s="9" t="s">
        <v>112</v>
      </c>
      <c r="H46" s="9" t="s">
        <v>112</v>
      </c>
      <c r="I46" s="9" t="s">
        <v>112</v>
      </c>
      <c r="J46" s="9" t="s">
        <v>112</v>
      </c>
      <c r="K46" s="9" t="s">
        <v>112</v>
      </c>
      <c r="L46" s="113"/>
      <c r="M46" s="9" t="s">
        <v>111</v>
      </c>
      <c r="N46" s="9" t="s">
        <v>112</v>
      </c>
      <c r="O46" s="9" t="s">
        <v>111</v>
      </c>
      <c r="P46" s="9" t="s">
        <v>111</v>
      </c>
      <c r="Q46" s="9" t="s">
        <v>111</v>
      </c>
      <c r="R46" s="9" t="s">
        <v>111</v>
      </c>
      <c r="S46" s="5">
        <f t="shared" si="3"/>
        <v>7</v>
      </c>
      <c r="T46" s="5">
        <f t="shared" si="4"/>
        <v>5</v>
      </c>
    </row>
    <row r="47" spans="1:20" x14ac:dyDescent="0.25">
      <c r="A47" s="10">
        <v>43</v>
      </c>
      <c r="B47" s="7" t="s">
        <v>99</v>
      </c>
      <c r="C47" s="7" t="s">
        <v>102</v>
      </c>
      <c r="D47" s="8" t="s">
        <v>6</v>
      </c>
      <c r="E47" s="113"/>
      <c r="F47" s="9" t="s">
        <v>112</v>
      </c>
      <c r="G47" s="9" t="s">
        <v>112</v>
      </c>
      <c r="H47" s="9" t="s">
        <v>112</v>
      </c>
      <c r="I47" s="9" t="s">
        <v>112</v>
      </c>
      <c r="J47" s="9" t="s">
        <v>112</v>
      </c>
      <c r="K47" s="9" t="s">
        <v>112</v>
      </c>
      <c r="L47" s="113"/>
      <c r="M47" s="9" t="s">
        <v>112</v>
      </c>
      <c r="N47" s="9" t="s">
        <v>112</v>
      </c>
      <c r="O47" s="9" t="s">
        <v>112</v>
      </c>
      <c r="P47" s="9" t="s">
        <v>111</v>
      </c>
      <c r="Q47" s="9" t="s">
        <v>111</v>
      </c>
      <c r="R47" s="9" t="s">
        <v>112</v>
      </c>
      <c r="S47" s="5">
        <f t="shared" si="3"/>
        <v>10</v>
      </c>
      <c r="T47" s="5">
        <f t="shared" si="4"/>
        <v>2</v>
      </c>
    </row>
    <row r="48" spans="1:20" x14ac:dyDescent="0.25">
      <c r="A48" s="10">
        <v>44</v>
      </c>
      <c r="B48" s="7" t="s">
        <v>105</v>
      </c>
      <c r="C48" s="7" t="s">
        <v>106</v>
      </c>
      <c r="D48" s="8" t="s">
        <v>6</v>
      </c>
      <c r="E48" s="113"/>
      <c r="F48" s="9" t="s">
        <v>112</v>
      </c>
      <c r="G48" s="9" t="s">
        <v>111</v>
      </c>
      <c r="H48" s="9" t="s">
        <v>112</v>
      </c>
      <c r="I48" s="9" t="s">
        <v>112</v>
      </c>
      <c r="J48" s="9" t="s">
        <v>112</v>
      </c>
      <c r="K48" s="9" t="s">
        <v>112</v>
      </c>
      <c r="L48" s="113"/>
      <c r="M48" s="9" t="s">
        <v>112</v>
      </c>
      <c r="N48" s="9" t="s">
        <v>112</v>
      </c>
      <c r="O48" s="9" t="s">
        <v>112</v>
      </c>
      <c r="P48" s="9" t="s">
        <v>112</v>
      </c>
      <c r="Q48" s="9" t="s">
        <v>112</v>
      </c>
      <c r="R48" s="9" t="s">
        <v>112</v>
      </c>
      <c r="S48" s="5">
        <f t="shared" si="3"/>
        <v>11</v>
      </c>
      <c r="T48" s="5">
        <f t="shared" si="4"/>
        <v>1</v>
      </c>
    </row>
    <row r="49" spans="1:20" x14ac:dyDescent="0.25">
      <c r="A49" s="10">
        <v>45</v>
      </c>
      <c r="B49" s="7" t="s">
        <v>107</v>
      </c>
      <c r="C49" s="7" t="s">
        <v>108</v>
      </c>
      <c r="D49" s="8" t="s">
        <v>6</v>
      </c>
      <c r="E49" s="113"/>
      <c r="F49" s="9" t="s">
        <v>112</v>
      </c>
      <c r="G49" s="9" t="s">
        <v>112</v>
      </c>
      <c r="H49" s="9" t="s">
        <v>112</v>
      </c>
      <c r="I49" s="9" t="s">
        <v>112</v>
      </c>
      <c r="J49" s="9" t="s">
        <v>112</v>
      </c>
      <c r="K49" s="9" t="s">
        <v>112</v>
      </c>
      <c r="L49" s="113"/>
      <c r="M49" s="9" t="s">
        <v>112</v>
      </c>
      <c r="N49" s="9" t="s">
        <v>112</v>
      </c>
      <c r="O49" s="9" t="s">
        <v>112</v>
      </c>
      <c r="P49" s="9" t="s">
        <v>112</v>
      </c>
      <c r="Q49" s="9" t="s">
        <v>112</v>
      </c>
      <c r="R49" s="9" t="s">
        <v>112</v>
      </c>
      <c r="S49" s="5">
        <f t="shared" si="3"/>
        <v>12</v>
      </c>
      <c r="T49" s="5">
        <f t="shared" si="4"/>
        <v>0</v>
      </c>
    </row>
    <row r="50" spans="1:20" x14ac:dyDescent="0.25">
      <c r="A50" s="10">
        <v>46</v>
      </c>
      <c r="B50" s="7" t="s">
        <v>109</v>
      </c>
      <c r="C50" s="7" t="s">
        <v>110</v>
      </c>
      <c r="D50" s="8" t="s">
        <v>6</v>
      </c>
      <c r="E50" s="113"/>
      <c r="F50" s="9" t="s">
        <v>111</v>
      </c>
      <c r="G50" s="9" t="s">
        <v>112</v>
      </c>
      <c r="H50" s="9" t="s">
        <v>111</v>
      </c>
      <c r="I50" s="9" t="s">
        <v>112</v>
      </c>
      <c r="J50" s="9" t="s">
        <v>112</v>
      </c>
      <c r="K50" s="9" t="s">
        <v>112</v>
      </c>
      <c r="L50" s="113"/>
      <c r="M50" s="9" t="s">
        <v>112</v>
      </c>
      <c r="N50" s="9" t="s">
        <v>112</v>
      </c>
      <c r="O50" s="9" t="s">
        <v>112</v>
      </c>
      <c r="P50" s="9" t="s">
        <v>111</v>
      </c>
      <c r="Q50" s="9" t="s">
        <v>111</v>
      </c>
      <c r="R50" s="9" t="s">
        <v>112</v>
      </c>
      <c r="S50" s="5">
        <f t="shared" si="3"/>
        <v>8</v>
      </c>
      <c r="T50" s="5">
        <f t="shared" si="4"/>
        <v>4</v>
      </c>
    </row>
    <row r="51" spans="1:20" x14ac:dyDescent="0.25">
      <c r="A51" s="10">
        <v>47</v>
      </c>
      <c r="B51" s="15" t="s">
        <v>114</v>
      </c>
      <c r="C51" s="15" t="s">
        <v>27</v>
      </c>
      <c r="D51" s="8" t="s">
        <v>6</v>
      </c>
      <c r="E51" s="113"/>
      <c r="F51" s="9" t="s">
        <v>112</v>
      </c>
      <c r="G51" s="9" t="s">
        <v>112</v>
      </c>
      <c r="H51" s="9" t="s">
        <v>112</v>
      </c>
      <c r="I51" s="9" t="s">
        <v>112</v>
      </c>
      <c r="J51" s="9" t="s">
        <v>112</v>
      </c>
      <c r="K51" s="9" t="s">
        <v>112</v>
      </c>
      <c r="L51" s="113"/>
      <c r="M51" s="9" t="s">
        <v>112</v>
      </c>
      <c r="N51" s="9" t="s">
        <v>112</v>
      </c>
      <c r="O51" s="9" t="s">
        <v>112</v>
      </c>
      <c r="P51" s="9" t="s">
        <v>112</v>
      </c>
      <c r="Q51" s="9" t="s">
        <v>112</v>
      </c>
      <c r="R51" s="9" t="s">
        <v>112</v>
      </c>
      <c r="S51" s="5">
        <f t="shared" si="3"/>
        <v>12</v>
      </c>
      <c r="T51" s="5">
        <f t="shared" si="4"/>
        <v>0</v>
      </c>
    </row>
    <row r="52" spans="1:20" x14ac:dyDescent="0.25">
      <c r="A52" s="10">
        <v>48</v>
      </c>
      <c r="B52" s="15" t="s">
        <v>103</v>
      </c>
      <c r="C52" s="15" t="s">
        <v>104</v>
      </c>
      <c r="D52" s="8" t="s">
        <v>6</v>
      </c>
      <c r="E52" s="113"/>
      <c r="F52" s="9" t="s">
        <v>112</v>
      </c>
      <c r="G52" s="9" t="s">
        <v>112</v>
      </c>
      <c r="H52" s="9" t="s">
        <v>112</v>
      </c>
      <c r="I52" s="9" t="s">
        <v>112</v>
      </c>
      <c r="J52" s="9" t="s">
        <v>112</v>
      </c>
      <c r="K52" s="9" t="s">
        <v>112</v>
      </c>
      <c r="L52" s="113"/>
      <c r="M52" s="9" t="s">
        <v>112</v>
      </c>
      <c r="N52" s="9" t="s">
        <v>112</v>
      </c>
      <c r="O52" s="9" t="s">
        <v>111</v>
      </c>
      <c r="P52" s="9" t="s">
        <v>112</v>
      </c>
      <c r="Q52" s="9" t="s">
        <v>112</v>
      </c>
      <c r="R52" s="9" t="s">
        <v>112</v>
      </c>
      <c r="S52" s="5">
        <f t="shared" si="3"/>
        <v>11</v>
      </c>
      <c r="T52" s="5">
        <f t="shared" si="4"/>
        <v>1</v>
      </c>
    </row>
    <row r="53" spans="1:20" x14ac:dyDescent="0.25">
      <c r="A53" s="10">
        <v>49</v>
      </c>
      <c r="B53" s="15" t="s">
        <v>116</v>
      </c>
      <c r="C53" s="15" t="s">
        <v>117</v>
      </c>
      <c r="D53" s="8" t="s">
        <v>6</v>
      </c>
      <c r="E53" s="113"/>
      <c r="F53" s="9" t="s">
        <v>111</v>
      </c>
      <c r="G53" s="9" t="s">
        <v>111</v>
      </c>
      <c r="H53" s="9" t="s">
        <v>111</v>
      </c>
      <c r="I53" s="9" t="s">
        <v>112</v>
      </c>
      <c r="J53" s="9" t="s">
        <v>112</v>
      </c>
      <c r="K53" s="9" t="s">
        <v>112</v>
      </c>
      <c r="L53" s="113"/>
      <c r="M53" s="9" t="s">
        <v>112</v>
      </c>
      <c r="N53" s="9" t="s">
        <v>112</v>
      </c>
      <c r="O53" s="9" t="s">
        <v>112</v>
      </c>
      <c r="P53" s="9" t="s">
        <v>112</v>
      </c>
      <c r="Q53" s="9" t="s">
        <v>112</v>
      </c>
      <c r="R53" s="9" t="s">
        <v>111</v>
      </c>
      <c r="S53" s="5">
        <f t="shared" si="3"/>
        <v>8</v>
      </c>
      <c r="T53" s="5">
        <f t="shared" si="4"/>
        <v>4</v>
      </c>
    </row>
    <row r="54" spans="1:20" x14ac:dyDescent="0.25">
      <c r="A54" s="10">
        <v>50</v>
      </c>
      <c r="B54" s="15" t="s">
        <v>118</v>
      </c>
      <c r="C54" s="15" t="s">
        <v>119</v>
      </c>
      <c r="D54" s="8" t="s">
        <v>6</v>
      </c>
      <c r="E54" s="113"/>
      <c r="F54" s="9" t="s">
        <v>112</v>
      </c>
      <c r="G54" s="9" t="s">
        <v>112</v>
      </c>
      <c r="H54" s="9" t="s">
        <v>112</v>
      </c>
      <c r="I54" s="9" t="s">
        <v>112</v>
      </c>
      <c r="J54" s="9" t="s">
        <v>112</v>
      </c>
      <c r="K54" s="9" t="s">
        <v>112</v>
      </c>
      <c r="L54" s="113"/>
      <c r="M54" s="9" t="s">
        <v>112</v>
      </c>
      <c r="N54" s="9" t="s">
        <v>112</v>
      </c>
      <c r="O54" s="9" t="s">
        <v>112</v>
      </c>
      <c r="P54" s="9" t="s">
        <v>112</v>
      </c>
      <c r="Q54" s="9" t="s">
        <v>112</v>
      </c>
      <c r="R54" s="9" t="s">
        <v>112</v>
      </c>
      <c r="S54" s="5">
        <f t="shared" si="3"/>
        <v>12</v>
      </c>
      <c r="T54" s="5">
        <f t="shared" si="4"/>
        <v>0</v>
      </c>
    </row>
    <row r="55" spans="1:20" x14ac:dyDescent="0.25">
      <c r="A55" s="10">
        <v>51</v>
      </c>
      <c r="B55" s="15" t="s">
        <v>120</v>
      </c>
      <c r="C55" s="15"/>
      <c r="D55" s="8" t="s">
        <v>6</v>
      </c>
      <c r="E55" s="113"/>
      <c r="F55" s="9" t="s">
        <v>112</v>
      </c>
      <c r="G55" s="9" t="s">
        <v>111</v>
      </c>
      <c r="H55" s="9" t="s">
        <v>111</v>
      </c>
      <c r="I55" s="9" t="s">
        <v>112</v>
      </c>
      <c r="J55" s="9" t="s">
        <v>112</v>
      </c>
      <c r="K55" s="9" t="s">
        <v>112</v>
      </c>
      <c r="L55" s="113"/>
      <c r="M55" s="9" t="s">
        <v>112</v>
      </c>
      <c r="N55" s="9" t="s">
        <v>111</v>
      </c>
      <c r="O55" s="9" t="s">
        <v>112</v>
      </c>
      <c r="P55" s="9" t="s">
        <v>112</v>
      </c>
      <c r="Q55" s="9" t="s">
        <v>112</v>
      </c>
      <c r="R55" s="9" t="s">
        <v>111</v>
      </c>
      <c r="S55" s="5">
        <f t="shared" si="3"/>
        <v>8</v>
      </c>
      <c r="T55" s="5">
        <f t="shared" si="4"/>
        <v>4</v>
      </c>
    </row>
    <row r="56" spans="1:20" x14ac:dyDescent="0.25">
      <c r="A56" s="10">
        <v>52</v>
      </c>
      <c r="B56" s="15" t="s">
        <v>121</v>
      </c>
      <c r="C56" s="15"/>
      <c r="D56" s="8" t="s">
        <v>6</v>
      </c>
      <c r="E56" s="113"/>
      <c r="F56" s="9" t="s">
        <v>111</v>
      </c>
      <c r="G56" s="9" t="s">
        <v>111</v>
      </c>
      <c r="H56" s="9" t="s">
        <v>111</v>
      </c>
      <c r="I56" s="9" t="s">
        <v>111</v>
      </c>
      <c r="J56" s="9" t="s">
        <v>111</v>
      </c>
      <c r="K56" s="9" t="s">
        <v>111</v>
      </c>
      <c r="L56" s="113"/>
      <c r="M56" s="9" t="s">
        <v>111</v>
      </c>
      <c r="N56" s="9" t="s">
        <v>111</v>
      </c>
      <c r="O56" s="9" t="s">
        <v>111</v>
      </c>
      <c r="P56" s="9" t="s">
        <v>111</v>
      </c>
      <c r="Q56" s="9" t="s">
        <v>111</v>
      </c>
      <c r="R56" s="9" t="s">
        <v>111</v>
      </c>
      <c r="S56" s="5">
        <f t="shared" si="3"/>
        <v>0</v>
      </c>
      <c r="T56" s="5">
        <f t="shared" si="4"/>
        <v>12</v>
      </c>
    </row>
    <row r="57" spans="1:20" x14ac:dyDescent="0.25">
      <c r="A57" s="10">
        <v>53</v>
      </c>
      <c r="B57" s="15" t="s">
        <v>124</v>
      </c>
      <c r="C57" s="15" t="s">
        <v>125</v>
      </c>
      <c r="D57" s="8" t="s">
        <v>6</v>
      </c>
      <c r="E57" s="113"/>
      <c r="F57" s="9" t="s">
        <v>112</v>
      </c>
      <c r="G57" s="9" t="s">
        <v>112</v>
      </c>
      <c r="H57" s="9" t="s">
        <v>112</v>
      </c>
      <c r="I57" s="9" t="s">
        <v>112</v>
      </c>
      <c r="J57" s="9" t="s">
        <v>112</v>
      </c>
      <c r="K57" s="9" t="s">
        <v>112</v>
      </c>
      <c r="L57" s="113"/>
      <c r="M57" s="9" t="s">
        <v>112</v>
      </c>
      <c r="N57" s="9" t="s">
        <v>112</v>
      </c>
      <c r="O57" s="9" t="s">
        <v>112</v>
      </c>
      <c r="P57" s="9" t="s">
        <v>112</v>
      </c>
      <c r="Q57" s="9" t="s">
        <v>112</v>
      </c>
      <c r="R57" s="9" t="s">
        <v>112</v>
      </c>
      <c r="S57" s="5">
        <f t="shared" si="3"/>
        <v>12</v>
      </c>
      <c r="T57" s="5">
        <f t="shared" si="4"/>
        <v>0</v>
      </c>
    </row>
    <row r="58" spans="1:20" x14ac:dyDescent="0.25">
      <c r="A58" s="10">
        <v>54</v>
      </c>
      <c r="B58" s="15" t="s">
        <v>126</v>
      </c>
      <c r="C58" s="15" t="s">
        <v>125</v>
      </c>
      <c r="D58" s="8" t="s">
        <v>6</v>
      </c>
      <c r="E58" s="113"/>
      <c r="F58" s="9" t="s">
        <v>112</v>
      </c>
      <c r="G58" s="9" t="s">
        <v>112</v>
      </c>
      <c r="H58" s="9" t="s">
        <v>112</v>
      </c>
      <c r="I58" s="9" t="s">
        <v>112</v>
      </c>
      <c r="J58" s="9" t="s">
        <v>112</v>
      </c>
      <c r="K58" s="9" t="s">
        <v>112</v>
      </c>
      <c r="L58" s="113"/>
      <c r="M58" s="9" t="s">
        <v>112</v>
      </c>
      <c r="N58" s="9" t="s">
        <v>112</v>
      </c>
      <c r="O58" s="9" t="s">
        <v>112</v>
      </c>
      <c r="P58" s="9" t="s">
        <v>112</v>
      </c>
      <c r="Q58" s="9" t="s">
        <v>112</v>
      </c>
      <c r="R58" s="9" t="s">
        <v>112</v>
      </c>
      <c r="S58" s="5">
        <f t="shared" si="3"/>
        <v>12</v>
      </c>
      <c r="T58" s="5">
        <f t="shared" si="4"/>
        <v>0</v>
      </c>
    </row>
  </sheetData>
  <mergeCells count="13">
    <mergeCell ref="T3:T4"/>
    <mergeCell ref="U3:V3"/>
    <mergeCell ref="U11:X11"/>
    <mergeCell ref="U19:X19"/>
    <mergeCell ref="L5:L58"/>
    <mergeCell ref="S3:S4"/>
    <mergeCell ref="E5:E58"/>
    <mergeCell ref="A1:R1"/>
    <mergeCell ref="A2:R2"/>
    <mergeCell ref="A3:A4"/>
    <mergeCell ref="B3:B4"/>
    <mergeCell ref="C3:C4"/>
    <mergeCell ref="D3:D4"/>
  </mergeCells>
  <conditionalFormatting sqref="E3:R5 F6:K58 M6:R58">
    <cfRule type="expression" dxfId="198" priority="9">
      <formula>E$4=TODAY()</formula>
    </cfRule>
    <cfRule type="expression" dxfId="197" priority="17">
      <formula>E$3="Sun"</formula>
    </cfRule>
  </conditionalFormatting>
  <conditionalFormatting sqref="E5:R5 F6:K58 M6:R58">
    <cfRule type="cellIs" dxfId="196" priority="8" operator="equal">
      <formula>"L"</formula>
    </cfRule>
    <cfRule type="cellIs" dxfId="195" priority="10" operator="equal">
      <formula>"A"</formula>
    </cfRule>
    <cfRule type="cellIs" dxfId="194" priority="11" operator="equal">
      <formula>"P"</formula>
    </cfRule>
  </conditionalFormatting>
  <conditionalFormatting sqref="S3:T3 S5:T58">
    <cfRule type="expression" dxfId="193" priority="18">
      <formula>#REF!="Sun"</formula>
    </cfRule>
  </conditionalFormatting>
  <conditionalFormatting sqref="U5:U9">
    <cfRule type="expression" dxfId="192" priority="5">
      <formula>U$3="Sun"</formula>
    </cfRule>
  </conditionalFormatting>
  <conditionalFormatting sqref="U12:U15">
    <cfRule type="expression" dxfId="191" priority="2">
      <formula>U$3="Sun"</formula>
    </cfRule>
  </conditionalFormatting>
  <conditionalFormatting sqref="U20:U23">
    <cfRule type="expression" dxfId="190" priority="1">
      <formula>U$3="Sun"</formula>
    </cfRule>
  </conditionalFormatting>
  <conditionalFormatting sqref="U4:V4">
    <cfRule type="expression" dxfId="189" priority="6">
      <formula>U$3="Sun"</formula>
    </cfRule>
  </conditionalFormatting>
  <conditionalFormatting sqref="V12:X12 V20:X20">
    <cfRule type="expression" dxfId="188" priority="7">
      <formula>V$3="Sun"</formula>
    </cfRule>
  </conditionalFormatting>
  <conditionalFormatting sqref="X21">
    <cfRule type="expression" dxfId="187" priority="4">
      <formula>X$3="Sun"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1DF3F-C329-4E67-BE82-10031EA342AB}">
  <dimension ref="A1:X60"/>
  <sheetViews>
    <sheetView workbookViewId="0">
      <selection activeCell="W13" sqref="W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6" width="4.7109375" style="1" bestFit="1" customWidth="1"/>
    <col min="7" max="7" width="3.85546875" style="1" bestFit="1"/>
    <col min="8" max="9" width="3.7109375" style="1" bestFit="1" customWidth="1"/>
    <col min="10" max="10" width="3.85546875" style="1" bestFit="1"/>
    <col min="11" max="11" width="4.5703125" style="1" bestFit="1" customWidth="1"/>
    <col min="12" max="13" width="3.85546875" style="1" bestFit="1"/>
    <col min="14" max="14" width="4.7109375" style="1" bestFit="1" customWidth="1"/>
    <col min="15" max="15" width="3.85546875" style="1" bestFit="1"/>
    <col min="16" max="17" width="3.7109375" style="1" bestFit="1" customWidth="1"/>
    <col min="18" max="18" width="3.85546875" style="1" bestFit="1"/>
    <col min="19" max="20" width="6.7109375" style="1" bestFit="1" customWidth="1"/>
    <col min="21" max="21" width="18.5703125" style="1" bestFit="1" customWidth="1"/>
    <col min="22" max="22" width="5.85546875" style="1" bestFit="1" customWidth="1"/>
    <col min="23" max="23" width="14.28515625" style="1" bestFit="1" customWidth="1"/>
    <col min="24" max="24" width="6.7109375" style="1" bestFit="1" customWidth="1"/>
    <col min="25" max="16384" width="3.85546875" style="1"/>
  </cols>
  <sheetData>
    <row r="1" spans="1:24" ht="17.25" x14ac:dyDescent="0.25">
      <c r="A1" s="121" t="s">
        <v>18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3"/>
      <c r="U1"/>
      <c r="V1"/>
      <c r="W1"/>
      <c r="X1"/>
    </row>
    <row r="2" spans="1:24" ht="17.25" x14ac:dyDescent="0.3">
      <c r="A2" s="124" t="s">
        <v>122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6"/>
      <c r="U2"/>
      <c r="V2"/>
      <c r="W2"/>
      <c r="X2"/>
    </row>
    <row r="3" spans="1:24" ht="15.75" x14ac:dyDescent="0.25">
      <c r="A3" s="116" t="s">
        <v>0</v>
      </c>
      <c r="B3" s="116" t="s">
        <v>1</v>
      </c>
      <c r="C3" s="116" t="s">
        <v>2</v>
      </c>
      <c r="D3" s="116" t="s">
        <v>3</v>
      </c>
      <c r="E3" s="2" t="str">
        <f t="shared" ref="E3:R3" si="0">TEXT(E4,"ddd")</f>
        <v>Sun</v>
      </c>
      <c r="F3" s="2" t="str">
        <f t="shared" si="0"/>
        <v>Mon</v>
      </c>
      <c r="G3" s="2" t="str">
        <f t="shared" si="0"/>
        <v>Tue</v>
      </c>
      <c r="H3" s="2" t="str">
        <f t="shared" si="0"/>
        <v>Wed</v>
      </c>
      <c r="I3" s="2" t="str">
        <f t="shared" si="0"/>
        <v>Thu</v>
      </c>
      <c r="J3" s="2" t="str">
        <f t="shared" si="0"/>
        <v>Fri</v>
      </c>
      <c r="K3" s="2" t="str">
        <f t="shared" si="0"/>
        <v>Sat</v>
      </c>
      <c r="L3" s="2" t="str">
        <f t="shared" si="0"/>
        <v>Sun</v>
      </c>
      <c r="M3" s="2" t="str">
        <f t="shared" si="0"/>
        <v>Mon</v>
      </c>
      <c r="N3" s="2" t="str">
        <f t="shared" si="0"/>
        <v>Tue</v>
      </c>
      <c r="O3" s="2" t="str">
        <f t="shared" si="0"/>
        <v>Wed</v>
      </c>
      <c r="P3" s="2" t="str">
        <f t="shared" si="0"/>
        <v>Thu</v>
      </c>
      <c r="Q3" s="2" t="str">
        <f t="shared" si="0"/>
        <v>Fri</v>
      </c>
      <c r="R3" s="2" t="str">
        <f t="shared" si="0"/>
        <v>Sat</v>
      </c>
      <c r="S3" s="117" t="s">
        <v>4</v>
      </c>
      <c r="T3" s="117" t="s">
        <v>5</v>
      </c>
      <c r="U3" s="118" t="s">
        <v>127</v>
      </c>
      <c r="V3" s="119"/>
      <c r="W3" s="3"/>
      <c r="X3" s="3"/>
    </row>
    <row r="4" spans="1:24" ht="37.5" x14ac:dyDescent="0.25">
      <c r="A4" s="116"/>
      <c r="B4" s="116"/>
      <c r="C4" s="116"/>
      <c r="D4" s="116"/>
      <c r="E4" s="14">
        <v>45613</v>
      </c>
      <c r="F4" s="14">
        <v>45614</v>
      </c>
      <c r="G4" s="14">
        <v>45615</v>
      </c>
      <c r="H4" s="14">
        <v>45616</v>
      </c>
      <c r="I4" s="14">
        <v>45617</v>
      </c>
      <c r="J4" s="14">
        <v>45618</v>
      </c>
      <c r="K4" s="14">
        <v>45619</v>
      </c>
      <c r="L4" s="14">
        <v>45620</v>
      </c>
      <c r="M4" s="14">
        <v>45621</v>
      </c>
      <c r="N4" s="14">
        <v>45622</v>
      </c>
      <c r="O4" s="14">
        <v>45623</v>
      </c>
      <c r="P4" s="14">
        <v>45624</v>
      </c>
      <c r="Q4" s="14">
        <v>45625</v>
      </c>
      <c r="R4" s="14">
        <v>45626</v>
      </c>
      <c r="S4" s="117"/>
      <c r="T4" s="117"/>
      <c r="U4" s="5" t="s">
        <v>128</v>
      </c>
      <c r="V4" s="5">
        <f>SUM(V5:V8)</f>
        <v>14</v>
      </c>
      <c r="W4" s="3"/>
      <c r="X4" s="3"/>
    </row>
    <row r="5" spans="1:24" ht="15" customHeight="1" x14ac:dyDescent="0.25">
      <c r="A5" s="10">
        <v>1</v>
      </c>
      <c r="B5" s="7" t="s">
        <v>130</v>
      </c>
      <c r="C5" s="7" t="s">
        <v>131</v>
      </c>
      <c r="D5" s="8" t="s">
        <v>6</v>
      </c>
      <c r="E5" s="127" t="s">
        <v>115</v>
      </c>
      <c r="F5" s="9" t="s">
        <v>112</v>
      </c>
      <c r="G5" s="9" t="s">
        <v>112</v>
      </c>
      <c r="H5" s="9" t="s">
        <v>112</v>
      </c>
      <c r="I5" s="9" t="s">
        <v>112</v>
      </c>
      <c r="J5" s="9" t="s">
        <v>112</v>
      </c>
      <c r="K5" s="9" t="s">
        <v>112</v>
      </c>
      <c r="L5" s="127" t="s">
        <v>115</v>
      </c>
      <c r="M5" s="9" t="s">
        <v>112</v>
      </c>
      <c r="N5" s="9" t="s">
        <v>112</v>
      </c>
      <c r="O5" s="9" t="s">
        <v>112</v>
      </c>
      <c r="P5" s="9" t="s">
        <v>112</v>
      </c>
      <c r="Q5" s="9" t="s">
        <v>112</v>
      </c>
      <c r="R5" s="9" t="s">
        <v>112</v>
      </c>
      <c r="S5" s="5">
        <f t="shared" ref="S5:S36" si="1">COUNTIF(E5:R5,"P")</f>
        <v>12</v>
      </c>
      <c r="T5" s="5">
        <f t="shared" ref="T5:T36" si="2">COUNTIF(E5:R5,"A")</f>
        <v>0</v>
      </c>
      <c r="U5" s="5" t="s">
        <v>7</v>
      </c>
      <c r="V5" s="10">
        <v>12</v>
      </c>
      <c r="W5" s="11"/>
      <c r="X5" s="3"/>
    </row>
    <row r="6" spans="1:24" x14ac:dyDescent="0.25">
      <c r="A6" s="10">
        <v>2</v>
      </c>
      <c r="B6" s="7" t="s">
        <v>132</v>
      </c>
      <c r="C6" s="7" t="s">
        <v>133</v>
      </c>
      <c r="D6" s="8" t="s">
        <v>6</v>
      </c>
      <c r="E6" s="128"/>
      <c r="F6" s="9" t="s">
        <v>111</v>
      </c>
      <c r="G6" s="9" t="s">
        <v>111</v>
      </c>
      <c r="H6" s="9" t="s">
        <v>113</v>
      </c>
      <c r="I6" s="9" t="s">
        <v>113</v>
      </c>
      <c r="J6" s="9" t="s">
        <v>113</v>
      </c>
      <c r="K6" s="9" t="s">
        <v>111</v>
      </c>
      <c r="L6" s="128"/>
      <c r="M6" s="9" t="s">
        <v>112</v>
      </c>
      <c r="N6" s="9" t="s">
        <v>112</v>
      </c>
      <c r="O6" s="9" t="s">
        <v>112</v>
      </c>
      <c r="P6" s="9" t="s">
        <v>112</v>
      </c>
      <c r="Q6" s="9" t="s">
        <v>112</v>
      </c>
      <c r="R6" s="9" t="s">
        <v>112</v>
      </c>
      <c r="S6" s="5">
        <f t="shared" si="1"/>
        <v>6</v>
      </c>
      <c r="T6" s="5">
        <f t="shared" si="2"/>
        <v>3</v>
      </c>
      <c r="U6" s="5" t="s">
        <v>8</v>
      </c>
      <c r="V6" s="10">
        <v>2</v>
      </c>
      <c r="W6" s="3"/>
      <c r="X6" s="3"/>
    </row>
    <row r="7" spans="1:24" x14ac:dyDescent="0.25">
      <c r="A7" s="10">
        <v>3</v>
      </c>
      <c r="B7" s="7" t="s">
        <v>134</v>
      </c>
      <c r="C7" s="7" t="s">
        <v>97</v>
      </c>
      <c r="D7" s="8" t="s">
        <v>6</v>
      </c>
      <c r="E7" s="128"/>
      <c r="F7" s="9" t="s">
        <v>112</v>
      </c>
      <c r="G7" s="9" t="s">
        <v>112</v>
      </c>
      <c r="H7" s="9" t="s">
        <v>112</v>
      </c>
      <c r="I7" s="9" t="s">
        <v>112</v>
      </c>
      <c r="J7" s="9" t="s">
        <v>112</v>
      </c>
      <c r="K7" s="9" t="s">
        <v>112</v>
      </c>
      <c r="L7" s="128"/>
      <c r="M7" s="9" t="s">
        <v>112</v>
      </c>
      <c r="N7" s="9" t="s">
        <v>112</v>
      </c>
      <c r="O7" s="9" t="s">
        <v>112</v>
      </c>
      <c r="P7" s="9" t="s">
        <v>112</v>
      </c>
      <c r="Q7" s="9" t="s">
        <v>112</v>
      </c>
      <c r="R7" s="9" t="s">
        <v>112</v>
      </c>
      <c r="S7" s="5">
        <f t="shared" si="1"/>
        <v>12</v>
      </c>
      <c r="T7" s="5">
        <f t="shared" si="2"/>
        <v>0</v>
      </c>
      <c r="U7" s="5"/>
      <c r="V7" s="10"/>
      <c r="W7" s="3"/>
      <c r="X7" s="3"/>
    </row>
    <row r="8" spans="1:24" x14ac:dyDescent="0.25">
      <c r="A8" s="10">
        <v>4</v>
      </c>
      <c r="B8" s="7" t="s">
        <v>135</v>
      </c>
      <c r="C8" s="7" t="s">
        <v>136</v>
      </c>
      <c r="D8" s="8" t="s">
        <v>6</v>
      </c>
      <c r="E8" s="128"/>
      <c r="F8" s="9" t="s">
        <v>112</v>
      </c>
      <c r="G8" s="9" t="s">
        <v>112</v>
      </c>
      <c r="H8" s="9" t="s">
        <v>112</v>
      </c>
      <c r="I8" s="9" t="s">
        <v>112</v>
      </c>
      <c r="J8" s="9" t="s">
        <v>111</v>
      </c>
      <c r="K8" s="9" t="s">
        <v>112</v>
      </c>
      <c r="L8" s="128"/>
      <c r="M8" s="9" t="s">
        <v>112</v>
      </c>
      <c r="N8" s="9" t="s">
        <v>112</v>
      </c>
      <c r="O8" s="9" t="s">
        <v>112</v>
      </c>
      <c r="P8" s="9" t="s">
        <v>112</v>
      </c>
      <c r="Q8" s="9" t="s">
        <v>112</v>
      </c>
      <c r="R8" s="9" t="s">
        <v>112</v>
      </c>
      <c r="S8" s="5">
        <f t="shared" si="1"/>
        <v>11</v>
      </c>
      <c r="T8" s="5">
        <f t="shared" si="2"/>
        <v>1</v>
      </c>
      <c r="U8" s="5"/>
      <c r="V8" s="10"/>
      <c r="W8"/>
      <c r="X8"/>
    </row>
    <row r="9" spans="1:24" x14ac:dyDescent="0.25">
      <c r="A9" s="10">
        <v>5</v>
      </c>
      <c r="B9" s="7" t="s">
        <v>137</v>
      </c>
      <c r="C9" s="7" t="s">
        <v>138</v>
      </c>
      <c r="D9" s="8" t="s">
        <v>6</v>
      </c>
      <c r="E9" s="128"/>
      <c r="F9" s="9" t="s">
        <v>112</v>
      </c>
      <c r="G9" s="9" t="s">
        <v>112</v>
      </c>
      <c r="H9" s="9" t="s">
        <v>112</v>
      </c>
      <c r="I9" s="9" t="s">
        <v>112</v>
      </c>
      <c r="J9" s="9" t="s">
        <v>111</v>
      </c>
      <c r="K9" s="9" t="s">
        <v>112</v>
      </c>
      <c r="L9" s="128"/>
      <c r="M9" s="9" t="s">
        <v>112</v>
      </c>
      <c r="N9" s="9" t="s">
        <v>112</v>
      </c>
      <c r="O9" s="9" t="s">
        <v>112</v>
      </c>
      <c r="P9" s="9" t="s">
        <v>112</v>
      </c>
      <c r="Q9" s="9" t="s">
        <v>112</v>
      </c>
      <c r="R9" s="9" t="s">
        <v>112</v>
      </c>
      <c r="S9" s="5">
        <f t="shared" si="1"/>
        <v>11</v>
      </c>
      <c r="T9" s="5">
        <f t="shared" si="2"/>
        <v>1</v>
      </c>
      <c r="U9" s="5"/>
      <c r="V9" s="10"/>
    </row>
    <row r="10" spans="1:24" x14ac:dyDescent="0.25">
      <c r="A10" s="10">
        <v>6</v>
      </c>
      <c r="B10" s="7" t="s">
        <v>139</v>
      </c>
      <c r="C10" s="7" t="s">
        <v>140</v>
      </c>
      <c r="D10" s="8" t="s">
        <v>6</v>
      </c>
      <c r="E10" s="128"/>
      <c r="F10" s="9" t="s">
        <v>112</v>
      </c>
      <c r="G10" s="9" t="s">
        <v>112</v>
      </c>
      <c r="H10" s="9" t="s">
        <v>112</v>
      </c>
      <c r="I10" s="9" t="s">
        <v>112</v>
      </c>
      <c r="J10" s="9" t="s">
        <v>112</v>
      </c>
      <c r="K10" s="9" t="s">
        <v>111</v>
      </c>
      <c r="L10" s="128"/>
      <c r="M10" s="9" t="s">
        <v>112</v>
      </c>
      <c r="N10" s="9" t="s">
        <v>112</v>
      </c>
      <c r="O10" s="9" t="s">
        <v>111</v>
      </c>
      <c r="P10" s="9" t="s">
        <v>111</v>
      </c>
      <c r="Q10" s="9" t="s">
        <v>112</v>
      </c>
      <c r="R10" s="9" t="s">
        <v>111</v>
      </c>
      <c r="S10" s="5">
        <f t="shared" si="1"/>
        <v>8</v>
      </c>
      <c r="T10" s="5">
        <f t="shared" si="2"/>
        <v>4</v>
      </c>
    </row>
    <row r="11" spans="1:24" ht="15.75" x14ac:dyDescent="0.25">
      <c r="A11" s="10">
        <v>7</v>
      </c>
      <c r="B11" s="7" t="s">
        <v>141</v>
      </c>
      <c r="C11" s="7" t="s">
        <v>142</v>
      </c>
      <c r="D11" s="8" t="s">
        <v>6</v>
      </c>
      <c r="E11" s="128"/>
      <c r="F11" s="9" t="s">
        <v>112</v>
      </c>
      <c r="G11" s="9" t="s">
        <v>112</v>
      </c>
      <c r="H11" s="9" t="s">
        <v>112</v>
      </c>
      <c r="I11" s="9" t="s">
        <v>112</v>
      </c>
      <c r="J11" s="9" t="s">
        <v>112</v>
      </c>
      <c r="K11" s="9" t="s">
        <v>112</v>
      </c>
      <c r="L11" s="128"/>
      <c r="M11" s="9" t="s">
        <v>112</v>
      </c>
      <c r="N11" s="9" t="s">
        <v>112</v>
      </c>
      <c r="O11" s="9" t="s">
        <v>112</v>
      </c>
      <c r="P11" s="9" t="s">
        <v>112</v>
      </c>
      <c r="Q11" s="9" t="s">
        <v>112</v>
      </c>
      <c r="R11" s="9" t="s">
        <v>112</v>
      </c>
      <c r="S11" s="5">
        <f t="shared" si="1"/>
        <v>12</v>
      </c>
      <c r="T11" s="5">
        <f t="shared" si="2"/>
        <v>0</v>
      </c>
      <c r="U11" s="118" t="s">
        <v>9</v>
      </c>
      <c r="V11" s="119"/>
      <c r="W11" s="119"/>
      <c r="X11" s="120"/>
    </row>
    <row r="12" spans="1:24" x14ac:dyDescent="0.25">
      <c r="A12" s="10">
        <v>8</v>
      </c>
      <c r="B12" s="7" t="s">
        <v>143</v>
      </c>
      <c r="C12" s="7" t="s">
        <v>144</v>
      </c>
      <c r="D12" s="8" t="s">
        <v>6</v>
      </c>
      <c r="E12" s="128"/>
      <c r="F12" s="9" t="s">
        <v>112</v>
      </c>
      <c r="G12" s="9" t="s">
        <v>112</v>
      </c>
      <c r="H12" s="9" t="s">
        <v>112</v>
      </c>
      <c r="I12" s="9" t="s">
        <v>112</v>
      </c>
      <c r="J12" s="9" t="s">
        <v>112</v>
      </c>
      <c r="K12" s="9" t="s">
        <v>112</v>
      </c>
      <c r="L12" s="128"/>
      <c r="M12" s="9" t="s">
        <v>112</v>
      </c>
      <c r="N12" s="9" t="s">
        <v>112</v>
      </c>
      <c r="O12" s="9" t="s">
        <v>112</v>
      </c>
      <c r="P12" s="9" t="s">
        <v>112</v>
      </c>
      <c r="Q12" s="9" t="s">
        <v>112</v>
      </c>
      <c r="R12" s="9" t="s">
        <v>112</v>
      </c>
      <c r="S12" s="5">
        <f t="shared" si="1"/>
        <v>12</v>
      </c>
      <c r="T12" s="5">
        <f t="shared" si="2"/>
        <v>0</v>
      </c>
      <c r="U12" s="5" t="s">
        <v>10</v>
      </c>
      <c r="V12" s="5" t="s">
        <v>11</v>
      </c>
      <c r="W12" s="5" t="s">
        <v>12</v>
      </c>
      <c r="X12" s="5" t="s">
        <v>13</v>
      </c>
    </row>
    <row r="13" spans="1:24" x14ac:dyDescent="0.25">
      <c r="A13" s="10">
        <v>9</v>
      </c>
      <c r="B13" s="7" t="s">
        <v>145</v>
      </c>
      <c r="C13" s="7" t="s">
        <v>146</v>
      </c>
      <c r="D13" s="8" t="s">
        <v>6</v>
      </c>
      <c r="E13" s="128"/>
      <c r="F13" s="9" t="s">
        <v>112</v>
      </c>
      <c r="G13" s="9" t="s">
        <v>112</v>
      </c>
      <c r="H13" s="9" t="s">
        <v>112</v>
      </c>
      <c r="I13" s="9" t="s">
        <v>112</v>
      </c>
      <c r="J13" s="9" t="s">
        <v>112</v>
      </c>
      <c r="K13" s="9" t="s">
        <v>112</v>
      </c>
      <c r="L13" s="128"/>
      <c r="M13" s="9" t="s">
        <v>112</v>
      </c>
      <c r="N13" s="9" t="s">
        <v>112</v>
      </c>
      <c r="O13" s="9" t="s">
        <v>112</v>
      </c>
      <c r="P13" s="9" t="s">
        <v>112</v>
      </c>
      <c r="Q13" s="9" t="s">
        <v>112</v>
      </c>
      <c r="R13" s="9" t="s">
        <v>112</v>
      </c>
      <c r="S13" s="5">
        <f t="shared" si="1"/>
        <v>12</v>
      </c>
      <c r="T13" s="5">
        <f t="shared" si="2"/>
        <v>0</v>
      </c>
      <c r="U13" s="5" t="s">
        <v>14</v>
      </c>
      <c r="V13" s="10">
        <f>31*$V$5</f>
        <v>372</v>
      </c>
      <c r="W13" s="10">
        <f>25*$V$5</f>
        <v>300</v>
      </c>
      <c r="X13" s="10">
        <f>SUM(V13:W13)</f>
        <v>672</v>
      </c>
    </row>
    <row r="14" spans="1:24" x14ac:dyDescent="0.25">
      <c r="A14" s="10">
        <v>10</v>
      </c>
      <c r="B14" s="7" t="s">
        <v>147</v>
      </c>
      <c r="C14" s="7" t="s">
        <v>148</v>
      </c>
      <c r="D14" s="8" t="s">
        <v>6</v>
      </c>
      <c r="E14" s="128"/>
      <c r="F14" s="9" t="s">
        <v>111</v>
      </c>
      <c r="G14" s="9" t="s">
        <v>112</v>
      </c>
      <c r="H14" s="9" t="s">
        <v>112</v>
      </c>
      <c r="I14" s="9" t="s">
        <v>112</v>
      </c>
      <c r="J14" s="9" t="s">
        <v>112</v>
      </c>
      <c r="K14" s="9" t="s">
        <v>112</v>
      </c>
      <c r="L14" s="128"/>
      <c r="M14" s="9" t="s">
        <v>112</v>
      </c>
      <c r="N14" s="9" t="s">
        <v>112</v>
      </c>
      <c r="O14" s="9" t="s">
        <v>112</v>
      </c>
      <c r="P14" s="9" t="s">
        <v>112</v>
      </c>
      <c r="Q14" s="9" t="s">
        <v>112</v>
      </c>
      <c r="R14" s="9" t="s">
        <v>112</v>
      </c>
      <c r="S14" s="5">
        <f t="shared" si="1"/>
        <v>11</v>
      </c>
      <c r="T14" s="5">
        <f t="shared" si="2"/>
        <v>1</v>
      </c>
      <c r="U14" s="5" t="s">
        <v>15</v>
      </c>
      <c r="V14" s="10">
        <f>SUM(S30:S60)</f>
        <v>328</v>
      </c>
      <c r="W14" s="10">
        <f>SUM(S5:S29)</f>
        <v>255</v>
      </c>
      <c r="X14" s="10">
        <f>V14+W14</f>
        <v>583</v>
      </c>
    </row>
    <row r="15" spans="1:24" x14ac:dyDescent="0.25">
      <c r="A15" s="10">
        <v>11</v>
      </c>
      <c r="B15" s="7" t="s">
        <v>149</v>
      </c>
      <c r="C15" s="7" t="s">
        <v>150</v>
      </c>
      <c r="D15" s="8" t="s">
        <v>6</v>
      </c>
      <c r="E15" s="128"/>
      <c r="F15" s="9" t="s">
        <v>112</v>
      </c>
      <c r="G15" s="9" t="s">
        <v>112</v>
      </c>
      <c r="H15" s="9" t="s">
        <v>113</v>
      </c>
      <c r="I15" s="9" t="s">
        <v>113</v>
      </c>
      <c r="J15" s="9" t="s">
        <v>113</v>
      </c>
      <c r="K15" s="9" t="s">
        <v>113</v>
      </c>
      <c r="L15" s="128"/>
      <c r="M15" s="9" t="s">
        <v>113</v>
      </c>
      <c r="N15" s="9" t="s">
        <v>113</v>
      </c>
      <c r="O15" s="9" t="s">
        <v>113</v>
      </c>
      <c r="P15" s="9" t="s">
        <v>113</v>
      </c>
      <c r="Q15" s="9" t="s">
        <v>113</v>
      </c>
      <c r="R15" s="9" t="s">
        <v>111</v>
      </c>
      <c r="S15" s="5">
        <f t="shared" si="1"/>
        <v>2</v>
      </c>
      <c r="T15" s="5">
        <f t="shared" si="2"/>
        <v>1</v>
      </c>
      <c r="U15" s="5" t="s">
        <v>16</v>
      </c>
      <c r="V15" s="13">
        <f>V14/V13</f>
        <v>0.88172043010752688</v>
      </c>
      <c r="W15" s="13">
        <f>W14/W13</f>
        <v>0.85</v>
      </c>
      <c r="X15" s="13">
        <f>X14/X13</f>
        <v>0.86755952380952384</v>
      </c>
    </row>
    <row r="16" spans="1:24" x14ac:dyDescent="0.25">
      <c r="A16" s="10">
        <v>12</v>
      </c>
      <c r="B16" s="7" t="s">
        <v>151</v>
      </c>
      <c r="C16" s="7" t="s">
        <v>38</v>
      </c>
      <c r="D16" s="8" t="s">
        <v>6</v>
      </c>
      <c r="E16" s="128"/>
      <c r="F16" s="9" t="s">
        <v>112</v>
      </c>
      <c r="G16" s="9" t="s">
        <v>112</v>
      </c>
      <c r="H16" s="9" t="s">
        <v>112</v>
      </c>
      <c r="I16" s="9" t="s">
        <v>112</v>
      </c>
      <c r="J16" s="9" t="s">
        <v>112</v>
      </c>
      <c r="K16" s="9" t="s">
        <v>112</v>
      </c>
      <c r="L16" s="128"/>
      <c r="M16" s="9" t="s">
        <v>112</v>
      </c>
      <c r="N16" s="9" t="s">
        <v>112</v>
      </c>
      <c r="O16" s="9" t="s">
        <v>111</v>
      </c>
      <c r="P16" s="9" t="s">
        <v>112</v>
      </c>
      <c r="Q16" s="9" t="s">
        <v>111</v>
      </c>
      <c r="R16" s="9" t="s">
        <v>112</v>
      </c>
      <c r="S16" s="5">
        <f t="shared" si="1"/>
        <v>10</v>
      </c>
      <c r="T16" s="5">
        <f t="shared" si="2"/>
        <v>2</v>
      </c>
      <c r="U16"/>
      <c r="V16"/>
      <c r="W16"/>
      <c r="X16"/>
    </row>
    <row r="17" spans="1:24" x14ac:dyDescent="0.25">
      <c r="A17" s="10">
        <v>13</v>
      </c>
      <c r="B17" s="7" t="s">
        <v>152</v>
      </c>
      <c r="C17" s="7" t="s">
        <v>153</v>
      </c>
      <c r="D17" s="8" t="s">
        <v>6</v>
      </c>
      <c r="E17" s="128"/>
      <c r="F17" s="9" t="s">
        <v>112</v>
      </c>
      <c r="G17" s="9" t="s">
        <v>112</v>
      </c>
      <c r="H17" s="9" t="s">
        <v>112</v>
      </c>
      <c r="I17" s="9" t="s">
        <v>112</v>
      </c>
      <c r="J17" s="9" t="s">
        <v>112</v>
      </c>
      <c r="K17" s="9" t="s">
        <v>112</v>
      </c>
      <c r="L17" s="128"/>
      <c r="M17" s="9" t="s">
        <v>112</v>
      </c>
      <c r="N17" s="9" t="s">
        <v>112</v>
      </c>
      <c r="O17" s="9" t="s">
        <v>112</v>
      </c>
      <c r="P17" s="9" t="s">
        <v>112</v>
      </c>
      <c r="Q17" s="9" t="s">
        <v>112</v>
      </c>
      <c r="R17" s="9" t="s">
        <v>112</v>
      </c>
      <c r="S17" s="5">
        <f t="shared" si="1"/>
        <v>12</v>
      </c>
      <c r="T17" s="5">
        <f t="shared" si="2"/>
        <v>0</v>
      </c>
      <c r="U17"/>
      <c r="V17"/>
      <c r="W17"/>
      <c r="X17"/>
    </row>
    <row r="18" spans="1:24" x14ac:dyDescent="0.25">
      <c r="A18" s="10">
        <v>14</v>
      </c>
      <c r="B18" s="7" t="s">
        <v>154</v>
      </c>
      <c r="C18" s="7" t="s">
        <v>155</v>
      </c>
      <c r="D18" s="8" t="s">
        <v>6</v>
      </c>
      <c r="E18" s="128"/>
      <c r="F18" s="9" t="s">
        <v>112</v>
      </c>
      <c r="G18" s="9" t="s">
        <v>112</v>
      </c>
      <c r="H18" s="9" t="s">
        <v>112</v>
      </c>
      <c r="I18" s="9" t="s">
        <v>112</v>
      </c>
      <c r="J18" s="9" t="s">
        <v>112</v>
      </c>
      <c r="K18" s="9" t="s">
        <v>112</v>
      </c>
      <c r="L18" s="128"/>
      <c r="M18" s="9" t="s">
        <v>112</v>
      </c>
      <c r="N18" s="9" t="s">
        <v>112</v>
      </c>
      <c r="O18" s="9" t="s">
        <v>112</v>
      </c>
      <c r="P18" s="9" t="s">
        <v>112</v>
      </c>
      <c r="Q18" s="9" t="s">
        <v>112</v>
      </c>
      <c r="R18" s="9" t="s">
        <v>112</v>
      </c>
      <c r="S18" s="5">
        <f t="shared" si="1"/>
        <v>12</v>
      </c>
      <c r="T18" s="5">
        <f t="shared" si="2"/>
        <v>0</v>
      </c>
      <c r="U18"/>
      <c r="V18"/>
      <c r="W18"/>
      <c r="X18"/>
    </row>
    <row r="19" spans="1:24" ht="15.75" x14ac:dyDescent="0.25">
      <c r="A19" s="10">
        <v>15</v>
      </c>
      <c r="B19" s="7" t="s">
        <v>156</v>
      </c>
      <c r="C19" s="7" t="s">
        <v>157</v>
      </c>
      <c r="D19" s="8" t="s">
        <v>6</v>
      </c>
      <c r="E19" s="128"/>
      <c r="F19" s="9" t="s">
        <v>112</v>
      </c>
      <c r="G19" s="9" t="s">
        <v>112</v>
      </c>
      <c r="H19" s="9" t="s">
        <v>112</v>
      </c>
      <c r="I19" s="9" t="s">
        <v>113</v>
      </c>
      <c r="J19" s="9" t="s">
        <v>113</v>
      </c>
      <c r="K19" s="9" t="s">
        <v>113</v>
      </c>
      <c r="L19" s="128"/>
      <c r="M19" s="9" t="s">
        <v>112</v>
      </c>
      <c r="N19" s="9" t="s">
        <v>112</v>
      </c>
      <c r="O19" s="9" t="s">
        <v>112</v>
      </c>
      <c r="P19" s="9" t="s">
        <v>112</v>
      </c>
      <c r="Q19" s="9" t="s">
        <v>112</v>
      </c>
      <c r="R19" s="9" t="s">
        <v>112</v>
      </c>
      <c r="S19" s="5">
        <f t="shared" si="1"/>
        <v>9</v>
      </c>
      <c r="T19" s="5">
        <f t="shared" si="2"/>
        <v>0</v>
      </c>
      <c r="U19" s="118" t="s">
        <v>129</v>
      </c>
      <c r="V19" s="119"/>
      <c r="W19" s="119"/>
      <c r="X19" s="120"/>
    </row>
    <row r="20" spans="1:24" x14ac:dyDescent="0.25">
      <c r="A20" s="10">
        <v>16</v>
      </c>
      <c r="B20" s="7" t="s">
        <v>158</v>
      </c>
      <c r="C20" s="7" t="s">
        <v>159</v>
      </c>
      <c r="D20" s="8" t="s">
        <v>6</v>
      </c>
      <c r="E20" s="128"/>
      <c r="F20" s="9" t="s">
        <v>112</v>
      </c>
      <c r="G20" s="9" t="s">
        <v>112</v>
      </c>
      <c r="H20" s="9" t="s">
        <v>112</v>
      </c>
      <c r="I20" s="9" t="s">
        <v>112</v>
      </c>
      <c r="J20" s="9" t="s">
        <v>112</v>
      </c>
      <c r="K20" s="9" t="s">
        <v>112</v>
      </c>
      <c r="L20" s="128"/>
      <c r="M20" s="9" t="s">
        <v>112</v>
      </c>
      <c r="N20" s="9" t="s">
        <v>112</v>
      </c>
      <c r="O20" s="9" t="s">
        <v>112</v>
      </c>
      <c r="P20" s="9" t="s">
        <v>112</v>
      </c>
      <c r="Q20" s="9" t="s">
        <v>112</v>
      </c>
      <c r="R20" s="9" t="s">
        <v>112</v>
      </c>
      <c r="S20" s="5">
        <f t="shared" si="1"/>
        <v>12</v>
      </c>
      <c r="T20" s="5">
        <f t="shared" si="2"/>
        <v>0</v>
      </c>
      <c r="U20" s="5" t="s">
        <v>10</v>
      </c>
      <c r="V20" s="5" t="s">
        <v>11</v>
      </c>
      <c r="W20" s="5" t="s">
        <v>12</v>
      </c>
      <c r="X20" s="5" t="s">
        <v>13</v>
      </c>
    </row>
    <row r="21" spans="1:24" x14ac:dyDescent="0.25">
      <c r="A21" s="10">
        <v>17</v>
      </c>
      <c r="B21" s="7" t="s">
        <v>160</v>
      </c>
      <c r="C21" s="7" t="s">
        <v>140</v>
      </c>
      <c r="D21" s="8" t="s">
        <v>6</v>
      </c>
      <c r="E21" s="128"/>
      <c r="F21" s="9" t="s">
        <v>112</v>
      </c>
      <c r="G21" s="9" t="s">
        <v>112</v>
      </c>
      <c r="H21" s="9" t="s">
        <v>112</v>
      </c>
      <c r="I21" s="9" t="s">
        <v>112</v>
      </c>
      <c r="J21" s="9" t="s">
        <v>112</v>
      </c>
      <c r="K21" s="9" t="s">
        <v>112</v>
      </c>
      <c r="L21" s="128"/>
      <c r="M21" s="9" t="s">
        <v>112</v>
      </c>
      <c r="N21" s="9" t="s">
        <v>112</v>
      </c>
      <c r="O21" s="9" t="s">
        <v>112</v>
      </c>
      <c r="P21" s="9" t="s">
        <v>112</v>
      </c>
      <c r="Q21" s="9" t="s">
        <v>112</v>
      </c>
      <c r="R21" s="9" t="s">
        <v>112</v>
      </c>
      <c r="S21" s="5">
        <f t="shared" si="1"/>
        <v>12</v>
      </c>
      <c r="T21" s="5">
        <f t="shared" si="2"/>
        <v>0</v>
      </c>
      <c r="U21" s="5" t="s">
        <v>14</v>
      </c>
      <c r="V21" s="10">
        <f>31*$V$5</f>
        <v>372</v>
      </c>
      <c r="W21" s="10">
        <f>25*$V$5</f>
        <v>300</v>
      </c>
      <c r="X21" s="10">
        <f>V21+W21</f>
        <v>672</v>
      </c>
    </row>
    <row r="22" spans="1:24" x14ac:dyDescent="0.25">
      <c r="A22" s="10">
        <v>18</v>
      </c>
      <c r="B22" s="7" t="s">
        <v>161</v>
      </c>
      <c r="C22" s="7" t="s">
        <v>162</v>
      </c>
      <c r="D22" s="8" t="s">
        <v>6</v>
      </c>
      <c r="E22" s="128"/>
      <c r="F22" s="9" t="s">
        <v>112</v>
      </c>
      <c r="G22" s="9" t="s">
        <v>112</v>
      </c>
      <c r="H22" s="9" t="s">
        <v>112</v>
      </c>
      <c r="I22" s="9" t="s">
        <v>112</v>
      </c>
      <c r="J22" s="9" t="s">
        <v>111</v>
      </c>
      <c r="K22" s="9" t="s">
        <v>111</v>
      </c>
      <c r="L22" s="128"/>
      <c r="M22" s="9" t="s">
        <v>111</v>
      </c>
      <c r="N22" s="9" t="s">
        <v>112</v>
      </c>
      <c r="O22" s="9" t="s">
        <v>112</v>
      </c>
      <c r="P22" s="9" t="s">
        <v>112</v>
      </c>
      <c r="Q22" s="9" t="s">
        <v>112</v>
      </c>
      <c r="R22" s="9" t="s">
        <v>111</v>
      </c>
      <c r="S22" s="5">
        <f t="shared" si="1"/>
        <v>8</v>
      </c>
      <c r="T22" s="5">
        <f t="shared" si="2"/>
        <v>4</v>
      </c>
      <c r="U22" s="5" t="s">
        <v>17</v>
      </c>
      <c r="V22" s="10">
        <f>V21-V14</f>
        <v>44</v>
      </c>
      <c r="W22" s="10">
        <f>W21-W14</f>
        <v>45</v>
      </c>
      <c r="X22" s="10">
        <f>V22+W22</f>
        <v>89</v>
      </c>
    </row>
    <row r="23" spans="1:24" x14ac:dyDescent="0.25">
      <c r="A23" s="10">
        <v>19</v>
      </c>
      <c r="B23" s="7" t="s">
        <v>163</v>
      </c>
      <c r="C23" s="7" t="s">
        <v>164</v>
      </c>
      <c r="D23" s="8" t="s">
        <v>6</v>
      </c>
      <c r="E23" s="128"/>
      <c r="F23" s="9" t="s">
        <v>112</v>
      </c>
      <c r="G23" s="9" t="s">
        <v>112</v>
      </c>
      <c r="H23" s="9" t="s">
        <v>112</v>
      </c>
      <c r="I23" s="9" t="s">
        <v>112</v>
      </c>
      <c r="J23" s="9" t="s">
        <v>112</v>
      </c>
      <c r="K23" s="9" t="s">
        <v>112</v>
      </c>
      <c r="L23" s="128"/>
      <c r="M23" s="9" t="s">
        <v>112</v>
      </c>
      <c r="N23" s="9" t="s">
        <v>112</v>
      </c>
      <c r="O23" s="9" t="s">
        <v>112</v>
      </c>
      <c r="P23" s="9" t="s">
        <v>112</v>
      </c>
      <c r="Q23" s="9" t="s">
        <v>112</v>
      </c>
      <c r="R23" s="9" t="s">
        <v>112</v>
      </c>
      <c r="S23" s="5">
        <f t="shared" si="1"/>
        <v>12</v>
      </c>
      <c r="T23" s="5">
        <f t="shared" si="2"/>
        <v>0</v>
      </c>
      <c r="U23" s="5" t="s">
        <v>16</v>
      </c>
      <c r="V23" s="13">
        <f>V22/V21</f>
        <v>0.11827956989247312</v>
      </c>
      <c r="W23" s="13">
        <f>W22/W21</f>
        <v>0.15</v>
      </c>
      <c r="X23" s="13">
        <f>X22/X21</f>
        <v>0.13244047619047619</v>
      </c>
    </row>
    <row r="24" spans="1:24" x14ac:dyDescent="0.25">
      <c r="A24" s="10">
        <v>20</v>
      </c>
      <c r="B24" s="7" t="s">
        <v>165</v>
      </c>
      <c r="C24" s="7" t="s">
        <v>166</v>
      </c>
      <c r="D24" s="8" t="s">
        <v>6</v>
      </c>
      <c r="E24" s="128"/>
      <c r="F24" s="9" t="s">
        <v>112</v>
      </c>
      <c r="G24" s="9" t="s">
        <v>112</v>
      </c>
      <c r="H24" s="9" t="s">
        <v>112</v>
      </c>
      <c r="I24" s="9" t="s">
        <v>112</v>
      </c>
      <c r="J24" s="9" t="s">
        <v>112</v>
      </c>
      <c r="K24" s="9" t="s">
        <v>111</v>
      </c>
      <c r="L24" s="128"/>
      <c r="M24" s="9" t="s">
        <v>112</v>
      </c>
      <c r="N24" s="9" t="s">
        <v>112</v>
      </c>
      <c r="O24" s="9" t="s">
        <v>112</v>
      </c>
      <c r="P24" s="9" t="s">
        <v>112</v>
      </c>
      <c r="Q24" s="9" t="s">
        <v>112</v>
      </c>
      <c r="R24" s="9" t="s">
        <v>112</v>
      </c>
      <c r="S24" s="5">
        <f t="shared" si="1"/>
        <v>11</v>
      </c>
      <c r="T24" s="5">
        <f t="shared" si="2"/>
        <v>1</v>
      </c>
      <c r="U24"/>
      <c r="V24"/>
      <c r="W24"/>
      <c r="X24"/>
    </row>
    <row r="25" spans="1:24" x14ac:dyDescent="0.25">
      <c r="A25" s="10">
        <v>21</v>
      </c>
      <c r="B25" s="7" t="s">
        <v>167</v>
      </c>
      <c r="C25" s="7" t="s">
        <v>168</v>
      </c>
      <c r="D25" s="8" t="s">
        <v>6</v>
      </c>
      <c r="E25" s="128"/>
      <c r="F25" s="9" t="s">
        <v>112</v>
      </c>
      <c r="G25" s="9" t="s">
        <v>112</v>
      </c>
      <c r="H25" s="9" t="s">
        <v>112</v>
      </c>
      <c r="I25" s="9" t="s">
        <v>112</v>
      </c>
      <c r="J25" s="9" t="s">
        <v>112</v>
      </c>
      <c r="K25" s="9" t="s">
        <v>112</v>
      </c>
      <c r="L25" s="128"/>
      <c r="M25" s="9" t="s">
        <v>112</v>
      </c>
      <c r="N25" s="9" t="s">
        <v>112</v>
      </c>
      <c r="O25" s="9" t="s">
        <v>112</v>
      </c>
      <c r="P25" s="9" t="s">
        <v>112</v>
      </c>
      <c r="Q25" s="9" t="s">
        <v>112</v>
      </c>
      <c r="R25" s="9" t="s">
        <v>112</v>
      </c>
      <c r="S25" s="5">
        <f t="shared" si="1"/>
        <v>12</v>
      </c>
      <c r="T25" s="5">
        <f t="shared" si="2"/>
        <v>0</v>
      </c>
      <c r="U25"/>
      <c r="V25"/>
      <c r="W25"/>
      <c r="X25"/>
    </row>
    <row r="26" spans="1:24" x14ac:dyDescent="0.25">
      <c r="A26" s="10">
        <v>22</v>
      </c>
      <c r="B26" s="7" t="s">
        <v>169</v>
      </c>
      <c r="C26" s="7" t="s">
        <v>170</v>
      </c>
      <c r="D26" s="8" t="s">
        <v>6</v>
      </c>
      <c r="E26" s="128"/>
      <c r="F26" s="9" t="s">
        <v>112</v>
      </c>
      <c r="G26" s="9" t="s">
        <v>112</v>
      </c>
      <c r="H26" s="9" t="s">
        <v>112</v>
      </c>
      <c r="I26" s="9" t="s">
        <v>112</v>
      </c>
      <c r="J26" s="9" t="s">
        <v>112</v>
      </c>
      <c r="K26" s="9" t="s">
        <v>112</v>
      </c>
      <c r="L26" s="128"/>
      <c r="M26" s="9" t="s">
        <v>112</v>
      </c>
      <c r="N26" s="9" t="s">
        <v>112</v>
      </c>
      <c r="O26" s="9" t="s">
        <v>112</v>
      </c>
      <c r="P26" s="9" t="s">
        <v>112</v>
      </c>
      <c r="Q26" s="9" t="s">
        <v>112</v>
      </c>
      <c r="R26" s="9" t="s">
        <v>111</v>
      </c>
      <c r="S26" s="5">
        <f t="shared" si="1"/>
        <v>11</v>
      </c>
      <c r="T26" s="5">
        <f t="shared" si="2"/>
        <v>1</v>
      </c>
      <c r="U26"/>
      <c r="V26"/>
      <c r="W26"/>
      <c r="X26"/>
    </row>
    <row r="27" spans="1:24" x14ac:dyDescent="0.25">
      <c r="A27" s="10">
        <v>23</v>
      </c>
      <c r="B27" s="7" t="s">
        <v>171</v>
      </c>
      <c r="C27" s="7" t="s">
        <v>138</v>
      </c>
      <c r="D27" s="8" t="s">
        <v>6</v>
      </c>
      <c r="E27" s="128"/>
      <c r="F27" s="9" t="s">
        <v>112</v>
      </c>
      <c r="G27" s="9" t="s">
        <v>112</v>
      </c>
      <c r="H27" s="9" t="s">
        <v>112</v>
      </c>
      <c r="I27" s="9" t="s">
        <v>112</v>
      </c>
      <c r="J27" s="9" t="s">
        <v>112</v>
      </c>
      <c r="K27" s="9" t="s">
        <v>112</v>
      </c>
      <c r="L27" s="128"/>
      <c r="M27" s="9" t="s">
        <v>112</v>
      </c>
      <c r="N27" s="9" t="s">
        <v>112</v>
      </c>
      <c r="O27" s="9" t="s">
        <v>112</v>
      </c>
      <c r="P27" s="9" t="s">
        <v>112</v>
      </c>
      <c r="Q27" s="9" t="s">
        <v>112</v>
      </c>
      <c r="R27" s="9" t="s">
        <v>111</v>
      </c>
      <c r="S27" s="5">
        <f t="shared" si="1"/>
        <v>11</v>
      </c>
      <c r="T27" s="5">
        <f t="shared" si="2"/>
        <v>1</v>
      </c>
      <c r="U27"/>
      <c r="V27"/>
      <c r="W27"/>
      <c r="X27"/>
    </row>
    <row r="28" spans="1:24" x14ac:dyDescent="0.25">
      <c r="A28" s="10">
        <v>24</v>
      </c>
      <c r="B28" s="7" t="s">
        <v>172</v>
      </c>
      <c r="C28" s="7" t="s">
        <v>173</v>
      </c>
      <c r="D28" s="8" t="s">
        <v>6</v>
      </c>
      <c r="E28" s="128"/>
      <c r="F28" s="9" t="s">
        <v>111</v>
      </c>
      <c r="G28" s="9" t="s">
        <v>111</v>
      </c>
      <c r="H28" s="9" t="s">
        <v>111</v>
      </c>
      <c r="I28" s="9" t="s">
        <v>111</v>
      </c>
      <c r="J28" s="9" t="s">
        <v>111</v>
      </c>
      <c r="K28" s="9" t="s">
        <v>111</v>
      </c>
      <c r="L28" s="128"/>
      <c r="M28" s="9" t="s">
        <v>112</v>
      </c>
      <c r="N28" s="9" t="s">
        <v>112</v>
      </c>
      <c r="O28" s="9" t="s">
        <v>112</v>
      </c>
      <c r="P28" s="9" t="s">
        <v>112</v>
      </c>
      <c r="Q28" s="9" t="s">
        <v>111</v>
      </c>
      <c r="R28" s="9" t="s">
        <v>112</v>
      </c>
      <c r="S28" s="5">
        <f t="shared" si="1"/>
        <v>5</v>
      </c>
      <c r="T28" s="5">
        <f t="shared" si="2"/>
        <v>7</v>
      </c>
      <c r="U28"/>
      <c r="V28"/>
      <c r="W28"/>
      <c r="X28"/>
    </row>
    <row r="29" spans="1:24" x14ac:dyDescent="0.25">
      <c r="A29" s="10">
        <v>25</v>
      </c>
      <c r="B29" s="7" t="s">
        <v>174</v>
      </c>
      <c r="C29" s="7" t="s">
        <v>175</v>
      </c>
      <c r="D29" s="8" t="s">
        <v>6</v>
      </c>
      <c r="E29" s="128"/>
      <c r="F29" s="9" t="s">
        <v>112</v>
      </c>
      <c r="G29" s="9" t="s">
        <v>112</v>
      </c>
      <c r="H29" s="9" t="s">
        <v>112</v>
      </c>
      <c r="I29" s="9" t="s">
        <v>112</v>
      </c>
      <c r="J29" s="9" t="s">
        <v>111</v>
      </c>
      <c r="K29" s="9" t="s">
        <v>111</v>
      </c>
      <c r="L29" s="128"/>
      <c r="M29" s="9" t="s">
        <v>112</v>
      </c>
      <c r="N29" s="9" t="s">
        <v>112</v>
      </c>
      <c r="O29" s="9" t="s">
        <v>112</v>
      </c>
      <c r="P29" s="9" t="s">
        <v>112</v>
      </c>
      <c r="Q29" s="9" t="s">
        <v>112</v>
      </c>
      <c r="R29" s="9" t="s">
        <v>111</v>
      </c>
      <c r="S29" s="5">
        <f t="shared" si="1"/>
        <v>9</v>
      </c>
      <c r="T29" s="5">
        <f t="shared" si="2"/>
        <v>3</v>
      </c>
      <c r="U29"/>
      <c r="V29"/>
      <c r="W29"/>
      <c r="X29"/>
    </row>
    <row r="30" spans="1:24" ht="16.5" customHeight="1" x14ac:dyDescent="0.25">
      <c r="A30" s="6">
        <v>1</v>
      </c>
      <c r="B30" s="18" t="s">
        <v>176</v>
      </c>
      <c r="C30" s="19" t="s">
        <v>177</v>
      </c>
      <c r="D30" s="20" t="s">
        <v>6</v>
      </c>
      <c r="E30" s="128"/>
      <c r="F30" s="21" t="s">
        <v>112</v>
      </c>
      <c r="G30" s="21" t="s">
        <v>112</v>
      </c>
      <c r="H30" s="21" t="s">
        <v>112</v>
      </c>
      <c r="I30" s="21" t="s">
        <v>112</v>
      </c>
      <c r="J30" s="21" t="s">
        <v>111</v>
      </c>
      <c r="K30" s="21" t="s">
        <v>111</v>
      </c>
      <c r="L30" s="128"/>
      <c r="M30" s="21" t="s">
        <v>112</v>
      </c>
      <c r="N30" s="21" t="s">
        <v>112</v>
      </c>
      <c r="O30" s="21" t="s">
        <v>112</v>
      </c>
      <c r="P30" s="21" t="s">
        <v>112</v>
      </c>
      <c r="Q30" s="21" t="s">
        <v>112</v>
      </c>
      <c r="R30" s="21" t="s">
        <v>112</v>
      </c>
      <c r="S30" s="4">
        <f t="shared" si="1"/>
        <v>10</v>
      </c>
      <c r="T30" s="4">
        <f t="shared" si="2"/>
        <v>2</v>
      </c>
    </row>
    <row r="31" spans="1:24" x14ac:dyDescent="0.25">
      <c r="A31" s="12">
        <v>2</v>
      </c>
      <c r="B31" s="22" t="s">
        <v>178</v>
      </c>
      <c r="C31" s="23" t="s">
        <v>179</v>
      </c>
      <c r="D31" s="21" t="s">
        <v>6</v>
      </c>
      <c r="E31" s="128"/>
      <c r="F31" s="21" t="s">
        <v>112</v>
      </c>
      <c r="G31" s="21" t="s">
        <v>112</v>
      </c>
      <c r="H31" s="21" t="s">
        <v>112</v>
      </c>
      <c r="I31" s="21" t="s">
        <v>112</v>
      </c>
      <c r="J31" s="21" t="s">
        <v>112</v>
      </c>
      <c r="K31" s="21" t="s">
        <v>112</v>
      </c>
      <c r="L31" s="128"/>
      <c r="M31" s="21" t="s">
        <v>112</v>
      </c>
      <c r="N31" s="21" t="s">
        <v>112</v>
      </c>
      <c r="O31" s="21" t="s">
        <v>112</v>
      </c>
      <c r="P31" s="21" t="s">
        <v>112</v>
      </c>
      <c r="Q31" s="21" t="s">
        <v>112</v>
      </c>
      <c r="R31" s="21" t="s">
        <v>112</v>
      </c>
      <c r="S31" s="4">
        <f t="shared" si="1"/>
        <v>12</v>
      </c>
      <c r="T31" s="4">
        <f t="shared" si="2"/>
        <v>0</v>
      </c>
    </row>
    <row r="32" spans="1:24" x14ac:dyDescent="0.25">
      <c r="A32" s="6">
        <v>3</v>
      </c>
      <c r="B32" s="22" t="s">
        <v>180</v>
      </c>
      <c r="C32" s="23" t="s">
        <v>181</v>
      </c>
      <c r="D32" s="21" t="s">
        <v>6</v>
      </c>
      <c r="E32" s="128"/>
      <c r="F32" s="21" t="s">
        <v>112</v>
      </c>
      <c r="G32" s="21" t="s">
        <v>112</v>
      </c>
      <c r="H32" s="21" t="s">
        <v>112</v>
      </c>
      <c r="I32" s="21" t="s">
        <v>112</v>
      </c>
      <c r="J32" s="21" t="s">
        <v>112</v>
      </c>
      <c r="K32" s="21" t="s">
        <v>112</v>
      </c>
      <c r="L32" s="128"/>
      <c r="M32" s="21" t="s">
        <v>112</v>
      </c>
      <c r="N32" s="21" t="s">
        <v>112</v>
      </c>
      <c r="O32" s="21" t="s">
        <v>112</v>
      </c>
      <c r="P32" s="21" t="s">
        <v>112</v>
      </c>
      <c r="Q32" s="21" t="s">
        <v>112</v>
      </c>
      <c r="R32" s="21" t="s">
        <v>112</v>
      </c>
      <c r="S32" s="4">
        <f t="shared" si="1"/>
        <v>12</v>
      </c>
      <c r="T32" s="4">
        <f t="shared" si="2"/>
        <v>0</v>
      </c>
    </row>
    <row r="33" spans="1:20" x14ac:dyDescent="0.25">
      <c r="A33" s="12">
        <v>4</v>
      </c>
      <c r="B33" s="22" t="s">
        <v>182</v>
      </c>
      <c r="C33" s="23" t="s">
        <v>183</v>
      </c>
      <c r="D33" s="21" t="s">
        <v>6</v>
      </c>
      <c r="E33" s="128"/>
      <c r="F33" s="21" t="s">
        <v>112</v>
      </c>
      <c r="G33" s="21" t="s">
        <v>112</v>
      </c>
      <c r="H33" s="21" t="s">
        <v>111</v>
      </c>
      <c r="I33" s="21" t="s">
        <v>112</v>
      </c>
      <c r="J33" s="21" t="s">
        <v>111</v>
      </c>
      <c r="K33" s="21" t="s">
        <v>111</v>
      </c>
      <c r="L33" s="128"/>
      <c r="M33" s="21" t="s">
        <v>111</v>
      </c>
      <c r="N33" s="21" t="s">
        <v>112</v>
      </c>
      <c r="O33" s="21" t="s">
        <v>112</v>
      </c>
      <c r="P33" s="21" t="s">
        <v>112</v>
      </c>
      <c r="Q33" s="21" t="s">
        <v>112</v>
      </c>
      <c r="R33" s="21" t="s">
        <v>112</v>
      </c>
      <c r="S33" s="4">
        <f t="shared" si="1"/>
        <v>8</v>
      </c>
      <c r="T33" s="4">
        <f t="shared" si="2"/>
        <v>4</v>
      </c>
    </row>
    <row r="34" spans="1:20" x14ac:dyDescent="0.25">
      <c r="A34" s="6">
        <v>5</v>
      </c>
      <c r="B34" s="22" t="s">
        <v>184</v>
      </c>
      <c r="C34" s="23" t="s">
        <v>185</v>
      </c>
      <c r="D34" s="21" t="s">
        <v>6</v>
      </c>
      <c r="E34" s="128"/>
      <c r="F34" s="21" t="s">
        <v>112</v>
      </c>
      <c r="G34" s="21" t="s">
        <v>112</v>
      </c>
      <c r="H34" s="21" t="s">
        <v>112</v>
      </c>
      <c r="I34" s="21" t="s">
        <v>112</v>
      </c>
      <c r="J34" s="21" t="s">
        <v>112</v>
      </c>
      <c r="K34" s="21" t="s">
        <v>112</v>
      </c>
      <c r="L34" s="128"/>
      <c r="M34" s="21" t="s">
        <v>112</v>
      </c>
      <c r="N34" s="21" t="s">
        <v>112</v>
      </c>
      <c r="O34" s="21" t="s">
        <v>112</v>
      </c>
      <c r="P34" s="21" t="s">
        <v>111</v>
      </c>
      <c r="Q34" s="21" t="s">
        <v>112</v>
      </c>
      <c r="R34" s="21" t="s">
        <v>112</v>
      </c>
      <c r="S34" s="4">
        <f t="shared" si="1"/>
        <v>11</v>
      </c>
      <c r="T34" s="4">
        <f t="shared" si="2"/>
        <v>1</v>
      </c>
    </row>
    <row r="35" spans="1:20" x14ac:dyDescent="0.25">
      <c r="A35" s="12">
        <v>6</v>
      </c>
      <c r="B35" s="22" t="s">
        <v>186</v>
      </c>
      <c r="C35" s="23" t="s">
        <v>187</v>
      </c>
      <c r="D35" s="21" t="s">
        <v>6</v>
      </c>
      <c r="E35" s="128"/>
      <c r="F35" s="21" t="s">
        <v>112</v>
      </c>
      <c r="G35" s="21" t="s">
        <v>112</v>
      </c>
      <c r="H35" s="21" t="s">
        <v>112</v>
      </c>
      <c r="I35" s="21" t="s">
        <v>112</v>
      </c>
      <c r="J35" s="21" t="s">
        <v>112</v>
      </c>
      <c r="K35" s="21" t="s">
        <v>112</v>
      </c>
      <c r="L35" s="128"/>
      <c r="M35" s="21" t="s">
        <v>112</v>
      </c>
      <c r="N35" s="21" t="s">
        <v>112</v>
      </c>
      <c r="O35" s="21" t="s">
        <v>112</v>
      </c>
      <c r="P35" s="21" t="s">
        <v>112</v>
      </c>
      <c r="Q35" s="21" t="s">
        <v>112</v>
      </c>
      <c r="R35" s="21" t="s">
        <v>112</v>
      </c>
      <c r="S35" s="4">
        <f t="shared" si="1"/>
        <v>12</v>
      </c>
      <c r="T35" s="4">
        <f t="shared" si="2"/>
        <v>0</v>
      </c>
    </row>
    <row r="36" spans="1:20" x14ac:dyDescent="0.25">
      <c r="A36" s="6">
        <v>7</v>
      </c>
      <c r="B36" s="22" t="s">
        <v>188</v>
      </c>
      <c r="C36" s="23" t="s">
        <v>189</v>
      </c>
      <c r="D36" s="21" t="s">
        <v>6</v>
      </c>
      <c r="E36" s="128"/>
      <c r="F36" s="21" t="s">
        <v>112</v>
      </c>
      <c r="G36" s="21" t="s">
        <v>112</v>
      </c>
      <c r="H36" s="21" t="s">
        <v>111</v>
      </c>
      <c r="I36" s="21" t="s">
        <v>112</v>
      </c>
      <c r="J36" s="21" t="s">
        <v>112</v>
      </c>
      <c r="K36" s="21" t="s">
        <v>112</v>
      </c>
      <c r="L36" s="128"/>
      <c r="M36" s="21" t="s">
        <v>112</v>
      </c>
      <c r="N36" s="21" t="s">
        <v>112</v>
      </c>
      <c r="O36" s="21" t="s">
        <v>112</v>
      </c>
      <c r="P36" s="21" t="s">
        <v>112</v>
      </c>
      <c r="Q36" s="21" t="s">
        <v>112</v>
      </c>
      <c r="R36" s="21" t="s">
        <v>112</v>
      </c>
      <c r="S36" s="4">
        <f t="shared" si="1"/>
        <v>11</v>
      </c>
      <c r="T36" s="4">
        <f t="shared" si="2"/>
        <v>1</v>
      </c>
    </row>
    <row r="37" spans="1:20" x14ac:dyDescent="0.25">
      <c r="A37" s="12">
        <v>8</v>
      </c>
      <c r="B37" s="22" t="s">
        <v>190</v>
      </c>
      <c r="C37" s="23" t="s">
        <v>191</v>
      </c>
      <c r="D37" s="21" t="s">
        <v>6</v>
      </c>
      <c r="E37" s="128"/>
      <c r="F37" s="21" t="s">
        <v>111</v>
      </c>
      <c r="G37" s="21" t="s">
        <v>112</v>
      </c>
      <c r="H37" s="21" t="s">
        <v>112</v>
      </c>
      <c r="I37" s="21" t="s">
        <v>112</v>
      </c>
      <c r="J37" s="21" t="s">
        <v>112</v>
      </c>
      <c r="K37" s="21" t="s">
        <v>112</v>
      </c>
      <c r="L37" s="128"/>
      <c r="M37" s="21" t="s">
        <v>112</v>
      </c>
      <c r="N37" s="21" t="s">
        <v>112</v>
      </c>
      <c r="O37" s="21" t="s">
        <v>111</v>
      </c>
      <c r="P37" s="21" t="s">
        <v>111</v>
      </c>
      <c r="Q37" s="21" t="s">
        <v>112</v>
      </c>
      <c r="R37" s="21" t="s">
        <v>111</v>
      </c>
      <c r="S37" s="4">
        <f t="shared" ref="S37:S68" si="3">COUNTIF(E37:R37,"P")</f>
        <v>8</v>
      </c>
      <c r="T37" s="4">
        <f t="shared" ref="T37:T60" si="4">COUNTIF(E37:R37,"A")</f>
        <v>4</v>
      </c>
    </row>
    <row r="38" spans="1:20" x14ac:dyDescent="0.25">
      <c r="A38" s="6">
        <v>9</v>
      </c>
      <c r="B38" s="22" t="s">
        <v>192</v>
      </c>
      <c r="C38" s="23" t="s">
        <v>193</v>
      </c>
      <c r="D38" s="21" t="s">
        <v>6</v>
      </c>
      <c r="E38" s="128"/>
      <c r="F38" s="21" t="s">
        <v>112</v>
      </c>
      <c r="G38" s="21" t="s">
        <v>112</v>
      </c>
      <c r="H38" s="21" t="s">
        <v>112</v>
      </c>
      <c r="I38" s="21" t="s">
        <v>112</v>
      </c>
      <c r="J38" s="21" t="s">
        <v>112</v>
      </c>
      <c r="K38" s="21" t="s">
        <v>112</v>
      </c>
      <c r="L38" s="128"/>
      <c r="M38" s="21" t="s">
        <v>112</v>
      </c>
      <c r="N38" s="21" t="s">
        <v>112</v>
      </c>
      <c r="O38" s="21" t="s">
        <v>112</v>
      </c>
      <c r="P38" s="21" t="s">
        <v>112</v>
      </c>
      <c r="Q38" s="21" t="s">
        <v>112</v>
      </c>
      <c r="R38" s="21" t="s">
        <v>112</v>
      </c>
      <c r="S38" s="4">
        <f t="shared" si="3"/>
        <v>12</v>
      </c>
      <c r="T38" s="4">
        <f t="shared" si="4"/>
        <v>0</v>
      </c>
    </row>
    <row r="39" spans="1:20" x14ac:dyDescent="0.25">
      <c r="A39" s="12">
        <v>10</v>
      </c>
      <c r="B39" s="22" t="s">
        <v>194</v>
      </c>
      <c r="C39" s="23" t="s">
        <v>195</v>
      </c>
      <c r="D39" s="21" t="s">
        <v>6</v>
      </c>
      <c r="E39" s="128"/>
      <c r="F39" s="21" t="s">
        <v>111</v>
      </c>
      <c r="G39" s="21" t="s">
        <v>112</v>
      </c>
      <c r="H39" s="21" t="s">
        <v>112</v>
      </c>
      <c r="I39" s="21" t="s">
        <v>112</v>
      </c>
      <c r="J39" s="21" t="s">
        <v>112</v>
      </c>
      <c r="K39" s="21" t="s">
        <v>112</v>
      </c>
      <c r="L39" s="128"/>
      <c r="M39" s="21" t="s">
        <v>112</v>
      </c>
      <c r="N39" s="21" t="s">
        <v>112</v>
      </c>
      <c r="O39" s="21" t="s">
        <v>112</v>
      </c>
      <c r="P39" s="21" t="s">
        <v>112</v>
      </c>
      <c r="Q39" s="21" t="s">
        <v>112</v>
      </c>
      <c r="R39" s="21" t="s">
        <v>112</v>
      </c>
      <c r="S39" s="4">
        <f t="shared" si="3"/>
        <v>11</v>
      </c>
      <c r="T39" s="4">
        <f t="shared" si="4"/>
        <v>1</v>
      </c>
    </row>
    <row r="40" spans="1:20" x14ac:dyDescent="0.25">
      <c r="A40" s="6">
        <v>11</v>
      </c>
      <c r="B40" s="22" t="s">
        <v>196</v>
      </c>
      <c r="C40" s="23" t="s">
        <v>146</v>
      </c>
      <c r="D40" s="21" t="s">
        <v>6</v>
      </c>
      <c r="E40" s="128"/>
      <c r="F40" s="21" t="s">
        <v>112</v>
      </c>
      <c r="G40" s="21" t="s">
        <v>112</v>
      </c>
      <c r="H40" s="21" t="s">
        <v>112</v>
      </c>
      <c r="I40" s="21" t="s">
        <v>112</v>
      </c>
      <c r="J40" s="21" t="s">
        <v>112</v>
      </c>
      <c r="K40" s="21" t="s">
        <v>112</v>
      </c>
      <c r="L40" s="128"/>
      <c r="M40" s="21" t="s">
        <v>112</v>
      </c>
      <c r="N40" s="21" t="s">
        <v>112</v>
      </c>
      <c r="O40" s="21" t="s">
        <v>112</v>
      </c>
      <c r="P40" s="21" t="s">
        <v>112</v>
      </c>
      <c r="Q40" s="21" t="s">
        <v>112</v>
      </c>
      <c r="R40" s="21" t="s">
        <v>112</v>
      </c>
      <c r="S40" s="4">
        <f t="shared" si="3"/>
        <v>12</v>
      </c>
      <c r="T40" s="4">
        <f t="shared" si="4"/>
        <v>0</v>
      </c>
    </row>
    <row r="41" spans="1:20" x14ac:dyDescent="0.25">
      <c r="A41" s="12">
        <v>12</v>
      </c>
      <c r="B41" s="22" t="s">
        <v>197</v>
      </c>
      <c r="C41" s="23" t="s">
        <v>198</v>
      </c>
      <c r="D41" s="21" t="s">
        <v>6</v>
      </c>
      <c r="E41" s="128"/>
      <c r="F41" s="21" t="s">
        <v>111</v>
      </c>
      <c r="G41" s="21" t="s">
        <v>112</v>
      </c>
      <c r="H41" s="21" t="s">
        <v>112</v>
      </c>
      <c r="I41" s="21" t="s">
        <v>112</v>
      </c>
      <c r="J41" s="21" t="s">
        <v>112</v>
      </c>
      <c r="K41" s="21" t="s">
        <v>112</v>
      </c>
      <c r="L41" s="128"/>
      <c r="M41" s="21" t="s">
        <v>112</v>
      </c>
      <c r="N41" s="21" t="s">
        <v>111</v>
      </c>
      <c r="O41" s="21" t="s">
        <v>112</v>
      </c>
      <c r="P41" s="21" t="s">
        <v>112</v>
      </c>
      <c r="Q41" s="21" t="s">
        <v>112</v>
      </c>
      <c r="R41" s="21" t="s">
        <v>112</v>
      </c>
      <c r="S41" s="4">
        <f t="shared" si="3"/>
        <v>10</v>
      </c>
      <c r="T41" s="4">
        <f t="shared" si="4"/>
        <v>2</v>
      </c>
    </row>
    <row r="42" spans="1:20" x14ac:dyDescent="0.25">
      <c r="A42" s="6">
        <v>13</v>
      </c>
      <c r="B42" s="22" t="s">
        <v>199</v>
      </c>
      <c r="C42" s="23" t="s">
        <v>200</v>
      </c>
      <c r="D42" s="21" t="s">
        <v>6</v>
      </c>
      <c r="E42" s="128"/>
      <c r="F42" s="21" t="s">
        <v>112</v>
      </c>
      <c r="G42" s="21" t="s">
        <v>111</v>
      </c>
      <c r="H42" s="21" t="s">
        <v>112</v>
      </c>
      <c r="I42" s="21" t="s">
        <v>111</v>
      </c>
      <c r="J42" s="21" t="s">
        <v>111</v>
      </c>
      <c r="K42" s="21" t="s">
        <v>111</v>
      </c>
      <c r="L42" s="128"/>
      <c r="M42" s="21" t="s">
        <v>112</v>
      </c>
      <c r="N42" s="21" t="s">
        <v>112</v>
      </c>
      <c r="O42" s="21" t="s">
        <v>112</v>
      </c>
      <c r="P42" s="21" t="s">
        <v>112</v>
      </c>
      <c r="Q42" s="21" t="s">
        <v>112</v>
      </c>
      <c r="R42" s="21" t="s">
        <v>112</v>
      </c>
      <c r="S42" s="4">
        <f t="shared" si="3"/>
        <v>8</v>
      </c>
      <c r="T42" s="4">
        <f t="shared" si="4"/>
        <v>4</v>
      </c>
    </row>
    <row r="43" spans="1:20" x14ac:dyDescent="0.25">
      <c r="A43" s="12">
        <v>14</v>
      </c>
      <c r="B43" s="22" t="s">
        <v>201</v>
      </c>
      <c r="C43" s="23" t="s">
        <v>202</v>
      </c>
      <c r="D43" s="21" t="s">
        <v>6</v>
      </c>
      <c r="E43" s="128"/>
      <c r="F43" s="21" t="s">
        <v>112</v>
      </c>
      <c r="G43" s="21" t="s">
        <v>112</v>
      </c>
      <c r="H43" s="21" t="s">
        <v>112</v>
      </c>
      <c r="I43" s="21" t="s">
        <v>112</v>
      </c>
      <c r="J43" s="21" t="s">
        <v>112</v>
      </c>
      <c r="K43" s="21" t="s">
        <v>112</v>
      </c>
      <c r="L43" s="128"/>
      <c r="M43" s="21" t="s">
        <v>112</v>
      </c>
      <c r="N43" s="21" t="s">
        <v>112</v>
      </c>
      <c r="O43" s="21" t="s">
        <v>112</v>
      </c>
      <c r="P43" s="21" t="s">
        <v>112</v>
      </c>
      <c r="Q43" s="21" t="s">
        <v>112</v>
      </c>
      <c r="R43" s="21" t="s">
        <v>112</v>
      </c>
      <c r="S43" s="4">
        <f t="shared" si="3"/>
        <v>12</v>
      </c>
      <c r="T43" s="4">
        <f t="shared" si="4"/>
        <v>0</v>
      </c>
    </row>
    <row r="44" spans="1:20" x14ac:dyDescent="0.25">
      <c r="A44" s="6">
        <v>15</v>
      </c>
      <c r="B44" s="22" t="s">
        <v>203</v>
      </c>
      <c r="C44" s="23" t="s">
        <v>204</v>
      </c>
      <c r="D44" s="21" t="s">
        <v>6</v>
      </c>
      <c r="E44" s="128"/>
      <c r="F44" s="21" t="s">
        <v>112</v>
      </c>
      <c r="G44" s="21" t="s">
        <v>112</v>
      </c>
      <c r="H44" s="21" t="s">
        <v>112</v>
      </c>
      <c r="I44" s="21" t="s">
        <v>111</v>
      </c>
      <c r="J44" s="21" t="s">
        <v>112</v>
      </c>
      <c r="K44" s="21" t="s">
        <v>112</v>
      </c>
      <c r="L44" s="128"/>
      <c r="M44" s="21" t="s">
        <v>112</v>
      </c>
      <c r="N44" s="21" t="s">
        <v>112</v>
      </c>
      <c r="O44" s="21" t="s">
        <v>112</v>
      </c>
      <c r="P44" s="21" t="s">
        <v>112</v>
      </c>
      <c r="Q44" s="21" t="s">
        <v>112</v>
      </c>
      <c r="R44" s="21" t="s">
        <v>111</v>
      </c>
      <c r="S44" s="4">
        <f t="shared" si="3"/>
        <v>10</v>
      </c>
      <c r="T44" s="4">
        <f t="shared" si="4"/>
        <v>2</v>
      </c>
    </row>
    <row r="45" spans="1:20" x14ac:dyDescent="0.25">
      <c r="A45" s="12">
        <v>16</v>
      </c>
      <c r="B45" s="22" t="s">
        <v>205</v>
      </c>
      <c r="C45" s="23" t="s">
        <v>58</v>
      </c>
      <c r="D45" s="21" t="s">
        <v>6</v>
      </c>
      <c r="E45" s="128"/>
      <c r="F45" s="21" t="s">
        <v>112</v>
      </c>
      <c r="G45" s="21" t="s">
        <v>111</v>
      </c>
      <c r="H45" s="21" t="s">
        <v>112</v>
      </c>
      <c r="I45" s="21" t="s">
        <v>111</v>
      </c>
      <c r="J45" s="21" t="s">
        <v>112</v>
      </c>
      <c r="K45" s="21" t="s">
        <v>112</v>
      </c>
      <c r="L45" s="128"/>
      <c r="M45" s="21" t="s">
        <v>112</v>
      </c>
      <c r="N45" s="21" t="s">
        <v>112</v>
      </c>
      <c r="O45" s="21" t="s">
        <v>112</v>
      </c>
      <c r="P45" s="21" t="s">
        <v>112</v>
      </c>
      <c r="Q45" s="21" t="s">
        <v>112</v>
      </c>
      <c r="R45" s="21" t="s">
        <v>112</v>
      </c>
      <c r="S45" s="4">
        <f t="shared" si="3"/>
        <v>10</v>
      </c>
      <c r="T45" s="4">
        <f t="shared" si="4"/>
        <v>2</v>
      </c>
    </row>
    <row r="46" spans="1:20" x14ac:dyDescent="0.25">
      <c r="A46" s="6">
        <v>17</v>
      </c>
      <c r="B46" s="22" t="s">
        <v>206</v>
      </c>
      <c r="C46" s="23" t="s">
        <v>207</v>
      </c>
      <c r="D46" s="21" t="s">
        <v>6</v>
      </c>
      <c r="E46" s="128"/>
      <c r="F46" s="21" t="s">
        <v>111</v>
      </c>
      <c r="G46" s="21" t="s">
        <v>111</v>
      </c>
      <c r="H46" s="21" t="s">
        <v>112</v>
      </c>
      <c r="I46" s="21" t="s">
        <v>112</v>
      </c>
      <c r="J46" s="21" t="s">
        <v>112</v>
      </c>
      <c r="K46" s="21" t="s">
        <v>112</v>
      </c>
      <c r="L46" s="128"/>
      <c r="M46" s="21" t="s">
        <v>112</v>
      </c>
      <c r="N46" s="21" t="s">
        <v>112</v>
      </c>
      <c r="O46" s="21" t="s">
        <v>112</v>
      </c>
      <c r="P46" s="21" t="s">
        <v>112</v>
      </c>
      <c r="Q46" s="21" t="s">
        <v>112</v>
      </c>
      <c r="R46" s="21" t="s">
        <v>111</v>
      </c>
      <c r="S46" s="4">
        <f t="shared" si="3"/>
        <v>9</v>
      </c>
      <c r="T46" s="4">
        <f t="shared" si="4"/>
        <v>3</v>
      </c>
    </row>
    <row r="47" spans="1:20" x14ac:dyDescent="0.25">
      <c r="A47" s="12">
        <v>18</v>
      </c>
      <c r="B47" s="22" t="s">
        <v>208</v>
      </c>
      <c r="C47" s="23" t="s">
        <v>207</v>
      </c>
      <c r="D47" s="21" t="s">
        <v>6</v>
      </c>
      <c r="E47" s="128"/>
      <c r="F47" s="21" t="s">
        <v>112</v>
      </c>
      <c r="G47" s="21" t="s">
        <v>112</v>
      </c>
      <c r="H47" s="21" t="s">
        <v>112</v>
      </c>
      <c r="I47" s="21" t="s">
        <v>112</v>
      </c>
      <c r="J47" s="21" t="s">
        <v>112</v>
      </c>
      <c r="K47" s="21" t="s">
        <v>112</v>
      </c>
      <c r="L47" s="128"/>
      <c r="M47" s="21" t="s">
        <v>112</v>
      </c>
      <c r="N47" s="21" t="s">
        <v>112</v>
      </c>
      <c r="O47" s="21" t="s">
        <v>112</v>
      </c>
      <c r="P47" s="21" t="s">
        <v>112</v>
      </c>
      <c r="Q47" s="21" t="s">
        <v>112</v>
      </c>
      <c r="R47" s="21" t="s">
        <v>112</v>
      </c>
      <c r="S47" s="4">
        <f t="shared" si="3"/>
        <v>12</v>
      </c>
      <c r="T47" s="4">
        <f t="shared" si="4"/>
        <v>0</v>
      </c>
    </row>
    <row r="48" spans="1:20" x14ac:dyDescent="0.25">
      <c r="A48" s="6">
        <v>19</v>
      </c>
      <c r="B48" s="22" t="s">
        <v>209</v>
      </c>
      <c r="C48" s="23" t="s">
        <v>210</v>
      </c>
      <c r="D48" s="21" t="s">
        <v>6</v>
      </c>
      <c r="E48" s="128"/>
      <c r="F48" s="21" t="s">
        <v>112</v>
      </c>
      <c r="G48" s="21" t="s">
        <v>112</v>
      </c>
      <c r="H48" s="21" t="s">
        <v>112</v>
      </c>
      <c r="I48" s="21" t="s">
        <v>112</v>
      </c>
      <c r="J48" s="21" t="s">
        <v>112</v>
      </c>
      <c r="K48" s="21" t="s">
        <v>112</v>
      </c>
      <c r="L48" s="128"/>
      <c r="M48" s="21" t="s">
        <v>112</v>
      </c>
      <c r="N48" s="21" t="s">
        <v>112</v>
      </c>
      <c r="O48" s="21" t="s">
        <v>112</v>
      </c>
      <c r="P48" s="21" t="s">
        <v>112</v>
      </c>
      <c r="Q48" s="21" t="s">
        <v>112</v>
      </c>
      <c r="R48" s="21" t="s">
        <v>112</v>
      </c>
      <c r="S48" s="4">
        <f t="shared" si="3"/>
        <v>12</v>
      </c>
      <c r="T48" s="4">
        <f t="shared" si="4"/>
        <v>0</v>
      </c>
    </row>
    <row r="49" spans="1:20" x14ac:dyDescent="0.25">
      <c r="A49" s="12">
        <v>20</v>
      </c>
      <c r="B49" s="22" t="s">
        <v>211</v>
      </c>
      <c r="C49" s="23" t="s">
        <v>78</v>
      </c>
      <c r="D49" s="21" t="s">
        <v>6</v>
      </c>
      <c r="E49" s="128"/>
      <c r="F49" s="21" t="s">
        <v>112</v>
      </c>
      <c r="G49" s="21" t="s">
        <v>112</v>
      </c>
      <c r="H49" s="21" t="s">
        <v>112</v>
      </c>
      <c r="I49" s="21" t="s">
        <v>112</v>
      </c>
      <c r="J49" s="21" t="s">
        <v>112</v>
      </c>
      <c r="K49" s="21" t="s">
        <v>112</v>
      </c>
      <c r="L49" s="128"/>
      <c r="M49" s="21" t="s">
        <v>112</v>
      </c>
      <c r="N49" s="21" t="s">
        <v>112</v>
      </c>
      <c r="O49" s="21" t="s">
        <v>112</v>
      </c>
      <c r="P49" s="21" t="s">
        <v>112</v>
      </c>
      <c r="Q49" s="21" t="s">
        <v>112</v>
      </c>
      <c r="R49" s="21" t="s">
        <v>112</v>
      </c>
      <c r="S49" s="4">
        <f t="shared" si="3"/>
        <v>12</v>
      </c>
      <c r="T49" s="4">
        <f t="shared" si="4"/>
        <v>0</v>
      </c>
    </row>
    <row r="50" spans="1:20" x14ac:dyDescent="0.25">
      <c r="A50" s="6">
        <v>21</v>
      </c>
      <c r="B50" s="22" t="s">
        <v>212</v>
      </c>
      <c r="C50" s="23" t="s">
        <v>213</v>
      </c>
      <c r="D50" s="21" t="s">
        <v>6</v>
      </c>
      <c r="E50" s="128"/>
      <c r="F50" s="21" t="s">
        <v>112</v>
      </c>
      <c r="G50" s="21" t="s">
        <v>112</v>
      </c>
      <c r="H50" s="21" t="s">
        <v>112</v>
      </c>
      <c r="I50" s="21" t="s">
        <v>112</v>
      </c>
      <c r="J50" s="21" t="s">
        <v>112</v>
      </c>
      <c r="K50" s="21" t="s">
        <v>112</v>
      </c>
      <c r="L50" s="128"/>
      <c r="M50" s="21" t="s">
        <v>112</v>
      </c>
      <c r="N50" s="21" t="s">
        <v>112</v>
      </c>
      <c r="O50" s="21" t="s">
        <v>112</v>
      </c>
      <c r="P50" s="21" t="s">
        <v>112</v>
      </c>
      <c r="Q50" s="21" t="s">
        <v>112</v>
      </c>
      <c r="R50" s="21" t="s">
        <v>112</v>
      </c>
      <c r="S50" s="4">
        <f t="shared" si="3"/>
        <v>12</v>
      </c>
      <c r="T50" s="4">
        <f t="shared" si="4"/>
        <v>0</v>
      </c>
    </row>
    <row r="51" spans="1:20" x14ac:dyDescent="0.25">
      <c r="A51" s="12">
        <v>22</v>
      </c>
      <c r="B51" s="22" t="s">
        <v>214</v>
      </c>
      <c r="C51" s="23" t="s">
        <v>213</v>
      </c>
      <c r="D51" s="21" t="s">
        <v>6</v>
      </c>
      <c r="E51" s="128"/>
      <c r="F51" s="21" t="s">
        <v>112</v>
      </c>
      <c r="G51" s="21" t="s">
        <v>112</v>
      </c>
      <c r="H51" s="21" t="s">
        <v>112</v>
      </c>
      <c r="I51" s="21" t="s">
        <v>112</v>
      </c>
      <c r="J51" s="21" t="s">
        <v>112</v>
      </c>
      <c r="K51" s="21" t="s">
        <v>112</v>
      </c>
      <c r="L51" s="128"/>
      <c r="M51" s="21" t="s">
        <v>112</v>
      </c>
      <c r="N51" s="21" t="s">
        <v>112</v>
      </c>
      <c r="O51" s="21" t="s">
        <v>112</v>
      </c>
      <c r="P51" s="21" t="s">
        <v>112</v>
      </c>
      <c r="Q51" s="21" t="s">
        <v>112</v>
      </c>
      <c r="R51" s="21" t="s">
        <v>112</v>
      </c>
      <c r="S51" s="4">
        <f t="shared" si="3"/>
        <v>12</v>
      </c>
      <c r="T51" s="4">
        <f t="shared" si="4"/>
        <v>0</v>
      </c>
    </row>
    <row r="52" spans="1:20" x14ac:dyDescent="0.25">
      <c r="A52" s="6">
        <v>23</v>
      </c>
      <c r="B52" s="22" t="s">
        <v>215</v>
      </c>
      <c r="C52" s="23" t="s">
        <v>216</v>
      </c>
      <c r="D52" s="21" t="s">
        <v>6</v>
      </c>
      <c r="E52" s="128"/>
      <c r="F52" s="21" t="s">
        <v>112</v>
      </c>
      <c r="G52" s="21" t="s">
        <v>112</v>
      </c>
      <c r="H52" s="21" t="s">
        <v>112</v>
      </c>
      <c r="I52" s="21" t="s">
        <v>112</v>
      </c>
      <c r="J52" s="21" t="s">
        <v>112</v>
      </c>
      <c r="K52" s="21" t="s">
        <v>111</v>
      </c>
      <c r="L52" s="128"/>
      <c r="M52" s="21" t="s">
        <v>112</v>
      </c>
      <c r="N52" s="21" t="s">
        <v>112</v>
      </c>
      <c r="O52" s="21" t="s">
        <v>112</v>
      </c>
      <c r="P52" s="21" t="s">
        <v>112</v>
      </c>
      <c r="Q52" s="21" t="s">
        <v>112</v>
      </c>
      <c r="R52" s="21" t="s">
        <v>111</v>
      </c>
      <c r="S52" s="4">
        <f t="shared" si="3"/>
        <v>10</v>
      </c>
      <c r="T52" s="4">
        <f t="shared" si="4"/>
        <v>2</v>
      </c>
    </row>
    <row r="53" spans="1:20" x14ac:dyDescent="0.25">
      <c r="A53" s="12">
        <v>24</v>
      </c>
      <c r="B53" s="22" t="s">
        <v>217</v>
      </c>
      <c r="C53" s="23" t="s">
        <v>216</v>
      </c>
      <c r="D53" s="21" t="s">
        <v>6</v>
      </c>
      <c r="E53" s="128"/>
      <c r="F53" s="21" t="s">
        <v>112</v>
      </c>
      <c r="G53" s="21" t="s">
        <v>112</v>
      </c>
      <c r="H53" s="21" t="s">
        <v>112</v>
      </c>
      <c r="I53" s="21" t="s">
        <v>112</v>
      </c>
      <c r="J53" s="21" t="s">
        <v>112</v>
      </c>
      <c r="K53" s="21" t="s">
        <v>111</v>
      </c>
      <c r="L53" s="128"/>
      <c r="M53" s="21" t="s">
        <v>112</v>
      </c>
      <c r="N53" s="21" t="s">
        <v>112</v>
      </c>
      <c r="O53" s="21" t="s">
        <v>112</v>
      </c>
      <c r="P53" s="21" t="s">
        <v>112</v>
      </c>
      <c r="Q53" s="21" t="s">
        <v>112</v>
      </c>
      <c r="R53" s="21" t="s">
        <v>111</v>
      </c>
      <c r="S53" s="4">
        <f t="shared" si="3"/>
        <v>10</v>
      </c>
      <c r="T53" s="4">
        <f t="shared" si="4"/>
        <v>2</v>
      </c>
    </row>
    <row r="54" spans="1:20" x14ac:dyDescent="0.25">
      <c r="A54" s="6">
        <v>25</v>
      </c>
      <c r="B54" s="22" t="s">
        <v>218</v>
      </c>
      <c r="C54" s="23" t="s">
        <v>219</v>
      </c>
      <c r="D54" s="21" t="s">
        <v>6</v>
      </c>
      <c r="E54" s="128"/>
      <c r="F54" s="21" t="s">
        <v>112</v>
      </c>
      <c r="G54" s="21" t="s">
        <v>112</v>
      </c>
      <c r="H54" s="21" t="s">
        <v>112</v>
      </c>
      <c r="I54" s="21" t="s">
        <v>111</v>
      </c>
      <c r="J54" s="21" t="s">
        <v>112</v>
      </c>
      <c r="K54" s="21" t="s">
        <v>112</v>
      </c>
      <c r="L54" s="128"/>
      <c r="M54" s="21" t="s">
        <v>112</v>
      </c>
      <c r="N54" s="21" t="s">
        <v>112</v>
      </c>
      <c r="O54" s="21" t="s">
        <v>112</v>
      </c>
      <c r="P54" s="21" t="s">
        <v>112</v>
      </c>
      <c r="Q54" s="21" t="s">
        <v>112</v>
      </c>
      <c r="R54" s="21" t="s">
        <v>112</v>
      </c>
      <c r="S54" s="4">
        <f t="shared" si="3"/>
        <v>11</v>
      </c>
      <c r="T54" s="4">
        <f t="shared" si="4"/>
        <v>1</v>
      </c>
    </row>
    <row r="55" spans="1:20" x14ac:dyDescent="0.25">
      <c r="A55" s="12">
        <v>26</v>
      </c>
      <c r="B55" s="22" t="s">
        <v>220</v>
      </c>
      <c r="C55" s="23" t="s">
        <v>140</v>
      </c>
      <c r="D55" s="21" t="s">
        <v>6</v>
      </c>
      <c r="E55" s="128"/>
      <c r="F55" s="21" t="s">
        <v>112</v>
      </c>
      <c r="G55" s="21" t="s">
        <v>112</v>
      </c>
      <c r="H55" s="21" t="s">
        <v>112</v>
      </c>
      <c r="I55" s="21" t="s">
        <v>112</v>
      </c>
      <c r="J55" s="21" t="s">
        <v>111</v>
      </c>
      <c r="K55" s="21" t="s">
        <v>111</v>
      </c>
      <c r="L55" s="128"/>
      <c r="M55" s="21" t="s">
        <v>112</v>
      </c>
      <c r="N55" s="21" t="s">
        <v>112</v>
      </c>
      <c r="O55" s="21" t="s">
        <v>112</v>
      </c>
      <c r="P55" s="21" t="s">
        <v>112</v>
      </c>
      <c r="Q55" s="21" t="s">
        <v>112</v>
      </c>
      <c r="R55" s="21" t="s">
        <v>111</v>
      </c>
      <c r="S55" s="4">
        <f t="shared" si="3"/>
        <v>9</v>
      </c>
      <c r="T55" s="4">
        <f t="shared" si="4"/>
        <v>3</v>
      </c>
    </row>
    <row r="56" spans="1:20" x14ac:dyDescent="0.25">
      <c r="A56" s="6">
        <v>27</v>
      </c>
      <c r="B56" s="22" t="s">
        <v>221</v>
      </c>
      <c r="C56" s="23" t="s">
        <v>222</v>
      </c>
      <c r="D56" s="21" t="s">
        <v>6</v>
      </c>
      <c r="E56" s="128"/>
      <c r="F56" s="21" t="s">
        <v>111</v>
      </c>
      <c r="G56" s="21" t="s">
        <v>113</v>
      </c>
      <c r="H56" s="21" t="s">
        <v>113</v>
      </c>
      <c r="I56" s="21" t="s">
        <v>112</v>
      </c>
      <c r="J56" s="21" t="s">
        <v>111</v>
      </c>
      <c r="K56" s="21" t="s">
        <v>112</v>
      </c>
      <c r="L56" s="128"/>
      <c r="M56" s="21" t="s">
        <v>112</v>
      </c>
      <c r="N56" s="21" t="s">
        <v>112</v>
      </c>
      <c r="O56" s="21" t="s">
        <v>112</v>
      </c>
      <c r="P56" s="21" t="s">
        <v>112</v>
      </c>
      <c r="Q56" s="21" t="s">
        <v>112</v>
      </c>
      <c r="R56" s="21" t="s">
        <v>112</v>
      </c>
      <c r="S56" s="4">
        <f t="shared" si="3"/>
        <v>8</v>
      </c>
      <c r="T56" s="4">
        <f t="shared" si="4"/>
        <v>2</v>
      </c>
    </row>
    <row r="57" spans="1:20" x14ac:dyDescent="0.25">
      <c r="A57" s="12">
        <v>28</v>
      </c>
      <c r="B57" s="22" t="s">
        <v>223</v>
      </c>
      <c r="C57" s="23" t="s">
        <v>224</v>
      </c>
      <c r="D57" s="21" t="s">
        <v>6</v>
      </c>
      <c r="E57" s="128"/>
      <c r="F57" s="21" t="s">
        <v>112</v>
      </c>
      <c r="G57" s="21" t="s">
        <v>112</v>
      </c>
      <c r="H57" s="21" t="s">
        <v>112</v>
      </c>
      <c r="I57" s="21" t="s">
        <v>112</v>
      </c>
      <c r="J57" s="21" t="s">
        <v>112</v>
      </c>
      <c r="K57" s="21" t="s">
        <v>112</v>
      </c>
      <c r="L57" s="128"/>
      <c r="M57" s="21" t="s">
        <v>112</v>
      </c>
      <c r="N57" s="21" t="s">
        <v>112</v>
      </c>
      <c r="O57" s="21" t="s">
        <v>112</v>
      </c>
      <c r="P57" s="21" t="s">
        <v>112</v>
      </c>
      <c r="Q57" s="21" t="s">
        <v>112</v>
      </c>
      <c r="R57" s="21" t="s">
        <v>112</v>
      </c>
      <c r="S57" s="4">
        <f t="shared" si="3"/>
        <v>12</v>
      </c>
      <c r="T57" s="4">
        <f t="shared" si="4"/>
        <v>0</v>
      </c>
    </row>
    <row r="58" spans="1:20" x14ac:dyDescent="0.25">
      <c r="A58" s="6">
        <v>29</v>
      </c>
      <c r="B58" s="22" t="s">
        <v>225</v>
      </c>
      <c r="C58" s="23" t="s">
        <v>226</v>
      </c>
      <c r="D58" s="21" t="s">
        <v>6</v>
      </c>
      <c r="E58" s="128"/>
      <c r="F58" s="21" t="s">
        <v>112</v>
      </c>
      <c r="G58" s="21" t="s">
        <v>112</v>
      </c>
      <c r="H58" s="21" t="s">
        <v>112</v>
      </c>
      <c r="I58" s="21" t="s">
        <v>112</v>
      </c>
      <c r="J58" s="21" t="s">
        <v>112</v>
      </c>
      <c r="K58" s="21" t="s">
        <v>112</v>
      </c>
      <c r="L58" s="128"/>
      <c r="M58" s="21" t="s">
        <v>112</v>
      </c>
      <c r="N58" s="21" t="s">
        <v>112</v>
      </c>
      <c r="O58" s="21" t="s">
        <v>112</v>
      </c>
      <c r="P58" s="21" t="s">
        <v>112</v>
      </c>
      <c r="Q58" s="21" t="s">
        <v>112</v>
      </c>
      <c r="R58" s="21" t="s">
        <v>112</v>
      </c>
      <c r="S58" s="4">
        <f t="shared" si="3"/>
        <v>12</v>
      </c>
      <c r="T58" s="4">
        <f t="shared" si="4"/>
        <v>0</v>
      </c>
    </row>
    <row r="59" spans="1:20" x14ac:dyDescent="0.25">
      <c r="A59" s="12">
        <v>30</v>
      </c>
      <c r="B59" s="12" t="s">
        <v>227</v>
      </c>
      <c r="C59" s="12" t="s">
        <v>228</v>
      </c>
      <c r="D59" s="21" t="s">
        <v>6</v>
      </c>
      <c r="E59" s="128"/>
      <c r="F59" s="21" t="s">
        <v>112</v>
      </c>
      <c r="G59" s="21" t="s">
        <v>112</v>
      </c>
      <c r="H59" s="21" t="s">
        <v>112</v>
      </c>
      <c r="I59" s="21" t="s">
        <v>112</v>
      </c>
      <c r="J59" s="21" t="s">
        <v>111</v>
      </c>
      <c r="K59" s="21" t="s">
        <v>112</v>
      </c>
      <c r="L59" s="128"/>
      <c r="M59" s="21" t="s">
        <v>112</v>
      </c>
      <c r="N59" s="21" t="s">
        <v>111</v>
      </c>
      <c r="O59" s="21" t="s">
        <v>111</v>
      </c>
      <c r="P59" s="21" t="s">
        <v>111</v>
      </c>
      <c r="Q59" s="21" t="s">
        <v>111</v>
      </c>
      <c r="R59" s="21" t="s">
        <v>111</v>
      </c>
      <c r="S59" s="4">
        <f t="shared" si="3"/>
        <v>6</v>
      </c>
      <c r="T59" s="4">
        <f t="shared" si="4"/>
        <v>6</v>
      </c>
    </row>
    <row r="60" spans="1:20" x14ac:dyDescent="0.25">
      <c r="A60" s="6">
        <v>31</v>
      </c>
      <c r="B60" s="12" t="s">
        <v>229</v>
      </c>
      <c r="C60" s="12" t="s">
        <v>230</v>
      </c>
      <c r="D60" s="21" t="s">
        <v>6</v>
      </c>
      <c r="E60" s="129"/>
      <c r="F60" s="21" t="s">
        <v>112</v>
      </c>
      <c r="G60" s="21" t="s">
        <v>112</v>
      </c>
      <c r="H60" s="21" t="s">
        <v>112</v>
      </c>
      <c r="I60" s="21" t="s">
        <v>112</v>
      </c>
      <c r="J60" s="21" t="s">
        <v>112</v>
      </c>
      <c r="K60" s="21" t="s">
        <v>112</v>
      </c>
      <c r="L60" s="129"/>
      <c r="M60" s="21" t="s">
        <v>112</v>
      </c>
      <c r="N60" s="21" t="s">
        <v>112</v>
      </c>
      <c r="O60" s="21" t="s">
        <v>112</v>
      </c>
      <c r="P60" s="21" t="s">
        <v>112</v>
      </c>
      <c r="Q60" s="21" t="s">
        <v>112</v>
      </c>
      <c r="R60" s="21" t="s">
        <v>112</v>
      </c>
      <c r="S60" s="4">
        <f t="shared" si="3"/>
        <v>12</v>
      </c>
      <c r="T60" s="4">
        <f t="shared" si="4"/>
        <v>0</v>
      </c>
    </row>
  </sheetData>
  <mergeCells count="13">
    <mergeCell ref="U11:X11"/>
    <mergeCell ref="U19:X19"/>
    <mergeCell ref="E5:E60"/>
    <mergeCell ref="L5:L60"/>
    <mergeCell ref="A1:T1"/>
    <mergeCell ref="A2:T2"/>
    <mergeCell ref="S3:S4"/>
    <mergeCell ref="T3:T4"/>
    <mergeCell ref="U3:V3"/>
    <mergeCell ref="A3:A4"/>
    <mergeCell ref="B3:B4"/>
    <mergeCell ref="C3:C4"/>
    <mergeCell ref="D3:D4"/>
  </mergeCells>
  <conditionalFormatting sqref="E5:L5 E3:R4">
    <cfRule type="expression" dxfId="186" priority="24">
      <formula>E$3="Sun"</formula>
    </cfRule>
  </conditionalFormatting>
  <conditionalFormatting sqref="E5:L5">
    <cfRule type="cellIs" dxfId="185" priority="16" operator="equal">
      <formula>"L"</formula>
    </cfRule>
    <cfRule type="cellIs" dxfId="184" priority="17" operator="equal">
      <formula>"A"</formula>
    </cfRule>
    <cfRule type="cellIs" dxfId="183" priority="18" operator="equal">
      <formula>"P"</formula>
    </cfRule>
  </conditionalFormatting>
  <conditionalFormatting sqref="E3:R4 E5 L5">
    <cfRule type="expression" dxfId="182" priority="15">
      <formula>E$4=TODAY()</formula>
    </cfRule>
  </conditionalFormatting>
  <conditionalFormatting sqref="F5:K60 M5:R60">
    <cfRule type="expression" dxfId="181" priority="8">
      <formula>F$4=TODAY()</formula>
    </cfRule>
  </conditionalFormatting>
  <conditionalFormatting sqref="M5:R60 F6:K60">
    <cfRule type="cellIs" dxfId="180" priority="9" operator="equal">
      <formula>"L"</formula>
    </cfRule>
    <cfRule type="cellIs" dxfId="179" priority="10" operator="equal">
      <formula>"A"</formula>
    </cfRule>
    <cfRule type="cellIs" dxfId="178" priority="11" operator="equal">
      <formula>"P"</formula>
    </cfRule>
    <cfRule type="expression" dxfId="177" priority="12">
      <formula>F$3="Sun"</formula>
    </cfRule>
  </conditionalFormatting>
  <conditionalFormatting sqref="S3:T3">
    <cfRule type="expression" dxfId="176" priority="25">
      <formula>#REF!="Sun"</formula>
    </cfRule>
  </conditionalFormatting>
  <conditionalFormatting sqref="S5:T60">
    <cfRule type="expression" dxfId="175" priority="13">
      <formula>#REF!="Sun"</formula>
    </cfRule>
  </conditionalFormatting>
  <conditionalFormatting sqref="U5:U9">
    <cfRule type="expression" dxfId="174" priority="5">
      <formula>U$3="Sun"</formula>
    </cfRule>
  </conditionalFormatting>
  <conditionalFormatting sqref="U12:U15">
    <cfRule type="expression" dxfId="173" priority="2">
      <formula>U$3="Sun"</formula>
    </cfRule>
  </conditionalFormatting>
  <conditionalFormatting sqref="U20:U23">
    <cfRule type="expression" dxfId="172" priority="1">
      <formula>U$3="Sun"</formula>
    </cfRule>
  </conditionalFormatting>
  <conditionalFormatting sqref="U4:V4">
    <cfRule type="expression" dxfId="171" priority="6">
      <formula>U$3="Sun"</formula>
    </cfRule>
  </conditionalFormatting>
  <conditionalFormatting sqref="V12:X12 V20:X20">
    <cfRule type="expression" dxfId="170" priority="7">
      <formula>V$3="Sun"</formula>
    </cfRule>
  </conditionalFormatting>
  <conditionalFormatting sqref="X21">
    <cfRule type="expression" dxfId="169" priority="4">
      <formula>X$3="Sun"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9C447-DA65-432A-ADDC-3394CE53E0C8}">
  <dimension ref="A1:X60"/>
  <sheetViews>
    <sheetView topLeftCell="D1" workbookViewId="0">
      <selection activeCell="V13" sqref="V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6" width="4.5703125" style="1" bestFit="1" customWidth="1"/>
    <col min="7" max="7" width="3.85546875" style="1" bestFit="1"/>
    <col min="8" max="8" width="4.7109375" style="1" bestFit="1" customWidth="1"/>
    <col min="9" max="9" width="3.85546875" style="1" bestFit="1"/>
    <col min="10" max="11" width="3.7109375" style="1" bestFit="1" customWidth="1"/>
    <col min="12" max="12" width="3.85546875" style="1" bestFit="1"/>
    <col min="13" max="13" width="4.5703125" style="1" bestFit="1" customWidth="1"/>
    <col min="14" max="14" width="3.85546875" style="1" bestFit="1"/>
    <col min="15" max="15" width="4.7109375" style="1" bestFit="1" customWidth="1"/>
    <col min="16" max="16" width="3.85546875" style="1" bestFit="1"/>
    <col min="17" max="18" width="3.7109375" style="1" bestFit="1" customWidth="1"/>
    <col min="19" max="20" width="6.7109375" style="1" bestFit="1" customWidth="1"/>
    <col min="21" max="21" width="18.5703125" style="1" bestFit="1" customWidth="1"/>
    <col min="22" max="22" width="5.85546875" style="1" bestFit="1" customWidth="1"/>
    <col min="23" max="23" width="14.28515625" style="1" bestFit="1" customWidth="1"/>
    <col min="24" max="24" width="6.7109375" style="1" bestFit="1" customWidth="1"/>
    <col min="25" max="16384" width="3.85546875" style="1"/>
  </cols>
  <sheetData>
    <row r="1" spans="1:24" ht="17.25" x14ac:dyDescent="0.25">
      <c r="A1" s="114" t="s">
        <v>18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</row>
    <row r="2" spans="1:24" ht="17.25" x14ac:dyDescent="0.25">
      <c r="A2" s="114" t="s">
        <v>122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</row>
    <row r="3" spans="1:24" ht="15.75" x14ac:dyDescent="0.25">
      <c r="A3" s="130" t="s">
        <v>0</v>
      </c>
      <c r="B3" s="130" t="s">
        <v>1</v>
      </c>
      <c r="C3" s="130" t="s">
        <v>2</v>
      </c>
      <c r="D3" s="130" t="s">
        <v>3</v>
      </c>
      <c r="E3" s="2" t="str">
        <f t="shared" ref="E3:R3" si="0">TEXT(E4,"ddd")</f>
        <v>Sun</v>
      </c>
      <c r="F3" s="2" t="str">
        <f t="shared" si="0"/>
        <v>Mon</v>
      </c>
      <c r="G3" s="2" t="str">
        <f t="shared" si="0"/>
        <v>Tue</v>
      </c>
      <c r="H3" s="2" t="str">
        <f t="shared" si="0"/>
        <v>Wed</v>
      </c>
      <c r="I3" s="2" t="str">
        <f t="shared" si="0"/>
        <v>Thu</v>
      </c>
      <c r="J3" s="2" t="str">
        <f t="shared" si="0"/>
        <v>Fri</v>
      </c>
      <c r="K3" s="2" t="str">
        <f t="shared" si="0"/>
        <v>Sat</v>
      </c>
      <c r="L3" s="2" t="str">
        <f t="shared" si="0"/>
        <v>Sun</v>
      </c>
      <c r="M3" s="2" t="str">
        <f t="shared" si="0"/>
        <v>Mon</v>
      </c>
      <c r="N3" s="2" t="str">
        <f t="shared" si="0"/>
        <v>Tue</v>
      </c>
      <c r="O3" s="2" t="str">
        <f t="shared" si="0"/>
        <v>Wed</v>
      </c>
      <c r="P3" s="2" t="str">
        <f t="shared" si="0"/>
        <v>Thu</v>
      </c>
      <c r="Q3" s="2" t="str">
        <f t="shared" si="0"/>
        <v>Fri</v>
      </c>
      <c r="R3" s="2" t="str">
        <f t="shared" si="0"/>
        <v>Sat</v>
      </c>
      <c r="S3" s="117" t="s">
        <v>4</v>
      </c>
      <c r="T3" s="117" t="s">
        <v>5</v>
      </c>
      <c r="U3" s="118" t="s">
        <v>127</v>
      </c>
      <c r="V3" s="119"/>
      <c r="W3" s="3"/>
      <c r="X3" s="3"/>
    </row>
    <row r="4" spans="1:24" ht="37.5" x14ac:dyDescent="0.25">
      <c r="A4" s="131"/>
      <c r="B4" s="131"/>
      <c r="C4" s="131"/>
      <c r="D4" s="131"/>
      <c r="E4" s="14">
        <v>45613</v>
      </c>
      <c r="F4" s="14">
        <v>45614</v>
      </c>
      <c r="G4" s="14">
        <v>45615</v>
      </c>
      <c r="H4" s="14">
        <v>45616</v>
      </c>
      <c r="I4" s="14">
        <v>45617</v>
      </c>
      <c r="J4" s="14">
        <v>45618</v>
      </c>
      <c r="K4" s="14">
        <v>45619</v>
      </c>
      <c r="L4" s="14">
        <v>45620</v>
      </c>
      <c r="M4" s="14">
        <v>45621</v>
      </c>
      <c r="N4" s="14">
        <v>45622</v>
      </c>
      <c r="O4" s="14">
        <v>45623</v>
      </c>
      <c r="P4" s="14">
        <v>45624</v>
      </c>
      <c r="Q4" s="14">
        <v>45625</v>
      </c>
      <c r="R4" s="14">
        <v>45626</v>
      </c>
      <c r="S4" s="117"/>
      <c r="T4" s="117"/>
      <c r="U4" s="5" t="s">
        <v>128</v>
      </c>
      <c r="V4" s="5">
        <f>SUM(V5:V8)</f>
        <v>14</v>
      </c>
      <c r="W4" s="3"/>
      <c r="X4" s="3"/>
    </row>
    <row r="5" spans="1:24" ht="15" customHeight="1" x14ac:dyDescent="0.25">
      <c r="A5" s="10">
        <v>1</v>
      </c>
      <c r="B5" s="7" t="s">
        <v>231</v>
      </c>
      <c r="C5" s="7" t="s">
        <v>232</v>
      </c>
      <c r="D5" s="8" t="s">
        <v>233</v>
      </c>
      <c r="E5" s="127" t="s">
        <v>234</v>
      </c>
      <c r="F5" s="9" t="s">
        <v>112</v>
      </c>
      <c r="G5" s="9" t="s">
        <v>112</v>
      </c>
      <c r="H5" s="9" t="s">
        <v>112</v>
      </c>
      <c r="I5" s="9" t="s">
        <v>112</v>
      </c>
      <c r="J5" s="9" t="s">
        <v>112</v>
      </c>
      <c r="K5" s="9" t="s">
        <v>112</v>
      </c>
      <c r="L5" s="127" t="s">
        <v>234</v>
      </c>
      <c r="M5" s="9" t="s">
        <v>112</v>
      </c>
      <c r="N5" s="9" t="s">
        <v>112</v>
      </c>
      <c r="O5" s="9" t="s">
        <v>112</v>
      </c>
      <c r="P5" s="9" t="s">
        <v>112</v>
      </c>
      <c r="Q5" s="9" t="s">
        <v>112</v>
      </c>
      <c r="R5" s="9" t="s">
        <v>112</v>
      </c>
      <c r="S5" s="5">
        <f t="shared" ref="S5:S36" si="1">COUNTIF(E5:R5,"P")</f>
        <v>12</v>
      </c>
      <c r="T5" s="5">
        <f t="shared" ref="T5:T36" si="2">COUNTIF(E5:R5,"A")</f>
        <v>0</v>
      </c>
      <c r="U5" s="5" t="s">
        <v>7</v>
      </c>
      <c r="V5" s="10">
        <v>12</v>
      </c>
      <c r="W5" s="11"/>
      <c r="X5" s="3"/>
    </row>
    <row r="6" spans="1:24" x14ac:dyDescent="0.25">
      <c r="A6" s="10">
        <v>2</v>
      </c>
      <c r="B6" s="7" t="s">
        <v>235</v>
      </c>
      <c r="C6" s="7" t="s">
        <v>236</v>
      </c>
      <c r="D6" s="8" t="s">
        <v>233</v>
      </c>
      <c r="E6" s="128"/>
      <c r="F6" s="9" t="s">
        <v>111</v>
      </c>
      <c r="G6" s="9" t="s">
        <v>111</v>
      </c>
      <c r="H6" s="9" t="s">
        <v>111</v>
      </c>
      <c r="I6" s="9" t="s">
        <v>111</v>
      </c>
      <c r="J6" s="9" t="s">
        <v>111</v>
      </c>
      <c r="K6" s="9" t="s">
        <v>111</v>
      </c>
      <c r="L6" s="128"/>
      <c r="M6" s="9" t="s">
        <v>111</v>
      </c>
      <c r="N6" s="9" t="s">
        <v>111</v>
      </c>
      <c r="O6" s="9" t="s">
        <v>111</v>
      </c>
      <c r="P6" s="9" t="s">
        <v>111</v>
      </c>
      <c r="Q6" s="9" t="s">
        <v>111</v>
      </c>
      <c r="R6" s="9" t="s">
        <v>111</v>
      </c>
      <c r="S6" s="5">
        <f t="shared" si="1"/>
        <v>0</v>
      </c>
      <c r="T6" s="5">
        <f t="shared" si="2"/>
        <v>12</v>
      </c>
      <c r="U6" s="5" t="s">
        <v>8</v>
      </c>
      <c r="V6" s="10">
        <v>2</v>
      </c>
      <c r="W6" s="3"/>
      <c r="X6" s="3"/>
    </row>
    <row r="7" spans="1:24" x14ac:dyDescent="0.25">
      <c r="A7" s="10">
        <v>3</v>
      </c>
      <c r="B7" s="7" t="s">
        <v>132</v>
      </c>
      <c r="C7" s="7" t="s">
        <v>237</v>
      </c>
      <c r="D7" s="8" t="s">
        <v>233</v>
      </c>
      <c r="E7" s="128"/>
      <c r="F7" s="9" t="s">
        <v>112</v>
      </c>
      <c r="G7" s="9" t="s">
        <v>112</v>
      </c>
      <c r="H7" s="9" t="s">
        <v>112</v>
      </c>
      <c r="I7" s="9" t="s">
        <v>112</v>
      </c>
      <c r="J7" s="9" t="s">
        <v>112</v>
      </c>
      <c r="K7" s="9" t="s">
        <v>112</v>
      </c>
      <c r="L7" s="128"/>
      <c r="M7" s="9" t="s">
        <v>112</v>
      </c>
      <c r="N7" s="9" t="s">
        <v>112</v>
      </c>
      <c r="O7" s="9" t="s">
        <v>112</v>
      </c>
      <c r="P7" s="9" t="s">
        <v>112</v>
      </c>
      <c r="Q7" s="9" t="s">
        <v>112</v>
      </c>
      <c r="R7" s="9" t="s">
        <v>112</v>
      </c>
      <c r="S7" s="5">
        <f t="shared" si="1"/>
        <v>12</v>
      </c>
      <c r="T7" s="5">
        <f t="shared" si="2"/>
        <v>0</v>
      </c>
      <c r="U7" s="5"/>
      <c r="V7" s="10"/>
      <c r="W7" s="3"/>
      <c r="X7" s="3"/>
    </row>
    <row r="8" spans="1:24" x14ac:dyDescent="0.25">
      <c r="A8" s="10">
        <v>4</v>
      </c>
      <c r="B8" s="7" t="s">
        <v>238</v>
      </c>
      <c r="C8" s="7" t="s">
        <v>239</v>
      </c>
      <c r="D8" s="8" t="s">
        <v>233</v>
      </c>
      <c r="E8" s="128"/>
      <c r="F8" s="9" t="s">
        <v>112</v>
      </c>
      <c r="G8" s="9" t="s">
        <v>112</v>
      </c>
      <c r="H8" s="9" t="s">
        <v>112</v>
      </c>
      <c r="I8" s="9" t="s">
        <v>112</v>
      </c>
      <c r="J8" s="9" t="s">
        <v>112</v>
      </c>
      <c r="K8" s="9" t="s">
        <v>112</v>
      </c>
      <c r="L8" s="128"/>
      <c r="M8" s="9" t="s">
        <v>112</v>
      </c>
      <c r="N8" s="9" t="s">
        <v>112</v>
      </c>
      <c r="O8" s="9" t="s">
        <v>112</v>
      </c>
      <c r="P8" s="9" t="s">
        <v>112</v>
      </c>
      <c r="Q8" s="9" t="s">
        <v>112</v>
      </c>
      <c r="R8" s="9" t="s">
        <v>112</v>
      </c>
      <c r="S8" s="5">
        <f t="shared" si="1"/>
        <v>12</v>
      </c>
      <c r="T8" s="5">
        <f t="shared" si="2"/>
        <v>0</v>
      </c>
      <c r="U8" s="5"/>
      <c r="V8" s="10"/>
      <c r="W8"/>
      <c r="X8"/>
    </row>
    <row r="9" spans="1:24" x14ac:dyDescent="0.25">
      <c r="A9" s="10">
        <v>5</v>
      </c>
      <c r="B9" s="7" t="s">
        <v>240</v>
      </c>
      <c r="C9" s="7" t="s">
        <v>241</v>
      </c>
      <c r="D9" s="8" t="s">
        <v>233</v>
      </c>
      <c r="E9" s="128"/>
      <c r="F9" s="9" t="s">
        <v>112</v>
      </c>
      <c r="G9" s="9" t="s">
        <v>111</v>
      </c>
      <c r="H9" s="9" t="s">
        <v>112</v>
      </c>
      <c r="I9" s="9" t="s">
        <v>112</v>
      </c>
      <c r="J9" s="9" t="s">
        <v>112</v>
      </c>
      <c r="K9" s="9" t="s">
        <v>111</v>
      </c>
      <c r="L9" s="128"/>
      <c r="M9" s="9" t="s">
        <v>112</v>
      </c>
      <c r="N9" s="9" t="s">
        <v>112</v>
      </c>
      <c r="O9" s="9" t="s">
        <v>112</v>
      </c>
      <c r="P9" s="9" t="s">
        <v>112</v>
      </c>
      <c r="Q9" s="9" t="s">
        <v>112</v>
      </c>
      <c r="R9" s="9" t="s">
        <v>112</v>
      </c>
      <c r="S9" s="5">
        <f t="shared" si="1"/>
        <v>10</v>
      </c>
      <c r="T9" s="5">
        <f t="shared" si="2"/>
        <v>2</v>
      </c>
      <c r="U9" s="5"/>
      <c r="V9" s="10"/>
    </row>
    <row r="10" spans="1:24" x14ac:dyDescent="0.25">
      <c r="A10" s="10">
        <v>6</v>
      </c>
      <c r="B10" s="7" t="s">
        <v>242</v>
      </c>
      <c r="C10" s="7" t="s">
        <v>237</v>
      </c>
      <c r="D10" s="8" t="s">
        <v>233</v>
      </c>
      <c r="E10" s="128"/>
      <c r="F10" s="9" t="s">
        <v>112</v>
      </c>
      <c r="G10" s="9" t="s">
        <v>112</v>
      </c>
      <c r="H10" s="9" t="s">
        <v>112</v>
      </c>
      <c r="I10" s="9" t="s">
        <v>111</v>
      </c>
      <c r="J10" s="9" t="s">
        <v>112</v>
      </c>
      <c r="K10" s="9" t="s">
        <v>111</v>
      </c>
      <c r="L10" s="128"/>
      <c r="M10" s="9" t="s">
        <v>112</v>
      </c>
      <c r="N10" s="9" t="s">
        <v>112</v>
      </c>
      <c r="O10" s="9" t="s">
        <v>112</v>
      </c>
      <c r="P10" s="9" t="s">
        <v>112</v>
      </c>
      <c r="Q10" s="9" t="s">
        <v>111</v>
      </c>
      <c r="R10" s="9" t="s">
        <v>112</v>
      </c>
      <c r="S10" s="5">
        <f t="shared" si="1"/>
        <v>9</v>
      </c>
      <c r="T10" s="5">
        <f t="shared" si="2"/>
        <v>3</v>
      </c>
    </row>
    <row r="11" spans="1:24" ht="15.75" x14ac:dyDescent="0.25">
      <c r="A11" s="10">
        <v>7</v>
      </c>
      <c r="B11" s="7" t="s">
        <v>243</v>
      </c>
      <c r="C11" s="7" t="s">
        <v>244</v>
      </c>
      <c r="D11" s="8" t="s">
        <v>233</v>
      </c>
      <c r="E11" s="128"/>
      <c r="F11" s="9" t="s">
        <v>112</v>
      </c>
      <c r="G11" s="9" t="s">
        <v>112</v>
      </c>
      <c r="H11" s="9" t="s">
        <v>112</v>
      </c>
      <c r="I11" s="9" t="s">
        <v>112</v>
      </c>
      <c r="J11" s="9" t="s">
        <v>112</v>
      </c>
      <c r="K11" s="9" t="s">
        <v>112</v>
      </c>
      <c r="L11" s="128"/>
      <c r="M11" s="9" t="s">
        <v>112</v>
      </c>
      <c r="N11" s="9" t="s">
        <v>112</v>
      </c>
      <c r="O11" s="9" t="s">
        <v>112</v>
      </c>
      <c r="P11" s="9" t="s">
        <v>112</v>
      </c>
      <c r="Q11" s="9" t="s">
        <v>112</v>
      </c>
      <c r="R11" s="9" t="s">
        <v>112</v>
      </c>
      <c r="S11" s="5">
        <f t="shared" si="1"/>
        <v>12</v>
      </c>
      <c r="T11" s="5">
        <f t="shared" si="2"/>
        <v>0</v>
      </c>
      <c r="U11" s="118" t="s">
        <v>9</v>
      </c>
      <c r="V11" s="119"/>
      <c r="W11" s="119"/>
      <c r="X11" s="120"/>
    </row>
    <row r="12" spans="1:24" x14ac:dyDescent="0.25">
      <c r="A12" s="10">
        <v>8</v>
      </c>
      <c r="B12" s="7" t="s">
        <v>245</v>
      </c>
      <c r="C12" s="7" t="s">
        <v>246</v>
      </c>
      <c r="D12" s="8" t="s">
        <v>233</v>
      </c>
      <c r="E12" s="128"/>
      <c r="F12" s="9" t="s">
        <v>113</v>
      </c>
      <c r="G12" s="9" t="s">
        <v>111</v>
      </c>
      <c r="H12" s="9" t="s">
        <v>111</v>
      </c>
      <c r="I12" s="9" t="s">
        <v>111</v>
      </c>
      <c r="J12" s="9" t="s">
        <v>113</v>
      </c>
      <c r="K12" s="9" t="s">
        <v>111</v>
      </c>
      <c r="L12" s="128"/>
      <c r="M12" s="9" t="s">
        <v>112</v>
      </c>
      <c r="N12" s="9" t="s">
        <v>112</v>
      </c>
      <c r="O12" s="9" t="s">
        <v>112</v>
      </c>
      <c r="P12" s="9" t="s">
        <v>112</v>
      </c>
      <c r="Q12" s="9" t="s">
        <v>112</v>
      </c>
      <c r="R12" s="9" t="s">
        <v>112</v>
      </c>
      <c r="S12" s="5">
        <f t="shared" si="1"/>
        <v>6</v>
      </c>
      <c r="T12" s="5">
        <f t="shared" si="2"/>
        <v>4</v>
      </c>
      <c r="U12" s="5" t="s">
        <v>10</v>
      </c>
      <c r="V12" s="5" t="s">
        <v>11</v>
      </c>
      <c r="W12" s="5" t="s">
        <v>12</v>
      </c>
      <c r="X12" s="5" t="s">
        <v>13</v>
      </c>
    </row>
    <row r="13" spans="1:24" x14ac:dyDescent="0.25">
      <c r="A13" s="10">
        <v>9</v>
      </c>
      <c r="B13" s="7" t="s">
        <v>247</v>
      </c>
      <c r="C13" s="7" t="s">
        <v>248</v>
      </c>
      <c r="D13" s="8" t="s">
        <v>233</v>
      </c>
      <c r="E13" s="128"/>
      <c r="F13" s="9" t="s">
        <v>111</v>
      </c>
      <c r="G13" s="9" t="s">
        <v>112</v>
      </c>
      <c r="H13" s="9" t="s">
        <v>112</v>
      </c>
      <c r="I13" s="9" t="s">
        <v>112</v>
      </c>
      <c r="J13" s="9" t="s">
        <v>112</v>
      </c>
      <c r="K13" s="9" t="s">
        <v>111</v>
      </c>
      <c r="L13" s="128"/>
      <c r="M13" s="9" t="s">
        <v>111</v>
      </c>
      <c r="N13" s="9" t="s">
        <v>112</v>
      </c>
      <c r="O13" s="9" t="s">
        <v>112</v>
      </c>
      <c r="P13" s="9" t="s">
        <v>112</v>
      </c>
      <c r="Q13" s="9" t="s">
        <v>112</v>
      </c>
      <c r="R13" s="9" t="s">
        <v>112</v>
      </c>
      <c r="S13" s="5">
        <f t="shared" si="1"/>
        <v>9</v>
      </c>
      <c r="T13" s="5">
        <f t="shared" si="2"/>
        <v>3</v>
      </c>
      <c r="U13" s="5" t="s">
        <v>14</v>
      </c>
      <c r="V13" s="10">
        <f>32*$V$5</f>
        <v>384</v>
      </c>
      <c r="W13" s="10">
        <f>24*$V$5</f>
        <v>288</v>
      </c>
      <c r="X13" s="10">
        <f>SUM(V13:W13)</f>
        <v>672</v>
      </c>
    </row>
    <row r="14" spans="1:24" x14ac:dyDescent="0.25">
      <c r="A14" s="10">
        <v>10</v>
      </c>
      <c r="B14" s="7" t="s">
        <v>249</v>
      </c>
      <c r="C14" s="7" t="s">
        <v>250</v>
      </c>
      <c r="D14" s="8" t="s">
        <v>233</v>
      </c>
      <c r="E14" s="128"/>
      <c r="F14" s="9" t="s">
        <v>112</v>
      </c>
      <c r="G14" s="9" t="s">
        <v>112</v>
      </c>
      <c r="H14" s="9" t="s">
        <v>112</v>
      </c>
      <c r="I14" s="9" t="s">
        <v>112</v>
      </c>
      <c r="J14" s="9" t="s">
        <v>112</v>
      </c>
      <c r="K14" s="9" t="s">
        <v>112</v>
      </c>
      <c r="L14" s="128"/>
      <c r="M14" s="9" t="s">
        <v>112</v>
      </c>
      <c r="N14" s="9" t="s">
        <v>112</v>
      </c>
      <c r="O14" s="9" t="s">
        <v>112</v>
      </c>
      <c r="P14" s="9" t="s">
        <v>112</v>
      </c>
      <c r="Q14" s="9" t="s">
        <v>112</v>
      </c>
      <c r="R14" s="9" t="s">
        <v>112</v>
      </c>
      <c r="S14" s="5">
        <f t="shared" si="1"/>
        <v>12</v>
      </c>
      <c r="T14" s="5">
        <f t="shared" si="2"/>
        <v>0</v>
      </c>
      <c r="U14" s="5" t="s">
        <v>15</v>
      </c>
      <c r="V14" s="10">
        <f>SUM(S29:S60)</f>
        <v>334</v>
      </c>
      <c r="W14" s="10">
        <f>SUM(S5:S28)</f>
        <v>227</v>
      </c>
      <c r="X14" s="10">
        <f>V14+W14</f>
        <v>561</v>
      </c>
    </row>
    <row r="15" spans="1:24" x14ac:dyDescent="0.25">
      <c r="A15" s="10">
        <v>11</v>
      </c>
      <c r="B15" s="7" t="s">
        <v>251</v>
      </c>
      <c r="C15" s="7" t="s">
        <v>89</v>
      </c>
      <c r="D15" s="8" t="s">
        <v>233</v>
      </c>
      <c r="E15" s="128"/>
      <c r="F15" s="9" t="s">
        <v>112</v>
      </c>
      <c r="G15" s="9" t="s">
        <v>112</v>
      </c>
      <c r="H15" s="9" t="s">
        <v>112</v>
      </c>
      <c r="I15" s="9" t="s">
        <v>112</v>
      </c>
      <c r="J15" s="9" t="s">
        <v>111</v>
      </c>
      <c r="K15" s="9" t="s">
        <v>112</v>
      </c>
      <c r="L15" s="128"/>
      <c r="M15" s="9" t="s">
        <v>112</v>
      </c>
      <c r="N15" s="9" t="s">
        <v>112</v>
      </c>
      <c r="O15" s="9" t="s">
        <v>112</v>
      </c>
      <c r="P15" s="9" t="s">
        <v>112</v>
      </c>
      <c r="Q15" s="9" t="s">
        <v>112</v>
      </c>
      <c r="R15" s="9" t="s">
        <v>112</v>
      </c>
      <c r="S15" s="5">
        <f t="shared" si="1"/>
        <v>11</v>
      </c>
      <c r="T15" s="5">
        <f t="shared" si="2"/>
        <v>1</v>
      </c>
      <c r="U15" s="5" t="s">
        <v>16</v>
      </c>
      <c r="V15" s="13">
        <f>V14/V13</f>
        <v>0.86979166666666663</v>
      </c>
      <c r="W15" s="13">
        <f>W14/W13</f>
        <v>0.78819444444444442</v>
      </c>
      <c r="X15" s="13">
        <f>X14/X13</f>
        <v>0.8348214285714286</v>
      </c>
    </row>
    <row r="16" spans="1:24" x14ac:dyDescent="0.25">
      <c r="A16" s="10">
        <v>12</v>
      </c>
      <c r="B16" s="7" t="s">
        <v>252</v>
      </c>
      <c r="C16" s="7" t="s">
        <v>195</v>
      </c>
      <c r="D16" s="8" t="s">
        <v>233</v>
      </c>
      <c r="E16" s="128"/>
      <c r="F16" s="9" t="s">
        <v>112</v>
      </c>
      <c r="G16" s="9" t="s">
        <v>111</v>
      </c>
      <c r="H16" s="9" t="s">
        <v>112</v>
      </c>
      <c r="I16" s="9" t="s">
        <v>112</v>
      </c>
      <c r="J16" s="9" t="s">
        <v>112</v>
      </c>
      <c r="K16" s="9" t="s">
        <v>112</v>
      </c>
      <c r="L16" s="128"/>
      <c r="M16" s="9" t="s">
        <v>112</v>
      </c>
      <c r="N16" s="9" t="s">
        <v>112</v>
      </c>
      <c r="O16" s="9" t="s">
        <v>112</v>
      </c>
      <c r="P16" s="9" t="s">
        <v>112</v>
      </c>
      <c r="Q16" s="9" t="s">
        <v>112</v>
      </c>
      <c r="R16" s="9" t="s">
        <v>112</v>
      </c>
      <c r="S16" s="5">
        <f t="shared" si="1"/>
        <v>11</v>
      </c>
      <c r="T16" s="5">
        <f t="shared" si="2"/>
        <v>1</v>
      </c>
      <c r="U16"/>
      <c r="V16"/>
      <c r="W16"/>
      <c r="X16"/>
    </row>
    <row r="17" spans="1:24" x14ac:dyDescent="0.25">
      <c r="A17" s="10">
        <v>13</v>
      </c>
      <c r="B17" s="7" t="s">
        <v>253</v>
      </c>
      <c r="C17" s="7" t="s">
        <v>254</v>
      </c>
      <c r="D17" s="8" t="s">
        <v>233</v>
      </c>
      <c r="E17" s="128"/>
      <c r="F17" s="9" t="s">
        <v>111</v>
      </c>
      <c r="G17" s="9" t="s">
        <v>111</v>
      </c>
      <c r="H17" s="9" t="s">
        <v>112</v>
      </c>
      <c r="I17" s="9" t="s">
        <v>112</v>
      </c>
      <c r="J17" s="9" t="s">
        <v>111</v>
      </c>
      <c r="K17" s="9" t="s">
        <v>112</v>
      </c>
      <c r="L17" s="128"/>
      <c r="M17" s="9" t="s">
        <v>111</v>
      </c>
      <c r="N17" s="9" t="s">
        <v>111</v>
      </c>
      <c r="O17" s="9" t="s">
        <v>112</v>
      </c>
      <c r="P17" s="9" t="s">
        <v>112</v>
      </c>
      <c r="Q17" s="9" t="s">
        <v>112</v>
      </c>
      <c r="R17" s="9" t="s">
        <v>112</v>
      </c>
      <c r="S17" s="5">
        <f t="shared" si="1"/>
        <v>7</v>
      </c>
      <c r="T17" s="5">
        <f t="shared" si="2"/>
        <v>5</v>
      </c>
      <c r="U17"/>
      <c r="V17"/>
      <c r="W17"/>
      <c r="X17"/>
    </row>
    <row r="18" spans="1:24" x14ac:dyDescent="0.25">
      <c r="A18" s="10">
        <v>14</v>
      </c>
      <c r="B18" s="7" t="s">
        <v>255</v>
      </c>
      <c r="C18" s="7" t="s">
        <v>256</v>
      </c>
      <c r="D18" s="8" t="s">
        <v>233</v>
      </c>
      <c r="E18" s="128"/>
      <c r="F18" s="9" t="s">
        <v>111</v>
      </c>
      <c r="G18" s="9" t="s">
        <v>111</v>
      </c>
      <c r="H18" s="9" t="s">
        <v>111</v>
      </c>
      <c r="I18" s="9" t="s">
        <v>111</v>
      </c>
      <c r="J18" s="9" t="s">
        <v>111</v>
      </c>
      <c r="K18" s="9" t="s">
        <v>111</v>
      </c>
      <c r="L18" s="128"/>
      <c r="M18" s="9" t="s">
        <v>111</v>
      </c>
      <c r="N18" s="9" t="s">
        <v>111</v>
      </c>
      <c r="O18" s="9" t="s">
        <v>111</v>
      </c>
      <c r="P18" s="9" t="s">
        <v>111</v>
      </c>
      <c r="Q18" s="9" t="s">
        <v>111</v>
      </c>
      <c r="R18" s="9" t="s">
        <v>111</v>
      </c>
      <c r="S18" s="5">
        <f t="shared" si="1"/>
        <v>0</v>
      </c>
      <c r="T18" s="5">
        <f t="shared" si="2"/>
        <v>12</v>
      </c>
      <c r="U18"/>
      <c r="V18"/>
      <c r="W18"/>
      <c r="X18"/>
    </row>
    <row r="19" spans="1:24" ht="15.75" x14ac:dyDescent="0.25">
      <c r="A19" s="10">
        <v>15</v>
      </c>
      <c r="B19" s="7" t="s">
        <v>257</v>
      </c>
      <c r="C19" s="7" t="s">
        <v>258</v>
      </c>
      <c r="D19" s="8" t="s">
        <v>233</v>
      </c>
      <c r="E19" s="128"/>
      <c r="F19" s="9" t="s">
        <v>111</v>
      </c>
      <c r="G19" s="9" t="s">
        <v>111</v>
      </c>
      <c r="H19" s="9" t="s">
        <v>111</v>
      </c>
      <c r="I19" s="9" t="s">
        <v>111</v>
      </c>
      <c r="J19" s="9" t="s">
        <v>111</v>
      </c>
      <c r="K19" s="9" t="s">
        <v>112</v>
      </c>
      <c r="L19" s="128"/>
      <c r="M19" s="9" t="s">
        <v>111</v>
      </c>
      <c r="N19" s="9" t="s">
        <v>112</v>
      </c>
      <c r="O19" s="9" t="s">
        <v>112</v>
      </c>
      <c r="P19" s="9" t="s">
        <v>112</v>
      </c>
      <c r="Q19" s="9" t="s">
        <v>111</v>
      </c>
      <c r="R19" s="9" t="s">
        <v>111</v>
      </c>
      <c r="S19" s="5">
        <f t="shared" si="1"/>
        <v>4</v>
      </c>
      <c r="T19" s="5">
        <f t="shared" si="2"/>
        <v>8</v>
      </c>
      <c r="U19" s="118" t="s">
        <v>129</v>
      </c>
      <c r="V19" s="119"/>
      <c r="W19" s="119"/>
      <c r="X19" s="120"/>
    </row>
    <row r="20" spans="1:24" x14ac:dyDescent="0.25">
      <c r="A20" s="10">
        <v>16</v>
      </c>
      <c r="B20" s="7" t="s">
        <v>259</v>
      </c>
      <c r="C20" s="7" t="s">
        <v>260</v>
      </c>
      <c r="D20" s="8" t="s">
        <v>233</v>
      </c>
      <c r="E20" s="128"/>
      <c r="F20" s="9" t="s">
        <v>112</v>
      </c>
      <c r="G20" s="9" t="s">
        <v>112</v>
      </c>
      <c r="H20" s="9" t="s">
        <v>112</v>
      </c>
      <c r="I20" s="9" t="s">
        <v>112</v>
      </c>
      <c r="J20" s="9" t="s">
        <v>111</v>
      </c>
      <c r="K20" s="9" t="s">
        <v>111</v>
      </c>
      <c r="L20" s="128"/>
      <c r="M20" s="9" t="s">
        <v>112</v>
      </c>
      <c r="N20" s="9" t="s">
        <v>112</v>
      </c>
      <c r="O20" s="9" t="s">
        <v>112</v>
      </c>
      <c r="P20" s="9" t="s">
        <v>112</v>
      </c>
      <c r="Q20" s="9" t="s">
        <v>112</v>
      </c>
      <c r="R20" s="9" t="s">
        <v>112</v>
      </c>
      <c r="S20" s="5">
        <f t="shared" si="1"/>
        <v>10</v>
      </c>
      <c r="T20" s="5">
        <f t="shared" si="2"/>
        <v>2</v>
      </c>
      <c r="U20" s="5" t="s">
        <v>10</v>
      </c>
      <c r="V20" s="5" t="s">
        <v>11</v>
      </c>
      <c r="W20" s="5" t="s">
        <v>12</v>
      </c>
      <c r="X20" s="5" t="s">
        <v>13</v>
      </c>
    </row>
    <row r="21" spans="1:24" x14ac:dyDescent="0.25">
      <c r="A21" s="10">
        <v>17</v>
      </c>
      <c r="B21" s="7" t="s">
        <v>261</v>
      </c>
      <c r="C21" s="7" t="s">
        <v>262</v>
      </c>
      <c r="D21" s="8" t="s">
        <v>233</v>
      </c>
      <c r="E21" s="128"/>
      <c r="F21" s="9" t="s">
        <v>112</v>
      </c>
      <c r="G21" s="9" t="s">
        <v>112</v>
      </c>
      <c r="H21" s="9" t="s">
        <v>112</v>
      </c>
      <c r="I21" s="9" t="s">
        <v>112</v>
      </c>
      <c r="J21" s="9" t="s">
        <v>112</v>
      </c>
      <c r="K21" s="9" t="s">
        <v>112</v>
      </c>
      <c r="L21" s="128"/>
      <c r="M21" s="9" t="s">
        <v>112</v>
      </c>
      <c r="N21" s="9" t="s">
        <v>112</v>
      </c>
      <c r="O21" s="9" t="s">
        <v>112</v>
      </c>
      <c r="P21" s="9" t="s">
        <v>112</v>
      </c>
      <c r="Q21" s="9" t="s">
        <v>112</v>
      </c>
      <c r="R21" s="9" t="s">
        <v>112</v>
      </c>
      <c r="S21" s="5">
        <f t="shared" si="1"/>
        <v>12</v>
      </c>
      <c r="T21" s="5">
        <f t="shared" si="2"/>
        <v>0</v>
      </c>
      <c r="U21" s="5" t="s">
        <v>14</v>
      </c>
      <c r="V21" s="10">
        <f>32*$V$5</f>
        <v>384</v>
      </c>
      <c r="W21" s="10">
        <f>24*$V$5</f>
        <v>288</v>
      </c>
      <c r="X21" s="10">
        <f>V21+W21</f>
        <v>672</v>
      </c>
    </row>
    <row r="22" spans="1:24" x14ac:dyDescent="0.25">
      <c r="A22" s="10">
        <v>18</v>
      </c>
      <c r="B22" s="7" t="s">
        <v>263</v>
      </c>
      <c r="C22" s="7" t="s">
        <v>262</v>
      </c>
      <c r="D22" s="8" t="s">
        <v>233</v>
      </c>
      <c r="E22" s="128"/>
      <c r="F22" s="9" t="s">
        <v>112</v>
      </c>
      <c r="G22" s="9" t="s">
        <v>112</v>
      </c>
      <c r="H22" s="9" t="s">
        <v>112</v>
      </c>
      <c r="I22" s="9" t="s">
        <v>112</v>
      </c>
      <c r="J22" s="9" t="s">
        <v>112</v>
      </c>
      <c r="K22" s="9" t="s">
        <v>112</v>
      </c>
      <c r="L22" s="128"/>
      <c r="M22" s="9" t="s">
        <v>112</v>
      </c>
      <c r="N22" s="9" t="s">
        <v>112</v>
      </c>
      <c r="O22" s="9" t="s">
        <v>112</v>
      </c>
      <c r="P22" s="9" t="s">
        <v>112</v>
      </c>
      <c r="Q22" s="9" t="s">
        <v>112</v>
      </c>
      <c r="R22" s="9" t="s">
        <v>112</v>
      </c>
      <c r="S22" s="5">
        <f t="shared" si="1"/>
        <v>12</v>
      </c>
      <c r="T22" s="5">
        <f t="shared" si="2"/>
        <v>0</v>
      </c>
      <c r="U22" s="5" t="s">
        <v>17</v>
      </c>
      <c r="V22" s="10">
        <f>V21-V14</f>
        <v>50</v>
      </c>
      <c r="W22" s="10">
        <f>W21-W14</f>
        <v>61</v>
      </c>
      <c r="X22" s="10">
        <f>V22+W22</f>
        <v>111</v>
      </c>
    </row>
    <row r="23" spans="1:24" x14ac:dyDescent="0.25">
      <c r="A23" s="10">
        <v>19</v>
      </c>
      <c r="B23" s="7" t="s">
        <v>264</v>
      </c>
      <c r="C23" s="7" t="s">
        <v>265</v>
      </c>
      <c r="D23" s="8" t="s">
        <v>233</v>
      </c>
      <c r="E23" s="128"/>
      <c r="F23" s="9" t="s">
        <v>112</v>
      </c>
      <c r="G23" s="9" t="s">
        <v>112</v>
      </c>
      <c r="H23" s="9" t="s">
        <v>112</v>
      </c>
      <c r="I23" s="9" t="s">
        <v>112</v>
      </c>
      <c r="J23" s="9" t="s">
        <v>112</v>
      </c>
      <c r="K23" s="9" t="s">
        <v>112</v>
      </c>
      <c r="L23" s="128"/>
      <c r="M23" s="9" t="s">
        <v>112</v>
      </c>
      <c r="N23" s="9" t="s">
        <v>112</v>
      </c>
      <c r="O23" s="9" t="s">
        <v>112</v>
      </c>
      <c r="P23" s="9" t="s">
        <v>112</v>
      </c>
      <c r="Q23" s="9" t="s">
        <v>112</v>
      </c>
      <c r="R23" s="9" t="s">
        <v>112</v>
      </c>
      <c r="S23" s="5">
        <f t="shared" si="1"/>
        <v>12</v>
      </c>
      <c r="T23" s="5">
        <f t="shared" si="2"/>
        <v>0</v>
      </c>
      <c r="U23" s="5" t="s">
        <v>16</v>
      </c>
      <c r="V23" s="13">
        <f>V22/V21</f>
        <v>0.13020833333333334</v>
      </c>
      <c r="W23" s="13">
        <f>W22/W21</f>
        <v>0.21180555555555555</v>
      </c>
      <c r="X23" s="13">
        <f>X22/X21</f>
        <v>0.16517857142857142</v>
      </c>
    </row>
    <row r="24" spans="1:24" x14ac:dyDescent="0.25">
      <c r="A24" s="10">
        <v>20</v>
      </c>
      <c r="B24" s="7" t="s">
        <v>266</v>
      </c>
      <c r="C24" s="7" t="s">
        <v>267</v>
      </c>
      <c r="D24" s="8" t="s">
        <v>233</v>
      </c>
      <c r="E24" s="128"/>
      <c r="F24" s="9" t="s">
        <v>112</v>
      </c>
      <c r="G24" s="9" t="s">
        <v>112</v>
      </c>
      <c r="H24" s="9" t="s">
        <v>112</v>
      </c>
      <c r="I24" s="9" t="s">
        <v>112</v>
      </c>
      <c r="J24" s="9" t="s">
        <v>112</v>
      </c>
      <c r="K24" s="9" t="s">
        <v>112</v>
      </c>
      <c r="L24" s="128"/>
      <c r="M24" s="9" t="s">
        <v>112</v>
      </c>
      <c r="N24" s="9" t="s">
        <v>112</v>
      </c>
      <c r="O24" s="9" t="s">
        <v>112</v>
      </c>
      <c r="P24" s="9" t="s">
        <v>112</v>
      </c>
      <c r="Q24" s="9" t="s">
        <v>112</v>
      </c>
      <c r="R24" s="9" t="s">
        <v>112</v>
      </c>
      <c r="S24" s="5">
        <f t="shared" si="1"/>
        <v>12</v>
      </c>
      <c r="T24" s="5">
        <f t="shared" si="2"/>
        <v>0</v>
      </c>
    </row>
    <row r="25" spans="1:24" x14ac:dyDescent="0.25">
      <c r="A25" s="10">
        <v>21</v>
      </c>
      <c r="B25" s="7" t="s">
        <v>266</v>
      </c>
      <c r="C25" s="7" t="s">
        <v>268</v>
      </c>
      <c r="D25" s="8" t="s">
        <v>233</v>
      </c>
      <c r="E25" s="128"/>
      <c r="F25" s="9" t="s">
        <v>112</v>
      </c>
      <c r="G25" s="9" t="s">
        <v>112</v>
      </c>
      <c r="H25" s="9" t="s">
        <v>112</v>
      </c>
      <c r="I25" s="9" t="s">
        <v>112</v>
      </c>
      <c r="J25" s="9" t="s">
        <v>112</v>
      </c>
      <c r="K25" s="9" t="s">
        <v>112</v>
      </c>
      <c r="L25" s="128"/>
      <c r="M25" s="9" t="s">
        <v>112</v>
      </c>
      <c r="N25" s="9" t="s">
        <v>112</v>
      </c>
      <c r="O25" s="9" t="s">
        <v>112</v>
      </c>
      <c r="P25" s="9" t="s">
        <v>112</v>
      </c>
      <c r="Q25" s="9" t="s">
        <v>112</v>
      </c>
      <c r="R25" s="9" t="s">
        <v>112</v>
      </c>
      <c r="S25" s="5">
        <f t="shared" si="1"/>
        <v>12</v>
      </c>
      <c r="T25" s="5">
        <f t="shared" si="2"/>
        <v>0</v>
      </c>
    </row>
    <row r="26" spans="1:24" x14ac:dyDescent="0.25">
      <c r="A26" s="10">
        <v>22</v>
      </c>
      <c r="B26" s="7" t="s">
        <v>269</v>
      </c>
      <c r="C26" s="7" t="s">
        <v>270</v>
      </c>
      <c r="D26" s="8" t="s">
        <v>233</v>
      </c>
      <c r="E26" s="128"/>
      <c r="F26" s="9" t="s">
        <v>112</v>
      </c>
      <c r="G26" s="9" t="s">
        <v>112</v>
      </c>
      <c r="H26" s="9" t="s">
        <v>112</v>
      </c>
      <c r="I26" s="9" t="s">
        <v>112</v>
      </c>
      <c r="J26" s="9" t="s">
        <v>112</v>
      </c>
      <c r="K26" s="9" t="s">
        <v>112</v>
      </c>
      <c r="L26" s="128"/>
      <c r="M26" s="9" t="s">
        <v>112</v>
      </c>
      <c r="N26" s="9" t="s">
        <v>112</v>
      </c>
      <c r="O26" s="9" t="s">
        <v>112</v>
      </c>
      <c r="P26" s="9" t="s">
        <v>112</v>
      </c>
      <c r="Q26" s="9" t="s">
        <v>111</v>
      </c>
      <c r="R26" s="9" t="s">
        <v>111</v>
      </c>
      <c r="S26" s="5">
        <f t="shared" si="1"/>
        <v>10</v>
      </c>
      <c r="T26" s="5">
        <f t="shared" si="2"/>
        <v>2</v>
      </c>
    </row>
    <row r="27" spans="1:24" x14ac:dyDescent="0.25">
      <c r="A27" s="10">
        <v>23</v>
      </c>
      <c r="B27" s="7" t="s">
        <v>271</v>
      </c>
      <c r="C27" s="7" t="s">
        <v>272</v>
      </c>
      <c r="D27" s="8" t="s">
        <v>233</v>
      </c>
      <c r="E27" s="128"/>
      <c r="F27" s="9" t="s">
        <v>112</v>
      </c>
      <c r="G27" s="9" t="s">
        <v>112</v>
      </c>
      <c r="H27" s="9" t="s">
        <v>112</v>
      </c>
      <c r="I27" s="9" t="s">
        <v>112</v>
      </c>
      <c r="J27" s="9" t="s">
        <v>111</v>
      </c>
      <c r="K27" s="9" t="s">
        <v>112</v>
      </c>
      <c r="L27" s="128"/>
      <c r="M27" s="9" t="s">
        <v>113</v>
      </c>
      <c r="N27" s="9" t="s">
        <v>113</v>
      </c>
      <c r="O27" s="9" t="s">
        <v>112</v>
      </c>
      <c r="P27" s="9" t="s">
        <v>112</v>
      </c>
      <c r="Q27" s="9" t="s">
        <v>112</v>
      </c>
      <c r="R27" s="9" t="s">
        <v>112</v>
      </c>
      <c r="S27" s="5">
        <f t="shared" si="1"/>
        <v>9</v>
      </c>
      <c r="T27" s="5">
        <f t="shared" si="2"/>
        <v>1</v>
      </c>
    </row>
    <row r="28" spans="1:24" x14ac:dyDescent="0.25">
      <c r="A28" s="10">
        <v>24</v>
      </c>
      <c r="B28" s="7" t="s">
        <v>273</v>
      </c>
      <c r="C28" s="7" t="s">
        <v>274</v>
      </c>
      <c r="D28" s="8" t="s">
        <v>233</v>
      </c>
      <c r="E28" s="128"/>
      <c r="F28" s="9" t="s">
        <v>112</v>
      </c>
      <c r="G28" s="9" t="s">
        <v>112</v>
      </c>
      <c r="H28" s="9" t="s">
        <v>112</v>
      </c>
      <c r="I28" s="9" t="s">
        <v>111</v>
      </c>
      <c r="J28" s="9" t="s">
        <v>112</v>
      </c>
      <c r="K28" s="9" t="s">
        <v>112</v>
      </c>
      <c r="L28" s="128"/>
      <c r="M28" s="9" t="s">
        <v>112</v>
      </c>
      <c r="N28" s="9" t="s">
        <v>112</v>
      </c>
      <c r="O28" s="9" t="s">
        <v>112</v>
      </c>
      <c r="P28" s="9" t="s">
        <v>112</v>
      </c>
      <c r="Q28" s="9" t="s">
        <v>112</v>
      </c>
      <c r="R28" s="9" t="s">
        <v>112</v>
      </c>
      <c r="S28" s="5">
        <f t="shared" si="1"/>
        <v>11</v>
      </c>
      <c r="T28" s="5">
        <f t="shared" si="2"/>
        <v>1</v>
      </c>
    </row>
    <row r="29" spans="1:24" ht="16.5" customHeight="1" x14ac:dyDescent="0.25">
      <c r="A29" s="10">
        <v>1</v>
      </c>
      <c r="B29" s="7" t="s">
        <v>275</v>
      </c>
      <c r="C29" s="7" t="s">
        <v>268</v>
      </c>
      <c r="D29" s="8" t="s">
        <v>233</v>
      </c>
      <c r="E29" s="128"/>
      <c r="F29" s="9" t="s">
        <v>112</v>
      </c>
      <c r="G29" s="9" t="s">
        <v>112</v>
      </c>
      <c r="H29" s="9" t="s">
        <v>112</v>
      </c>
      <c r="I29" s="9" t="s">
        <v>112</v>
      </c>
      <c r="J29" s="9" t="s">
        <v>112</v>
      </c>
      <c r="K29" s="9" t="s">
        <v>112</v>
      </c>
      <c r="L29" s="128"/>
      <c r="M29" s="9" t="s">
        <v>112</v>
      </c>
      <c r="N29" s="9" t="s">
        <v>112</v>
      </c>
      <c r="O29" s="9" t="s">
        <v>112</v>
      </c>
      <c r="P29" s="9" t="s">
        <v>112</v>
      </c>
      <c r="Q29" s="9" t="s">
        <v>112</v>
      </c>
      <c r="R29" s="9" t="s">
        <v>112</v>
      </c>
      <c r="S29" s="5">
        <f t="shared" si="1"/>
        <v>12</v>
      </c>
      <c r="T29" s="5">
        <f t="shared" si="2"/>
        <v>0</v>
      </c>
    </row>
    <row r="30" spans="1:24" x14ac:dyDescent="0.25">
      <c r="A30" s="10">
        <v>2</v>
      </c>
      <c r="B30" s="7" t="s">
        <v>275</v>
      </c>
      <c r="C30" s="7" t="s">
        <v>276</v>
      </c>
      <c r="D30" s="8" t="s">
        <v>233</v>
      </c>
      <c r="E30" s="128"/>
      <c r="F30" s="9" t="s">
        <v>112</v>
      </c>
      <c r="G30" s="9" t="s">
        <v>112</v>
      </c>
      <c r="H30" s="9" t="s">
        <v>111</v>
      </c>
      <c r="I30" s="9" t="s">
        <v>112</v>
      </c>
      <c r="J30" s="9" t="s">
        <v>112</v>
      </c>
      <c r="K30" s="9" t="s">
        <v>111</v>
      </c>
      <c r="L30" s="128"/>
      <c r="M30" s="9" t="s">
        <v>111</v>
      </c>
      <c r="N30" s="9" t="s">
        <v>111</v>
      </c>
      <c r="O30" s="9" t="s">
        <v>112</v>
      </c>
      <c r="P30" s="9" t="s">
        <v>112</v>
      </c>
      <c r="Q30" s="9" t="s">
        <v>112</v>
      </c>
      <c r="R30" s="9" t="s">
        <v>111</v>
      </c>
      <c r="S30" s="5">
        <f t="shared" si="1"/>
        <v>7</v>
      </c>
      <c r="T30" s="5">
        <f t="shared" si="2"/>
        <v>5</v>
      </c>
    </row>
    <row r="31" spans="1:24" x14ac:dyDescent="0.25">
      <c r="A31" s="10">
        <v>3</v>
      </c>
      <c r="B31" s="7" t="s">
        <v>277</v>
      </c>
      <c r="C31" s="7" t="s">
        <v>278</v>
      </c>
      <c r="D31" s="8" t="s">
        <v>233</v>
      </c>
      <c r="E31" s="128"/>
      <c r="F31" s="9" t="s">
        <v>112</v>
      </c>
      <c r="G31" s="9" t="s">
        <v>112</v>
      </c>
      <c r="H31" s="9" t="s">
        <v>111</v>
      </c>
      <c r="I31" s="9" t="s">
        <v>112</v>
      </c>
      <c r="J31" s="9" t="s">
        <v>112</v>
      </c>
      <c r="K31" s="9" t="s">
        <v>112</v>
      </c>
      <c r="L31" s="128"/>
      <c r="M31" s="9" t="s">
        <v>112</v>
      </c>
      <c r="N31" s="9" t="s">
        <v>112</v>
      </c>
      <c r="O31" s="9" t="s">
        <v>112</v>
      </c>
      <c r="P31" s="9" t="s">
        <v>112</v>
      </c>
      <c r="Q31" s="9" t="s">
        <v>112</v>
      </c>
      <c r="R31" s="9" t="s">
        <v>112</v>
      </c>
      <c r="S31" s="5">
        <f t="shared" si="1"/>
        <v>11</v>
      </c>
      <c r="T31" s="5">
        <f t="shared" si="2"/>
        <v>1</v>
      </c>
    </row>
    <row r="32" spans="1:24" x14ac:dyDescent="0.25">
      <c r="A32" s="10">
        <v>4</v>
      </c>
      <c r="B32" s="7" t="s">
        <v>279</v>
      </c>
      <c r="C32" s="7" t="s">
        <v>280</v>
      </c>
      <c r="D32" s="8" t="s">
        <v>233</v>
      </c>
      <c r="E32" s="128"/>
      <c r="F32" s="9" t="s">
        <v>112</v>
      </c>
      <c r="G32" s="9" t="s">
        <v>112</v>
      </c>
      <c r="H32" s="9" t="s">
        <v>112</v>
      </c>
      <c r="I32" s="9" t="s">
        <v>111</v>
      </c>
      <c r="J32" s="9" t="s">
        <v>112</v>
      </c>
      <c r="K32" s="9" t="s">
        <v>111</v>
      </c>
      <c r="L32" s="128"/>
      <c r="M32" s="9" t="s">
        <v>112</v>
      </c>
      <c r="N32" s="9" t="s">
        <v>112</v>
      </c>
      <c r="O32" s="9" t="s">
        <v>112</v>
      </c>
      <c r="P32" s="9" t="s">
        <v>112</v>
      </c>
      <c r="Q32" s="9" t="s">
        <v>112</v>
      </c>
      <c r="R32" s="9" t="s">
        <v>112</v>
      </c>
      <c r="S32" s="5">
        <f t="shared" si="1"/>
        <v>10</v>
      </c>
      <c r="T32" s="5">
        <f t="shared" si="2"/>
        <v>2</v>
      </c>
    </row>
    <row r="33" spans="1:20" x14ac:dyDescent="0.25">
      <c r="A33" s="10">
        <v>5</v>
      </c>
      <c r="B33" s="7" t="s">
        <v>116</v>
      </c>
      <c r="C33" s="7" t="s">
        <v>281</v>
      </c>
      <c r="D33" s="8" t="s">
        <v>233</v>
      </c>
      <c r="E33" s="128"/>
      <c r="F33" s="9" t="s">
        <v>111</v>
      </c>
      <c r="G33" s="9" t="s">
        <v>111</v>
      </c>
      <c r="H33" s="9" t="s">
        <v>113</v>
      </c>
      <c r="I33" s="9" t="s">
        <v>112</v>
      </c>
      <c r="J33" s="9" t="s">
        <v>111</v>
      </c>
      <c r="K33" s="9" t="s">
        <v>111</v>
      </c>
      <c r="L33" s="128"/>
      <c r="M33" s="9" t="s">
        <v>112</v>
      </c>
      <c r="N33" s="9" t="s">
        <v>112</v>
      </c>
      <c r="O33" s="9" t="s">
        <v>112</v>
      </c>
      <c r="P33" s="9" t="s">
        <v>112</v>
      </c>
      <c r="Q33" s="9" t="s">
        <v>112</v>
      </c>
      <c r="R33" s="9" t="s">
        <v>112</v>
      </c>
      <c r="S33" s="5">
        <f t="shared" si="1"/>
        <v>7</v>
      </c>
      <c r="T33" s="5">
        <f t="shared" si="2"/>
        <v>4</v>
      </c>
    </row>
    <row r="34" spans="1:20" ht="15" customHeight="1" x14ac:dyDescent="0.25">
      <c r="A34" s="10">
        <v>6</v>
      </c>
      <c r="B34" s="7" t="s">
        <v>282</v>
      </c>
      <c r="C34" s="7" t="s">
        <v>283</v>
      </c>
      <c r="D34" s="8" t="s">
        <v>233</v>
      </c>
      <c r="E34" s="128"/>
      <c r="F34" s="9" t="s">
        <v>112</v>
      </c>
      <c r="G34" s="9" t="s">
        <v>112</v>
      </c>
      <c r="H34" s="9" t="s">
        <v>112</v>
      </c>
      <c r="I34" s="9" t="s">
        <v>112</v>
      </c>
      <c r="J34" s="9" t="s">
        <v>112</v>
      </c>
      <c r="K34" s="9" t="s">
        <v>112</v>
      </c>
      <c r="L34" s="128"/>
      <c r="M34" s="9" t="s">
        <v>112</v>
      </c>
      <c r="N34" s="9" t="s">
        <v>112</v>
      </c>
      <c r="O34" s="9" t="s">
        <v>112</v>
      </c>
      <c r="P34" s="9" t="s">
        <v>112</v>
      </c>
      <c r="Q34" s="9" t="s">
        <v>112</v>
      </c>
      <c r="R34" s="9" t="s">
        <v>112</v>
      </c>
      <c r="S34" s="5">
        <f t="shared" si="1"/>
        <v>12</v>
      </c>
      <c r="T34" s="5">
        <f t="shared" si="2"/>
        <v>0</v>
      </c>
    </row>
    <row r="35" spans="1:20" x14ac:dyDescent="0.25">
      <c r="A35" s="10">
        <v>7</v>
      </c>
      <c r="B35" s="7" t="s">
        <v>284</v>
      </c>
      <c r="C35" s="7" t="s">
        <v>285</v>
      </c>
      <c r="D35" s="8" t="s">
        <v>233</v>
      </c>
      <c r="E35" s="128"/>
      <c r="F35" s="9" t="s">
        <v>112</v>
      </c>
      <c r="G35" s="9" t="s">
        <v>112</v>
      </c>
      <c r="H35" s="9" t="s">
        <v>112</v>
      </c>
      <c r="I35" s="9" t="s">
        <v>112</v>
      </c>
      <c r="J35" s="9" t="s">
        <v>111</v>
      </c>
      <c r="K35" s="9" t="s">
        <v>112</v>
      </c>
      <c r="L35" s="128"/>
      <c r="M35" s="9" t="s">
        <v>112</v>
      </c>
      <c r="N35" s="9" t="s">
        <v>112</v>
      </c>
      <c r="O35" s="9" t="s">
        <v>112</v>
      </c>
      <c r="P35" s="9" t="s">
        <v>112</v>
      </c>
      <c r="Q35" s="9" t="s">
        <v>112</v>
      </c>
      <c r="R35" s="9" t="s">
        <v>112</v>
      </c>
      <c r="S35" s="5">
        <f t="shared" si="1"/>
        <v>11</v>
      </c>
      <c r="T35" s="5">
        <f t="shared" si="2"/>
        <v>1</v>
      </c>
    </row>
    <row r="36" spans="1:20" x14ac:dyDescent="0.25">
      <c r="A36" s="10">
        <v>8</v>
      </c>
      <c r="B36" s="7" t="s">
        <v>286</v>
      </c>
      <c r="C36" s="7" t="s">
        <v>287</v>
      </c>
      <c r="D36" s="8" t="s">
        <v>233</v>
      </c>
      <c r="E36" s="128"/>
      <c r="F36" s="9" t="s">
        <v>112</v>
      </c>
      <c r="G36" s="9" t="s">
        <v>112</v>
      </c>
      <c r="H36" s="9" t="s">
        <v>112</v>
      </c>
      <c r="I36" s="9" t="s">
        <v>112</v>
      </c>
      <c r="J36" s="9" t="s">
        <v>112</v>
      </c>
      <c r="K36" s="9" t="s">
        <v>112</v>
      </c>
      <c r="L36" s="128"/>
      <c r="M36" s="9" t="s">
        <v>112</v>
      </c>
      <c r="N36" s="9" t="s">
        <v>112</v>
      </c>
      <c r="O36" s="9" t="s">
        <v>112</v>
      </c>
      <c r="P36" s="9" t="s">
        <v>112</v>
      </c>
      <c r="Q36" s="9" t="s">
        <v>112</v>
      </c>
      <c r="R36" s="9" t="s">
        <v>112</v>
      </c>
      <c r="S36" s="5">
        <f t="shared" si="1"/>
        <v>12</v>
      </c>
      <c r="T36" s="5">
        <f t="shared" si="2"/>
        <v>0</v>
      </c>
    </row>
    <row r="37" spans="1:20" x14ac:dyDescent="0.25">
      <c r="A37" s="10">
        <v>9</v>
      </c>
      <c r="B37" s="7" t="s">
        <v>96</v>
      </c>
      <c r="C37" s="7" t="s">
        <v>288</v>
      </c>
      <c r="D37" s="8" t="s">
        <v>233</v>
      </c>
      <c r="E37" s="128"/>
      <c r="F37" s="9" t="s">
        <v>112</v>
      </c>
      <c r="G37" s="9" t="s">
        <v>112</v>
      </c>
      <c r="H37" s="9" t="s">
        <v>112</v>
      </c>
      <c r="I37" s="9" t="s">
        <v>112</v>
      </c>
      <c r="J37" s="9" t="s">
        <v>112</v>
      </c>
      <c r="K37" s="9" t="s">
        <v>112</v>
      </c>
      <c r="L37" s="128"/>
      <c r="M37" s="9" t="s">
        <v>112</v>
      </c>
      <c r="N37" s="9" t="s">
        <v>112</v>
      </c>
      <c r="O37" s="9" t="s">
        <v>112</v>
      </c>
      <c r="P37" s="9" t="s">
        <v>112</v>
      </c>
      <c r="Q37" s="9" t="s">
        <v>112</v>
      </c>
      <c r="R37" s="9" t="s">
        <v>112</v>
      </c>
      <c r="S37" s="5">
        <f t="shared" ref="S37:S68" si="3">COUNTIF(E37:R37,"P")</f>
        <v>12</v>
      </c>
      <c r="T37" s="5">
        <f t="shared" ref="T37:T60" si="4">COUNTIF(E37:R37,"A")</f>
        <v>0</v>
      </c>
    </row>
    <row r="38" spans="1:20" x14ac:dyDescent="0.25">
      <c r="A38" s="10">
        <v>10</v>
      </c>
      <c r="B38" s="7" t="s">
        <v>289</v>
      </c>
      <c r="C38" s="7" t="s">
        <v>290</v>
      </c>
      <c r="D38" s="8" t="s">
        <v>233</v>
      </c>
      <c r="E38" s="128"/>
      <c r="F38" s="9" t="s">
        <v>112</v>
      </c>
      <c r="G38" s="9" t="s">
        <v>112</v>
      </c>
      <c r="H38" s="9" t="s">
        <v>112</v>
      </c>
      <c r="I38" s="9" t="s">
        <v>112</v>
      </c>
      <c r="J38" s="9" t="s">
        <v>112</v>
      </c>
      <c r="K38" s="9" t="s">
        <v>112</v>
      </c>
      <c r="L38" s="128"/>
      <c r="M38" s="9" t="s">
        <v>112</v>
      </c>
      <c r="N38" s="9" t="s">
        <v>112</v>
      </c>
      <c r="O38" s="9" t="s">
        <v>112</v>
      </c>
      <c r="P38" s="9" t="s">
        <v>112</v>
      </c>
      <c r="Q38" s="9" t="s">
        <v>112</v>
      </c>
      <c r="R38" s="9" t="s">
        <v>112</v>
      </c>
      <c r="S38" s="5">
        <f t="shared" si="3"/>
        <v>12</v>
      </c>
      <c r="T38" s="5">
        <f t="shared" si="4"/>
        <v>0</v>
      </c>
    </row>
    <row r="39" spans="1:20" x14ac:dyDescent="0.25">
      <c r="A39" s="10">
        <v>11</v>
      </c>
      <c r="B39" s="7" t="s">
        <v>291</v>
      </c>
      <c r="C39" s="7" t="s">
        <v>292</v>
      </c>
      <c r="D39" s="8" t="s">
        <v>233</v>
      </c>
      <c r="E39" s="128"/>
      <c r="F39" s="9" t="s">
        <v>112</v>
      </c>
      <c r="G39" s="9" t="s">
        <v>112</v>
      </c>
      <c r="H39" s="9" t="s">
        <v>112</v>
      </c>
      <c r="I39" s="9" t="s">
        <v>112</v>
      </c>
      <c r="J39" s="9" t="s">
        <v>111</v>
      </c>
      <c r="K39" s="9" t="s">
        <v>112</v>
      </c>
      <c r="L39" s="128"/>
      <c r="M39" s="9" t="s">
        <v>112</v>
      </c>
      <c r="N39" s="9" t="s">
        <v>112</v>
      </c>
      <c r="O39" s="9" t="s">
        <v>111</v>
      </c>
      <c r="P39" s="9" t="s">
        <v>112</v>
      </c>
      <c r="Q39" s="9" t="s">
        <v>112</v>
      </c>
      <c r="R39" s="9" t="s">
        <v>112</v>
      </c>
      <c r="S39" s="5">
        <f t="shared" si="3"/>
        <v>10</v>
      </c>
      <c r="T39" s="5">
        <f t="shared" si="4"/>
        <v>2</v>
      </c>
    </row>
    <row r="40" spans="1:20" ht="15" customHeight="1" x14ac:dyDescent="0.25">
      <c r="A40" s="10">
        <v>12</v>
      </c>
      <c r="B40" s="7" t="s">
        <v>293</v>
      </c>
      <c r="C40" s="7" t="s">
        <v>294</v>
      </c>
      <c r="D40" s="8" t="s">
        <v>233</v>
      </c>
      <c r="E40" s="128"/>
      <c r="F40" s="9" t="s">
        <v>111</v>
      </c>
      <c r="G40" s="9" t="s">
        <v>112</v>
      </c>
      <c r="H40" s="9" t="s">
        <v>112</v>
      </c>
      <c r="I40" s="9" t="s">
        <v>112</v>
      </c>
      <c r="J40" s="9" t="s">
        <v>112</v>
      </c>
      <c r="K40" s="9" t="s">
        <v>112</v>
      </c>
      <c r="L40" s="128"/>
      <c r="M40" s="9" t="s">
        <v>112</v>
      </c>
      <c r="N40" s="9" t="s">
        <v>112</v>
      </c>
      <c r="O40" s="9" t="s">
        <v>112</v>
      </c>
      <c r="P40" s="9" t="s">
        <v>112</v>
      </c>
      <c r="Q40" s="9" t="s">
        <v>112</v>
      </c>
      <c r="R40" s="9" t="s">
        <v>112</v>
      </c>
      <c r="S40" s="5">
        <f t="shared" si="3"/>
        <v>11</v>
      </c>
      <c r="T40" s="5">
        <f t="shared" si="4"/>
        <v>1</v>
      </c>
    </row>
    <row r="41" spans="1:20" x14ac:dyDescent="0.25">
      <c r="A41" s="10">
        <v>13</v>
      </c>
      <c r="B41" s="7" t="s">
        <v>293</v>
      </c>
      <c r="C41" s="7" t="s">
        <v>208</v>
      </c>
      <c r="D41" s="8" t="s">
        <v>233</v>
      </c>
      <c r="E41" s="128"/>
      <c r="F41" s="9" t="s">
        <v>112</v>
      </c>
      <c r="G41" s="9" t="s">
        <v>112</v>
      </c>
      <c r="H41" s="9" t="s">
        <v>112</v>
      </c>
      <c r="I41" s="9" t="s">
        <v>112</v>
      </c>
      <c r="J41" s="9" t="s">
        <v>112</v>
      </c>
      <c r="K41" s="9" t="s">
        <v>112</v>
      </c>
      <c r="L41" s="128"/>
      <c r="M41" s="9" t="s">
        <v>112</v>
      </c>
      <c r="N41" s="9" t="s">
        <v>112</v>
      </c>
      <c r="O41" s="9" t="s">
        <v>112</v>
      </c>
      <c r="P41" s="9" t="s">
        <v>112</v>
      </c>
      <c r="Q41" s="9" t="s">
        <v>112</v>
      </c>
      <c r="R41" s="9" t="s">
        <v>112</v>
      </c>
      <c r="S41" s="5">
        <f t="shared" si="3"/>
        <v>12</v>
      </c>
      <c r="T41" s="5">
        <f t="shared" si="4"/>
        <v>0</v>
      </c>
    </row>
    <row r="42" spans="1:20" x14ac:dyDescent="0.25">
      <c r="A42" s="10">
        <v>14</v>
      </c>
      <c r="B42" s="7" t="s">
        <v>196</v>
      </c>
      <c r="C42" s="7" t="s">
        <v>295</v>
      </c>
      <c r="D42" s="8" t="s">
        <v>233</v>
      </c>
      <c r="E42" s="128"/>
      <c r="F42" s="9" t="s">
        <v>112</v>
      </c>
      <c r="G42" s="9" t="s">
        <v>112</v>
      </c>
      <c r="H42" s="9" t="s">
        <v>112</v>
      </c>
      <c r="I42" s="9" t="s">
        <v>112</v>
      </c>
      <c r="J42" s="9" t="s">
        <v>112</v>
      </c>
      <c r="K42" s="9" t="s">
        <v>112</v>
      </c>
      <c r="L42" s="128"/>
      <c r="M42" s="9" t="s">
        <v>112</v>
      </c>
      <c r="N42" s="9" t="s">
        <v>112</v>
      </c>
      <c r="O42" s="9" t="s">
        <v>112</v>
      </c>
      <c r="P42" s="9" t="s">
        <v>112</v>
      </c>
      <c r="Q42" s="9" t="s">
        <v>112</v>
      </c>
      <c r="R42" s="9" t="s">
        <v>112</v>
      </c>
      <c r="S42" s="5">
        <f t="shared" si="3"/>
        <v>12</v>
      </c>
      <c r="T42" s="5">
        <f t="shared" si="4"/>
        <v>0</v>
      </c>
    </row>
    <row r="43" spans="1:20" x14ac:dyDescent="0.25">
      <c r="A43" s="10">
        <v>15</v>
      </c>
      <c r="B43" s="7" t="s">
        <v>296</v>
      </c>
      <c r="C43" s="7" t="s">
        <v>297</v>
      </c>
      <c r="D43" s="8" t="s">
        <v>233</v>
      </c>
      <c r="E43" s="128"/>
      <c r="F43" s="9" t="s">
        <v>112</v>
      </c>
      <c r="G43" s="9" t="s">
        <v>112</v>
      </c>
      <c r="H43" s="9" t="s">
        <v>112</v>
      </c>
      <c r="I43" s="9" t="s">
        <v>112</v>
      </c>
      <c r="J43" s="9" t="s">
        <v>112</v>
      </c>
      <c r="K43" s="9" t="s">
        <v>112</v>
      </c>
      <c r="L43" s="128"/>
      <c r="M43" s="9" t="s">
        <v>111</v>
      </c>
      <c r="N43" s="9" t="s">
        <v>112</v>
      </c>
      <c r="O43" s="9" t="s">
        <v>112</v>
      </c>
      <c r="P43" s="9" t="s">
        <v>112</v>
      </c>
      <c r="Q43" s="9" t="s">
        <v>112</v>
      </c>
      <c r="R43" s="9" t="s">
        <v>112</v>
      </c>
      <c r="S43" s="5">
        <f t="shared" si="3"/>
        <v>11</v>
      </c>
      <c r="T43" s="5">
        <f t="shared" si="4"/>
        <v>1</v>
      </c>
    </row>
    <row r="44" spans="1:20" x14ac:dyDescent="0.25">
      <c r="A44" s="10">
        <v>16</v>
      </c>
      <c r="B44" s="7" t="s">
        <v>298</v>
      </c>
      <c r="C44" s="7" t="s">
        <v>299</v>
      </c>
      <c r="D44" s="8" t="s">
        <v>233</v>
      </c>
      <c r="E44" s="128"/>
      <c r="F44" s="9" t="s">
        <v>112</v>
      </c>
      <c r="G44" s="9" t="s">
        <v>112</v>
      </c>
      <c r="H44" s="9" t="s">
        <v>112</v>
      </c>
      <c r="I44" s="9" t="s">
        <v>112</v>
      </c>
      <c r="J44" s="9" t="s">
        <v>112</v>
      </c>
      <c r="K44" s="9" t="s">
        <v>112</v>
      </c>
      <c r="L44" s="128"/>
      <c r="M44" s="9" t="s">
        <v>112</v>
      </c>
      <c r="N44" s="9" t="s">
        <v>112</v>
      </c>
      <c r="O44" s="9" t="s">
        <v>112</v>
      </c>
      <c r="P44" s="9" t="s">
        <v>112</v>
      </c>
      <c r="Q44" s="9" t="s">
        <v>112</v>
      </c>
      <c r="R44" s="9" t="s">
        <v>112</v>
      </c>
      <c r="S44" s="5">
        <f t="shared" si="3"/>
        <v>12</v>
      </c>
      <c r="T44" s="5">
        <f t="shared" si="4"/>
        <v>0</v>
      </c>
    </row>
    <row r="45" spans="1:20" x14ac:dyDescent="0.25">
      <c r="A45" s="10">
        <v>17</v>
      </c>
      <c r="B45" s="7" t="s">
        <v>300</v>
      </c>
      <c r="C45" s="7" t="s">
        <v>237</v>
      </c>
      <c r="D45" s="8" t="s">
        <v>233</v>
      </c>
      <c r="E45" s="128"/>
      <c r="F45" s="9" t="s">
        <v>112</v>
      </c>
      <c r="G45" s="9" t="s">
        <v>112</v>
      </c>
      <c r="H45" s="9" t="s">
        <v>112</v>
      </c>
      <c r="I45" s="9" t="s">
        <v>112</v>
      </c>
      <c r="J45" s="9" t="s">
        <v>112</v>
      </c>
      <c r="K45" s="9" t="s">
        <v>111</v>
      </c>
      <c r="L45" s="128"/>
      <c r="M45" s="9" t="s">
        <v>112</v>
      </c>
      <c r="N45" s="9" t="s">
        <v>112</v>
      </c>
      <c r="O45" s="9" t="s">
        <v>112</v>
      </c>
      <c r="P45" s="9" t="s">
        <v>111</v>
      </c>
      <c r="Q45" s="9" t="s">
        <v>112</v>
      </c>
      <c r="R45" s="9" t="s">
        <v>112</v>
      </c>
      <c r="S45" s="5">
        <f t="shared" si="3"/>
        <v>10</v>
      </c>
      <c r="T45" s="5">
        <f t="shared" si="4"/>
        <v>2</v>
      </c>
    </row>
    <row r="46" spans="1:20" x14ac:dyDescent="0.25">
      <c r="A46" s="10">
        <v>18</v>
      </c>
      <c r="B46" s="7" t="s">
        <v>301</v>
      </c>
      <c r="C46" s="7" t="s">
        <v>295</v>
      </c>
      <c r="D46" s="8" t="s">
        <v>233</v>
      </c>
      <c r="E46" s="128"/>
      <c r="F46" s="9" t="s">
        <v>112</v>
      </c>
      <c r="G46" s="9" t="s">
        <v>112</v>
      </c>
      <c r="H46" s="9" t="s">
        <v>112</v>
      </c>
      <c r="I46" s="9" t="s">
        <v>112</v>
      </c>
      <c r="J46" s="9" t="s">
        <v>112</v>
      </c>
      <c r="K46" s="9" t="s">
        <v>112</v>
      </c>
      <c r="L46" s="128"/>
      <c r="M46" s="9" t="s">
        <v>112</v>
      </c>
      <c r="N46" s="9" t="s">
        <v>112</v>
      </c>
      <c r="O46" s="9" t="s">
        <v>112</v>
      </c>
      <c r="P46" s="9" t="s">
        <v>112</v>
      </c>
      <c r="Q46" s="9" t="s">
        <v>112</v>
      </c>
      <c r="R46" s="9" t="s">
        <v>112</v>
      </c>
      <c r="S46" s="5">
        <f t="shared" si="3"/>
        <v>12</v>
      </c>
      <c r="T46" s="5">
        <f t="shared" si="4"/>
        <v>0</v>
      </c>
    </row>
    <row r="47" spans="1:20" x14ac:dyDescent="0.25">
      <c r="A47" s="10">
        <v>19</v>
      </c>
      <c r="B47" s="7" t="s">
        <v>302</v>
      </c>
      <c r="C47" s="7" t="s">
        <v>303</v>
      </c>
      <c r="D47" s="8" t="s">
        <v>233</v>
      </c>
      <c r="E47" s="128"/>
      <c r="F47" s="9" t="s">
        <v>112</v>
      </c>
      <c r="G47" s="9" t="s">
        <v>112</v>
      </c>
      <c r="H47" s="9" t="s">
        <v>112</v>
      </c>
      <c r="I47" s="9" t="s">
        <v>112</v>
      </c>
      <c r="J47" s="9" t="s">
        <v>112</v>
      </c>
      <c r="K47" s="9" t="s">
        <v>112</v>
      </c>
      <c r="L47" s="128"/>
      <c r="M47" s="9" t="s">
        <v>112</v>
      </c>
      <c r="N47" s="9" t="s">
        <v>112</v>
      </c>
      <c r="O47" s="9" t="s">
        <v>112</v>
      </c>
      <c r="P47" s="9" t="s">
        <v>112</v>
      </c>
      <c r="Q47" s="9" t="s">
        <v>112</v>
      </c>
      <c r="R47" s="9" t="s">
        <v>112</v>
      </c>
      <c r="S47" s="5">
        <f t="shared" si="3"/>
        <v>12</v>
      </c>
      <c r="T47" s="5">
        <f t="shared" si="4"/>
        <v>0</v>
      </c>
    </row>
    <row r="48" spans="1:20" x14ac:dyDescent="0.25">
      <c r="A48" s="10">
        <v>20</v>
      </c>
      <c r="B48" s="7" t="s">
        <v>304</v>
      </c>
      <c r="C48" s="7" t="s">
        <v>305</v>
      </c>
      <c r="D48" s="8" t="s">
        <v>233</v>
      </c>
      <c r="E48" s="128"/>
      <c r="F48" s="9" t="s">
        <v>112</v>
      </c>
      <c r="G48" s="9" t="s">
        <v>112</v>
      </c>
      <c r="H48" s="9" t="s">
        <v>112</v>
      </c>
      <c r="I48" s="9" t="s">
        <v>112</v>
      </c>
      <c r="J48" s="9" t="s">
        <v>112</v>
      </c>
      <c r="K48" s="9" t="s">
        <v>112</v>
      </c>
      <c r="L48" s="128"/>
      <c r="M48" s="9" t="s">
        <v>111</v>
      </c>
      <c r="N48" s="9" t="s">
        <v>111</v>
      </c>
      <c r="O48" s="9" t="s">
        <v>111</v>
      </c>
      <c r="P48" s="9" t="s">
        <v>112</v>
      </c>
      <c r="Q48" s="9" t="s">
        <v>111</v>
      </c>
      <c r="R48" s="9" t="s">
        <v>111</v>
      </c>
      <c r="S48" s="5">
        <f t="shared" si="3"/>
        <v>7</v>
      </c>
      <c r="T48" s="5">
        <f t="shared" si="4"/>
        <v>5</v>
      </c>
    </row>
    <row r="49" spans="1:20" x14ac:dyDescent="0.25">
      <c r="A49" s="10">
        <v>21</v>
      </c>
      <c r="B49" s="7" t="s">
        <v>306</v>
      </c>
      <c r="C49" s="7" t="s">
        <v>307</v>
      </c>
      <c r="D49" s="8" t="s">
        <v>233</v>
      </c>
      <c r="E49" s="128"/>
      <c r="F49" s="9" t="s">
        <v>111</v>
      </c>
      <c r="G49" s="9" t="s">
        <v>112</v>
      </c>
      <c r="H49" s="9" t="s">
        <v>112</v>
      </c>
      <c r="I49" s="9" t="s">
        <v>112</v>
      </c>
      <c r="J49" s="9" t="s">
        <v>111</v>
      </c>
      <c r="K49" s="9" t="s">
        <v>111</v>
      </c>
      <c r="L49" s="128"/>
      <c r="M49" s="9" t="s">
        <v>112</v>
      </c>
      <c r="N49" s="9" t="s">
        <v>112</v>
      </c>
      <c r="O49" s="9" t="s">
        <v>112</v>
      </c>
      <c r="P49" s="9" t="s">
        <v>112</v>
      </c>
      <c r="Q49" s="9" t="s">
        <v>112</v>
      </c>
      <c r="R49" s="9" t="s">
        <v>111</v>
      </c>
      <c r="S49" s="5">
        <f t="shared" si="3"/>
        <v>8</v>
      </c>
      <c r="T49" s="5">
        <f t="shared" si="4"/>
        <v>4</v>
      </c>
    </row>
    <row r="50" spans="1:20" x14ac:dyDescent="0.25">
      <c r="A50" s="10">
        <v>22</v>
      </c>
      <c r="B50" s="7" t="s">
        <v>308</v>
      </c>
      <c r="C50" s="7" t="s">
        <v>309</v>
      </c>
      <c r="D50" s="8" t="s">
        <v>233</v>
      </c>
      <c r="E50" s="128"/>
      <c r="F50" s="9" t="s">
        <v>112</v>
      </c>
      <c r="G50" s="9" t="s">
        <v>112</v>
      </c>
      <c r="H50" s="9" t="s">
        <v>112</v>
      </c>
      <c r="I50" s="9" t="s">
        <v>112</v>
      </c>
      <c r="J50" s="9" t="s">
        <v>112</v>
      </c>
      <c r="K50" s="9" t="s">
        <v>112</v>
      </c>
      <c r="L50" s="128"/>
      <c r="M50" s="9" t="s">
        <v>112</v>
      </c>
      <c r="N50" s="9" t="s">
        <v>112</v>
      </c>
      <c r="O50" s="9" t="s">
        <v>112</v>
      </c>
      <c r="P50" s="9" t="s">
        <v>112</v>
      </c>
      <c r="Q50" s="9" t="s">
        <v>112</v>
      </c>
      <c r="R50" s="9" t="s">
        <v>112</v>
      </c>
      <c r="S50" s="5">
        <f t="shared" si="3"/>
        <v>12</v>
      </c>
      <c r="T50" s="5">
        <f t="shared" si="4"/>
        <v>0</v>
      </c>
    </row>
    <row r="51" spans="1:20" x14ac:dyDescent="0.25">
      <c r="A51" s="10">
        <v>23</v>
      </c>
      <c r="B51" s="7" t="s">
        <v>310</v>
      </c>
      <c r="C51" s="7" t="s">
        <v>311</v>
      </c>
      <c r="D51" s="8" t="s">
        <v>233</v>
      </c>
      <c r="E51" s="128"/>
      <c r="F51" s="9" t="s">
        <v>112</v>
      </c>
      <c r="G51" s="9" t="s">
        <v>112</v>
      </c>
      <c r="H51" s="9" t="s">
        <v>112</v>
      </c>
      <c r="I51" s="9" t="s">
        <v>112</v>
      </c>
      <c r="J51" s="9" t="s">
        <v>112</v>
      </c>
      <c r="K51" s="9" t="s">
        <v>112</v>
      </c>
      <c r="L51" s="128"/>
      <c r="M51" s="9" t="s">
        <v>112</v>
      </c>
      <c r="N51" s="9" t="s">
        <v>112</v>
      </c>
      <c r="O51" s="9" t="s">
        <v>112</v>
      </c>
      <c r="P51" s="9" t="s">
        <v>112</v>
      </c>
      <c r="Q51" s="9" t="s">
        <v>112</v>
      </c>
      <c r="R51" s="9" t="s">
        <v>112</v>
      </c>
      <c r="S51" s="5">
        <f t="shared" si="3"/>
        <v>12</v>
      </c>
      <c r="T51" s="5">
        <f t="shared" si="4"/>
        <v>0</v>
      </c>
    </row>
    <row r="52" spans="1:20" x14ac:dyDescent="0.25">
      <c r="A52" s="10">
        <v>24</v>
      </c>
      <c r="B52" s="7" t="s">
        <v>312</v>
      </c>
      <c r="C52" s="7" t="s">
        <v>313</v>
      </c>
      <c r="D52" s="8" t="s">
        <v>233</v>
      </c>
      <c r="E52" s="128"/>
      <c r="F52" s="9" t="s">
        <v>112</v>
      </c>
      <c r="G52" s="9" t="s">
        <v>112</v>
      </c>
      <c r="H52" s="9" t="s">
        <v>112</v>
      </c>
      <c r="I52" s="9" t="s">
        <v>112</v>
      </c>
      <c r="J52" s="9" t="s">
        <v>112</v>
      </c>
      <c r="K52" s="9" t="s">
        <v>112</v>
      </c>
      <c r="L52" s="128"/>
      <c r="M52" s="9" t="s">
        <v>112</v>
      </c>
      <c r="N52" s="9" t="s">
        <v>112</v>
      </c>
      <c r="O52" s="9" t="s">
        <v>112</v>
      </c>
      <c r="P52" s="9" t="s">
        <v>112</v>
      </c>
      <c r="Q52" s="9" t="s">
        <v>112</v>
      </c>
      <c r="R52" s="9" t="s">
        <v>112</v>
      </c>
      <c r="S52" s="5">
        <f t="shared" si="3"/>
        <v>12</v>
      </c>
      <c r="T52" s="5">
        <f t="shared" si="4"/>
        <v>0</v>
      </c>
    </row>
    <row r="53" spans="1:20" x14ac:dyDescent="0.25">
      <c r="A53" s="10">
        <v>25</v>
      </c>
      <c r="B53" s="7" t="s">
        <v>314</v>
      </c>
      <c r="C53" s="7" t="s">
        <v>315</v>
      </c>
      <c r="D53" s="8" t="s">
        <v>233</v>
      </c>
      <c r="E53" s="128"/>
      <c r="F53" s="9" t="s">
        <v>112</v>
      </c>
      <c r="G53" s="9" t="s">
        <v>112</v>
      </c>
      <c r="H53" s="9" t="s">
        <v>112</v>
      </c>
      <c r="I53" s="9" t="s">
        <v>112</v>
      </c>
      <c r="J53" s="9" t="s">
        <v>112</v>
      </c>
      <c r="K53" s="9" t="s">
        <v>112</v>
      </c>
      <c r="L53" s="128"/>
      <c r="M53" s="9" t="s">
        <v>112</v>
      </c>
      <c r="N53" s="9" t="s">
        <v>112</v>
      </c>
      <c r="O53" s="9" t="s">
        <v>112</v>
      </c>
      <c r="P53" s="9" t="s">
        <v>112</v>
      </c>
      <c r="Q53" s="9" t="s">
        <v>112</v>
      </c>
      <c r="R53" s="9" t="s">
        <v>112</v>
      </c>
      <c r="S53" s="5">
        <f t="shared" si="3"/>
        <v>12</v>
      </c>
      <c r="T53" s="5">
        <f t="shared" si="4"/>
        <v>0</v>
      </c>
    </row>
    <row r="54" spans="1:20" x14ac:dyDescent="0.25">
      <c r="A54" s="10">
        <v>26</v>
      </c>
      <c r="B54" s="7" t="s">
        <v>316</v>
      </c>
      <c r="C54" s="7" t="s">
        <v>317</v>
      </c>
      <c r="D54" s="8" t="s">
        <v>233</v>
      </c>
      <c r="E54" s="128"/>
      <c r="F54" s="9" t="s">
        <v>112</v>
      </c>
      <c r="G54" s="9" t="s">
        <v>112</v>
      </c>
      <c r="H54" s="9" t="s">
        <v>111</v>
      </c>
      <c r="I54" s="9" t="s">
        <v>112</v>
      </c>
      <c r="J54" s="9" t="s">
        <v>112</v>
      </c>
      <c r="K54" s="9" t="s">
        <v>112</v>
      </c>
      <c r="L54" s="128"/>
      <c r="M54" s="9" t="s">
        <v>112</v>
      </c>
      <c r="N54" s="9" t="s">
        <v>112</v>
      </c>
      <c r="O54" s="9" t="s">
        <v>112</v>
      </c>
      <c r="P54" s="9" t="s">
        <v>111</v>
      </c>
      <c r="Q54" s="9" t="s">
        <v>112</v>
      </c>
      <c r="R54" s="9" t="s">
        <v>112</v>
      </c>
      <c r="S54" s="5">
        <f t="shared" si="3"/>
        <v>10</v>
      </c>
      <c r="T54" s="5">
        <f t="shared" si="4"/>
        <v>2</v>
      </c>
    </row>
    <row r="55" spans="1:20" x14ac:dyDescent="0.25">
      <c r="A55" s="10">
        <v>27</v>
      </c>
      <c r="B55" s="7" t="s">
        <v>318</v>
      </c>
      <c r="C55" s="7" t="s">
        <v>319</v>
      </c>
      <c r="D55" s="8" t="s">
        <v>233</v>
      </c>
      <c r="E55" s="128"/>
      <c r="F55" s="9" t="s">
        <v>112</v>
      </c>
      <c r="G55" s="9" t="s">
        <v>112</v>
      </c>
      <c r="H55" s="9" t="s">
        <v>112</v>
      </c>
      <c r="I55" s="9" t="s">
        <v>112</v>
      </c>
      <c r="J55" s="9" t="s">
        <v>112</v>
      </c>
      <c r="K55" s="9" t="s">
        <v>112</v>
      </c>
      <c r="L55" s="128"/>
      <c r="M55" s="9" t="s">
        <v>112</v>
      </c>
      <c r="N55" s="9" t="s">
        <v>112</v>
      </c>
      <c r="O55" s="9" t="s">
        <v>112</v>
      </c>
      <c r="P55" s="9" t="s">
        <v>112</v>
      </c>
      <c r="Q55" s="9" t="s">
        <v>112</v>
      </c>
      <c r="R55" s="9" t="s">
        <v>112</v>
      </c>
      <c r="S55" s="5">
        <f t="shared" si="3"/>
        <v>12</v>
      </c>
      <c r="T55" s="5">
        <f t="shared" si="4"/>
        <v>0</v>
      </c>
    </row>
    <row r="56" spans="1:20" x14ac:dyDescent="0.25">
      <c r="A56" s="10">
        <v>28</v>
      </c>
      <c r="B56" s="7" t="s">
        <v>320</v>
      </c>
      <c r="C56" s="7" t="s">
        <v>321</v>
      </c>
      <c r="D56" s="8" t="s">
        <v>233</v>
      </c>
      <c r="E56" s="128"/>
      <c r="F56" s="9" t="s">
        <v>112</v>
      </c>
      <c r="G56" s="9" t="s">
        <v>112</v>
      </c>
      <c r="H56" s="9" t="s">
        <v>112</v>
      </c>
      <c r="I56" s="9" t="s">
        <v>112</v>
      </c>
      <c r="J56" s="9" t="s">
        <v>111</v>
      </c>
      <c r="K56" s="9" t="s">
        <v>112</v>
      </c>
      <c r="L56" s="128"/>
      <c r="M56" s="9" t="s">
        <v>112</v>
      </c>
      <c r="N56" s="9" t="s">
        <v>112</v>
      </c>
      <c r="O56" s="9" t="s">
        <v>111</v>
      </c>
      <c r="P56" s="9" t="s">
        <v>112</v>
      </c>
      <c r="Q56" s="9" t="s">
        <v>112</v>
      </c>
      <c r="R56" s="9" t="s">
        <v>111</v>
      </c>
      <c r="S56" s="5">
        <f t="shared" si="3"/>
        <v>9</v>
      </c>
      <c r="T56" s="5">
        <f t="shared" si="4"/>
        <v>3</v>
      </c>
    </row>
    <row r="57" spans="1:20" x14ac:dyDescent="0.25">
      <c r="A57" s="10">
        <v>29</v>
      </c>
      <c r="B57" s="7" t="s">
        <v>322</v>
      </c>
      <c r="C57" s="7" t="s">
        <v>34</v>
      </c>
      <c r="D57" s="8" t="s">
        <v>233</v>
      </c>
      <c r="E57" s="128"/>
      <c r="F57" s="9" t="s">
        <v>112</v>
      </c>
      <c r="G57" s="9" t="s">
        <v>112</v>
      </c>
      <c r="H57" s="9" t="s">
        <v>112</v>
      </c>
      <c r="I57" s="9" t="s">
        <v>112</v>
      </c>
      <c r="J57" s="9" t="s">
        <v>112</v>
      </c>
      <c r="K57" s="9" t="s">
        <v>112</v>
      </c>
      <c r="L57" s="128"/>
      <c r="M57" s="9" t="s">
        <v>112</v>
      </c>
      <c r="N57" s="9" t="s">
        <v>112</v>
      </c>
      <c r="O57" s="9" t="s">
        <v>112</v>
      </c>
      <c r="P57" s="9" t="s">
        <v>112</v>
      </c>
      <c r="Q57" s="9" t="s">
        <v>112</v>
      </c>
      <c r="R57" s="9" t="s">
        <v>112</v>
      </c>
      <c r="S57" s="5">
        <f t="shared" si="3"/>
        <v>12</v>
      </c>
      <c r="T57" s="5">
        <f t="shared" si="4"/>
        <v>0</v>
      </c>
    </row>
    <row r="58" spans="1:20" x14ac:dyDescent="0.25">
      <c r="A58" s="10">
        <v>30</v>
      </c>
      <c r="B58" s="7" t="s">
        <v>323</v>
      </c>
      <c r="C58" s="7" t="s">
        <v>324</v>
      </c>
      <c r="D58" s="8" t="s">
        <v>233</v>
      </c>
      <c r="E58" s="128"/>
      <c r="F58" s="9" t="s">
        <v>112</v>
      </c>
      <c r="G58" s="9" t="s">
        <v>112</v>
      </c>
      <c r="H58" s="9" t="s">
        <v>112</v>
      </c>
      <c r="I58" s="9" t="s">
        <v>112</v>
      </c>
      <c r="J58" s="9" t="s">
        <v>112</v>
      </c>
      <c r="K58" s="9" t="s">
        <v>112</v>
      </c>
      <c r="L58" s="128"/>
      <c r="M58" s="9" t="s">
        <v>112</v>
      </c>
      <c r="N58" s="9" t="s">
        <v>113</v>
      </c>
      <c r="O58" s="9" t="s">
        <v>113</v>
      </c>
      <c r="P58" s="9" t="s">
        <v>113</v>
      </c>
      <c r="Q58" s="9" t="s">
        <v>113</v>
      </c>
      <c r="R58" s="9" t="s">
        <v>113</v>
      </c>
      <c r="S58" s="5">
        <f t="shared" si="3"/>
        <v>7</v>
      </c>
      <c r="T58" s="5">
        <f t="shared" si="4"/>
        <v>0</v>
      </c>
    </row>
    <row r="59" spans="1:20" x14ac:dyDescent="0.25">
      <c r="A59" s="10">
        <v>31</v>
      </c>
      <c r="B59" s="7" t="s">
        <v>323</v>
      </c>
      <c r="C59" s="7" t="s">
        <v>325</v>
      </c>
      <c r="D59" s="8" t="s">
        <v>233</v>
      </c>
      <c r="E59" s="128"/>
      <c r="F59" s="9" t="s">
        <v>111</v>
      </c>
      <c r="G59" s="9" t="s">
        <v>111</v>
      </c>
      <c r="H59" s="9" t="s">
        <v>111</v>
      </c>
      <c r="I59" s="9" t="s">
        <v>111</v>
      </c>
      <c r="J59" s="9" t="s">
        <v>111</v>
      </c>
      <c r="K59" s="9" t="s">
        <v>111</v>
      </c>
      <c r="L59" s="128"/>
      <c r="M59" s="9" t="s">
        <v>111</v>
      </c>
      <c r="N59" s="9" t="s">
        <v>111</v>
      </c>
      <c r="O59" s="9" t="s">
        <v>112</v>
      </c>
      <c r="P59" s="9" t="s">
        <v>112</v>
      </c>
      <c r="Q59" s="9" t="s">
        <v>111</v>
      </c>
      <c r="R59" s="9" t="s">
        <v>112</v>
      </c>
      <c r="S59" s="5">
        <f t="shared" si="3"/>
        <v>3</v>
      </c>
      <c r="T59" s="5">
        <f t="shared" si="4"/>
        <v>9</v>
      </c>
    </row>
    <row r="60" spans="1:20" x14ac:dyDescent="0.25">
      <c r="A60" s="10">
        <v>32</v>
      </c>
      <c r="B60" s="7" t="s">
        <v>326</v>
      </c>
      <c r="C60" s="7" t="s">
        <v>327</v>
      </c>
      <c r="D60" s="8" t="s">
        <v>233</v>
      </c>
      <c r="E60" s="129"/>
      <c r="F60" s="9" t="s">
        <v>112</v>
      </c>
      <c r="G60" s="9" t="s">
        <v>112</v>
      </c>
      <c r="H60" s="9" t="s">
        <v>112</v>
      </c>
      <c r="I60" s="9" t="s">
        <v>112</v>
      </c>
      <c r="J60" s="9" t="s">
        <v>111</v>
      </c>
      <c r="K60" s="9" t="s">
        <v>112</v>
      </c>
      <c r="L60" s="129"/>
      <c r="M60" s="9" t="s">
        <v>112</v>
      </c>
      <c r="N60" s="9" t="s">
        <v>112</v>
      </c>
      <c r="O60" s="9" t="s">
        <v>111</v>
      </c>
      <c r="P60" s="9" t="s">
        <v>112</v>
      </c>
      <c r="Q60" s="9" t="s">
        <v>112</v>
      </c>
      <c r="R60" s="9" t="s">
        <v>112</v>
      </c>
      <c r="S60" s="5">
        <f t="shared" si="3"/>
        <v>10</v>
      </c>
      <c r="T60" s="5">
        <f t="shared" si="4"/>
        <v>2</v>
      </c>
    </row>
  </sheetData>
  <mergeCells count="13">
    <mergeCell ref="A1:T1"/>
    <mergeCell ref="A2:T2"/>
    <mergeCell ref="A3:A4"/>
    <mergeCell ref="B3:B4"/>
    <mergeCell ref="C3:C4"/>
    <mergeCell ref="D3:D4"/>
    <mergeCell ref="S3:S4"/>
    <mergeCell ref="T3:T4"/>
    <mergeCell ref="U3:V3"/>
    <mergeCell ref="E5:E60"/>
    <mergeCell ref="L5:L60"/>
    <mergeCell ref="U11:X11"/>
    <mergeCell ref="U19:X19"/>
  </mergeCells>
  <conditionalFormatting sqref="E3:R4 E5 L5 F5:K28 M5:R28">
    <cfRule type="expression" dxfId="168" priority="17">
      <formula>E$4=TODAY()</formula>
    </cfRule>
    <cfRule type="expression" dxfId="167" priority="18">
      <formula>E$3="SUN"</formula>
    </cfRule>
  </conditionalFormatting>
  <conditionalFormatting sqref="E3:R4 E5 L5">
    <cfRule type="cellIs" dxfId="166" priority="14" operator="equal">
      <formula>"L"</formula>
    </cfRule>
    <cfRule type="cellIs" dxfId="165" priority="15" operator="equal">
      <formula>"P"</formula>
    </cfRule>
    <cfRule type="cellIs" dxfId="164" priority="16" operator="equal">
      <formula>"A"</formula>
    </cfRule>
  </conditionalFormatting>
  <conditionalFormatting sqref="F5:K60 M5:R60">
    <cfRule type="cellIs" dxfId="163" priority="9" operator="equal">
      <formula>"L"</formula>
    </cfRule>
    <cfRule type="cellIs" dxfId="162" priority="10" operator="equal">
      <formula>"A"</formula>
    </cfRule>
    <cfRule type="cellIs" dxfId="161" priority="11" operator="equal">
      <formula>"P"</formula>
    </cfRule>
  </conditionalFormatting>
  <conditionalFormatting sqref="F29:K60 M29:R60">
    <cfRule type="expression" dxfId="160" priority="8">
      <formula>F$4=TODAY()</formula>
    </cfRule>
    <cfRule type="expression" dxfId="159" priority="12">
      <formula>F$3="Sun"</formula>
    </cfRule>
  </conditionalFormatting>
  <conditionalFormatting sqref="S3:T3">
    <cfRule type="expression" dxfId="158" priority="24">
      <formula>#REF!="Sun"</formula>
    </cfRule>
  </conditionalFormatting>
  <conditionalFormatting sqref="S5:T60">
    <cfRule type="expression" dxfId="157" priority="13">
      <formula>#REF!="Sun"</formula>
    </cfRule>
  </conditionalFormatting>
  <conditionalFormatting sqref="U5:U9">
    <cfRule type="expression" dxfId="156" priority="5">
      <formula>U$3="Sun"</formula>
    </cfRule>
  </conditionalFormatting>
  <conditionalFormatting sqref="U12:U15">
    <cfRule type="expression" dxfId="155" priority="2">
      <formula>U$3="Sun"</formula>
    </cfRule>
  </conditionalFormatting>
  <conditionalFormatting sqref="U20:U23">
    <cfRule type="expression" dxfId="154" priority="1">
      <formula>U$3="Sun"</formula>
    </cfRule>
  </conditionalFormatting>
  <conditionalFormatting sqref="U4:V4">
    <cfRule type="expression" dxfId="153" priority="6">
      <formula>U$3="Sun"</formula>
    </cfRule>
  </conditionalFormatting>
  <conditionalFormatting sqref="V12:X12 V20:X20">
    <cfRule type="expression" dxfId="152" priority="7">
      <formula>V$3="Sun"</formula>
    </cfRule>
  </conditionalFormatting>
  <conditionalFormatting sqref="X21">
    <cfRule type="expression" dxfId="151" priority="4">
      <formula>X$3="Sun"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E8707-7B60-4607-BB08-5DC9BE92FC44}">
  <dimension ref="A1:X56"/>
  <sheetViews>
    <sheetView topLeftCell="D4" workbookViewId="0">
      <selection activeCell="U7" sqref="U7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/>
    <col min="6" max="6" width="4.5703125" style="1" bestFit="1" customWidth="1"/>
    <col min="7" max="7" width="3.85546875" style="1"/>
    <col min="8" max="8" width="4.7109375" style="1" bestFit="1" customWidth="1"/>
    <col min="9" max="9" width="3.85546875" style="1"/>
    <col min="10" max="11" width="3.7109375" style="1" bestFit="1" customWidth="1"/>
    <col min="12" max="12" width="3.85546875" style="1"/>
    <col min="13" max="13" width="4.5703125" style="1" bestFit="1" customWidth="1"/>
    <col min="14" max="14" width="3.85546875" style="1"/>
    <col min="15" max="15" width="4.7109375" style="1" bestFit="1" customWidth="1"/>
    <col min="16" max="16" width="3.85546875" style="1"/>
    <col min="17" max="18" width="3.7109375" style="1" bestFit="1" customWidth="1"/>
    <col min="19" max="20" width="6.7109375" style="1" bestFit="1" customWidth="1"/>
    <col min="21" max="21" width="18.5703125" style="1" bestFit="1" customWidth="1"/>
    <col min="22" max="22" width="5.85546875" style="1" bestFit="1" customWidth="1"/>
    <col min="23" max="23" width="14.28515625" style="1" bestFit="1" customWidth="1"/>
    <col min="24" max="24" width="6.7109375" style="1" bestFit="1" customWidth="1"/>
    <col min="25" max="16384" width="3.85546875" style="1"/>
  </cols>
  <sheetData>
    <row r="1" spans="1:24" ht="17.25" x14ac:dyDescent="0.25">
      <c r="A1" s="114" t="s">
        <v>328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</row>
    <row r="2" spans="1:24" ht="17.25" x14ac:dyDescent="0.3">
      <c r="A2" s="115" t="s">
        <v>122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</row>
    <row r="3" spans="1:24" ht="15.75" x14ac:dyDescent="0.25">
      <c r="A3" s="116" t="s">
        <v>0</v>
      </c>
      <c r="B3" s="116" t="s">
        <v>1</v>
      </c>
      <c r="C3" s="116" t="s">
        <v>2</v>
      </c>
      <c r="D3" s="116" t="s">
        <v>3</v>
      </c>
      <c r="E3" s="2" t="str">
        <f t="shared" ref="E3:R3" si="0">TEXT(E4,"ddd")</f>
        <v>Sun</v>
      </c>
      <c r="F3" s="2" t="str">
        <f t="shared" si="0"/>
        <v>Mon</v>
      </c>
      <c r="G3" s="2" t="str">
        <f t="shared" si="0"/>
        <v>Tue</v>
      </c>
      <c r="H3" s="2" t="str">
        <f t="shared" si="0"/>
        <v>Wed</v>
      </c>
      <c r="I3" s="2" t="str">
        <f t="shared" si="0"/>
        <v>Thu</v>
      </c>
      <c r="J3" s="2" t="str">
        <f t="shared" si="0"/>
        <v>Fri</v>
      </c>
      <c r="K3" s="2" t="str">
        <f t="shared" si="0"/>
        <v>Sat</v>
      </c>
      <c r="L3" s="2" t="str">
        <f t="shared" si="0"/>
        <v>Sun</v>
      </c>
      <c r="M3" s="2" t="str">
        <f t="shared" si="0"/>
        <v>Mon</v>
      </c>
      <c r="N3" s="2" t="str">
        <f t="shared" si="0"/>
        <v>Tue</v>
      </c>
      <c r="O3" s="2" t="str">
        <f t="shared" si="0"/>
        <v>Wed</v>
      </c>
      <c r="P3" s="2" t="str">
        <f t="shared" si="0"/>
        <v>Thu</v>
      </c>
      <c r="Q3" s="2" t="str">
        <f t="shared" si="0"/>
        <v>Fri</v>
      </c>
      <c r="R3" s="2" t="str">
        <f t="shared" si="0"/>
        <v>Sat</v>
      </c>
      <c r="S3" s="117" t="s">
        <v>4</v>
      </c>
      <c r="T3" s="117" t="s">
        <v>5</v>
      </c>
      <c r="U3" s="118" t="s">
        <v>127</v>
      </c>
      <c r="V3" s="119"/>
      <c r="W3" s="3"/>
      <c r="X3" s="3"/>
    </row>
    <row r="4" spans="1:24" ht="37.5" x14ac:dyDescent="0.25">
      <c r="A4" s="116"/>
      <c r="B4" s="116"/>
      <c r="C4" s="116"/>
      <c r="D4" s="116"/>
      <c r="E4" s="14">
        <v>45613</v>
      </c>
      <c r="F4" s="14">
        <v>45614</v>
      </c>
      <c r="G4" s="14">
        <v>45615</v>
      </c>
      <c r="H4" s="14">
        <v>45616</v>
      </c>
      <c r="I4" s="14">
        <v>45617</v>
      </c>
      <c r="J4" s="14">
        <v>45618</v>
      </c>
      <c r="K4" s="14">
        <v>45619</v>
      </c>
      <c r="L4" s="14">
        <v>45620</v>
      </c>
      <c r="M4" s="14">
        <v>45621</v>
      </c>
      <c r="N4" s="14">
        <v>45622</v>
      </c>
      <c r="O4" s="14">
        <v>45623</v>
      </c>
      <c r="P4" s="14">
        <v>45624</v>
      </c>
      <c r="Q4" s="14">
        <v>45625</v>
      </c>
      <c r="R4" s="14">
        <v>45626</v>
      </c>
      <c r="S4" s="117"/>
      <c r="T4" s="117"/>
      <c r="U4" s="5" t="s">
        <v>128</v>
      </c>
      <c r="V4" s="5">
        <f>SUM(V5:V8)</f>
        <v>14</v>
      </c>
      <c r="W4" s="3"/>
      <c r="X4" s="3"/>
    </row>
    <row r="5" spans="1:24" ht="15" customHeight="1" x14ac:dyDescent="0.25">
      <c r="A5" s="10">
        <v>1</v>
      </c>
      <c r="B5" s="7" t="s">
        <v>329</v>
      </c>
      <c r="C5" s="7" t="s">
        <v>330</v>
      </c>
      <c r="D5" s="8" t="s">
        <v>331</v>
      </c>
      <c r="E5" s="127" t="s">
        <v>332</v>
      </c>
      <c r="F5" s="9" t="s">
        <v>112</v>
      </c>
      <c r="G5" s="9" t="s">
        <v>112</v>
      </c>
      <c r="H5" s="9" t="s">
        <v>111</v>
      </c>
      <c r="I5" s="9" t="s">
        <v>112</v>
      </c>
      <c r="J5" s="9" t="s">
        <v>111</v>
      </c>
      <c r="K5" s="9" t="s">
        <v>112</v>
      </c>
      <c r="L5" s="127" t="s">
        <v>332</v>
      </c>
      <c r="M5" s="9" t="s">
        <v>112</v>
      </c>
      <c r="N5" s="9" t="s">
        <v>111</v>
      </c>
      <c r="O5" s="9" t="s">
        <v>112</v>
      </c>
      <c r="P5" s="9" t="s">
        <v>112</v>
      </c>
      <c r="Q5" s="9" t="s">
        <v>112</v>
      </c>
      <c r="R5" s="9" t="s">
        <v>111</v>
      </c>
      <c r="S5" s="5">
        <f t="shared" ref="S5:S36" si="1">COUNTIF(E5:R5,"P")</f>
        <v>8</v>
      </c>
      <c r="T5" s="5">
        <f t="shared" ref="T5:T36" si="2">COUNTIF(E5:R5,"A")</f>
        <v>4</v>
      </c>
      <c r="U5" s="5" t="s">
        <v>7</v>
      </c>
      <c r="V5" s="10">
        <v>12</v>
      </c>
      <c r="W5" s="11"/>
      <c r="X5" s="3"/>
    </row>
    <row r="6" spans="1:24" x14ac:dyDescent="0.25">
      <c r="A6" s="10">
        <v>2</v>
      </c>
      <c r="B6" s="7" t="s">
        <v>333</v>
      </c>
      <c r="C6" s="7" t="s">
        <v>334</v>
      </c>
      <c r="D6" s="8" t="s">
        <v>331</v>
      </c>
      <c r="E6" s="128"/>
      <c r="F6" s="9" t="s">
        <v>112</v>
      </c>
      <c r="G6" s="9" t="s">
        <v>112</v>
      </c>
      <c r="H6" s="9" t="s">
        <v>112</v>
      </c>
      <c r="I6" s="9" t="s">
        <v>112</v>
      </c>
      <c r="J6" s="9" t="s">
        <v>111</v>
      </c>
      <c r="K6" s="9" t="s">
        <v>112</v>
      </c>
      <c r="L6" s="128"/>
      <c r="M6" s="9" t="s">
        <v>112</v>
      </c>
      <c r="N6" s="9" t="s">
        <v>112</v>
      </c>
      <c r="O6" s="9" t="s">
        <v>112</v>
      </c>
      <c r="P6" s="9" t="s">
        <v>112</v>
      </c>
      <c r="Q6" s="9" t="s">
        <v>112</v>
      </c>
      <c r="R6" s="9" t="s">
        <v>112</v>
      </c>
      <c r="S6" s="5">
        <f t="shared" si="1"/>
        <v>11</v>
      </c>
      <c r="T6" s="5">
        <f t="shared" si="2"/>
        <v>1</v>
      </c>
      <c r="U6" s="5" t="s">
        <v>8</v>
      </c>
      <c r="V6" s="10">
        <v>2</v>
      </c>
      <c r="W6" s="3"/>
      <c r="X6" s="3"/>
    </row>
    <row r="7" spans="1:24" x14ac:dyDescent="0.25">
      <c r="A7" s="10">
        <v>3</v>
      </c>
      <c r="B7" s="7" t="s">
        <v>335</v>
      </c>
      <c r="C7" s="7" t="s">
        <v>250</v>
      </c>
      <c r="D7" s="8" t="s">
        <v>331</v>
      </c>
      <c r="E7" s="128"/>
      <c r="F7" s="9" t="s">
        <v>112</v>
      </c>
      <c r="G7" s="9" t="s">
        <v>112</v>
      </c>
      <c r="H7" s="9" t="s">
        <v>112</v>
      </c>
      <c r="I7" s="9" t="s">
        <v>112</v>
      </c>
      <c r="J7" s="9" t="s">
        <v>112</v>
      </c>
      <c r="K7" s="9" t="s">
        <v>112</v>
      </c>
      <c r="L7" s="128"/>
      <c r="M7" s="9" t="s">
        <v>112</v>
      </c>
      <c r="N7" s="9" t="s">
        <v>112</v>
      </c>
      <c r="O7" s="9" t="s">
        <v>112</v>
      </c>
      <c r="P7" s="9" t="s">
        <v>112</v>
      </c>
      <c r="Q7" s="9" t="s">
        <v>112</v>
      </c>
      <c r="R7" s="9" t="s">
        <v>112</v>
      </c>
      <c r="S7" s="5">
        <f t="shared" si="1"/>
        <v>12</v>
      </c>
      <c r="T7" s="5">
        <f t="shared" si="2"/>
        <v>0</v>
      </c>
      <c r="U7" s="5"/>
      <c r="V7" s="10"/>
      <c r="W7" s="3"/>
      <c r="X7" s="3"/>
    </row>
    <row r="8" spans="1:24" x14ac:dyDescent="0.25">
      <c r="A8" s="10">
        <v>4</v>
      </c>
      <c r="B8" s="7" t="s">
        <v>336</v>
      </c>
      <c r="C8" s="7" t="s">
        <v>337</v>
      </c>
      <c r="D8" s="8" t="s">
        <v>331</v>
      </c>
      <c r="E8" s="128"/>
      <c r="F8" s="9" t="s">
        <v>113</v>
      </c>
      <c r="G8" s="9" t="s">
        <v>113</v>
      </c>
      <c r="H8" s="9" t="s">
        <v>113</v>
      </c>
      <c r="I8" s="9" t="s">
        <v>113</v>
      </c>
      <c r="J8" s="9" t="s">
        <v>113</v>
      </c>
      <c r="K8" s="9" t="s">
        <v>113</v>
      </c>
      <c r="L8" s="128"/>
      <c r="M8" s="9" t="s">
        <v>113</v>
      </c>
      <c r="N8" s="9" t="s">
        <v>113</v>
      </c>
      <c r="O8" s="9" t="s">
        <v>113</v>
      </c>
      <c r="P8" s="9" t="s">
        <v>111</v>
      </c>
      <c r="Q8" s="9" t="s">
        <v>111</v>
      </c>
      <c r="R8" s="9" t="s">
        <v>111</v>
      </c>
      <c r="S8" s="5">
        <f t="shared" si="1"/>
        <v>0</v>
      </c>
      <c r="T8" s="5">
        <f t="shared" si="2"/>
        <v>3</v>
      </c>
      <c r="U8" s="5"/>
      <c r="V8" s="10"/>
      <c r="W8"/>
      <c r="X8"/>
    </row>
    <row r="9" spans="1:24" x14ac:dyDescent="0.25">
      <c r="A9" s="10">
        <v>5</v>
      </c>
      <c r="B9" s="7" t="s">
        <v>235</v>
      </c>
      <c r="C9" s="7" t="s">
        <v>26</v>
      </c>
      <c r="D9" s="8" t="s">
        <v>331</v>
      </c>
      <c r="E9" s="128"/>
      <c r="F9" s="9" t="s">
        <v>112</v>
      </c>
      <c r="G9" s="9" t="s">
        <v>112</v>
      </c>
      <c r="H9" s="9" t="s">
        <v>112</v>
      </c>
      <c r="I9" s="9" t="s">
        <v>112</v>
      </c>
      <c r="J9" s="9" t="s">
        <v>112</v>
      </c>
      <c r="K9" s="9" t="s">
        <v>111</v>
      </c>
      <c r="L9" s="128"/>
      <c r="M9" s="9" t="s">
        <v>112</v>
      </c>
      <c r="N9" s="9" t="s">
        <v>112</v>
      </c>
      <c r="O9" s="9" t="s">
        <v>111</v>
      </c>
      <c r="P9" s="9" t="s">
        <v>112</v>
      </c>
      <c r="Q9" s="9" t="s">
        <v>112</v>
      </c>
      <c r="R9" s="9" t="s">
        <v>112</v>
      </c>
      <c r="S9" s="5">
        <f t="shared" si="1"/>
        <v>10</v>
      </c>
      <c r="T9" s="5">
        <f t="shared" si="2"/>
        <v>2</v>
      </c>
      <c r="U9" s="5"/>
      <c r="V9" s="10"/>
    </row>
    <row r="10" spans="1:24" x14ac:dyDescent="0.25">
      <c r="A10" s="10">
        <v>6</v>
      </c>
      <c r="B10" s="7" t="s">
        <v>273</v>
      </c>
      <c r="C10" s="7" t="s">
        <v>338</v>
      </c>
      <c r="D10" s="8" t="s">
        <v>331</v>
      </c>
      <c r="E10" s="128"/>
      <c r="F10" s="9" t="s">
        <v>112</v>
      </c>
      <c r="G10" s="9" t="s">
        <v>112</v>
      </c>
      <c r="H10" s="9" t="s">
        <v>112</v>
      </c>
      <c r="I10" s="9" t="s">
        <v>112</v>
      </c>
      <c r="J10" s="9" t="s">
        <v>111</v>
      </c>
      <c r="K10" s="9" t="s">
        <v>112</v>
      </c>
      <c r="L10" s="128"/>
      <c r="M10" s="9" t="s">
        <v>112</v>
      </c>
      <c r="N10" s="9" t="s">
        <v>112</v>
      </c>
      <c r="O10" s="9" t="s">
        <v>112</v>
      </c>
      <c r="P10" s="9" t="s">
        <v>111</v>
      </c>
      <c r="Q10" s="9" t="s">
        <v>112</v>
      </c>
      <c r="R10" s="9" t="s">
        <v>112</v>
      </c>
      <c r="S10" s="5">
        <f t="shared" si="1"/>
        <v>10</v>
      </c>
      <c r="T10" s="5">
        <f t="shared" si="2"/>
        <v>2</v>
      </c>
    </row>
    <row r="11" spans="1:24" ht="15.75" x14ac:dyDescent="0.25">
      <c r="A11" s="10">
        <v>7</v>
      </c>
      <c r="B11" s="7" t="s">
        <v>273</v>
      </c>
      <c r="C11" s="7" t="s">
        <v>268</v>
      </c>
      <c r="D11" s="8" t="s">
        <v>331</v>
      </c>
      <c r="E11" s="128"/>
      <c r="F11" s="9" t="s">
        <v>111</v>
      </c>
      <c r="G11" s="9" t="s">
        <v>111</v>
      </c>
      <c r="H11" s="9" t="s">
        <v>111</v>
      </c>
      <c r="I11" s="9" t="s">
        <v>111</v>
      </c>
      <c r="J11" s="9" t="s">
        <v>111</v>
      </c>
      <c r="K11" s="9" t="s">
        <v>111</v>
      </c>
      <c r="L11" s="128"/>
      <c r="M11" s="9" t="s">
        <v>111</v>
      </c>
      <c r="N11" s="9" t="s">
        <v>111</v>
      </c>
      <c r="O11" s="9" t="s">
        <v>111</v>
      </c>
      <c r="P11" s="9" t="s">
        <v>111</v>
      </c>
      <c r="Q11" s="9" t="s">
        <v>111</v>
      </c>
      <c r="R11" s="9" t="s">
        <v>111</v>
      </c>
      <c r="S11" s="5">
        <f t="shared" si="1"/>
        <v>0</v>
      </c>
      <c r="T11" s="5">
        <f t="shared" si="2"/>
        <v>12</v>
      </c>
      <c r="U11" s="118" t="s">
        <v>9</v>
      </c>
      <c r="V11" s="119"/>
      <c r="W11" s="119"/>
      <c r="X11" s="120"/>
    </row>
    <row r="12" spans="1:24" x14ac:dyDescent="0.25">
      <c r="A12" s="10">
        <v>8</v>
      </c>
      <c r="B12" s="7" t="s">
        <v>273</v>
      </c>
      <c r="C12" s="7" t="s">
        <v>339</v>
      </c>
      <c r="D12" s="8" t="s">
        <v>331</v>
      </c>
      <c r="E12" s="128"/>
      <c r="F12" s="9" t="s">
        <v>112</v>
      </c>
      <c r="G12" s="9" t="s">
        <v>112</v>
      </c>
      <c r="H12" s="9" t="s">
        <v>112</v>
      </c>
      <c r="I12" s="9" t="s">
        <v>112</v>
      </c>
      <c r="J12" s="9" t="s">
        <v>112</v>
      </c>
      <c r="K12" s="9" t="s">
        <v>112</v>
      </c>
      <c r="L12" s="128"/>
      <c r="M12" s="9" t="s">
        <v>112</v>
      </c>
      <c r="N12" s="9" t="s">
        <v>112</v>
      </c>
      <c r="O12" s="9" t="s">
        <v>112</v>
      </c>
      <c r="P12" s="9" t="s">
        <v>112</v>
      </c>
      <c r="Q12" s="9" t="s">
        <v>112</v>
      </c>
      <c r="R12" s="9" t="s">
        <v>112</v>
      </c>
      <c r="S12" s="5">
        <f t="shared" si="1"/>
        <v>12</v>
      </c>
      <c r="T12" s="5">
        <f t="shared" si="2"/>
        <v>0</v>
      </c>
      <c r="U12" s="5" t="s">
        <v>10</v>
      </c>
      <c r="V12" s="5" t="s">
        <v>11</v>
      </c>
      <c r="W12" s="5" t="s">
        <v>12</v>
      </c>
      <c r="X12" s="5" t="s">
        <v>13</v>
      </c>
    </row>
    <row r="13" spans="1:24" x14ac:dyDescent="0.25">
      <c r="A13" s="10">
        <v>9</v>
      </c>
      <c r="B13" s="7" t="s">
        <v>139</v>
      </c>
      <c r="C13" s="7" t="s">
        <v>288</v>
      </c>
      <c r="D13" s="8" t="s">
        <v>331</v>
      </c>
      <c r="E13" s="128"/>
      <c r="F13" s="9" t="s">
        <v>112</v>
      </c>
      <c r="G13" s="9" t="s">
        <v>112</v>
      </c>
      <c r="H13" s="9" t="s">
        <v>112</v>
      </c>
      <c r="I13" s="9" t="s">
        <v>112</v>
      </c>
      <c r="J13" s="9" t="s">
        <v>112</v>
      </c>
      <c r="K13" s="9" t="s">
        <v>112</v>
      </c>
      <c r="L13" s="128"/>
      <c r="M13" s="9" t="s">
        <v>112</v>
      </c>
      <c r="N13" s="9" t="s">
        <v>112</v>
      </c>
      <c r="O13" s="9" t="s">
        <v>112</v>
      </c>
      <c r="P13" s="9" t="s">
        <v>112</v>
      </c>
      <c r="Q13" s="9" t="s">
        <v>112</v>
      </c>
      <c r="R13" s="9" t="s">
        <v>112</v>
      </c>
      <c r="S13" s="5">
        <f t="shared" si="1"/>
        <v>12</v>
      </c>
      <c r="T13" s="5">
        <f t="shared" si="2"/>
        <v>0</v>
      </c>
      <c r="U13" s="5" t="s">
        <v>14</v>
      </c>
      <c r="V13" s="10">
        <f>26*$V$5</f>
        <v>312</v>
      </c>
      <c r="W13" s="10">
        <f>26*$V$5</f>
        <v>312</v>
      </c>
      <c r="X13" s="10">
        <f>SUM(V13:W13)</f>
        <v>624</v>
      </c>
    </row>
    <row r="14" spans="1:24" x14ac:dyDescent="0.25">
      <c r="A14" s="10">
        <v>10</v>
      </c>
      <c r="B14" s="7" t="s">
        <v>91</v>
      </c>
      <c r="C14" s="7" t="s">
        <v>288</v>
      </c>
      <c r="D14" s="8" t="s">
        <v>331</v>
      </c>
      <c r="E14" s="128"/>
      <c r="F14" s="9" t="s">
        <v>112</v>
      </c>
      <c r="G14" s="9" t="s">
        <v>112</v>
      </c>
      <c r="H14" s="9" t="s">
        <v>112</v>
      </c>
      <c r="I14" s="9" t="s">
        <v>112</v>
      </c>
      <c r="J14" s="9" t="s">
        <v>112</v>
      </c>
      <c r="K14" s="9" t="s">
        <v>112</v>
      </c>
      <c r="L14" s="128"/>
      <c r="M14" s="9" t="s">
        <v>112</v>
      </c>
      <c r="N14" s="9" t="s">
        <v>112</v>
      </c>
      <c r="O14" s="9" t="s">
        <v>112</v>
      </c>
      <c r="P14" s="9" t="s">
        <v>112</v>
      </c>
      <c r="Q14" s="9" t="s">
        <v>112</v>
      </c>
      <c r="R14" s="9" t="s">
        <v>112</v>
      </c>
      <c r="S14" s="5">
        <f t="shared" si="1"/>
        <v>12</v>
      </c>
      <c r="T14" s="5">
        <f t="shared" si="2"/>
        <v>0</v>
      </c>
      <c r="U14" s="5" t="s">
        <v>15</v>
      </c>
      <c r="V14" s="10">
        <f>SUM(S31:S56)</f>
        <v>261</v>
      </c>
      <c r="W14" s="10">
        <f>SUM(S5:S30)</f>
        <v>252</v>
      </c>
      <c r="X14" s="10">
        <f>V14+W14</f>
        <v>513</v>
      </c>
    </row>
    <row r="15" spans="1:24" x14ac:dyDescent="0.25">
      <c r="A15" s="10">
        <v>11</v>
      </c>
      <c r="B15" s="7" t="s">
        <v>340</v>
      </c>
      <c r="C15" s="7" t="s">
        <v>268</v>
      </c>
      <c r="D15" s="8" t="s">
        <v>331</v>
      </c>
      <c r="E15" s="128"/>
      <c r="F15" s="9" t="s">
        <v>112</v>
      </c>
      <c r="G15" s="9" t="s">
        <v>112</v>
      </c>
      <c r="H15" s="9" t="s">
        <v>112</v>
      </c>
      <c r="I15" s="9" t="s">
        <v>112</v>
      </c>
      <c r="J15" s="9" t="s">
        <v>112</v>
      </c>
      <c r="K15" s="9" t="s">
        <v>112</v>
      </c>
      <c r="L15" s="128"/>
      <c r="M15" s="9" t="s">
        <v>112</v>
      </c>
      <c r="N15" s="9" t="s">
        <v>112</v>
      </c>
      <c r="O15" s="9" t="s">
        <v>111</v>
      </c>
      <c r="P15" s="9" t="s">
        <v>112</v>
      </c>
      <c r="Q15" s="9" t="s">
        <v>112</v>
      </c>
      <c r="R15" s="9" t="s">
        <v>111</v>
      </c>
      <c r="S15" s="5">
        <f t="shared" si="1"/>
        <v>10</v>
      </c>
      <c r="T15" s="5">
        <f t="shared" si="2"/>
        <v>2</v>
      </c>
      <c r="U15" s="5" t="s">
        <v>16</v>
      </c>
      <c r="V15" s="13">
        <f>V14/V13</f>
        <v>0.83653846153846156</v>
      </c>
      <c r="W15" s="13">
        <f>W14/W13</f>
        <v>0.80769230769230771</v>
      </c>
      <c r="X15" s="13">
        <f>X14/X13</f>
        <v>0.82211538461538458</v>
      </c>
    </row>
    <row r="16" spans="1:24" x14ac:dyDescent="0.25">
      <c r="A16" s="10">
        <v>12</v>
      </c>
      <c r="B16" s="7" t="s">
        <v>341</v>
      </c>
      <c r="C16" s="7" t="s">
        <v>22</v>
      </c>
      <c r="D16" s="8" t="s">
        <v>331</v>
      </c>
      <c r="E16" s="128"/>
      <c r="F16" s="9" t="s">
        <v>111</v>
      </c>
      <c r="G16" s="9" t="s">
        <v>112</v>
      </c>
      <c r="H16" s="9" t="s">
        <v>112</v>
      </c>
      <c r="I16" s="9" t="s">
        <v>111</v>
      </c>
      <c r="J16" s="9" t="s">
        <v>112</v>
      </c>
      <c r="K16" s="9" t="s">
        <v>112</v>
      </c>
      <c r="L16" s="128"/>
      <c r="M16" s="9" t="s">
        <v>112</v>
      </c>
      <c r="N16" s="9" t="s">
        <v>112</v>
      </c>
      <c r="O16" s="9" t="s">
        <v>112</v>
      </c>
      <c r="P16" s="9" t="s">
        <v>112</v>
      </c>
      <c r="Q16" s="9" t="s">
        <v>112</v>
      </c>
      <c r="R16" s="9" t="s">
        <v>112</v>
      </c>
      <c r="S16" s="5">
        <f t="shared" si="1"/>
        <v>10</v>
      </c>
      <c r="T16" s="5">
        <f t="shared" si="2"/>
        <v>2</v>
      </c>
      <c r="U16"/>
      <c r="V16"/>
      <c r="W16"/>
      <c r="X16"/>
    </row>
    <row r="17" spans="1:24" x14ac:dyDescent="0.25">
      <c r="A17" s="10">
        <v>13</v>
      </c>
      <c r="B17" s="7" t="s">
        <v>342</v>
      </c>
      <c r="C17" s="7" t="s">
        <v>343</v>
      </c>
      <c r="D17" s="8" t="s">
        <v>331</v>
      </c>
      <c r="E17" s="128"/>
      <c r="F17" s="9" t="s">
        <v>112</v>
      </c>
      <c r="G17" s="9" t="s">
        <v>112</v>
      </c>
      <c r="H17" s="9" t="s">
        <v>112</v>
      </c>
      <c r="I17" s="9" t="s">
        <v>112</v>
      </c>
      <c r="J17" s="9" t="s">
        <v>112</v>
      </c>
      <c r="K17" s="9" t="s">
        <v>112</v>
      </c>
      <c r="L17" s="128"/>
      <c r="M17" s="9" t="s">
        <v>112</v>
      </c>
      <c r="N17" s="9" t="s">
        <v>112</v>
      </c>
      <c r="O17" s="9" t="s">
        <v>112</v>
      </c>
      <c r="P17" s="9" t="s">
        <v>112</v>
      </c>
      <c r="Q17" s="9" t="s">
        <v>112</v>
      </c>
      <c r="R17" s="9" t="s">
        <v>112</v>
      </c>
      <c r="S17" s="5">
        <f t="shared" si="1"/>
        <v>12</v>
      </c>
      <c r="T17" s="5">
        <f t="shared" si="2"/>
        <v>0</v>
      </c>
      <c r="U17"/>
      <c r="V17"/>
      <c r="W17"/>
      <c r="X17"/>
    </row>
    <row r="18" spans="1:24" x14ac:dyDescent="0.25">
      <c r="A18" s="10">
        <v>14</v>
      </c>
      <c r="B18" s="7" t="s">
        <v>25</v>
      </c>
      <c r="C18" s="7" t="s">
        <v>299</v>
      </c>
      <c r="D18" s="8" t="s">
        <v>331</v>
      </c>
      <c r="E18" s="128"/>
      <c r="F18" s="9" t="s">
        <v>112</v>
      </c>
      <c r="G18" s="9" t="s">
        <v>112</v>
      </c>
      <c r="H18" s="9" t="s">
        <v>112</v>
      </c>
      <c r="I18" s="9" t="s">
        <v>112</v>
      </c>
      <c r="J18" s="9" t="s">
        <v>112</v>
      </c>
      <c r="K18" s="9" t="s">
        <v>112</v>
      </c>
      <c r="L18" s="128"/>
      <c r="M18" s="9" t="s">
        <v>112</v>
      </c>
      <c r="N18" s="9" t="s">
        <v>112</v>
      </c>
      <c r="O18" s="9" t="s">
        <v>112</v>
      </c>
      <c r="P18" s="9" t="s">
        <v>112</v>
      </c>
      <c r="Q18" s="9" t="s">
        <v>112</v>
      </c>
      <c r="R18" s="9" t="s">
        <v>112</v>
      </c>
      <c r="S18" s="5">
        <f t="shared" si="1"/>
        <v>12</v>
      </c>
      <c r="T18" s="5">
        <f t="shared" si="2"/>
        <v>0</v>
      </c>
      <c r="U18"/>
      <c r="V18"/>
      <c r="W18"/>
      <c r="X18"/>
    </row>
    <row r="19" spans="1:24" ht="15.75" x14ac:dyDescent="0.25">
      <c r="A19" s="10">
        <v>15</v>
      </c>
      <c r="B19" s="7" t="s">
        <v>344</v>
      </c>
      <c r="C19" s="7" t="s">
        <v>345</v>
      </c>
      <c r="D19" s="8" t="s">
        <v>331</v>
      </c>
      <c r="E19" s="128"/>
      <c r="F19" s="9" t="s">
        <v>112</v>
      </c>
      <c r="G19" s="9" t="s">
        <v>112</v>
      </c>
      <c r="H19" s="9" t="s">
        <v>112</v>
      </c>
      <c r="I19" s="9" t="s">
        <v>112</v>
      </c>
      <c r="J19" s="9" t="s">
        <v>112</v>
      </c>
      <c r="K19" s="9" t="s">
        <v>112</v>
      </c>
      <c r="L19" s="128"/>
      <c r="M19" s="9" t="s">
        <v>112</v>
      </c>
      <c r="N19" s="9" t="s">
        <v>112</v>
      </c>
      <c r="O19" s="9" t="s">
        <v>112</v>
      </c>
      <c r="P19" s="9" t="s">
        <v>112</v>
      </c>
      <c r="Q19" s="9" t="s">
        <v>112</v>
      </c>
      <c r="R19" s="9" t="s">
        <v>112</v>
      </c>
      <c r="S19" s="5">
        <f t="shared" si="1"/>
        <v>12</v>
      </c>
      <c r="T19" s="5">
        <f t="shared" si="2"/>
        <v>0</v>
      </c>
      <c r="U19" s="118" t="s">
        <v>129</v>
      </c>
      <c r="V19" s="119"/>
      <c r="W19" s="119"/>
      <c r="X19" s="120"/>
    </row>
    <row r="20" spans="1:24" x14ac:dyDescent="0.25">
      <c r="A20" s="10">
        <v>16</v>
      </c>
      <c r="B20" s="7" t="s">
        <v>346</v>
      </c>
      <c r="C20" s="7" t="s">
        <v>140</v>
      </c>
      <c r="D20" s="8" t="s">
        <v>331</v>
      </c>
      <c r="E20" s="128"/>
      <c r="F20" s="9" t="s">
        <v>112</v>
      </c>
      <c r="G20" s="9" t="s">
        <v>112</v>
      </c>
      <c r="H20" s="9" t="s">
        <v>112</v>
      </c>
      <c r="I20" s="9" t="s">
        <v>112</v>
      </c>
      <c r="J20" s="9" t="s">
        <v>112</v>
      </c>
      <c r="K20" s="9" t="s">
        <v>112</v>
      </c>
      <c r="L20" s="128"/>
      <c r="M20" s="9" t="s">
        <v>112</v>
      </c>
      <c r="N20" s="9" t="s">
        <v>111</v>
      </c>
      <c r="O20" s="9" t="s">
        <v>112</v>
      </c>
      <c r="P20" s="9" t="s">
        <v>112</v>
      </c>
      <c r="Q20" s="9" t="s">
        <v>112</v>
      </c>
      <c r="R20" s="9" t="s">
        <v>112</v>
      </c>
      <c r="S20" s="5">
        <f t="shared" si="1"/>
        <v>11</v>
      </c>
      <c r="T20" s="5">
        <f t="shared" si="2"/>
        <v>1</v>
      </c>
      <c r="U20" s="5" t="s">
        <v>10</v>
      </c>
      <c r="V20" s="5" t="s">
        <v>11</v>
      </c>
      <c r="W20" s="5" t="s">
        <v>12</v>
      </c>
      <c r="X20" s="5" t="s">
        <v>13</v>
      </c>
    </row>
    <row r="21" spans="1:24" x14ac:dyDescent="0.25">
      <c r="A21" s="10">
        <v>17</v>
      </c>
      <c r="B21" s="7" t="s">
        <v>347</v>
      </c>
      <c r="C21" s="7" t="s">
        <v>348</v>
      </c>
      <c r="D21" s="8" t="s">
        <v>331</v>
      </c>
      <c r="E21" s="128"/>
      <c r="F21" s="9" t="s">
        <v>111</v>
      </c>
      <c r="G21" s="9" t="s">
        <v>111</v>
      </c>
      <c r="H21" s="9" t="s">
        <v>111</v>
      </c>
      <c r="I21" s="9" t="s">
        <v>111</v>
      </c>
      <c r="J21" s="9" t="s">
        <v>111</v>
      </c>
      <c r="K21" s="9" t="s">
        <v>111</v>
      </c>
      <c r="L21" s="128"/>
      <c r="M21" s="9" t="s">
        <v>112</v>
      </c>
      <c r="N21" s="9" t="s">
        <v>112</v>
      </c>
      <c r="O21" s="9" t="s">
        <v>112</v>
      </c>
      <c r="P21" s="9" t="s">
        <v>111</v>
      </c>
      <c r="Q21" s="9" t="s">
        <v>112</v>
      </c>
      <c r="R21" s="9" t="s">
        <v>111</v>
      </c>
      <c r="S21" s="5">
        <f t="shared" si="1"/>
        <v>4</v>
      </c>
      <c r="T21" s="5">
        <f t="shared" si="2"/>
        <v>8</v>
      </c>
      <c r="U21" s="5" t="s">
        <v>14</v>
      </c>
      <c r="V21" s="10">
        <f>26*$V$5</f>
        <v>312</v>
      </c>
      <c r="W21" s="10">
        <f>26*$V$5</f>
        <v>312</v>
      </c>
      <c r="X21" s="10">
        <f>V21+W21</f>
        <v>624</v>
      </c>
    </row>
    <row r="22" spans="1:24" x14ac:dyDescent="0.25">
      <c r="A22" s="10">
        <v>18</v>
      </c>
      <c r="B22" s="7" t="s">
        <v>349</v>
      </c>
      <c r="C22" s="7" t="s">
        <v>350</v>
      </c>
      <c r="D22" s="8" t="s">
        <v>331</v>
      </c>
      <c r="E22" s="128"/>
      <c r="F22" s="9" t="s">
        <v>112</v>
      </c>
      <c r="G22" s="9" t="s">
        <v>112</v>
      </c>
      <c r="H22" s="9" t="s">
        <v>112</v>
      </c>
      <c r="I22" s="9" t="s">
        <v>112</v>
      </c>
      <c r="J22" s="9" t="s">
        <v>112</v>
      </c>
      <c r="K22" s="9" t="s">
        <v>112</v>
      </c>
      <c r="L22" s="128"/>
      <c r="M22" s="9" t="s">
        <v>112</v>
      </c>
      <c r="N22" s="9" t="s">
        <v>112</v>
      </c>
      <c r="O22" s="9" t="s">
        <v>112</v>
      </c>
      <c r="P22" s="9" t="s">
        <v>112</v>
      </c>
      <c r="Q22" s="9" t="s">
        <v>112</v>
      </c>
      <c r="R22" s="9" t="s">
        <v>112</v>
      </c>
      <c r="S22" s="5">
        <f t="shared" si="1"/>
        <v>12</v>
      </c>
      <c r="T22" s="5">
        <f t="shared" si="2"/>
        <v>0</v>
      </c>
      <c r="U22" s="5" t="s">
        <v>17</v>
      </c>
      <c r="V22" s="10">
        <f>V21-V14</f>
        <v>51</v>
      </c>
      <c r="W22" s="10">
        <f>W21-W14</f>
        <v>60</v>
      </c>
      <c r="X22" s="10">
        <f>V22+W22</f>
        <v>111</v>
      </c>
    </row>
    <row r="23" spans="1:24" x14ac:dyDescent="0.25">
      <c r="A23" s="10">
        <v>19</v>
      </c>
      <c r="B23" s="7" t="s">
        <v>351</v>
      </c>
      <c r="C23" s="7" t="s">
        <v>230</v>
      </c>
      <c r="D23" s="8" t="s">
        <v>331</v>
      </c>
      <c r="E23" s="128"/>
      <c r="F23" s="9" t="s">
        <v>112</v>
      </c>
      <c r="G23" s="9" t="s">
        <v>112</v>
      </c>
      <c r="H23" s="9" t="s">
        <v>112</v>
      </c>
      <c r="I23" s="9" t="s">
        <v>112</v>
      </c>
      <c r="J23" s="9" t="s">
        <v>112</v>
      </c>
      <c r="K23" s="9" t="s">
        <v>112</v>
      </c>
      <c r="L23" s="128"/>
      <c r="M23" s="9" t="s">
        <v>112</v>
      </c>
      <c r="N23" s="9" t="s">
        <v>112</v>
      </c>
      <c r="O23" s="9" t="s">
        <v>112</v>
      </c>
      <c r="P23" s="9" t="s">
        <v>112</v>
      </c>
      <c r="Q23" s="9" t="s">
        <v>112</v>
      </c>
      <c r="R23" s="9" t="s">
        <v>112</v>
      </c>
      <c r="S23" s="5">
        <f t="shared" si="1"/>
        <v>12</v>
      </c>
      <c r="T23" s="5">
        <f t="shared" si="2"/>
        <v>0</v>
      </c>
      <c r="U23" s="5" t="s">
        <v>16</v>
      </c>
      <c r="V23" s="13">
        <f>V22/V21</f>
        <v>0.16346153846153846</v>
      </c>
      <c r="W23" s="13">
        <f>W22/W21</f>
        <v>0.19230769230769232</v>
      </c>
      <c r="X23" s="13">
        <f>X22/X21</f>
        <v>0.17788461538461539</v>
      </c>
    </row>
    <row r="24" spans="1:24" x14ac:dyDescent="0.25">
      <c r="A24" s="10">
        <v>20</v>
      </c>
      <c r="B24" s="7" t="s">
        <v>352</v>
      </c>
      <c r="C24" s="7" t="s">
        <v>136</v>
      </c>
      <c r="D24" s="8" t="s">
        <v>331</v>
      </c>
      <c r="E24" s="128"/>
      <c r="F24" s="9" t="s">
        <v>113</v>
      </c>
      <c r="G24" s="9" t="s">
        <v>112</v>
      </c>
      <c r="H24" s="9" t="s">
        <v>112</v>
      </c>
      <c r="I24" s="9" t="s">
        <v>112</v>
      </c>
      <c r="J24" s="9" t="s">
        <v>112</v>
      </c>
      <c r="K24" s="9" t="s">
        <v>112</v>
      </c>
      <c r="L24" s="128"/>
      <c r="M24" s="9" t="s">
        <v>112</v>
      </c>
      <c r="N24" s="9" t="s">
        <v>112</v>
      </c>
      <c r="O24" s="9" t="s">
        <v>112</v>
      </c>
      <c r="P24" s="9" t="s">
        <v>112</v>
      </c>
      <c r="Q24" s="9" t="s">
        <v>112</v>
      </c>
      <c r="R24" s="9" t="s">
        <v>112</v>
      </c>
      <c r="S24" s="5">
        <f t="shared" si="1"/>
        <v>11</v>
      </c>
      <c r="T24" s="5">
        <f t="shared" si="2"/>
        <v>0</v>
      </c>
    </row>
    <row r="25" spans="1:24" x14ac:dyDescent="0.25">
      <c r="A25" s="10">
        <v>21</v>
      </c>
      <c r="B25" s="7" t="s">
        <v>353</v>
      </c>
      <c r="C25" s="7" t="s">
        <v>354</v>
      </c>
      <c r="D25" s="8" t="s">
        <v>331</v>
      </c>
      <c r="E25" s="128"/>
      <c r="F25" s="9" t="s">
        <v>112</v>
      </c>
      <c r="G25" s="9" t="s">
        <v>112</v>
      </c>
      <c r="H25" s="9" t="s">
        <v>112</v>
      </c>
      <c r="I25" s="9" t="s">
        <v>112</v>
      </c>
      <c r="J25" s="9" t="s">
        <v>112</v>
      </c>
      <c r="K25" s="9" t="s">
        <v>112</v>
      </c>
      <c r="L25" s="128"/>
      <c r="M25" s="9" t="s">
        <v>112</v>
      </c>
      <c r="N25" s="9" t="s">
        <v>112</v>
      </c>
      <c r="O25" s="9" t="s">
        <v>112</v>
      </c>
      <c r="P25" s="9" t="s">
        <v>112</v>
      </c>
      <c r="Q25" s="9" t="s">
        <v>112</v>
      </c>
      <c r="R25" s="9" t="s">
        <v>111</v>
      </c>
      <c r="S25" s="5">
        <f t="shared" si="1"/>
        <v>11</v>
      </c>
      <c r="T25" s="5">
        <f t="shared" si="2"/>
        <v>1</v>
      </c>
    </row>
    <row r="26" spans="1:24" x14ac:dyDescent="0.25">
      <c r="A26" s="10">
        <v>22</v>
      </c>
      <c r="B26" s="7" t="s">
        <v>355</v>
      </c>
      <c r="C26" s="7" t="s">
        <v>356</v>
      </c>
      <c r="D26" s="8" t="s">
        <v>331</v>
      </c>
      <c r="E26" s="128"/>
      <c r="F26" s="9" t="s">
        <v>112</v>
      </c>
      <c r="G26" s="9" t="s">
        <v>112</v>
      </c>
      <c r="H26" s="9" t="s">
        <v>112</v>
      </c>
      <c r="I26" s="9" t="s">
        <v>112</v>
      </c>
      <c r="J26" s="9" t="s">
        <v>112</v>
      </c>
      <c r="K26" s="9" t="s">
        <v>112</v>
      </c>
      <c r="L26" s="128"/>
      <c r="M26" s="9" t="s">
        <v>112</v>
      </c>
      <c r="N26" s="9" t="s">
        <v>112</v>
      </c>
      <c r="O26" s="9" t="s">
        <v>112</v>
      </c>
      <c r="P26" s="9" t="s">
        <v>112</v>
      </c>
      <c r="Q26" s="9" t="s">
        <v>112</v>
      </c>
      <c r="R26" s="9" t="s">
        <v>112</v>
      </c>
      <c r="S26" s="5">
        <f t="shared" si="1"/>
        <v>12</v>
      </c>
      <c r="T26" s="5">
        <f t="shared" si="2"/>
        <v>0</v>
      </c>
    </row>
    <row r="27" spans="1:24" x14ac:dyDescent="0.25">
      <c r="A27" s="10">
        <v>23</v>
      </c>
      <c r="B27" s="7" t="s">
        <v>357</v>
      </c>
      <c r="C27" s="7" t="s">
        <v>140</v>
      </c>
      <c r="D27" s="8" t="s">
        <v>331</v>
      </c>
      <c r="E27" s="128"/>
      <c r="F27" s="9" t="s">
        <v>112</v>
      </c>
      <c r="G27" s="9" t="s">
        <v>112</v>
      </c>
      <c r="H27" s="9" t="s">
        <v>112</v>
      </c>
      <c r="I27" s="9" t="s">
        <v>112</v>
      </c>
      <c r="J27" s="9" t="s">
        <v>112</v>
      </c>
      <c r="K27" s="9" t="s">
        <v>112</v>
      </c>
      <c r="L27" s="128"/>
      <c r="M27" s="9" t="s">
        <v>112</v>
      </c>
      <c r="N27" s="9" t="s">
        <v>112</v>
      </c>
      <c r="O27" s="9" t="s">
        <v>112</v>
      </c>
      <c r="P27" s="9" t="s">
        <v>112</v>
      </c>
      <c r="Q27" s="9" t="s">
        <v>112</v>
      </c>
      <c r="R27" s="9" t="s">
        <v>112</v>
      </c>
      <c r="S27" s="5">
        <f t="shared" si="1"/>
        <v>12</v>
      </c>
      <c r="T27" s="5">
        <f t="shared" si="2"/>
        <v>0</v>
      </c>
    </row>
    <row r="28" spans="1:24" x14ac:dyDescent="0.25">
      <c r="A28" s="10">
        <v>24</v>
      </c>
      <c r="B28" s="7" t="s">
        <v>358</v>
      </c>
      <c r="C28" s="7" t="s">
        <v>204</v>
      </c>
      <c r="D28" s="8" t="s">
        <v>331</v>
      </c>
      <c r="E28" s="128"/>
      <c r="F28" s="9" t="s">
        <v>111</v>
      </c>
      <c r="G28" s="9" t="s">
        <v>111</v>
      </c>
      <c r="H28" s="9" t="s">
        <v>111</v>
      </c>
      <c r="I28" s="9" t="s">
        <v>111</v>
      </c>
      <c r="J28" s="9" t="s">
        <v>111</v>
      </c>
      <c r="K28" s="9" t="s">
        <v>111</v>
      </c>
      <c r="L28" s="128"/>
      <c r="M28" s="9" t="s">
        <v>111</v>
      </c>
      <c r="N28" s="9" t="s">
        <v>111</v>
      </c>
      <c r="O28" s="9" t="s">
        <v>111</v>
      </c>
      <c r="P28" s="9" t="s">
        <v>111</v>
      </c>
      <c r="Q28" s="9" t="s">
        <v>111</v>
      </c>
      <c r="R28" s="9" t="s">
        <v>111</v>
      </c>
      <c r="S28" s="5">
        <f t="shared" si="1"/>
        <v>0</v>
      </c>
      <c r="T28" s="5">
        <f t="shared" si="2"/>
        <v>12</v>
      </c>
    </row>
    <row r="29" spans="1:24" x14ac:dyDescent="0.25">
      <c r="A29" s="10">
        <v>25</v>
      </c>
      <c r="B29" s="7" t="s">
        <v>266</v>
      </c>
      <c r="C29" s="7" t="s">
        <v>185</v>
      </c>
      <c r="D29" s="8" t="s">
        <v>331</v>
      </c>
      <c r="E29" s="128"/>
      <c r="F29" s="9" t="s">
        <v>112</v>
      </c>
      <c r="G29" s="9" t="s">
        <v>112</v>
      </c>
      <c r="H29" s="9" t="s">
        <v>112</v>
      </c>
      <c r="I29" s="9" t="s">
        <v>112</v>
      </c>
      <c r="J29" s="9" t="s">
        <v>112</v>
      </c>
      <c r="K29" s="9" t="s">
        <v>112</v>
      </c>
      <c r="L29" s="128"/>
      <c r="M29" s="9" t="s">
        <v>112</v>
      </c>
      <c r="N29" s="9" t="s">
        <v>112</v>
      </c>
      <c r="O29" s="9" t="s">
        <v>112</v>
      </c>
      <c r="P29" s="9" t="s">
        <v>112</v>
      </c>
      <c r="Q29" s="9" t="s">
        <v>112</v>
      </c>
      <c r="R29" s="9" t="s">
        <v>112</v>
      </c>
      <c r="S29" s="5">
        <f t="shared" si="1"/>
        <v>12</v>
      </c>
      <c r="T29" s="5">
        <f t="shared" si="2"/>
        <v>0</v>
      </c>
    </row>
    <row r="30" spans="1:24" x14ac:dyDescent="0.25">
      <c r="A30" s="10">
        <v>26</v>
      </c>
      <c r="B30" s="7" t="s">
        <v>359</v>
      </c>
      <c r="C30" s="7" t="s">
        <v>138</v>
      </c>
      <c r="D30" s="8" t="s">
        <v>331</v>
      </c>
      <c r="E30" s="128"/>
      <c r="F30" s="9" t="s">
        <v>112</v>
      </c>
      <c r="G30" s="9" t="s">
        <v>112</v>
      </c>
      <c r="H30" s="9" t="s">
        <v>112</v>
      </c>
      <c r="I30" s="9" t="s">
        <v>112</v>
      </c>
      <c r="J30" s="9" t="s">
        <v>112</v>
      </c>
      <c r="K30" s="9" t="s">
        <v>112</v>
      </c>
      <c r="L30" s="128"/>
      <c r="M30" s="9" t="s">
        <v>112</v>
      </c>
      <c r="N30" s="9" t="s">
        <v>112</v>
      </c>
      <c r="O30" s="9" t="s">
        <v>112</v>
      </c>
      <c r="P30" s="9" t="s">
        <v>112</v>
      </c>
      <c r="Q30" s="9" t="s">
        <v>112</v>
      </c>
      <c r="R30" s="9" t="s">
        <v>112</v>
      </c>
      <c r="S30" s="5">
        <f t="shared" si="1"/>
        <v>12</v>
      </c>
      <c r="T30" s="5">
        <f t="shared" si="2"/>
        <v>0</v>
      </c>
    </row>
    <row r="31" spans="1:24" ht="16.5" customHeight="1" x14ac:dyDescent="0.25">
      <c r="A31" s="10">
        <v>1</v>
      </c>
      <c r="B31" s="24" t="s">
        <v>360</v>
      </c>
      <c r="C31" s="25" t="s">
        <v>361</v>
      </c>
      <c r="D31" s="26" t="s">
        <v>331</v>
      </c>
      <c r="E31" s="128"/>
      <c r="F31" s="9" t="s">
        <v>112</v>
      </c>
      <c r="G31" s="9" t="s">
        <v>112</v>
      </c>
      <c r="H31" s="9" t="s">
        <v>113</v>
      </c>
      <c r="I31" s="9" t="s">
        <v>112</v>
      </c>
      <c r="J31" s="9" t="s">
        <v>112</v>
      </c>
      <c r="K31" s="9" t="s">
        <v>112</v>
      </c>
      <c r="L31" s="128"/>
      <c r="M31" s="9" t="s">
        <v>112</v>
      </c>
      <c r="N31" s="9" t="s">
        <v>112</v>
      </c>
      <c r="O31" s="9" t="s">
        <v>112</v>
      </c>
      <c r="P31" s="9" t="s">
        <v>112</v>
      </c>
      <c r="Q31" s="9" t="s">
        <v>112</v>
      </c>
      <c r="R31" s="9" t="s">
        <v>112</v>
      </c>
      <c r="S31" s="5">
        <f t="shared" si="1"/>
        <v>11</v>
      </c>
      <c r="T31" s="5">
        <f t="shared" si="2"/>
        <v>0</v>
      </c>
    </row>
    <row r="32" spans="1:24" x14ac:dyDescent="0.25">
      <c r="A32" s="27">
        <v>2</v>
      </c>
      <c r="B32" s="24" t="s">
        <v>22</v>
      </c>
      <c r="C32" s="25" t="s">
        <v>230</v>
      </c>
      <c r="D32" s="26" t="s">
        <v>331</v>
      </c>
      <c r="E32" s="128"/>
      <c r="F32" s="9" t="s">
        <v>112</v>
      </c>
      <c r="G32" s="9" t="s">
        <v>112</v>
      </c>
      <c r="H32" s="9" t="s">
        <v>112</v>
      </c>
      <c r="I32" s="9" t="s">
        <v>112</v>
      </c>
      <c r="J32" s="9" t="s">
        <v>112</v>
      </c>
      <c r="K32" s="9" t="s">
        <v>112</v>
      </c>
      <c r="L32" s="128"/>
      <c r="M32" s="9" t="s">
        <v>112</v>
      </c>
      <c r="N32" s="9" t="s">
        <v>112</v>
      </c>
      <c r="O32" s="9" t="s">
        <v>112</v>
      </c>
      <c r="P32" s="9" t="s">
        <v>112</v>
      </c>
      <c r="Q32" s="9" t="s">
        <v>112</v>
      </c>
      <c r="R32" s="9" t="s">
        <v>112</v>
      </c>
      <c r="S32" s="5">
        <f t="shared" si="1"/>
        <v>12</v>
      </c>
      <c r="T32" s="5">
        <f t="shared" si="2"/>
        <v>0</v>
      </c>
    </row>
    <row r="33" spans="1:20" x14ac:dyDescent="0.25">
      <c r="A33" s="10">
        <v>3</v>
      </c>
      <c r="B33" s="24" t="s">
        <v>362</v>
      </c>
      <c r="C33" s="25" t="s">
        <v>339</v>
      </c>
      <c r="D33" s="26" t="s">
        <v>331</v>
      </c>
      <c r="E33" s="128"/>
      <c r="F33" s="9" t="s">
        <v>112</v>
      </c>
      <c r="G33" s="9" t="s">
        <v>112</v>
      </c>
      <c r="H33" s="9" t="s">
        <v>112</v>
      </c>
      <c r="I33" s="9" t="s">
        <v>111</v>
      </c>
      <c r="J33" s="9" t="s">
        <v>112</v>
      </c>
      <c r="K33" s="9" t="s">
        <v>112</v>
      </c>
      <c r="L33" s="128"/>
      <c r="M33" s="9" t="s">
        <v>112</v>
      </c>
      <c r="N33" s="9" t="s">
        <v>112</v>
      </c>
      <c r="O33" s="9" t="s">
        <v>112</v>
      </c>
      <c r="P33" s="9" t="s">
        <v>112</v>
      </c>
      <c r="Q33" s="9" t="s">
        <v>112</v>
      </c>
      <c r="R33" s="9" t="s">
        <v>111</v>
      </c>
      <c r="S33" s="5">
        <f t="shared" si="1"/>
        <v>10</v>
      </c>
      <c r="T33" s="5">
        <f t="shared" si="2"/>
        <v>2</v>
      </c>
    </row>
    <row r="34" spans="1:20" x14ac:dyDescent="0.25">
      <c r="A34" s="27">
        <v>4</v>
      </c>
      <c r="B34" s="24" t="s">
        <v>116</v>
      </c>
      <c r="C34" s="25" t="s">
        <v>363</v>
      </c>
      <c r="D34" s="26" t="s">
        <v>331</v>
      </c>
      <c r="E34" s="128"/>
      <c r="F34" s="9" t="s">
        <v>112</v>
      </c>
      <c r="G34" s="9" t="s">
        <v>112</v>
      </c>
      <c r="H34" s="9" t="s">
        <v>112</v>
      </c>
      <c r="I34" s="9" t="s">
        <v>112</v>
      </c>
      <c r="J34" s="9" t="s">
        <v>112</v>
      </c>
      <c r="K34" s="9" t="s">
        <v>112</v>
      </c>
      <c r="L34" s="128"/>
      <c r="M34" s="9" t="s">
        <v>112</v>
      </c>
      <c r="N34" s="9" t="s">
        <v>112</v>
      </c>
      <c r="O34" s="9" t="s">
        <v>112</v>
      </c>
      <c r="P34" s="9" t="s">
        <v>112</v>
      </c>
      <c r="Q34" s="9" t="s">
        <v>112</v>
      </c>
      <c r="R34" s="9" t="s">
        <v>112</v>
      </c>
      <c r="S34" s="5">
        <f t="shared" si="1"/>
        <v>12</v>
      </c>
      <c r="T34" s="5">
        <f t="shared" si="2"/>
        <v>0</v>
      </c>
    </row>
    <row r="35" spans="1:20" x14ac:dyDescent="0.25">
      <c r="A35" s="10">
        <v>5</v>
      </c>
      <c r="B35" s="24" t="s">
        <v>364</v>
      </c>
      <c r="C35" s="25" t="s">
        <v>365</v>
      </c>
      <c r="D35" s="26" t="s">
        <v>331</v>
      </c>
      <c r="E35" s="128"/>
      <c r="F35" s="9" t="s">
        <v>113</v>
      </c>
      <c r="G35" s="9" t="s">
        <v>113</v>
      </c>
      <c r="H35" s="9" t="s">
        <v>113</v>
      </c>
      <c r="I35" s="9" t="s">
        <v>111</v>
      </c>
      <c r="J35" s="9" t="s">
        <v>111</v>
      </c>
      <c r="K35" s="9" t="s">
        <v>111</v>
      </c>
      <c r="L35" s="128"/>
      <c r="M35" s="9" t="s">
        <v>111</v>
      </c>
      <c r="N35" s="9" t="s">
        <v>111</v>
      </c>
      <c r="O35" s="9" t="s">
        <v>111</v>
      </c>
      <c r="P35" s="9" t="s">
        <v>111</v>
      </c>
      <c r="Q35" s="9" t="s">
        <v>111</v>
      </c>
      <c r="R35" s="9" t="s">
        <v>111</v>
      </c>
      <c r="S35" s="5">
        <f t="shared" si="1"/>
        <v>0</v>
      </c>
      <c r="T35" s="5">
        <f t="shared" si="2"/>
        <v>9</v>
      </c>
    </row>
    <row r="36" spans="1:20" x14ac:dyDescent="0.25">
      <c r="A36" s="27">
        <v>6</v>
      </c>
      <c r="B36" s="24" t="s">
        <v>366</v>
      </c>
      <c r="C36" s="25" t="s">
        <v>367</v>
      </c>
      <c r="D36" s="26" t="s">
        <v>331</v>
      </c>
      <c r="E36" s="128"/>
      <c r="F36" s="9" t="s">
        <v>112</v>
      </c>
      <c r="G36" s="9" t="s">
        <v>112</v>
      </c>
      <c r="H36" s="9" t="s">
        <v>112</v>
      </c>
      <c r="I36" s="9" t="s">
        <v>112</v>
      </c>
      <c r="J36" s="9" t="s">
        <v>112</v>
      </c>
      <c r="K36" s="9" t="s">
        <v>112</v>
      </c>
      <c r="L36" s="128"/>
      <c r="M36" s="9" t="s">
        <v>112</v>
      </c>
      <c r="N36" s="9" t="s">
        <v>112</v>
      </c>
      <c r="O36" s="9" t="s">
        <v>112</v>
      </c>
      <c r="P36" s="9" t="s">
        <v>112</v>
      </c>
      <c r="Q36" s="9" t="s">
        <v>112</v>
      </c>
      <c r="R36" s="9" t="s">
        <v>112</v>
      </c>
      <c r="S36" s="5">
        <f t="shared" si="1"/>
        <v>12</v>
      </c>
      <c r="T36" s="5">
        <f t="shared" si="2"/>
        <v>0</v>
      </c>
    </row>
    <row r="37" spans="1:20" x14ac:dyDescent="0.25">
      <c r="A37" s="10">
        <v>7</v>
      </c>
      <c r="B37" s="24" t="s">
        <v>368</v>
      </c>
      <c r="C37" s="25" t="s">
        <v>369</v>
      </c>
      <c r="D37" s="26" t="s">
        <v>331</v>
      </c>
      <c r="E37" s="128"/>
      <c r="F37" s="9" t="s">
        <v>112</v>
      </c>
      <c r="G37" s="9" t="s">
        <v>112</v>
      </c>
      <c r="H37" s="9" t="s">
        <v>112</v>
      </c>
      <c r="I37" s="9" t="s">
        <v>112</v>
      </c>
      <c r="J37" s="9" t="s">
        <v>112</v>
      </c>
      <c r="K37" s="9" t="s">
        <v>112</v>
      </c>
      <c r="L37" s="128"/>
      <c r="M37" s="9" t="s">
        <v>111</v>
      </c>
      <c r="N37" s="9" t="s">
        <v>112</v>
      </c>
      <c r="O37" s="9" t="s">
        <v>112</v>
      </c>
      <c r="P37" s="9" t="s">
        <v>111</v>
      </c>
      <c r="Q37" s="9" t="s">
        <v>112</v>
      </c>
      <c r="R37" s="9" t="s">
        <v>112</v>
      </c>
      <c r="S37" s="5">
        <f t="shared" ref="S37:S68" si="3">COUNTIF(E37:R37,"P")</f>
        <v>10</v>
      </c>
      <c r="T37" s="5">
        <f t="shared" ref="T37:T56" si="4">COUNTIF(E37:R37,"A")</f>
        <v>2</v>
      </c>
    </row>
    <row r="38" spans="1:20" x14ac:dyDescent="0.25">
      <c r="A38" s="27">
        <v>8</v>
      </c>
      <c r="B38" s="24" t="s">
        <v>370</v>
      </c>
      <c r="C38" s="25" t="s">
        <v>371</v>
      </c>
      <c r="D38" s="26" t="s">
        <v>331</v>
      </c>
      <c r="E38" s="128"/>
      <c r="F38" s="9" t="s">
        <v>111</v>
      </c>
      <c r="G38" s="9" t="s">
        <v>112</v>
      </c>
      <c r="H38" s="9" t="s">
        <v>112</v>
      </c>
      <c r="I38" s="9" t="s">
        <v>112</v>
      </c>
      <c r="J38" s="9" t="s">
        <v>112</v>
      </c>
      <c r="K38" s="9" t="s">
        <v>112</v>
      </c>
      <c r="L38" s="128"/>
      <c r="M38" s="9" t="s">
        <v>112</v>
      </c>
      <c r="N38" s="9" t="s">
        <v>112</v>
      </c>
      <c r="O38" s="9" t="s">
        <v>112</v>
      </c>
      <c r="P38" s="9" t="s">
        <v>112</v>
      </c>
      <c r="Q38" s="9" t="s">
        <v>112</v>
      </c>
      <c r="R38" s="9" t="s">
        <v>112</v>
      </c>
      <c r="S38" s="5">
        <f t="shared" si="3"/>
        <v>11</v>
      </c>
      <c r="T38" s="5">
        <f t="shared" si="4"/>
        <v>1</v>
      </c>
    </row>
    <row r="39" spans="1:20" x14ac:dyDescent="0.25">
      <c r="A39" s="10">
        <v>9</v>
      </c>
      <c r="B39" s="24" t="s">
        <v>372</v>
      </c>
      <c r="C39" s="25" t="s">
        <v>62</v>
      </c>
      <c r="D39" s="26" t="s">
        <v>331</v>
      </c>
      <c r="E39" s="128"/>
      <c r="F39" s="9" t="s">
        <v>112</v>
      </c>
      <c r="G39" s="9" t="s">
        <v>112</v>
      </c>
      <c r="H39" s="9" t="s">
        <v>112</v>
      </c>
      <c r="I39" s="9" t="s">
        <v>111</v>
      </c>
      <c r="J39" s="9" t="s">
        <v>112</v>
      </c>
      <c r="K39" s="9" t="s">
        <v>112</v>
      </c>
      <c r="L39" s="128"/>
      <c r="M39" s="9" t="s">
        <v>112</v>
      </c>
      <c r="N39" s="9" t="s">
        <v>112</v>
      </c>
      <c r="O39" s="9" t="s">
        <v>112</v>
      </c>
      <c r="P39" s="9" t="s">
        <v>112</v>
      </c>
      <c r="Q39" s="9" t="s">
        <v>112</v>
      </c>
      <c r="R39" s="9" t="s">
        <v>112</v>
      </c>
      <c r="S39" s="5">
        <f t="shared" si="3"/>
        <v>11</v>
      </c>
      <c r="T39" s="5">
        <f t="shared" si="4"/>
        <v>1</v>
      </c>
    </row>
    <row r="40" spans="1:20" x14ac:dyDescent="0.25">
      <c r="A40" s="27">
        <v>10</v>
      </c>
      <c r="B40" s="24" t="s">
        <v>106</v>
      </c>
      <c r="C40" s="25" t="s">
        <v>373</v>
      </c>
      <c r="D40" s="26" t="s">
        <v>331</v>
      </c>
      <c r="E40" s="128"/>
      <c r="F40" s="9" t="s">
        <v>112</v>
      </c>
      <c r="G40" s="9" t="s">
        <v>112</v>
      </c>
      <c r="H40" s="9" t="s">
        <v>112</v>
      </c>
      <c r="I40" s="9" t="s">
        <v>112</v>
      </c>
      <c r="J40" s="9" t="s">
        <v>112</v>
      </c>
      <c r="K40" s="9" t="s">
        <v>112</v>
      </c>
      <c r="L40" s="128"/>
      <c r="M40" s="9" t="s">
        <v>112</v>
      </c>
      <c r="N40" s="9" t="s">
        <v>112</v>
      </c>
      <c r="O40" s="9" t="s">
        <v>112</v>
      </c>
      <c r="P40" s="9" t="s">
        <v>112</v>
      </c>
      <c r="Q40" s="9" t="s">
        <v>112</v>
      </c>
      <c r="R40" s="9" t="s">
        <v>112</v>
      </c>
      <c r="S40" s="5">
        <f t="shared" si="3"/>
        <v>12</v>
      </c>
      <c r="T40" s="5">
        <f t="shared" si="4"/>
        <v>0</v>
      </c>
    </row>
    <row r="41" spans="1:20" x14ac:dyDescent="0.25">
      <c r="A41" s="10">
        <v>11</v>
      </c>
      <c r="B41" s="24" t="s">
        <v>374</v>
      </c>
      <c r="C41" s="25" t="s">
        <v>60</v>
      </c>
      <c r="D41" s="26" t="s">
        <v>331</v>
      </c>
      <c r="E41" s="128"/>
      <c r="F41" s="9" t="s">
        <v>112</v>
      </c>
      <c r="G41" s="9" t="s">
        <v>112</v>
      </c>
      <c r="H41" s="9" t="s">
        <v>112</v>
      </c>
      <c r="I41" s="9" t="s">
        <v>112</v>
      </c>
      <c r="J41" s="9" t="s">
        <v>112</v>
      </c>
      <c r="K41" s="9" t="s">
        <v>112</v>
      </c>
      <c r="L41" s="128"/>
      <c r="M41" s="9" t="s">
        <v>112</v>
      </c>
      <c r="N41" s="9" t="s">
        <v>112</v>
      </c>
      <c r="O41" s="9" t="s">
        <v>112</v>
      </c>
      <c r="P41" s="9" t="s">
        <v>112</v>
      </c>
      <c r="Q41" s="9" t="s">
        <v>112</v>
      </c>
      <c r="R41" s="9" t="s">
        <v>112</v>
      </c>
      <c r="S41" s="5">
        <f t="shared" si="3"/>
        <v>12</v>
      </c>
      <c r="T41" s="5">
        <f t="shared" si="4"/>
        <v>0</v>
      </c>
    </row>
    <row r="42" spans="1:20" x14ac:dyDescent="0.25">
      <c r="A42" s="27">
        <v>12</v>
      </c>
      <c r="B42" s="24" t="s">
        <v>375</v>
      </c>
      <c r="C42" s="25" t="s">
        <v>288</v>
      </c>
      <c r="D42" s="26" t="s">
        <v>331</v>
      </c>
      <c r="E42" s="128"/>
      <c r="F42" s="9" t="s">
        <v>112</v>
      </c>
      <c r="G42" s="9" t="s">
        <v>112</v>
      </c>
      <c r="H42" s="9" t="s">
        <v>112</v>
      </c>
      <c r="I42" s="9" t="s">
        <v>112</v>
      </c>
      <c r="J42" s="9" t="s">
        <v>112</v>
      </c>
      <c r="K42" s="9" t="s">
        <v>112</v>
      </c>
      <c r="L42" s="128"/>
      <c r="M42" s="9" t="s">
        <v>112</v>
      </c>
      <c r="N42" s="9" t="s">
        <v>112</v>
      </c>
      <c r="O42" s="9" t="s">
        <v>112</v>
      </c>
      <c r="P42" s="9" t="s">
        <v>112</v>
      </c>
      <c r="Q42" s="9" t="s">
        <v>112</v>
      </c>
      <c r="R42" s="9" t="s">
        <v>112</v>
      </c>
      <c r="S42" s="5">
        <f t="shared" si="3"/>
        <v>12</v>
      </c>
      <c r="T42" s="5">
        <f t="shared" si="4"/>
        <v>0</v>
      </c>
    </row>
    <row r="43" spans="1:20" x14ac:dyDescent="0.25">
      <c r="A43" s="10">
        <v>13</v>
      </c>
      <c r="B43" s="24" t="s">
        <v>196</v>
      </c>
      <c r="C43" s="25" t="s">
        <v>250</v>
      </c>
      <c r="D43" s="26" t="s">
        <v>331</v>
      </c>
      <c r="E43" s="128"/>
      <c r="F43" s="9" t="s">
        <v>112</v>
      </c>
      <c r="G43" s="9" t="s">
        <v>112</v>
      </c>
      <c r="H43" s="9" t="s">
        <v>112</v>
      </c>
      <c r="I43" s="9" t="s">
        <v>112</v>
      </c>
      <c r="J43" s="9" t="s">
        <v>112</v>
      </c>
      <c r="K43" s="9" t="s">
        <v>112</v>
      </c>
      <c r="L43" s="128"/>
      <c r="M43" s="9" t="s">
        <v>112</v>
      </c>
      <c r="N43" s="9" t="s">
        <v>112</v>
      </c>
      <c r="O43" s="9" t="s">
        <v>112</v>
      </c>
      <c r="P43" s="9" t="s">
        <v>112</v>
      </c>
      <c r="Q43" s="9" t="s">
        <v>112</v>
      </c>
      <c r="R43" s="9" t="s">
        <v>112</v>
      </c>
      <c r="S43" s="5">
        <f t="shared" si="3"/>
        <v>12</v>
      </c>
      <c r="T43" s="5">
        <f t="shared" si="4"/>
        <v>0</v>
      </c>
    </row>
    <row r="44" spans="1:20" x14ac:dyDescent="0.25">
      <c r="A44" s="27">
        <v>14</v>
      </c>
      <c r="B44" s="24" t="s">
        <v>376</v>
      </c>
      <c r="C44" s="25" t="s">
        <v>377</v>
      </c>
      <c r="D44" s="26" t="s">
        <v>331</v>
      </c>
      <c r="E44" s="128"/>
      <c r="F44" s="9" t="s">
        <v>111</v>
      </c>
      <c r="G44" s="9" t="s">
        <v>112</v>
      </c>
      <c r="H44" s="9" t="s">
        <v>112</v>
      </c>
      <c r="I44" s="9" t="s">
        <v>112</v>
      </c>
      <c r="J44" s="9" t="s">
        <v>111</v>
      </c>
      <c r="K44" s="9" t="s">
        <v>111</v>
      </c>
      <c r="L44" s="128"/>
      <c r="M44" s="9" t="s">
        <v>111</v>
      </c>
      <c r="N44" s="9" t="s">
        <v>111</v>
      </c>
      <c r="O44" s="9" t="s">
        <v>112</v>
      </c>
      <c r="P44" s="9" t="s">
        <v>111</v>
      </c>
      <c r="Q44" s="9" t="s">
        <v>111</v>
      </c>
      <c r="R44" s="9" t="s">
        <v>111</v>
      </c>
      <c r="S44" s="5">
        <f t="shared" si="3"/>
        <v>4</v>
      </c>
      <c r="T44" s="5">
        <f t="shared" si="4"/>
        <v>8</v>
      </c>
    </row>
    <row r="45" spans="1:20" x14ac:dyDescent="0.25">
      <c r="A45" s="10">
        <v>15</v>
      </c>
      <c r="B45" s="24" t="s">
        <v>378</v>
      </c>
      <c r="C45" s="25" t="s">
        <v>379</v>
      </c>
      <c r="D45" s="26" t="s">
        <v>331</v>
      </c>
      <c r="E45" s="128"/>
      <c r="F45" s="9" t="s">
        <v>112</v>
      </c>
      <c r="G45" s="9" t="s">
        <v>112</v>
      </c>
      <c r="H45" s="9" t="s">
        <v>112</v>
      </c>
      <c r="I45" s="9" t="s">
        <v>112</v>
      </c>
      <c r="J45" s="9" t="s">
        <v>112</v>
      </c>
      <c r="K45" s="9" t="s">
        <v>112</v>
      </c>
      <c r="L45" s="128"/>
      <c r="M45" s="9" t="s">
        <v>112</v>
      </c>
      <c r="N45" s="9" t="s">
        <v>112</v>
      </c>
      <c r="O45" s="9" t="s">
        <v>112</v>
      </c>
      <c r="P45" s="9" t="s">
        <v>111</v>
      </c>
      <c r="Q45" s="9" t="s">
        <v>112</v>
      </c>
      <c r="R45" s="9" t="s">
        <v>112</v>
      </c>
      <c r="S45" s="5">
        <f t="shared" si="3"/>
        <v>11</v>
      </c>
      <c r="T45" s="5">
        <f t="shared" si="4"/>
        <v>1</v>
      </c>
    </row>
    <row r="46" spans="1:20" x14ac:dyDescent="0.25">
      <c r="A46" s="27">
        <v>16</v>
      </c>
      <c r="B46" s="24" t="s">
        <v>380</v>
      </c>
      <c r="C46" s="25" t="s">
        <v>278</v>
      </c>
      <c r="D46" s="26" t="s">
        <v>331</v>
      </c>
      <c r="E46" s="128"/>
      <c r="F46" s="9" t="s">
        <v>112</v>
      </c>
      <c r="G46" s="9" t="s">
        <v>112</v>
      </c>
      <c r="H46" s="9" t="s">
        <v>111</v>
      </c>
      <c r="I46" s="9" t="s">
        <v>112</v>
      </c>
      <c r="J46" s="9" t="s">
        <v>112</v>
      </c>
      <c r="K46" s="9" t="s">
        <v>112</v>
      </c>
      <c r="L46" s="128"/>
      <c r="M46" s="9" t="s">
        <v>112</v>
      </c>
      <c r="N46" s="9" t="s">
        <v>112</v>
      </c>
      <c r="O46" s="9" t="s">
        <v>112</v>
      </c>
      <c r="P46" s="9" t="s">
        <v>112</v>
      </c>
      <c r="Q46" s="9" t="s">
        <v>112</v>
      </c>
      <c r="R46" s="9" t="s">
        <v>112</v>
      </c>
      <c r="S46" s="5">
        <f t="shared" si="3"/>
        <v>11</v>
      </c>
      <c r="T46" s="5">
        <f t="shared" si="4"/>
        <v>1</v>
      </c>
    </row>
    <row r="47" spans="1:20" x14ac:dyDescent="0.25">
      <c r="A47" s="10">
        <v>17</v>
      </c>
      <c r="B47" s="24" t="s">
        <v>381</v>
      </c>
      <c r="C47" s="25" t="s">
        <v>58</v>
      </c>
      <c r="D47" s="26" t="s">
        <v>331</v>
      </c>
      <c r="E47" s="128"/>
      <c r="F47" s="9" t="s">
        <v>112</v>
      </c>
      <c r="G47" s="9" t="s">
        <v>112</v>
      </c>
      <c r="H47" s="9" t="s">
        <v>112</v>
      </c>
      <c r="I47" s="9" t="s">
        <v>112</v>
      </c>
      <c r="J47" s="9" t="s">
        <v>112</v>
      </c>
      <c r="K47" s="9" t="s">
        <v>112</v>
      </c>
      <c r="L47" s="128"/>
      <c r="M47" s="9" t="s">
        <v>112</v>
      </c>
      <c r="N47" s="9" t="s">
        <v>112</v>
      </c>
      <c r="O47" s="9" t="s">
        <v>112</v>
      </c>
      <c r="P47" s="9" t="s">
        <v>112</v>
      </c>
      <c r="Q47" s="9" t="s">
        <v>112</v>
      </c>
      <c r="R47" s="9" t="s">
        <v>112</v>
      </c>
      <c r="S47" s="5">
        <f t="shared" si="3"/>
        <v>12</v>
      </c>
      <c r="T47" s="5">
        <f t="shared" si="4"/>
        <v>0</v>
      </c>
    </row>
    <row r="48" spans="1:20" x14ac:dyDescent="0.25">
      <c r="A48" s="27">
        <v>18</v>
      </c>
      <c r="B48" s="24" t="s">
        <v>382</v>
      </c>
      <c r="C48" s="25" t="s">
        <v>383</v>
      </c>
      <c r="D48" s="26" t="s">
        <v>331</v>
      </c>
      <c r="E48" s="128"/>
      <c r="F48" s="9" t="s">
        <v>112</v>
      </c>
      <c r="G48" s="9" t="s">
        <v>112</v>
      </c>
      <c r="H48" s="9" t="s">
        <v>112</v>
      </c>
      <c r="I48" s="9" t="s">
        <v>112</v>
      </c>
      <c r="J48" s="9" t="s">
        <v>111</v>
      </c>
      <c r="K48" s="9" t="s">
        <v>112</v>
      </c>
      <c r="L48" s="128"/>
      <c r="M48" s="9" t="s">
        <v>112</v>
      </c>
      <c r="N48" s="9" t="s">
        <v>112</v>
      </c>
      <c r="O48" s="9" t="s">
        <v>111</v>
      </c>
      <c r="P48" s="9" t="s">
        <v>112</v>
      </c>
      <c r="Q48" s="9" t="s">
        <v>112</v>
      </c>
      <c r="R48" s="9" t="s">
        <v>112</v>
      </c>
      <c r="S48" s="5">
        <f t="shared" si="3"/>
        <v>10</v>
      </c>
      <c r="T48" s="5">
        <f t="shared" si="4"/>
        <v>2</v>
      </c>
    </row>
    <row r="49" spans="1:20" x14ac:dyDescent="0.25">
      <c r="A49" s="10">
        <v>19</v>
      </c>
      <c r="B49" s="24" t="s">
        <v>384</v>
      </c>
      <c r="C49" s="25" t="s">
        <v>385</v>
      </c>
      <c r="D49" s="26" t="s">
        <v>331</v>
      </c>
      <c r="E49" s="128"/>
      <c r="F49" s="9" t="s">
        <v>112</v>
      </c>
      <c r="G49" s="9" t="s">
        <v>112</v>
      </c>
      <c r="H49" s="9" t="s">
        <v>112</v>
      </c>
      <c r="I49" s="9" t="s">
        <v>112</v>
      </c>
      <c r="J49" s="9" t="s">
        <v>112</v>
      </c>
      <c r="K49" s="9" t="s">
        <v>112</v>
      </c>
      <c r="L49" s="128"/>
      <c r="M49" s="9" t="s">
        <v>112</v>
      </c>
      <c r="N49" s="9" t="s">
        <v>112</v>
      </c>
      <c r="O49" s="9" t="s">
        <v>112</v>
      </c>
      <c r="P49" s="9" t="s">
        <v>112</v>
      </c>
      <c r="Q49" s="9" t="s">
        <v>112</v>
      </c>
      <c r="R49" s="9" t="s">
        <v>111</v>
      </c>
      <c r="S49" s="5">
        <f t="shared" si="3"/>
        <v>11</v>
      </c>
      <c r="T49" s="5">
        <f t="shared" si="4"/>
        <v>1</v>
      </c>
    </row>
    <row r="50" spans="1:20" x14ac:dyDescent="0.25">
      <c r="A50" s="27">
        <v>20</v>
      </c>
      <c r="B50" s="24" t="s">
        <v>386</v>
      </c>
      <c r="C50" s="25" t="s">
        <v>96</v>
      </c>
      <c r="D50" s="26" t="s">
        <v>331</v>
      </c>
      <c r="E50" s="128"/>
      <c r="F50" s="9" t="s">
        <v>112</v>
      </c>
      <c r="G50" s="9" t="s">
        <v>112</v>
      </c>
      <c r="H50" s="9" t="s">
        <v>112</v>
      </c>
      <c r="I50" s="9" t="s">
        <v>112</v>
      </c>
      <c r="J50" s="9" t="s">
        <v>112</v>
      </c>
      <c r="K50" s="9" t="s">
        <v>112</v>
      </c>
      <c r="L50" s="128"/>
      <c r="M50" s="9" t="s">
        <v>112</v>
      </c>
      <c r="N50" s="9" t="s">
        <v>112</v>
      </c>
      <c r="O50" s="9" t="s">
        <v>112</v>
      </c>
      <c r="P50" s="9" t="s">
        <v>112</v>
      </c>
      <c r="Q50" s="9" t="s">
        <v>112</v>
      </c>
      <c r="R50" s="9" t="s">
        <v>112</v>
      </c>
      <c r="S50" s="5">
        <f t="shared" si="3"/>
        <v>12</v>
      </c>
      <c r="T50" s="5">
        <f t="shared" si="4"/>
        <v>0</v>
      </c>
    </row>
    <row r="51" spans="1:20" x14ac:dyDescent="0.25">
      <c r="A51" s="10">
        <v>21</v>
      </c>
      <c r="B51" s="24" t="s">
        <v>55</v>
      </c>
      <c r="C51" s="25" t="s">
        <v>181</v>
      </c>
      <c r="D51" s="26" t="s">
        <v>331</v>
      </c>
      <c r="E51" s="128"/>
      <c r="F51" s="9" t="s">
        <v>112</v>
      </c>
      <c r="G51" s="9" t="s">
        <v>112</v>
      </c>
      <c r="H51" s="9" t="s">
        <v>112</v>
      </c>
      <c r="I51" s="9" t="s">
        <v>112</v>
      </c>
      <c r="J51" s="9" t="s">
        <v>112</v>
      </c>
      <c r="K51" s="9" t="s">
        <v>112</v>
      </c>
      <c r="L51" s="128"/>
      <c r="M51" s="9" t="s">
        <v>112</v>
      </c>
      <c r="N51" s="9" t="s">
        <v>112</v>
      </c>
      <c r="O51" s="9" t="s">
        <v>112</v>
      </c>
      <c r="P51" s="9" t="s">
        <v>112</v>
      </c>
      <c r="Q51" s="9" t="s">
        <v>112</v>
      </c>
      <c r="R51" s="9" t="s">
        <v>112</v>
      </c>
      <c r="S51" s="5">
        <f t="shared" si="3"/>
        <v>12</v>
      </c>
      <c r="T51" s="5">
        <f t="shared" si="4"/>
        <v>0</v>
      </c>
    </row>
    <row r="52" spans="1:20" x14ac:dyDescent="0.25">
      <c r="A52" s="27">
        <v>22</v>
      </c>
      <c r="B52" s="24" t="s">
        <v>387</v>
      </c>
      <c r="C52" s="25" t="s">
        <v>388</v>
      </c>
      <c r="D52" s="26" t="s">
        <v>331</v>
      </c>
      <c r="E52" s="128"/>
      <c r="F52" s="9" t="s">
        <v>111</v>
      </c>
      <c r="G52" s="9" t="s">
        <v>111</v>
      </c>
      <c r="H52" s="9" t="s">
        <v>111</v>
      </c>
      <c r="I52" s="9" t="s">
        <v>111</v>
      </c>
      <c r="J52" s="9" t="s">
        <v>111</v>
      </c>
      <c r="K52" s="9" t="s">
        <v>111</v>
      </c>
      <c r="L52" s="128"/>
      <c r="M52" s="9" t="s">
        <v>111</v>
      </c>
      <c r="N52" s="9" t="s">
        <v>111</v>
      </c>
      <c r="O52" s="9" t="s">
        <v>111</v>
      </c>
      <c r="P52" s="9" t="s">
        <v>111</v>
      </c>
      <c r="Q52" s="9" t="s">
        <v>111</v>
      </c>
      <c r="R52" s="9" t="s">
        <v>111</v>
      </c>
      <c r="S52" s="5">
        <f t="shared" si="3"/>
        <v>0</v>
      </c>
      <c r="T52" s="5">
        <f t="shared" si="4"/>
        <v>12</v>
      </c>
    </row>
    <row r="53" spans="1:20" x14ac:dyDescent="0.25">
      <c r="A53" s="10">
        <v>23</v>
      </c>
      <c r="B53" s="24" t="s">
        <v>316</v>
      </c>
      <c r="C53" s="25" t="s">
        <v>389</v>
      </c>
      <c r="D53" s="26" t="s">
        <v>331</v>
      </c>
      <c r="E53" s="128"/>
      <c r="F53" s="9" t="s">
        <v>112</v>
      </c>
      <c r="G53" s="9" t="s">
        <v>111</v>
      </c>
      <c r="H53" s="9" t="s">
        <v>112</v>
      </c>
      <c r="I53" s="9" t="s">
        <v>111</v>
      </c>
      <c r="J53" s="9" t="s">
        <v>112</v>
      </c>
      <c r="K53" s="9" t="s">
        <v>112</v>
      </c>
      <c r="L53" s="128"/>
      <c r="M53" s="9" t="s">
        <v>111</v>
      </c>
      <c r="N53" s="9" t="s">
        <v>112</v>
      </c>
      <c r="O53" s="9" t="s">
        <v>112</v>
      </c>
      <c r="P53" s="9" t="s">
        <v>112</v>
      </c>
      <c r="Q53" s="9" t="s">
        <v>112</v>
      </c>
      <c r="R53" s="9" t="s">
        <v>112</v>
      </c>
      <c r="S53" s="5">
        <f t="shared" si="3"/>
        <v>9</v>
      </c>
      <c r="T53" s="5">
        <f t="shared" si="4"/>
        <v>3</v>
      </c>
    </row>
    <row r="54" spans="1:20" x14ac:dyDescent="0.25">
      <c r="A54" s="27">
        <v>24</v>
      </c>
      <c r="B54" s="24" t="s">
        <v>390</v>
      </c>
      <c r="C54" s="25" t="s">
        <v>391</v>
      </c>
      <c r="D54" s="26" t="s">
        <v>331</v>
      </c>
      <c r="E54" s="128"/>
      <c r="F54" s="9" t="s">
        <v>112</v>
      </c>
      <c r="G54" s="9" t="s">
        <v>111</v>
      </c>
      <c r="H54" s="9" t="s">
        <v>112</v>
      </c>
      <c r="I54" s="9" t="s">
        <v>112</v>
      </c>
      <c r="J54" s="9" t="s">
        <v>112</v>
      </c>
      <c r="K54" s="9" t="s">
        <v>112</v>
      </c>
      <c r="L54" s="128"/>
      <c r="M54" s="9" t="s">
        <v>112</v>
      </c>
      <c r="N54" s="9" t="s">
        <v>112</v>
      </c>
      <c r="O54" s="9" t="s">
        <v>112</v>
      </c>
      <c r="P54" s="9" t="s">
        <v>111</v>
      </c>
      <c r="Q54" s="9" t="s">
        <v>112</v>
      </c>
      <c r="R54" s="9" t="s">
        <v>111</v>
      </c>
      <c r="S54" s="5">
        <f t="shared" si="3"/>
        <v>9</v>
      </c>
      <c r="T54" s="5">
        <f t="shared" si="4"/>
        <v>3</v>
      </c>
    </row>
    <row r="55" spans="1:20" x14ac:dyDescent="0.25">
      <c r="A55" s="10">
        <v>25</v>
      </c>
      <c r="B55" s="24" t="s">
        <v>392</v>
      </c>
      <c r="C55" s="25" t="s">
        <v>385</v>
      </c>
      <c r="D55" s="26" t="s">
        <v>331</v>
      </c>
      <c r="E55" s="128"/>
      <c r="F55" s="9" t="s">
        <v>112</v>
      </c>
      <c r="G55" s="9" t="s">
        <v>112</v>
      </c>
      <c r="H55" s="9" t="s">
        <v>112</v>
      </c>
      <c r="I55" s="9" t="s">
        <v>112</v>
      </c>
      <c r="J55" s="9" t="s">
        <v>112</v>
      </c>
      <c r="K55" s="9" t="s">
        <v>112</v>
      </c>
      <c r="L55" s="128"/>
      <c r="M55" s="9" t="s">
        <v>112</v>
      </c>
      <c r="N55" s="9" t="s">
        <v>112</v>
      </c>
      <c r="O55" s="9" t="s">
        <v>112</v>
      </c>
      <c r="P55" s="9" t="s">
        <v>112</v>
      </c>
      <c r="Q55" s="9" t="s">
        <v>112</v>
      </c>
      <c r="R55" s="9" t="s">
        <v>112</v>
      </c>
      <c r="S55" s="5">
        <f t="shared" si="3"/>
        <v>12</v>
      </c>
      <c r="T55" s="5">
        <f t="shared" si="4"/>
        <v>0</v>
      </c>
    </row>
    <row r="56" spans="1:20" x14ac:dyDescent="0.25">
      <c r="A56" s="27">
        <v>26</v>
      </c>
      <c r="B56" s="24" t="s">
        <v>393</v>
      </c>
      <c r="C56" s="25" t="s">
        <v>394</v>
      </c>
      <c r="D56" s="26" t="s">
        <v>331</v>
      </c>
      <c r="E56" s="129"/>
      <c r="F56" s="9" t="s">
        <v>112</v>
      </c>
      <c r="G56" s="9" t="s">
        <v>112</v>
      </c>
      <c r="H56" s="9" t="s">
        <v>112</v>
      </c>
      <c r="I56" s="9" t="s">
        <v>112</v>
      </c>
      <c r="J56" s="9" t="s">
        <v>112</v>
      </c>
      <c r="K56" s="9" t="s">
        <v>112</v>
      </c>
      <c r="L56" s="129"/>
      <c r="M56" s="9" t="s">
        <v>112</v>
      </c>
      <c r="N56" s="9" t="s">
        <v>111</v>
      </c>
      <c r="O56" s="9" t="s">
        <v>112</v>
      </c>
      <c r="P56" s="9" t="s">
        <v>112</v>
      </c>
      <c r="Q56" s="9" t="s">
        <v>112</v>
      </c>
      <c r="R56" s="9" t="s">
        <v>112</v>
      </c>
      <c r="S56" s="5">
        <f t="shared" si="3"/>
        <v>11</v>
      </c>
      <c r="T56" s="5">
        <f t="shared" si="4"/>
        <v>1</v>
      </c>
    </row>
  </sheetData>
  <mergeCells count="13">
    <mergeCell ref="U3:V3"/>
    <mergeCell ref="E5:E56"/>
    <mergeCell ref="L5:L56"/>
    <mergeCell ref="U11:X11"/>
    <mergeCell ref="U19:X19"/>
    <mergeCell ref="A1:T1"/>
    <mergeCell ref="A2:T2"/>
    <mergeCell ref="A3:A4"/>
    <mergeCell ref="B3:B4"/>
    <mergeCell ref="C3:C4"/>
    <mergeCell ref="D3:D4"/>
    <mergeCell ref="S3:S4"/>
    <mergeCell ref="T3:T4"/>
  </mergeCells>
  <conditionalFormatting sqref="E5:L5 M5:R30 F6:K30 E3:R4">
    <cfRule type="expression" dxfId="150" priority="32">
      <formula>E$3="Sun"</formula>
    </cfRule>
  </conditionalFormatting>
  <conditionalFormatting sqref="E5:L5 M5:R30 F6:K30">
    <cfRule type="cellIs" dxfId="149" priority="24" operator="equal">
      <formula>"L"</formula>
    </cfRule>
    <cfRule type="cellIs" dxfId="148" priority="25" operator="equal">
      <formula>"A"</formula>
    </cfRule>
    <cfRule type="cellIs" dxfId="147" priority="26" operator="equal">
      <formula>"P"</formula>
    </cfRule>
  </conditionalFormatting>
  <conditionalFormatting sqref="E3:R4 E5 L5 F5:K30 M5:R30">
    <cfRule type="expression" dxfId="146" priority="23">
      <formula>E$4=TODAY()</formula>
    </cfRule>
  </conditionalFormatting>
  <conditionalFormatting sqref="F31:K56 M31:R56">
    <cfRule type="cellIs" dxfId="145" priority="7" operator="equal">
      <formula>"L"</formula>
    </cfRule>
    <cfRule type="cellIs" dxfId="144" priority="8" operator="equal">
      <formula>"A"</formula>
    </cfRule>
    <cfRule type="cellIs" dxfId="143" priority="9" operator="equal">
      <formula>"P"</formula>
    </cfRule>
    <cfRule type="expression" dxfId="142" priority="10">
      <formula>IF(F$4=TODAY(),TRUE,FALSE)</formula>
    </cfRule>
    <cfRule type="expression" dxfId="141" priority="11">
      <formula>F$3="Sun"</formula>
    </cfRule>
  </conditionalFormatting>
  <conditionalFormatting sqref="S3:T3">
    <cfRule type="expression" dxfId="140" priority="33">
      <formula>#REF!="Sun"</formula>
    </cfRule>
  </conditionalFormatting>
  <conditionalFormatting sqref="S5:T56">
    <cfRule type="expression" dxfId="139" priority="22">
      <formula>#REF!="Sun"</formula>
    </cfRule>
  </conditionalFormatting>
  <conditionalFormatting sqref="U5:U9">
    <cfRule type="expression" dxfId="138" priority="4">
      <formula>U$3="Sun"</formula>
    </cfRule>
  </conditionalFormatting>
  <conditionalFormatting sqref="U12:U15">
    <cfRule type="expression" dxfId="137" priority="2">
      <formula>U$3="Sun"</formula>
    </cfRule>
  </conditionalFormatting>
  <conditionalFormatting sqref="U20:U23">
    <cfRule type="expression" dxfId="136" priority="1">
      <formula>U$3="Sun"</formula>
    </cfRule>
  </conditionalFormatting>
  <conditionalFormatting sqref="U4:V4">
    <cfRule type="expression" dxfId="135" priority="5">
      <formula>U$3="Sun"</formula>
    </cfRule>
  </conditionalFormatting>
  <conditionalFormatting sqref="V12:X12 V20:X20">
    <cfRule type="expression" dxfId="134" priority="6">
      <formula>V$3="Sun"</formula>
    </cfRule>
  </conditionalFormatting>
  <conditionalFormatting sqref="X21">
    <cfRule type="expression" dxfId="133" priority="3">
      <formula>X$3="Sun"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C7E2C-80AB-4828-B395-04463106CA71}">
  <dimension ref="A1:X56"/>
  <sheetViews>
    <sheetView topLeftCell="A2" workbookViewId="0">
      <selection activeCell="V13" sqref="V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/>
    <col min="6" max="6" width="4.7109375" style="1" bestFit="1" customWidth="1"/>
    <col min="7" max="7" width="3.85546875" style="1"/>
    <col min="8" max="9" width="3.7109375" style="1" bestFit="1" customWidth="1"/>
    <col min="10" max="10" width="3.85546875" style="1"/>
    <col min="11" max="11" width="4.5703125" style="1" bestFit="1" customWidth="1"/>
    <col min="12" max="12" width="3.85546875" style="1"/>
    <col min="13" max="13" width="4.7109375" style="1" bestFit="1" customWidth="1"/>
    <col min="14" max="14" width="4.7109375" style="1" customWidth="1"/>
    <col min="15" max="15" width="3.85546875" style="1"/>
    <col min="16" max="17" width="3.7109375" style="1" bestFit="1" customWidth="1"/>
    <col min="18" max="18" width="3.85546875" style="1"/>
    <col min="19" max="20" width="6.7109375" style="1" bestFit="1" customWidth="1"/>
    <col min="21" max="21" width="18.5703125" style="1" bestFit="1" customWidth="1"/>
    <col min="22" max="22" width="5.85546875" style="1" bestFit="1" customWidth="1"/>
    <col min="23" max="23" width="14.28515625" style="1" bestFit="1" customWidth="1"/>
    <col min="24" max="24" width="6.7109375" style="1" bestFit="1" customWidth="1"/>
    <col min="25" max="16384" width="3.85546875" style="1"/>
  </cols>
  <sheetData>
    <row r="1" spans="1:24" ht="17.25" x14ac:dyDescent="0.25">
      <c r="A1" s="114" t="s">
        <v>18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</row>
    <row r="2" spans="1:24" ht="17.25" x14ac:dyDescent="0.3">
      <c r="A2" s="115" t="s">
        <v>122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</row>
    <row r="3" spans="1:24" ht="15.75" x14ac:dyDescent="0.25">
      <c r="A3" s="130" t="s">
        <v>0</v>
      </c>
      <c r="B3" s="130" t="s">
        <v>1</v>
      </c>
      <c r="C3" s="130" t="s">
        <v>2</v>
      </c>
      <c r="D3" s="130" t="s">
        <v>3</v>
      </c>
      <c r="E3" s="2" t="str">
        <f t="shared" ref="E3:R3" si="0">TEXT(E4,"ddd")</f>
        <v>Sun</v>
      </c>
      <c r="F3" s="2" t="str">
        <f t="shared" si="0"/>
        <v>Mon</v>
      </c>
      <c r="G3" s="2" t="str">
        <f t="shared" si="0"/>
        <v>Tue</v>
      </c>
      <c r="H3" s="2" t="str">
        <f t="shared" si="0"/>
        <v>Wed</v>
      </c>
      <c r="I3" s="2" t="str">
        <f t="shared" si="0"/>
        <v>Thu</v>
      </c>
      <c r="J3" s="2" t="str">
        <f t="shared" si="0"/>
        <v>Fri</v>
      </c>
      <c r="K3" s="2" t="str">
        <f t="shared" si="0"/>
        <v>Sat</v>
      </c>
      <c r="L3" s="2" t="str">
        <f t="shared" si="0"/>
        <v>Sun</v>
      </c>
      <c r="M3" s="2" t="str">
        <f t="shared" si="0"/>
        <v>Mon</v>
      </c>
      <c r="N3" s="2" t="str">
        <f t="shared" si="0"/>
        <v>Tue</v>
      </c>
      <c r="O3" s="2" t="str">
        <f t="shared" si="0"/>
        <v>Wed</v>
      </c>
      <c r="P3" s="2" t="str">
        <f t="shared" si="0"/>
        <v>Thu</v>
      </c>
      <c r="Q3" s="2" t="str">
        <f t="shared" si="0"/>
        <v>Fri</v>
      </c>
      <c r="R3" s="2" t="str">
        <f t="shared" si="0"/>
        <v>Sat</v>
      </c>
      <c r="S3" s="117" t="s">
        <v>4</v>
      </c>
      <c r="T3" s="117" t="s">
        <v>5</v>
      </c>
      <c r="U3" s="118" t="s">
        <v>127</v>
      </c>
      <c r="V3" s="119"/>
      <c r="W3" s="3"/>
      <c r="X3" s="3"/>
    </row>
    <row r="4" spans="1:24" ht="37.5" x14ac:dyDescent="0.25">
      <c r="A4" s="131"/>
      <c r="B4" s="131"/>
      <c r="C4" s="131"/>
      <c r="D4" s="131"/>
      <c r="E4" s="14">
        <v>45613</v>
      </c>
      <c r="F4" s="14">
        <v>45614</v>
      </c>
      <c r="G4" s="14">
        <v>45615</v>
      </c>
      <c r="H4" s="14">
        <v>45616</v>
      </c>
      <c r="I4" s="14">
        <v>45617</v>
      </c>
      <c r="J4" s="14">
        <v>45618</v>
      </c>
      <c r="K4" s="14">
        <v>45619</v>
      </c>
      <c r="L4" s="14">
        <v>45620</v>
      </c>
      <c r="M4" s="14">
        <v>45621</v>
      </c>
      <c r="N4" s="14">
        <v>45622</v>
      </c>
      <c r="O4" s="14">
        <v>45623</v>
      </c>
      <c r="P4" s="14">
        <v>45624</v>
      </c>
      <c r="Q4" s="14">
        <v>45625</v>
      </c>
      <c r="R4" s="14">
        <v>45626</v>
      </c>
      <c r="S4" s="117"/>
      <c r="T4" s="117"/>
      <c r="U4" s="5" t="s">
        <v>128</v>
      </c>
      <c r="V4" s="5">
        <f>SUM(V5:V8)</f>
        <v>14</v>
      </c>
      <c r="W4" s="3"/>
      <c r="X4" s="3"/>
    </row>
    <row r="5" spans="1:24" ht="15" customHeight="1" x14ac:dyDescent="0.25">
      <c r="A5" s="27">
        <v>1</v>
      </c>
      <c r="B5" s="24" t="s">
        <v>395</v>
      </c>
      <c r="C5" s="25" t="s">
        <v>396</v>
      </c>
      <c r="D5" s="26" t="s">
        <v>397</v>
      </c>
      <c r="E5" s="127" t="s">
        <v>398</v>
      </c>
      <c r="F5" s="9" t="s">
        <v>112</v>
      </c>
      <c r="G5" s="9" t="s">
        <v>112</v>
      </c>
      <c r="H5" s="9" t="s">
        <v>112</v>
      </c>
      <c r="I5" s="9" t="s">
        <v>112</v>
      </c>
      <c r="J5" s="9" t="s">
        <v>112</v>
      </c>
      <c r="K5" s="9" t="s">
        <v>112</v>
      </c>
      <c r="L5" s="127" t="s">
        <v>398</v>
      </c>
      <c r="M5" s="9" t="s">
        <v>112</v>
      </c>
      <c r="N5" s="9" t="s">
        <v>112</v>
      </c>
      <c r="O5" s="9" t="s">
        <v>112</v>
      </c>
      <c r="P5" s="9" t="s">
        <v>112</v>
      </c>
      <c r="Q5" s="9" t="s">
        <v>112</v>
      </c>
      <c r="R5" s="9" t="s">
        <v>112</v>
      </c>
      <c r="S5" s="5">
        <f t="shared" ref="S5:S36" si="1">COUNTIF(E5:R5,"P")</f>
        <v>12</v>
      </c>
      <c r="T5" s="5">
        <f t="shared" ref="T5:T36" si="2">COUNTIF(E5:R5,"A")</f>
        <v>0</v>
      </c>
      <c r="U5" s="5" t="s">
        <v>7</v>
      </c>
      <c r="V5" s="10">
        <v>12</v>
      </c>
      <c r="W5" s="11"/>
      <c r="X5" s="3"/>
    </row>
    <row r="6" spans="1:24" x14ac:dyDescent="0.25">
      <c r="A6" s="10">
        <v>2</v>
      </c>
      <c r="B6" s="24" t="s">
        <v>399</v>
      </c>
      <c r="C6" s="25" t="s">
        <v>400</v>
      </c>
      <c r="D6" s="26" t="s">
        <v>397</v>
      </c>
      <c r="E6" s="128"/>
      <c r="F6" s="9" t="s">
        <v>113</v>
      </c>
      <c r="G6" s="9" t="s">
        <v>113</v>
      </c>
      <c r="H6" s="9" t="s">
        <v>113</v>
      </c>
      <c r="I6" s="9" t="s">
        <v>113</v>
      </c>
      <c r="J6" s="9" t="s">
        <v>113</v>
      </c>
      <c r="K6" s="9" t="s">
        <v>113</v>
      </c>
      <c r="L6" s="128"/>
      <c r="M6" s="9" t="s">
        <v>113</v>
      </c>
      <c r="N6" s="9" t="s">
        <v>113</v>
      </c>
      <c r="O6" s="9" t="s">
        <v>113</v>
      </c>
      <c r="P6" s="9" t="s">
        <v>113</v>
      </c>
      <c r="Q6" s="9" t="s">
        <v>113</v>
      </c>
      <c r="R6" s="9" t="s">
        <v>113</v>
      </c>
      <c r="S6" s="5">
        <f t="shared" si="1"/>
        <v>0</v>
      </c>
      <c r="T6" s="5">
        <f t="shared" si="2"/>
        <v>0</v>
      </c>
      <c r="U6" s="5" t="s">
        <v>8</v>
      </c>
      <c r="V6" s="10">
        <v>2</v>
      </c>
      <c r="W6" s="3"/>
      <c r="X6" s="3"/>
    </row>
    <row r="7" spans="1:24" x14ac:dyDescent="0.25">
      <c r="A7" s="27">
        <v>3</v>
      </c>
      <c r="B7" s="24" t="s">
        <v>401</v>
      </c>
      <c r="C7" s="25" t="s">
        <v>402</v>
      </c>
      <c r="D7" s="26" t="s">
        <v>397</v>
      </c>
      <c r="E7" s="128"/>
      <c r="F7" s="9" t="s">
        <v>113</v>
      </c>
      <c r="G7" s="9" t="s">
        <v>112</v>
      </c>
      <c r="H7" s="9" t="s">
        <v>112</v>
      </c>
      <c r="I7" s="9" t="s">
        <v>112</v>
      </c>
      <c r="J7" s="9" t="s">
        <v>112</v>
      </c>
      <c r="K7" s="9" t="s">
        <v>112</v>
      </c>
      <c r="L7" s="128"/>
      <c r="M7" s="9" t="s">
        <v>112</v>
      </c>
      <c r="N7" s="9" t="s">
        <v>112</v>
      </c>
      <c r="O7" s="9" t="s">
        <v>112</v>
      </c>
      <c r="P7" s="9" t="s">
        <v>112</v>
      </c>
      <c r="Q7" s="9" t="s">
        <v>112</v>
      </c>
      <c r="R7" s="9" t="s">
        <v>112</v>
      </c>
      <c r="S7" s="5">
        <f t="shared" si="1"/>
        <v>11</v>
      </c>
      <c r="T7" s="5">
        <f t="shared" si="2"/>
        <v>0</v>
      </c>
      <c r="U7" s="5"/>
      <c r="V7" s="10"/>
      <c r="W7" s="3"/>
      <c r="X7" s="3"/>
    </row>
    <row r="8" spans="1:24" x14ac:dyDescent="0.25">
      <c r="A8" s="10">
        <v>4</v>
      </c>
      <c r="B8" s="24" t="s">
        <v>91</v>
      </c>
      <c r="C8" s="25" t="s">
        <v>403</v>
      </c>
      <c r="D8" s="26" t="s">
        <v>397</v>
      </c>
      <c r="E8" s="128"/>
      <c r="F8" s="9" t="s">
        <v>111</v>
      </c>
      <c r="G8" s="9" t="s">
        <v>112</v>
      </c>
      <c r="H8" s="9" t="s">
        <v>112</v>
      </c>
      <c r="I8" s="9" t="s">
        <v>112</v>
      </c>
      <c r="J8" s="9" t="s">
        <v>112</v>
      </c>
      <c r="K8" s="9" t="s">
        <v>112</v>
      </c>
      <c r="L8" s="128"/>
      <c r="M8" s="9" t="s">
        <v>112</v>
      </c>
      <c r="N8" s="9" t="s">
        <v>112</v>
      </c>
      <c r="O8" s="9" t="s">
        <v>111</v>
      </c>
      <c r="P8" s="9" t="s">
        <v>112</v>
      </c>
      <c r="Q8" s="9" t="s">
        <v>112</v>
      </c>
      <c r="R8" s="9" t="s">
        <v>112</v>
      </c>
      <c r="S8" s="5">
        <f t="shared" si="1"/>
        <v>10</v>
      </c>
      <c r="T8" s="5">
        <f t="shared" si="2"/>
        <v>2</v>
      </c>
      <c r="U8" s="5"/>
      <c r="V8" s="10"/>
      <c r="W8"/>
      <c r="X8"/>
    </row>
    <row r="9" spans="1:24" x14ac:dyDescent="0.25">
      <c r="A9" s="27">
        <v>5</v>
      </c>
      <c r="B9" s="24" t="s">
        <v>404</v>
      </c>
      <c r="C9" s="25" t="s">
        <v>405</v>
      </c>
      <c r="D9" s="26" t="s">
        <v>397</v>
      </c>
      <c r="E9" s="128"/>
      <c r="F9" s="9" t="s">
        <v>112</v>
      </c>
      <c r="G9" s="9" t="s">
        <v>112</v>
      </c>
      <c r="H9" s="9" t="s">
        <v>112</v>
      </c>
      <c r="I9" s="9" t="s">
        <v>112</v>
      </c>
      <c r="J9" s="9" t="s">
        <v>112</v>
      </c>
      <c r="K9" s="9" t="s">
        <v>112</v>
      </c>
      <c r="L9" s="128"/>
      <c r="M9" s="9" t="s">
        <v>112</v>
      </c>
      <c r="N9" s="9" t="s">
        <v>112</v>
      </c>
      <c r="O9" s="9" t="s">
        <v>112</v>
      </c>
      <c r="P9" s="9" t="s">
        <v>112</v>
      </c>
      <c r="Q9" s="9" t="s">
        <v>112</v>
      </c>
      <c r="R9" s="9" t="s">
        <v>112</v>
      </c>
      <c r="S9" s="5">
        <f t="shared" si="1"/>
        <v>12</v>
      </c>
      <c r="T9" s="5">
        <f t="shared" si="2"/>
        <v>0</v>
      </c>
      <c r="U9" s="5"/>
      <c r="V9" s="10"/>
    </row>
    <row r="10" spans="1:24" x14ac:dyDescent="0.25">
      <c r="A10" s="10">
        <v>6</v>
      </c>
      <c r="B10" s="24" t="s">
        <v>406</v>
      </c>
      <c r="C10" s="25" t="s">
        <v>407</v>
      </c>
      <c r="D10" s="26" t="s">
        <v>397</v>
      </c>
      <c r="E10" s="128"/>
      <c r="F10" s="9" t="s">
        <v>112</v>
      </c>
      <c r="G10" s="9" t="s">
        <v>112</v>
      </c>
      <c r="H10" s="9" t="s">
        <v>112</v>
      </c>
      <c r="I10" s="9" t="s">
        <v>112</v>
      </c>
      <c r="J10" s="9" t="s">
        <v>112</v>
      </c>
      <c r="K10" s="9" t="s">
        <v>112</v>
      </c>
      <c r="L10" s="128"/>
      <c r="M10" s="9" t="s">
        <v>112</v>
      </c>
      <c r="N10" s="9" t="s">
        <v>112</v>
      </c>
      <c r="O10" s="9" t="s">
        <v>113</v>
      </c>
      <c r="P10" s="9" t="s">
        <v>113</v>
      </c>
      <c r="Q10" s="9" t="s">
        <v>112</v>
      </c>
      <c r="R10" s="9" t="s">
        <v>112</v>
      </c>
      <c r="S10" s="5">
        <f t="shared" si="1"/>
        <v>10</v>
      </c>
      <c r="T10" s="5">
        <f t="shared" si="2"/>
        <v>0</v>
      </c>
    </row>
    <row r="11" spans="1:24" ht="15.75" x14ac:dyDescent="0.25">
      <c r="A11" s="27">
        <v>7</v>
      </c>
      <c r="B11" s="24" t="s">
        <v>408</v>
      </c>
      <c r="C11" s="25" t="s">
        <v>294</v>
      </c>
      <c r="D11" s="26" t="s">
        <v>397</v>
      </c>
      <c r="E11" s="128"/>
      <c r="F11" s="9" t="s">
        <v>112</v>
      </c>
      <c r="G11" s="9" t="s">
        <v>112</v>
      </c>
      <c r="H11" s="9" t="s">
        <v>112</v>
      </c>
      <c r="I11" s="9" t="s">
        <v>112</v>
      </c>
      <c r="J11" s="9" t="s">
        <v>112</v>
      </c>
      <c r="K11" s="9" t="s">
        <v>112</v>
      </c>
      <c r="L11" s="128"/>
      <c r="M11" s="9" t="s">
        <v>112</v>
      </c>
      <c r="N11" s="9" t="s">
        <v>112</v>
      </c>
      <c r="O11" s="9" t="s">
        <v>112</v>
      </c>
      <c r="P11" s="9" t="s">
        <v>112</v>
      </c>
      <c r="Q11" s="9" t="s">
        <v>112</v>
      </c>
      <c r="R11" s="9" t="s">
        <v>112</v>
      </c>
      <c r="S11" s="5">
        <f t="shared" si="1"/>
        <v>12</v>
      </c>
      <c r="T11" s="5">
        <f t="shared" si="2"/>
        <v>0</v>
      </c>
      <c r="U11" s="118" t="s">
        <v>9</v>
      </c>
      <c r="V11" s="119"/>
      <c r="W11" s="119"/>
      <c r="X11" s="120"/>
    </row>
    <row r="12" spans="1:24" x14ac:dyDescent="0.25">
      <c r="A12" s="10">
        <v>8</v>
      </c>
      <c r="B12" s="24" t="s">
        <v>409</v>
      </c>
      <c r="C12" s="25" t="s">
        <v>410</v>
      </c>
      <c r="D12" s="26" t="s">
        <v>397</v>
      </c>
      <c r="E12" s="128"/>
      <c r="F12" s="9" t="s">
        <v>112</v>
      </c>
      <c r="G12" s="9" t="s">
        <v>112</v>
      </c>
      <c r="H12" s="9" t="s">
        <v>112</v>
      </c>
      <c r="I12" s="9" t="s">
        <v>112</v>
      </c>
      <c r="J12" s="9" t="s">
        <v>112</v>
      </c>
      <c r="K12" s="9" t="s">
        <v>112</v>
      </c>
      <c r="L12" s="128"/>
      <c r="M12" s="9" t="s">
        <v>112</v>
      </c>
      <c r="N12" s="9" t="s">
        <v>112</v>
      </c>
      <c r="O12" s="9" t="s">
        <v>112</v>
      </c>
      <c r="P12" s="9" t="s">
        <v>112</v>
      </c>
      <c r="Q12" s="9" t="s">
        <v>112</v>
      </c>
      <c r="R12" s="9" t="s">
        <v>112</v>
      </c>
      <c r="S12" s="5">
        <f t="shared" si="1"/>
        <v>12</v>
      </c>
      <c r="T12" s="5">
        <f t="shared" si="2"/>
        <v>0</v>
      </c>
      <c r="U12" s="5" t="s">
        <v>10</v>
      </c>
      <c r="V12" s="5" t="s">
        <v>11</v>
      </c>
      <c r="W12" s="5" t="s">
        <v>12</v>
      </c>
      <c r="X12" s="5" t="s">
        <v>13</v>
      </c>
    </row>
    <row r="13" spans="1:24" x14ac:dyDescent="0.25">
      <c r="A13" s="27">
        <v>9</v>
      </c>
      <c r="B13" s="24" t="s">
        <v>341</v>
      </c>
      <c r="C13" s="25" t="s">
        <v>343</v>
      </c>
      <c r="D13" s="26" t="s">
        <v>397</v>
      </c>
      <c r="E13" s="128"/>
      <c r="F13" s="9" t="s">
        <v>112</v>
      </c>
      <c r="G13" s="9" t="s">
        <v>112</v>
      </c>
      <c r="H13" s="9" t="s">
        <v>112</v>
      </c>
      <c r="I13" s="9" t="s">
        <v>112</v>
      </c>
      <c r="J13" s="9" t="s">
        <v>112</v>
      </c>
      <c r="K13" s="9" t="s">
        <v>112</v>
      </c>
      <c r="L13" s="128"/>
      <c r="M13" s="9" t="s">
        <v>112</v>
      </c>
      <c r="N13" s="9" t="s">
        <v>112</v>
      </c>
      <c r="O13" s="9" t="s">
        <v>112</v>
      </c>
      <c r="P13" s="9" t="s">
        <v>112</v>
      </c>
      <c r="Q13" s="9" t="s">
        <v>112</v>
      </c>
      <c r="R13" s="9" t="s">
        <v>112</v>
      </c>
      <c r="S13" s="5">
        <f t="shared" si="1"/>
        <v>12</v>
      </c>
      <c r="T13" s="5">
        <f t="shared" si="2"/>
        <v>0</v>
      </c>
      <c r="U13" s="5" t="s">
        <v>14</v>
      </c>
      <c r="V13" s="10">
        <f>28*$V$5</f>
        <v>336</v>
      </c>
      <c r="W13" s="10">
        <f>24*$V$5</f>
        <v>288</v>
      </c>
      <c r="X13" s="10">
        <f>SUM(V13:W13)</f>
        <v>624</v>
      </c>
    </row>
    <row r="14" spans="1:24" x14ac:dyDescent="0.25">
      <c r="A14" s="10">
        <v>10</v>
      </c>
      <c r="B14" s="24" t="s">
        <v>341</v>
      </c>
      <c r="C14" s="25" t="s">
        <v>411</v>
      </c>
      <c r="D14" s="26" t="s">
        <v>397</v>
      </c>
      <c r="E14" s="128"/>
      <c r="F14" s="9" t="s">
        <v>112</v>
      </c>
      <c r="G14" s="9" t="s">
        <v>112</v>
      </c>
      <c r="H14" s="9" t="s">
        <v>111</v>
      </c>
      <c r="I14" s="9" t="s">
        <v>111</v>
      </c>
      <c r="J14" s="9" t="s">
        <v>111</v>
      </c>
      <c r="K14" s="9" t="s">
        <v>111</v>
      </c>
      <c r="L14" s="128"/>
      <c r="M14" s="9" t="s">
        <v>111</v>
      </c>
      <c r="N14" s="9" t="s">
        <v>111</v>
      </c>
      <c r="O14" s="9" t="s">
        <v>111</v>
      </c>
      <c r="P14" s="9" t="s">
        <v>111</v>
      </c>
      <c r="Q14" s="9" t="s">
        <v>111</v>
      </c>
      <c r="R14" s="9" t="s">
        <v>111</v>
      </c>
      <c r="S14" s="5">
        <f t="shared" si="1"/>
        <v>2</v>
      </c>
      <c r="T14" s="5">
        <f t="shared" si="2"/>
        <v>10</v>
      </c>
      <c r="U14" s="5" t="s">
        <v>15</v>
      </c>
      <c r="V14" s="10">
        <f>SUM(S30:S56)</f>
        <v>276</v>
      </c>
      <c r="W14" s="10">
        <f>SUM(S5:S29)</f>
        <v>249</v>
      </c>
      <c r="X14" s="10">
        <f>V14+W14</f>
        <v>525</v>
      </c>
    </row>
    <row r="15" spans="1:24" x14ac:dyDescent="0.25">
      <c r="A15" s="27">
        <v>11</v>
      </c>
      <c r="B15" s="24" t="s">
        <v>412</v>
      </c>
      <c r="C15" s="25" t="s">
        <v>413</v>
      </c>
      <c r="D15" s="26" t="s">
        <v>397</v>
      </c>
      <c r="E15" s="128"/>
      <c r="F15" s="9" t="s">
        <v>112</v>
      </c>
      <c r="G15" s="9" t="s">
        <v>112</v>
      </c>
      <c r="H15" s="9" t="s">
        <v>112</v>
      </c>
      <c r="I15" s="9" t="s">
        <v>112</v>
      </c>
      <c r="J15" s="9" t="s">
        <v>112</v>
      </c>
      <c r="K15" s="9" t="s">
        <v>112</v>
      </c>
      <c r="L15" s="128"/>
      <c r="M15" s="9" t="s">
        <v>112</v>
      </c>
      <c r="N15" s="9" t="s">
        <v>112</v>
      </c>
      <c r="O15" s="9" t="s">
        <v>112</v>
      </c>
      <c r="P15" s="9" t="s">
        <v>112</v>
      </c>
      <c r="Q15" s="9" t="s">
        <v>112</v>
      </c>
      <c r="R15" s="9" t="s">
        <v>112</v>
      </c>
      <c r="S15" s="5">
        <f t="shared" si="1"/>
        <v>12</v>
      </c>
      <c r="T15" s="5">
        <f t="shared" si="2"/>
        <v>0</v>
      </c>
      <c r="U15" s="5" t="s">
        <v>16</v>
      </c>
      <c r="V15" s="13">
        <f>V14/V13</f>
        <v>0.8214285714285714</v>
      </c>
      <c r="W15" s="13">
        <f>W14/W13</f>
        <v>0.86458333333333337</v>
      </c>
      <c r="X15" s="13">
        <f>X14/X13</f>
        <v>0.84134615384615385</v>
      </c>
    </row>
    <row r="16" spans="1:24" x14ac:dyDescent="0.25">
      <c r="A16" s="10">
        <v>12</v>
      </c>
      <c r="B16" s="24" t="s">
        <v>414</v>
      </c>
      <c r="C16" s="25" t="s">
        <v>170</v>
      </c>
      <c r="D16" s="26" t="s">
        <v>397</v>
      </c>
      <c r="E16" s="128"/>
      <c r="F16" s="9" t="s">
        <v>112</v>
      </c>
      <c r="G16" s="9" t="s">
        <v>112</v>
      </c>
      <c r="H16" s="9" t="s">
        <v>112</v>
      </c>
      <c r="I16" s="9" t="s">
        <v>112</v>
      </c>
      <c r="J16" s="9" t="s">
        <v>112</v>
      </c>
      <c r="K16" s="9" t="s">
        <v>112</v>
      </c>
      <c r="L16" s="128"/>
      <c r="M16" s="9" t="s">
        <v>112</v>
      </c>
      <c r="N16" s="9" t="s">
        <v>112</v>
      </c>
      <c r="O16" s="9" t="s">
        <v>112</v>
      </c>
      <c r="P16" s="9" t="s">
        <v>112</v>
      </c>
      <c r="Q16" s="9" t="s">
        <v>112</v>
      </c>
      <c r="R16" s="9" t="s">
        <v>111</v>
      </c>
      <c r="S16" s="5">
        <f t="shared" si="1"/>
        <v>11</v>
      </c>
      <c r="T16" s="5">
        <f t="shared" si="2"/>
        <v>1</v>
      </c>
      <c r="U16"/>
      <c r="V16"/>
      <c r="W16"/>
      <c r="X16"/>
    </row>
    <row r="17" spans="1:24" x14ac:dyDescent="0.25">
      <c r="A17" s="27">
        <v>13</v>
      </c>
      <c r="B17" s="24" t="s">
        <v>415</v>
      </c>
      <c r="C17" s="25" t="s">
        <v>416</v>
      </c>
      <c r="D17" s="26" t="s">
        <v>397</v>
      </c>
      <c r="E17" s="128"/>
      <c r="F17" s="9" t="s">
        <v>111</v>
      </c>
      <c r="G17" s="9" t="s">
        <v>111</v>
      </c>
      <c r="H17" s="9" t="s">
        <v>111</v>
      </c>
      <c r="I17" s="9" t="s">
        <v>111</v>
      </c>
      <c r="J17" s="9" t="s">
        <v>111</v>
      </c>
      <c r="K17" s="9" t="s">
        <v>111</v>
      </c>
      <c r="L17" s="128"/>
      <c r="M17" s="9" t="s">
        <v>111</v>
      </c>
      <c r="N17" s="9" t="s">
        <v>111</v>
      </c>
      <c r="O17" s="9" t="s">
        <v>111</v>
      </c>
      <c r="P17" s="9" t="s">
        <v>111</v>
      </c>
      <c r="Q17" s="9" t="s">
        <v>111</v>
      </c>
      <c r="R17" s="9" t="s">
        <v>111</v>
      </c>
      <c r="S17" s="5">
        <f t="shared" si="1"/>
        <v>0</v>
      </c>
      <c r="T17" s="5">
        <f t="shared" si="2"/>
        <v>12</v>
      </c>
      <c r="U17"/>
      <c r="V17"/>
      <c r="W17"/>
      <c r="X17"/>
    </row>
    <row r="18" spans="1:24" x14ac:dyDescent="0.25">
      <c r="A18" s="10">
        <v>14</v>
      </c>
      <c r="B18" s="24" t="s">
        <v>417</v>
      </c>
      <c r="C18" s="25" t="s">
        <v>146</v>
      </c>
      <c r="D18" s="26" t="s">
        <v>397</v>
      </c>
      <c r="E18" s="128"/>
      <c r="F18" s="9" t="s">
        <v>112</v>
      </c>
      <c r="G18" s="9" t="s">
        <v>112</v>
      </c>
      <c r="H18" s="9" t="s">
        <v>112</v>
      </c>
      <c r="I18" s="9" t="s">
        <v>112</v>
      </c>
      <c r="J18" s="9" t="s">
        <v>112</v>
      </c>
      <c r="K18" s="9" t="s">
        <v>112</v>
      </c>
      <c r="L18" s="128"/>
      <c r="M18" s="9" t="s">
        <v>112</v>
      </c>
      <c r="N18" s="9" t="s">
        <v>112</v>
      </c>
      <c r="O18" s="9" t="s">
        <v>112</v>
      </c>
      <c r="P18" s="9" t="s">
        <v>112</v>
      </c>
      <c r="Q18" s="9" t="s">
        <v>112</v>
      </c>
      <c r="R18" s="9" t="s">
        <v>112</v>
      </c>
      <c r="S18" s="5">
        <f t="shared" si="1"/>
        <v>12</v>
      </c>
      <c r="T18" s="5">
        <f t="shared" si="2"/>
        <v>0</v>
      </c>
      <c r="U18"/>
      <c r="V18"/>
      <c r="W18"/>
      <c r="X18"/>
    </row>
    <row r="19" spans="1:24" ht="15.75" x14ac:dyDescent="0.25">
      <c r="A19" s="27">
        <v>15</v>
      </c>
      <c r="B19" s="24" t="s">
        <v>418</v>
      </c>
      <c r="C19" s="25" t="s">
        <v>419</v>
      </c>
      <c r="D19" s="26" t="s">
        <v>397</v>
      </c>
      <c r="E19" s="128"/>
      <c r="F19" s="9" t="s">
        <v>112</v>
      </c>
      <c r="G19" s="9" t="s">
        <v>112</v>
      </c>
      <c r="H19" s="9" t="s">
        <v>112</v>
      </c>
      <c r="I19" s="9" t="s">
        <v>112</v>
      </c>
      <c r="J19" s="9" t="s">
        <v>112</v>
      </c>
      <c r="K19" s="9" t="s">
        <v>112</v>
      </c>
      <c r="L19" s="128"/>
      <c r="M19" s="9" t="s">
        <v>112</v>
      </c>
      <c r="N19" s="9" t="s">
        <v>112</v>
      </c>
      <c r="O19" s="9" t="s">
        <v>112</v>
      </c>
      <c r="P19" s="9" t="s">
        <v>112</v>
      </c>
      <c r="Q19" s="9" t="s">
        <v>112</v>
      </c>
      <c r="R19" s="9" t="s">
        <v>112</v>
      </c>
      <c r="S19" s="5">
        <f t="shared" si="1"/>
        <v>12</v>
      </c>
      <c r="T19" s="5">
        <f t="shared" si="2"/>
        <v>0</v>
      </c>
      <c r="U19" s="118" t="s">
        <v>129</v>
      </c>
      <c r="V19" s="119"/>
      <c r="W19" s="119"/>
      <c r="X19" s="120"/>
    </row>
    <row r="20" spans="1:24" x14ac:dyDescent="0.25">
      <c r="A20" s="10">
        <v>16</v>
      </c>
      <c r="B20" s="24" t="s">
        <v>420</v>
      </c>
      <c r="C20" s="25" t="s">
        <v>421</v>
      </c>
      <c r="D20" s="26" t="s">
        <v>397</v>
      </c>
      <c r="E20" s="128"/>
      <c r="F20" s="9" t="s">
        <v>112</v>
      </c>
      <c r="G20" s="9" t="s">
        <v>112</v>
      </c>
      <c r="H20" s="9" t="s">
        <v>112</v>
      </c>
      <c r="I20" s="9" t="s">
        <v>112</v>
      </c>
      <c r="J20" s="9" t="s">
        <v>112</v>
      </c>
      <c r="K20" s="9" t="s">
        <v>112</v>
      </c>
      <c r="L20" s="128"/>
      <c r="M20" s="9" t="s">
        <v>112</v>
      </c>
      <c r="N20" s="9" t="s">
        <v>112</v>
      </c>
      <c r="O20" s="9" t="s">
        <v>112</v>
      </c>
      <c r="P20" s="9" t="s">
        <v>112</v>
      </c>
      <c r="Q20" s="9" t="s">
        <v>112</v>
      </c>
      <c r="R20" s="9" t="s">
        <v>111</v>
      </c>
      <c r="S20" s="5">
        <f t="shared" si="1"/>
        <v>11</v>
      </c>
      <c r="T20" s="5">
        <f t="shared" si="2"/>
        <v>1</v>
      </c>
      <c r="U20" s="5" t="s">
        <v>10</v>
      </c>
      <c r="V20" s="5" t="s">
        <v>11</v>
      </c>
      <c r="W20" s="5" t="s">
        <v>12</v>
      </c>
      <c r="X20" s="5" t="s">
        <v>13</v>
      </c>
    </row>
    <row r="21" spans="1:24" x14ac:dyDescent="0.25">
      <c r="A21" s="27">
        <v>17</v>
      </c>
      <c r="B21" s="24" t="s">
        <v>422</v>
      </c>
      <c r="C21" s="25" t="s">
        <v>423</v>
      </c>
      <c r="D21" s="26" t="s">
        <v>397</v>
      </c>
      <c r="E21" s="128"/>
      <c r="F21" s="9" t="s">
        <v>112</v>
      </c>
      <c r="G21" s="9" t="s">
        <v>112</v>
      </c>
      <c r="H21" s="9" t="s">
        <v>112</v>
      </c>
      <c r="I21" s="9" t="s">
        <v>112</v>
      </c>
      <c r="J21" s="9" t="s">
        <v>112</v>
      </c>
      <c r="K21" s="9" t="s">
        <v>112</v>
      </c>
      <c r="L21" s="128"/>
      <c r="M21" s="9" t="s">
        <v>111</v>
      </c>
      <c r="N21" s="9" t="s">
        <v>112</v>
      </c>
      <c r="O21" s="9" t="s">
        <v>112</v>
      </c>
      <c r="P21" s="9" t="s">
        <v>111</v>
      </c>
      <c r="Q21" s="9" t="s">
        <v>112</v>
      </c>
      <c r="R21" s="9" t="s">
        <v>112</v>
      </c>
      <c r="S21" s="5">
        <f t="shared" si="1"/>
        <v>10</v>
      </c>
      <c r="T21" s="5">
        <f t="shared" si="2"/>
        <v>2</v>
      </c>
      <c r="U21" s="5" t="s">
        <v>14</v>
      </c>
      <c r="V21" s="10">
        <f>28*$V$5</f>
        <v>336</v>
      </c>
      <c r="W21" s="10">
        <f>24*$V$5</f>
        <v>288</v>
      </c>
      <c r="X21" s="10">
        <f>V21+W21</f>
        <v>624</v>
      </c>
    </row>
    <row r="22" spans="1:24" x14ac:dyDescent="0.25">
      <c r="A22" s="10">
        <v>18</v>
      </c>
      <c r="B22" s="24" t="s">
        <v>424</v>
      </c>
      <c r="C22" s="25" t="s">
        <v>425</v>
      </c>
      <c r="D22" s="26" t="s">
        <v>397</v>
      </c>
      <c r="E22" s="128"/>
      <c r="F22" s="9" t="s">
        <v>111</v>
      </c>
      <c r="G22" s="9" t="s">
        <v>112</v>
      </c>
      <c r="H22" s="9" t="s">
        <v>112</v>
      </c>
      <c r="I22" s="9" t="s">
        <v>112</v>
      </c>
      <c r="J22" s="9" t="s">
        <v>112</v>
      </c>
      <c r="K22" s="9" t="s">
        <v>112</v>
      </c>
      <c r="L22" s="128"/>
      <c r="M22" s="9" t="s">
        <v>111</v>
      </c>
      <c r="N22" s="9" t="s">
        <v>112</v>
      </c>
      <c r="O22" s="9" t="s">
        <v>112</v>
      </c>
      <c r="P22" s="9" t="s">
        <v>112</v>
      </c>
      <c r="Q22" s="9" t="s">
        <v>112</v>
      </c>
      <c r="R22" s="9" t="s">
        <v>112</v>
      </c>
      <c r="S22" s="5">
        <f t="shared" si="1"/>
        <v>10</v>
      </c>
      <c r="T22" s="5">
        <f t="shared" si="2"/>
        <v>2</v>
      </c>
      <c r="U22" s="5" t="s">
        <v>17</v>
      </c>
      <c r="V22" s="10">
        <f>V21-V14</f>
        <v>60</v>
      </c>
      <c r="W22" s="10">
        <f>W21-W14</f>
        <v>39</v>
      </c>
      <c r="X22" s="10">
        <f>V22+W22</f>
        <v>99</v>
      </c>
    </row>
    <row r="23" spans="1:24" x14ac:dyDescent="0.25">
      <c r="A23" s="27">
        <v>19</v>
      </c>
      <c r="B23" s="24" t="s">
        <v>145</v>
      </c>
      <c r="C23" s="25" t="s">
        <v>194</v>
      </c>
      <c r="D23" s="26" t="s">
        <v>397</v>
      </c>
      <c r="E23" s="128"/>
      <c r="F23" s="9" t="s">
        <v>112</v>
      </c>
      <c r="G23" s="9" t="s">
        <v>112</v>
      </c>
      <c r="H23" s="9" t="s">
        <v>112</v>
      </c>
      <c r="I23" s="9" t="s">
        <v>112</v>
      </c>
      <c r="J23" s="9" t="s">
        <v>112</v>
      </c>
      <c r="K23" s="9" t="s">
        <v>112</v>
      </c>
      <c r="L23" s="128"/>
      <c r="M23" s="9" t="s">
        <v>112</v>
      </c>
      <c r="N23" s="9" t="s">
        <v>112</v>
      </c>
      <c r="O23" s="9" t="s">
        <v>112</v>
      </c>
      <c r="P23" s="9" t="s">
        <v>112</v>
      </c>
      <c r="Q23" s="9" t="s">
        <v>112</v>
      </c>
      <c r="R23" s="9" t="s">
        <v>112</v>
      </c>
      <c r="S23" s="5">
        <f t="shared" si="1"/>
        <v>12</v>
      </c>
      <c r="T23" s="5">
        <f t="shared" si="2"/>
        <v>0</v>
      </c>
      <c r="U23" s="5" t="s">
        <v>16</v>
      </c>
      <c r="V23" s="13">
        <f>V22/V21</f>
        <v>0.17857142857142858</v>
      </c>
      <c r="W23" s="13">
        <f>W22/W21</f>
        <v>0.13541666666666666</v>
      </c>
      <c r="X23" s="13">
        <f>X22/X21</f>
        <v>0.15865384615384615</v>
      </c>
    </row>
    <row r="24" spans="1:24" x14ac:dyDescent="0.25">
      <c r="A24" s="10">
        <v>20</v>
      </c>
      <c r="B24" s="24" t="s">
        <v>426</v>
      </c>
      <c r="C24" s="25" t="s">
        <v>194</v>
      </c>
      <c r="D24" s="26" t="s">
        <v>397</v>
      </c>
      <c r="E24" s="128"/>
      <c r="F24" s="9" t="s">
        <v>112</v>
      </c>
      <c r="G24" s="9" t="s">
        <v>112</v>
      </c>
      <c r="H24" s="9" t="s">
        <v>112</v>
      </c>
      <c r="I24" s="9" t="s">
        <v>112</v>
      </c>
      <c r="J24" s="9" t="s">
        <v>112</v>
      </c>
      <c r="K24" s="9" t="s">
        <v>112</v>
      </c>
      <c r="L24" s="128"/>
      <c r="M24" s="9" t="s">
        <v>112</v>
      </c>
      <c r="N24" s="9" t="s">
        <v>112</v>
      </c>
      <c r="O24" s="9" t="s">
        <v>112</v>
      </c>
      <c r="P24" s="9" t="s">
        <v>112</v>
      </c>
      <c r="Q24" s="9" t="s">
        <v>112</v>
      </c>
      <c r="R24" s="9" t="s">
        <v>112</v>
      </c>
      <c r="S24" s="5">
        <f t="shared" si="1"/>
        <v>12</v>
      </c>
      <c r="T24" s="5">
        <f t="shared" si="2"/>
        <v>0</v>
      </c>
    </row>
    <row r="25" spans="1:24" x14ac:dyDescent="0.25">
      <c r="A25" s="27">
        <v>21</v>
      </c>
      <c r="B25" s="24" t="s">
        <v>427</v>
      </c>
      <c r="C25" s="25" t="s">
        <v>84</v>
      </c>
      <c r="D25" s="26" t="s">
        <v>397</v>
      </c>
      <c r="E25" s="128"/>
      <c r="F25" s="9" t="s">
        <v>112</v>
      </c>
      <c r="G25" s="9" t="s">
        <v>112</v>
      </c>
      <c r="H25" s="9" t="s">
        <v>112</v>
      </c>
      <c r="I25" s="9" t="s">
        <v>112</v>
      </c>
      <c r="J25" s="9" t="s">
        <v>112</v>
      </c>
      <c r="K25" s="9" t="s">
        <v>112</v>
      </c>
      <c r="L25" s="128"/>
      <c r="M25" s="9" t="s">
        <v>112</v>
      </c>
      <c r="N25" s="9" t="s">
        <v>112</v>
      </c>
      <c r="O25" s="9" t="s">
        <v>112</v>
      </c>
      <c r="P25" s="9" t="s">
        <v>112</v>
      </c>
      <c r="Q25" s="9" t="s">
        <v>112</v>
      </c>
      <c r="R25" s="9" t="s">
        <v>112</v>
      </c>
      <c r="S25" s="5">
        <f t="shared" si="1"/>
        <v>12</v>
      </c>
      <c r="T25" s="5">
        <f t="shared" si="2"/>
        <v>0</v>
      </c>
    </row>
    <row r="26" spans="1:24" x14ac:dyDescent="0.25">
      <c r="A26" s="10">
        <v>22</v>
      </c>
      <c r="B26" s="24" t="s">
        <v>428</v>
      </c>
      <c r="C26" s="25" t="s">
        <v>429</v>
      </c>
      <c r="D26" s="26" t="s">
        <v>397</v>
      </c>
      <c r="E26" s="128"/>
      <c r="F26" s="9" t="s">
        <v>112</v>
      </c>
      <c r="G26" s="9" t="s">
        <v>112</v>
      </c>
      <c r="H26" s="9" t="s">
        <v>112</v>
      </c>
      <c r="I26" s="9" t="s">
        <v>112</v>
      </c>
      <c r="J26" s="9" t="s">
        <v>112</v>
      </c>
      <c r="K26" s="9" t="s">
        <v>112</v>
      </c>
      <c r="L26" s="128"/>
      <c r="M26" s="9" t="s">
        <v>112</v>
      </c>
      <c r="N26" s="9" t="s">
        <v>112</v>
      </c>
      <c r="O26" s="9" t="s">
        <v>112</v>
      </c>
      <c r="P26" s="9" t="s">
        <v>112</v>
      </c>
      <c r="Q26" s="9" t="s">
        <v>112</v>
      </c>
      <c r="R26" s="9" t="s">
        <v>112</v>
      </c>
      <c r="S26" s="5">
        <f t="shared" si="1"/>
        <v>12</v>
      </c>
      <c r="T26" s="5">
        <f t="shared" si="2"/>
        <v>0</v>
      </c>
    </row>
    <row r="27" spans="1:24" x14ac:dyDescent="0.25">
      <c r="A27" s="27">
        <v>23</v>
      </c>
      <c r="B27" s="24" t="s">
        <v>430</v>
      </c>
      <c r="C27" s="25" t="s">
        <v>431</v>
      </c>
      <c r="D27" s="26" t="s">
        <v>397</v>
      </c>
      <c r="E27" s="128"/>
      <c r="F27" s="9" t="s">
        <v>112</v>
      </c>
      <c r="G27" s="9" t="s">
        <v>112</v>
      </c>
      <c r="H27" s="9" t="s">
        <v>112</v>
      </c>
      <c r="I27" s="9" t="s">
        <v>112</v>
      </c>
      <c r="J27" s="9" t="s">
        <v>112</v>
      </c>
      <c r="K27" s="9" t="s">
        <v>112</v>
      </c>
      <c r="L27" s="128"/>
      <c r="M27" s="9" t="s">
        <v>112</v>
      </c>
      <c r="N27" s="9" t="s">
        <v>112</v>
      </c>
      <c r="O27" s="9" t="s">
        <v>112</v>
      </c>
      <c r="P27" s="9" t="s">
        <v>112</v>
      </c>
      <c r="Q27" s="9" t="s">
        <v>112</v>
      </c>
      <c r="R27" s="9" t="s">
        <v>112</v>
      </c>
      <c r="S27" s="5">
        <f t="shared" si="1"/>
        <v>12</v>
      </c>
      <c r="T27" s="5">
        <f t="shared" si="2"/>
        <v>0</v>
      </c>
    </row>
    <row r="28" spans="1:24" x14ac:dyDescent="0.25">
      <c r="A28" s="10">
        <v>24</v>
      </c>
      <c r="B28" s="24" t="s">
        <v>432</v>
      </c>
      <c r="C28" s="25" t="s">
        <v>433</v>
      </c>
      <c r="D28" s="26" t="s">
        <v>397</v>
      </c>
      <c r="E28" s="128"/>
      <c r="F28" s="9" t="s">
        <v>112</v>
      </c>
      <c r="G28" s="9" t="s">
        <v>112</v>
      </c>
      <c r="H28" s="9" t="s">
        <v>112</v>
      </c>
      <c r="I28" s="9" t="s">
        <v>112</v>
      </c>
      <c r="J28" s="9" t="s">
        <v>112</v>
      </c>
      <c r="K28" s="9" t="s">
        <v>112</v>
      </c>
      <c r="L28" s="128"/>
      <c r="M28" s="9" t="s">
        <v>112</v>
      </c>
      <c r="N28" s="9" t="s">
        <v>112</v>
      </c>
      <c r="O28" s="9" t="s">
        <v>112</v>
      </c>
      <c r="P28" s="9" t="s">
        <v>112</v>
      </c>
      <c r="Q28" s="9" t="s">
        <v>112</v>
      </c>
      <c r="R28" s="9" t="s">
        <v>112</v>
      </c>
      <c r="S28" s="5">
        <f t="shared" si="1"/>
        <v>12</v>
      </c>
      <c r="T28" s="5">
        <f t="shared" si="2"/>
        <v>0</v>
      </c>
    </row>
    <row r="29" spans="1:24" ht="16.5" customHeight="1" x14ac:dyDescent="0.25">
      <c r="A29" s="27">
        <v>1</v>
      </c>
      <c r="B29" s="7" t="s">
        <v>434</v>
      </c>
      <c r="C29" s="28" t="s">
        <v>435</v>
      </c>
      <c r="D29" s="26" t="s">
        <v>397</v>
      </c>
      <c r="E29" s="128"/>
      <c r="F29" s="9" t="s">
        <v>112</v>
      </c>
      <c r="G29" s="9" t="s">
        <v>112</v>
      </c>
      <c r="H29" s="9" t="s">
        <v>112</v>
      </c>
      <c r="I29" s="9" t="s">
        <v>112</v>
      </c>
      <c r="J29" s="9" t="s">
        <v>112</v>
      </c>
      <c r="K29" s="9" t="s">
        <v>112</v>
      </c>
      <c r="L29" s="128"/>
      <c r="M29" s="9" t="s">
        <v>113</v>
      </c>
      <c r="N29" s="9" t="s">
        <v>113</v>
      </c>
      <c r="O29" s="9" t="s">
        <v>113</v>
      </c>
      <c r="P29" s="9" t="s">
        <v>113</v>
      </c>
      <c r="Q29" s="9" t="s">
        <v>113</v>
      </c>
      <c r="R29" s="9" t="s">
        <v>113</v>
      </c>
      <c r="S29" s="5">
        <f t="shared" si="1"/>
        <v>6</v>
      </c>
      <c r="T29" s="5">
        <f t="shared" si="2"/>
        <v>0</v>
      </c>
    </row>
    <row r="30" spans="1:24" x14ac:dyDescent="0.25">
      <c r="A30" s="10">
        <v>2</v>
      </c>
      <c r="B30" s="24" t="s">
        <v>436</v>
      </c>
      <c r="C30" s="25" t="s">
        <v>248</v>
      </c>
      <c r="D30" s="26" t="s">
        <v>397</v>
      </c>
      <c r="E30" s="128"/>
      <c r="F30" s="9" t="s">
        <v>111</v>
      </c>
      <c r="G30" s="9" t="s">
        <v>112</v>
      </c>
      <c r="H30" s="9" t="s">
        <v>112</v>
      </c>
      <c r="I30" s="9" t="s">
        <v>112</v>
      </c>
      <c r="J30" s="9" t="s">
        <v>112</v>
      </c>
      <c r="K30" s="9" t="s">
        <v>111</v>
      </c>
      <c r="L30" s="128"/>
      <c r="M30" s="9" t="s">
        <v>111</v>
      </c>
      <c r="N30" s="9" t="s">
        <v>112</v>
      </c>
      <c r="O30" s="9" t="s">
        <v>112</v>
      </c>
      <c r="P30" s="9" t="s">
        <v>112</v>
      </c>
      <c r="Q30" s="9" t="s">
        <v>112</v>
      </c>
      <c r="R30" s="9" t="s">
        <v>112</v>
      </c>
      <c r="S30" s="5">
        <f t="shared" si="1"/>
        <v>9</v>
      </c>
      <c r="T30" s="5">
        <f t="shared" si="2"/>
        <v>3</v>
      </c>
    </row>
    <row r="31" spans="1:24" x14ac:dyDescent="0.25">
      <c r="A31" s="27">
        <v>3</v>
      </c>
      <c r="B31" s="24" t="s">
        <v>437</v>
      </c>
      <c r="C31" s="25" t="s">
        <v>438</v>
      </c>
      <c r="D31" s="26" t="s">
        <v>397</v>
      </c>
      <c r="E31" s="128"/>
      <c r="F31" s="9" t="s">
        <v>112</v>
      </c>
      <c r="G31" s="9" t="s">
        <v>113</v>
      </c>
      <c r="H31" s="9" t="s">
        <v>112</v>
      </c>
      <c r="I31" s="9" t="s">
        <v>112</v>
      </c>
      <c r="J31" s="9" t="s">
        <v>112</v>
      </c>
      <c r="K31" s="9" t="s">
        <v>112</v>
      </c>
      <c r="L31" s="128"/>
      <c r="M31" s="9" t="s">
        <v>112</v>
      </c>
      <c r="N31" s="9" t="s">
        <v>112</v>
      </c>
      <c r="O31" s="9" t="s">
        <v>112</v>
      </c>
      <c r="P31" s="9" t="s">
        <v>112</v>
      </c>
      <c r="Q31" s="9" t="s">
        <v>112</v>
      </c>
      <c r="R31" s="9" t="s">
        <v>112</v>
      </c>
      <c r="S31" s="5">
        <f t="shared" si="1"/>
        <v>11</v>
      </c>
      <c r="T31" s="5">
        <f t="shared" si="2"/>
        <v>0</v>
      </c>
    </row>
    <row r="32" spans="1:24" x14ac:dyDescent="0.25">
      <c r="A32" s="10">
        <v>4</v>
      </c>
      <c r="B32" s="24" t="s">
        <v>439</v>
      </c>
      <c r="C32" s="25" t="s">
        <v>339</v>
      </c>
      <c r="D32" s="26" t="s">
        <v>397</v>
      </c>
      <c r="E32" s="128"/>
      <c r="F32" s="9" t="s">
        <v>112</v>
      </c>
      <c r="G32" s="9" t="s">
        <v>112</v>
      </c>
      <c r="H32" s="9" t="s">
        <v>112</v>
      </c>
      <c r="I32" s="9" t="s">
        <v>111</v>
      </c>
      <c r="J32" s="9" t="s">
        <v>112</v>
      </c>
      <c r="K32" s="9" t="s">
        <v>112</v>
      </c>
      <c r="L32" s="128"/>
      <c r="M32" s="9" t="s">
        <v>112</v>
      </c>
      <c r="N32" s="9" t="s">
        <v>112</v>
      </c>
      <c r="O32" s="9" t="s">
        <v>112</v>
      </c>
      <c r="P32" s="9" t="s">
        <v>112</v>
      </c>
      <c r="Q32" s="9" t="s">
        <v>112</v>
      </c>
      <c r="R32" s="9" t="s">
        <v>111</v>
      </c>
      <c r="S32" s="5">
        <f t="shared" si="1"/>
        <v>10</v>
      </c>
      <c r="T32" s="5">
        <f t="shared" si="2"/>
        <v>2</v>
      </c>
    </row>
    <row r="33" spans="1:20" x14ac:dyDescent="0.25">
      <c r="A33" s="27">
        <v>5</v>
      </c>
      <c r="B33" s="24" t="s">
        <v>116</v>
      </c>
      <c r="C33" s="25" t="s">
        <v>440</v>
      </c>
      <c r="D33" s="26" t="s">
        <v>397</v>
      </c>
      <c r="E33" s="128"/>
      <c r="F33" s="9" t="s">
        <v>112</v>
      </c>
      <c r="G33" s="9" t="s">
        <v>112</v>
      </c>
      <c r="H33" s="9" t="s">
        <v>112</v>
      </c>
      <c r="I33" s="9" t="s">
        <v>112</v>
      </c>
      <c r="J33" s="9" t="s">
        <v>112</v>
      </c>
      <c r="K33" s="9" t="s">
        <v>112</v>
      </c>
      <c r="L33" s="128"/>
      <c r="M33" s="9" t="s">
        <v>112</v>
      </c>
      <c r="N33" s="9" t="s">
        <v>112</v>
      </c>
      <c r="O33" s="9" t="s">
        <v>112</v>
      </c>
      <c r="P33" s="9" t="s">
        <v>112</v>
      </c>
      <c r="Q33" s="9" t="s">
        <v>112</v>
      </c>
      <c r="R33" s="9" t="s">
        <v>111</v>
      </c>
      <c r="S33" s="5">
        <f t="shared" si="1"/>
        <v>11</v>
      </c>
      <c r="T33" s="5">
        <f t="shared" si="2"/>
        <v>1</v>
      </c>
    </row>
    <row r="34" spans="1:20" x14ac:dyDescent="0.25">
      <c r="A34" s="10">
        <v>6</v>
      </c>
      <c r="B34" s="24" t="s">
        <v>441</v>
      </c>
      <c r="C34" s="25" t="s">
        <v>442</v>
      </c>
      <c r="D34" s="26" t="s">
        <v>397</v>
      </c>
      <c r="E34" s="128"/>
      <c r="F34" s="9" t="s">
        <v>112</v>
      </c>
      <c r="G34" s="9" t="s">
        <v>112</v>
      </c>
      <c r="H34" s="9" t="s">
        <v>112</v>
      </c>
      <c r="I34" s="9" t="s">
        <v>112</v>
      </c>
      <c r="J34" s="9" t="s">
        <v>112</v>
      </c>
      <c r="K34" s="9" t="s">
        <v>112</v>
      </c>
      <c r="L34" s="128"/>
      <c r="M34" s="9" t="s">
        <v>112</v>
      </c>
      <c r="N34" s="9" t="s">
        <v>112</v>
      </c>
      <c r="O34" s="9" t="s">
        <v>112</v>
      </c>
      <c r="P34" s="9" t="s">
        <v>112</v>
      </c>
      <c r="Q34" s="9" t="s">
        <v>112</v>
      </c>
      <c r="R34" s="9" t="s">
        <v>112</v>
      </c>
      <c r="S34" s="5">
        <f t="shared" si="1"/>
        <v>12</v>
      </c>
      <c r="T34" s="5">
        <f t="shared" si="2"/>
        <v>0</v>
      </c>
    </row>
    <row r="35" spans="1:20" x14ac:dyDescent="0.25">
      <c r="A35" s="27">
        <v>7</v>
      </c>
      <c r="B35" s="24" t="s">
        <v>443</v>
      </c>
      <c r="C35" s="25" t="s">
        <v>56</v>
      </c>
      <c r="D35" s="26" t="s">
        <v>397</v>
      </c>
      <c r="E35" s="128"/>
      <c r="F35" s="9" t="s">
        <v>112</v>
      </c>
      <c r="G35" s="9" t="s">
        <v>112</v>
      </c>
      <c r="H35" s="9" t="s">
        <v>112</v>
      </c>
      <c r="I35" s="9" t="s">
        <v>112</v>
      </c>
      <c r="J35" s="9" t="s">
        <v>112</v>
      </c>
      <c r="K35" s="9" t="s">
        <v>111</v>
      </c>
      <c r="L35" s="128"/>
      <c r="M35" s="9" t="s">
        <v>111</v>
      </c>
      <c r="N35" s="9" t="s">
        <v>111</v>
      </c>
      <c r="O35" s="9" t="s">
        <v>112</v>
      </c>
      <c r="P35" s="9" t="s">
        <v>112</v>
      </c>
      <c r="Q35" s="9" t="s">
        <v>112</v>
      </c>
      <c r="R35" s="9" t="s">
        <v>112</v>
      </c>
      <c r="S35" s="5">
        <f t="shared" si="1"/>
        <v>9</v>
      </c>
      <c r="T35" s="5">
        <f t="shared" si="2"/>
        <v>3</v>
      </c>
    </row>
    <row r="36" spans="1:20" x14ac:dyDescent="0.25">
      <c r="A36" s="10">
        <v>8</v>
      </c>
      <c r="B36" s="24" t="s">
        <v>58</v>
      </c>
      <c r="C36" s="25" t="s">
        <v>254</v>
      </c>
      <c r="D36" s="26" t="s">
        <v>397</v>
      </c>
      <c r="E36" s="128"/>
      <c r="F36" s="9" t="s">
        <v>112</v>
      </c>
      <c r="G36" s="9" t="s">
        <v>112</v>
      </c>
      <c r="H36" s="9" t="s">
        <v>112</v>
      </c>
      <c r="I36" s="9" t="s">
        <v>112</v>
      </c>
      <c r="J36" s="9" t="s">
        <v>112</v>
      </c>
      <c r="K36" s="9" t="s">
        <v>112</v>
      </c>
      <c r="L36" s="128"/>
      <c r="M36" s="9" t="s">
        <v>111</v>
      </c>
      <c r="N36" s="9" t="s">
        <v>111</v>
      </c>
      <c r="O36" s="9" t="s">
        <v>112</v>
      </c>
      <c r="P36" s="9" t="s">
        <v>112</v>
      </c>
      <c r="Q36" s="9" t="s">
        <v>112</v>
      </c>
      <c r="R36" s="9" t="s">
        <v>111</v>
      </c>
      <c r="S36" s="5">
        <f t="shared" si="1"/>
        <v>9</v>
      </c>
      <c r="T36" s="5">
        <f t="shared" si="2"/>
        <v>3</v>
      </c>
    </row>
    <row r="37" spans="1:20" x14ac:dyDescent="0.25">
      <c r="A37" s="27">
        <v>9</v>
      </c>
      <c r="B37" s="24" t="s">
        <v>444</v>
      </c>
      <c r="C37" s="25" t="s">
        <v>445</v>
      </c>
      <c r="D37" s="26" t="s">
        <v>397</v>
      </c>
      <c r="E37" s="128"/>
      <c r="F37" s="9" t="s">
        <v>111</v>
      </c>
      <c r="G37" s="9" t="s">
        <v>113</v>
      </c>
      <c r="H37" s="9" t="s">
        <v>113</v>
      </c>
      <c r="I37" s="9" t="s">
        <v>113</v>
      </c>
      <c r="J37" s="9" t="s">
        <v>113</v>
      </c>
      <c r="K37" s="9" t="s">
        <v>113</v>
      </c>
      <c r="L37" s="128"/>
      <c r="M37" s="9" t="s">
        <v>112</v>
      </c>
      <c r="N37" s="9" t="s">
        <v>111</v>
      </c>
      <c r="O37" s="9" t="s">
        <v>112</v>
      </c>
      <c r="P37" s="9" t="s">
        <v>112</v>
      </c>
      <c r="Q37" s="9" t="s">
        <v>111</v>
      </c>
      <c r="R37" s="9" t="s">
        <v>111</v>
      </c>
      <c r="S37" s="5">
        <f t="shared" ref="S37:S68" si="3">COUNTIF(E37:R37,"P")</f>
        <v>3</v>
      </c>
      <c r="T37" s="5">
        <f t="shared" ref="T37:T56" si="4">COUNTIF(E37:R37,"A")</f>
        <v>4</v>
      </c>
    </row>
    <row r="38" spans="1:20" x14ac:dyDescent="0.25">
      <c r="A38" s="10">
        <v>10</v>
      </c>
      <c r="B38" s="24" t="s">
        <v>446</v>
      </c>
      <c r="C38" s="25" t="s">
        <v>447</v>
      </c>
      <c r="D38" s="26" t="s">
        <v>397</v>
      </c>
      <c r="E38" s="128"/>
      <c r="F38" s="9" t="s">
        <v>112</v>
      </c>
      <c r="G38" s="9" t="s">
        <v>112</v>
      </c>
      <c r="H38" s="9" t="s">
        <v>112</v>
      </c>
      <c r="I38" s="9" t="s">
        <v>112</v>
      </c>
      <c r="J38" s="9" t="s">
        <v>111</v>
      </c>
      <c r="K38" s="9" t="s">
        <v>112</v>
      </c>
      <c r="L38" s="128"/>
      <c r="M38" s="9" t="s">
        <v>112</v>
      </c>
      <c r="N38" s="9" t="s">
        <v>112</v>
      </c>
      <c r="O38" s="9" t="s">
        <v>111</v>
      </c>
      <c r="P38" s="9" t="s">
        <v>112</v>
      </c>
      <c r="Q38" s="9" t="s">
        <v>112</v>
      </c>
      <c r="R38" s="9" t="s">
        <v>112</v>
      </c>
      <c r="S38" s="5">
        <f t="shared" si="3"/>
        <v>10</v>
      </c>
      <c r="T38" s="5">
        <f t="shared" si="4"/>
        <v>2</v>
      </c>
    </row>
    <row r="39" spans="1:20" x14ac:dyDescent="0.25">
      <c r="A39" s="27">
        <v>11</v>
      </c>
      <c r="B39" s="24" t="s">
        <v>448</v>
      </c>
      <c r="C39" s="25" t="s">
        <v>175</v>
      </c>
      <c r="D39" s="26" t="s">
        <v>397</v>
      </c>
      <c r="E39" s="128"/>
      <c r="F39" s="9" t="s">
        <v>112</v>
      </c>
      <c r="G39" s="9" t="s">
        <v>112</v>
      </c>
      <c r="H39" s="9" t="s">
        <v>112</v>
      </c>
      <c r="I39" s="9" t="s">
        <v>112</v>
      </c>
      <c r="J39" s="9" t="s">
        <v>112</v>
      </c>
      <c r="K39" s="9" t="s">
        <v>112</v>
      </c>
      <c r="L39" s="128"/>
      <c r="M39" s="9" t="s">
        <v>112</v>
      </c>
      <c r="N39" s="9" t="s">
        <v>112</v>
      </c>
      <c r="O39" s="9" t="s">
        <v>112</v>
      </c>
      <c r="P39" s="9" t="s">
        <v>112</v>
      </c>
      <c r="Q39" s="9" t="s">
        <v>112</v>
      </c>
      <c r="R39" s="9" t="s">
        <v>112</v>
      </c>
      <c r="S39" s="5">
        <f t="shared" si="3"/>
        <v>12</v>
      </c>
      <c r="T39" s="5">
        <f t="shared" si="4"/>
        <v>0</v>
      </c>
    </row>
    <row r="40" spans="1:20" x14ac:dyDescent="0.25">
      <c r="A40" s="10">
        <v>12</v>
      </c>
      <c r="B40" s="24" t="s">
        <v>449</v>
      </c>
      <c r="C40" s="25" t="s">
        <v>119</v>
      </c>
      <c r="D40" s="26" t="s">
        <v>397</v>
      </c>
      <c r="E40" s="128"/>
      <c r="F40" s="9" t="s">
        <v>111</v>
      </c>
      <c r="G40" s="9" t="s">
        <v>112</v>
      </c>
      <c r="H40" s="9" t="s">
        <v>112</v>
      </c>
      <c r="I40" s="9" t="s">
        <v>112</v>
      </c>
      <c r="J40" s="9" t="s">
        <v>112</v>
      </c>
      <c r="K40" s="9" t="s">
        <v>112</v>
      </c>
      <c r="L40" s="128"/>
      <c r="M40" s="9" t="s">
        <v>112</v>
      </c>
      <c r="N40" s="9" t="s">
        <v>112</v>
      </c>
      <c r="O40" s="9" t="s">
        <v>112</v>
      </c>
      <c r="P40" s="9" t="s">
        <v>112</v>
      </c>
      <c r="Q40" s="9" t="s">
        <v>112</v>
      </c>
      <c r="R40" s="9" t="s">
        <v>112</v>
      </c>
      <c r="S40" s="5">
        <f t="shared" si="3"/>
        <v>11</v>
      </c>
      <c r="T40" s="5">
        <f t="shared" si="4"/>
        <v>1</v>
      </c>
    </row>
    <row r="41" spans="1:20" x14ac:dyDescent="0.25">
      <c r="A41" s="27">
        <v>13</v>
      </c>
      <c r="B41" s="24" t="s">
        <v>450</v>
      </c>
      <c r="C41" s="25" t="s">
        <v>66</v>
      </c>
      <c r="D41" s="26" t="s">
        <v>397</v>
      </c>
      <c r="E41" s="128"/>
      <c r="F41" s="9" t="s">
        <v>111</v>
      </c>
      <c r="G41" s="9" t="s">
        <v>111</v>
      </c>
      <c r="H41" s="9" t="s">
        <v>111</v>
      </c>
      <c r="I41" s="9" t="s">
        <v>111</v>
      </c>
      <c r="J41" s="9" t="s">
        <v>111</v>
      </c>
      <c r="K41" s="9" t="s">
        <v>111</v>
      </c>
      <c r="L41" s="128"/>
      <c r="M41" s="9" t="s">
        <v>112</v>
      </c>
      <c r="N41" s="9" t="s">
        <v>112</v>
      </c>
      <c r="O41" s="9" t="s">
        <v>112</v>
      </c>
      <c r="P41" s="9" t="s">
        <v>112</v>
      </c>
      <c r="Q41" s="9" t="s">
        <v>112</v>
      </c>
      <c r="R41" s="9" t="s">
        <v>112</v>
      </c>
      <c r="S41" s="5">
        <f t="shared" si="3"/>
        <v>6</v>
      </c>
      <c r="T41" s="5">
        <f t="shared" si="4"/>
        <v>6</v>
      </c>
    </row>
    <row r="42" spans="1:20" x14ac:dyDescent="0.25">
      <c r="A42" s="10">
        <v>14</v>
      </c>
      <c r="B42" s="24" t="s">
        <v>451</v>
      </c>
      <c r="C42" s="25" t="s">
        <v>232</v>
      </c>
      <c r="D42" s="26" t="s">
        <v>397</v>
      </c>
      <c r="E42" s="128"/>
      <c r="F42" s="9" t="s">
        <v>112</v>
      </c>
      <c r="G42" s="9" t="s">
        <v>112</v>
      </c>
      <c r="H42" s="9" t="s">
        <v>112</v>
      </c>
      <c r="I42" s="9" t="s">
        <v>112</v>
      </c>
      <c r="J42" s="9" t="s">
        <v>112</v>
      </c>
      <c r="K42" s="9" t="s">
        <v>112</v>
      </c>
      <c r="L42" s="128"/>
      <c r="M42" s="9" t="s">
        <v>112</v>
      </c>
      <c r="N42" s="9" t="s">
        <v>112</v>
      </c>
      <c r="O42" s="9" t="s">
        <v>112</v>
      </c>
      <c r="P42" s="9" t="s">
        <v>112</v>
      </c>
      <c r="Q42" s="9" t="s">
        <v>112</v>
      </c>
      <c r="R42" s="9" t="s">
        <v>112</v>
      </c>
      <c r="S42" s="5">
        <f t="shared" si="3"/>
        <v>12</v>
      </c>
      <c r="T42" s="5">
        <f t="shared" si="4"/>
        <v>0</v>
      </c>
    </row>
    <row r="43" spans="1:20" x14ac:dyDescent="0.25">
      <c r="A43" s="27">
        <v>15</v>
      </c>
      <c r="B43" s="24" t="s">
        <v>97</v>
      </c>
      <c r="C43" s="25" t="s">
        <v>84</v>
      </c>
      <c r="D43" s="26" t="s">
        <v>397</v>
      </c>
      <c r="E43" s="128"/>
      <c r="F43" s="9" t="s">
        <v>112</v>
      </c>
      <c r="G43" s="9" t="s">
        <v>112</v>
      </c>
      <c r="H43" s="9" t="s">
        <v>112</v>
      </c>
      <c r="I43" s="9" t="s">
        <v>112</v>
      </c>
      <c r="J43" s="9" t="s">
        <v>112</v>
      </c>
      <c r="K43" s="9" t="s">
        <v>112</v>
      </c>
      <c r="L43" s="128"/>
      <c r="M43" s="9" t="s">
        <v>112</v>
      </c>
      <c r="N43" s="9" t="s">
        <v>112</v>
      </c>
      <c r="O43" s="9" t="s">
        <v>112</v>
      </c>
      <c r="P43" s="9" t="s">
        <v>112</v>
      </c>
      <c r="Q43" s="9" t="s">
        <v>112</v>
      </c>
      <c r="R43" s="9" t="s">
        <v>112</v>
      </c>
      <c r="S43" s="5">
        <f t="shared" si="3"/>
        <v>12</v>
      </c>
      <c r="T43" s="5">
        <f t="shared" si="4"/>
        <v>0</v>
      </c>
    </row>
    <row r="44" spans="1:20" x14ac:dyDescent="0.25">
      <c r="A44" s="10">
        <v>16</v>
      </c>
      <c r="B44" s="24" t="s">
        <v>452</v>
      </c>
      <c r="C44" s="25" t="s">
        <v>453</v>
      </c>
      <c r="D44" s="26" t="s">
        <v>397</v>
      </c>
      <c r="E44" s="128"/>
      <c r="F44" s="9" t="s">
        <v>112</v>
      </c>
      <c r="G44" s="9" t="s">
        <v>112</v>
      </c>
      <c r="H44" s="9" t="s">
        <v>112</v>
      </c>
      <c r="I44" s="9" t="s">
        <v>112</v>
      </c>
      <c r="J44" s="9" t="s">
        <v>112</v>
      </c>
      <c r="K44" s="9" t="s">
        <v>112</v>
      </c>
      <c r="L44" s="128"/>
      <c r="M44" s="9" t="s">
        <v>112</v>
      </c>
      <c r="N44" s="9" t="s">
        <v>112</v>
      </c>
      <c r="O44" s="9" t="s">
        <v>111</v>
      </c>
      <c r="P44" s="9" t="s">
        <v>112</v>
      </c>
      <c r="Q44" s="9" t="s">
        <v>112</v>
      </c>
      <c r="R44" s="9" t="s">
        <v>111</v>
      </c>
      <c r="S44" s="5">
        <f t="shared" si="3"/>
        <v>10</v>
      </c>
      <c r="T44" s="5">
        <f t="shared" si="4"/>
        <v>2</v>
      </c>
    </row>
    <row r="45" spans="1:20" x14ac:dyDescent="0.25">
      <c r="A45" s="27">
        <v>17</v>
      </c>
      <c r="B45" s="24" t="s">
        <v>454</v>
      </c>
      <c r="C45" s="25" t="s">
        <v>455</v>
      </c>
      <c r="D45" s="26" t="s">
        <v>397</v>
      </c>
      <c r="E45" s="128"/>
      <c r="F45" s="9" t="s">
        <v>112</v>
      </c>
      <c r="G45" s="9" t="s">
        <v>112</v>
      </c>
      <c r="H45" s="9" t="s">
        <v>112</v>
      </c>
      <c r="I45" s="9" t="s">
        <v>112</v>
      </c>
      <c r="J45" s="9" t="s">
        <v>112</v>
      </c>
      <c r="K45" s="9" t="s">
        <v>112</v>
      </c>
      <c r="L45" s="128"/>
      <c r="M45" s="9" t="s">
        <v>112</v>
      </c>
      <c r="N45" s="9" t="s">
        <v>112</v>
      </c>
      <c r="O45" s="9" t="s">
        <v>112</v>
      </c>
      <c r="P45" s="9" t="s">
        <v>112</v>
      </c>
      <c r="Q45" s="9" t="s">
        <v>112</v>
      </c>
      <c r="R45" s="9" t="s">
        <v>112</v>
      </c>
      <c r="S45" s="5">
        <f t="shared" si="3"/>
        <v>12</v>
      </c>
      <c r="T45" s="5">
        <f t="shared" si="4"/>
        <v>0</v>
      </c>
    </row>
    <row r="46" spans="1:20" x14ac:dyDescent="0.25">
      <c r="A46" s="10">
        <v>18</v>
      </c>
      <c r="B46" s="24" t="s">
        <v>456</v>
      </c>
      <c r="C46" s="25" t="s">
        <v>41</v>
      </c>
      <c r="D46" s="26" t="s">
        <v>397</v>
      </c>
      <c r="E46" s="128"/>
      <c r="F46" s="9" t="s">
        <v>112</v>
      </c>
      <c r="G46" s="9" t="s">
        <v>112</v>
      </c>
      <c r="H46" s="9" t="s">
        <v>112</v>
      </c>
      <c r="I46" s="9" t="s">
        <v>111</v>
      </c>
      <c r="J46" s="9" t="s">
        <v>111</v>
      </c>
      <c r="K46" s="9" t="s">
        <v>111</v>
      </c>
      <c r="L46" s="128"/>
      <c r="M46" s="9" t="s">
        <v>111</v>
      </c>
      <c r="N46" s="9" t="s">
        <v>111</v>
      </c>
      <c r="O46" s="9" t="s">
        <v>111</v>
      </c>
      <c r="P46" s="9" t="s">
        <v>111</v>
      </c>
      <c r="Q46" s="9" t="s">
        <v>111</v>
      </c>
      <c r="R46" s="9" t="s">
        <v>111</v>
      </c>
      <c r="S46" s="5">
        <f t="shared" si="3"/>
        <v>3</v>
      </c>
      <c r="T46" s="5">
        <f t="shared" si="4"/>
        <v>9</v>
      </c>
    </row>
    <row r="47" spans="1:20" x14ac:dyDescent="0.25">
      <c r="A47" s="27">
        <v>19</v>
      </c>
      <c r="B47" s="24" t="s">
        <v>457</v>
      </c>
      <c r="C47" s="25" t="s">
        <v>458</v>
      </c>
      <c r="D47" s="26" t="s">
        <v>397</v>
      </c>
      <c r="E47" s="128"/>
      <c r="F47" s="9" t="s">
        <v>112</v>
      </c>
      <c r="G47" s="9" t="s">
        <v>112</v>
      </c>
      <c r="H47" s="9" t="s">
        <v>112</v>
      </c>
      <c r="I47" s="9" t="s">
        <v>112</v>
      </c>
      <c r="J47" s="9" t="s">
        <v>112</v>
      </c>
      <c r="K47" s="9" t="s">
        <v>112</v>
      </c>
      <c r="L47" s="128"/>
      <c r="M47" s="9" t="s">
        <v>112</v>
      </c>
      <c r="N47" s="9" t="s">
        <v>112</v>
      </c>
      <c r="O47" s="9" t="s">
        <v>112</v>
      </c>
      <c r="P47" s="9" t="s">
        <v>112</v>
      </c>
      <c r="Q47" s="9" t="s">
        <v>112</v>
      </c>
      <c r="R47" s="9" t="s">
        <v>112</v>
      </c>
      <c r="S47" s="5">
        <f t="shared" si="3"/>
        <v>12</v>
      </c>
      <c r="T47" s="5">
        <f t="shared" si="4"/>
        <v>0</v>
      </c>
    </row>
    <row r="48" spans="1:20" x14ac:dyDescent="0.25">
      <c r="A48" s="10">
        <v>20</v>
      </c>
      <c r="B48" s="24" t="s">
        <v>459</v>
      </c>
      <c r="C48" s="25" t="s">
        <v>250</v>
      </c>
      <c r="D48" s="26" t="s">
        <v>397</v>
      </c>
      <c r="E48" s="128"/>
      <c r="F48" s="9" t="s">
        <v>112</v>
      </c>
      <c r="G48" s="9" t="s">
        <v>112</v>
      </c>
      <c r="H48" s="9" t="s">
        <v>112</v>
      </c>
      <c r="I48" s="9" t="s">
        <v>112</v>
      </c>
      <c r="J48" s="9" t="s">
        <v>112</v>
      </c>
      <c r="K48" s="9" t="s">
        <v>112</v>
      </c>
      <c r="L48" s="128"/>
      <c r="M48" s="9" t="s">
        <v>112</v>
      </c>
      <c r="N48" s="9" t="s">
        <v>112</v>
      </c>
      <c r="O48" s="9" t="s">
        <v>112</v>
      </c>
      <c r="P48" s="9" t="s">
        <v>112</v>
      </c>
      <c r="Q48" s="9" t="s">
        <v>112</v>
      </c>
      <c r="R48" s="9" t="s">
        <v>112</v>
      </c>
      <c r="S48" s="5">
        <f t="shared" si="3"/>
        <v>12</v>
      </c>
      <c r="T48" s="5">
        <f t="shared" si="4"/>
        <v>0</v>
      </c>
    </row>
    <row r="49" spans="1:20" x14ac:dyDescent="0.25">
      <c r="A49" s="27">
        <v>21</v>
      </c>
      <c r="B49" s="24" t="s">
        <v>326</v>
      </c>
      <c r="C49" s="25" t="s">
        <v>250</v>
      </c>
      <c r="D49" s="26" t="s">
        <v>397</v>
      </c>
      <c r="E49" s="128"/>
      <c r="F49" s="9" t="s">
        <v>112</v>
      </c>
      <c r="G49" s="9" t="s">
        <v>112</v>
      </c>
      <c r="H49" s="9" t="s">
        <v>112</v>
      </c>
      <c r="I49" s="9" t="s">
        <v>112</v>
      </c>
      <c r="J49" s="9" t="s">
        <v>112</v>
      </c>
      <c r="K49" s="9" t="s">
        <v>112</v>
      </c>
      <c r="L49" s="128"/>
      <c r="M49" s="9" t="s">
        <v>112</v>
      </c>
      <c r="N49" s="9" t="s">
        <v>112</v>
      </c>
      <c r="O49" s="9" t="s">
        <v>112</v>
      </c>
      <c r="P49" s="9" t="s">
        <v>112</v>
      </c>
      <c r="Q49" s="9" t="s">
        <v>112</v>
      </c>
      <c r="R49" s="9" t="s">
        <v>112</v>
      </c>
      <c r="S49" s="5">
        <f t="shared" si="3"/>
        <v>12</v>
      </c>
      <c r="T49" s="5">
        <f t="shared" si="4"/>
        <v>0</v>
      </c>
    </row>
    <row r="50" spans="1:20" x14ac:dyDescent="0.25">
      <c r="A50" s="10">
        <v>22</v>
      </c>
      <c r="B50" s="24" t="s">
        <v>460</v>
      </c>
      <c r="C50" s="25" t="s">
        <v>461</v>
      </c>
      <c r="D50" s="26" t="s">
        <v>397</v>
      </c>
      <c r="E50" s="128"/>
      <c r="F50" s="9" t="s">
        <v>112</v>
      </c>
      <c r="G50" s="9" t="s">
        <v>112</v>
      </c>
      <c r="H50" s="9" t="s">
        <v>112</v>
      </c>
      <c r="I50" s="9" t="s">
        <v>112</v>
      </c>
      <c r="J50" s="9" t="s">
        <v>112</v>
      </c>
      <c r="K50" s="9" t="s">
        <v>112</v>
      </c>
      <c r="L50" s="128"/>
      <c r="M50" s="9" t="s">
        <v>112</v>
      </c>
      <c r="N50" s="9" t="s">
        <v>112</v>
      </c>
      <c r="O50" s="9" t="s">
        <v>112</v>
      </c>
      <c r="P50" s="9" t="s">
        <v>112</v>
      </c>
      <c r="Q50" s="9" t="s">
        <v>112</v>
      </c>
      <c r="R50" s="9" t="s">
        <v>112</v>
      </c>
      <c r="S50" s="5">
        <f t="shared" si="3"/>
        <v>12</v>
      </c>
      <c r="T50" s="5">
        <f t="shared" si="4"/>
        <v>0</v>
      </c>
    </row>
    <row r="51" spans="1:20" x14ac:dyDescent="0.25">
      <c r="A51" s="27">
        <v>23</v>
      </c>
      <c r="B51" s="24" t="s">
        <v>462</v>
      </c>
      <c r="C51" s="25" t="s">
        <v>454</v>
      </c>
      <c r="D51" s="26" t="s">
        <v>397</v>
      </c>
      <c r="E51" s="128"/>
      <c r="F51" s="9" t="s">
        <v>112</v>
      </c>
      <c r="G51" s="9" t="s">
        <v>111</v>
      </c>
      <c r="H51" s="9" t="s">
        <v>112</v>
      </c>
      <c r="I51" s="9" t="s">
        <v>111</v>
      </c>
      <c r="J51" s="9" t="s">
        <v>112</v>
      </c>
      <c r="K51" s="9" t="s">
        <v>112</v>
      </c>
      <c r="L51" s="128"/>
      <c r="M51" s="9" t="s">
        <v>111</v>
      </c>
      <c r="N51" s="9" t="s">
        <v>112</v>
      </c>
      <c r="O51" s="9" t="s">
        <v>112</v>
      </c>
      <c r="P51" s="9" t="s">
        <v>112</v>
      </c>
      <c r="Q51" s="9" t="s">
        <v>112</v>
      </c>
      <c r="R51" s="9" t="s">
        <v>112</v>
      </c>
      <c r="S51" s="5">
        <f t="shared" si="3"/>
        <v>9</v>
      </c>
      <c r="T51" s="5">
        <f t="shared" si="4"/>
        <v>3</v>
      </c>
    </row>
    <row r="52" spans="1:20" x14ac:dyDescent="0.25">
      <c r="A52" s="10">
        <v>24</v>
      </c>
      <c r="B52" s="24" t="s">
        <v>462</v>
      </c>
      <c r="C52" s="25" t="s">
        <v>463</v>
      </c>
      <c r="D52" s="26" t="s">
        <v>397</v>
      </c>
      <c r="E52" s="128"/>
      <c r="F52" s="9" t="s">
        <v>111</v>
      </c>
      <c r="G52" s="9" t="s">
        <v>111</v>
      </c>
      <c r="H52" s="9" t="s">
        <v>112</v>
      </c>
      <c r="I52" s="9" t="s">
        <v>112</v>
      </c>
      <c r="J52" s="9" t="s">
        <v>111</v>
      </c>
      <c r="K52" s="9" t="s">
        <v>112</v>
      </c>
      <c r="L52" s="128"/>
      <c r="M52" s="9" t="s">
        <v>112</v>
      </c>
      <c r="N52" s="9" t="s">
        <v>112</v>
      </c>
      <c r="O52" s="9" t="s">
        <v>112</v>
      </c>
      <c r="P52" s="9" t="s">
        <v>112</v>
      </c>
      <c r="Q52" s="9" t="s">
        <v>112</v>
      </c>
      <c r="R52" s="9" t="s">
        <v>112</v>
      </c>
      <c r="S52" s="5">
        <f t="shared" si="3"/>
        <v>9</v>
      </c>
      <c r="T52" s="5">
        <f t="shared" si="4"/>
        <v>3</v>
      </c>
    </row>
    <row r="53" spans="1:20" x14ac:dyDescent="0.25">
      <c r="A53" s="27">
        <v>25</v>
      </c>
      <c r="B53" s="24" t="s">
        <v>464</v>
      </c>
      <c r="C53" s="25" t="s">
        <v>465</v>
      </c>
      <c r="D53" s="26" t="s">
        <v>397</v>
      </c>
      <c r="E53" s="128"/>
      <c r="F53" s="9" t="s">
        <v>112</v>
      </c>
      <c r="G53" s="9" t="s">
        <v>112</v>
      </c>
      <c r="H53" s="9" t="s">
        <v>112</v>
      </c>
      <c r="I53" s="9" t="s">
        <v>112</v>
      </c>
      <c r="J53" s="9" t="s">
        <v>112</v>
      </c>
      <c r="K53" s="9" t="s">
        <v>112</v>
      </c>
      <c r="L53" s="128"/>
      <c r="M53" s="9" t="s">
        <v>112</v>
      </c>
      <c r="N53" s="9" t="s">
        <v>112</v>
      </c>
      <c r="O53" s="9" t="s">
        <v>112</v>
      </c>
      <c r="P53" s="9" t="s">
        <v>112</v>
      </c>
      <c r="Q53" s="9" t="s">
        <v>112</v>
      </c>
      <c r="R53" s="9" t="s">
        <v>112</v>
      </c>
      <c r="S53" s="5">
        <f t="shared" si="3"/>
        <v>12</v>
      </c>
      <c r="T53" s="5">
        <f t="shared" si="4"/>
        <v>0</v>
      </c>
    </row>
    <row r="54" spans="1:20" x14ac:dyDescent="0.25">
      <c r="A54" s="10">
        <v>26</v>
      </c>
      <c r="B54" s="24" t="s">
        <v>466</v>
      </c>
      <c r="C54" s="25" t="s">
        <v>465</v>
      </c>
      <c r="D54" s="26" t="s">
        <v>397</v>
      </c>
      <c r="E54" s="128"/>
      <c r="F54" s="9" t="s">
        <v>112</v>
      </c>
      <c r="G54" s="9" t="s">
        <v>112</v>
      </c>
      <c r="H54" s="9" t="s">
        <v>112</v>
      </c>
      <c r="I54" s="9" t="s">
        <v>112</v>
      </c>
      <c r="J54" s="9" t="s">
        <v>112</v>
      </c>
      <c r="K54" s="9" t="s">
        <v>112</v>
      </c>
      <c r="L54" s="128"/>
      <c r="M54" s="9" t="s">
        <v>112</v>
      </c>
      <c r="N54" s="9" t="s">
        <v>112</v>
      </c>
      <c r="O54" s="9" t="s">
        <v>112</v>
      </c>
      <c r="P54" s="9" t="s">
        <v>112</v>
      </c>
      <c r="Q54" s="9" t="s">
        <v>112</v>
      </c>
      <c r="R54" s="9" t="s">
        <v>112</v>
      </c>
      <c r="S54" s="5">
        <f t="shared" si="3"/>
        <v>12</v>
      </c>
      <c r="T54" s="5">
        <f t="shared" si="4"/>
        <v>0</v>
      </c>
    </row>
    <row r="55" spans="1:20" x14ac:dyDescent="0.25">
      <c r="A55" s="27">
        <v>27</v>
      </c>
      <c r="B55" s="24" t="s">
        <v>467</v>
      </c>
      <c r="C55" s="25" t="s">
        <v>468</v>
      </c>
      <c r="D55" s="26" t="s">
        <v>397</v>
      </c>
      <c r="E55" s="128"/>
      <c r="F55" s="9" t="s">
        <v>112</v>
      </c>
      <c r="G55" s="9" t="s">
        <v>112</v>
      </c>
      <c r="H55" s="9" t="s">
        <v>112</v>
      </c>
      <c r="I55" s="9" t="s">
        <v>112</v>
      </c>
      <c r="J55" s="9" t="s">
        <v>112</v>
      </c>
      <c r="K55" s="9" t="s">
        <v>112</v>
      </c>
      <c r="L55" s="128"/>
      <c r="M55" s="9" t="s">
        <v>112</v>
      </c>
      <c r="N55" s="9" t="s">
        <v>112</v>
      </c>
      <c r="O55" s="9" t="s">
        <v>112</v>
      </c>
      <c r="P55" s="9" t="s">
        <v>112</v>
      </c>
      <c r="Q55" s="9" t="s">
        <v>112</v>
      </c>
      <c r="R55" s="9" t="s">
        <v>112</v>
      </c>
      <c r="S55" s="5">
        <f t="shared" si="3"/>
        <v>12</v>
      </c>
      <c r="T55" s="5">
        <f t="shared" si="4"/>
        <v>0</v>
      </c>
    </row>
    <row r="56" spans="1:20" x14ac:dyDescent="0.25">
      <c r="A56" s="10">
        <v>28</v>
      </c>
      <c r="B56" s="24" t="s">
        <v>469</v>
      </c>
      <c r="C56" s="25"/>
      <c r="D56" s="26" t="s">
        <v>397</v>
      </c>
      <c r="E56" s="129"/>
      <c r="F56" s="9" t="s">
        <v>112</v>
      </c>
      <c r="G56" s="9" t="s">
        <v>112</v>
      </c>
      <c r="H56" s="9" t="s">
        <v>112</v>
      </c>
      <c r="I56" s="9" t="s">
        <v>112</v>
      </c>
      <c r="J56" s="9" t="s">
        <v>112</v>
      </c>
      <c r="K56" s="9" t="s">
        <v>112</v>
      </c>
      <c r="L56" s="129"/>
      <c r="M56" s="9" t="s">
        <v>112</v>
      </c>
      <c r="N56" s="9" t="s">
        <v>112</v>
      </c>
      <c r="O56" s="9" t="s">
        <v>112</v>
      </c>
      <c r="P56" s="9" t="s">
        <v>112</v>
      </c>
      <c r="Q56" s="9" t="s">
        <v>112</v>
      </c>
      <c r="R56" s="9" t="s">
        <v>112</v>
      </c>
      <c r="S56" s="5">
        <f t="shared" si="3"/>
        <v>12</v>
      </c>
      <c r="T56" s="5">
        <f t="shared" si="4"/>
        <v>0</v>
      </c>
    </row>
  </sheetData>
  <mergeCells count="13">
    <mergeCell ref="E5:E56"/>
    <mergeCell ref="L5:L56"/>
    <mergeCell ref="U11:X11"/>
    <mergeCell ref="U19:X19"/>
    <mergeCell ref="S3:S4"/>
    <mergeCell ref="T3:T4"/>
    <mergeCell ref="U3:V3"/>
    <mergeCell ref="A1:R1"/>
    <mergeCell ref="A2:R2"/>
    <mergeCell ref="A3:A4"/>
    <mergeCell ref="B3:B4"/>
    <mergeCell ref="C3:C4"/>
    <mergeCell ref="D3:D4"/>
  </mergeCells>
  <conditionalFormatting sqref="E5:L5 E4:R4">
    <cfRule type="expression" dxfId="132" priority="23">
      <formula>IF(E$4=TODAY(),TRUE,FALSE)</formula>
    </cfRule>
  </conditionalFormatting>
  <conditionalFormatting sqref="E5:L5">
    <cfRule type="cellIs" dxfId="131" priority="20" operator="equal">
      <formula>"L"</formula>
    </cfRule>
    <cfRule type="cellIs" dxfId="130" priority="21" operator="equal">
      <formula>"A"</formula>
    </cfRule>
    <cfRule type="cellIs" dxfId="129" priority="22" operator="equal">
      <formula>"P"</formula>
    </cfRule>
  </conditionalFormatting>
  <conditionalFormatting sqref="E3:R4 E5:L5">
    <cfRule type="expression" dxfId="128" priority="24">
      <formula>E$3="Sun"</formula>
    </cfRule>
  </conditionalFormatting>
  <conditionalFormatting sqref="M5:R56 F6:K56">
    <cfRule type="cellIs" dxfId="127" priority="7" operator="equal">
      <formula>"L"</formula>
    </cfRule>
    <cfRule type="cellIs" dxfId="126" priority="8" operator="equal">
      <formula>"A"</formula>
    </cfRule>
    <cfRule type="cellIs" dxfId="125" priority="9" operator="equal">
      <formula>"P"</formula>
    </cfRule>
    <cfRule type="expression" dxfId="124" priority="10">
      <formula>IF(F$4=TODAY(),TRUE,FALSE)</formula>
    </cfRule>
    <cfRule type="expression" dxfId="123" priority="11">
      <formula>F$3="Sun"</formula>
    </cfRule>
  </conditionalFormatting>
  <conditionalFormatting sqref="S3:T3">
    <cfRule type="expression" dxfId="122" priority="25">
      <formula>#REF!="Sun"</formula>
    </cfRule>
  </conditionalFormatting>
  <conditionalFormatting sqref="S5:T56">
    <cfRule type="expression" dxfId="121" priority="12">
      <formula>#REF!="Sun"</formula>
    </cfRule>
  </conditionalFormatting>
  <conditionalFormatting sqref="U5:U9">
    <cfRule type="expression" dxfId="120" priority="4">
      <formula>U$3="Sun"</formula>
    </cfRule>
  </conditionalFormatting>
  <conditionalFormatting sqref="U12:U15">
    <cfRule type="expression" dxfId="119" priority="2">
      <formula>U$3="Sun"</formula>
    </cfRule>
  </conditionalFormatting>
  <conditionalFormatting sqref="U20:U23">
    <cfRule type="expression" dxfId="118" priority="1">
      <formula>U$3="Sun"</formula>
    </cfRule>
  </conditionalFormatting>
  <conditionalFormatting sqref="U4:V4">
    <cfRule type="expression" dxfId="117" priority="5">
      <formula>U$3="Sun"</formula>
    </cfRule>
  </conditionalFormatting>
  <conditionalFormatting sqref="V12:X12 V20:X20">
    <cfRule type="expression" dxfId="116" priority="6">
      <formula>V$3="Sun"</formula>
    </cfRule>
  </conditionalFormatting>
  <conditionalFormatting sqref="X21">
    <cfRule type="expression" dxfId="115" priority="3">
      <formula>X$3="Sun"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29EFC-F7A3-45EE-B493-05026BD74A2B}">
  <dimension ref="A1:X57"/>
  <sheetViews>
    <sheetView topLeftCell="D7" workbookViewId="0">
      <selection activeCell="V13" sqref="V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5703125" style="1" bestFit="1" customWidth="1"/>
    <col min="6" max="6" width="3.85546875" style="1"/>
    <col min="7" max="7" width="4.7109375" style="1" bestFit="1" customWidth="1"/>
    <col min="8" max="8" width="3.85546875" style="1"/>
    <col min="9" max="10" width="3.7109375" style="1" bestFit="1" customWidth="1"/>
    <col min="11" max="11" width="3.85546875" style="1"/>
    <col min="12" max="12" width="3.5703125" style="1" bestFit="1" customWidth="1"/>
    <col min="13" max="13" width="3.85546875" style="1"/>
    <col min="14" max="14" width="4.7109375" style="1" bestFit="1" customWidth="1"/>
    <col min="15" max="15" width="3.5703125" style="1" bestFit="1" customWidth="1"/>
    <col min="16" max="16" width="3.7109375" style="1" bestFit="1" customWidth="1"/>
    <col min="17" max="17" width="3.42578125" style="1" bestFit="1" customWidth="1"/>
    <col min="18" max="18" width="3.7109375" style="1" customWidth="1"/>
    <col min="19" max="20" width="6.7109375" style="1" bestFit="1" customWidth="1"/>
    <col min="21" max="21" width="18.5703125" style="1" bestFit="1" customWidth="1"/>
    <col min="22" max="22" width="5.85546875" style="1" bestFit="1" customWidth="1"/>
    <col min="23" max="23" width="14.28515625" style="1" bestFit="1" customWidth="1"/>
    <col min="24" max="24" width="6.7109375" style="1" bestFit="1" customWidth="1"/>
    <col min="25" max="16384" width="3.85546875" style="1"/>
  </cols>
  <sheetData>
    <row r="1" spans="1:24" ht="17.25" x14ac:dyDescent="0.25">
      <c r="A1" s="114" t="s">
        <v>18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</row>
    <row r="2" spans="1:24" ht="17.25" x14ac:dyDescent="0.3">
      <c r="A2" s="115" t="s">
        <v>122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</row>
    <row r="3" spans="1:24" ht="15.75" x14ac:dyDescent="0.25">
      <c r="A3" s="130" t="s">
        <v>0</v>
      </c>
      <c r="B3" s="130" t="s">
        <v>1</v>
      </c>
      <c r="C3" s="130" t="s">
        <v>2</v>
      </c>
      <c r="D3" s="130" t="s">
        <v>3</v>
      </c>
      <c r="E3" s="2" t="str">
        <f t="shared" ref="E3:R3" si="0">TEXT(E4,"ddd")</f>
        <v>Sun</v>
      </c>
      <c r="F3" s="2" t="str">
        <f t="shared" si="0"/>
        <v>Mon</v>
      </c>
      <c r="G3" s="2" t="str">
        <f t="shared" si="0"/>
        <v>Tue</v>
      </c>
      <c r="H3" s="2" t="str">
        <f t="shared" si="0"/>
        <v>Wed</v>
      </c>
      <c r="I3" s="2" t="str">
        <f t="shared" si="0"/>
        <v>Thu</v>
      </c>
      <c r="J3" s="2" t="str">
        <f t="shared" si="0"/>
        <v>Fri</v>
      </c>
      <c r="K3" s="2" t="str">
        <f t="shared" si="0"/>
        <v>Sat</v>
      </c>
      <c r="L3" s="2" t="str">
        <f t="shared" si="0"/>
        <v>Sun</v>
      </c>
      <c r="M3" s="2" t="str">
        <f t="shared" si="0"/>
        <v>Mon</v>
      </c>
      <c r="N3" s="2" t="str">
        <f t="shared" si="0"/>
        <v>Tue</v>
      </c>
      <c r="O3" s="29" t="str">
        <f t="shared" si="0"/>
        <v>Wed</v>
      </c>
      <c r="P3" s="2" t="str">
        <f t="shared" si="0"/>
        <v>Thu</v>
      </c>
      <c r="Q3" s="2" t="str">
        <f t="shared" si="0"/>
        <v>Fri</v>
      </c>
      <c r="R3" s="2" t="str">
        <f t="shared" si="0"/>
        <v>Sat</v>
      </c>
      <c r="S3" s="117" t="s">
        <v>4</v>
      </c>
      <c r="T3" s="117" t="s">
        <v>5</v>
      </c>
      <c r="U3" s="118" t="s">
        <v>127</v>
      </c>
      <c r="V3" s="119"/>
      <c r="W3" s="3"/>
      <c r="X3" s="3"/>
    </row>
    <row r="4" spans="1:24" ht="37.5" x14ac:dyDescent="0.25">
      <c r="A4" s="131"/>
      <c r="B4" s="131"/>
      <c r="C4" s="131"/>
      <c r="D4" s="131"/>
      <c r="E4" s="14">
        <v>45613</v>
      </c>
      <c r="F4" s="14">
        <v>45614</v>
      </c>
      <c r="G4" s="14">
        <v>45615</v>
      </c>
      <c r="H4" s="14">
        <v>45616</v>
      </c>
      <c r="I4" s="14">
        <v>45617</v>
      </c>
      <c r="J4" s="14">
        <v>45618</v>
      </c>
      <c r="K4" s="14">
        <v>45619</v>
      </c>
      <c r="L4" s="14">
        <v>45620</v>
      </c>
      <c r="M4" s="14">
        <v>45621</v>
      </c>
      <c r="N4" s="14">
        <v>45622</v>
      </c>
      <c r="O4" s="14">
        <v>45623</v>
      </c>
      <c r="P4" s="14">
        <v>45624</v>
      </c>
      <c r="Q4" s="14">
        <v>45625</v>
      </c>
      <c r="R4" s="14">
        <v>45626</v>
      </c>
      <c r="S4" s="117"/>
      <c r="T4" s="117"/>
      <c r="U4" s="5" t="s">
        <v>128</v>
      </c>
      <c r="V4" s="5">
        <f>SUM(V5:V8)</f>
        <v>14</v>
      </c>
      <c r="W4" s="3"/>
      <c r="X4" s="3"/>
    </row>
    <row r="5" spans="1:24" ht="15" customHeight="1" x14ac:dyDescent="0.25">
      <c r="A5" s="27">
        <v>1</v>
      </c>
      <c r="B5" s="30" t="s">
        <v>470</v>
      </c>
      <c r="C5" s="31" t="s">
        <v>471</v>
      </c>
      <c r="D5" s="26" t="s">
        <v>472</v>
      </c>
      <c r="E5" s="127" t="s">
        <v>398</v>
      </c>
      <c r="F5" s="8" t="s">
        <v>111</v>
      </c>
      <c r="G5" s="8" t="s">
        <v>111</v>
      </c>
      <c r="H5" s="8" t="s">
        <v>112</v>
      </c>
      <c r="I5" s="8" t="s">
        <v>112</v>
      </c>
      <c r="J5" s="8" t="s">
        <v>112</v>
      </c>
      <c r="K5" s="8" t="s">
        <v>112</v>
      </c>
      <c r="L5" s="127" t="s">
        <v>398</v>
      </c>
      <c r="M5" s="8" t="s">
        <v>112</v>
      </c>
      <c r="N5" s="8" t="s">
        <v>112</v>
      </c>
      <c r="O5" s="32" t="s">
        <v>111</v>
      </c>
      <c r="P5" s="8" t="s">
        <v>112</v>
      </c>
      <c r="Q5" s="32" t="s">
        <v>111</v>
      </c>
      <c r="R5" s="8"/>
      <c r="S5" s="5">
        <f>COUNTIF(E5:R5,"P")</f>
        <v>7</v>
      </c>
      <c r="T5" s="5">
        <f>COUNTIF(E5:R5,"A")</f>
        <v>4</v>
      </c>
      <c r="U5" s="5" t="s">
        <v>7</v>
      </c>
      <c r="V5" s="10">
        <v>12</v>
      </c>
      <c r="W5" s="11"/>
      <c r="X5" s="3"/>
    </row>
    <row r="6" spans="1:24" ht="16.5" x14ac:dyDescent="0.25">
      <c r="A6" s="10">
        <v>2</v>
      </c>
      <c r="B6" s="30" t="s">
        <v>473</v>
      </c>
      <c r="C6" s="31" t="s">
        <v>474</v>
      </c>
      <c r="D6" s="26" t="s">
        <v>472</v>
      </c>
      <c r="E6" s="128"/>
      <c r="F6" s="8" t="s">
        <v>112</v>
      </c>
      <c r="G6" s="8" t="s">
        <v>112</v>
      </c>
      <c r="H6" s="8" t="s">
        <v>112</v>
      </c>
      <c r="I6" s="8" t="s">
        <v>112</v>
      </c>
      <c r="J6" s="8" t="s">
        <v>112</v>
      </c>
      <c r="K6" s="8" t="s">
        <v>112</v>
      </c>
      <c r="L6" s="128"/>
      <c r="M6" s="8" t="s">
        <v>112</v>
      </c>
      <c r="N6" s="8" t="s">
        <v>112</v>
      </c>
      <c r="O6" s="32" t="s">
        <v>112</v>
      </c>
      <c r="P6" s="8" t="s">
        <v>112</v>
      </c>
      <c r="Q6" s="32" t="s">
        <v>112</v>
      </c>
      <c r="R6" s="8"/>
      <c r="S6" s="5">
        <f>COUNTIF(E6:R6,"P")</f>
        <v>11</v>
      </c>
      <c r="T6" s="5">
        <f>COUNTIF(E6:R6,"A")</f>
        <v>0</v>
      </c>
      <c r="U6" s="5" t="s">
        <v>8</v>
      </c>
      <c r="V6" s="10">
        <v>2</v>
      </c>
      <c r="W6" s="3"/>
      <c r="X6" s="3"/>
    </row>
    <row r="7" spans="1:24" ht="16.5" x14ac:dyDescent="0.25">
      <c r="A7" s="27">
        <v>3</v>
      </c>
      <c r="B7" s="30" t="s">
        <v>475</v>
      </c>
      <c r="C7" s="31" t="s">
        <v>476</v>
      </c>
      <c r="D7" s="26" t="s">
        <v>472</v>
      </c>
      <c r="E7" s="128"/>
      <c r="F7" s="8" t="s">
        <v>112</v>
      </c>
      <c r="G7" s="8" t="s">
        <v>112</v>
      </c>
      <c r="H7" s="8" t="s">
        <v>112</v>
      </c>
      <c r="I7" s="8" t="s">
        <v>112</v>
      </c>
      <c r="J7" s="8" t="s">
        <v>112</v>
      </c>
      <c r="K7" s="8" t="s">
        <v>112</v>
      </c>
      <c r="L7" s="128"/>
      <c r="M7" s="8" t="s">
        <v>112</v>
      </c>
      <c r="N7" s="8" t="s">
        <v>111</v>
      </c>
      <c r="O7" s="32" t="s">
        <v>112</v>
      </c>
      <c r="P7" s="8" t="s">
        <v>112</v>
      </c>
      <c r="Q7" s="32" t="s">
        <v>112</v>
      </c>
      <c r="R7" s="8"/>
      <c r="S7" s="5">
        <f>COUNTIF(E7:R7,"P")</f>
        <v>10</v>
      </c>
      <c r="T7" s="5">
        <f>COUNTIF(E7:R7,"A")</f>
        <v>1</v>
      </c>
      <c r="U7" s="5"/>
      <c r="V7" s="10"/>
      <c r="W7" s="3"/>
      <c r="X7" s="3"/>
    </row>
    <row r="8" spans="1:24" ht="16.5" x14ac:dyDescent="0.25">
      <c r="A8" s="10">
        <v>4</v>
      </c>
      <c r="B8" s="30" t="s">
        <v>194</v>
      </c>
      <c r="C8" s="31" t="s">
        <v>477</v>
      </c>
      <c r="D8" s="26" t="s">
        <v>472</v>
      </c>
      <c r="E8" s="128"/>
      <c r="F8" s="8" t="s">
        <v>111</v>
      </c>
      <c r="G8" s="8" t="s">
        <v>111</v>
      </c>
      <c r="H8" s="8" t="s">
        <v>111</v>
      </c>
      <c r="I8" s="8" t="s">
        <v>111</v>
      </c>
      <c r="J8" s="8" t="s">
        <v>111</v>
      </c>
      <c r="K8" s="8" t="s">
        <v>111</v>
      </c>
      <c r="L8" s="128"/>
      <c r="M8" s="8" t="s">
        <v>111</v>
      </c>
      <c r="N8" s="8" t="s">
        <v>111</v>
      </c>
      <c r="O8" s="32" t="s">
        <v>111</v>
      </c>
      <c r="P8" s="8" t="s">
        <v>111</v>
      </c>
      <c r="Q8" s="32" t="s">
        <v>111</v>
      </c>
      <c r="R8" s="8"/>
      <c r="S8" s="5">
        <f>COUNTIF(E8:R8,"P")</f>
        <v>0</v>
      </c>
      <c r="T8" s="5">
        <f>COUNTIF(E8:R8,"A")</f>
        <v>11</v>
      </c>
      <c r="U8" s="5"/>
      <c r="V8" s="10"/>
      <c r="W8"/>
      <c r="X8"/>
    </row>
    <row r="9" spans="1:24" ht="16.5" x14ac:dyDescent="0.25">
      <c r="A9" s="27">
        <v>5</v>
      </c>
      <c r="B9" s="30" t="s">
        <v>478</v>
      </c>
      <c r="C9" s="31" t="s">
        <v>479</v>
      </c>
      <c r="D9" s="26" t="s">
        <v>472</v>
      </c>
      <c r="E9" s="128"/>
      <c r="F9" s="8" t="s">
        <v>111</v>
      </c>
      <c r="G9" s="8" t="s">
        <v>112</v>
      </c>
      <c r="H9" s="8" t="s">
        <v>112</v>
      </c>
      <c r="I9" s="8" t="s">
        <v>111</v>
      </c>
      <c r="J9" s="8" t="s">
        <v>112</v>
      </c>
      <c r="K9" s="8" t="s">
        <v>112</v>
      </c>
      <c r="L9" s="128"/>
      <c r="M9" s="8" t="s">
        <v>112</v>
      </c>
      <c r="N9" s="8" t="s">
        <v>112</v>
      </c>
      <c r="O9" s="32" t="s">
        <v>112</v>
      </c>
      <c r="P9" s="8" t="s">
        <v>112</v>
      </c>
      <c r="Q9" s="32" t="s">
        <v>112</v>
      </c>
      <c r="R9" s="8"/>
      <c r="S9" s="5">
        <f>COUNTIF(E9:R9,"P")</f>
        <v>9</v>
      </c>
      <c r="T9" s="5">
        <f>COUNTIF(E9:R9,"A")</f>
        <v>2</v>
      </c>
      <c r="U9" s="5"/>
      <c r="V9" s="10"/>
    </row>
    <row r="10" spans="1:24" ht="16.5" x14ac:dyDescent="0.25">
      <c r="A10" s="10">
        <v>6</v>
      </c>
      <c r="B10" s="30" t="s">
        <v>480</v>
      </c>
      <c r="C10" s="31" t="s">
        <v>481</v>
      </c>
      <c r="D10" s="26" t="s">
        <v>472</v>
      </c>
      <c r="E10" s="128"/>
      <c r="F10" s="8" t="s">
        <v>112</v>
      </c>
      <c r="G10" s="8" t="s">
        <v>111</v>
      </c>
      <c r="H10" s="8" t="s">
        <v>112</v>
      </c>
      <c r="I10" s="8" t="s">
        <v>112</v>
      </c>
      <c r="J10" s="8" t="s">
        <v>112</v>
      </c>
      <c r="K10" s="8" t="s">
        <v>112</v>
      </c>
      <c r="L10" s="128"/>
      <c r="M10" s="8" t="s">
        <v>112</v>
      </c>
      <c r="N10" s="8" t="s">
        <v>111</v>
      </c>
      <c r="O10" s="32" t="s">
        <v>112</v>
      </c>
      <c r="P10" s="8" t="s">
        <v>112</v>
      </c>
      <c r="Q10" s="32" t="s">
        <v>112</v>
      </c>
      <c r="R10" s="8"/>
      <c r="S10" s="5">
        <f>COUNTIF(E10:R10,"P")</f>
        <v>9</v>
      </c>
      <c r="T10" s="5">
        <f>COUNTIF(E10:R10,"A")</f>
        <v>2</v>
      </c>
    </row>
    <row r="11" spans="1:24" ht="16.5" x14ac:dyDescent="0.25">
      <c r="A11" s="27">
        <v>7</v>
      </c>
      <c r="B11" s="30" t="s">
        <v>482</v>
      </c>
      <c r="C11" s="31" t="s">
        <v>483</v>
      </c>
      <c r="D11" s="26" t="s">
        <v>472</v>
      </c>
      <c r="E11" s="128"/>
      <c r="F11" s="8" t="s">
        <v>111</v>
      </c>
      <c r="G11" s="8" t="s">
        <v>112</v>
      </c>
      <c r="H11" s="8" t="s">
        <v>112</v>
      </c>
      <c r="I11" s="8" t="s">
        <v>112</v>
      </c>
      <c r="J11" s="8" t="s">
        <v>112</v>
      </c>
      <c r="K11" s="8" t="s">
        <v>112</v>
      </c>
      <c r="L11" s="128"/>
      <c r="M11" s="8" t="s">
        <v>112</v>
      </c>
      <c r="N11" s="8" t="s">
        <v>112</v>
      </c>
      <c r="O11" s="32" t="s">
        <v>112</v>
      </c>
      <c r="P11" s="8" t="s">
        <v>112</v>
      </c>
      <c r="Q11" s="32" t="s">
        <v>112</v>
      </c>
      <c r="R11" s="8"/>
      <c r="S11" s="5">
        <f>COUNTIF(E11:R11,"P")</f>
        <v>10</v>
      </c>
      <c r="T11" s="5">
        <f>COUNTIF(E11:R11,"A")</f>
        <v>1</v>
      </c>
      <c r="U11" s="118" t="s">
        <v>9</v>
      </c>
      <c r="V11" s="119"/>
      <c r="W11" s="119"/>
      <c r="X11" s="120"/>
    </row>
    <row r="12" spans="1:24" ht="16.5" x14ac:dyDescent="0.25">
      <c r="A12" s="10">
        <v>8</v>
      </c>
      <c r="B12" s="30" t="s">
        <v>316</v>
      </c>
      <c r="C12" s="31" t="s">
        <v>248</v>
      </c>
      <c r="D12" s="26" t="s">
        <v>472</v>
      </c>
      <c r="E12" s="128"/>
      <c r="F12" s="8" t="s">
        <v>112</v>
      </c>
      <c r="G12" s="8" t="s">
        <v>112</v>
      </c>
      <c r="H12" s="8" t="s">
        <v>112</v>
      </c>
      <c r="I12" s="8" t="s">
        <v>112</v>
      </c>
      <c r="J12" s="8" t="s">
        <v>112</v>
      </c>
      <c r="K12" s="8" t="s">
        <v>112</v>
      </c>
      <c r="L12" s="128"/>
      <c r="M12" s="8" t="s">
        <v>111</v>
      </c>
      <c r="N12" s="8" t="s">
        <v>112</v>
      </c>
      <c r="O12" s="32" t="s">
        <v>112</v>
      </c>
      <c r="P12" s="8" t="s">
        <v>112</v>
      </c>
      <c r="Q12" s="32" t="s">
        <v>112</v>
      </c>
      <c r="R12" s="8"/>
      <c r="S12" s="5">
        <f>COUNTIF(E12:R12,"P")</f>
        <v>10</v>
      </c>
      <c r="T12" s="5">
        <f>COUNTIF(E12:R12,"A")</f>
        <v>1</v>
      </c>
      <c r="U12" s="5" t="s">
        <v>10</v>
      </c>
      <c r="V12" s="5" t="s">
        <v>11</v>
      </c>
      <c r="W12" s="5" t="s">
        <v>12</v>
      </c>
      <c r="X12" s="5" t="s">
        <v>13</v>
      </c>
    </row>
    <row r="13" spans="1:24" ht="16.5" x14ac:dyDescent="0.25">
      <c r="A13" s="27">
        <v>9</v>
      </c>
      <c r="B13" s="30" t="s">
        <v>484</v>
      </c>
      <c r="C13" s="31" t="s">
        <v>485</v>
      </c>
      <c r="D13" s="26" t="s">
        <v>472</v>
      </c>
      <c r="E13" s="128"/>
      <c r="F13" s="8" t="s">
        <v>112</v>
      </c>
      <c r="G13" s="8" t="s">
        <v>112</v>
      </c>
      <c r="H13" s="8" t="s">
        <v>112</v>
      </c>
      <c r="I13" s="8" t="s">
        <v>112</v>
      </c>
      <c r="J13" s="8" t="s">
        <v>112</v>
      </c>
      <c r="K13" s="8" t="s">
        <v>112</v>
      </c>
      <c r="L13" s="128"/>
      <c r="M13" s="8" t="s">
        <v>111</v>
      </c>
      <c r="N13" s="8" t="s">
        <v>112</v>
      </c>
      <c r="O13" s="32" t="s">
        <v>112</v>
      </c>
      <c r="P13" s="8" t="s">
        <v>112</v>
      </c>
      <c r="Q13" s="32" t="s">
        <v>112</v>
      </c>
      <c r="R13" s="8"/>
      <c r="S13" s="5">
        <f>COUNTIF(E13:R13,"P")</f>
        <v>10</v>
      </c>
      <c r="T13" s="5">
        <f>COUNTIF(E13:R13,"A")</f>
        <v>1</v>
      </c>
      <c r="U13" s="5" t="s">
        <v>14</v>
      </c>
      <c r="V13" s="10">
        <f>21*$V$5</f>
        <v>252</v>
      </c>
      <c r="W13" s="10">
        <f>32*$V$5</f>
        <v>384</v>
      </c>
      <c r="X13" s="10">
        <f>SUM(V13:W13)</f>
        <v>636</v>
      </c>
    </row>
    <row r="14" spans="1:24" ht="16.5" x14ac:dyDescent="0.25">
      <c r="A14" s="10">
        <v>10</v>
      </c>
      <c r="B14" s="30" t="s">
        <v>486</v>
      </c>
      <c r="C14" s="31" t="s">
        <v>487</v>
      </c>
      <c r="D14" s="26" t="s">
        <v>472</v>
      </c>
      <c r="E14" s="128"/>
      <c r="F14" s="8" t="s">
        <v>112</v>
      </c>
      <c r="G14" s="8" t="s">
        <v>112</v>
      </c>
      <c r="H14" s="8" t="s">
        <v>112</v>
      </c>
      <c r="I14" s="8" t="s">
        <v>112</v>
      </c>
      <c r="J14" s="8" t="s">
        <v>112</v>
      </c>
      <c r="K14" s="8" t="s">
        <v>112</v>
      </c>
      <c r="L14" s="128"/>
      <c r="M14" s="8" t="s">
        <v>112</v>
      </c>
      <c r="N14" s="8" t="s">
        <v>112</v>
      </c>
      <c r="O14" s="32" t="s">
        <v>112</v>
      </c>
      <c r="P14" s="8" t="s">
        <v>112</v>
      </c>
      <c r="Q14" s="32" t="s">
        <v>112</v>
      </c>
      <c r="R14" s="8"/>
      <c r="S14" s="5">
        <f>COUNTIF(E14:R14,"P")</f>
        <v>11</v>
      </c>
      <c r="T14" s="5">
        <f>COUNTIF(E14:R14,"A")</f>
        <v>0</v>
      </c>
      <c r="U14" s="5" t="s">
        <v>15</v>
      </c>
      <c r="V14" s="10">
        <f>SUM(S5:S25)</f>
        <v>172</v>
      </c>
      <c r="W14" s="10">
        <f>SUM(S27:S57)</f>
        <v>330</v>
      </c>
      <c r="X14" s="10">
        <f>V14+W14</f>
        <v>502</v>
      </c>
    </row>
    <row r="15" spans="1:24" ht="16.5" x14ac:dyDescent="0.25">
      <c r="A15" s="27">
        <v>11</v>
      </c>
      <c r="B15" s="30" t="s">
        <v>268</v>
      </c>
      <c r="C15" s="31" t="s">
        <v>488</v>
      </c>
      <c r="D15" s="26" t="s">
        <v>472</v>
      </c>
      <c r="E15" s="128"/>
      <c r="F15" s="8" t="s">
        <v>112</v>
      </c>
      <c r="G15" s="8" t="s">
        <v>112</v>
      </c>
      <c r="H15" s="8" t="s">
        <v>111</v>
      </c>
      <c r="I15" s="8" t="s">
        <v>112</v>
      </c>
      <c r="J15" s="8" t="s">
        <v>112</v>
      </c>
      <c r="K15" s="8" t="s">
        <v>112</v>
      </c>
      <c r="L15" s="128"/>
      <c r="M15" s="8" t="s">
        <v>112</v>
      </c>
      <c r="N15" s="8" t="s">
        <v>112</v>
      </c>
      <c r="O15" s="32" t="s">
        <v>112</v>
      </c>
      <c r="P15" s="8" t="s">
        <v>112</v>
      </c>
      <c r="Q15" s="32" t="s">
        <v>112</v>
      </c>
      <c r="R15" s="8"/>
      <c r="S15" s="5">
        <f>COUNTIF(E15:R15,"P")</f>
        <v>10</v>
      </c>
      <c r="T15" s="5">
        <f>COUNTIF(E15:R15,"A")</f>
        <v>1</v>
      </c>
      <c r="U15" s="5" t="s">
        <v>16</v>
      </c>
      <c r="V15" s="13">
        <f>V14/V13</f>
        <v>0.68253968253968256</v>
      </c>
      <c r="W15" s="13">
        <f>W14/W13</f>
        <v>0.859375</v>
      </c>
      <c r="X15" s="13">
        <f>X14/X13</f>
        <v>0.78930817610062898</v>
      </c>
    </row>
    <row r="16" spans="1:24" ht="16.5" x14ac:dyDescent="0.25">
      <c r="A16" s="10">
        <v>12</v>
      </c>
      <c r="B16" s="30" t="s">
        <v>489</v>
      </c>
      <c r="C16" s="31" t="s">
        <v>50</v>
      </c>
      <c r="D16" s="26" t="s">
        <v>472</v>
      </c>
      <c r="E16" s="128"/>
      <c r="F16" s="8" t="s">
        <v>112</v>
      </c>
      <c r="G16" s="8" t="s">
        <v>112</v>
      </c>
      <c r="H16" s="8" t="s">
        <v>112</v>
      </c>
      <c r="I16" s="8" t="s">
        <v>112</v>
      </c>
      <c r="J16" s="8" t="s">
        <v>112</v>
      </c>
      <c r="K16" s="8" t="s">
        <v>112</v>
      </c>
      <c r="L16" s="128"/>
      <c r="M16" s="8" t="s">
        <v>112</v>
      </c>
      <c r="N16" s="8" t="s">
        <v>112</v>
      </c>
      <c r="O16" s="32" t="s">
        <v>112</v>
      </c>
      <c r="P16" s="8" t="s">
        <v>112</v>
      </c>
      <c r="Q16" s="32" t="s">
        <v>112</v>
      </c>
      <c r="R16" s="8"/>
      <c r="S16" s="5">
        <f>COUNTIF(E16:R16,"P")</f>
        <v>11</v>
      </c>
      <c r="T16" s="5">
        <f>COUNTIF(E16:R16,"A")</f>
        <v>0</v>
      </c>
      <c r="U16"/>
      <c r="V16"/>
      <c r="W16"/>
      <c r="X16"/>
    </row>
    <row r="17" spans="1:24" ht="16.5" x14ac:dyDescent="0.25">
      <c r="A17" s="27">
        <v>13</v>
      </c>
      <c r="B17" s="30" t="s">
        <v>490</v>
      </c>
      <c r="C17" s="31" t="s">
        <v>491</v>
      </c>
      <c r="D17" s="26" t="s">
        <v>472</v>
      </c>
      <c r="E17" s="128"/>
      <c r="F17" s="8" t="s">
        <v>111</v>
      </c>
      <c r="G17" s="8" t="s">
        <v>111</v>
      </c>
      <c r="H17" s="8" t="s">
        <v>111</v>
      </c>
      <c r="I17" s="8" t="s">
        <v>111</v>
      </c>
      <c r="J17" s="8" t="s">
        <v>111</v>
      </c>
      <c r="K17" s="8" t="s">
        <v>111</v>
      </c>
      <c r="L17" s="128"/>
      <c r="M17" s="8" t="s">
        <v>112</v>
      </c>
      <c r="N17" s="8" t="s">
        <v>112</v>
      </c>
      <c r="O17" s="32" t="s">
        <v>112</v>
      </c>
      <c r="P17" s="8" t="s">
        <v>112</v>
      </c>
      <c r="Q17" s="32" t="s">
        <v>112</v>
      </c>
      <c r="R17" s="8"/>
      <c r="S17" s="5">
        <f>COUNTIF(E17:R17,"P")</f>
        <v>5</v>
      </c>
      <c r="T17" s="5">
        <f>COUNTIF(E17:R17,"A")</f>
        <v>6</v>
      </c>
      <c r="U17"/>
      <c r="V17"/>
      <c r="W17"/>
      <c r="X17"/>
    </row>
    <row r="18" spans="1:24" ht="16.5" x14ac:dyDescent="0.25">
      <c r="A18" s="10">
        <v>14</v>
      </c>
      <c r="B18" s="30" t="s">
        <v>492</v>
      </c>
      <c r="C18" s="31" t="s">
        <v>493</v>
      </c>
      <c r="D18" s="26" t="s">
        <v>472</v>
      </c>
      <c r="E18" s="128"/>
      <c r="F18" s="8" t="s">
        <v>112</v>
      </c>
      <c r="G18" s="8" t="s">
        <v>112</v>
      </c>
      <c r="H18" s="8" t="s">
        <v>112</v>
      </c>
      <c r="I18" s="8" t="s">
        <v>112</v>
      </c>
      <c r="J18" s="8" t="s">
        <v>112</v>
      </c>
      <c r="K18" s="8" t="s">
        <v>112</v>
      </c>
      <c r="L18" s="128"/>
      <c r="M18" s="8" t="s">
        <v>112</v>
      </c>
      <c r="N18" s="8" t="s">
        <v>111</v>
      </c>
      <c r="O18" s="32" t="s">
        <v>112</v>
      </c>
      <c r="P18" s="8" t="s">
        <v>112</v>
      </c>
      <c r="Q18" s="32" t="s">
        <v>112</v>
      </c>
      <c r="R18" s="8"/>
      <c r="S18" s="5">
        <f>COUNTIF(E18:R18,"P")</f>
        <v>10</v>
      </c>
      <c r="T18" s="5">
        <f>COUNTIF(E18:R18,"A")</f>
        <v>1</v>
      </c>
      <c r="U18"/>
      <c r="V18"/>
      <c r="W18"/>
      <c r="X18"/>
    </row>
    <row r="19" spans="1:24" ht="16.5" x14ac:dyDescent="0.25">
      <c r="A19" s="27">
        <v>15</v>
      </c>
      <c r="B19" s="30" t="s">
        <v>494</v>
      </c>
      <c r="C19" s="31" t="s">
        <v>495</v>
      </c>
      <c r="D19" s="26" t="s">
        <v>472</v>
      </c>
      <c r="E19" s="128"/>
      <c r="F19" s="8" t="s">
        <v>111</v>
      </c>
      <c r="G19" s="8" t="s">
        <v>111</v>
      </c>
      <c r="H19" s="8" t="s">
        <v>112</v>
      </c>
      <c r="I19" s="8" t="s">
        <v>112</v>
      </c>
      <c r="J19" s="8" t="s">
        <v>112</v>
      </c>
      <c r="K19" s="8" t="s">
        <v>112</v>
      </c>
      <c r="L19" s="128"/>
      <c r="M19" s="8" t="s">
        <v>112</v>
      </c>
      <c r="N19" s="8" t="s">
        <v>112</v>
      </c>
      <c r="O19" s="32" t="s">
        <v>112</v>
      </c>
      <c r="P19" s="8" t="s">
        <v>112</v>
      </c>
      <c r="Q19" s="32" t="s">
        <v>112</v>
      </c>
      <c r="R19" s="8"/>
      <c r="S19" s="5">
        <f>COUNTIF(E19:R19,"P")</f>
        <v>9</v>
      </c>
      <c r="T19" s="5">
        <f>COUNTIF(E19:R19,"A")</f>
        <v>2</v>
      </c>
      <c r="U19" s="118" t="s">
        <v>129</v>
      </c>
      <c r="V19" s="119"/>
      <c r="W19" s="119"/>
      <c r="X19" s="120"/>
    </row>
    <row r="20" spans="1:24" ht="16.5" x14ac:dyDescent="0.25">
      <c r="A20" s="10">
        <v>16</v>
      </c>
      <c r="B20" s="30" t="s">
        <v>496</v>
      </c>
      <c r="C20" s="31" t="s">
        <v>497</v>
      </c>
      <c r="D20" s="26" t="s">
        <v>472</v>
      </c>
      <c r="E20" s="128"/>
      <c r="F20" s="8" t="s">
        <v>112</v>
      </c>
      <c r="G20" s="8" t="s">
        <v>112</v>
      </c>
      <c r="H20" s="8" t="s">
        <v>112</v>
      </c>
      <c r="I20" s="8" t="s">
        <v>112</v>
      </c>
      <c r="J20" s="8" t="s">
        <v>112</v>
      </c>
      <c r="K20" s="8" t="s">
        <v>112</v>
      </c>
      <c r="L20" s="128"/>
      <c r="M20" s="8" t="s">
        <v>112</v>
      </c>
      <c r="N20" s="8" t="s">
        <v>112</v>
      </c>
      <c r="O20" s="32" t="s">
        <v>112</v>
      </c>
      <c r="P20" s="8" t="s">
        <v>112</v>
      </c>
      <c r="Q20" s="32" t="s">
        <v>112</v>
      </c>
      <c r="R20" s="8"/>
      <c r="S20" s="5">
        <f>COUNTIF(E20:R20,"P")</f>
        <v>11</v>
      </c>
      <c r="T20" s="5">
        <f>COUNTIF(E20:R20,"A")</f>
        <v>0</v>
      </c>
      <c r="U20" s="5" t="s">
        <v>10</v>
      </c>
      <c r="V20" s="5" t="s">
        <v>11</v>
      </c>
      <c r="W20" s="5" t="s">
        <v>12</v>
      </c>
      <c r="X20" s="5" t="s">
        <v>13</v>
      </c>
    </row>
    <row r="21" spans="1:24" ht="16.5" x14ac:dyDescent="0.25">
      <c r="A21" s="27">
        <v>17</v>
      </c>
      <c r="B21" s="30" t="s">
        <v>463</v>
      </c>
      <c r="C21" s="31" t="s">
        <v>498</v>
      </c>
      <c r="D21" s="26" t="s">
        <v>472</v>
      </c>
      <c r="E21" s="128"/>
      <c r="F21" s="8" t="s">
        <v>112</v>
      </c>
      <c r="G21" s="8" t="s">
        <v>112</v>
      </c>
      <c r="H21" s="8" t="s">
        <v>112</v>
      </c>
      <c r="I21" s="8" t="s">
        <v>112</v>
      </c>
      <c r="J21" s="8" t="s">
        <v>112</v>
      </c>
      <c r="K21" s="8" t="s">
        <v>112</v>
      </c>
      <c r="L21" s="128"/>
      <c r="M21" s="8" t="s">
        <v>111</v>
      </c>
      <c r="N21" s="8" t="s">
        <v>112</v>
      </c>
      <c r="O21" s="32" t="s">
        <v>112</v>
      </c>
      <c r="P21" s="8" t="s">
        <v>112</v>
      </c>
      <c r="Q21" s="32" t="s">
        <v>112</v>
      </c>
      <c r="R21" s="8"/>
      <c r="S21" s="5">
        <f>COUNTIF(E21:R21,"P")</f>
        <v>10</v>
      </c>
      <c r="T21" s="5">
        <f>COUNTIF(E21:R21,"A")</f>
        <v>1</v>
      </c>
      <c r="U21" s="5" t="s">
        <v>14</v>
      </c>
      <c r="V21" s="10">
        <f>21*$V$5</f>
        <v>252</v>
      </c>
      <c r="W21" s="10">
        <f>32*$V$5</f>
        <v>384</v>
      </c>
      <c r="X21" s="10">
        <f>V21+W21</f>
        <v>636</v>
      </c>
    </row>
    <row r="22" spans="1:24" ht="16.5" x14ac:dyDescent="0.25">
      <c r="A22" s="10">
        <v>18</v>
      </c>
      <c r="B22" s="30" t="s">
        <v>499</v>
      </c>
      <c r="C22" s="31" t="s">
        <v>146</v>
      </c>
      <c r="D22" s="26" t="s">
        <v>472</v>
      </c>
      <c r="E22" s="128"/>
      <c r="F22" s="8" t="s">
        <v>112</v>
      </c>
      <c r="G22" s="8" t="s">
        <v>112</v>
      </c>
      <c r="H22" s="8" t="s">
        <v>111</v>
      </c>
      <c r="I22" s="8" t="s">
        <v>112</v>
      </c>
      <c r="J22" s="8" t="s">
        <v>112</v>
      </c>
      <c r="K22" s="8" t="s">
        <v>112</v>
      </c>
      <c r="L22" s="128"/>
      <c r="M22" s="8" t="s">
        <v>112</v>
      </c>
      <c r="N22" s="8" t="s">
        <v>112</v>
      </c>
      <c r="O22" s="32" t="s">
        <v>112</v>
      </c>
      <c r="P22" s="8" t="s">
        <v>112</v>
      </c>
      <c r="Q22" s="32" t="s">
        <v>112</v>
      </c>
      <c r="R22" s="8"/>
      <c r="S22" s="5">
        <f>COUNTIF(E22:R22,"P")</f>
        <v>10</v>
      </c>
      <c r="T22" s="5">
        <f>COUNTIF(E22:R22,"A")</f>
        <v>1</v>
      </c>
      <c r="U22" s="5" t="s">
        <v>17</v>
      </c>
      <c r="V22" s="10">
        <f>V21-V14</f>
        <v>80</v>
      </c>
      <c r="W22" s="10">
        <f>W21-W14</f>
        <v>54</v>
      </c>
      <c r="X22" s="10">
        <f>V22+W22</f>
        <v>134</v>
      </c>
    </row>
    <row r="23" spans="1:24" ht="16.5" x14ac:dyDescent="0.25">
      <c r="A23" s="27">
        <v>19</v>
      </c>
      <c r="B23" s="30" t="s">
        <v>500</v>
      </c>
      <c r="C23" s="30" t="s">
        <v>325</v>
      </c>
      <c r="D23" s="26" t="s">
        <v>472</v>
      </c>
      <c r="E23" s="128"/>
      <c r="F23" s="8" t="s">
        <v>111</v>
      </c>
      <c r="G23" s="8" t="s">
        <v>111</v>
      </c>
      <c r="H23" s="8" t="s">
        <v>111</v>
      </c>
      <c r="I23" s="8" t="s">
        <v>111</v>
      </c>
      <c r="J23" s="8" t="s">
        <v>111</v>
      </c>
      <c r="K23" s="8" t="s">
        <v>111</v>
      </c>
      <c r="L23" s="128"/>
      <c r="M23" s="8" t="s">
        <v>111</v>
      </c>
      <c r="N23" s="8" t="s">
        <v>111</v>
      </c>
      <c r="O23" s="32" t="s">
        <v>111</v>
      </c>
      <c r="P23" s="8" t="s">
        <v>111</v>
      </c>
      <c r="Q23" s="32" t="s">
        <v>111</v>
      </c>
      <c r="R23" s="8"/>
      <c r="S23" s="5">
        <f>COUNTIF(E23:R23,"P")</f>
        <v>0</v>
      </c>
      <c r="T23" s="5">
        <f>COUNTIF(E23:R23,"A")</f>
        <v>11</v>
      </c>
      <c r="U23" s="5" t="s">
        <v>16</v>
      </c>
      <c r="V23" s="13">
        <f>V22/V21</f>
        <v>0.31746031746031744</v>
      </c>
      <c r="W23" s="13">
        <f>W22/W21</f>
        <v>0.140625</v>
      </c>
      <c r="X23" s="13">
        <f>X22/X21</f>
        <v>0.21069182389937108</v>
      </c>
    </row>
    <row r="24" spans="1:24" ht="16.5" x14ac:dyDescent="0.25">
      <c r="A24" s="10">
        <v>20</v>
      </c>
      <c r="B24" s="30" t="s">
        <v>501</v>
      </c>
      <c r="C24" s="31" t="s">
        <v>502</v>
      </c>
      <c r="D24" s="26" t="s">
        <v>472</v>
      </c>
      <c r="E24" s="128"/>
      <c r="F24" s="8" t="s">
        <v>111</v>
      </c>
      <c r="G24" s="8" t="s">
        <v>111</v>
      </c>
      <c r="H24" s="8" t="s">
        <v>111</v>
      </c>
      <c r="I24" s="8" t="s">
        <v>111</v>
      </c>
      <c r="J24" s="8" t="s">
        <v>111</v>
      </c>
      <c r="K24" s="8" t="s">
        <v>111</v>
      </c>
      <c r="L24" s="128"/>
      <c r="M24" s="8" t="s">
        <v>111</v>
      </c>
      <c r="N24" s="8" t="s">
        <v>111</v>
      </c>
      <c r="O24" s="32" t="s">
        <v>111</v>
      </c>
      <c r="P24" s="8" t="s">
        <v>111</v>
      </c>
      <c r="Q24" s="32" t="s">
        <v>112</v>
      </c>
      <c r="R24" s="8"/>
      <c r="S24" s="5">
        <f>COUNTIF(E24:R24,"P")</f>
        <v>1</v>
      </c>
      <c r="T24" s="5">
        <f>COUNTIF(E24:R24,"A")</f>
        <v>10</v>
      </c>
    </row>
    <row r="25" spans="1:24" ht="16.5" x14ac:dyDescent="0.25">
      <c r="A25" s="27">
        <v>21</v>
      </c>
      <c r="B25" s="33" t="s">
        <v>503</v>
      </c>
      <c r="C25" s="33" t="s">
        <v>504</v>
      </c>
      <c r="D25" s="26" t="s">
        <v>472</v>
      </c>
      <c r="E25" s="128"/>
      <c r="F25" s="8" t="s">
        <v>111</v>
      </c>
      <c r="G25" s="8" t="s">
        <v>112</v>
      </c>
      <c r="H25" s="8" t="s">
        <v>111</v>
      </c>
      <c r="I25" s="8" t="s">
        <v>111</v>
      </c>
      <c r="J25" s="8" t="s">
        <v>112</v>
      </c>
      <c r="K25" s="8" t="s">
        <v>112</v>
      </c>
      <c r="L25" s="128"/>
      <c r="M25" s="8" t="s">
        <v>112</v>
      </c>
      <c r="N25" s="8" t="s">
        <v>112</v>
      </c>
      <c r="O25" s="32" t="s">
        <v>112</v>
      </c>
      <c r="P25" s="8" t="s">
        <v>112</v>
      </c>
      <c r="Q25" s="32" t="s">
        <v>112</v>
      </c>
      <c r="R25" s="8"/>
      <c r="S25" s="5">
        <f>COUNTIF(E25:R25,"P")</f>
        <v>8</v>
      </c>
      <c r="T25" s="5">
        <f>COUNTIF(E25:R25,"A")</f>
        <v>3</v>
      </c>
    </row>
    <row r="26" spans="1:24" ht="16.5" x14ac:dyDescent="0.25">
      <c r="A26" s="10">
        <v>1</v>
      </c>
      <c r="B26" s="33" t="s">
        <v>135</v>
      </c>
      <c r="C26" s="33" t="s">
        <v>232</v>
      </c>
      <c r="D26" s="26" t="s">
        <v>472</v>
      </c>
      <c r="E26" s="128"/>
      <c r="F26" s="8" t="s">
        <v>112</v>
      </c>
      <c r="G26" s="8" t="s">
        <v>112</v>
      </c>
      <c r="H26" s="8" t="s">
        <v>112</v>
      </c>
      <c r="I26" s="8" t="s">
        <v>112</v>
      </c>
      <c r="J26" s="8" t="s">
        <v>112</v>
      </c>
      <c r="K26" s="8" t="s">
        <v>112</v>
      </c>
      <c r="L26" s="128"/>
      <c r="M26" s="8" t="s">
        <v>112</v>
      </c>
      <c r="N26" s="8" t="s">
        <v>112</v>
      </c>
      <c r="O26" s="32" t="s">
        <v>112</v>
      </c>
      <c r="P26" s="8" t="s">
        <v>112</v>
      </c>
      <c r="Q26" s="32" t="s">
        <v>112</v>
      </c>
      <c r="R26" s="8" t="s">
        <v>112</v>
      </c>
      <c r="S26" s="5">
        <f>COUNTIF(E26:R26,"P")</f>
        <v>12</v>
      </c>
      <c r="T26" s="5">
        <f>COUNTIF(E26:R26,"A")</f>
        <v>0</v>
      </c>
    </row>
    <row r="27" spans="1:24" ht="16.5" x14ac:dyDescent="0.25">
      <c r="A27" s="27">
        <v>2</v>
      </c>
      <c r="B27" s="33" t="s">
        <v>505</v>
      </c>
      <c r="C27" s="33" t="s">
        <v>506</v>
      </c>
      <c r="D27" s="26" t="s">
        <v>472</v>
      </c>
      <c r="E27" s="128"/>
      <c r="F27" s="8" t="s">
        <v>112</v>
      </c>
      <c r="G27" s="8" t="s">
        <v>112</v>
      </c>
      <c r="H27" s="8" t="s">
        <v>112</v>
      </c>
      <c r="I27" s="8" t="s">
        <v>112</v>
      </c>
      <c r="J27" s="8" t="s">
        <v>112</v>
      </c>
      <c r="K27" s="8" t="s">
        <v>112</v>
      </c>
      <c r="L27" s="128"/>
      <c r="M27" s="8" t="s">
        <v>112</v>
      </c>
      <c r="N27" s="8" t="s">
        <v>112</v>
      </c>
      <c r="O27" s="32" t="s">
        <v>112</v>
      </c>
      <c r="P27" s="8" t="s">
        <v>112</v>
      </c>
      <c r="Q27" s="32" t="s">
        <v>112</v>
      </c>
      <c r="R27" s="8" t="s">
        <v>112</v>
      </c>
      <c r="S27" s="5">
        <f>COUNTIF(E27:R27,"P")</f>
        <v>12</v>
      </c>
      <c r="T27" s="5">
        <f>COUNTIF(E27:R27,"A")</f>
        <v>0</v>
      </c>
    </row>
    <row r="28" spans="1:24" ht="16.5" x14ac:dyDescent="0.25">
      <c r="A28" s="10">
        <v>3</v>
      </c>
      <c r="B28" s="33" t="s">
        <v>507</v>
      </c>
      <c r="C28" s="33" t="s">
        <v>508</v>
      </c>
      <c r="D28" s="26" t="s">
        <v>472</v>
      </c>
      <c r="E28" s="128"/>
      <c r="F28" s="8" t="s">
        <v>112</v>
      </c>
      <c r="G28" s="8" t="s">
        <v>112</v>
      </c>
      <c r="H28" s="8" t="s">
        <v>111</v>
      </c>
      <c r="I28" s="8" t="s">
        <v>111</v>
      </c>
      <c r="J28" s="8" t="s">
        <v>111</v>
      </c>
      <c r="K28" s="8" t="s">
        <v>112</v>
      </c>
      <c r="L28" s="128"/>
      <c r="M28" s="8" t="s">
        <v>112</v>
      </c>
      <c r="N28" s="8" t="s">
        <v>112</v>
      </c>
      <c r="O28" s="32" t="s">
        <v>112</v>
      </c>
      <c r="P28" s="8" t="s">
        <v>112</v>
      </c>
      <c r="Q28" s="32" t="s">
        <v>112</v>
      </c>
      <c r="R28" s="8" t="s">
        <v>112</v>
      </c>
      <c r="S28" s="5">
        <f>COUNTIF(E28:R28,"P")</f>
        <v>9</v>
      </c>
      <c r="T28" s="5">
        <f>COUNTIF(E28:R28,"A")</f>
        <v>3</v>
      </c>
    </row>
    <row r="29" spans="1:24" ht="16.5" x14ac:dyDescent="0.25">
      <c r="A29" s="27">
        <v>4</v>
      </c>
      <c r="B29" s="33" t="s">
        <v>509</v>
      </c>
      <c r="C29" s="33" t="s">
        <v>510</v>
      </c>
      <c r="D29" s="26" t="s">
        <v>472</v>
      </c>
      <c r="E29" s="128"/>
      <c r="F29" s="8" t="s">
        <v>112</v>
      </c>
      <c r="G29" s="8" t="s">
        <v>112</v>
      </c>
      <c r="H29" s="8" t="s">
        <v>112</v>
      </c>
      <c r="I29" s="8" t="s">
        <v>112</v>
      </c>
      <c r="J29" s="8" t="s">
        <v>112</v>
      </c>
      <c r="K29" s="8" t="s">
        <v>112</v>
      </c>
      <c r="L29" s="128"/>
      <c r="M29" s="8" t="s">
        <v>112</v>
      </c>
      <c r="N29" s="8" t="s">
        <v>112</v>
      </c>
      <c r="O29" s="32" t="s">
        <v>112</v>
      </c>
      <c r="P29" s="8" t="s">
        <v>112</v>
      </c>
      <c r="Q29" s="32" t="s">
        <v>112</v>
      </c>
      <c r="R29" s="8" t="s">
        <v>112</v>
      </c>
      <c r="S29" s="5">
        <f>COUNTIF(E29:R29,"P")</f>
        <v>12</v>
      </c>
      <c r="T29" s="5">
        <f>COUNTIF(E29:R29,"A")</f>
        <v>0</v>
      </c>
    </row>
    <row r="30" spans="1:24" ht="16.5" x14ac:dyDescent="0.25">
      <c r="A30" s="10">
        <v>5</v>
      </c>
      <c r="B30" s="33" t="s">
        <v>430</v>
      </c>
      <c r="C30" s="33" t="s">
        <v>511</v>
      </c>
      <c r="D30" s="26" t="s">
        <v>472</v>
      </c>
      <c r="E30" s="128"/>
      <c r="F30" s="8" t="s">
        <v>112</v>
      </c>
      <c r="G30" s="8" t="s">
        <v>112</v>
      </c>
      <c r="H30" s="8" t="s">
        <v>112</v>
      </c>
      <c r="I30" s="8" t="s">
        <v>112</v>
      </c>
      <c r="J30" s="8" t="s">
        <v>112</v>
      </c>
      <c r="K30" s="8" t="s">
        <v>112</v>
      </c>
      <c r="L30" s="128"/>
      <c r="M30" s="8" t="s">
        <v>112</v>
      </c>
      <c r="N30" s="8" t="s">
        <v>112</v>
      </c>
      <c r="O30" s="32" t="s">
        <v>112</v>
      </c>
      <c r="P30" s="8" t="s">
        <v>112</v>
      </c>
      <c r="Q30" s="32" t="s">
        <v>112</v>
      </c>
      <c r="R30" s="8" t="s">
        <v>112</v>
      </c>
      <c r="S30" s="5">
        <f>COUNTIF(E30:R30,"P")</f>
        <v>12</v>
      </c>
      <c r="T30" s="5">
        <f>COUNTIF(E30:R30,"A")</f>
        <v>0</v>
      </c>
    </row>
    <row r="31" spans="1:24" ht="16.5" x14ac:dyDescent="0.25">
      <c r="A31" s="27">
        <v>6</v>
      </c>
      <c r="B31" s="33" t="s">
        <v>139</v>
      </c>
      <c r="C31" s="33" t="s">
        <v>474</v>
      </c>
      <c r="D31" s="26" t="s">
        <v>472</v>
      </c>
      <c r="E31" s="128"/>
      <c r="F31" s="8" t="s">
        <v>112</v>
      </c>
      <c r="G31" s="8" t="s">
        <v>112</v>
      </c>
      <c r="H31" s="8" t="s">
        <v>112</v>
      </c>
      <c r="I31" s="8" t="s">
        <v>112</v>
      </c>
      <c r="J31" s="8" t="s">
        <v>112</v>
      </c>
      <c r="K31" s="8" t="s">
        <v>112</v>
      </c>
      <c r="L31" s="128"/>
      <c r="M31" s="8" t="s">
        <v>112</v>
      </c>
      <c r="N31" s="8" t="s">
        <v>112</v>
      </c>
      <c r="O31" s="32" t="s">
        <v>112</v>
      </c>
      <c r="P31" s="8" t="s">
        <v>112</v>
      </c>
      <c r="Q31" s="32" t="s">
        <v>112</v>
      </c>
      <c r="R31" s="8" t="s">
        <v>112</v>
      </c>
      <c r="S31" s="5">
        <f>COUNTIF(E31:R31,"P")</f>
        <v>12</v>
      </c>
      <c r="T31" s="5">
        <f>COUNTIF(E31:R31,"A")</f>
        <v>0</v>
      </c>
    </row>
    <row r="32" spans="1:24" ht="16.5" x14ac:dyDescent="0.25">
      <c r="A32" s="10">
        <v>7</v>
      </c>
      <c r="B32" s="30" t="s">
        <v>512</v>
      </c>
      <c r="C32" s="31" t="s">
        <v>513</v>
      </c>
      <c r="D32" s="26" t="s">
        <v>472</v>
      </c>
      <c r="E32" s="128"/>
      <c r="F32" s="8" t="s">
        <v>112</v>
      </c>
      <c r="G32" s="8" t="s">
        <v>112</v>
      </c>
      <c r="H32" s="8" t="s">
        <v>112</v>
      </c>
      <c r="I32" s="8" t="s">
        <v>112</v>
      </c>
      <c r="J32" s="8" t="s">
        <v>112</v>
      </c>
      <c r="K32" s="8" t="s">
        <v>112</v>
      </c>
      <c r="L32" s="128"/>
      <c r="M32" s="8" t="s">
        <v>112</v>
      </c>
      <c r="N32" s="8" t="s">
        <v>112</v>
      </c>
      <c r="O32" s="32" t="s">
        <v>112</v>
      </c>
      <c r="P32" s="8" t="s">
        <v>112</v>
      </c>
      <c r="Q32" s="32" t="s">
        <v>112</v>
      </c>
      <c r="R32" s="8" t="s">
        <v>112</v>
      </c>
      <c r="S32" s="5">
        <f>COUNTIF(E32:R32,"P")</f>
        <v>12</v>
      </c>
      <c r="T32" s="5">
        <f>COUNTIF(E32:R32,"A")</f>
        <v>0</v>
      </c>
    </row>
    <row r="33" spans="1:20" ht="16.5" x14ac:dyDescent="0.25">
      <c r="A33" s="27">
        <v>8</v>
      </c>
      <c r="B33" s="30" t="s">
        <v>514</v>
      </c>
      <c r="C33" s="31" t="s">
        <v>515</v>
      </c>
      <c r="D33" s="26" t="s">
        <v>472</v>
      </c>
      <c r="E33" s="128"/>
      <c r="F33" s="8" t="s">
        <v>111</v>
      </c>
      <c r="G33" s="8" t="s">
        <v>111</v>
      </c>
      <c r="H33" s="8" t="s">
        <v>112</v>
      </c>
      <c r="I33" s="8" t="s">
        <v>111</v>
      </c>
      <c r="J33" s="8" t="s">
        <v>112</v>
      </c>
      <c r="K33" s="8" t="s">
        <v>111</v>
      </c>
      <c r="L33" s="128"/>
      <c r="M33" s="8" t="s">
        <v>112</v>
      </c>
      <c r="N33" s="8" t="s">
        <v>112</v>
      </c>
      <c r="O33" s="32" t="s">
        <v>112</v>
      </c>
      <c r="P33" s="8" t="s">
        <v>112</v>
      </c>
      <c r="Q33" s="32" t="s">
        <v>112</v>
      </c>
      <c r="R33" s="8" t="s">
        <v>112</v>
      </c>
      <c r="S33" s="5">
        <f>COUNTIF(E33:R33,"P")</f>
        <v>8</v>
      </c>
      <c r="T33" s="5">
        <f>COUNTIF(E33:R33,"A")</f>
        <v>4</v>
      </c>
    </row>
    <row r="34" spans="1:20" ht="16.5" x14ac:dyDescent="0.25">
      <c r="A34" s="10">
        <v>9</v>
      </c>
      <c r="B34" s="30" t="s">
        <v>516</v>
      </c>
      <c r="C34" s="31" t="s">
        <v>517</v>
      </c>
      <c r="D34" s="26" t="s">
        <v>472</v>
      </c>
      <c r="E34" s="128"/>
      <c r="F34" s="8" t="s">
        <v>112</v>
      </c>
      <c r="G34" s="8" t="s">
        <v>112</v>
      </c>
      <c r="H34" s="8" t="s">
        <v>112</v>
      </c>
      <c r="I34" s="8" t="s">
        <v>112</v>
      </c>
      <c r="J34" s="8" t="s">
        <v>112</v>
      </c>
      <c r="K34" s="8" t="s">
        <v>112</v>
      </c>
      <c r="L34" s="128"/>
      <c r="M34" s="8" t="s">
        <v>112</v>
      </c>
      <c r="N34" s="8" t="s">
        <v>112</v>
      </c>
      <c r="O34" s="32" t="s">
        <v>112</v>
      </c>
      <c r="P34" s="8" t="s">
        <v>112</v>
      </c>
      <c r="Q34" s="32" t="s">
        <v>112</v>
      </c>
      <c r="R34" s="8" t="s">
        <v>112</v>
      </c>
      <c r="S34" s="5">
        <f>COUNTIF(E34:R34,"P")</f>
        <v>12</v>
      </c>
      <c r="T34" s="5">
        <f>COUNTIF(E34:R34,"A")</f>
        <v>0</v>
      </c>
    </row>
    <row r="35" spans="1:20" ht="16.5" x14ac:dyDescent="0.25">
      <c r="A35" s="27">
        <v>10</v>
      </c>
      <c r="B35" s="30" t="s">
        <v>518</v>
      </c>
      <c r="C35" s="31" t="s">
        <v>519</v>
      </c>
      <c r="D35" s="26" t="s">
        <v>472</v>
      </c>
      <c r="E35" s="128"/>
      <c r="F35" s="8" t="s">
        <v>112</v>
      </c>
      <c r="G35" s="8" t="s">
        <v>112</v>
      </c>
      <c r="H35" s="8" t="s">
        <v>112</v>
      </c>
      <c r="I35" s="8" t="s">
        <v>112</v>
      </c>
      <c r="J35" s="8" t="s">
        <v>112</v>
      </c>
      <c r="K35" s="8" t="s">
        <v>112</v>
      </c>
      <c r="L35" s="128"/>
      <c r="M35" s="8" t="s">
        <v>112</v>
      </c>
      <c r="N35" s="8" t="s">
        <v>112</v>
      </c>
      <c r="O35" s="32" t="s">
        <v>112</v>
      </c>
      <c r="P35" s="8" t="s">
        <v>112</v>
      </c>
      <c r="Q35" s="32" t="s">
        <v>112</v>
      </c>
      <c r="R35" s="8" t="s">
        <v>112</v>
      </c>
      <c r="S35" s="5">
        <f>COUNTIF(E35:R35,"P")</f>
        <v>12</v>
      </c>
      <c r="T35" s="5">
        <f>COUNTIF(E35:R35,"A")</f>
        <v>0</v>
      </c>
    </row>
    <row r="36" spans="1:20" ht="16.5" x14ac:dyDescent="0.25">
      <c r="A36" s="10">
        <v>11</v>
      </c>
      <c r="B36" s="30" t="s">
        <v>520</v>
      </c>
      <c r="C36" s="31" t="s">
        <v>521</v>
      </c>
      <c r="D36" s="26" t="s">
        <v>472</v>
      </c>
      <c r="E36" s="128"/>
      <c r="F36" s="8" t="s">
        <v>112</v>
      </c>
      <c r="G36" s="8" t="s">
        <v>112</v>
      </c>
      <c r="H36" s="8" t="s">
        <v>112</v>
      </c>
      <c r="I36" s="8" t="s">
        <v>112</v>
      </c>
      <c r="J36" s="8" t="s">
        <v>112</v>
      </c>
      <c r="K36" s="8" t="s">
        <v>112</v>
      </c>
      <c r="L36" s="128"/>
      <c r="M36" s="8" t="s">
        <v>112</v>
      </c>
      <c r="N36" s="8" t="s">
        <v>112</v>
      </c>
      <c r="O36" s="32" t="s">
        <v>112</v>
      </c>
      <c r="P36" s="8" t="s">
        <v>112</v>
      </c>
      <c r="Q36" s="32" t="s">
        <v>112</v>
      </c>
      <c r="R36" s="8" t="s">
        <v>112</v>
      </c>
      <c r="S36" s="5">
        <f>COUNTIF(E36:R36,"P")</f>
        <v>12</v>
      </c>
      <c r="T36" s="5">
        <f>COUNTIF(E36:R36,"A")</f>
        <v>0</v>
      </c>
    </row>
    <row r="37" spans="1:20" ht="16.5" x14ac:dyDescent="0.25">
      <c r="A37" s="27">
        <v>12</v>
      </c>
      <c r="B37" s="30" t="s">
        <v>522</v>
      </c>
      <c r="C37" s="31" t="s">
        <v>523</v>
      </c>
      <c r="D37" s="26" t="s">
        <v>472</v>
      </c>
      <c r="E37" s="128"/>
      <c r="F37" s="8" t="s">
        <v>112</v>
      </c>
      <c r="G37" s="8" t="s">
        <v>112</v>
      </c>
      <c r="H37" s="8" t="s">
        <v>112</v>
      </c>
      <c r="I37" s="8" t="s">
        <v>112</v>
      </c>
      <c r="J37" s="8" t="s">
        <v>112</v>
      </c>
      <c r="K37" s="8" t="s">
        <v>111</v>
      </c>
      <c r="L37" s="128"/>
      <c r="M37" s="8" t="s">
        <v>112</v>
      </c>
      <c r="N37" s="8" t="s">
        <v>112</v>
      </c>
      <c r="O37" s="32" t="s">
        <v>112</v>
      </c>
      <c r="P37" s="8" t="s">
        <v>112</v>
      </c>
      <c r="Q37" s="32" t="s">
        <v>112</v>
      </c>
      <c r="R37" s="8" t="s">
        <v>112</v>
      </c>
      <c r="S37" s="5">
        <f>COUNTIF(E37:R37,"P")</f>
        <v>11</v>
      </c>
      <c r="T37" s="5">
        <f>COUNTIF(E37:R37,"A")</f>
        <v>1</v>
      </c>
    </row>
    <row r="38" spans="1:20" ht="16.5" x14ac:dyDescent="0.25">
      <c r="A38" s="10">
        <v>13</v>
      </c>
      <c r="B38" s="30" t="s">
        <v>524</v>
      </c>
      <c r="C38" s="31" t="s">
        <v>525</v>
      </c>
      <c r="D38" s="26" t="s">
        <v>472</v>
      </c>
      <c r="E38" s="128"/>
      <c r="F38" s="8" t="s">
        <v>111</v>
      </c>
      <c r="G38" s="8" t="s">
        <v>112</v>
      </c>
      <c r="H38" s="8" t="s">
        <v>112</v>
      </c>
      <c r="I38" s="8" t="s">
        <v>112</v>
      </c>
      <c r="J38" s="8" t="s">
        <v>112</v>
      </c>
      <c r="K38" s="8" t="s">
        <v>111</v>
      </c>
      <c r="L38" s="128"/>
      <c r="M38" s="8" t="s">
        <v>112</v>
      </c>
      <c r="N38" s="8" t="s">
        <v>112</v>
      </c>
      <c r="O38" s="32" t="s">
        <v>112</v>
      </c>
      <c r="P38" s="8" t="s">
        <v>112</v>
      </c>
      <c r="Q38" s="32" t="s">
        <v>112</v>
      </c>
      <c r="R38" s="8" t="s">
        <v>112</v>
      </c>
      <c r="S38" s="5">
        <f>COUNTIF(E38:R38,"P")</f>
        <v>10</v>
      </c>
      <c r="T38" s="5">
        <f>COUNTIF(E38:R38,"A")</f>
        <v>2</v>
      </c>
    </row>
    <row r="39" spans="1:20" ht="16.5" x14ac:dyDescent="0.25">
      <c r="A39" s="27">
        <v>14</v>
      </c>
      <c r="B39" s="30" t="s">
        <v>526</v>
      </c>
      <c r="C39" s="31" t="s">
        <v>268</v>
      </c>
      <c r="D39" s="26" t="s">
        <v>472</v>
      </c>
      <c r="E39" s="128"/>
      <c r="F39" s="8" t="s">
        <v>112</v>
      </c>
      <c r="G39" s="8" t="s">
        <v>112</v>
      </c>
      <c r="H39" s="8" t="s">
        <v>112</v>
      </c>
      <c r="I39" s="8" t="s">
        <v>112</v>
      </c>
      <c r="J39" s="8" t="s">
        <v>112</v>
      </c>
      <c r="K39" s="8" t="s">
        <v>111</v>
      </c>
      <c r="L39" s="128"/>
      <c r="M39" s="8" t="s">
        <v>112</v>
      </c>
      <c r="N39" s="8" t="s">
        <v>112</v>
      </c>
      <c r="O39" s="32" t="s">
        <v>112</v>
      </c>
      <c r="P39" s="8" t="s">
        <v>112</v>
      </c>
      <c r="Q39" s="32" t="s">
        <v>112</v>
      </c>
      <c r="R39" s="8" t="s">
        <v>112</v>
      </c>
      <c r="S39" s="5">
        <f>COUNTIF(E39:R39,"P")</f>
        <v>11</v>
      </c>
      <c r="T39" s="5">
        <f>COUNTIF(E39:R39,"A")</f>
        <v>1</v>
      </c>
    </row>
    <row r="40" spans="1:20" ht="16.5" x14ac:dyDescent="0.25">
      <c r="A40" s="10">
        <v>15</v>
      </c>
      <c r="B40" s="30" t="s">
        <v>527</v>
      </c>
      <c r="C40" s="31" t="s">
        <v>528</v>
      </c>
      <c r="D40" s="26" t="s">
        <v>472</v>
      </c>
      <c r="E40" s="128"/>
      <c r="F40" s="8" t="s">
        <v>112</v>
      </c>
      <c r="G40" s="8" t="s">
        <v>112</v>
      </c>
      <c r="H40" s="8" t="s">
        <v>112</v>
      </c>
      <c r="I40" s="8" t="s">
        <v>112</v>
      </c>
      <c r="J40" s="8" t="s">
        <v>112</v>
      </c>
      <c r="K40" s="8" t="s">
        <v>111</v>
      </c>
      <c r="L40" s="128"/>
      <c r="M40" s="8" t="s">
        <v>112</v>
      </c>
      <c r="N40" s="8" t="s">
        <v>112</v>
      </c>
      <c r="O40" s="32" t="s">
        <v>112</v>
      </c>
      <c r="P40" s="8" t="s">
        <v>112</v>
      </c>
      <c r="Q40" s="32" t="s">
        <v>112</v>
      </c>
      <c r="R40" s="8" t="s">
        <v>112</v>
      </c>
      <c r="S40" s="5">
        <f>COUNTIF(E40:R40,"P")</f>
        <v>11</v>
      </c>
      <c r="T40" s="5">
        <f>COUNTIF(E40:R40,"A")</f>
        <v>1</v>
      </c>
    </row>
    <row r="41" spans="1:20" ht="16.5" x14ac:dyDescent="0.25">
      <c r="A41" s="27">
        <v>16</v>
      </c>
      <c r="B41" s="30" t="s">
        <v>529</v>
      </c>
      <c r="C41" s="31" t="s">
        <v>89</v>
      </c>
      <c r="D41" s="26" t="s">
        <v>472</v>
      </c>
      <c r="E41" s="128"/>
      <c r="F41" s="8" t="s">
        <v>112</v>
      </c>
      <c r="G41" s="8" t="s">
        <v>112</v>
      </c>
      <c r="H41" s="8" t="s">
        <v>112</v>
      </c>
      <c r="I41" s="8" t="s">
        <v>112</v>
      </c>
      <c r="J41" s="8" t="s">
        <v>112</v>
      </c>
      <c r="K41" s="8" t="s">
        <v>112</v>
      </c>
      <c r="L41" s="128"/>
      <c r="M41" s="8" t="s">
        <v>112</v>
      </c>
      <c r="N41" s="8" t="s">
        <v>112</v>
      </c>
      <c r="O41" s="32" t="s">
        <v>112</v>
      </c>
      <c r="P41" s="8" t="s">
        <v>112</v>
      </c>
      <c r="Q41" s="32" t="s">
        <v>112</v>
      </c>
      <c r="R41" s="8" t="s">
        <v>112</v>
      </c>
      <c r="S41" s="5">
        <f>COUNTIF(E41:R41,"P")</f>
        <v>12</v>
      </c>
      <c r="T41" s="5">
        <f>COUNTIF(E41:R41,"A")</f>
        <v>0</v>
      </c>
    </row>
    <row r="42" spans="1:20" ht="16.5" x14ac:dyDescent="0.25">
      <c r="A42" s="10">
        <v>17</v>
      </c>
      <c r="B42" s="30" t="s">
        <v>530</v>
      </c>
      <c r="C42" s="31" t="s">
        <v>531</v>
      </c>
      <c r="D42" s="26" t="s">
        <v>472</v>
      </c>
      <c r="E42" s="128"/>
      <c r="F42" s="8" t="s">
        <v>112</v>
      </c>
      <c r="G42" s="8" t="s">
        <v>112</v>
      </c>
      <c r="H42" s="8" t="s">
        <v>112</v>
      </c>
      <c r="I42" s="8" t="s">
        <v>112</v>
      </c>
      <c r="J42" s="8" t="s">
        <v>112</v>
      </c>
      <c r="K42" s="8" t="s">
        <v>112</v>
      </c>
      <c r="L42" s="128"/>
      <c r="M42" s="8" t="s">
        <v>112</v>
      </c>
      <c r="N42" s="8" t="s">
        <v>112</v>
      </c>
      <c r="O42" s="32" t="s">
        <v>112</v>
      </c>
      <c r="P42" s="8" t="s">
        <v>112</v>
      </c>
      <c r="Q42" s="32" t="s">
        <v>112</v>
      </c>
      <c r="R42" s="8" t="s">
        <v>112</v>
      </c>
      <c r="S42" s="5">
        <f>COUNTIF(E42:R42,"P")</f>
        <v>12</v>
      </c>
      <c r="T42" s="5">
        <f>COUNTIF(E42:R42,"A")</f>
        <v>0</v>
      </c>
    </row>
    <row r="43" spans="1:20" ht="16.5" x14ac:dyDescent="0.25">
      <c r="A43" s="27">
        <v>18</v>
      </c>
      <c r="B43" s="30" t="s">
        <v>532</v>
      </c>
      <c r="C43" s="31" t="s">
        <v>533</v>
      </c>
      <c r="D43" s="26" t="s">
        <v>472</v>
      </c>
      <c r="E43" s="128"/>
      <c r="F43" s="8" t="s">
        <v>112</v>
      </c>
      <c r="G43" s="8" t="s">
        <v>112</v>
      </c>
      <c r="H43" s="8" t="s">
        <v>112</v>
      </c>
      <c r="I43" s="8" t="s">
        <v>112</v>
      </c>
      <c r="J43" s="8" t="s">
        <v>111</v>
      </c>
      <c r="K43" s="8" t="s">
        <v>111</v>
      </c>
      <c r="L43" s="128"/>
      <c r="M43" s="8" t="s">
        <v>111</v>
      </c>
      <c r="N43" s="8" t="s">
        <v>112</v>
      </c>
      <c r="O43" s="32" t="s">
        <v>112</v>
      </c>
      <c r="P43" s="8" t="s">
        <v>112</v>
      </c>
      <c r="Q43" s="32" t="s">
        <v>112</v>
      </c>
      <c r="R43" s="8" t="s">
        <v>112</v>
      </c>
      <c r="S43" s="5">
        <f>COUNTIF(E43:R43,"P")</f>
        <v>9</v>
      </c>
      <c r="T43" s="5">
        <f>COUNTIF(E43:R43,"A")</f>
        <v>3</v>
      </c>
    </row>
    <row r="44" spans="1:20" ht="16.5" x14ac:dyDescent="0.25">
      <c r="A44" s="10">
        <v>19</v>
      </c>
      <c r="B44" s="30" t="s">
        <v>534</v>
      </c>
      <c r="C44" s="31" t="s">
        <v>64</v>
      </c>
      <c r="D44" s="26" t="s">
        <v>472</v>
      </c>
      <c r="E44" s="128"/>
      <c r="F44" s="8" t="s">
        <v>112</v>
      </c>
      <c r="G44" s="8" t="s">
        <v>112</v>
      </c>
      <c r="H44" s="8" t="s">
        <v>112</v>
      </c>
      <c r="I44" s="8" t="s">
        <v>112</v>
      </c>
      <c r="J44" s="8" t="s">
        <v>111</v>
      </c>
      <c r="K44" s="8" t="s">
        <v>112</v>
      </c>
      <c r="L44" s="128"/>
      <c r="M44" s="8" t="s">
        <v>112</v>
      </c>
      <c r="N44" s="8" t="s">
        <v>112</v>
      </c>
      <c r="O44" s="32" t="s">
        <v>111</v>
      </c>
      <c r="P44" s="8" t="s">
        <v>112</v>
      </c>
      <c r="Q44" s="32" t="s">
        <v>112</v>
      </c>
      <c r="R44" s="8" t="s">
        <v>112</v>
      </c>
      <c r="S44" s="5">
        <f>COUNTIF(E44:R44,"P")</f>
        <v>10</v>
      </c>
      <c r="T44" s="5">
        <f>COUNTIF(E44:R44,"A")</f>
        <v>2</v>
      </c>
    </row>
    <row r="45" spans="1:20" ht="16.5" x14ac:dyDescent="0.25">
      <c r="A45" s="27">
        <v>20</v>
      </c>
      <c r="B45" s="30" t="s">
        <v>535</v>
      </c>
      <c r="C45" s="31" t="s">
        <v>536</v>
      </c>
      <c r="D45" s="26" t="s">
        <v>472</v>
      </c>
      <c r="E45" s="128"/>
      <c r="F45" s="8" t="s">
        <v>112</v>
      </c>
      <c r="G45" s="8" t="s">
        <v>111</v>
      </c>
      <c r="H45" s="8" t="s">
        <v>112</v>
      </c>
      <c r="I45" s="8" t="s">
        <v>112</v>
      </c>
      <c r="J45" s="8" t="s">
        <v>112</v>
      </c>
      <c r="K45" s="8" t="s">
        <v>112</v>
      </c>
      <c r="L45" s="128"/>
      <c r="M45" s="8" t="s">
        <v>112</v>
      </c>
      <c r="N45" s="8" t="s">
        <v>112</v>
      </c>
      <c r="O45" s="32" t="s">
        <v>112</v>
      </c>
      <c r="P45" s="8" t="s">
        <v>112</v>
      </c>
      <c r="Q45" s="32" t="s">
        <v>112</v>
      </c>
      <c r="R45" s="8" t="s">
        <v>112</v>
      </c>
      <c r="S45" s="5">
        <f>COUNTIF(E45:R45,"P")</f>
        <v>11</v>
      </c>
      <c r="T45" s="5">
        <f>COUNTIF(E45:R45,"A")</f>
        <v>1</v>
      </c>
    </row>
    <row r="46" spans="1:20" ht="16.5" x14ac:dyDescent="0.25">
      <c r="A46" s="10">
        <v>21</v>
      </c>
      <c r="B46" s="30" t="s">
        <v>537</v>
      </c>
      <c r="C46" s="31" t="s">
        <v>148</v>
      </c>
      <c r="D46" s="26" t="s">
        <v>472</v>
      </c>
      <c r="E46" s="128"/>
      <c r="F46" s="8" t="s">
        <v>112</v>
      </c>
      <c r="G46" s="8" t="s">
        <v>112</v>
      </c>
      <c r="H46" s="8" t="s">
        <v>112</v>
      </c>
      <c r="I46" s="8" t="s">
        <v>111</v>
      </c>
      <c r="J46" s="8" t="s">
        <v>112</v>
      </c>
      <c r="K46" s="8" t="s">
        <v>112</v>
      </c>
      <c r="L46" s="128"/>
      <c r="M46" s="8" t="s">
        <v>112</v>
      </c>
      <c r="N46" s="8" t="s">
        <v>112</v>
      </c>
      <c r="O46" s="32" t="s">
        <v>112</v>
      </c>
      <c r="P46" s="8" t="s">
        <v>112</v>
      </c>
      <c r="Q46" s="32" t="s">
        <v>112</v>
      </c>
      <c r="R46" s="8" t="s">
        <v>112</v>
      </c>
      <c r="S46" s="5">
        <f>COUNTIF(E46:R46,"P")</f>
        <v>11</v>
      </c>
      <c r="T46" s="5">
        <f>COUNTIF(E46:R46,"A")</f>
        <v>1</v>
      </c>
    </row>
    <row r="47" spans="1:20" x14ac:dyDescent="0.25">
      <c r="A47" s="27">
        <v>22</v>
      </c>
      <c r="B47" s="30" t="s">
        <v>538</v>
      </c>
      <c r="C47" s="31" t="s">
        <v>138</v>
      </c>
      <c r="D47" s="26" t="s">
        <v>472</v>
      </c>
      <c r="E47" s="128"/>
      <c r="F47" s="8" t="s">
        <v>111</v>
      </c>
      <c r="G47" s="8" t="s">
        <v>111</v>
      </c>
      <c r="H47" s="8" t="s">
        <v>111</v>
      </c>
      <c r="I47" s="8" t="s">
        <v>111</v>
      </c>
      <c r="J47" s="8" t="s">
        <v>111</v>
      </c>
      <c r="K47" s="8" t="s">
        <v>111</v>
      </c>
      <c r="L47" s="128"/>
      <c r="M47" s="8" t="s">
        <v>111</v>
      </c>
      <c r="N47" s="8" t="s">
        <v>111</v>
      </c>
      <c r="O47" s="8" t="s">
        <v>111</v>
      </c>
      <c r="P47" s="8" t="s">
        <v>111</v>
      </c>
      <c r="Q47" s="8" t="s">
        <v>111</v>
      </c>
      <c r="R47" s="8" t="s">
        <v>111</v>
      </c>
      <c r="S47" s="5">
        <f>COUNTIF(E47:R47,"P")</f>
        <v>0</v>
      </c>
      <c r="T47" s="5">
        <f>COUNTIF(E47:R47,"A")</f>
        <v>12</v>
      </c>
    </row>
    <row r="48" spans="1:20" ht="16.5" x14ac:dyDescent="0.25">
      <c r="A48" s="10">
        <v>23</v>
      </c>
      <c r="B48" s="30" t="s">
        <v>539</v>
      </c>
      <c r="C48" s="31" t="s">
        <v>140</v>
      </c>
      <c r="D48" s="26" t="s">
        <v>472</v>
      </c>
      <c r="E48" s="128"/>
      <c r="F48" s="8" t="s">
        <v>112</v>
      </c>
      <c r="G48" s="8" t="s">
        <v>111</v>
      </c>
      <c r="H48" s="8" t="s">
        <v>111</v>
      </c>
      <c r="I48" s="8" t="s">
        <v>112</v>
      </c>
      <c r="J48" s="8" t="s">
        <v>111</v>
      </c>
      <c r="K48" s="8" t="s">
        <v>112</v>
      </c>
      <c r="L48" s="128"/>
      <c r="M48" s="8" t="s">
        <v>112</v>
      </c>
      <c r="N48" s="8" t="s">
        <v>112</v>
      </c>
      <c r="O48" s="32" t="s">
        <v>112</v>
      </c>
      <c r="P48" s="8" t="s">
        <v>112</v>
      </c>
      <c r="Q48" s="32" t="s">
        <v>112</v>
      </c>
      <c r="R48" s="8" t="s">
        <v>112</v>
      </c>
      <c r="S48" s="5">
        <f>COUNTIF(E48:R48,"P")</f>
        <v>9</v>
      </c>
      <c r="T48" s="5">
        <f>COUNTIF(E48:R48,"A")</f>
        <v>3</v>
      </c>
    </row>
    <row r="49" spans="1:20" ht="16.5" x14ac:dyDescent="0.25">
      <c r="A49" s="27">
        <v>24</v>
      </c>
      <c r="B49" s="30" t="s">
        <v>540</v>
      </c>
      <c r="C49" s="30"/>
      <c r="D49" s="26" t="s">
        <v>472</v>
      </c>
      <c r="E49" s="128"/>
      <c r="F49" s="8" t="s">
        <v>111</v>
      </c>
      <c r="G49" s="8" t="s">
        <v>111</v>
      </c>
      <c r="H49" s="8" t="s">
        <v>112</v>
      </c>
      <c r="I49" s="8" t="s">
        <v>112</v>
      </c>
      <c r="J49" s="8" t="s">
        <v>111</v>
      </c>
      <c r="K49" s="8" t="s">
        <v>112</v>
      </c>
      <c r="L49" s="128"/>
      <c r="M49" s="8" t="s">
        <v>112</v>
      </c>
      <c r="N49" s="8" t="s">
        <v>112</v>
      </c>
      <c r="O49" s="32" t="s">
        <v>112</v>
      </c>
      <c r="P49" s="8" t="s">
        <v>112</v>
      </c>
      <c r="Q49" s="32" t="s">
        <v>112</v>
      </c>
      <c r="R49" s="8" t="s">
        <v>112</v>
      </c>
      <c r="S49" s="5">
        <f>COUNTIF(E49:R49,"P")</f>
        <v>9</v>
      </c>
      <c r="T49" s="5">
        <f>COUNTIF(E49:R49,"A")</f>
        <v>3</v>
      </c>
    </row>
    <row r="50" spans="1:20" ht="16.5" x14ac:dyDescent="0.25">
      <c r="A50" s="10">
        <v>25</v>
      </c>
      <c r="B50" s="30" t="s">
        <v>541</v>
      </c>
      <c r="C50" s="31" t="s">
        <v>493</v>
      </c>
      <c r="D50" s="26" t="s">
        <v>472</v>
      </c>
      <c r="E50" s="128"/>
      <c r="F50" s="8" t="s">
        <v>112</v>
      </c>
      <c r="G50" s="8" t="s">
        <v>112</v>
      </c>
      <c r="H50" s="8" t="s">
        <v>112</v>
      </c>
      <c r="I50" s="8" t="s">
        <v>112</v>
      </c>
      <c r="J50" s="8" t="s">
        <v>112</v>
      </c>
      <c r="K50" s="8" t="s">
        <v>112</v>
      </c>
      <c r="L50" s="128"/>
      <c r="M50" s="8" t="s">
        <v>112</v>
      </c>
      <c r="N50" s="8" t="s">
        <v>112</v>
      </c>
      <c r="O50" s="32" t="s">
        <v>112</v>
      </c>
      <c r="P50" s="8" t="s">
        <v>112</v>
      </c>
      <c r="Q50" s="32" t="s">
        <v>112</v>
      </c>
      <c r="R50" s="8" t="s">
        <v>112</v>
      </c>
      <c r="S50" s="5">
        <f>COUNTIF(E50:R50,"P")</f>
        <v>12</v>
      </c>
      <c r="T50" s="5">
        <f>COUNTIF(E50:R50,"A")</f>
        <v>0</v>
      </c>
    </row>
    <row r="51" spans="1:20" ht="16.5" x14ac:dyDescent="0.25">
      <c r="A51" s="27">
        <v>26</v>
      </c>
      <c r="B51" s="33" t="s">
        <v>542</v>
      </c>
      <c r="C51" s="33" t="s">
        <v>394</v>
      </c>
      <c r="D51" s="8" t="s">
        <v>472</v>
      </c>
      <c r="E51" s="128"/>
      <c r="F51" s="8" t="s">
        <v>112</v>
      </c>
      <c r="G51" s="8" t="s">
        <v>112</v>
      </c>
      <c r="H51" s="8" t="s">
        <v>111</v>
      </c>
      <c r="I51" s="8" t="s">
        <v>112</v>
      </c>
      <c r="J51" s="8" t="s">
        <v>112</v>
      </c>
      <c r="K51" s="8" t="s">
        <v>112</v>
      </c>
      <c r="L51" s="128"/>
      <c r="M51" s="8" t="s">
        <v>111</v>
      </c>
      <c r="N51" s="8" t="s">
        <v>112</v>
      </c>
      <c r="O51" s="32" t="s">
        <v>112</v>
      </c>
      <c r="P51" s="8" t="s">
        <v>112</v>
      </c>
      <c r="Q51" s="32" t="s">
        <v>112</v>
      </c>
      <c r="R51" s="8" t="s">
        <v>112</v>
      </c>
      <c r="S51" s="5">
        <f>COUNTIF(E51:R51,"P")</f>
        <v>10</v>
      </c>
      <c r="T51" s="5">
        <f>COUNTIF(E51:R51,"A")</f>
        <v>2</v>
      </c>
    </row>
    <row r="52" spans="1:20" ht="16.5" x14ac:dyDescent="0.25">
      <c r="A52" s="10">
        <v>27</v>
      </c>
      <c r="B52" s="33" t="s">
        <v>543</v>
      </c>
      <c r="C52" s="33" t="s">
        <v>445</v>
      </c>
      <c r="D52" s="8" t="s">
        <v>472</v>
      </c>
      <c r="E52" s="128"/>
      <c r="F52" s="8" t="s">
        <v>112</v>
      </c>
      <c r="G52" s="8" t="s">
        <v>112</v>
      </c>
      <c r="H52" s="8" t="s">
        <v>112</v>
      </c>
      <c r="I52" s="8" t="s">
        <v>112</v>
      </c>
      <c r="J52" s="8" t="s">
        <v>111</v>
      </c>
      <c r="K52" s="8" t="s">
        <v>112</v>
      </c>
      <c r="L52" s="128"/>
      <c r="M52" s="8" t="s">
        <v>112</v>
      </c>
      <c r="N52" s="8" t="s">
        <v>112</v>
      </c>
      <c r="O52" s="32" t="s">
        <v>112</v>
      </c>
      <c r="P52" s="8" t="s">
        <v>112</v>
      </c>
      <c r="Q52" s="32" t="s">
        <v>112</v>
      </c>
      <c r="R52" s="8" t="s">
        <v>112</v>
      </c>
      <c r="S52" s="5">
        <f>COUNTIF(E52:R52,"P")</f>
        <v>11</v>
      </c>
      <c r="T52" s="5">
        <f>COUNTIF(E52:R52,"A")</f>
        <v>1</v>
      </c>
    </row>
    <row r="53" spans="1:20" ht="16.5" x14ac:dyDescent="0.25">
      <c r="A53" s="27">
        <v>28</v>
      </c>
      <c r="B53" s="33" t="s">
        <v>543</v>
      </c>
      <c r="C53" s="33" t="s">
        <v>50</v>
      </c>
      <c r="D53" s="8" t="s">
        <v>472</v>
      </c>
      <c r="E53" s="128"/>
      <c r="F53" s="8" t="s">
        <v>112</v>
      </c>
      <c r="G53" s="8" t="s">
        <v>112</v>
      </c>
      <c r="H53" s="8" t="s">
        <v>112</v>
      </c>
      <c r="I53" s="8" t="s">
        <v>112</v>
      </c>
      <c r="J53" s="8" t="s">
        <v>112</v>
      </c>
      <c r="K53" s="8" t="s">
        <v>112</v>
      </c>
      <c r="L53" s="128"/>
      <c r="M53" s="8" t="s">
        <v>112</v>
      </c>
      <c r="N53" s="8" t="s">
        <v>112</v>
      </c>
      <c r="O53" s="32" t="s">
        <v>112</v>
      </c>
      <c r="P53" s="8" t="s">
        <v>112</v>
      </c>
      <c r="Q53" s="32" t="s">
        <v>112</v>
      </c>
      <c r="R53" s="8" t="s">
        <v>112</v>
      </c>
      <c r="S53" s="5">
        <f>COUNTIF(E53:R53,"P")</f>
        <v>12</v>
      </c>
      <c r="T53" s="5">
        <f>COUNTIF(E53:R53,"A")</f>
        <v>0</v>
      </c>
    </row>
    <row r="54" spans="1:20" ht="16.5" x14ac:dyDescent="0.25">
      <c r="A54" s="10">
        <v>29</v>
      </c>
      <c r="B54" s="33" t="s">
        <v>544</v>
      </c>
      <c r="C54" s="33" t="s">
        <v>545</v>
      </c>
      <c r="D54" s="8" t="s">
        <v>472</v>
      </c>
      <c r="E54" s="128"/>
      <c r="F54" s="8" t="s">
        <v>112</v>
      </c>
      <c r="G54" s="8" t="s">
        <v>112</v>
      </c>
      <c r="H54" s="8" t="s">
        <v>112</v>
      </c>
      <c r="I54" s="8" t="s">
        <v>112</v>
      </c>
      <c r="J54" s="8" t="s">
        <v>112</v>
      </c>
      <c r="K54" s="8" t="s">
        <v>111</v>
      </c>
      <c r="L54" s="128"/>
      <c r="M54" s="8" t="s">
        <v>112</v>
      </c>
      <c r="N54" s="8" t="s">
        <v>112</v>
      </c>
      <c r="O54" s="32" t="s">
        <v>112</v>
      </c>
      <c r="P54" s="8" t="s">
        <v>112</v>
      </c>
      <c r="Q54" s="32" t="s">
        <v>112</v>
      </c>
      <c r="R54" s="8" t="s">
        <v>112</v>
      </c>
      <c r="S54" s="5">
        <f>COUNTIF(E54:R54,"P")</f>
        <v>11</v>
      </c>
      <c r="T54" s="5">
        <f>COUNTIF(E54:R54,"A")</f>
        <v>1</v>
      </c>
    </row>
    <row r="55" spans="1:20" ht="16.5" x14ac:dyDescent="0.25">
      <c r="A55" s="27">
        <v>30</v>
      </c>
      <c r="B55" s="33" t="s">
        <v>546</v>
      </c>
      <c r="C55" s="33" t="s">
        <v>208</v>
      </c>
      <c r="D55" s="8" t="s">
        <v>472</v>
      </c>
      <c r="E55" s="128"/>
      <c r="F55" s="8" t="s">
        <v>112</v>
      </c>
      <c r="G55" s="8" t="s">
        <v>112</v>
      </c>
      <c r="H55" s="8" t="s">
        <v>112</v>
      </c>
      <c r="I55" s="8" t="s">
        <v>112</v>
      </c>
      <c r="J55" s="8" t="s">
        <v>111</v>
      </c>
      <c r="K55" s="8" t="s">
        <v>112</v>
      </c>
      <c r="L55" s="128"/>
      <c r="M55" s="8" t="s">
        <v>112</v>
      </c>
      <c r="N55" s="8" t="s">
        <v>112</v>
      </c>
      <c r="O55" s="32" t="s">
        <v>112</v>
      </c>
      <c r="P55" s="8" t="s">
        <v>112</v>
      </c>
      <c r="Q55" s="32" t="s">
        <v>112</v>
      </c>
      <c r="R55" s="8" t="s">
        <v>112</v>
      </c>
      <c r="S55" s="5">
        <f>COUNTIF(E55:R55,"P")</f>
        <v>11</v>
      </c>
      <c r="T55" s="5">
        <f>COUNTIF(E55:R55,"A")</f>
        <v>1</v>
      </c>
    </row>
    <row r="56" spans="1:20" ht="16.5" x14ac:dyDescent="0.25">
      <c r="A56" s="10">
        <v>31</v>
      </c>
      <c r="B56" s="33" t="s">
        <v>547</v>
      </c>
      <c r="C56" s="33" t="s">
        <v>117</v>
      </c>
      <c r="D56" s="8" t="s">
        <v>472</v>
      </c>
      <c r="E56" s="128"/>
      <c r="F56" s="8" t="s">
        <v>112</v>
      </c>
      <c r="G56" s="8" t="s">
        <v>112</v>
      </c>
      <c r="H56" s="8" t="s">
        <v>112</v>
      </c>
      <c r="I56" s="8" t="s">
        <v>112</v>
      </c>
      <c r="J56" s="8" t="s">
        <v>112</v>
      </c>
      <c r="K56" s="8" t="s">
        <v>112</v>
      </c>
      <c r="L56" s="128"/>
      <c r="M56" s="8" t="s">
        <v>112</v>
      </c>
      <c r="N56" s="8" t="s">
        <v>112</v>
      </c>
      <c r="O56" s="32" t="s">
        <v>112</v>
      </c>
      <c r="P56" s="8" t="s">
        <v>112</v>
      </c>
      <c r="Q56" s="32" t="s">
        <v>112</v>
      </c>
      <c r="R56" s="8" t="s">
        <v>112</v>
      </c>
      <c r="S56" s="5">
        <f>COUNTIF(E56:R56,"P")</f>
        <v>12</v>
      </c>
      <c r="T56" s="5">
        <f>COUNTIF(E56:R56,"A")</f>
        <v>0</v>
      </c>
    </row>
    <row r="57" spans="1:20" ht="16.5" x14ac:dyDescent="0.25">
      <c r="A57" s="27">
        <v>32</v>
      </c>
      <c r="B57" s="33" t="s">
        <v>548</v>
      </c>
      <c r="C57" s="33" t="s">
        <v>549</v>
      </c>
      <c r="D57" s="8" t="s">
        <v>472</v>
      </c>
      <c r="E57" s="128"/>
      <c r="F57" s="8" t="s">
        <v>112</v>
      </c>
      <c r="G57" s="8" t="s">
        <v>112</v>
      </c>
      <c r="H57" s="8" t="s">
        <v>112</v>
      </c>
      <c r="I57" s="8" t="s">
        <v>112</v>
      </c>
      <c r="J57" s="8" t="s">
        <v>112</v>
      </c>
      <c r="K57" s="8" t="s">
        <v>112</v>
      </c>
      <c r="L57" s="128"/>
      <c r="M57" s="8" t="s">
        <v>112</v>
      </c>
      <c r="N57" s="8" t="s">
        <v>112</v>
      </c>
      <c r="O57" s="32" t="s">
        <v>112</v>
      </c>
      <c r="P57" s="8" t="s">
        <v>112</v>
      </c>
      <c r="Q57" s="32" t="s">
        <v>112</v>
      </c>
      <c r="R57" s="8" t="s">
        <v>112</v>
      </c>
      <c r="S57" s="5">
        <f>COUNTIF(E57:R57,"P")</f>
        <v>12</v>
      </c>
      <c r="T57" s="5">
        <f>COUNTIF(E57:R57,"A")</f>
        <v>0</v>
      </c>
    </row>
  </sheetData>
  <mergeCells count="13">
    <mergeCell ref="U3:V3"/>
    <mergeCell ref="E5:E57"/>
    <mergeCell ref="L5:L57"/>
    <mergeCell ref="U11:X11"/>
    <mergeCell ref="U19:X19"/>
    <mergeCell ref="A1:T1"/>
    <mergeCell ref="A2:T2"/>
    <mergeCell ref="A3:A4"/>
    <mergeCell ref="B3:B4"/>
    <mergeCell ref="C3:C4"/>
    <mergeCell ref="D3:D4"/>
    <mergeCell ref="S3:S4"/>
    <mergeCell ref="T3:T4"/>
  </mergeCells>
  <conditionalFormatting sqref="E4:R4">
    <cfRule type="expression" dxfId="114" priority="31">
      <formula>IF(E$4=TODAY(),TRUE,FALSE)</formula>
    </cfRule>
  </conditionalFormatting>
  <conditionalFormatting sqref="E3:R4">
    <cfRule type="expression" dxfId="113" priority="32">
      <formula>E$3="Sun"</formula>
    </cfRule>
  </conditionalFormatting>
  <conditionalFormatting sqref="F5:K57 M5:R57">
    <cfRule type="cellIs" dxfId="112" priority="17" operator="equal">
      <formula>"L"</formula>
    </cfRule>
    <cfRule type="cellIs" dxfId="111" priority="18" operator="equal">
      <formula>"A"</formula>
    </cfRule>
    <cfRule type="cellIs" dxfId="110" priority="19" operator="equal">
      <formula>"P"</formula>
    </cfRule>
    <cfRule type="expression" dxfId="109" priority="20">
      <formula>IF(F$4=TODAY(),TRUE,FALSE)</formula>
    </cfRule>
    <cfRule type="expression" dxfId="108" priority="21">
      <formula>F$3="Sun"</formula>
    </cfRule>
  </conditionalFormatting>
  <conditionalFormatting sqref="E5">
    <cfRule type="cellIs" dxfId="107" priority="12" operator="equal">
      <formula>"L"</formula>
    </cfRule>
    <cfRule type="cellIs" dxfId="106" priority="13" operator="equal">
      <formula>"A"</formula>
    </cfRule>
    <cfRule type="cellIs" dxfId="105" priority="14" operator="equal">
      <formula>"P"</formula>
    </cfRule>
    <cfRule type="expression" dxfId="104" priority="15">
      <formula>IF(E$4=TODAY(),TRUE,FALSE)</formula>
    </cfRule>
    <cfRule type="expression" dxfId="103" priority="16">
      <formula>E$3="Sun"</formula>
    </cfRule>
  </conditionalFormatting>
  <conditionalFormatting sqref="L5">
    <cfRule type="cellIs" dxfId="102" priority="7" operator="equal">
      <formula>"L"</formula>
    </cfRule>
    <cfRule type="cellIs" dxfId="101" priority="8" operator="equal">
      <formula>"A"</formula>
    </cfRule>
    <cfRule type="cellIs" dxfId="100" priority="9" operator="equal">
      <formula>"P"</formula>
    </cfRule>
    <cfRule type="expression" dxfId="99" priority="10">
      <formula>IF(L$4=TODAY(),TRUE,FALSE)</formula>
    </cfRule>
    <cfRule type="expression" dxfId="98" priority="11">
      <formula>L$3="Sun"</formula>
    </cfRule>
  </conditionalFormatting>
  <conditionalFormatting sqref="S3:T3 S5:T57">
    <cfRule type="expression" dxfId="97" priority="33">
      <formula>#REF!="Sun"</formula>
    </cfRule>
  </conditionalFormatting>
  <conditionalFormatting sqref="U5:U9">
    <cfRule type="expression" dxfId="96" priority="4">
      <formula>U$3="Sun"</formula>
    </cfRule>
  </conditionalFormatting>
  <conditionalFormatting sqref="U12:U15">
    <cfRule type="expression" dxfId="95" priority="2">
      <formula>U$3="Sun"</formula>
    </cfRule>
  </conditionalFormatting>
  <conditionalFormatting sqref="U20:U23">
    <cfRule type="expression" dxfId="94" priority="1">
      <formula>U$3="Sun"</formula>
    </cfRule>
  </conditionalFormatting>
  <conditionalFormatting sqref="U4:V4">
    <cfRule type="expression" dxfId="93" priority="5">
      <formula>U$3="Sun"</formula>
    </cfRule>
  </conditionalFormatting>
  <conditionalFormatting sqref="V12:X12 V20:X20">
    <cfRule type="expression" dxfId="92" priority="6">
      <formula>V$3="Sun"</formula>
    </cfRule>
  </conditionalFormatting>
  <conditionalFormatting sqref="X21">
    <cfRule type="expression" dxfId="91" priority="3">
      <formula>X$3="Sun"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B0514-E726-4382-9605-D5F9C899A673}">
  <dimension ref="A1:X50"/>
  <sheetViews>
    <sheetView topLeftCell="B1" workbookViewId="0">
      <selection activeCell="U7" sqref="U7:V7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4.5703125" style="1" customWidth="1"/>
    <col min="6" max="6" width="3.85546875" style="1" bestFit="1"/>
    <col min="7" max="7" width="4.7109375" style="1" bestFit="1" customWidth="1"/>
    <col min="8" max="8" width="3.85546875" style="1" bestFit="1"/>
    <col min="9" max="10" width="3.7109375" style="1" bestFit="1" customWidth="1"/>
    <col min="11" max="11" width="3.85546875" style="1" bestFit="1"/>
    <col min="12" max="12" width="4.5703125" style="1" bestFit="1" customWidth="1"/>
    <col min="13" max="13" width="3.85546875" style="1" bestFit="1"/>
    <col min="14" max="14" width="4.7109375" style="1" bestFit="1" customWidth="1"/>
    <col min="15" max="15" width="3.85546875" style="1" bestFit="1"/>
    <col min="16" max="16" width="3.7109375" style="1" bestFit="1" customWidth="1"/>
    <col min="17" max="18" width="3.7109375" style="1" customWidth="1"/>
    <col min="19" max="20" width="6.7109375" style="1" bestFit="1" customWidth="1"/>
    <col min="21" max="21" width="18.5703125" style="1" bestFit="1" customWidth="1"/>
    <col min="22" max="22" width="5.85546875" style="1" bestFit="1" customWidth="1"/>
    <col min="23" max="23" width="14.28515625" style="1" bestFit="1" customWidth="1"/>
    <col min="24" max="24" width="6.7109375" style="1" bestFit="1" customWidth="1"/>
    <col min="25" max="16384" width="3.85546875" style="1"/>
  </cols>
  <sheetData>
    <row r="1" spans="1:24" ht="17.25" x14ac:dyDescent="0.25">
      <c r="A1" s="114" t="s">
        <v>18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</row>
    <row r="2" spans="1:24" ht="17.25" x14ac:dyDescent="0.3">
      <c r="A2" s="115" t="s">
        <v>122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</row>
    <row r="3" spans="1:24" ht="15.75" x14ac:dyDescent="0.25">
      <c r="A3" s="130" t="s">
        <v>0</v>
      </c>
      <c r="B3" s="130" t="s">
        <v>1</v>
      </c>
      <c r="C3" s="130" t="s">
        <v>2</v>
      </c>
      <c r="D3" s="130" t="s">
        <v>3</v>
      </c>
      <c r="E3" s="2" t="str">
        <f t="shared" ref="E3:R3" si="0">TEXT(E4,"ddd")</f>
        <v>Sun</v>
      </c>
      <c r="F3" s="2" t="str">
        <f t="shared" si="0"/>
        <v>Mon</v>
      </c>
      <c r="G3" s="2" t="str">
        <f t="shared" si="0"/>
        <v>Tue</v>
      </c>
      <c r="H3" s="2" t="str">
        <f t="shared" si="0"/>
        <v>Wed</v>
      </c>
      <c r="I3" s="2" t="str">
        <f t="shared" si="0"/>
        <v>Thu</v>
      </c>
      <c r="J3" s="2" t="str">
        <f t="shared" si="0"/>
        <v>Fri</v>
      </c>
      <c r="K3" s="2" t="str">
        <f t="shared" si="0"/>
        <v>Sat</v>
      </c>
      <c r="L3" s="2" t="str">
        <f t="shared" si="0"/>
        <v>Sun</v>
      </c>
      <c r="M3" s="2" t="str">
        <f t="shared" si="0"/>
        <v>Mon</v>
      </c>
      <c r="N3" s="2" t="str">
        <f t="shared" si="0"/>
        <v>Tue</v>
      </c>
      <c r="O3" s="2" t="str">
        <f t="shared" si="0"/>
        <v>Wed</v>
      </c>
      <c r="P3" s="2" t="str">
        <f t="shared" si="0"/>
        <v>Thu</v>
      </c>
      <c r="Q3" s="2" t="str">
        <f t="shared" si="0"/>
        <v>Fri</v>
      </c>
      <c r="R3" s="2" t="str">
        <f t="shared" si="0"/>
        <v>Sat</v>
      </c>
      <c r="S3" s="117" t="s">
        <v>4</v>
      </c>
      <c r="T3" s="117" t="s">
        <v>5</v>
      </c>
      <c r="U3" s="118" t="s">
        <v>127</v>
      </c>
      <c r="V3" s="119"/>
      <c r="W3" s="3"/>
      <c r="X3" s="3"/>
    </row>
    <row r="4" spans="1:24" ht="37.5" x14ac:dyDescent="0.25">
      <c r="A4" s="131"/>
      <c r="B4" s="131"/>
      <c r="C4" s="131"/>
      <c r="D4" s="131"/>
      <c r="E4" s="14">
        <v>45613</v>
      </c>
      <c r="F4" s="14">
        <v>45614</v>
      </c>
      <c r="G4" s="14">
        <v>45615</v>
      </c>
      <c r="H4" s="14">
        <v>45616</v>
      </c>
      <c r="I4" s="14">
        <v>45617</v>
      </c>
      <c r="J4" s="14">
        <v>45618</v>
      </c>
      <c r="K4" s="14">
        <v>45619</v>
      </c>
      <c r="L4" s="14">
        <v>45620</v>
      </c>
      <c r="M4" s="14">
        <v>45621</v>
      </c>
      <c r="N4" s="14">
        <v>45622</v>
      </c>
      <c r="O4" s="14">
        <v>45623</v>
      </c>
      <c r="P4" s="14">
        <v>45624</v>
      </c>
      <c r="Q4" s="14">
        <v>45625</v>
      </c>
      <c r="R4" s="14">
        <v>45626</v>
      </c>
      <c r="S4" s="117"/>
      <c r="T4" s="117"/>
      <c r="U4" s="5" t="s">
        <v>128</v>
      </c>
      <c r="V4" s="5">
        <f>SUM(V5:V8)</f>
        <v>14</v>
      </c>
      <c r="W4" s="3"/>
      <c r="X4" s="3"/>
    </row>
    <row r="5" spans="1:24" ht="15" customHeight="1" x14ac:dyDescent="0.25">
      <c r="A5" s="27">
        <v>1</v>
      </c>
      <c r="B5" s="30" t="s">
        <v>550</v>
      </c>
      <c r="C5" s="31" t="s">
        <v>551</v>
      </c>
      <c r="D5" s="26" t="s">
        <v>552</v>
      </c>
      <c r="E5" s="127" t="s">
        <v>553</v>
      </c>
      <c r="F5" s="8" t="s">
        <v>112</v>
      </c>
      <c r="G5" s="8" t="s">
        <v>112</v>
      </c>
      <c r="H5" s="8" t="s">
        <v>112</v>
      </c>
      <c r="I5" s="8" t="s">
        <v>112</v>
      </c>
      <c r="J5" s="8" t="s">
        <v>112</v>
      </c>
      <c r="K5" s="8" t="s">
        <v>112</v>
      </c>
      <c r="L5" s="127" t="s">
        <v>553</v>
      </c>
      <c r="M5" s="8" t="s">
        <v>112</v>
      </c>
      <c r="N5" s="8" t="s">
        <v>112</v>
      </c>
      <c r="O5" s="132"/>
      <c r="P5" s="8" t="s">
        <v>112</v>
      </c>
      <c r="Q5" s="8" t="s">
        <v>112</v>
      </c>
      <c r="R5" s="8" t="s">
        <v>112</v>
      </c>
      <c r="S5" s="5">
        <f>COUNTIF(E5:R5,"P")</f>
        <v>11</v>
      </c>
      <c r="T5" s="5">
        <f>COUNTIF(E5:R5,"A")</f>
        <v>0</v>
      </c>
      <c r="U5" s="5" t="s">
        <v>7</v>
      </c>
      <c r="V5" s="10">
        <v>12</v>
      </c>
      <c r="W5" s="11"/>
      <c r="X5" s="3"/>
    </row>
    <row r="6" spans="1:24" x14ac:dyDescent="0.25">
      <c r="A6" s="10">
        <v>2</v>
      </c>
      <c r="B6" s="30" t="s">
        <v>46</v>
      </c>
      <c r="C6" s="31" t="s">
        <v>435</v>
      </c>
      <c r="D6" s="26" t="s">
        <v>552</v>
      </c>
      <c r="E6" s="128"/>
      <c r="F6" s="8" t="s">
        <v>112</v>
      </c>
      <c r="G6" s="8" t="s">
        <v>112</v>
      </c>
      <c r="H6" s="8" t="s">
        <v>112</v>
      </c>
      <c r="I6" s="8" t="s">
        <v>112</v>
      </c>
      <c r="J6" s="8" t="s">
        <v>112</v>
      </c>
      <c r="K6" s="8" t="s">
        <v>112</v>
      </c>
      <c r="L6" s="128"/>
      <c r="M6" s="8" t="s">
        <v>112</v>
      </c>
      <c r="N6" s="8" t="s">
        <v>112</v>
      </c>
      <c r="O6" s="133"/>
      <c r="P6" s="8" t="s">
        <v>112</v>
      </c>
      <c r="Q6" s="8" t="s">
        <v>112</v>
      </c>
      <c r="R6" s="8" t="s">
        <v>112</v>
      </c>
      <c r="S6" s="5">
        <f>COUNTIF(E6:R6,"P")</f>
        <v>11</v>
      </c>
      <c r="T6" s="5">
        <f>COUNTIF(E6:R6,"A")</f>
        <v>0</v>
      </c>
      <c r="U6" s="5" t="s">
        <v>8</v>
      </c>
      <c r="V6" s="10">
        <v>2</v>
      </c>
      <c r="W6" s="3"/>
      <c r="X6" s="3"/>
    </row>
    <row r="7" spans="1:24" x14ac:dyDescent="0.25">
      <c r="A7" s="27">
        <v>3</v>
      </c>
      <c r="B7" s="30" t="s">
        <v>554</v>
      </c>
      <c r="C7" s="31" t="s">
        <v>555</v>
      </c>
      <c r="D7" s="26" t="s">
        <v>552</v>
      </c>
      <c r="E7" s="128"/>
      <c r="F7" s="8" t="s">
        <v>111</v>
      </c>
      <c r="G7" s="8" t="s">
        <v>111</v>
      </c>
      <c r="H7" s="8" t="s">
        <v>112</v>
      </c>
      <c r="I7" s="8" t="s">
        <v>112</v>
      </c>
      <c r="J7" s="8" t="s">
        <v>112</v>
      </c>
      <c r="K7" s="8" t="s">
        <v>112</v>
      </c>
      <c r="L7" s="128"/>
      <c r="M7" s="8" t="s">
        <v>112</v>
      </c>
      <c r="N7" s="8" t="s">
        <v>111</v>
      </c>
      <c r="O7" s="133"/>
      <c r="P7" s="8" t="s">
        <v>112</v>
      </c>
      <c r="Q7" s="8" t="s">
        <v>112</v>
      </c>
      <c r="R7" s="8" t="s">
        <v>112</v>
      </c>
      <c r="S7" s="5">
        <f>COUNTIF(E7:R7,"P")</f>
        <v>8</v>
      </c>
      <c r="T7" s="5">
        <f>COUNTIF(E7:R7,"A")</f>
        <v>3</v>
      </c>
      <c r="U7" s="5"/>
      <c r="V7" s="10"/>
      <c r="W7" s="3"/>
      <c r="X7" s="3"/>
    </row>
    <row r="8" spans="1:24" x14ac:dyDescent="0.25">
      <c r="A8" s="10">
        <v>4</v>
      </c>
      <c r="B8" s="30" t="s">
        <v>556</v>
      </c>
      <c r="C8" s="31" t="s">
        <v>148</v>
      </c>
      <c r="D8" s="26" t="s">
        <v>552</v>
      </c>
      <c r="E8" s="128"/>
      <c r="F8" s="8" t="s">
        <v>111</v>
      </c>
      <c r="G8" s="8" t="s">
        <v>112</v>
      </c>
      <c r="H8" s="8" t="s">
        <v>112</v>
      </c>
      <c r="I8" s="8" t="s">
        <v>112</v>
      </c>
      <c r="J8" s="8" t="s">
        <v>112</v>
      </c>
      <c r="K8" s="8" t="s">
        <v>112</v>
      </c>
      <c r="L8" s="128"/>
      <c r="M8" s="8" t="s">
        <v>112</v>
      </c>
      <c r="N8" s="8" t="s">
        <v>112</v>
      </c>
      <c r="O8" s="133"/>
      <c r="P8" s="8" t="s">
        <v>112</v>
      </c>
      <c r="Q8" s="8" t="s">
        <v>112</v>
      </c>
      <c r="R8" s="8" t="s">
        <v>112</v>
      </c>
      <c r="S8" s="5">
        <f>COUNTIF(E8:R8,"P")</f>
        <v>10</v>
      </c>
      <c r="T8" s="5">
        <f>COUNTIF(E8:R8,"A")</f>
        <v>1</v>
      </c>
      <c r="U8" s="5"/>
      <c r="V8" s="10"/>
      <c r="W8"/>
      <c r="X8"/>
    </row>
    <row r="9" spans="1:24" x14ac:dyDescent="0.25">
      <c r="A9" s="27">
        <v>5</v>
      </c>
      <c r="B9" s="30" t="s">
        <v>557</v>
      </c>
      <c r="C9" s="31" t="s">
        <v>89</v>
      </c>
      <c r="D9" s="26" t="s">
        <v>552</v>
      </c>
      <c r="E9" s="128"/>
      <c r="F9" s="8" t="s">
        <v>112</v>
      </c>
      <c r="G9" s="8" t="s">
        <v>112</v>
      </c>
      <c r="H9" s="8" t="s">
        <v>111</v>
      </c>
      <c r="I9" s="8" t="s">
        <v>112</v>
      </c>
      <c r="J9" s="8" t="s">
        <v>111</v>
      </c>
      <c r="K9" s="8" t="s">
        <v>111</v>
      </c>
      <c r="L9" s="128"/>
      <c r="M9" s="8" t="s">
        <v>112</v>
      </c>
      <c r="N9" s="8" t="s">
        <v>112</v>
      </c>
      <c r="O9" s="133"/>
      <c r="P9" s="8" t="s">
        <v>112</v>
      </c>
      <c r="Q9" s="8" t="s">
        <v>111</v>
      </c>
      <c r="R9" s="8" t="s">
        <v>112</v>
      </c>
      <c r="S9" s="5">
        <f>COUNTIF(E9:R9,"P")</f>
        <v>7</v>
      </c>
      <c r="T9" s="5">
        <f>COUNTIF(E9:R9,"A")</f>
        <v>4</v>
      </c>
      <c r="U9" s="5"/>
      <c r="V9" s="10"/>
    </row>
    <row r="10" spans="1:24" x14ac:dyDescent="0.25">
      <c r="A10" s="10">
        <v>6</v>
      </c>
      <c r="B10" s="30" t="s">
        <v>558</v>
      </c>
      <c r="C10" s="31" t="s">
        <v>559</v>
      </c>
      <c r="D10" s="26" t="s">
        <v>552</v>
      </c>
      <c r="E10" s="128"/>
      <c r="F10" s="8" t="s">
        <v>112</v>
      </c>
      <c r="G10" s="8" t="s">
        <v>112</v>
      </c>
      <c r="H10" s="8" t="s">
        <v>111</v>
      </c>
      <c r="I10" s="8" t="s">
        <v>112</v>
      </c>
      <c r="J10" s="8" t="s">
        <v>112</v>
      </c>
      <c r="K10" s="8" t="s">
        <v>112</v>
      </c>
      <c r="L10" s="128"/>
      <c r="M10" s="8" t="s">
        <v>112</v>
      </c>
      <c r="N10" s="8" t="s">
        <v>112</v>
      </c>
      <c r="O10" s="133"/>
      <c r="P10" s="8" t="s">
        <v>112</v>
      </c>
      <c r="Q10" s="8" t="s">
        <v>111</v>
      </c>
      <c r="R10" s="8" t="s">
        <v>112</v>
      </c>
      <c r="S10" s="5">
        <f>COUNTIF(E10:R10,"P")</f>
        <v>9</v>
      </c>
      <c r="T10" s="5">
        <f>COUNTIF(E10:R10,"A")</f>
        <v>2</v>
      </c>
    </row>
    <row r="11" spans="1:24" ht="15.75" x14ac:dyDescent="0.25">
      <c r="A11" s="27">
        <v>7</v>
      </c>
      <c r="B11" s="30" t="s">
        <v>560</v>
      </c>
      <c r="C11" s="31" t="s">
        <v>50</v>
      </c>
      <c r="D11" s="26" t="s">
        <v>552</v>
      </c>
      <c r="E11" s="128"/>
      <c r="F11" s="8" t="s">
        <v>112</v>
      </c>
      <c r="G11" s="8" t="s">
        <v>112</v>
      </c>
      <c r="H11" s="8" t="s">
        <v>112</v>
      </c>
      <c r="I11" s="8" t="s">
        <v>112</v>
      </c>
      <c r="J11" s="8" t="s">
        <v>112</v>
      </c>
      <c r="K11" s="8" t="s">
        <v>112</v>
      </c>
      <c r="L11" s="128"/>
      <c r="M11" s="8" t="s">
        <v>112</v>
      </c>
      <c r="N11" s="8" t="s">
        <v>112</v>
      </c>
      <c r="O11" s="133"/>
      <c r="P11" s="8" t="s">
        <v>112</v>
      </c>
      <c r="Q11" s="8" t="s">
        <v>111</v>
      </c>
      <c r="R11" s="8" t="s">
        <v>112</v>
      </c>
      <c r="S11" s="5">
        <f>COUNTIF(E11:R11,"P")</f>
        <v>10</v>
      </c>
      <c r="T11" s="5">
        <f>COUNTIF(E11:R11,"A")</f>
        <v>1</v>
      </c>
      <c r="U11" s="118" t="s">
        <v>9</v>
      </c>
      <c r="V11" s="119"/>
      <c r="W11" s="119"/>
      <c r="X11" s="120"/>
    </row>
    <row r="12" spans="1:24" x14ac:dyDescent="0.25">
      <c r="A12" s="10">
        <v>8</v>
      </c>
      <c r="B12" s="30" t="s">
        <v>561</v>
      </c>
      <c r="C12" s="31" t="s">
        <v>517</v>
      </c>
      <c r="D12" s="26" t="s">
        <v>552</v>
      </c>
      <c r="E12" s="128"/>
      <c r="F12" s="8" t="s">
        <v>112</v>
      </c>
      <c r="G12" s="8" t="s">
        <v>111</v>
      </c>
      <c r="H12" s="8" t="s">
        <v>112</v>
      </c>
      <c r="I12" s="8" t="s">
        <v>112</v>
      </c>
      <c r="J12" s="8" t="s">
        <v>112</v>
      </c>
      <c r="K12" s="8" t="s">
        <v>112</v>
      </c>
      <c r="L12" s="128"/>
      <c r="M12" s="8" t="s">
        <v>112</v>
      </c>
      <c r="N12" s="8" t="s">
        <v>112</v>
      </c>
      <c r="O12" s="133"/>
      <c r="P12" s="8" t="s">
        <v>112</v>
      </c>
      <c r="Q12" s="8" t="s">
        <v>111</v>
      </c>
      <c r="R12" s="8" t="s">
        <v>112</v>
      </c>
      <c r="S12" s="5">
        <f>COUNTIF(E12:R12,"P")</f>
        <v>9</v>
      </c>
      <c r="T12" s="5">
        <f>COUNTIF(E12:R12,"A")</f>
        <v>2</v>
      </c>
      <c r="U12" s="5" t="s">
        <v>10</v>
      </c>
      <c r="V12" s="5" t="s">
        <v>11</v>
      </c>
      <c r="W12" s="5" t="s">
        <v>12</v>
      </c>
      <c r="X12" s="5" t="s">
        <v>13</v>
      </c>
    </row>
    <row r="13" spans="1:24" x14ac:dyDescent="0.25">
      <c r="A13" s="27">
        <v>9</v>
      </c>
      <c r="B13" s="30" t="s">
        <v>562</v>
      </c>
      <c r="C13" s="31" t="s">
        <v>563</v>
      </c>
      <c r="D13" s="26" t="s">
        <v>552</v>
      </c>
      <c r="E13" s="128"/>
      <c r="F13" s="8" t="s">
        <v>112</v>
      </c>
      <c r="G13" s="8" t="s">
        <v>112</v>
      </c>
      <c r="H13" s="8" t="s">
        <v>112</v>
      </c>
      <c r="I13" s="8" t="s">
        <v>112</v>
      </c>
      <c r="J13" s="8" t="s">
        <v>112</v>
      </c>
      <c r="K13" s="8" t="s">
        <v>112</v>
      </c>
      <c r="L13" s="128"/>
      <c r="M13" s="8" t="s">
        <v>112</v>
      </c>
      <c r="N13" s="8" t="s">
        <v>112</v>
      </c>
      <c r="O13" s="133"/>
      <c r="P13" s="8" t="s">
        <v>112</v>
      </c>
      <c r="Q13" s="8" t="s">
        <v>111</v>
      </c>
      <c r="R13" s="8" t="s">
        <v>112</v>
      </c>
      <c r="S13" s="5">
        <f>COUNTIF(E13:R13,"P")</f>
        <v>10</v>
      </c>
      <c r="T13" s="5">
        <f>COUNTIF(E13:R13,"A")</f>
        <v>1</v>
      </c>
      <c r="U13" s="5" t="s">
        <v>14</v>
      </c>
      <c r="V13" s="10">
        <f>23*$V$5</f>
        <v>276</v>
      </c>
      <c r="W13" s="10">
        <f>23*$V$5</f>
        <v>276</v>
      </c>
      <c r="X13" s="10">
        <f>SUM(V13:W13)</f>
        <v>552</v>
      </c>
    </row>
    <row r="14" spans="1:24" x14ac:dyDescent="0.25">
      <c r="A14" s="10">
        <v>10</v>
      </c>
      <c r="B14" s="30" t="s">
        <v>564</v>
      </c>
      <c r="C14" s="31" t="s">
        <v>565</v>
      </c>
      <c r="D14" s="26" t="s">
        <v>552</v>
      </c>
      <c r="E14" s="128"/>
      <c r="F14" s="8" t="s">
        <v>112</v>
      </c>
      <c r="G14" s="8" t="s">
        <v>112</v>
      </c>
      <c r="H14" s="8" t="s">
        <v>112</v>
      </c>
      <c r="I14" s="8" t="s">
        <v>112</v>
      </c>
      <c r="J14" s="8" t="s">
        <v>112</v>
      </c>
      <c r="K14" s="8" t="s">
        <v>112</v>
      </c>
      <c r="L14" s="128"/>
      <c r="M14" s="8" t="s">
        <v>112</v>
      </c>
      <c r="N14" s="8" t="s">
        <v>112</v>
      </c>
      <c r="O14" s="133"/>
      <c r="P14" s="8" t="s">
        <v>112</v>
      </c>
      <c r="Q14" s="8" t="s">
        <v>111</v>
      </c>
      <c r="R14" s="8" t="s">
        <v>112</v>
      </c>
      <c r="S14" s="5">
        <f>COUNTIF(E14:R14,"P")</f>
        <v>10</v>
      </c>
      <c r="T14" s="5">
        <f>COUNTIF(E14:R14,"A")</f>
        <v>1</v>
      </c>
      <c r="U14" s="5" t="s">
        <v>15</v>
      </c>
      <c r="V14" s="10">
        <f>SUM(S5:S27)</f>
        <v>220</v>
      </c>
      <c r="W14" s="10">
        <f>SUM(S28:S50)</f>
        <v>203</v>
      </c>
      <c r="X14" s="10">
        <f>V14+W14</f>
        <v>423</v>
      </c>
    </row>
    <row r="15" spans="1:24" x14ac:dyDescent="0.25">
      <c r="A15" s="27">
        <v>11</v>
      </c>
      <c r="B15" s="30" t="s">
        <v>566</v>
      </c>
      <c r="C15" s="31" t="s">
        <v>142</v>
      </c>
      <c r="D15" s="26" t="s">
        <v>552</v>
      </c>
      <c r="E15" s="128"/>
      <c r="F15" s="8" t="s">
        <v>112</v>
      </c>
      <c r="G15" s="8" t="s">
        <v>112</v>
      </c>
      <c r="H15" s="8" t="s">
        <v>112</v>
      </c>
      <c r="I15" s="8" t="s">
        <v>112</v>
      </c>
      <c r="J15" s="8" t="s">
        <v>112</v>
      </c>
      <c r="K15" s="8" t="s">
        <v>112</v>
      </c>
      <c r="L15" s="128"/>
      <c r="M15" s="8" t="s">
        <v>112</v>
      </c>
      <c r="N15" s="8" t="s">
        <v>112</v>
      </c>
      <c r="O15" s="133"/>
      <c r="P15" s="8" t="s">
        <v>112</v>
      </c>
      <c r="Q15" s="8" t="s">
        <v>111</v>
      </c>
      <c r="R15" s="8" t="s">
        <v>112</v>
      </c>
      <c r="S15" s="5">
        <f>COUNTIF(E15:R15,"P")</f>
        <v>10</v>
      </c>
      <c r="T15" s="5">
        <f>COUNTIF(E15:R15,"A")</f>
        <v>1</v>
      </c>
      <c r="U15" s="5" t="s">
        <v>16</v>
      </c>
      <c r="V15" s="13">
        <f>V14/V13</f>
        <v>0.79710144927536231</v>
      </c>
      <c r="W15" s="13">
        <f>W14/W13</f>
        <v>0.73550724637681164</v>
      </c>
      <c r="X15" s="13">
        <f>X14/X13</f>
        <v>0.76630434782608692</v>
      </c>
    </row>
    <row r="16" spans="1:24" x14ac:dyDescent="0.25">
      <c r="A16" s="10">
        <v>12</v>
      </c>
      <c r="B16" s="30" t="s">
        <v>386</v>
      </c>
      <c r="C16" s="31" t="s">
        <v>567</v>
      </c>
      <c r="D16" s="26" t="s">
        <v>552</v>
      </c>
      <c r="E16" s="128"/>
      <c r="F16" s="8" t="s">
        <v>112</v>
      </c>
      <c r="G16" s="8" t="s">
        <v>112</v>
      </c>
      <c r="H16" s="8" t="s">
        <v>112</v>
      </c>
      <c r="I16" s="8" t="s">
        <v>112</v>
      </c>
      <c r="J16" s="8" t="s">
        <v>112</v>
      </c>
      <c r="K16" s="8" t="s">
        <v>112</v>
      </c>
      <c r="L16" s="128"/>
      <c r="M16" s="8" t="s">
        <v>112</v>
      </c>
      <c r="N16" s="8" t="s">
        <v>112</v>
      </c>
      <c r="O16" s="133"/>
      <c r="P16" s="8" t="s">
        <v>112</v>
      </c>
      <c r="Q16" s="8" t="s">
        <v>111</v>
      </c>
      <c r="R16" s="8" t="s">
        <v>112</v>
      </c>
      <c r="S16" s="5">
        <f>COUNTIF(E16:R16,"P")</f>
        <v>10</v>
      </c>
      <c r="T16" s="5">
        <f>COUNTIF(E16:R16,"A")</f>
        <v>1</v>
      </c>
      <c r="U16"/>
      <c r="V16"/>
      <c r="W16"/>
      <c r="X16"/>
    </row>
    <row r="17" spans="1:24" x14ac:dyDescent="0.25">
      <c r="A17" s="27">
        <v>13</v>
      </c>
      <c r="B17" s="30" t="s">
        <v>568</v>
      </c>
      <c r="C17" s="31" t="s">
        <v>569</v>
      </c>
      <c r="D17" s="26" t="s">
        <v>552</v>
      </c>
      <c r="E17" s="128"/>
      <c r="F17" s="8" t="s">
        <v>112</v>
      </c>
      <c r="G17" s="8" t="s">
        <v>112</v>
      </c>
      <c r="H17" s="8" t="s">
        <v>112</v>
      </c>
      <c r="I17" s="8" t="s">
        <v>112</v>
      </c>
      <c r="J17" s="8" t="s">
        <v>112</v>
      </c>
      <c r="K17" s="8" t="s">
        <v>112</v>
      </c>
      <c r="L17" s="128"/>
      <c r="M17" s="8" t="s">
        <v>112</v>
      </c>
      <c r="N17" s="8" t="s">
        <v>112</v>
      </c>
      <c r="O17" s="133"/>
      <c r="P17" s="8" t="s">
        <v>112</v>
      </c>
      <c r="Q17" s="8" t="s">
        <v>111</v>
      </c>
      <c r="R17" s="8" t="s">
        <v>112</v>
      </c>
      <c r="S17" s="5">
        <f>COUNTIF(E17:R17,"P")</f>
        <v>10</v>
      </c>
      <c r="T17" s="5">
        <f>COUNTIF(E17:R17,"A")</f>
        <v>1</v>
      </c>
      <c r="U17"/>
      <c r="V17"/>
      <c r="W17"/>
      <c r="X17"/>
    </row>
    <row r="18" spans="1:24" x14ac:dyDescent="0.25">
      <c r="A18" s="10">
        <v>14</v>
      </c>
      <c r="B18" s="30" t="s">
        <v>570</v>
      </c>
      <c r="C18" s="31" t="s">
        <v>571</v>
      </c>
      <c r="D18" s="26" t="s">
        <v>552</v>
      </c>
      <c r="E18" s="128"/>
      <c r="F18" s="8" t="s">
        <v>111</v>
      </c>
      <c r="G18" s="8" t="s">
        <v>112</v>
      </c>
      <c r="H18" s="8" t="s">
        <v>112</v>
      </c>
      <c r="I18" s="8" t="s">
        <v>112</v>
      </c>
      <c r="J18" s="8" t="s">
        <v>112</v>
      </c>
      <c r="K18" s="8" t="s">
        <v>112</v>
      </c>
      <c r="L18" s="128"/>
      <c r="M18" s="8" t="s">
        <v>112</v>
      </c>
      <c r="N18" s="8" t="s">
        <v>112</v>
      </c>
      <c r="O18" s="133"/>
      <c r="P18" s="8" t="s">
        <v>112</v>
      </c>
      <c r="Q18" s="8" t="s">
        <v>111</v>
      </c>
      <c r="R18" s="8" t="s">
        <v>112</v>
      </c>
      <c r="S18" s="5">
        <f>COUNTIF(E18:R18,"P")</f>
        <v>9</v>
      </c>
      <c r="T18" s="5">
        <f>COUNTIF(E18:R18,"A")</f>
        <v>2</v>
      </c>
      <c r="U18"/>
      <c r="V18"/>
      <c r="W18"/>
      <c r="X18"/>
    </row>
    <row r="19" spans="1:24" ht="15.75" x14ac:dyDescent="0.25">
      <c r="A19" s="27">
        <v>15</v>
      </c>
      <c r="B19" s="30" t="s">
        <v>84</v>
      </c>
      <c r="C19" s="31" t="s">
        <v>572</v>
      </c>
      <c r="D19" s="26" t="s">
        <v>552</v>
      </c>
      <c r="E19" s="128"/>
      <c r="F19" s="8" t="s">
        <v>112</v>
      </c>
      <c r="G19" s="8" t="s">
        <v>112</v>
      </c>
      <c r="H19" s="8" t="s">
        <v>112</v>
      </c>
      <c r="I19" s="8" t="s">
        <v>112</v>
      </c>
      <c r="J19" s="8" t="s">
        <v>112</v>
      </c>
      <c r="K19" s="8" t="s">
        <v>112</v>
      </c>
      <c r="L19" s="128"/>
      <c r="M19" s="8" t="s">
        <v>112</v>
      </c>
      <c r="N19" s="8" t="s">
        <v>112</v>
      </c>
      <c r="O19" s="133"/>
      <c r="P19" s="8" t="s">
        <v>112</v>
      </c>
      <c r="Q19" s="8" t="s">
        <v>111</v>
      </c>
      <c r="R19" s="8" t="s">
        <v>112</v>
      </c>
      <c r="S19" s="5">
        <f>COUNTIF(E19:R19,"P")</f>
        <v>10</v>
      </c>
      <c r="T19" s="5">
        <f>COUNTIF(E19:R19,"A")</f>
        <v>1</v>
      </c>
      <c r="U19" s="118" t="s">
        <v>129</v>
      </c>
      <c r="V19" s="119"/>
      <c r="W19" s="119"/>
      <c r="X19" s="120"/>
    </row>
    <row r="20" spans="1:24" x14ac:dyDescent="0.25">
      <c r="A20" s="10">
        <v>16</v>
      </c>
      <c r="B20" s="30" t="s">
        <v>573</v>
      </c>
      <c r="C20" s="31" t="s">
        <v>574</v>
      </c>
      <c r="D20" s="26" t="s">
        <v>552</v>
      </c>
      <c r="E20" s="128"/>
      <c r="F20" s="8" t="s">
        <v>112</v>
      </c>
      <c r="G20" s="8" t="s">
        <v>112</v>
      </c>
      <c r="H20" s="8" t="s">
        <v>112</v>
      </c>
      <c r="I20" s="8" t="s">
        <v>112</v>
      </c>
      <c r="J20" s="8" t="s">
        <v>112</v>
      </c>
      <c r="K20" s="8" t="s">
        <v>112</v>
      </c>
      <c r="L20" s="128"/>
      <c r="M20" s="8" t="s">
        <v>112</v>
      </c>
      <c r="N20" s="8" t="s">
        <v>112</v>
      </c>
      <c r="O20" s="133"/>
      <c r="P20" s="8" t="s">
        <v>112</v>
      </c>
      <c r="Q20" s="8" t="s">
        <v>111</v>
      </c>
      <c r="R20" s="8" t="s">
        <v>112</v>
      </c>
      <c r="S20" s="5">
        <f>COUNTIF(E20:R20,"P")</f>
        <v>10</v>
      </c>
      <c r="T20" s="5">
        <f>COUNTIF(E20:R20,"A")</f>
        <v>1</v>
      </c>
      <c r="U20" s="5" t="s">
        <v>10</v>
      </c>
      <c r="V20" s="5" t="s">
        <v>11</v>
      </c>
      <c r="W20" s="5" t="s">
        <v>12</v>
      </c>
      <c r="X20" s="5" t="s">
        <v>13</v>
      </c>
    </row>
    <row r="21" spans="1:24" x14ac:dyDescent="0.25">
      <c r="A21" s="27">
        <v>17</v>
      </c>
      <c r="B21" s="30" t="s">
        <v>575</v>
      </c>
      <c r="C21" s="31" t="s">
        <v>22</v>
      </c>
      <c r="D21" s="26" t="s">
        <v>552</v>
      </c>
      <c r="E21" s="128"/>
      <c r="F21" s="8" t="s">
        <v>112</v>
      </c>
      <c r="G21" s="8" t="s">
        <v>112</v>
      </c>
      <c r="H21" s="8" t="s">
        <v>112</v>
      </c>
      <c r="I21" s="8" t="s">
        <v>112</v>
      </c>
      <c r="J21" s="8" t="s">
        <v>112</v>
      </c>
      <c r="K21" s="8" t="s">
        <v>112</v>
      </c>
      <c r="L21" s="128"/>
      <c r="M21" s="8" t="s">
        <v>112</v>
      </c>
      <c r="N21" s="8" t="s">
        <v>112</v>
      </c>
      <c r="O21" s="133"/>
      <c r="P21" s="8" t="s">
        <v>112</v>
      </c>
      <c r="Q21" s="8" t="s">
        <v>111</v>
      </c>
      <c r="R21" s="8" t="s">
        <v>112</v>
      </c>
      <c r="S21" s="5">
        <f>COUNTIF(E21:R21,"P")</f>
        <v>10</v>
      </c>
      <c r="T21" s="5">
        <f>COUNTIF(E21:R21,"A")</f>
        <v>1</v>
      </c>
      <c r="U21" s="5" t="s">
        <v>14</v>
      </c>
      <c r="V21" s="10">
        <f>23*$V$5</f>
        <v>276</v>
      </c>
      <c r="W21" s="10">
        <f>23*$V$5</f>
        <v>276</v>
      </c>
      <c r="X21" s="10">
        <f>V21+W21</f>
        <v>552</v>
      </c>
    </row>
    <row r="22" spans="1:24" x14ac:dyDescent="0.25">
      <c r="A22" s="10">
        <v>18</v>
      </c>
      <c r="B22" s="30" t="s">
        <v>576</v>
      </c>
      <c r="C22" s="31" t="s">
        <v>577</v>
      </c>
      <c r="D22" s="26" t="s">
        <v>552</v>
      </c>
      <c r="E22" s="128"/>
      <c r="F22" s="8" t="s">
        <v>112</v>
      </c>
      <c r="G22" s="8" t="s">
        <v>112</v>
      </c>
      <c r="H22" s="8" t="s">
        <v>112</v>
      </c>
      <c r="I22" s="8" t="s">
        <v>112</v>
      </c>
      <c r="J22" s="8" t="s">
        <v>112</v>
      </c>
      <c r="K22" s="8" t="s">
        <v>112</v>
      </c>
      <c r="L22" s="128"/>
      <c r="M22" s="8" t="s">
        <v>112</v>
      </c>
      <c r="N22" s="8" t="s">
        <v>112</v>
      </c>
      <c r="O22" s="133"/>
      <c r="P22" s="8" t="s">
        <v>112</v>
      </c>
      <c r="Q22" s="8" t="s">
        <v>111</v>
      </c>
      <c r="R22" s="8" t="s">
        <v>112</v>
      </c>
      <c r="S22" s="5">
        <f>COUNTIF(E22:R22,"P")</f>
        <v>10</v>
      </c>
      <c r="T22" s="5">
        <f>COUNTIF(E22:R22,"A")</f>
        <v>1</v>
      </c>
      <c r="U22" s="5" t="s">
        <v>17</v>
      </c>
      <c r="V22" s="10">
        <f>V21-V14</f>
        <v>56</v>
      </c>
      <c r="W22" s="10">
        <f>W21-W14</f>
        <v>73</v>
      </c>
      <c r="X22" s="10">
        <f>V22+W22</f>
        <v>129</v>
      </c>
    </row>
    <row r="23" spans="1:24" x14ac:dyDescent="0.25">
      <c r="A23" s="27">
        <v>19</v>
      </c>
      <c r="B23" s="33" t="s">
        <v>578</v>
      </c>
      <c r="C23" s="33" t="s">
        <v>96</v>
      </c>
      <c r="D23" s="26" t="s">
        <v>552</v>
      </c>
      <c r="E23" s="128"/>
      <c r="F23" s="8" t="s">
        <v>112</v>
      </c>
      <c r="G23" s="8" t="s">
        <v>112</v>
      </c>
      <c r="H23" s="8" t="s">
        <v>112</v>
      </c>
      <c r="I23" s="8" t="s">
        <v>112</v>
      </c>
      <c r="J23" s="8" t="s">
        <v>112</v>
      </c>
      <c r="K23" s="8" t="s">
        <v>112</v>
      </c>
      <c r="L23" s="128"/>
      <c r="M23" s="8" t="s">
        <v>112</v>
      </c>
      <c r="N23" s="8" t="s">
        <v>112</v>
      </c>
      <c r="O23" s="133"/>
      <c r="P23" s="8" t="s">
        <v>112</v>
      </c>
      <c r="Q23" s="8" t="s">
        <v>111</v>
      </c>
      <c r="R23" s="8" t="s">
        <v>112</v>
      </c>
      <c r="S23" s="5">
        <f>COUNTIF(E23:R23,"P")</f>
        <v>10</v>
      </c>
      <c r="T23" s="5">
        <f>COUNTIF(E23:R23,"A")</f>
        <v>1</v>
      </c>
      <c r="U23" s="5" t="s">
        <v>16</v>
      </c>
      <c r="V23" s="13">
        <f>V22/V21</f>
        <v>0.20289855072463769</v>
      </c>
      <c r="W23" s="13">
        <f>W22/W21</f>
        <v>0.26449275362318841</v>
      </c>
      <c r="X23" s="13">
        <f>X22/X21</f>
        <v>0.23369565217391305</v>
      </c>
    </row>
    <row r="24" spans="1:24" x14ac:dyDescent="0.25">
      <c r="A24" s="10">
        <v>20</v>
      </c>
      <c r="B24" s="33" t="s">
        <v>579</v>
      </c>
      <c r="C24" s="33" t="s">
        <v>580</v>
      </c>
      <c r="D24" s="26" t="s">
        <v>552</v>
      </c>
      <c r="E24" s="128"/>
      <c r="F24" s="8" t="s">
        <v>112</v>
      </c>
      <c r="G24" s="8" t="s">
        <v>112</v>
      </c>
      <c r="H24" s="8" t="s">
        <v>112</v>
      </c>
      <c r="I24" s="8" t="s">
        <v>112</v>
      </c>
      <c r="J24" s="8" t="s">
        <v>112</v>
      </c>
      <c r="K24" s="8" t="s">
        <v>112</v>
      </c>
      <c r="L24" s="128"/>
      <c r="M24" s="8" t="s">
        <v>112</v>
      </c>
      <c r="N24" s="8" t="s">
        <v>112</v>
      </c>
      <c r="O24" s="133"/>
      <c r="P24" s="8" t="s">
        <v>112</v>
      </c>
      <c r="Q24" s="8" t="s">
        <v>111</v>
      </c>
      <c r="R24" s="8" t="s">
        <v>112</v>
      </c>
      <c r="S24" s="5">
        <f>COUNTIF(E24:R24,"P")</f>
        <v>10</v>
      </c>
      <c r="T24" s="5">
        <f>COUNTIF(E24:R24,"A")</f>
        <v>1</v>
      </c>
    </row>
    <row r="25" spans="1:24" x14ac:dyDescent="0.25">
      <c r="A25" s="27">
        <v>21</v>
      </c>
      <c r="B25" s="33" t="s">
        <v>581</v>
      </c>
      <c r="C25" s="33" t="s">
        <v>119</v>
      </c>
      <c r="D25" s="26" t="s">
        <v>552</v>
      </c>
      <c r="E25" s="128"/>
      <c r="F25" s="8" t="s">
        <v>111</v>
      </c>
      <c r="G25" s="8" t="s">
        <v>111</v>
      </c>
      <c r="H25" s="8" t="s">
        <v>112</v>
      </c>
      <c r="I25" s="8" t="s">
        <v>112</v>
      </c>
      <c r="J25" s="8" t="s">
        <v>112</v>
      </c>
      <c r="K25" s="8" t="s">
        <v>112</v>
      </c>
      <c r="L25" s="128"/>
      <c r="M25" s="8" t="s">
        <v>112</v>
      </c>
      <c r="N25" s="8" t="s">
        <v>112</v>
      </c>
      <c r="O25" s="133"/>
      <c r="P25" s="8" t="s">
        <v>112</v>
      </c>
      <c r="Q25" s="8" t="s">
        <v>111</v>
      </c>
      <c r="R25" s="8" t="s">
        <v>112</v>
      </c>
      <c r="S25" s="5">
        <f>COUNTIF(E25:R25,"P")</f>
        <v>8</v>
      </c>
      <c r="T25" s="5">
        <f>COUNTIF(E25:R25,"A")</f>
        <v>3</v>
      </c>
    </row>
    <row r="26" spans="1:24" x14ac:dyDescent="0.25">
      <c r="A26" s="10">
        <v>22</v>
      </c>
      <c r="B26" s="33" t="s">
        <v>582</v>
      </c>
      <c r="C26" s="33" t="s">
        <v>433</v>
      </c>
      <c r="D26" s="26" t="s">
        <v>552</v>
      </c>
      <c r="E26" s="128"/>
      <c r="F26" s="8" t="s">
        <v>112</v>
      </c>
      <c r="G26" s="8" t="s">
        <v>112</v>
      </c>
      <c r="H26" s="8" t="s">
        <v>112</v>
      </c>
      <c r="I26" s="8" t="s">
        <v>112</v>
      </c>
      <c r="J26" s="8" t="s">
        <v>112</v>
      </c>
      <c r="K26" s="8" t="s">
        <v>112</v>
      </c>
      <c r="L26" s="128"/>
      <c r="M26" s="8" t="s">
        <v>111</v>
      </c>
      <c r="N26" s="8" t="s">
        <v>111</v>
      </c>
      <c r="O26" s="133"/>
      <c r="P26" s="8" t="s">
        <v>112</v>
      </c>
      <c r="Q26" s="8" t="s">
        <v>111</v>
      </c>
      <c r="R26" s="8" t="s">
        <v>112</v>
      </c>
      <c r="S26" s="5">
        <f>COUNTIF(E26:R26,"P")</f>
        <v>8</v>
      </c>
      <c r="T26" s="5">
        <f>COUNTIF(E26:R26,"A")</f>
        <v>3</v>
      </c>
    </row>
    <row r="27" spans="1:24" x14ac:dyDescent="0.25">
      <c r="A27" s="27">
        <v>23</v>
      </c>
      <c r="B27" s="33" t="s">
        <v>583</v>
      </c>
      <c r="C27" s="33" t="s">
        <v>584</v>
      </c>
      <c r="D27" s="26" t="s">
        <v>552</v>
      </c>
      <c r="E27" s="128"/>
      <c r="F27" s="8" t="s">
        <v>112</v>
      </c>
      <c r="G27" s="8" t="s">
        <v>112</v>
      </c>
      <c r="H27" s="8" t="s">
        <v>112</v>
      </c>
      <c r="I27" s="8" t="s">
        <v>112</v>
      </c>
      <c r="J27" s="8" t="s">
        <v>112</v>
      </c>
      <c r="K27" s="8" t="s">
        <v>112</v>
      </c>
      <c r="L27" s="128"/>
      <c r="M27" s="8" t="s">
        <v>112</v>
      </c>
      <c r="N27" s="8" t="s">
        <v>112</v>
      </c>
      <c r="O27" s="133"/>
      <c r="P27" s="8" t="s">
        <v>112</v>
      </c>
      <c r="Q27" s="8" t="s">
        <v>111</v>
      </c>
      <c r="R27" s="8" t="s">
        <v>112</v>
      </c>
      <c r="S27" s="5">
        <f>COUNTIF(E27:R27,"P")</f>
        <v>10</v>
      </c>
      <c r="T27" s="5">
        <f>COUNTIF(E27:R27,"A")</f>
        <v>1</v>
      </c>
    </row>
    <row r="28" spans="1:24" x14ac:dyDescent="0.25">
      <c r="A28" s="10">
        <v>1</v>
      </c>
      <c r="B28" s="33" t="s">
        <v>585</v>
      </c>
      <c r="C28" s="33" t="s">
        <v>586</v>
      </c>
      <c r="D28" s="26" t="s">
        <v>552</v>
      </c>
      <c r="E28" s="128"/>
      <c r="F28" s="8" t="s">
        <v>112</v>
      </c>
      <c r="G28" s="8" t="s">
        <v>112</v>
      </c>
      <c r="H28" s="8" t="s">
        <v>112</v>
      </c>
      <c r="I28" s="8" t="s">
        <v>111</v>
      </c>
      <c r="J28" s="8" t="s">
        <v>112</v>
      </c>
      <c r="K28" s="8" t="s">
        <v>112</v>
      </c>
      <c r="L28" s="128"/>
      <c r="M28" s="8" t="s">
        <v>112</v>
      </c>
      <c r="N28" s="8" t="s">
        <v>112</v>
      </c>
      <c r="O28" s="133"/>
      <c r="P28" s="8" t="s">
        <v>112</v>
      </c>
      <c r="Q28" s="8" t="s">
        <v>111</v>
      </c>
      <c r="R28" s="8" t="s">
        <v>112</v>
      </c>
      <c r="S28" s="5">
        <f>COUNTIF(E28:R28,"P")</f>
        <v>9</v>
      </c>
      <c r="T28" s="5">
        <f>COUNTIF(E28:R28,"A")</f>
        <v>2</v>
      </c>
    </row>
    <row r="29" spans="1:24" x14ac:dyDescent="0.25">
      <c r="A29" s="27">
        <v>2</v>
      </c>
      <c r="B29" s="30" t="s">
        <v>587</v>
      </c>
      <c r="C29" s="31" t="s">
        <v>517</v>
      </c>
      <c r="D29" s="26" t="s">
        <v>552</v>
      </c>
      <c r="E29" s="128"/>
      <c r="F29" s="8" t="s">
        <v>112</v>
      </c>
      <c r="G29" s="8" t="s">
        <v>112</v>
      </c>
      <c r="H29" s="8" t="s">
        <v>112</v>
      </c>
      <c r="I29" s="8" t="s">
        <v>112</v>
      </c>
      <c r="J29" s="8" t="s">
        <v>112</v>
      </c>
      <c r="K29" s="8" t="s">
        <v>112</v>
      </c>
      <c r="L29" s="128"/>
      <c r="M29" s="8" t="s">
        <v>112</v>
      </c>
      <c r="N29" s="8" t="s">
        <v>112</v>
      </c>
      <c r="O29" s="133"/>
      <c r="P29" s="8" t="s">
        <v>112</v>
      </c>
      <c r="Q29" s="8" t="s">
        <v>111</v>
      </c>
      <c r="R29" s="8" t="s">
        <v>112</v>
      </c>
      <c r="S29" s="5">
        <f>COUNTIF(E29:R29,"P")</f>
        <v>10</v>
      </c>
      <c r="T29" s="5">
        <f>COUNTIF(E29:R29,"A")</f>
        <v>1</v>
      </c>
    </row>
    <row r="30" spans="1:24" x14ac:dyDescent="0.25">
      <c r="A30" s="10">
        <v>3</v>
      </c>
      <c r="B30" s="30" t="s">
        <v>588</v>
      </c>
      <c r="C30" s="31" t="s">
        <v>319</v>
      </c>
      <c r="D30" s="26" t="s">
        <v>552</v>
      </c>
      <c r="E30" s="128"/>
      <c r="F30" s="8" t="s">
        <v>111</v>
      </c>
      <c r="G30" s="8" t="s">
        <v>111</v>
      </c>
      <c r="H30" s="8" t="s">
        <v>111</v>
      </c>
      <c r="I30" s="8" t="s">
        <v>111</v>
      </c>
      <c r="J30" s="8" t="s">
        <v>111</v>
      </c>
      <c r="K30" s="8" t="s">
        <v>111</v>
      </c>
      <c r="L30" s="128"/>
      <c r="M30" s="8" t="s">
        <v>112</v>
      </c>
      <c r="N30" s="8" t="s">
        <v>112</v>
      </c>
      <c r="O30" s="133"/>
      <c r="P30" s="8" t="s">
        <v>112</v>
      </c>
      <c r="Q30" s="8" t="s">
        <v>111</v>
      </c>
      <c r="R30" s="8" t="s">
        <v>112</v>
      </c>
      <c r="S30" s="5">
        <f>COUNTIF(E30:R30,"P")</f>
        <v>4</v>
      </c>
      <c r="T30" s="5">
        <f>COUNTIF(E30:R30,"A")</f>
        <v>7</v>
      </c>
    </row>
    <row r="31" spans="1:24" x14ac:dyDescent="0.25">
      <c r="A31" s="27">
        <v>4</v>
      </c>
      <c r="B31" s="30" t="s">
        <v>589</v>
      </c>
      <c r="C31" s="31" t="s">
        <v>136</v>
      </c>
      <c r="D31" s="26" t="s">
        <v>552</v>
      </c>
      <c r="E31" s="128"/>
      <c r="F31" s="8" t="s">
        <v>112</v>
      </c>
      <c r="G31" s="8" t="s">
        <v>112</v>
      </c>
      <c r="H31" s="8" t="s">
        <v>112</v>
      </c>
      <c r="I31" s="8" t="s">
        <v>112</v>
      </c>
      <c r="J31" s="8" t="s">
        <v>112</v>
      </c>
      <c r="K31" s="8" t="s">
        <v>111</v>
      </c>
      <c r="L31" s="128"/>
      <c r="M31" s="8" t="s">
        <v>112</v>
      </c>
      <c r="N31" s="8" t="s">
        <v>112</v>
      </c>
      <c r="O31" s="133"/>
      <c r="P31" s="8" t="s">
        <v>112</v>
      </c>
      <c r="Q31" s="8" t="s">
        <v>111</v>
      </c>
      <c r="R31" s="8" t="s">
        <v>112</v>
      </c>
      <c r="S31" s="5">
        <f>COUNTIF(E31:R31,"P")</f>
        <v>9</v>
      </c>
      <c r="T31" s="5">
        <f>COUNTIF(E31:R31,"A")</f>
        <v>2</v>
      </c>
    </row>
    <row r="32" spans="1:24" x14ac:dyDescent="0.25">
      <c r="A32" s="10">
        <v>5</v>
      </c>
      <c r="B32" s="30" t="s">
        <v>401</v>
      </c>
      <c r="C32" s="31" t="s">
        <v>26</v>
      </c>
      <c r="D32" s="26" t="s">
        <v>552</v>
      </c>
      <c r="E32" s="128"/>
      <c r="F32" s="8" t="s">
        <v>112</v>
      </c>
      <c r="G32" s="8" t="s">
        <v>112</v>
      </c>
      <c r="H32" s="8" t="s">
        <v>112</v>
      </c>
      <c r="I32" s="8" t="s">
        <v>112</v>
      </c>
      <c r="J32" s="8" t="s">
        <v>112</v>
      </c>
      <c r="K32" s="8" t="s">
        <v>112</v>
      </c>
      <c r="L32" s="128"/>
      <c r="M32" s="8" t="s">
        <v>112</v>
      </c>
      <c r="N32" s="8" t="s">
        <v>112</v>
      </c>
      <c r="O32" s="133"/>
      <c r="P32" s="8" t="s">
        <v>112</v>
      </c>
      <c r="Q32" s="8" t="s">
        <v>111</v>
      </c>
      <c r="R32" s="8" t="s">
        <v>112</v>
      </c>
      <c r="S32" s="5">
        <f>COUNTIF(E32:R32,"P")</f>
        <v>10</v>
      </c>
      <c r="T32" s="5">
        <f>COUNTIF(E32:R32,"A")</f>
        <v>1</v>
      </c>
    </row>
    <row r="33" spans="1:20" x14ac:dyDescent="0.25">
      <c r="A33" s="27">
        <v>6</v>
      </c>
      <c r="B33" s="30" t="s">
        <v>590</v>
      </c>
      <c r="C33" s="31" t="s">
        <v>577</v>
      </c>
      <c r="D33" s="26" t="s">
        <v>552</v>
      </c>
      <c r="E33" s="128"/>
      <c r="F33" s="8" t="s">
        <v>112</v>
      </c>
      <c r="G33" s="8" t="s">
        <v>112</v>
      </c>
      <c r="H33" s="8" t="s">
        <v>112</v>
      </c>
      <c r="I33" s="8" t="s">
        <v>112</v>
      </c>
      <c r="J33" s="8" t="s">
        <v>112</v>
      </c>
      <c r="K33" s="8" t="s">
        <v>112</v>
      </c>
      <c r="L33" s="128"/>
      <c r="M33" s="8" t="s">
        <v>112</v>
      </c>
      <c r="N33" s="8" t="s">
        <v>112</v>
      </c>
      <c r="O33" s="133"/>
      <c r="P33" s="8" t="s">
        <v>112</v>
      </c>
      <c r="Q33" s="8" t="s">
        <v>111</v>
      </c>
      <c r="R33" s="8" t="s">
        <v>112</v>
      </c>
      <c r="S33" s="5">
        <f>COUNTIF(E33:R33,"P")</f>
        <v>10</v>
      </c>
      <c r="T33" s="5">
        <f>COUNTIF(E33:R33,"A")</f>
        <v>1</v>
      </c>
    </row>
    <row r="34" spans="1:20" x14ac:dyDescent="0.25">
      <c r="A34" s="10">
        <v>7</v>
      </c>
      <c r="B34" s="30" t="s">
        <v>591</v>
      </c>
      <c r="C34" s="31" t="s">
        <v>592</v>
      </c>
      <c r="D34" s="26" t="s">
        <v>552</v>
      </c>
      <c r="E34" s="128"/>
      <c r="F34" s="8" t="s">
        <v>112</v>
      </c>
      <c r="G34" s="8" t="s">
        <v>112</v>
      </c>
      <c r="H34" s="8" t="s">
        <v>112</v>
      </c>
      <c r="I34" s="8" t="s">
        <v>112</v>
      </c>
      <c r="J34" s="8" t="s">
        <v>112</v>
      </c>
      <c r="K34" s="8" t="s">
        <v>112</v>
      </c>
      <c r="L34" s="128"/>
      <c r="M34" s="8" t="s">
        <v>112</v>
      </c>
      <c r="N34" s="8" t="s">
        <v>112</v>
      </c>
      <c r="O34" s="133"/>
      <c r="P34" s="8" t="s">
        <v>112</v>
      </c>
      <c r="Q34" s="8" t="s">
        <v>111</v>
      </c>
      <c r="R34" s="8" t="s">
        <v>112</v>
      </c>
      <c r="S34" s="5">
        <f>COUNTIF(E34:R34,"P")</f>
        <v>10</v>
      </c>
      <c r="T34" s="5">
        <f>COUNTIF(E34:R34,"A")</f>
        <v>1</v>
      </c>
    </row>
    <row r="35" spans="1:20" x14ac:dyDescent="0.25">
      <c r="A35" s="27">
        <v>8</v>
      </c>
      <c r="B35" s="30" t="s">
        <v>593</v>
      </c>
      <c r="C35" s="31" t="s">
        <v>440</v>
      </c>
      <c r="D35" s="26" t="s">
        <v>552</v>
      </c>
      <c r="E35" s="128"/>
      <c r="F35" s="8" t="s">
        <v>112</v>
      </c>
      <c r="G35" s="8" t="s">
        <v>111</v>
      </c>
      <c r="H35" s="8" t="s">
        <v>112</v>
      </c>
      <c r="I35" s="8" t="s">
        <v>112</v>
      </c>
      <c r="J35" s="8" t="s">
        <v>112</v>
      </c>
      <c r="K35" s="8" t="s">
        <v>111</v>
      </c>
      <c r="L35" s="128"/>
      <c r="M35" s="8" t="s">
        <v>112</v>
      </c>
      <c r="N35" s="8" t="s">
        <v>112</v>
      </c>
      <c r="O35" s="133"/>
      <c r="P35" s="8" t="s">
        <v>112</v>
      </c>
      <c r="Q35" s="8" t="s">
        <v>111</v>
      </c>
      <c r="R35" s="8" t="s">
        <v>112</v>
      </c>
      <c r="S35" s="5">
        <f>COUNTIF(E35:R35,"P")</f>
        <v>8</v>
      </c>
      <c r="T35" s="5">
        <f>COUNTIF(E35:R35,"A")</f>
        <v>3</v>
      </c>
    </row>
    <row r="36" spans="1:20" x14ac:dyDescent="0.25">
      <c r="A36" s="10">
        <v>9</v>
      </c>
      <c r="B36" s="30" t="s">
        <v>594</v>
      </c>
      <c r="C36" s="31" t="s">
        <v>175</v>
      </c>
      <c r="D36" s="26" t="s">
        <v>552</v>
      </c>
      <c r="E36" s="128"/>
      <c r="F36" s="8" t="s">
        <v>112</v>
      </c>
      <c r="G36" s="8" t="s">
        <v>112</v>
      </c>
      <c r="H36" s="8" t="s">
        <v>112</v>
      </c>
      <c r="I36" s="8" t="s">
        <v>112</v>
      </c>
      <c r="J36" s="8" t="s">
        <v>112</v>
      </c>
      <c r="K36" s="8" t="s">
        <v>112</v>
      </c>
      <c r="L36" s="128"/>
      <c r="M36" s="8" t="s">
        <v>112</v>
      </c>
      <c r="N36" s="8" t="s">
        <v>112</v>
      </c>
      <c r="O36" s="133"/>
      <c r="P36" s="8" t="s">
        <v>112</v>
      </c>
      <c r="Q36" s="8" t="s">
        <v>111</v>
      </c>
      <c r="R36" s="8" t="s">
        <v>112</v>
      </c>
      <c r="S36" s="5">
        <f>COUNTIF(E36:R36,"P")</f>
        <v>10</v>
      </c>
      <c r="T36" s="5">
        <f>COUNTIF(E36:R36,"A")</f>
        <v>1</v>
      </c>
    </row>
    <row r="37" spans="1:20" x14ac:dyDescent="0.25">
      <c r="A37" s="27">
        <v>10</v>
      </c>
      <c r="B37" s="30" t="s">
        <v>595</v>
      </c>
      <c r="C37" s="31" t="s">
        <v>596</v>
      </c>
      <c r="D37" s="26" t="s">
        <v>552</v>
      </c>
      <c r="E37" s="128"/>
      <c r="F37" s="8" t="s">
        <v>112</v>
      </c>
      <c r="G37" s="8" t="s">
        <v>112</v>
      </c>
      <c r="H37" s="8" t="s">
        <v>112</v>
      </c>
      <c r="I37" s="8" t="s">
        <v>112</v>
      </c>
      <c r="J37" s="8" t="s">
        <v>112</v>
      </c>
      <c r="K37" s="8" t="s">
        <v>112</v>
      </c>
      <c r="L37" s="128"/>
      <c r="M37" s="8" t="s">
        <v>112</v>
      </c>
      <c r="N37" s="8" t="s">
        <v>112</v>
      </c>
      <c r="O37" s="133"/>
      <c r="P37" s="8" t="s">
        <v>112</v>
      </c>
      <c r="Q37" s="8" t="s">
        <v>111</v>
      </c>
      <c r="R37" s="8" t="s">
        <v>112</v>
      </c>
      <c r="S37" s="5">
        <f>COUNTIF(E37:R37,"P")</f>
        <v>10</v>
      </c>
      <c r="T37" s="5">
        <f>COUNTIF(E37:R37,"A")</f>
        <v>1</v>
      </c>
    </row>
    <row r="38" spans="1:20" x14ac:dyDescent="0.25">
      <c r="A38" s="10">
        <v>11</v>
      </c>
      <c r="B38" s="30" t="s">
        <v>597</v>
      </c>
      <c r="C38" s="31" t="s">
        <v>598</v>
      </c>
      <c r="D38" s="26" t="s">
        <v>552</v>
      </c>
      <c r="E38" s="128"/>
      <c r="F38" s="8" t="s">
        <v>112</v>
      </c>
      <c r="G38" s="8" t="s">
        <v>111</v>
      </c>
      <c r="H38" s="8" t="s">
        <v>112</v>
      </c>
      <c r="I38" s="8" t="s">
        <v>112</v>
      </c>
      <c r="J38" s="8" t="s">
        <v>112</v>
      </c>
      <c r="K38" s="8" t="s">
        <v>111</v>
      </c>
      <c r="L38" s="128"/>
      <c r="M38" s="8" t="s">
        <v>112</v>
      </c>
      <c r="N38" s="8" t="s">
        <v>112</v>
      </c>
      <c r="O38" s="133"/>
      <c r="P38" s="8" t="s">
        <v>112</v>
      </c>
      <c r="Q38" s="8" t="s">
        <v>111</v>
      </c>
      <c r="R38" s="8" t="s">
        <v>112</v>
      </c>
      <c r="S38" s="5">
        <f>COUNTIF(E38:R38,"P")</f>
        <v>8</v>
      </c>
      <c r="T38" s="5">
        <f>COUNTIF(E38:R38,"A")</f>
        <v>3</v>
      </c>
    </row>
    <row r="39" spans="1:20" x14ac:dyDescent="0.25">
      <c r="A39" s="27">
        <v>12</v>
      </c>
      <c r="B39" s="30" t="s">
        <v>599</v>
      </c>
      <c r="C39" s="31" t="s">
        <v>195</v>
      </c>
      <c r="D39" s="26" t="s">
        <v>552</v>
      </c>
      <c r="E39" s="128"/>
      <c r="F39" s="8" t="s">
        <v>112</v>
      </c>
      <c r="G39" s="8" t="s">
        <v>112</v>
      </c>
      <c r="H39" s="8" t="s">
        <v>112</v>
      </c>
      <c r="I39" s="8" t="s">
        <v>112</v>
      </c>
      <c r="J39" s="8" t="s">
        <v>112</v>
      </c>
      <c r="K39" s="8" t="s">
        <v>112</v>
      </c>
      <c r="L39" s="128"/>
      <c r="M39" s="8" t="s">
        <v>112</v>
      </c>
      <c r="N39" s="8" t="s">
        <v>112</v>
      </c>
      <c r="O39" s="133"/>
      <c r="P39" s="8" t="s">
        <v>112</v>
      </c>
      <c r="Q39" s="8" t="s">
        <v>111</v>
      </c>
      <c r="R39" s="8" t="s">
        <v>112</v>
      </c>
      <c r="S39" s="5">
        <f>COUNTIF(E39:R39,"P")</f>
        <v>10</v>
      </c>
      <c r="T39" s="5">
        <f>COUNTIF(E39:R39,"A")</f>
        <v>1</v>
      </c>
    </row>
    <row r="40" spans="1:20" x14ac:dyDescent="0.25">
      <c r="A40" s="10">
        <v>13</v>
      </c>
      <c r="B40" s="30" t="s">
        <v>600</v>
      </c>
      <c r="C40" s="31" t="s">
        <v>136</v>
      </c>
      <c r="D40" s="26" t="s">
        <v>552</v>
      </c>
      <c r="E40" s="128"/>
      <c r="F40" s="8" t="s">
        <v>112</v>
      </c>
      <c r="G40" s="8" t="s">
        <v>111</v>
      </c>
      <c r="H40" s="8" t="s">
        <v>111</v>
      </c>
      <c r="I40" s="8" t="s">
        <v>112</v>
      </c>
      <c r="J40" s="8" t="s">
        <v>112</v>
      </c>
      <c r="K40" s="8" t="s">
        <v>112</v>
      </c>
      <c r="L40" s="128"/>
      <c r="M40" s="8" t="s">
        <v>112</v>
      </c>
      <c r="N40" s="8" t="s">
        <v>112</v>
      </c>
      <c r="O40" s="133"/>
      <c r="P40" s="8" t="s">
        <v>112</v>
      </c>
      <c r="Q40" s="8" t="s">
        <v>111</v>
      </c>
      <c r="R40" s="8" t="s">
        <v>112</v>
      </c>
      <c r="S40" s="5">
        <f>COUNTIF(E40:R40,"P")</f>
        <v>8</v>
      </c>
      <c r="T40" s="5">
        <f>COUNTIF(E40:R40,"A")</f>
        <v>3</v>
      </c>
    </row>
    <row r="41" spans="1:20" x14ac:dyDescent="0.25">
      <c r="A41" s="27">
        <v>14</v>
      </c>
      <c r="B41" s="30" t="s">
        <v>601</v>
      </c>
      <c r="C41" s="31" t="s">
        <v>50</v>
      </c>
      <c r="D41" s="26" t="s">
        <v>552</v>
      </c>
      <c r="E41" s="128"/>
      <c r="F41" s="8" t="s">
        <v>112</v>
      </c>
      <c r="G41" s="8" t="s">
        <v>112</v>
      </c>
      <c r="H41" s="8" t="s">
        <v>112</v>
      </c>
      <c r="I41" s="8" t="s">
        <v>112</v>
      </c>
      <c r="J41" s="8" t="s">
        <v>112</v>
      </c>
      <c r="K41" s="8" t="s">
        <v>112</v>
      </c>
      <c r="L41" s="128"/>
      <c r="M41" s="8" t="s">
        <v>112</v>
      </c>
      <c r="N41" s="8" t="s">
        <v>112</v>
      </c>
      <c r="O41" s="133"/>
      <c r="P41" s="8" t="s">
        <v>112</v>
      </c>
      <c r="Q41" s="8" t="s">
        <v>111</v>
      </c>
      <c r="R41" s="8" t="s">
        <v>112</v>
      </c>
      <c r="S41" s="5">
        <f>COUNTIF(E41:R41,"P")</f>
        <v>10</v>
      </c>
      <c r="T41" s="5">
        <f>COUNTIF(E41:R41,"A")</f>
        <v>1</v>
      </c>
    </row>
    <row r="42" spans="1:20" x14ac:dyDescent="0.25">
      <c r="A42" s="10">
        <v>15</v>
      </c>
      <c r="B42" s="30" t="s">
        <v>602</v>
      </c>
      <c r="C42" s="31" t="s">
        <v>596</v>
      </c>
      <c r="D42" s="26" t="s">
        <v>552</v>
      </c>
      <c r="E42" s="128"/>
      <c r="F42" s="8" t="s">
        <v>111</v>
      </c>
      <c r="G42" s="8" t="s">
        <v>112</v>
      </c>
      <c r="H42" s="8" t="s">
        <v>112</v>
      </c>
      <c r="I42" s="8" t="s">
        <v>112</v>
      </c>
      <c r="J42" s="8" t="s">
        <v>112</v>
      </c>
      <c r="K42" s="8" t="s">
        <v>112</v>
      </c>
      <c r="L42" s="128"/>
      <c r="M42" s="8" t="s">
        <v>112</v>
      </c>
      <c r="N42" s="8" t="s">
        <v>112</v>
      </c>
      <c r="O42" s="133"/>
      <c r="P42" s="8" t="s">
        <v>112</v>
      </c>
      <c r="Q42" s="8" t="s">
        <v>111</v>
      </c>
      <c r="R42" s="8" t="s">
        <v>112</v>
      </c>
      <c r="S42" s="5">
        <f>COUNTIF(E42:R42,"P")</f>
        <v>9</v>
      </c>
      <c r="T42" s="5">
        <f>COUNTIF(E42:R42,"A")</f>
        <v>2</v>
      </c>
    </row>
    <row r="43" spans="1:20" x14ac:dyDescent="0.25">
      <c r="A43" s="27">
        <v>16</v>
      </c>
      <c r="B43" s="30" t="s">
        <v>603</v>
      </c>
      <c r="C43" s="31" t="s">
        <v>64</v>
      </c>
      <c r="D43" s="26" t="s">
        <v>552</v>
      </c>
      <c r="E43" s="128"/>
      <c r="F43" s="8" t="s">
        <v>111</v>
      </c>
      <c r="G43" s="8" t="s">
        <v>112</v>
      </c>
      <c r="H43" s="8" t="s">
        <v>112</v>
      </c>
      <c r="I43" s="8" t="s">
        <v>112</v>
      </c>
      <c r="J43" s="8" t="s">
        <v>112</v>
      </c>
      <c r="K43" s="8" t="s">
        <v>112</v>
      </c>
      <c r="L43" s="128"/>
      <c r="M43" s="8" t="s">
        <v>112</v>
      </c>
      <c r="N43" s="8" t="s">
        <v>112</v>
      </c>
      <c r="O43" s="133"/>
      <c r="P43" s="8" t="s">
        <v>112</v>
      </c>
      <c r="Q43" s="8" t="s">
        <v>111</v>
      </c>
      <c r="R43" s="8" t="s">
        <v>112</v>
      </c>
      <c r="S43" s="5">
        <f>COUNTIF(E43:R43,"P")</f>
        <v>9</v>
      </c>
      <c r="T43" s="5">
        <f>COUNTIF(E43:R43,"A")</f>
        <v>2</v>
      </c>
    </row>
    <row r="44" spans="1:20" x14ac:dyDescent="0.25">
      <c r="A44" s="10">
        <v>17</v>
      </c>
      <c r="B44" s="33" t="s">
        <v>604</v>
      </c>
      <c r="C44" s="33" t="s">
        <v>605</v>
      </c>
      <c r="D44" s="8" t="s">
        <v>552</v>
      </c>
      <c r="E44" s="128"/>
      <c r="F44" s="8" t="s">
        <v>113</v>
      </c>
      <c r="G44" s="8" t="s">
        <v>112</v>
      </c>
      <c r="H44" s="8" t="s">
        <v>112</v>
      </c>
      <c r="I44" s="8" t="s">
        <v>112</v>
      </c>
      <c r="J44" s="8" t="s">
        <v>112</v>
      </c>
      <c r="K44" s="8" t="s">
        <v>112</v>
      </c>
      <c r="L44" s="128"/>
      <c r="M44" s="8" t="s">
        <v>111</v>
      </c>
      <c r="N44" s="8" t="s">
        <v>112</v>
      </c>
      <c r="O44" s="133"/>
      <c r="P44" s="8" t="s">
        <v>112</v>
      </c>
      <c r="Q44" s="8" t="s">
        <v>111</v>
      </c>
      <c r="R44" s="8" t="s">
        <v>112</v>
      </c>
      <c r="S44" s="5">
        <f>COUNTIF(E44:R44,"P")</f>
        <v>8</v>
      </c>
      <c r="T44" s="5">
        <f>COUNTIF(E44:R44,"A")</f>
        <v>2</v>
      </c>
    </row>
    <row r="45" spans="1:20" x14ac:dyDescent="0.25">
      <c r="A45" s="27">
        <v>18</v>
      </c>
      <c r="B45" s="33" t="s">
        <v>606</v>
      </c>
      <c r="C45" s="33" t="s">
        <v>136</v>
      </c>
      <c r="D45" s="8" t="s">
        <v>552</v>
      </c>
      <c r="E45" s="128"/>
      <c r="F45" s="8" t="s">
        <v>113</v>
      </c>
      <c r="G45" s="8" t="s">
        <v>112</v>
      </c>
      <c r="H45" s="8" t="s">
        <v>112</v>
      </c>
      <c r="I45" s="8" t="s">
        <v>112</v>
      </c>
      <c r="J45" s="8" t="s">
        <v>112</v>
      </c>
      <c r="K45" s="8" t="s">
        <v>112</v>
      </c>
      <c r="L45" s="128"/>
      <c r="M45" s="8" t="s">
        <v>112</v>
      </c>
      <c r="N45" s="8" t="s">
        <v>112</v>
      </c>
      <c r="O45" s="133"/>
      <c r="P45" s="8" t="s">
        <v>112</v>
      </c>
      <c r="Q45" s="8" t="s">
        <v>111</v>
      </c>
      <c r="R45" s="8" t="s">
        <v>112</v>
      </c>
      <c r="S45" s="5">
        <f>COUNTIF(E45:R45,"P")</f>
        <v>9</v>
      </c>
      <c r="T45" s="5">
        <f>COUNTIF(E45:R45,"A")</f>
        <v>1</v>
      </c>
    </row>
    <row r="46" spans="1:20" x14ac:dyDescent="0.25">
      <c r="A46" s="10">
        <v>19</v>
      </c>
      <c r="B46" s="33" t="s">
        <v>607</v>
      </c>
      <c r="C46" s="33" t="s">
        <v>608</v>
      </c>
      <c r="D46" s="8" t="s">
        <v>552</v>
      </c>
      <c r="E46" s="128"/>
      <c r="F46" s="8" t="s">
        <v>112</v>
      </c>
      <c r="G46" s="8" t="s">
        <v>112</v>
      </c>
      <c r="H46" s="8" t="s">
        <v>112</v>
      </c>
      <c r="I46" s="8" t="s">
        <v>112</v>
      </c>
      <c r="J46" s="8" t="s">
        <v>112</v>
      </c>
      <c r="K46" s="8" t="s">
        <v>111</v>
      </c>
      <c r="L46" s="128"/>
      <c r="M46" s="8" t="s">
        <v>112</v>
      </c>
      <c r="N46" s="8" t="s">
        <v>112</v>
      </c>
      <c r="O46" s="133"/>
      <c r="P46" s="8" t="s">
        <v>112</v>
      </c>
      <c r="Q46" s="8" t="s">
        <v>111</v>
      </c>
      <c r="R46" s="8" t="s">
        <v>112</v>
      </c>
      <c r="S46" s="5">
        <f>COUNTIF(E46:R46,"P")</f>
        <v>9</v>
      </c>
      <c r="T46" s="5">
        <f>COUNTIF(E46:R46,"A")</f>
        <v>2</v>
      </c>
    </row>
    <row r="47" spans="1:20" x14ac:dyDescent="0.25">
      <c r="A47" s="27">
        <v>20</v>
      </c>
      <c r="B47" s="33" t="s">
        <v>609</v>
      </c>
      <c r="C47" s="33" t="s">
        <v>577</v>
      </c>
      <c r="D47" s="8" t="s">
        <v>552</v>
      </c>
      <c r="E47" s="128"/>
      <c r="F47" s="8" t="s">
        <v>112</v>
      </c>
      <c r="G47" s="8" t="s">
        <v>112</v>
      </c>
      <c r="H47" s="8" t="s">
        <v>112</v>
      </c>
      <c r="I47" s="8" t="s">
        <v>112</v>
      </c>
      <c r="J47" s="8" t="s">
        <v>112</v>
      </c>
      <c r="K47" s="8" t="s">
        <v>112</v>
      </c>
      <c r="L47" s="128"/>
      <c r="M47" s="8" t="s">
        <v>112</v>
      </c>
      <c r="N47" s="8" t="s">
        <v>112</v>
      </c>
      <c r="O47" s="133"/>
      <c r="P47" s="8" t="s">
        <v>112</v>
      </c>
      <c r="Q47" s="8" t="s">
        <v>111</v>
      </c>
      <c r="R47" s="8" t="s">
        <v>112</v>
      </c>
      <c r="S47" s="5">
        <f>COUNTIF(E47:R47,"P")</f>
        <v>10</v>
      </c>
      <c r="T47" s="5">
        <f>COUNTIF(E47:R47,"A")</f>
        <v>1</v>
      </c>
    </row>
    <row r="48" spans="1:20" x14ac:dyDescent="0.25">
      <c r="A48" s="10">
        <v>21</v>
      </c>
      <c r="B48" s="33" t="s">
        <v>610</v>
      </c>
      <c r="C48" s="33" t="s">
        <v>611</v>
      </c>
      <c r="D48" s="8" t="s">
        <v>552</v>
      </c>
      <c r="E48" s="128"/>
      <c r="F48" s="8" t="s">
        <v>112</v>
      </c>
      <c r="G48" s="8" t="s">
        <v>111</v>
      </c>
      <c r="H48" s="8" t="s">
        <v>112</v>
      </c>
      <c r="I48" s="8" t="s">
        <v>112</v>
      </c>
      <c r="J48" s="8" t="s">
        <v>111</v>
      </c>
      <c r="K48" s="8" t="s">
        <v>111</v>
      </c>
      <c r="L48" s="128"/>
      <c r="M48" s="8" t="s">
        <v>112</v>
      </c>
      <c r="N48" s="8" t="s">
        <v>112</v>
      </c>
      <c r="O48" s="133"/>
      <c r="P48" s="8" t="s">
        <v>112</v>
      </c>
      <c r="Q48" s="8" t="s">
        <v>111</v>
      </c>
      <c r="R48" s="8" t="s">
        <v>112</v>
      </c>
      <c r="S48" s="5">
        <f>COUNTIF(E48:R48,"P")</f>
        <v>7</v>
      </c>
      <c r="T48" s="5">
        <f>COUNTIF(E48:R48,"A")</f>
        <v>4</v>
      </c>
    </row>
    <row r="49" spans="1:20" x14ac:dyDescent="0.25">
      <c r="A49" s="27">
        <v>22</v>
      </c>
      <c r="B49" s="33" t="s">
        <v>612</v>
      </c>
      <c r="C49" s="33" t="s">
        <v>613</v>
      </c>
      <c r="D49" s="8" t="s">
        <v>552</v>
      </c>
      <c r="E49" s="128"/>
      <c r="F49" s="8" t="s">
        <v>112</v>
      </c>
      <c r="G49" s="8" t="s">
        <v>111</v>
      </c>
      <c r="H49" s="8" t="s">
        <v>112</v>
      </c>
      <c r="I49" s="8" t="s">
        <v>112</v>
      </c>
      <c r="J49" s="8" t="s">
        <v>112</v>
      </c>
      <c r="K49" s="8" t="s">
        <v>111</v>
      </c>
      <c r="L49" s="128"/>
      <c r="M49" s="8" t="s">
        <v>112</v>
      </c>
      <c r="N49" s="8" t="s">
        <v>112</v>
      </c>
      <c r="O49" s="133"/>
      <c r="P49" s="8" t="s">
        <v>112</v>
      </c>
      <c r="Q49" s="8" t="s">
        <v>111</v>
      </c>
      <c r="R49" s="8" t="s">
        <v>112</v>
      </c>
      <c r="S49" s="5">
        <f>COUNTIF(E49:R49,"P")</f>
        <v>8</v>
      </c>
      <c r="T49" s="5">
        <f>COUNTIF(E49:R49,"A")</f>
        <v>3</v>
      </c>
    </row>
    <row r="50" spans="1:20" x14ac:dyDescent="0.25">
      <c r="A50" s="10">
        <v>23</v>
      </c>
      <c r="B50" s="33" t="s">
        <v>614</v>
      </c>
      <c r="C50" s="33" t="s">
        <v>615</v>
      </c>
      <c r="D50" s="8" t="s">
        <v>552</v>
      </c>
      <c r="E50" s="129"/>
      <c r="F50" s="8" t="s">
        <v>112</v>
      </c>
      <c r="G50" s="8" t="s">
        <v>111</v>
      </c>
      <c r="H50" s="8" t="s">
        <v>112</v>
      </c>
      <c r="I50" s="8" t="s">
        <v>112</v>
      </c>
      <c r="J50" s="8" t="s">
        <v>111</v>
      </c>
      <c r="K50" s="8" t="s">
        <v>112</v>
      </c>
      <c r="L50" s="129"/>
      <c r="M50" s="8" t="s">
        <v>112</v>
      </c>
      <c r="N50" s="8" t="s">
        <v>112</v>
      </c>
      <c r="O50" s="134"/>
      <c r="P50" s="8" t="s">
        <v>112</v>
      </c>
      <c r="Q50" s="8" t="s">
        <v>111</v>
      </c>
      <c r="R50" s="8" t="s">
        <v>112</v>
      </c>
      <c r="S50" s="5">
        <f>COUNTIF(E50:R50,"P")</f>
        <v>8</v>
      </c>
      <c r="T50" s="5">
        <f>COUNTIF(E50:R50,"A")</f>
        <v>3</v>
      </c>
    </row>
  </sheetData>
  <mergeCells count="14">
    <mergeCell ref="U19:X19"/>
    <mergeCell ref="U3:V3"/>
    <mergeCell ref="E5:E50"/>
    <mergeCell ref="L5:L50"/>
    <mergeCell ref="O5:O50"/>
    <mergeCell ref="U11:X11"/>
    <mergeCell ref="A1:T1"/>
    <mergeCell ref="A2:T2"/>
    <mergeCell ref="A3:A4"/>
    <mergeCell ref="B3:B4"/>
    <mergeCell ref="C3:C4"/>
    <mergeCell ref="D3:D4"/>
    <mergeCell ref="S3:S4"/>
    <mergeCell ref="T3:T4"/>
  </mergeCells>
  <conditionalFormatting sqref="E5 L5:R5 F5:K50 M6:N50 P6:R50 E4:R4">
    <cfRule type="expression" dxfId="90" priority="16">
      <formula>IF(E$4=TODAY(),TRUE,FALSE)</formula>
    </cfRule>
  </conditionalFormatting>
  <conditionalFormatting sqref="E5 L5:R5 F5:K50 M6:N50 P6:R50">
    <cfRule type="cellIs" dxfId="89" priority="13" operator="equal">
      <formula>"L"</formula>
    </cfRule>
    <cfRule type="cellIs" dxfId="88" priority="14" operator="equal">
      <formula>"A"</formula>
    </cfRule>
    <cfRule type="cellIs" dxfId="87" priority="15" operator="equal">
      <formula>"P"</formula>
    </cfRule>
  </conditionalFormatting>
  <conditionalFormatting sqref="E5 L5:R5 F5:K50 M6:N50 P6:R50 E3:R4">
    <cfRule type="expression" dxfId="86" priority="17">
      <formula>E$3="Sun"</formula>
    </cfRule>
  </conditionalFormatting>
  <conditionalFormatting sqref="S3:T3 S5:T50">
    <cfRule type="expression" dxfId="85" priority="18">
      <formula>#REF!="Sun"</formula>
    </cfRule>
  </conditionalFormatting>
  <conditionalFormatting sqref="U5:U9">
    <cfRule type="expression" dxfId="84" priority="4">
      <formula>U$3="Sun"</formula>
    </cfRule>
  </conditionalFormatting>
  <conditionalFormatting sqref="U12:U15">
    <cfRule type="expression" dxfId="83" priority="2">
      <formula>U$3="Sun"</formula>
    </cfRule>
  </conditionalFormatting>
  <conditionalFormatting sqref="U20:U23">
    <cfRule type="expression" dxfId="82" priority="1">
      <formula>U$3="Sun"</formula>
    </cfRule>
  </conditionalFormatting>
  <conditionalFormatting sqref="U4:V4">
    <cfRule type="expression" dxfId="81" priority="5">
      <formula>U$3="Sun"</formula>
    </cfRule>
  </conditionalFormatting>
  <conditionalFormatting sqref="V12:X12 V20:X20">
    <cfRule type="expression" dxfId="80" priority="6">
      <formula>V$3="Sun"</formula>
    </cfRule>
  </conditionalFormatting>
  <conditionalFormatting sqref="X21">
    <cfRule type="expression" dxfId="79" priority="3">
      <formula>X$3="Sun"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A4B5-A926-4000-8295-A24E6E3108B5}">
  <dimension ref="A1:X49"/>
  <sheetViews>
    <sheetView topLeftCell="B1" workbookViewId="0">
      <selection activeCell="U7" sqref="U7:V7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4.5703125" style="1" customWidth="1"/>
    <col min="6" max="6" width="3.85546875" style="1" bestFit="1"/>
    <col min="7" max="7" width="4.7109375" style="1" bestFit="1" customWidth="1"/>
    <col min="8" max="8" width="3.85546875" style="1" bestFit="1"/>
    <col min="9" max="10" width="3.7109375" style="1" bestFit="1" customWidth="1"/>
    <col min="11" max="11" width="3.85546875" style="1" bestFit="1"/>
    <col min="12" max="12" width="4.5703125" style="1" bestFit="1" customWidth="1"/>
    <col min="13" max="13" width="3.85546875" style="1" bestFit="1"/>
    <col min="14" max="14" width="4.7109375" style="1" bestFit="1" customWidth="1"/>
    <col min="15" max="15" width="3.85546875" style="1" bestFit="1"/>
    <col min="16" max="16" width="3.7109375" style="1" bestFit="1" customWidth="1"/>
    <col min="17" max="18" width="3.7109375" style="1" customWidth="1"/>
    <col min="19" max="19" width="9.42578125" style="1" bestFit="1" customWidth="1"/>
    <col min="20" max="20" width="8.5703125" style="1" bestFit="1" customWidth="1"/>
    <col min="21" max="21" width="18.5703125" style="1" bestFit="1" customWidth="1"/>
    <col min="22" max="22" width="5.85546875" style="1" bestFit="1" customWidth="1"/>
    <col min="23" max="23" width="14.28515625" style="1" bestFit="1" customWidth="1"/>
    <col min="24" max="24" width="6.7109375" style="1" bestFit="1" customWidth="1"/>
    <col min="25" max="16384" width="3.85546875" style="1"/>
  </cols>
  <sheetData>
    <row r="1" spans="1:24" ht="17.25" x14ac:dyDescent="0.25">
      <c r="A1" s="114" t="s">
        <v>18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</row>
    <row r="2" spans="1:24" ht="17.25" x14ac:dyDescent="0.3">
      <c r="A2" s="115" t="s">
        <v>616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</row>
    <row r="3" spans="1:24" ht="15.75" x14ac:dyDescent="0.25">
      <c r="A3" s="130" t="s">
        <v>0</v>
      </c>
      <c r="B3" s="130" t="s">
        <v>1</v>
      </c>
      <c r="C3" s="130" t="s">
        <v>2</v>
      </c>
      <c r="D3" s="130" t="s">
        <v>3</v>
      </c>
      <c r="E3" s="2" t="str">
        <f t="shared" ref="E3:R3" si="0">TEXT(E4,"ddd")</f>
        <v>Sun</v>
      </c>
      <c r="F3" s="2" t="str">
        <f t="shared" si="0"/>
        <v>Mon</v>
      </c>
      <c r="G3" s="2" t="str">
        <f t="shared" si="0"/>
        <v>Tue</v>
      </c>
      <c r="H3" s="2" t="str">
        <f t="shared" si="0"/>
        <v>Wed</v>
      </c>
      <c r="I3" s="2" t="str">
        <f t="shared" si="0"/>
        <v>Thu</v>
      </c>
      <c r="J3" s="2" t="str">
        <f t="shared" si="0"/>
        <v>Fri</v>
      </c>
      <c r="K3" s="2" t="str">
        <f t="shared" si="0"/>
        <v>Sat</v>
      </c>
      <c r="L3" s="2" t="str">
        <f t="shared" si="0"/>
        <v>Sun</v>
      </c>
      <c r="M3" s="2" t="str">
        <f t="shared" si="0"/>
        <v>Mon</v>
      </c>
      <c r="N3" s="2" t="str">
        <f t="shared" si="0"/>
        <v>Tue</v>
      </c>
      <c r="O3" s="2" t="str">
        <f t="shared" si="0"/>
        <v>Wed</v>
      </c>
      <c r="P3" s="2" t="str">
        <f t="shared" si="0"/>
        <v>Thu</v>
      </c>
      <c r="Q3" s="2" t="str">
        <f t="shared" si="0"/>
        <v>Fri</v>
      </c>
      <c r="R3" s="2" t="str">
        <f t="shared" si="0"/>
        <v>Sat</v>
      </c>
      <c r="S3" s="117" t="s">
        <v>4</v>
      </c>
      <c r="T3" s="117" t="s">
        <v>5</v>
      </c>
      <c r="U3" s="118" t="s">
        <v>127</v>
      </c>
      <c r="V3" s="119"/>
      <c r="W3" s="3"/>
      <c r="X3" s="3"/>
    </row>
    <row r="4" spans="1:24" ht="37.5" x14ac:dyDescent="0.25">
      <c r="A4" s="131"/>
      <c r="B4" s="131"/>
      <c r="C4" s="131"/>
      <c r="D4" s="131"/>
      <c r="E4" s="14">
        <v>45613</v>
      </c>
      <c r="F4" s="14">
        <v>45614</v>
      </c>
      <c r="G4" s="14">
        <v>45615</v>
      </c>
      <c r="H4" s="14">
        <v>45616</v>
      </c>
      <c r="I4" s="14">
        <v>45617</v>
      </c>
      <c r="J4" s="14">
        <v>45618</v>
      </c>
      <c r="K4" s="14">
        <v>45619</v>
      </c>
      <c r="L4" s="14">
        <v>45620</v>
      </c>
      <c r="M4" s="14">
        <v>45621</v>
      </c>
      <c r="N4" s="14">
        <v>45622</v>
      </c>
      <c r="O4" s="14">
        <v>45623</v>
      </c>
      <c r="P4" s="14">
        <v>45624</v>
      </c>
      <c r="Q4" s="14">
        <v>45625</v>
      </c>
      <c r="R4" s="14">
        <v>45626</v>
      </c>
      <c r="S4" s="117"/>
      <c r="T4" s="117"/>
      <c r="U4" s="5" t="s">
        <v>128</v>
      </c>
      <c r="V4" s="5">
        <f>SUM(V5:V8)</f>
        <v>14</v>
      </c>
      <c r="W4" s="3"/>
      <c r="X4" s="3"/>
    </row>
    <row r="5" spans="1:24" ht="15" customHeight="1" x14ac:dyDescent="0.25">
      <c r="A5" s="27">
        <v>1</v>
      </c>
      <c r="B5" s="30" t="s">
        <v>22</v>
      </c>
      <c r="C5" s="31" t="s">
        <v>95</v>
      </c>
      <c r="D5" s="26" t="s">
        <v>617</v>
      </c>
      <c r="E5" s="127" t="s">
        <v>618</v>
      </c>
      <c r="F5" s="8" t="s">
        <v>112</v>
      </c>
      <c r="G5" s="8" t="s">
        <v>112</v>
      </c>
      <c r="H5" s="8" t="s">
        <v>112</v>
      </c>
      <c r="I5" s="8" t="s">
        <v>111</v>
      </c>
      <c r="J5" s="8" t="s">
        <v>112</v>
      </c>
      <c r="K5" s="8" t="s">
        <v>112</v>
      </c>
      <c r="L5" s="127" t="s">
        <v>618</v>
      </c>
      <c r="M5" s="8" t="s">
        <v>112</v>
      </c>
      <c r="N5" s="8" t="s">
        <v>112</v>
      </c>
      <c r="O5" s="8" t="s">
        <v>112</v>
      </c>
      <c r="P5" s="8" t="s">
        <v>112</v>
      </c>
      <c r="Q5" s="8" t="s">
        <v>112</v>
      </c>
      <c r="R5" s="8"/>
      <c r="S5" s="5">
        <f>COUNTIF(E5:R5,"P")</f>
        <v>10</v>
      </c>
      <c r="T5" s="5">
        <f>COUNTIF(E5:R5,"A")</f>
        <v>1</v>
      </c>
      <c r="U5" s="5" t="s">
        <v>7</v>
      </c>
      <c r="V5" s="10">
        <v>12</v>
      </c>
      <c r="W5" s="11"/>
      <c r="X5" s="3"/>
    </row>
    <row r="6" spans="1:24" x14ac:dyDescent="0.25">
      <c r="A6" s="10">
        <v>2</v>
      </c>
      <c r="B6" s="30" t="s">
        <v>619</v>
      </c>
      <c r="C6" s="31" t="s">
        <v>294</v>
      </c>
      <c r="D6" s="26" t="s">
        <v>617</v>
      </c>
      <c r="E6" s="128"/>
      <c r="F6" s="8" t="s">
        <v>112</v>
      </c>
      <c r="G6" s="8" t="s">
        <v>112</v>
      </c>
      <c r="H6" s="8" t="s">
        <v>112</v>
      </c>
      <c r="I6" s="8" t="s">
        <v>112</v>
      </c>
      <c r="J6" s="8" t="s">
        <v>112</v>
      </c>
      <c r="K6" s="8" t="s">
        <v>112</v>
      </c>
      <c r="L6" s="128"/>
      <c r="M6" s="8" t="s">
        <v>112</v>
      </c>
      <c r="N6" s="8" t="s">
        <v>112</v>
      </c>
      <c r="O6" s="8" t="s">
        <v>112</v>
      </c>
      <c r="P6" s="8" t="s">
        <v>112</v>
      </c>
      <c r="Q6" s="8" t="s">
        <v>112</v>
      </c>
      <c r="R6" s="8"/>
      <c r="S6" s="5">
        <f>COUNTIF(E6:R6,"P")</f>
        <v>11</v>
      </c>
      <c r="T6" s="5">
        <f>COUNTIF(E6:R6,"A")</f>
        <v>0</v>
      </c>
      <c r="U6" s="5" t="s">
        <v>8</v>
      </c>
      <c r="V6" s="10">
        <v>2</v>
      </c>
      <c r="W6" s="3"/>
      <c r="X6" s="3"/>
    </row>
    <row r="7" spans="1:24" x14ac:dyDescent="0.25">
      <c r="A7" s="27">
        <v>3</v>
      </c>
      <c r="B7" s="30" t="s">
        <v>620</v>
      </c>
      <c r="C7" s="31" t="s">
        <v>621</v>
      </c>
      <c r="D7" s="26" t="s">
        <v>617</v>
      </c>
      <c r="E7" s="128"/>
      <c r="F7" s="8" t="s">
        <v>112</v>
      </c>
      <c r="G7" s="8" t="s">
        <v>112</v>
      </c>
      <c r="H7" s="8" t="s">
        <v>112</v>
      </c>
      <c r="I7" s="8" t="s">
        <v>112</v>
      </c>
      <c r="J7" s="8" t="s">
        <v>112</v>
      </c>
      <c r="K7" s="8" t="s">
        <v>111</v>
      </c>
      <c r="L7" s="128"/>
      <c r="M7" s="8" t="s">
        <v>112</v>
      </c>
      <c r="N7" s="8" t="s">
        <v>112</v>
      </c>
      <c r="O7" s="8" t="s">
        <v>112</v>
      </c>
      <c r="P7" s="8" t="s">
        <v>112</v>
      </c>
      <c r="Q7" s="8" t="s">
        <v>112</v>
      </c>
      <c r="R7" s="8"/>
      <c r="S7" s="5">
        <f>COUNTIF(E7:R7,"P")</f>
        <v>10</v>
      </c>
      <c r="T7" s="5">
        <f>COUNTIF(E7:R7,"A")</f>
        <v>1</v>
      </c>
      <c r="U7" s="5"/>
      <c r="V7" s="10"/>
      <c r="W7" s="3"/>
      <c r="X7" s="3"/>
    </row>
    <row r="8" spans="1:24" x14ac:dyDescent="0.25">
      <c r="A8" s="10">
        <v>4</v>
      </c>
      <c r="B8" s="30" t="s">
        <v>622</v>
      </c>
      <c r="C8" s="31" t="s">
        <v>95</v>
      </c>
      <c r="D8" s="26" t="s">
        <v>617</v>
      </c>
      <c r="E8" s="128"/>
      <c r="F8" s="8" t="s">
        <v>112</v>
      </c>
      <c r="G8" s="8" t="s">
        <v>112</v>
      </c>
      <c r="H8" s="8" t="s">
        <v>112</v>
      </c>
      <c r="I8" s="8" t="s">
        <v>112</v>
      </c>
      <c r="J8" s="8" t="s">
        <v>112</v>
      </c>
      <c r="K8" s="8" t="s">
        <v>112</v>
      </c>
      <c r="L8" s="128"/>
      <c r="M8" s="8" t="s">
        <v>112</v>
      </c>
      <c r="N8" s="8" t="s">
        <v>112</v>
      </c>
      <c r="O8" s="8" t="s">
        <v>112</v>
      </c>
      <c r="P8" s="8" t="s">
        <v>112</v>
      </c>
      <c r="Q8" s="8" t="s">
        <v>112</v>
      </c>
      <c r="R8" s="8"/>
      <c r="S8" s="5">
        <f>COUNTIF(E8:R8,"P")</f>
        <v>11</v>
      </c>
      <c r="T8" s="5">
        <f>COUNTIF(E8:R8,"A")</f>
        <v>0</v>
      </c>
      <c r="U8" s="5"/>
      <c r="V8" s="10"/>
      <c r="W8"/>
      <c r="X8"/>
    </row>
    <row r="9" spans="1:24" x14ac:dyDescent="0.25">
      <c r="A9" s="27">
        <v>5</v>
      </c>
      <c r="B9" s="30" t="s">
        <v>57</v>
      </c>
      <c r="C9" s="31" t="s">
        <v>478</v>
      </c>
      <c r="D9" s="26" t="s">
        <v>617</v>
      </c>
      <c r="E9" s="128"/>
      <c r="F9" s="8" t="s">
        <v>112</v>
      </c>
      <c r="G9" s="8" t="s">
        <v>112</v>
      </c>
      <c r="H9" s="8" t="s">
        <v>112</v>
      </c>
      <c r="I9" s="8" t="s">
        <v>112</v>
      </c>
      <c r="J9" s="8" t="s">
        <v>112</v>
      </c>
      <c r="K9" s="8" t="s">
        <v>112</v>
      </c>
      <c r="L9" s="128"/>
      <c r="M9" s="8" t="s">
        <v>112</v>
      </c>
      <c r="N9" s="8" t="s">
        <v>112</v>
      </c>
      <c r="O9" s="8" t="s">
        <v>112</v>
      </c>
      <c r="P9" s="8" t="s">
        <v>112</v>
      </c>
      <c r="Q9" s="8" t="s">
        <v>112</v>
      </c>
      <c r="R9" s="8"/>
      <c r="S9" s="5">
        <f>COUNTIF(E9:R9,"P")</f>
        <v>11</v>
      </c>
      <c r="T9" s="5">
        <f>COUNTIF(E9:R9,"A")</f>
        <v>0</v>
      </c>
      <c r="U9" s="5"/>
      <c r="V9" s="10"/>
    </row>
    <row r="10" spans="1:24" x14ac:dyDescent="0.25">
      <c r="A10" s="10">
        <v>6</v>
      </c>
      <c r="B10" s="30" t="s">
        <v>623</v>
      </c>
      <c r="C10" s="31" t="s">
        <v>405</v>
      </c>
      <c r="D10" s="26" t="s">
        <v>617</v>
      </c>
      <c r="E10" s="128"/>
      <c r="F10" s="8" t="s">
        <v>112</v>
      </c>
      <c r="G10" s="8" t="s">
        <v>111</v>
      </c>
      <c r="H10" s="8" t="s">
        <v>111</v>
      </c>
      <c r="I10" s="8" t="s">
        <v>112</v>
      </c>
      <c r="J10" s="8" t="s">
        <v>112</v>
      </c>
      <c r="K10" s="8" t="s">
        <v>112</v>
      </c>
      <c r="L10" s="128"/>
      <c r="M10" s="8" t="s">
        <v>112</v>
      </c>
      <c r="N10" s="8" t="s">
        <v>112</v>
      </c>
      <c r="O10" s="8" t="s">
        <v>112</v>
      </c>
      <c r="P10" s="8" t="s">
        <v>112</v>
      </c>
      <c r="Q10" s="8" t="s">
        <v>112</v>
      </c>
      <c r="R10" s="8"/>
      <c r="S10" s="5">
        <f>COUNTIF(E10:R10,"P")</f>
        <v>9</v>
      </c>
      <c r="T10" s="5">
        <f>COUNTIF(E10:R10,"A")</f>
        <v>2</v>
      </c>
    </row>
    <row r="11" spans="1:24" ht="15.75" x14ac:dyDescent="0.25">
      <c r="A11" s="27">
        <v>7</v>
      </c>
      <c r="B11" s="30" t="s">
        <v>624</v>
      </c>
      <c r="C11" s="31" t="s">
        <v>175</v>
      </c>
      <c r="D11" s="26" t="s">
        <v>617</v>
      </c>
      <c r="E11" s="128"/>
      <c r="F11" s="8" t="s">
        <v>112</v>
      </c>
      <c r="G11" s="8" t="s">
        <v>112</v>
      </c>
      <c r="H11" s="8" t="s">
        <v>112</v>
      </c>
      <c r="I11" s="8" t="s">
        <v>112</v>
      </c>
      <c r="J11" s="8" t="s">
        <v>112</v>
      </c>
      <c r="K11" s="8" t="s">
        <v>111</v>
      </c>
      <c r="L11" s="128"/>
      <c r="M11" s="8" t="s">
        <v>112</v>
      </c>
      <c r="N11" s="8" t="s">
        <v>112</v>
      </c>
      <c r="O11" s="8" t="s">
        <v>112</v>
      </c>
      <c r="P11" s="8" t="s">
        <v>112</v>
      </c>
      <c r="Q11" s="8" t="s">
        <v>112</v>
      </c>
      <c r="R11" s="8"/>
      <c r="S11" s="5">
        <f>COUNTIF(E11:R11,"P")</f>
        <v>10</v>
      </c>
      <c r="T11" s="5">
        <f>COUNTIF(E11:R11,"A")</f>
        <v>1</v>
      </c>
      <c r="U11" s="118" t="s">
        <v>9</v>
      </c>
      <c r="V11" s="119"/>
      <c r="W11" s="119"/>
      <c r="X11" s="120"/>
    </row>
    <row r="12" spans="1:24" x14ac:dyDescent="0.25">
      <c r="A12" s="10">
        <v>8</v>
      </c>
      <c r="B12" s="30" t="s">
        <v>625</v>
      </c>
      <c r="C12" s="31" t="s">
        <v>95</v>
      </c>
      <c r="D12" s="26" t="s">
        <v>617</v>
      </c>
      <c r="E12" s="128"/>
      <c r="F12" s="8" t="s">
        <v>112</v>
      </c>
      <c r="G12" s="8" t="s">
        <v>112</v>
      </c>
      <c r="H12" s="8" t="s">
        <v>112</v>
      </c>
      <c r="I12" s="8" t="s">
        <v>112</v>
      </c>
      <c r="J12" s="8" t="s">
        <v>112</v>
      </c>
      <c r="K12" s="8" t="s">
        <v>112</v>
      </c>
      <c r="L12" s="128"/>
      <c r="M12" s="8" t="s">
        <v>112</v>
      </c>
      <c r="N12" s="8" t="s">
        <v>112</v>
      </c>
      <c r="O12" s="8" t="s">
        <v>112</v>
      </c>
      <c r="P12" s="8" t="s">
        <v>112</v>
      </c>
      <c r="Q12" s="8" t="s">
        <v>112</v>
      </c>
      <c r="R12" s="8"/>
      <c r="S12" s="5">
        <f>COUNTIF(E12:R12,"P")</f>
        <v>11</v>
      </c>
      <c r="T12" s="5">
        <f>COUNTIF(E12:R12,"A")</f>
        <v>0</v>
      </c>
      <c r="U12" s="5" t="s">
        <v>10</v>
      </c>
      <c r="V12" s="5" t="s">
        <v>11</v>
      </c>
      <c r="W12" s="5" t="s">
        <v>12</v>
      </c>
      <c r="X12" s="5" t="s">
        <v>13</v>
      </c>
    </row>
    <row r="13" spans="1:24" x14ac:dyDescent="0.25">
      <c r="A13" s="27">
        <v>9</v>
      </c>
      <c r="B13" s="30" t="s">
        <v>626</v>
      </c>
      <c r="C13" s="31" t="s">
        <v>521</v>
      </c>
      <c r="D13" s="26" t="s">
        <v>617</v>
      </c>
      <c r="E13" s="128"/>
      <c r="F13" s="8" t="s">
        <v>112</v>
      </c>
      <c r="G13" s="8" t="s">
        <v>112</v>
      </c>
      <c r="H13" s="8" t="s">
        <v>112</v>
      </c>
      <c r="I13" s="8" t="s">
        <v>112</v>
      </c>
      <c r="J13" s="8" t="s">
        <v>112</v>
      </c>
      <c r="K13" s="8" t="s">
        <v>112</v>
      </c>
      <c r="L13" s="128"/>
      <c r="M13" s="8" t="s">
        <v>112</v>
      </c>
      <c r="N13" s="8" t="s">
        <v>112</v>
      </c>
      <c r="O13" s="8" t="s">
        <v>112</v>
      </c>
      <c r="P13" s="8" t="s">
        <v>112</v>
      </c>
      <c r="Q13" s="8" t="s">
        <v>112</v>
      </c>
      <c r="R13" s="8"/>
      <c r="S13" s="5">
        <f>COUNTIF(E13:R13,"P")</f>
        <v>11</v>
      </c>
      <c r="T13" s="5">
        <f>COUNTIF(E13:R13,"A")</f>
        <v>0</v>
      </c>
      <c r="U13" s="5" t="s">
        <v>14</v>
      </c>
      <c r="V13" s="10">
        <f>17*$V$5</f>
        <v>204</v>
      </c>
      <c r="W13" s="10">
        <f>28*$V$5</f>
        <v>336</v>
      </c>
      <c r="X13" s="10">
        <f>SUM(V13:W13)</f>
        <v>540</v>
      </c>
    </row>
    <row r="14" spans="1:24" x14ac:dyDescent="0.25">
      <c r="A14" s="10">
        <v>10</v>
      </c>
      <c r="B14" s="30" t="s">
        <v>627</v>
      </c>
      <c r="C14" s="31" t="s">
        <v>628</v>
      </c>
      <c r="D14" s="26" t="s">
        <v>617</v>
      </c>
      <c r="E14" s="128"/>
      <c r="F14" s="8" t="s">
        <v>112</v>
      </c>
      <c r="G14" s="8" t="s">
        <v>111</v>
      </c>
      <c r="H14" s="8" t="s">
        <v>112</v>
      </c>
      <c r="I14" s="8" t="s">
        <v>112</v>
      </c>
      <c r="J14" s="8" t="s">
        <v>112</v>
      </c>
      <c r="K14" s="8" t="s">
        <v>112</v>
      </c>
      <c r="L14" s="128"/>
      <c r="M14" s="8" t="s">
        <v>112</v>
      </c>
      <c r="N14" s="8" t="s">
        <v>112</v>
      </c>
      <c r="O14" s="8" t="s">
        <v>112</v>
      </c>
      <c r="P14" s="8" t="s">
        <v>112</v>
      </c>
      <c r="Q14" s="8" t="s">
        <v>111</v>
      </c>
      <c r="R14" s="8"/>
      <c r="S14" s="5">
        <f>COUNTIF(E14:R14,"P")</f>
        <v>9</v>
      </c>
      <c r="T14" s="5">
        <f>COUNTIF(E14:R14,"A")</f>
        <v>2</v>
      </c>
      <c r="U14" s="5" t="s">
        <v>15</v>
      </c>
      <c r="V14" s="10">
        <f>SUM(S5:S21)</f>
        <v>168</v>
      </c>
      <c r="W14" s="10">
        <f>SUM(S22:S49)</f>
        <v>293</v>
      </c>
      <c r="X14" s="10">
        <f>V14+W14</f>
        <v>461</v>
      </c>
    </row>
    <row r="15" spans="1:24" x14ac:dyDescent="0.25">
      <c r="A15" s="27">
        <v>11</v>
      </c>
      <c r="B15" s="30" t="s">
        <v>629</v>
      </c>
      <c r="C15" s="31" t="s">
        <v>563</v>
      </c>
      <c r="D15" s="26" t="s">
        <v>617</v>
      </c>
      <c r="E15" s="128"/>
      <c r="F15" s="8" t="s">
        <v>112</v>
      </c>
      <c r="G15" s="8" t="s">
        <v>112</v>
      </c>
      <c r="H15" s="8" t="s">
        <v>112</v>
      </c>
      <c r="I15" s="8" t="s">
        <v>112</v>
      </c>
      <c r="J15" s="8" t="s">
        <v>112</v>
      </c>
      <c r="K15" s="8" t="s">
        <v>112</v>
      </c>
      <c r="L15" s="128"/>
      <c r="M15" s="8" t="s">
        <v>112</v>
      </c>
      <c r="N15" s="8" t="s">
        <v>112</v>
      </c>
      <c r="O15" s="8" t="s">
        <v>112</v>
      </c>
      <c r="P15" s="8" t="s">
        <v>112</v>
      </c>
      <c r="Q15" s="8" t="s">
        <v>111</v>
      </c>
      <c r="R15" s="8"/>
      <c r="S15" s="5">
        <f>COUNTIF(E15:R15,"P")</f>
        <v>10</v>
      </c>
      <c r="T15" s="5">
        <f>COUNTIF(E15:R15,"A")</f>
        <v>1</v>
      </c>
      <c r="U15" s="5" t="s">
        <v>16</v>
      </c>
      <c r="V15" s="13">
        <f>V14/V13</f>
        <v>0.82352941176470584</v>
      </c>
      <c r="W15" s="13">
        <f>W14/W13</f>
        <v>0.87202380952380953</v>
      </c>
      <c r="X15" s="13">
        <f>X14/X13</f>
        <v>0.85370370370370374</v>
      </c>
    </row>
    <row r="16" spans="1:24" x14ac:dyDescent="0.25">
      <c r="A16" s="10">
        <v>12</v>
      </c>
      <c r="B16" s="30" t="s">
        <v>630</v>
      </c>
      <c r="C16" s="31" t="s">
        <v>337</v>
      </c>
      <c r="D16" s="26" t="s">
        <v>617</v>
      </c>
      <c r="E16" s="128"/>
      <c r="F16" s="8" t="s">
        <v>112</v>
      </c>
      <c r="G16" s="8" t="s">
        <v>112</v>
      </c>
      <c r="H16" s="8" t="s">
        <v>112</v>
      </c>
      <c r="I16" s="8" t="s">
        <v>112</v>
      </c>
      <c r="J16" s="8" t="s">
        <v>112</v>
      </c>
      <c r="K16" s="8" t="s">
        <v>111</v>
      </c>
      <c r="L16" s="128"/>
      <c r="M16" s="8" t="s">
        <v>111</v>
      </c>
      <c r="N16" s="8" t="s">
        <v>112</v>
      </c>
      <c r="O16" s="8" t="s">
        <v>112</v>
      </c>
      <c r="P16" s="8" t="s">
        <v>112</v>
      </c>
      <c r="Q16" s="8" t="s">
        <v>111</v>
      </c>
      <c r="R16" s="8"/>
      <c r="S16" s="5">
        <f>COUNTIF(E16:R16,"P")</f>
        <v>8</v>
      </c>
      <c r="T16" s="5">
        <f>COUNTIF(E16:R16,"A")</f>
        <v>3</v>
      </c>
      <c r="U16"/>
      <c r="V16"/>
      <c r="W16"/>
      <c r="X16"/>
    </row>
    <row r="17" spans="1:24" x14ac:dyDescent="0.25">
      <c r="A17" s="27">
        <v>13</v>
      </c>
      <c r="B17" s="30" t="s">
        <v>631</v>
      </c>
      <c r="C17" s="31" t="s">
        <v>632</v>
      </c>
      <c r="D17" s="26" t="s">
        <v>617</v>
      </c>
      <c r="E17" s="128"/>
      <c r="F17" s="8" t="s">
        <v>112</v>
      </c>
      <c r="G17" s="8" t="s">
        <v>112</v>
      </c>
      <c r="H17" s="8" t="s">
        <v>112</v>
      </c>
      <c r="I17" s="8" t="s">
        <v>112</v>
      </c>
      <c r="J17" s="8" t="s">
        <v>112</v>
      </c>
      <c r="K17" s="8" t="s">
        <v>112</v>
      </c>
      <c r="L17" s="128"/>
      <c r="M17" s="8" t="s">
        <v>112</v>
      </c>
      <c r="N17" s="8" t="s">
        <v>112</v>
      </c>
      <c r="O17" s="8" t="s">
        <v>112</v>
      </c>
      <c r="P17" s="8" t="s">
        <v>112</v>
      </c>
      <c r="Q17" s="8" t="s">
        <v>111</v>
      </c>
      <c r="R17" s="8"/>
      <c r="S17" s="5">
        <f>COUNTIF(E17:R17,"P")</f>
        <v>10</v>
      </c>
      <c r="T17" s="5">
        <f>COUNTIF(E17:R17,"A")</f>
        <v>1</v>
      </c>
      <c r="U17"/>
      <c r="V17"/>
      <c r="W17"/>
      <c r="X17"/>
    </row>
    <row r="18" spans="1:24" x14ac:dyDescent="0.25">
      <c r="A18" s="10">
        <v>14</v>
      </c>
      <c r="B18" s="30" t="s">
        <v>633</v>
      </c>
      <c r="C18" s="31" t="s">
        <v>634</v>
      </c>
      <c r="D18" s="26" t="s">
        <v>617</v>
      </c>
      <c r="E18" s="128"/>
      <c r="F18" s="8" t="s">
        <v>112</v>
      </c>
      <c r="G18" s="8" t="s">
        <v>112</v>
      </c>
      <c r="H18" s="8" t="s">
        <v>112</v>
      </c>
      <c r="I18" s="8" t="s">
        <v>112</v>
      </c>
      <c r="J18" s="8" t="s">
        <v>112</v>
      </c>
      <c r="K18" s="8" t="s">
        <v>111</v>
      </c>
      <c r="L18" s="128"/>
      <c r="M18" s="8" t="s">
        <v>112</v>
      </c>
      <c r="N18" s="8" t="s">
        <v>112</v>
      </c>
      <c r="O18" s="8" t="s">
        <v>112</v>
      </c>
      <c r="P18" s="8" t="s">
        <v>112</v>
      </c>
      <c r="Q18" s="8" t="s">
        <v>111</v>
      </c>
      <c r="R18" s="8"/>
      <c r="S18" s="5">
        <f>COUNTIF(E18:R18,"P")</f>
        <v>9</v>
      </c>
      <c r="T18" s="5">
        <f>COUNTIF(E18:R18,"A")</f>
        <v>2</v>
      </c>
      <c r="U18"/>
      <c r="V18"/>
      <c r="W18"/>
      <c r="X18"/>
    </row>
    <row r="19" spans="1:24" ht="15.75" x14ac:dyDescent="0.25">
      <c r="A19" s="27">
        <v>15</v>
      </c>
      <c r="B19" s="30" t="s">
        <v>635</v>
      </c>
      <c r="C19" s="31" t="s">
        <v>183</v>
      </c>
      <c r="D19" s="26" t="s">
        <v>617</v>
      </c>
      <c r="E19" s="128"/>
      <c r="F19" s="8" t="s">
        <v>112</v>
      </c>
      <c r="G19" s="8" t="s">
        <v>112</v>
      </c>
      <c r="H19" s="8" t="s">
        <v>112</v>
      </c>
      <c r="I19" s="8" t="s">
        <v>112</v>
      </c>
      <c r="J19" s="8" t="s">
        <v>112</v>
      </c>
      <c r="K19" s="8" t="s">
        <v>111</v>
      </c>
      <c r="L19" s="128"/>
      <c r="M19" s="8" t="s">
        <v>111</v>
      </c>
      <c r="N19" s="8" t="s">
        <v>112</v>
      </c>
      <c r="O19" s="8" t="s">
        <v>112</v>
      </c>
      <c r="P19" s="8" t="s">
        <v>112</v>
      </c>
      <c r="Q19" s="8" t="s">
        <v>111</v>
      </c>
      <c r="R19" s="8"/>
      <c r="S19" s="5">
        <f>COUNTIF(E19:R19,"P")</f>
        <v>8</v>
      </c>
      <c r="T19" s="5">
        <f>COUNTIF(E19:R19,"A")</f>
        <v>3</v>
      </c>
      <c r="U19" s="118" t="s">
        <v>129</v>
      </c>
      <c r="V19" s="119"/>
      <c r="W19" s="119"/>
      <c r="X19" s="120"/>
    </row>
    <row r="20" spans="1:24" x14ac:dyDescent="0.25">
      <c r="A20" s="10">
        <v>16</v>
      </c>
      <c r="B20" s="30" t="s">
        <v>636</v>
      </c>
      <c r="C20" s="31" t="s">
        <v>637</v>
      </c>
      <c r="D20" s="26" t="s">
        <v>617</v>
      </c>
      <c r="E20" s="128"/>
      <c r="F20" s="8" t="s">
        <v>112</v>
      </c>
      <c r="G20" s="8" t="s">
        <v>112</v>
      </c>
      <c r="H20" s="8" t="s">
        <v>112</v>
      </c>
      <c r="I20" s="8" t="s">
        <v>112</v>
      </c>
      <c r="J20" s="8" t="s">
        <v>112</v>
      </c>
      <c r="K20" s="8" t="s">
        <v>112</v>
      </c>
      <c r="L20" s="128"/>
      <c r="M20" s="8" t="s">
        <v>112</v>
      </c>
      <c r="N20" s="8" t="s">
        <v>112</v>
      </c>
      <c r="O20" s="8" t="s">
        <v>112</v>
      </c>
      <c r="P20" s="8" t="s">
        <v>112</v>
      </c>
      <c r="Q20" s="8" t="s">
        <v>111</v>
      </c>
      <c r="R20" s="8"/>
      <c r="S20" s="5">
        <f>COUNTIF(E20:R20,"P")</f>
        <v>10</v>
      </c>
      <c r="T20" s="5">
        <f>COUNTIF(E20:R20,"A")</f>
        <v>1</v>
      </c>
      <c r="U20" s="5" t="s">
        <v>10</v>
      </c>
      <c r="V20" s="5" t="s">
        <v>11</v>
      </c>
      <c r="W20" s="5" t="s">
        <v>12</v>
      </c>
      <c r="X20" s="5" t="s">
        <v>13</v>
      </c>
    </row>
    <row r="21" spans="1:24" x14ac:dyDescent="0.25">
      <c r="A21" s="27">
        <v>17</v>
      </c>
      <c r="B21" s="30" t="s">
        <v>638</v>
      </c>
      <c r="C21" s="31" t="s">
        <v>639</v>
      </c>
      <c r="D21" s="26" t="s">
        <v>617</v>
      </c>
      <c r="E21" s="128"/>
      <c r="F21" s="8" t="s">
        <v>112</v>
      </c>
      <c r="G21" s="8" t="s">
        <v>112</v>
      </c>
      <c r="H21" s="8" t="s">
        <v>112</v>
      </c>
      <c r="I21" s="8" t="s">
        <v>112</v>
      </c>
      <c r="J21" s="8" t="s">
        <v>112</v>
      </c>
      <c r="K21" s="8" t="s">
        <v>112</v>
      </c>
      <c r="L21" s="128"/>
      <c r="M21" s="8" t="s">
        <v>112</v>
      </c>
      <c r="N21" s="8" t="s">
        <v>112</v>
      </c>
      <c r="O21" s="8" t="s">
        <v>112</v>
      </c>
      <c r="P21" s="8" t="s">
        <v>112</v>
      </c>
      <c r="Q21" s="8" t="s">
        <v>111</v>
      </c>
      <c r="R21" s="8"/>
      <c r="S21" s="5">
        <f>COUNTIF(E21:R21,"P")</f>
        <v>10</v>
      </c>
      <c r="T21" s="5">
        <f>COUNTIF(E21:R21,"A")</f>
        <v>1</v>
      </c>
      <c r="U21" s="5" t="s">
        <v>14</v>
      </c>
      <c r="V21" s="10">
        <f>17*$V$5</f>
        <v>204</v>
      </c>
      <c r="W21" s="10">
        <f>28*$V$5</f>
        <v>336</v>
      </c>
      <c r="X21" s="10">
        <f>V21+W21</f>
        <v>540</v>
      </c>
    </row>
    <row r="22" spans="1:24" x14ac:dyDescent="0.25">
      <c r="A22" s="10">
        <v>1</v>
      </c>
      <c r="B22" s="30" t="s">
        <v>132</v>
      </c>
      <c r="C22" s="31" t="s">
        <v>96</v>
      </c>
      <c r="D22" s="26" t="s">
        <v>617</v>
      </c>
      <c r="E22" s="128"/>
      <c r="F22" s="8" t="s">
        <v>112</v>
      </c>
      <c r="G22" s="8" t="s">
        <v>112</v>
      </c>
      <c r="H22" s="8" t="s">
        <v>112</v>
      </c>
      <c r="I22" s="8" t="s">
        <v>112</v>
      </c>
      <c r="J22" s="8" t="s">
        <v>112</v>
      </c>
      <c r="K22" s="8" t="s">
        <v>112</v>
      </c>
      <c r="L22" s="128"/>
      <c r="M22" s="8" t="s">
        <v>112</v>
      </c>
      <c r="N22" s="8" t="s">
        <v>112</v>
      </c>
      <c r="O22" s="8" t="s">
        <v>112</v>
      </c>
      <c r="P22" s="8" t="s">
        <v>112</v>
      </c>
      <c r="Q22" s="8" t="s">
        <v>112</v>
      </c>
      <c r="R22" s="8"/>
      <c r="S22" s="5">
        <f>COUNTIF(E22:R22,"P")</f>
        <v>11</v>
      </c>
      <c r="T22" s="5">
        <f>COUNTIF(E22:R22,"A")</f>
        <v>0</v>
      </c>
      <c r="U22" s="5" t="s">
        <v>17</v>
      </c>
      <c r="V22" s="10">
        <f>V21-V14</f>
        <v>36</v>
      </c>
      <c r="W22" s="10">
        <f>W21-W14</f>
        <v>43</v>
      </c>
      <c r="X22" s="10">
        <f>V22+W22</f>
        <v>79</v>
      </c>
    </row>
    <row r="23" spans="1:24" x14ac:dyDescent="0.25">
      <c r="A23" s="27">
        <v>2</v>
      </c>
      <c r="B23" s="30" t="s">
        <v>137</v>
      </c>
      <c r="C23" s="31" t="s">
        <v>230</v>
      </c>
      <c r="D23" s="26" t="s">
        <v>617</v>
      </c>
      <c r="E23" s="128"/>
      <c r="F23" s="8" t="s">
        <v>112</v>
      </c>
      <c r="G23" s="8" t="s">
        <v>112</v>
      </c>
      <c r="H23" s="8" t="s">
        <v>112</v>
      </c>
      <c r="I23" s="8" t="s">
        <v>112</v>
      </c>
      <c r="J23" s="8" t="s">
        <v>112</v>
      </c>
      <c r="K23" s="8" t="s">
        <v>112</v>
      </c>
      <c r="L23" s="128"/>
      <c r="M23" s="8" t="s">
        <v>112</v>
      </c>
      <c r="N23" s="8" t="s">
        <v>112</v>
      </c>
      <c r="O23" s="8" t="s">
        <v>112</v>
      </c>
      <c r="P23" s="8" t="s">
        <v>112</v>
      </c>
      <c r="Q23" s="8" t="s">
        <v>112</v>
      </c>
      <c r="R23" s="8"/>
      <c r="S23" s="5">
        <f>COUNTIF(E23:R23,"P")</f>
        <v>11</v>
      </c>
      <c r="T23" s="5">
        <f>COUNTIF(E23:R23,"A")</f>
        <v>0</v>
      </c>
      <c r="U23" s="5" t="s">
        <v>16</v>
      </c>
      <c r="V23" s="13">
        <f>V22/V21</f>
        <v>0.17647058823529413</v>
      </c>
      <c r="W23" s="13">
        <f>W22/W21</f>
        <v>0.12797619047619047</v>
      </c>
      <c r="X23" s="13">
        <f>X22/X21</f>
        <v>0.14629629629629629</v>
      </c>
    </row>
    <row r="24" spans="1:24" x14ac:dyDescent="0.25">
      <c r="A24" s="10">
        <v>3</v>
      </c>
      <c r="B24" s="30" t="s">
        <v>640</v>
      </c>
      <c r="C24" s="31" t="s">
        <v>405</v>
      </c>
      <c r="D24" s="26" t="s">
        <v>617</v>
      </c>
      <c r="E24" s="128"/>
      <c r="F24" s="8" t="s">
        <v>112</v>
      </c>
      <c r="G24" s="8" t="s">
        <v>112</v>
      </c>
      <c r="H24" s="8" t="s">
        <v>112</v>
      </c>
      <c r="I24" s="8" t="s">
        <v>112</v>
      </c>
      <c r="J24" s="8" t="s">
        <v>112</v>
      </c>
      <c r="K24" s="8" t="s">
        <v>112</v>
      </c>
      <c r="L24" s="128"/>
      <c r="M24" s="8" t="s">
        <v>112</v>
      </c>
      <c r="N24" s="8" t="s">
        <v>112</v>
      </c>
      <c r="O24" s="8" t="s">
        <v>112</v>
      </c>
      <c r="P24" s="8" t="s">
        <v>112</v>
      </c>
      <c r="Q24" s="8" t="s">
        <v>112</v>
      </c>
      <c r="R24" s="8"/>
      <c r="S24" s="5">
        <f>COUNTIF(E24:R24,"P")</f>
        <v>11</v>
      </c>
      <c r="T24" s="5">
        <f>COUNTIF(E24:R24,"A")</f>
        <v>0</v>
      </c>
    </row>
    <row r="25" spans="1:24" x14ac:dyDescent="0.25">
      <c r="A25" s="27">
        <v>4</v>
      </c>
      <c r="B25" s="30" t="s">
        <v>141</v>
      </c>
      <c r="C25" s="31" t="s">
        <v>484</v>
      </c>
      <c r="D25" s="26" t="s">
        <v>617</v>
      </c>
      <c r="E25" s="128"/>
      <c r="F25" s="8" t="s">
        <v>112</v>
      </c>
      <c r="G25" s="8" t="s">
        <v>112</v>
      </c>
      <c r="H25" s="8" t="s">
        <v>111</v>
      </c>
      <c r="I25" s="8" t="s">
        <v>112</v>
      </c>
      <c r="J25" s="8" t="s">
        <v>112</v>
      </c>
      <c r="K25" s="8" t="s">
        <v>111</v>
      </c>
      <c r="L25" s="128"/>
      <c r="M25" s="8" t="s">
        <v>112</v>
      </c>
      <c r="N25" s="8" t="s">
        <v>112</v>
      </c>
      <c r="O25" s="8" t="s">
        <v>112</v>
      </c>
      <c r="P25" s="8" t="s">
        <v>112</v>
      </c>
      <c r="Q25" s="8" t="s">
        <v>112</v>
      </c>
      <c r="R25" s="8"/>
      <c r="S25" s="5">
        <f>COUNTIF(E25:R25,"P")</f>
        <v>9</v>
      </c>
      <c r="T25" s="5">
        <f>COUNTIF(E25:R25,"A")</f>
        <v>2</v>
      </c>
    </row>
    <row r="26" spans="1:24" x14ac:dyDescent="0.25">
      <c r="A26" s="10">
        <v>5</v>
      </c>
      <c r="B26" s="30" t="s">
        <v>143</v>
      </c>
      <c r="C26" s="30" t="s">
        <v>577</v>
      </c>
      <c r="D26" s="26" t="s">
        <v>617</v>
      </c>
      <c r="E26" s="128"/>
      <c r="F26" s="8" t="s">
        <v>112</v>
      </c>
      <c r="G26" s="8" t="s">
        <v>111</v>
      </c>
      <c r="H26" s="8" t="s">
        <v>112</v>
      </c>
      <c r="I26" s="8" t="s">
        <v>112</v>
      </c>
      <c r="J26" s="8" t="s">
        <v>112</v>
      </c>
      <c r="K26" s="8" t="s">
        <v>112</v>
      </c>
      <c r="L26" s="128"/>
      <c r="M26" s="8" t="s">
        <v>112</v>
      </c>
      <c r="N26" s="8" t="s">
        <v>112</v>
      </c>
      <c r="O26" s="8" t="s">
        <v>112</v>
      </c>
      <c r="P26" s="8" t="s">
        <v>112</v>
      </c>
      <c r="Q26" s="8" t="s">
        <v>112</v>
      </c>
      <c r="R26" s="8"/>
      <c r="S26" s="5">
        <f>COUNTIF(E26:R26,"P")</f>
        <v>10</v>
      </c>
      <c r="T26" s="5">
        <f>COUNTIF(E26:R26,"A")</f>
        <v>1</v>
      </c>
    </row>
    <row r="27" spans="1:24" x14ac:dyDescent="0.25">
      <c r="A27" s="27">
        <v>6</v>
      </c>
      <c r="B27" s="30" t="s">
        <v>593</v>
      </c>
      <c r="C27" s="31" t="s">
        <v>641</v>
      </c>
      <c r="D27" s="26" t="s">
        <v>617</v>
      </c>
      <c r="E27" s="128"/>
      <c r="F27" s="8" t="s">
        <v>112</v>
      </c>
      <c r="G27" s="8" t="s">
        <v>112</v>
      </c>
      <c r="H27" s="8" t="s">
        <v>112</v>
      </c>
      <c r="I27" s="8" t="s">
        <v>112</v>
      </c>
      <c r="J27" s="8" t="s">
        <v>112</v>
      </c>
      <c r="K27" s="8" t="s">
        <v>112</v>
      </c>
      <c r="L27" s="128"/>
      <c r="M27" s="8" t="s">
        <v>112</v>
      </c>
      <c r="N27" s="8" t="s">
        <v>112</v>
      </c>
      <c r="O27" s="8" t="s">
        <v>112</v>
      </c>
      <c r="P27" s="8" t="s">
        <v>112</v>
      </c>
      <c r="Q27" s="8" t="s">
        <v>112</v>
      </c>
      <c r="R27" s="8"/>
      <c r="S27" s="5">
        <f>COUNTIF(E27:R27,"P")</f>
        <v>11</v>
      </c>
      <c r="T27" s="5">
        <f>COUNTIF(E27:R27,"A")</f>
        <v>0</v>
      </c>
    </row>
    <row r="28" spans="1:24" x14ac:dyDescent="0.25">
      <c r="A28" s="10">
        <v>7</v>
      </c>
      <c r="B28" s="34" t="s">
        <v>642</v>
      </c>
      <c r="C28" s="35" t="s">
        <v>643</v>
      </c>
      <c r="D28" s="26" t="s">
        <v>617</v>
      </c>
      <c r="E28" s="128"/>
      <c r="F28" s="8" t="s">
        <v>112</v>
      </c>
      <c r="G28" s="8" t="s">
        <v>112</v>
      </c>
      <c r="H28" s="8" t="s">
        <v>112</v>
      </c>
      <c r="I28" s="8" t="s">
        <v>112</v>
      </c>
      <c r="J28" s="8" t="s">
        <v>112</v>
      </c>
      <c r="K28" s="8" t="s">
        <v>112</v>
      </c>
      <c r="L28" s="128"/>
      <c r="M28" s="8" t="s">
        <v>112</v>
      </c>
      <c r="N28" s="8" t="s">
        <v>112</v>
      </c>
      <c r="O28" s="8" t="s">
        <v>112</v>
      </c>
      <c r="P28" s="8" t="s">
        <v>112</v>
      </c>
      <c r="Q28" s="8" t="s">
        <v>112</v>
      </c>
      <c r="R28" s="8"/>
      <c r="S28" s="5">
        <f>COUNTIF(E28:R28,"P")</f>
        <v>11</v>
      </c>
      <c r="T28" s="5">
        <f>COUNTIF(E28:R28,"A")</f>
        <v>0</v>
      </c>
    </row>
    <row r="29" spans="1:24" x14ac:dyDescent="0.25">
      <c r="A29" s="27">
        <v>8</v>
      </c>
      <c r="B29" s="36" t="s">
        <v>644</v>
      </c>
      <c r="C29" s="36" t="s">
        <v>645</v>
      </c>
      <c r="D29" s="26" t="s">
        <v>617</v>
      </c>
      <c r="E29" s="128"/>
      <c r="F29" s="8" t="s">
        <v>112</v>
      </c>
      <c r="G29" s="8" t="s">
        <v>112</v>
      </c>
      <c r="H29" s="8" t="s">
        <v>112</v>
      </c>
      <c r="I29" s="8" t="s">
        <v>112</v>
      </c>
      <c r="J29" s="8" t="s">
        <v>112</v>
      </c>
      <c r="K29" s="8" t="s">
        <v>112</v>
      </c>
      <c r="L29" s="128"/>
      <c r="M29" s="8" t="s">
        <v>112</v>
      </c>
      <c r="N29" s="8" t="s">
        <v>112</v>
      </c>
      <c r="O29" s="8" t="s">
        <v>112</v>
      </c>
      <c r="P29" s="8" t="s">
        <v>112</v>
      </c>
      <c r="Q29" s="8" t="s">
        <v>112</v>
      </c>
      <c r="R29" s="8"/>
      <c r="S29" s="5">
        <f>COUNTIF(E29:R29,"P")</f>
        <v>11</v>
      </c>
      <c r="T29" s="5">
        <f>COUNTIF(E29:R29,"A")</f>
        <v>0</v>
      </c>
    </row>
    <row r="30" spans="1:24" x14ac:dyDescent="0.25">
      <c r="A30" s="10">
        <v>9</v>
      </c>
      <c r="B30" s="36" t="s">
        <v>529</v>
      </c>
      <c r="C30" s="36" t="s">
        <v>294</v>
      </c>
      <c r="D30" s="26" t="s">
        <v>617</v>
      </c>
      <c r="E30" s="128"/>
      <c r="F30" s="8" t="s">
        <v>112</v>
      </c>
      <c r="G30" s="8" t="s">
        <v>112</v>
      </c>
      <c r="H30" s="8" t="s">
        <v>112</v>
      </c>
      <c r="I30" s="8" t="s">
        <v>112</v>
      </c>
      <c r="J30" s="8" t="s">
        <v>112</v>
      </c>
      <c r="K30" s="8" t="s">
        <v>112</v>
      </c>
      <c r="L30" s="128"/>
      <c r="M30" s="8" t="s">
        <v>112</v>
      </c>
      <c r="N30" s="8" t="s">
        <v>112</v>
      </c>
      <c r="O30" s="8" t="s">
        <v>112</v>
      </c>
      <c r="P30" s="8" t="s">
        <v>112</v>
      </c>
      <c r="Q30" s="8" t="s">
        <v>112</v>
      </c>
      <c r="R30" s="8"/>
      <c r="S30" s="5">
        <f>COUNTIF(E30:R30,"P")</f>
        <v>11</v>
      </c>
      <c r="T30" s="5">
        <f>COUNTIF(E30:R30,"A")</f>
        <v>0</v>
      </c>
    </row>
    <row r="31" spans="1:24" x14ac:dyDescent="0.25">
      <c r="A31" s="27">
        <v>10</v>
      </c>
      <c r="B31" s="36" t="s">
        <v>529</v>
      </c>
      <c r="C31" s="36" t="s">
        <v>646</v>
      </c>
      <c r="D31" s="26" t="s">
        <v>617</v>
      </c>
      <c r="E31" s="128"/>
      <c r="F31" s="8" t="s">
        <v>112</v>
      </c>
      <c r="G31" s="8" t="s">
        <v>112</v>
      </c>
      <c r="H31" s="8" t="s">
        <v>112</v>
      </c>
      <c r="I31" s="8" t="s">
        <v>112</v>
      </c>
      <c r="J31" s="8" t="s">
        <v>112</v>
      </c>
      <c r="K31" s="8" t="s">
        <v>112</v>
      </c>
      <c r="L31" s="128"/>
      <c r="M31" s="8" t="s">
        <v>112</v>
      </c>
      <c r="N31" s="8" t="s">
        <v>112</v>
      </c>
      <c r="O31" s="8" t="s">
        <v>112</v>
      </c>
      <c r="P31" s="8" t="s">
        <v>112</v>
      </c>
      <c r="Q31" s="8" t="s">
        <v>112</v>
      </c>
      <c r="R31" s="8"/>
      <c r="S31" s="5">
        <f>COUNTIF(E31:R31,"P")</f>
        <v>11</v>
      </c>
      <c r="T31" s="5">
        <f>COUNTIF(E31:R31,"A")</f>
        <v>0</v>
      </c>
    </row>
    <row r="32" spans="1:24" x14ac:dyDescent="0.25">
      <c r="A32" s="10">
        <v>11</v>
      </c>
      <c r="B32" s="36" t="s">
        <v>647</v>
      </c>
      <c r="C32" s="37" t="s">
        <v>648</v>
      </c>
      <c r="D32" s="26" t="s">
        <v>617</v>
      </c>
      <c r="E32" s="128"/>
      <c r="F32" s="8" t="s">
        <v>112</v>
      </c>
      <c r="G32" s="8" t="s">
        <v>112</v>
      </c>
      <c r="H32" s="8" t="s">
        <v>112</v>
      </c>
      <c r="I32" s="8" t="s">
        <v>112</v>
      </c>
      <c r="J32" s="8" t="s">
        <v>112</v>
      </c>
      <c r="K32" s="8" t="s">
        <v>112</v>
      </c>
      <c r="L32" s="128"/>
      <c r="M32" s="8" t="s">
        <v>112</v>
      </c>
      <c r="N32" s="8" t="s">
        <v>112</v>
      </c>
      <c r="O32" s="8" t="s">
        <v>112</v>
      </c>
      <c r="P32" s="8" t="s">
        <v>112</v>
      </c>
      <c r="Q32" s="8" t="s">
        <v>112</v>
      </c>
      <c r="R32" s="8"/>
      <c r="S32" s="5">
        <f>COUNTIF(E32:R32,"P")</f>
        <v>11</v>
      </c>
      <c r="T32" s="5">
        <f>COUNTIF(E32:R32,"A")</f>
        <v>0</v>
      </c>
    </row>
    <row r="33" spans="1:20" x14ac:dyDescent="0.25">
      <c r="A33" s="27">
        <v>12</v>
      </c>
      <c r="B33" s="33" t="s">
        <v>649</v>
      </c>
      <c r="C33" s="38" t="s">
        <v>89</v>
      </c>
      <c r="D33" s="26" t="s">
        <v>617</v>
      </c>
      <c r="E33" s="128"/>
      <c r="F33" s="8" t="s">
        <v>112</v>
      </c>
      <c r="G33" s="8" t="s">
        <v>112</v>
      </c>
      <c r="H33" s="8" t="s">
        <v>112</v>
      </c>
      <c r="I33" s="8" t="s">
        <v>111</v>
      </c>
      <c r="J33" s="8" t="s">
        <v>112</v>
      </c>
      <c r="K33" s="8" t="s">
        <v>111</v>
      </c>
      <c r="L33" s="128"/>
      <c r="M33" s="8" t="s">
        <v>112</v>
      </c>
      <c r="N33" s="8" t="s">
        <v>112</v>
      </c>
      <c r="O33" s="8" t="s">
        <v>112</v>
      </c>
      <c r="P33" s="8" t="s">
        <v>112</v>
      </c>
      <c r="Q33" s="8" t="s">
        <v>112</v>
      </c>
      <c r="R33" s="8"/>
      <c r="S33" s="5">
        <f>COUNTIF(E33:R33,"P")</f>
        <v>9</v>
      </c>
      <c r="T33" s="5">
        <f>COUNTIF(E33:R33,"A")</f>
        <v>2</v>
      </c>
    </row>
    <row r="34" spans="1:20" x14ac:dyDescent="0.25">
      <c r="A34" s="10">
        <v>13</v>
      </c>
      <c r="B34" s="30" t="s">
        <v>650</v>
      </c>
      <c r="C34" s="31" t="s">
        <v>651</v>
      </c>
      <c r="D34" s="26" t="s">
        <v>617</v>
      </c>
      <c r="E34" s="128"/>
      <c r="F34" s="8" t="s">
        <v>112</v>
      </c>
      <c r="G34" s="8" t="s">
        <v>112</v>
      </c>
      <c r="H34" s="8" t="s">
        <v>112</v>
      </c>
      <c r="I34" s="8" t="s">
        <v>112</v>
      </c>
      <c r="J34" s="8" t="s">
        <v>112</v>
      </c>
      <c r="K34" s="8" t="s">
        <v>112</v>
      </c>
      <c r="L34" s="128"/>
      <c r="M34" s="8" t="s">
        <v>112</v>
      </c>
      <c r="N34" s="8" t="s">
        <v>112</v>
      </c>
      <c r="O34" s="8" t="s">
        <v>112</v>
      </c>
      <c r="P34" s="8" t="s">
        <v>112</v>
      </c>
      <c r="Q34" s="8" t="s">
        <v>112</v>
      </c>
      <c r="R34" s="8"/>
      <c r="S34" s="5">
        <f>COUNTIF(E34:R34,"P")</f>
        <v>11</v>
      </c>
      <c r="T34" s="5">
        <f>COUNTIF(E34:R34,"A")</f>
        <v>0</v>
      </c>
    </row>
    <row r="35" spans="1:20" x14ac:dyDescent="0.25">
      <c r="A35" s="27">
        <v>14</v>
      </c>
      <c r="B35" s="30" t="s">
        <v>652</v>
      </c>
      <c r="C35" s="31" t="s">
        <v>646</v>
      </c>
      <c r="D35" s="26" t="s">
        <v>617</v>
      </c>
      <c r="E35" s="128"/>
      <c r="F35" s="8" t="s">
        <v>112</v>
      </c>
      <c r="G35" s="8" t="s">
        <v>112</v>
      </c>
      <c r="H35" s="8" t="s">
        <v>112</v>
      </c>
      <c r="I35" s="8" t="s">
        <v>112</v>
      </c>
      <c r="J35" s="8" t="s">
        <v>112</v>
      </c>
      <c r="K35" s="8" t="s">
        <v>112</v>
      </c>
      <c r="L35" s="128"/>
      <c r="M35" s="8" t="s">
        <v>112</v>
      </c>
      <c r="N35" s="8" t="s">
        <v>112</v>
      </c>
      <c r="O35" s="8" t="s">
        <v>112</v>
      </c>
      <c r="P35" s="8" t="s">
        <v>112</v>
      </c>
      <c r="Q35" s="8" t="s">
        <v>112</v>
      </c>
      <c r="R35" s="8"/>
      <c r="S35" s="5">
        <f>COUNTIF(E35:R35,"P")</f>
        <v>11</v>
      </c>
      <c r="T35" s="5">
        <f>COUNTIF(E35:R35,"A")</f>
        <v>0</v>
      </c>
    </row>
    <row r="36" spans="1:20" x14ac:dyDescent="0.25">
      <c r="A36" s="10">
        <v>15</v>
      </c>
      <c r="B36" s="15" t="s">
        <v>614</v>
      </c>
      <c r="C36" s="15" t="s">
        <v>653</v>
      </c>
      <c r="D36" s="26" t="s">
        <v>617</v>
      </c>
      <c r="E36" s="128"/>
      <c r="F36" s="8" t="s">
        <v>112</v>
      </c>
      <c r="G36" s="8" t="s">
        <v>112</v>
      </c>
      <c r="H36" s="8" t="s">
        <v>112</v>
      </c>
      <c r="I36" s="8" t="s">
        <v>112</v>
      </c>
      <c r="J36" s="8" t="s">
        <v>112</v>
      </c>
      <c r="K36" s="8" t="s">
        <v>111</v>
      </c>
      <c r="L36" s="128"/>
      <c r="M36" s="8" t="s">
        <v>112</v>
      </c>
      <c r="N36" s="8" t="s">
        <v>112</v>
      </c>
      <c r="O36" s="8" t="s">
        <v>112</v>
      </c>
      <c r="P36" s="8" t="s">
        <v>112</v>
      </c>
      <c r="Q36" s="8" t="s">
        <v>112</v>
      </c>
      <c r="R36" s="8"/>
      <c r="S36" s="5">
        <f>COUNTIF(E36:R36,"P")</f>
        <v>10</v>
      </c>
      <c r="T36" s="5">
        <f>COUNTIF(E36:R36,"A")</f>
        <v>1</v>
      </c>
    </row>
    <row r="37" spans="1:20" x14ac:dyDescent="0.25">
      <c r="A37" s="27">
        <v>16</v>
      </c>
      <c r="B37" s="15" t="s">
        <v>654</v>
      </c>
      <c r="C37" s="15" t="s">
        <v>528</v>
      </c>
      <c r="D37" s="26" t="s">
        <v>617</v>
      </c>
      <c r="E37" s="128"/>
      <c r="F37" s="8" t="s">
        <v>111</v>
      </c>
      <c r="G37" s="8" t="s">
        <v>112</v>
      </c>
      <c r="H37" s="8" t="s">
        <v>112</v>
      </c>
      <c r="I37" s="8" t="s">
        <v>112</v>
      </c>
      <c r="J37" s="8" t="s">
        <v>112</v>
      </c>
      <c r="K37" s="8" t="s">
        <v>112</v>
      </c>
      <c r="L37" s="128"/>
      <c r="M37" s="8" t="s">
        <v>112</v>
      </c>
      <c r="N37" s="8" t="s">
        <v>112</v>
      </c>
      <c r="O37" s="8" t="s">
        <v>112</v>
      </c>
      <c r="P37" s="8" t="s">
        <v>112</v>
      </c>
      <c r="Q37" s="8" t="s">
        <v>112</v>
      </c>
      <c r="R37" s="8"/>
      <c r="S37" s="5">
        <f>COUNTIF(E37:R37,"P")</f>
        <v>10</v>
      </c>
      <c r="T37" s="5">
        <f>COUNTIF(E37:R37,"A")</f>
        <v>1</v>
      </c>
    </row>
    <row r="38" spans="1:20" x14ac:dyDescent="0.25">
      <c r="A38" s="10">
        <v>17</v>
      </c>
      <c r="B38" s="15" t="s">
        <v>655</v>
      </c>
      <c r="C38" s="15" t="s">
        <v>294</v>
      </c>
      <c r="D38" s="26" t="s">
        <v>617</v>
      </c>
      <c r="E38" s="128"/>
      <c r="F38" s="8" t="s">
        <v>112</v>
      </c>
      <c r="G38" s="8" t="s">
        <v>112</v>
      </c>
      <c r="H38" s="8" t="s">
        <v>112</v>
      </c>
      <c r="I38" s="8" t="s">
        <v>112</v>
      </c>
      <c r="J38" s="8" t="s">
        <v>112</v>
      </c>
      <c r="K38" s="8" t="s">
        <v>112</v>
      </c>
      <c r="L38" s="128"/>
      <c r="M38" s="8" t="s">
        <v>112</v>
      </c>
      <c r="N38" s="8" t="s">
        <v>112</v>
      </c>
      <c r="O38" s="8" t="s">
        <v>112</v>
      </c>
      <c r="P38" s="8" t="s">
        <v>112</v>
      </c>
      <c r="Q38" s="8" t="s">
        <v>112</v>
      </c>
      <c r="R38" s="8"/>
      <c r="S38" s="5">
        <f>COUNTIF(E38:R38,"P")</f>
        <v>11</v>
      </c>
      <c r="T38" s="5">
        <f>COUNTIF(E38:R38,"A")</f>
        <v>0</v>
      </c>
    </row>
    <row r="39" spans="1:20" x14ac:dyDescent="0.25">
      <c r="A39" s="27">
        <v>18</v>
      </c>
      <c r="B39" s="15" t="s">
        <v>656</v>
      </c>
      <c r="C39" s="15" t="s">
        <v>657</v>
      </c>
      <c r="D39" s="26" t="s">
        <v>617</v>
      </c>
      <c r="E39" s="128"/>
      <c r="F39" s="8" t="s">
        <v>112</v>
      </c>
      <c r="G39" s="8" t="s">
        <v>112</v>
      </c>
      <c r="H39" s="8" t="s">
        <v>112</v>
      </c>
      <c r="I39" s="8" t="s">
        <v>112</v>
      </c>
      <c r="J39" s="8" t="s">
        <v>112</v>
      </c>
      <c r="K39" s="8" t="s">
        <v>112</v>
      </c>
      <c r="L39" s="128"/>
      <c r="M39" s="8" t="s">
        <v>112</v>
      </c>
      <c r="N39" s="8" t="s">
        <v>112</v>
      </c>
      <c r="O39" s="8" t="s">
        <v>112</v>
      </c>
      <c r="P39" s="8" t="s">
        <v>112</v>
      </c>
      <c r="Q39" s="8" t="s">
        <v>112</v>
      </c>
      <c r="R39" s="8"/>
      <c r="S39" s="5">
        <f>COUNTIF(E39:R39,"P")</f>
        <v>11</v>
      </c>
      <c r="T39" s="5">
        <f>COUNTIF(E39:R39,"A")</f>
        <v>0</v>
      </c>
    </row>
    <row r="40" spans="1:20" x14ac:dyDescent="0.25">
      <c r="A40" s="10">
        <v>19</v>
      </c>
      <c r="B40" s="15" t="s">
        <v>658</v>
      </c>
      <c r="C40" s="15" t="s">
        <v>98</v>
      </c>
      <c r="D40" s="26" t="s">
        <v>617</v>
      </c>
      <c r="E40" s="128"/>
      <c r="F40" s="8" t="s">
        <v>112</v>
      </c>
      <c r="G40" s="8" t="s">
        <v>112</v>
      </c>
      <c r="H40" s="8" t="s">
        <v>112</v>
      </c>
      <c r="I40" s="8" t="s">
        <v>112</v>
      </c>
      <c r="J40" s="8" t="s">
        <v>112</v>
      </c>
      <c r="K40" s="8" t="s">
        <v>111</v>
      </c>
      <c r="L40" s="128"/>
      <c r="M40" s="8" t="s">
        <v>112</v>
      </c>
      <c r="N40" s="8" t="s">
        <v>112</v>
      </c>
      <c r="O40" s="8" t="s">
        <v>112</v>
      </c>
      <c r="P40" s="8" t="s">
        <v>112</v>
      </c>
      <c r="Q40" s="8" t="s">
        <v>112</v>
      </c>
      <c r="R40" s="8"/>
      <c r="S40" s="5">
        <f>COUNTIF(E40:R40,"P")</f>
        <v>10</v>
      </c>
      <c r="T40" s="5">
        <f>COUNTIF(E40:R40,"A")</f>
        <v>1</v>
      </c>
    </row>
    <row r="41" spans="1:20" x14ac:dyDescent="0.25">
      <c r="A41" s="27">
        <v>20</v>
      </c>
      <c r="B41" s="15" t="s">
        <v>659</v>
      </c>
      <c r="C41" s="15" t="s">
        <v>660</v>
      </c>
      <c r="D41" s="26" t="s">
        <v>617</v>
      </c>
      <c r="E41" s="128"/>
      <c r="F41" s="8" t="s">
        <v>111</v>
      </c>
      <c r="G41" s="8" t="s">
        <v>112</v>
      </c>
      <c r="H41" s="8" t="s">
        <v>112</v>
      </c>
      <c r="I41" s="8" t="s">
        <v>112</v>
      </c>
      <c r="J41" s="8" t="s">
        <v>112</v>
      </c>
      <c r="K41" s="8" t="s">
        <v>112</v>
      </c>
      <c r="L41" s="128"/>
      <c r="M41" s="8" t="s">
        <v>112</v>
      </c>
      <c r="N41" s="8" t="s">
        <v>112</v>
      </c>
      <c r="O41" s="8" t="s">
        <v>112</v>
      </c>
      <c r="P41" s="8" t="s">
        <v>112</v>
      </c>
      <c r="Q41" s="8" t="s">
        <v>112</v>
      </c>
      <c r="R41" s="8"/>
      <c r="S41" s="5">
        <f>COUNTIF(E41:R41,"P")</f>
        <v>10</v>
      </c>
      <c r="T41" s="5">
        <f>COUNTIF(E41:R41,"A")</f>
        <v>1</v>
      </c>
    </row>
    <row r="42" spans="1:20" x14ac:dyDescent="0.25">
      <c r="A42" s="10">
        <v>21</v>
      </c>
      <c r="B42" s="15" t="s">
        <v>661</v>
      </c>
      <c r="C42" s="15" t="s">
        <v>487</v>
      </c>
      <c r="D42" s="26" t="s">
        <v>617</v>
      </c>
      <c r="E42" s="128"/>
      <c r="F42" s="8" t="s">
        <v>112</v>
      </c>
      <c r="G42" s="8" t="s">
        <v>112</v>
      </c>
      <c r="H42" s="8" t="s">
        <v>112</v>
      </c>
      <c r="I42" s="8" t="s">
        <v>112</v>
      </c>
      <c r="J42" s="8" t="s">
        <v>112</v>
      </c>
      <c r="K42" s="8" t="s">
        <v>112</v>
      </c>
      <c r="L42" s="128"/>
      <c r="M42" s="8" t="s">
        <v>112</v>
      </c>
      <c r="N42" s="8" t="s">
        <v>112</v>
      </c>
      <c r="O42" s="8" t="s">
        <v>112</v>
      </c>
      <c r="P42" s="8" t="s">
        <v>112</v>
      </c>
      <c r="Q42" s="8" t="s">
        <v>112</v>
      </c>
      <c r="R42" s="8"/>
      <c r="S42" s="5">
        <f>COUNTIF(E42:R42,"P")</f>
        <v>11</v>
      </c>
      <c r="T42" s="5">
        <f>COUNTIF(E42:R42,"A")</f>
        <v>0</v>
      </c>
    </row>
    <row r="43" spans="1:20" x14ac:dyDescent="0.25">
      <c r="A43" s="27">
        <v>22</v>
      </c>
      <c r="B43" s="15" t="s">
        <v>662</v>
      </c>
      <c r="C43" s="15" t="s">
        <v>663</v>
      </c>
      <c r="D43" s="26" t="s">
        <v>617</v>
      </c>
      <c r="E43" s="128"/>
      <c r="F43" s="8" t="s">
        <v>112</v>
      </c>
      <c r="G43" s="8" t="s">
        <v>112</v>
      </c>
      <c r="H43" s="8" t="s">
        <v>112</v>
      </c>
      <c r="I43" s="8" t="s">
        <v>112</v>
      </c>
      <c r="J43" s="8" t="s">
        <v>112</v>
      </c>
      <c r="K43" s="8" t="s">
        <v>112</v>
      </c>
      <c r="L43" s="128"/>
      <c r="M43" s="8" t="s">
        <v>112</v>
      </c>
      <c r="N43" s="8" t="s">
        <v>112</v>
      </c>
      <c r="O43" s="8" t="s">
        <v>112</v>
      </c>
      <c r="P43" s="8" t="s">
        <v>112</v>
      </c>
      <c r="Q43" s="8" t="s">
        <v>112</v>
      </c>
      <c r="R43" s="8"/>
      <c r="S43" s="5">
        <f>COUNTIF(E43:R43,"P")</f>
        <v>11</v>
      </c>
      <c r="T43" s="5">
        <f>COUNTIF(E43:R43,"A")</f>
        <v>0</v>
      </c>
    </row>
    <row r="44" spans="1:20" x14ac:dyDescent="0.25">
      <c r="A44" s="10">
        <v>23</v>
      </c>
      <c r="B44" s="15" t="s">
        <v>664</v>
      </c>
      <c r="C44" s="15" t="s">
        <v>665</v>
      </c>
      <c r="D44" s="26" t="s">
        <v>617</v>
      </c>
      <c r="E44" s="128"/>
      <c r="F44" s="8" t="s">
        <v>111</v>
      </c>
      <c r="G44" s="8" t="s">
        <v>112</v>
      </c>
      <c r="H44" s="8" t="s">
        <v>111</v>
      </c>
      <c r="I44" s="8" t="s">
        <v>111</v>
      </c>
      <c r="J44" s="8" t="s">
        <v>112</v>
      </c>
      <c r="K44" s="8" t="s">
        <v>111</v>
      </c>
      <c r="L44" s="128"/>
      <c r="M44" s="8" t="s">
        <v>112</v>
      </c>
      <c r="N44" s="8" t="s">
        <v>112</v>
      </c>
      <c r="O44" s="8" t="s">
        <v>112</v>
      </c>
      <c r="P44" s="8" t="s">
        <v>112</v>
      </c>
      <c r="Q44" s="8" t="s">
        <v>112</v>
      </c>
      <c r="R44" s="8"/>
      <c r="S44" s="5">
        <f>COUNTIF(E44:R44,"P")</f>
        <v>7</v>
      </c>
      <c r="T44" s="5">
        <f>COUNTIF(E44:R44,"A")</f>
        <v>4</v>
      </c>
    </row>
    <row r="45" spans="1:20" x14ac:dyDescent="0.25">
      <c r="A45" s="27">
        <v>24</v>
      </c>
      <c r="B45" s="15" t="s">
        <v>666</v>
      </c>
      <c r="C45" s="15" t="s">
        <v>386</v>
      </c>
      <c r="D45" s="26" t="s">
        <v>617</v>
      </c>
      <c r="E45" s="128"/>
      <c r="F45" s="8" t="s">
        <v>112</v>
      </c>
      <c r="G45" s="8" t="s">
        <v>112</v>
      </c>
      <c r="H45" s="8" t="s">
        <v>112</v>
      </c>
      <c r="I45" s="8" t="s">
        <v>112</v>
      </c>
      <c r="J45" s="8" t="s">
        <v>112</v>
      </c>
      <c r="K45" s="8" t="s">
        <v>112</v>
      </c>
      <c r="L45" s="128"/>
      <c r="M45" s="8" t="s">
        <v>112</v>
      </c>
      <c r="N45" s="8" t="s">
        <v>112</v>
      </c>
      <c r="O45" s="8" t="s">
        <v>112</v>
      </c>
      <c r="P45" s="8" t="s">
        <v>112</v>
      </c>
      <c r="Q45" s="8" t="s">
        <v>112</v>
      </c>
      <c r="R45" s="8"/>
      <c r="S45" s="5">
        <f>COUNTIF(E45:R45,"P")</f>
        <v>11</v>
      </c>
      <c r="T45" s="5">
        <f>COUNTIF(E45:R45,"A")</f>
        <v>0</v>
      </c>
    </row>
    <row r="46" spans="1:20" x14ac:dyDescent="0.25">
      <c r="A46" s="10">
        <v>25</v>
      </c>
      <c r="B46" s="15" t="s">
        <v>667</v>
      </c>
      <c r="C46" s="15" t="s">
        <v>668</v>
      </c>
      <c r="D46" s="26" t="s">
        <v>617</v>
      </c>
      <c r="E46" s="128"/>
      <c r="F46" s="8" t="s">
        <v>112</v>
      </c>
      <c r="G46" s="8" t="s">
        <v>112</v>
      </c>
      <c r="H46" s="8" t="s">
        <v>112</v>
      </c>
      <c r="I46" s="8" t="s">
        <v>111</v>
      </c>
      <c r="J46" s="8" t="s">
        <v>112</v>
      </c>
      <c r="K46" s="8" t="s">
        <v>112</v>
      </c>
      <c r="L46" s="128"/>
      <c r="M46" s="8" t="s">
        <v>111</v>
      </c>
      <c r="N46" s="8" t="s">
        <v>112</v>
      </c>
      <c r="O46" s="8" t="s">
        <v>112</v>
      </c>
      <c r="P46" s="8" t="s">
        <v>112</v>
      </c>
      <c r="Q46" s="8" t="s">
        <v>112</v>
      </c>
      <c r="R46" s="8"/>
      <c r="S46" s="5">
        <f>COUNTIF(E46:R46,"P")</f>
        <v>9</v>
      </c>
      <c r="T46" s="5">
        <f>COUNTIF(E46:R46,"A")</f>
        <v>2</v>
      </c>
    </row>
    <row r="47" spans="1:20" x14ac:dyDescent="0.25">
      <c r="A47" s="27">
        <v>26</v>
      </c>
      <c r="B47" s="15" t="s">
        <v>669</v>
      </c>
      <c r="C47" s="15" t="s">
        <v>670</v>
      </c>
      <c r="D47" s="26" t="s">
        <v>617</v>
      </c>
      <c r="E47" s="128"/>
      <c r="F47" s="8" t="s">
        <v>112</v>
      </c>
      <c r="G47" s="8" t="s">
        <v>112</v>
      </c>
      <c r="H47" s="8" t="s">
        <v>112</v>
      </c>
      <c r="I47" s="8" t="s">
        <v>112</v>
      </c>
      <c r="J47" s="8" t="s">
        <v>112</v>
      </c>
      <c r="K47" s="8" t="s">
        <v>112</v>
      </c>
      <c r="L47" s="128"/>
      <c r="M47" s="8" t="s">
        <v>112</v>
      </c>
      <c r="N47" s="8" t="s">
        <v>112</v>
      </c>
      <c r="O47" s="8" t="s">
        <v>112</v>
      </c>
      <c r="P47" s="8" t="s">
        <v>112</v>
      </c>
      <c r="Q47" s="8" t="s">
        <v>112</v>
      </c>
      <c r="R47" s="8"/>
      <c r="S47" s="5">
        <f>COUNTIF(E47:R47,"P")</f>
        <v>11</v>
      </c>
      <c r="T47" s="5">
        <f>COUNTIF(E47:R47,"A")</f>
        <v>0</v>
      </c>
    </row>
    <row r="48" spans="1:20" x14ac:dyDescent="0.25">
      <c r="A48" s="10">
        <v>27</v>
      </c>
      <c r="B48" s="15" t="s">
        <v>671</v>
      </c>
      <c r="C48" s="15" t="s">
        <v>672</v>
      </c>
      <c r="D48" s="26" t="s">
        <v>617</v>
      </c>
      <c r="E48" s="128"/>
      <c r="F48" s="8" t="s">
        <v>112</v>
      </c>
      <c r="G48" s="8" t="s">
        <v>112</v>
      </c>
      <c r="H48" s="8" t="s">
        <v>112</v>
      </c>
      <c r="I48" s="8" t="s">
        <v>112</v>
      </c>
      <c r="J48" s="8" t="s">
        <v>112</v>
      </c>
      <c r="K48" s="8" t="s">
        <v>112</v>
      </c>
      <c r="L48" s="128"/>
      <c r="M48" s="8" t="s">
        <v>112</v>
      </c>
      <c r="N48" s="8" t="s">
        <v>112</v>
      </c>
      <c r="O48" s="8" t="s">
        <v>112</v>
      </c>
      <c r="P48" s="8" t="s">
        <v>112</v>
      </c>
      <c r="Q48" s="8" t="s">
        <v>112</v>
      </c>
      <c r="R48" s="8"/>
      <c r="S48" s="5">
        <f>COUNTIF(E48:R48,"P")</f>
        <v>11</v>
      </c>
      <c r="T48" s="5">
        <f>COUNTIF(E48:R48,"A")</f>
        <v>0</v>
      </c>
    </row>
    <row r="49" spans="1:20" x14ac:dyDescent="0.25">
      <c r="A49" s="27">
        <v>28</v>
      </c>
      <c r="B49" s="15" t="s">
        <v>532</v>
      </c>
      <c r="C49" s="15" t="s">
        <v>504</v>
      </c>
      <c r="D49" s="26" t="s">
        <v>617</v>
      </c>
      <c r="E49" s="129"/>
      <c r="F49" s="8" t="s">
        <v>112</v>
      </c>
      <c r="G49" s="8" t="s">
        <v>112</v>
      </c>
      <c r="H49" s="8" t="s">
        <v>112</v>
      </c>
      <c r="I49" s="8" t="s">
        <v>112</v>
      </c>
      <c r="J49" s="8" t="s">
        <v>112</v>
      </c>
      <c r="K49" s="8" t="s">
        <v>112</v>
      </c>
      <c r="L49" s="129"/>
      <c r="M49" s="8" t="s">
        <v>112</v>
      </c>
      <c r="N49" s="8" t="s">
        <v>112</v>
      </c>
      <c r="O49" s="8" t="s">
        <v>112</v>
      </c>
      <c r="P49" s="8" t="s">
        <v>112</v>
      </c>
      <c r="Q49" s="8" t="s">
        <v>112</v>
      </c>
      <c r="R49" s="8"/>
      <c r="S49" s="5">
        <f>COUNTIF(E49:R49,"P")</f>
        <v>11</v>
      </c>
      <c r="T49" s="5">
        <f>COUNTIF(E49:R49,"A")</f>
        <v>0</v>
      </c>
    </row>
  </sheetData>
  <mergeCells count="13">
    <mergeCell ref="U3:V3"/>
    <mergeCell ref="E5:E49"/>
    <mergeCell ref="L5:L49"/>
    <mergeCell ref="U11:X11"/>
    <mergeCell ref="U19:X19"/>
    <mergeCell ref="A1:T1"/>
    <mergeCell ref="A2:T2"/>
    <mergeCell ref="A3:A4"/>
    <mergeCell ref="B3:B4"/>
    <mergeCell ref="C3:C4"/>
    <mergeCell ref="D3:D4"/>
    <mergeCell ref="S3:S4"/>
    <mergeCell ref="T3:T4"/>
  </mergeCells>
  <conditionalFormatting sqref="E5 L5 F5:K49 M5:R49 E4:R4">
    <cfRule type="expression" dxfId="78" priority="17">
      <formula>IF(E$4=TODAY(),TRUE,FALSE)</formula>
    </cfRule>
  </conditionalFormatting>
  <conditionalFormatting sqref="E5 L5 F5:K49 M5:R49">
    <cfRule type="cellIs" dxfId="77" priority="14" operator="equal">
      <formula>"L"</formula>
    </cfRule>
    <cfRule type="cellIs" dxfId="76" priority="15" operator="equal">
      <formula>"A"</formula>
    </cfRule>
    <cfRule type="cellIs" dxfId="75" priority="16" operator="equal">
      <formula>"P"</formula>
    </cfRule>
  </conditionalFormatting>
  <conditionalFormatting sqref="E5 L5 F5:K49 M5:R49 E3:R4">
    <cfRule type="expression" dxfId="74" priority="18">
      <formula>E$3="Sun"</formula>
    </cfRule>
  </conditionalFormatting>
  <conditionalFormatting sqref="S3:T3 S5:T49">
    <cfRule type="expression" dxfId="73" priority="19">
      <formula>#REF!="Sun"</formula>
    </cfRule>
  </conditionalFormatting>
  <conditionalFormatting sqref="U5:U9">
    <cfRule type="expression" dxfId="72" priority="4">
      <formula>U$3="Sun"</formula>
    </cfRule>
  </conditionalFormatting>
  <conditionalFormatting sqref="U12:U15">
    <cfRule type="expression" dxfId="71" priority="2">
      <formula>U$3="Sun"</formula>
    </cfRule>
  </conditionalFormatting>
  <conditionalFormatting sqref="U20:U23">
    <cfRule type="expression" dxfId="70" priority="1">
      <formula>U$3="Sun"</formula>
    </cfRule>
  </conditionalFormatting>
  <conditionalFormatting sqref="U4:V4">
    <cfRule type="expression" dxfId="69" priority="5">
      <formula>U$3="Sun"</formula>
    </cfRule>
  </conditionalFormatting>
  <conditionalFormatting sqref="V12:X12 V20:X20">
    <cfRule type="expression" dxfId="68" priority="6">
      <formula>V$3="Sun"</formula>
    </cfRule>
  </conditionalFormatting>
  <conditionalFormatting sqref="X21">
    <cfRule type="expression" dxfId="67" priority="3">
      <formula>X$3="Sun"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DE5B6-A4C1-4751-A9B1-654D72FC805E}">
  <dimension ref="A1:W52"/>
  <sheetViews>
    <sheetView workbookViewId="0">
      <selection activeCell="U7" sqref="U7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5" style="1" bestFit="1" customWidth="1"/>
    <col min="4" max="4" width="4.5703125" style="1" customWidth="1"/>
    <col min="5" max="5" width="3.85546875" style="1" bestFit="1"/>
    <col min="6" max="6" width="4.7109375" style="1" bestFit="1" customWidth="1"/>
    <col min="7" max="7" width="3.85546875" style="1" bestFit="1"/>
    <col min="8" max="9" width="3.7109375" style="1" bestFit="1" customWidth="1"/>
    <col min="10" max="10" width="3.85546875" style="1" bestFit="1"/>
    <col min="11" max="11" width="4.5703125" style="1" bestFit="1" customWidth="1"/>
    <col min="12" max="12" width="3.85546875" style="1" bestFit="1"/>
    <col min="13" max="13" width="4.7109375" style="1" bestFit="1" customWidth="1"/>
    <col min="14" max="14" width="3.85546875" style="1" bestFit="1"/>
    <col min="15" max="15" width="3.7109375" style="1" bestFit="1" customWidth="1"/>
    <col min="16" max="17" width="3.7109375" style="1" customWidth="1"/>
    <col min="18" max="18" width="6.5703125" style="1" bestFit="1" customWidth="1"/>
    <col min="19" max="19" width="6.140625" style="1" bestFit="1" customWidth="1"/>
    <col min="20" max="20" width="18.5703125" style="1" bestFit="1" customWidth="1"/>
    <col min="21" max="21" width="5.85546875" style="1" bestFit="1" customWidth="1"/>
    <col min="22" max="22" width="14.28515625" style="1" bestFit="1" customWidth="1"/>
    <col min="23" max="23" width="6.7109375" style="1" bestFit="1" customWidth="1"/>
    <col min="24" max="16384" width="3.85546875" style="1"/>
  </cols>
  <sheetData>
    <row r="1" spans="1:23" ht="17.25" x14ac:dyDescent="0.25">
      <c r="A1" s="114" t="s">
        <v>18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</row>
    <row r="2" spans="1:23" ht="17.25" x14ac:dyDescent="0.3">
      <c r="A2" s="115" t="s">
        <v>122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</row>
    <row r="3" spans="1:23" ht="15.75" x14ac:dyDescent="0.25">
      <c r="A3" s="130" t="s">
        <v>0</v>
      </c>
      <c r="B3" s="130" t="s">
        <v>1</v>
      </c>
      <c r="C3" s="130" t="s">
        <v>3</v>
      </c>
      <c r="D3" s="2" t="str">
        <f t="shared" ref="D3:Q3" si="0">TEXT(D4,"ddd")</f>
        <v>Sun</v>
      </c>
      <c r="E3" s="2" t="str">
        <f t="shared" si="0"/>
        <v>Mon</v>
      </c>
      <c r="F3" s="2" t="str">
        <f t="shared" si="0"/>
        <v>Tue</v>
      </c>
      <c r="G3" s="2" t="str">
        <f t="shared" si="0"/>
        <v>Wed</v>
      </c>
      <c r="H3" s="2" t="str">
        <f t="shared" si="0"/>
        <v>Thu</v>
      </c>
      <c r="I3" s="2" t="str">
        <f t="shared" si="0"/>
        <v>Fri</v>
      </c>
      <c r="J3" s="2" t="str">
        <f t="shared" si="0"/>
        <v>Sat</v>
      </c>
      <c r="K3" s="2" t="str">
        <f t="shared" si="0"/>
        <v>Sun</v>
      </c>
      <c r="L3" s="2" t="str">
        <f t="shared" si="0"/>
        <v>Mon</v>
      </c>
      <c r="M3" s="2" t="str">
        <f t="shared" si="0"/>
        <v>Tue</v>
      </c>
      <c r="N3" s="2" t="str">
        <f t="shared" si="0"/>
        <v>Wed</v>
      </c>
      <c r="O3" s="2" t="str">
        <f t="shared" si="0"/>
        <v>Thu</v>
      </c>
      <c r="P3" s="2" t="str">
        <f t="shared" si="0"/>
        <v>Fri</v>
      </c>
      <c r="Q3" s="2" t="str">
        <f t="shared" si="0"/>
        <v>Sat</v>
      </c>
      <c r="R3" s="117" t="s">
        <v>4</v>
      </c>
      <c r="S3" s="117" t="s">
        <v>5</v>
      </c>
      <c r="T3" s="118" t="s">
        <v>127</v>
      </c>
      <c r="U3" s="119"/>
      <c r="V3" s="3"/>
      <c r="W3" s="3"/>
    </row>
    <row r="4" spans="1:23" ht="37.5" x14ac:dyDescent="0.25">
      <c r="A4" s="131"/>
      <c r="B4" s="131"/>
      <c r="C4" s="131"/>
      <c r="D4" s="14">
        <v>45613</v>
      </c>
      <c r="E4" s="14">
        <v>45614</v>
      </c>
      <c r="F4" s="14">
        <v>45615</v>
      </c>
      <c r="G4" s="14">
        <v>45616</v>
      </c>
      <c r="H4" s="14">
        <v>45617</v>
      </c>
      <c r="I4" s="14">
        <v>45618</v>
      </c>
      <c r="J4" s="14">
        <v>45619</v>
      </c>
      <c r="K4" s="14">
        <v>45620</v>
      </c>
      <c r="L4" s="14">
        <v>45621</v>
      </c>
      <c r="M4" s="14">
        <v>45622</v>
      </c>
      <c r="N4" s="14">
        <v>45623</v>
      </c>
      <c r="O4" s="14">
        <v>45624</v>
      </c>
      <c r="P4" s="14">
        <v>45625</v>
      </c>
      <c r="Q4" s="14">
        <v>45626</v>
      </c>
      <c r="R4" s="117"/>
      <c r="S4" s="117"/>
      <c r="T4" s="5" t="s">
        <v>128</v>
      </c>
      <c r="U4" s="5">
        <f>SUM(U5:U8)</f>
        <v>14</v>
      </c>
      <c r="V4" s="3"/>
      <c r="W4" s="3"/>
    </row>
    <row r="5" spans="1:23" ht="15" customHeight="1" x14ac:dyDescent="0.25">
      <c r="A5" s="27">
        <v>1</v>
      </c>
      <c r="B5" s="30" t="s">
        <v>116</v>
      </c>
      <c r="C5" s="26" t="s">
        <v>673</v>
      </c>
      <c r="D5" s="127" t="s">
        <v>553</v>
      </c>
      <c r="E5" s="8" t="s">
        <v>112</v>
      </c>
      <c r="F5" s="8" t="s">
        <v>112</v>
      </c>
      <c r="G5" s="8" t="s">
        <v>112</v>
      </c>
      <c r="H5" s="8" t="s">
        <v>112</v>
      </c>
      <c r="I5" s="8" t="s">
        <v>112</v>
      </c>
      <c r="J5" s="8" t="s">
        <v>111</v>
      </c>
      <c r="K5" s="127" t="s">
        <v>553</v>
      </c>
      <c r="L5" s="8" t="s">
        <v>112</v>
      </c>
      <c r="M5" s="8" t="s">
        <v>112</v>
      </c>
      <c r="N5" s="8" t="s">
        <v>112</v>
      </c>
      <c r="O5" s="8" t="s">
        <v>112</v>
      </c>
      <c r="P5" s="8" t="s">
        <v>111</v>
      </c>
      <c r="Q5" s="8" t="s">
        <v>112</v>
      </c>
      <c r="R5" s="5">
        <f>COUNTIF(D5:Q5,"P")</f>
        <v>10</v>
      </c>
      <c r="S5" s="5">
        <f>COUNTIF(D5:Q5,"A")</f>
        <v>2</v>
      </c>
      <c r="T5" s="5" t="s">
        <v>7</v>
      </c>
      <c r="U5" s="10">
        <v>12</v>
      </c>
      <c r="V5" s="11"/>
      <c r="W5" s="3"/>
    </row>
    <row r="6" spans="1:23" x14ac:dyDescent="0.25">
      <c r="A6" s="10">
        <v>2</v>
      </c>
      <c r="B6" s="30" t="s">
        <v>674</v>
      </c>
      <c r="C6" s="26" t="s">
        <v>673</v>
      </c>
      <c r="D6" s="128"/>
      <c r="E6" s="8" t="s">
        <v>112</v>
      </c>
      <c r="F6" s="8" t="s">
        <v>112</v>
      </c>
      <c r="G6" s="8" t="s">
        <v>112</v>
      </c>
      <c r="H6" s="8" t="s">
        <v>112</v>
      </c>
      <c r="I6" s="8" t="s">
        <v>112</v>
      </c>
      <c r="J6" s="8" t="s">
        <v>111</v>
      </c>
      <c r="K6" s="128"/>
      <c r="L6" s="8" t="s">
        <v>112</v>
      </c>
      <c r="M6" s="8" t="s">
        <v>112</v>
      </c>
      <c r="N6" s="8" t="s">
        <v>112</v>
      </c>
      <c r="O6" s="8" t="s">
        <v>112</v>
      </c>
      <c r="P6" s="8" t="s">
        <v>111</v>
      </c>
      <c r="Q6" s="8" t="s">
        <v>112</v>
      </c>
      <c r="R6" s="5">
        <f>COUNTIF(D6:Q6,"P")</f>
        <v>10</v>
      </c>
      <c r="S6" s="5">
        <f>COUNTIF(D6:Q6,"A")</f>
        <v>2</v>
      </c>
      <c r="T6" s="5" t="s">
        <v>8</v>
      </c>
      <c r="U6" s="10">
        <v>2</v>
      </c>
      <c r="V6" s="3"/>
      <c r="W6" s="3"/>
    </row>
    <row r="7" spans="1:23" x14ac:dyDescent="0.25">
      <c r="A7" s="27">
        <v>3</v>
      </c>
      <c r="B7" s="30" t="s">
        <v>675</v>
      </c>
      <c r="C7" s="26" t="s">
        <v>673</v>
      </c>
      <c r="D7" s="128"/>
      <c r="E7" s="8" t="s">
        <v>112</v>
      </c>
      <c r="F7" s="8" t="s">
        <v>112</v>
      </c>
      <c r="G7" s="8" t="s">
        <v>112</v>
      </c>
      <c r="H7" s="8" t="s">
        <v>112</v>
      </c>
      <c r="I7" s="8" t="s">
        <v>112</v>
      </c>
      <c r="J7" s="8" t="s">
        <v>112</v>
      </c>
      <c r="K7" s="128"/>
      <c r="L7" s="8" t="s">
        <v>112</v>
      </c>
      <c r="M7" s="8" t="s">
        <v>112</v>
      </c>
      <c r="N7" s="8" t="s">
        <v>112</v>
      </c>
      <c r="O7" s="8" t="s">
        <v>112</v>
      </c>
      <c r="P7" s="8" t="s">
        <v>111</v>
      </c>
      <c r="Q7" s="8" t="s">
        <v>112</v>
      </c>
      <c r="R7" s="5">
        <f>COUNTIF(D7:Q7,"P")</f>
        <v>11</v>
      </c>
      <c r="S7" s="5">
        <f>COUNTIF(D7:Q7,"A")</f>
        <v>1</v>
      </c>
      <c r="T7" s="5"/>
      <c r="U7" s="10"/>
      <c r="V7" s="3"/>
      <c r="W7" s="3"/>
    </row>
    <row r="8" spans="1:23" x14ac:dyDescent="0.25">
      <c r="A8" s="10">
        <v>4</v>
      </c>
      <c r="B8" s="30" t="s">
        <v>676</v>
      </c>
      <c r="C8" s="26" t="s">
        <v>673</v>
      </c>
      <c r="D8" s="128"/>
      <c r="E8" s="8" t="s">
        <v>112</v>
      </c>
      <c r="F8" s="8" t="s">
        <v>112</v>
      </c>
      <c r="G8" s="8" t="s">
        <v>112</v>
      </c>
      <c r="H8" s="8" t="s">
        <v>112</v>
      </c>
      <c r="I8" s="8" t="s">
        <v>113</v>
      </c>
      <c r="J8" s="8" t="s">
        <v>113</v>
      </c>
      <c r="K8" s="128"/>
      <c r="L8" s="8" t="s">
        <v>112</v>
      </c>
      <c r="M8" s="8" t="s">
        <v>112</v>
      </c>
      <c r="N8" s="8" t="s">
        <v>112</v>
      </c>
      <c r="O8" s="8" t="s">
        <v>112</v>
      </c>
      <c r="P8" s="8" t="s">
        <v>111</v>
      </c>
      <c r="Q8" s="8" t="s">
        <v>112</v>
      </c>
      <c r="R8" s="5">
        <f>COUNTIF(D8:Q8,"P")</f>
        <v>9</v>
      </c>
      <c r="S8" s="5">
        <f>COUNTIF(D8:Q8,"A")</f>
        <v>1</v>
      </c>
      <c r="T8" s="5"/>
      <c r="U8" s="10"/>
      <c r="V8"/>
      <c r="W8"/>
    </row>
    <row r="9" spans="1:23" x14ac:dyDescent="0.25">
      <c r="A9" s="27">
        <v>5</v>
      </c>
      <c r="B9" s="30" t="s">
        <v>677</v>
      </c>
      <c r="C9" s="26" t="s">
        <v>673</v>
      </c>
      <c r="D9" s="128"/>
      <c r="E9" s="8" t="s">
        <v>112</v>
      </c>
      <c r="F9" s="8" t="s">
        <v>112</v>
      </c>
      <c r="G9" s="8" t="s">
        <v>112</v>
      </c>
      <c r="H9" s="8" t="s">
        <v>111</v>
      </c>
      <c r="I9" s="8" t="s">
        <v>111</v>
      </c>
      <c r="J9" s="8" t="s">
        <v>111</v>
      </c>
      <c r="K9" s="128"/>
      <c r="L9" s="8" t="s">
        <v>112</v>
      </c>
      <c r="M9" s="8" t="s">
        <v>112</v>
      </c>
      <c r="N9" s="8" t="s">
        <v>112</v>
      </c>
      <c r="O9" s="8" t="s">
        <v>112</v>
      </c>
      <c r="P9" s="8" t="s">
        <v>111</v>
      </c>
      <c r="Q9" s="8" t="s">
        <v>112</v>
      </c>
      <c r="R9" s="5">
        <f>COUNTIF(D9:Q9,"P")</f>
        <v>8</v>
      </c>
      <c r="S9" s="5">
        <f>COUNTIF(D9:Q9,"A")</f>
        <v>4</v>
      </c>
      <c r="T9" s="5"/>
      <c r="U9" s="10"/>
    </row>
    <row r="10" spans="1:23" x14ac:dyDescent="0.25">
      <c r="A10" s="10">
        <v>6</v>
      </c>
      <c r="B10" s="30" t="s">
        <v>57</v>
      </c>
      <c r="C10" s="26" t="s">
        <v>673</v>
      </c>
      <c r="D10" s="128"/>
      <c r="E10" s="8" t="s">
        <v>112</v>
      </c>
      <c r="F10" s="8" t="s">
        <v>111</v>
      </c>
      <c r="G10" s="8" t="s">
        <v>112</v>
      </c>
      <c r="H10" s="8" t="s">
        <v>112</v>
      </c>
      <c r="I10" s="8" t="s">
        <v>112</v>
      </c>
      <c r="J10" s="8" t="s">
        <v>112</v>
      </c>
      <c r="K10" s="128"/>
      <c r="L10" s="8" t="s">
        <v>112</v>
      </c>
      <c r="M10" s="8" t="s">
        <v>112</v>
      </c>
      <c r="N10" s="8" t="s">
        <v>112</v>
      </c>
      <c r="O10" s="8" t="s">
        <v>111</v>
      </c>
      <c r="P10" s="8" t="s">
        <v>111</v>
      </c>
      <c r="Q10" s="8" t="s">
        <v>112</v>
      </c>
      <c r="R10" s="5">
        <f>COUNTIF(D10:Q10,"P")</f>
        <v>9</v>
      </c>
      <c r="S10" s="5">
        <f>COUNTIF(D10:Q10,"A")</f>
        <v>3</v>
      </c>
    </row>
    <row r="11" spans="1:23" ht="15.75" x14ac:dyDescent="0.25">
      <c r="A11" s="27">
        <v>7</v>
      </c>
      <c r="B11" s="30" t="s">
        <v>679</v>
      </c>
      <c r="C11" s="26" t="s">
        <v>673</v>
      </c>
      <c r="D11" s="128"/>
      <c r="E11" s="8" t="s">
        <v>111</v>
      </c>
      <c r="F11" s="8" t="s">
        <v>111</v>
      </c>
      <c r="G11" s="8" t="s">
        <v>111</v>
      </c>
      <c r="H11" s="8" t="s">
        <v>112</v>
      </c>
      <c r="I11" s="8" t="s">
        <v>111</v>
      </c>
      <c r="J11" s="8" t="s">
        <v>112</v>
      </c>
      <c r="K11" s="128"/>
      <c r="L11" s="8" t="s">
        <v>112</v>
      </c>
      <c r="M11" s="8" t="s">
        <v>112</v>
      </c>
      <c r="N11" s="8" t="s">
        <v>112</v>
      </c>
      <c r="O11" s="8" t="s">
        <v>112</v>
      </c>
      <c r="P11" s="8" t="s">
        <v>111</v>
      </c>
      <c r="Q11" s="8" t="s">
        <v>112</v>
      </c>
      <c r="R11" s="5">
        <f>COUNTIF(D11:Q11,"P")</f>
        <v>7</v>
      </c>
      <c r="S11" s="5">
        <f>COUNTIF(D11:Q11,"A")</f>
        <v>5</v>
      </c>
      <c r="T11" s="118" t="s">
        <v>9</v>
      </c>
      <c r="U11" s="119"/>
      <c r="V11" s="119"/>
      <c r="W11" s="120"/>
    </row>
    <row r="12" spans="1:23" x14ac:dyDescent="0.25">
      <c r="A12" s="10">
        <v>8</v>
      </c>
      <c r="B12" s="30" t="s">
        <v>680</v>
      </c>
      <c r="C12" s="26" t="s">
        <v>673</v>
      </c>
      <c r="D12" s="128"/>
      <c r="E12" s="8" t="s">
        <v>112</v>
      </c>
      <c r="F12" s="8" t="s">
        <v>112</v>
      </c>
      <c r="G12" s="8" t="s">
        <v>112</v>
      </c>
      <c r="H12" s="8" t="s">
        <v>112</v>
      </c>
      <c r="I12" s="8" t="s">
        <v>112</v>
      </c>
      <c r="J12" s="8" t="s">
        <v>112</v>
      </c>
      <c r="K12" s="128"/>
      <c r="L12" s="8" t="s">
        <v>112</v>
      </c>
      <c r="M12" s="8" t="s">
        <v>111</v>
      </c>
      <c r="N12" s="8" t="s">
        <v>112</v>
      </c>
      <c r="O12" s="8" t="s">
        <v>112</v>
      </c>
      <c r="P12" s="8" t="s">
        <v>111</v>
      </c>
      <c r="Q12" s="8" t="s">
        <v>112</v>
      </c>
      <c r="R12" s="5">
        <f>COUNTIF(D12:Q12,"P")</f>
        <v>10</v>
      </c>
      <c r="S12" s="5">
        <f>COUNTIF(D12:Q12,"A")</f>
        <v>2</v>
      </c>
      <c r="T12" s="5" t="s">
        <v>10</v>
      </c>
      <c r="U12" s="5" t="s">
        <v>11</v>
      </c>
      <c r="V12" s="5" t="s">
        <v>12</v>
      </c>
      <c r="W12" s="5" t="s">
        <v>13</v>
      </c>
    </row>
    <row r="13" spans="1:23" x14ac:dyDescent="0.25">
      <c r="A13" s="27">
        <v>9</v>
      </c>
      <c r="B13" s="30" t="s">
        <v>681</v>
      </c>
      <c r="C13" s="26" t="s">
        <v>673</v>
      </c>
      <c r="D13" s="128"/>
      <c r="E13" s="8" t="s">
        <v>112</v>
      </c>
      <c r="F13" s="8" t="s">
        <v>112</v>
      </c>
      <c r="G13" s="8" t="s">
        <v>112</v>
      </c>
      <c r="H13" s="8" t="s">
        <v>112</v>
      </c>
      <c r="I13" s="8" t="s">
        <v>112</v>
      </c>
      <c r="J13" s="8" t="s">
        <v>112</v>
      </c>
      <c r="K13" s="128"/>
      <c r="L13" s="8" t="s">
        <v>112</v>
      </c>
      <c r="M13" s="8" t="s">
        <v>111</v>
      </c>
      <c r="N13" s="8" t="s">
        <v>112</v>
      </c>
      <c r="O13" s="8" t="s">
        <v>112</v>
      </c>
      <c r="P13" s="8" t="s">
        <v>111</v>
      </c>
      <c r="Q13" s="8" t="s">
        <v>112</v>
      </c>
      <c r="R13" s="5">
        <f>COUNTIF(D13:Q13,"P")</f>
        <v>10</v>
      </c>
      <c r="S13" s="5">
        <f>COUNTIF(D13:Q13,"A")</f>
        <v>2</v>
      </c>
      <c r="T13" s="5" t="s">
        <v>14</v>
      </c>
      <c r="U13" s="10">
        <f>29*$U$5</f>
        <v>348</v>
      </c>
      <c r="V13" s="10">
        <f>19*$U$5</f>
        <v>228</v>
      </c>
      <c r="W13" s="10">
        <f>SUM(U13:V13)</f>
        <v>576</v>
      </c>
    </row>
    <row r="14" spans="1:23" x14ac:dyDescent="0.25">
      <c r="A14" s="10">
        <v>10</v>
      </c>
      <c r="B14" s="30" t="s">
        <v>682</v>
      </c>
      <c r="C14" s="26" t="s">
        <v>673</v>
      </c>
      <c r="D14" s="128"/>
      <c r="E14" s="8" t="s">
        <v>112</v>
      </c>
      <c r="F14" s="8" t="s">
        <v>112</v>
      </c>
      <c r="G14" s="8" t="s">
        <v>112</v>
      </c>
      <c r="H14" s="8" t="s">
        <v>112</v>
      </c>
      <c r="I14" s="8" t="s">
        <v>112</v>
      </c>
      <c r="J14" s="8" t="s">
        <v>112</v>
      </c>
      <c r="K14" s="128"/>
      <c r="L14" s="8" t="s">
        <v>112</v>
      </c>
      <c r="M14" s="8" t="s">
        <v>112</v>
      </c>
      <c r="N14" s="8" t="s">
        <v>112</v>
      </c>
      <c r="O14" s="8" t="s">
        <v>112</v>
      </c>
      <c r="P14" s="8" t="s">
        <v>111</v>
      </c>
      <c r="Q14" s="8" t="s">
        <v>112</v>
      </c>
      <c r="R14" s="5">
        <f>COUNTIF(D14:Q14,"P")</f>
        <v>11</v>
      </c>
      <c r="S14" s="5">
        <f>COUNTIF(D14:Q14,"A")</f>
        <v>1</v>
      </c>
      <c r="T14" s="5" t="s">
        <v>15</v>
      </c>
      <c r="U14" s="10">
        <f>SUM(R5:R33)</f>
        <v>254</v>
      </c>
      <c r="V14" s="10">
        <f>SUM(R34:R52)</f>
        <v>187</v>
      </c>
      <c r="W14" s="10">
        <f>U14+V14</f>
        <v>441</v>
      </c>
    </row>
    <row r="15" spans="1:23" x14ac:dyDescent="0.25">
      <c r="A15" s="27">
        <v>11</v>
      </c>
      <c r="B15" s="30" t="s">
        <v>683</v>
      </c>
      <c r="C15" s="26" t="s">
        <v>673</v>
      </c>
      <c r="D15" s="128"/>
      <c r="E15" s="8" t="s">
        <v>112</v>
      </c>
      <c r="F15" s="8" t="s">
        <v>112</v>
      </c>
      <c r="G15" s="8" t="s">
        <v>112</v>
      </c>
      <c r="H15" s="8" t="s">
        <v>112</v>
      </c>
      <c r="I15" s="8" t="s">
        <v>112</v>
      </c>
      <c r="J15" s="8" t="s">
        <v>111</v>
      </c>
      <c r="K15" s="128"/>
      <c r="L15" s="8" t="s">
        <v>112</v>
      </c>
      <c r="M15" s="8" t="s">
        <v>112</v>
      </c>
      <c r="N15" s="8" t="s">
        <v>112</v>
      </c>
      <c r="O15" s="8" t="s">
        <v>112</v>
      </c>
      <c r="P15" s="8" t="s">
        <v>111</v>
      </c>
      <c r="Q15" s="8" t="s">
        <v>112</v>
      </c>
      <c r="R15" s="5">
        <f>COUNTIF(D15:Q15,"P")</f>
        <v>10</v>
      </c>
      <c r="S15" s="5">
        <f>COUNTIF(D15:Q15,"A")</f>
        <v>2</v>
      </c>
      <c r="T15" s="5" t="s">
        <v>16</v>
      </c>
      <c r="U15" s="13">
        <f>U14/U13</f>
        <v>0.72988505747126442</v>
      </c>
      <c r="V15" s="13">
        <f>V14/V13</f>
        <v>0.82017543859649122</v>
      </c>
      <c r="W15" s="13">
        <f>W14/W13</f>
        <v>0.765625</v>
      </c>
    </row>
    <row r="16" spans="1:23" x14ac:dyDescent="0.25">
      <c r="A16" s="10">
        <v>12</v>
      </c>
      <c r="B16" s="30" t="s">
        <v>684</v>
      </c>
      <c r="C16" s="26" t="s">
        <v>673</v>
      </c>
      <c r="D16" s="128"/>
      <c r="E16" s="8" t="s">
        <v>112</v>
      </c>
      <c r="F16" s="8" t="s">
        <v>112</v>
      </c>
      <c r="G16" s="8" t="s">
        <v>112</v>
      </c>
      <c r="H16" s="8" t="s">
        <v>112</v>
      </c>
      <c r="I16" s="8" t="s">
        <v>112</v>
      </c>
      <c r="J16" s="8" t="s">
        <v>112</v>
      </c>
      <c r="K16" s="128"/>
      <c r="L16" s="8" t="s">
        <v>112</v>
      </c>
      <c r="M16" s="8" t="s">
        <v>112</v>
      </c>
      <c r="N16" s="8" t="s">
        <v>112</v>
      </c>
      <c r="O16" s="8" t="s">
        <v>112</v>
      </c>
      <c r="P16" s="8" t="s">
        <v>111</v>
      </c>
      <c r="Q16" s="8" t="s">
        <v>112</v>
      </c>
      <c r="R16" s="5">
        <f>COUNTIF(D16:Q16,"P")</f>
        <v>11</v>
      </c>
      <c r="S16" s="5">
        <f>COUNTIF(D16:Q16,"A")</f>
        <v>1</v>
      </c>
      <c r="T16"/>
      <c r="U16"/>
      <c r="V16"/>
      <c r="W16"/>
    </row>
    <row r="17" spans="1:23" x14ac:dyDescent="0.25">
      <c r="A17" s="27">
        <v>13</v>
      </c>
      <c r="B17" s="30" t="s">
        <v>685</v>
      </c>
      <c r="C17" s="26" t="s">
        <v>673</v>
      </c>
      <c r="D17" s="128"/>
      <c r="E17" s="8" t="s">
        <v>113</v>
      </c>
      <c r="F17" s="8" t="s">
        <v>113</v>
      </c>
      <c r="G17" s="8" t="s">
        <v>113</v>
      </c>
      <c r="H17" s="8" t="s">
        <v>113</v>
      </c>
      <c r="I17" s="8" t="s">
        <v>113</v>
      </c>
      <c r="J17" s="8" t="s">
        <v>113</v>
      </c>
      <c r="K17" s="128"/>
      <c r="L17" s="8" t="s">
        <v>113</v>
      </c>
      <c r="M17" s="8" t="s">
        <v>113</v>
      </c>
      <c r="N17" s="8" t="s">
        <v>111</v>
      </c>
      <c r="O17" s="8" t="s">
        <v>111</v>
      </c>
      <c r="P17" s="8" t="s">
        <v>111</v>
      </c>
      <c r="Q17" s="8" t="s">
        <v>111</v>
      </c>
      <c r="R17" s="5">
        <f>COUNTIF(D17:Q17,"P")</f>
        <v>0</v>
      </c>
      <c r="S17" s="5">
        <f>COUNTIF(D17:Q17,"A")</f>
        <v>4</v>
      </c>
      <c r="T17"/>
      <c r="U17"/>
      <c r="V17"/>
      <c r="W17"/>
    </row>
    <row r="18" spans="1:23" x14ac:dyDescent="0.25">
      <c r="A18" s="10">
        <v>14</v>
      </c>
      <c r="B18" s="30" t="s">
        <v>686</v>
      </c>
      <c r="C18" s="26" t="s">
        <v>673</v>
      </c>
      <c r="D18" s="128"/>
      <c r="E18" s="8" t="s">
        <v>111</v>
      </c>
      <c r="F18" s="8" t="s">
        <v>111</v>
      </c>
      <c r="G18" s="8" t="s">
        <v>111</v>
      </c>
      <c r="H18" s="8" t="s">
        <v>111</v>
      </c>
      <c r="I18" s="8" t="s">
        <v>111</v>
      </c>
      <c r="J18" s="8" t="s">
        <v>111</v>
      </c>
      <c r="K18" s="128"/>
      <c r="L18" s="8" t="s">
        <v>111</v>
      </c>
      <c r="M18" s="8" t="s">
        <v>111</v>
      </c>
      <c r="N18" s="8" t="s">
        <v>111</v>
      </c>
      <c r="O18" s="8" t="s">
        <v>111</v>
      </c>
      <c r="P18" s="8" t="s">
        <v>111</v>
      </c>
      <c r="Q18" s="8" t="s">
        <v>111</v>
      </c>
      <c r="R18" s="5">
        <f>COUNTIF(D18:Q18,"P")</f>
        <v>0</v>
      </c>
      <c r="S18" s="5">
        <f>COUNTIF(D18:Q18,"A")</f>
        <v>12</v>
      </c>
      <c r="T18"/>
      <c r="U18"/>
      <c r="V18"/>
      <c r="W18"/>
    </row>
    <row r="19" spans="1:23" ht="15.75" x14ac:dyDescent="0.25">
      <c r="A19" s="27">
        <v>15</v>
      </c>
      <c r="B19" s="30" t="s">
        <v>131</v>
      </c>
      <c r="C19" s="26" t="s">
        <v>673</v>
      </c>
      <c r="D19" s="128"/>
      <c r="E19" s="8" t="s">
        <v>112</v>
      </c>
      <c r="F19" s="8" t="s">
        <v>112</v>
      </c>
      <c r="G19" s="8" t="s">
        <v>112</v>
      </c>
      <c r="H19" s="8" t="s">
        <v>112</v>
      </c>
      <c r="I19" s="8" t="s">
        <v>112</v>
      </c>
      <c r="J19" s="8" t="s">
        <v>112</v>
      </c>
      <c r="K19" s="128"/>
      <c r="L19" s="8" t="s">
        <v>112</v>
      </c>
      <c r="M19" s="8" t="s">
        <v>111</v>
      </c>
      <c r="N19" s="8" t="s">
        <v>112</v>
      </c>
      <c r="O19" s="8" t="s">
        <v>112</v>
      </c>
      <c r="P19" s="8" t="s">
        <v>111</v>
      </c>
      <c r="Q19" s="8" t="s">
        <v>112</v>
      </c>
      <c r="R19" s="5">
        <f>COUNTIF(D19:Q19,"P")</f>
        <v>10</v>
      </c>
      <c r="S19" s="5">
        <f>COUNTIF(D19:Q19,"A")</f>
        <v>2</v>
      </c>
      <c r="T19" s="118" t="s">
        <v>129</v>
      </c>
      <c r="U19" s="119"/>
      <c r="V19" s="119"/>
      <c r="W19" s="120"/>
    </row>
    <row r="20" spans="1:23" x14ac:dyDescent="0.25">
      <c r="A20" s="10">
        <v>16</v>
      </c>
      <c r="B20" s="30" t="s">
        <v>687</v>
      </c>
      <c r="C20" s="26" t="s">
        <v>673</v>
      </c>
      <c r="D20" s="128"/>
      <c r="E20" s="8" t="s">
        <v>112</v>
      </c>
      <c r="F20" s="8" t="s">
        <v>112</v>
      </c>
      <c r="G20" s="8" t="s">
        <v>112</v>
      </c>
      <c r="H20" s="8" t="s">
        <v>112</v>
      </c>
      <c r="I20" s="8" t="s">
        <v>112</v>
      </c>
      <c r="J20" s="8" t="s">
        <v>112</v>
      </c>
      <c r="K20" s="128"/>
      <c r="L20" s="8" t="s">
        <v>111</v>
      </c>
      <c r="M20" s="8" t="s">
        <v>112</v>
      </c>
      <c r="N20" s="8" t="s">
        <v>111</v>
      </c>
      <c r="O20" s="8" t="s">
        <v>112</v>
      </c>
      <c r="P20" s="8" t="s">
        <v>111</v>
      </c>
      <c r="Q20" s="8" t="s">
        <v>112</v>
      </c>
      <c r="R20" s="5">
        <f>COUNTIF(D20:Q20,"P")</f>
        <v>9</v>
      </c>
      <c r="S20" s="5">
        <f>COUNTIF(D20:Q20,"A")</f>
        <v>3</v>
      </c>
      <c r="T20" s="5" t="s">
        <v>10</v>
      </c>
      <c r="U20" s="5" t="s">
        <v>11</v>
      </c>
      <c r="V20" s="5" t="s">
        <v>12</v>
      </c>
      <c r="W20" s="5" t="s">
        <v>13</v>
      </c>
    </row>
    <row r="21" spans="1:23" x14ac:dyDescent="0.25">
      <c r="A21" s="27">
        <v>17</v>
      </c>
      <c r="B21" s="30" t="s">
        <v>316</v>
      </c>
      <c r="C21" s="26" t="s">
        <v>673</v>
      </c>
      <c r="D21" s="128"/>
      <c r="E21" s="8" t="s">
        <v>111</v>
      </c>
      <c r="F21" s="8" t="s">
        <v>112</v>
      </c>
      <c r="G21" s="8" t="s">
        <v>112</v>
      </c>
      <c r="H21" s="8" t="s">
        <v>112</v>
      </c>
      <c r="I21" s="8" t="s">
        <v>111</v>
      </c>
      <c r="J21" s="8" t="s">
        <v>112</v>
      </c>
      <c r="K21" s="128"/>
      <c r="L21" s="8" t="s">
        <v>111</v>
      </c>
      <c r="M21" s="8" t="s">
        <v>112</v>
      </c>
      <c r="N21" s="8" t="s">
        <v>112</v>
      </c>
      <c r="O21" s="8" t="s">
        <v>112</v>
      </c>
      <c r="P21" s="8" t="s">
        <v>111</v>
      </c>
      <c r="Q21" s="8" t="s">
        <v>112</v>
      </c>
      <c r="R21" s="5">
        <f>COUNTIF(D21:Q21,"P")</f>
        <v>8</v>
      </c>
      <c r="S21" s="5">
        <f>COUNTIF(D21:Q21,"A")</f>
        <v>4</v>
      </c>
      <c r="T21" s="5" t="s">
        <v>14</v>
      </c>
      <c r="U21" s="10">
        <f>29*$U$5</f>
        <v>348</v>
      </c>
      <c r="V21" s="10">
        <f>19*$U$5</f>
        <v>228</v>
      </c>
      <c r="W21" s="10">
        <f>U21+V21</f>
        <v>576</v>
      </c>
    </row>
    <row r="22" spans="1:23" x14ac:dyDescent="0.25">
      <c r="A22" s="10">
        <v>18</v>
      </c>
      <c r="B22" s="30" t="s">
        <v>688</v>
      </c>
      <c r="C22" s="26" t="s">
        <v>673</v>
      </c>
      <c r="D22" s="128"/>
      <c r="E22" s="8" t="s">
        <v>111</v>
      </c>
      <c r="F22" s="8" t="s">
        <v>112</v>
      </c>
      <c r="G22" s="8" t="s">
        <v>112</v>
      </c>
      <c r="H22" s="8" t="s">
        <v>112</v>
      </c>
      <c r="I22" s="8" t="s">
        <v>112</v>
      </c>
      <c r="J22" s="8" t="s">
        <v>112</v>
      </c>
      <c r="K22" s="128"/>
      <c r="L22" s="8" t="s">
        <v>111</v>
      </c>
      <c r="M22" s="8" t="s">
        <v>111</v>
      </c>
      <c r="N22" s="8" t="s">
        <v>112</v>
      </c>
      <c r="O22" s="8" t="s">
        <v>112</v>
      </c>
      <c r="P22" s="8" t="s">
        <v>111</v>
      </c>
      <c r="Q22" s="8" t="s">
        <v>112</v>
      </c>
      <c r="R22" s="5">
        <f>COUNTIF(D22:Q22,"P")</f>
        <v>8</v>
      </c>
      <c r="S22" s="5">
        <f>COUNTIF(D22:Q22,"A")</f>
        <v>4</v>
      </c>
      <c r="T22" s="5" t="s">
        <v>17</v>
      </c>
      <c r="U22" s="10">
        <f>U21-U14</f>
        <v>94</v>
      </c>
      <c r="V22" s="10">
        <f>V21-V14</f>
        <v>41</v>
      </c>
      <c r="W22" s="10">
        <f>U22+V22</f>
        <v>135</v>
      </c>
    </row>
    <row r="23" spans="1:23" x14ac:dyDescent="0.25">
      <c r="A23" s="27">
        <v>19</v>
      </c>
      <c r="B23" s="30" t="s">
        <v>689</v>
      </c>
      <c r="C23" s="26" t="s">
        <v>673</v>
      </c>
      <c r="D23" s="128"/>
      <c r="E23" s="8" t="s">
        <v>112</v>
      </c>
      <c r="F23" s="8" t="s">
        <v>112</v>
      </c>
      <c r="G23" s="8" t="s">
        <v>112</v>
      </c>
      <c r="H23" s="8" t="s">
        <v>112</v>
      </c>
      <c r="I23" s="8" t="s">
        <v>112</v>
      </c>
      <c r="J23" s="8" t="s">
        <v>112</v>
      </c>
      <c r="K23" s="128"/>
      <c r="L23" s="8" t="s">
        <v>112</v>
      </c>
      <c r="M23" s="8" t="s">
        <v>112</v>
      </c>
      <c r="N23" s="8" t="s">
        <v>112</v>
      </c>
      <c r="O23" s="8" t="s">
        <v>112</v>
      </c>
      <c r="P23" s="8" t="s">
        <v>111</v>
      </c>
      <c r="Q23" s="8" t="s">
        <v>112</v>
      </c>
      <c r="R23" s="5">
        <f>COUNTIF(D23:Q23,"P")</f>
        <v>11</v>
      </c>
      <c r="S23" s="5">
        <f>COUNTIF(D23:Q23,"A")</f>
        <v>1</v>
      </c>
      <c r="T23" s="5" t="s">
        <v>16</v>
      </c>
      <c r="U23" s="13">
        <f>U22/U21</f>
        <v>0.27011494252873564</v>
      </c>
      <c r="V23" s="13">
        <f>V22/V21</f>
        <v>0.17982456140350878</v>
      </c>
      <c r="W23" s="13">
        <f>W22/W21</f>
        <v>0.234375</v>
      </c>
    </row>
    <row r="24" spans="1:23" x14ac:dyDescent="0.25">
      <c r="A24" s="10">
        <v>20</v>
      </c>
      <c r="B24" s="30" t="s">
        <v>306</v>
      </c>
      <c r="C24" s="26" t="s">
        <v>673</v>
      </c>
      <c r="D24" s="128"/>
      <c r="E24" s="8" t="s">
        <v>112</v>
      </c>
      <c r="F24" s="8" t="s">
        <v>112</v>
      </c>
      <c r="G24" s="8" t="s">
        <v>112</v>
      </c>
      <c r="H24" s="8" t="s">
        <v>112</v>
      </c>
      <c r="I24" s="8" t="s">
        <v>112</v>
      </c>
      <c r="J24" s="8" t="s">
        <v>112</v>
      </c>
      <c r="K24" s="128"/>
      <c r="L24" s="8" t="s">
        <v>112</v>
      </c>
      <c r="M24" s="8" t="s">
        <v>112</v>
      </c>
      <c r="N24" s="8" t="s">
        <v>112</v>
      </c>
      <c r="O24" s="8" t="s">
        <v>112</v>
      </c>
      <c r="P24" s="8" t="s">
        <v>111</v>
      </c>
      <c r="Q24" s="8" t="s">
        <v>112</v>
      </c>
      <c r="R24" s="5">
        <f>COUNTIF(D24:Q24,"P")</f>
        <v>11</v>
      </c>
      <c r="S24" s="5">
        <f>COUNTIF(D24:Q24,"A")</f>
        <v>1</v>
      </c>
    </row>
    <row r="25" spans="1:23" x14ac:dyDescent="0.25">
      <c r="A25" s="27">
        <v>21</v>
      </c>
      <c r="B25" s="30" t="s">
        <v>310</v>
      </c>
      <c r="C25" s="26" t="s">
        <v>673</v>
      </c>
      <c r="D25" s="128"/>
      <c r="E25" s="8" t="s">
        <v>112</v>
      </c>
      <c r="F25" s="8" t="s">
        <v>112</v>
      </c>
      <c r="G25" s="8" t="s">
        <v>111</v>
      </c>
      <c r="H25" s="8" t="s">
        <v>111</v>
      </c>
      <c r="I25" s="8" t="s">
        <v>112</v>
      </c>
      <c r="J25" s="8" t="s">
        <v>112</v>
      </c>
      <c r="K25" s="128"/>
      <c r="L25" s="8" t="s">
        <v>112</v>
      </c>
      <c r="M25" s="8" t="s">
        <v>112</v>
      </c>
      <c r="N25" s="8" t="s">
        <v>112</v>
      </c>
      <c r="O25" s="8" t="s">
        <v>112</v>
      </c>
      <c r="P25" s="8" t="s">
        <v>111</v>
      </c>
      <c r="Q25" s="8" t="s">
        <v>112</v>
      </c>
      <c r="R25" s="5">
        <f>COUNTIF(D25:Q25,"P")</f>
        <v>9</v>
      </c>
      <c r="S25" s="5">
        <f>COUNTIF(D25:Q25,"A")</f>
        <v>3</v>
      </c>
    </row>
    <row r="26" spans="1:23" x14ac:dyDescent="0.25">
      <c r="A26" s="10">
        <v>22</v>
      </c>
      <c r="B26" s="30" t="s">
        <v>690</v>
      </c>
      <c r="C26" s="26" t="s">
        <v>673</v>
      </c>
      <c r="D26" s="128"/>
      <c r="E26" s="8" t="s">
        <v>112</v>
      </c>
      <c r="F26" s="8" t="s">
        <v>112</v>
      </c>
      <c r="G26" s="8" t="s">
        <v>113</v>
      </c>
      <c r="H26" s="8" t="s">
        <v>112</v>
      </c>
      <c r="I26" s="8" t="s">
        <v>112</v>
      </c>
      <c r="J26" s="8" t="s">
        <v>112</v>
      </c>
      <c r="K26" s="128"/>
      <c r="L26" s="8" t="s">
        <v>111</v>
      </c>
      <c r="M26" s="8" t="s">
        <v>112</v>
      </c>
      <c r="N26" s="8" t="s">
        <v>112</v>
      </c>
      <c r="O26" s="8" t="s">
        <v>112</v>
      </c>
      <c r="P26" s="8" t="s">
        <v>111</v>
      </c>
      <c r="Q26" s="8" t="s">
        <v>112</v>
      </c>
      <c r="R26" s="5">
        <f>COUNTIF(D26:Q26,"P")</f>
        <v>9</v>
      </c>
      <c r="S26" s="5">
        <f>COUNTIF(D26:Q26,"A")</f>
        <v>2</v>
      </c>
    </row>
    <row r="27" spans="1:23" x14ac:dyDescent="0.25">
      <c r="A27" s="27">
        <v>23</v>
      </c>
      <c r="B27" s="30" t="s">
        <v>476</v>
      </c>
      <c r="C27" s="26" t="s">
        <v>673</v>
      </c>
      <c r="D27" s="128"/>
      <c r="E27" s="8" t="s">
        <v>112</v>
      </c>
      <c r="F27" s="8" t="s">
        <v>112</v>
      </c>
      <c r="G27" s="8" t="s">
        <v>112</v>
      </c>
      <c r="H27" s="8" t="s">
        <v>112</v>
      </c>
      <c r="I27" s="8" t="s">
        <v>112</v>
      </c>
      <c r="J27" s="8" t="s">
        <v>112</v>
      </c>
      <c r="K27" s="128"/>
      <c r="L27" s="8" t="s">
        <v>111</v>
      </c>
      <c r="M27" s="8" t="s">
        <v>112</v>
      </c>
      <c r="N27" s="8" t="s">
        <v>112</v>
      </c>
      <c r="O27" s="8" t="s">
        <v>112</v>
      </c>
      <c r="P27" s="8" t="s">
        <v>111</v>
      </c>
      <c r="Q27" s="8" t="s">
        <v>112</v>
      </c>
      <c r="R27" s="5">
        <f>COUNTIF(D27:Q27,"P")</f>
        <v>10</v>
      </c>
      <c r="S27" s="5">
        <f>COUNTIF(D27:Q27,"A")</f>
        <v>2</v>
      </c>
    </row>
    <row r="28" spans="1:23" x14ac:dyDescent="0.25">
      <c r="A28" s="10">
        <v>24</v>
      </c>
      <c r="B28" s="34" t="s">
        <v>691</v>
      </c>
      <c r="C28" s="26" t="s">
        <v>673</v>
      </c>
      <c r="D28" s="128"/>
      <c r="E28" s="8" t="s">
        <v>112</v>
      </c>
      <c r="F28" s="8" t="s">
        <v>112</v>
      </c>
      <c r="G28" s="8" t="s">
        <v>112</v>
      </c>
      <c r="H28" s="8" t="s">
        <v>112</v>
      </c>
      <c r="I28" s="8" t="s">
        <v>112</v>
      </c>
      <c r="J28" s="8" t="s">
        <v>112</v>
      </c>
      <c r="K28" s="128"/>
      <c r="L28" s="8" t="s">
        <v>112</v>
      </c>
      <c r="M28" s="8" t="s">
        <v>112</v>
      </c>
      <c r="N28" s="8" t="s">
        <v>112</v>
      </c>
      <c r="O28" s="8" t="s">
        <v>112</v>
      </c>
      <c r="P28" s="8" t="s">
        <v>111</v>
      </c>
      <c r="Q28" s="8" t="s">
        <v>112</v>
      </c>
      <c r="R28" s="5">
        <f>COUNTIF(D28:Q28,"P")</f>
        <v>11</v>
      </c>
      <c r="S28" s="5">
        <f>COUNTIF(D28:Q28,"A")</f>
        <v>1</v>
      </c>
    </row>
    <row r="29" spans="1:23" x14ac:dyDescent="0.25">
      <c r="A29" s="27">
        <v>25</v>
      </c>
      <c r="B29" s="36" t="s">
        <v>692</v>
      </c>
      <c r="C29" s="26" t="s">
        <v>673</v>
      </c>
      <c r="D29" s="128"/>
      <c r="E29" s="8" t="s">
        <v>112</v>
      </c>
      <c r="F29" s="8" t="s">
        <v>112</v>
      </c>
      <c r="G29" s="8" t="s">
        <v>112</v>
      </c>
      <c r="H29" s="8" t="s">
        <v>112</v>
      </c>
      <c r="I29" s="8" t="s">
        <v>112</v>
      </c>
      <c r="J29" s="8" t="s">
        <v>112</v>
      </c>
      <c r="K29" s="128"/>
      <c r="L29" s="8" t="s">
        <v>112</v>
      </c>
      <c r="M29" s="8" t="s">
        <v>112</v>
      </c>
      <c r="N29" s="8" t="s">
        <v>112</v>
      </c>
      <c r="O29" s="8" t="s">
        <v>112</v>
      </c>
      <c r="P29" s="8" t="s">
        <v>111</v>
      </c>
      <c r="Q29" s="8" t="s">
        <v>112</v>
      </c>
      <c r="R29" s="5">
        <f>COUNTIF(D29:Q29,"P")</f>
        <v>11</v>
      </c>
      <c r="S29" s="5">
        <f>COUNTIF(D29:Q29,"A")</f>
        <v>1</v>
      </c>
    </row>
    <row r="30" spans="1:23" x14ac:dyDescent="0.25">
      <c r="A30" s="10">
        <v>26</v>
      </c>
      <c r="B30" s="36" t="s">
        <v>693</v>
      </c>
      <c r="C30" s="26" t="s">
        <v>673</v>
      </c>
      <c r="D30" s="128"/>
      <c r="E30" s="8" t="s">
        <v>111</v>
      </c>
      <c r="F30" s="8" t="s">
        <v>111</v>
      </c>
      <c r="G30" s="8" t="s">
        <v>111</v>
      </c>
      <c r="H30" s="8" t="s">
        <v>111</v>
      </c>
      <c r="I30" s="8" t="s">
        <v>111</v>
      </c>
      <c r="J30" s="8" t="s">
        <v>111</v>
      </c>
      <c r="K30" s="128"/>
      <c r="L30" s="8" t="s">
        <v>111</v>
      </c>
      <c r="M30" s="8" t="s">
        <v>111</v>
      </c>
      <c r="N30" s="8" t="s">
        <v>111</v>
      </c>
      <c r="O30" s="8" t="s">
        <v>111</v>
      </c>
      <c r="P30" s="8" t="s">
        <v>111</v>
      </c>
      <c r="Q30" s="8" t="s">
        <v>111</v>
      </c>
      <c r="R30" s="5">
        <f>COUNTIF(D30:Q30,"P")</f>
        <v>0</v>
      </c>
      <c r="S30" s="5">
        <f>COUNTIF(D30:Q30,"A")</f>
        <v>12</v>
      </c>
    </row>
    <row r="31" spans="1:23" x14ac:dyDescent="0.25">
      <c r="A31" s="27">
        <v>27</v>
      </c>
      <c r="B31" s="36" t="s">
        <v>694</v>
      </c>
      <c r="C31" s="26" t="s">
        <v>673</v>
      </c>
      <c r="D31" s="128"/>
      <c r="E31" s="8" t="s">
        <v>112</v>
      </c>
      <c r="F31" s="8" t="s">
        <v>112</v>
      </c>
      <c r="G31" s="8" t="s">
        <v>111</v>
      </c>
      <c r="H31" s="8" t="s">
        <v>112</v>
      </c>
      <c r="I31" s="8" t="s">
        <v>112</v>
      </c>
      <c r="J31" s="8" t="s">
        <v>112</v>
      </c>
      <c r="K31" s="128"/>
      <c r="L31" s="8" t="s">
        <v>112</v>
      </c>
      <c r="M31" s="8" t="s">
        <v>112</v>
      </c>
      <c r="N31" s="8" t="s">
        <v>112</v>
      </c>
      <c r="O31" s="8" t="s">
        <v>112</v>
      </c>
      <c r="P31" s="8" t="s">
        <v>111</v>
      </c>
      <c r="Q31" s="8" t="s">
        <v>112</v>
      </c>
      <c r="R31" s="5">
        <f>COUNTIF(D31:Q31,"P")</f>
        <v>10</v>
      </c>
      <c r="S31" s="5">
        <f>COUNTIF(D31:Q31,"A")</f>
        <v>2</v>
      </c>
    </row>
    <row r="32" spans="1:23" x14ac:dyDescent="0.25">
      <c r="A32" s="10">
        <v>28</v>
      </c>
      <c r="B32" s="36" t="s">
        <v>528</v>
      </c>
      <c r="C32" s="26" t="s">
        <v>673</v>
      </c>
      <c r="D32" s="128"/>
      <c r="E32" s="8" t="s">
        <v>112</v>
      </c>
      <c r="F32" s="8" t="s">
        <v>112</v>
      </c>
      <c r="G32" s="8" t="s">
        <v>112</v>
      </c>
      <c r="H32" s="8" t="s">
        <v>112</v>
      </c>
      <c r="I32" s="8" t="s">
        <v>112</v>
      </c>
      <c r="J32" s="8" t="s">
        <v>112</v>
      </c>
      <c r="K32" s="128"/>
      <c r="L32" s="8" t="s">
        <v>112</v>
      </c>
      <c r="M32" s="8" t="s">
        <v>112</v>
      </c>
      <c r="N32" s="8" t="s">
        <v>112</v>
      </c>
      <c r="O32" s="8" t="s">
        <v>112</v>
      </c>
      <c r="P32" s="8" t="s">
        <v>111</v>
      </c>
      <c r="Q32" s="8" t="s">
        <v>112</v>
      </c>
      <c r="R32" s="5">
        <f>COUNTIF(D32:Q32,"P")</f>
        <v>11</v>
      </c>
      <c r="S32" s="5">
        <f>COUNTIF(D32:Q32,"A")</f>
        <v>1</v>
      </c>
    </row>
    <row r="33" spans="1:19" x14ac:dyDescent="0.25">
      <c r="A33" s="27">
        <v>29</v>
      </c>
      <c r="B33" s="33" t="s">
        <v>577</v>
      </c>
      <c r="C33" s="26" t="s">
        <v>673</v>
      </c>
      <c r="D33" s="128"/>
      <c r="E33" s="8" t="s">
        <v>112</v>
      </c>
      <c r="F33" s="8" t="s">
        <v>112</v>
      </c>
      <c r="G33" s="8" t="s">
        <v>112</v>
      </c>
      <c r="H33" s="8" t="s">
        <v>112</v>
      </c>
      <c r="I33" s="8" t="s">
        <v>112</v>
      </c>
      <c r="J33" s="8" t="s">
        <v>111</v>
      </c>
      <c r="K33" s="128"/>
      <c r="L33" s="8" t="s">
        <v>112</v>
      </c>
      <c r="M33" s="8" t="s">
        <v>112</v>
      </c>
      <c r="N33" s="8" t="s">
        <v>112</v>
      </c>
      <c r="O33" s="8" t="s">
        <v>112</v>
      </c>
      <c r="P33" s="8" t="s">
        <v>111</v>
      </c>
      <c r="Q33" s="8" t="s">
        <v>112</v>
      </c>
      <c r="R33" s="5">
        <f>COUNTIF(D33:Q33,"P")</f>
        <v>10</v>
      </c>
      <c r="S33" s="5">
        <f>COUNTIF(D33:Q33,"A")</f>
        <v>2</v>
      </c>
    </row>
    <row r="34" spans="1:19" x14ac:dyDescent="0.25">
      <c r="A34" s="10">
        <v>1</v>
      </c>
      <c r="B34" s="30" t="s">
        <v>695</v>
      </c>
      <c r="C34" s="26" t="s">
        <v>673</v>
      </c>
      <c r="D34" s="128"/>
      <c r="E34" s="8" t="s">
        <v>111</v>
      </c>
      <c r="F34" s="8" t="s">
        <v>112</v>
      </c>
      <c r="G34" s="8" t="s">
        <v>112</v>
      </c>
      <c r="H34" s="8" t="s">
        <v>112</v>
      </c>
      <c r="I34" s="8" t="s">
        <v>112</v>
      </c>
      <c r="J34" s="8" t="s">
        <v>112</v>
      </c>
      <c r="K34" s="128"/>
      <c r="L34" s="8" t="s">
        <v>112</v>
      </c>
      <c r="M34" s="8" t="s">
        <v>112</v>
      </c>
      <c r="N34" s="8" t="s">
        <v>112</v>
      </c>
      <c r="O34" s="8" t="s">
        <v>112</v>
      </c>
      <c r="P34" s="8" t="s">
        <v>111</v>
      </c>
      <c r="Q34" s="8" t="s">
        <v>112</v>
      </c>
      <c r="R34" s="5">
        <f>COUNTIF(D34:Q34,"P")</f>
        <v>10</v>
      </c>
      <c r="S34" s="5">
        <f>COUNTIF(D34:Q34,"A")</f>
        <v>2</v>
      </c>
    </row>
    <row r="35" spans="1:19" x14ac:dyDescent="0.25">
      <c r="A35" s="27">
        <v>2</v>
      </c>
      <c r="B35" s="30" t="s">
        <v>696</v>
      </c>
      <c r="C35" s="26" t="s">
        <v>673</v>
      </c>
      <c r="D35" s="128"/>
      <c r="E35" s="8" t="s">
        <v>112</v>
      </c>
      <c r="F35" s="8" t="s">
        <v>112</v>
      </c>
      <c r="G35" s="8" t="s">
        <v>112</v>
      </c>
      <c r="H35" s="8" t="s">
        <v>112</v>
      </c>
      <c r="I35" s="8" t="s">
        <v>112</v>
      </c>
      <c r="J35" s="8" t="s">
        <v>112</v>
      </c>
      <c r="K35" s="128"/>
      <c r="L35" s="8" t="s">
        <v>112</v>
      </c>
      <c r="M35" s="8" t="s">
        <v>112</v>
      </c>
      <c r="N35" s="8" t="s">
        <v>112</v>
      </c>
      <c r="O35" s="8" t="s">
        <v>112</v>
      </c>
      <c r="P35" s="8" t="s">
        <v>111</v>
      </c>
      <c r="Q35" s="8" t="s">
        <v>112</v>
      </c>
      <c r="R35" s="5">
        <f>COUNTIF(D35:Q35,"P")</f>
        <v>11</v>
      </c>
      <c r="S35" s="5">
        <f>COUNTIF(D35:Q35,"A")</f>
        <v>1</v>
      </c>
    </row>
    <row r="36" spans="1:19" x14ac:dyDescent="0.25">
      <c r="A36" s="10">
        <v>3</v>
      </c>
      <c r="B36" s="15" t="s">
        <v>697</v>
      </c>
      <c r="C36" s="26" t="s">
        <v>673</v>
      </c>
      <c r="D36" s="128"/>
      <c r="E36" s="8" t="s">
        <v>112</v>
      </c>
      <c r="F36" s="8" t="s">
        <v>112</v>
      </c>
      <c r="G36" s="8" t="s">
        <v>112</v>
      </c>
      <c r="H36" s="8" t="s">
        <v>112</v>
      </c>
      <c r="I36" s="8" t="s">
        <v>112</v>
      </c>
      <c r="J36" s="8" t="s">
        <v>112</v>
      </c>
      <c r="K36" s="128"/>
      <c r="L36" s="8" t="s">
        <v>112</v>
      </c>
      <c r="M36" s="8" t="s">
        <v>112</v>
      </c>
      <c r="N36" s="8" t="s">
        <v>112</v>
      </c>
      <c r="O36" s="8" t="s">
        <v>112</v>
      </c>
      <c r="P36" s="8" t="s">
        <v>111</v>
      </c>
      <c r="Q36" s="8" t="s">
        <v>112</v>
      </c>
      <c r="R36" s="5">
        <f>COUNTIF(D36:Q36,"P")</f>
        <v>11</v>
      </c>
      <c r="S36" s="5">
        <f>COUNTIF(D36:Q36,"A")</f>
        <v>1</v>
      </c>
    </row>
    <row r="37" spans="1:19" x14ac:dyDescent="0.25">
      <c r="A37" s="27">
        <v>4</v>
      </c>
      <c r="B37" s="15" t="s">
        <v>49</v>
      </c>
      <c r="C37" s="26" t="s">
        <v>673</v>
      </c>
      <c r="D37" s="128"/>
      <c r="E37" s="8" t="s">
        <v>111</v>
      </c>
      <c r="F37" s="8" t="s">
        <v>112</v>
      </c>
      <c r="G37" s="8" t="s">
        <v>112</v>
      </c>
      <c r="H37" s="8" t="s">
        <v>111</v>
      </c>
      <c r="I37" s="8" t="s">
        <v>112</v>
      </c>
      <c r="J37" s="8" t="s">
        <v>112</v>
      </c>
      <c r="K37" s="128"/>
      <c r="L37" s="8" t="s">
        <v>112</v>
      </c>
      <c r="M37" s="8" t="s">
        <v>112</v>
      </c>
      <c r="N37" s="8" t="s">
        <v>112</v>
      </c>
      <c r="O37" s="8" t="s">
        <v>112</v>
      </c>
      <c r="P37" s="8" t="s">
        <v>111</v>
      </c>
      <c r="Q37" s="8" t="s">
        <v>112</v>
      </c>
      <c r="R37" s="5">
        <f>COUNTIF(D37:Q37,"P")</f>
        <v>9</v>
      </c>
      <c r="S37" s="5">
        <f>COUNTIF(D37:Q37,"A")</f>
        <v>3</v>
      </c>
    </row>
    <row r="38" spans="1:19" x14ac:dyDescent="0.25">
      <c r="A38" s="10">
        <v>5</v>
      </c>
      <c r="B38" s="15" t="s">
        <v>698</v>
      </c>
      <c r="C38" s="26" t="s">
        <v>673</v>
      </c>
      <c r="D38" s="128"/>
      <c r="E38" s="8" t="s">
        <v>111</v>
      </c>
      <c r="F38" s="8" t="s">
        <v>111</v>
      </c>
      <c r="G38" s="8" t="s">
        <v>111</v>
      </c>
      <c r="H38" s="8" t="s">
        <v>111</v>
      </c>
      <c r="I38" s="8" t="s">
        <v>111</v>
      </c>
      <c r="J38" s="8" t="s">
        <v>111</v>
      </c>
      <c r="K38" s="128"/>
      <c r="L38" s="8" t="s">
        <v>111</v>
      </c>
      <c r="M38" s="8" t="s">
        <v>111</v>
      </c>
      <c r="N38" s="8" t="s">
        <v>111</v>
      </c>
      <c r="O38" s="8" t="s">
        <v>111</v>
      </c>
      <c r="P38" s="8" t="s">
        <v>111</v>
      </c>
      <c r="Q38" s="8" t="s">
        <v>111</v>
      </c>
      <c r="R38" s="5">
        <f>COUNTIF(D38:Q38,"P")</f>
        <v>0</v>
      </c>
      <c r="S38" s="5">
        <f>COUNTIF(D38:Q38,"A")</f>
        <v>12</v>
      </c>
    </row>
    <row r="39" spans="1:19" x14ac:dyDescent="0.25">
      <c r="A39" s="27">
        <v>6</v>
      </c>
      <c r="B39" s="15" t="s">
        <v>699</v>
      </c>
      <c r="C39" s="26" t="s">
        <v>673</v>
      </c>
      <c r="D39" s="128"/>
      <c r="E39" s="8" t="s">
        <v>112</v>
      </c>
      <c r="F39" s="8" t="s">
        <v>112</v>
      </c>
      <c r="G39" s="8" t="s">
        <v>112</v>
      </c>
      <c r="H39" s="8" t="s">
        <v>112</v>
      </c>
      <c r="I39" s="8" t="s">
        <v>112</v>
      </c>
      <c r="J39" s="8" t="s">
        <v>112</v>
      </c>
      <c r="K39" s="128"/>
      <c r="L39" s="8" t="s">
        <v>112</v>
      </c>
      <c r="M39" s="8" t="s">
        <v>112</v>
      </c>
      <c r="N39" s="8" t="s">
        <v>112</v>
      </c>
      <c r="O39" s="8" t="s">
        <v>112</v>
      </c>
      <c r="P39" s="8" t="s">
        <v>111</v>
      </c>
      <c r="Q39" s="8" t="s">
        <v>112</v>
      </c>
      <c r="R39" s="5">
        <f>COUNTIF(D39:Q39,"P")</f>
        <v>11</v>
      </c>
      <c r="S39" s="5">
        <f>COUNTIF(D39:Q39,"A")</f>
        <v>1</v>
      </c>
    </row>
    <row r="40" spans="1:19" x14ac:dyDescent="0.25">
      <c r="A40" s="10">
        <v>7</v>
      </c>
      <c r="B40" s="15" t="s">
        <v>700</v>
      </c>
      <c r="C40" s="26" t="s">
        <v>673</v>
      </c>
      <c r="D40" s="128"/>
      <c r="E40" s="8" t="s">
        <v>112</v>
      </c>
      <c r="F40" s="8" t="s">
        <v>112</v>
      </c>
      <c r="G40" s="8" t="s">
        <v>112</v>
      </c>
      <c r="H40" s="8" t="s">
        <v>112</v>
      </c>
      <c r="I40" s="8" t="s">
        <v>112</v>
      </c>
      <c r="J40" s="8" t="s">
        <v>112</v>
      </c>
      <c r="K40" s="128"/>
      <c r="L40" s="8" t="s">
        <v>112</v>
      </c>
      <c r="M40" s="8" t="s">
        <v>112</v>
      </c>
      <c r="N40" s="8" t="s">
        <v>112</v>
      </c>
      <c r="O40" s="8" t="s">
        <v>112</v>
      </c>
      <c r="P40" s="8" t="s">
        <v>111</v>
      </c>
      <c r="Q40" s="8" t="s">
        <v>112</v>
      </c>
      <c r="R40" s="5">
        <f>COUNTIF(D40:Q40,"P")</f>
        <v>11</v>
      </c>
      <c r="S40" s="5">
        <f>COUNTIF(D40:Q40,"A")</f>
        <v>1</v>
      </c>
    </row>
    <row r="41" spans="1:19" x14ac:dyDescent="0.25">
      <c r="A41" s="27">
        <v>8</v>
      </c>
      <c r="B41" s="15" t="s">
        <v>701</v>
      </c>
      <c r="C41" s="26" t="s">
        <v>673</v>
      </c>
      <c r="D41" s="128"/>
      <c r="E41" s="8" t="s">
        <v>112</v>
      </c>
      <c r="F41" s="8" t="s">
        <v>112</v>
      </c>
      <c r="G41" s="8" t="s">
        <v>112</v>
      </c>
      <c r="H41" s="8" t="s">
        <v>112</v>
      </c>
      <c r="I41" s="8" t="s">
        <v>112</v>
      </c>
      <c r="J41" s="8" t="s">
        <v>112</v>
      </c>
      <c r="K41" s="128"/>
      <c r="L41" s="8" t="s">
        <v>112</v>
      </c>
      <c r="M41" s="8" t="s">
        <v>112</v>
      </c>
      <c r="N41" s="8" t="s">
        <v>112</v>
      </c>
      <c r="O41" s="8" t="s">
        <v>112</v>
      </c>
      <c r="P41" s="8" t="s">
        <v>111</v>
      </c>
      <c r="Q41" s="8" t="s">
        <v>112</v>
      </c>
      <c r="R41" s="5">
        <f>COUNTIF(D41:Q41,"P")</f>
        <v>11</v>
      </c>
      <c r="S41" s="5">
        <f>COUNTIF(D41:Q41,"A")</f>
        <v>1</v>
      </c>
    </row>
    <row r="42" spans="1:19" x14ac:dyDescent="0.25">
      <c r="A42" s="10">
        <v>9</v>
      </c>
      <c r="B42" s="15" t="s">
        <v>91</v>
      </c>
      <c r="C42" s="26" t="s">
        <v>673</v>
      </c>
      <c r="D42" s="128"/>
      <c r="E42" s="8" t="s">
        <v>112</v>
      </c>
      <c r="F42" s="8" t="s">
        <v>112</v>
      </c>
      <c r="G42" s="8" t="s">
        <v>112</v>
      </c>
      <c r="H42" s="8" t="s">
        <v>112</v>
      </c>
      <c r="I42" s="8" t="s">
        <v>112</v>
      </c>
      <c r="J42" s="8" t="s">
        <v>112</v>
      </c>
      <c r="K42" s="128"/>
      <c r="L42" s="8" t="s">
        <v>112</v>
      </c>
      <c r="M42" s="8" t="s">
        <v>112</v>
      </c>
      <c r="N42" s="8" t="s">
        <v>112</v>
      </c>
      <c r="O42" s="8" t="s">
        <v>112</v>
      </c>
      <c r="P42" s="8" t="s">
        <v>111</v>
      </c>
      <c r="Q42" s="8" t="s">
        <v>112</v>
      </c>
      <c r="R42" s="5">
        <f>COUNTIF(D42:Q42,"P")</f>
        <v>11</v>
      </c>
      <c r="S42" s="5">
        <f>COUNTIF(D42:Q42,"A")</f>
        <v>1</v>
      </c>
    </row>
    <row r="43" spans="1:19" x14ac:dyDescent="0.25">
      <c r="A43" s="27">
        <v>10</v>
      </c>
      <c r="B43" s="15" t="s">
        <v>702</v>
      </c>
      <c r="C43" s="26" t="s">
        <v>673</v>
      </c>
      <c r="D43" s="128"/>
      <c r="E43" s="8" t="s">
        <v>112</v>
      </c>
      <c r="F43" s="8" t="s">
        <v>112</v>
      </c>
      <c r="G43" s="8" t="s">
        <v>112</v>
      </c>
      <c r="H43" s="8" t="s">
        <v>111</v>
      </c>
      <c r="I43" s="8" t="s">
        <v>112</v>
      </c>
      <c r="J43" s="8" t="s">
        <v>112</v>
      </c>
      <c r="K43" s="128"/>
      <c r="L43" s="8" t="s">
        <v>112</v>
      </c>
      <c r="M43" s="8" t="s">
        <v>112</v>
      </c>
      <c r="N43" s="8" t="s">
        <v>112</v>
      </c>
      <c r="O43" s="8" t="s">
        <v>112</v>
      </c>
      <c r="P43" s="8" t="s">
        <v>111</v>
      </c>
      <c r="Q43" s="8" t="s">
        <v>111</v>
      </c>
      <c r="R43" s="5">
        <f>COUNTIF(D43:Q43,"P")</f>
        <v>9</v>
      </c>
      <c r="S43" s="5">
        <f>COUNTIF(D43:Q43,"A")</f>
        <v>3</v>
      </c>
    </row>
    <row r="44" spans="1:19" x14ac:dyDescent="0.25">
      <c r="A44" s="10">
        <v>11</v>
      </c>
      <c r="B44" s="15" t="s">
        <v>526</v>
      </c>
      <c r="C44" s="26" t="s">
        <v>673</v>
      </c>
      <c r="D44" s="128"/>
      <c r="E44" s="8" t="s">
        <v>112</v>
      </c>
      <c r="F44" s="8" t="s">
        <v>112</v>
      </c>
      <c r="G44" s="8" t="s">
        <v>112</v>
      </c>
      <c r="H44" s="8" t="s">
        <v>112</v>
      </c>
      <c r="I44" s="8" t="s">
        <v>112</v>
      </c>
      <c r="J44" s="8" t="s">
        <v>111</v>
      </c>
      <c r="K44" s="128"/>
      <c r="L44" s="8" t="s">
        <v>112</v>
      </c>
      <c r="M44" s="8" t="s">
        <v>112</v>
      </c>
      <c r="N44" s="8" t="s">
        <v>111</v>
      </c>
      <c r="O44" s="8" t="s">
        <v>111</v>
      </c>
      <c r="P44" s="8" t="s">
        <v>111</v>
      </c>
      <c r="Q44" s="8" t="s">
        <v>111</v>
      </c>
      <c r="R44" s="5">
        <f>COUNTIF(D44:Q44,"P")</f>
        <v>7</v>
      </c>
      <c r="S44" s="5">
        <f>COUNTIF(D44:Q44,"A")</f>
        <v>5</v>
      </c>
    </row>
    <row r="45" spans="1:19" x14ac:dyDescent="0.25">
      <c r="A45" s="27">
        <v>12</v>
      </c>
      <c r="B45" s="15" t="s">
        <v>527</v>
      </c>
      <c r="C45" s="26" t="s">
        <v>673</v>
      </c>
      <c r="D45" s="128"/>
      <c r="E45" s="8" t="s">
        <v>112</v>
      </c>
      <c r="F45" s="8" t="s">
        <v>112</v>
      </c>
      <c r="G45" s="8" t="s">
        <v>112</v>
      </c>
      <c r="H45" s="8" t="s">
        <v>112</v>
      </c>
      <c r="I45" s="8" t="s">
        <v>112</v>
      </c>
      <c r="J45" s="8" t="s">
        <v>112</v>
      </c>
      <c r="K45" s="128"/>
      <c r="L45" s="8" t="s">
        <v>111</v>
      </c>
      <c r="M45" s="8" t="s">
        <v>112</v>
      </c>
      <c r="N45" s="8" t="s">
        <v>112</v>
      </c>
      <c r="O45" s="8" t="s">
        <v>112</v>
      </c>
      <c r="P45" s="8" t="s">
        <v>112</v>
      </c>
      <c r="Q45" s="8" t="s">
        <v>112</v>
      </c>
      <c r="R45" s="5">
        <f>COUNTIF(D45:Q45,"P")</f>
        <v>11</v>
      </c>
      <c r="S45" s="5">
        <f>COUNTIF(D45:Q45,"A")</f>
        <v>1</v>
      </c>
    </row>
    <row r="46" spans="1:19" x14ac:dyDescent="0.25">
      <c r="A46" s="10">
        <v>13</v>
      </c>
      <c r="B46" s="15" t="s">
        <v>666</v>
      </c>
      <c r="C46" s="8" t="s">
        <v>673</v>
      </c>
      <c r="D46" s="128"/>
      <c r="E46" s="8" t="s">
        <v>111</v>
      </c>
      <c r="F46" s="8" t="s">
        <v>112</v>
      </c>
      <c r="G46" s="8" t="s">
        <v>112</v>
      </c>
      <c r="H46" s="8" t="s">
        <v>112</v>
      </c>
      <c r="I46" s="8" t="s">
        <v>112</v>
      </c>
      <c r="J46" s="8" t="s">
        <v>112</v>
      </c>
      <c r="K46" s="128"/>
      <c r="L46" s="8" t="s">
        <v>112</v>
      </c>
      <c r="M46" s="8" t="s">
        <v>112</v>
      </c>
      <c r="N46" s="8" t="s">
        <v>112</v>
      </c>
      <c r="O46" s="8" t="s">
        <v>112</v>
      </c>
      <c r="P46" s="8" t="s">
        <v>112</v>
      </c>
      <c r="Q46" s="8" t="s">
        <v>112</v>
      </c>
      <c r="R46" s="5">
        <f>COUNTIF(D46:Q46,"P")</f>
        <v>11</v>
      </c>
      <c r="S46" s="5">
        <f>COUNTIF(D46:Q46,"A")</f>
        <v>1</v>
      </c>
    </row>
    <row r="47" spans="1:19" x14ac:dyDescent="0.25">
      <c r="A47" s="27">
        <v>14</v>
      </c>
      <c r="B47" s="15" t="s">
        <v>703</v>
      </c>
      <c r="C47" s="8" t="s">
        <v>673</v>
      </c>
      <c r="D47" s="128"/>
      <c r="E47" s="8" t="s">
        <v>111</v>
      </c>
      <c r="F47" s="8" t="s">
        <v>112</v>
      </c>
      <c r="G47" s="8" t="s">
        <v>112</v>
      </c>
      <c r="H47" s="8" t="s">
        <v>112</v>
      </c>
      <c r="I47" s="8" t="s">
        <v>111</v>
      </c>
      <c r="J47" s="8" t="s">
        <v>113</v>
      </c>
      <c r="K47" s="128"/>
      <c r="L47" s="8" t="s">
        <v>112</v>
      </c>
      <c r="M47" s="8" t="s">
        <v>112</v>
      </c>
      <c r="N47" s="8" t="s">
        <v>112</v>
      </c>
      <c r="O47" s="8" t="s">
        <v>112</v>
      </c>
      <c r="P47" s="8" t="s">
        <v>112</v>
      </c>
      <c r="Q47" s="8" t="s">
        <v>112</v>
      </c>
      <c r="R47" s="5">
        <f>COUNTIF(D47:Q47,"P")</f>
        <v>9</v>
      </c>
      <c r="S47" s="5">
        <f>COUNTIF(D47:Q47,"A")</f>
        <v>2</v>
      </c>
    </row>
    <row r="48" spans="1:19" x14ac:dyDescent="0.25">
      <c r="A48" s="10">
        <v>15</v>
      </c>
      <c r="B48" s="15" t="s">
        <v>704</v>
      </c>
      <c r="C48" s="8" t="s">
        <v>673</v>
      </c>
      <c r="D48" s="128"/>
      <c r="E48" s="8" t="s">
        <v>112</v>
      </c>
      <c r="F48" s="8" t="s">
        <v>112</v>
      </c>
      <c r="G48" s="8" t="s">
        <v>111</v>
      </c>
      <c r="H48" s="8" t="s">
        <v>112</v>
      </c>
      <c r="I48" s="8" t="s">
        <v>112</v>
      </c>
      <c r="J48" s="8" t="s">
        <v>112</v>
      </c>
      <c r="K48" s="128"/>
      <c r="L48" s="8" t="s">
        <v>111</v>
      </c>
      <c r="M48" s="8" t="s">
        <v>112</v>
      </c>
      <c r="N48" s="8" t="s">
        <v>112</v>
      </c>
      <c r="O48" s="8" t="s">
        <v>112</v>
      </c>
      <c r="P48" s="8" t="s">
        <v>112</v>
      </c>
      <c r="Q48" s="8" t="s">
        <v>112</v>
      </c>
      <c r="R48" s="5">
        <f>COUNTIF(D48:Q48,"P")</f>
        <v>10</v>
      </c>
      <c r="S48" s="5">
        <f>COUNTIF(D48:Q48,"A")</f>
        <v>2</v>
      </c>
    </row>
    <row r="49" spans="1:19" x14ac:dyDescent="0.25">
      <c r="A49" s="27">
        <v>16</v>
      </c>
      <c r="B49" s="15" t="s">
        <v>705</v>
      </c>
      <c r="C49" s="8" t="s">
        <v>673</v>
      </c>
      <c r="D49" s="128"/>
      <c r="E49" s="8" t="s">
        <v>112</v>
      </c>
      <c r="F49" s="8" t="s">
        <v>112</v>
      </c>
      <c r="G49" s="8" t="s">
        <v>112</v>
      </c>
      <c r="H49" s="8" t="s">
        <v>112</v>
      </c>
      <c r="I49" s="8" t="s">
        <v>112</v>
      </c>
      <c r="J49" s="8" t="s">
        <v>112</v>
      </c>
      <c r="K49" s="128"/>
      <c r="L49" s="8" t="s">
        <v>112</v>
      </c>
      <c r="M49" s="8" t="s">
        <v>112</v>
      </c>
      <c r="N49" s="8" t="s">
        <v>112</v>
      </c>
      <c r="O49" s="8" t="s">
        <v>112</v>
      </c>
      <c r="P49" s="8" t="s">
        <v>112</v>
      </c>
      <c r="Q49" s="8" t="s">
        <v>112</v>
      </c>
      <c r="R49" s="5">
        <f>COUNTIF(D49:Q49,"P")</f>
        <v>12</v>
      </c>
      <c r="S49" s="5">
        <f>COUNTIF(D49:Q49,"A")</f>
        <v>0</v>
      </c>
    </row>
    <row r="50" spans="1:19" x14ac:dyDescent="0.25">
      <c r="A50" s="10">
        <v>17</v>
      </c>
      <c r="B50" s="15" t="s">
        <v>706</v>
      </c>
      <c r="C50" s="8" t="s">
        <v>673</v>
      </c>
      <c r="D50" s="128"/>
      <c r="E50" s="8" t="s">
        <v>111</v>
      </c>
      <c r="F50" s="8" t="s">
        <v>112</v>
      </c>
      <c r="G50" s="8" t="s">
        <v>112</v>
      </c>
      <c r="H50" s="8" t="s">
        <v>112</v>
      </c>
      <c r="I50" s="8" t="s">
        <v>112</v>
      </c>
      <c r="J50" s="8" t="s">
        <v>112</v>
      </c>
      <c r="K50" s="128"/>
      <c r="L50" s="8" t="s">
        <v>112</v>
      </c>
      <c r="M50" s="8" t="s">
        <v>111</v>
      </c>
      <c r="N50" s="8" t="s">
        <v>112</v>
      </c>
      <c r="O50" s="8" t="s">
        <v>112</v>
      </c>
      <c r="P50" s="8" t="s">
        <v>112</v>
      </c>
      <c r="Q50" s="8" t="s">
        <v>112</v>
      </c>
      <c r="R50" s="5">
        <f>COUNTIF(D50:Q50,"P")</f>
        <v>10</v>
      </c>
      <c r="S50" s="5">
        <f>COUNTIF(D50:Q50,"A")</f>
        <v>2</v>
      </c>
    </row>
    <row r="51" spans="1:19" x14ac:dyDescent="0.25">
      <c r="A51" s="27">
        <v>18</v>
      </c>
      <c r="B51" s="15" t="s">
        <v>707</v>
      </c>
      <c r="C51" s="8" t="s">
        <v>673</v>
      </c>
      <c r="D51" s="128"/>
      <c r="E51" s="8" t="s">
        <v>112</v>
      </c>
      <c r="F51" s="8" t="s">
        <v>111</v>
      </c>
      <c r="G51" s="8" t="s">
        <v>112</v>
      </c>
      <c r="H51" s="8" t="s">
        <v>112</v>
      </c>
      <c r="I51" s="8" t="s">
        <v>112</v>
      </c>
      <c r="J51" s="8" t="s">
        <v>112</v>
      </c>
      <c r="K51" s="128"/>
      <c r="L51" s="8" t="s">
        <v>112</v>
      </c>
      <c r="M51" s="8" t="s">
        <v>112</v>
      </c>
      <c r="N51" s="8" t="s">
        <v>112</v>
      </c>
      <c r="O51" s="8" t="s">
        <v>112</v>
      </c>
      <c r="P51" s="8" t="s">
        <v>112</v>
      </c>
      <c r="Q51" s="8" t="s">
        <v>112</v>
      </c>
      <c r="R51" s="5">
        <f>COUNTIF(D51:Q51,"P")</f>
        <v>11</v>
      </c>
      <c r="S51" s="5">
        <f>COUNTIF(D51:Q51,"A")</f>
        <v>1</v>
      </c>
    </row>
    <row r="52" spans="1:19" x14ac:dyDescent="0.25">
      <c r="A52" s="10">
        <v>19</v>
      </c>
      <c r="B52" s="15" t="s">
        <v>708</v>
      </c>
      <c r="C52" s="8" t="s">
        <v>673</v>
      </c>
      <c r="D52" s="129"/>
      <c r="E52" s="8" t="s">
        <v>112</v>
      </c>
      <c r="F52" s="8" t="s">
        <v>112</v>
      </c>
      <c r="G52" s="8" t="s">
        <v>112</v>
      </c>
      <c r="H52" s="8" t="s">
        <v>112</v>
      </c>
      <c r="I52" s="8" t="s">
        <v>112</v>
      </c>
      <c r="J52" s="8" t="s">
        <v>112</v>
      </c>
      <c r="K52" s="129"/>
      <c r="L52" s="8" t="s">
        <v>112</v>
      </c>
      <c r="M52" s="8" t="s">
        <v>112</v>
      </c>
      <c r="N52" s="8" t="s">
        <v>112</v>
      </c>
      <c r="O52" s="8" t="s">
        <v>112</v>
      </c>
      <c r="P52" s="8" t="s">
        <v>112</v>
      </c>
      <c r="Q52" s="8" t="s">
        <v>112</v>
      </c>
      <c r="R52" s="5">
        <f>COUNTIF(D52:Q52,"P")</f>
        <v>12</v>
      </c>
      <c r="S52" s="5">
        <f>COUNTIF(D52:Q52,"A")</f>
        <v>0</v>
      </c>
    </row>
  </sheetData>
  <mergeCells count="12">
    <mergeCell ref="T3:U3"/>
    <mergeCell ref="D5:D52"/>
    <mergeCell ref="K5:K52"/>
    <mergeCell ref="T11:W11"/>
    <mergeCell ref="T19:W19"/>
    <mergeCell ref="A1:S1"/>
    <mergeCell ref="A2:S2"/>
    <mergeCell ref="A3:A4"/>
    <mergeCell ref="B3:B4"/>
    <mergeCell ref="C3:C4"/>
    <mergeCell ref="R3:R4"/>
    <mergeCell ref="S3:S4"/>
  </mergeCells>
  <conditionalFormatting sqref="B5:B33">
    <cfRule type="duplicateValues" dxfId="66" priority="27"/>
  </conditionalFormatting>
  <conditionalFormatting sqref="E5:J52 L5:Q52 D4:Q4">
    <cfRule type="expression" dxfId="65" priority="39">
      <formula>IF(D$4=TODAY(),TRUE,FALSE)</formula>
    </cfRule>
  </conditionalFormatting>
  <conditionalFormatting sqref="E5:J52 L5:Q52">
    <cfRule type="cellIs" dxfId="64" priority="36" operator="equal">
      <formula>"L"</formula>
    </cfRule>
    <cfRule type="cellIs" dxfId="63" priority="37" operator="equal">
      <formula>"A"</formula>
    </cfRule>
    <cfRule type="cellIs" dxfId="62" priority="38" operator="equal">
      <formula>"P"</formula>
    </cfRule>
  </conditionalFormatting>
  <conditionalFormatting sqref="E5:J52 L5:Q52 D3:Q4">
    <cfRule type="expression" dxfId="61" priority="40">
      <formula>D$3="Sun"</formula>
    </cfRule>
  </conditionalFormatting>
  <conditionalFormatting sqref="D5">
    <cfRule type="cellIs" dxfId="60" priority="12" operator="equal">
      <formula>"L"</formula>
    </cfRule>
    <cfRule type="cellIs" dxfId="59" priority="13" operator="equal">
      <formula>"A"</formula>
    </cfRule>
    <cfRule type="cellIs" dxfId="58" priority="14" operator="equal">
      <formula>"P"</formula>
    </cfRule>
    <cfRule type="expression" dxfId="57" priority="15">
      <formula>IF(D$4=TODAY(),TRUE,FALSE)</formula>
    </cfRule>
    <cfRule type="expression" dxfId="56" priority="16">
      <formula>D$3="Sun"</formula>
    </cfRule>
  </conditionalFormatting>
  <conditionalFormatting sqref="K5">
    <cfRule type="cellIs" dxfId="55" priority="7" operator="equal">
      <formula>"L"</formula>
    </cfRule>
    <cfRule type="cellIs" dxfId="54" priority="8" operator="equal">
      <formula>"A"</formula>
    </cfRule>
    <cfRule type="cellIs" dxfId="53" priority="9" operator="equal">
      <formula>"P"</formula>
    </cfRule>
    <cfRule type="expression" dxfId="52" priority="10">
      <formula>IF(K$4=TODAY(),TRUE,FALSE)</formula>
    </cfRule>
    <cfRule type="expression" dxfId="51" priority="11">
      <formula>K$3="Sun"</formula>
    </cfRule>
  </conditionalFormatting>
  <conditionalFormatting sqref="R3:S3 R5:S52">
    <cfRule type="expression" dxfId="50" priority="41">
      <formula>#REF!="Sun"</formula>
    </cfRule>
  </conditionalFormatting>
  <conditionalFormatting sqref="T5:T9">
    <cfRule type="expression" dxfId="49" priority="4">
      <formula>T$3="Sun"</formula>
    </cfRule>
  </conditionalFormatting>
  <conditionalFormatting sqref="T12:T15">
    <cfRule type="expression" dxfId="48" priority="2">
      <formula>T$3="Sun"</formula>
    </cfRule>
  </conditionalFormatting>
  <conditionalFormatting sqref="T20:T23">
    <cfRule type="expression" dxfId="47" priority="1">
      <formula>T$3="Sun"</formula>
    </cfRule>
  </conditionalFormatting>
  <conditionalFormatting sqref="T4:U4">
    <cfRule type="expression" dxfId="46" priority="5">
      <formula>T$3="Sun"</formula>
    </cfRule>
  </conditionalFormatting>
  <conditionalFormatting sqref="U12:W12 U20:W20">
    <cfRule type="expression" dxfId="45" priority="6">
      <formula>U$3="Sun"</formula>
    </cfRule>
  </conditionalFormatting>
  <conditionalFormatting sqref="W21">
    <cfRule type="expression" dxfId="44" priority="3">
      <formula>W$3="Sun"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C8CF0-6DA7-4B3F-A800-34A6CBB3A1D0}">
  <dimension ref="A1:X46"/>
  <sheetViews>
    <sheetView topLeftCell="D1" workbookViewId="0">
      <selection activeCell="U7" sqref="U7:V7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4.5703125" style="1" customWidth="1"/>
    <col min="6" max="6" width="3.85546875" style="1" bestFit="1"/>
    <col min="7" max="7" width="4.7109375" style="1" bestFit="1" customWidth="1"/>
    <col min="8" max="8" width="3.85546875" style="1" bestFit="1"/>
    <col min="9" max="10" width="3.7109375" style="1" bestFit="1" customWidth="1"/>
    <col min="11" max="11" width="3.85546875" style="1" bestFit="1"/>
    <col min="12" max="12" width="4.5703125" style="1" bestFit="1" customWidth="1"/>
    <col min="13" max="13" width="3.85546875" style="1" bestFit="1"/>
    <col min="14" max="14" width="4.7109375" style="1" bestFit="1" customWidth="1"/>
    <col min="15" max="15" width="3.85546875" style="1" bestFit="1"/>
    <col min="16" max="16" width="3.7109375" style="1" bestFit="1" customWidth="1"/>
    <col min="17" max="18" width="3.7109375" style="1" customWidth="1"/>
    <col min="19" max="19" width="9.42578125" style="1" bestFit="1" customWidth="1"/>
    <col min="20" max="20" width="8.5703125" style="1" bestFit="1" customWidth="1"/>
    <col min="21" max="21" width="18.5703125" style="1" bestFit="1" customWidth="1"/>
    <col min="22" max="22" width="5.85546875" style="1" bestFit="1" customWidth="1"/>
    <col min="23" max="23" width="14.28515625" style="1" bestFit="1" customWidth="1"/>
    <col min="24" max="24" width="6.7109375" style="1" bestFit="1" customWidth="1"/>
    <col min="25" max="16384" width="3.85546875" style="1"/>
  </cols>
  <sheetData>
    <row r="1" spans="1:24" ht="17.25" x14ac:dyDescent="0.25">
      <c r="A1" s="114" t="s">
        <v>18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</row>
    <row r="2" spans="1:24" ht="17.25" x14ac:dyDescent="0.3">
      <c r="A2" s="115" t="s">
        <v>616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</row>
    <row r="3" spans="1:24" ht="15.75" x14ac:dyDescent="0.25">
      <c r="A3" s="130" t="s">
        <v>0</v>
      </c>
      <c r="B3" s="130" t="s">
        <v>1</v>
      </c>
      <c r="C3" s="130" t="s">
        <v>2</v>
      </c>
      <c r="D3" s="130" t="s">
        <v>3</v>
      </c>
      <c r="E3" s="2" t="str">
        <f t="shared" ref="E3:R3" si="0">TEXT(E4,"ddd")</f>
        <v>Sun</v>
      </c>
      <c r="F3" s="2" t="str">
        <f t="shared" si="0"/>
        <v>Mon</v>
      </c>
      <c r="G3" s="2" t="str">
        <f t="shared" si="0"/>
        <v>Tue</v>
      </c>
      <c r="H3" s="2" t="str">
        <f t="shared" si="0"/>
        <v>Wed</v>
      </c>
      <c r="I3" s="2" t="str">
        <f t="shared" si="0"/>
        <v>Thu</v>
      </c>
      <c r="J3" s="2" t="str">
        <f t="shared" si="0"/>
        <v>Fri</v>
      </c>
      <c r="K3" s="2" t="str">
        <f t="shared" si="0"/>
        <v>Sat</v>
      </c>
      <c r="L3" s="2" t="str">
        <f t="shared" si="0"/>
        <v>Sun</v>
      </c>
      <c r="M3" s="2" t="str">
        <f t="shared" si="0"/>
        <v>Mon</v>
      </c>
      <c r="N3" s="2" t="str">
        <f t="shared" si="0"/>
        <v>Tue</v>
      </c>
      <c r="O3" s="2" t="str">
        <f t="shared" si="0"/>
        <v>Wed</v>
      </c>
      <c r="P3" s="2" t="str">
        <f t="shared" si="0"/>
        <v>Thu</v>
      </c>
      <c r="Q3" s="2" t="str">
        <f t="shared" si="0"/>
        <v>Fri</v>
      </c>
      <c r="R3" s="2" t="str">
        <f t="shared" si="0"/>
        <v>Sat</v>
      </c>
      <c r="S3" s="117" t="s">
        <v>4</v>
      </c>
      <c r="T3" s="117" t="s">
        <v>5</v>
      </c>
      <c r="U3" s="118" t="s">
        <v>127</v>
      </c>
      <c r="V3" s="119"/>
      <c r="W3" s="3"/>
      <c r="X3" s="3"/>
    </row>
    <row r="4" spans="1:24" ht="37.5" x14ac:dyDescent="0.25">
      <c r="A4" s="131"/>
      <c r="B4" s="131"/>
      <c r="C4" s="131"/>
      <c r="D4" s="131"/>
      <c r="E4" s="14">
        <v>45613</v>
      </c>
      <c r="F4" s="14">
        <v>45614</v>
      </c>
      <c r="G4" s="14">
        <v>45615</v>
      </c>
      <c r="H4" s="14">
        <v>45616</v>
      </c>
      <c r="I4" s="14">
        <v>45617</v>
      </c>
      <c r="J4" s="14">
        <v>45618</v>
      </c>
      <c r="K4" s="14">
        <v>45619</v>
      </c>
      <c r="L4" s="14">
        <v>45620</v>
      </c>
      <c r="M4" s="14">
        <v>45621</v>
      </c>
      <c r="N4" s="14">
        <v>45622</v>
      </c>
      <c r="O4" s="14">
        <v>45623</v>
      </c>
      <c r="P4" s="14">
        <v>45624</v>
      </c>
      <c r="Q4" s="14">
        <v>45625</v>
      </c>
      <c r="R4" s="14">
        <v>45626</v>
      </c>
      <c r="S4" s="117"/>
      <c r="T4" s="117"/>
      <c r="U4" s="5" t="s">
        <v>128</v>
      </c>
      <c r="V4" s="5">
        <f>SUM(V5:V8)</f>
        <v>14</v>
      </c>
      <c r="W4" s="3"/>
      <c r="X4" s="3"/>
    </row>
    <row r="5" spans="1:24" ht="15" customHeight="1" x14ac:dyDescent="0.25">
      <c r="A5" s="27">
        <v>1</v>
      </c>
      <c r="B5" s="30" t="s">
        <v>709</v>
      </c>
      <c r="C5" s="31" t="s">
        <v>710</v>
      </c>
      <c r="D5" s="26" t="s">
        <v>711</v>
      </c>
      <c r="E5" s="113" t="s">
        <v>553</v>
      </c>
      <c r="F5" s="8" t="s">
        <v>112</v>
      </c>
      <c r="G5" s="8" t="s">
        <v>112</v>
      </c>
      <c r="H5" s="8" t="s">
        <v>112</v>
      </c>
      <c r="I5" s="8" t="s">
        <v>112</v>
      </c>
      <c r="J5" s="8" t="s">
        <v>112</v>
      </c>
      <c r="K5" s="8" t="s">
        <v>111</v>
      </c>
      <c r="L5" s="113" t="s">
        <v>553</v>
      </c>
      <c r="M5" s="8" t="s">
        <v>111</v>
      </c>
      <c r="N5" s="8" t="s">
        <v>111</v>
      </c>
      <c r="O5" s="8" t="s">
        <v>112</v>
      </c>
      <c r="P5" s="8" t="s">
        <v>112</v>
      </c>
      <c r="Q5" s="8"/>
      <c r="R5" s="8" t="s">
        <v>112</v>
      </c>
      <c r="S5" s="5">
        <f>COUNTIF(E5:R5,"P")</f>
        <v>8</v>
      </c>
      <c r="T5" s="5">
        <f>COUNTIF(E5:R5,"A")</f>
        <v>3</v>
      </c>
      <c r="U5" s="5" t="s">
        <v>7</v>
      </c>
      <c r="V5" s="10">
        <v>12</v>
      </c>
      <c r="W5" s="11"/>
      <c r="X5" s="3"/>
    </row>
    <row r="6" spans="1:24" x14ac:dyDescent="0.25">
      <c r="A6" s="10">
        <v>2</v>
      </c>
      <c r="B6" s="30" t="s">
        <v>544</v>
      </c>
      <c r="C6" s="31" t="s">
        <v>445</v>
      </c>
      <c r="D6" s="26" t="s">
        <v>711</v>
      </c>
      <c r="E6" s="113"/>
      <c r="F6" s="8" t="s">
        <v>111</v>
      </c>
      <c r="G6" s="8" t="s">
        <v>111</v>
      </c>
      <c r="H6" s="8" t="s">
        <v>111</v>
      </c>
      <c r="I6" s="8" t="s">
        <v>111</v>
      </c>
      <c r="J6" s="8" t="s">
        <v>111</v>
      </c>
      <c r="K6" s="8" t="s">
        <v>111</v>
      </c>
      <c r="L6" s="113"/>
      <c r="M6" s="8" t="s">
        <v>112</v>
      </c>
      <c r="N6" s="8" t="s">
        <v>112</v>
      </c>
      <c r="O6" s="8" t="s">
        <v>111</v>
      </c>
      <c r="P6" s="8" t="s">
        <v>112</v>
      </c>
      <c r="Q6" s="8"/>
      <c r="R6" s="8" t="s">
        <v>112</v>
      </c>
      <c r="S6" s="5">
        <f>COUNTIF(E6:R6,"P")</f>
        <v>4</v>
      </c>
      <c r="T6" s="5">
        <f>COUNTIF(E6:R6,"A")</f>
        <v>7</v>
      </c>
      <c r="U6" s="5" t="s">
        <v>8</v>
      </c>
      <c r="V6" s="10">
        <v>2</v>
      </c>
      <c r="W6" s="3"/>
      <c r="X6" s="3"/>
    </row>
    <row r="7" spans="1:24" x14ac:dyDescent="0.25">
      <c r="A7" s="27">
        <v>3</v>
      </c>
      <c r="B7" s="30" t="s">
        <v>132</v>
      </c>
      <c r="C7" s="31" t="s">
        <v>175</v>
      </c>
      <c r="D7" s="26" t="s">
        <v>711</v>
      </c>
      <c r="E7" s="113"/>
      <c r="F7" s="8" t="s">
        <v>112</v>
      </c>
      <c r="G7" s="8" t="s">
        <v>112</v>
      </c>
      <c r="H7" s="8" t="s">
        <v>112</v>
      </c>
      <c r="I7" s="8" t="s">
        <v>112</v>
      </c>
      <c r="J7" s="8" t="s">
        <v>112</v>
      </c>
      <c r="K7" s="8" t="s">
        <v>112</v>
      </c>
      <c r="L7" s="113"/>
      <c r="M7" s="8" t="s">
        <v>112</v>
      </c>
      <c r="N7" s="8" t="s">
        <v>112</v>
      </c>
      <c r="O7" s="8" t="s">
        <v>112</v>
      </c>
      <c r="P7" s="8" t="s">
        <v>112</v>
      </c>
      <c r="Q7" s="8"/>
      <c r="R7" s="8" t="s">
        <v>112</v>
      </c>
      <c r="S7" s="5">
        <f>COUNTIF(E7:R7,"P")</f>
        <v>11</v>
      </c>
      <c r="T7" s="5">
        <f>COUNTIF(E7:R7,"A")</f>
        <v>0</v>
      </c>
      <c r="U7" s="5"/>
      <c r="V7" s="10"/>
      <c r="W7" s="3"/>
      <c r="X7" s="3"/>
    </row>
    <row r="8" spans="1:24" x14ac:dyDescent="0.25">
      <c r="A8" s="10">
        <v>4</v>
      </c>
      <c r="B8" s="30" t="s">
        <v>712</v>
      </c>
      <c r="C8" s="31" t="s">
        <v>101</v>
      </c>
      <c r="D8" s="26" t="s">
        <v>711</v>
      </c>
      <c r="E8" s="113"/>
      <c r="F8" s="8" t="s">
        <v>112</v>
      </c>
      <c r="G8" s="8" t="s">
        <v>112</v>
      </c>
      <c r="H8" s="8" t="s">
        <v>112</v>
      </c>
      <c r="I8" s="8" t="s">
        <v>112</v>
      </c>
      <c r="J8" s="8" t="s">
        <v>112</v>
      </c>
      <c r="K8" s="8" t="s">
        <v>112</v>
      </c>
      <c r="L8" s="113"/>
      <c r="M8" s="8" t="s">
        <v>112</v>
      </c>
      <c r="N8" s="8" t="s">
        <v>112</v>
      </c>
      <c r="O8" s="8" t="s">
        <v>112</v>
      </c>
      <c r="P8" s="8" t="s">
        <v>112</v>
      </c>
      <c r="Q8" s="8"/>
      <c r="R8" s="8" t="s">
        <v>112</v>
      </c>
      <c r="S8" s="5">
        <f>COUNTIF(E8:R8,"P")</f>
        <v>11</v>
      </c>
      <c r="T8" s="5">
        <f>COUNTIF(E8:R8,"A")</f>
        <v>0</v>
      </c>
      <c r="U8" s="5"/>
      <c r="V8" s="10"/>
      <c r="W8"/>
      <c r="X8"/>
    </row>
    <row r="9" spans="1:24" x14ac:dyDescent="0.25">
      <c r="A9" s="27">
        <v>5</v>
      </c>
      <c r="B9" s="30" t="s">
        <v>593</v>
      </c>
      <c r="C9" s="31" t="s">
        <v>183</v>
      </c>
      <c r="D9" s="26" t="s">
        <v>711</v>
      </c>
      <c r="E9" s="113"/>
      <c r="F9" s="8" t="s">
        <v>112</v>
      </c>
      <c r="G9" s="8" t="s">
        <v>112</v>
      </c>
      <c r="H9" s="8" t="s">
        <v>112</v>
      </c>
      <c r="I9" s="8" t="s">
        <v>112</v>
      </c>
      <c r="J9" s="8" t="s">
        <v>111</v>
      </c>
      <c r="K9" s="8" t="s">
        <v>111</v>
      </c>
      <c r="L9" s="113"/>
      <c r="M9" s="8" t="s">
        <v>111</v>
      </c>
      <c r="N9" s="8" t="s">
        <v>112</v>
      </c>
      <c r="O9" s="8" t="s">
        <v>112</v>
      </c>
      <c r="P9" s="8" t="s">
        <v>112</v>
      </c>
      <c r="Q9" s="8"/>
      <c r="R9" s="8" t="s">
        <v>112</v>
      </c>
      <c r="S9" s="5">
        <f>COUNTIF(E9:R9,"P")</f>
        <v>8</v>
      </c>
      <c r="T9" s="5">
        <f>COUNTIF(E9:R9,"A")</f>
        <v>3</v>
      </c>
      <c r="U9" s="5"/>
      <c r="V9" s="10"/>
    </row>
    <row r="10" spans="1:24" x14ac:dyDescent="0.25">
      <c r="A10" s="10">
        <v>6</v>
      </c>
      <c r="B10" s="30" t="s">
        <v>713</v>
      </c>
      <c r="C10" s="31" t="s">
        <v>710</v>
      </c>
      <c r="D10" s="26" t="s">
        <v>711</v>
      </c>
      <c r="E10" s="113"/>
      <c r="F10" s="8" t="s">
        <v>111</v>
      </c>
      <c r="G10" s="8" t="s">
        <v>111</v>
      </c>
      <c r="H10" s="8" t="s">
        <v>112</v>
      </c>
      <c r="I10" s="8" t="s">
        <v>112</v>
      </c>
      <c r="J10" s="8" t="s">
        <v>112</v>
      </c>
      <c r="K10" s="8" t="s">
        <v>111</v>
      </c>
      <c r="L10" s="113"/>
      <c r="M10" s="8" t="s">
        <v>112</v>
      </c>
      <c r="N10" s="8" t="s">
        <v>112</v>
      </c>
      <c r="O10" s="8" t="s">
        <v>112</v>
      </c>
      <c r="P10" s="8" t="s">
        <v>112</v>
      </c>
      <c r="Q10" s="8"/>
      <c r="R10" s="8" t="s">
        <v>111</v>
      </c>
      <c r="S10" s="5">
        <f>COUNTIF(E10:R10,"P")</f>
        <v>7</v>
      </c>
      <c r="T10" s="5">
        <f>COUNTIF(E10:R10,"A")</f>
        <v>4</v>
      </c>
    </row>
    <row r="11" spans="1:24" ht="15.75" x14ac:dyDescent="0.25">
      <c r="A11" s="27">
        <v>7</v>
      </c>
      <c r="B11" s="30" t="s">
        <v>714</v>
      </c>
      <c r="C11" s="31" t="s">
        <v>577</v>
      </c>
      <c r="D11" s="26" t="s">
        <v>711</v>
      </c>
      <c r="E11" s="113"/>
      <c r="F11" s="8" t="s">
        <v>112</v>
      </c>
      <c r="G11" s="8" t="s">
        <v>112</v>
      </c>
      <c r="H11" s="8" t="s">
        <v>112</v>
      </c>
      <c r="I11" s="8" t="s">
        <v>112</v>
      </c>
      <c r="J11" s="8" t="s">
        <v>112</v>
      </c>
      <c r="K11" s="8" t="s">
        <v>112</v>
      </c>
      <c r="L11" s="113"/>
      <c r="M11" s="8" t="s">
        <v>112</v>
      </c>
      <c r="N11" s="8" t="s">
        <v>112</v>
      </c>
      <c r="O11" s="8" t="s">
        <v>111</v>
      </c>
      <c r="P11" s="8" t="s">
        <v>112</v>
      </c>
      <c r="Q11" s="8"/>
      <c r="R11" s="8" t="s">
        <v>112</v>
      </c>
      <c r="S11" s="5">
        <f>COUNTIF(E11:R11,"P")</f>
        <v>10</v>
      </c>
      <c r="T11" s="5">
        <f>COUNTIF(E11:R11,"A")</f>
        <v>1</v>
      </c>
      <c r="U11" s="118" t="s">
        <v>9</v>
      </c>
      <c r="V11" s="119"/>
      <c r="W11" s="119"/>
      <c r="X11" s="120"/>
    </row>
    <row r="12" spans="1:24" x14ac:dyDescent="0.25">
      <c r="A12" s="10">
        <v>8</v>
      </c>
      <c r="B12" s="30" t="s">
        <v>251</v>
      </c>
      <c r="C12" s="31" t="s">
        <v>715</v>
      </c>
      <c r="D12" s="26" t="s">
        <v>711</v>
      </c>
      <c r="E12" s="113"/>
      <c r="F12" s="8" t="s">
        <v>112</v>
      </c>
      <c r="G12" s="8" t="s">
        <v>112</v>
      </c>
      <c r="H12" s="8" t="s">
        <v>112</v>
      </c>
      <c r="I12" s="8" t="s">
        <v>112</v>
      </c>
      <c r="J12" s="8" t="s">
        <v>112</v>
      </c>
      <c r="K12" s="8" t="s">
        <v>112</v>
      </c>
      <c r="L12" s="113"/>
      <c r="M12" s="8" t="s">
        <v>112</v>
      </c>
      <c r="N12" s="8" t="s">
        <v>112</v>
      </c>
      <c r="O12" s="8" t="s">
        <v>111</v>
      </c>
      <c r="P12" s="8" t="s">
        <v>112</v>
      </c>
      <c r="Q12" s="8"/>
      <c r="R12" s="8" t="s">
        <v>112</v>
      </c>
      <c r="S12" s="5">
        <f>COUNTIF(E12:R12,"P")</f>
        <v>10</v>
      </c>
      <c r="T12" s="5">
        <f>COUNTIF(E12:R12,"A")</f>
        <v>1</v>
      </c>
      <c r="U12" s="5" t="s">
        <v>10</v>
      </c>
      <c r="V12" s="5" t="s">
        <v>11</v>
      </c>
      <c r="W12" s="5" t="s">
        <v>12</v>
      </c>
      <c r="X12" s="5" t="s">
        <v>13</v>
      </c>
    </row>
    <row r="13" spans="1:24" x14ac:dyDescent="0.25">
      <c r="A13" s="27">
        <v>9</v>
      </c>
      <c r="B13" s="30" t="s">
        <v>716</v>
      </c>
      <c r="C13" s="31" t="s">
        <v>317</v>
      </c>
      <c r="D13" s="26" t="s">
        <v>711</v>
      </c>
      <c r="E13" s="113"/>
      <c r="F13" s="8" t="s">
        <v>112</v>
      </c>
      <c r="G13" s="8" t="s">
        <v>112</v>
      </c>
      <c r="H13" s="8" t="s">
        <v>112</v>
      </c>
      <c r="I13" s="8" t="s">
        <v>112</v>
      </c>
      <c r="J13" s="8" t="s">
        <v>112</v>
      </c>
      <c r="K13" s="8" t="s">
        <v>112</v>
      </c>
      <c r="L13" s="113"/>
      <c r="M13" s="8" t="s">
        <v>112</v>
      </c>
      <c r="N13" s="8" t="s">
        <v>112</v>
      </c>
      <c r="O13" s="8" t="s">
        <v>112</v>
      </c>
      <c r="P13" s="8" t="s">
        <v>112</v>
      </c>
      <c r="Q13" s="8"/>
      <c r="R13" s="8" t="s">
        <v>112</v>
      </c>
      <c r="S13" s="5">
        <f>COUNTIF(E13:R13,"P")</f>
        <v>11</v>
      </c>
      <c r="T13" s="5">
        <f>COUNTIF(E13:R13,"A")</f>
        <v>0</v>
      </c>
      <c r="U13" s="5" t="s">
        <v>14</v>
      </c>
      <c r="V13" s="10">
        <f>19*$V$5</f>
        <v>228</v>
      </c>
      <c r="W13" s="10">
        <f>23*$V$5</f>
        <v>276</v>
      </c>
      <c r="X13" s="10">
        <f>SUM(V13:W13)</f>
        <v>504</v>
      </c>
    </row>
    <row r="14" spans="1:24" x14ac:dyDescent="0.25">
      <c r="A14" s="10">
        <v>10</v>
      </c>
      <c r="B14" s="30" t="s">
        <v>717</v>
      </c>
      <c r="C14" s="31" t="s">
        <v>97</v>
      </c>
      <c r="D14" s="26" t="s">
        <v>711</v>
      </c>
      <c r="E14" s="113"/>
      <c r="F14" s="8" t="s">
        <v>111</v>
      </c>
      <c r="G14" s="8" t="s">
        <v>112</v>
      </c>
      <c r="H14" s="8" t="s">
        <v>112</v>
      </c>
      <c r="I14" s="8" t="s">
        <v>112</v>
      </c>
      <c r="J14" s="8" t="s">
        <v>112</v>
      </c>
      <c r="K14" s="8" t="s">
        <v>112</v>
      </c>
      <c r="L14" s="113"/>
      <c r="M14" s="8" t="s">
        <v>111</v>
      </c>
      <c r="N14" s="8" t="s">
        <v>111</v>
      </c>
      <c r="O14" s="8" t="s">
        <v>112</v>
      </c>
      <c r="P14" s="8" t="s">
        <v>112</v>
      </c>
      <c r="Q14" s="8"/>
      <c r="R14" s="8" t="s">
        <v>111</v>
      </c>
      <c r="S14" s="5">
        <f>COUNTIF(E14:R14,"P")</f>
        <v>7</v>
      </c>
      <c r="T14" s="5">
        <f>COUNTIF(E14:R14,"A")</f>
        <v>4</v>
      </c>
      <c r="U14" s="5" t="s">
        <v>15</v>
      </c>
      <c r="V14" s="10">
        <f>SUM(S28:S46)</f>
        <v>145</v>
      </c>
      <c r="W14" s="10">
        <f>SUM(S5:S27)</f>
        <v>219</v>
      </c>
      <c r="X14" s="10">
        <f>V14+W14</f>
        <v>364</v>
      </c>
    </row>
    <row r="15" spans="1:24" x14ac:dyDescent="0.25">
      <c r="A15" s="27">
        <v>11</v>
      </c>
      <c r="B15" s="30" t="s">
        <v>718</v>
      </c>
      <c r="C15" s="31" t="s">
        <v>350</v>
      </c>
      <c r="D15" s="26" t="s">
        <v>711</v>
      </c>
      <c r="E15" s="113"/>
      <c r="F15" s="8" t="s">
        <v>112</v>
      </c>
      <c r="G15" s="8" t="s">
        <v>112</v>
      </c>
      <c r="H15" s="8" t="s">
        <v>112</v>
      </c>
      <c r="I15" s="8" t="s">
        <v>112</v>
      </c>
      <c r="J15" s="8" t="s">
        <v>112</v>
      </c>
      <c r="K15" s="8" t="s">
        <v>112</v>
      </c>
      <c r="L15" s="113"/>
      <c r="M15" s="8" t="s">
        <v>112</v>
      </c>
      <c r="N15" s="8" t="s">
        <v>112</v>
      </c>
      <c r="O15" s="8" t="s">
        <v>112</v>
      </c>
      <c r="P15" s="8" t="s">
        <v>112</v>
      </c>
      <c r="Q15" s="8"/>
      <c r="R15" s="8" t="s">
        <v>112</v>
      </c>
      <c r="S15" s="5">
        <f>COUNTIF(E15:R15,"P")</f>
        <v>11</v>
      </c>
      <c r="T15" s="5">
        <f>COUNTIF(E15:R15,"A")</f>
        <v>0</v>
      </c>
      <c r="U15" s="5" t="s">
        <v>16</v>
      </c>
      <c r="V15" s="13">
        <f>V14/V13</f>
        <v>0.63596491228070173</v>
      </c>
      <c r="W15" s="13">
        <f>W14/W13</f>
        <v>0.79347826086956519</v>
      </c>
      <c r="X15" s="13">
        <f>X14/X13</f>
        <v>0.72222222222222221</v>
      </c>
    </row>
    <row r="16" spans="1:24" x14ac:dyDescent="0.25">
      <c r="A16" s="10">
        <v>12</v>
      </c>
      <c r="B16" s="30" t="s">
        <v>659</v>
      </c>
      <c r="C16" s="31" t="s">
        <v>719</v>
      </c>
      <c r="D16" s="26" t="s">
        <v>711</v>
      </c>
      <c r="E16" s="113"/>
      <c r="F16" s="8" t="s">
        <v>111</v>
      </c>
      <c r="G16" s="8" t="s">
        <v>112</v>
      </c>
      <c r="H16" s="8" t="s">
        <v>112</v>
      </c>
      <c r="I16" s="8" t="s">
        <v>112</v>
      </c>
      <c r="J16" s="8" t="s">
        <v>112</v>
      </c>
      <c r="K16" s="8" t="s">
        <v>112</v>
      </c>
      <c r="L16" s="113"/>
      <c r="M16" s="8" t="s">
        <v>112</v>
      </c>
      <c r="N16" s="8" t="s">
        <v>112</v>
      </c>
      <c r="O16" s="8" t="s">
        <v>112</v>
      </c>
      <c r="P16" s="8" t="s">
        <v>112</v>
      </c>
      <c r="Q16" s="8"/>
      <c r="R16" s="8" t="s">
        <v>112</v>
      </c>
      <c r="S16" s="5">
        <f>COUNTIF(E16:R16,"P")</f>
        <v>10</v>
      </c>
      <c r="T16" s="5">
        <f>COUNTIF(E16:R16,"A")</f>
        <v>1</v>
      </c>
      <c r="U16"/>
      <c r="V16"/>
      <c r="W16"/>
      <c r="X16"/>
    </row>
    <row r="17" spans="1:24" x14ac:dyDescent="0.25">
      <c r="A17" s="27">
        <v>13</v>
      </c>
      <c r="B17" s="30" t="s">
        <v>720</v>
      </c>
      <c r="C17" s="31" t="s">
        <v>721</v>
      </c>
      <c r="D17" s="26" t="s">
        <v>711</v>
      </c>
      <c r="E17" s="113"/>
      <c r="F17" s="8" t="s">
        <v>112</v>
      </c>
      <c r="G17" s="8" t="s">
        <v>112</v>
      </c>
      <c r="H17" s="8" t="s">
        <v>112</v>
      </c>
      <c r="I17" s="8" t="s">
        <v>112</v>
      </c>
      <c r="J17" s="8" t="s">
        <v>112</v>
      </c>
      <c r="K17" s="8" t="s">
        <v>112</v>
      </c>
      <c r="L17" s="113"/>
      <c r="M17" s="8" t="s">
        <v>112</v>
      </c>
      <c r="N17" s="8" t="s">
        <v>112</v>
      </c>
      <c r="O17" s="8" t="s">
        <v>112</v>
      </c>
      <c r="P17" s="8" t="s">
        <v>112</v>
      </c>
      <c r="Q17" s="8"/>
      <c r="R17" s="8" t="s">
        <v>112</v>
      </c>
      <c r="S17" s="5">
        <f>COUNTIF(E17:R17,"P")</f>
        <v>11</v>
      </c>
      <c r="T17" s="5">
        <f>COUNTIF(E17:R17,"A")</f>
        <v>0</v>
      </c>
      <c r="U17"/>
      <c r="V17"/>
      <c r="W17"/>
      <c r="X17"/>
    </row>
    <row r="18" spans="1:24" x14ac:dyDescent="0.25">
      <c r="A18" s="10">
        <v>14</v>
      </c>
      <c r="B18" s="30" t="s">
        <v>722</v>
      </c>
      <c r="C18" s="31" t="s">
        <v>721</v>
      </c>
      <c r="D18" s="26" t="s">
        <v>711</v>
      </c>
      <c r="E18" s="113"/>
      <c r="F18" s="8" t="s">
        <v>112</v>
      </c>
      <c r="G18" s="8" t="s">
        <v>112</v>
      </c>
      <c r="H18" s="8" t="s">
        <v>112</v>
      </c>
      <c r="I18" s="8" t="s">
        <v>112</v>
      </c>
      <c r="J18" s="8" t="s">
        <v>112</v>
      </c>
      <c r="K18" s="8" t="s">
        <v>112</v>
      </c>
      <c r="L18" s="113"/>
      <c r="M18" s="8" t="s">
        <v>112</v>
      </c>
      <c r="N18" s="8" t="s">
        <v>112</v>
      </c>
      <c r="O18" s="8" t="s">
        <v>112</v>
      </c>
      <c r="P18" s="8" t="s">
        <v>112</v>
      </c>
      <c r="Q18" s="8"/>
      <c r="R18" s="8" t="s">
        <v>112</v>
      </c>
      <c r="S18" s="5">
        <f>COUNTIF(E18:R18,"P")</f>
        <v>11</v>
      </c>
      <c r="T18" s="5">
        <f>COUNTIF(E18:R18,"A")</f>
        <v>0</v>
      </c>
      <c r="U18"/>
      <c r="V18"/>
      <c r="W18"/>
      <c r="X18"/>
    </row>
    <row r="19" spans="1:24" ht="15.75" x14ac:dyDescent="0.25">
      <c r="A19" s="27">
        <v>15</v>
      </c>
      <c r="B19" s="30" t="s">
        <v>723</v>
      </c>
      <c r="C19" s="31" t="s">
        <v>724</v>
      </c>
      <c r="D19" s="26" t="s">
        <v>711</v>
      </c>
      <c r="E19" s="113"/>
      <c r="F19" s="8" t="s">
        <v>112</v>
      </c>
      <c r="G19" s="8" t="s">
        <v>112</v>
      </c>
      <c r="H19" s="8" t="s">
        <v>111</v>
      </c>
      <c r="I19" s="8" t="s">
        <v>112</v>
      </c>
      <c r="J19" s="8" t="s">
        <v>112</v>
      </c>
      <c r="K19" s="8" t="s">
        <v>112</v>
      </c>
      <c r="L19" s="113"/>
      <c r="M19" s="8" t="s">
        <v>112</v>
      </c>
      <c r="N19" s="8" t="s">
        <v>112</v>
      </c>
      <c r="O19" s="8" t="s">
        <v>112</v>
      </c>
      <c r="P19" s="8" t="s">
        <v>112</v>
      </c>
      <c r="Q19" s="8"/>
      <c r="R19" s="8" t="s">
        <v>112</v>
      </c>
      <c r="S19" s="5">
        <f>COUNTIF(E19:R19,"P")</f>
        <v>10</v>
      </c>
      <c r="T19" s="5">
        <f>COUNTIF(E19:R19,"A")</f>
        <v>1</v>
      </c>
      <c r="U19" s="118" t="s">
        <v>129</v>
      </c>
      <c r="V19" s="119"/>
      <c r="W19" s="119"/>
      <c r="X19" s="120"/>
    </row>
    <row r="20" spans="1:24" x14ac:dyDescent="0.25">
      <c r="A20" s="10">
        <v>16</v>
      </c>
      <c r="B20" s="30" t="s">
        <v>593</v>
      </c>
      <c r="C20" s="31" t="s">
        <v>725</v>
      </c>
      <c r="D20" s="26" t="s">
        <v>711</v>
      </c>
      <c r="E20" s="113"/>
      <c r="F20" s="8" t="s">
        <v>112</v>
      </c>
      <c r="G20" s="8" t="s">
        <v>112</v>
      </c>
      <c r="H20" s="8" t="s">
        <v>112</v>
      </c>
      <c r="I20" s="8" t="s">
        <v>112</v>
      </c>
      <c r="J20" s="8" t="s">
        <v>112</v>
      </c>
      <c r="K20" s="8" t="s">
        <v>112</v>
      </c>
      <c r="L20" s="113"/>
      <c r="M20" s="8" t="s">
        <v>112</v>
      </c>
      <c r="N20" s="8" t="s">
        <v>112</v>
      </c>
      <c r="O20" s="8" t="s">
        <v>112</v>
      </c>
      <c r="P20" s="8" t="s">
        <v>112</v>
      </c>
      <c r="Q20" s="8"/>
      <c r="R20" s="8" t="s">
        <v>112</v>
      </c>
      <c r="S20" s="5">
        <f>COUNTIF(E20:R20,"P")</f>
        <v>11</v>
      </c>
      <c r="T20" s="5">
        <f>COUNTIF(E20:R20,"A")</f>
        <v>0</v>
      </c>
      <c r="U20" s="5" t="s">
        <v>10</v>
      </c>
      <c r="V20" s="5" t="s">
        <v>11</v>
      </c>
      <c r="W20" s="5" t="s">
        <v>12</v>
      </c>
      <c r="X20" s="5" t="s">
        <v>13</v>
      </c>
    </row>
    <row r="21" spans="1:24" x14ac:dyDescent="0.25">
      <c r="A21" s="27">
        <v>17</v>
      </c>
      <c r="B21" s="30" t="s">
        <v>726</v>
      </c>
      <c r="C21" s="31" t="s">
        <v>577</v>
      </c>
      <c r="D21" s="26" t="s">
        <v>711</v>
      </c>
      <c r="E21" s="113"/>
      <c r="F21" s="8" t="s">
        <v>112</v>
      </c>
      <c r="G21" s="8" t="s">
        <v>112</v>
      </c>
      <c r="H21" s="8" t="s">
        <v>112</v>
      </c>
      <c r="I21" s="8" t="s">
        <v>112</v>
      </c>
      <c r="J21" s="8" t="s">
        <v>112</v>
      </c>
      <c r="K21" s="8" t="s">
        <v>112</v>
      </c>
      <c r="L21" s="113"/>
      <c r="M21" s="8" t="s">
        <v>112</v>
      </c>
      <c r="N21" s="8" t="s">
        <v>112</v>
      </c>
      <c r="O21" s="8" t="s">
        <v>112</v>
      </c>
      <c r="P21" s="8" t="s">
        <v>112</v>
      </c>
      <c r="Q21" s="8"/>
      <c r="R21" s="8" t="s">
        <v>112</v>
      </c>
      <c r="S21" s="5">
        <f>COUNTIF(E21:R21,"P")</f>
        <v>11</v>
      </c>
      <c r="T21" s="5">
        <f>COUNTIF(E21:R21,"A")</f>
        <v>0</v>
      </c>
      <c r="U21" s="5" t="s">
        <v>14</v>
      </c>
      <c r="V21" s="10">
        <f>19*$V$5</f>
        <v>228</v>
      </c>
      <c r="W21" s="10">
        <f>23*$V$5</f>
        <v>276</v>
      </c>
      <c r="X21" s="10">
        <f>V21+W21</f>
        <v>504</v>
      </c>
    </row>
    <row r="22" spans="1:24" x14ac:dyDescent="0.25">
      <c r="A22" s="10">
        <v>18</v>
      </c>
      <c r="B22" s="30" t="s">
        <v>727</v>
      </c>
      <c r="C22" s="31" t="s">
        <v>728</v>
      </c>
      <c r="D22" s="26" t="s">
        <v>711</v>
      </c>
      <c r="E22" s="113"/>
      <c r="F22" s="8" t="s">
        <v>112</v>
      </c>
      <c r="G22" s="8" t="s">
        <v>112</v>
      </c>
      <c r="H22" s="8" t="s">
        <v>112</v>
      </c>
      <c r="I22" s="8" t="s">
        <v>112</v>
      </c>
      <c r="J22" s="8" t="s">
        <v>112</v>
      </c>
      <c r="K22" s="8" t="s">
        <v>112</v>
      </c>
      <c r="L22" s="113"/>
      <c r="M22" s="8" t="s">
        <v>112</v>
      </c>
      <c r="N22" s="8" t="s">
        <v>112</v>
      </c>
      <c r="O22" s="8" t="s">
        <v>112</v>
      </c>
      <c r="P22" s="8" t="s">
        <v>112</v>
      </c>
      <c r="Q22" s="8"/>
      <c r="R22" s="8" t="s">
        <v>112</v>
      </c>
      <c r="S22" s="5">
        <f>COUNTIF(E22:R22,"P")</f>
        <v>11</v>
      </c>
      <c r="T22" s="5">
        <f>COUNTIF(E22:R22,"A")</f>
        <v>0</v>
      </c>
      <c r="U22" s="5" t="s">
        <v>17</v>
      </c>
      <c r="V22" s="10">
        <f>V21-V14</f>
        <v>83</v>
      </c>
      <c r="W22" s="10">
        <f>W21-W14</f>
        <v>57</v>
      </c>
      <c r="X22" s="10">
        <f>V22+W22</f>
        <v>140</v>
      </c>
    </row>
    <row r="23" spans="1:24" x14ac:dyDescent="0.25">
      <c r="A23" s="27">
        <v>19</v>
      </c>
      <c r="B23" s="30" t="s">
        <v>729</v>
      </c>
      <c r="C23" s="31" t="s">
        <v>730</v>
      </c>
      <c r="D23" s="26" t="s">
        <v>711</v>
      </c>
      <c r="E23" s="113"/>
      <c r="F23" s="8" t="s">
        <v>112</v>
      </c>
      <c r="G23" s="8" t="s">
        <v>112</v>
      </c>
      <c r="H23" s="8" t="s">
        <v>112</v>
      </c>
      <c r="I23" s="8" t="s">
        <v>112</v>
      </c>
      <c r="J23" s="8" t="s">
        <v>112</v>
      </c>
      <c r="K23" s="8" t="s">
        <v>112</v>
      </c>
      <c r="L23" s="113"/>
      <c r="M23" s="8" t="s">
        <v>112</v>
      </c>
      <c r="N23" s="8" t="s">
        <v>111</v>
      </c>
      <c r="O23" s="8" t="s">
        <v>112</v>
      </c>
      <c r="P23" s="8" t="s">
        <v>112</v>
      </c>
      <c r="Q23" s="8"/>
      <c r="R23" s="8" t="s">
        <v>112</v>
      </c>
      <c r="S23" s="5">
        <f>COUNTIF(E23:R23,"P")</f>
        <v>10</v>
      </c>
      <c r="T23" s="5">
        <f>COUNTIF(E23:R23,"A")</f>
        <v>1</v>
      </c>
      <c r="U23" s="5" t="s">
        <v>16</v>
      </c>
      <c r="V23" s="13">
        <f>V22/V21</f>
        <v>0.36403508771929827</v>
      </c>
      <c r="W23" s="13">
        <f>W22/W21</f>
        <v>0.20652173913043478</v>
      </c>
      <c r="X23" s="13">
        <f>X22/X21</f>
        <v>0.27777777777777779</v>
      </c>
    </row>
    <row r="24" spans="1:24" x14ac:dyDescent="0.25">
      <c r="A24" s="10">
        <v>20</v>
      </c>
      <c r="B24" s="30" t="s">
        <v>731</v>
      </c>
      <c r="C24" s="31" t="s">
        <v>732</v>
      </c>
      <c r="D24" s="26" t="s">
        <v>711</v>
      </c>
      <c r="E24" s="113"/>
      <c r="F24" s="8" t="s">
        <v>112</v>
      </c>
      <c r="G24" s="8" t="s">
        <v>112</v>
      </c>
      <c r="H24" s="8" t="s">
        <v>112</v>
      </c>
      <c r="I24" s="8" t="s">
        <v>112</v>
      </c>
      <c r="J24" s="8" t="s">
        <v>112</v>
      </c>
      <c r="K24" s="8" t="s">
        <v>112</v>
      </c>
      <c r="L24" s="113"/>
      <c r="M24" s="8" t="s">
        <v>111</v>
      </c>
      <c r="N24" s="8" t="s">
        <v>112</v>
      </c>
      <c r="O24" s="8" t="s">
        <v>112</v>
      </c>
      <c r="P24" s="8" t="s">
        <v>112</v>
      </c>
      <c r="Q24" s="8"/>
      <c r="R24" s="8" t="s">
        <v>111</v>
      </c>
      <c r="S24" s="5">
        <f>COUNTIF(E24:R24,"P")</f>
        <v>9</v>
      </c>
      <c r="T24" s="5">
        <f>COUNTIF(E24:R24,"A")</f>
        <v>2</v>
      </c>
    </row>
    <row r="25" spans="1:24" x14ac:dyDescent="0.25">
      <c r="A25" s="27">
        <v>21</v>
      </c>
      <c r="B25" s="30" t="s">
        <v>733</v>
      </c>
      <c r="C25" s="31" t="s">
        <v>734</v>
      </c>
      <c r="D25" s="26" t="s">
        <v>711</v>
      </c>
      <c r="E25" s="113"/>
      <c r="F25" s="8" t="s">
        <v>112</v>
      </c>
      <c r="G25" s="8" t="s">
        <v>112</v>
      </c>
      <c r="H25" s="8" t="s">
        <v>112</v>
      </c>
      <c r="I25" s="8" t="s">
        <v>112</v>
      </c>
      <c r="J25" s="8" t="s">
        <v>111</v>
      </c>
      <c r="K25" s="8" t="s">
        <v>112</v>
      </c>
      <c r="L25" s="113"/>
      <c r="M25" s="8" t="s">
        <v>112</v>
      </c>
      <c r="N25" s="8" t="s">
        <v>112</v>
      </c>
      <c r="O25" s="8" t="s">
        <v>112</v>
      </c>
      <c r="P25" s="8" t="s">
        <v>112</v>
      </c>
      <c r="Q25" s="8"/>
      <c r="R25" s="8" t="s">
        <v>112</v>
      </c>
      <c r="S25" s="5">
        <f>COUNTIF(E25:R25,"P")</f>
        <v>10</v>
      </c>
      <c r="T25" s="5">
        <f>COUNTIF(E25:R25,"A")</f>
        <v>1</v>
      </c>
    </row>
    <row r="26" spans="1:24" x14ac:dyDescent="0.25">
      <c r="A26" s="10">
        <v>22</v>
      </c>
      <c r="B26" s="30" t="s">
        <v>731</v>
      </c>
      <c r="C26" s="30" t="s">
        <v>325</v>
      </c>
      <c r="D26" s="26" t="s">
        <v>711</v>
      </c>
      <c r="E26" s="113"/>
      <c r="F26" s="8" t="s">
        <v>112</v>
      </c>
      <c r="G26" s="8" t="s">
        <v>112</v>
      </c>
      <c r="H26" s="8" t="s">
        <v>112</v>
      </c>
      <c r="I26" s="8" t="s">
        <v>112</v>
      </c>
      <c r="J26" s="8" t="s">
        <v>112</v>
      </c>
      <c r="K26" s="8" t="s">
        <v>112</v>
      </c>
      <c r="L26" s="113"/>
      <c r="M26" s="8" t="s">
        <v>112</v>
      </c>
      <c r="N26" s="8" t="s">
        <v>111</v>
      </c>
      <c r="O26" s="8" t="s">
        <v>112</v>
      </c>
      <c r="P26" s="8" t="s">
        <v>112</v>
      </c>
      <c r="Q26" s="8"/>
      <c r="R26" s="8" t="s">
        <v>112</v>
      </c>
      <c r="S26" s="5">
        <f>COUNTIF(E26:R26,"P")</f>
        <v>10</v>
      </c>
      <c r="T26" s="5">
        <f>COUNTIF(E26:R26,"A")</f>
        <v>1</v>
      </c>
    </row>
    <row r="27" spans="1:24" x14ac:dyDescent="0.25">
      <c r="A27" s="27">
        <v>23</v>
      </c>
      <c r="B27" s="36" t="s">
        <v>593</v>
      </c>
      <c r="C27" s="36" t="s">
        <v>735</v>
      </c>
      <c r="D27" s="26" t="s">
        <v>711</v>
      </c>
      <c r="E27" s="113"/>
      <c r="F27" s="8" t="s">
        <v>112</v>
      </c>
      <c r="G27" s="8" t="s">
        <v>112</v>
      </c>
      <c r="H27" s="8" t="s">
        <v>112</v>
      </c>
      <c r="I27" s="8" t="s">
        <v>112</v>
      </c>
      <c r="J27" s="8" t="s">
        <v>111</v>
      </c>
      <c r="K27" s="8" t="s">
        <v>111</v>
      </c>
      <c r="L27" s="113"/>
      <c r="M27" s="8" t="s">
        <v>112</v>
      </c>
      <c r="N27" s="8" t="s">
        <v>112</v>
      </c>
      <c r="O27" s="8" t="s">
        <v>112</v>
      </c>
      <c r="P27" s="8" t="s">
        <v>111</v>
      </c>
      <c r="Q27" s="8"/>
      <c r="R27" s="8" t="s">
        <v>111</v>
      </c>
      <c r="S27" s="5">
        <f>COUNTIF(E27:R27,"P")</f>
        <v>7</v>
      </c>
      <c r="T27" s="5">
        <f>COUNTIF(E27:R27,"A")</f>
        <v>4</v>
      </c>
    </row>
    <row r="28" spans="1:24" x14ac:dyDescent="0.25">
      <c r="A28" s="10">
        <v>1</v>
      </c>
      <c r="B28" s="30" t="s">
        <v>736</v>
      </c>
      <c r="C28" s="31" t="s">
        <v>22</v>
      </c>
      <c r="D28" s="26" t="s">
        <v>711</v>
      </c>
      <c r="E28" s="113"/>
      <c r="F28" s="8" t="s">
        <v>112</v>
      </c>
      <c r="G28" s="8" t="s">
        <v>112</v>
      </c>
      <c r="H28" s="8" t="s">
        <v>112</v>
      </c>
      <c r="I28" s="8" t="s">
        <v>111</v>
      </c>
      <c r="J28" s="8" t="s">
        <v>112</v>
      </c>
      <c r="K28" s="8" t="s">
        <v>112</v>
      </c>
      <c r="L28" s="113"/>
      <c r="M28" s="8" t="s">
        <v>112</v>
      </c>
      <c r="N28" s="8" t="s">
        <v>112</v>
      </c>
      <c r="O28" s="8" t="s">
        <v>112</v>
      </c>
      <c r="P28" s="8" t="s">
        <v>111</v>
      </c>
      <c r="Q28" s="8"/>
      <c r="R28" s="8" t="s">
        <v>112</v>
      </c>
      <c r="S28" s="5">
        <f>COUNTIF(E28:R28,"P")</f>
        <v>9</v>
      </c>
      <c r="T28" s="5">
        <f>COUNTIF(E28:R28,"A")</f>
        <v>2</v>
      </c>
    </row>
    <row r="29" spans="1:24" x14ac:dyDescent="0.25">
      <c r="A29" s="27">
        <v>2</v>
      </c>
      <c r="B29" s="30" t="s">
        <v>737</v>
      </c>
      <c r="C29" s="31" t="s">
        <v>493</v>
      </c>
      <c r="D29" s="26" t="s">
        <v>711</v>
      </c>
      <c r="E29" s="113"/>
      <c r="F29" s="8" t="s">
        <v>112</v>
      </c>
      <c r="G29" s="8" t="s">
        <v>112</v>
      </c>
      <c r="H29" s="8" t="s">
        <v>112</v>
      </c>
      <c r="I29" s="8" t="s">
        <v>112</v>
      </c>
      <c r="J29" s="8" t="s">
        <v>112</v>
      </c>
      <c r="K29" s="8" t="s">
        <v>112</v>
      </c>
      <c r="L29" s="113"/>
      <c r="M29" s="8" t="s">
        <v>112</v>
      </c>
      <c r="N29" s="8" t="s">
        <v>112</v>
      </c>
      <c r="O29" s="8" t="s">
        <v>112</v>
      </c>
      <c r="P29" s="8" t="s">
        <v>111</v>
      </c>
      <c r="Q29" s="8"/>
      <c r="R29" s="8" t="s">
        <v>112</v>
      </c>
      <c r="S29" s="5">
        <f>COUNTIF(E29:R29,"P")</f>
        <v>10</v>
      </c>
      <c r="T29" s="5">
        <f>COUNTIF(E29:R29,"A")</f>
        <v>1</v>
      </c>
    </row>
    <row r="30" spans="1:24" x14ac:dyDescent="0.25">
      <c r="A30" s="10">
        <v>3</v>
      </c>
      <c r="B30" s="30" t="s">
        <v>738</v>
      </c>
      <c r="C30" s="31" t="s">
        <v>528</v>
      </c>
      <c r="D30" s="26" t="s">
        <v>711</v>
      </c>
      <c r="E30" s="113"/>
      <c r="F30" s="8" t="s">
        <v>112</v>
      </c>
      <c r="G30" s="8" t="s">
        <v>112</v>
      </c>
      <c r="H30" s="8" t="s">
        <v>112</v>
      </c>
      <c r="I30" s="8" t="s">
        <v>112</v>
      </c>
      <c r="J30" s="8" t="s">
        <v>112</v>
      </c>
      <c r="K30" s="8" t="s">
        <v>112</v>
      </c>
      <c r="L30" s="113"/>
      <c r="M30" s="8" t="s">
        <v>112</v>
      </c>
      <c r="N30" s="8" t="s">
        <v>112</v>
      </c>
      <c r="O30" s="8" t="s">
        <v>112</v>
      </c>
      <c r="P30" s="8" t="s">
        <v>111</v>
      </c>
      <c r="Q30" s="8"/>
      <c r="R30" s="8" t="s">
        <v>112</v>
      </c>
      <c r="S30" s="5">
        <f>COUNTIF(E30:R30,"P")</f>
        <v>10</v>
      </c>
      <c r="T30" s="5">
        <f>COUNTIF(E30:R30,"A")</f>
        <v>1</v>
      </c>
    </row>
    <row r="31" spans="1:24" x14ac:dyDescent="0.25">
      <c r="A31" s="27">
        <v>4</v>
      </c>
      <c r="B31" s="30" t="s">
        <v>739</v>
      </c>
      <c r="C31" s="30" t="s">
        <v>632</v>
      </c>
      <c r="D31" s="26" t="s">
        <v>711</v>
      </c>
      <c r="E31" s="113"/>
      <c r="F31" s="8" t="s">
        <v>112</v>
      </c>
      <c r="G31" s="8" t="s">
        <v>112</v>
      </c>
      <c r="H31" s="8" t="s">
        <v>112</v>
      </c>
      <c r="I31" s="8" t="s">
        <v>112</v>
      </c>
      <c r="J31" s="8" t="s">
        <v>112</v>
      </c>
      <c r="K31" s="8" t="s">
        <v>112</v>
      </c>
      <c r="L31" s="113"/>
      <c r="M31" s="8" t="s">
        <v>112</v>
      </c>
      <c r="N31" s="8" t="s">
        <v>112</v>
      </c>
      <c r="O31" s="8" t="s">
        <v>112</v>
      </c>
      <c r="P31" s="8" t="s">
        <v>111</v>
      </c>
      <c r="Q31" s="8"/>
      <c r="R31" s="8" t="s">
        <v>112</v>
      </c>
      <c r="S31" s="5">
        <f>COUNTIF(E31:R31,"P")</f>
        <v>10</v>
      </c>
      <c r="T31" s="5">
        <f>COUNTIF(E31:R31,"A")</f>
        <v>1</v>
      </c>
    </row>
    <row r="32" spans="1:24" x14ac:dyDescent="0.25">
      <c r="A32" s="10">
        <v>5</v>
      </c>
      <c r="B32" s="30" t="s">
        <v>740</v>
      </c>
      <c r="C32" s="31" t="s">
        <v>592</v>
      </c>
      <c r="D32" s="26" t="s">
        <v>711</v>
      </c>
      <c r="E32" s="113"/>
      <c r="F32" s="8" t="s">
        <v>112</v>
      </c>
      <c r="G32" s="8" t="s">
        <v>112</v>
      </c>
      <c r="H32" s="8" t="s">
        <v>112</v>
      </c>
      <c r="I32" s="8" t="s">
        <v>112</v>
      </c>
      <c r="J32" s="8" t="s">
        <v>112</v>
      </c>
      <c r="K32" s="8" t="s">
        <v>112</v>
      </c>
      <c r="L32" s="113"/>
      <c r="M32" s="8" t="s">
        <v>112</v>
      </c>
      <c r="N32" s="8" t="s">
        <v>112</v>
      </c>
      <c r="O32" s="8" t="s">
        <v>112</v>
      </c>
      <c r="P32" s="8" t="s">
        <v>111</v>
      </c>
      <c r="Q32" s="8"/>
      <c r="R32" s="8" t="s">
        <v>112</v>
      </c>
      <c r="S32" s="5">
        <f>COUNTIF(E32:R32,"P")</f>
        <v>10</v>
      </c>
      <c r="T32" s="5">
        <f>COUNTIF(E32:R32,"A")</f>
        <v>1</v>
      </c>
    </row>
    <row r="33" spans="1:20" x14ac:dyDescent="0.25">
      <c r="A33" s="27">
        <v>6</v>
      </c>
      <c r="B33" s="34" t="s">
        <v>741</v>
      </c>
      <c r="C33" s="35" t="s">
        <v>742</v>
      </c>
      <c r="D33" s="26" t="s">
        <v>711</v>
      </c>
      <c r="E33" s="113"/>
      <c r="F33" s="8" t="s">
        <v>111</v>
      </c>
      <c r="G33" s="8" t="s">
        <v>111</v>
      </c>
      <c r="H33" s="8" t="s">
        <v>111</v>
      </c>
      <c r="I33" s="8" t="s">
        <v>111</v>
      </c>
      <c r="J33" s="8" t="s">
        <v>111</v>
      </c>
      <c r="K33" s="8" t="s">
        <v>111</v>
      </c>
      <c r="L33" s="113"/>
      <c r="M33" s="8" t="s">
        <v>111</v>
      </c>
      <c r="N33" s="8" t="s">
        <v>111</v>
      </c>
      <c r="O33" s="8" t="s">
        <v>111</v>
      </c>
      <c r="P33" s="8" t="s">
        <v>111</v>
      </c>
      <c r="Q33" s="8"/>
      <c r="R33" s="8" t="s">
        <v>678</v>
      </c>
      <c r="S33" s="5">
        <f>COUNTIF(E33:R33,"P")</f>
        <v>0</v>
      </c>
      <c r="T33" s="5">
        <f>COUNTIF(E33:R33,"A")</f>
        <v>10</v>
      </c>
    </row>
    <row r="34" spans="1:20" x14ac:dyDescent="0.25">
      <c r="A34" s="10">
        <v>7</v>
      </c>
      <c r="B34" s="36" t="s">
        <v>743</v>
      </c>
      <c r="C34" s="36" t="s">
        <v>140</v>
      </c>
      <c r="D34" s="26" t="s">
        <v>711</v>
      </c>
      <c r="E34" s="113"/>
      <c r="F34" s="8" t="s">
        <v>112</v>
      </c>
      <c r="G34" s="8" t="s">
        <v>112</v>
      </c>
      <c r="H34" s="8" t="s">
        <v>112</v>
      </c>
      <c r="I34" s="8" t="s">
        <v>112</v>
      </c>
      <c r="J34" s="8" t="s">
        <v>112</v>
      </c>
      <c r="K34" s="8" t="s">
        <v>112</v>
      </c>
      <c r="L34" s="113"/>
      <c r="M34" s="8" t="s">
        <v>112</v>
      </c>
      <c r="N34" s="8" t="s">
        <v>112</v>
      </c>
      <c r="O34" s="8" t="s">
        <v>112</v>
      </c>
      <c r="P34" s="8" t="s">
        <v>111</v>
      </c>
      <c r="Q34" s="8"/>
      <c r="R34" s="8" t="s">
        <v>112</v>
      </c>
      <c r="S34" s="5">
        <f>COUNTIF(E34:R34,"P")</f>
        <v>10</v>
      </c>
      <c r="T34" s="5">
        <f>COUNTIF(E34:R34,"A")</f>
        <v>1</v>
      </c>
    </row>
    <row r="35" spans="1:20" x14ac:dyDescent="0.25">
      <c r="A35" s="27">
        <v>8</v>
      </c>
      <c r="B35" s="30" t="s">
        <v>744</v>
      </c>
      <c r="C35" s="30" t="s">
        <v>745</v>
      </c>
      <c r="D35" s="26" t="s">
        <v>711</v>
      </c>
      <c r="E35" s="113"/>
      <c r="F35" s="8" t="s">
        <v>112</v>
      </c>
      <c r="G35" s="8" t="s">
        <v>112</v>
      </c>
      <c r="H35" s="8" t="s">
        <v>112</v>
      </c>
      <c r="I35" s="8" t="s">
        <v>112</v>
      </c>
      <c r="J35" s="8" t="s">
        <v>112</v>
      </c>
      <c r="K35" s="8" t="s">
        <v>112</v>
      </c>
      <c r="L35" s="113"/>
      <c r="M35" s="8" t="s">
        <v>112</v>
      </c>
      <c r="N35" s="8" t="s">
        <v>112</v>
      </c>
      <c r="O35" s="8" t="s">
        <v>112</v>
      </c>
      <c r="P35" s="8" t="s">
        <v>111</v>
      </c>
      <c r="Q35" s="8"/>
      <c r="R35" s="8" t="s">
        <v>112</v>
      </c>
      <c r="S35" s="5">
        <f>COUNTIF(E35:R35,"P")</f>
        <v>10</v>
      </c>
      <c r="T35" s="5">
        <f>COUNTIF(E35:R35,"A")</f>
        <v>1</v>
      </c>
    </row>
    <row r="36" spans="1:20" x14ac:dyDescent="0.25">
      <c r="A36" s="10">
        <v>9</v>
      </c>
      <c r="B36" s="15" t="s">
        <v>84</v>
      </c>
      <c r="C36" s="15" t="s">
        <v>36</v>
      </c>
      <c r="D36" s="26" t="s">
        <v>711</v>
      </c>
      <c r="E36" s="113"/>
      <c r="F36" s="8" t="s">
        <v>111</v>
      </c>
      <c r="G36" s="8" t="s">
        <v>111</v>
      </c>
      <c r="H36" s="8" t="s">
        <v>111</v>
      </c>
      <c r="I36" s="8" t="s">
        <v>111</v>
      </c>
      <c r="J36" s="8" t="s">
        <v>111</v>
      </c>
      <c r="K36" s="8" t="s">
        <v>111</v>
      </c>
      <c r="L36" s="113"/>
      <c r="M36" s="8" t="s">
        <v>111</v>
      </c>
      <c r="N36" s="8" t="s">
        <v>111</v>
      </c>
      <c r="O36" s="8" t="s">
        <v>111</v>
      </c>
      <c r="P36" s="8" t="s">
        <v>111</v>
      </c>
      <c r="Q36" s="8"/>
      <c r="R36" s="8" t="s">
        <v>678</v>
      </c>
      <c r="S36" s="5">
        <f>COUNTIF(E36:R36,"P")</f>
        <v>0</v>
      </c>
      <c r="T36" s="5">
        <f>COUNTIF(E36:R36,"A")</f>
        <v>10</v>
      </c>
    </row>
    <row r="37" spans="1:20" x14ac:dyDescent="0.25">
      <c r="A37" s="27">
        <v>10</v>
      </c>
      <c r="B37" s="15" t="s">
        <v>746</v>
      </c>
      <c r="C37" s="15" t="s">
        <v>747</v>
      </c>
      <c r="D37" s="26" t="s">
        <v>711</v>
      </c>
      <c r="E37" s="113"/>
      <c r="F37" s="8" t="s">
        <v>112</v>
      </c>
      <c r="G37" s="8" t="s">
        <v>112</v>
      </c>
      <c r="H37" s="8" t="s">
        <v>112</v>
      </c>
      <c r="I37" s="8" t="s">
        <v>112</v>
      </c>
      <c r="J37" s="8" t="s">
        <v>112</v>
      </c>
      <c r="K37" s="8" t="s">
        <v>112</v>
      </c>
      <c r="L37" s="113"/>
      <c r="M37" s="8" t="s">
        <v>112</v>
      </c>
      <c r="N37" s="8" t="s">
        <v>112</v>
      </c>
      <c r="O37" s="8" t="s">
        <v>112</v>
      </c>
      <c r="P37" s="8" t="s">
        <v>111</v>
      </c>
      <c r="Q37" s="8"/>
      <c r="R37" s="8" t="s">
        <v>112</v>
      </c>
      <c r="S37" s="5">
        <f>COUNTIF(E37:R37,"P")</f>
        <v>10</v>
      </c>
      <c r="T37" s="5">
        <f>COUNTIF(E37:R37,"A")</f>
        <v>1</v>
      </c>
    </row>
    <row r="38" spans="1:20" x14ac:dyDescent="0.25">
      <c r="A38" s="10">
        <v>11</v>
      </c>
      <c r="B38" s="15" t="s">
        <v>748</v>
      </c>
      <c r="C38" s="15" t="s">
        <v>749</v>
      </c>
      <c r="D38" s="26" t="s">
        <v>711</v>
      </c>
      <c r="E38" s="113"/>
      <c r="F38" s="8" t="s">
        <v>112</v>
      </c>
      <c r="G38" s="8" t="s">
        <v>112</v>
      </c>
      <c r="H38" s="8" t="s">
        <v>112</v>
      </c>
      <c r="I38" s="8" t="s">
        <v>112</v>
      </c>
      <c r="J38" s="8" t="s">
        <v>112</v>
      </c>
      <c r="K38" s="8" t="s">
        <v>112</v>
      </c>
      <c r="L38" s="113"/>
      <c r="M38" s="8" t="s">
        <v>112</v>
      </c>
      <c r="N38" s="8" t="s">
        <v>112</v>
      </c>
      <c r="O38" s="8" t="s">
        <v>112</v>
      </c>
      <c r="P38" s="8" t="s">
        <v>111</v>
      </c>
      <c r="Q38" s="8"/>
      <c r="R38" s="8" t="s">
        <v>112</v>
      </c>
      <c r="S38" s="5">
        <f>COUNTIF(E38:R38,"P")</f>
        <v>10</v>
      </c>
      <c r="T38" s="5">
        <f>COUNTIF(E38:R38,"A")</f>
        <v>1</v>
      </c>
    </row>
    <row r="39" spans="1:20" x14ac:dyDescent="0.25">
      <c r="A39" s="27">
        <v>12</v>
      </c>
      <c r="B39" s="15" t="s">
        <v>750</v>
      </c>
      <c r="C39" s="15" t="s">
        <v>751</v>
      </c>
      <c r="D39" s="26" t="s">
        <v>711</v>
      </c>
      <c r="E39" s="113"/>
      <c r="F39" s="8" t="s">
        <v>111</v>
      </c>
      <c r="G39" s="8" t="s">
        <v>111</v>
      </c>
      <c r="H39" s="8" t="s">
        <v>111</v>
      </c>
      <c r="I39" s="8" t="s">
        <v>111</v>
      </c>
      <c r="J39" s="8" t="s">
        <v>111</v>
      </c>
      <c r="K39" s="8" t="s">
        <v>111</v>
      </c>
      <c r="L39" s="113"/>
      <c r="M39" s="8" t="s">
        <v>112</v>
      </c>
      <c r="N39" s="8" t="s">
        <v>112</v>
      </c>
      <c r="O39" s="8" t="s">
        <v>112</v>
      </c>
      <c r="P39" s="8" t="s">
        <v>111</v>
      </c>
      <c r="Q39" s="8"/>
      <c r="R39" s="8" t="s">
        <v>112</v>
      </c>
      <c r="S39" s="5">
        <f>COUNTIF(E39:R39,"P")</f>
        <v>4</v>
      </c>
      <c r="T39" s="5">
        <f>COUNTIF(E39:R39,"A")</f>
        <v>7</v>
      </c>
    </row>
    <row r="40" spans="1:20" x14ac:dyDescent="0.25">
      <c r="A40" s="10">
        <v>13</v>
      </c>
      <c r="B40" s="15" t="s">
        <v>752</v>
      </c>
      <c r="C40" s="15" t="s">
        <v>753</v>
      </c>
      <c r="D40" s="26" t="s">
        <v>711</v>
      </c>
      <c r="E40" s="113"/>
      <c r="F40" s="8" t="s">
        <v>112</v>
      </c>
      <c r="G40" s="8" t="s">
        <v>112</v>
      </c>
      <c r="H40" s="8" t="s">
        <v>112</v>
      </c>
      <c r="I40" s="8" t="s">
        <v>112</v>
      </c>
      <c r="J40" s="8" t="s">
        <v>112</v>
      </c>
      <c r="K40" s="8" t="s">
        <v>112</v>
      </c>
      <c r="L40" s="113"/>
      <c r="M40" s="8" t="s">
        <v>112</v>
      </c>
      <c r="N40" s="8" t="s">
        <v>112</v>
      </c>
      <c r="O40" s="8" t="s">
        <v>112</v>
      </c>
      <c r="P40" s="8" t="s">
        <v>111</v>
      </c>
      <c r="Q40" s="8"/>
      <c r="R40" s="8" t="s">
        <v>112</v>
      </c>
      <c r="S40" s="5">
        <f>COUNTIF(E40:R40,"P")</f>
        <v>10</v>
      </c>
      <c r="T40" s="5">
        <f>COUNTIF(E40:R40,"A")</f>
        <v>1</v>
      </c>
    </row>
    <row r="41" spans="1:20" x14ac:dyDescent="0.25">
      <c r="A41" s="27">
        <v>14</v>
      </c>
      <c r="B41" s="15" t="s">
        <v>754</v>
      </c>
      <c r="C41" s="15" t="s">
        <v>34</v>
      </c>
      <c r="D41" s="26" t="s">
        <v>711</v>
      </c>
      <c r="E41" s="113"/>
      <c r="F41" s="8" t="s">
        <v>111</v>
      </c>
      <c r="G41" s="8" t="s">
        <v>111</v>
      </c>
      <c r="H41" s="8" t="s">
        <v>111</v>
      </c>
      <c r="I41" s="8" t="s">
        <v>111</v>
      </c>
      <c r="J41" s="8" t="s">
        <v>111</v>
      </c>
      <c r="K41" s="8" t="s">
        <v>111</v>
      </c>
      <c r="L41" s="113"/>
      <c r="M41" s="8" t="s">
        <v>112</v>
      </c>
      <c r="N41" s="8" t="s">
        <v>112</v>
      </c>
      <c r="O41" s="8" t="s">
        <v>112</v>
      </c>
      <c r="P41" s="8" t="s">
        <v>111</v>
      </c>
      <c r="Q41" s="8"/>
      <c r="R41" s="8" t="s">
        <v>112</v>
      </c>
      <c r="S41" s="5">
        <f>COUNTIF(E41:R41,"P")</f>
        <v>4</v>
      </c>
      <c r="T41" s="5">
        <f>COUNTIF(E41:R41,"A")</f>
        <v>7</v>
      </c>
    </row>
    <row r="42" spans="1:20" x14ac:dyDescent="0.25">
      <c r="A42" s="10">
        <v>15</v>
      </c>
      <c r="B42" s="15" t="s">
        <v>755</v>
      </c>
      <c r="C42" s="15" t="s">
        <v>756</v>
      </c>
      <c r="D42" s="26" t="s">
        <v>711</v>
      </c>
      <c r="E42" s="113"/>
      <c r="F42" s="8" t="s">
        <v>112</v>
      </c>
      <c r="G42" s="8" t="s">
        <v>112</v>
      </c>
      <c r="H42" s="8" t="s">
        <v>112</v>
      </c>
      <c r="I42" s="8" t="s">
        <v>112</v>
      </c>
      <c r="J42" s="8" t="s">
        <v>112</v>
      </c>
      <c r="K42" s="8" t="s">
        <v>112</v>
      </c>
      <c r="L42" s="113"/>
      <c r="M42" s="8" t="s">
        <v>112</v>
      </c>
      <c r="N42" s="8" t="s">
        <v>112</v>
      </c>
      <c r="O42" s="8" t="s">
        <v>112</v>
      </c>
      <c r="P42" s="8" t="s">
        <v>111</v>
      </c>
      <c r="Q42" s="8"/>
      <c r="R42" s="8" t="s">
        <v>112</v>
      </c>
      <c r="S42" s="5">
        <f>COUNTIF(E42:R42,"P")</f>
        <v>10</v>
      </c>
      <c r="T42" s="5">
        <f>COUNTIF(E42:R42,"A")</f>
        <v>1</v>
      </c>
    </row>
    <row r="43" spans="1:20" x14ac:dyDescent="0.25">
      <c r="A43" s="27">
        <v>16</v>
      </c>
      <c r="B43" s="15" t="s">
        <v>757</v>
      </c>
      <c r="C43" s="15" t="s">
        <v>758</v>
      </c>
      <c r="D43" s="26" t="s">
        <v>711</v>
      </c>
      <c r="E43" s="113"/>
      <c r="F43" s="8" t="s">
        <v>111</v>
      </c>
      <c r="G43" s="8" t="s">
        <v>111</v>
      </c>
      <c r="H43" s="8" t="s">
        <v>111</v>
      </c>
      <c r="I43" s="8" t="s">
        <v>111</v>
      </c>
      <c r="J43" s="8" t="s">
        <v>111</v>
      </c>
      <c r="K43" s="8" t="s">
        <v>111</v>
      </c>
      <c r="L43" s="113"/>
      <c r="M43" s="8" t="s">
        <v>111</v>
      </c>
      <c r="N43" s="8" t="s">
        <v>111</v>
      </c>
      <c r="O43" s="8" t="s">
        <v>111</v>
      </c>
      <c r="P43" s="8" t="s">
        <v>111</v>
      </c>
      <c r="Q43" s="8"/>
      <c r="R43" s="8" t="s">
        <v>678</v>
      </c>
      <c r="S43" s="5">
        <f>COUNTIF(E43:R43,"P")</f>
        <v>0</v>
      </c>
      <c r="T43" s="5">
        <f>COUNTIF(E43:R43,"A")</f>
        <v>10</v>
      </c>
    </row>
    <row r="44" spans="1:20" x14ac:dyDescent="0.25">
      <c r="A44" s="10">
        <v>17</v>
      </c>
      <c r="B44" s="15" t="s">
        <v>759</v>
      </c>
      <c r="C44" s="15" t="s">
        <v>95</v>
      </c>
      <c r="D44" s="26" t="s">
        <v>711</v>
      </c>
      <c r="E44" s="113"/>
      <c r="F44" s="8" t="s">
        <v>112</v>
      </c>
      <c r="G44" s="8" t="s">
        <v>112</v>
      </c>
      <c r="H44" s="8" t="s">
        <v>112</v>
      </c>
      <c r="I44" s="8" t="s">
        <v>112</v>
      </c>
      <c r="J44" s="8" t="s">
        <v>112</v>
      </c>
      <c r="K44" s="8" t="s">
        <v>112</v>
      </c>
      <c r="L44" s="113"/>
      <c r="M44" s="8" t="s">
        <v>112</v>
      </c>
      <c r="N44" s="8" t="s">
        <v>112</v>
      </c>
      <c r="O44" s="8" t="s">
        <v>112</v>
      </c>
      <c r="P44" s="8" t="s">
        <v>111</v>
      </c>
      <c r="Q44" s="8"/>
      <c r="R44" s="8" t="s">
        <v>112</v>
      </c>
      <c r="S44" s="5">
        <f>COUNTIF(E44:R44,"P")</f>
        <v>10</v>
      </c>
      <c r="T44" s="5">
        <f>COUNTIF(E44:R44,"A")</f>
        <v>1</v>
      </c>
    </row>
    <row r="45" spans="1:20" x14ac:dyDescent="0.25">
      <c r="A45" s="27">
        <v>18</v>
      </c>
      <c r="B45" s="39" t="s">
        <v>392</v>
      </c>
      <c r="C45" s="39" t="s">
        <v>760</v>
      </c>
      <c r="D45" s="26" t="s">
        <v>711</v>
      </c>
      <c r="E45" s="113"/>
      <c r="F45" s="8" t="s">
        <v>112</v>
      </c>
      <c r="G45" s="8" t="s">
        <v>111</v>
      </c>
      <c r="H45" s="8" t="s">
        <v>112</v>
      </c>
      <c r="I45" s="8" t="s">
        <v>112</v>
      </c>
      <c r="J45" s="8" t="s">
        <v>111</v>
      </c>
      <c r="K45" s="8" t="s">
        <v>112</v>
      </c>
      <c r="L45" s="113"/>
      <c r="M45" s="8" t="s">
        <v>112</v>
      </c>
      <c r="N45" s="8" t="s">
        <v>112</v>
      </c>
      <c r="O45" s="8" t="s">
        <v>112</v>
      </c>
      <c r="P45" s="8" t="s">
        <v>111</v>
      </c>
      <c r="Q45" s="8"/>
      <c r="R45" s="8" t="s">
        <v>112</v>
      </c>
      <c r="S45" s="5">
        <f>COUNTIF(E45:R45,"P")</f>
        <v>8</v>
      </c>
      <c r="T45" s="5">
        <f>COUNTIF(E45:R45,"A")</f>
        <v>3</v>
      </c>
    </row>
    <row r="46" spans="1:20" x14ac:dyDescent="0.25">
      <c r="A46" s="10">
        <v>19</v>
      </c>
      <c r="B46" s="15" t="s">
        <v>761</v>
      </c>
      <c r="C46" s="15" t="s">
        <v>762</v>
      </c>
      <c r="D46" s="26" t="s">
        <v>711</v>
      </c>
      <c r="E46" s="113"/>
      <c r="F46" s="8" t="s">
        <v>112</v>
      </c>
      <c r="G46" s="8" t="s">
        <v>112</v>
      </c>
      <c r="H46" s="8" t="s">
        <v>112</v>
      </c>
      <c r="I46" s="8" t="s">
        <v>112</v>
      </c>
      <c r="J46" s="8" t="s">
        <v>112</v>
      </c>
      <c r="K46" s="8" t="s">
        <v>112</v>
      </c>
      <c r="L46" s="113"/>
      <c r="M46" s="8" t="s">
        <v>112</v>
      </c>
      <c r="N46" s="8" t="s">
        <v>112</v>
      </c>
      <c r="O46" s="8" t="s">
        <v>112</v>
      </c>
      <c r="P46" s="8" t="s">
        <v>111</v>
      </c>
      <c r="Q46" s="8"/>
      <c r="R46" s="8" t="s">
        <v>112</v>
      </c>
      <c r="S46" s="5">
        <f>COUNTIF(E46:R46,"P")</f>
        <v>10</v>
      </c>
      <c r="T46" s="5">
        <f>COUNTIF(E46:R46,"A")</f>
        <v>1</v>
      </c>
    </row>
  </sheetData>
  <mergeCells count="13">
    <mergeCell ref="U3:V3"/>
    <mergeCell ref="E5:E46"/>
    <mergeCell ref="L5:L46"/>
    <mergeCell ref="U11:X11"/>
    <mergeCell ref="U19:X19"/>
    <mergeCell ref="A1:T1"/>
    <mergeCell ref="A2:T2"/>
    <mergeCell ref="A3:A4"/>
    <mergeCell ref="B3:B4"/>
    <mergeCell ref="C3:C4"/>
    <mergeCell ref="D3:D4"/>
    <mergeCell ref="S3:S4"/>
    <mergeCell ref="T3:T4"/>
  </mergeCells>
  <conditionalFormatting sqref="F5:K46 M5:R46 E4:R4">
    <cfRule type="expression" dxfId="43" priority="45">
      <formula>IF(E$4=TODAY(),TRUE,FALSE)</formula>
    </cfRule>
  </conditionalFormatting>
  <conditionalFormatting sqref="F5:K46 M5:R46">
    <cfRule type="cellIs" dxfId="42" priority="42" operator="equal">
      <formula>"L"</formula>
    </cfRule>
    <cfRule type="cellIs" dxfId="41" priority="43" operator="equal">
      <formula>"A"</formula>
    </cfRule>
    <cfRule type="cellIs" dxfId="40" priority="44" operator="equal">
      <formula>"P"</formula>
    </cfRule>
  </conditionalFormatting>
  <conditionalFormatting sqref="F5:K46 M5:R46 E3:R4">
    <cfRule type="expression" dxfId="39" priority="46">
      <formula>E$3="Sun"</formula>
    </cfRule>
  </conditionalFormatting>
  <conditionalFormatting sqref="E5">
    <cfRule type="cellIs" dxfId="38" priority="12" operator="equal">
      <formula>"L"</formula>
    </cfRule>
    <cfRule type="cellIs" dxfId="37" priority="13" operator="equal">
      <formula>"A"</formula>
    </cfRule>
    <cfRule type="cellIs" dxfId="36" priority="14" operator="equal">
      <formula>"P"</formula>
    </cfRule>
    <cfRule type="expression" dxfId="35" priority="15">
      <formula>IF(E$4=TODAY(),TRUE,FALSE)</formula>
    </cfRule>
    <cfRule type="expression" dxfId="34" priority="16">
      <formula>E$3="Sun"</formula>
    </cfRule>
  </conditionalFormatting>
  <conditionalFormatting sqref="L5">
    <cfRule type="cellIs" dxfId="33" priority="7" operator="equal">
      <formula>"L"</formula>
    </cfRule>
    <cfRule type="cellIs" dxfId="32" priority="8" operator="equal">
      <formula>"A"</formula>
    </cfRule>
    <cfRule type="cellIs" dxfId="31" priority="9" operator="equal">
      <formula>"P"</formula>
    </cfRule>
    <cfRule type="expression" dxfId="30" priority="10">
      <formula>IF(L$4=TODAY(),TRUE,FALSE)</formula>
    </cfRule>
    <cfRule type="expression" dxfId="29" priority="11">
      <formula>L$3="Sun"</formula>
    </cfRule>
  </conditionalFormatting>
  <conditionalFormatting sqref="S3:T3 S5:T46">
    <cfRule type="expression" dxfId="28" priority="47">
      <formula>#REF!="Sun"</formula>
    </cfRule>
  </conditionalFormatting>
  <conditionalFormatting sqref="U5:U9">
    <cfRule type="expression" dxfId="27" priority="4">
      <formula>U$3="Sun"</formula>
    </cfRule>
  </conditionalFormatting>
  <conditionalFormatting sqref="U12:U15">
    <cfRule type="expression" dxfId="26" priority="2">
      <formula>U$3="Sun"</formula>
    </cfRule>
  </conditionalFormatting>
  <conditionalFormatting sqref="U20:U23">
    <cfRule type="expression" dxfId="25" priority="1">
      <formula>U$3="Sun"</formula>
    </cfRule>
  </conditionalFormatting>
  <conditionalFormatting sqref="U4:V4">
    <cfRule type="expression" dxfId="24" priority="5">
      <formula>U$3="Sun"</formula>
    </cfRule>
  </conditionalFormatting>
  <conditionalFormatting sqref="V12:X12 V20:X20">
    <cfRule type="expression" dxfId="23" priority="6">
      <formula>V$3="Sun"</formula>
    </cfRule>
  </conditionalFormatting>
  <conditionalFormatting sqref="X21">
    <cfRule type="expression" dxfId="22" priority="3">
      <formula>X$3="Sun"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B2BF-D464-4361-B3DE-C48B8438BF0F}">
  <dimension ref="A1:X44"/>
  <sheetViews>
    <sheetView tabSelected="1" workbookViewId="0">
      <selection activeCell="V7" sqref="V7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4.5703125" style="1" customWidth="1"/>
    <col min="6" max="6" width="3.85546875" style="1" bestFit="1"/>
    <col min="7" max="7" width="4.7109375" style="1" bestFit="1" customWidth="1"/>
    <col min="8" max="8" width="3.85546875" style="1" bestFit="1"/>
    <col min="9" max="10" width="3.7109375" style="1" bestFit="1" customWidth="1"/>
    <col min="11" max="11" width="3.85546875" style="1" bestFit="1"/>
    <col min="12" max="12" width="4.5703125" style="1" bestFit="1" customWidth="1"/>
    <col min="13" max="13" width="3.85546875" style="1" bestFit="1"/>
    <col min="14" max="14" width="4.7109375" style="1" bestFit="1" customWidth="1"/>
    <col min="15" max="15" width="3.85546875" style="1" bestFit="1"/>
    <col min="16" max="16" width="3.7109375" style="1" bestFit="1" customWidth="1"/>
    <col min="17" max="18" width="3.7109375" style="1" customWidth="1"/>
    <col min="19" max="19" width="9.42578125" style="1" bestFit="1" customWidth="1"/>
    <col min="20" max="20" width="8.5703125" style="1" bestFit="1" customWidth="1"/>
    <col min="21" max="21" width="18.5703125" style="1" bestFit="1" customWidth="1"/>
    <col min="22" max="22" width="5.85546875" style="1" bestFit="1" customWidth="1"/>
    <col min="23" max="23" width="14.28515625" style="1" bestFit="1" customWidth="1"/>
    <col min="24" max="24" width="6.7109375" style="1" bestFit="1" customWidth="1"/>
    <col min="25" max="16384" width="3.85546875" style="1"/>
  </cols>
  <sheetData>
    <row r="1" spans="1:24" ht="17.25" x14ac:dyDescent="0.25">
      <c r="A1" s="114" t="s">
        <v>18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</row>
    <row r="2" spans="1:24" ht="17.25" x14ac:dyDescent="0.3">
      <c r="A2" s="115" t="s">
        <v>616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</row>
    <row r="3" spans="1:24" ht="15.75" x14ac:dyDescent="0.25">
      <c r="A3" s="130" t="s">
        <v>0</v>
      </c>
      <c r="B3" s="130" t="s">
        <v>1</v>
      </c>
      <c r="C3" s="130" t="s">
        <v>2</v>
      </c>
      <c r="D3" s="130" t="s">
        <v>3</v>
      </c>
      <c r="E3" s="2" t="str">
        <f t="shared" ref="E3:R3" si="0">TEXT(E4,"ddd")</f>
        <v>Sun</v>
      </c>
      <c r="F3" s="2" t="str">
        <f t="shared" si="0"/>
        <v>Mon</v>
      </c>
      <c r="G3" s="2" t="str">
        <f t="shared" si="0"/>
        <v>Tue</v>
      </c>
      <c r="H3" s="2" t="str">
        <f t="shared" si="0"/>
        <v>Wed</v>
      </c>
      <c r="I3" s="2" t="str">
        <f t="shared" si="0"/>
        <v>Thu</v>
      </c>
      <c r="J3" s="2" t="str">
        <f t="shared" si="0"/>
        <v>Fri</v>
      </c>
      <c r="K3" s="2" t="str">
        <f t="shared" si="0"/>
        <v>Sat</v>
      </c>
      <c r="L3" s="2" t="str">
        <f t="shared" si="0"/>
        <v>Sun</v>
      </c>
      <c r="M3" s="2" t="str">
        <f t="shared" si="0"/>
        <v>Mon</v>
      </c>
      <c r="N3" s="2" t="str">
        <f t="shared" si="0"/>
        <v>Tue</v>
      </c>
      <c r="O3" s="2" t="str">
        <f t="shared" si="0"/>
        <v>Wed</v>
      </c>
      <c r="P3" s="2" t="str">
        <f t="shared" si="0"/>
        <v>Thu</v>
      </c>
      <c r="Q3" s="2" t="str">
        <f t="shared" si="0"/>
        <v>Fri</v>
      </c>
      <c r="R3" s="2" t="str">
        <f t="shared" si="0"/>
        <v>Sat</v>
      </c>
      <c r="S3" s="117" t="s">
        <v>4</v>
      </c>
      <c r="T3" s="117" t="s">
        <v>5</v>
      </c>
      <c r="U3" s="118" t="s">
        <v>127</v>
      </c>
      <c r="V3" s="119"/>
      <c r="W3" s="3"/>
      <c r="X3" s="3"/>
    </row>
    <row r="4" spans="1:24" ht="37.5" x14ac:dyDescent="0.25">
      <c r="A4" s="131"/>
      <c r="B4" s="131"/>
      <c r="C4" s="131"/>
      <c r="D4" s="131"/>
      <c r="E4" s="14">
        <v>45613</v>
      </c>
      <c r="F4" s="14">
        <v>45614</v>
      </c>
      <c r="G4" s="14">
        <v>45615</v>
      </c>
      <c r="H4" s="14">
        <v>45616</v>
      </c>
      <c r="I4" s="14">
        <v>45617</v>
      </c>
      <c r="J4" s="14">
        <v>45618</v>
      </c>
      <c r="K4" s="14">
        <v>45619</v>
      </c>
      <c r="L4" s="14">
        <v>45620</v>
      </c>
      <c r="M4" s="14">
        <v>45621</v>
      </c>
      <c r="N4" s="14">
        <v>45622</v>
      </c>
      <c r="O4" s="14">
        <v>45623</v>
      </c>
      <c r="P4" s="14">
        <v>45624</v>
      </c>
      <c r="Q4" s="14">
        <v>45625</v>
      </c>
      <c r="R4" s="14">
        <v>45626</v>
      </c>
      <c r="S4" s="117"/>
      <c r="T4" s="117"/>
      <c r="U4" s="5" t="s">
        <v>128</v>
      </c>
      <c r="V4" s="5">
        <f>SUM(V5:V8)</f>
        <v>14</v>
      </c>
      <c r="W4" s="3"/>
      <c r="X4" s="3"/>
    </row>
    <row r="5" spans="1:24" ht="15" customHeight="1" x14ac:dyDescent="0.25">
      <c r="A5" s="27">
        <v>1</v>
      </c>
      <c r="B5" s="30" t="s">
        <v>763</v>
      </c>
      <c r="C5" s="31" t="s">
        <v>764</v>
      </c>
      <c r="D5" s="26" t="s">
        <v>805</v>
      </c>
      <c r="E5" s="127" t="s">
        <v>618</v>
      </c>
      <c r="F5" s="8" t="s">
        <v>112</v>
      </c>
      <c r="G5" s="8" t="s">
        <v>112</v>
      </c>
      <c r="H5" s="8" t="s">
        <v>111</v>
      </c>
      <c r="I5" s="8" t="s">
        <v>112</v>
      </c>
      <c r="J5" s="8" t="s">
        <v>112</v>
      </c>
      <c r="K5" s="8" t="s">
        <v>112</v>
      </c>
      <c r="L5" s="127" t="s">
        <v>618</v>
      </c>
      <c r="M5" s="8" t="s">
        <v>112</v>
      </c>
      <c r="N5" s="8" t="s">
        <v>112</v>
      </c>
      <c r="O5" s="8" t="s">
        <v>112</v>
      </c>
      <c r="P5" s="8" t="s">
        <v>112</v>
      </c>
      <c r="Q5" s="8" t="s">
        <v>112</v>
      </c>
      <c r="R5" s="8"/>
      <c r="S5" s="5">
        <f>COUNTIF(E5:R5,"P")</f>
        <v>10</v>
      </c>
      <c r="T5" s="5">
        <f>COUNTIF(E5:R5,"A")</f>
        <v>1</v>
      </c>
      <c r="U5" s="5" t="s">
        <v>7</v>
      </c>
      <c r="V5" s="10">
        <v>12</v>
      </c>
      <c r="W5" s="11"/>
      <c r="X5" s="3"/>
    </row>
    <row r="6" spans="1:24" x14ac:dyDescent="0.25">
      <c r="A6" s="10">
        <v>2</v>
      </c>
      <c r="B6" s="30" t="s">
        <v>765</v>
      </c>
      <c r="C6" s="31" t="s">
        <v>766</v>
      </c>
      <c r="D6" s="26" t="s">
        <v>805</v>
      </c>
      <c r="E6" s="128"/>
      <c r="F6" s="8" t="s">
        <v>112</v>
      </c>
      <c r="G6" s="8" t="s">
        <v>112</v>
      </c>
      <c r="H6" s="8" t="s">
        <v>112</v>
      </c>
      <c r="I6" s="8" t="s">
        <v>112</v>
      </c>
      <c r="J6" s="8" t="s">
        <v>112</v>
      </c>
      <c r="K6" s="8" t="s">
        <v>112</v>
      </c>
      <c r="L6" s="128"/>
      <c r="M6" s="8" t="s">
        <v>112</v>
      </c>
      <c r="N6" s="8" t="s">
        <v>112</v>
      </c>
      <c r="O6" s="8" t="s">
        <v>112</v>
      </c>
      <c r="P6" s="8" t="s">
        <v>112</v>
      </c>
      <c r="Q6" s="8" t="s">
        <v>111</v>
      </c>
      <c r="R6" s="8"/>
      <c r="S6" s="5">
        <f>COUNTIF(E6:R6,"P")</f>
        <v>10</v>
      </c>
      <c r="T6" s="5">
        <f>COUNTIF(E6:R6,"A")</f>
        <v>1</v>
      </c>
      <c r="U6" s="5" t="s">
        <v>8</v>
      </c>
      <c r="V6" s="10">
        <v>2</v>
      </c>
      <c r="W6" s="3"/>
      <c r="X6" s="3"/>
    </row>
    <row r="7" spans="1:24" x14ac:dyDescent="0.25">
      <c r="A7" s="27">
        <v>3</v>
      </c>
      <c r="B7" s="30" t="s">
        <v>767</v>
      </c>
      <c r="C7" s="31" t="s">
        <v>768</v>
      </c>
      <c r="D7" s="26" t="s">
        <v>805</v>
      </c>
      <c r="E7" s="128"/>
      <c r="F7" s="8" t="s">
        <v>112</v>
      </c>
      <c r="G7" s="8" t="s">
        <v>112</v>
      </c>
      <c r="H7" s="8" t="s">
        <v>112</v>
      </c>
      <c r="I7" s="8" t="s">
        <v>112</v>
      </c>
      <c r="J7" s="8" t="s">
        <v>112</v>
      </c>
      <c r="K7" s="8" t="s">
        <v>112</v>
      </c>
      <c r="L7" s="128"/>
      <c r="M7" s="8" t="s">
        <v>112</v>
      </c>
      <c r="N7" s="8" t="s">
        <v>112</v>
      </c>
      <c r="O7" s="8" t="s">
        <v>112</v>
      </c>
      <c r="P7" s="8" t="s">
        <v>112</v>
      </c>
      <c r="Q7" s="8" t="s">
        <v>112</v>
      </c>
      <c r="R7" s="8"/>
      <c r="S7" s="5">
        <f>COUNTIF(E7:R7,"P")</f>
        <v>11</v>
      </c>
      <c r="T7" s="5">
        <f>COUNTIF(E7:R7,"A")</f>
        <v>0</v>
      </c>
      <c r="U7" s="5"/>
      <c r="V7" s="10"/>
      <c r="W7" s="3"/>
      <c r="X7" s="3"/>
    </row>
    <row r="8" spans="1:24" x14ac:dyDescent="0.25">
      <c r="A8" s="10">
        <v>4</v>
      </c>
      <c r="B8" s="30" t="s">
        <v>769</v>
      </c>
      <c r="C8" s="31" t="s">
        <v>749</v>
      </c>
      <c r="D8" s="26" t="s">
        <v>805</v>
      </c>
      <c r="E8" s="128"/>
      <c r="F8" s="8" t="s">
        <v>112</v>
      </c>
      <c r="G8" s="8" t="s">
        <v>112</v>
      </c>
      <c r="H8" s="8" t="s">
        <v>112</v>
      </c>
      <c r="I8" s="8" t="s">
        <v>112</v>
      </c>
      <c r="J8" s="8" t="s">
        <v>112</v>
      </c>
      <c r="K8" s="8" t="s">
        <v>112</v>
      </c>
      <c r="L8" s="128"/>
      <c r="M8" s="8" t="s">
        <v>112</v>
      </c>
      <c r="N8" s="8" t="s">
        <v>112</v>
      </c>
      <c r="O8" s="8" t="s">
        <v>112</v>
      </c>
      <c r="P8" s="8" t="s">
        <v>112</v>
      </c>
      <c r="Q8" s="8" t="s">
        <v>112</v>
      </c>
      <c r="R8" s="8"/>
      <c r="S8" s="5">
        <f>COUNTIF(E8:R8,"P")</f>
        <v>11</v>
      </c>
      <c r="T8" s="5">
        <f>COUNTIF(E8:R8,"A")</f>
        <v>0</v>
      </c>
      <c r="U8" s="5"/>
      <c r="V8" s="10"/>
      <c r="W8"/>
      <c r="X8"/>
    </row>
    <row r="9" spans="1:24" x14ac:dyDescent="0.25">
      <c r="A9" s="27">
        <v>5</v>
      </c>
      <c r="B9" s="30" t="s">
        <v>215</v>
      </c>
      <c r="C9" s="31" t="s">
        <v>445</v>
      </c>
      <c r="D9" s="26" t="s">
        <v>805</v>
      </c>
      <c r="E9" s="128"/>
      <c r="F9" s="8" t="s">
        <v>112</v>
      </c>
      <c r="G9" s="8" t="s">
        <v>112</v>
      </c>
      <c r="H9" s="8" t="s">
        <v>111</v>
      </c>
      <c r="I9" s="8" t="s">
        <v>111</v>
      </c>
      <c r="J9" s="8" t="s">
        <v>111</v>
      </c>
      <c r="K9" s="8" t="s">
        <v>112</v>
      </c>
      <c r="L9" s="128"/>
      <c r="M9" s="8" t="s">
        <v>112</v>
      </c>
      <c r="N9" s="8" t="s">
        <v>112</v>
      </c>
      <c r="O9" s="8" t="s">
        <v>112</v>
      </c>
      <c r="P9" s="8" t="s">
        <v>112</v>
      </c>
      <c r="Q9" s="8" t="s">
        <v>111</v>
      </c>
      <c r="R9" s="8"/>
      <c r="S9" s="5">
        <f>COUNTIF(E9:R9,"P")</f>
        <v>7</v>
      </c>
      <c r="T9" s="5">
        <f>COUNTIF(E9:R9,"A")</f>
        <v>4</v>
      </c>
      <c r="U9" s="5"/>
      <c r="V9" s="10"/>
    </row>
    <row r="10" spans="1:24" x14ac:dyDescent="0.25">
      <c r="A10" s="10">
        <v>6</v>
      </c>
      <c r="B10" s="30" t="s">
        <v>770</v>
      </c>
      <c r="C10" s="31" t="s">
        <v>771</v>
      </c>
      <c r="D10" s="26" t="s">
        <v>805</v>
      </c>
      <c r="E10" s="128"/>
      <c r="F10" s="8" t="s">
        <v>112</v>
      </c>
      <c r="G10" s="8" t="s">
        <v>112</v>
      </c>
      <c r="H10" s="8" t="s">
        <v>112</v>
      </c>
      <c r="I10" s="8" t="s">
        <v>112</v>
      </c>
      <c r="J10" s="8" t="s">
        <v>112</v>
      </c>
      <c r="K10" s="8" t="s">
        <v>111</v>
      </c>
      <c r="L10" s="128"/>
      <c r="M10" s="8" t="s">
        <v>112</v>
      </c>
      <c r="N10" s="8" t="s">
        <v>112</v>
      </c>
      <c r="O10" s="8" t="s">
        <v>112</v>
      </c>
      <c r="P10" s="8" t="s">
        <v>112</v>
      </c>
      <c r="Q10" s="8" t="s">
        <v>112</v>
      </c>
      <c r="R10" s="8"/>
      <c r="S10" s="5">
        <f>COUNTIF(E10:R10,"P")</f>
        <v>10</v>
      </c>
      <c r="T10" s="5">
        <f>COUNTIF(E10:R10,"A")</f>
        <v>1</v>
      </c>
    </row>
    <row r="11" spans="1:24" ht="15.75" x14ac:dyDescent="0.25">
      <c r="A11" s="27">
        <v>7</v>
      </c>
      <c r="B11" s="30" t="s">
        <v>772</v>
      </c>
      <c r="C11" s="31" t="s">
        <v>773</v>
      </c>
      <c r="D11" s="26" t="s">
        <v>805</v>
      </c>
      <c r="E11" s="128"/>
      <c r="F11" s="8" t="s">
        <v>112</v>
      </c>
      <c r="G11" s="8" t="s">
        <v>112</v>
      </c>
      <c r="H11" s="8" t="s">
        <v>112</v>
      </c>
      <c r="I11" s="8" t="s">
        <v>111</v>
      </c>
      <c r="J11" s="8" t="s">
        <v>111</v>
      </c>
      <c r="K11" s="8" t="s">
        <v>112</v>
      </c>
      <c r="L11" s="128"/>
      <c r="M11" s="8" t="s">
        <v>112</v>
      </c>
      <c r="N11" s="8" t="s">
        <v>112</v>
      </c>
      <c r="O11" s="8" t="s">
        <v>111</v>
      </c>
      <c r="P11" s="8" t="s">
        <v>111</v>
      </c>
      <c r="Q11" s="8" t="s">
        <v>111</v>
      </c>
      <c r="R11" s="8"/>
      <c r="S11" s="5">
        <f>COUNTIF(E11:R11,"P")</f>
        <v>6</v>
      </c>
      <c r="T11" s="5">
        <f>COUNTIF(E11:R11,"A")</f>
        <v>5</v>
      </c>
      <c r="U11" s="118" t="s">
        <v>9</v>
      </c>
      <c r="V11" s="119"/>
      <c r="W11" s="119"/>
      <c r="X11" s="120"/>
    </row>
    <row r="12" spans="1:24" x14ac:dyDescent="0.25">
      <c r="A12" s="10">
        <v>8</v>
      </c>
      <c r="B12" s="30" t="s">
        <v>774</v>
      </c>
      <c r="C12" s="31" t="s">
        <v>64</v>
      </c>
      <c r="D12" s="26" t="s">
        <v>805</v>
      </c>
      <c r="E12" s="128"/>
      <c r="F12" s="8" t="s">
        <v>112</v>
      </c>
      <c r="G12" s="8" t="s">
        <v>112</v>
      </c>
      <c r="H12" s="8" t="s">
        <v>112</v>
      </c>
      <c r="I12" s="8" t="s">
        <v>112</v>
      </c>
      <c r="J12" s="8" t="s">
        <v>112</v>
      </c>
      <c r="K12" s="8" t="s">
        <v>112</v>
      </c>
      <c r="L12" s="128"/>
      <c r="M12" s="8" t="s">
        <v>112</v>
      </c>
      <c r="N12" s="8" t="s">
        <v>112</v>
      </c>
      <c r="O12" s="8" t="s">
        <v>112</v>
      </c>
      <c r="P12" s="8" t="s">
        <v>112</v>
      </c>
      <c r="Q12" s="8" t="s">
        <v>112</v>
      </c>
      <c r="R12" s="8"/>
      <c r="S12" s="5">
        <f>COUNTIF(E12:R12,"P")</f>
        <v>11</v>
      </c>
      <c r="T12" s="5">
        <f>COUNTIF(E12:R12,"A")</f>
        <v>0</v>
      </c>
      <c r="U12" s="5" t="s">
        <v>10</v>
      </c>
      <c r="V12" s="5" t="s">
        <v>11</v>
      </c>
      <c r="W12" s="5" t="s">
        <v>12</v>
      </c>
      <c r="X12" s="5" t="s">
        <v>13</v>
      </c>
    </row>
    <row r="13" spans="1:24" x14ac:dyDescent="0.25">
      <c r="A13" s="27">
        <v>9</v>
      </c>
      <c r="B13" s="36" t="s">
        <v>775</v>
      </c>
      <c r="C13" s="37" t="s">
        <v>745</v>
      </c>
      <c r="D13" s="26" t="s">
        <v>805</v>
      </c>
      <c r="E13" s="128"/>
      <c r="F13" s="8" t="s">
        <v>112</v>
      </c>
      <c r="G13" s="8" t="s">
        <v>112</v>
      </c>
      <c r="H13" s="8" t="s">
        <v>112</v>
      </c>
      <c r="I13" s="8" t="s">
        <v>112</v>
      </c>
      <c r="J13" s="8" t="s">
        <v>112</v>
      </c>
      <c r="K13" s="8" t="s">
        <v>112</v>
      </c>
      <c r="L13" s="128"/>
      <c r="M13" s="8" t="s">
        <v>112</v>
      </c>
      <c r="N13" s="8" t="s">
        <v>112</v>
      </c>
      <c r="O13" s="8" t="s">
        <v>112</v>
      </c>
      <c r="P13" s="8" t="s">
        <v>112</v>
      </c>
      <c r="Q13" s="8" t="s">
        <v>112</v>
      </c>
      <c r="R13" s="8"/>
      <c r="S13" s="5">
        <f>COUNTIF(E13:R13,"P")</f>
        <v>11</v>
      </c>
      <c r="T13" s="5">
        <f>COUNTIF(E13:R13,"A")</f>
        <v>0</v>
      </c>
      <c r="U13" s="5" t="s">
        <v>14</v>
      </c>
      <c r="V13" s="10">
        <f>16*$V$5</f>
        <v>192</v>
      </c>
      <c r="W13" s="10">
        <f>19*$V$5</f>
        <v>228</v>
      </c>
      <c r="X13" s="10">
        <f>SUM(V13:W13)</f>
        <v>420</v>
      </c>
    </row>
    <row r="14" spans="1:24" x14ac:dyDescent="0.25">
      <c r="A14" s="10">
        <v>10</v>
      </c>
      <c r="B14" s="33" t="s">
        <v>776</v>
      </c>
      <c r="C14" s="38" t="s">
        <v>777</v>
      </c>
      <c r="D14" s="26" t="s">
        <v>805</v>
      </c>
      <c r="E14" s="128"/>
      <c r="F14" s="8" t="s">
        <v>111</v>
      </c>
      <c r="G14" s="8" t="s">
        <v>111</v>
      </c>
      <c r="H14" s="8" t="s">
        <v>111</v>
      </c>
      <c r="I14" s="8" t="s">
        <v>111</v>
      </c>
      <c r="J14" s="8" t="s">
        <v>111</v>
      </c>
      <c r="K14" s="8" t="s">
        <v>111</v>
      </c>
      <c r="L14" s="128"/>
      <c r="M14" s="8" t="s">
        <v>111</v>
      </c>
      <c r="N14" s="8" t="s">
        <v>111</v>
      </c>
      <c r="O14" s="8" t="s">
        <v>111</v>
      </c>
      <c r="P14" s="8" t="s">
        <v>111</v>
      </c>
      <c r="Q14" s="8" t="s">
        <v>112</v>
      </c>
      <c r="R14" s="8"/>
      <c r="S14" s="5">
        <f>COUNTIF(E14:R14,"P")</f>
        <v>1</v>
      </c>
      <c r="T14" s="5">
        <f>COUNTIF(E14:R14,"A")</f>
        <v>10</v>
      </c>
      <c r="U14" s="5" t="s">
        <v>15</v>
      </c>
      <c r="V14" s="10">
        <f>SUM(S5:S20)</f>
        <v>147</v>
      </c>
      <c r="W14" s="10">
        <f>SUM(S21:S39)</f>
        <v>157</v>
      </c>
      <c r="X14" s="10">
        <f>V14+W14</f>
        <v>304</v>
      </c>
    </row>
    <row r="15" spans="1:24" x14ac:dyDescent="0.25">
      <c r="A15" s="27">
        <v>11</v>
      </c>
      <c r="B15" s="30" t="s">
        <v>778</v>
      </c>
      <c r="C15" s="31" t="s">
        <v>779</v>
      </c>
      <c r="D15" s="26" t="s">
        <v>805</v>
      </c>
      <c r="E15" s="128"/>
      <c r="F15" s="8" t="s">
        <v>112</v>
      </c>
      <c r="G15" s="8" t="s">
        <v>112</v>
      </c>
      <c r="H15" s="8" t="s">
        <v>112</v>
      </c>
      <c r="I15" s="8" t="s">
        <v>112</v>
      </c>
      <c r="J15" s="8" t="s">
        <v>112</v>
      </c>
      <c r="K15" s="8" t="s">
        <v>112</v>
      </c>
      <c r="L15" s="128"/>
      <c r="M15" s="8" t="s">
        <v>112</v>
      </c>
      <c r="N15" s="8" t="s">
        <v>112</v>
      </c>
      <c r="O15" s="8" t="s">
        <v>112</v>
      </c>
      <c r="P15" s="8" t="s">
        <v>112</v>
      </c>
      <c r="Q15" s="8" t="s">
        <v>112</v>
      </c>
      <c r="R15" s="8"/>
      <c r="S15" s="5">
        <f>COUNTIF(E15:R15,"P")</f>
        <v>11</v>
      </c>
      <c r="T15" s="5">
        <f>COUNTIF(E15:R15,"A")</f>
        <v>0</v>
      </c>
      <c r="U15" s="5" t="s">
        <v>16</v>
      </c>
      <c r="V15" s="13">
        <f>V14/V13</f>
        <v>0.765625</v>
      </c>
      <c r="W15" s="13">
        <f>W14/W13</f>
        <v>0.68859649122807021</v>
      </c>
      <c r="X15" s="13">
        <f>X14/X13</f>
        <v>0.72380952380952379</v>
      </c>
    </row>
    <row r="16" spans="1:24" x14ac:dyDescent="0.25">
      <c r="A16" s="10">
        <v>12</v>
      </c>
      <c r="B16" s="30" t="s">
        <v>780</v>
      </c>
      <c r="C16" s="31" t="s">
        <v>781</v>
      </c>
      <c r="D16" s="26" t="s">
        <v>805</v>
      </c>
      <c r="E16" s="128"/>
      <c r="F16" s="8" t="s">
        <v>112</v>
      </c>
      <c r="G16" s="8" t="s">
        <v>112</v>
      </c>
      <c r="H16" s="8" t="s">
        <v>112</v>
      </c>
      <c r="I16" s="8" t="s">
        <v>112</v>
      </c>
      <c r="J16" s="8" t="s">
        <v>112</v>
      </c>
      <c r="K16" s="8" t="s">
        <v>112</v>
      </c>
      <c r="L16" s="128"/>
      <c r="M16" s="8" t="s">
        <v>112</v>
      </c>
      <c r="N16" s="8" t="s">
        <v>112</v>
      </c>
      <c r="O16" s="8" t="s">
        <v>112</v>
      </c>
      <c r="P16" s="8" t="s">
        <v>112</v>
      </c>
      <c r="Q16" s="8" t="s">
        <v>112</v>
      </c>
      <c r="R16" s="8"/>
      <c r="S16" s="5">
        <f>COUNTIF(E16:R16,"P")</f>
        <v>11</v>
      </c>
      <c r="T16" s="5">
        <f>COUNTIF(E16:R16,"A")</f>
        <v>0</v>
      </c>
      <c r="U16"/>
      <c r="V16"/>
      <c r="W16"/>
      <c r="X16"/>
    </row>
    <row r="17" spans="1:24" x14ac:dyDescent="0.25">
      <c r="A17" s="27">
        <v>13</v>
      </c>
      <c r="B17" s="30" t="s">
        <v>782</v>
      </c>
      <c r="C17" s="31" t="s">
        <v>783</v>
      </c>
      <c r="D17" s="26" t="s">
        <v>805</v>
      </c>
      <c r="E17" s="128"/>
      <c r="F17" s="8" t="s">
        <v>112</v>
      </c>
      <c r="G17" s="8" t="s">
        <v>112</v>
      </c>
      <c r="H17" s="8" t="s">
        <v>112</v>
      </c>
      <c r="I17" s="8" t="s">
        <v>112</v>
      </c>
      <c r="J17" s="8" t="s">
        <v>112</v>
      </c>
      <c r="K17" s="8" t="s">
        <v>112</v>
      </c>
      <c r="L17" s="128"/>
      <c r="M17" s="8" t="s">
        <v>112</v>
      </c>
      <c r="N17" s="8" t="s">
        <v>111</v>
      </c>
      <c r="O17" s="8" t="s">
        <v>111</v>
      </c>
      <c r="P17" s="8" t="s">
        <v>112</v>
      </c>
      <c r="Q17" s="8" t="s">
        <v>112</v>
      </c>
      <c r="R17" s="8"/>
      <c r="S17" s="5">
        <f>COUNTIF(E17:R17,"P")</f>
        <v>9</v>
      </c>
      <c r="T17" s="5">
        <f>COUNTIF(E17:R17,"A")</f>
        <v>2</v>
      </c>
      <c r="U17"/>
      <c r="V17"/>
      <c r="W17"/>
      <c r="X17"/>
    </row>
    <row r="18" spans="1:24" x14ac:dyDescent="0.25">
      <c r="A18" s="10">
        <v>14</v>
      </c>
      <c r="B18" s="30" t="s">
        <v>784</v>
      </c>
      <c r="C18" s="31" t="s">
        <v>325</v>
      </c>
      <c r="D18" s="26" t="s">
        <v>805</v>
      </c>
      <c r="E18" s="128"/>
      <c r="F18" s="8" t="s">
        <v>111</v>
      </c>
      <c r="G18" s="8" t="s">
        <v>111</v>
      </c>
      <c r="H18" s="8" t="s">
        <v>112</v>
      </c>
      <c r="I18" s="8" t="s">
        <v>112</v>
      </c>
      <c r="J18" s="8" t="s">
        <v>112</v>
      </c>
      <c r="K18" s="8" t="s">
        <v>112</v>
      </c>
      <c r="L18" s="128"/>
      <c r="M18" s="8" t="s">
        <v>112</v>
      </c>
      <c r="N18" s="8" t="s">
        <v>111</v>
      </c>
      <c r="O18" s="8" t="s">
        <v>112</v>
      </c>
      <c r="P18" s="8" t="s">
        <v>112</v>
      </c>
      <c r="Q18" s="8" t="s">
        <v>112</v>
      </c>
      <c r="R18" s="8"/>
      <c r="S18" s="5">
        <f>COUNTIF(E18:R18,"P")</f>
        <v>8</v>
      </c>
      <c r="T18" s="5">
        <f>COUNTIF(E18:R18,"A")</f>
        <v>3</v>
      </c>
      <c r="U18"/>
      <c r="V18"/>
      <c r="W18"/>
      <c r="X18"/>
    </row>
    <row r="19" spans="1:24" ht="15.75" x14ac:dyDescent="0.25">
      <c r="A19" s="27">
        <v>15</v>
      </c>
      <c r="B19" s="30" t="s">
        <v>449</v>
      </c>
      <c r="C19" s="31" t="s">
        <v>756</v>
      </c>
      <c r="D19" s="26" t="s">
        <v>805</v>
      </c>
      <c r="E19" s="128"/>
      <c r="F19" s="8" t="s">
        <v>112</v>
      </c>
      <c r="G19" s="8" t="s">
        <v>112</v>
      </c>
      <c r="H19" s="8" t="s">
        <v>112</v>
      </c>
      <c r="I19" s="8" t="s">
        <v>112</v>
      </c>
      <c r="J19" s="8" t="s">
        <v>112</v>
      </c>
      <c r="K19" s="8" t="s">
        <v>112</v>
      </c>
      <c r="L19" s="128"/>
      <c r="M19" s="8" t="s">
        <v>112</v>
      </c>
      <c r="N19" s="8" t="s">
        <v>111</v>
      </c>
      <c r="O19" s="8" t="s">
        <v>111</v>
      </c>
      <c r="P19" s="8" t="s">
        <v>112</v>
      </c>
      <c r="Q19" s="8" t="s">
        <v>112</v>
      </c>
      <c r="R19" s="8"/>
      <c r="S19" s="5">
        <f>COUNTIF(E19:R19,"P")</f>
        <v>9</v>
      </c>
      <c r="T19" s="5">
        <f>COUNTIF(E19:R19,"A")</f>
        <v>2</v>
      </c>
      <c r="U19" s="118" t="s">
        <v>129</v>
      </c>
      <c r="V19" s="119"/>
      <c r="W19" s="119"/>
      <c r="X19" s="120"/>
    </row>
    <row r="20" spans="1:24" x14ac:dyDescent="0.25">
      <c r="A20" s="10">
        <v>16</v>
      </c>
      <c r="B20" s="30" t="s">
        <v>50</v>
      </c>
      <c r="C20" s="31"/>
      <c r="D20" s="26" t="s">
        <v>805</v>
      </c>
      <c r="E20" s="128"/>
      <c r="F20" s="8" t="s">
        <v>112</v>
      </c>
      <c r="G20" s="8" t="s">
        <v>112</v>
      </c>
      <c r="H20" s="8" t="s">
        <v>112</v>
      </c>
      <c r="I20" s="8" t="s">
        <v>112</v>
      </c>
      <c r="J20" s="8" t="s">
        <v>112</v>
      </c>
      <c r="K20" s="8" t="s">
        <v>112</v>
      </c>
      <c r="L20" s="128"/>
      <c r="M20" s="8" t="s">
        <v>112</v>
      </c>
      <c r="N20" s="8" t="s">
        <v>112</v>
      </c>
      <c r="O20" s="8" t="s">
        <v>112</v>
      </c>
      <c r="P20" s="8" t="s">
        <v>112</v>
      </c>
      <c r="Q20" s="8" t="s">
        <v>112</v>
      </c>
      <c r="R20" s="8"/>
      <c r="S20" s="5">
        <f>COUNTIF(E20:R20,"P")</f>
        <v>11</v>
      </c>
      <c r="T20" s="5">
        <f>COUNTIF(E20:R20,"A")</f>
        <v>0</v>
      </c>
      <c r="U20" s="5" t="s">
        <v>10</v>
      </c>
      <c r="V20" s="5" t="s">
        <v>11</v>
      </c>
      <c r="W20" s="5" t="s">
        <v>12</v>
      </c>
      <c r="X20" s="5" t="s">
        <v>13</v>
      </c>
    </row>
    <row r="21" spans="1:24" x14ac:dyDescent="0.25">
      <c r="A21" s="27">
        <v>1</v>
      </c>
      <c r="B21" s="30" t="s">
        <v>785</v>
      </c>
      <c r="C21" s="31" t="s">
        <v>786</v>
      </c>
      <c r="D21" s="26" t="s">
        <v>805</v>
      </c>
      <c r="E21" s="128"/>
      <c r="F21" s="8" t="s">
        <v>112</v>
      </c>
      <c r="G21" s="8" t="s">
        <v>111</v>
      </c>
      <c r="H21" s="8" t="s">
        <v>112</v>
      </c>
      <c r="I21" s="8" t="s">
        <v>112</v>
      </c>
      <c r="J21" s="8" t="s">
        <v>111</v>
      </c>
      <c r="K21" s="8" t="s">
        <v>112</v>
      </c>
      <c r="L21" s="128"/>
      <c r="M21" s="8" t="s">
        <v>112</v>
      </c>
      <c r="N21" s="8" t="s">
        <v>112</v>
      </c>
      <c r="O21" s="8" t="s">
        <v>112</v>
      </c>
      <c r="P21" s="8" t="s">
        <v>112</v>
      </c>
      <c r="Q21" s="8" t="s">
        <v>112</v>
      </c>
      <c r="R21" s="8"/>
      <c r="S21" s="5">
        <f>COUNTIF(E21:R21,"P")</f>
        <v>9</v>
      </c>
      <c r="T21" s="5">
        <f>COUNTIF(E21:R21,"A")</f>
        <v>2</v>
      </c>
      <c r="U21" s="5" t="s">
        <v>14</v>
      </c>
      <c r="V21" s="10">
        <f>16*$V$5</f>
        <v>192</v>
      </c>
      <c r="W21" s="10">
        <f>19*$V$5</f>
        <v>228</v>
      </c>
      <c r="X21" s="10">
        <f>V21+W21</f>
        <v>420</v>
      </c>
    </row>
    <row r="22" spans="1:24" x14ac:dyDescent="0.25">
      <c r="A22" s="10">
        <v>2</v>
      </c>
      <c r="B22" s="30" t="s">
        <v>787</v>
      </c>
      <c r="C22" s="31" t="s">
        <v>119</v>
      </c>
      <c r="D22" s="26" t="s">
        <v>805</v>
      </c>
      <c r="E22" s="128"/>
      <c r="F22" s="8" t="s">
        <v>112</v>
      </c>
      <c r="G22" s="8" t="s">
        <v>111</v>
      </c>
      <c r="H22" s="8" t="s">
        <v>111</v>
      </c>
      <c r="I22" s="8" t="s">
        <v>111</v>
      </c>
      <c r="J22" s="8" t="s">
        <v>111</v>
      </c>
      <c r="K22" s="8" t="s">
        <v>111</v>
      </c>
      <c r="L22" s="128"/>
      <c r="M22" s="8" t="s">
        <v>112</v>
      </c>
      <c r="N22" s="8" t="s">
        <v>111</v>
      </c>
      <c r="O22" s="8" t="s">
        <v>112</v>
      </c>
      <c r="P22" s="8" t="s">
        <v>112</v>
      </c>
      <c r="Q22" s="8" t="s">
        <v>112</v>
      </c>
      <c r="R22" s="8"/>
      <c r="S22" s="5">
        <f>COUNTIF(E22:R22,"P")</f>
        <v>5</v>
      </c>
      <c r="T22" s="5">
        <f>COUNTIF(E22:R22,"A")</f>
        <v>6</v>
      </c>
      <c r="U22" s="5" t="s">
        <v>17</v>
      </c>
      <c r="V22" s="10">
        <f>V21-V14</f>
        <v>45</v>
      </c>
      <c r="W22" s="10">
        <f>W21-W14</f>
        <v>71</v>
      </c>
      <c r="X22" s="10">
        <f>V22+W22</f>
        <v>116</v>
      </c>
    </row>
    <row r="23" spans="1:24" x14ac:dyDescent="0.25">
      <c r="A23" s="27">
        <v>3</v>
      </c>
      <c r="B23" s="30" t="s">
        <v>788</v>
      </c>
      <c r="C23" s="31" t="s">
        <v>789</v>
      </c>
      <c r="D23" s="26" t="s">
        <v>805</v>
      </c>
      <c r="E23" s="128"/>
      <c r="F23" s="8" t="s">
        <v>112</v>
      </c>
      <c r="G23" s="8" t="s">
        <v>112</v>
      </c>
      <c r="H23" s="8" t="s">
        <v>112</v>
      </c>
      <c r="I23" s="8" t="s">
        <v>112</v>
      </c>
      <c r="J23" s="8" t="s">
        <v>111</v>
      </c>
      <c r="K23" s="8" t="s">
        <v>112</v>
      </c>
      <c r="L23" s="128"/>
      <c r="M23" s="8" t="s">
        <v>112</v>
      </c>
      <c r="N23" s="8" t="s">
        <v>112</v>
      </c>
      <c r="O23" s="8" t="s">
        <v>112</v>
      </c>
      <c r="P23" s="8" t="s">
        <v>112</v>
      </c>
      <c r="Q23" s="8" t="s">
        <v>111</v>
      </c>
      <c r="R23" s="8"/>
      <c r="S23" s="5">
        <f>COUNTIF(E23:R23,"P")</f>
        <v>9</v>
      </c>
      <c r="T23" s="5">
        <f>COUNTIF(E23:R23,"A")</f>
        <v>2</v>
      </c>
      <c r="U23" s="5" t="s">
        <v>16</v>
      </c>
      <c r="V23" s="13">
        <f>V22/V21</f>
        <v>0.234375</v>
      </c>
      <c r="W23" s="13">
        <f>W22/W21</f>
        <v>0.31140350877192985</v>
      </c>
      <c r="X23" s="13">
        <f>X22/X21</f>
        <v>0.27619047619047621</v>
      </c>
    </row>
    <row r="24" spans="1:24" x14ac:dyDescent="0.25">
      <c r="A24" s="10">
        <v>4</v>
      </c>
      <c r="B24" s="30" t="s">
        <v>790</v>
      </c>
      <c r="C24" s="31" t="s">
        <v>407</v>
      </c>
      <c r="D24" s="26" t="s">
        <v>805</v>
      </c>
      <c r="E24" s="128"/>
      <c r="F24" s="8" t="s">
        <v>111</v>
      </c>
      <c r="G24" s="8" t="s">
        <v>112</v>
      </c>
      <c r="H24" s="8" t="s">
        <v>112</v>
      </c>
      <c r="I24" s="8" t="s">
        <v>112</v>
      </c>
      <c r="J24" s="8" t="s">
        <v>112</v>
      </c>
      <c r="K24" s="8" t="s">
        <v>112</v>
      </c>
      <c r="L24" s="128"/>
      <c r="M24" s="8" t="s">
        <v>111</v>
      </c>
      <c r="N24" s="8" t="s">
        <v>112</v>
      </c>
      <c r="O24" s="8" t="s">
        <v>112</v>
      </c>
      <c r="P24" s="8" t="s">
        <v>111</v>
      </c>
      <c r="Q24" s="8" t="s">
        <v>111</v>
      </c>
      <c r="R24" s="8"/>
      <c r="S24" s="5">
        <f>COUNTIF(E24:R24,"P")</f>
        <v>7</v>
      </c>
      <c r="T24" s="5">
        <f>COUNTIF(E24:R24,"A")</f>
        <v>4</v>
      </c>
    </row>
    <row r="25" spans="1:24" x14ac:dyDescent="0.25">
      <c r="A25" s="27">
        <v>5</v>
      </c>
      <c r="B25" s="30" t="s">
        <v>266</v>
      </c>
      <c r="C25" s="31" t="s">
        <v>791</v>
      </c>
      <c r="D25" s="26" t="s">
        <v>805</v>
      </c>
      <c r="E25" s="128"/>
      <c r="F25" s="8" t="s">
        <v>112</v>
      </c>
      <c r="G25" s="8" t="s">
        <v>112</v>
      </c>
      <c r="H25" s="8" t="s">
        <v>112</v>
      </c>
      <c r="I25" s="8" t="s">
        <v>112</v>
      </c>
      <c r="J25" s="8" t="s">
        <v>112</v>
      </c>
      <c r="K25" s="8" t="s">
        <v>112</v>
      </c>
      <c r="L25" s="128"/>
      <c r="M25" s="8" t="s">
        <v>112</v>
      </c>
      <c r="N25" s="8" t="s">
        <v>112</v>
      </c>
      <c r="O25" s="8" t="s">
        <v>112</v>
      </c>
      <c r="P25" s="8" t="s">
        <v>112</v>
      </c>
      <c r="Q25" s="8" t="s">
        <v>112</v>
      </c>
      <c r="R25" s="8"/>
      <c r="S25" s="5">
        <f>COUNTIF(E25:R25,"P")</f>
        <v>11</v>
      </c>
      <c r="T25" s="5">
        <f>COUNTIF(E25:R25,"A")</f>
        <v>0</v>
      </c>
    </row>
    <row r="26" spans="1:24" x14ac:dyDescent="0.25">
      <c r="A26" s="10">
        <v>6</v>
      </c>
      <c r="B26" s="30" t="s">
        <v>792</v>
      </c>
      <c r="C26" s="31" t="s">
        <v>771</v>
      </c>
      <c r="D26" s="26" t="s">
        <v>805</v>
      </c>
      <c r="E26" s="128"/>
      <c r="F26" s="8" t="s">
        <v>112</v>
      </c>
      <c r="G26" s="8" t="s">
        <v>112</v>
      </c>
      <c r="H26" s="8" t="s">
        <v>112</v>
      </c>
      <c r="I26" s="8" t="s">
        <v>112</v>
      </c>
      <c r="J26" s="8" t="s">
        <v>112</v>
      </c>
      <c r="K26" s="8" t="s">
        <v>112</v>
      </c>
      <c r="L26" s="128"/>
      <c r="M26" s="8" t="s">
        <v>112</v>
      </c>
      <c r="N26" s="8" t="s">
        <v>112</v>
      </c>
      <c r="O26" s="8" t="s">
        <v>112</v>
      </c>
      <c r="P26" s="8" t="s">
        <v>112</v>
      </c>
      <c r="Q26" s="8" t="s">
        <v>112</v>
      </c>
      <c r="R26" s="8"/>
      <c r="S26" s="5">
        <f>COUNTIF(E26:R26,"P")</f>
        <v>11</v>
      </c>
      <c r="T26" s="5">
        <f>COUNTIF(E26:R26,"A")</f>
        <v>0</v>
      </c>
    </row>
    <row r="27" spans="1:24" x14ac:dyDescent="0.25">
      <c r="A27" s="27">
        <v>7</v>
      </c>
      <c r="B27" s="30" t="s">
        <v>793</v>
      </c>
      <c r="C27" s="31" t="s">
        <v>256</v>
      </c>
      <c r="D27" s="26" t="s">
        <v>805</v>
      </c>
      <c r="E27" s="128"/>
      <c r="F27" s="8" t="s">
        <v>111</v>
      </c>
      <c r="G27" s="8" t="s">
        <v>111</v>
      </c>
      <c r="H27" s="8" t="s">
        <v>111</v>
      </c>
      <c r="I27" s="8" t="s">
        <v>111</v>
      </c>
      <c r="J27" s="8" t="s">
        <v>111</v>
      </c>
      <c r="K27" s="8" t="s">
        <v>111</v>
      </c>
      <c r="L27" s="128"/>
      <c r="M27" s="8" t="s">
        <v>111</v>
      </c>
      <c r="N27" s="8" t="s">
        <v>111</v>
      </c>
      <c r="O27" s="8" t="s">
        <v>111</v>
      </c>
      <c r="P27" s="8" t="s">
        <v>111</v>
      </c>
      <c r="Q27" s="8" t="s">
        <v>111</v>
      </c>
      <c r="R27" s="8"/>
      <c r="S27" s="5">
        <f>COUNTIF(E27:R27,"P")</f>
        <v>0</v>
      </c>
      <c r="T27" s="5">
        <f>COUNTIF(E27:R27,"A")</f>
        <v>11</v>
      </c>
    </row>
    <row r="28" spans="1:24" x14ac:dyDescent="0.25">
      <c r="A28" s="10">
        <v>8</v>
      </c>
      <c r="B28" s="30" t="s">
        <v>794</v>
      </c>
      <c r="C28" s="31" t="s">
        <v>433</v>
      </c>
      <c r="D28" s="26" t="s">
        <v>805</v>
      </c>
      <c r="E28" s="128"/>
      <c r="F28" s="8" t="s">
        <v>112</v>
      </c>
      <c r="G28" s="8" t="s">
        <v>111</v>
      </c>
      <c r="H28" s="8" t="s">
        <v>111</v>
      </c>
      <c r="I28" s="8" t="s">
        <v>111</v>
      </c>
      <c r="J28" s="8" t="s">
        <v>111</v>
      </c>
      <c r="K28" s="8" t="s">
        <v>111</v>
      </c>
      <c r="L28" s="128"/>
      <c r="M28" s="8" t="s">
        <v>111</v>
      </c>
      <c r="N28" s="8" t="s">
        <v>111</v>
      </c>
      <c r="O28" s="8" t="s">
        <v>112</v>
      </c>
      <c r="P28" s="8" t="s">
        <v>112</v>
      </c>
      <c r="Q28" s="8" t="s">
        <v>112</v>
      </c>
      <c r="R28" s="8"/>
      <c r="S28" s="5">
        <f>COUNTIF(E28:R28,"P")</f>
        <v>4</v>
      </c>
      <c r="T28" s="5">
        <f>COUNTIF(E28:R28,"A")</f>
        <v>7</v>
      </c>
    </row>
    <row r="29" spans="1:24" x14ac:dyDescent="0.25">
      <c r="A29" s="27">
        <v>9</v>
      </c>
      <c r="B29" s="30" t="s">
        <v>795</v>
      </c>
      <c r="C29" s="31" t="s">
        <v>433</v>
      </c>
      <c r="D29" s="26" t="s">
        <v>805</v>
      </c>
      <c r="E29" s="128"/>
      <c r="F29" s="8" t="s">
        <v>112</v>
      </c>
      <c r="G29" s="8" t="s">
        <v>112</v>
      </c>
      <c r="H29" s="8" t="s">
        <v>112</v>
      </c>
      <c r="I29" s="8" t="s">
        <v>112</v>
      </c>
      <c r="J29" s="8" t="s">
        <v>112</v>
      </c>
      <c r="K29" s="8" t="s">
        <v>112</v>
      </c>
      <c r="L29" s="128"/>
      <c r="M29" s="8" t="s">
        <v>112</v>
      </c>
      <c r="N29" s="8" t="s">
        <v>112</v>
      </c>
      <c r="O29" s="8" t="s">
        <v>112</v>
      </c>
      <c r="P29" s="8" t="s">
        <v>112</v>
      </c>
      <c r="Q29" s="8" t="s">
        <v>112</v>
      </c>
      <c r="R29" s="8"/>
      <c r="S29" s="5">
        <f>COUNTIF(E29:R29,"P")</f>
        <v>11</v>
      </c>
      <c r="T29" s="5">
        <f>COUNTIF(E29:R29,"A")</f>
        <v>0</v>
      </c>
    </row>
    <row r="30" spans="1:24" x14ac:dyDescent="0.25">
      <c r="A30" s="10">
        <v>10</v>
      </c>
      <c r="B30" s="30" t="s">
        <v>796</v>
      </c>
      <c r="C30" s="31" t="s">
        <v>797</v>
      </c>
      <c r="D30" s="26" t="s">
        <v>805</v>
      </c>
      <c r="E30" s="128"/>
      <c r="F30" s="8" t="s">
        <v>112</v>
      </c>
      <c r="G30" s="8" t="s">
        <v>112</v>
      </c>
      <c r="H30" s="8" t="s">
        <v>112</v>
      </c>
      <c r="I30" s="8" t="s">
        <v>112</v>
      </c>
      <c r="J30" s="8" t="s">
        <v>112</v>
      </c>
      <c r="K30" s="8" t="s">
        <v>112</v>
      </c>
      <c r="L30" s="128"/>
      <c r="M30" s="8" t="s">
        <v>112</v>
      </c>
      <c r="N30" s="8" t="s">
        <v>112</v>
      </c>
      <c r="O30" s="8" t="s">
        <v>112</v>
      </c>
      <c r="P30" s="8" t="s">
        <v>112</v>
      </c>
      <c r="Q30" s="8" t="s">
        <v>112</v>
      </c>
      <c r="R30" s="8"/>
      <c r="S30" s="5">
        <f>COUNTIF(E30:R30,"P")</f>
        <v>11</v>
      </c>
      <c r="T30" s="5">
        <f>COUNTIF(E30:R30,"A")</f>
        <v>0</v>
      </c>
    </row>
    <row r="31" spans="1:24" x14ac:dyDescent="0.25">
      <c r="A31" s="27">
        <v>11</v>
      </c>
      <c r="B31" s="34" t="s">
        <v>529</v>
      </c>
      <c r="C31" s="35" t="s">
        <v>365</v>
      </c>
      <c r="D31" s="26" t="s">
        <v>805</v>
      </c>
      <c r="E31" s="128"/>
      <c r="F31" s="8" t="s">
        <v>111</v>
      </c>
      <c r="G31" s="8" t="s">
        <v>111</v>
      </c>
      <c r="H31" s="8" t="s">
        <v>111</v>
      </c>
      <c r="I31" s="8" t="s">
        <v>111</v>
      </c>
      <c r="J31" s="8" t="s">
        <v>111</v>
      </c>
      <c r="K31" s="8" t="s">
        <v>111</v>
      </c>
      <c r="L31" s="128"/>
      <c r="M31" s="8" t="s">
        <v>111</v>
      </c>
      <c r="N31" s="8" t="s">
        <v>111</v>
      </c>
      <c r="O31" s="8" t="s">
        <v>111</v>
      </c>
      <c r="P31" s="8" t="s">
        <v>111</v>
      </c>
      <c r="Q31" s="8" t="s">
        <v>111</v>
      </c>
      <c r="R31" s="8"/>
      <c r="S31" s="5">
        <f>COUNTIF(E31:R31,"P")</f>
        <v>0</v>
      </c>
      <c r="T31" s="5">
        <f>COUNTIF(E31:R31,"A")</f>
        <v>11</v>
      </c>
    </row>
    <row r="32" spans="1:24" x14ac:dyDescent="0.25">
      <c r="A32" s="10">
        <v>12</v>
      </c>
      <c r="B32" s="36" t="s">
        <v>798</v>
      </c>
      <c r="C32" s="36" t="s">
        <v>777</v>
      </c>
      <c r="D32" s="26" t="s">
        <v>805</v>
      </c>
      <c r="E32" s="128"/>
      <c r="F32" s="8" t="s">
        <v>111</v>
      </c>
      <c r="G32" s="8" t="s">
        <v>112</v>
      </c>
      <c r="H32" s="8" t="s">
        <v>112</v>
      </c>
      <c r="I32" s="8" t="s">
        <v>112</v>
      </c>
      <c r="J32" s="8" t="s">
        <v>112</v>
      </c>
      <c r="K32" s="8" t="s">
        <v>112</v>
      </c>
      <c r="L32" s="128"/>
      <c r="M32" s="8" t="s">
        <v>111</v>
      </c>
      <c r="N32" s="8" t="s">
        <v>111</v>
      </c>
      <c r="O32" s="8" t="s">
        <v>112</v>
      </c>
      <c r="P32" s="8" t="s">
        <v>112</v>
      </c>
      <c r="Q32" s="8" t="s">
        <v>112</v>
      </c>
      <c r="R32" s="8"/>
      <c r="S32" s="5">
        <f>COUNTIF(E32:R32,"P")</f>
        <v>8</v>
      </c>
      <c r="T32" s="5">
        <f>COUNTIF(E32:R32,"A")</f>
        <v>3</v>
      </c>
    </row>
    <row r="33" spans="1:20" x14ac:dyDescent="0.25">
      <c r="A33" s="27">
        <v>13</v>
      </c>
      <c r="B33" s="36" t="s">
        <v>799</v>
      </c>
      <c r="C33" s="36" t="s">
        <v>800</v>
      </c>
      <c r="D33" s="26" t="s">
        <v>805</v>
      </c>
      <c r="E33" s="128"/>
      <c r="F33" s="8" t="s">
        <v>111</v>
      </c>
      <c r="G33" s="8" t="s">
        <v>112</v>
      </c>
      <c r="H33" s="8" t="s">
        <v>112</v>
      </c>
      <c r="I33" s="8" t="s">
        <v>111</v>
      </c>
      <c r="J33" s="8" t="s">
        <v>111</v>
      </c>
      <c r="K33" s="8" t="s">
        <v>112</v>
      </c>
      <c r="L33" s="128"/>
      <c r="M33" s="8" t="s">
        <v>112</v>
      </c>
      <c r="N33" s="8" t="s">
        <v>112</v>
      </c>
      <c r="O33" s="8" t="s">
        <v>112</v>
      </c>
      <c r="P33" s="8" t="s">
        <v>111</v>
      </c>
      <c r="Q33" s="8" t="s">
        <v>111</v>
      </c>
      <c r="R33" s="8"/>
      <c r="S33" s="5">
        <f>COUNTIF(E33:R33,"P")</f>
        <v>6</v>
      </c>
      <c r="T33" s="5">
        <f>COUNTIF(E33:R33,"A")</f>
        <v>5</v>
      </c>
    </row>
    <row r="34" spans="1:20" x14ac:dyDescent="0.25">
      <c r="A34" s="10">
        <v>14</v>
      </c>
      <c r="B34" s="36" t="s">
        <v>801</v>
      </c>
      <c r="C34" s="36" t="s">
        <v>802</v>
      </c>
      <c r="D34" s="26" t="s">
        <v>805</v>
      </c>
      <c r="E34" s="128"/>
      <c r="F34" s="8" t="s">
        <v>112</v>
      </c>
      <c r="G34" s="8" t="s">
        <v>112</v>
      </c>
      <c r="H34" s="8" t="s">
        <v>112</v>
      </c>
      <c r="I34" s="8" t="s">
        <v>112</v>
      </c>
      <c r="J34" s="8" t="s">
        <v>112</v>
      </c>
      <c r="K34" s="8" t="s">
        <v>112</v>
      </c>
      <c r="L34" s="128"/>
      <c r="M34" s="8" t="s">
        <v>112</v>
      </c>
      <c r="N34" s="8" t="s">
        <v>112</v>
      </c>
      <c r="O34" s="8" t="s">
        <v>112</v>
      </c>
      <c r="P34" s="8" t="s">
        <v>112</v>
      </c>
      <c r="Q34" s="8" t="s">
        <v>112</v>
      </c>
      <c r="R34" s="8"/>
      <c r="S34" s="5">
        <f>COUNTIF(E34:R34,"P")</f>
        <v>11</v>
      </c>
      <c r="T34" s="5">
        <f>COUNTIF(E34:R34,"A")</f>
        <v>0</v>
      </c>
    </row>
    <row r="35" spans="1:20" x14ac:dyDescent="0.25">
      <c r="A35" s="27">
        <v>15</v>
      </c>
      <c r="B35" s="15" t="s">
        <v>424</v>
      </c>
      <c r="C35" s="15" t="s">
        <v>146</v>
      </c>
      <c r="D35" s="26" t="s">
        <v>805</v>
      </c>
      <c r="E35" s="128"/>
      <c r="F35" s="8" t="s">
        <v>112</v>
      </c>
      <c r="G35" s="8" t="s">
        <v>112</v>
      </c>
      <c r="H35" s="8" t="s">
        <v>112</v>
      </c>
      <c r="I35" s="8" t="s">
        <v>112</v>
      </c>
      <c r="J35" s="8" t="s">
        <v>112</v>
      </c>
      <c r="K35" s="8" t="s">
        <v>112</v>
      </c>
      <c r="L35" s="128"/>
      <c r="M35" s="8" t="s">
        <v>112</v>
      </c>
      <c r="N35" s="8" t="s">
        <v>112</v>
      </c>
      <c r="O35" s="8" t="s">
        <v>112</v>
      </c>
      <c r="P35" s="8" t="s">
        <v>112</v>
      </c>
      <c r="Q35" s="8" t="s">
        <v>112</v>
      </c>
      <c r="R35" s="8"/>
      <c r="S35" s="5">
        <f>COUNTIF(E35:R35,"P")</f>
        <v>11</v>
      </c>
      <c r="T35" s="5">
        <f>COUNTIF(E35:R35,"A")</f>
        <v>0</v>
      </c>
    </row>
    <row r="36" spans="1:20" x14ac:dyDescent="0.25">
      <c r="A36" s="10">
        <v>16</v>
      </c>
      <c r="B36" s="15" t="s">
        <v>273</v>
      </c>
      <c r="C36" s="15"/>
      <c r="D36" s="26" t="s">
        <v>805</v>
      </c>
      <c r="E36" s="128"/>
      <c r="F36" s="8" t="s">
        <v>111</v>
      </c>
      <c r="G36" s="8" t="s">
        <v>112</v>
      </c>
      <c r="H36" s="8" t="s">
        <v>112</v>
      </c>
      <c r="I36" s="8" t="s">
        <v>112</v>
      </c>
      <c r="J36" s="8" t="s">
        <v>112</v>
      </c>
      <c r="K36" s="8" t="s">
        <v>112</v>
      </c>
      <c r="L36" s="128"/>
      <c r="M36" s="8" t="s">
        <v>112</v>
      </c>
      <c r="N36" s="8" t="s">
        <v>112</v>
      </c>
      <c r="O36" s="8" t="s">
        <v>112</v>
      </c>
      <c r="P36" s="8" t="s">
        <v>112</v>
      </c>
      <c r="Q36" s="8" t="s">
        <v>112</v>
      </c>
      <c r="R36" s="8"/>
      <c r="S36" s="5">
        <f>COUNTIF(E36:R36,"P")</f>
        <v>10</v>
      </c>
      <c r="T36" s="5">
        <f>COUNTIF(E36:R36,"A")</f>
        <v>1</v>
      </c>
    </row>
    <row r="37" spans="1:20" x14ac:dyDescent="0.25">
      <c r="A37" s="27">
        <v>17</v>
      </c>
      <c r="B37" s="15" t="s">
        <v>803</v>
      </c>
      <c r="C37" s="15"/>
      <c r="D37" s="26" t="s">
        <v>805</v>
      </c>
      <c r="E37" s="128"/>
      <c r="F37" s="8" t="s">
        <v>112</v>
      </c>
      <c r="G37" s="8" t="s">
        <v>112</v>
      </c>
      <c r="H37" s="8" t="s">
        <v>112</v>
      </c>
      <c r="I37" s="8" t="s">
        <v>112</v>
      </c>
      <c r="J37" s="8" t="s">
        <v>112</v>
      </c>
      <c r="K37" s="8" t="s">
        <v>112</v>
      </c>
      <c r="L37" s="128"/>
      <c r="M37" s="8" t="s">
        <v>112</v>
      </c>
      <c r="N37" s="8" t="s">
        <v>112</v>
      </c>
      <c r="O37" s="8" t="s">
        <v>112</v>
      </c>
      <c r="P37" s="8" t="s">
        <v>112</v>
      </c>
      <c r="Q37" s="8" t="s">
        <v>112</v>
      </c>
      <c r="R37" s="8"/>
      <c r="S37" s="5">
        <f>COUNTIF(E37:R37,"P")</f>
        <v>11</v>
      </c>
      <c r="T37" s="5">
        <f>COUNTIF(E37:R37,"A")</f>
        <v>0</v>
      </c>
    </row>
    <row r="38" spans="1:20" x14ac:dyDescent="0.25">
      <c r="A38" s="10">
        <v>18</v>
      </c>
      <c r="B38" s="15" t="s">
        <v>160</v>
      </c>
      <c r="C38" s="15" t="s">
        <v>356</v>
      </c>
      <c r="D38" s="26" t="s">
        <v>805</v>
      </c>
      <c r="E38" s="128"/>
      <c r="F38" s="8" t="s">
        <v>112</v>
      </c>
      <c r="G38" s="8" t="s">
        <v>112</v>
      </c>
      <c r="H38" s="8" t="s">
        <v>112</v>
      </c>
      <c r="I38" s="8" t="s">
        <v>112</v>
      </c>
      <c r="J38" s="8" t="s">
        <v>112</v>
      </c>
      <c r="K38" s="8" t="s">
        <v>112</v>
      </c>
      <c r="L38" s="128"/>
      <c r="M38" s="8" t="s">
        <v>112</v>
      </c>
      <c r="N38" s="8" t="s">
        <v>112</v>
      </c>
      <c r="O38" s="8" t="s">
        <v>112</v>
      </c>
      <c r="P38" s="8" t="s">
        <v>112</v>
      </c>
      <c r="Q38" s="8" t="s">
        <v>112</v>
      </c>
      <c r="R38" s="8"/>
      <c r="S38" s="5">
        <f>COUNTIF(E38:R38,"P")</f>
        <v>11</v>
      </c>
      <c r="T38" s="5">
        <f>COUNTIF(E38:R38,"A")</f>
        <v>0</v>
      </c>
    </row>
    <row r="39" spans="1:20" x14ac:dyDescent="0.25">
      <c r="A39" s="27">
        <v>19</v>
      </c>
      <c r="B39" s="15" t="s">
        <v>804</v>
      </c>
      <c r="C39" s="15" t="s">
        <v>480</v>
      </c>
      <c r="D39" s="26" t="s">
        <v>805</v>
      </c>
      <c r="E39" s="129"/>
      <c r="F39" s="8" t="s">
        <v>112</v>
      </c>
      <c r="G39" s="8" t="s">
        <v>112</v>
      </c>
      <c r="H39" s="8" t="s">
        <v>112</v>
      </c>
      <c r="I39" s="8" t="s">
        <v>112</v>
      </c>
      <c r="J39" s="8" t="s">
        <v>112</v>
      </c>
      <c r="K39" s="8" t="s">
        <v>112</v>
      </c>
      <c r="L39" s="129"/>
      <c r="M39" s="8" t="s">
        <v>112</v>
      </c>
      <c r="N39" s="8" t="s">
        <v>112</v>
      </c>
      <c r="O39" s="8" t="s">
        <v>112</v>
      </c>
      <c r="P39" s="8" t="s">
        <v>112</v>
      </c>
      <c r="Q39" s="8" t="s">
        <v>112</v>
      </c>
      <c r="R39" s="8"/>
      <c r="S39" s="5">
        <f>COUNTIF(E39:R39,"P")</f>
        <v>11</v>
      </c>
      <c r="T39" s="5">
        <f>COUNTIF(E39:R39,"A")</f>
        <v>0</v>
      </c>
    </row>
    <row r="40" spans="1:20" x14ac:dyDescent="0.25">
      <c r="A40" s="40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2"/>
      <c r="T40" s="42"/>
    </row>
    <row r="41" spans="1:20" x14ac:dyDescent="0.25">
      <c r="A41" s="40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2"/>
      <c r="T41" s="42"/>
    </row>
    <row r="42" spans="1:20" x14ac:dyDescent="0.25">
      <c r="A42" s="40"/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2"/>
      <c r="T42" s="42"/>
    </row>
    <row r="43" spans="1:20" x14ac:dyDescent="0.25">
      <c r="D43" s="41"/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2"/>
      <c r="T43" s="42"/>
    </row>
    <row r="44" spans="1:20" x14ac:dyDescent="0.25"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2"/>
      <c r="T44" s="42"/>
    </row>
  </sheetData>
  <mergeCells count="13">
    <mergeCell ref="U3:V3"/>
    <mergeCell ref="E5:E39"/>
    <mergeCell ref="L5:L39"/>
    <mergeCell ref="U11:X11"/>
    <mergeCell ref="U19:X19"/>
    <mergeCell ref="A1:T1"/>
    <mergeCell ref="A2:T2"/>
    <mergeCell ref="A3:A4"/>
    <mergeCell ref="B3:B4"/>
    <mergeCell ref="C3:C4"/>
    <mergeCell ref="D3:D4"/>
    <mergeCell ref="S3:S4"/>
    <mergeCell ref="T3:T4"/>
  </mergeCells>
  <phoneticPr fontId="12" type="noConversion"/>
  <conditionalFormatting sqref="F5:K39 M5:R39 E4:R4">
    <cfRule type="expression" dxfId="21" priority="45">
      <formula>IF(E$4=TODAY(),TRUE,FALSE)</formula>
    </cfRule>
  </conditionalFormatting>
  <conditionalFormatting sqref="F5:K39 M5:R39">
    <cfRule type="cellIs" dxfId="20" priority="42" operator="equal">
      <formula>"L"</formula>
    </cfRule>
    <cfRule type="cellIs" dxfId="19" priority="43" operator="equal">
      <formula>"A"</formula>
    </cfRule>
    <cfRule type="cellIs" dxfId="18" priority="44" operator="equal">
      <formula>"P"</formula>
    </cfRule>
  </conditionalFormatting>
  <conditionalFormatting sqref="F5:K39 M5:R39 E3:R4">
    <cfRule type="expression" dxfId="17" priority="46">
      <formula>E$3="Sun"</formula>
    </cfRule>
  </conditionalFormatting>
  <conditionalFormatting sqref="E5">
    <cfRule type="cellIs" dxfId="16" priority="12" operator="equal">
      <formula>"L"</formula>
    </cfRule>
    <cfRule type="cellIs" dxfId="15" priority="13" operator="equal">
      <formula>"A"</formula>
    </cfRule>
    <cfRule type="cellIs" dxfId="14" priority="14" operator="equal">
      <formula>"P"</formula>
    </cfRule>
    <cfRule type="expression" dxfId="13" priority="15">
      <formula>IF(E$4=TODAY(),TRUE,FALSE)</formula>
    </cfRule>
    <cfRule type="expression" dxfId="12" priority="16">
      <formula>E$3="Sun"</formula>
    </cfRule>
  </conditionalFormatting>
  <conditionalFormatting sqref="L5">
    <cfRule type="cellIs" dxfId="11" priority="7" operator="equal">
      <formula>"L"</formula>
    </cfRule>
    <cfRule type="cellIs" dxfId="10" priority="8" operator="equal">
      <formula>"A"</formula>
    </cfRule>
    <cfRule type="cellIs" dxfId="9" priority="9" operator="equal">
      <formula>"P"</formula>
    </cfRule>
    <cfRule type="expression" dxfId="8" priority="10">
      <formula>IF(L$4=TODAY(),TRUE,FALSE)</formula>
    </cfRule>
    <cfRule type="expression" dxfId="7" priority="11">
      <formula>L$3="Sun"</formula>
    </cfRule>
  </conditionalFormatting>
  <conditionalFormatting sqref="S3:T3 S5:T39">
    <cfRule type="expression" dxfId="6" priority="47">
      <formula>#REF!="Sun"</formula>
    </cfRule>
  </conditionalFormatting>
  <conditionalFormatting sqref="U5:U9">
    <cfRule type="expression" dxfId="5" priority="4">
      <formula>U$3="Sun"</formula>
    </cfRule>
  </conditionalFormatting>
  <conditionalFormatting sqref="U12:U15">
    <cfRule type="expression" dxfId="4" priority="2">
      <formula>U$3="Sun"</formula>
    </cfRule>
  </conditionalFormatting>
  <conditionalFormatting sqref="U20:U23">
    <cfRule type="expression" dxfId="3" priority="1">
      <formula>U$3="Sun"</formula>
    </cfRule>
  </conditionalFormatting>
  <conditionalFormatting sqref="U4:V4">
    <cfRule type="expression" dxfId="2" priority="5">
      <formula>U$3="Sun"</formula>
    </cfRule>
  </conditionalFormatting>
  <conditionalFormatting sqref="V12:X12 V20:X20">
    <cfRule type="expression" dxfId="1" priority="6">
      <formula>V$3="Sun"</formula>
    </cfRule>
  </conditionalFormatting>
  <conditionalFormatting sqref="X21">
    <cfRule type="expression" dxfId="0" priority="3">
      <formula>X$3="Sun"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Compile Sheet-November-2024</vt:lpstr>
      <vt:lpstr>ECE (ROSE)</vt:lpstr>
      <vt:lpstr>ECE (Daffodills)</vt:lpstr>
      <vt:lpstr>Class-I</vt:lpstr>
      <vt:lpstr>Class-II</vt:lpstr>
      <vt:lpstr>Class-III</vt:lpstr>
      <vt:lpstr>Class-IV</vt:lpstr>
      <vt:lpstr>Class-V</vt:lpstr>
      <vt:lpstr>Class-VI</vt:lpstr>
      <vt:lpstr>Class-VII</vt:lpstr>
      <vt:lpstr>Class-VIII</vt:lpstr>
      <vt:lpstr>Class-IX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2025-03-07T05:48:43Z</dcterms:modified>
</cp:coreProperties>
</file>