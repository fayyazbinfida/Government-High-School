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indhi Muslim Co Operative Housing Society\I. Student Attendance\"/>
    </mc:Choice>
  </mc:AlternateContent>
  <xr:revisionPtr revIDLastSave="0" documentId="13_ncr:1_{83CF450B-944E-4927-B9C9-70BE132C27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8" l="1"/>
  <c r="I10" i="18"/>
  <c r="J9" i="18"/>
  <c r="I9" i="18"/>
  <c r="J8" i="18"/>
  <c r="I8" i="18"/>
  <c r="J7" i="18"/>
  <c r="I7" i="18"/>
  <c r="J6" i="18"/>
  <c r="I6" i="18"/>
  <c r="AG3" i="17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B3" i="14"/>
  <c r="AC3" i="14"/>
  <c r="AD3" i="14"/>
  <c r="AE3" i="14"/>
  <c r="AF3" i="14"/>
  <c r="AG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K13" i="8"/>
  <c r="AM13" i="8" s="1"/>
  <c r="AL21" i="5"/>
  <c r="AK21" i="5"/>
  <c r="AK13" i="5"/>
  <c r="AL13" i="5"/>
  <c r="AL21" i="8"/>
  <c r="AK21" i="8"/>
  <c r="AL13" i="8"/>
  <c r="AK4" i="8"/>
  <c r="AK4" i="5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M13" i="5" l="1"/>
  <c r="AM21" i="11"/>
  <c r="AK14" i="11"/>
  <c r="AK22" i="11" s="1"/>
  <c r="AM13" i="11"/>
  <c r="AL14" i="11"/>
  <c r="AL15" i="11" s="1"/>
  <c r="AM21" i="8"/>
  <c r="AM21" i="5"/>
  <c r="AK15" i="11" l="1"/>
  <c r="AM14" i="11"/>
  <c r="AM15" i="11" s="1"/>
  <c r="AL22" i="11"/>
  <c r="AL23" i="11" s="1"/>
  <c r="AK23" i="11"/>
  <c r="AM22" i="11" l="1"/>
  <c r="AM23" i="11" s="1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M21" i="10" l="1"/>
  <c r="AK14" i="10"/>
  <c r="AK22" i="10" s="1"/>
  <c r="AL14" i="10"/>
  <c r="AL15" i="10" s="1"/>
  <c r="AM13" i="10"/>
  <c r="AK15" i="10" l="1"/>
  <c r="AM14" i="10"/>
  <c r="AM15" i="10" s="1"/>
  <c r="AL22" i="10"/>
  <c r="AL23" i="10" s="1"/>
  <c r="AK23" i="10"/>
  <c r="AM22" i="10" l="1"/>
  <c r="AM23" i="10" s="1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M13" i="9" l="1"/>
  <c r="AL14" i="9"/>
  <c r="AL15" i="9" s="1"/>
  <c r="AK14" i="9"/>
  <c r="AM14" i="9" l="1"/>
  <c r="AM15" i="9" s="1"/>
  <c r="AK22" i="9"/>
  <c r="AK23" i="9" s="1"/>
  <c r="AK15" i="9"/>
  <c r="AL22" i="9"/>
  <c r="AL23" i="9" s="1"/>
  <c r="AM22" i="9" l="1"/>
  <c r="AM23" i="9" s="1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K14" i="5"/>
  <c r="AK15" i="5" s="1"/>
  <c r="AL14" i="5"/>
  <c r="AL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21" i="17"/>
  <c r="AK21" i="17"/>
  <c r="AL13" i="17"/>
  <c r="AK13" i="17"/>
  <c r="AK4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I10" i="17"/>
  <c r="AH10" i="17"/>
  <c r="AI9" i="17"/>
  <c r="AH9" i="17"/>
  <c r="AI8" i="17"/>
  <c r="AH8" i="17"/>
  <c r="AI7" i="17"/>
  <c r="AH7" i="17"/>
  <c r="AI6" i="17"/>
  <c r="AH6" i="17"/>
  <c r="AI5" i="17"/>
  <c r="AH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M13" i="17" l="1"/>
  <c r="AM22" i="8"/>
  <c r="AM23" i="8" s="1"/>
  <c r="AL23" i="8"/>
  <c r="AK22" i="5"/>
  <c r="AK23" i="5" s="1"/>
  <c r="AL15" i="5"/>
  <c r="AM14" i="5"/>
  <c r="AM15" i="5" s="1"/>
  <c r="AL23" i="5"/>
  <c r="AL14" i="17"/>
  <c r="AL22" i="17" s="1"/>
  <c r="AL23" i="17" s="1"/>
  <c r="AK14" i="17"/>
  <c r="AK22" i="17" s="1"/>
  <c r="AK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M21" i="17"/>
  <c r="J16" i="18" l="1"/>
  <c r="L16" i="18" s="1"/>
  <c r="AM22" i="5"/>
  <c r="AM23" i="5" s="1"/>
  <c r="AL15" i="17"/>
  <c r="I16" i="18"/>
  <c r="AK15" i="17"/>
  <c r="AM14" i="17"/>
  <c r="AM15" i="17" s="1"/>
  <c r="AM22" i="17"/>
  <c r="AM23" i="17" s="1"/>
  <c r="H17" i="18"/>
  <c r="K16" i="18" l="1"/>
  <c r="N16" i="18" s="1"/>
  <c r="M16" i="18"/>
  <c r="O16" i="18" s="1"/>
  <c r="AL21" i="16"/>
  <c r="AK21" i="16"/>
  <c r="AL13" i="16"/>
  <c r="AK13" i="16"/>
  <c r="AK4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I10" i="16"/>
  <c r="AH10" i="16"/>
  <c r="AI9" i="16"/>
  <c r="AH9" i="16"/>
  <c r="AI8" i="16"/>
  <c r="AH8" i="16"/>
  <c r="AI7" i="16"/>
  <c r="AH7" i="16"/>
  <c r="AI6" i="16"/>
  <c r="AH6" i="16"/>
  <c r="AI5" i="16"/>
  <c r="AH5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M13" i="16" l="1"/>
  <c r="AK14" i="16"/>
  <c r="I15" i="18" s="1"/>
  <c r="M15" i="18" s="1"/>
  <c r="AL14" i="16"/>
  <c r="J15" i="18" s="1"/>
  <c r="L15" i="18" s="1"/>
  <c r="AM21" i="16"/>
  <c r="AK22" i="16" l="1"/>
  <c r="AK15" i="16"/>
  <c r="AL22" i="16"/>
  <c r="O15" i="18"/>
  <c r="AL15" i="16"/>
  <c r="AM14" i="16"/>
  <c r="AM15" i="16" s="1"/>
  <c r="K15" i="18"/>
  <c r="N15" i="18" s="1"/>
  <c r="AM22" i="16" l="1"/>
  <c r="AK20" i="15"/>
  <c r="AJ20" i="15"/>
  <c r="AK13" i="15"/>
  <c r="AL13" i="15" s="1"/>
  <c r="AJ13" i="15"/>
  <c r="AJ4" i="15"/>
  <c r="AH49" i="15"/>
  <c r="AG49" i="15"/>
  <c r="AH48" i="15"/>
  <c r="AG48" i="15"/>
  <c r="AH47" i="15"/>
  <c r="AG47" i="15"/>
  <c r="AH46" i="15"/>
  <c r="AG46" i="15"/>
  <c r="AH45" i="15"/>
  <c r="AG45" i="15"/>
  <c r="AH44" i="15"/>
  <c r="AG44" i="15"/>
  <c r="AH43" i="15"/>
  <c r="AG43" i="15"/>
  <c r="AH42" i="15"/>
  <c r="AG42" i="15"/>
  <c r="AH41" i="15"/>
  <c r="AG41" i="15"/>
  <c r="AH40" i="15"/>
  <c r="AG40" i="15"/>
  <c r="AH39" i="15"/>
  <c r="AG39" i="15"/>
  <c r="AH38" i="15"/>
  <c r="AG38" i="15"/>
  <c r="AH37" i="15"/>
  <c r="AG37" i="15"/>
  <c r="AH36" i="15"/>
  <c r="AG36" i="15"/>
  <c r="AH35" i="15"/>
  <c r="AG35" i="15"/>
  <c r="AH34" i="15"/>
  <c r="AG34" i="15"/>
  <c r="AH33" i="15"/>
  <c r="AG33" i="15"/>
  <c r="AH32" i="15"/>
  <c r="AG32" i="15"/>
  <c r="AH31" i="15"/>
  <c r="AG31" i="15"/>
  <c r="AH30" i="15"/>
  <c r="AG30" i="15"/>
  <c r="AH29" i="15"/>
  <c r="AG29" i="15"/>
  <c r="AH28" i="15"/>
  <c r="AG28" i="15"/>
  <c r="AH27" i="15"/>
  <c r="AG27" i="15"/>
  <c r="AH26" i="15"/>
  <c r="AG26" i="15"/>
  <c r="AH25" i="15"/>
  <c r="AG25" i="15"/>
  <c r="AH24" i="15"/>
  <c r="AG24" i="15"/>
  <c r="AH23" i="15"/>
  <c r="AG23" i="15"/>
  <c r="AH22" i="15"/>
  <c r="AG22" i="15"/>
  <c r="AH21" i="15"/>
  <c r="AG21" i="15"/>
  <c r="AH20" i="15"/>
  <c r="AG20" i="15"/>
  <c r="AH19" i="15"/>
  <c r="AG19" i="15"/>
  <c r="AH18" i="15"/>
  <c r="AG18" i="15"/>
  <c r="AH17" i="15"/>
  <c r="AG17" i="15"/>
  <c r="AH16" i="15"/>
  <c r="AG16" i="15"/>
  <c r="AH15" i="15"/>
  <c r="AG15" i="15"/>
  <c r="AH14" i="15"/>
  <c r="AG14" i="15"/>
  <c r="AH13" i="15"/>
  <c r="AG13" i="15"/>
  <c r="AH12" i="15"/>
  <c r="AG12" i="15"/>
  <c r="AH11" i="15"/>
  <c r="AG11" i="15"/>
  <c r="AH10" i="15"/>
  <c r="AG10" i="15"/>
  <c r="AH9" i="15"/>
  <c r="AG9" i="15"/>
  <c r="AH8" i="15"/>
  <c r="AG8" i="15"/>
  <c r="AH7" i="15"/>
  <c r="AG7" i="15"/>
  <c r="AH6" i="15"/>
  <c r="AG6" i="15"/>
  <c r="AH5" i="15"/>
  <c r="AG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K14" i="15" l="1"/>
  <c r="AK15" i="15" s="1"/>
  <c r="AJ14" i="15"/>
  <c r="AJ15" i="15" s="1"/>
  <c r="AL20" i="15"/>
  <c r="I14" i="18" l="1"/>
  <c r="M14" i="18" s="1"/>
  <c r="AJ21" i="15"/>
  <c r="AJ22" i="15" s="1"/>
  <c r="AL14" i="15"/>
  <c r="AL15" i="15" s="1"/>
  <c r="J14" i="18"/>
  <c r="L14" i="18" s="1"/>
  <c r="AK21" i="15"/>
  <c r="AK22" i="15" s="1"/>
  <c r="O14" i="18" l="1"/>
  <c r="K14" i="18"/>
  <c r="N14" i="18" s="1"/>
  <c r="AL21" i="15"/>
  <c r="AL22" i="15" s="1"/>
  <c r="AL21" i="14"/>
  <c r="AK21" i="14"/>
  <c r="AL13" i="14"/>
  <c r="AK13" i="14"/>
  <c r="AK4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I10" i="14"/>
  <c r="AH10" i="14"/>
  <c r="AI9" i="14"/>
  <c r="AH9" i="14"/>
  <c r="AI8" i="14"/>
  <c r="AH8" i="14"/>
  <c r="AI7" i="14"/>
  <c r="AH7" i="14"/>
  <c r="AI6" i="14"/>
  <c r="AH6" i="14"/>
  <c r="AI5" i="14"/>
  <c r="AH5" i="14"/>
  <c r="F3" i="14"/>
  <c r="AK14" i="14" l="1"/>
  <c r="AK15" i="14" s="1"/>
  <c r="AL14" i="14"/>
  <c r="AL15" i="14" s="1"/>
  <c r="AM13" i="14"/>
  <c r="AM21" i="14"/>
  <c r="AK22" i="14" l="1"/>
  <c r="AK23" i="14" s="1"/>
  <c r="I13" i="18"/>
  <c r="AL22" i="14"/>
  <c r="AL23" i="14" s="1"/>
  <c r="J13" i="18"/>
  <c r="L13" i="18" s="1"/>
  <c r="AM14" i="14"/>
  <c r="AM15" i="14" s="1"/>
  <c r="AM22" i="14" l="1"/>
  <c r="AM23" i="14" s="1"/>
  <c r="K13" i="18"/>
  <c r="N13" i="18" s="1"/>
  <c r="M13" i="18"/>
  <c r="O13" i="18" s="1"/>
  <c r="AL21" i="13"/>
  <c r="AK21" i="13"/>
  <c r="AL13" i="13"/>
  <c r="AK13" i="13"/>
  <c r="AK4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I10" i="13"/>
  <c r="AH10" i="13"/>
  <c r="AI9" i="13"/>
  <c r="AH9" i="13"/>
  <c r="AI8" i="13"/>
  <c r="AH8" i="13"/>
  <c r="AI7" i="13"/>
  <c r="AH7" i="13"/>
  <c r="AI6" i="13"/>
  <c r="AH6" i="13"/>
  <c r="AI5" i="13"/>
  <c r="AH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M13" i="13" l="1"/>
  <c r="AL14" i="13"/>
  <c r="J12" i="18" s="1"/>
  <c r="L12" i="18" s="1"/>
  <c r="AK14" i="13"/>
  <c r="I12" i="18" s="1"/>
  <c r="AM21" i="13"/>
  <c r="AL15" i="13" l="1"/>
  <c r="AM14" i="13"/>
  <c r="AM15" i="13" s="1"/>
  <c r="AK15" i="13"/>
  <c r="AK22" i="13"/>
  <c r="AK23" i="13" s="1"/>
  <c r="AL22" i="13"/>
  <c r="AL23" i="13" s="1"/>
  <c r="M12" i="18"/>
  <c r="O12" i="18" s="1"/>
  <c r="K12" i="18"/>
  <c r="N12" i="18" s="1"/>
  <c r="AM22" i="13" l="1"/>
  <c r="AM23" i="13" s="1"/>
  <c r="AL21" i="12"/>
  <c r="AK21" i="12"/>
  <c r="AL13" i="12"/>
  <c r="AK13" i="12"/>
  <c r="AK4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I10" i="12"/>
  <c r="AH10" i="12"/>
  <c r="AI9" i="12"/>
  <c r="AH9" i="12"/>
  <c r="AI8" i="12"/>
  <c r="AH8" i="12"/>
  <c r="AI7" i="12"/>
  <c r="AH7" i="12"/>
  <c r="AI6" i="12"/>
  <c r="AH6" i="12"/>
  <c r="AI5" i="12"/>
  <c r="AH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K14" i="12" l="1"/>
  <c r="AK15" i="12" s="1"/>
  <c r="AL14" i="12"/>
  <c r="AL15" i="12" s="1"/>
  <c r="AM13" i="12"/>
  <c r="AM21" i="12"/>
  <c r="AK22" i="12" l="1"/>
  <c r="AL22" i="12"/>
  <c r="AM14" i="12"/>
  <c r="AM15" i="12" s="1"/>
  <c r="J11" i="18"/>
  <c r="L11" i="18" s="1"/>
  <c r="I11" i="18"/>
  <c r="M11" i="18" s="1"/>
  <c r="O11" i="18" l="1"/>
  <c r="AM22" i="12"/>
  <c r="K11" i="18"/>
  <c r="N11" i="18" s="1"/>
  <c r="L10" i="18"/>
  <c r="K10" i="18" l="1"/>
  <c r="N10" i="18" s="1"/>
  <c r="M10" i="18"/>
  <c r="O10" i="18" s="1"/>
  <c r="L9" i="18" l="1"/>
  <c r="O9" i="18" l="1"/>
  <c r="K9" i="18"/>
  <c r="N9" i="18" s="1"/>
  <c r="M9" i="18"/>
  <c r="L8" i="18" l="1"/>
  <c r="M8" i="18" l="1"/>
  <c r="K8" i="18"/>
  <c r="N8" i="18" s="1"/>
  <c r="O8" i="18"/>
  <c r="L7" i="18" l="1"/>
  <c r="O7" i="18" l="1"/>
  <c r="M7" i="18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<sst xmlns="http://schemas.openxmlformats.org/spreadsheetml/2006/main" count="12563" uniqueCount="812">
  <si>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</si>
  <si>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</si>
  <si>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</si>
  <si>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</si>
  <si>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</si>
  <si>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</si>
  <si>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</si>
  <si>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</si>
  <si>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</si>
  <si>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</si>
  <si>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</si>
  <si>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</si>
  <si>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</si>
  <si>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</si>
  <si>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</si>
  <si>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</si>
  <si>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</si>
  <si>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</si>
  <si>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</si>
  <si>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</si>
  <si>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</si>
  <si>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</si>
  <si>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</si>
  <si>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</si>
  <si>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</si>
  <si>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</si>
  <si>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</si>
  <si>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</si>
  <si>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</si>
  <si>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</si>
  <si>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</si>
  <si>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</si>
  <si>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</si>
  <si>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</si>
  <si>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</si>
  <si>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</si>
  <si>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</si>
  <si>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</si>
  <si>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</si>
  <si>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</si>
  <si>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</si>
  <si>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</si>
  <si>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</si>
  <si>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</si>
  <si>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</si>
  <si>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</si>
  <si>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</si>
  <si>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</si>
  <si>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</si>
  <si>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</si>
  <si>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</si>
  <si>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</si>
  <si>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</si>
  <si>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</si>
  <si>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</si>
  <si>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</si>
  <si>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</si>
  <si>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</si>
  <si>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</si>
  <si>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</si>
  <si>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</si>
  <si>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</si>
  <si>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</si>
  <si>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</si>
  <si>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</si>
  <si>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</si>
  <si>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</si>
  <si>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</si>
  <si>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</si>
  <si>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</si>
  <si>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</si>
  <si>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</si>
  <si>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</si>
  <si>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</si>
  <si>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</si>
  <si>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</si>
  <si>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</si>
  <si>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</si>
  <si>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</si>
  <si>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</si>
  <si>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</si>
  <si>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</si>
  <si>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</si>
  <si>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</si>
  <si>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</si>
  <si>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</si>
  <si>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</si>
  <si>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</si>
  <si>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</si>
  <si>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</si>
  <si>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</si>
  <si>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</si>
  <si>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</si>
  <si>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</si>
  <si>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</si>
  <si>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</si>
  <si>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</si>
  <si>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</si>
  <si>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</si>
  <si>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</si>
  <si>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</si>
  <si>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</si>
  <si>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</si>
  <si>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</si>
  <si>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</si>
  <si>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</si>
  <si>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</si>
  <si>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</si>
  <si>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</si>
  <si>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</si>
  <si>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</si>
  <si>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</si>
  <si>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</si>
  <si>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</si>
  <si>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</si>
  <si>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</si>
  <si>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</si>
  <si>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</si>
  <si>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</si>
  <si>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</si>
  <si>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</si>
  <si>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</si>
  <si>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</si>
  <si>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</si>
  <si>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</si>
  <si>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</si>
  <si>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</si>
  <si>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</si>
  <si>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</si>
  <si>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</si>
  <si>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</si>
  <si>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</si>
  <si>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</si>
  <si>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</si>
  <si>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</si>
  <si>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</si>
  <si>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</si>
  <si>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</si>
  <si>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</si>
  <si>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</si>
  <si>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</si>
  <si>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</si>
  <si>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</si>
  <si>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</si>
  <si>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</si>
  <si>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</si>
  <si>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</si>
  <si>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</si>
  <si>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</si>
  <si>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</si>
  <si>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</si>
  <si>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</si>
  <si>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</si>
  <si>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</si>
  <si>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</si>
  <si>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</si>
  <si>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</si>
  <si>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</si>
  <si>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</si>
  <si>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</si>
  <si>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</si>
  <si>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</si>
  <si>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</si>
  <si>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</si>
  <si>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</si>
  <si>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</si>
  <si>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</si>
  <si>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</si>
  <si>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</si>
  <si>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</si>
  <si>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</si>
  <si>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</si>
  <si>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</si>
  <si>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</si>
  <si>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</si>
  <si>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</si>
  <si>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</si>
  <si>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</si>
  <si>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</si>
  <si>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</si>
  <si>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</si>
  <si>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</si>
  <si>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</si>
  <si>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</si>
  <si>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</si>
  <si>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</si>
  <si>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</si>
  <si>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</si>
  <si>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</si>
  <si>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</si>
  <si>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</si>
  <si>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</si>
  <si>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</si>
  <si>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</si>
  <si>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</si>
  <si>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</si>
  <si>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</si>
  <si>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</si>
  <si>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</si>
  <si>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</si>
  <si>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</si>
  <si>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</si>
  <si>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</si>
  <si>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</si>
  <si>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</si>
  <si>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</si>
  <si>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</si>
  <si>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</si>
  <si>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</si>
  <si>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</si>
  <si>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</si>
  <si>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</si>
  <si>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</si>
  <si>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</si>
  <si>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</si>
  <si>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</si>
  <si>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</si>
  <si>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</si>
  <si>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</si>
  <si>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</si>
  <si>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</si>
  <si>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</si>
  <si>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</si>
  <si>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</si>
  <si>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</si>
  <si>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</si>
  <si>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</si>
  <si>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</si>
  <si>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</si>
  <si>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</si>
  <si>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</si>
  <si>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</si>
  <si>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</si>
  <si>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</si>
  <si>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</si>
  <si>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</si>
  <si>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</si>
  <si>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</si>
  <si>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</si>
  <si>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</si>
  <si>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</si>
  <si>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</si>
  <si>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</si>
  <si>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</si>
  <si>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</si>
  <si>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</si>
  <si>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</si>
  <si>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</si>
  <si>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</si>
  <si>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</si>
  <si>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</si>
  <si>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</si>
  <si>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</si>
  <si>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</si>
  <si>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</si>
  <si>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</si>
  <si>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</si>
  <si>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</si>
  <si>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</si>
  <si>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</si>
  <si>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</si>
  <si>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</si>
  <si>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</si>
  <si>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</si>
  <si>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</si>
  <si>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</si>
  <si>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</si>
  <si>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</si>
  <si>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</si>
  <si>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</si>
  <si>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</si>
  <si>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</si>
  <si>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</si>
  <si>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</si>
  <si>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</si>
  <si>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</si>
  <si>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</si>
  <si>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</si>
  <si>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</si>
  <si>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</si>
  <si>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</si>
  <si>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</si>
  <si>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</si>
  <si>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</si>
  <si>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</si>
  <si>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</si>
  <si>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</si>
  <si>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</si>
  <si>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</si>
  <si>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</si>
  <si>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</si>
  <si>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</si>
  <si>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</si>
  <si>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</si>
  <si>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</si>
  <si>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</si>
  <si>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</si>
  <si>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</si>
  <si>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</si>
  <si>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</si>
  <si>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</si>
  <si>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</si>
  <si>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</si>
  <si>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</si>
  <si>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</si>
  <si>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</si>
  <si>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</si>
  <si>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</si>
  <si>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</si>
  <si>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</si>
  <si>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</si>
  <si>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</si>
  <si>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</si>
  <si>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</si>
  <si>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</si>
  <si>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</si>
  <si>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</si>
  <si>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</si>
  <si>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</si>
  <si>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</si>
  <si>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</si>
  <si>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</si>
  <si>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</si>
  <si>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</si>
  <si>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</si>
  <si>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</si>
  <si>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</si>
  <si>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</si>
  <si>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</si>
  <si>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</si>
  <si>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</si>
  <si>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</si>
  <si>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</si>
  <si>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</si>
  <si>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</si>
  <si>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</si>
  <si>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</si>
  <si>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</si>
  <si>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</si>
  <si>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</si>
  <si>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</si>
  <si>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</si>
  <si>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</si>
  <si>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</si>
  <si>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</si>
  <si>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</si>
  <si>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</si>
  <si>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</si>
  <si>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</si>
  <si>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</si>
  <si>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</si>
  <si>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</si>
  <si>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</si>
  <si>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</si>
  <si>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</si>
  <si>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</si>
  <si>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</si>
  <si>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</si>
  <si>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</si>
  <si>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</si>
  <si>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</si>
  <si>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</si>
  <si>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</si>
  <si>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</si>
  <si>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</si>
  <si>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</si>
  <si>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</si>
  <si>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</si>
  <si>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</si>
  <si>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</si>
  <si>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</si>
  <si>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</si>
  <si>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</si>
  <si>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</si>
  <si>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</si>
  <si>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</si>
  <si>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</si>
  <si>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</si>
  <si>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</si>
  <si>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</si>
  <si>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</si>
  <si>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</si>
  <si>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</si>
  <si>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</si>
  <si>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</si>
  <si>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</si>
  <si>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</si>
  <si>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</si>
  <si>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</si>
  <si>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</si>
  <si>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</si>
  <si>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</si>
  <si>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</si>
  <si>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</si>
  <si>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</si>
  <si>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</si>
  <si>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</si>
  <si>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</si>
  <si>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</si>
  <si>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</si>
  <si>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</si>
  <si>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</si>
  <si>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</si>
  <si>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</si>
  <si>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</si>
  <si>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</si>
  <si>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</si>
  <si>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</si>
  <si>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</si>
  <si>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</si>
  <si>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</si>
  <si>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</si>
  <si>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</si>
  <si>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</si>
  <si>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</si>
  <si>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</si>
  <si>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</si>
  <si>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</si>
  <si>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</si>
  <si>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</si>
  <si>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</si>
  <si>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</si>
  <si>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</si>
  <si>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</si>
  <si>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</si>
  <si>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</si>
  <si>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</si>
  <si>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</si>
  <si>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</si>
  <si>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</si>
  <si>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</si>
  <si>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</si>
  <si>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</si>
  <si>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</si>
  <si>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</si>
  <si>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</si>
  <si>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</si>
  <si>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</si>
  <si>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</si>
  <si>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</si>
  <si>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</si>
  <si>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</si>
  <si>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</si>
  <si>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</si>
  <si>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</si>
  <si>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</si>
  <si>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</si>
  <si>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</si>
  <si>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</si>
  <si>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</si>
  <si>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</si>
  <si>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</si>
  <si>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</si>
  <si>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</si>
  <si>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</si>
  <si>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</si>
  <si>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</si>
  <si>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</si>
  <si>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</si>
  <si>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</si>
  <si>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</si>
  <si>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</si>
  <si>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</si>
  <si>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</si>
  <si>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</si>
  <si>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</si>
  <si>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</si>
  <si>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</si>
  <si>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</si>
  <si>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</si>
  <si>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</si>
  <si>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</si>
  <si>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</si>
  <si>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</si>
  <si>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</si>
  <si>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</si>
  <si>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</si>
  <si>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</si>
  <si>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</si>
  <si>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</si>
  <si>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</si>
  <si>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</si>
  <si>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</si>
  <si>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</si>
  <si>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</si>
  <si>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</si>
  <si>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</si>
  <si>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</si>
  <si>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</si>
  <si>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</si>
  <si>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</si>
  <si>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</si>
  <si>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</si>
  <si>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</si>
  <si>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</si>
  <si>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</si>
  <si>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</si>
  <si>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</si>
  <si>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</si>
  <si>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</si>
  <si>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</si>
  <si>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</si>
  <si>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</si>
  <si>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</si>
  <si>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</si>
  <si>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</si>
  <si>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</si>
  <si>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</si>
  <si>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</si>
  <si>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</si>
  <si>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</si>
  <si>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</si>
  <si>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</si>
  <si>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</si>
  <si>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</si>
  <si>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</si>
  <si>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</si>
  <si>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</si>
  <si>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</si>
  <si>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</si>
  <si>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</si>
  <si>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</si>
  <si>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</si>
  <si>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</si>
  <si>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</si>
  <si>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</si>
  <si>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</si>
  <si>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</si>
  <si>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</si>
  <si>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</si>
  <si>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</si>
  <si>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</si>
  <si>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</si>
  <si>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</si>
  <si>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</si>
  <si>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</si>
  <si>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</si>
  <si>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</si>
  <si>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</si>
  <si>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</si>
  <si>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</si>
  <si>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</si>
  <si>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</si>
  <si>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</si>
  <si>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</si>
  <si>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</si>
  <si>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</si>
  <si>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</si>
  <si>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</si>
  <si>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</si>
  <si>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</si>
  <si>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</si>
  <si>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</si>
  <si>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</si>
  <si>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</si>
  <si>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</si>
  <si>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</si>
  <si>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</si>
  <si>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</si>
  <si>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</si>
  <si>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</si>
  <si>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</si>
  <si>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</si>
  <si>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</si>
  <si>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</si>
  <si>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</si>
  <si>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</si>
  <si>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</si>
  <si>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</si>
  <si>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</si>
  <si>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</si>
  <si>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</si>
  <si>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</si>
  <si>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</si>
  <si>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</si>
  <si>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</si>
  <si>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</si>
  <si>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</si>
  <si>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</si>
  <si>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</si>
  <si>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</si>
  <si>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</si>
  <si>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</si>
  <si>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</si>
  <si>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</si>
  <si>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</si>
  <si>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</si>
  <si>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</si>
  <si>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</si>
  <si>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</si>
  <si>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</si>
  <si>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</si>
  <si>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</si>
  <si>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</si>
  <si>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</si>
  <si>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</si>
  <si>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</si>
  <si>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</si>
  <si>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</si>
  <si>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</si>
  <si>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</si>
  <si>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</si>
  <si>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</si>
  <si>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</si>
  <si>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</si>
  <si>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</si>
  <si>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</si>
  <si>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</si>
  <si>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</si>
  <si>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</si>
  <si>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</si>
  <si>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</si>
  <si>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</si>
  <si>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</si>
  <si>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</si>
  <si>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</si>
  <si>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</si>
  <si>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</si>
  <si>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</si>
  <si>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</si>
  <si>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</si>
  <si>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</si>
  <si>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</si>
  <si>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</si>
  <si>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</si>
  <si>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</si>
  <si>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</si>
  <si>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</si>
  <si>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</si>
  <si>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</si>
  <si>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</si>
  <si>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</si>
  <si>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</si>
  <si>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</si>
  <si>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</si>
  <si>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</si>
  <si>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</si>
  <si>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</si>
  <si>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</si>
  <si>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</si>
  <si>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</si>
  <si>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</si>
  <si>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</si>
  <si>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</si>
  <si>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</si>
  <si>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</si>
  <si>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</si>
  <si>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</si>
  <si>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</si>
  <si>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</si>
  <si>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</si>
  <si>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</si>
  <si>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</si>
  <si>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</si>
  <si>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</si>
  <si>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</si>
  <si>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</si>
  <si>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</si>
  <si>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</si>
  <si>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</si>
  <si>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</si>
  <si>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</si>
  <si>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</si>
  <si>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</si>
  <si>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</si>
  <si>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</si>
  <si>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</si>
  <si>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</si>
  <si>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</si>
  <si>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</si>
  <si>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</si>
  <si>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</si>
  <si>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</si>
  <si>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</si>
  <si>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</si>
  <si>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</si>
  <si>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</si>
  <si>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</si>
  <si>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</si>
  <si>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</si>
  <si>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</si>
  <si>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</si>
  <si>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</si>
  <si>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</si>
  <si>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</si>
  <si>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</si>
  <si>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</si>
  <si>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</si>
  <si>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</si>
  <si>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</si>
  <si>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</si>
  <si>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</si>
  <si>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</si>
  <si>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</si>
  <si>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</si>
  <si>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</si>
  <si>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</si>
  <si>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</si>
  <si>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</si>
  <si>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</si>
  <si>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</si>
  <si>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</si>
  <si>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</si>
  <si>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</si>
  <si>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</si>
  <si>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</si>
  <si>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</si>
  <si>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</si>
  <si>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</si>
  <si>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</si>
  <si>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</si>
  <si>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</si>
  <si>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</si>
  <si>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</si>
  <si>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</si>
  <si>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</si>
  <si>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</si>
  <si>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</si>
  <si>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</si>
  <si>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</si>
  <si>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</si>
  <si>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</si>
  <si>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</si>
  <si>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</si>
  <si>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</si>
  <si>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</si>
  <si>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</si>
  <si>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</si>
  <si>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</si>
  <si>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</si>
  <si>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</si>
  <si>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</si>
  <si>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</si>
  <si>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</si>
  <si>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</si>
  <si>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</si>
  <si>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</si>
  <si>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</si>
  <si>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</si>
  <si>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</si>
  <si>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</si>
  <si>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</si>
  <si>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</si>
  <si>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</si>
  <si>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</si>
  <si>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</si>
  <si>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</si>
  <si>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</si>
  <si>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</si>
  <si>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</si>
  <si>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</si>
  <si>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</si>
  <si>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</si>
  <si>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</si>
  <si>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</si>
  <si>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</si>
  <si>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</si>
  <si>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</si>
  <si>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</si>
  <si>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</si>
  <si>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</si>
  <si>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</si>
  <si>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</si>
  <si>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</si>
  <si>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</si>
  <si>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</si>
  <si>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</si>
  <si>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</si>
  <si>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</si>
  <si>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</si>
  <si>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</si>
  <si>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</si>
  <si>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</si>
  <si>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</si>
  <si>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</si>
  <si>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</si>
  <si>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</si>
  <si>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</si>
  <si>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</si>
  <si>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</si>
  <si>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</si>
  <si>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</si>
  <si>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</si>
  <si>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</si>
  <si>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</si>
  <si>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</si>
  <si>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</si>
  <si>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</si>
  <si>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</si>
  <si>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</si>
  <si>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</si>
  <si>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</si>
  <si>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</si>
  <si>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</si>
  <si>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</si>
  <si>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February-2025</t>
  </si>
  <si>
    <t>Monthly Attendence Month of February 2025</t>
  </si>
  <si>
    <t>Monthly Attendence Month of February2025</t>
  </si>
  <si>
    <t>A</t>
  </si>
  <si>
    <t>L</t>
  </si>
  <si>
    <t>p</t>
  </si>
  <si>
    <t>Ahsan ali</t>
  </si>
  <si>
    <t>Sajjid Ali</t>
  </si>
  <si>
    <t>PTM - PTM - PTM - PTM - PTM  - PTM - PTM - PTM - PTM</t>
  </si>
  <si>
    <t>Kashmir Day   - Kashmir Day - Kashmir Day</t>
  </si>
  <si>
    <t>Shab - E Baraat  -  Shab - E Baraat</t>
  </si>
  <si>
    <t>URS LAL SHEHBAZ QALANDAR  - URS LAL SHEHBAZ QALANDAR</t>
  </si>
  <si>
    <t>Shab - E Baraat  -  Shab - E Baraat  - Shab - E Baraat</t>
  </si>
  <si>
    <t>SHAB - E BARAAT - SHAB-E-BARAAT</t>
  </si>
  <si>
    <t>URS LAL SHAHBAZ QALANDAR</t>
  </si>
  <si>
    <t xml:space="preserve">GR </t>
  </si>
  <si>
    <t>Mebhoob abro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</si>
</sst>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48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L6" sqref="L6:M16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787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6" t="s">
        <v>11</v>
      </c>
      <c r="C5" s="76" t="s">
        <v>12</v>
      </c>
      <c r="D5" s="76" t="s">
        <v>13</v>
      </c>
      <c r="E5" s="77" t="s">
        <v>771</v>
      </c>
      <c r="F5" s="76" t="s">
        <v>772</v>
      </c>
      <c r="G5" s="76" t="s">
        <v>773</v>
      </c>
      <c r="H5" s="78" t="s">
        <v>774</v>
      </c>
      <c r="I5" s="79" t="s">
        <v>775</v>
      </c>
      <c r="J5" s="80" t="s">
        <v>776</v>
      </c>
      <c r="K5" s="81" t="s">
        <v>777</v>
      </c>
      <c r="L5" s="94" t="s">
        <v>778</v>
      </c>
      <c r="M5" s="95" t="s">
        <v>779</v>
      </c>
      <c r="N5" s="95" t="s">
        <v>779</v>
      </c>
      <c r="O5" s="96" t="s">
        <v>780</v>
      </c>
    </row>
    <row r="6" spans="1:15" ht="18.75" x14ac:dyDescent="0.3">
      <c r="A6" s="64" t="s">
        <v>781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>
        <f>'ECE (ROSE)'!AK14</f>
        <v>498</v>
      </c>
      <c r="J6" s="83">
        <f>'ECE (ROSE)'!AL14</f>
        <v>390</v>
      </c>
      <c r="K6" s="84">
        <f>SUM(I6:J6)</f>
        <v>888</v>
      </c>
      <c r="L6" s="72">
        <f>J6/G6</f>
        <v>0.60185185185185186</v>
      </c>
      <c r="M6" s="73">
        <f>I6/F6</f>
        <v>0.76851851851851849</v>
      </c>
      <c r="N6" s="74">
        <f>K6/H6</f>
        <v>0.68518518518518523</v>
      </c>
      <c r="O6" s="75">
        <f>AVERAGE(L6:M6)</f>
        <v>0.68518518518518512</v>
      </c>
    </row>
    <row r="7" spans="1:15" ht="18.75" x14ac:dyDescent="0.3">
      <c r="A7" s="64" t="s">
        <v>782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>
        <f>'ECE (Daffodills)'!AK14</f>
        <v>506</v>
      </c>
      <c r="J7" s="86">
        <f>'ECE (Daffodills)'!AL14</f>
        <v>416</v>
      </c>
      <c r="K7" s="87">
        <f>SUM(I7:J7)</f>
        <v>922</v>
      </c>
      <c r="L7" s="36">
        <f>J7/G7</f>
        <v>0.69333333333333336</v>
      </c>
      <c r="M7" s="37">
        <f>I7/F7</f>
        <v>0.68010752688172038</v>
      </c>
      <c r="N7" s="38">
        <f>K7/H7</f>
        <v>0.68601190476190477</v>
      </c>
      <c r="O7" s="39">
        <f>AVERAGE(L7:M7)</f>
        <v>0.68672043010752692</v>
      </c>
    </row>
    <row r="8" spans="1:15" ht="18.75" x14ac:dyDescent="0.3">
      <c r="A8" s="65" t="s">
        <v>783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>
        <f>'Class-I'!AK14</f>
        <v>535</v>
      </c>
      <c r="J8" s="86">
        <f>'Class-I'!AL14</f>
        <v>375</v>
      </c>
      <c r="K8" s="87">
        <f t="shared" ref="K8:K16" si="4">SUM(I8:J8)</f>
        <v>910</v>
      </c>
      <c r="L8" s="36">
        <f t="shared" ref="L8:L16" si="5">J8/G8</f>
        <v>0.65104166666666663</v>
      </c>
      <c r="M8" s="37">
        <f t="shared" ref="M8:M16" si="6">I8/F8</f>
        <v>0.69661458333333337</v>
      </c>
      <c r="N8" s="38">
        <f t="shared" ref="N8:N16" si="7">K8/H8</f>
        <v>0.67708333333333337</v>
      </c>
      <c r="O8" s="39">
        <f t="shared" ref="O8:O16" si="8">AVERAGE(L8:M8)</f>
        <v>0.673828125</v>
      </c>
    </row>
    <row r="9" spans="1:15" ht="18.75" x14ac:dyDescent="0.3">
      <c r="A9" s="66" t="s">
        <v>320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>
        <f>'Class-II'!AK14</f>
        <v>424</v>
      </c>
      <c r="J9" s="86">
        <f>'Class-II'!AL14</f>
        <v>414</v>
      </c>
      <c r="K9" s="87">
        <f t="shared" si="4"/>
        <v>838</v>
      </c>
      <c r="L9" s="36">
        <f t="shared" si="5"/>
        <v>0.66346153846153844</v>
      </c>
      <c r="M9" s="37">
        <f t="shared" si="6"/>
        <v>0.67948717948717952</v>
      </c>
      <c r="N9" s="38">
        <f t="shared" si="7"/>
        <v>0.67147435897435892</v>
      </c>
      <c r="O9" s="39">
        <f t="shared" si="8"/>
        <v>0.67147435897435903</v>
      </c>
    </row>
    <row r="10" spans="1:15" ht="18.75" x14ac:dyDescent="0.3">
      <c r="A10" s="65" t="s">
        <v>381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>
        <f>'Class-III'!AK14</f>
        <v>444</v>
      </c>
      <c r="J10" s="86">
        <f>'Class-III'!AL14</f>
        <v>413</v>
      </c>
      <c r="K10" s="87">
        <f>SUM(I10:J10)</f>
        <v>857</v>
      </c>
      <c r="L10" s="36">
        <f t="shared" si="5"/>
        <v>0.71701388888888884</v>
      </c>
      <c r="M10" s="37">
        <f t="shared" si="6"/>
        <v>0.6607142857142857</v>
      </c>
      <c r="N10" s="38">
        <f>K10/H10</f>
        <v>0.68669871794871795</v>
      </c>
      <c r="O10" s="39">
        <f t="shared" si="8"/>
        <v>0.68886408730158721</v>
      </c>
    </row>
    <row r="11" spans="1:15" ht="18.75" x14ac:dyDescent="0.3">
      <c r="A11" s="65" t="s">
        <v>452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'Class-IV'!AK14</f>
        <v>311</v>
      </c>
      <c r="J11" s="86">
        <f>'Class-IV'!AL14</f>
        <v>466</v>
      </c>
      <c r="K11" s="87">
        <f t="shared" si="4"/>
        <v>777</v>
      </c>
      <c r="L11" s="36">
        <f t="shared" si="5"/>
        <v>0.60677083333333337</v>
      </c>
      <c r="M11" s="37">
        <f t="shared" si="6"/>
        <v>0.61706349206349209</v>
      </c>
      <c r="N11" s="38">
        <f t="shared" si="7"/>
        <v>0.61084905660377353</v>
      </c>
      <c r="O11" s="39">
        <f t="shared" si="8"/>
        <v>0.61191716269841279</v>
      </c>
    </row>
    <row r="12" spans="1:15" ht="18.75" x14ac:dyDescent="0.3">
      <c r="A12" s="65" t="s">
        <v>529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'Class-V'!AK14</f>
        <v>417</v>
      </c>
      <c r="J12" s="86">
        <f>'Class-V'!AL14</f>
        <v>371</v>
      </c>
      <c r="K12" s="87">
        <f t="shared" si="4"/>
        <v>788</v>
      </c>
      <c r="L12" s="36">
        <f t="shared" si="5"/>
        <v>0.67210144927536231</v>
      </c>
      <c r="M12" s="37">
        <f t="shared" si="6"/>
        <v>0.75543478260869568</v>
      </c>
      <c r="N12" s="38">
        <f t="shared" si="7"/>
        <v>0.71376811594202894</v>
      </c>
      <c r="O12" s="39">
        <f t="shared" si="8"/>
        <v>0.71376811594202905</v>
      </c>
    </row>
    <row r="13" spans="1:15" ht="18.75" x14ac:dyDescent="0.3">
      <c r="A13" s="66" t="s">
        <v>593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'Class-VI'!AK14</f>
        <v>283</v>
      </c>
      <c r="J13" s="86">
        <f>'Class-VI'!AL14</f>
        <v>428</v>
      </c>
      <c r="K13" s="87">
        <f t="shared" si="4"/>
        <v>711</v>
      </c>
      <c r="L13" s="36">
        <f t="shared" si="5"/>
        <v>0.63690476190476186</v>
      </c>
      <c r="M13" s="37">
        <f t="shared" si="6"/>
        <v>0.69362745098039214</v>
      </c>
      <c r="N13" s="38">
        <f t="shared" si="7"/>
        <v>0.65833333333333333</v>
      </c>
      <c r="O13" s="39">
        <f t="shared" si="8"/>
        <v>0.665266106442577</v>
      </c>
    </row>
    <row r="14" spans="1:15" ht="18.75" x14ac:dyDescent="0.3">
      <c r="A14" s="66" t="s">
        <v>784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'Class-VII'!AJ14</f>
        <v>453</v>
      </c>
      <c r="J14" s="86">
        <f>'Class-VII'!AK14</f>
        <v>299</v>
      </c>
      <c r="K14" s="87">
        <f t="shared" si="4"/>
        <v>752</v>
      </c>
      <c r="L14" s="36">
        <f t="shared" si="5"/>
        <v>0.6557017543859649</v>
      </c>
      <c r="M14" s="37">
        <f t="shared" si="6"/>
        <v>0.65086206896551724</v>
      </c>
      <c r="N14" s="38">
        <f t="shared" si="7"/>
        <v>0.65277777777777779</v>
      </c>
      <c r="O14" s="39">
        <f t="shared" si="8"/>
        <v>0.65328191167574112</v>
      </c>
    </row>
    <row r="15" spans="1:15" ht="18.75" x14ac:dyDescent="0.3">
      <c r="A15" s="66" t="s">
        <v>785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'Class-VIII'!AK14</f>
        <v>288</v>
      </c>
      <c r="J15" s="86">
        <f>'Class-VIII'!AL14</f>
        <v>387</v>
      </c>
      <c r="K15" s="87">
        <f t="shared" si="4"/>
        <v>675</v>
      </c>
      <c r="L15" s="36">
        <f t="shared" si="5"/>
        <v>0.70108695652173914</v>
      </c>
      <c r="M15" s="37">
        <f t="shared" si="6"/>
        <v>0.63157894736842102</v>
      </c>
      <c r="N15" s="38">
        <f t="shared" si="7"/>
        <v>0.6696428571428571</v>
      </c>
      <c r="O15" s="39">
        <f t="shared" si="8"/>
        <v>0.66633295194508002</v>
      </c>
    </row>
    <row r="16" spans="1:15" ht="19.5" thickBot="1" x14ac:dyDescent="0.35">
      <c r="A16" s="67" t="s">
        <v>786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'Class-IX'!AK14</f>
        <v>271</v>
      </c>
      <c r="J16" s="89">
        <f>'Class-IX'!AL14</f>
        <v>288</v>
      </c>
      <c r="K16" s="90">
        <f t="shared" si="4"/>
        <v>559</v>
      </c>
      <c r="L16" s="45">
        <f t="shared" si="5"/>
        <v>0.63157894736842102</v>
      </c>
      <c r="M16" s="46">
        <f t="shared" si="6"/>
        <v>0.70572916666666663</v>
      </c>
      <c r="N16" s="47">
        <f t="shared" si="7"/>
        <v>0.66547619047619044</v>
      </c>
      <c r="O16" s="48">
        <f t="shared" si="8"/>
        <v>0.66865405701754388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4430</v>
      </c>
      <c r="J17" s="92">
        <f t="shared" si="9"/>
        <v>4247</v>
      </c>
      <c r="K17" s="93">
        <f t="shared" si="9"/>
        <v>8677</v>
      </c>
      <c r="L17" s="59">
        <f>J17/G17</f>
        <v>0.65540123456790123</v>
      </c>
      <c r="M17" s="52">
        <f>I17/F17</f>
        <v>0.68618339529120198</v>
      </c>
      <c r="N17" s="52">
        <f>AVERAGE(N6:N16)</f>
        <v>0.67066371195267827</v>
      </c>
      <c r="O17" s="53">
        <f>AVERAGE(O6:O16)</f>
        <v>0.67139022657182201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0.68618339529120198</v>
      </c>
      <c r="J18" s="56">
        <f>J17/G17</f>
        <v>0.65540123456790123</v>
      </c>
      <c r="K18" s="62">
        <f>K17/H17</f>
        <v>0.67076376004947436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0.6707923149295516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7"/>
  <sheetViews>
    <sheetView topLeftCell="E4" workbookViewId="0">
      <selection activeCell="B27" sqref="B2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17" t="s">
        <v>0</v>
      </c>
      <c r="B3" s="117" t="s">
        <v>788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4" t="s">
        <v>5</v>
      </c>
      <c r="AJ3" s="120" t="s">
        <v>121</v>
      </c>
      <c r="AK3" s="121"/>
      <c r="AL3" s="3"/>
      <c r="AM3" s="3"/>
    </row>
    <row r="4" spans="1:39" ht="36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5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18" t="s">
        <v>803</v>
      </c>
      <c r="G5" s="123" t="s">
        <v>382</v>
      </c>
      <c r="H5" s="97" t="s">
        <v>111</v>
      </c>
      <c r="I5" s="97" t="s">
        <v>111</v>
      </c>
      <c r="J5" s="118" t="s">
        <v>804</v>
      </c>
      <c r="K5" s="97" t="s">
        <v>111</v>
      </c>
      <c r="L5" s="97" t="s">
        <v>111</v>
      </c>
      <c r="M5" s="97" t="s">
        <v>111</v>
      </c>
      <c r="N5" s="123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8" t="s">
        <v>807</v>
      </c>
      <c r="T5" s="97" t="s">
        <v>111</v>
      </c>
      <c r="U5" s="123" t="s">
        <v>382</v>
      </c>
      <c r="V5" s="97" t="s">
        <v>111</v>
      </c>
      <c r="W5" s="97" t="s">
        <v>111</v>
      </c>
      <c r="X5" s="118" t="s">
        <v>806</v>
      </c>
      <c r="Y5" s="97" t="s">
        <v>111</v>
      </c>
      <c r="Z5" s="97" t="s">
        <v>798</v>
      </c>
      <c r="AA5" s="97" t="s">
        <v>111</v>
      </c>
      <c r="AB5" s="123" t="s">
        <v>382</v>
      </c>
      <c r="AC5" s="97" t="s">
        <v>798</v>
      </c>
      <c r="AD5" s="97" t="s">
        <v>798</v>
      </c>
      <c r="AE5" s="97" t="s">
        <v>111</v>
      </c>
      <c r="AF5" s="97" t="s">
        <v>798</v>
      </c>
      <c r="AG5" s="97" t="s">
        <v>111</v>
      </c>
      <c r="AH5" s="5">
        <f t="shared" ref="AH5:AH35" si="1">COUNTIF(F5:AG5,"P")</f>
        <v>16</v>
      </c>
      <c r="AI5" s="5">
        <f t="shared" ref="AI5:AI35" si="2">COUNTIF(F5:AG5,"A")</f>
        <v>4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19"/>
      <c r="G6" s="124"/>
      <c r="H6" s="97" t="s">
        <v>111</v>
      </c>
      <c r="I6" s="97" t="s">
        <v>111</v>
      </c>
      <c r="J6" s="119"/>
      <c r="K6" s="97" t="s">
        <v>111</v>
      </c>
      <c r="L6" s="97" t="s">
        <v>111</v>
      </c>
      <c r="M6" s="97" t="s">
        <v>111</v>
      </c>
      <c r="N6" s="124"/>
      <c r="O6" s="97" t="s">
        <v>111</v>
      </c>
      <c r="P6" s="97" t="s">
        <v>798</v>
      </c>
      <c r="Q6" s="97" t="s">
        <v>111</v>
      </c>
      <c r="R6" s="97" t="s">
        <v>111</v>
      </c>
      <c r="S6" s="119"/>
      <c r="T6" s="97" t="s">
        <v>798</v>
      </c>
      <c r="U6" s="124"/>
      <c r="V6" s="97" t="s">
        <v>111</v>
      </c>
      <c r="W6" s="97" t="s">
        <v>111</v>
      </c>
      <c r="X6" s="119"/>
      <c r="Y6" s="97" t="s">
        <v>111</v>
      </c>
      <c r="Z6" s="97" t="s">
        <v>111</v>
      </c>
      <c r="AA6" s="97" t="s">
        <v>111</v>
      </c>
      <c r="AB6" s="124"/>
      <c r="AC6" s="97" t="s">
        <v>798</v>
      </c>
      <c r="AD6" s="97" t="s">
        <v>111</v>
      </c>
      <c r="AE6" s="97" t="s">
        <v>111</v>
      </c>
      <c r="AF6" s="97" t="s">
        <v>111</v>
      </c>
      <c r="AG6" s="97" t="s">
        <v>798</v>
      </c>
      <c r="AH6" s="5">
        <f t="shared" si="1"/>
        <v>16</v>
      </c>
      <c r="AI6" s="5">
        <f t="shared" si="2"/>
        <v>4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19"/>
      <c r="G7" s="124"/>
      <c r="H7" s="97" t="s">
        <v>111</v>
      </c>
      <c r="I7" s="97" t="s">
        <v>111</v>
      </c>
      <c r="J7" s="119"/>
      <c r="K7" s="97" t="s">
        <v>111</v>
      </c>
      <c r="L7" s="97" t="s">
        <v>111</v>
      </c>
      <c r="M7" s="97" t="s">
        <v>111</v>
      </c>
      <c r="N7" s="124"/>
      <c r="O7" s="97" t="s">
        <v>111</v>
      </c>
      <c r="P7" s="97" t="s">
        <v>111</v>
      </c>
      <c r="Q7" s="97" t="s">
        <v>111</v>
      </c>
      <c r="R7" s="97" t="s">
        <v>111</v>
      </c>
      <c r="S7" s="119"/>
      <c r="T7" s="97" t="s">
        <v>798</v>
      </c>
      <c r="U7" s="124"/>
      <c r="V7" s="97" t="s">
        <v>798</v>
      </c>
      <c r="W7" s="97" t="s">
        <v>798</v>
      </c>
      <c r="X7" s="119"/>
      <c r="Y7" s="97" t="s">
        <v>798</v>
      </c>
      <c r="Z7" s="97" t="s">
        <v>798</v>
      </c>
      <c r="AA7" s="97" t="s">
        <v>798</v>
      </c>
      <c r="AB7" s="124"/>
      <c r="AC7" s="97" t="s">
        <v>798</v>
      </c>
      <c r="AD7" s="97" t="s">
        <v>798</v>
      </c>
      <c r="AE7" s="97" t="s">
        <v>111</v>
      </c>
      <c r="AF7" s="97" t="s">
        <v>111</v>
      </c>
      <c r="AG7" s="97" t="s">
        <v>111</v>
      </c>
      <c r="AH7" s="5">
        <f t="shared" si="1"/>
        <v>12</v>
      </c>
      <c r="AI7" s="5">
        <f t="shared" si="2"/>
        <v>8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19"/>
      <c r="G8" s="124"/>
      <c r="H8" s="97" t="s">
        <v>798</v>
      </c>
      <c r="I8" s="97" t="s">
        <v>111</v>
      </c>
      <c r="J8" s="119"/>
      <c r="K8" s="97" t="s">
        <v>111</v>
      </c>
      <c r="L8" s="97" t="s">
        <v>111</v>
      </c>
      <c r="M8" s="97" t="s">
        <v>111</v>
      </c>
      <c r="N8" s="124"/>
      <c r="O8" s="97" t="s">
        <v>111</v>
      </c>
      <c r="P8" s="97" t="s">
        <v>111</v>
      </c>
      <c r="Q8" s="97" t="s">
        <v>111</v>
      </c>
      <c r="R8" s="97" t="s">
        <v>111</v>
      </c>
      <c r="S8" s="119"/>
      <c r="T8" s="97" t="s">
        <v>798</v>
      </c>
      <c r="U8" s="124"/>
      <c r="V8" s="97" t="s">
        <v>111</v>
      </c>
      <c r="W8" s="97" t="s">
        <v>111</v>
      </c>
      <c r="X8" s="119"/>
      <c r="Y8" s="97" t="s">
        <v>111</v>
      </c>
      <c r="Z8" s="97" t="s">
        <v>798</v>
      </c>
      <c r="AA8" s="97" t="s">
        <v>798</v>
      </c>
      <c r="AB8" s="124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16</v>
      </c>
      <c r="AI8" s="5">
        <f t="shared" si="2"/>
        <v>4</v>
      </c>
      <c r="AJ8" s="5"/>
      <c r="AK8" s="9"/>
      <c r="AL8"/>
      <c r="AM8"/>
    </row>
    <row r="9" spans="1:39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119"/>
      <c r="G9" s="124"/>
      <c r="H9" s="97" t="s">
        <v>111</v>
      </c>
      <c r="I9" s="97" t="s">
        <v>111</v>
      </c>
      <c r="J9" s="119"/>
      <c r="K9" s="97" t="s">
        <v>111</v>
      </c>
      <c r="L9" s="97" t="s">
        <v>111</v>
      </c>
      <c r="M9" s="97" t="s">
        <v>111</v>
      </c>
      <c r="N9" s="124"/>
      <c r="O9" s="97" t="s">
        <v>111</v>
      </c>
      <c r="P9" s="97" t="s">
        <v>111</v>
      </c>
      <c r="Q9" s="97" t="s">
        <v>111</v>
      </c>
      <c r="R9" s="97" t="s">
        <v>111</v>
      </c>
      <c r="S9" s="119"/>
      <c r="T9" s="97" t="s">
        <v>111</v>
      </c>
      <c r="U9" s="124"/>
      <c r="V9" s="97" t="s">
        <v>111</v>
      </c>
      <c r="W9" s="97" t="s">
        <v>111</v>
      </c>
      <c r="X9" s="119"/>
      <c r="Y9" s="97" t="s">
        <v>111</v>
      </c>
      <c r="Z9" s="97" t="s">
        <v>111</v>
      </c>
      <c r="AA9" s="97" t="s">
        <v>111</v>
      </c>
      <c r="AB9" s="124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119"/>
      <c r="G10" s="124"/>
      <c r="H10" s="97" t="s">
        <v>111</v>
      </c>
      <c r="I10" s="97" t="s">
        <v>111</v>
      </c>
      <c r="J10" s="119"/>
      <c r="K10" s="97" t="s">
        <v>111</v>
      </c>
      <c r="L10" s="97" t="s">
        <v>111</v>
      </c>
      <c r="M10" s="97" t="s">
        <v>111</v>
      </c>
      <c r="N10" s="124"/>
      <c r="O10" s="97" t="s">
        <v>111</v>
      </c>
      <c r="P10" s="97" t="s">
        <v>111</v>
      </c>
      <c r="Q10" s="97" t="s">
        <v>111</v>
      </c>
      <c r="R10" s="97" t="s">
        <v>111</v>
      </c>
      <c r="S10" s="119"/>
      <c r="T10" s="97" t="s">
        <v>111</v>
      </c>
      <c r="U10" s="124"/>
      <c r="V10" s="97" t="s">
        <v>111</v>
      </c>
      <c r="W10" s="97" t="s">
        <v>111</v>
      </c>
      <c r="X10" s="119"/>
      <c r="Y10" s="97" t="s">
        <v>111</v>
      </c>
      <c r="Z10" s="97" t="s">
        <v>111</v>
      </c>
      <c r="AA10" s="97" t="s">
        <v>798</v>
      </c>
      <c r="AB10" s="124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1</v>
      </c>
    </row>
    <row r="11" spans="1:39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119"/>
      <c r="G11" s="124"/>
      <c r="H11" s="97" t="s">
        <v>111</v>
      </c>
      <c r="I11" s="97" t="s">
        <v>111</v>
      </c>
      <c r="J11" s="119"/>
      <c r="K11" s="97" t="s">
        <v>111</v>
      </c>
      <c r="L11" s="97" t="s">
        <v>798</v>
      </c>
      <c r="M11" s="97" t="s">
        <v>111</v>
      </c>
      <c r="N11" s="124"/>
      <c r="O11" s="97" t="s">
        <v>798</v>
      </c>
      <c r="P11" s="97" t="s">
        <v>111</v>
      </c>
      <c r="Q11" s="97" t="s">
        <v>798</v>
      </c>
      <c r="R11" s="97" t="s">
        <v>111</v>
      </c>
      <c r="S11" s="119"/>
      <c r="T11" s="97" t="s">
        <v>798</v>
      </c>
      <c r="U11" s="124"/>
      <c r="V11" s="97" t="s">
        <v>111</v>
      </c>
      <c r="W11" s="97" t="s">
        <v>111</v>
      </c>
      <c r="X11" s="119"/>
      <c r="Y11" s="97" t="s">
        <v>111</v>
      </c>
      <c r="Z11" s="97" t="s">
        <v>111</v>
      </c>
      <c r="AA11" s="97" t="s">
        <v>798</v>
      </c>
      <c r="AB11" s="124"/>
      <c r="AC11" s="97" t="s">
        <v>111</v>
      </c>
      <c r="AD11" s="97" t="s">
        <v>798</v>
      </c>
      <c r="AE11" s="97" t="s">
        <v>111</v>
      </c>
      <c r="AF11" s="97" t="s">
        <v>111</v>
      </c>
      <c r="AG11" s="97" t="s">
        <v>111</v>
      </c>
      <c r="AH11" s="5">
        <f t="shared" si="1"/>
        <v>14</v>
      </c>
      <c r="AI11" s="5">
        <f t="shared" si="2"/>
        <v>6</v>
      </c>
      <c r="AJ11" s="120" t="s">
        <v>9</v>
      </c>
      <c r="AK11" s="121"/>
      <c r="AL11" s="121"/>
      <c r="AM11" s="122"/>
    </row>
    <row r="12" spans="1:39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119"/>
      <c r="G12" s="124"/>
      <c r="H12" s="97" t="s">
        <v>111</v>
      </c>
      <c r="I12" s="97" t="s">
        <v>111</v>
      </c>
      <c r="J12" s="119"/>
      <c r="K12" s="97" t="s">
        <v>111</v>
      </c>
      <c r="L12" s="97" t="s">
        <v>111</v>
      </c>
      <c r="M12" s="97" t="s">
        <v>798</v>
      </c>
      <c r="N12" s="124"/>
      <c r="O12" s="97" t="s">
        <v>111</v>
      </c>
      <c r="P12" s="97" t="s">
        <v>111</v>
      </c>
      <c r="Q12" s="97" t="s">
        <v>111</v>
      </c>
      <c r="R12" s="97" t="s">
        <v>111</v>
      </c>
      <c r="S12" s="119"/>
      <c r="T12" s="97" t="s">
        <v>798</v>
      </c>
      <c r="U12" s="124"/>
      <c r="V12" s="97" t="s">
        <v>798</v>
      </c>
      <c r="W12" s="97" t="s">
        <v>111</v>
      </c>
      <c r="X12" s="119"/>
      <c r="Y12" s="97" t="s">
        <v>111</v>
      </c>
      <c r="Z12" s="97" t="s">
        <v>111</v>
      </c>
      <c r="AA12" s="97" t="s">
        <v>111</v>
      </c>
      <c r="AB12" s="124"/>
      <c r="AC12" s="97" t="s">
        <v>111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16</v>
      </c>
      <c r="AI12" s="5">
        <f t="shared" si="2"/>
        <v>4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119"/>
      <c r="G13" s="124"/>
      <c r="H13" s="97" t="s">
        <v>798</v>
      </c>
      <c r="I13" s="97" t="s">
        <v>111</v>
      </c>
      <c r="J13" s="119"/>
      <c r="K13" s="97" t="s">
        <v>111</v>
      </c>
      <c r="L13" s="97" t="s">
        <v>111</v>
      </c>
      <c r="M13" s="97" t="s">
        <v>111</v>
      </c>
      <c r="N13" s="124"/>
      <c r="O13" s="97" t="s">
        <v>111</v>
      </c>
      <c r="P13" s="97" t="s">
        <v>111</v>
      </c>
      <c r="Q13" s="97" t="s">
        <v>111</v>
      </c>
      <c r="R13" s="97" t="s">
        <v>111</v>
      </c>
      <c r="S13" s="119"/>
      <c r="T13" s="97" t="s">
        <v>111</v>
      </c>
      <c r="U13" s="124"/>
      <c r="V13" s="97" t="s">
        <v>111</v>
      </c>
      <c r="W13" s="97" t="s">
        <v>111</v>
      </c>
      <c r="X13" s="119"/>
      <c r="Y13" s="97" t="s">
        <v>111</v>
      </c>
      <c r="Z13" s="97" t="s">
        <v>111</v>
      </c>
      <c r="AA13" s="97" t="s">
        <v>111</v>
      </c>
      <c r="AB13" s="124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18</v>
      </c>
      <c r="AI13" s="5">
        <f t="shared" si="2"/>
        <v>2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19"/>
      <c r="G14" s="124"/>
      <c r="H14" s="97" t="s">
        <v>798</v>
      </c>
      <c r="I14" s="97" t="s">
        <v>798</v>
      </c>
      <c r="J14" s="119"/>
      <c r="K14" s="97" t="s">
        <v>111</v>
      </c>
      <c r="L14" s="97" t="s">
        <v>798</v>
      </c>
      <c r="M14" s="97" t="s">
        <v>111</v>
      </c>
      <c r="N14" s="124"/>
      <c r="O14" s="97" t="s">
        <v>111</v>
      </c>
      <c r="P14" s="97" t="s">
        <v>111</v>
      </c>
      <c r="Q14" s="97" t="s">
        <v>111</v>
      </c>
      <c r="R14" s="97" t="s">
        <v>111</v>
      </c>
      <c r="S14" s="119"/>
      <c r="T14" s="97" t="s">
        <v>111</v>
      </c>
      <c r="U14" s="124"/>
      <c r="V14" s="97" t="s">
        <v>111</v>
      </c>
      <c r="W14" s="97" t="s">
        <v>111</v>
      </c>
      <c r="X14" s="119"/>
      <c r="Y14" s="97" t="s">
        <v>111</v>
      </c>
      <c r="Z14" s="97" t="s">
        <v>111</v>
      </c>
      <c r="AA14" s="97" t="s">
        <v>111</v>
      </c>
      <c r="AB14" s="124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SUM(AH29:AH57)</f>
        <v>498</v>
      </c>
      <c r="AL14" s="9">
        <f>SUM(AH5:AH28)</f>
        <v>390</v>
      </c>
      <c r="AM14" s="9">
        <f>AK14+AL14</f>
        <v>888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19"/>
      <c r="G15" s="124"/>
      <c r="H15" s="97" t="s">
        <v>111</v>
      </c>
      <c r="I15" s="97" t="s">
        <v>798</v>
      </c>
      <c r="J15" s="119"/>
      <c r="K15" s="97" t="s">
        <v>111</v>
      </c>
      <c r="L15" s="97" t="s">
        <v>111</v>
      </c>
      <c r="M15" s="97" t="s">
        <v>798</v>
      </c>
      <c r="N15" s="124"/>
      <c r="O15" s="97" t="s">
        <v>111</v>
      </c>
      <c r="P15" s="97" t="s">
        <v>111</v>
      </c>
      <c r="Q15" s="97" t="s">
        <v>111</v>
      </c>
      <c r="R15" s="97" t="s">
        <v>798</v>
      </c>
      <c r="S15" s="119"/>
      <c r="T15" s="97" t="s">
        <v>798</v>
      </c>
      <c r="U15" s="124"/>
      <c r="V15" s="97" t="s">
        <v>798</v>
      </c>
      <c r="W15" s="97" t="s">
        <v>798</v>
      </c>
      <c r="X15" s="119"/>
      <c r="Y15" s="97" t="s">
        <v>798</v>
      </c>
      <c r="Z15" s="97" t="s">
        <v>798</v>
      </c>
      <c r="AA15" s="97" t="s">
        <v>798</v>
      </c>
      <c r="AB15" s="124"/>
      <c r="AC15" s="97" t="s">
        <v>798</v>
      </c>
      <c r="AD15" s="97" t="s">
        <v>798</v>
      </c>
      <c r="AE15" s="97" t="s">
        <v>111</v>
      </c>
      <c r="AF15" s="97" t="s">
        <v>111</v>
      </c>
      <c r="AG15" s="97" t="s">
        <v>111</v>
      </c>
      <c r="AH15" s="5">
        <f t="shared" si="1"/>
        <v>9</v>
      </c>
      <c r="AI15" s="5">
        <f t="shared" si="2"/>
        <v>11</v>
      </c>
      <c r="AJ15" s="5" t="s">
        <v>16</v>
      </c>
      <c r="AK15" s="12">
        <f>AK14/AK13</f>
        <v>0.66047745358090182</v>
      </c>
      <c r="AL15" s="12">
        <f>AL14/AL13</f>
        <v>0.6</v>
      </c>
      <c r="AM15" s="12">
        <f>AM14/AM13</f>
        <v>0.63247863247863245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19"/>
      <c r="G16" s="124"/>
      <c r="H16" s="97" t="s">
        <v>111</v>
      </c>
      <c r="I16" s="97" t="s">
        <v>111</v>
      </c>
      <c r="J16" s="119"/>
      <c r="K16" s="97" t="s">
        <v>111</v>
      </c>
      <c r="L16" s="97" t="s">
        <v>111</v>
      </c>
      <c r="M16" s="97" t="s">
        <v>111</v>
      </c>
      <c r="N16" s="124"/>
      <c r="O16" s="97" t="s">
        <v>798</v>
      </c>
      <c r="P16" s="97" t="s">
        <v>111</v>
      </c>
      <c r="Q16" s="97" t="s">
        <v>111</v>
      </c>
      <c r="R16" s="97" t="s">
        <v>111</v>
      </c>
      <c r="S16" s="119"/>
      <c r="T16" s="97" t="s">
        <v>111</v>
      </c>
      <c r="U16" s="124"/>
      <c r="V16" s="97" t="s">
        <v>111</v>
      </c>
      <c r="W16" s="97" t="s">
        <v>798</v>
      </c>
      <c r="X16" s="119"/>
      <c r="Y16" s="97" t="s">
        <v>111</v>
      </c>
      <c r="Z16" s="97" t="s">
        <v>111</v>
      </c>
      <c r="AA16" s="97" t="s">
        <v>111</v>
      </c>
      <c r="AB16" s="124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18</v>
      </c>
      <c r="AI16" s="5">
        <f t="shared" si="2"/>
        <v>2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19"/>
      <c r="G17" s="124"/>
      <c r="H17" s="97" t="s">
        <v>111</v>
      </c>
      <c r="I17" s="97" t="s">
        <v>111</v>
      </c>
      <c r="J17" s="119"/>
      <c r="K17" s="97" t="s">
        <v>111</v>
      </c>
      <c r="L17" s="97" t="s">
        <v>111</v>
      </c>
      <c r="M17" s="97" t="s">
        <v>111</v>
      </c>
      <c r="N17" s="124"/>
      <c r="O17" s="97" t="s">
        <v>111</v>
      </c>
      <c r="P17" s="97" t="s">
        <v>111</v>
      </c>
      <c r="Q17" s="97" t="s">
        <v>111</v>
      </c>
      <c r="R17" s="97" t="s">
        <v>111</v>
      </c>
      <c r="S17" s="119"/>
      <c r="T17" s="97" t="s">
        <v>111</v>
      </c>
      <c r="U17" s="124"/>
      <c r="V17" s="97" t="s">
        <v>111</v>
      </c>
      <c r="W17" s="97" t="s">
        <v>111</v>
      </c>
      <c r="X17" s="119"/>
      <c r="Y17" s="97" t="s">
        <v>111</v>
      </c>
      <c r="Z17" s="97" t="s">
        <v>111</v>
      </c>
      <c r="AA17" s="97" t="s">
        <v>111</v>
      </c>
      <c r="AB17" s="124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19"/>
      <c r="G18" s="124"/>
      <c r="H18" s="97" t="s">
        <v>111</v>
      </c>
      <c r="I18" s="97" t="s">
        <v>111</v>
      </c>
      <c r="J18" s="119"/>
      <c r="K18" s="97" t="s">
        <v>111</v>
      </c>
      <c r="L18" s="97" t="s">
        <v>111</v>
      </c>
      <c r="M18" s="97" t="s">
        <v>111</v>
      </c>
      <c r="N18" s="124"/>
      <c r="O18" s="97" t="s">
        <v>111</v>
      </c>
      <c r="P18" s="97" t="s">
        <v>111</v>
      </c>
      <c r="Q18" s="97" t="s">
        <v>111</v>
      </c>
      <c r="R18" s="97" t="s">
        <v>111</v>
      </c>
      <c r="S18" s="119"/>
      <c r="T18" s="97" t="s">
        <v>111</v>
      </c>
      <c r="U18" s="124"/>
      <c r="V18" s="97" t="s">
        <v>111</v>
      </c>
      <c r="W18" s="97" t="s">
        <v>111</v>
      </c>
      <c r="X18" s="119"/>
      <c r="Y18" s="97" t="s">
        <v>111</v>
      </c>
      <c r="Z18" s="97" t="s">
        <v>111</v>
      </c>
      <c r="AA18" s="97" t="s">
        <v>111</v>
      </c>
      <c r="AB18" s="124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20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19"/>
      <c r="G19" s="124"/>
      <c r="H19" s="97" t="s">
        <v>111</v>
      </c>
      <c r="I19" s="97" t="s">
        <v>111</v>
      </c>
      <c r="J19" s="119"/>
      <c r="K19" s="97" t="s">
        <v>111</v>
      </c>
      <c r="L19" s="97" t="s">
        <v>111</v>
      </c>
      <c r="M19" s="97" t="s">
        <v>111</v>
      </c>
      <c r="N19" s="124"/>
      <c r="O19" s="97" t="s">
        <v>111</v>
      </c>
      <c r="P19" s="97" t="s">
        <v>111</v>
      </c>
      <c r="Q19" s="97" t="s">
        <v>798</v>
      </c>
      <c r="R19" s="97" t="s">
        <v>111</v>
      </c>
      <c r="S19" s="119"/>
      <c r="T19" s="97" t="s">
        <v>111</v>
      </c>
      <c r="U19" s="124"/>
      <c r="V19" s="97" t="s">
        <v>111</v>
      </c>
      <c r="W19" s="97" t="s">
        <v>111</v>
      </c>
      <c r="X19" s="119"/>
      <c r="Y19" s="97" t="s">
        <v>111</v>
      </c>
      <c r="Z19" s="97" t="s">
        <v>111</v>
      </c>
      <c r="AA19" s="97" t="s">
        <v>111</v>
      </c>
      <c r="AB19" s="124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20" t="s">
        <v>123</v>
      </c>
      <c r="AK19" s="121"/>
      <c r="AL19" s="121"/>
      <c r="AM19" s="122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19"/>
      <c r="G20" s="124"/>
      <c r="H20" s="97" t="s">
        <v>798</v>
      </c>
      <c r="I20" s="97" t="s">
        <v>111</v>
      </c>
      <c r="J20" s="119"/>
      <c r="K20" s="97" t="s">
        <v>111</v>
      </c>
      <c r="L20" s="97" t="s">
        <v>111</v>
      </c>
      <c r="M20" s="97" t="s">
        <v>798</v>
      </c>
      <c r="N20" s="124"/>
      <c r="O20" s="97" t="s">
        <v>798</v>
      </c>
      <c r="P20" s="97" t="s">
        <v>111</v>
      </c>
      <c r="Q20" s="97" t="s">
        <v>111</v>
      </c>
      <c r="R20" s="97" t="s">
        <v>111</v>
      </c>
      <c r="S20" s="119"/>
      <c r="T20" s="97" t="s">
        <v>111</v>
      </c>
      <c r="U20" s="124"/>
      <c r="V20" s="97" t="s">
        <v>798</v>
      </c>
      <c r="W20" s="97" t="s">
        <v>111</v>
      </c>
      <c r="X20" s="119"/>
      <c r="Y20" s="97" t="s">
        <v>798</v>
      </c>
      <c r="Z20" s="97" t="s">
        <v>111</v>
      </c>
      <c r="AA20" s="97" t="s">
        <v>798</v>
      </c>
      <c r="AB20" s="124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14</v>
      </c>
      <c r="AI20" s="5">
        <f t="shared" si="2"/>
        <v>6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19"/>
      <c r="G21" s="124"/>
      <c r="H21" s="97" t="s">
        <v>798</v>
      </c>
      <c r="I21" s="97" t="s">
        <v>798</v>
      </c>
      <c r="J21" s="119"/>
      <c r="K21" s="97" t="s">
        <v>111</v>
      </c>
      <c r="L21" s="97" t="s">
        <v>111</v>
      </c>
      <c r="M21" s="97" t="s">
        <v>798</v>
      </c>
      <c r="N21" s="124"/>
      <c r="O21" s="97" t="s">
        <v>111</v>
      </c>
      <c r="P21" s="97" t="s">
        <v>111</v>
      </c>
      <c r="Q21" s="97" t="s">
        <v>111</v>
      </c>
      <c r="R21" s="97" t="s">
        <v>111</v>
      </c>
      <c r="S21" s="119"/>
      <c r="T21" s="97" t="s">
        <v>111</v>
      </c>
      <c r="U21" s="124"/>
      <c r="V21" s="97" t="s">
        <v>111</v>
      </c>
      <c r="W21" s="97" t="s">
        <v>111</v>
      </c>
      <c r="X21" s="119"/>
      <c r="Y21" s="97" t="s">
        <v>111</v>
      </c>
      <c r="Z21" s="97" t="s">
        <v>111</v>
      </c>
      <c r="AA21" s="97" t="s">
        <v>111</v>
      </c>
      <c r="AB21" s="124"/>
      <c r="AC21" s="97" t="s">
        <v>111</v>
      </c>
      <c r="AD21" s="97" t="s">
        <v>798</v>
      </c>
      <c r="AE21" s="97" t="s">
        <v>111</v>
      </c>
      <c r="AF21" s="97" t="s">
        <v>111</v>
      </c>
      <c r="AG21" s="97" t="s">
        <v>111</v>
      </c>
      <c r="AH21" s="5">
        <f t="shared" si="1"/>
        <v>16</v>
      </c>
      <c r="AI21" s="5">
        <f t="shared" si="2"/>
        <v>4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19"/>
      <c r="G22" s="124"/>
      <c r="H22" s="97" t="s">
        <v>798</v>
      </c>
      <c r="I22" s="97" t="s">
        <v>111</v>
      </c>
      <c r="J22" s="119"/>
      <c r="K22" s="97" t="s">
        <v>111</v>
      </c>
      <c r="L22" s="97" t="s">
        <v>798</v>
      </c>
      <c r="M22" s="97" t="s">
        <v>111</v>
      </c>
      <c r="N22" s="124"/>
      <c r="O22" s="97" t="s">
        <v>798</v>
      </c>
      <c r="P22" s="97" t="s">
        <v>111</v>
      </c>
      <c r="Q22" s="97" t="s">
        <v>111</v>
      </c>
      <c r="R22" s="97" t="s">
        <v>111</v>
      </c>
      <c r="S22" s="119"/>
      <c r="T22" s="97" t="s">
        <v>111</v>
      </c>
      <c r="U22" s="124"/>
      <c r="V22" s="97" t="s">
        <v>111</v>
      </c>
      <c r="W22" s="97" t="s">
        <v>111</v>
      </c>
      <c r="X22" s="119"/>
      <c r="Y22" s="97" t="s">
        <v>111</v>
      </c>
      <c r="Z22" s="97" t="s">
        <v>798</v>
      </c>
      <c r="AA22" s="97" t="s">
        <v>111</v>
      </c>
      <c r="AB22" s="124"/>
      <c r="AC22" s="97" t="s">
        <v>111</v>
      </c>
      <c r="AD22" s="97" t="s">
        <v>798</v>
      </c>
      <c r="AE22" s="97" t="s">
        <v>111</v>
      </c>
      <c r="AF22" s="97" t="s">
        <v>111</v>
      </c>
      <c r="AG22" s="97" t="s">
        <v>111</v>
      </c>
      <c r="AH22" s="5">
        <f t="shared" si="1"/>
        <v>15</v>
      </c>
      <c r="AI22" s="5">
        <f t="shared" si="2"/>
        <v>5</v>
      </c>
      <c r="AJ22" s="5" t="s">
        <v>17</v>
      </c>
      <c r="AK22" s="9">
        <f>AK21-AK14</f>
        <v>256</v>
      </c>
      <c r="AL22" s="9">
        <f>AL21-AL14</f>
        <v>260</v>
      </c>
      <c r="AM22" s="9">
        <f>AK22+AL22</f>
        <v>516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19"/>
      <c r="G23" s="124"/>
      <c r="H23" s="97" t="s">
        <v>111</v>
      </c>
      <c r="I23" s="97" t="s">
        <v>111</v>
      </c>
      <c r="J23" s="119"/>
      <c r="K23" s="97" t="s">
        <v>111</v>
      </c>
      <c r="L23" s="97" t="s">
        <v>111</v>
      </c>
      <c r="M23" s="97" t="s">
        <v>111</v>
      </c>
      <c r="N23" s="124"/>
      <c r="O23" s="97" t="s">
        <v>111</v>
      </c>
      <c r="P23" s="97" t="s">
        <v>111</v>
      </c>
      <c r="Q23" s="97" t="s">
        <v>111</v>
      </c>
      <c r="R23" s="97" t="s">
        <v>111</v>
      </c>
      <c r="S23" s="119"/>
      <c r="T23" s="97" t="s">
        <v>111</v>
      </c>
      <c r="U23" s="124"/>
      <c r="V23" s="97" t="s">
        <v>111</v>
      </c>
      <c r="W23" s="97" t="s">
        <v>111</v>
      </c>
      <c r="X23" s="119"/>
      <c r="Y23" s="97" t="s">
        <v>111</v>
      </c>
      <c r="Z23" s="97" t="s">
        <v>798</v>
      </c>
      <c r="AA23" s="97" t="s">
        <v>111</v>
      </c>
      <c r="AB23" s="124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798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0.33952254641909813</v>
      </c>
      <c r="AL23" s="12">
        <f>AL22/AL21</f>
        <v>0.4</v>
      </c>
      <c r="AM23" s="12">
        <f>AM22/AM21</f>
        <v>0.36752136752136755</v>
      </c>
    </row>
    <row r="24" spans="1:39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19"/>
      <c r="G24" s="124"/>
      <c r="H24" s="97" t="s">
        <v>798</v>
      </c>
      <c r="I24" s="97" t="s">
        <v>111</v>
      </c>
      <c r="J24" s="119"/>
      <c r="K24" s="97" t="s">
        <v>111</v>
      </c>
      <c r="L24" s="97" t="s">
        <v>798</v>
      </c>
      <c r="M24" s="97" t="s">
        <v>111</v>
      </c>
      <c r="N24" s="124"/>
      <c r="O24" s="97" t="s">
        <v>798</v>
      </c>
      <c r="P24" s="97" t="s">
        <v>798</v>
      </c>
      <c r="Q24" s="97" t="s">
        <v>111</v>
      </c>
      <c r="R24" s="97" t="s">
        <v>111</v>
      </c>
      <c r="S24" s="119"/>
      <c r="T24" s="97" t="s">
        <v>798</v>
      </c>
      <c r="U24" s="124"/>
      <c r="V24" s="97" t="s">
        <v>798</v>
      </c>
      <c r="W24" s="97" t="s">
        <v>111</v>
      </c>
      <c r="X24" s="119"/>
      <c r="Y24" s="97" t="s">
        <v>111</v>
      </c>
      <c r="Z24" s="97" t="s">
        <v>111</v>
      </c>
      <c r="AA24" s="97" t="s">
        <v>111</v>
      </c>
      <c r="AB24" s="124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19"/>
      <c r="G25" s="124"/>
      <c r="H25" s="97" t="s">
        <v>798</v>
      </c>
      <c r="I25" s="97" t="s">
        <v>111</v>
      </c>
      <c r="J25" s="119"/>
      <c r="K25" s="97" t="s">
        <v>798</v>
      </c>
      <c r="L25" s="97" t="s">
        <v>798</v>
      </c>
      <c r="M25" s="97" t="s">
        <v>798</v>
      </c>
      <c r="N25" s="124"/>
      <c r="O25" s="97" t="s">
        <v>111</v>
      </c>
      <c r="P25" s="97" t="s">
        <v>111</v>
      </c>
      <c r="Q25" s="97" t="s">
        <v>111</v>
      </c>
      <c r="R25" s="97" t="s">
        <v>111</v>
      </c>
      <c r="S25" s="119"/>
      <c r="T25" s="97" t="s">
        <v>798</v>
      </c>
      <c r="U25" s="124"/>
      <c r="V25" s="97" t="s">
        <v>111</v>
      </c>
      <c r="W25" s="97" t="s">
        <v>798</v>
      </c>
      <c r="X25" s="119"/>
      <c r="Y25" s="97" t="s">
        <v>111</v>
      </c>
      <c r="Z25" s="97" t="s">
        <v>111</v>
      </c>
      <c r="AA25" s="97" t="s">
        <v>111</v>
      </c>
      <c r="AB25" s="124"/>
      <c r="AC25" s="97" t="s">
        <v>111</v>
      </c>
      <c r="AD25" s="97" t="s">
        <v>798</v>
      </c>
      <c r="AE25" s="97" t="s">
        <v>111</v>
      </c>
      <c r="AF25" s="97" t="s">
        <v>111</v>
      </c>
      <c r="AG25" s="97" t="s">
        <v>111</v>
      </c>
      <c r="AH25" s="5">
        <f t="shared" si="1"/>
        <v>13</v>
      </c>
      <c r="AI25" s="5">
        <f t="shared" si="2"/>
        <v>7</v>
      </c>
    </row>
    <row r="26" spans="1:39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119"/>
      <c r="G26" s="124"/>
      <c r="H26" s="97" t="s">
        <v>111</v>
      </c>
      <c r="I26" s="97" t="s">
        <v>111</v>
      </c>
      <c r="J26" s="119"/>
      <c r="K26" s="97" t="s">
        <v>111</v>
      </c>
      <c r="L26" s="97" t="s">
        <v>111</v>
      </c>
      <c r="M26" s="97" t="s">
        <v>111</v>
      </c>
      <c r="N26" s="124"/>
      <c r="O26" s="97" t="s">
        <v>111</v>
      </c>
      <c r="P26" s="97" t="s">
        <v>798</v>
      </c>
      <c r="Q26" s="97" t="s">
        <v>798</v>
      </c>
      <c r="R26" s="97" t="s">
        <v>111</v>
      </c>
      <c r="S26" s="119"/>
      <c r="T26" s="97" t="s">
        <v>798</v>
      </c>
      <c r="U26" s="124"/>
      <c r="V26" s="97" t="s">
        <v>111</v>
      </c>
      <c r="W26" s="97" t="s">
        <v>111</v>
      </c>
      <c r="X26" s="119"/>
      <c r="Y26" s="97" t="s">
        <v>111</v>
      </c>
      <c r="Z26" s="97" t="s">
        <v>111</v>
      </c>
      <c r="AA26" s="97" t="s">
        <v>111</v>
      </c>
      <c r="AB26" s="124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17</v>
      </c>
      <c r="AI26" s="5">
        <f t="shared" si="2"/>
        <v>3</v>
      </c>
    </row>
    <row r="27" spans="1:39" ht="16.5" x14ac:dyDescent="0.25">
      <c r="A27" s="9">
        <v>24</v>
      </c>
      <c r="B27" s="11">
        <v>170</v>
      </c>
      <c r="C27" s="14" t="s">
        <v>118</v>
      </c>
      <c r="D27" s="14" t="s">
        <v>119</v>
      </c>
      <c r="E27" s="8" t="s">
        <v>6</v>
      </c>
      <c r="F27" s="119"/>
      <c r="G27" s="124"/>
      <c r="H27" s="97" t="s">
        <v>111</v>
      </c>
      <c r="I27" s="97" t="s">
        <v>111</v>
      </c>
      <c r="J27" s="119"/>
      <c r="K27" s="97" t="s">
        <v>111</v>
      </c>
      <c r="L27" s="97" t="s">
        <v>111</v>
      </c>
      <c r="M27" s="97" t="s">
        <v>111</v>
      </c>
      <c r="N27" s="124"/>
      <c r="O27" s="97" t="s">
        <v>111</v>
      </c>
      <c r="P27" s="97" t="s">
        <v>111</v>
      </c>
      <c r="Q27" s="97" t="s">
        <v>111</v>
      </c>
      <c r="R27" s="97" t="s">
        <v>111</v>
      </c>
      <c r="S27" s="119"/>
      <c r="T27" s="97" t="s">
        <v>111</v>
      </c>
      <c r="U27" s="124"/>
      <c r="V27" s="97" t="s">
        <v>111</v>
      </c>
      <c r="W27" s="97" t="s">
        <v>111</v>
      </c>
      <c r="X27" s="119"/>
      <c r="Y27" s="97" t="s">
        <v>111</v>
      </c>
      <c r="Z27" s="97" t="s">
        <v>111</v>
      </c>
      <c r="AA27" s="97" t="s">
        <v>111</v>
      </c>
      <c r="AB27" s="124"/>
      <c r="AC27" s="97" t="s">
        <v>111</v>
      </c>
      <c r="AD27" s="97" t="s">
        <v>111</v>
      </c>
      <c r="AE27" s="97" t="s">
        <v>111</v>
      </c>
      <c r="AF27" s="97" t="s">
        <v>798</v>
      </c>
      <c r="AG27" s="97" t="s">
        <v>111</v>
      </c>
      <c r="AH27" s="5">
        <f t="shared" si="1"/>
        <v>19</v>
      </c>
      <c r="AI27" s="5">
        <f t="shared" si="2"/>
        <v>1</v>
      </c>
    </row>
    <row r="28" spans="1:39" ht="16.5" x14ac:dyDescent="0.25">
      <c r="A28" s="9">
        <v>25</v>
      </c>
      <c r="B28" s="11">
        <v>189</v>
      </c>
      <c r="C28" s="14" t="s">
        <v>117</v>
      </c>
      <c r="D28" s="14"/>
      <c r="E28" s="8" t="s">
        <v>6</v>
      </c>
      <c r="F28" s="119"/>
      <c r="G28" s="124"/>
      <c r="H28" s="97" t="s">
        <v>798</v>
      </c>
      <c r="I28" s="97" t="s">
        <v>111</v>
      </c>
      <c r="J28" s="119"/>
      <c r="K28" s="97" t="s">
        <v>798</v>
      </c>
      <c r="L28" s="97" t="s">
        <v>111</v>
      </c>
      <c r="M28" s="97" t="s">
        <v>798</v>
      </c>
      <c r="N28" s="124"/>
      <c r="O28" s="97" t="s">
        <v>111</v>
      </c>
      <c r="P28" s="97" t="s">
        <v>798</v>
      </c>
      <c r="Q28" s="97" t="s">
        <v>111</v>
      </c>
      <c r="R28" s="97" t="s">
        <v>111</v>
      </c>
      <c r="S28" s="119"/>
      <c r="T28" s="97" t="s">
        <v>798</v>
      </c>
      <c r="U28" s="124"/>
      <c r="V28" s="97" t="s">
        <v>111</v>
      </c>
      <c r="W28" s="97" t="s">
        <v>111</v>
      </c>
      <c r="X28" s="119"/>
      <c r="Y28" s="97" t="s">
        <v>111</v>
      </c>
      <c r="Z28" s="97" t="s">
        <v>111</v>
      </c>
      <c r="AA28" s="97" t="s">
        <v>111</v>
      </c>
      <c r="AB28" s="124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14</v>
      </c>
      <c r="AI28" s="5">
        <f t="shared" si="2"/>
        <v>6</v>
      </c>
    </row>
    <row r="29" spans="1:39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119"/>
      <c r="G29" s="124"/>
      <c r="H29" s="97" t="s">
        <v>798</v>
      </c>
      <c r="I29" s="97" t="s">
        <v>111</v>
      </c>
      <c r="J29" s="119"/>
      <c r="K29" s="97" t="s">
        <v>111</v>
      </c>
      <c r="L29" s="97" t="s">
        <v>111</v>
      </c>
      <c r="M29" s="97" t="s">
        <v>111</v>
      </c>
      <c r="N29" s="124"/>
      <c r="O29" s="97" t="s">
        <v>111</v>
      </c>
      <c r="P29" s="97" t="s">
        <v>111</v>
      </c>
      <c r="Q29" s="97" t="s">
        <v>111</v>
      </c>
      <c r="R29" s="97" t="s">
        <v>111</v>
      </c>
      <c r="S29" s="119"/>
      <c r="T29" s="97" t="s">
        <v>111</v>
      </c>
      <c r="U29" s="124"/>
      <c r="V29" s="97" t="s">
        <v>111</v>
      </c>
      <c r="W29" s="97" t="s">
        <v>111</v>
      </c>
      <c r="X29" s="119"/>
      <c r="Y29" s="97" t="s">
        <v>111</v>
      </c>
      <c r="Z29" s="97" t="s">
        <v>111</v>
      </c>
      <c r="AA29" s="97" t="s">
        <v>111</v>
      </c>
      <c r="AB29" s="124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119"/>
      <c r="G30" s="124"/>
      <c r="H30" s="97" t="s">
        <v>798</v>
      </c>
      <c r="I30" s="97" t="s">
        <v>111</v>
      </c>
      <c r="J30" s="119"/>
      <c r="K30" s="97" t="s">
        <v>111</v>
      </c>
      <c r="L30" s="97" t="s">
        <v>111</v>
      </c>
      <c r="M30" s="97" t="s">
        <v>798</v>
      </c>
      <c r="N30" s="124"/>
      <c r="O30" s="97" t="s">
        <v>111</v>
      </c>
      <c r="P30" s="97" t="s">
        <v>111</v>
      </c>
      <c r="Q30" s="97" t="s">
        <v>111</v>
      </c>
      <c r="R30" s="97" t="s">
        <v>111</v>
      </c>
      <c r="S30" s="119"/>
      <c r="T30" s="97" t="s">
        <v>798</v>
      </c>
      <c r="U30" s="124"/>
      <c r="V30" s="97" t="s">
        <v>111</v>
      </c>
      <c r="W30" s="97" t="s">
        <v>111</v>
      </c>
      <c r="X30" s="119"/>
      <c r="Y30" s="97" t="s">
        <v>111</v>
      </c>
      <c r="Z30" s="97" t="s">
        <v>111</v>
      </c>
      <c r="AA30" s="97" t="s">
        <v>798</v>
      </c>
      <c r="AB30" s="124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16</v>
      </c>
      <c r="AI30" s="5">
        <f t="shared" si="2"/>
        <v>4</v>
      </c>
    </row>
    <row r="31" spans="1:39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119"/>
      <c r="G31" s="124"/>
      <c r="H31" s="97" t="s">
        <v>798</v>
      </c>
      <c r="I31" s="97" t="s">
        <v>111</v>
      </c>
      <c r="J31" s="119"/>
      <c r="K31" s="97" t="s">
        <v>111</v>
      </c>
      <c r="L31" s="97" t="s">
        <v>111</v>
      </c>
      <c r="M31" s="97" t="s">
        <v>111</v>
      </c>
      <c r="N31" s="124"/>
      <c r="O31" s="97" t="s">
        <v>111</v>
      </c>
      <c r="P31" s="97" t="s">
        <v>111</v>
      </c>
      <c r="Q31" s="97" t="s">
        <v>111</v>
      </c>
      <c r="R31" s="97" t="s">
        <v>111</v>
      </c>
      <c r="S31" s="119"/>
      <c r="T31" s="97" t="s">
        <v>111</v>
      </c>
      <c r="U31" s="124"/>
      <c r="V31" s="97" t="s">
        <v>111</v>
      </c>
      <c r="W31" s="97" t="s">
        <v>111</v>
      </c>
      <c r="X31" s="119"/>
      <c r="Y31" s="97" t="s">
        <v>111</v>
      </c>
      <c r="Z31" s="97" t="s">
        <v>111</v>
      </c>
      <c r="AA31" s="97" t="s">
        <v>798</v>
      </c>
      <c r="AB31" s="124"/>
      <c r="AC31" s="97" t="s">
        <v>111</v>
      </c>
      <c r="AD31" s="97" t="s">
        <v>798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119"/>
      <c r="G32" s="124"/>
      <c r="H32" s="97" t="s">
        <v>798</v>
      </c>
      <c r="I32" s="97" t="s">
        <v>111</v>
      </c>
      <c r="J32" s="119"/>
      <c r="K32" s="97" t="s">
        <v>111</v>
      </c>
      <c r="L32" s="97" t="s">
        <v>111</v>
      </c>
      <c r="M32" s="97" t="s">
        <v>798</v>
      </c>
      <c r="N32" s="124"/>
      <c r="O32" s="97" t="s">
        <v>798</v>
      </c>
      <c r="P32" s="97" t="s">
        <v>111</v>
      </c>
      <c r="Q32" s="97" t="s">
        <v>111</v>
      </c>
      <c r="R32" s="97" t="s">
        <v>111</v>
      </c>
      <c r="S32" s="119"/>
      <c r="T32" s="97" t="s">
        <v>798</v>
      </c>
      <c r="U32" s="124"/>
      <c r="V32" s="97" t="s">
        <v>111</v>
      </c>
      <c r="W32" s="97" t="s">
        <v>111</v>
      </c>
      <c r="X32" s="119"/>
      <c r="Y32" s="97" t="s">
        <v>798</v>
      </c>
      <c r="Z32" s="97" t="s">
        <v>111</v>
      </c>
      <c r="AA32" s="97" t="s">
        <v>111</v>
      </c>
      <c r="AB32" s="124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15</v>
      </c>
      <c r="AI32" s="5">
        <f t="shared" si="2"/>
        <v>5</v>
      </c>
    </row>
    <row r="33" spans="1:35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119"/>
      <c r="G33" s="124"/>
      <c r="H33" s="97" t="s">
        <v>798</v>
      </c>
      <c r="I33" s="97" t="s">
        <v>111</v>
      </c>
      <c r="J33" s="119"/>
      <c r="K33" s="97" t="s">
        <v>111</v>
      </c>
      <c r="L33" s="97" t="s">
        <v>111</v>
      </c>
      <c r="M33" s="97" t="s">
        <v>111</v>
      </c>
      <c r="N33" s="124"/>
      <c r="O33" s="97" t="s">
        <v>111</v>
      </c>
      <c r="P33" s="97" t="s">
        <v>111</v>
      </c>
      <c r="Q33" s="97" t="s">
        <v>111</v>
      </c>
      <c r="R33" s="97" t="s">
        <v>111</v>
      </c>
      <c r="S33" s="119"/>
      <c r="T33" s="97" t="s">
        <v>111</v>
      </c>
      <c r="U33" s="124"/>
      <c r="V33" s="97" t="s">
        <v>111</v>
      </c>
      <c r="W33" s="97" t="s">
        <v>111</v>
      </c>
      <c r="X33" s="119"/>
      <c r="Y33" s="97" t="s">
        <v>111</v>
      </c>
      <c r="Z33" s="97" t="s">
        <v>111</v>
      </c>
      <c r="AA33" s="97" t="s">
        <v>111</v>
      </c>
      <c r="AB33" s="124"/>
      <c r="AC33" s="97" t="s">
        <v>111</v>
      </c>
      <c r="AD33" s="97" t="s">
        <v>111</v>
      </c>
      <c r="AE33" s="97" t="s">
        <v>111</v>
      </c>
      <c r="AF33" s="97" t="s">
        <v>798</v>
      </c>
      <c r="AG33" s="97" t="s">
        <v>111</v>
      </c>
      <c r="AH33" s="5">
        <f t="shared" si="1"/>
        <v>18</v>
      </c>
      <c r="AI33" s="5">
        <f t="shared" si="2"/>
        <v>2</v>
      </c>
    </row>
    <row r="34" spans="1:35" ht="16.5" x14ac:dyDescent="0.25">
      <c r="A34" s="9">
        <v>6</v>
      </c>
      <c r="B34" s="98">
        <v>144</v>
      </c>
      <c r="C34" s="7" t="s">
        <v>39</v>
      </c>
      <c r="D34" s="7" t="s">
        <v>40</v>
      </c>
      <c r="E34" s="8" t="s">
        <v>6</v>
      </c>
      <c r="F34" s="119"/>
      <c r="G34" s="124"/>
      <c r="H34" s="97" t="s">
        <v>111</v>
      </c>
      <c r="I34" s="97" t="s">
        <v>111</v>
      </c>
      <c r="J34" s="119"/>
      <c r="K34" s="97" t="s">
        <v>111</v>
      </c>
      <c r="L34" s="97" t="s">
        <v>111</v>
      </c>
      <c r="M34" s="97" t="s">
        <v>111</v>
      </c>
      <c r="N34" s="124"/>
      <c r="O34" s="97" t="s">
        <v>111</v>
      </c>
      <c r="P34" s="97" t="s">
        <v>111</v>
      </c>
      <c r="Q34" s="97" t="s">
        <v>111</v>
      </c>
      <c r="R34" s="97" t="s">
        <v>111</v>
      </c>
      <c r="S34" s="119"/>
      <c r="T34" s="97" t="s">
        <v>111</v>
      </c>
      <c r="U34" s="124"/>
      <c r="V34" s="97" t="s">
        <v>111</v>
      </c>
      <c r="W34" s="97" t="s">
        <v>111</v>
      </c>
      <c r="X34" s="119"/>
      <c r="Y34" s="97" t="s">
        <v>111</v>
      </c>
      <c r="Z34" s="97" t="s">
        <v>111</v>
      </c>
      <c r="AA34" s="97" t="s">
        <v>111</v>
      </c>
      <c r="AB34" s="124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20</v>
      </c>
      <c r="AI34" s="5">
        <f t="shared" si="2"/>
        <v>0</v>
      </c>
    </row>
    <row r="35" spans="1:35" ht="16.5" x14ac:dyDescent="0.25">
      <c r="A35" s="9">
        <v>7</v>
      </c>
      <c r="B35" s="98">
        <v>145</v>
      </c>
      <c r="C35" s="7" t="s">
        <v>41</v>
      </c>
      <c r="D35" s="7" t="s">
        <v>42</v>
      </c>
      <c r="E35" s="8" t="s">
        <v>6</v>
      </c>
      <c r="F35" s="119"/>
      <c r="G35" s="124"/>
      <c r="H35" s="97" t="s">
        <v>111</v>
      </c>
      <c r="I35" s="97" t="s">
        <v>111</v>
      </c>
      <c r="J35" s="119"/>
      <c r="K35" s="97" t="s">
        <v>111</v>
      </c>
      <c r="L35" s="97" t="s">
        <v>111</v>
      </c>
      <c r="M35" s="97" t="s">
        <v>111</v>
      </c>
      <c r="N35" s="124"/>
      <c r="O35" s="97" t="s">
        <v>111</v>
      </c>
      <c r="P35" s="97" t="s">
        <v>111</v>
      </c>
      <c r="Q35" s="97" t="s">
        <v>111</v>
      </c>
      <c r="R35" s="97" t="s">
        <v>111</v>
      </c>
      <c r="S35" s="119"/>
      <c r="T35" s="97" t="s">
        <v>111</v>
      </c>
      <c r="U35" s="124"/>
      <c r="V35" s="97" t="s">
        <v>798</v>
      </c>
      <c r="W35" s="97" t="s">
        <v>798</v>
      </c>
      <c r="X35" s="119"/>
      <c r="Y35" s="97" t="s">
        <v>111</v>
      </c>
      <c r="Z35" s="97" t="s">
        <v>111</v>
      </c>
      <c r="AA35" s="97" t="s">
        <v>111</v>
      </c>
      <c r="AB35" s="124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18</v>
      </c>
      <c r="AI35" s="5">
        <f t="shared" si="2"/>
        <v>2</v>
      </c>
    </row>
    <row r="36" spans="1:35" ht="16.5" x14ac:dyDescent="0.25">
      <c r="A36" s="9">
        <v>8</v>
      </c>
      <c r="B36" s="98">
        <v>152</v>
      </c>
      <c r="C36" s="7" t="s">
        <v>51</v>
      </c>
      <c r="D36" s="7" t="s">
        <v>52</v>
      </c>
      <c r="E36" s="8" t="s">
        <v>6</v>
      </c>
      <c r="F36" s="119"/>
      <c r="G36" s="124"/>
      <c r="H36" s="97" t="s">
        <v>798</v>
      </c>
      <c r="I36" s="97" t="s">
        <v>111</v>
      </c>
      <c r="J36" s="119"/>
      <c r="K36" s="97" t="s">
        <v>111</v>
      </c>
      <c r="L36" s="97" t="s">
        <v>798</v>
      </c>
      <c r="M36" s="97" t="s">
        <v>798</v>
      </c>
      <c r="N36" s="124"/>
      <c r="O36" s="97" t="s">
        <v>798</v>
      </c>
      <c r="P36" s="97" t="s">
        <v>111</v>
      </c>
      <c r="Q36" s="97" t="s">
        <v>111</v>
      </c>
      <c r="R36" s="97" t="s">
        <v>111</v>
      </c>
      <c r="S36" s="119"/>
      <c r="T36" s="97" t="s">
        <v>798</v>
      </c>
      <c r="U36" s="124"/>
      <c r="V36" s="97" t="s">
        <v>111</v>
      </c>
      <c r="W36" s="97" t="s">
        <v>111</v>
      </c>
      <c r="X36" s="119"/>
      <c r="Y36" s="97" t="s">
        <v>798</v>
      </c>
      <c r="Z36" s="97" t="s">
        <v>798</v>
      </c>
      <c r="AA36" s="97" t="s">
        <v>111</v>
      </c>
      <c r="AB36" s="124"/>
      <c r="AC36" s="97" t="s">
        <v>798</v>
      </c>
      <c r="AD36" s="97" t="s">
        <v>798</v>
      </c>
      <c r="AE36" s="97" t="s">
        <v>798</v>
      </c>
      <c r="AF36" s="97" t="s">
        <v>111</v>
      </c>
      <c r="AG36" s="97" t="s">
        <v>111</v>
      </c>
      <c r="AH36" s="5">
        <f t="shared" ref="AH36:AH57" si="3">COUNTIF(F36:AG36,"P")</f>
        <v>10</v>
      </c>
      <c r="AI36" s="5">
        <f t="shared" ref="AI36:AI57" si="4">COUNTIF(F36:AG36,"A")</f>
        <v>10</v>
      </c>
    </row>
    <row r="37" spans="1:35" ht="16.5" x14ac:dyDescent="0.25">
      <c r="A37" s="9">
        <v>9</v>
      </c>
      <c r="B37" s="98">
        <v>153</v>
      </c>
      <c r="C37" s="7" t="s">
        <v>53</v>
      </c>
      <c r="D37" s="7" t="s">
        <v>54</v>
      </c>
      <c r="E37" s="8" t="s">
        <v>6</v>
      </c>
      <c r="F37" s="119"/>
      <c r="G37" s="124"/>
      <c r="H37" s="97" t="s">
        <v>111</v>
      </c>
      <c r="I37" s="97" t="s">
        <v>111</v>
      </c>
      <c r="J37" s="119"/>
      <c r="K37" s="97" t="s">
        <v>111</v>
      </c>
      <c r="L37" s="97" t="s">
        <v>111</v>
      </c>
      <c r="M37" s="97" t="s">
        <v>111</v>
      </c>
      <c r="N37" s="124"/>
      <c r="O37" s="97" t="s">
        <v>111</v>
      </c>
      <c r="P37" s="97" t="s">
        <v>111</v>
      </c>
      <c r="Q37" s="97" t="s">
        <v>111</v>
      </c>
      <c r="R37" s="97" t="s">
        <v>111</v>
      </c>
      <c r="S37" s="119"/>
      <c r="T37" s="97" t="s">
        <v>111</v>
      </c>
      <c r="U37" s="124"/>
      <c r="V37" s="97" t="s">
        <v>111</v>
      </c>
      <c r="W37" s="97" t="s">
        <v>111</v>
      </c>
      <c r="X37" s="119"/>
      <c r="Y37" s="97" t="s">
        <v>111</v>
      </c>
      <c r="Z37" s="97" t="s">
        <v>111</v>
      </c>
      <c r="AA37" s="97" t="s">
        <v>111</v>
      </c>
      <c r="AB37" s="124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10</v>
      </c>
      <c r="B38" s="98">
        <v>154</v>
      </c>
      <c r="C38" s="7" t="s">
        <v>55</v>
      </c>
      <c r="D38" s="7" t="s">
        <v>56</v>
      </c>
      <c r="E38" s="8" t="s">
        <v>6</v>
      </c>
      <c r="F38" s="119"/>
      <c r="G38" s="124"/>
      <c r="H38" s="97" t="s">
        <v>111</v>
      </c>
      <c r="I38" s="97" t="s">
        <v>111</v>
      </c>
      <c r="J38" s="119"/>
      <c r="K38" s="97" t="s">
        <v>111</v>
      </c>
      <c r="L38" s="97" t="s">
        <v>111</v>
      </c>
      <c r="M38" s="97" t="s">
        <v>111</v>
      </c>
      <c r="N38" s="124"/>
      <c r="O38" s="97" t="s">
        <v>111</v>
      </c>
      <c r="P38" s="97" t="s">
        <v>111</v>
      </c>
      <c r="Q38" s="97" t="s">
        <v>111</v>
      </c>
      <c r="R38" s="97" t="s">
        <v>111</v>
      </c>
      <c r="S38" s="119"/>
      <c r="T38" s="97" t="s">
        <v>111</v>
      </c>
      <c r="U38" s="124"/>
      <c r="V38" s="97" t="s">
        <v>111</v>
      </c>
      <c r="W38" s="97" t="s">
        <v>111</v>
      </c>
      <c r="X38" s="119"/>
      <c r="Y38" s="97" t="s">
        <v>111</v>
      </c>
      <c r="Z38" s="97" t="s">
        <v>111</v>
      </c>
      <c r="AA38" s="97" t="s">
        <v>111</v>
      </c>
      <c r="AB38" s="124"/>
      <c r="AC38" s="97" t="s">
        <v>798</v>
      </c>
      <c r="AD38" s="97" t="s">
        <v>798</v>
      </c>
      <c r="AE38" s="97" t="s">
        <v>111</v>
      </c>
      <c r="AF38" s="97" t="s">
        <v>111</v>
      </c>
      <c r="AG38" s="97" t="s">
        <v>111</v>
      </c>
      <c r="AH38" s="5">
        <f t="shared" si="3"/>
        <v>18</v>
      </c>
      <c r="AI38" s="5">
        <f t="shared" si="4"/>
        <v>2</v>
      </c>
    </row>
    <row r="39" spans="1:35" ht="16.5" x14ac:dyDescent="0.25">
      <c r="A39" s="9">
        <v>11</v>
      </c>
      <c r="B39" s="98">
        <v>155</v>
      </c>
      <c r="C39" s="7" t="s">
        <v>57</v>
      </c>
      <c r="D39" s="7" t="s">
        <v>58</v>
      </c>
      <c r="E39" s="8" t="s">
        <v>6</v>
      </c>
      <c r="F39" s="119"/>
      <c r="G39" s="124"/>
      <c r="H39" s="97" t="s">
        <v>798</v>
      </c>
      <c r="I39" s="97" t="s">
        <v>111</v>
      </c>
      <c r="J39" s="119"/>
      <c r="K39" s="97" t="s">
        <v>111</v>
      </c>
      <c r="L39" s="97" t="s">
        <v>111</v>
      </c>
      <c r="M39" s="97" t="s">
        <v>111</v>
      </c>
      <c r="N39" s="124"/>
      <c r="O39" s="97" t="s">
        <v>111</v>
      </c>
      <c r="P39" s="97" t="s">
        <v>111</v>
      </c>
      <c r="Q39" s="97" t="s">
        <v>111</v>
      </c>
      <c r="R39" s="97" t="s">
        <v>111</v>
      </c>
      <c r="S39" s="119"/>
      <c r="T39" s="97" t="s">
        <v>111</v>
      </c>
      <c r="U39" s="124"/>
      <c r="V39" s="97" t="s">
        <v>111</v>
      </c>
      <c r="W39" s="97" t="s">
        <v>111</v>
      </c>
      <c r="X39" s="119"/>
      <c r="Y39" s="97" t="s">
        <v>111</v>
      </c>
      <c r="Z39" s="97" t="s">
        <v>111</v>
      </c>
      <c r="AA39" s="97" t="s">
        <v>111</v>
      </c>
      <c r="AB39" s="124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19</v>
      </c>
      <c r="AI39" s="5">
        <f t="shared" si="4"/>
        <v>1</v>
      </c>
    </row>
    <row r="40" spans="1:35" ht="16.5" x14ac:dyDescent="0.25">
      <c r="A40" s="9">
        <v>12</v>
      </c>
      <c r="B40" s="98">
        <v>156</v>
      </c>
      <c r="C40" s="7" t="s">
        <v>59</v>
      </c>
      <c r="D40" s="7" t="s">
        <v>60</v>
      </c>
      <c r="E40" s="8" t="s">
        <v>6</v>
      </c>
      <c r="F40" s="119"/>
      <c r="G40" s="124"/>
      <c r="H40" s="97" t="s">
        <v>798</v>
      </c>
      <c r="I40" s="97" t="s">
        <v>111</v>
      </c>
      <c r="J40" s="119"/>
      <c r="K40" s="97" t="s">
        <v>111</v>
      </c>
      <c r="L40" s="97" t="s">
        <v>111</v>
      </c>
      <c r="M40" s="97" t="s">
        <v>111</v>
      </c>
      <c r="N40" s="124"/>
      <c r="O40" s="97" t="s">
        <v>111</v>
      </c>
      <c r="P40" s="97" t="s">
        <v>111</v>
      </c>
      <c r="Q40" s="97" t="s">
        <v>111</v>
      </c>
      <c r="R40" s="97" t="s">
        <v>111</v>
      </c>
      <c r="S40" s="119"/>
      <c r="T40" s="97" t="s">
        <v>798</v>
      </c>
      <c r="U40" s="124"/>
      <c r="V40" s="97" t="s">
        <v>111</v>
      </c>
      <c r="W40" s="97" t="s">
        <v>111</v>
      </c>
      <c r="X40" s="119"/>
      <c r="Y40" s="97" t="s">
        <v>111</v>
      </c>
      <c r="Z40" s="97" t="s">
        <v>111</v>
      </c>
      <c r="AA40" s="97" t="s">
        <v>798</v>
      </c>
      <c r="AB40" s="124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17</v>
      </c>
      <c r="AI40" s="5">
        <f t="shared" si="4"/>
        <v>3</v>
      </c>
    </row>
    <row r="41" spans="1:35" ht="16.5" x14ac:dyDescent="0.25">
      <c r="A41" s="9">
        <v>13</v>
      </c>
      <c r="B41" s="98">
        <v>158</v>
      </c>
      <c r="C41" s="7" t="s">
        <v>61</v>
      </c>
      <c r="D41" s="7" t="s">
        <v>62</v>
      </c>
      <c r="E41" s="8" t="s">
        <v>6</v>
      </c>
      <c r="F41" s="119"/>
      <c r="G41" s="124"/>
      <c r="H41" s="97" t="s">
        <v>798</v>
      </c>
      <c r="I41" s="97" t="s">
        <v>111</v>
      </c>
      <c r="J41" s="119"/>
      <c r="K41" s="97" t="s">
        <v>111</v>
      </c>
      <c r="L41" s="97" t="s">
        <v>111</v>
      </c>
      <c r="M41" s="97" t="s">
        <v>111</v>
      </c>
      <c r="N41" s="124"/>
      <c r="O41" s="97" t="s">
        <v>111</v>
      </c>
      <c r="P41" s="97" t="s">
        <v>111</v>
      </c>
      <c r="Q41" s="97" t="s">
        <v>111</v>
      </c>
      <c r="R41" s="97" t="s">
        <v>111</v>
      </c>
      <c r="S41" s="119"/>
      <c r="T41" s="97" t="s">
        <v>111</v>
      </c>
      <c r="U41" s="124"/>
      <c r="V41" s="97" t="s">
        <v>111</v>
      </c>
      <c r="W41" s="97" t="s">
        <v>111</v>
      </c>
      <c r="X41" s="119"/>
      <c r="Y41" s="97" t="s">
        <v>111</v>
      </c>
      <c r="Z41" s="97" t="s">
        <v>111</v>
      </c>
      <c r="AA41" s="97" t="s">
        <v>111</v>
      </c>
      <c r="AB41" s="124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119"/>
      <c r="G42" s="124"/>
      <c r="H42" s="97" t="s">
        <v>798</v>
      </c>
      <c r="I42" s="97" t="s">
        <v>111</v>
      </c>
      <c r="J42" s="119"/>
      <c r="K42" s="97" t="s">
        <v>798</v>
      </c>
      <c r="L42" s="97" t="s">
        <v>798</v>
      </c>
      <c r="M42" s="97" t="s">
        <v>798</v>
      </c>
      <c r="N42" s="124"/>
      <c r="O42" s="97" t="s">
        <v>111</v>
      </c>
      <c r="P42" s="97" t="s">
        <v>111</v>
      </c>
      <c r="Q42" s="97" t="s">
        <v>798</v>
      </c>
      <c r="R42" s="97" t="s">
        <v>111</v>
      </c>
      <c r="S42" s="119"/>
      <c r="T42" s="97" t="s">
        <v>111</v>
      </c>
      <c r="U42" s="124"/>
      <c r="V42" s="97" t="s">
        <v>798</v>
      </c>
      <c r="W42" s="97" t="s">
        <v>798</v>
      </c>
      <c r="X42" s="119"/>
      <c r="Y42" s="97" t="s">
        <v>111</v>
      </c>
      <c r="Z42" s="97" t="s">
        <v>111</v>
      </c>
      <c r="AA42" s="97" t="s">
        <v>798</v>
      </c>
      <c r="AB42" s="124"/>
      <c r="AC42" s="97" t="s">
        <v>111</v>
      </c>
      <c r="AD42" s="97" t="s">
        <v>111</v>
      </c>
      <c r="AE42" s="97" t="s">
        <v>798</v>
      </c>
      <c r="AF42" s="97" t="s">
        <v>111</v>
      </c>
      <c r="AG42" s="97" t="s">
        <v>111</v>
      </c>
      <c r="AH42" s="5">
        <f t="shared" si="3"/>
        <v>11</v>
      </c>
      <c r="AI42" s="5">
        <f t="shared" si="4"/>
        <v>9</v>
      </c>
    </row>
    <row r="43" spans="1:35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119"/>
      <c r="G43" s="124"/>
      <c r="H43" s="97" t="s">
        <v>798</v>
      </c>
      <c r="I43" s="97" t="s">
        <v>111</v>
      </c>
      <c r="J43" s="119"/>
      <c r="K43" s="97" t="s">
        <v>798</v>
      </c>
      <c r="L43" s="97" t="s">
        <v>111</v>
      </c>
      <c r="M43" s="97" t="s">
        <v>111</v>
      </c>
      <c r="N43" s="124"/>
      <c r="O43" s="97" t="s">
        <v>111</v>
      </c>
      <c r="P43" s="97" t="s">
        <v>798</v>
      </c>
      <c r="Q43" s="97" t="s">
        <v>798</v>
      </c>
      <c r="R43" s="97" t="s">
        <v>798</v>
      </c>
      <c r="S43" s="119"/>
      <c r="T43" s="97" t="s">
        <v>798</v>
      </c>
      <c r="U43" s="124"/>
      <c r="V43" s="97" t="s">
        <v>111</v>
      </c>
      <c r="W43" s="97" t="s">
        <v>111</v>
      </c>
      <c r="X43" s="119"/>
      <c r="Y43" s="97" t="s">
        <v>798</v>
      </c>
      <c r="Z43" s="97" t="s">
        <v>111</v>
      </c>
      <c r="AA43" s="97" t="s">
        <v>111</v>
      </c>
      <c r="AB43" s="124"/>
      <c r="AC43" s="97" t="s">
        <v>798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12</v>
      </c>
      <c r="AI43" s="5">
        <f t="shared" si="4"/>
        <v>8</v>
      </c>
    </row>
    <row r="44" spans="1:35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119"/>
      <c r="G44" s="124"/>
      <c r="H44" s="97" t="s">
        <v>111</v>
      </c>
      <c r="I44" s="97" t="s">
        <v>798</v>
      </c>
      <c r="J44" s="119"/>
      <c r="K44" s="97" t="s">
        <v>111</v>
      </c>
      <c r="L44" s="97" t="s">
        <v>111</v>
      </c>
      <c r="M44" s="97" t="s">
        <v>111</v>
      </c>
      <c r="N44" s="124"/>
      <c r="O44" s="97" t="s">
        <v>111</v>
      </c>
      <c r="P44" s="97" t="s">
        <v>111</v>
      </c>
      <c r="Q44" s="97" t="s">
        <v>111</v>
      </c>
      <c r="R44" s="97" t="s">
        <v>111</v>
      </c>
      <c r="S44" s="119"/>
      <c r="T44" s="97" t="s">
        <v>111</v>
      </c>
      <c r="U44" s="124"/>
      <c r="V44" s="97" t="s">
        <v>111</v>
      </c>
      <c r="W44" s="97" t="s">
        <v>111</v>
      </c>
      <c r="X44" s="119"/>
      <c r="Y44" s="97" t="s">
        <v>111</v>
      </c>
      <c r="Z44" s="97" t="s">
        <v>111</v>
      </c>
      <c r="AA44" s="97" t="s">
        <v>111</v>
      </c>
      <c r="AB44" s="124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19</v>
      </c>
      <c r="AI44" s="5">
        <f t="shared" si="4"/>
        <v>1</v>
      </c>
    </row>
    <row r="45" spans="1:35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119"/>
      <c r="G45" s="124"/>
      <c r="H45" s="97" t="s">
        <v>111</v>
      </c>
      <c r="I45" s="97" t="s">
        <v>111</v>
      </c>
      <c r="J45" s="119"/>
      <c r="K45" s="97" t="s">
        <v>111</v>
      </c>
      <c r="L45" s="97" t="s">
        <v>798</v>
      </c>
      <c r="M45" s="97" t="s">
        <v>111</v>
      </c>
      <c r="N45" s="124"/>
      <c r="O45" s="97" t="s">
        <v>111</v>
      </c>
      <c r="P45" s="97" t="s">
        <v>111</v>
      </c>
      <c r="Q45" s="97" t="s">
        <v>111</v>
      </c>
      <c r="R45" s="97" t="s">
        <v>111</v>
      </c>
      <c r="S45" s="119"/>
      <c r="T45" s="97" t="s">
        <v>111</v>
      </c>
      <c r="U45" s="124"/>
      <c r="V45" s="97" t="s">
        <v>798</v>
      </c>
      <c r="W45" s="97" t="s">
        <v>111</v>
      </c>
      <c r="X45" s="119"/>
      <c r="Y45" s="97" t="s">
        <v>111</v>
      </c>
      <c r="Z45" s="97" t="s">
        <v>111</v>
      </c>
      <c r="AA45" s="97" t="s">
        <v>111</v>
      </c>
      <c r="AB45" s="124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18</v>
      </c>
      <c r="AI45" s="5">
        <f t="shared" si="4"/>
        <v>2</v>
      </c>
    </row>
    <row r="46" spans="1:35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119"/>
      <c r="G46" s="124"/>
      <c r="H46" s="97" t="s">
        <v>798</v>
      </c>
      <c r="I46" s="97" t="s">
        <v>111</v>
      </c>
      <c r="J46" s="119"/>
      <c r="K46" s="97" t="s">
        <v>111</v>
      </c>
      <c r="L46" s="97" t="s">
        <v>798</v>
      </c>
      <c r="M46" s="97" t="s">
        <v>111</v>
      </c>
      <c r="N46" s="124"/>
      <c r="O46" s="97" t="s">
        <v>111</v>
      </c>
      <c r="P46" s="97" t="s">
        <v>111</v>
      </c>
      <c r="Q46" s="97" t="s">
        <v>111</v>
      </c>
      <c r="R46" s="97" t="s">
        <v>111</v>
      </c>
      <c r="S46" s="119"/>
      <c r="T46" s="97" t="s">
        <v>111</v>
      </c>
      <c r="U46" s="124"/>
      <c r="V46" s="97" t="s">
        <v>111</v>
      </c>
      <c r="W46" s="97" t="s">
        <v>111</v>
      </c>
      <c r="X46" s="119"/>
      <c r="Y46" s="97" t="s">
        <v>111</v>
      </c>
      <c r="Z46" s="97" t="s">
        <v>111</v>
      </c>
      <c r="AA46" s="97" t="s">
        <v>111</v>
      </c>
      <c r="AB46" s="124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18</v>
      </c>
      <c r="AI46" s="5">
        <f t="shared" si="4"/>
        <v>2</v>
      </c>
    </row>
    <row r="47" spans="1:35" ht="16.5" x14ac:dyDescent="0.25">
      <c r="A47" s="9">
        <v>19</v>
      </c>
      <c r="B47" s="11">
        <v>197</v>
      </c>
      <c r="C47" s="7" t="s">
        <v>90</v>
      </c>
      <c r="D47" s="7"/>
      <c r="E47" s="8" t="s">
        <v>6</v>
      </c>
      <c r="F47" s="119"/>
      <c r="G47" s="124"/>
      <c r="H47" s="97" t="s">
        <v>798</v>
      </c>
      <c r="I47" s="97" t="s">
        <v>111</v>
      </c>
      <c r="J47" s="119"/>
      <c r="K47" s="97" t="s">
        <v>111</v>
      </c>
      <c r="L47" s="97" t="s">
        <v>798</v>
      </c>
      <c r="M47" s="97" t="s">
        <v>111</v>
      </c>
      <c r="N47" s="124"/>
      <c r="O47" s="97" t="s">
        <v>111</v>
      </c>
      <c r="P47" s="97" t="s">
        <v>111</v>
      </c>
      <c r="Q47" s="97" t="s">
        <v>111</v>
      </c>
      <c r="R47" s="97" t="s">
        <v>111</v>
      </c>
      <c r="S47" s="119"/>
      <c r="T47" s="97" t="s">
        <v>111</v>
      </c>
      <c r="U47" s="124"/>
      <c r="V47" s="97" t="s">
        <v>111</v>
      </c>
      <c r="W47" s="97" t="s">
        <v>111</v>
      </c>
      <c r="X47" s="119"/>
      <c r="Y47" s="97" t="s">
        <v>111</v>
      </c>
      <c r="Z47" s="97" t="s">
        <v>111</v>
      </c>
      <c r="AA47" s="97" t="s">
        <v>111</v>
      </c>
      <c r="AB47" s="124"/>
      <c r="AC47" s="97" t="s">
        <v>111</v>
      </c>
      <c r="AD47" s="97" t="s">
        <v>111</v>
      </c>
      <c r="AE47" s="97" t="s">
        <v>111</v>
      </c>
      <c r="AF47" s="97" t="s">
        <v>798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119"/>
      <c r="G48" s="124"/>
      <c r="H48" s="97" t="s">
        <v>798</v>
      </c>
      <c r="I48" s="97" t="s">
        <v>111</v>
      </c>
      <c r="J48" s="119"/>
      <c r="K48" s="97" t="s">
        <v>111</v>
      </c>
      <c r="L48" s="97" t="s">
        <v>111</v>
      </c>
      <c r="M48" s="97" t="s">
        <v>111</v>
      </c>
      <c r="N48" s="124"/>
      <c r="O48" s="97" t="s">
        <v>111</v>
      </c>
      <c r="P48" s="97" t="s">
        <v>111</v>
      </c>
      <c r="Q48" s="97" t="s">
        <v>111</v>
      </c>
      <c r="R48" s="97" t="s">
        <v>111</v>
      </c>
      <c r="S48" s="119"/>
      <c r="T48" s="97" t="s">
        <v>111</v>
      </c>
      <c r="U48" s="124"/>
      <c r="V48" s="97" t="s">
        <v>111</v>
      </c>
      <c r="W48" s="97" t="s">
        <v>111</v>
      </c>
      <c r="X48" s="119"/>
      <c r="Y48" s="97" t="s">
        <v>111</v>
      </c>
      <c r="Z48" s="97" t="s">
        <v>111</v>
      </c>
      <c r="AA48" s="97" t="s">
        <v>111</v>
      </c>
      <c r="AB48" s="124"/>
      <c r="AC48" s="97" t="s">
        <v>111</v>
      </c>
      <c r="AD48" s="97" t="s">
        <v>111</v>
      </c>
      <c r="AE48" s="97" t="s">
        <v>111</v>
      </c>
      <c r="AF48" s="97" t="s">
        <v>798</v>
      </c>
      <c r="AG48" s="97" t="s">
        <v>111</v>
      </c>
      <c r="AH48" s="5">
        <f t="shared" si="3"/>
        <v>18</v>
      </c>
      <c r="AI48" s="5">
        <f t="shared" si="4"/>
        <v>2</v>
      </c>
    </row>
    <row r="49" spans="1:35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119"/>
      <c r="G49" s="124"/>
      <c r="H49" s="97" t="s">
        <v>798</v>
      </c>
      <c r="I49" s="97" t="s">
        <v>111</v>
      </c>
      <c r="J49" s="119"/>
      <c r="K49" s="97" t="s">
        <v>111</v>
      </c>
      <c r="L49" s="97" t="s">
        <v>111</v>
      </c>
      <c r="M49" s="97" t="s">
        <v>111</v>
      </c>
      <c r="N49" s="124"/>
      <c r="O49" s="97" t="s">
        <v>111</v>
      </c>
      <c r="P49" s="97" t="s">
        <v>111</v>
      </c>
      <c r="Q49" s="97" t="s">
        <v>111</v>
      </c>
      <c r="R49" s="97" t="s">
        <v>111</v>
      </c>
      <c r="S49" s="119"/>
      <c r="T49" s="97" t="s">
        <v>111</v>
      </c>
      <c r="U49" s="124"/>
      <c r="V49" s="97" t="s">
        <v>111</v>
      </c>
      <c r="W49" s="97" t="s">
        <v>111</v>
      </c>
      <c r="X49" s="119"/>
      <c r="Y49" s="97" t="s">
        <v>111</v>
      </c>
      <c r="Z49" s="97" t="s">
        <v>111</v>
      </c>
      <c r="AA49" s="97" t="s">
        <v>111</v>
      </c>
      <c r="AB49" s="124"/>
      <c r="AC49" s="97" t="s">
        <v>798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119"/>
      <c r="G50" s="124"/>
      <c r="H50" s="97" t="s">
        <v>111</v>
      </c>
      <c r="I50" s="97" t="s">
        <v>111</v>
      </c>
      <c r="J50" s="119"/>
      <c r="K50" s="97" t="s">
        <v>111</v>
      </c>
      <c r="L50" s="97" t="s">
        <v>111</v>
      </c>
      <c r="M50" s="97" t="s">
        <v>111</v>
      </c>
      <c r="N50" s="124"/>
      <c r="O50" s="97" t="s">
        <v>111</v>
      </c>
      <c r="P50" s="97" t="s">
        <v>111</v>
      </c>
      <c r="Q50" s="97" t="s">
        <v>111</v>
      </c>
      <c r="R50" s="97" t="s">
        <v>111</v>
      </c>
      <c r="S50" s="119"/>
      <c r="T50" s="97" t="s">
        <v>798</v>
      </c>
      <c r="U50" s="124"/>
      <c r="V50" s="97" t="s">
        <v>111</v>
      </c>
      <c r="W50" s="97" t="s">
        <v>111</v>
      </c>
      <c r="X50" s="119"/>
      <c r="Y50" s="97" t="s">
        <v>111</v>
      </c>
      <c r="Z50" s="97" t="s">
        <v>111</v>
      </c>
      <c r="AA50" s="97" t="s">
        <v>111</v>
      </c>
      <c r="AB50" s="124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19</v>
      </c>
      <c r="AI50" s="5">
        <f t="shared" si="4"/>
        <v>1</v>
      </c>
    </row>
    <row r="51" spans="1:35" ht="16.5" x14ac:dyDescent="0.25">
      <c r="A51" s="9">
        <v>23</v>
      </c>
      <c r="B51" s="11">
        <v>184</v>
      </c>
      <c r="C51" s="7" t="s">
        <v>109</v>
      </c>
      <c r="D51" s="7" t="s">
        <v>110</v>
      </c>
      <c r="E51" s="8" t="s">
        <v>6</v>
      </c>
      <c r="F51" s="119"/>
      <c r="G51" s="124"/>
      <c r="H51" s="97" t="s">
        <v>798</v>
      </c>
      <c r="I51" s="97" t="s">
        <v>111</v>
      </c>
      <c r="J51" s="119"/>
      <c r="K51" s="97" t="s">
        <v>111</v>
      </c>
      <c r="L51" s="97" t="s">
        <v>798</v>
      </c>
      <c r="M51" s="97" t="s">
        <v>111</v>
      </c>
      <c r="N51" s="124"/>
      <c r="O51" s="97" t="s">
        <v>111</v>
      </c>
      <c r="P51" s="97" t="s">
        <v>798</v>
      </c>
      <c r="Q51" s="97" t="s">
        <v>798</v>
      </c>
      <c r="R51" s="97" t="s">
        <v>111</v>
      </c>
      <c r="S51" s="119"/>
      <c r="T51" s="97" t="s">
        <v>111</v>
      </c>
      <c r="U51" s="124"/>
      <c r="V51" s="97" t="s">
        <v>111</v>
      </c>
      <c r="W51" s="97" t="s">
        <v>111</v>
      </c>
      <c r="X51" s="119"/>
      <c r="Y51" s="97" t="s">
        <v>798</v>
      </c>
      <c r="Z51" s="97" t="s">
        <v>111</v>
      </c>
      <c r="AA51" s="97" t="s">
        <v>111</v>
      </c>
      <c r="AB51" s="124"/>
      <c r="AC51" s="97" t="s">
        <v>798</v>
      </c>
      <c r="AD51" s="97" t="s">
        <v>798</v>
      </c>
      <c r="AE51" s="97" t="s">
        <v>111</v>
      </c>
      <c r="AF51" s="97" t="s">
        <v>798</v>
      </c>
      <c r="AG51" s="97" t="s">
        <v>111</v>
      </c>
      <c r="AH51" s="5">
        <f t="shared" si="3"/>
        <v>12</v>
      </c>
      <c r="AI51" s="5">
        <f t="shared" si="4"/>
        <v>8</v>
      </c>
    </row>
    <row r="52" spans="1:35" ht="16.5" x14ac:dyDescent="0.25">
      <c r="A52" s="9">
        <v>24</v>
      </c>
      <c r="B52" s="14">
        <v>185</v>
      </c>
      <c r="C52" s="14" t="s">
        <v>112</v>
      </c>
      <c r="D52" s="14" t="s">
        <v>27</v>
      </c>
      <c r="E52" s="8" t="s">
        <v>6</v>
      </c>
      <c r="F52" s="119"/>
      <c r="G52" s="124"/>
      <c r="H52" s="97" t="s">
        <v>798</v>
      </c>
      <c r="I52" s="97" t="s">
        <v>111</v>
      </c>
      <c r="J52" s="119"/>
      <c r="K52" s="97" t="s">
        <v>111</v>
      </c>
      <c r="L52" s="97" t="s">
        <v>111</v>
      </c>
      <c r="M52" s="97" t="s">
        <v>111</v>
      </c>
      <c r="N52" s="124"/>
      <c r="O52" s="97" t="s">
        <v>111</v>
      </c>
      <c r="P52" s="97" t="s">
        <v>111</v>
      </c>
      <c r="Q52" s="97" t="s">
        <v>111</v>
      </c>
      <c r="R52" s="97" t="s">
        <v>111</v>
      </c>
      <c r="S52" s="119"/>
      <c r="T52" s="97" t="s">
        <v>798</v>
      </c>
      <c r="U52" s="124"/>
      <c r="V52" s="97" t="s">
        <v>111</v>
      </c>
      <c r="W52" s="97" t="s">
        <v>111</v>
      </c>
      <c r="X52" s="119"/>
      <c r="Y52" s="97" t="s">
        <v>111</v>
      </c>
      <c r="Z52" s="97" t="s">
        <v>111</v>
      </c>
      <c r="AA52" s="97" t="s">
        <v>111</v>
      </c>
      <c r="AB52" s="124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18</v>
      </c>
      <c r="AI52" s="5">
        <f t="shared" si="4"/>
        <v>2</v>
      </c>
    </row>
    <row r="53" spans="1:35" ht="16.5" x14ac:dyDescent="0.25">
      <c r="A53" s="9">
        <v>25</v>
      </c>
      <c r="B53" s="14">
        <v>186</v>
      </c>
      <c r="C53" s="14" t="s">
        <v>103</v>
      </c>
      <c r="D53" s="14" t="s">
        <v>104</v>
      </c>
      <c r="E53" s="8" t="s">
        <v>6</v>
      </c>
      <c r="F53" s="119"/>
      <c r="G53" s="124"/>
      <c r="H53" s="97" t="s">
        <v>798</v>
      </c>
      <c r="I53" s="97" t="s">
        <v>111</v>
      </c>
      <c r="J53" s="119"/>
      <c r="K53" s="97" t="s">
        <v>111</v>
      </c>
      <c r="L53" s="97" t="s">
        <v>111</v>
      </c>
      <c r="M53" s="97" t="s">
        <v>111</v>
      </c>
      <c r="N53" s="124"/>
      <c r="O53" s="97" t="s">
        <v>798</v>
      </c>
      <c r="P53" s="97" t="s">
        <v>111</v>
      </c>
      <c r="Q53" s="97" t="s">
        <v>111</v>
      </c>
      <c r="R53" s="97" t="s">
        <v>111</v>
      </c>
      <c r="S53" s="119"/>
      <c r="T53" s="97" t="s">
        <v>111</v>
      </c>
      <c r="U53" s="124"/>
      <c r="V53" s="97" t="s">
        <v>111</v>
      </c>
      <c r="W53" s="97" t="s">
        <v>111</v>
      </c>
      <c r="X53" s="119"/>
      <c r="Y53" s="97" t="s">
        <v>111</v>
      </c>
      <c r="Z53" s="97" t="s">
        <v>111</v>
      </c>
      <c r="AA53" s="97" t="s">
        <v>111</v>
      </c>
      <c r="AB53" s="124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18</v>
      </c>
      <c r="AI53" s="5">
        <f t="shared" si="4"/>
        <v>2</v>
      </c>
    </row>
    <row r="54" spans="1:35" ht="16.5" x14ac:dyDescent="0.25">
      <c r="A54" s="9">
        <v>26</v>
      </c>
      <c r="B54" s="14">
        <v>187</v>
      </c>
      <c r="C54" s="14" t="s">
        <v>113</v>
      </c>
      <c r="D54" s="14" t="s">
        <v>114</v>
      </c>
      <c r="E54" s="8" t="s">
        <v>6</v>
      </c>
      <c r="F54" s="119"/>
      <c r="G54" s="124"/>
      <c r="H54" s="97" t="s">
        <v>798</v>
      </c>
      <c r="I54" s="97" t="s">
        <v>111</v>
      </c>
      <c r="J54" s="119"/>
      <c r="K54" s="97" t="s">
        <v>111</v>
      </c>
      <c r="L54" s="97" t="s">
        <v>111</v>
      </c>
      <c r="M54" s="97" t="s">
        <v>111</v>
      </c>
      <c r="N54" s="124"/>
      <c r="O54" s="97" t="s">
        <v>111</v>
      </c>
      <c r="P54" s="97" t="s">
        <v>111</v>
      </c>
      <c r="Q54" s="97" t="s">
        <v>111</v>
      </c>
      <c r="R54" s="97" t="s">
        <v>111</v>
      </c>
      <c r="S54" s="119"/>
      <c r="T54" s="97" t="s">
        <v>111</v>
      </c>
      <c r="U54" s="124"/>
      <c r="V54" s="97" t="s">
        <v>111</v>
      </c>
      <c r="W54" s="97" t="s">
        <v>798</v>
      </c>
      <c r="X54" s="119"/>
      <c r="Y54" s="97" t="s">
        <v>111</v>
      </c>
      <c r="Z54" s="97" t="s">
        <v>111</v>
      </c>
      <c r="AA54" s="97" t="s">
        <v>111</v>
      </c>
      <c r="AB54" s="124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18</v>
      </c>
      <c r="AI54" s="5">
        <f t="shared" si="4"/>
        <v>2</v>
      </c>
    </row>
    <row r="55" spans="1:35" ht="16.5" x14ac:dyDescent="0.25">
      <c r="A55" s="9">
        <v>27</v>
      </c>
      <c r="B55" s="14">
        <v>188</v>
      </c>
      <c r="C55" s="14" t="s">
        <v>115</v>
      </c>
      <c r="D55" s="14" t="s">
        <v>116</v>
      </c>
      <c r="E55" s="8" t="s">
        <v>6</v>
      </c>
      <c r="F55" s="119"/>
      <c r="G55" s="124"/>
      <c r="H55" s="97" t="s">
        <v>798</v>
      </c>
      <c r="I55" s="97" t="s">
        <v>111</v>
      </c>
      <c r="J55" s="119"/>
      <c r="K55" s="97" t="s">
        <v>111</v>
      </c>
      <c r="L55" s="97" t="s">
        <v>111</v>
      </c>
      <c r="M55" s="97" t="s">
        <v>111</v>
      </c>
      <c r="N55" s="124"/>
      <c r="O55" s="97" t="s">
        <v>111</v>
      </c>
      <c r="P55" s="97" t="s">
        <v>111</v>
      </c>
      <c r="Q55" s="97" t="s">
        <v>111</v>
      </c>
      <c r="R55" s="97" t="s">
        <v>111</v>
      </c>
      <c r="S55" s="119"/>
      <c r="T55" s="97" t="s">
        <v>111</v>
      </c>
      <c r="U55" s="124"/>
      <c r="V55" s="97" t="s">
        <v>111</v>
      </c>
      <c r="W55" s="97" t="s">
        <v>111</v>
      </c>
      <c r="X55" s="119"/>
      <c r="Y55" s="97" t="s">
        <v>111</v>
      </c>
      <c r="Z55" s="97" t="s">
        <v>111</v>
      </c>
      <c r="AA55" s="97" t="s">
        <v>111</v>
      </c>
      <c r="AB55" s="124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19</v>
      </c>
      <c r="AI55" s="5">
        <f t="shared" si="4"/>
        <v>1</v>
      </c>
    </row>
    <row r="56" spans="1:35" ht="16.5" x14ac:dyDescent="0.25">
      <c r="A56" s="9">
        <v>28</v>
      </c>
      <c r="B56" s="14">
        <v>177</v>
      </c>
      <c r="C56" s="14" t="s">
        <v>120</v>
      </c>
      <c r="D56" s="14" t="s">
        <v>119</v>
      </c>
      <c r="E56" s="8" t="s">
        <v>6</v>
      </c>
      <c r="F56" s="119"/>
      <c r="G56" s="124"/>
      <c r="H56" s="97" t="s">
        <v>111</v>
      </c>
      <c r="I56" s="97" t="s">
        <v>111</v>
      </c>
      <c r="J56" s="119"/>
      <c r="K56" s="97" t="s">
        <v>111</v>
      </c>
      <c r="L56" s="97" t="s">
        <v>111</v>
      </c>
      <c r="M56" s="97" t="s">
        <v>111</v>
      </c>
      <c r="N56" s="124"/>
      <c r="O56" s="97" t="s">
        <v>111</v>
      </c>
      <c r="P56" s="97" t="s">
        <v>111</v>
      </c>
      <c r="Q56" s="97" t="s">
        <v>111</v>
      </c>
      <c r="R56" s="97" t="s">
        <v>111</v>
      </c>
      <c r="S56" s="119"/>
      <c r="T56" s="97" t="s">
        <v>111</v>
      </c>
      <c r="U56" s="124"/>
      <c r="V56" s="97" t="s">
        <v>111</v>
      </c>
      <c r="W56" s="97" t="s">
        <v>111</v>
      </c>
      <c r="X56" s="119"/>
      <c r="Y56" s="97" t="s">
        <v>111</v>
      </c>
      <c r="Z56" s="97" t="s">
        <v>111</v>
      </c>
      <c r="AA56" s="97" t="s">
        <v>111</v>
      </c>
      <c r="AB56" s="124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29</v>
      </c>
      <c r="B57" s="11">
        <v>180</v>
      </c>
      <c r="C57" s="7" t="s">
        <v>100</v>
      </c>
      <c r="D57" s="7" t="s">
        <v>101</v>
      </c>
      <c r="E57" s="8" t="s">
        <v>6</v>
      </c>
      <c r="F57" s="119"/>
      <c r="G57" s="125"/>
      <c r="H57" s="97" t="s">
        <v>798</v>
      </c>
      <c r="I57" s="97" t="s">
        <v>798</v>
      </c>
      <c r="J57" s="119"/>
      <c r="K57" s="97" t="s">
        <v>798</v>
      </c>
      <c r="L57" s="97" t="s">
        <v>111</v>
      </c>
      <c r="M57" s="97" t="s">
        <v>111</v>
      </c>
      <c r="N57" s="125"/>
      <c r="O57" s="97" t="s">
        <v>111</v>
      </c>
      <c r="P57" s="97" t="s">
        <v>111</v>
      </c>
      <c r="Q57" s="97" t="s">
        <v>111</v>
      </c>
      <c r="R57" s="97" t="s">
        <v>111</v>
      </c>
      <c r="S57" s="119"/>
      <c r="T57" s="97" t="s">
        <v>111</v>
      </c>
      <c r="U57" s="125"/>
      <c r="V57" s="97" t="s">
        <v>111</v>
      </c>
      <c r="W57" s="97" t="s">
        <v>111</v>
      </c>
      <c r="X57" s="119"/>
      <c r="Y57" s="97" t="s">
        <v>111</v>
      </c>
      <c r="Z57" s="97" t="s">
        <v>111</v>
      </c>
      <c r="AA57" s="97" t="s">
        <v>111</v>
      </c>
      <c r="AB57" s="125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17</v>
      </c>
      <c r="AI57" s="5">
        <f t="shared" si="4"/>
        <v>3</v>
      </c>
    </row>
  </sheetData>
  <mergeCells count="20">
    <mergeCell ref="F5:F57"/>
    <mergeCell ref="J5:J57"/>
    <mergeCell ref="S5:S57"/>
    <mergeCell ref="X5:X57"/>
    <mergeCell ref="AJ3:AK3"/>
    <mergeCell ref="AJ11:AM11"/>
    <mergeCell ref="AJ19:AM19"/>
    <mergeCell ref="G5:G57"/>
    <mergeCell ref="N5:N57"/>
    <mergeCell ref="U5:U57"/>
    <mergeCell ref="AB5:AB57"/>
    <mergeCell ref="A1:AI1"/>
    <mergeCell ref="AH3:AH4"/>
    <mergeCell ref="AI3:AI4"/>
    <mergeCell ref="A2:AI2"/>
    <mergeCell ref="A3:A4"/>
    <mergeCell ref="B3:B4"/>
    <mergeCell ref="C3:C4"/>
    <mergeCell ref="D3:D4"/>
    <mergeCell ref="E3:E4"/>
  </mergeCells>
  <conditionalFormatting sqref="F5">
    <cfRule type="expression" dxfId="481" priority="24">
      <formula>IF(F$4=TODAY(),TRUE,FALSE)</formula>
    </cfRule>
    <cfRule type="cellIs" dxfId="480" priority="23" operator="equal">
      <formula>"P"</formula>
    </cfRule>
    <cfRule type="cellIs" dxfId="479" priority="22" operator="equal">
      <formula>"A"</formula>
    </cfRule>
    <cfRule type="cellIs" dxfId="478" priority="21" operator="equal">
      <formula>"L"</formula>
    </cfRule>
    <cfRule type="expression" dxfId="477" priority="25">
      <formula>F$3="Sun"</formula>
    </cfRule>
  </conditionalFormatting>
  <conditionalFormatting sqref="F3:AG4 G5 N5 U5 H5:I57 K5:M57 O5:R57 T5:T57 V5:W57 Y5:AA57 AC5:AG57">
    <cfRule type="expression" dxfId="476" priority="48">
      <formula>F$3="SUN"</formula>
    </cfRule>
  </conditionalFormatting>
  <conditionalFormatting sqref="F3:AG4">
    <cfRule type="expression" dxfId="475" priority="49">
      <formula>F$4=TODAY()</formula>
    </cfRule>
  </conditionalFormatting>
  <conditionalFormatting sqref="G5 N5 U5 H5:I57 K5:M57 O5:R57 T5:T57 V5:W57 Y5:AA57 AC5:AG57">
    <cfRule type="expression" dxfId="474" priority="55">
      <formula>#REF!=TODAY()</formula>
    </cfRule>
    <cfRule type="cellIs" dxfId="473" priority="53" operator="equal">
      <formula>"P"</formula>
    </cfRule>
    <cfRule type="cellIs" dxfId="472" priority="52" operator="equal">
      <formula>"A"</formula>
    </cfRule>
    <cfRule type="cellIs" dxfId="471" priority="51" operator="equal">
      <formula>"L"</formula>
    </cfRule>
  </conditionalFormatting>
  <conditionalFormatting sqref="J5">
    <cfRule type="cellIs" dxfId="470" priority="17" operator="equal">
      <formula>"A"</formula>
    </cfRule>
    <cfRule type="cellIs" dxfId="469" priority="18" operator="equal">
      <formula>"P"</formula>
    </cfRule>
    <cfRule type="expression" dxfId="468" priority="19">
      <formula>IF(J$4=TODAY(),TRUE,FALSE)</formula>
    </cfRule>
    <cfRule type="expression" dxfId="467" priority="20">
      <formula>J$3="Sun"</formula>
    </cfRule>
    <cfRule type="cellIs" dxfId="466" priority="16" operator="equal">
      <formula>"L"</formula>
    </cfRule>
  </conditionalFormatting>
  <conditionalFormatting sqref="S5">
    <cfRule type="expression" dxfId="465" priority="15">
      <formula>S$3="Sun"</formula>
    </cfRule>
    <cfRule type="expression" dxfId="464" priority="14">
      <formula>IF(S$4=TODAY(),TRUE,FALSE)</formula>
    </cfRule>
    <cfRule type="cellIs" dxfId="463" priority="13" operator="equal">
      <formula>"P"</formula>
    </cfRule>
    <cfRule type="cellIs" dxfId="462" priority="12" operator="equal">
      <formula>"A"</formula>
    </cfRule>
    <cfRule type="cellIs" dxfId="461" priority="11" operator="equal">
      <formula>"L"</formula>
    </cfRule>
  </conditionalFormatting>
  <conditionalFormatting sqref="X5">
    <cfRule type="expression" dxfId="460" priority="10">
      <formula>X$3="Sun"</formula>
    </cfRule>
    <cfRule type="expression" dxfId="459" priority="9">
      <formula>IF(X$4=TODAY(),TRUE,FALSE)</formula>
    </cfRule>
    <cfRule type="cellIs" dxfId="458" priority="8" operator="equal">
      <formula>"P"</formula>
    </cfRule>
    <cfRule type="cellIs" dxfId="457" priority="7" operator="equal">
      <formula>"A"</formula>
    </cfRule>
    <cfRule type="cellIs" dxfId="456" priority="6" operator="equal">
      <formula>"L"</formula>
    </cfRule>
  </conditionalFormatting>
  <conditionalFormatting sqref="AB5">
    <cfRule type="cellIs" dxfId="455" priority="2" operator="equal">
      <formula>"L"</formula>
    </cfRule>
    <cfRule type="cellIs" dxfId="454" priority="3" operator="equal">
      <formula>"A"</formula>
    </cfRule>
    <cfRule type="cellIs" dxfId="453" priority="4" operator="equal">
      <formula>"P"</formula>
    </cfRule>
    <cfRule type="expression" dxfId="452" priority="5">
      <formula>#REF!=TODAY()</formula>
    </cfRule>
    <cfRule type="expression" dxfId="451" priority="1">
      <formula>AB$3="SUN"</formula>
    </cfRule>
  </conditionalFormatting>
  <conditionalFormatting sqref="AH3:AI3 AH5:AI57">
    <cfRule type="expression" dxfId="450" priority="50">
      <formula>#REF!="Sun"</formula>
    </cfRule>
  </conditionalFormatting>
  <conditionalFormatting sqref="AJ5:AJ9">
    <cfRule type="expression" dxfId="449" priority="39">
      <formula>AJ$3="Sun"</formula>
    </cfRule>
  </conditionalFormatting>
  <conditionalFormatting sqref="AJ12:AJ15">
    <cfRule type="expression" dxfId="448" priority="37">
      <formula>AJ$3="Sun"</formula>
    </cfRule>
  </conditionalFormatting>
  <conditionalFormatting sqref="AJ20:AJ23">
    <cfRule type="expression" dxfId="447" priority="36">
      <formula>AJ$3="Sun"</formula>
    </cfRule>
  </conditionalFormatting>
  <conditionalFormatting sqref="AJ4:AK4">
    <cfRule type="expression" dxfId="446" priority="40">
      <formula>AJ$3="Sun"</formula>
    </cfRule>
  </conditionalFormatting>
  <conditionalFormatting sqref="AK12:AM12 AK20:AM20">
    <cfRule type="expression" dxfId="445" priority="41">
      <formula>AK$3="Sun"</formula>
    </cfRule>
  </conditionalFormatting>
  <conditionalFormatting sqref="AM21">
    <cfRule type="expression" dxfId="444" priority="38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9"/>
  <sheetViews>
    <sheetView topLeftCell="D1" workbookViewId="0">
      <selection activeCell="W59" sqref="W5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8" t="s">
        <v>18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30"/>
    </row>
    <row r="2" spans="1:39" ht="17.25" x14ac:dyDescent="0.3">
      <c r="A2" s="131" t="s">
        <v>795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3"/>
    </row>
    <row r="3" spans="1:39" ht="15.75" x14ac:dyDescent="0.25">
      <c r="A3" s="117" t="s">
        <v>0</v>
      </c>
      <c r="B3" s="117" t="s">
        <v>788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125</v>
      </c>
      <c r="D5" s="102" t="s">
        <v>126</v>
      </c>
      <c r="E5" s="8" t="s">
        <v>6</v>
      </c>
      <c r="F5" s="118" t="s">
        <v>803</v>
      </c>
      <c r="G5" s="126" t="s">
        <v>321</v>
      </c>
      <c r="H5" s="97" t="s">
        <v>111</v>
      </c>
      <c r="I5" s="97" t="s">
        <v>111</v>
      </c>
      <c r="J5" s="118" t="s">
        <v>804</v>
      </c>
      <c r="K5" s="97" t="s">
        <v>111</v>
      </c>
      <c r="L5" s="97" t="s">
        <v>111</v>
      </c>
      <c r="M5" s="97" t="s">
        <v>111</v>
      </c>
      <c r="N5" s="126" t="s">
        <v>321</v>
      </c>
      <c r="O5" s="97" t="s">
        <v>111</v>
      </c>
      <c r="P5" s="97" t="s">
        <v>111</v>
      </c>
      <c r="Q5" s="97" t="s">
        <v>111</v>
      </c>
      <c r="R5" s="97" t="s">
        <v>111</v>
      </c>
      <c r="S5" s="118" t="s">
        <v>807</v>
      </c>
      <c r="T5" s="97" t="s">
        <v>111</v>
      </c>
      <c r="U5" s="126" t="s">
        <v>321</v>
      </c>
      <c r="V5" s="97" t="s">
        <v>111</v>
      </c>
      <c r="W5" s="97" t="s">
        <v>111</v>
      </c>
      <c r="X5" s="118" t="s">
        <v>806</v>
      </c>
      <c r="Y5" s="97" t="s">
        <v>111</v>
      </c>
      <c r="Z5" s="97" t="s">
        <v>111</v>
      </c>
      <c r="AA5" s="97" t="s">
        <v>111</v>
      </c>
      <c r="AB5" s="126" t="s">
        <v>321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24" si="1">COUNTIF(F5:AG5,"P")</f>
        <v>20</v>
      </c>
      <c r="AI5" s="5">
        <f t="shared" ref="AI5:AI35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127</v>
      </c>
      <c r="D6" s="102" t="s">
        <v>128</v>
      </c>
      <c r="E6" s="8" t="s">
        <v>6</v>
      </c>
      <c r="F6" s="119"/>
      <c r="G6" s="126"/>
      <c r="H6" s="97" t="s">
        <v>111</v>
      </c>
      <c r="I6" s="97" t="s">
        <v>111</v>
      </c>
      <c r="J6" s="119"/>
      <c r="K6" s="97" t="s">
        <v>111</v>
      </c>
      <c r="L6" s="97" t="s">
        <v>111</v>
      </c>
      <c r="M6" s="97" t="s">
        <v>111</v>
      </c>
      <c r="N6" s="126"/>
      <c r="O6" s="97" t="s">
        <v>111</v>
      </c>
      <c r="P6" s="97" t="s">
        <v>111</v>
      </c>
      <c r="Q6" s="97" t="s">
        <v>111</v>
      </c>
      <c r="R6" s="97" t="s">
        <v>798</v>
      </c>
      <c r="S6" s="119"/>
      <c r="T6" s="97" t="s">
        <v>798</v>
      </c>
      <c r="U6" s="126"/>
      <c r="V6" s="97" t="s">
        <v>111</v>
      </c>
      <c r="W6" s="97" t="s">
        <v>111</v>
      </c>
      <c r="X6" s="119"/>
      <c r="Y6" s="97" t="s">
        <v>111</v>
      </c>
      <c r="Z6" s="97" t="s">
        <v>111</v>
      </c>
      <c r="AA6" s="97" t="s">
        <v>111</v>
      </c>
      <c r="AB6" s="126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18</v>
      </c>
      <c r="AI6" s="5">
        <f t="shared" si="2"/>
        <v>2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129</v>
      </c>
      <c r="D7" s="102" t="s">
        <v>97</v>
      </c>
      <c r="E7" s="8" t="s">
        <v>6</v>
      </c>
      <c r="F7" s="119"/>
      <c r="G7" s="126"/>
      <c r="H7" s="97" t="s">
        <v>111</v>
      </c>
      <c r="I7" s="97" t="s">
        <v>111</v>
      </c>
      <c r="J7" s="119"/>
      <c r="K7" s="97" t="s">
        <v>111</v>
      </c>
      <c r="L7" s="97" t="s">
        <v>111</v>
      </c>
      <c r="M7" s="97" t="s">
        <v>798</v>
      </c>
      <c r="N7" s="126"/>
      <c r="O7" s="97" t="s">
        <v>111</v>
      </c>
      <c r="P7" s="97" t="s">
        <v>111</v>
      </c>
      <c r="Q7" s="97" t="s">
        <v>111</v>
      </c>
      <c r="R7" s="97" t="s">
        <v>111</v>
      </c>
      <c r="S7" s="119"/>
      <c r="T7" s="97" t="s">
        <v>798</v>
      </c>
      <c r="U7" s="126"/>
      <c r="V7" s="97" t="s">
        <v>111</v>
      </c>
      <c r="W7" s="97" t="s">
        <v>111</v>
      </c>
      <c r="X7" s="119"/>
      <c r="Y7" s="97" t="s">
        <v>111</v>
      </c>
      <c r="Z7" s="97" t="s">
        <v>111</v>
      </c>
      <c r="AA7" s="97" t="s">
        <v>111</v>
      </c>
      <c r="AB7" s="126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17</v>
      </c>
      <c r="AI7" s="5">
        <f t="shared" si="2"/>
        <v>3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130</v>
      </c>
      <c r="D8" s="102" t="s">
        <v>131</v>
      </c>
      <c r="E8" s="8" t="s">
        <v>6</v>
      </c>
      <c r="F8" s="119"/>
      <c r="G8" s="126"/>
      <c r="H8" s="97" t="s">
        <v>111</v>
      </c>
      <c r="I8" s="97" t="s">
        <v>111</v>
      </c>
      <c r="J8" s="119"/>
      <c r="K8" s="97" t="s">
        <v>798</v>
      </c>
      <c r="L8" s="97" t="s">
        <v>111</v>
      </c>
      <c r="M8" s="97" t="s">
        <v>111</v>
      </c>
      <c r="N8" s="126"/>
      <c r="O8" s="97" t="s">
        <v>111</v>
      </c>
      <c r="P8" s="97" t="s">
        <v>111</v>
      </c>
      <c r="Q8" s="97" t="s">
        <v>111</v>
      </c>
      <c r="R8" s="97" t="s">
        <v>111</v>
      </c>
      <c r="S8" s="119"/>
      <c r="T8" s="97" t="s">
        <v>798</v>
      </c>
      <c r="U8" s="126"/>
      <c r="V8" s="97" t="s">
        <v>111</v>
      </c>
      <c r="W8" s="97" t="s">
        <v>111</v>
      </c>
      <c r="X8" s="119"/>
      <c r="Y8" s="97" t="s">
        <v>111</v>
      </c>
      <c r="Z8" s="97" t="s">
        <v>111</v>
      </c>
      <c r="AA8" s="97" t="s">
        <v>111</v>
      </c>
      <c r="AB8" s="126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132</v>
      </c>
      <c r="D9" s="102" t="s">
        <v>133</v>
      </c>
      <c r="E9" s="8" t="s">
        <v>6</v>
      </c>
      <c r="F9" s="119"/>
      <c r="G9" s="126"/>
      <c r="H9" s="97" t="s">
        <v>111</v>
      </c>
      <c r="I9" s="97" t="s">
        <v>111</v>
      </c>
      <c r="J9" s="119"/>
      <c r="K9" s="97" t="s">
        <v>111</v>
      </c>
      <c r="L9" s="97" t="s">
        <v>111</v>
      </c>
      <c r="M9" s="97" t="s">
        <v>111</v>
      </c>
      <c r="N9" s="126"/>
      <c r="O9" s="97" t="s">
        <v>111</v>
      </c>
      <c r="P9" s="97" t="s">
        <v>111</v>
      </c>
      <c r="Q9" s="97" t="s">
        <v>111</v>
      </c>
      <c r="R9" s="97" t="s">
        <v>111</v>
      </c>
      <c r="S9" s="119"/>
      <c r="T9" s="97" t="s">
        <v>111</v>
      </c>
      <c r="U9" s="126"/>
      <c r="V9" s="97" t="s">
        <v>798</v>
      </c>
      <c r="W9" s="97" t="s">
        <v>798</v>
      </c>
      <c r="X9" s="119"/>
      <c r="Y9" s="97" t="s">
        <v>111</v>
      </c>
      <c r="Z9" s="97" t="s">
        <v>798</v>
      </c>
      <c r="AA9" s="97" t="s">
        <v>111</v>
      </c>
      <c r="AB9" s="126"/>
      <c r="AC9" s="97" t="s">
        <v>111</v>
      </c>
      <c r="AD9" s="97" t="s">
        <v>798</v>
      </c>
      <c r="AE9" s="97" t="s">
        <v>111</v>
      </c>
      <c r="AF9" s="97" t="s">
        <v>111</v>
      </c>
      <c r="AG9" s="97" t="s">
        <v>111</v>
      </c>
      <c r="AH9" s="5">
        <f t="shared" si="1"/>
        <v>16</v>
      </c>
      <c r="AI9" s="5">
        <f t="shared" si="2"/>
        <v>4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134</v>
      </c>
      <c r="D10" s="102" t="s">
        <v>135</v>
      </c>
      <c r="E10" s="8" t="s">
        <v>6</v>
      </c>
      <c r="F10" s="119"/>
      <c r="G10" s="126"/>
      <c r="H10" s="97" t="s">
        <v>111</v>
      </c>
      <c r="I10" s="97" t="s">
        <v>111</v>
      </c>
      <c r="J10" s="119"/>
      <c r="K10" s="97" t="s">
        <v>111</v>
      </c>
      <c r="L10" s="97" t="s">
        <v>111</v>
      </c>
      <c r="M10" s="97" t="s">
        <v>111</v>
      </c>
      <c r="N10" s="126"/>
      <c r="O10" s="97" t="s">
        <v>111</v>
      </c>
      <c r="P10" s="97" t="s">
        <v>111</v>
      </c>
      <c r="Q10" s="97" t="s">
        <v>111</v>
      </c>
      <c r="R10" s="97" t="s">
        <v>111</v>
      </c>
      <c r="S10" s="119"/>
      <c r="T10" s="97" t="s">
        <v>111</v>
      </c>
      <c r="U10" s="126"/>
      <c r="V10" s="97" t="s">
        <v>111</v>
      </c>
      <c r="W10" s="97" t="s">
        <v>111</v>
      </c>
      <c r="X10" s="119"/>
      <c r="Y10" s="97" t="s">
        <v>111</v>
      </c>
      <c r="Z10" s="97" t="s">
        <v>111</v>
      </c>
      <c r="AA10" s="97" t="s">
        <v>111</v>
      </c>
      <c r="AB10" s="126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9">
        <v>7</v>
      </c>
      <c r="B11" s="11">
        <v>59</v>
      </c>
      <c r="C11" s="7" t="s">
        <v>136</v>
      </c>
      <c r="D11" s="102" t="s">
        <v>137</v>
      </c>
      <c r="E11" s="8" t="s">
        <v>6</v>
      </c>
      <c r="F11" s="119"/>
      <c r="G11" s="126"/>
      <c r="H11" s="97" t="s">
        <v>799</v>
      </c>
      <c r="I11" s="97" t="s">
        <v>799</v>
      </c>
      <c r="J11" s="119"/>
      <c r="K11" s="97" t="s">
        <v>798</v>
      </c>
      <c r="L11" s="97" t="s">
        <v>111</v>
      </c>
      <c r="M11" s="97" t="s">
        <v>111</v>
      </c>
      <c r="N11" s="126"/>
      <c r="O11" s="97" t="s">
        <v>111</v>
      </c>
      <c r="P11" s="97" t="s">
        <v>111</v>
      </c>
      <c r="Q11" s="97" t="s">
        <v>111</v>
      </c>
      <c r="R11" s="97" t="s">
        <v>111</v>
      </c>
      <c r="S11" s="119"/>
      <c r="T11" s="97" t="s">
        <v>111</v>
      </c>
      <c r="U11" s="126"/>
      <c r="V11" s="97" t="s">
        <v>111</v>
      </c>
      <c r="W11" s="97" t="s">
        <v>111</v>
      </c>
      <c r="X11" s="119"/>
      <c r="Y11" s="97" t="s">
        <v>111</v>
      </c>
      <c r="Z11" s="97" t="s">
        <v>111</v>
      </c>
      <c r="AA11" s="97" t="s">
        <v>111</v>
      </c>
      <c r="AB11" s="126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17</v>
      </c>
      <c r="AI11" s="5">
        <f t="shared" si="2"/>
        <v>1</v>
      </c>
      <c r="AJ11" s="120" t="s">
        <v>9</v>
      </c>
      <c r="AK11" s="121"/>
      <c r="AL11" s="121"/>
      <c r="AM11" s="122"/>
    </row>
    <row r="12" spans="1:39" ht="16.5" x14ac:dyDescent="0.25">
      <c r="A12" s="9">
        <v>8</v>
      </c>
      <c r="B12" s="11">
        <v>83</v>
      </c>
      <c r="C12" s="7" t="s">
        <v>138</v>
      </c>
      <c r="D12" s="102" t="s">
        <v>139</v>
      </c>
      <c r="E12" s="8" t="s">
        <v>6</v>
      </c>
      <c r="F12" s="119"/>
      <c r="G12" s="126"/>
      <c r="H12" s="97" t="s">
        <v>111</v>
      </c>
      <c r="I12" s="97" t="s">
        <v>111</v>
      </c>
      <c r="J12" s="119"/>
      <c r="K12" s="97" t="s">
        <v>111</v>
      </c>
      <c r="L12" s="97" t="s">
        <v>111</v>
      </c>
      <c r="M12" s="97" t="s">
        <v>111</v>
      </c>
      <c r="N12" s="126"/>
      <c r="O12" s="97" t="s">
        <v>111</v>
      </c>
      <c r="P12" s="97" t="s">
        <v>111</v>
      </c>
      <c r="Q12" s="97" t="s">
        <v>111</v>
      </c>
      <c r="R12" s="97" t="s">
        <v>111</v>
      </c>
      <c r="S12" s="119"/>
      <c r="T12" s="97" t="s">
        <v>111</v>
      </c>
      <c r="U12" s="126"/>
      <c r="V12" s="97" t="s">
        <v>111</v>
      </c>
      <c r="W12" s="97" t="s">
        <v>111</v>
      </c>
      <c r="X12" s="119"/>
      <c r="Y12" s="97" t="s">
        <v>111</v>
      </c>
      <c r="Z12" s="97" t="s">
        <v>111</v>
      </c>
      <c r="AA12" s="97" t="s">
        <v>111</v>
      </c>
      <c r="AB12" s="126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140</v>
      </c>
      <c r="D13" s="102" t="s">
        <v>141</v>
      </c>
      <c r="E13" s="8" t="s">
        <v>6</v>
      </c>
      <c r="F13" s="119"/>
      <c r="G13" s="126"/>
      <c r="H13" s="97" t="s">
        <v>111</v>
      </c>
      <c r="I13" s="97" t="s">
        <v>111</v>
      </c>
      <c r="J13" s="119"/>
      <c r="K13" s="97" t="s">
        <v>111</v>
      </c>
      <c r="L13" s="97" t="s">
        <v>111</v>
      </c>
      <c r="M13" s="97" t="s">
        <v>111</v>
      </c>
      <c r="N13" s="126"/>
      <c r="O13" s="97" t="s">
        <v>111</v>
      </c>
      <c r="P13" s="97" t="s">
        <v>111</v>
      </c>
      <c r="Q13" s="97" t="s">
        <v>111</v>
      </c>
      <c r="R13" s="97" t="s">
        <v>111</v>
      </c>
      <c r="S13" s="119"/>
      <c r="T13" s="97" t="s">
        <v>111</v>
      </c>
      <c r="U13" s="126"/>
      <c r="V13" s="97" t="s">
        <v>111</v>
      </c>
      <c r="W13" s="97" t="s">
        <v>111</v>
      </c>
      <c r="X13" s="119"/>
      <c r="Y13" s="97" t="s">
        <v>111</v>
      </c>
      <c r="Z13" s="97" t="s">
        <v>111</v>
      </c>
      <c r="AA13" s="97" t="s">
        <v>111</v>
      </c>
      <c r="AB13" s="126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20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98">
        <v>86</v>
      </c>
      <c r="C14" s="7" t="s">
        <v>142</v>
      </c>
      <c r="D14" s="102" t="s">
        <v>143</v>
      </c>
      <c r="E14" s="8" t="s">
        <v>6</v>
      </c>
      <c r="F14" s="119"/>
      <c r="G14" s="126"/>
      <c r="H14" s="97" t="s">
        <v>111</v>
      </c>
      <c r="I14" s="97" t="s">
        <v>111</v>
      </c>
      <c r="J14" s="119"/>
      <c r="K14" s="97" t="s">
        <v>111</v>
      </c>
      <c r="L14" s="97" t="s">
        <v>111</v>
      </c>
      <c r="M14" s="97" t="s">
        <v>111</v>
      </c>
      <c r="N14" s="126"/>
      <c r="O14" s="97" t="s">
        <v>111</v>
      </c>
      <c r="P14" s="97" t="s">
        <v>111</v>
      </c>
      <c r="Q14" s="97" t="s">
        <v>111</v>
      </c>
      <c r="R14" s="97" t="s">
        <v>111</v>
      </c>
      <c r="S14" s="119"/>
      <c r="T14" s="97" t="s">
        <v>111</v>
      </c>
      <c r="U14" s="126"/>
      <c r="V14" s="97" t="s">
        <v>111</v>
      </c>
      <c r="W14" s="97" t="s">
        <v>111</v>
      </c>
      <c r="X14" s="119"/>
      <c r="Y14" s="97" t="s">
        <v>111</v>
      </c>
      <c r="Z14" s="97" t="s">
        <v>111</v>
      </c>
      <c r="AA14" s="97" t="s">
        <v>111</v>
      </c>
      <c r="AB14" s="126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SUM(AH29:AH59)</f>
        <v>506</v>
      </c>
      <c r="AL14" s="9">
        <f>SUM(AH5:AH28)</f>
        <v>416</v>
      </c>
      <c r="AM14" s="9">
        <f>AK14+AL14</f>
        <v>922</v>
      </c>
    </row>
    <row r="15" spans="1:39" ht="16.5" x14ac:dyDescent="0.25">
      <c r="A15" s="9">
        <v>11</v>
      </c>
      <c r="B15" s="98">
        <v>105</v>
      </c>
      <c r="C15" s="7" t="s">
        <v>144</v>
      </c>
      <c r="D15" s="102" t="s">
        <v>145</v>
      </c>
      <c r="E15" s="8" t="s">
        <v>6</v>
      </c>
      <c r="F15" s="119"/>
      <c r="G15" s="126"/>
      <c r="H15" s="97" t="s">
        <v>111</v>
      </c>
      <c r="I15" s="97" t="s">
        <v>111</v>
      </c>
      <c r="J15" s="119"/>
      <c r="K15" s="97" t="s">
        <v>111</v>
      </c>
      <c r="L15" s="97" t="s">
        <v>111</v>
      </c>
      <c r="M15" s="97" t="s">
        <v>111</v>
      </c>
      <c r="N15" s="126"/>
      <c r="O15" s="97" t="s">
        <v>111</v>
      </c>
      <c r="P15" s="97" t="s">
        <v>111</v>
      </c>
      <c r="Q15" s="97" t="s">
        <v>111</v>
      </c>
      <c r="R15" s="97" t="s">
        <v>111</v>
      </c>
      <c r="S15" s="119"/>
      <c r="T15" s="97" t="s">
        <v>111</v>
      </c>
      <c r="U15" s="126"/>
      <c r="V15" s="97" t="s">
        <v>111</v>
      </c>
      <c r="W15" s="97" t="s">
        <v>111</v>
      </c>
      <c r="X15" s="119"/>
      <c r="Y15" s="97" t="s">
        <v>111</v>
      </c>
      <c r="Z15" s="97" t="s">
        <v>111</v>
      </c>
      <c r="AA15" s="97" t="s">
        <v>111</v>
      </c>
      <c r="AB15" s="126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0.60817307692307687</v>
      </c>
      <c r="AL15" s="12">
        <f>AL14/AL13</f>
        <v>0.66666666666666663</v>
      </c>
      <c r="AM15" s="12">
        <f>AM14/AM13</f>
        <v>0.63324175824175821</v>
      </c>
    </row>
    <row r="16" spans="1:39" ht="16.5" x14ac:dyDescent="0.25">
      <c r="A16" s="9">
        <v>12</v>
      </c>
      <c r="B16" s="98">
        <v>84</v>
      </c>
      <c r="C16" s="7" t="s">
        <v>146</v>
      </c>
      <c r="D16" s="102" t="s">
        <v>147</v>
      </c>
      <c r="E16" s="8" t="s">
        <v>6</v>
      </c>
      <c r="F16" s="119"/>
      <c r="G16" s="126"/>
      <c r="H16" s="97" t="s">
        <v>798</v>
      </c>
      <c r="I16" s="97" t="s">
        <v>798</v>
      </c>
      <c r="J16" s="119"/>
      <c r="K16" s="97" t="s">
        <v>798</v>
      </c>
      <c r="L16" s="97" t="s">
        <v>798</v>
      </c>
      <c r="M16" s="97" t="s">
        <v>798</v>
      </c>
      <c r="N16" s="126"/>
      <c r="O16" s="97" t="s">
        <v>111</v>
      </c>
      <c r="P16" s="97" t="s">
        <v>111</v>
      </c>
      <c r="Q16" s="97" t="s">
        <v>111</v>
      </c>
      <c r="R16" s="97" t="s">
        <v>111</v>
      </c>
      <c r="S16" s="119"/>
      <c r="T16" s="97" t="s">
        <v>111</v>
      </c>
      <c r="U16" s="126"/>
      <c r="V16" s="97" t="s">
        <v>111</v>
      </c>
      <c r="W16" s="97" t="s">
        <v>111</v>
      </c>
      <c r="X16" s="119"/>
      <c r="Y16" s="97" t="s">
        <v>111</v>
      </c>
      <c r="Z16" s="97" t="s">
        <v>111</v>
      </c>
      <c r="AA16" s="97" t="s">
        <v>798</v>
      </c>
      <c r="AB16" s="126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14</v>
      </c>
      <c r="AI16" s="5">
        <f t="shared" si="2"/>
        <v>6</v>
      </c>
      <c r="AJ16"/>
      <c r="AK16"/>
      <c r="AL16"/>
      <c r="AM16"/>
    </row>
    <row r="17" spans="1:39" ht="16.5" x14ac:dyDescent="0.25">
      <c r="A17" s="9">
        <v>13</v>
      </c>
      <c r="B17" s="98">
        <v>85</v>
      </c>
      <c r="C17" s="7" t="s">
        <v>148</v>
      </c>
      <c r="D17" s="102" t="s">
        <v>149</v>
      </c>
      <c r="E17" s="8" t="s">
        <v>6</v>
      </c>
      <c r="F17" s="119"/>
      <c r="G17" s="126"/>
      <c r="H17" s="97" t="s">
        <v>111</v>
      </c>
      <c r="I17" s="97" t="s">
        <v>111</v>
      </c>
      <c r="J17" s="119"/>
      <c r="K17" s="97" t="s">
        <v>111</v>
      </c>
      <c r="L17" s="97" t="s">
        <v>111</v>
      </c>
      <c r="M17" s="97" t="s">
        <v>111</v>
      </c>
      <c r="N17" s="126"/>
      <c r="O17" s="97" t="s">
        <v>111</v>
      </c>
      <c r="P17" s="97" t="s">
        <v>111</v>
      </c>
      <c r="Q17" s="97" t="s">
        <v>798</v>
      </c>
      <c r="R17" s="97" t="s">
        <v>111</v>
      </c>
      <c r="S17" s="119"/>
      <c r="T17" s="97" t="s">
        <v>111</v>
      </c>
      <c r="U17" s="126"/>
      <c r="V17" s="97" t="s">
        <v>111</v>
      </c>
      <c r="W17" s="97" t="s">
        <v>111</v>
      </c>
      <c r="X17" s="119"/>
      <c r="Y17" s="97" t="s">
        <v>111</v>
      </c>
      <c r="Z17" s="97" t="s">
        <v>111</v>
      </c>
      <c r="AA17" s="97" t="s">
        <v>111</v>
      </c>
      <c r="AB17" s="126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19</v>
      </c>
      <c r="AI17" s="5">
        <f t="shared" si="2"/>
        <v>1</v>
      </c>
      <c r="AJ17"/>
      <c r="AK17"/>
      <c r="AL17"/>
      <c r="AM17"/>
    </row>
    <row r="18" spans="1:39" ht="16.5" x14ac:dyDescent="0.25">
      <c r="A18" s="9">
        <v>14</v>
      </c>
      <c r="B18" s="98">
        <v>102</v>
      </c>
      <c r="C18" s="7" t="s">
        <v>150</v>
      </c>
      <c r="D18" s="102" t="s">
        <v>151</v>
      </c>
      <c r="E18" s="8" t="s">
        <v>6</v>
      </c>
      <c r="F18" s="119"/>
      <c r="G18" s="126"/>
      <c r="H18" s="97" t="s">
        <v>111</v>
      </c>
      <c r="I18" s="97" t="s">
        <v>111</v>
      </c>
      <c r="J18" s="119"/>
      <c r="K18" s="97" t="s">
        <v>111</v>
      </c>
      <c r="L18" s="97" t="s">
        <v>111</v>
      </c>
      <c r="M18" s="97" t="s">
        <v>798</v>
      </c>
      <c r="N18" s="126"/>
      <c r="O18" s="97" t="s">
        <v>798</v>
      </c>
      <c r="P18" s="97" t="s">
        <v>111</v>
      </c>
      <c r="Q18" s="97" t="s">
        <v>111</v>
      </c>
      <c r="R18" s="97" t="s">
        <v>111</v>
      </c>
      <c r="S18" s="119"/>
      <c r="T18" s="97" t="s">
        <v>111</v>
      </c>
      <c r="U18" s="126"/>
      <c r="V18" s="97" t="s">
        <v>798</v>
      </c>
      <c r="W18" s="97" t="s">
        <v>111</v>
      </c>
      <c r="X18" s="119"/>
      <c r="Y18" s="97" t="s">
        <v>111</v>
      </c>
      <c r="Z18" s="97" t="s">
        <v>111</v>
      </c>
      <c r="AA18" s="97" t="s">
        <v>111</v>
      </c>
      <c r="AB18" s="126"/>
      <c r="AC18" s="97" t="s">
        <v>111</v>
      </c>
      <c r="AD18" s="97" t="s">
        <v>111</v>
      </c>
      <c r="AE18" s="97" t="s">
        <v>798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98">
        <v>87</v>
      </c>
      <c r="C19" s="7" t="s">
        <v>152</v>
      </c>
      <c r="D19" s="102" t="s">
        <v>153</v>
      </c>
      <c r="E19" s="8" t="s">
        <v>6</v>
      </c>
      <c r="F19" s="119"/>
      <c r="G19" s="126"/>
      <c r="H19" s="97" t="s">
        <v>111</v>
      </c>
      <c r="I19" s="97" t="s">
        <v>111</v>
      </c>
      <c r="J19" s="119"/>
      <c r="K19" s="97" t="s">
        <v>111</v>
      </c>
      <c r="L19" s="97" t="s">
        <v>111</v>
      </c>
      <c r="M19" s="97" t="s">
        <v>111</v>
      </c>
      <c r="N19" s="126"/>
      <c r="O19" s="97" t="s">
        <v>111</v>
      </c>
      <c r="P19" s="97" t="s">
        <v>111</v>
      </c>
      <c r="Q19" s="97" t="s">
        <v>111</v>
      </c>
      <c r="R19" s="97" t="s">
        <v>111</v>
      </c>
      <c r="S19" s="119"/>
      <c r="T19" s="97" t="s">
        <v>111</v>
      </c>
      <c r="U19" s="126"/>
      <c r="V19" s="97" t="s">
        <v>111</v>
      </c>
      <c r="W19" s="97" t="s">
        <v>111</v>
      </c>
      <c r="X19" s="119"/>
      <c r="Y19" s="97" t="s">
        <v>111</v>
      </c>
      <c r="Z19" s="97" t="s">
        <v>111</v>
      </c>
      <c r="AA19" s="97" t="s">
        <v>111</v>
      </c>
      <c r="AB19" s="126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20</v>
      </c>
      <c r="AI19" s="5">
        <f t="shared" si="2"/>
        <v>0</v>
      </c>
      <c r="AJ19" s="120" t="s">
        <v>123</v>
      </c>
      <c r="AK19" s="121"/>
      <c r="AL19" s="121"/>
      <c r="AM19" s="122"/>
    </row>
    <row r="20" spans="1:39" ht="16.5" x14ac:dyDescent="0.25">
      <c r="A20" s="9">
        <v>16</v>
      </c>
      <c r="B20" s="98">
        <v>71</v>
      </c>
      <c r="C20" s="7" t="s">
        <v>154</v>
      </c>
      <c r="D20" s="102" t="s">
        <v>135</v>
      </c>
      <c r="E20" s="8" t="s">
        <v>6</v>
      </c>
      <c r="F20" s="119"/>
      <c r="G20" s="126"/>
      <c r="H20" s="97" t="s">
        <v>111</v>
      </c>
      <c r="I20" s="97" t="s">
        <v>111</v>
      </c>
      <c r="J20" s="119"/>
      <c r="K20" s="97" t="s">
        <v>111</v>
      </c>
      <c r="L20" s="97" t="s">
        <v>111</v>
      </c>
      <c r="M20" s="97" t="s">
        <v>111</v>
      </c>
      <c r="N20" s="126"/>
      <c r="O20" s="97" t="s">
        <v>111</v>
      </c>
      <c r="P20" s="97" t="s">
        <v>111</v>
      </c>
      <c r="Q20" s="97" t="s">
        <v>111</v>
      </c>
      <c r="R20" s="97" t="s">
        <v>111</v>
      </c>
      <c r="S20" s="119"/>
      <c r="T20" s="97" t="s">
        <v>111</v>
      </c>
      <c r="U20" s="126"/>
      <c r="V20" s="97" t="s">
        <v>111</v>
      </c>
      <c r="W20" s="97" t="s">
        <v>111</v>
      </c>
      <c r="X20" s="119"/>
      <c r="Y20" s="97" t="s">
        <v>111</v>
      </c>
      <c r="Z20" s="97" t="s">
        <v>798</v>
      </c>
      <c r="AA20" s="97" t="s">
        <v>111</v>
      </c>
      <c r="AB20" s="126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98">
        <v>81</v>
      </c>
      <c r="C21" s="7" t="s">
        <v>155</v>
      </c>
      <c r="D21" s="102" t="s">
        <v>156</v>
      </c>
      <c r="E21" s="8" t="s">
        <v>6</v>
      </c>
      <c r="F21" s="119"/>
      <c r="G21" s="126"/>
      <c r="H21" s="97" t="s">
        <v>111</v>
      </c>
      <c r="I21" s="97" t="s">
        <v>111</v>
      </c>
      <c r="J21" s="119"/>
      <c r="K21" s="97" t="s">
        <v>111</v>
      </c>
      <c r="L21" s="97" t="s">
        <v>111</v>
      </c>
      <c r="M21" s="97" t="s">
        <v>111</v>
      </c>
      <c r="N21" s="126"/>
      <c r="O21" s="97" t="s">
        <v>111</v>
      </c>
      <c r="P21" s="97" t="s">
        <v>111</v>
      </c>
      <c r="Q21" s="97" t="s">
        <v>798</v>
      </c>
      <c r="R21" s="97" t="s">
        <v>798</v>
      </c>
      <c r="S21" s="119"/>
      <c r="T21" s="97" t="s">
        <v>798</v>
      </c>
      <c r="U21" s="126"/>
      <c r="V21" s="97" t="s">
        <v>798</v>
      </c>
      <c r="W21" s="97" t="s">
        <v>798</v>
      </c>
      <c r="X21" s="119"/>
      <c r="Y21" s="97" t="s">
        <v>798</v>
      </c>
      <c r="Z21" s="97" t="s">
        <v>798</v>
      </c>
      <c r="AA21" s="97" t="s">
        <v>798</v>
      </c>
      <c r="AB21" s="126"/>
      <c r="AC21" s="97" t="s">
        <v>798</v>
      </c>
      <c r="AD21" s="97" t="s">
        <v>798</v>
      </c>
      <c r="AE21" s="97" t="s">
        <v>798</v>
      </c>
      <c r="AF21" s="97" t="s">
        <v>798</v>
      </c>
      <c r="AG21" s="97" t="s">
        <v>798</v>
      </c>
      <c r="AH21" s="5">
        <f t="shared" si="1"/>
        <v>7</v>
      </c>
      <c r="AI21" s="5">
        <f t="shared" si="2"/>
        <v>13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98">
        <v>82</v>
      </c>
      <c r="C22" s="7" t="s">
        <v>157</v>
      </c>
      <c r="D22" s="102" t="s">
        <v>158</v>
      </c>
      <c r="E22" s="8" t="s">
        <v>6</v>
      </c>
      <c r="F22" s="119"/>
      <c r="G22" s="126"/>
      <c r="H22" s="97" t="s">
        <v>111</v>
      </c>
      <c r="I22" s="97" t="s">
        <v>111</v>
      </c>
      <c r="J22" s="119"/>
      <c r="K22" s="97" t="s">
        <v>111</v>
      </c>
      <c r="L22" s="97" t="s">
        <v>111</v>
      </c>
      <c r="M22" s="97" t="s">
        <v>111</v>
      </c>
      <c r="N22" s="126"/>
      <c r="O22" s="97" t="s">
        <v>111</v>
      </c>
      <c r="P22" s="97" t="s">
        <v>111</v>
      </c>
      <c r="Q22" s="97" t="s">
        <v>798</v>
      </c>
      <c r="R22" s="97" t="s">
        <v>111</v>
      </c>
      <c r="S22" s="119"/>
      <c r="T22" s="97" t="s">
        <v>111</v>
      </c>
      <c r="U22" s="126"/>
      <c r="V22" s="97" t="s">
        <v>798</v>
      </c>
      <c r="W22" s="97" t="s">
        <v>111</v>
      </c>
      <c r="X22" s="119"/>
      <c r="Y22" s="97" t="s">
        <v>111</v>
      </c>
      <c r="Z22" s="97" t="s">
        <v>111</v>
      </c>
      <c r="AA22" s="97" t="s">
        <v>111</v>
      </c>
      <c r="AB22" s="126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326</v>
      </c>
      <c r="AL22" s="9">
        <f>AL21-AL14</f>
        <v>208</v>
      </c>
      <c r="AM22" s="9">
        <f>AK22+AL22</f>
        <v>534</v>
      </c>
    </row>
    <row r="23" spans="1:39" ht="16.5" x14ac:dyDescent="0.25">
      <c r="A23" s="9">
        <v>19</v>
      </c>
      <c r="B23" s="98">
        <v>68</v>
      </c>
      <c r="C23" s="7" t="s">
        <v>159</v>
      </c>
      <c r="D23" s="102" t="s">
        <v>160</v>
      </c>
      <c r="E23" s="8" t="s">
        <v>6</v>
      </c>
      <c r="F23" s="119"/>
      <c r="G23" s="126"/>
      <c r="H23" s="97" t="s">
        <v>111</v>
      </c>
      <c r="I23" s="97" t="s">
        <v>111</v>
      </c>
      <c r="J23" s="119"/>
      <c r="K23" s="97" t="s">
        <v>111</v>
      </c>
      <c r="L23" s="97" t="s">
        <v>798</v>
      </c>
      <c r="M23" s="97" t="s">
        <v>111</v>
      </c>
      <c r="N23" s="126"/>
      <c r="O23" s="97" t="s">
        <v>111</v>
      </c>
      <c r="P23" s="97" t="s">
        <v>111</v>
      </c>
      <c r="Q23" s="97" t="s">
        <v>111</v>
      </c>
      <c r="R23" s="97" t="s">
        <v>111</v>
      </c>
      <c r="S23" s="119"/>
      <c r="T23" s="97" t="s">
        <v>798</v>
      </c>
      <c r="U23" s="126"/>
      <c r="V23" s="97" t="s">
        <v>111</v>
      </c>
      <c r="W23" s="97" t="s">
        <v>111</v>
      </c>
      <c r="X23" s="119"/>
      <c r="Y23" s="97" t="s">
        <v>111</v>
      </c>
      <c r="Z23" s="97" t="s">
        <v>111</v>
      </c>
      <c r="AA23" s="97" t="s">
        <v>111</v>
      </c>
      <c r="AB23" s="126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0.39182692307692307</v>
      </c>
      <c r="AL23" s="12">
        <f>AL22/AL21</f>
        <v>0.33333333333333331</v>
      </c>
      <c r="AM23" s="12">
        <f>AM22/AM21</f>
        <v>0.36675824175824173</v>
      </c>
    </row>
    <row r="24" spans="1:39" ht="16.5" x14ac:dyDescent="0.25">
      <c r="A24" s="9">
        <v>20</v>
      </c>
      <c r="B24" s="98">
        <v>69</v>
      </c>
      <c r="C24" s="7" t="s">
        <v>161</v>
      </c>
      <c r="D24" s="102" t="s">
        <v>162</v>
      </c>
      <c r="E24" s="8" t="s">
        <v>6</v>
      </c>
      <c r="F24" s="119"/>
      <c r="G24" s="126"/>
      <c r="H24" s="97" t="s">
        <v>111</v>
      </c>
      <c r="I24" s="97" t="s">
        <v>111</v>
      </c>
      <c r="J24" s="119"/>
      <c r="K24" s="97" t="s">
        <v>111</v>
      </c>
      <c r="L24" s="97" t="s">
        <v>111</v>
      </c>
      <c r="M24" s="97" t="s">
        <v>111</v>
      </c>
      <c r="N24" s="126"/>
      <c r="O24" s="97" t="s">
        <v>111</v>
      </c>
      <c r="P24" s="97" t="s">
        <v>111</v>
      </c>
      <c r="Q24" s="97" t="s">
        <v>111</v>
      </c>
      <c r="R24" s="97" t="s">
        <v>111</v>
      </c>
      <c r="S24" s="119"/>
      <c r="T24" s="97" t="s">
        <v>111</v>
      </c>
      <c r="U24" s="126"/>
      <c r="V24" s="97" t="s">
        <v>111</v>
      </c>
      <c r="W24" s="97" t="s">
        <v>111</v>
      </c>
      <c r="X24" s="119"/>
      <c r="Y24" s="97" t="s">
        <v>111</v>
      </c>
      <c r="Z24" s="97" t="s">
        <v>111</v>
      </c>
      <c r="AA24" s="97" t="s">
        <v>111</v>
      </c>
      <c r="AB24" s="126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20</v>
      </c>
      <c r="AI24" s="5">
        <f t="shared" si="2"/>
        <v>0</v>
      </c>
    </row>
    <row r="25" spans="1:39" ht="16.5" x14ac:dyDescent="0.25">
      <c r="A25" s="9">
        <v>21</v>
      </c>
      <c r="B25" s="98">
        <v>70</v>
      </c>
      <c r="C25" s="7" t="s">
        <v>163</v>
      </c>
      <c r="D25" s="102" t="s">
        <v>164</v>
      </c>
      <c r="E25" s="8" t="s">
        <v>6</v>
      </c>
      <c r="F25" s="119"/>
      <c r="G25" s="126"/>
      <c r="H25" s="97" t="s">
        <v>111</v>
      </c>
      <c r="I25" s="97" t="s">
        <v>111</v>
      </c>
      <c r="J25" s="119"/>
      <c r="K25" s="97" t="s">
        <v>111</v>
      </c>
      <c r="L25" s="97" t="s">
        <v>111</v>
      </c>
      <c r="M25" s="97" t="s">
        <v>111</v>
      </c>
      <c r="N25" s="126"/>
      <c r="O25" s="97" t="s">
        <v>111</v>
      </c>
      <c r="P25" s="97" t="s">
        <v>111</v>
      </c>
      <c r="Q25" s="97" t="s">
        <v>111</v>
      </c>
      <c r="R25" s="97" t="s">
        <v>111</v>
      </c>
      <c r="S25" s="119"/>
      <c r="T25" s="97" t="s">
        <v>798</v>
      </c>
      <c r="U25" s="126"/>
      <c r="V25" s="97" t="s">
        <v>111</v>
      </c>
      <c r="W25" s="97" t="s">
        <v>111</v>
      </c>
      <c r="X25" s="119"/>
      <c r="Y25" s="97" t="s">
        <v>111</v>
      </c>
      <c r="Z25" s="97" t="s">
        <v>111</v>
      </c>
      <c r="AA25" s="97" t="s">
        <v>111</v>
      </c>
      <c r="AB25" s="126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v>14</v>
      </c>
      <c r="AI25" s="5">
        <f t="shared" si="2"/>
        <v>1</v>
      </c>
    </row>
    <row r="26" spans="1:39" ht="16.5" x14ac:dyDescent="0.25">
      <c r="A26" s="9">
        <v>22</v>
      </c>
      <c r="B26" s="98">
        <v>103</v>
      </c>
      <c r="C26" s="7" t="s">
        <v>165</v>
      </c>
      <c r="D26" s="102" t="s">
        <v>133</v>
      </c>
      <c r="E26" s="8" t="s">
        <v>6</v>
      </c>
      <c r="F26" s="119"/>
      <c r="G26" s="126"/>
      <c r="H26" s="97" t="s">
        <v>111</v>
      </c>
      <c r="I26" s="97" t="s">
        <v>111</v>
      </c>
      <c r="J26" s="119"/>
      <c r="K26" s="97" t="s">
        <v>111</v>
      </c>
      <c r="L26" s="97" t="s">
        <v>111</v>
      </c>
      <c r="M26" s="97" t="s">
        <v>111</v>
      </c>
      <c r="N26" s="126"/>
      <c r="O26" s="97" t="s">
        <v>111</v>
      </c>
      <c r="P26" s="97" t="s">
        <v>111</v>
      </c>
      <c r="Q26" s="97" t="s">
        <v>111</v>
      </c>
      <c r="R26" s="97" t="s">
        <v>111</v>
      </c>
      <c r="S26" s="119"/>
      <c r="T26" s="97" t="s">
        <v>111</v>
      </c>
      <c r="U26" s="126"/>
      <c r="V26" s="97" t="s">
        <v>111</v>
      </c>
      <c r="W26" s="97" t="s">
        <v>111</v>
      </c>
      <c r="X26" s="119"/>
      <c r="Y26" s="97" t="s">
        <v>111</v>
      </c>
      <c r="Z26" s="97" t="s">
        <v>798</v>
      </c>
      <c r="AA26" s="97" t="s">
        <v>111</v>
      </c>
      <c r="AB26" s="126"/>
      <c r="AC26" s="97" t="s">
        <v>111</v>
      </c>
      <c r="AD26" s="97" t="s">
        <v>111</v>
      </c>
      <c r="AE26" s="97" t="s">
        <v>798</v>
      </c>
      <c r="AF26" s="97" t="s">
        <v>111</v>
      </c>
      <c r="AG26" s="97" t="s">
        <v>111</v>
      </c>
      <c r="AH26" s="5">
        <f t="shared" ref="AH26:AH59" si="3">COUNTIF(F26:AG26,"P")</f>
        <v>18</v>
      </c>
      <c r="AI26" s="5">
        <f t="shared" si="2"/>
        <v>2</v>
      </c>
    </row>
    <row r="27" spans="1:39" ht="16.5" x14ac:dyDescent="0.25">
      <c r="A27" s="9">
        <v>23</v>
      </c>
      <c r="B27" s="11">
        <v>149</v>
      </c>
      <c r="C27" s="7" t="s">
        <v>166</v>
      </c>
      <c r="D27" s="102" t="s">
        <v>167</v>
      </c>
      <c r="E27" s="8" t="s">
        <v>6</v>
      </c>
      <c r="F27" s="119"/>
      <c r="G27" s="126"/>
      <c r="H27" s="97" t="s">
        <v>111</v>
      </c>
      <c r="I27" s="97" t="s">
        <v>111</v>
      </c>
      <c r="J27" s="119"/>
      <c r="K27" s="97" t="s">
        <v>798</v>
      </c>
      <c r="L27" s="97" t="s">
        <v>111</v>
      </c>
      <c r="M27" s="97" t="s">
        <v>798</v>
      </c>
      <c r="N27" s="126"/>
      <c r="O27" s="97" t="s">
        <v>798</v>
      </c>
      <c r="P27" s="97" t="s">
        <v>111</v>
      </c>
      <c r="Q27" s="97" t="s">
        <v>798</v>
      </c>
      <c r="R27" s="97" t="s">
        <v>111</v>
      </c>
      <c r="S27" s="119"/>
      <c r="T27" s="97" t="s">
        <v>798</v>
      </c>
      <c r="U27" s="126"/>
      <c r="V27" s="97" t="s">
        <v>798</v>
      </c>
      <c r="W27" s="97" t="s">
        <v>111</v>
      </c>
      <c r="X27" s="119"/>
      <c r="Y27" s="97" t="s">
        <v>111</v>
      </c>
      <c r="Z27" s="97" t="s">
        <v>111</v>
      </c>
      <c r="AA27" s="97" t="s">
        <v>798</v>
      </c>
      <c r="AB27" s="126"/>
      <c r="AC27" s="97" t="s">
        <v>111</v>
      </c>
      <c r="AD27" s="97" t="s">
        <v>798</v>
      </c>
      <c r="AE27" s="97" t="s">
        <v>111</v>
      </c>
      <c r="AF27" s="97" t="s">
        <v>111</v>
      </c>
      <c r="AG27" s="97" t="s">
        <v>111</v>
      </c>
      <c r="AH27" s="5">
        <f t="shared" si="3"/>
        <v>12</v>
      </c>
      <c r="AI27" s="5">
        <f t="shared" si="2"/>
        <v>8</v>
      </c>
    </row>
    <row r="28" spans="1:39" ht="16.5" x14ac:dyDescent="0.25">
      <c r="A28" s="9">
        <v>24</v>
      </c>
      <c r="B28" s="11">
        <v>169</v>
      </c>
      <c r="C28" s="7" t="s">
        <v>168</v>
      </c>
      <c r="D28" s="102" t="s">
        <v>169</v>
      </c>
      <c r="E28" s="8" t="s">
        <v>6</v>
      </c>
      <c r="F28" s="119"/>
      <c r="G28" s="126"/>
      <c r="H28" s="97" t="s">
        <v>798</v>
      </c>
      <c r="I28" s="97" t="s">
        <v>111</v>
      </c>
      <c r="J28" s="119"/>
      <c r="K28" s="97" t="s">
        <v>111</v>
      </c>
      <c r="L28" s="97" t="s">
        <v>111</v>
      </c>
      <c r="M28" s="97" t="s">
        <v>111</v>
      </c>
      <c r="N28" s="126"/>
      <c r="O28" s="97" t="s">
        <v>798</v>
      </c>
      <c r="P28" s="97" t="s">
        <v>111</v>
      </c>
      <c r="Q28" s="97" t="s">
        <v>111</v>
      </c>
      <c r="R28" s="97" t="s">
        <v>111</v>
      </c>
      <c r="S28" s="119"/>
      <c r="T28" s="97" t="s">
        <v>111</v>
      </c>
      <c r="U28" s="126"/>
      <c r="V28" s="97" t="s">
        <v>798</v>
      </c>
      <c r="W28" s="97" t="s">
        <v>798</v>
      </c>
      <c r="X28" s="119"/>
      <c r="Y28" s="97" t="s">
        <v>111</v>
      </c>
      <c r="Z28" s="97" t="s">
        <v>111</v>
      </c>
      <c r="AA28" s="97" t="s">
        <v>798</v>
      </c>
      <c r="AB28" s="126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3"/>
        <v>15</v>
      </c>
      <c r="AI28" s="5">
        <f t="shared" si="2"/>
        <v>5</v>
      </c>
    </row>
    <row r="29" spans="1:39" ht="16.5" customHeight="1" x14ac:dyDescent="0.25">
      <c r="A29" s="6">
        <v>1</v>
      </c>
      <c r="B29" s="6">
        <v>61</v>
      </c>
      <c r="C29" s="99" t="s">
        <v>170</v>
      </c>
      <c r="D29" s="15" t="s">
        <v>171</v>
      </c>
      <c r="E29" s="16" t="s">
        <v>6</v>
      </c>
      <c r="F29" s="119"/>
      <c r="G29" s="126"/>
      <c r="H29" s="97" t="s">
        <v>111</v>
      </c>
      <c r="I29" s="97" t="s">
        <v>111</v>
      </c>
      <c r="J29" s="119"/>
      <c r="K29" s="97" t="s">
        <v>111</v>
      </c>
      <c r="L29" s="97" t="s">
        <v>111</v>
      </c>
      <c r="M29" s="97" t="s">
        <v>111</v>
      </c>
      <c r="N29" s="126"/>
      <c r="O29" s="97" t="s">
        <v>798</v>
      </c>
      <c r="P29" s="97" t="s">
        <v>798</v>
      </c>
      <c r="Q29" s="97" t="s">
        <v>798</v>
      </c>
      <c r="R29" s="97" t="s">
        <v>798</v>
      </c>
      <c r="S29" s="119"/>
      <c r="T29" s="97" t="s">
        <v>798</v>
      </c>
      <c r="U29" s="126"/>
      <c r="V29" s="97" t="s">
        <v>111</v>
      </c>
      <c r="W29" s="97" t="s">
        <v>111</v>
      </c>
      <c r="X29" s="119"/>
      <c r="Y29" s="97" t="s">
        <v>111</v>
      </c>
      <c r="Z29" s="97" t="s">
        <v>111</v>
      </c>
      <c r="AA29" s="97" t="s">
        <v>111</v>
      </c>
      <c r="AB29" s="126"/>
      <c r="AC29" s="97" t="s">
        <v>111</v>
      </c>
      <c r="AD29" s="97" t="s">
        <v>111</v>
      </c>
      <c r="AE29" s="97" t="s">
        <v>798</v>
      </c>
      <c r="AF29" s="97" t="s">
        <v>111</v>
      </c>
      <c r="AG29" s="97" t="s">
        <v>111</v>
      </c>
      <c r="AH29" s="4">
        <f t="shared" si="3"/>
        <v>14</v>
      </c>
      <c r="AI29" s="4">
        <f t="shared" si="2"/>
        <v>6</v>
      </c>
    </row>
    <row r="30" spans="1:39" ht="16.5" x14ac:dyDescent="0.25">
      <c r="A30" s="11">
        <v>2</v>
      </c>
      <c r="B30" s="11">
        <v>79</v>
      </c>
      <c r="C30" s="100" t="s">
        <v>172</v>
      </c>
      <c r="D30" s="17" t="s">
        <v>173</v>
      </c>
      <c r="E30" s="16" t="s">
        <v>6</v>
      </c>
      <c r="F30" s="119"/>
      <c r="G30" s="126"/>
      <c r="H30" s="97" t="s">
        <v>111</v>
      </c>
      <c r="I30" s="97" t="s">
        <v>111</v>
      </c>
      <c r="J30" s="119"/>
      <c r="K30" s="97" t="s">
        <v>111</v>
      </c>
      <c r="L30" s="97" t="s">
        <v>111</v>
      </c>
      <c r="M30" s="97" t="s">
        <v>111</v>
      </c>
      <c r="N30" s="126"/>
      <c r="O30" s="97" t="s">
        <v>111</v>
      </c>
      <c r="P30" s="97" t="s">
        <v>111</v>
      </c>
      <c r="Q30" s="97" t="s">
        <v>111</v>
      </c>
      <c r="R30" s="97" t="s">
        <v>111</v>
      </c>
      <c r="S30" s="119"/>
      <c r="T30" s="97" t="s">
        <v>111</v>
      </c>
      <c r="U30" s="126"/>
      <c r="V30" s="97" t="s">
        <v>111</v>
      </c>
      <c r="W30" s="97" t="s">
        <v>111</v>
      </c>
      <c r="X30" s="119"/>
      <c r="Y30" s="97" t="s">
        <v>111</v>
      </c>
      <c r="Z30" s="97" t="s">
        <v>111</v>
      </c>
      <c r="AA30" s="97" t="s">
        <v>111</v>
      </c>
      <c r="AB30" s="126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4">
        <f t="shared" si="3"/>
        <v>20</v>
      </c>
      <c r="AI30" s="4">
        <f t="shared" si="2"/>
        <v>0</v>
      </c>
    </row>
    <row r="31" spans="1:39" ht="16.5" x14ac:dyDescent="0.25">
      <c r="A31" s="6">
        <v>3</v>
      </c>
      <c r="B31" s="11">
        <v>16</v>
      </c>
      <c r="C31" s="100" t="s">
        <v>174</v>
      </c>
      <c r="D31" s="17" t="s">
        <v>175</v>
      </c>
      <c r="E31" s="16" t="s">
        <v>6</v>
      </c>
      <c r="F31" s="119"/>
      <c r="G31" s="126"/>
      <c r="H31" s="97" t="s">
        <v>111</v>
      </c>
      <c r="I31" s="97" t="s">
        <v>111</v>
      </c>
      <c r="J31" s="119"/>
      <c r="K31" s="97" t="s">
        <v>111</v>
      </c>
      <c r="L31" s="97" t="s">
        <v>111</v>
      </c>
      <c r="M31" s="97" t="s">
        <v>111</v>
      </c>
      <c r="N31" s="126"/>
      <c r="O31" s="97" t="s">
        <v>111</v>
      </c>
      <c r="P31" s="97" t="s">
        <v>111</v>
      </c>
      <c r="Q31" s="97" t="s">
        <v>111</v>
      </c>
      <c r="R31" s="97" t="s">
        <v>111</v>
      </c>
      <c r="S31" s="119"/>
      <c r="T31" s="97" t="s">
        <v>111</v>
      </c>
      <c r="U31" s="126"/>
      <c r="V31" s="97" t="s">
        <v>111</v>
      </c>
      <c r="W31" s="97" t="s">
        <v>111</v>
      </c>
      <c r="X31" s="119"/>
      <c r="Y31" s="97" t="s">
        <v>111</v>
      </c>
      <c r="Z31" s="97" t="s">
        <v>111</v>
      </c>
      <c r="AA31" s="97" t="s">
        <v>111</v>
      </c>
      <c r="AB31" s="126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4">
        <f t="shared" si="3"/>
        <v>20</v>
      </c>
      <c r="AI31" s="4">
        <f t="shared" si="2"/>
        <v>0</v>
      </c>
    </row>
    <row r="32" spans="1:39" ht="16.5" x14ac:dyDescent="0.25">
      <c r="A32" s="11">
        <v>4</v>
      </c>
      <c r="B32" s="11">
        <v>78</v>
      </c>
      <c r="C32" s="100" t="s">
        <v>176</v>
      </c>
      <c r="D32" s="17" t="s">
        <v>177</v>
      </c>
      <c r="E32" s="16" t="s">
        <v>6</v>
      </c>
      <c r="F32" s="119"/>
      <c r="G32" s="126"/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111</v>
      </c>
      <c r="N32" s="126"/>
      <c r="O32" s="97" t="s">
        <v>111</v>
      </c>
      <c r="P32" s="97" t="s">
        <v>111</v>
      </c>
      <c r="Q32" s="97" t="s">
        <v>111</v>
      </c>
      <c r="R32" s="97" t="s">
        <v>111</v>
      </c>
      <c r="S32" s="119"/>
      <c r="T32" s="97" t="s">
        <v>111</v>
      </c>
      <c r="U32" s="126"/>
      <c r="V32" s="97" t="s">
        <v>111</v>
      </c>
      <c r="W32" s="97" t="s">
        <v>111</v>
      </c>
      <c r="X32" s="119"/>
      <c r="Y32" s="97" t="s">
        <v>111</v>
      </c>
      <c r="Z32" s="97" t="s">
        <v>798</v>
      </c>
      <c r="AA32" s="97" t="s">
        <v>111</v>
      </c>
      <c r="AB32" s="126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4">
        <f t="shared" si="3"/>
        <v>19</v>
      </c>
      <c r="AI32" s="4">
        <f t="shared" si="2"/>
        <v>1</v>
      </c>
    </row>
    <row r="33" spans="1:35" ht="16.5" x14ac:dyDescent="0.25">
      <c r="A33" s="6">
        <v>5</v>
      </c>
      <c r="B33" s="11">
        <v>76</v>
      </c>
      <c r="C33" s="100" t="s">
        <v>178</v>
      </c>
      <c r="D33" s="17" t="s">
        <v>179</v>
      </c>
      <c r="E33" s="16" t="s">
        <v>6</v>
      </c>
      <c r="F33" s="119"/>
      <c r="G33" s="126"/>
      <c r="H33" s="97" t="s">
        <v>111</v>
      </c>
      <c r="I33" s="97" t="s">
        <v>111</v>
      </c>
      <c r="J33" s="119"/>
      <c r="K33" s="97" t="s">
        <v>111</v>
      </c>
      <c r="L33" s="97" t="s">
        <v>111</v>
      </c>
      <c r="M33" s="97" t="s">
        <v>111</v>
      </c>
      <c r="N33" s="126"/>
      <c r="O33" s="97" t="s">
        <v>111</v>
      </c>
      <c r="P33" s="97" t="s">
        <v>111</v>
      </c>
      <c r="Q33" s="97" t="s">
        <v>111</v>
      </c>
      <c r="R33" s="97" t="s">
        <v>111</v>
      </c>
      <c r="S33" s="119"/>
      <c r="T33" s="97" t="s">
        <v>111</v>
      </c>
      <c r="U33" s="126"/>
      <c r="V33" s="97" t="s">
        <v>798</v>
      </c>
      <c r="W33" s="97" t="s">
        <v>111</v>
      </c>
      <c r="X33" s="119"/>
      <c r="Y33" s="97" t="s">
        <v>111</v>
      </c>
      <c r="Z33" s="97" t="s">
        <v>111</v>
      </c>
      <c r="AA33" s="97" t="s">
        <v>111</v>
      </c>
      <c r="AB33" s="126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4">
        <f t="shared" si="3"/>
        <v>19</v>
      </c>
      <c r="AI33" s="4">
        <f t="shared" si="2"/>
        <v>1</v>
      </c>
    </row>
    <row r="34" spans="1:35" ht="16.5" x14ac:dyDescent="0.25">
      <c r="A34" s="6">
        <v>7</v>
      </c>
      <c r="B34" s="11">
        <v>108</v>
      </c>
      <c r="C34" s="100" t="s">
        <v>180</v>
      </c>
      <c r="D34" s="17" t="s">
        <v>181</v>
      </c>
      <c r="E34" s="16" t="s">
        <v>6</v>
      </c>
      <c r="F34" s="119"/>
      <c r="G34" s="126"/>
      <c r="H34" s="97" t="s">
        <v>111</v>
      </c>
      <c r="I34" s="97" t="s">
        <v>111</v>
      </c>
      <c r="J34" s="119"/>
      <c r="K34" s="97" t="s">
        <v>111</v>
      </c>
      <c r="L34" s="97" t="s">
        <v>111</v>
      </c>
      <c r="M34" s="97" t="s">
        <v>798</v>
      </c>
      <c r="N34" s="126"/>
      <c r="O34" s="97" t="s">
        <v>111</v>
      </c>
      <c r="P34" s="97" t="s">
        <v>111</v>
      </c>
      <c r="Q34" s="97" t="s">
        <v>111</v>
      </c>
      <c r="R34" s="97" t="s">
        <v>111</v>
      </c>
      <c r="S34" s="119"/>
      <c r="T34" s="97" t="s">
        <v>111</v>
      </c>
      <c r="U34" s="126"/>
      <c r="V34" s="97" t="s">
        <v>111</v>
      </c>
      <c r="W34" s="97" t="s">
        <v>111</v>
      </c>
      <c r="X34" s="119"/>
      <c r="Y34" s="97" t="s">
        <v>798</v>
      </c>
      <c r="Z34" s="97" t="s">
        <v>111</v>
      </c>
      <c r="AA34" s="97" t="s">
        <v>111</v>
      </c>
      <c r="AB34" s="126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4">
        <f t="shared" si="3"/>
        <v>18</v>
      </c>
      <c r="AI34" s="4">
        <f t="shared" si="2"/>
        <v>2</v>
      </c>
    </row>
    <row r="35" spans="1:35" ht="16.5" x14ac:dyDescent="0.25">
      <c r="A35" s="11">
        <v>8</v>
      </c>
      <c r="B35" s="11">
        <v>131</v>
      </c>
      <c r="C35" s="100" t="s">
        <v>182</v>
      </c>
      <c r="D35" s="17" t="s">
        <v>183</v>
      </c>
      <c r="E35" s="16" t="s">
        <v>6</v>
      </c>
      <c r="F35" s="119"/>
      <c r="G35" s="126"/>
      <c r="H35" s="97" t="s">
        <v>111</v>
      </c>
      <c r="I35" s="97" t="s">
        <v>111</v>
      </c>
      <c r="J35" s="119"/>
      <c r="K35" s="97" t="s">
        <v>111</v>
      </c>
      <c r="L35" s="97" t="s">
        <v>111</v>
      </c>
      <c r="M35" s="97" t="s">
        <v>798</v>
      </c>
      <c r="N35" s="126"/>
      <c r="O35" s="97" t="s">
        <v>111</v>
      </c>
      <c r="P35" s="97" t="s">
        <v>111</v>
      </c>
      <c r="Q35" s="97" t="s">
        <v>111</v>
      </c>
      <c r="R35" s="97" t="s">
        <v>111</v>
      </c>
      <c r="S35" s="119"/>
      <c r="T35" s="97" t="s">
        <v>111</v>
      </c>
      <c r="U35" s="126"/>
      <c r="V35" s="97" t="s">
        <v>111</v>
      </c>
      <c r="W35" s="97" t="s">
        <v>111</v>
      </c>
      <c r="X35" s="119"/>
      <c r="Y35" s="97" t="s">
        <v>798</v>
      </c>
      <c r="Z35" s="97" t="s">
        <v>111</v>
      </c>
      <c r="AA35" s="97" t="s">
        <v>111</v>
      </c>
      <c r="AB35" s="126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4">
        <f t="shared" si="3"/>
        <v>18</v>
      </c>
      <c r="AI35" s="4">
        <f t="shared" si="2"/>
        <v>2</v>
      </c>
    </row>
    <row r="36" spans="1:35" ht="16.5" x14ac:dyDescent="0.25">
      <c r="A36" s="6">
        <v>9</v>
      </c>
      <c r="B36" s="11">
        <v>101</v>
      </c>
      <c r="C36" s="100" t="s">
        <v>184</v>
      </c>
      <c r="D36" s="17" t="s">
        <v>185</v>
      </c>
      <c r="E36" s="16" t="s">
        <v>6</v>
      </c>
      <c r="F36" s="119"/>
      <c r="G36" s="126"/>
      <c r="H36" s="97" t="s">
        <v>111</v>
      </c>
      <c r="I36" s="97" t="s">
        <v>111</v>
      </c>
      <c r="J36" s="119"/>
      <c r="K36" s="97" t="s">
        <v>111</v>
      </c>
      <c r="L36" s="97" t="s">
        <v>111</v>
      </c>
      <c r="M36" s="97" t="s">
        <v>111</v>
      </c>
      <c r="N36" s="126"/>
      <c r="O36" s="97" t="s">
        <v>111</v>
      </c>
      <c r="P36" s="97" t="s">
        <v>111</v>
      </c>
      <c r="Q36" s="97" t="s">
        <v>111</v>
      </c>
      <c r="R36" s="97" t="s">
        <v>111</v>
      </c>
      <c r="S36" s="119"/>
      <c r="T36" s="97" t="s">
        <v>111</v>
      </c>
      <c r="U36" s="126"/>
      <c r="V36" s="97" t="s">
        <v>111</v>
      </c>
      <c r="W36" s="97" t="s">
        <v>111</v>
      </c>
      <c r="X36" s="119"/>
      <c r="Y36" s="97" t="s">
        <v>111</v>
      </c>
      <c r="Z36" s="97" t="s">
        <v>111</v>
      </c>
      <c r="AA36" s="97" t="s">
        <v>111</v>
      </c>
      <c r="AB36" s="126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4">
        <f t="shared" si="3"/>
        <v>20</v>
      </c>
      <c r="AI36" s="4">
        <f t="shared" ref="AI36:AI59" si="4">COUNTIF(F36:AG36,"A")</f>
        <v>0</v>
      </c>
    </row>
    <row r="37" spans="1:35" ht="16.5" x14ac:dyDescent="0.25">
      <c r="A37" s="11">
        <v>10</v>
      </c>
      <c r="B37" s="11">
        <v>100</v>
      </c>
      <c r="C37" s="100" t="s">
        <v>186</v>
      </c>
      <c r="D37" s="17" t="s">
        <v>187</v>
      </c>
      <c r="E37" s="16" t="s">
        <v>6</v>
      </c>
      <c r="F37" s="119"/>
      <c r="G37" s="126"/>
      <c r="H37" s="97" t="s">
        <v>111</v>
      </c>
      <c r="I37" s="97" t="s">
        <v>111</v>
      </c>
      <c r="J37" s="119"/>
      <c r="K37" s="97" t="s">
        <v>111</v>
      </c>
      <c r="L37" s="97" t="s">
        <v>111</v>
      </c>
      <c r="M37" s="97" t="s">
        <v>111</v>
      </c>
      <c r="N37" s="126"/>
      <c r="O37" s="97" t="s">
        <v>111</v>
      </c>
      <c r="P37" s="97" t="s">
        <v>111</v>
      </c>
      <c r="Q37" s="97" t="s">
        <v>111</v>
      </c>
      <c r="R37" s="97" t="s">
        <v>111</v>
      </c>
      <c r="S37" s="119"/>
      <c r="T37" s="97" t="s">
        <v>111</v>
      </c>
      <c r="U37" s="126"/>
      <c r="V37" s="97" t="s">
        <v>111</v>
      </c>
      <c r="W37" s="97" t="s">
        <v>798</v>
      </c>
      <c r="X37" s="119"/>
      <c r="Y37" s="97" t="s">
        <v>111</v>
      </c>
      <c r="Z37" s="97" t="s">
        <v>111</v>
      </c>
      <c r="AA37" s="97" t="s">
        <v>111</v>
      </c>
      <c r="AB37" s="126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4">
        <f t="shared" si="3"/>
        <v>19</v>
      </c>
      <c r="AI37" s="4">
        <f t="shared" si="4"/>
        <v>1</v>
      </c>
    </row>
    <row r="38" spans="1:35" ht="16.5" x14ac:dyDescent="0.25">
      <c r="A38" s="6">
        <v>11</v>
      </c>
      <c r="B38" s="11">
        <v>90</v>
      </c>
      <c r="C38" s="100" t="s">
        <v>188</v>
      </c>
      <c r="D38" s="17" t="s">
        <v>141</v>
      </c>
      <c r="E38" s="16" t="s">
        <v>6</v>
      </c>
      <c r="F38" s="119"/>
      <c r="G38" s="126"/>
      <c r="H38" s="97" t="s">
        <v>111</v>
      </c>
      <c r="I38" s="97" t="s">
        <v>111</v>
      </c>
      <c r="J38" s="119"/>
      <c r="K38" s="97" t="s">
        <v>111</v>
      </c>
      <c r="L38" s="97" t="s">
        <v>111</v>
      </c>
      <c r="M38" s="97" t="s">
        <v>111</v>
      </c>
      <c r="N38" s="126"/>
      <c r="O38" s="97" t="s">
        <v>111</v>
      </c>
      <c r="P38" s="97" t="s">
        <v>111</v>
      </c>
      <c r="Q38" s="97" t="s">
        <v>111</v>
      </c>
      <c r="R38" s="97" t="s">
        <v>111</v>
      </c>
      <c r="S38" s="119"/>
      <c r="T38" s="97" t="s">
        <v>111</v>
      </c>
      <c r="U38" s="126"/>
      <c r="V38" s="97" t="s">
        <v>111</v>
      </c>
      <c r="W38" s="97" t="s">
        <v>111</v>
      </c>
      <c r="X38" s="119"/>
      <c r="Y38" s="97" t="s">
        <v>111</v>
      </c>
      <c r="Z38" s="97" t="s">
        <v>111</v>
      </c>
      <c r="AA38" s="97" t="s">
        <v>111</v>
      </c>
      <c r="AB38" s="126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4">
        <f t="shared" si="3"/>
        <v>20</v>
      </c>
      <c r="AI38" s="4">
        <f t="shared" si="4"/>
        <v>0</v>
      </c>
    </row>
    <row r="39" spans="1:35" ht="16.5" x14ac:dyDescent="0.25">
      <c r="A39" s="11">
        <v>12</v>
      </c>
      <c r="B39" s="11">
        <v>73</v>
      </c>
      <c r="C39" s="100" t="s">
        <v>189</v>
      </c>
      <c r="D39" s="17" t="s">
        <v>190</v>
      </c>
      <c r="E39" s="16" t="s">
        <v>6</v>
      </c>
      <c r="F39" s="119"/>
      <c r="G39" s="126"/>
      <c r="H39" s="97" t="s">
        <v>111</v>
      </c>
      <c r="I39" s="97" t="s">
        <v>111</v>
      </c>
      <c r="J39" s="119"/>
      <c r="K39" s="97" t="s">
        <v>111</v>
      </c>
      <c r="L39" s="97" t="s">
        <v>111</v>
      </c>
      <c r="M39" s="97" t="s">
        <v>111</v>
      </c>
      <c r="N39" s="126"/>
      <c r="O39" s="97" t="s">
        <v>111</v>
      </c>
      <c r="P39" s="97" t="s">
        <v>111</v>
      </c>
      <c r="Q39" s="97" t="s">
        <v>111</v>
      </c>
      <c r="R39" s="97" t="s">
        <v>111</v>
      </c>
      <c r="S39" s="119"/>
      <c r="T39" s="97" t="s">
        <v>798</v>
      </c>
      <c r="U39" s="126"/>
      <c r="V39" s="97" t="s">
        <v>111</v>
      </c>
      <c r="W39" s="97" t="s">
        <v>111</v>
      </c>
      <c r="X39" s="119"/>
      <c r="Y39" s="97" t="s">
        <v>111</v>
      </c>
      <c r="Z39" s="97" t="s">
        <v>798</v>
      </c>
      <c r="AA39" s="97" t="s">
        <v>111</v>
      </c>
      <c r="AB39" s="126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4">
        <f t="shared" si="3"/>
        <v>18</v>
      </c>
      <c r="AI39" s="4">
        <f t="shared" si="4"/>
        <v>2</v>
      </c>
    </row>
    <row r="40" spans="1:35" ht="16.5" x14ac:dyDescent="0.25">
      <c r="A40" s="6">
        <v>13</v>
      </c>
      <c r="B40" s="11">
        <v>74</v>
      </c>
      <c r="C40" s="100" t="s">
        <v>191</v>
      </c>
      <c r="D40" s="17" t="s">
        <v>192</v>
      </c>
      <c r="E40" s="16" t="s">
        <v>6</v>
      </c>
      <c r="F40" s="119"/>
      <c r="G40" s="126"/>
      <c r="H40" s="97" t="s">
        <v>111</v>
      </c>
      <c r="I40" s="97" t="s">
        <v>111</v>
      </c>
      <c r="J40" s="119"/>
      <c r="K40" s="97" t="s">
        <v>111</v>
      </c>
      <c r="L40" s="97" t="s">
        <v>111</v>
      </c>
      <c r="M40" s="97" t="s">
        <v>798</v>
      </c>
      <c r="N40" s="126"/>
      <c r="O40" s="97" t="s">
        <v>111</v>
      </c>
      <c r="P40" s="97" t="s">
        <v>111</v>
      </c>
      <c r="Q40" s="97" t="s">
        <v>111</v>
      </c>
      <c r="R40" s="97" t="s">
        <v>111</v>
      </c>
      <c r="S40" s="119"/>
      <c r="T40" s="97" t="s">
        <v>111</v>
      </c>
      <c r="U40" s="126"/>
      <c r="V40" s="97" t="s">
        <v>111</v>
      </c>
      <c r="W40" s="97" t="s">
        <v>111</v>
      </c>
      <c r="X40" s="119"/>
      <c r="Y40" s="97" t="s">
        <v>111</v>
      </c>
      <c r="Z40" s="97" t="s">
        <v>111</v>
      </c>
      <c r="AA40" s="97" t="s">
        <v>798</v>
      </c>
      <c r="AB40" s="126"/>
      <c r="AC40" s="97" t="s">
        <v>111</v>
      </c>
      <c r="AD40" s="97" t="s">
        <v>798</v>
      </c>
      <c r="AE40" s="97" t="s">
        <v>111</v>
      </c>
      <c r="AF40" s="97" t="s">
        <v>111</v>
      </c>
      <c r="AG40" s="97" t="s">
        <v>111</v>
      </c>
      <c r="AH40" s="4">
        <f t="shared" si="3"/>
        <v>17</v>
      </c>
      <c r="AI40" s="4">
        <f t="shared" si="4"/>
        <v>3</v>
      </c>
    </row>
    <row r="41" spans="1:35" ht="16.5" x14ac:dyDescent="0.25">
      <c r="A41" s="11">
        <v>14</v>
      </c>
      <c r="B41" s="11">
        <v>77</v>
      </c>
      <c r="C41" s="100" t="s">
        <v>193</v>
      </c>
      <c r="D41" s="17" t="s">
        <v>194</v>
      </c>
      <c r="E41" s="16" t="s">
        <v>6</v>
      </c>
      <c r="F41" s="119"/>
      <c r="G41" s="126"/>
      <c r="H41" s="97" t="s">
        <v>111</v>
      </c>
      <c r="I41" s="97" t="s">
        <v>111</v>
      </c>
      <c r="J41" s="119"/>
      <c r="K41" s="97" t="s">
        <v>111</v>
      </c>
      <c r="L41" s="97" t="s">
        <v>111</v>
      </c>
      <c r="M41" s="97" t="s">
        <v>111</v>
      </c>
      <c r="N41" s="126"/>
      <c r="O41" s="97" t="s">
        <v>111</v>
      </c>
      <c r="P41" s="97" t="s">
        <v>111</v>
      </c>
      <c r="Q41" s="97" t="s">
        <v>111</v>
      </c>
      <c r="R41" s="97" t="s">
        <v>111</v>
      </c>
      <c r="S41" s="119"/>
      <c r="T41" s="97" t="s">
        <v>111</v>
      </c>
      <c r="U41" s="126"/>
      <c r="V41" s="97" t="s">
        <v>798</v>
      </c>
      <c r="W41" s="97" t="s">
        <v>111</v>
      </c>
      <c r="X41" s="119"/>
      <c r="Y41" s="97" t="s">
        <v>111</v>
      </c>
      <c r="Z41" s="97" t="s">
        <v>111</v>
      </c>
      <c r="AA41" s="97" t="s">
        <v>111</v>
      </c>
      <c r="AB41" s="126"/>
      <c r="AC41" s="97" t="s">
        <v>798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4">
        <f t="shared" si="3"/>
        <v>18</v>
      </c>
      <c r="AI41" s="4">
        <f t="shared" si="4"/>
        <v>2</v>
      </c>
    </row>
    <row r="42" spans="1:35" ht="16.5" x14ac:dyDescent="0.25">
      <c r="A42" s="6">
        <v>15</v>
      </c>
      <c r="B42" s="11">
        <v>80</v>
      </c>
      <c r="C42" s="100" t="s">
        <v>195</v>
      </c>
      <c r="D42" s="17" t="s">
        <v>196</v>
      </c>
      <c r="E42" s="16" t="s">
        <v>6</v>
      </c>
      <c r="F42" s="119"/>
      <c r="G42" s="126"/>
      <c r="H42" s="97" t="s">
        <v>111</v>
      </c>
      <c r="I42" s="97" t="s">
        <v>111</v>
      </c>
      <c r="J42" s="119"/>
      <c r="K42" s="97" t="s">
        <v>111</v>
      </c>
      <c r="L42" s="97" t="s">
        <v>111</v>
      </c>
      <c r="M42" s="97" t="s">
        <v>111</v>
      </c>
      <c r="N42" s="126"/>
      <c r="O42" s="97" t="s">
        <v>111</v>
      </c>
      <c r="P42" s="97" t="s">
        <v>111</v>
      </c>
      <c r="Q42" s="97" t="s">
        <v>111</v>
      </c>
      <c r="R42" s="97" t="s">
        <v>111</v>
      </c>
      <c r="S42" s="119"/>
      <c r="T42" s="97" t="s">
        <v>798</v>
      </c>
      <c r="U42" s="126"/>
      <c r="V42" s="97" t="s">
        <v>111</v>
      </c>
      <c r="W42" s="97" t="s">
        <v>111</v>
      </c>
      <c r="X42" s="119"/>
      <c r="Y42" s="97" t="s">
        <v>798</v>
      </c>
      <c r="Z42" s="97" t="s">
        <v>111</v>
      </c>
      <c r="AA42" s="97" t="s">
        <v>798</v>
      </c>
      <c r="AB42" s="126"/>
      <c r="AC42" s="97" t="s">
        <v>798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4">
        <f t="shared" si="3"/>
        <v>16</v>
      </c>
      <c r="AI42" s="4">
        <f t="shared" si="4"/>
        <v>4</v>
      </c>
    </row>
    <row r="43" spans="1:35" ht="16.5" x14ac:dyDescent="0.25">
      <c r="A43" s="11">
        <v>16</v>
      </c>
      <c r="B43" s="11">
        <v>93</v>
      </c>
      <c r="C43" s="100" t="s">
        <v>197</v>
      </c>
      <c r="D43" s="17" t="s">
        <v>58</v>
      </c>
      <c r="E43" s="16" t="s">
        <v>6</v>
      </c>
      <c r="F43" s="119"/>
      <c r="G43" s="126"/>
      <c r="H43" s="97" t="s">
        <v>111</v>
      </c>
      <c r="I43" s="97" t="s">
        <v>111</v>
      </c>
      <c r="J43" s="119"/>
      <c r="K43" s="97" t="s">
        <v>111</v>
      </c>
      <c r="L43" s="97" t="s">
        <v>111</v>
      </c>
      <c r="M43" s="97" t="s">
        <v>111</v>
      </c>
      <c r="N43" s="126"/>
      <c r="O43" s="97" t="s">
        <v>111</v>
      </c>
      <c r="P43" s="97" t="s">
        <v>111</v>
      </c>
      <c r="Q43" s="97" t="s">
        <v>111</v>
      </c>
      <c r="R43" s="97" t="s">
        <v>111</v>
      </c>
      <c r="S43" s="119"/>
      <c r="T43" s="97" t="s">
        <v>111</v>
      </c>
      <c r="U43" s="126"/>
      <c r="V43" s="97" t="s">
        <v>798</v>
      </c>
      <c r="W43" s="97" t="s">
        <v>111</v>
      </c>
      <c r="X43" s="119"/>
      <c r="Y43" s="97" t="s">
        <v>111</v>
      </c>
      <c r="Z43" s="97" t="s">
        <v>111</v>
      </c>
      <c r="AA43" s="97" t="s">
        <v>111</v>
      </c>
      <c r="AB43" s="126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4">
        <f t="shared" si="3"/>
        <v>19</v>
      </c>
      <c r="AI43" s="4">
        <f t="shared" si="4"/>
        <v>1</v>
      </c>
    </row>
    <row r="44" spans="1:35" ht="16.5" x14ac:dyDescent="0.25">
      <c r="A44" s="6">
        <v>17</v>
      </c>
      <c r="B44" s="11">
        <v>14</v>
      </c>
      <c r="C44" s="100" t="s">
        <v>198</v>
      </c>
      <c r="D44" s="17" t="s">
        <v>199</v>
      </c>
      <c r="E44" s="16" t="s">
        <v>6</v>
      </c>
      <c r="F44" s="119"/>
      <c r="G44" s="126"/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111</v>
      </c>
      <c r="N44" s="126"/>
      <c r="O44" s="97" t="s">
        <v>111</v>
      </c>
      <c r="P44" s="97" t="s">
        <v>111</v>
      </c>
      <c r="Q44" s="97" t="s">
        <v>111</v>
      </c>
      <c r="R44" s="97" t="s">
        <v>111</v>
      </c>
      <c r="S44" s="119"/>
      <c r="T44" s="97" t="s">
        <v>111</v>
      </c>
      <c r="U44" s="126"/>
      <c r="V44" s="97" t="s">
        <v>111</v>
      </c>
      <c r="W44" s="97" t="s">
        <v>111</v>
      </c>
      <c r="X44" s="119"/>
      <c r="Y44" s="97" t="s">
        <v>111</v>
      </c>
      <c r="Z44" s="97" t="s">
        <v>798</v>
      </c>
      <c r="AA44" s="97" t="s">
        <v>798</v>
      </c>
      <c r="AB44" s="126"/>
      <c r="AC44" s="97" t="s">
        <v>798</v>
      </c>
      <c r="AD44" s="97" t="s">
        <v>798</v>
      </c>
      <c r="AE44" s="97" t="s">
        <v>111</v>
      </c>
      <c r="AF44" s="97" t="s">
        <v>111</v>
      </c>
      <c r="AG44" s="97" t="s">
        <v>111</v>
      </c>
      <c r="AH44" s="4">
        <f t="shared" si="3"/>
        <v>16</v>
      </c>
      <c r="AI44" s="4">
        <f t="shared" si="4"/>
        <v>4</v>
      </c>
    </row>
    <row r="45" spans="1:35" ht="16.5" x14ac:dyDescent="0.25">
      <c r="A45" s="11">
        <v>18</v>
      </c>
      <c r="B45" s="11">
        <v>94</v>
      </c>
      <c r="C45" s="100" t="s">
        <v>200</v>
      </c>
      <c r="D45" s="17" t="s">
        <v>199</v>
      </c>
      <c r="E45" s="16" t="s">
        <v>6</v>
      </c>
      <c r="F45" s="119"/>
      <c r="G45" s="126"/>
      <c r="H45" s="97" t="s">
        <v>111</v>
      </c>
      <c r="I45" s="97" t="s">
        <v>111</v>
      </c>
      <c r="J45" s="119"/>
      <c r="K45" s="97" t="s">
        <v>111</v>
      </c>
      <c r="L45" s="97" t="s">
        <v>111</v>
      </c>
      <c r="M45" s="97" t="s">
        <v>111</v>
      </c>
      <c r="N45" s="126"/>
      <c r="O45" s="97" t="s">
        <v>111</v>
      </c>
      <c r="P45" s="97" t="s">
        <v>111</v>
      </c>
      <c r="Q45" s="97" t="s">
        <v>798</v>
      </c>
      <c r="R45" s="97" t="s">
        <v>111</v>
      </c>
      <c r="S45" s="119"/>
      <c r="T45" s="97" t="s">
        <v>111</v>
      </c>
      <c r="U45" s="126"/>
      <c r="V45" s="97" t="s">
        <v>111</v>
      </c>
      <c r="W45" s="97" t="s">
        <v>111</v>
      </c>
      <c r="X45" s="119"/>
      <c r="Y45" s="97" t="s">
        <v>111</v>
      </c>
      <c r="Z45" s="97" t="s">
        <v>111</v>
      </c>
      <c r="AA45" s="97" t="s">
        <v>111</v>
      </c>
      <c r="AB45" s="126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4">
        <f t="shared" si="3"/>
        <v>19</v>
      </c>
      <c r="AI45" s="4">
        <f t="shared" si="4"/>
        <v>1</v>
      </c>
    </row>
    <row r="46" spans="1:35" ht="16.5" x14ac:dyDescent="0.25">
      <c r="A46" s="6">
        <v>19</v>
      </c>
      <c r="B46" s="11">
        <v>111</v>
      </c>
      <c r="C46" s="100" t="s">
        <v>201</v>
      </c>
      <c r="D46" s="17" t="s">
        <v>202</v>
      </c>
      <c r="E46" s="16" t="s">
        <v>6</v>
      </c>
      <c r="F46" s="119"/>
      <c r="G46" s="126"/>
      <c r="H46" s="97" t="s">
        <v>111</v>
      </c>
      <c r="I46" s="97" t="s">
        <v>111</v>
      </c>
      <c r="J46" s="119"/>
      <c r="K46" s="97" t="s">
        <v>111</v>
      </c>
      <c r="L46" s="97" t="s">
        <v>798</v>
      </c>
      <c r="M46" s="97" t="s">
        <v>111</v>
      </c>
      <c r="N46" s="126"/>
      <c r="O46" s="97" t="s">
        <v>111</v>
      </c>
      <c r="P46" s="97" t="s">
        <v>111</v>
      </c>
      <c r="Q46" s="97" t="s">
        <v>111</v>
      </c>
      <c r="R46" s="97" t="s">
        <v>111</v>
      </c>
      <c r="S46" s="119"/>
      <c r="T46" s="97" t="s">
        <v>111</v>
      </c>
      <c r="U46" s="126"/>
      <c r="V46" s="97" t="s">
        <v>111</v>
      </c>
      <c r="W46" s="97" t="s">
        <v>111</v>
      </c>
      <c r="X46" s="119"/>
      <c r="Y46" s="97" t="s">
        <v>111</v>
      </c>
      <c r="Z46" s="97" t="s">
        <v>111</v>
      </c>
      <c r="AA46" s="97" t="s">
        <v>111</v>
      </c>
      <c r="AB46" s="126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4">
        <f t="shared" si="3"/>
        <v>19</v>
      </c>
      <c r="AI46" s="4">
        <f t="shared" si="4"/>
        <v>1</v>
      </c>
    </row>
    <row r="47" spans="1:35" ht="16.5" x14ac:dyDescent="0.25">
      <c r="A47" s="11">
        <v>20</v>
      </c>
      <c r="B47" s="11">
        <v>113</v>
      </c>
      <c r="C47" s="100" t="s">
        <v>203</v>
      </c>
      <c r="D47" s="17" t="s">
        <v>78</v>
      </c>
      <c r="E47" s="16" t="s">
        <v>6</v>
      </c>
      <c r="F47" s="119"/>
      <c r="G47" s="126"/>
      <c r="H47" s="97" t="s">
        <v>111</v>
      </c>
      <c r="I47" s="97" t="s">
        <v>111</v>
      </c>
      <c r="J47" s="119"/>
      <c r="K47" s="97" t="s">
        <v>111</v>
      </c>
      <c r="L47" s="97" t="s">
        <v>111</v>
      </c>
      <c r="M47" s="97" t="s">
        <v>111</v>
      </c>
      <c r="N47" s="126"/>
      <c r="O47" s="97" t="s">
        <v>111</v>
      </c>
      <c r="P47" s="97" t="s">
        <v>111</v>
      </c>
      <c r="Q47" s="97" t="s">
        <v>798</v>
      </c>
      <c r="R47" s="97" t="s">
        <v>111</v>
      </c>
      <c r="S47" s="119"/>
      <c r="T47" s="97" t="s">
        <v>111</v>
      </c>
      <c r="U47" s="126"/>
      <c r="V47" s="97" t="s">
        <v>798</v>
      </c>
      <c r="W47" s="97" t="s">
        <v>111</v>
      </c>
      <c r="X47" s="119"/>
      <c r="Y47" s="97" t="s">
        <v>111</v>
      </c>
      <c r="Z47" s="97" t="s">
        <v>111</v>
      </c>
      <c r="AA47" s="97" t="s">
        <v>111</v>
      </c>
      <c r="AB47" s="126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4">
        <f t="shared" si="3"/>
        <v>18</v>
      </c>
      <c r="AI47" s="4">
        <f t="shared" si="4"/>
        <v>2</v>
      </c>
    </row>
    <row r="48" spans="1:35" ht="16.5" x14ac:dyDescent="0.25">
      <c r="A48" s="6">
        <v>21</v>
      </c>
      <c r="B48" s="11">
        <v>115</v>
      </c>
      <c r="C48" s="100" t="s">
        <v>204</v>
      </c>
      <c r="D48" s="17" t="s">
        <v>205</v>
      </c>
      <c r="E48" s="16" t="s">
        <v>6</v>
      </c>
      <c r="F48" s="119"/>
      <c r="G48" s="126"/>
      <c r="H48" s="97" t="s">
        <v>798</v>
      </c>
      <c r="I48" s="97" t="s">
        <v>798</v>
      </c>
      <c r="J48" s="119"/>
      <c r="K48" s="97" t="s">
        <v>798</v>
      </c>
      <c r="L48" s="97" t="s">
        <v>798</v>
      </c>
      <c r="M48" s="97" t="s">
        <v>798</v>
      </c>
      <c r="N48" s="126"/>
      <c r="O48" s="97" t="s">
        <v>798</v>
      </c>
      <c r="P48" s="97" t="s">
        <v>798</v>
      </c>
      <c r="Q48" s="97" t="s">
        <v>798</v>
      </c>
      <c r="R48" s="97" t="s">
        <v>798</v>
      </c>
      <c r="S48" s="119"/>
      <c r="T48" s="97" t="s">
        <v>798</v>
      </c>
      <c r="U48" s="126"/>
      <c r="V48" s="97" t="s">
        <v>798</v>
      </c>
      <c r="W48" s="97" t="s">
        <v>798</v>
      </c>
      <c r="X48" s="119"/>
      <c r="Y48" s="97" t="s">
        <v>798</v>
      </c>
      <c r="Z48" s="97" t="s">
        <v>798</v>
      </c>
      <c r="AA48" s="97" t="s">
        <v>798</v>
      </c>
      <c r="AB48" s="126"/>
      <c r="AC48" s="97" t="s">
        <v>798</v>
      </c>
      <c r="AD48" s="97" t="s">
        <v>798</v>
      </c>
      <c r="AE48" s="97" t="s">
        <v>798</v>
      </c>
      <c r="AF48" s="97" t="s">
        <v>798</v>
      </c>
      <c r="AG48" s="97" t="s">
        <v>798</v>
      </c>
      <c r="AH48" s="4">
        <f t="shared" si="3"/>
        <v>0</v>
      </c>
      <c r="AI48" s="4">
        <f t="shared" si="4"/>
        <v>20</v>
      </c>
    </row>
    <row r="49" spans="1:35" ht="16.5" x14ac:dyDescent="0.25">
      <c r="A49" s="11">
        <v>22</v>
      </c>
      <c r="B49" s="11">
        <v>114</v>
      </c>
      <c r="C49" s="100" t="s">
        <v>206</v>
      </c>
      <c r="D49" s="17" t="s">
        <v>205</v>
      </c>
      <c r="E49" s="16" t="s">
        <v>6</v>
      </c>
      <c r="F49" s="119"/>
      <c r="G49" s="126"/>
      <c r="H49" s="97" t="s">
        <v>798</v>
      </c>
      <c r="I49" s="97" t="s">
        <v>798</v>
      </c>
      <c r="J49" s="119"/>
      <c r="K49" s="97" t="s">
        <v>798</v>
      </c>
      <c r="L49" s="97" t="s">
        <v>798</v>
      </c>
      <c r="M49" s="97" t="s">
        <v>798</v>
      </c>
      <c r="N49" s="126"/>
      <c r="O49" s="97" t="s">
        <v>798</v>
      </c>
      <c r="P49" s="97" t="s">
        <v>798</v>
      </c>
      <c r="Q49" s="97" t="s">
        <v>798</v>
      </c>
      <c r="R49" s="97" t="s">
        <v>798</v>
      </c>
      <c r="S49" s="119"/>
      <c r="T49" s="97" t="s">
        <v>798</v>
      </c>
      <c r="U49" s="126"/>
      <c r="V49" s="97" t="s">
        <v>798</v>
      </c>
      <c r="W49" s="97" t="s">
        <v>798</v>
      </c>
      <c r="X49" s="119"/>
      <c r="Y49" s="97" t="s">
        <v>798</v>
      </c>
      <c r="Z49" s="97" t="s">
        <v>798</v>
      </c>
      <c r="AA49" s="97" t="s">
        <v>798</v>
      </c>
      <c r="AB49" s="126"/>
      <c r="AC49" s="97" t="s">
        <v>798</v>
      </c>
      <c r="AD49" s="97" t="s">
        <v>798</v>
      </c>
      <c r="AE49" s="97" t="s">
        <v>798</v>
      </c>
      <c r="AF49" s="97" t="s">
        <v>798</v>
      </c>
      <c r="AG49" s="97" t="s">
        <v>798</v>
      </c>
      <c r="AH49" s="4">
        <f t="shared" si="3"/>
        <v>0</v>
      </c>
      <c r="AI49" s="4">
        <f t="shared" si="4"/>
        <v>20</v>
      </c>
    </row>
    <row r="50" spans="1:35" ht="16.5" x14ac:dyDescent="0.25">
      <c r="A50" s="6">
        <v>23</v>
      </c>
      <c r="B50" s="11">
        <v>141</v>
      </c>
      <c r="C50" s="100" t="s">
        <v>207</v>
      </c>
      <c r="D50" s="17" t="s">
        <v>208</v>
      </c>
      <c r="E50" s="16" t="s">
        <v>6</v>
      </c>
      <c r="F50" s="119"/>
      <c r="G50" s="126"/>
      <c r="H50" s="97" t="s">
        <v>111</v>
      </c>
      <c r="I50" s="97" t="s">
        <v>111</v>
      </c>
      <c r="J50" s="119"/>
      <c r="K50" s="97" t="s">
        <v>111</v>
      </c>
      <c r="L50" s="97" t="s">
        <v>111</v>
      </c>
      <c r="M50" s="97" t="s">
        <v>798</v>
      </c>
      <c r="N50" s="126"/>
      <c r="O50" s="97" t="s">
        <v>798</v>
      </c>
      <c r="P50" s="97" t="s">
        <v>111</v>
      </c>
      <c r="Q50" s="97" t="s">
        <v>111</v>
      </c>
      <c r="R50" s="97" t="s">
        <v>111</v>
      </c>
      <c r="S50" s="119"/>
      <c r="T50" s="97" t="s">
        <v>798</v>
      </c>
      <c r="U50" s="126"/>
      <c r="V50" s="97" t="s">
        <v>111</v>
      </c>
      <c r="W50" s="97" t="s">
        <v>111</v>
      </c>
      <c r="X50" s="119"/>
      <c r="Y50" s="97" t="s">
        <v>111</v>
      </c>
      <c r="Z50" s="97" t="s">
        <v>111</v>
      </c>
      <c r="AA50" s="97" t="s">
        <v>798</v>
      </c>
      <c r="AB50" s="126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4">
        <f t="shared" si="3"/>
        <v>16</v>
      </c>
      <c r="AI50" s="4">
        <f t="shared" si="4"/>
        <v>4</v>
      </c>
    </row>
    <row r="51" spans="1:35" ht="16.5" x14ac:dyDescent="0.25">
      <c r="A51" s="11">
        <v>24</v>
      </c>
      <c r="B51" s="11">
        <v>140</v>
      </c>
      <c r="C51" s="100" t="s">
        <v>209</v>
      </c>
      <c r="D51" s="17" t="s">
        <v>208</v>
      </c>
      <c r="E51" s="16" t="s">
        <v>6</v>
      </c>
      <c r="F51" s="119"/>
      <c r="G51" s="126"/>
      <c r="H51" s="97" t="s">
        <v>111</v>
      </c>
      <c r="I51" s="97" t="s">
        <v>111</v>
      </c>
      <c r="J51" s="119"/>
      <c r="K51" s="97" t="s">
        <v>111</v>
      </c>
      <c r="L51" s="97" t="s">
        <v>111</v>
      </c>
      <c r="M51" s="97" t="s">
        <v>798</v>
      </c>
      <c r="N51" s="126"/>
      <c r="O51" s="97" t="s">
        <v>798</v>
      </c>
      <c r="P51" s="97" t="s">
        <v>111</v>
      </c>
      <c r="Q51" s="97" t="s">
        <v>111</v>
      </c>
      <c r="R51" s="97" t="s">
        <v>111</v>
      </c>
      <c r="S51" s="119"/>
      <c r="T51" s="97" t="s">
        <v>798</v>
      </c>
      <c r="U51" s="126"/>
      <c r="V51" s="97" t="s">
        <v>111</v>
      </c>
      <c r="W51" s="97" t="s">
        <v>111</v>
      </c>
      <c r="X51" s="119"/>
      <c r="Y51" s="97" t="s">
        <v>111</v>
      </c>
      <c r="Z51" s="97" t="s">
        <v>111</v>
      </c>
      <c r="AA51" s="97" t="s">
        <v>798</v>
      </c>
      <c r="AB51" s="126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4">
        <f t="shared" si="3"/>
        <v>16</v>
      </c>
      <c r="AI51" s="4">
        <f t="shared" si="4"/>
        <v>4</v>
      </c>
    </row>
    <row r="52" spans="1:35" ht="16.5" x14ac:dyDescent="0.25">
      <c r="A52" s="6">
        <v>25</v>
      </c>
      <c r="B52" s="11">
        <v>96</v>
      </c>
      <c r="C52" s="100" t="s">
        <v>210</v>
      </c>
      <c r="D52" s="17" t="s">
        <v>211</v>
      </c>
      <c r="E52" s="16" t="s">
        <v>6</v>
      </c>
      <c r="F52" s="119"/>
      <c r="G52" s="126"/>
      <c r="H52" s="97" t="s">
        <v>111</v>
      </c>
      <c r="I52" s="97" t="s">
        <v>111</v>
      </c>
      <c r="J52" s="119"/>
      <c r="K52" s="97" t="s">
        <v>799</v>
      </c>
      <c r="L52" s="97" t="s">
        <v>799</v>
      </c>
      <c r="M52" s="97" t="s">
        <v>799</v>
      </c>
      <c r="N52" s="126"/>
      <c r="O52" s="97" t="s">
        <v>799</v>
      </c>
      <c r="P52" s="97" t="s">
        <v>799</v>
      </c>
      <c r="Q52" s="97" t="s">
        <v>799</v>
      </c>
      <c r="R52" s="97" t="s">
        <v>799</v>
      </c>
      <c r="S52" s="119"/>
      <c r="T52" s="97" t="s">
        <v>799</v>
      </c>
      <c r="U52" s="126"/>
      <c r="V52" s="97" t="s">
        <v>111</v>
      </c>
      <c r="W52" s="97" t="s">
        <v>111</v>
      </c>
      <c r="X52" s="119"/>
      <c r="Y52" s="97" t="s">
        <v>111</v>
      </c>
      <c r="Z52" s="97" t="s">
        <v>111</v>
      </c>
      <c r="AA52" s="97" t="s">
        <v>111</v>
      </c>
      <c r="AB52" s="126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4">
        <f t="shared" si="3"/>
        <v>12</v>
      </c>
      <c r="AI52" s="4">
        <f t="shared" si="4"/>
        <v>0</v>
      </c>
    </row>
    <row r="53" spans="1:35" ht="16.5" x14ac:dyDescent="0.25">
      <c r="A53" s="11">
        <v>26</v>
      </c>
      <c r="B53" s="11">
        <v>190</v>
      </c>
      <c r="C53" s="100" t="s">
        <v>212</v>
      </c>
      <c r="D53" s="17" t="s">
        <v>135</v>
      </c>
      <c r="E53" s="16" t="s">
        <v>6</v>
      </c>
      <c r="F53" s="119"/>
      <c r="G53" s="126"/>
      <c r="H53" s="97" t="s">
        <v>111</v>
      </c>
      <c r="I53" s="97" t="s">
        <v>111</v>
      </c>
      <c r="J53" s="119"/>
      <c r="K53" s="97" t="s">
        <v>111</v>
      </c>
      <c r="L53" s="97" t="s">
        <v>798</v>
      </c>
      <c r="M53" s="97" t="s">
        <v>111</v>
      </c>
      <c r="N53" s="126"/>
      <c r="O53" s="97" t="s">
        <v>111</v>
      </c>
      <c r="P53" s="97" t="s">
        <v>798</v>
      </c>
      <c r="Q53" s="97" t="s">
        <v>798</v>
      </c>
      <c r="R53" s="97" t="s">
        <v>798</v>
      </c>
      <c r="S53" s="119"/>
      <c r="T53" s="97" t="s">
        <v>111</v>
      </c>
      <c r="U53" s="126"/>
      <c r="V53" s="97" t="s">
        <v>798</v>
      </c>
      <c r="W53" s="97" t="s">
        <v>111</v>
      </c>
      <c r="X53" s="119"/>
      <c r="Y53" s="97" t="s">
        <v>111</v>
      </c>
      <c r="Z53" s="97" t="s">
        <v>798</v>
      </c>
      <c r="AA53" s="97" t="s">
        <v>111</v>
      </c>
      <c r="AB53" s="126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4">
        <f t="shared" si="3"/>
        <v>14</v>
      </c>
      <c r="AI53" s="4">
        <f t="shared" si="4"/>
        <v>6</v>
      </c>
    </row>
    <row r="54" spans="1:35" ht="16.5" x14ac:dyDescent="0.25">
      <c r="A54" s="6">
        <v>27</v>
      </c>
      <c r="B54" s="11">
        <v>192</v>
      </c>
      <c r="C54" s="100" t="s">
        <v>213</v>
      </c>
      <c r="D54" s="17" t="s">
        <v>214</v>
      </c>
      <c r="E54" s="16" t="s">
        <v>6</v>
      </c>
      <c r="F54" s="119"/>
      <c r="G54" s="126"/>
      <c r="H54" s="97" t="s">
        <v>111</v>
      </c>
      <c r="I54" s="97" t="s">
        <v>111</v>
      </c>
      <c r="J54" s="119"/>
      <c r="K54" s="97" t="s">
        <v>111</v>
      </c>
      <c r="L54" s="97" t="s">
        <v>111</v>
      </c>
      <c r="M54" s="97" t="s">
        <v>798</v>
      </c>
      <c r="N54" s="126"/>
      <c r="O54" s="97" t="s">
        <v>111</v>
      </c>
      <c r="P54" s="97" t="s">
        <v>111</v>
      </c>
      <c r="Q54" s="97" t="s">
        <v>111</v>
      </c>
      <c r="R54" s="97" t="s">
        <v>111</v>
      </c>
      <c r="S54" s="119"/>
      <c r="T54" s="97" t="s">
        <v>111</v>
      </c>
      <c r="U54" s="126"/>
      <c r="V54" s="97" t="s">
        <v>111</v>
      </c>
      <c r="W54" s="97" t="s">
        <v>111</v>
      </c>
      <c r="X54" s="119"/>
      <c r="Y54" s="97" t="s">
        <v>111</v>
      </c>
      <c r="Z54" s="97" t="s">
        <v>111</v>
      </c>
      <c r="AA54" s="97" t="s">
        <v>111</v>
      </c>
      <c r="AB54" s="126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4">
        <f t="shared" si="3"/>
        <v>19</v>
      </c>
      <c r="AI54" s="4">
        <f t="shared" si="4"/>
        <v>1</v>
      </c>
    </row>
    <row r="55" spans="1:35" ht="16.5" x14ac:dyDescent="0.25">
      <c r="A55" s="11">
        <v>28</v>
      </c>
      <c r="B55" s="11">
        <v>193</v>
      </c>
      <c r="C55" s="100" t="s">
        <v>215</v>
      </c>
      <c r="D55" s="17" t="s">
        <v>216</v>
      </c>
      <c r="E55" s="16" t="s">
        <v>6</v>
      </c>
      <c r="F55" s="119"/>
      <c r="G55" s="126"/>
      <c r="H55" s="97" t="s">
        <v>111</v>
      </c>
      <c r="I55" s="97" t="s">
        <v>111</v>
      </c>
      <c r="J55" s="119"/>
      <c r="K55" s="97" t="s">
        <v>111</v>
      </c>
      <c r="L55" s="97" t="s">
        <v>111</v>
      </c>
      <c r="M55" s="97" t="s">
        <v>111</v>
      </c>
      <c r="N55" s="126"/>
      <c r="O55" s="97" t="s">
        <v>111</v>
      </c>
      <c r="P55" s="97" t="s">
        <v>111</v>
      </c>
      <c r="Q55" s="97" t="s">
        <v>111</v>
      </c>
      <c r="R55" s="97" t="s">
        <v>111</v>
      </c>
      <c r="S55" s="119"/>
      <c r="T55" s="97" t="s">
        <v>111</v>
      </c>
      <c r="U55" s="126"/>
      <c r="V55" s="97" t="s">
        <v>111</v>
      </c>
      <c r="W55" s="97" t="s">
        <v>111</v>
      </c>
      <c r="X55" s="119"/>
      <c r="Y55" s="97" t="s">
        <v>111</v>
      </c>
      <c r="Z55" s="97" t="s">
        <v>111</v>
      </c>
      <c r="AA55" s="97" t="s">
        <v>798</v>
      </c>
      <c r="AB55" s="126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4">
        <f t="shared" si="3"/>
        <v>19</v>
      </c>
      <c r="AI55" s="4">
        <f t="shared" si="4"/>
        <v>1</v>
      </c>
    </row>
    <row r="56" spans="1:35" ht="16.5" x14ac:dyDescent="0.25">
      <c r="A56" s="6">
        <v>29</v>
      </c>
      <c r="B56" s="11">
        <v>72</v>
      </c>
      <c r="C56" s="100" t="s">
        <v>217</v>
      </c>
      <c r="D56" s="17" t="s">
        <v>218</v>
      </c>
      <c r="E56" s="16" t="s">
        <v>6</v>
      </c>
      <c r="F56" s="119"/>
      <c r="G56" s="126"/>
      <c r="H56" s="97" t="s">
        <v>111</v>
      </c>
      <c r="I56" s="97" t="s">
        <v>111</v>
      </c>
      <c r="J56" s="119"/>
      <c r="K56" s="97" t="s">
        <v>111</v>
      </c>
      <c r="L56" s="97" t="s">
        <v>111</v>
      </c>
      <c r="M56" s="97" t="s">
        <v>111</v>
      </c>
      <c r="N56" s="126"/>
      <c r="O56" s="97" t="s">
        <v>111</v>
      </c>
      <c r="P56" s="97" t="s">
        <v>111</v>
      </c>
      <c r="Q56" s="97" t="s">
        <v>111</v>
      </c>
      <c r="R56" s="97" t="s">
        <v>111</v>
      </c>
      <c r="S56" s="119"/>
      <c r="T56" s="97" t="s">
        <v>111</v>
      </c>
      <c r="U56" s="126"/>
      <c r="V56" s="97" t="s">
        <v>111</v>
      </c>
      <c r="W56" s="97" t="s">
        <v>111</v>
      </c>
      <c r="X56" s="119"/>
      <c r="Y56" s="97" t="s">
        <v>111</v>
      </c>
      <c r="Z56" s="97" t="s">
        <v>798</v>
      </c>
      <c r="AA56" s="97" t="s">
        <v>111</v>
      </c>
      <c r="AB56" s="126"/>
      <c r="AC56" s="97" t="s">
        <v>798</v>
      </c>
      <c r="AD56" s="97" t="s">
        <v>798</v>
      </c>
      <c r="AE56" s="97" t="s">
        <v>798</v>
      </c>
      <c r="AF56" s="97" t="s">
        <v>111</v>
      </c>
      <c r="AG56" s="97" t="s">
        <v>111</v>
      </c>
      <c r="AH56" s="4">
        <f t="shared" si="3"/>
        <v>16</v>
      </c>
      <c r="AI56" s="4">
        <f t="shared" si="4"/>
        <v>4</v>
      </c>
    </row>
    <row r="57" spans="1:35" ht="16.5" x14ac:dyDescent="0.25">
      <c r="A57" s="11">
        <v>30</v>
      </c>
      <c r="B57" s="11">
        <v>92</v>
      </c>
      <c r="C57" s="101" t="s">
        <v>219</v>
      </c>
      <c r="D57" s="11" t="s">
        <v>220</v>
      </c>
      <c r="E57" s="16" t="s">
        <v>6</v>
      </c>
      <c r="F57" s="119"/>
      <c r="G57" s="126"/>
      <c r="H57" s="97" t="s">
        <v>111</v>
      </c>
      <c r="I57" s="97" t="s">
        <v>798</v>
      </c>
      <c r="J57" s="119"/>
      <c r="K57" s="97" t="s">
        <v>111</v>
      </c>
      <c r="L57" s="97" t="s">
        <v>798</v>
      </c>
      <c r="M57" s="97" t="s">
        <v>111</v>
      </c>
      <c r="N57" s="126"/>
      <c r="O57" s="97" t="s">
        <v>111</v>
      </c>
      <c r="P57" s="97" t="s">
        <v>111</v>
      </c>
      <c r="Q57" s="97" t="s">
        <v>111</v>
      </c>
      <c r="R57" s="97" t="s">
        <v>111</v>
      </c>
      <c r="S57" s="119"/>
      <c r="T57" s="97" t="s">
        <v>111</v>
      </c>
      <c r="U57" s="126"/>
      <c r="V57" s="97" t="s">
        <v>111</v>
      </c>
      <c r="W57" s="97" t="s">
        <v>111</v>
      </c>
      <c r="X57" s="119"/>
      <c r="Y57" s="97" t="s">
        <v>111</v>
      </c>
      <c r="Z57" s="97" t="s">
        <v>111</v>
      </c>
      <c r="AA57" s="97" t="s">
        <v>111</v>
      </c>
      <c r="AB57" s="126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4">
        <f t="shared" si="3"/>
        <v>18</v>
      </c>
      <c r="AI57" s="4">
        <f t="shared" si="4"/>
        <v>2</v>
      </c>
    </row>
    <row r="58" spans="1:35" ht="16.5" x14ac:dyDescent="0.25">
      <c r="A58" s="6">
        <v>31</v>
      </c>
      <c r="B58" s="11">
        <v>191</v>
      </c>
      <c r="C58" s="101" t="s">
        <v>221</v>
      </c>
      <c r="D58" s="11" t="s">
        <v>222</v>
      </c>
      <c r="E58" s="16" t="s">
        <v>6</v>
      </c>
      <c r="F58" s="119"/>
      <c r="G58" s="126"/>
      <c r="H58" s="97" t="s">
        <v>111</v>
      </c>
      <c r="I58" s="97" t="s">
        <v>111</v>
      </c>
      <c r="J58" s="119"/>
      <c r="K58" s="97" t="s">
        <v>111</v>
      </c>
      <c r="L58" s="97" t="s">
        <v>111</v>
      </c>
      <c r="M58" s="97" t="s">
        <v>111</v>
      </c>
      <c r="N58" s="126"/>
      <c r="O58" s="97" t="s">
        <v>111</v>
      </c>
      <c r="P58" s="97" t="s">
        <v>111</v>
      </c>
      <c r="Q58" s="97" t="s">
        <v>111</v>
      </c>
      <c r="R58" s="97" t="s">
        <v>111</v>
      </c>
      <c r="S58" s="119"/>
      <c r="T58" s="97" t="s">
        <v>111</v>
      </c>
      <c r="U58" s="126"/>
      <c r="V58" s="97" t="s">
        <v>111</v>
      </c>
      <c r="W58" s="97" t="s">
        <v>798</v>
      </c>
      <c r="X58" s="119"/>
      <c r="Y58" s="97" t="s">
        <v>798</v>
      </c>
      <c r="Z58" s="97" t="s">
        <v>798</v>
      </c>
      <c r="AA58" s="97" t="s">
        <v>798</v>
      </c>
      <c r="AB58" s="126"/>
      <c r="AC58" s="97" t="s">
        <v>798</v>
      </c>
      <c r="AD58" s="97" t="s">
        <v>798</v>
      </c>
      <c r="AE58" s="97" t="s">
        <v>798</v>
      </c>
      <c r="AF58" s="97" t="s">
        <v>798</v>
      </c>
      <c r="AG58" s="97" t="s">
        <v>798</v>
      </c>
      <c r="AH58" s="4">
        <f t="shared" si="3"/>
        <v>11</v>
      </c>
      <c r="AI58" s="4">
        <f t="shared" si="4"/>
        <v>9</v>
      </c>
    </row>
    <row r="59" spans="1:35" ht="16.5" x14ac:dyDescent="0.25">
      <c r="A59" s="6">
        <v>32</v>
      </c>
      <c r="B59" s="11">
        <v>97</v>
      </c>
      <c r="C59" s="101" t="s">
        <v>265</v>
      </c>
      <c r="D59" s="11" t="s">
        <v>791</v>
      </c>
      <c r="E59" s="16" t="s">
        <v>6</v>
      </c>
      <c r="F59" s="127"/>
      <c r="G59" s="126"/>
      <c r="H59" s="97" t="s">
        <v>111</v>
      </c>
      <c r="I59" s="97" t="s">
        <v>111</v>
      </c>
      <c r="J59" s="127"/>
      <c r="K59" s="97" t="s">
        <v>111</v>
      </c>
      <c r="L59" s="97" t="s">
        <v>111</v>
      </c>
      <c r="M59" s="97" t="s">
        <v>798</v>
      </c>
      <c r="N59" s="126"/>
      <c r="O59" s="97" t="s">
        <v>111</v>
      </c>
      <c r="P59" s="97" t="s">
        <v>111</v>
      </c>
      <c r="Q59" s="97" t="s">
        <v>111</v>
      </c>
      <c r="R59" s="97" t="s">
        <v>111</v>
      </c>
      <c r="S59" s="127"/>
      <c r="T59" s="97" t="s">
        <v>798</v>
      </c>
      <c r="U59" s="126"/>
      <c r="V59" s="97" t="s">
        <v>111</v>
      </c>
      <c r="W59" s="97" t="s">
        <v>111</v>
      </c>
      <c r="X59" s="127"/>
      <c r="Y59" s="97" t="s">
        <v>111</v>
      </c>
      <c r="Z59" s="97" t="s">
        <v>111</v>
      </c>
      <c r="AA59" s="97" t="s">
        <v>111</v>
      </c>
      <c r="AB59" s="126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4">
        <f t="shared" si="3"/>
        <v>18</v>
      </c>
      <c r="AI59" s="4">
        <f t="shared" si="4"/>
        <v>2</v>
      </c>
    </row>
  </sheetData>
  <mergeCells count="20"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  <mergeCell ref="G5:G59"/>
    <mergeCell ref="N5:N59"/>
    <mergeCell ref="U5:U59"/>
    <mergeCell ref="AB5:AB59"/>
    <mergeCell ref="AJ19:AM19"/>
    <mergeCell ref="F5:F59"/>
    <mergeCell ref="J5:J59"/>
    <mergeCell ref="S5:S59"/>
    <mergeCell ref="X5:X59"/>
  </mergeCells>
  <conditionalFormatting sqref="B5:B28">
    <cfRule type="duplicateValues" dxfId="443" priority="186"/>
  </conditionalFormatting>
  <conditionalFormatting sqref="B29:B56">
    <cfRule type="duplicateValues" dxfId="442" priority="348"/>
  </conditionalFormatting>
  <conditionalFormatting sqref="F5">
    <cfRule type="cellIs" dxfId="441" priority="23" operator="equal">
      <formula>"P"</formula>
    </cfRule>
    <cfRule type="expression" dxfId="440" priority="24">
      <formula>IF(F$4=TODAY(),TRUE,FALSE)</formula>
    </cfRule>
    <cfRule type="expression" dxfId="439" priority="25">
      <formula>F$3="Sun"</formula>
    </cfRule>
    <cfRule type="cellIs" dxfId="438" priority="21" operator="equal">
      <formula>"L"</formula>
    </cfRule>
    <cfRule type="cellIs" dxfId="437" priority="22" operator="equal">
      <formula>"A"</formula>
    </cfRule>
  </conditionalFormatting>
  <conditionalFormatting sqref="F3:AG4 G5 H5:I59 K5:M59 O5:R59 T5:T59 V5:W59 Y5:AA59 AC5:AG59">
    <cfRule type="expression" dxfId="436" priority="175">
      <formula>F$4=TODAY()</formula>
    </cfRule>
  </conditionalFormatting>
  <conditionalFormatting sqref="G5 H5:I59 K5:M59 O5:R59 T5:T59 V5:W59 Y5:AA59 AC5:AG59 F3:AG4">
    <cfRule type="expression" dxfId="435" priority="184">
      <formula>F$3="Sun"</formula>
    </cfRule>
  </conditionalFormatting>
  <conditionalFormatting sqref="G5 H5:I59 K5:M59 O5:R59 T5:T59 V5:W59 Y5:AA59 AC5:AG59">
    <cfRule type="cellIs" dxfId="434" priority="178" operator="equal">
      <formula>"P"</formula>
    </cfRule>
    <cfRule type="cellIs" dxfId="433" priority="177" operator="equal">
      <formula>"A"</formula>
    </cfRule>
    <cfRule type="cellIs" dxfId="432" priority="176" operator="equal">
      <formula>"L"</formula>
    </cfRule>
  </conditionalFormatting>
  <conditionalFormatting sqref="J5">
    <cfRule type="cellIs" dxfId="431" priority="13" operator="equal">
      <formula>"P"</formula>
    </cfRule>
    <cfRule type="cellIs" dxfId="430" priority="11" operator="equal">
      <formula>"L"</formula>
    </cfRule>
    <cfRule type="cellIs" dxfId="429" priority="12" operator="equal">
      <formula>"A"</formula>
    </cfRule>
    <cfRule type="expression" dxfId="428" priority="14">
      <formula>IF(J$4=TODAY(),TRUE,FALSE)</formula>
    </cfRule>
    <cfRule type="expression" dxfId="427" priority="15">
      <formula>J$3="Sun"</formula>
    </cfRule>
  </conditionalFormatting>
  <conditionalFormatting sqref="N5">
    <cfRule type="cellIs" dxfId="426" priority="139" operator="equal">
      <formula>"P"</formula>
    </cfRule>
    <cfRule type="expression" dxfId="425" priority="140">
      <formula>N$3="Sun"</formula>
    </cfRule>
    <cfRule type="expression" dxfId="424" priority="136">
      <formula>N$4=TODAY()</formula>
    </cfRule>
    <cfRule type="cellIs" dxfId="423" priority="137" operator="equal">
      <formula>"L"</formula>
    </cfRule>
    <cfRule type="cellIs" dxfId="422" priority="138" operator="equal">
      <formula>"A"</formula>
    </cfRule>
  </conditionalFormatting>
  <conditionalFormatting sqref="S5">
    <cfRule type="cellIs" dxfId="421" priority="6" operator="equal">
      <formula>"L"</formula>
    </cfRule>
    <cfRule type="cellIs" dxfId="420" priority="8" operator="equal">
      <formula>"P"</formula>
    </cfRule>
    <cfRule type="expression" dxfId="419" priority="9">
      <formula>IF(S$4=TODAY(),TRUE,FALSE)</formula>
    </cfRule>
    <cfRule type="cellIs" dxfId="418" priority="7" operator="equal">
      <formula>"A"</formula>
    </cfRule>
    <cfRule type="expression" dxfId="417" priority="10">
      <formula>S$3="Sun"</formula>
    </cfRule>
  </conditionalFormatting>
  <conditionalFormatting sqref="U5">
    <cfRule type="expression" dxfId="416" priority="135">
      <formula>U$3="Sun"</formula>
    </cfRule>
    <cfRule type="expression" dxfId="415" priority="131">
      <formula>U$4=TODAY()</formula>
    </cfRule>
    <cfRule type="cellIs" dxfId="414" priority="132" operator="equal">
      <formula>"L"</formula>
    </cfRule>
    <cfRule type="cellIs" dxfId="413" priority="133" operator="equal">
      <formula>"A"</formula>
    </cfRule>
    <cfRule type="cellIs" dxfId="412" priority="134" operator="equal">
      <formula>"P"</formula>
    </cfRule>
  </conditionalFormatting>
  <conditionalFormatting sqref="X5">
    <cfRule type="cellIs" dxfId="411" priority="2" operator="equal">
      <formula>"A"</formula>
    </cfRule>
    <cfRule type="cellIs" dxfId="410" priority="3" operator="equal">
      <formula>"P"</formula>
    </cfRule>
    <cfRule type="expression" dxfId="409" priority="4">
      <formula>IF(X$4=TODAY(),TRUE,FALSE)</formula>
    </cfRule>
    <cfRule type="expression" dxfId="408" priority="5">
      <formula>X$3="Sun"</formula>
    </cfRule>
    <cfRule type="cellIs" dxfId="407" priority="1" operator="equal">
      <formula>"L"</formula>
    </cfRule>
  </conditionalFormatting>
  <conditionalFormatting sqref="AB5">
    <cfRule type="expression" dxfId="406" priority="130">
      <formula>AB$3="Sun"</formula>
    </cfRule>
    <cfRule type="cellIs" dxfId="405" priority="129" operator="equal">
      <formula>"P"</formula>
    </cfRule>
    <cfRule type="cellIs" dxfId="404" priority="128" operator="equal">
      <formula>"A"</formula>
    </cfRule>
    <cfRule type="cellIs" dxfId="403" priority="127" operator="equal">
      <formula>"L"</formula>
    </cfRule>
    <cfRule type="expression" dxfId="402" priority="126">
      <formula>AB$4=TODAY()</formula>
    </cfRule>
  </conditionalFormatting>
  <conditionalFormatting sqref="AH3:AI3 AH5:AI59">
    <cfRule type="expression" dxfId="401" priority="185">
      <formula>#REF!="Sun"</formula>
    </cfRule>
  </conditionalFormatting>
  <conditionalFormatting sqref="AJ5:AJ9">
    <cfRule type="expression" dxfId="400" priority="144">
      <formula>AJ$3="Sun"</formula>
    </cfRule>
  </conditionalFormatting>
  <conditionalFormatting sqref="AJ12:AJ15">
    <cfRule type="expression" dxfId="399" priority="142">
      <formula>AJ$3="Sun"</formula>
    </cfRule>
  </conditionalFormatting>
  <conditionalFormatting sqref="AJ20:AJ23">
    <cfRule type="expression" dxfId="398" priority="141">
      <formula>AJ$3="Sun"</formula>
    </cfRule>
  </conditionalFormatting>
  <conditionalFormatting sqref="AJ4:AK4">
    <cfRule type="expression" dxfId="397" priority="145">
      <formula>AJ$3="Sun"</formula>
    </cfRule>
  </conditionalFormatting>
  <conditionalFormatting sqref="AK12:AM12 AK20:AM20">
    <cfRule type="expression" dxfId="396" priority="146">
      <formula>AK$3="Sun"</formula>
    </cfRule>
  </conditionalFormatting>
  <conditionalFormatting sqref="AM21">
    <cfRule type="expression" dxfId="395" priority="143">
      <formula>AM$3="Sun"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59"/>
  <sheetViews>
    <sheetView topLeftCell="E1" workbookViewId="0">
      <selection activeCell="B60" sqref="B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25">
      <c r="A2" s="112" t="s">
        <v>795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4" t="s">
        <v>4</v>
      </c>
      <c r="AI3" s="114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5"/>
      <c r="AI4" s="115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815</v>
      </c>
      <c r="C5" s="7" t="s">
        <v>223</v>
      </c>
      <c r="D5" s="7" t="s">
        <v>224</v>
      </c>
      <c r="E5" s="8" t="s">
        <v>225</v>
      </c>
      <c r="F5" s="118" t="s">
        <v>803</v>
      </c>
      <c r="G5" s="123" t="s">
        <v>226</v>
      </c>
      <c r="H5" s="97" t="s">
        <v>111</v>
      </c>
      <c r="I5" s="97" t="s">
        <v>111</v>
      </c>
      <c r="J5" s="118" t="s">
        <v>804</v>
      </c>
      <c r="K5" s="97" t="s">
        <v>111</v>
      </c>
      <c r="L5" s="97" t="s">
        <v>111</v>
      </c>
      <c r="M5" s="97" t="s">
        <v>111</v>
      </c>
      <c r="N5" s="123" t="s">
        <v>226</v>
      </c>
      <c r="O5" s="97" t="s">
        <v>111</v>
      </c>
      <c r="P5" s="97" t="s">
        <v>798</v>
      </c>
      <c r="Q5" s="97" t="s">
        <v>111</v>
      </c>
      <c r="R5" s="97" t="s">
        <v>111</v>
      </c>
      <c r="S5" s="118" t="s">
        <v>805</v>
      </c>
      <c r="T5" s="97" t="s">
        <v>111</v>
      </c>
      <c r="U5" s="123" t="s">
        <v>226</v>
      </c>
      <c r="V5" s="97" t="s">
        <v>111</v>
      </c>
      <c r="W5" s="97" t="s">
        <v>111</v>
      </c>
      <c r="X5" s="118" t="s">
        <v>806</v>
      </c>
      <c r="Y5" s="97" t="s">
        <v>111</v>
      </c>
      <c r="Z5" s="97" t="s">
        <v>111</v>
      </c>
      <c r="AA5" s="97" t="s">
        <v>111</v>
      </c>
      <c r="AB5" s="123" t="s">
        <v>226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5" si="1">COUNTIF(F5:AG5,"P")</f>
        <v>19</v>
      </c>
      <c r="AI5" s="5">
        <f t="shared" ref="AI5:AI35" si="2">COUNTIF(F5:AG5,"A")</f>
        <v>1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819</v>
      </c>
      <c r="C6" s="7" t="s">
        <v>127</v>
      </c>
      <c r="D6" s="7" t="s">
        <v>228</v>
      </c>
      <c r="E6" s="8" t="s">
        <v>225</v>
      </c>
      <c r="F6" s="119"/>
      <c r="G6" s="124"/>
      <c r="H6" s="97" t="s">
        <v>111</v>
      </c>
      <c r="I6" s="97" t="s">
        <v>798</v>
      </c>
      <c r="J6" s="119"/>
      <c r="K6" s="97" t="s">
        <v>798</v>
      </c>
      <c r="L6" s="97" t="s">
        <v>798</v>
      </c>
      <c r="M6" s="97" t="s">
        <v>798</v>
      </c>
      <c r="N6" s="124"/>
      <c r="O6" s="97" t="s">
        <v>111</v>
      </c>
      <c r="P6" s="97" t="s">
        <v>111</v>
      </c>
      <c r="Q6" s="97" t="s">
        <v>111</v>
      </c>
      <c r="R6" s="97" t="s">
        <v>111</v>
      </c>
      <c r="S6" s="119"/>
      <c r="T6" s="97" t="s">
        <v>111</v>
      </c>
      <c r="U6" s="124"/>
      <c r="V6" s="97" t="s">
        <v>111</v>
      </c>
      <c r="W6" s="97" t="s">
        <v>798</v>
      </c>
      <c r="X6" s="119"/>
      <c r="Y6" s="97" t="s">
        <v>798</v>
      </c>
      <c r="Z6" s="97" t="s">
        <v>798</v>
      </c>
      <c r="AA6" s="97" t="s">
        <v>799</v>
      </c>
      <c r="AB6" s="124"/>
      <c r="AC6" s="97" t="s">
        <v>799</v>
      </c>
      <c r="AD6" s="97" t="s">
        <v>799</v>
      </c>
      <c r="AE6" s="97" t="s">
        <v>799</v>
      </c>
      <c r="AF6" s="97" t="s">
        <v>111</v>
      </c>
      <c r="AG6" s="97" t="s">
        <v>111</v>
      </c>
      <c r="AH6" s="5">
        <f t="shared" si="1"/>
        <v>9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812</v>
      </c>
      <c r="C7" s="7" t="s">
        <v>229</v>
      </c>
      <c r="D7" s="7" t="s">
        <v>230</v>
      </c>
      <c r="E7" s="8" t="s">
        <v>225</v>
      </c>
      <c r="F7" s="119"/>
      <c r="G7" s="124"/>
      <c r="H7" s="97" t="s">
        <v>111</v>
      </c>
      <c r="I7" s="97" t="s">
        <v>111</v>
      </c>
      <c r="J7" s="119"/>
      <c r="K7" s="97" t="s">
        <v>111</v>
      </c>
      <c r="L7" s="97" t="s">
        <v>111</v>
      </c>
      <c r="M7" s="97" t="s">
        <v>798</v>
      </c>
      <c r="N7" s="124"/>
      <c r="O7" s="97" t="s">
        <v>798</v>
      </c>
      <c r="P7" s="97" t="s">
        <v>798</v>
      </c>
      <c r="Q7" s="97" t="s">
        <v>111</v>
      </c>
      <c r="R7" s="97" t="s">
        <v>111</v>
      </c>
      <c r="S7" s="119"/>
      <c r="T7" s="97" t="s">
        <v>111</v>
      </c>
      <c r="U7" s="124"/>
      <c r="V7" s="97" t="s">
        <v>111</v>
      </c>
      <c r="W7" s="97" t="s">
        <v>798</v>
      </c>
      <c r="X7" s="119"/>
      <c r="Y7" s="97" t="s">
        <v>111</v>
      </c>
      <c r="Z7" s="97" t="s">
        <v>111</v>
      </c>
      <c r="AA7" s="97" t="s">
        <v>111</v>
      </c>
      <c r="AB7" s="124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801</v>
      </c>
      <c r="C8" s="7" t="s">
        <v>231</v>
      </c>
      <c r="D8" s="7" t="s">
        <v>232</v>
      </c>
      <c r="E8" s="8" t="s">
        <v>225</v>
      </c>
      <c r="F8" s="119"/>
      <c r="G8" s="124"/>
      <c r="H8" s="97" t="s">
        <v>111</v>
      </c>
      <c r="I8" s="97" t="s">
        <v>111</v>
      </c>
      <c r="J8" s="119"/>
      <c r="K8" s="97" t="s">
        <v>111</v>
      </c>
      <c r="L8" s="97" t="s">
        <v>111</v>
      </c>
      <c r="M8" s="97" t="s">
        <v>798</v>
      </c>
      <c r="N8" s="124"/>
      <c r="O8" s="97" t="s">
        <v>799</v>
      </c>
      <c r="P8" s="97" t="s">
        <v>111</v>
      </c>
      <c r="Q8" s="97" t="s">
        <v>111</v>
      </c>
      <c r="R8" s="97" t="s">
        <v>111</v>
      </c>
      <c r="S8" s="119"/>
      <c r="T8" s="97" t="s">
        <v>111</v>
      </c>
      <c r="U8" s="124"/>
      <c r="V8" s="97" t="s">
        <v>111</v>
      </c>
      <c r="W8" s="97" t="s">
        <v>111</v>
      </c>
      <c r="X8" s="119"/>
      <c r="Y8" s="97" t="s">
        <v>111</v>
      </c>
      <c r="Z8" s="97" t="s">
        <v>111</v>
      </c>
      <c r="AA8" s="97" t="s">
        <v>111</v>
      </c>
      <c r="AB8" s="124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1</v>
      </c>
      <c r="AJ8" s="5"/>
      <c r="AK8" s="9"/>
      <c r="AL8"/>
      <c r="AM8"/>
    </row>
    <row r="9" spans="1:39" ht="16.5" x14ac:dyDescent="0.25">
      <c r="A9" s="9">
        <v>5</v>
      </c>
      <c r="B9" s="11">
        <v>828</v>
      </c>
      <c r="C9" s="7" t="s">
        <v>233</v>
      </c>
      <c r="D9" s="7" t="s">
        <v>228</v>
      </c>
      <c r="E9" s="8" t="s">
        <v>225</v>
      </c>
      <c r="F9" s="119"/>
      <c r="G9" s="124"/>
      <c r="H9" s="97" t="s">
        <v>111</v>
      </c>
      <c r="I9" s="97" t="s">
        <v>111</v>
      </c>
      <c r="J9" s="119"/>
      <c r="K9" s="97" t="s">
        <v>798</v>
      </c>
      <c r="L9" s="97" t="s">
        <v>111</v>
      </c>
      <c r="M9" s="97" t="s">
        <v>798</v>
      </c>
      <c r="N9" s="124"/>
      <c r="O9" s="97" t="s">
        <v>111</v>
      </c>
      <c r="P9" s="97" t="s">
        <v>798</v>
      </c>
      <c r="Q9" s="97" t="s">
        <v>111</v>
      </c>
      <c r="R9" s="97" t="s">
        <v>111</v>
      </c>
      <c r="S9" s="119"/>
      <c r="T9" s="97" t="s">
        <v>111</v>
      </c>
      <c r="U9" s="124"/>
      <c r="V9" s="97" t="s">
        <v>798</v>
      </c>
      <c r="W9" s="97" t="s">
        <v>798</v>
      </c>
      <c r="X9" s="119"/>
      <c r="Y9" s="97" t="s">
        <v>798</v>
      </c>
      <c r="Z9" s="97" t="s">
        <v>798</v>
      </c>
      <c r="AA9" s="97" t="s">
        <v>111</v>
      </c>
      <c r="AB9" s="124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13</v>
      </c>
      <c r="AI9" s="5">
        <f t="shared" si="2"/>
        <v>7</v>
      </c>
      <c r="AJ9" s="5"/>
      <c r="AK9" s="9"/>
    </row>
    <row r="10" spans="1:39" ht="16.5" x14ac:dyDescent="0.25">
      <c r="A10" s="9">
        <v>6</v>
      </c>
      <c r="B10" s="11">
        <v>829</v>
      </c>
      <c r="C10" s="7" t="s">
        <v>234</v>
      </c>
      <c r="D10" s="7" t="s">
        <v>235</v>
      </c>
      <c r="E10" s="8" t="s">
        <v>225</v>
      </c>
      <c r="F10" s="119"/>
      <c r="G10" s="124"/>
      <c r="H10" s="97" t="s">
        <v>798</v>
      </c>
      <c r="I10" s="97" t="s">
        <v>798</v>
      </c>
      <c r="J10" s="119"/>
      <c r="K10" s="97" t="s">
        <v>798</v>
      </c>
      <c r="L10" s="97" t="s">
        <v>798</v>
      </c>
      <c r="M10" s="97" t="s">
        <v>798</v>
      </c>
      <c r="N10" s="124"/>
      <c r="O10" s="97" t="s">
        <v>111</v>
      </c>
      <c r="P10" s="97" t="s">
        <v>111</v>
      </c>
      <c r="Q10" s="97" t="s">
        <v>111</v>
      </c>
      <c r="R10" s="97" t="s">
        <v>111</v>
      </c>
      <c r="S10" s="119"/>
      <c r="T10" s="97" t="s">
        <v>111</v>
      </c>
      <c r="U10" s="124"/>
      <c r="V10" s="97" t="s">
        <v>111</v>
      </c>
      <c r="W10" s="97" t="s">
        <v>111</v>
      </c>
      <c r="X10" s="119"/>
      <c r="Y10" s="97" t="s">
        <v>111</v>
      </c>
      <c r="Z10" s="97" t="s">
        <v>111</v>
      </c>
      <c r="AA10" s="97" t="s">
        <v>798</v>
      </c>
      <c r="AB10" s="124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14</v>
      </c>
      <c r="AI10" s="5">
        <f t="shared" si="2"/>
        <v>6</v>
      </c>
    </row>
    <row r="11" spans="1:39" ht="16.5" x14ac:dyDescent="0.25">
      <c r="A11" s="9">
        <v>7</v>
      </c>
      <c r="B11" s="11">
        <v>814</v>
      </c>
      <c r="C11" s="7" t="s">
        <v>236</v>
      </c>
      <c r="D11" s="7" t="s">
        <v>237</v>
      </c>
      <c r="E11" s="8" t="s">
        <v>225</v>
      </c>
      <c r="F11" s="119"/>
      <c r="G11" s="124"/>
      <c r="H11" s="97" t="s">
        <v>799</v>
      </c>
      <c r="I11" s="97" t="s">
        <v>111</v>
      </c>
      <c r="J11" s="119"/>
      <c r="K11" s="97" t="s">
        <v>111</v>
      </c>
      <c r="L11" s="97" t="s">
        <v>111</v>
      </c>
      <c r="M11" s="97" t="s">
        <v>111</v>
      </c>
      <c r="N11" s="124"/>
      <c r="O11" s="97" t="s">
        <v>111</v>
      </c>
      <c r="P11" s="97" t="s">
        <v>111</v>
      </c>
      <c r="Q11" s="97" t="s">
        <v>111</v>
      </c>
      <c r="R11" s="97" t="s">
        <v>111</v>
      </c>
      <c r="S11" s="119"/>
      <c r="T11" s="97" t="s">
        <v>111</v>
      </c>
      <c r="U11" s="124"/>
      <c r="V11" s="97" t="s">
        <v>111</v>
      </c>
      <c r="W11" s="97" t="s">
        <v>111</v>
      </c>
      <c r="X11" s="119"/>
      <c r="Y11" s="97" t="s">
        <v>111</v>
      </c>
      <c r="Z11" s="97" t="s">
        <v>111</v>
      </c>
      <c r="AA11" s="97" t="s">
        <v>799</v>
      </c>
      <c r="AB11" s="124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18</v>
      </c>
      <c r="AI11" s="5">
        <f t="shared" si="2"/>
        <v>0</v>
      </c>
      <c r="AJ11" s="120" t="s">
        <v>9</v>
      </c>
      <c r="AK11" s="121"/>
      <c r="AL11" s="121"/>
      <c r="AM11" s="122"/>
    </row>
    <row r="12" spans="1:39" ht="16.5" x14ac:dyDescent="0.25">
      <c r="A12" s="9">
        <v>8</v>
      </c>
      <c r="B12" s="11">
        <v>817</v>
      </c>
      <c r="C12" s="7" t="s">
        <v>238</v>
      </c>
      <c r="D12" s="7" t="s">
        <v>239</v>
      </c>
      <c r="E12" s="8" t="s">
        <v>225</v>
      </c>
      <c r="F12" s="119"/>
      <c r="G12" s="124"/>
      <c r="H12" s="97" t="s">
        <v>111</v>
      </c>
      <c r="I12" s="97" t="s">
        <v>111</v>
      </c>
      <c r="J12" s="119"/>
      <c r="K12" s="97" t="s">
        <v>111</v>
      </c>
      <c r="L12" s="97" t="s">
        <v>111</v>
      </c>
      <c r="M12" s="97" t="s">
        <v>111</v>
      </c>
      <c r="N12" s="124"/>
      <c r="O12" s="97" t="s">
        <v>111</v>
      </c>
      <c r="P12" s="97" t="s">
        <v>111</v>
      </c>
      <c r="Q12" s="97" t="s">
        <v>111</v>
      </c>
      <c r="R12" s="97" t="s">
        <v>111</v>
      </c>
      <c r="S12" s="119"/>
      <c r="T12" s="97" t="s">
        <v>111</v>
      </c>
      <c r="U12" s="124"/>
      <c r="V12" s="97" t="s">
        <v>111</v>
      </c>
      <c r="W12" s="97" t="s">
        <v>111</v>
      </c>
      <c r="X12" s="119"/>
      <c r="Y12" s="97" t="s">
        <v>111</v>
      </c>
      <c r="Z12" s="97" t="s">
        <v>111</v>
      </c>
      <c r="AA12" s="97" t="s">
        <v>111</v>
      </c>
      <c r="AB12" s="124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807</v>
      </c>
      <c r="C13" s="7" t="s">
        <v>240</v>
      </c>
      <c r="D13" s="7" t="s">
        <v>241</v>
      </c>
      <c r="E13" s="8" t="s">
        <v>225</v>
      </c>
      <c r="F13" s="119"/>
      <c r="G13" s="124"/>
      <c r="H13" s="97" t="s">
        <v>111</v>
      </c>
      <c r="I13" s="97" t="s">
        <v>111</v>
      </c>
      <c r="J13" s="119"/>
      <c r="K13" s="97" t="s">
        <v>111</v>
      </c>
      <c r="L13" s="97" t="s">
        <v>111</v>
      </c>
      <c r="M13" s="97" t="s">
        <v>111</v>
      </c>
      <c r="N13" s="124"/>
      <c r="O13" s="97" t="s">
        <v>798</v>
      </c>
      <c r="P13" s="97" t="s">
        <v>798</v>
      </c>
      <c r="Q13" s="97" t="s">
        <v>798</v>
      </c>
      <c r="R13" s="97" t="s">
        <v>798</v>
      </c>
      <c r="S13" s="119"/>
      <c r="T13" s="97" t="s">
        <v>798</v>
      </c>
      <c r="U13" s="124"/>
      <c r="V13" s="97" t="s">
        <v>798</v>
      </c>
      <c r="W13" s="97" t="s">
        <v>798</v>
      </c>
      <c r="X13" s="119"/>
      <c r="Y13" s="97" t="s">
        <v>111</v>
      </c>
      <c r="Z13" s="97" t="s">
        <v>111</v>
      </c>
      <c r="AA13" s="97" t="s">
        <v>111</v>
      </c>
      <c r="AB13" s="124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13</v>
      </c>
      <c r="AI13" s="5">
        <f t="shared" si="2"/>
        <v>7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>
        <v>827</v>
      </c>
      <c r="C14" s="7" t="s">
        <v>242</v>
      </c>
      <c r="D14" s="7" t="s">
        <v>89</v>
      </c>
      <c r="E14" s="8" t="s">
        <v>225</v>
      </c>
      <c r="F14" s="119"/>
      <c r="G14" s="124"/>
      <c r="H14" s="97" t="s">
        <v>111</v>
      </c>
      <c r="I14" s="97" t="s">
        <v>111</v>
      </c>
      <c r="J14" s="119"/>
      <c r="K14" s="97" t="s">
        <v>111</v>
      </c>
      <c r="L14" s="97" t="s">
        <v>111</v>
      </c>
      <c r="M14" s="97" t="s">
        <v>111</v>
      </c>
      <c r="N14" s="124"/>
      <c r="O14" s="97" t="s">
        <v>111</v>
      </c>
      <c r="P14" s="97" t="s">
        <v>111</v>
      </c>
      <c r="Q14" s="97" t="s">
        <v>111</v>
      </c>
      <c r="R14" s="97" t="s">
        <v>111</v>
      </c>
      <c r="S14" s="119"/>
      <c r="T14" s="97" t="s">
        <v>111</v>
      </c>
      <c r="U14" s="124"/>
      <c r="V14" s="97" t="s">
        <v>111</v>
      </c>
      <c r="W14" s="97" t="s">
        <v>111</v>
      </c>
      <c r="X14" s="119"/>
      <c r="Y14" s="97" t="s">
        <v>798</v>
      </c>
      <c r="Z14" s="97" t="s">
        <v>799</v>
      </c>
      <c r="AA14" s="97" t="s">
        <v>799</v>
      </c>
      <c r="AB14" s="124"/>
      <c r="AC14" s="97" t="s">
        <v>799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16</v>
      </c>
      <c r="AI14" s="5">
        <f t="shared" si="2"/>
        <v>1</v>
      </c>
      <c r="AJ14" s="5" t="s">
        <v>15</v>
      </c>
      <c r="AK14" s="9">
        <f>SUM(AH28:AH59)</f>
        <v>535</v>
      </c>
      <c r="AL14" s="9">
        <f>SUM(AH5:AH27)</f>
        <v>375</v>
      </c>
      <c r="AM14" s="9">
        <f>AK14+AL14</f>
        <v>910</v>
      </c>
    </row>
    <row r="15" spans="1:39" ht="16.5" x14ac:dyDescent="0.25">
      <c r="A15" s="9">
        <v>11</v>
      </c>
      <c r="B15" s="11">
        <v>802</v>
      </c>
      <c r="C15" s="7" t="s">
        <v>243</v>
      </c>
      <c r="D15" s="7" t="s">
        <v>187</v>
      </c>
      <c r="E15" s="8" t="s">
        <v>225</v>
      </c>
      <c r="F15" s="119"/>
      <c r="G15" s="124"/>
      <c r="H15" s="97" t="s">
        <v>111</v>
      </c>
      <c r="I15" s="97" t="s">
        <v>111</v>
      </c>
      <c r="J15" s="119"/>
      <c r="K15" s="97" t="s">
        <v>111</v>
      </c>
      <c r="L15" s="97" t="s">
        <v>111</v>
      </c>
      <c r="M15" s="97" t="s">
        <v>111</v>
      </c>
      <c r="N15" s="124"/>
      <c r="O15" s="97" t="s">
        <v>111</v>
      </c>
      <c r="P15" s="97" t="s">
        <v>111</v>
      </c>
      <c r="Q15" s="97" t="s">
        <v>111</v>
      </c>
      <c r="R15" s="97" t="s">
        <v>111</v>
      </c>
      <c r="S15" s="119"/>
      <c r="T15" s="97" t="s">
        <v>111</v>
      </c>
      <c r="U15" s="124"/>
      <c r="V15" s="97" t="s">
        <v>111</v>
      </c>
      <c r="W15" s="97" t="s">
        <v>111</v>
      </c>
      <c r="X15" s="119"/>
      <c r="Y15" s="97" t="s">
        <v>111</v>
      </c>
      <c r="Z15" s="97" t="s">
        <v>111</v>
      </c>
      <c r="AA15" s="97" t="s">
        <v>111</v>
      </c>
      <c r="AB15" s="124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0.64302884615384615</v>
      </c>
      <c r="AL15" s="12">
        <f>AL14/AL13</f>
        <v>0.60096153846153844</v>
      </c>
      <c r="AM15" s="12">
        <f>AM14/AM13</f>
        <v>0.625</v>
      </c>
    </row>
    <row r="16" spans="1:39" ht="16.5" x14ac:dyDescent="0.25">
      <c r="A16" s="9">
        <v>12</v>
      </c>
      <c r="B16" s="11"/>
      <c r="C16" s="7" t="s">
        <v>244</v>
      </c>
      <c r="D16" s="7" t="s">
        <v>245</v>
      </c>
      <c r="E16" s="8" t="s">
        <v>225</v>
      </c>
      <c r="F16" s="119"/>
      <c r="G16" s="124"/>
      <c r="H16" s="97" t="s">
        <v>111</v>
      </c>
      <c r="I16" s="97" t="s">
        <v>111</v>
      </c>
      <c r="J16" s="119"/>
      <c r="K16" s="97" t="s">
        <v>111</v>
      </c>
      <c r="L16" s="97" t="s">
        <v>111</v>
      </c>
      <c r="M16" s="97" t="s">
        <v>111</v>
      </c>
      <c r="N16" s="124"/>
      <c r="O16" s="97" t="s">
        <v>111</v>
      </c>
      <c r="P16" s="97" t="s">
        <v>111</v>
      </c>
      <c r="Q16" s="97" t="s">
        <v>798</v>
      </c>
      <c r="R16" s="97" t="s">
        <v>111</v>
      </c>
      <c r="S16" s="119"/>
      <c r="T16" s="97" t="s">
        <v>111</v>
      </c>
      <c r="U16" s="124"/>
      <c r="V16" s="97" t="s">
        <v>798</v>
      </c>
      <c r="W16" s="97" t="s">
        <v>798</v>
      </c>
      <c r="X16" s="119"/>
      <c r="Y16" s="97" t="s">
        <v>111</v>
      </c>
      <c r="Z16" s="97" t="s">
        <v>111</v>
      </c>
      <c r="AA16" s="97" t="s">
        <v>111</v>
      </c>
      <c r="AB16" s="124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836</v>
      </c>
      <c r="C17" s="7" t="s">
        <v>246</v>
      </c>
      <c r="D17" s="7" t="s">
        <v>247</v>
      </c>
      <c r="E17" s="8" t="s">
        <v>225</v>
      </c>
      <c r="F17" s="119"/>
      <c r="G17" s="124"/>
      <c r="H17" s="97" t="s">
        <v>111</v>
      </c>
      <c r="I17" s="97" t="s">
        <v>111</v>
      </c>
      <c r="J17" s="119"/>
      <c r="K17" s="97" t="s">
        <v>111</v>
      </c>
      <c r="L17" s="97" t="s">
        <v>111</v>
      </c>
      <c r="M17" s="97" t="s">
        <v>111</v>
      </c>
      <c r="N17" s="124"/>
      <c r="O17" s="97" t="s">
        <v>111</v>
      </c>
      <c r="P17" s="97" t="s">
        <v>111</v>
      </c>
      <c r="Q17" s="97" t="s">
        <v>111</v>
      </c>
      <c r="R17" s="97" t="s">
        <v>111</v>
      </c>
      <c r="S17" s="119"/>
      <c r="T17" s="97" t="s">
        <v>111</v>
      </c>
      <c r="U17" s="124"/>
      <c r="V17" s="97" t="s">
        <v>111</v>
      </c>
      <c r="W17" s="97" t="s">
        <v>111</v>
      </c>
      <c r="X17" s="119"/>
      <c r="Y17" s="97" t="s">
        <v>111</v>
      </c>
      <c r="Z17" s="97" t="s">
        <v>111</v>
      </c>
      <c r="AA17" s="97" t="s">
        <v>111</v>
      </c>
      <c r="AB17" s="124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835</v>
      </c>
      <c r="C18" s="7" t="s">
        <v>248</v>
      </c>
      <c r="D18" s="7" t="s">
        <v>249</v>
      </c>
      <c r="E18" s="8" t="s">
        <v>225</v>
      </c>
      <c r="F18" s="119"/>
      <c r="G18" s="124"/>
      <c r="H18" s="97" t="s">
        <v>111</v>
      </c>
      <c r="I18" s="97" t="s">
        <v>111</v>
      </c>
      <c r="J18" s="119"/>
      <c r="K18" s="97" t="s">
        <v>798</v>
      </c>
      <c r="L18" s="97" t="s">
        <v>798</v>
      </c>
      <c r="M18" s="97" t="s">
        <v>798</v>
      </c>
      <c r="N18" s="124"/>
      <c r="O18" s="97" t="s">
        <v>111</v>
      </c>
      <c r="P18" s="97" t="s">
        <v>111</v>
      </c>
      <c r="Q18" s="97" t="s">
        <v>111</v>
      </c>
      <c r="R18" s="97" t="s">
        <v>111</v>
      </c>
      <c r="S18" s="119"/>
      <c r="T18" s="97" t="s">
        <v>798</v>
      </c>
      <c r="U18" s="124"/>
      <c r="V18" s="97" t="s">
        <v>111</v>
      </c>
      <c r="W18" s="97" t="s">
        <v>111</v>
      </c>
      <c r="X18" s="119"/>
      <c r="Y18" s="97" t="s">
        <v>111</v>
      </c>
      <c r="Z18" s="97" t="s">
        <v>111</v>
      </c>
      <c r="AA18" s="97" t="s">
        <v>111</v>
      </c>
      <c r="AB18" s="124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250</v>
      </c>
      <c r="D19" s="7" t="s">
        <v>251</v>
      </c>
      <c r="E19" s="8" t="s">
        <v>225</v>
      </c>
      <c r="F19" s="119"/>
      <c r="G19" s="124"/>
      <c r="H19" s="97" t="s">
        <v>111</v>
      </c>
      <c r="I19" s="97" t="s">
        <v>111</v>
      </c>
      <c r="J19" s="119"/>
      <c r="K19" s="97" t="s">
        <v>111</v>
      </c>
      <c r="L19" s="97" t="s">
        <v>111</v>
      </c>
      <c r="M19" s="97" t="s">
        <v>798</v>
      </c>
      <c r="N19" s="124"/>
      <c r="O19" s="97" t="s">
        <v>798</v>
      </c>
      <c r="P19" s="97" t="s">
        <v>111</v>
      </c>
      <c r="Q19" s="97" t="s">
        <v>111</v>
      </c>
      <c r="R19" s="97" t="s">
        <v>111</v>
      </c>
      <c r="S19" s="119"/>
      <c r="T19" s="97" t="s">
        <v>798</v>
      </c>
      <c r="U19" s="124"/>
      <c r="V19" s="97" t="s">
        <v>111</v>
      </c>
      <c r="W19" s="97" t="s">
        <v>111</v>
      </c>
      <c r="X19" s="119"/>
      <c r="Y19" s="97" t="s">
        <v>111</v>
      </c>
      <c r="Z19" s="97" t="s">
        <v>111</v>
      </c>
      <c r="AA19" s="97" t="s">
        <v>798</v>
      </c>
      <c r="AB19" s="124"/>
      <c r="AC19" s="97" t="s">
        <v>111</v>
      </c>
      <c r="AD19" s="97" t="s">
        <v>798</v>
      </c>
      <c r="AE19" s="97" t="s">
        <v>798</v>
      </c>
      <c r="AF19" s="97" t="s">
        <v>111</v>
      </c>
      <c r="AG19" s="97" t="s">
        <v>111</v>
      </c>
      <c r="AH19" s="5">
        <f t="shared" si="1"/>
        <v>14</v>
      </c>
      <c r="AI19" s="5">
        <f t="shared" si="2"/>
        <v>6</v>
      </c>
      <c r="AJ19" s="120" t="s">
        <v>123</v>
      </c>
      <c r="AK19" s="121"/>
      <c r="AL19" s="121"/>
      <c r="AM19" s="122"/>
    </row>
    <row r="20" spans="1:39" ht="16.5" x14ac:dyDescent="0.25">
      <c r="A20" s="9">
        <v>16</v>
      </c>
      <c r="B20" s="11">
        <v>892</v>
      </c>
      <c r="C20" s="7" t="s">
        <v>252</v>
      </c>
      <c r="D20" s="7" t="s">
        <v>253</v>
      </c>
      <c r="E20" s="8" t="s">
        <v>225</v>
      </c>
      <c r="F20" s="119"/>
      <c r="G20" s="124"/>
      <c r="H20" s="97" t="s">
        <v>798</v>
      </c>
      <c r="I20" s="97" t="s">
        <v>111</v>
      </c>
      <c r="J20" s="119"/>
      <c r="K20" s="97" t="s">
        <v>111</v>
      </c>
      <c r="L20" s="97" t="s">
        <v>111</v>
      </c>
      <c r="M20" s="97" t="s">
        <v>111</v>
      </c>
      <c r="N20" s="124"/>
      <c r="O20" s="97" t="s">
        <v>111</v>
      </c>
      <c r="P20" s="97" t="s">
        <v>111</v>
      </c>
      <c r="Q20" s="97" t="s">
        <v>111</v>
      </c>
      <c r="R20" s="97" t="s">
        <v>111</v>
      </c>
      <c r="S20" s="119"/>
      <c r="T20" s="97" t="s">
        <v>111</v>
      </c>
      <c r="U20" s="124"/>
      <c r="V20" s="97" t="s">
        <v>111</v>
      </c>
      <c r="W20" s="97" t="s">
        <v>111</v>
      </c>
      <c r="X20" s="119"/>
      <c r="Y20" s="97" t="s">
        <v>111</v>
      </c>
      <c r="Z20" s="97" t="s">
        <v>111</v>
      </c>
      <c r="AA20" s="97" t="s">
        <v>111</v>
      </c>
      <c r="AB20" s="124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838</v>
      </c>
      <c r="C21" s="7" t="s">
        <v>254</v>
      </c>
      <c r="D21" s="7" t="s">
        <v>253</v>
      </c>
      <c r="E21" s="8" t="s">
        <v>225</v>
      </c>
      <c r="F21" s="119"/>
      <c r="G21" s="124"/>
      <c r="H21" s="97" t="s">
        <v>798</v>
      </c>
      <c r="I21" s="97" t="s">
        <v>111</v>
      </c>
      <c r="J21" s="119"/>
      <c r="K21" s="97" t="s">
        <v>111</v>
      </c>
      <c r="L21" s="97" t="s">
        <v>111</v>
      </c>
      <c r="M21" s="97" t="s">
        <v>111</v>
      </c>
      <c r="N21" s="124"/>
      <c r="O21" s="97" t="s">
        <v>111</v>
      </c>
      <c r="P21" s="97" t="s">
        <v>111</v>
      </c>
      <c r="Q21" s="97" t="s">
        <v>111</v>
      </c>
      <c r="R21" s="97" t="s">
        <v>111</v>
      </c>
      <c r="S21" s="119"/>
      <c r="T21" s="97" t="s">
        <v>111</v>
      </c>
      <c r="U21" s="124"/>
      <c r="V21" s="97" t="s">
        <v>111</v>
      </c>
      <c r="W21" s="97" t="s">
        <v>111</v>
      </c>
      <c r="X21" s="119"/>
      <c r="Y21" s="97" t="s">
        <v>111</v>
      </c>
      <c r="Z21" s="97" t="s">
        <v>111</v>
      </c>
      <c r="AA21" s="97" t="s">
        <v>111</v>
      </c>
      <c r="AB21" s="124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>
        <v>808</v>
      </c>
      <c r="C22" s="7" t="s">
        <v>260</v>
      </c>
      <c r="D22" s="7" t="s">
        <v>261</v>
      </c>
      <c r="E22" s="8" t="s">
        <v>225</v>
      </c>
      <c r="F22" s="119"/>
      <c r="G22" s="124"/>
      <c r="H22" s="97" t="s">
        <v>798</v>
      </c>
      <c r="I22" s="97" t="s">
        <v>111</v>
      </c>
      <c r="J22" s="119"/>
      <c r="K22" s="97" t="s">
        <v>111</v>
      </c>
      <c r="L22" s="97" t="s">
        <v>798</v>
      </c>
      <c r="M22" s="97" t="s">
        <v>799</v>
      </c>
      <c r="N22" s="124"/>
      <c r="O22" s="97" t="s">
        <v>111</v>
      </c>
      <c r="P22" s="97" t="s">
        <v>111</v>
      </c>
      <c r="Q22" s="97" t="s">
        <v>798</v>
      </c>
      <c r="R22" s="97" t="s">
        <v>798</v>
      </c>
      <c r="S22" s="119"/>
      <c r="T22" s="97" t="s">
        <v>798</v>
      </c>
      <c r="U22" s="124"/>
      <c r="V22" s="97" t="s">
        <v>111</v>
      </c>
      <c r="W22" s="97" t="s">
        <v>111</v>
      </c>
      <c r="X22" s="119"/>
      <c r="Y22" s="97" t="s">
        <v>111</v>
      </c>
      <c r="Z22" s="97" t="s">
        <v>111</v>
      </c>
      <c r="AA22" s="97" t="s">
        <v>111</v>
      </c>
      <c r="AB22" s="124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14</v>
      </c>
      <c r="AI22" s="5">
        <f t="shared" si="2"/>
        <v>5</v>
      </c>
      <c r="AJ22" s="5" t="s">
        <v>17</v>
      </c>
      <c r="AK22" s="9">
        <f>AK21-AK14</f>
        <v>297</v>
      </c>
      <c r="AL22" s="9">
        <f>AL21-AL14</f>
        <v>249</v>
      </c>
      <c r="AM22" s="9">
        <f>AK22+AL22</f>
        <v>546</v>
      </c>
    </row>
    <row r="23" spans="1:39" ht="16.5" x14ac:dyDescent="0.25">
      <c r="A23" s="9">
        <v>19</v>
      </c>
      <c r="B23" s="11">
        <v>800</v>
      </c>
      <c r="C23" s="7" t="s">
        <v>262</v>
      </c>
      <c r="D23" s="7" t="s">
        <v>263</v>
      </c>
      <c r="E23" s="8" t="s">
        <v>225</v>
      </c>
      <c r="F23" s="119"/>
      <c r="G23" s="124"/>
      <c r="H23" s="97" t="s">
        <v>111</v>
      </c>
      <c r="I23" s="97" t="s">
        <v>111</v>
      </c>
      <c r="J23" s="119"/>
      <c r="K23" s="97" t="s">
        <v>111</v>
      </c>
      <c r="L23" s="97" t="s">
        <v>111</v>
      </c>
      <c r="M23" s="97" t="s">
        <v>111</v>
      </c>
      <c r="N23" s="124"/>
      <c r="O23" s="97" t="s">
        <v>111</v>
      </c>
      <c r="P23" s="97" t="s">
        <v>111</v>
      </c>
      <c r="Q23" s="97" t="s">
        <v>111</v>
      </c>
      <c r="R23" s="97" t="s">
        <v>111</v>
      </c>
      <c r="S23" s="119"/>
      <c r="T23" s="97" t="s">
        <v>111</v>
      </c>
      <c r="U23" s="124"/>
      <c r="V23" s="97" t="s">
        <v>111</v>
      </c>
      <c r="W23" s="97" t="s">
        <v>111</v>
      </c>
      <c r="X23" s="119"/>
      <c r="Y23" s="97" t="s">
        <v>111</v>
      </c>
      <c r="Z23" s="97" t="s">
        <v>111</v>
      </c>
      <c r="AA23" s="97" t="s">
        <v>111</v>
      </c>
      <c r="AB23" s="124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0.35697115384615385</v>
      </c>
      <c r="AL23" s="12">
        <f>AL22/AL21</f>
        <v>0.39903846153846156</v>
      </c>
      <c r="AM23" s="12">
        <f>AM22/AM21</f>
        <v>0.375</v>
      </c>
    </row>
    <row r="24" spans="1:39" ht="16.5" x14ac:dyDescent="0.25">
      <c r="A24" s="9">
        <v>20</v>
      </c>
      <c r="B24" s="11">
        <v>823</v>
      </c>
      <c r="C24" s="7" t="s">
        <v>255</v>
      </c>
      <c r="D24" s="7" t="s">
        <v>256</v>
      </c>
      <c r="E24" s="8" t="s">
        <v>225</v>
      </c>
      <c r="F24" s="119"/>
      <c r="G24" s="124"/>
      <c r="H24" s="97" t="s">
        <v>111</v>
      </c>
      <c r="I24" s="97" t="s">
        <v>111</v>
      </c>
      <c r="J24" s="119"/>
      <c r="K24" s="97" t="s">
        <v>111</v>
      </c>
      <c r="L24" s="97" t="s">
        <v>798</v>
      </c>
      <c r="M24" s="97" t="s">
        <v>111</v>
      </c>
      <c r="N24" s="124"/>
      <c r="O24" s="97" t="s">
        <v>111</v>
      </c>
      <c r="P24" s="97" t="s">
        <v>111</v>
      </c>
      <c r="Q24" s="97" t="s">
        <v>111</v>
      </c>
      <c r="R24" s="97" t="s">
        <v>111</v>
      </c>
      <c r="S24" s="119"/>
      <c r="T24" s="97" t="s">
        <v>798</v>
      </c>
      <c r="U24" s="124"/>
      <c r="V24" s="97" t="s">
        <v>111</v>
      </c>
      <c r="W24" s="97" t="s">
        <v>798</v>
      </c>
      <c r="X24" s="119"/>
      <c r="Y24" s="97" t="s">
        <v>111</v>
      </c>
      <c r="Z24" s="97" t="s">
        <v>798</v>
      </c>
      <c r="AA24" s="97" t="s">
        <v>111</v>
      </c>
      <c r="AB24" s="124"/>
      <c r="AC24" s="97" t="s">
        <v>798</v>
      </c>
      <c r="AD24" s="97" t="s">
        <v>111</v>
      </c>
      <c r="AE24" s="97" t="s">
        <v>798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793</v>
      </c>
      <c r="C25" s="7" t="s">
        <v>257</v>
      </c>
      <c r="D25" s="7" t="s">
        <v>258</v>
      </c>
      <c r="E25" s="8" t="s">
        <v>225</v>
      </c>
      <c r="F25" s="119"/>
      <c r="G25" s="124"/>
      <c r="H25" s="97" t="s">
        <v>111</v>
      </c>
      <c r="I25" s="97" t="s">
        <v>111</v>
      </c>
      <c r="J25" s="119"/>
      <c r="K25" s="97" t="s">
        <v>111</v>
      </c>
      <c r="L25" s="97" t="s">
        <v>111</v>
      </c>
      <c r="M25" s="97" t="s">
        <v>111</v>
      </c>
      <c r="N25" s="124"/>
      <c r="O25" s="97" t="s">
        <v>111</v>
      </c>
      <c r="P25" s="97" t="s">
        <v>111</v>
      </c>
      <c r="Q25" s="97" t="s">
        <v>111</v>
      </c>
      <c r="R25" s="97" t="s">
        <v>111</v>
      </c>
      <c r="S25" s="119"/>
      <c r="T25" s="97" t="s">
        <v>111</v>
      </c>
      <c r="U25" s="124"/>
      <c r="V25" s="97" t="s">
        <v>111</v>
      </c>
      <c r="W25" s="97" t="s">
        <v>111</v>
      </c>
      <c r="X25" s="119"/>
      <c r="Y25" s="97" t="s">
        <v>111</v>
      </c>
      <c r="Z25" s="97" t="s">
        <v>111</v>
      </c>
      <c r="AA25" s="97" t="s">
        <v>111</v>
      </c>
      <c r="AB25" s="124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20</v>
      </c>
      <c r="AI25" s="5">
        <f t="shared" si="2"/>
        <v>0</v>
      </c>
    </row>
    <row r="26" spans="1:39" ht="16.5" x14ac:dyDescent="0.25">
      <c r="A26" s="9">
        <v>22</v>
      </c>
      <c r="B26" s="11">
        <v>811</v>
      </c>
      <c r="C26" s="7" t="s">
        <v>257</v>
      </c>
      <c r="D26" s="7" t="s">
        <v>259</v>
      </c>
      <c r="E26" s="8" t="s">
        <v>225</v>
      </c>
      <c r="F26" s="119"/>
      <c r="G26" s="124"/>
      <c r="H26" s="97" t="s">
        <v>111</v>
      </c>
      <c r="I26" s="97" t="s">
        <v>111</v>
      </c>
      <c r="J26" s="119"/>
      <c r="K26" s="97" t="s">
        <v>111</v>
      </c>
      <c r="L26" s="97" t="s">
        <v>111</v>
      </c>
      <c r="M26" s="97" t="s">
        <v>111</v>
      </c>
      <c r="N26" s="124"/>
      <c r="O26" s="97" t="s">
        <v>111</v>
      </c>
      <c r="P26" s="97" t="s">
        <v>111</v>
      </c>
      <c r="Q26" s="97" t="s">
        <v>111</v>
      </c>
      <c r="R26" s="97" t="s">
        <v>111</v>
      </c>
      <c r="S26" s="119"/>
      <c r="T26" s="97" t="s">
        <v>111</v>
      </c>
      <c r="U26" s="124"/>
      <c r="V26" s="97" t="s">
        <v>111</v>
      </c>
      <c r="W26" s="97" t="s">
        <v>111</v>
      </c>
      <c r="X26" s="119"/>
      <c r="Y26" s="97" t="s">
        <v>111</v>
      </c>
      <c r="Z26" s="97" t="s">
        <v>111</v>
      </c>
      <c r="AA26" s="97" t="s">
        <v>111</v>
      </c>
      <c r="AB26" s="124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20</v>
      </c>
      <c r="AI26" s="5">
        <f t="shared" si="2"/>
        <v>0</v>
      </c>
    </row>
    <row r="27" spans="1:39" ht="16.5" x14ac:dyDescent="0.25">
      <c r="A27" s="9">
        <v>23</v>
      </c>
      <c r="B27" s="11">
        <v>822</v>
      </c>
      <c r="C27" s="7" t="s">
        <v>227</v>
      </c>
      <c r="D27" s="7" t="s">
        <v>790</v>
      </c>
      <c r="E27" s="8" t="s">
        <v>225</v>
      </c>
      <c r="F27" s="119"/>
      <c r="G27" s="124"/>
      <c r="H27" s="97" t="s">
        <v>798</v>
      </c>
      <c r="I27" s="97" t="s">
        <v>111</v>
      </c>
      <c r="J27" s="119"/>
      <c r="K27" s="97" t="s">
        <v>798</v>
      </c>
      <c r="L27" s="97" t="s">
        <v>798</v>
      </c>
      <c r="M27" s="97" t="s">
        <v>798</v>
      </c>
      <c r="N27" s="124"/>
      <c r="O27" s="97" t="s">
        <v>798</v>
      </c>
      <c r="P27" s="97" t="s">
        <v>798</v>
      </c>
      <c r="Q27" s="97" t="s">
        <v>798</v>
      </c>
      <c r="R27" s="97" t="s">
        <v>798</v>
      </c>
      <c r="S27" s="119"/>
      <c r="T27" s="97" t="s">
        <v>798</v>
      </c>
      <c r="U27" s="124"/>
      <c r="V27" s="97" t="s">
        <v>798</v>
      </c>
      <c r="W27" s="97" t="s">
        <v>111</v>
      </c>
      <c r="X27" s="119"/>
      <c r="Y27" s="97" t="s">
        <v>798</v>
      </c>
      <c r="Z27" s="97" t="s">
        <v>111</v>
      </c>
      <c r="AA27" s="97" t="s">
        <v>111</v>
      </c>
      <c r="AB27" s="124"/>
      <c r="AC27" s="97" t="s">
        <v>111</v>
      </c>
      <c r="AD27" s="97" t="s">
        <v>798</v>
      </c>
      <c r="AE27" s="97" t="s">
        <v>111</v>
      </c>
      <c r="AF27" s="97" t="s">
        <v>798</v>
      </c>
      <c r="AG27" s="97" t="s">
        <v>111</v>
      </c>
      <c r="AH27" s="5">
        <f t="shared" si="1"/>
        <v>7</v>
      </c>
      <c r="AI27" s="5">
        <f t="shared" si="2"/>
        <v>13</v>
      </c>
    </row>
    <row r="28" spans="1:39" ht="16.5" customHeight="1" x14ac:dyDescent="0.25">
      <c r="A28" s="9">
        <v>1</v>
      </c>
      <c r="B28" s="11">
        <v>824</v>
      </c>
      <c r="C28" s="7" t="s">
        <v>264</v>
      </c>
      <c r="D28" s="7" t="s">
        <v>259</v>
      </c>
      <c r="E28" s="8" t="s">
        <v>225</v>
      </c>
      <c r="F28" s="119"/>
      <c r="G28" s="124"/>
      <c r="H28" s="97" t="s">
        <v>111</v>
      </c>
      <c r="I28" s="97" t="s">
        <v>111</v>
      </c>
      <c r="J28" s="119"/>
      <c r="K28" s="97" t="s">
        <v>111</v>
      </c>
      <c r="L28" s="97" t="s">
        <v>111</v>
      </c>
      <c r="M28" s="97" t="s">
        <v>111</v>
      </c>
      <c r="N28" s="124"/>
      <c r="O28" s="97" t="s">
        <v>111</v>
      </c>
      <c r="P28" s="97" t="s">
        <v>111</v>
      </c>
      <c r="Q28" s="97" t="s">
        <v>111</v>
      </c>
      <c r="R28" s="97" t="s">
        <v>111</v>
      </c>
      <c r="S28" s="119"/>
      <c r="T28" s="97" t="s">
        <v>111</v>
      </c>
      <c r="U28" s="124"/>
      <c r="V28" s="97" t="s">
        <v>111</v>
      </c>
      <c r="W28" s="97" t="s">
        <v>111</v>
      </c>
      <c r="X28" s="119"/>
      <c r="Y28" s="97" t="s">
        <v>111</v>
      </c>
      <c r="Z28" s="97" t="s">
        <v>111</v>
      </c>
      <c r="AA28" s="97" t="s">
        <v>111</v>
      </c>
      <c r="AB28" s="124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20</v>
      </c>
      <c r="AI28" s="5">
        <f t="shared" si="2"/>
        <v>0</v>
      </c>
    </row>
    <row r="29" spans="1:39" ht="16.5" x14ac:dyDescent="0.25">
      <c r="A29" s="9">
        <v>2</v>
      </c>
      <c r="B29" s="11">
        <v>791</v>
      </c>
      <c r="C29" s="7" t="s">
        <v>264</v>
      </c>
      <c r="D29" s="7" t="s">
        <v>265</v>
      </c>
      <c r="E29" s="8" t="s">
        <v>225</v>
      </c>
      <c r="F29" s="119"/>
      <c r="G29" s="124"/>
      <c r="H29" s="97" t="s">
        <v>111</v>
      </c>
      <c r="I29" s="97" t="s">
        <v>111</v>
      </c>
      <c r="J29" s="119"/>
      <c r="K29" s="97" t="s">
        <v>111</v>
      </c>
      <c r="L29" s="97" t="s">
        <v>111</v>
      </c>
      <c r="M29" s="97" t="s">
        <v>798</v>
      </c>
      <c r="N29" s="124"/>
      <c r="O29" s="97" t="s">
        <v>111</v>
      </c>
      <c r="P29" s="97" t="s">
        <v>798</v>
      </c>
      <c r="Q29" s="97" t="s">
        <v>111</v>
      </c>
      <c r="R29" s="97" t="s">
        <v>111</v>
      </c>
      <c r="S29" s="119"/>
      <c r="T29" s="97" t="s">
        <v>798</v>
      </c>
      <c r="U29" s="124"/>
      <c r="V29" s="97" t="s">
        <v>111</v>
      </c>
      <c r="W29" s="97" t="s">
        <v>111</v>
      </c>
      <c r="X29" s="119"/>
      <c r="Y29" s="97" t="s">
        <v>798</v>
      </c>
      <c r="Z29" s="97" t="s">
        <v>111</v>
      </c>
      <c r="AA29" s="97" t="s">
        <v>798</v>
      </c>
      <c r="AB29" s="124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3</v>
      </c>
      <c r="B30" s="11">
        <v>809</v>
      </c>
      <c r="C30" s="7" t="s">
        <v>266</v>
      </c>
      <c r="D30" s="7" t="s">
        <v>267</v>
      </c>
      <c r="E30" s="8" t="s">
        <v>225</v>
      </c>
      <c r="F30" s="119"/>
      <c r="G30" s="124"/>
      <c r="H30" s="97" t="s">
        <v>111</v>
      </c>
      <c r="I30" s="97" t="s">
        <v>111</v>
      </c>
      <c r="J30" s="119"/>
      <c r="K30" s="97" t="s">
        <v>111</v>
      </c>
      <c r="L30" s="97" t="s">
        <v>798</v>
      </c>
      <c r="M30" s="97" t="s">
        <v>111</v>
      </c>
      <c r="N30" s="124"/>
      <c r="O30" s="97" t="s">
        <v>111</v>
      </c>
      <c r="P30" s="97" t="s">
        <v>111</v>
      </c>
      <c r="Q30" s="97" t="s">
        <v>111</v>
      </c>
      <c r="R30" s="97" t="s">
        <v>111</v>
      </c>
      <c r="S30" s="119"/>
      <c r="T30" s="97" t="s">
        <v>111</v>
      </c>
      <c r="U30" s="124"/>
      <c r="V30" s="97" t="s">
        <v>111</v>
      </c>
      <c r="W30" s="97" t="s">
        <v>798</v>
      </c>
      <c r="X30" s="119"/>
      <c r="Y30" s="97" t="s">
        <v>111</v>
      </c>
      <c r="Z30" s="97" t="s">
        <v>111</v>
      </c>
      <c r="AA30" s="97" t="s">
        <v>798</v>
      </c>
      <c r="AB30" s="124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17</v>
      </c>
      <c r="AI30" s="5">
        <f t="shared" si="2"/>
        <v>3</v>
      </c>
    </row>
    <row r="31" spans="1:39" ht="16.5" x14ac:dyDescent="0.25">
      <c r="A31" s="9">
        <v>4</v>
      </c>
      <c r="B31" s="11">
        <v>837</v>
      </c>
      <c r="C31" s="7" t="s">
        <v>268</v>
      </c>
      <c r="D31" s="7" t="s">
        <v>269</v>
      </c>
      <c r="E31" s="8" t="s">
        <v>225</v>
      </c>
      <c r="F31" s="119"/>
      <c r="G31" s="124"/>
      <c r="H31" s="97" t="s">
        <v>111</v>
      </c>
      <c r="I31" s="97" t="s">
        <v>798</v>
      </c>
      <c r="J31" s="119"/>
      <c r="K31" s="97" t="s">
        <v>111</v>
      </c>
      <c r="L31" s="97" t="s">
        <v>111</v>
      </c>
      <c r="M31" s="97" t="s">
        <v>798</v>
      </c>
      <c r="N31" s="124"/>
      <c r="O31" s="97" t="s">
        <v>111</v>
      </c>
      <c r="P31" s="97" t="s">
        <v>111</v>
      </c>
      <c r="Q31" s="97" t="s">
        <v>798</v>
      </c>
      <c r="R31" s="97" t="s">
        <v>111</v>
      </c>
      <c r="S31" s="119"/>
      <c r="T31" s="97" t="s">
        <v>111</v>
      </c>
      <c r="U31" s="124"/>
      <c r="V31" s="97" t="s">
        <v>798</v>
      </c>
      <c r="W31" s="97" t="s">
        <v>111</v>
      </c>
      <c r="X31" s="119"/>
      <c r="Y31" s="97" t="s">
        <v>111</v>
      </c>
      <c r="Z31" s="97" t="s">
        <v>111</v>
      </c>
      <c r="AA31" s="97" t="s">
        <v>798</v>
      </c>
      <c r="AB31" s="124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15</v>
      </c>
      <c r="AI31" s="5">
        <f t="shared" si="2"/>
        <v>5</v>
      </c>
    </row>
    <row r="32" spans="1:39" ht="16.5" x14ac:dyDescent="0.25">
      <c r="A32" s="9">
        <v>5</v>
      </c>
      <c r="B32" s="11">
        <v>798</v>
      </c>
      <c r="C32" s="7" t="s">
        <v>113</v>
      </c>
      <c r="D32" s="7" t="s">
        <v>270</v>
      </c>
      <c r="E32" s="8" t="s">
        <v>225</v>
      </c>
      <c r="F32" s="119"/>
      <c r="G32" s="124"/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111</v>
      </c>
      <c r="N32" s="124"/>
      <c r="O32" s="97" t="s">
        <v>111</v>
      </c>
      <c r="P32" s="97" t="s">
        <v>111</v>
      </c>
      <c r="Q32" s="97" t="s">
        <v>111</v>
      </c>
      <c r="R32" s="97" t="s">
        <v>798</v>
      </c>
      <c r="S32" s="119"/>
      <c r="T32" s="97" t="s">
        <v>798</v>
      </c>
      <c r="U32" s="124"/>
      <c r="V32" s="97" t="s">
        <v>111</v>
      </c>
      <c r="W32" s="97" t="s">
        <v>111</v>
      </c>
      <c r="X32" s="119"/>
      <c r="Y32" s="97" t="s">
        <v>111</v>
      </c>
      <c r="Z32" s="97" t="s">
        <v>111</v>
      </c>
      <c r="AA32" s="97" t="s">
        <v>111</v>
      </c>
      <c r="AB32" s="124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18</v>
      </c>
      <c r="AI32" s="5">
        <f t="shared" si="2"/>
        <v>2</v>
      </c>
    </row>
    <row r="33" spans="1:35" ht="15" customHeight="1" x14ac:dyDescent="0.25">
      <c r="A33" s="9">
        <v>6</v>
      </c>
      <c r="B33" s="11">
        <v>816</v>
      </c>
      <c r="C33" s="7" t="s">
        <v>271</v>
      </c>
      <c r="D33" s="7" t="s">
        <v>272</v>
      </c>
      <c r="E33" s="8" t="s">
        <v>225</v>
      </c>
      <c r="F33" s="119"/>
      <c r="G33" s="124"/>
      <c r="H33" s="97" t="s">
        <v>111</v>
      </c>
      <c r="I33" s="97" t="s">
        <v>111</v>
      </c>
      <c r="J33" s="119"/>
      <c r="K33" s="97" t="s">
        <v>111</v>
      </c>
      <c r="L33" s="97" t="s">
        <v>111</v>
      </c>
      <c r="M33" s="97" t="s">
        <v>111</v>
      </c>
      <c r="N33" s="124"/>
      <c r="O33" s="97" t="s">
        <v>111</v>
      </c>
      <c r="P33" s="97" t="s">
        <v>111</v>
      </c>
      <c r="Q33" s="97" t="s">
        <v>111</v>
      </c>
      <c r="R33" s="97" t="s">
        <v>111</v>
      </c>
      <c r="S33" s="119"/>
      <c r="T33" s="97" t="s">
        <v>111</v>
      </c>
      <c r="U33" s="124"/>
      <c r="V33" s="97" t="s">
        <v>111</v>
      </c>
      <c r="W33" s="97" t="s">
        <v>111</v>
      </c>
      <c r="X33" s="119"/>
      <c r="Y33" s="97" t="s">
        <v>111</v>
      </c>
      <c r="Z33" s="97" t="s">
        <v>111</v>
      </c>
      <c r="AA33" s="97" t="s">
        <v>111</v>
      </c>
      <c r="AB33" s="124"/>
      <c r="AC33" s="97" t="s">
        <v>111</v>
      </c>
      <c r="AD33" s="97" t="s">
        <v>798</v>
      </c>
      <c r="AE33" s="97" t="s">
        <v>111</v>
      </c>
      <c r="AF33" s="97" t="s">
        <v>111</v>
      </c>
      <c r="AG33" s="97" t="s">
        <v>111</v>
      </c>
      <c r="AH33" s="5">
        <f t="shared" si="1"/>
        <v>19</v>
      </c>
      <c r="AI33" s="5">
        <f t="shared" si="2"/>
        <v>1</v>
      </c>
    </row>
    <row r="34" spans="1:35" ht="16.5" x14ac:dyDescent="0.25">
      <c r="A34" s="9">
        <v>7</v>
      </c>
      <c r="B34" s="11">
        <v>797</v>
      </c>
      <c r="C34" s="7" t="s">
        <v>273</v>
      </c>
      <c r="D34" s="7" t="s">
        <v>274</v>
      </c>
      <c r="E34" s="8" t="s">
        <v>225</v>
      </c>
      <c r="F34" s="119"/>
      <c r="G34" s="124"/>
      <c r="H34" s="97" t="s">
        <v>798</v>
      </c>
      <c r="I34" s="97" t="s">
        <v>798</v>
      </c>
      <c r="J34" s="119"/>
      <c r="K34" s="97" t="s">
        <v>798</v>
      </c>
      <c r="L34" s="97" t="s">
        <v>798</v>
      </c>
      <c r="M34" s="97" t="s">
        <v>798</v>
      </c>
      <c r="N34" s="124"/>
      <c r="O34" s="97" t="s">
        <v>798</v>
      </c>
      <c r="P34" s="97" t="s">
        <v>798</v>
      </c>
      <c r="Q34" s="97" t="s">
        <v>798</v>
      </c>
      <c r="R34" s="97" t="s">
        <v>798</v>
      </c>
      <c r="S34" s="119"/>
      <c r="T34" s="97" t="s">
        <v>798</v>
      </c>
      <c r="U34" s="124"/>
      <c r="V34" s="97" t="s">
        <v>798</v>
      </c>
      <c r="W34" s="97" t="s">
        <v>798</v>
      </c>
      <c r="X34" s="119"/>
      <c r="Y34" s="97" t="s">
        <v>798</v>
      </c>
      <c r="Z34" s="97" t="s">
        <v>798</v>
      </c>
      <c r="AA34" s="97" t="s">
        <v>798</v>
      </c>
      <c r="AB34" s="124"/>
      <c r="AC34" s="97" t="s">
        <v>798</v>
      </c>
      <c r="AD34" s="97" t="s">
        <v>798</v>
      </c>
      <c r="AE34" s="97" t="s">
        <v>798</v>
      </c>
      <c r="AF34" s="97" t="s">
        <v>798</v>
      </c>
      <c r="AG34" s="97" t="s">
        <v>798</v>
      </c>
      <c r="AH34" s="5">
        <f t="shared" si="1"/>
        <v>0</v>
      </c>
      <c r="AI34" s="5">
        <f t="shared" si="2"/>
        <v>20</v>
      </c>
    </row>
    <row r="35" spans="1:35" ht="16.5" x14ac:dyDescent="0.25">
      <c r="A35" s="9">
        <v>8</v>
      </c>
      <c r="B35" s="11"/>
      <c r="C35" s="7" t="s">
        <v>275</v>
      </c>
      <c r="D35" s="7" t="s">
        <v>276</v>
      </c>
      <c r="E35" s="8" t="s">
        <v>225</v>
      </c>
      <c r="F35" s="119"/>
      <c r="G35" s="124"/>
      <c r="H35" s="97" t="s">
        <v>798</v>
      </c>
      <c r="I35" s="97" t="s">
        <v>798</v>
      </c>
      <c r="J35" s="119"/>
      <c r="K35" s="97" t="s">
        <v>798</v>
      </c>
      <c r="L35" s="97" t="s">
        <v>798</v>
      </c>
      <c r="M35" s="97" t="s">
        <v>798</v>
      </c>
      <c r="N35" s="124"/>
      <c r="O35" s="97" t="s">
        <v>798</v>
      </c>
      <c r="P35" s="97" t="s">
        <v>798</v>
      </c>
      <c r="Q35" s="97" t="s">
        <v>798</v>
      </c>
      <c r="R35" s="97" t="s">
        <v>798</v>
      </c>
      <c r="S35" s="119"/>
      <c r="T35" s="97" t="s">
        <v>111</v>
      </c>
      <c r="U35" s="124"/>
      <c r="V35" s="97" t="s">
        <v>111</v>
      </c>
      <c r="W35" s="97" t="s">
        <v>111</v>
      </c>
      <c r="X35" s="119"/>
      <c r="Y35" s="97" t="s">
        <v>111</v>
      </c>
      <c r="Z35" s="97" t="s">
        <v>111</v>
      </c>
      <c r="AA35" s="97" t="s">
        <v>111</v>
      </c>
      <c r="AB35" s="124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11</v>
      </c>
      <c r="AI35" s="5">
        <f t="shared" si="2"/>
        <v>9</v>
      </c>
    </row>
    <row r="36" spans="1:35" ht="16.5" x14ac:dyDescent="0.25">
      <c r="A36" s="9">
        <v>9</v>
      </c>
      <c r="B36" s="11">
        <v>795</v>
      </c>
      <c r="C36" s="7" t="s">
        <v>96</v>
      </c>
      <c r="D36" s="7" t="s">
        <v>277</v>
      </c>
      <c r="E36" s="8" t="s">
        <v>225</v>
      </c>
      <c r="F36" s="119"/>
      <c r="G36" s="124"/>
      <c r="H36" s="97" t="s">
        <v>111</v>
      </c>
      <c r="I36" s="97" t="s">
        <v>111</v>
      </c>
      <c r="J36" s="119"/>
      <c r="K36" s="97" t="s">
        <v>111</v>
      </c>
      <c r="L36" s="97" t="s">
        <v>111</v>
      </c>
      <c r="M36" s="97" t="s">
        <v>111</v>
      </c>
      <c r="N36" s="124"/>
      <c r="O36" s="97" t="s">
        <v>111</v>
      </c>
      <c r="P36" s="97" t="s">
        <v>111</v>
      </c>
      <c r="Q36" s="97" t="s">
        <v>111</v>
      </c>
      <c r="R36" s="97" t="s">
        <v>111</v>
      </c>
      <c r="S36" s="119"/>
      <c r="T36" s="97" t="s">
        <v>111</v>
      </c>
      <c r="U36" s="124"/>
      <c r="V36" s="97" t="s">
        <v>111</v>
      </c>
      <c r="W36" s="97" t="s">
        <v>111</v>
      </c>
      <c r="X36" s="119"/>
      <c r="Y36" s="97" t="s">
        <v>111</v>
      </c>
      <c r="Z36" s="97" t="s">
        <v>111</v>
      </c>
      <c r="AA36" s="97" t="s">
        <v>111</v>
      </c>
      <c r="AB36" s="124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ref="AH36:AH59" si="3">COUNTIF(F36:AG36,"P")</f>
        <v>20</v>
      </c>
      <c r="AI36" s="5">
        <f t="shared" ref="AI36:AI59" si="4">COUNTIF(F36:AG36,"A")</f>
        <v>0</v>
      </c>
    </row>
    <row r="37" spans="1:35" ht="16.5" x14ac:dyDescent="0.25">
      <c r="A37" s="9">
        <v>10</v>
      </c>
      <c r="B37" s="11">
        <v>796</v>
      </c>
      <c r="C37" s="7" t="s">
        <v>278</v>
      </c>
      <c r="D37" s="7" t="s">
        <v>279</v>
      </c>
      <c r="E37" s="8" t="s">
        <v>225</v>
      </c>
      <c r="F37" s="119"/>
      <c r="G37" s="124"/>
      <c r="H37" s="97" t="s">
        <v>111</v>
      </c>
      <c r="I37" s="97" t="s">
        <v>111</v>
      </c>
      <c r="J37" s="119"/>
      <c r="K37" s="97" t="s">
        <v>111</v>
      </c>
      <c r="L37" s="97" t="s">
        <v>111</v>
      </c>
      <c r="M37" s="97" t="s">
        <v>111</v>
      </c>
      <c r="N37" s="124"/>
      <c r="O37" s="97" t="s">
        <v>111</v>
      </c>
      <c r="P37" s="97" t="s">
        <v>111</v>
      </c>
      <c r="Q37" s="97" t="s">
        <v>111</v>
      </c>
      <c r="R37" s="97" t="s">
        <v>111</v>
      </c>
      <c r="S37" s="119"/>
      <c r="T37" s="97" t="s">
        <v>111</v>
      </c>
      <c r="U37" s="124"/>
      <c r="V37" s="97" t="s">
        <v>111</v>
      </c>
      <c r="W37" s="97" t="s">
        <v>111</v>
      </c>
      <c r="X37" s="119"/>
      <c r="Y37" s="97" t="s">
        <v>111</v>
      </c>
      <c r="Z37" s="97" t="s">
        <v>111</v>
      </c>
      <c r="AA37" s="97" t="s">
        <v>111</v>
      </c>
      <c r="AB37" s="124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11</v>
      </c>
      <c r="B38" s="11">
        <v>821</v>
      </c>
      <c r="C38" s="7" t="s">
        <v>280</v>
      </c>
      <c r="D38" s="7" t="s">
        <v>281</v>
      </c>
      <c r="E38" s="8" t="s">
        <v>225</v>
      </c>
      <c r="F38" s="119"/>
      <c r="G38" s="124"/>
      <c r="H38" s="97" t="s">
        <v>111</v>
      </c>
      <c r="I38" s="97" t="s">
        <v>798</v>
      </c>
      <c r="J38" s="119"/>
      <c r="K38" s="97" t="s">
        <v>111</v>
      </c>
      <c r="L38" s="97" t="s">
        <v>798</v>
      </c>
      <c r="M38" s="97" t="s">
        <v>798</v>
      </c>
      <c r="N38" s="124"/>
      <c r="O38" s="97" t="s">
        <v>798</v>
      </c>
      <c r="P38" s="97" t="s">
        <v>111</v>
      </c>
      <c r="Q38" s="97" t="s">
        <v>111</v>
      </c>
      <c r="R38" s="97" t="s">
        <v>111</v>
      </c>
      <c r="S38" s="119"/>
      <c r="T38" s="97" t="s">
        <v>798</v>
      </c>
      <c r="U38" s="124"/>
      <c r="V38" s="97" t="s">
        <v>798</v>
      </c>
      <c r="W38" s="97" t="s">
        <v>798</v>
      </c>
      <c r="X38" s="119"/>
      <c r="Y38" s="97" t="s">
        <v>111</v>
      </c>
      <c r="Z38" s="97" t="s">
        <v>111</v>
      </c>
      <c r="AA38" s="97" t="s">
        <v>111</v>
      </c>
      <c r="AB38" s="124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13</v>
      </c>
      <c r="AI38" s="5">
        <f t="shared" si="4"/>
        <v>7</v>
      </c>
    </row>
    <row r="39" spans="1:35" ht="15" customHeight="1" x14ac:dyDescent="0.25">
      <c r="A39" s="9">
        <v>12</v>
      </c>
      <c r="B39" s="11">
        <v>776</v>
      </c>
      <c r="C39" s="7" t="s">
        <v>282</v>
      </c>
      <c r="D39" s="7" t="s">
        <v>283</v>
      </c>
      <c r="E39" s="8" t="s">
        <v>225</v>
      </c>
      <c r="F39" s="119"/>
      <c r="G39" s="124"/>
      <c r="H39" s="97" t="s">
        <v>111</v>
      </c>
      <c r="I39" s="97" t="s">
        <v>111</v>
      </c>
      <c r="J39" s="119"/>
      <c r="K39" s="97" t="s">
        <v>111</v>
      </c>
      <c r="L39" s="97" t="s">
        <v>111</v>
      </c>
      <c r="M39" s="97" t="s">
        <v>111</v>
      </c>
      <c r="N39" s="124"/>
      <c r="O39" s="97" t="s">
        <v>111</v>
      </c>
      <c r="P39" s="97" t="s">
        <v>111</v>
      </c>
      <c r="Q39" s="97" t="s">
        <v>111</v>
      </c>
      <c r="R39" s="97" t="s">
        <v>111</v>
      </c>
      <c r="S39" s="119"/>
      <c r="T39" s="97" t="s">
        <v>111</v>
      </c>
      <c r="U39" s="124"/>
      <c r="V39" s="97" t="s">
        <v>111</v>
      </c>
      <c r="W39" s="97" t="s">
        <v>111</v>
      </c>
      <c r="X39" s="119"/>
      <c r="Y39" s="97" t="s">
        <v>111</v>
      </c>
      <c r="Z39" s="97" t="s">
        <v>111</v>
      </c>
      <c r="AA39" s="97" t="s">
        <v>111</v>
      </c>
      <c r="AB39" s="124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820</v>
      </c>
      <c r="C40" s="7" t="s">
        <v>282</v>
      </c>
      <c r="D40" s="7" t="s">
        <v>200</v>
      </c>
      <c r="E40" s="8" t="s">
        <v>225</v>
      </c>
      <c r="F40" s="119"/>
      <c r="G40" s="124"/>
      <c r="H40" s="97" t="s">
        <v>111</v>
      </c>
      <c r="I40" s="97" t="s">
        <v>111</v>
      </c>
      <c r="J40" s="119"/>
      <c r="K40" s="97" t="s">
        <v>111</v>
      </c>
      <c r="L40" s="97" t="s">
        <v>111</v>
      </c>
      <c r="M40" s="97" t="s">
        <v>111</v>
      </c>
      <c r="N40" s="124"/>
      <c r="O40" s="97" t="s">
        <v>111</v>
      </c>
      <c r="P40" s="97" t="s">
        <v>111</v>
      </c>
      <c r="Q40" s="97" t="s">
        <v>111</v>
      </c>
      <c r="R40" s="97" t="s">
        <v>798</v>
      </c>
      <c r="S40" s="119"/>
      <c r="T40" s="97" t="s">
        <v>111</v>
      </c>
      <c r="U40" s="124"/>
      <c r="V40" s="97" t="s">
        <v>111</v>
      </c>
      <c r="W40" s="97" t="s">
        <v>798</v>
      </c>
      <c r="X40" s="119"/>
      <c r="Y40" s="97" t="s">
        <v>111</v>
      </c>
      <c r="Z40" s="97" t="s">
        <v>111</v>
      </c>
      <c r="AA40" s="97" t="s">
        <v>111</v>
      </c>
      <c r="AB40" s="124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18</v>
      </c>
      <c r="AI40" s="5">
        <f t="shared" si="4"/>
        <v>2</v>
      </c>
    </row>
    <row r="41" spans="1:35" ht="16.5" x14ac:dyDescent="0.25">
      <c r="A41" s="9">
        <v>14</v>
      </c>
      <c r="B41" s="11">
        <v>832</v>
      </c>
      <c r="C41" s="7" t="s">
        <v>188</v>
      </c>
      <c r="D41" s="7" t="s">
        <v>284</v>
      </c>
      <c r="E41" s="8" t="s">
        <v>225</v>
      </c>
      <c r="F41" s="119"/>
      <c r="G41" s="124"/>
      <c r="H41" s="97" t="s">
        <v>111</v>
      </c>
      <c r="I41" s="97" t="s">
        <v>111</v>
      </c>
      <c r="J41" s="119"/>
      <c r="K41" s="97" t="s">
        <v>111</v>
      </c>
      <c r="L41" s="97" t="s">
        <v>111</v>
      </c>
      <c r="M41" s="97" t="s">
        <v>111</v>
      </c>
      <c r="N41" s="124"/>
      <c r="O41" s="97" t="s">
        <v>111</v>
      </c>
      <c r="P41" s="97" t="s">
        <v>798</v>
      </c>
      <c r="Q41" s="97" t="s">
        <v>111</v>
      </c>
      <c r="R41" s="97" t="s">
        <v>111</v>
      </c>
      <c r="S41" s="119"/>
      <c r="T41" s="97" t="s">
        <v>111</v>
      </c>
      <c r="U41" s="124"/>
      <c r="V41" s="97" t="s">
        <v>111</v>
      </c>
      <c r="W41" s="97" t="s">
        <v>111</v>
      </c>
      <c r="X41" s="119"/>
      <c r="Y41" s="97" t="s">
        <v>111</v>
      </c>
      <c r="Z41" s="97" t="s">
        <v>111</v>
      </c>
      <c r="AA41" s="97" t="s">
        <v>111</v>
      </c>
      <c r="AB41" s="124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15</v>
      </c>
      <c r="B42" s="11">
        <v>818</v>
      </c>
      <c r="C42" s="7" t="s">
        <v>285</v>
      </c>
      <c r="D42" s="7" t="s">
        <v>286</v>
      </c>
      <c r="E42" s="8" t="s">
        <v>225</v>
      </c>
      <c r="F42" s="119"/>
      <c r="G42" s="124"/>
      <c r="H42" s="97" t="s">
        <v>111</v>
      </c>
      <c r="I42" s="97" t="s">
        <v>798</v>
      </c>
      <c r="J42" s="119"/>
      <c r="K42" s="97" t="s">
        <v>798</v>
      </c>
      <c r="L42" s="97" t="s">
        <v>798</v>
      </c>
      <c r="M42" s="97" t="s">
        <v>798</v>
      </c>
      <c r="N42" s="124"/>
      <c r="O42" s="97" t="s">
        <v>111</v>
      </c>
      <c r="P42" s="97" t="s">
        <v>111</v>
      </c>
      <c r="Q42" s="97" t="s">
        <v>111</v>
      </c>
      <c r="R42" s="97" t="s">
        <v>111</v>
      </c>
      <c r="S42" s="119"/>
      <c r="T42" s="97" t="s">
        <v>111</v>
      </c>
      <c r="U42" s="124"/>
      <c r="V42" s="97" t="s">
        <v>111</v>
      </c>
      <c r="W42" s="97" t="s">
        <v>798</v>
      </c>
      <c r="X42" s="119"/>
      <c r="Y42" s="97" t="s">
        <v>111</v>
      </c>
      <c r="Z42" s="97" t="s">
        <v>798</v>
      </c>
      <c r="AA42" s="97" t="s">
        <v>799</v>
      </c>
      <c r="AB42" s="124"/>
      <c r="AC42" s="97" t="s">
        <v>799</v>
      </c>
      <c r="AD42" s="97" t="s">
        <v>799</v>
      </c>
      <c r="AE42" s="97" t="s">
        <v>799</v>
      </c>
      <c r="AF42" s="97" t="s">
        <v>111</v>
      </c>
      <c r="AG42" s="97" t="s">
        <v>111</v>
      </c>
      <c r="AH42" s="5">
        <f t="shared" si="3"/>
        <v>10</v>
      </c>
      <c r="AI42" s="5">
        <f t="shared" si="4"/>
        <v>6</v>
      </c>
    </row>
    <row r="43" spans="1:35" ht="16.5" x14ac:dyDescent="0.25">
      <c r="A43" s="9">
        <v>16</v>
      </c>
      <c r="B43" s="11"/>
      <c r="C43" s="7" t="s">
        <v>287</v>
      </c>
      <c r="D43" s="7" t="s">
        <v>288</v>
      </c>
      <c r="E43" s="8" t="s">
        <v>225</v>
      </c>
      <c r="F43" s="119"/>
      <c r="G43" s="124"/>
      <c r="H43" s="97" t="s">
        <v>111</v>
      </c>
      <c r="I43" s="97" t="s">
        <v>111</v>
      </c>
      <c r="J43" s="119"/>
      <c r="K43" s="97" t="s">
        <v>111</v>
      </c>
      <c r="L43" s="97" t="s">
        <v>111</v>
      </c>
      <c r="M43" s="97" t="s">
        <v>111</v>
      </c>
      <c r="N43" s="124"/>
      <c r="O43" s="97" t="s">
        <v>111</v>
      </c>
      <c r="P43" s="97" t="s">
        <v>111</v>
      </c>
      <c r="Q43" s="97" t="s">
        <v>111</v>
      </c>
      <c r="R43" s="97" t="s">
        <v>111</v>
      </c>
      <c r="S43" s="119"/>
      <c r="T43" s="97" t="s">
        <v>111</v>
      </c>
      <c r="U43" s="124"/>
      <c r="V43" s="97" t="s">
        <v>798</v>
      </c>
      <c r="W43" s="97" t="s">
        <v>111</v>
      </c>
      <c r="X43" s="119"/>
      <c r="Y43" s="97" t="s">
        <v>111</v>
      </c>
      <c r="Z43" s="97" t="s">
        <v>111</v>
      </c>
      <c r="AA43" s="97" t="s">
        <v>798</v>
      </c>
      <c r="AB43" s="124"/>
      <c r="AC43" s="97" t="s">
        <v>111</v>
      </c>
      <c r="AD43" s="97" t="s">
        <v>798</v>
      </c>
      <c r="AE43" s="97" t="s">
        <v>111</v>
      </c>
      <c r="AF43" s="97" t="s">
        <v>111</v>
      </c>
      <c r="AG43" s="97" t="s">
        <v>111</v>
      </c>
      <c r="AH43" s="5">
        <f t="shared" si="3"/>
        <v>17</v>
      </c>
      <c r="AI43" s="5">
        <f t="shared" si="4"/>
        <v>3</v>
      </c>
    </row>
    <row r="44" spans="1:35" ht="16.5" x14ac:dyDescent="0.25">
      <c r="A44" s="9">
        <v>17</v>
      </c>
      <c r="B44" s="11">
        <v>825</v>
      </c>
      <c r="C44" s="7" t="s">
        <v>289</v>
      </c>
      <c r="D44" s="7" t="s">
        <v>228</v>
      </c>
      <c r="E44" s="8" t="s">
        <v>225</v>
      </c>
      <c r="F44" s="119"/>
      <c r="G44" s="124"/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798</v>
      </c>
      <c r="N44" s="124"/>
      <c r="O44" s="97" t="s">
        <v>798</v>
      </c>
      <c r="P44" s="97" t="s">
        <v>798</v>
      </c>
      <c r="Q44" s="97" t="s">
        <v>111</v>
      </c>
      <c r="R44" s="97" t="s">
        <v>111</v>
      </c>
      <c r="S44" s="119"/>
      <c r="T44" s="97" t="s">
        <v>111</v>
      </c>
      <c r="U44" s="124"/>
      <c r="V44" s="97" t="s">
        <v>111</v>
      </c>
      <c r="W44" s="97" t="s">
        <v>111</v>
      </c>
      <c r="X44" s="119"/>
      <c r="Y44" s="97" t="s">
        <v>798</v>
      </c>
      <c r="Z44" s="97" t="s">
        <v>798</v>
      </c>
      <c r="AA44" s="97" t="s">
        <v>111</v>
      </c>
      <c r="AB44" s="124"/>
      <c r="AC44" s="97" t="s">
        <v>111</v>
      </c>
      <c r="AD44" s="97" t="s">
        <v>798</v>
      </c>
      <c r="AE44" s="97" t="s">
        <v>798</v>
      </c>
      <c r="AF44" s="97" t="s">
        <v>111</v>
      </c>
      <c r="AG44" s="97" t="s">
        <v>111</v>
      </c>
      <c r="AH44" s="5">
        <f t="shared" si="3"/>
        <v>13</v>
      </c>
      <c r="AI44" s="5">
        <f t="shared" si="4"/>
        <v>7</v>
      </c>
    </row>
    <row r="45" spans="1:35" ht="16.5" x14ac:dyDescent="0.25">
      <c r="A45" s="9">
        <v>18</v>
      </c>
      <c r="B45" s="11">
        <v>831</v>
      </c>
      <c r="C45" s="7" t="s">
        <v>290</v>
      </c>
      <c r="D45" s="7" t="s">
        <v>284</v>
      </c>
      <c r="E45" s="8" t="s">
        <v>225</v>
      </c>
      <c r="F45" s="119"/>
      <c r="G45" s="124"/>
      <c r="H45" s="97" t="s">
        <v>111</v>
      </c>
      <c r="I45" s="97" t="s">
        <v>111</v>
      </c>
      <c r="J45" s="119"/>
      <c r="K45" s="97" t="s">
        <v>111</v>
      </c>
      <c r="L45" s="97" t="s">
        <v>798</v>
      </c>
      <c r="M45" s="97" t="s">
        <v>111</v>
      </c>
      <c r="N45" s="124"/>
      <c r="O45" s="97" t="s">
        <v>111</v>
      </c>
      <c r="P45" s="97" t="s">
        <v>111</v>
      </c>
      <c r="Q45" s="97" t="s">
        <v>111</v>
      </c>
      <c r="R45" s="97" t="s">
        <v>111</v>
      </c>
      <c r="S45" s="119"/>
      <c r="T45" s="97" t="s">
        <v>111</v>
      </c>
      <c r="U45" s="124"/>
      <c r="V45" s="97" t="s">
        <v>111</v>
      </c>
      <c r="W45" s="97" t="s">
        <v>111</v>
      </c>
      <c r="X45" s="119"/>
      <c r="Y45" s="97" t="s">
        <v>111</v>
      </c>
      <c r="Z45" s="97" t="s">
        <v>111</v>
      </c>
      <c r="AA45" s="97" t="s">
        <v>111</v>
      </c>
      <c r="AB45" s="124"/>
      <c r="AC45" s="97" t="s">
        <v>111</v>
      </c>
      <c r="AD45" s="97" t="s">
        <v>798</v>
      </c>
      <c r="AE45" s="97" t="s">
        <v>798</v>
      </c>
      <c r="AF45" s="97" t="s">
        <v>111</v>
      </c>
      <c r="AG45" s="97" t="s">
        <v>111</v>
      </c>
      <c r="AH45" s="5">
        <f t="shared" si="3"/>
        <v>17</v>
      </c>
      <c r="AI45" s="5">
        <f t="shared" si="4"/>
        <v>3</v>
      </c>
    </row>
    <row r="46" spans="1:35" ht="16.5" x14ac:dyDescent="0.25">
      <c r="A46" s="9">
        <v>19</v>
      </c>
      <c r="B46" s="11">
        <v>833</v>
      </c>
      <c r="C46" s="7" t="s">
        <v>291</v>
      </c>
      <c r="D46" s="7" t="s">
        <v>292</v>
      </c>
      <c r="E46" s="8" t="s">
        <v>225</v>
      </c>
      <c r="F46" s="119"/>
      <c r="G46" s="124"/>
      <c r="H46" s="97" t="s">
        <v>111</v>
      </c>
      <c r="I46" s="97" t="s">
        <v>111</v>
      </c>
      <c r="J46" s="119"/>
      <c r="K46" s="97" t="s">
        <v>111</v>
      </c>
      <c r="L46" s="97" t="s">
        <v>111</v>
      </c>
      <c r="M46" s="97" t="s">
        <v>111</v>
      </c>
      <c r="N46" s="124"/>
      <c r="O46" s="97" t="s">
        <v>111</v>
      </c>
      <c r="P46" s="97" t="s">
        <v>798</v>
      </c>
      <c r="Q46" s="97" t="s">
        <v>111</v>
      </c>
      <c r="R46" s="97" t="s">
        <v>111</v>
      </c>
      <c r="S46" s="119"/>
      <c r="T46" s="97" t="s">
        <v>111</v>
      </c>
      <c r="U46" s="124"/>
      <c r="V46" s="97" t="s">
        <v>111</v>
      </c>
      <c r="W46" s="97" t="s">
        <v>111</v>
      </c>
      <c r="X46" s="119"/>
      <c r="Y46" s="97" t="s">
        <v>111</v>
      </c>
      <c r="Z46" s="97" t="s">
        <v>111</v>
      </c>
      <c r="AA46" s="97" t="s">
        <v>111</v>
      </c>
      <c r="AB46" s="124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830</v>
      </c>
      <c r="C47" s="7" t="s">
        <v>293</v>
      </c>
      <c r="D47" s="7" t="s">
        <v>294</v>
      </c>
      <c r="E47" s="8" t="s">
        <v>225</v>
      </c>
      <c r="F47" s="119"/>
      <c r="G47" s="124"/>
      <c r="H47" s="97" t="s">
        <v>798</v>
      </c>
      <c r="I47" s="97" t="s">
        <v>798</v>
      </c>
      <c r="J47" s="119"/>
      <c r="K47" s="97" t="s">
        <v>111</v>
      </c>
      <c r="L47" s="97" t="s">
        <v>111</v>
      </c>
      <c r="M47" s="97" t="s">
        <v>111</v>
      </c>
      <c r="N47" s="124"/>
      <c r="O47" s="97" t="s">
        <v>111</v>
      </c>
      <c r="P47" s="97" t="s">
        <v>111</v>
      </c>
      <c r="Q47" s="97" t="s">
        <v>111</v>
      </c>
      <c r="R47" s="97" t="s">
        <v>111</v>
      </c>
      <c r="S47" s="119"/>
      <c r="T47" s="97" t="s">
        <v>111</v>
      </c>
      <c r="U47" s="124"/>
      <c r="V47" s="97" t="s">
        <v>111</v>
      </c>
      <c r="W47" s="97" t="s">
        <v>111</v>
      </c>
      <c r="X47" s="119"/>
      <c r="Y47" s="97" t="s">
        <v>111</v>
      </c>
      <c r="Z47" s="97" t="s">
        <v>111</v>
      </c>
      <c r="AA47" s="97" t="s">
        <v>111</v>
      </c>
      <c r="AB47" s="124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18</v>
      </c>
      <c r="AI47" s="5">
        <f t="shared" si="4"/>
        <v>2</v>
      </c>
    </row>
    <row r="48" spans="1:35" ht="16.5" x14ac:dyDescent="0.25">
      <c r="A48" s="9">
        <v>21</v>
      </c>
      <c r="B48" s="11">
        <v>813</v>
      </c>
      <c r="C48" s="7" t="s">
        <v>295</v>
      </c>
      <c r="D48" s="7" t="s">
        <v>296</v>
      </c>
      <c r="E48" s="8" t="s">
        <v>225</v>
      </c>
      <c r="F48" s="119"/>
      <c r="G48" s="124"/>
      <c r="H48" s="97" t="s">
        <v>111</v>
      </c>
      <c r="I48" s="97" t="s">
        <v>111</v>
      </c>
      <c r="J48" s="119"/>
      <c r="K48" s="97" t="s">
        <v>111</v>
      </c>
      <c r="L48" s="97" t="s">
        <v>111</v>
      </c>
      <c r="M48" s="97" t="s">
        <v>111</v>
      </c>
      <c r="N48" s="124"/>
      <c r="O48" s="97" t="s">
        <v>111</v>
      </c>
      <c r="P48" s="97" t="s">
        <v>111</v>
      </c>
      <c r="Q48" s="97" t="s">
        <v>111</v>
      </c>
      <c r="R48" s="97" t="s">
        <v>111</v>
      </c>
      <c r="S48" s="119"/>
      <c r="T48" s="97" t="s">
        <v>111</v>
      </c>
      <c r="U48" s="124"/>
      <c r="V48" s="97" t="s">
        <v>111</v>
      </c>
      <c r="W48" s="97" t="s">
        <v>111</v>
      </c>
      <c r="X48" s="119"/>
      <c r="Y48" s="97" t="s">
        <v>111</v>
      </c>
      <c r="Z48" s="97" t="s">
        <v>111</v>
      </c>
      <c r="AA48" s="97" t="s">
        <v>111</v>
      </c>
      <c r="AB48" s="124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20</v>
      </c>
      <c r="AI48" s="5">
        <f t="shared" si="4"/>
        <v>0</v>
      </c>
    </row>
    <row r="49" spans="1:35" ht="16.5" x14ac:dyDescent="0.25">
      <c r="A49" s="9">
        <v>22</v>
      </c>
      <c r="B49" s="11"/>
      <c r="C49" s="7" t="s">
        <v>297</v>
      </c>
      <c r="D49" s="7" t="s">
        <v>298</v>
      </c>
      <c r="E49" s="8" t="s">
        <v>225</v>
      </c>
      <c r="F49" s="119"/>
      <c r="G49" s="124"/>
      <c r="H49" s="97" t="s">
        <v>111</v>
      </c>
      <c r="I49" s="97" t="s">
        <v>111</v>
      </c>
      <c r="J49" s="119"/>
      <c r="K49" s="97" t="s">
        <v>111</v>
      </c>
      <c r="L49" s="97" t="s">
        <v>111</v>
      </c>
      <c r="M49" s="97" t="s">
        <v>111</v>
      </c>
      <c r="N49" s="124"/>
      <c r="O49" s="97" t="s">
        <v>111</v>
      </c>
      <c r="P49" s="97" t="s">
        <v>111</v>
      </c>
      <c r="Q49" s="97" t="s">
        <v>111</v>
      </c>
      <c r="R49" s="97" t="s">
        <v>111</v>
      </c>
      <c r="S49" s="119"/>
      <c r="T49" s="97" t="s">
        <v>111</v>
      </c>
      <c r="U49" s="124"/>
      <c r="V49" s="97" t="s">
        <v>111</v>
      </c>
      <c r="W49" s="97" t="s">
        <v>111</v>
      </c>
      <c r="X49" s="119"/>
      <c r="Y49" s="97" t="s">
        <v>111</v>
      </c>
      <c r="Z49" s="97" t="s">
        <v>111</v>
      </c>
      <c r="AA49" s="97" t="s">
        <v>111</v>
      </c>
      <c r="AB49" s="124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20</v>
      </c>
      <c r="AI49" s="5">
        <f t="shared" si="4"/>
        <v>0</v>
      </c>
    </row>
    <row r="50" spans="1:35" ht="16.5" x14ac:dyDescent="0.25">
      <c r="A50" s="9">
        <v>23</v>
      </c>
      <c r="B50" s="11">
        <v>804</v>
      </c>
      <c r="C50" s="7" t="s">
        <v>299</v>
      </c>
      <c r="D50" s="7" t="s">
        <v>300</v>
      </c>
      <c r="E50" s="8" t="s">
        <v>225</v>
      </c>
      <c r="F50" s="119"/>
      <c r="G50" s="124"/>
      <c r="H50" s="97" t="s">
        <v>111</v>
      </c>
      <c r="I50" s="97" t="s">
        <v>111</v>
      </c>
      <c r="J50" s="119"/>
      <c r="K50" s="97" t="s">
        <v>111</v>
      </c>
      <c r="L50" s="97" t="s">
        <v>111</v>
      </c>
      <c r="M50" s="97" t="s">
        <v>111</v>
      </c>
      <c r="N50" s="124"/>
      <c r="O50" s="97" t="s">
        <v>111</v>
      </c>
      <c r="P50" s="97" t="s">
        <v>111</v>
      </c>
      <c r="Q50" s="97" t="s">
        <v>111</v>
      </c>
      <c r="R50" s="97" t="s">
        <v>111</v>
      </c>
      <c r="S50" s="119"/>
      <c r="T50" s="97" t="s">
        <v>111</v>
      </c>
      <c r="U50" s="124"/>
      <c r="V50" s="97" t="s">
        <v>111</v>
      </c>
      <c r="W50" s="97" t="s">
        <v>111</v>
      </c>
      <c r="X50" s="119"/>
      <c r="Y50" s="97" t="s">
        <v>111</v>
      </c>
      <c r="Z50" s="97" t="s">
        <v>111</v>
      </c>
      <c r="AA50" s="97" t="s">
        <v>111</v>
      </c>
      <c r="AB50" s="124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794</v>
      </c>
      <c r="C51" s="7" t="s">
        <v>301</v>
      </c>
      <c r="D51" s="7" t="s">
        <v>302</v>
      </c>
      <c r="E51" s="8" t="s">
        <v>225</v>
      </c>
      <c r="F51" s="119"/>
      <c r="G51" s="124"/>
      <c r="H51" s="97" t="s">
        <v>111</v>
      </c>
      <c r="I51" s="97" t="s">
        <v>111</v>
      </c>
      <c r="J51" s="119"/>
      <c r="K51" s="97" t="s">
        <v>111</v>
      </c>
      <c r="L51" s="97" t="s">
        <v>111</v>
      </c>
      <c r="M51" s="97" t="s">
        <v>111</v>
      </c>
      <c r="N51" s="124"/>
      <c r="O51" s="97" t="s">
        <v>111</v>
      </c>
      <c r="P51" s="97" t="s">
        <v>798</v>
      </c>
      <c r="Q51" s="97" t="s">
        <v>798</v>
      </c>
      <c r="R51" s="97" t="s">
        <v>798</v>
      </c>
      <c r="S51" s="119"/>
      <c r="T51" s="97" t="s">
        <v>111</v>
      </c>
      <c r="U51" s="124"/>
      <c r="V51" s="97" t="s">
        <v>111</v>
      </c>
      <c r="W51" s="97" t="s">
        <v>111</v>
      </c>
      <c r="X51" s="119"/>
      <c r="Y51" s="97" t="s">
        <v>798</v>
      </c>
      <c r="Z51" s="97" t="s">
        <v>111</v>
      </c>
      <c r="AA51" s="97" t="s">
        <v>111</v>
      </c>
      <c r="AB51" s="124"/>
      <c r="AC51" s="97" t="s">
        <v>111</v>
      </c>
      <c r="AD51" s="97" t="s">
        <v>111</v>
      </c>
      <c r="AE51" s="97" t="s">
        <v>798</v>
      </c>
      <c r="AF51" s="97" t="s">
        <v>111</v>
      </c>
      <c r="AG51" s="97" t="s">
        <v>111</v>
      </c>
      <c r="AH51" s="5">
        <f t="shared" si="3"/>
        <v>15</v>
      </c>
      <c r="AI51" s="5">
        <f t="shared" si="4"/>
        <v>5</v>
      </c>
    </row>
    <row r="52" spans="1:35" ht="16.5" x14ac:dyDescent="0.25">
      <c r="A52" s="9">
        <v>25</v>
      </c>
      <c r="B52" s="11">
        <v>826</v>
      </c>
      <c r="C52" s="7" t="s">
        <v>303</v>
      </c>
      <c r="D52" s="7" t="s">
        <v>304</v>
      </c>
      <c r="E52" s="8" t="s">
        <v>225</v>
      </c>
      <c r="F52" s="119"/>
      <c r="G52" s="124"/>
      <c r="H52" s="97" t="s">
        <v>111</v>
      </c>
      <c r="I52" s="97" t="s">
        <v>111</v>
      </c>
      <c r="J52" s="119"/>
      <c r="K52" s="97" t="s">
        <v>111</v>
      </c>
      <c r="L52" s="97" t="s">
        <v>798</v>
      </c>
      <c r="M52" s="97" t="s">
        <v>111</v>
      </c>
      <c r="N52" s="124"/>
      <c r="O52" s="97" t="s">
        <v>111</v>
      </c>
      <c r="P52" s="97" t="s">
        <v>111</v>
      </c>
      <c r="Q52" s="97" t="s">
        <v>111</v>
      </c>
      <c r="R52" s="97" t="s">
        <v>111</v>
      </c>
      <c r="S52" s="119"/>
      <c r="T52" s="97" t="s">
        <v>111</v>
      </c>
      <c r="U52" s="124"/>
      <c r="V52" s="97" t="s">
        <v>111</v>
      </c>
      <c r="W52" s="97" t="s">
        <v>111</v>
      </c>
      <c r="X52" s="119"/>
      <c r="Y52" s="97" t="s">
        <v>798</v>
      </c>
      <c r="Z52" s="97" t="s">
        <v>798</v>
      </c>
      <c r="AA52" s="97" t="s">
        <v>799</v>
      </c>
      <c r="AB52" s="124"/>
      <c r="AC52" s="97" t="s">
        <v>799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15</v>
      </c>
      <c r="AI52" s="5">
        <f t="shared" si="4"/>
        <v>3</v>
      </c>
    </row>
    <row r="53" spans="1:35" ht="16.5" x14ac:dyDescent="0.25">
      <c r="A53" s="9">
        <v>26</v>
      </c>
      <c r="B53" s="11">
        <v>803</v>
      </c>
      <c r="C53" s="7" t="s">
        <v>305</v>
      </c>
      <c r="D53" s="7" t="s">
        <v>306</v>
      </c>
      <c r="E53" s="8" t="s">
        <v>225</v>
      </c>
      <c r="F53" s="119"/>
      <c r="G53" s="124"/>
      <c r="H53" s="97" t="s">
        <v>798</v>
      </c>
      <c r="I53" s="97" t="s">
        <v>111</v>
      </c>
      <c r="J53" s="119"/>
      <c r="K53" s="97" t="s">
        <v>111</v>
      </c>
      <c r="L53" s="97" t="s">
        <v>111</v>
      </c>
      <c r="M53" s="97" t="s">
        <v>111</v>
      </c>
      <c r="N53" s="124"/>
      <c r="O53" s="97" t="s">
        <v>798</v>
      </c>
      <c r="P53" s="97" t="s">
        <v>798</v>
      </c>
      <c r="Q53" s="97" t="s">
        <v>798</v>
      </c>
      <c r="R53" s="97" t="s">
        <v>111</v>
      </c>
      <c r="S53" s="119"/>
      <c r="T53" s="97" t="s">
        <v>111</v>
      </c>
      <c r="U53" s="124"/>
      <c r="V53" s="97" t="s">
        <v>799</v>
      </c>
      <c r="W53" s="97" t="s">
        <v>799</v>
      </c>
      <c r="X53" s="119"/>
      <c r="Y53" s="97" t="s">
        <v>111</v>
      </c>
      <c r="Z53" s="97" t="s">
        <v>111</v>
      </c>
      <c r="AA53" s="97" t="s">
        <v>111</v>
      </c>
      <c r="AB53" s="124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14</v>
      </c>
      <c r="AI53" s="5">
        <f t="shared" si="4"/>
        <v>4</v>
      </c>
    </row>
    <row r="54" spans="1:35" ht="16.5" x14ac:dyDescent="0.25">
      <c r="A54" s="9">
        <v>27</v>
      </c>
      <c r="B54" s="11">
        <v>810</v>
      </c>
      <c r="C54" s="7" t="s">
        <v>307</v>
      </c>
      <c r="D54" s="7" t="s">
        <v>308</v>
      </c>
      <c r="E54" s="8" t="s">
        <v>225</v>
      </c>
      <c r="F54" s="119"/>
      <c r="G54" s="124"/>
      <c r="H54" s="97" t="s">
        <v>798</v>
      </c>
      <c r="I54" s="97" t="s">
        <v>798</v>
      </c>
      <c r="J54" s="119"/>
      <c r="K54" s="97" t="s">
        <v>111</v>
      </c>
      <c r="L54" s="97" t="s">
        <v>111</v>
      </c>
      <c r="M54" s="97" t="s">
        <v>111</v>
      </c>
      <c r="N54" s="124"/>
      <c r="O54" s="97" t="s">
        <v>111</v>
      </c>
      <c r="P54" s="97" t="s">
        <v>111</v>
      </c>
      <c r="Q54" s="97" t="s">
        <v>111</v>
      </c>
      <c r="R54" s="97" t="s">
        <v>111</v>
      </c>
      <c r="S54" s="119"/>
      <c r="T54" s="97" t="s">
        <v>111</v>
      </c>
      <c r="U54" s="124"/>
      <c r="V54" s="97" t="s">
        <v>111</v>
      </c>
      <c r="W54" s="97" t="s">
        <v>111</v>
      </c>
      <c r="X54" s="119"/>
      <c r="Y54" s="97" t="s">
        <v>111</v>
      </c>
      <c r="Z54" s="97" t="s">
        <v>798</v>
      </c>
      <c r="AA54" s="97" t="s">
        <v>111</v>
      </c>
      <c r="AB54" s="124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17</v>
      </c>
      <c r="AI54" s="5">
        <f t="shared" si="4"/>
        <v>3</v>
      </c>
    </row>
    <row r="55" spans="1:35" ht="16.5" x14ac:dyDescent="0.25">
      <c r="A55" s="9">
        <v>28</v>
      </c>
      <c r="B55" s="11">
        <v>834</v>
      </c>
      <c r="C55" s="7" t="s">
        <v>309</v>
      </c>
      <c r="D55" s="7" t="s">
        <v>310</v>
      </c>
      <c r="E55" s="8" t="s">
        <v>225</v>
      </c>
      <c r="F55" s="119"/>
      <c r="G55" s="124"/>
      <c r="H55" s="97" t="s">
        <v>111</v>
      </c>
      <c r="I55" s="97" t="s">
        <v>111</v>
      </c>
      <c r="J55" s="119"/>
      <c r="K55" s="97" t="s">
        <v>111</v>
      </c>
      <c r="L55" s="97" t="s">
        <v>798</v>
      </c>
      <c r="M55" s="97" t="s">
        <v>111</v>
      </c>
      <c r="N55" s="124"/>
      <c r="O55" s="97" t="s">
        <v>111</v>
      </c>
      <c r="P55" s="97" t="s">
        <v>111</v>
      </c>
      <c r="Q55" s="97" t="s">
        <v>111</v>
      </c>
      <c r="R55" s="97" t="s">
        <v>111</v>
      </c>
      <c r="S55" s="119"/>
      <c r="T55" s="97" t="s">
        <v>798</v>
      </c>
      <c r="U55" s="124"/>
      <c r="V55" s="97" t="s">
        <v>111</v>
      </c>
      <c r="W55" s="97" t="s">
        <v>111</v>
      </c>
      <c r="X55" s="119"/>
      <c r="Y55" s="97" t="s">
        <v>111</v>
      </c>
      <c r="Z55" s="97" t="s">
        <v>111</v>
      </c>
      <c r="AA55" s="97" t="s">
        <v>111</v>
      </c>
      <c r="AB55" s="124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18</v>
      </c>
      <c r="AI55" s="5">
        <f t="shared" si="4"/>
        <v>2</v>
      </c>
    </row>
    <row r="56" spans="1:35" ht="16.5" x14ac:dyDescent="0.25">
      <c r="A56" s="9">
        <v>29</v>
      </c>
      <c r="B56" s="11">
        <v>806</v>
      </c>
      <c r="C56" s="7" t="s">
        <v>311</v>
      </c>
      <c r="D56" s="7" t="s">
        <v>34</v>
      </c>
      <c r="E56" s="8" t="s">
        <v>225</v>
      </c>
      <c r="F56" s="119"/>
      <c r="G56" s="124"/>
      <c r="H56" s="97" t="s">
        <v>111</v>
      </c>
      <c r="I56" s="97" t="s">
        <v>111</v>
      </c>
      <c r="J56" s="119"/>
      <c r="K56" s="97" t="s">
        <v>111</v>
      </c>
      <c r="L56" s="97" t="s">
        <v>111</v>
      </c>
      <c r="M56" s="97" t="s">
        <v>111</v>
      </c>
      <c r="N56" s="124"/>
      <c r="O56" s="97" t="s">
        <v>111</v>
      </c>
      <c r="P56" s="97" t="s">
        <v>111</v>
      </c>
      <c r="Q56" s="97" t="s">
        <v>111</v>
      </c>
      <c r="R56" s="97" t="s">
        <v>111</v>
      </c>
      <c r="S56" s="119"/>
      <c r="T56" s="97" t="s">
        <v>111</v>
      </c>
      <c r="U56" s="124"/>
      <c r="V56" s="97" t="s">
        <v>111</v>
      </c>
      <c r="W56" s="97" t="s">
        <v>111</v>
      </c>
      <c r="X56" s="119"/>
      <c r="Y56" s="97" t="s">
        <v>111</v>
      </c>
      <c r="Z56" s="97" t="s">
        <v>111</v>
      </c>
      <c r="AA56" s="97" t="s">
        <v>111</v>
      </c>
      <c r="AB56" s="124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30</v>
      </c>
      <c r="B57" s="11">
        <v>799</v>
      </c>
      <c r="C57" s="7" t="s">
        <v>312</v>
      </c>
      <c r="D57" s="7" t="s">
        <v>313</v>
      </c>
      <c r="E57" s="8" t="s">
        <v>225</v>
      </c>
      <c r="F57" s="119"/>
      <c r="G57" s="124"/>
      <c r="H57" s="97" t="s">
        <v>111</v>
      </c>
      <c r="I57" s="97" t="s">
        <v>111</v>
      </c>
      <c r="J57" s="119"/>
      <c r="K57" s="97" t="s">
        <v>111</v>
      </c>
      <c r="L57" s="97" t="s">
        <v>798</v>
      </c>
      <c r="M57" s="97" t="s">
        <v>111</v>
      </c>
      <c r="N57" s="124"/>
      <c r="O57" s="97" t="s">
        <v>111</v>
      </c>
      <c r="P57" s="97" t="s">
        <v>111</v>
      </c>
      <c r="Q57" s="97" t="s">
        <v>111</v>
      </c>
      <c r="R57" s="97" t="s">
        <v>111</v>
      </c>
      <c r="S57" s="119"/>
      <c r="T57" s="97" t="s">
        <v>111</v>
      </c>
      <c r="U57" s="124"/>
      <c r="V57" s="97" t="s">
        <v>111</v>
      </c>
      <c r="W57" s="97" t="s">
        <v>111</v>
      </c>
      <c r="X57" s="119"/>
      <c r="Y57" s="97" t="s">
        <v>111</v>
      </c>
      <c r="Z57" s="97" t="s">
        <v>111</v>
      </c>
      <c r="AA57" s="97" t="s">
        <v>111</v>
      </c>
      <c r="AB57" s="124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19</v>
      </c>
      <c r="AI57" s="5">
        <f t="shared" si="4"/>
        <v>1</v>
      </c>
    </row>
    <row r="58" spans="1:35" ht="16.5" x14ac:dyDescent="0.25">
      <c r="A58" s="9">
        <v>31</v>
      </c>
      <c r="B58" s="11">
        <v>805</v>
      </c>
      <c r="C58" s="7" t="s">
        <v>312</v>
      </c>
      <c r="D58" s="7" t="s">
        <v>314</v>
      </c>
      <c r="E58" s="8" t="s">
        <v>225</v>
      </c>
      <c r="F58" s="119"/>
      <c r="G58" s="124"/>
      <c r="H58" s="97" t="s">
        <v>111</v>
      </c>
      <c r="I58" s="97" t="s">
        <v>111</v>
      </c>
      <c r="J58" s="119"/>
      <c r="K58" s="97" t="s">
        <v>111</v>
      </c>
      <c r="L58" s="97" t="s">
        <v>111</v>
      </c>
      <c r="M58" s="97" t="s">
        <v>111</v>
      </c>
      <c r="N58" s="124"/>
      <c r="O58" s="97" t="s">
        <v>111</v>
      </c>
      <c r="P58" s="97" t="s">
        <v>798</v>
      </c>
      <c r="Q58" s="97" t="s">
        <v>111</v>
      </c>
      <c r="R58" s="97" t="s">
        <v>111</v>
      </c>
      <c r="S58" s="119"/>
      <c r="T58" s="97" t="s">
        <v>111</v>
      </c>
      <c r="U58" s="124"/>
      <c r="V58" s="97" t="s">
        <v>111</v>
      </c>
      <c r="W58" s="97" t="s">
        <v>111</v>
      </c>
      <c r="X58" s="119"/>
      <c r="Y58" s="97" t="s">
        <v>111</v>
      </c>
      <c r="Z58" s="97" t="s">
        <v>111</v>
      </c>
      <c r="AA58" s="97" t="s">
        <v>111</v>
      </c>
      <c r="AB58" s="124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5">
        <f t="shared" si="3"/>
        <v>19</v>
      </c>
      <c r="AI58" s="5">
        <f t="shared" si="4"/>
        <v>1</v>
      </c>
    </row>
    <row r="59" spans="1:35" ht="16.5" x14ac:dyDescent="0.25">
      <c r="A59" s="9">
        <v>32</v>
      </c>
      <c r="B59" s="11"/>
      <c r="C59" s="7" t="s">
        <v>315</v>
      </c>
      <c r="D59" s="7" t="s">
        <v>316</v>
      </c>
      <c r="E59" s="8" t="s">
        <v>225</v>
      </c>
      <c r="F59" s="127"/>
      <c r="G59" s="125"/>
      <c r="H59" s="97" t="s">
        <v>111</v>
      </c>
      <c r="I59" s="97" t="s">
        <v>111</v>
      </c>
      <c r="J59" s="127"/>
      <c r="K59" s="97" t="s">
        <v>111</v>
      </c>
      <c r="L59" s="97" t="s">
        <v>111</v>
      </c>
      <c r="M59" s="97" t="s">
        <v>111</v>
      </c>
      <c r="N59" s="125"/>
      <c r="O59" s="97" t="s">
        <v>111</v>
      </c>
      <c r="P59" s="97" t="s">
        <v>111</v>
      </c>
      <c r="Q59" s="97" t="s">
        <v>111</v>
      </c>
      <c r="R59" s="97" t="s">
        <v>111</v>
      </c>
      <c r="S59" s="127"/>
      <c r="T59" s="97" t="s">
        <v>798</v>
      </c>
      <c r="U59" s="125"/>
      <c r="V59" s="97" t="s">
        <v>111</v>
      </c>
      <c r="W59" s="97" t="s">
        <v>111</v>
      </c>
      <c r="X59" s="127"/>
      <c r="Y59" s="97" t="s">
        <v>111</v>
      </c>
      <c r="Z59" s="97" t="s">
        <v>111</v>
      </c>
      <c r="AA59" s="97" t="s">
        <v>111</v>
      </c>
      <c r="AB59" s="125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5">
        <f t="shared" si="3"/>
        <v>19</v>
      </c>
      <c r="AI59" s="5">
        <f t="shared" si="4"/>
        <v>1</v>
      </c>
    </row>
  </sheetData>
  <mergeCells count="20">
    <mergeCell ref="A1:AI1"/>
    <mergeCell ref="A2:AI2"/>
    <mergeCell ref="E3:E4"/>
    <mergeCell ref="AH3:AH4"/>
    <mergeCell ref="AI3:AI4"/>
    <mergeCell ref="AJ11:AM11"/>
    <mergeCell ref="AJ19:AM19"/>
    <mergeCell ref="AJ3:AK3"/>
    <mergeCell ref="A3:A4"/>
    <mergeCell ref="B3:B4"/>
    <mergeCell ref="C3:C4"/>
    <mergeCell ref="D3:D4"/>
    <mergeCell ref="G5:G59"/>
    <mergeCell ref="N5:N59"/>
    <mergeCell ref="U5:U59"/>
    <mergeCell ref="AB5:AB59"/>
    <mergeCell ref="F5:F59"/>
    <mergeCell ref="J5:J59"/>
    <mergeCell ref="S5:S59"/>
    <mergeCell ref="X5:X59"/>
  </mergeCells>
  <conditionalFormatting sqref="F5">
    <cfRule type="expression" dxfId="394" priority="19">
      <formula>IF(F$4=TODAY(),TRUE,FALSE)</formula>
    </cfRule>
    <cfRule type="expression" dxfId="393" priority="20">
      <formula>F$3="Sun"</formula>
    </cfRule>
  </conditionalFormatting>
  <conditionalFormatting sqref="F5:G5">
    <cfRule type="cellIs" dxfId="392" priority="16" operator="equal">
      <formula>"L"</formula>
    </cfRule>
    <cfRule type="cellIs" dxfId="391" priority="17" operator="equal">
      <formula>"A"</formula>
    </cfRule>
    <cfRule type="cellIs" dxfId="390" priority="18" operator="equal">
      <formula>"P"</formula>
    </cfRule>
  </conditionalFormatting>
  <conditionalFormatting sqref="F3:AG4 G5 N5 U5 AB5 H5:I59 K5:M59 O5:R59 T5:T59 V5:W59 Y5:AA59 AC5:AG59">
    <cfRule type="expression" dxfId="389" priority="32">
      <formula>F$3="SUN"</formula>
    </cfRule>
  </conditionalFormatting>
  <conditionalFormatting sqref="F3:AG4 N5 U5 AB5 H5:I59 K5:M59 O5:R59 T5:T59 V5:W59 Y5:AA59 AC5:AG59 G5">
    <cfRule type="expression" dxfId="388" priority="31">
      <formula>F$4=TODAY()</formula>
    </cfRule>
  </conditionalFormatting>
  <conditionalFormatting sqref="F3:AG4 N5 U5 AB5 H5:I59 K5:M59 O5:R59 T5:T59 V5:W59 Y5:AA59 AC5:AG59">
    <cfRule type="cellIs" dxfId="387" priority="28" operator="equal">
      <formula>"L"</formula>
    </cfRule>
    <cfRule type="cellIs" dxfId="386" priority="29" operator="equal">
      <formula>"P"</formula>
    </cfRule>
    <cfRule type="cellIs" dxfId="385" priority="30" operator="equal">
      <formula>"A"</formula>
    </cfRule>
  </conditionalFormatting>
  <conditionalFormatting sqref="J5">
    <cfRule type="cellIs" dxfId="384" priority="11" operator="equal">
      <formula>"L"</formula>
    </cfRule>
    <cfRule type="cellIs" dxfId="383" priority="12" operator="equal">
      <formula>"A"</formula>
    </cfRule>
    <cfRule type="cellIs" dxfId="382" priority="13" operator="equal">
      <formula>"P"</formula>
    </cfRule>
    <cfRule type="expression" dxfId="381" priority="14">
      <formula>IF(J$4=TODAY(),TRUE,FALSE)</formula>
    </cfRule>
    <cfRule type="expression" dxfId="380" priority="15">
      <formula>J$3="Sun"</formula>
    </cfRule>
  </conditionalFormatting>
  <conditionalFormatting sqref="S5">
    <cfRule type="cellIs" dxfId="379" priority="6" operator="equal">
      <formula>"L"</formula>
    </cfRule>
    <cfRule type="cellIs" dxfId="378" priority="7" operator="equal">
      <formula>"A"</formula>
    </cfRule>
    <cfRule type="cellIs" dxfId="377" priority="8" operator="equal">
      <formula>"P"</formula>
    </cfRule>
    <cfRule type="expression" dxfId="376" priority="9">
      <formula>IF(S$4=TODAY(),TRUE,FALSE)</formula>
    </cfRule>
    <cfRule type="expression" dxfId="375" priority="10">
      <formula>S$3="Sun"</formula>
    </cfRule>
  </conditionalFormatting>
  <conditionalFormatting sqref="X5">
    <cfRule type="cellIs" dxfId="374" priority="1" operator="equal">
      <formula>"L"</formula>
    </cfRule>
    <cfRule type="cellIs" dxfId="373" priority="2" operator="equal">
      <formula>"A"</formula>
    </cfRule>
    <cfRule type="cellIs" dxfId="372" priority="3" operator="equal">
      <formula>"P"</formula>
    </cfRule>
    <cfRule type="expression" dxfId="371" priority="4">
      <formula>IF(X$4=TODAY(),TRUE,FALSE)</formula>
    </cfRule>
    <cfRule type="expression" dxfId="370" priority="5">
      <formula>X$3="Sun"</formula>
    </cfRule>
  </conditionalFormatting>
  <conditionalFormatting sqref="AH3:AI3 AH5:AI59">
    <cfRule type="expression" dxfId="369" priority="33">
      <formula>#REF!="Sun"</formula>
    </cfRule>
  </conditionalFormatting>
  <conditionalFormatting sqref="AJ5:AJ9">
    <cfRule type="expression" dxfId="368" priority="24">
      <formula>AJ$3="Sun"</formula>
    </cfRule>
  </conditionalFormatting>
  <conditionalFormatting sqref="AJ12:AJ15">
    <cfRule type="expression" dxfId="367" priority="22">
      <formula>AJ$3="Sun"</formula>
    </cfRule>
  </conditionalFormatting>
  <conditionalFormatting sqref="AJ20:AJ23">
    <cfRule type="expression" dxfId="366" priority="21">
      <formula>AJ$3="Sun"</formula>
    </cfRule>
  </conditionalFormatting>
  <conditionalFormatting sqref="AJ4:AK4">
    <cfRule type="expression" dxfId="365" priority="25">
      <formula>AJ$3="Sun"</formula>
    </cfRule>
  </conditionalFormatting>
  <conditionalFormatting sqref="AK12:AM12 AK20:AM20">
    <cfRule type="expression" dxfId="364" priority="26">
      <formula>AK$3="Sun"</formula>
    </cfRule>
  </conditionalFormatting>
  <conditionalFormatting sqref="AM21">
    <cfRule type="expression" dxfId="363" priority="23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51"/>
  <sheetViews>
    <sheetView topLeftCell="E4" workbookViewId="0">
      <selection activeCell="X5" sqref="X5:X5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317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17" t="s">
        <v>0</v>
      </c>
      <c r="B3" s="117" t="s">
        <v>788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772</v>
      </c>
      <c r="C5" s="7" t="s">
        <v>318</v>
      </c>
      <c r="D5" s="7" t="s">
        <v>319</v>
      </c>
      <c r="E5" s="8" t="s">
        <v>320</v>
      </c>
      <c r="F5" s="118" t="s">
        <v>803</v>
      </c>
      <c r="G5" s="123" t="s">
        <v>321</v>
      </c>
      <c r="H5" s="97" t="s">
        <v>111</v>
      </c>
      <c r="I5" s="97" t="s">
        <v>111</v>
      </c>
      <c r="J5" s="118" t="s">
        <v>804</v>
      </c>
      <c r="K5" s="97" t="s">
        <v>111</v>
      </c>
      <c r="L5" s="97" t="s">
        <v>111</v>
      </c>
      <c r="M5" s="97" t="s">
        <v>111</v>
      </c>
      <c r="N5" s="123" t="s">
        <v>321</v>
      </c>
      <c r="O5" s="97" t="s">
        <v>111</v>
      </c>
      <c r="P5" s="97" t="s">
        <v>111</v>
      </c>
      <c r="Q5" s="97" t="s">
        <v>111</v>
      </c>
      <c r="R5" s="97" t="s">
        <v>798</v>
      </c>
      <c r="S5" s="118" t="s">
        <v>805</v>
      </c>
      <c r="T5" s="97" t="s">
        <v>798</v>
      </c>
      <c r="U5" s="123" t="s">
        <v>321</v>
      </c>
      <c r="V5" s="97" t="s">
        <v>798</v>
      </c>
      <c r="W5" s="97" t="s">
        <v>798</v>
      </c>
      <c r="X5" s="118" t="s">
        <v>806</v>
      </c>
      <c r="Y5" s="97" t="s">
        <v>798</v>
      </c>
      <c r="Z5" s="97" t="s">
        <v>111</v>
      </c>
      <c r="AA5" s="97" t="s">
        <v>111</v>
      </c>
      <c r="AB5" s="123" t="s">
        <v>321</v>
      </c>
      <c r="AC5" s="97" t="s">
        <v>111</v>
      </c>
      <c r="AD5" s="97" t="s">
        <v>798</v>
      </c>
      <c r="AE5" s="97" t="s">
        <v>798</v>
      </c>
      <c r="AF5" s="97" t="s">
        <v>111</v>
      </c>
      <c r="AG5" s="97" t="s">
        <v>111</v>
      </c>
      <c r="AH5" s="5">
        <f t="shared" ref="AH5:AH32" si="1">COUNTIF(F5:AG5,"P")</f>
        <v>13</v>
      </c>
      <c r="AI5" s="5">
        <f t="shared" ref="AI5:AI32" si="2">COUNTIF(F5:AG5,"A")</f>
        <v>7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673</v>
      </c>
      <c r="C6" s="7" t="s">
        <v>322</v>
      </c>
      <c r="D6" s="7" t="s">
        <v>323</v>
      </c>
      <c r="E6" s="8" t="s">
        <v>320</v>
      </c>
      <c r="F6" s="119"/>
      <c r="G6" s="124"/>
      <c r="H6" s="97" t="s">
        <v>111</v>
      </c>
      <c r="I6" s="97" t="s">
        <v>111</v>
      </c>
      <c r="J6" s="119"/>
      <c r="K6" s="97" t="s">
        <v>799</v>
      </c>
      <c r="L6" s="97" t="s">
        <v>799</v>
      </c>
      <c r="M6" s="97" t="s">
        <v>799</v>
      </c>
      <c r="N6" s="124"/>
      <c r="O6" s="97" t="s">
        <v>799</v>
      </c>
      <c r="P6" s="97" t="s">
        <v>799</v>
      </c>
      <c r="Q6" s="97" t="s">
        <v>799</v>
      </c>
      <c r="R6" s="97" t="s">
        <v>799</v>
      </c>
      <c r="S6" s="119"/>
      <c r="T6" s="97" t="s">
        <v>799</v>
      </c>
      <c r="U6" s="124"/>
      <c r="V6" s="97" t="s">
        <v>111</v>
      </c>
      <c r="W6" s="97" t="s">
        <v>111</v>
      </c>
      <c r="X6" s="119"/>
      <c r="Y6" s="97" t="s">
        <v>111</v>
      </c>
      <c r="Z6" s="97" t="s">
        <v>111</v>
      </c>
      <c r="AA6" s="97" t="s">
        <v>111</v>
      </c>
      <c r="AB6" s="124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12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523</v>
      </c>
      <c r="C7" s="7" t="s">
        <v>324</v>
      </c>
      <c r="D7" s="7" t="s">
        <v>241</v>
      </c>
      <c r="E7" s="8" t="s">
        <v>320</v>
      </c>
      <c r="F7" s="119"/>
      <c r="G7" s="124"/>
      <c r="H7" s="97" t="s">
        <v>111</v>
      </c>
      <c r="I7" s="97" t="s">
        <v>111</v>
      </c>
      <c r="J7" s="119"/>
      <c r="K7" s="97" t="s">
        <v>111</v>
      </c>
      <c r="L7" s="97" t="s">
        <v>111</v>
      </c>
      <c r="M7" s="97" t="s">
        <v>111</v>
      </c>
      <c r="N7" s="124"/>
      <c r="O7" s="97" t="s">
        <v>111</v>
      </c>
      <c r="P7" s="97" t="s">
        <v>111</v>
      </c>
      <c r="Q7" s="97" t="s">
        <v>111</v>
      </c>
      <c r="R7" s="97" t="s">
        <v>111</v>
      </c>
      <c r="S7" s="119"/>
      <c r="T7" s="97" t="s">
        <v>111</v>
      </c>
      <c r="U7" s="124"/>
      <c r="V7" s="97" t="s">
        <v>111</v>
      </c>
      <c r="W7" s="97" t="s">
        <v>111</v>
      </c>
      <c r="X7" s="119"/>
      <c r="Y7" s="97" t="s">
        <v>111</v>
      </c>
      <c r="Z7" s="97" t="s">
        <v>111</v>
      </c>
      <c r="AA7" s="97" t="s">
        <v>111</v>
      </c>
      <c r="AB7" s="124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20</v>
      </c>
      <c r="AI7" s="5">
        <f t="shared" si="2"/>
        <v>0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665</v>
      </c>
      <c r="C8" s="7" t="s">
        <v>227</v>
      </c>
      <c r="D8" s="7" t="s">
        <v>26</v>
      </c>
      <c r="E8" s="8" t="s">
        <v>320</v>
      </c>
      <c r="F8" s="119"/>
      <c r="G8" s="124"/>
      <c r="H8" s="97" t="s">
        <v>111</v>
      </c>
      <c r="I8" s="97" t="s">
        <v>111</v>
      </c>
      <c r="J8" s="119"/>
      <c r="K8" s="97" t="s">
        <v>111</v>
      </c>
      <c r="L8" s="97" t="s">
        <v>111</v>
      </c>
      <c r="M8" s="97" t="s">
        <v>111</v>
      </c>
      <c r="N8" s="124"/>
      <c r="O8" s="97" t="s">
        <v>111</v>
      </c>
      <c r="P8" s="97" t="s">
        <v>111</v>
      </c>
      <c r="Q8" s="97" t="s">
        <v>111</v>
      </c>
      <c r="R8" s="97" t="s">
        <v>111</v>
      </c>
      <c r="S8" s="119"/>
      <c r="T8" s="97" t="s">
        <v>798</v>
      </c>
      <c r="U8" s="124"/>
      <c r="V8" s="97" t="s">
        <v>111</v>
      </c>
      <c r="W8" s="97" t="s">
        <v>111</v>
      </c>
      <c r="X8" s="119"/>
      <c r="Y8" s="97" t="s">
        <v>111</v>
      </c>
      <c r="Z8" s="97" t="s">
        <v>798</v>
      </c>
      <c r="AA8" s="97" t="s">
        <v>111</v>
      </c>
      <c r="AB8" s="124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656</v>
      </c>
      <c r="C9" s="7" t="s">
        <v>262</v>
      </c>
      <c r="D9" s="7" t="s">
        <v>326</v>
      </c>
      <c r="E9" s="8" t="s">
        <v>320</v>
      </c>
      <c r="F9" s="119"/>
      <c r="G9" s="124"/>
      <c r="H9" s="97" t="s">
        <v>111</v>
      </c>
      <c r="I9" s="97" t="s">
        <v>111</v>
      </c>
      <c r="J9" s="119"/>
      <c r="K9" s="97" t="s">
        <v>111</v>
      </c>
      <c r="L9" s="97" t="s">
        <v>111</v>
      </c>
      <c r="M9" s="97" t="s">
        <v>111</v>
      </c>
      <c r="N9" s="124"/>
      <c r="O9" s="97" t="s">
        <v>111</v>
      </c>
      <c r="P9" s="97" t="s">
        <v>111</v>
      </c>
      <c r="Q9" s="97" t="s">
        <v>111</v>
      </c>
      <c r="R9" s="97" t="s">
        <v>111</v>
      </c>
      <c r="S9" s="119"/>
      <c r="T9" s="97" t="s">
        <v>111</v>
      </c>
      <c r="U9" s="124"/>
      <c r="V9" s="97" t="s">
        <v>798</v>
      </c>
      <c r="W9" s="97" t="s">
        <v>111</v>
      </c>
      <c r="X9" s="119"/>
      <c r="Y9" s="97" t="s">
        <v>111</v>
      </c>
      <c r="Z9" s="97" t="s">
        <v>111</v>
      </c>
      <c r="AA9" s="97" t="s">
        <v>111</v>
      </c>
      <c r="AB9" s="124"/>
      <c r="AC9" s="97" t="s">
        <v>111</v>
      </c>
      <c r="AD9" s="97" t="s">
        <v>111</v>
      </c>
      <c r="AE9" s="97" t="s">
        <v>798</v>
      </c>
      <c r="AF9" s="97" t="s">
        <v>111</v>
      </c>
      <c r="AG9" s="97" t="s">
        <v>111</v>
      </c>
      <c r="AH9" s="5">
        <f t="shared" si="1"/>
        <v>18</v>
      </c>
      <c r="AI9" s="5">
        <f t="shared" si="2"/>
        <v>2</v>
      </c>
      <c r="AJ9" s="5"/>
      <c r="AK9" s="9"/>
    </row>
    <row r="10" spans="1:39" ht="16.5" x14ac:dyDescent="0.25">
      <c r="A10" s="9">
        <v>6</v>
      </c>
      <c r="B10" s="11">
        <v>910</v>
      </c>
      <c r="C10" s="7" t="s">
        <v>262</v>
      </c>
      <c r="D10" s="7" t="s">
        <v>259</v>
      </c>
      <c r="E10" s="8" t="s">
        <v>320</v>
      </c>
      <c r="F10" s="119"/>
      <c r="G10" s="124"/>
      <c r="H10" s="97" t="s">
        <v>111</v>
      </c>
      <c r="I10" s="97" t="s">
        <v>111</v>
      </c>
      <c r="J10" s="119"/>
      <c r="K10" s="97" t="s">
        <v>111</v>
      </c>
      <c r="L10" s="97" t="s">
        <v>111</v>
      </c>
      <c r="M10" s="97" t="s">
        <v>111</v>
      </c>
      <c r="N10" s="124"/>
      <c r="O10" s="97" t="s">
        <v>111</v>
      </c>
      <c r="P10" s="97" t="s">
        <v>111</v>
      </c>
      <c r="Q10" s="97" t="s">
        <v>111</v>
      </c>
      <c r="R10" s="97" t="s">
        <v>111</v>
      </c>
      <c r="S10" s="119"/>
      <c r="T10" s="97" t="s">
        <v>111</v>
      </c>
      <c r="U10" s="124"/>
      <c r="V10" s="97" t="s">
        <v>111</v>
      </c>
      <c r="W10" s="97" t="s">
        <v>111</v>
      </c>
      <c r="X10" s="119"/>
      <c r="Y10" s="97" t="s">
        <v>111</v>
      </c>
      <c r="Z10" s="97" t="s">
        <v>799</v>
      </c>
      <c r="AA10" s="97" t="s">
        <v>111</v>
      </c>
      <c r="AB10" s="124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0</v>
      </c>
    </row>
    <row r="11" spans="1:39" ht="16.5" x14ac:dyDescent="0.25">
      <c r="A11" s="9">
        <v>7</v>
      </c>
      <c r="B11" s="11">
        <v>679</v>
      </c>
      <c r="C11" s="7" t="s">
        <v>134</v>
      </c>
      <c r="D11" s="7" t="s">
        <v>277</v>
      </c>
      <c r="E11" s="8" t="s">
        <v>320</v>
      </c>
      <c r="F11" s="119"/>
      <c r="G11" s="124"/>
      <c r="H11" s="97" t="s">
        <v>111</v>
      </c>
      <c r="I11" s="97" t="s">
        <v>111</v>
      </c>
      <c r="J11" s="119"/>
      <c r="K11" s="97" t="s">
        <v>111</v>
      </c>
      <c r="L11" s="97" t="s">
        <v>111</v>
      </c>
      <c r="M11" s="97" t="s">
        <v>111</v>
      </c>
      <c r="N11" s="124"/>
      <c r="O11" s="97" t="s">
        <v>111</v>
      </c>
      <c r="P11" s="97" t="s">
        <v>111</v>
      </c>
      <c r="Q11" s="97" t="s">
        <v>111</v>
      </c>
      <c r="R11" s="97" t="s">
        <v>111</v>
      </c>
      <c r="S11" s="119"/>
      <c r="T11" s="97" t="s">
        <v>111</v>
      </c>
      <c r="U11" s="124"/>
      <c r="V11" s="97" t="s">
        <v>111</v>
      </c>
      <c r="W11" s="97" t="s">
        <v>111</v>
      </c>
      <c r="X11" s="119"/>
      <c r="Y11" s="97" t="s">
        <v>111</v>
      </c>
      <c r="Z11" s="97" t="s">
        <v>111</v>
      </c>
      <c r="AA11" s="97" t="s">
        <v>111</v>
      </c>
      <c r="AB11" s="124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20</v>
      </c>
      <c r="AI11" s="5">
        <f t="shared" si="2"/>
        <v>0</v>
      </c>
      <c r="AJ11" s="120" t="s">
        <v>9</v>
      </c>
      <c r="AK11" s="121"/>
      <c r="AL11" s="121"/>
      <c r="AM11" s="122"/>
    </row>
    <row r="12" spans="1:39" ht="16.5" x14ac:dyDescent="0.25">
      <c r="A12" s="9">
        <v>8</v>
      </c>
      <c r="B12" s="11">
        <v>675</v>
      </c>
      <c r="C12" s="7" t="s">
        <v>91</v>
      </c>
      <c r="D12" s="7" t="s">
        <v>801</v>
      </c>
      <c r="E12" s="8" t="s">
        <v>320</v>
      </c>
      <c r="F12" s="119"/>
      <c r="G12" s="124"/>
      <c r="H12" s="97" t="s">
        <v>111</v>
      </c>
      <c r="I12" s="97" t="s">
        <v>111</v>
      </c>
      <c r="J12" s="119"/>
      <c r="K12" s="97" t="s">
        <v>111</v>
      </c>
      <c r="L12" s="97" t="s">
        <v>111</v>
      </c>
      <c r="M12" s="97" t="s">
        <v>111</v>
      </c>
      <c r="N12" s="124"/>
      <c r="O12" s="97" t="s">
        <v>111</v>
      </c>
      <c r="P12" s="97" t="s">
        <v>111</v>
      </c>
      <c r="Q12" s="97" t="s">
        <v>111</v>
      </c>
      <c r="R12" s="97" t="s">
        <v>111</v>
      </c>
      <c r="S12" s="119"/>
      <c r="T12" s="97" t="s">
        <v>111</v>
      </c>
      <c r="U12" s="124"/>
      <c r="V12" s="97" t="s">
        <v>111</v>
      </c>
      <c r="W12" s="97" t="s">
        <v>111</v>
      </c>
      <c r="X12" s="119"/>
      <c r="Y12" s="97" t="s">
        <v>111</v>
      </c>
      <c r="Z12" s="97" t="s">
        <v>111</v>
      </c>
      <c r="AA12" s="97" t="s">
        <v>111</v>
      </c>
      <c r="AB12" s="124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774</v>
      </c>
      <c r="C13" s="7" t="s">
        <v>328</v>
      </c>
      <c r="D13" s="7" t="s">
        <v>259</v>
      </c>
      <c r="E13" s="8" t="s">
        <v>320</v>
      </c>
      <c r="F13" s="119"/>
      <c r="G13" s="124"/>
      <c r="H13" s="97" t="s">
        <v>111</v>
      </c>
      <c r="I13" s="97" t="s">
        <v>111</v>
      </c>
      <c r="J13" s="119"/>
      <c r="K13" s="97" t="s">
        <v>111</v>
      </c>
      <c r="L13" s="97" t="s">
        <v>111</v>
      </c>
      <c r="M13" s="97" t="s">
        <v>798</v>
      </c>
      <c r="N13" s="124"/>
      <c r="O13" s="97" t="s">
        <v>111</v>
      </c>
      <c r="P13" s="97" t="s">
        <v>111</v>
      </c>
      <c r="Q13" s="97" t="s">
        <v>111</v>
      </c>
      <c r="R13" s="97" t="s">
        <v>111</v>
      </c>
      <c r="S13" s="119"/>
      <c r="T13" s="97" t="s">
        <v>111</v>
      </c>
      <c r="U13" s="124"/>
      <c r="V13" s="97" t="s">
        <v>111</v>
      </c>
      <c r="W13" s="97" t="s">
        <v>111</v>
      </c>
      <c r="X13" s="119"/>
      <c r="Y13" s="97" t="s">
        <v>111</v>
      </c>
      <c r="Z13" s="97" t="s">
        <v>111</v>
      </c>
      <c r="AA13" s="97" t="s">
        <v>111</v>
      </c>
      <c r="AB13" s="124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19</v>
      </c>
      <c r="AI13" s="5">
        <f t="shared" si="2"/>
        <v>1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98">
        <v>655</v>
      </c>
      <c r="C14" s="7" t="s">
        <v>329</v>
      </c>
      <c r="D14" s="7" t="s">
        <v>22</v>
      </c>
      <c r="E14" s="8" t="s">
        <v>320</v>
      </c>
      <c r="F14" s="119"/>
      <c r="G14" s="124"/>
      <c r="H14" s="97" t="s">
        <v>111</v>
      </c>
      <c r="I14" s="97" t="s">
        <v>111</v>
      </c>
      <c r="J14" s="119"/>
      <c r="K14" s="97" t="s">
        <v>111</v>
      </c>
      <c r="L14" s="97" t="s">
        <v>111</v>
      </c>
      <c r="M14" s="97" t="s">
        <v>111</v>
      </c>
      <c r="N14" s="124"/>
      <c r="O14" s="97" t="s">
        <v>111</v>
      </c>
      <c r="P14" s="97" t="s">
        <v>111</v>
      </c>
      <c r="Q14" s="97" t="s">
        <v>111</v>
      </c>
      <c r="R14" s="97" t="s">
        <v>111</v>
      </c>
      <c r="S14" s="119"/>
      <c r="T14" s="97" t="s">
        <v>111</v>
      </c>
      <c r="U14" s="124"/>
      <c r="V14" s="97" t="s">
        <v>111</v>
      </c>
      <c r="W14" s="97" t="s">
        <v>111</v>
      </c>
      <c r="X14" s="119"/>
      <c r="Y14" s="97" t="s">
        <v>111</v>
      </c>
      <c r="Z14" s="97" t="s">
        <v>111</v>
      </c>
      <c r="AA14" s="97" t="s">
        <v>111</v>
      </c>
      <c r="AB14" s="124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SUM(AH28:AH51)</f>
        <v>424</v>
      </c>
      <c r="AL14" s="9">
        <f>SUM(AH5:AH27)</f>
        <v>414</v>
      </c>
      <c r="AM14" s="9">
        <f>AK14+AL14</f>
        <v>838</v>
      </c>
    </row>
    <row r="15" spans="1:39" ht="16.5" x14ac:dyDescent="0.25">
      <c r="A15" s="9">
        <v>11</v>
      </c>
      <c r="B15" s="98">
        <v>653</v>
      </c>
      <c r="C15" s="7" t="s">
        <v>330</v>
      </c>
      <c r="D15" s="7" t="s">
        <v>331</v>
      </c>
      <c r="E15" s="8" t="s">
        <v>320</v>
      </c>
      <c r="F15" s="119"/>
      <c r="G15" s="124"/>
      <c r="H15" s="97" t="s">
        <v>111</v>
      </c>
      <c r="I15" s="97" t="s">
        <v>111</v>
      </c>
      <c r="J15" s="119"/>
      <c r="K15" s="97" t="s">
        <v>111</v>
      </c>
      <c r="L15" s="97" t="s">
        <v>111</v>
      </c>
      <c r="M15" s="97" t="s">
        <v>111</v>
      </c>
      <c r="N15" s="124"/>
      <c r="O15" s="97" t="s">
        <v>111</v>
      </c>
      <c r="P15" s="97" t="s">
        <v>111</v>
      </c>
      <c r="Q15" s="97" t="s">
        <v>111</v>
      </c>
      <c r="R15" s="97" t="s">
        <v>111</v>
      </c>
      <c r="S15" s="119"/>
      <c r="T15" s="97" t="s">
        <v>111</v>
      </c>
      <c r="U15" s="124"/>
      <c r="V15" s="97" t="s">
        <v>111</v>
      </c>
      <c r="W15" s="97" t="s">
        <v>111</v>
      </c>
      <c r="X15" s="119"/>
      <c r="Y15" s="97" t="s">
        <v>111</v>
      </c>
      <c r="Z15" s="97" t="s">
        <v>111</v>
      </c>
      <c r="AA15" s="97" t="s">
        <v>798</v>
      </c>
      <c r="AB15" s="124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19</v>
      </c>
      <c r="AI15" s="5">
        <f t="shared" si="2"/>
        <v>1</v>
      </c>
      <c r="AJ15" s="5" t="s">
        <v>16</v>
      </c>
      <c r="AK15" s="12">
        <f>AK14/AK13</f>
        <v>0.62721893491124259</v>
      </c>
      <c r="AL15" s="12">
        <f>AL14/AL13</f>
        <v>0.6124260355029586</v>
      </c>
      <c r="AM15" s="12">
        <f>AM14/AM13</f>
        <v>0.61982248520710059</v>
      </c>
    </row>
    <row r="16" spans="1:39" ht="16.5" x14ac:dyDescent="0.25">
      <c r="A16" s="9">
        <v>12</v>
      </c>
      <c r="B16" s="11">
        <v>657</v>
      </c>
      <c r="C16" s="7" t="s">
        <v>25</v>
      </c>
      <c r="D16" s="7" t="s">
        <v>288</v>
      </c>
      <c r="E16" s="8" t="s">
        <v>320</v>
      </c>
      <c r="F16" s="119"/>
      <c r="G16" s="124"/>
      <c r="H16" s="97" t="s">
        <v>111</v>
      </c>
      <c r="I16" s="97" t="s">
        <v>111</v>
      </c>
      <c r="J16" s="119"/>
      <c r="K16" s="97" t="s">
        <v>111</v>
      </c>
      <c r="L16" s="97" t="s">
        <v>111</v>
      </c>
      <c r="M16" s="97" t="s">
        <v>111</v>
      </c>
      <c r="N16" s="124"/>
      <c r="O16" s="97" t="s">
        <v>111</v>
      </c>
      <c r="P16" s="97" t="s">
        <v>111</v>
      </c>
      <c r="Q16" s="97" t="s">
        <v>111</v>
      </c>
      <c r="R16" s="97" t="s">
        <v>111</v>
      </c>
      <c r="S16" s="119"/>
      <c r="T16" s="97" t="s">
        <v>111</v>
      </c>
      <c r="U16" s="124"/>
      <c r="V16" s="97" t="s">
        <v>798</v>
      </c>
      <c r="W16" s="97" t="s">
        <v>111</v>
      </c>
      <c r="X16" s="119"/>
      <c r="Y16" s="97" t="s">
        <v>111</v>
      </c>
      <c r="Z16" s="97" t="s">
        <v>111</v>
      </c>
      <c r="AA16" s="97" t="s">
        <v>798</v>
      </c>
      <c r="AB16" s="124"/>
      <c r="AC16" s="97" t="s">
        <v>111</v>
      </c>
      <c r="AD16" s="97" t="s">
        <v>798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672</v>
      </c>
      <c r="C17" s="7" t="s">
        <v>332</v>
      </c>
      <c r="D17" s="7" t="s">
        <v>333</v>
      </c>
      <c r="E17" s="8" t="s">
        <v>320</v>
      </c>
      <c r="F17" s="119"/>
      <c r="G17" s="124"/>
      <c r="H17" s="97" t="s">
        <v>111</v>
      </c>
      <c r="I17" s="97" t="s">
        <v>111</v>
      </c>
      <c r="J17" s="119"/>
      <c r="K17" s="97" t="s">
        <v>111</v>
      </c>
      <c r="L17" s="97" t="s">
        <v>111</v>
      </c>
      <c r="M17" s="97" t="s">
        <v>111</v>
      </c>
      <c r="N17" s="124"/>
      <c r="O17" s="97" t="s">
        <v>798</v>
      </c>
      <c r="P17" s="97" t="s">
        <v>798</v>
      </c>
      <c r="Q17" s="97" t="s">
        <v>798</v>
      </c>
      <c r="R17" s="97" t="s">
        <v>111</v>
      </c>
      <c r="S17" s="119"/>
      <c r="T17" s="97" t="s">
        <v>111</v>
      </c>
      <c r="U17" s="124"/>
      <c r="V17" s="97" t="s">
        <v>111</v>
      </c>
      <c r="W17" s="97" t="s">
        <v>111</v>
      </c>
      <c r="X17" s="119"/>
      <c r="Y17" s="97" t="s">
        <v>798</v>
      </c>
      <c r="Z17" s="97" t="s">
        <v>111</v>
      </c>
      <c r="AA17" s="97" t="s">
        <v>798</v>
      </c>
      <c r="AB17" s="124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14</v>
      </c>
      <c r="AI17" s="5">
        <f t="shared" si="2"/>
        <v>6</v>
      </c>
      <c r="AJ17"/>
      <c r="AK17"/>
      <c r="AL17"/>
      <c r="AM17"/>
    </row>
    <row r="18" spans="1:39" ht="16.5" x14ac:dyDescent="0.25">
      <c r="A18" s="9">
        <v>14</v>
      </c>
      <c r="B18" s="11">
        <v>702</v>
      </c>
      <c r="C18" s="7" t="s">
        <v>334</v>
      </c>
      <c r="D18" s="7" t="s">
        <v>135</v>
      </c>
      <c r="E18" s="8" t="s">
        <v>320</v>
      </c>
      <c r="F18" s="119"/>
      <c r="G18" s="124"/>
      <c r="H18" s="97" t="s">
        <v>111</v>
      </c>
      <c r="I18" s="97" t="s">
        <v>111</v>
      </c>
      <c r="J18" s="119"/>
      <c r="K18" s="97" t="s">
        <v>111</v>
      </c>
      <c r="L18" s="97" t="s">
        <v>111</v>
      </c>
      <c r="M18" s="97" t="s">
        <v>111</v>
      </c>
      <c r="N18" s="124"/>
      <c r="O18" s="97" t="s">
        <v>111</v>
      </c>
      <c r="P18" s="97" t="s">
        <v>798</v>
      </c>
      <c r="Q18" s="97" t="s">
        <v>798</v>
      </c>
      <c r="R18" s="97" t="s">
        <v>798</v>
      </c>
      <c r="S18" s="119"/>
      <c r="T18" s="97" t="s">
        <v>798</v>
      </c>
      <c r="U18" s="124"/>
      <c r="V18" s="97" t="s">
        <v>798</v>
      </c>
      <c r="W18" s="97" t="s">
        <v>111</v>
      </c>
      <c r="X18" s="119"/>
      <c r="Y18" s="97" t="s">
        <v>798</v>
      </c>
      <c r="Z18" s="97" t="s">
        <v>798</v>
      </c>
      <c r="AA18" s="97" t="s">
        <v>798</v>
      </c>
      <c r="AB18" s="124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12</v>
      </c>
      <c r="AI18" s="5">
        <f t="shared" si="2"/>
        <v>8</v>
      </c>
      <c r="AJ18"/>
      <c r="AK18"/>
      <c r="AL18"/>
      <c r="AM18"/>
    </row>
    <row r="19" spans="1:39" ht="16.5" x14ac:dyDescent="0.25">
      <c r="A19" s="9">
        <v>15</v>
      </c>
      <c r="B19" s="11">
        <v>659</v>
      </c>
      <c r="C19" s="7" t="s">
        <v>335</v>
      </c>
      <c r="D19" s="7" t="s">
        <v>336</v>
      </c>
      <c r="E19" s="8" t="s">
        <v>320</v>
      </c>
      <c r="F19" s="119"/>
      <c r="G19" s="124"/>
      <c r="H19" s="97" t="s">
        <v>111</v>
      </c>
      <c r="I19" s="97" t="s">
        <v>111</v>
      </c>
      <c r="J19" s="119"/>
      <c r="K19" s="97" t="s">
        <v>111</v>
      </c>
      <c r="L19" s="97" t="s">
        <v>111</v>
      </c>
      <c r="M19" s="97" t="s">
        <v>798</v>
      </c>
      <c r="N19" s="124"/>
      <c r="O19" s="97" t="s">
        <v>111</v>
      </c>
      <c r="P19" s="97" t="s">
        <v>111</v>
      </c>
      <c r="Q19" s="97" t="s">
        <v>111</v>
      </c>
      <c r="R19" s="97" t="s">
        <v>111</v>
      </c>
      <c r="S19" s="119"/>
      <c r="T19" s="97" t="s">
        <v>111</v>
      </c>
      <c r="U19" s="124"/>
      <c r="V19" s="97" t="s">
        <v>111</v>
      </c>
      <c r="W19" s="97" t="s">
        <v>111</v>
      </c>
      <c r="X19" s="119"/>
      <c r="Y19" s="97" t="s">
        <v>111</v>
      </c>
      <c r="Z19" s="97" t="s">
        <v>111</v>
      </c>
      <c r="AA19" s="97" t="s">
        <v>111</v>
      </c>
      <c r="AB19" s="124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20" t="s">
        <v>123</v>
      </c>
      <c r="AK19" s="121"/>
      <c r="AL19" s="121"/>
      <c r="AM19" s="122"/>
    </row>
    <row r="20" spans="1:39" ht="16.5" x14ac:dyDescent="0.25">
      <c r="A20" s="9">
        <v>16</v>
      </c>
      <c r="B20" s="11">
        <v>661</v>
      </c>
      <c r="C20" s="7" t="s">
        <v>337</v>
      </c>
      <c r="D20" s="7" t="s">
        <v>338</v>
      </c>
      <c r="E20" s="8" t="s">
        <v>320</v>
      </c>
      <c r="F20" s="119"/>
      <c r="G20" s="124"/>
      <c r="H20" s="97" t="s">
        <v>111</v>
      </c>
      <c r="I20" s="97" t="s">
        <v>111</v>
      </c>
      <c r="J20" s="119"/>
      <c r="K20" s="97" t="s">
        <v>111</v>
      </c>
      <c r="L20" s="97" t="s">
        <v>111</v>
      </c>
      <c r="M20" s="97" t="s">
        <v>111</v>
      </c>
      <c r="N20" s="124"/>
      <c r="O20" s="97" t="s">
        <v>111</v>
      </c>
      <c r="P20" s="97" t="s">
        <v>111</v>
      </c>
      <c r="Q20" s="97" t="s">
        <v>111</v>
      </c>
      <c r="R20" s="97" t="s">
        <v>111</v>
      </c>
      <c r="S20" s="119"/>
      <c r="T20" s="97" t="s">
        <v>111</v>
      </c>
      <c r="U20" s="124"/>
      <c r="V20" s="97" t="s">
        <v>111</v>
      </c>
      <c r="W20" s="97" t="s">
        <v>111</v>
      </c>
      <c r="X20" s="119"/>
      <c r="Y20" s="97" t="s">
        <v>111</v>
      </c>
      <c r="Z20" s="97" t="s">
        <v>111</v>
      </c>
      <c r="AA20" s="97" t="s">
        <v>111</v>
      </c>
      <c r="AB20" s="124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20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522</v>
      </c>
      <c r="C21" s="7" t="s">
        <v>339</v>
      </c>
      <c r="D21" s="7" t="s">
        <v>222</v>
      </c>
      <c r="E21" s="8" t="s">
        <v>320</v>
      </c>
      <c r="F21" s="119"/>
      <c r="G21" s="124"/>
      <c r="H21" s="97" t="s">
        <v>111</v>
      </c>
      <c r="I21" s="97" t="s">
        <v>111</v>
      </c>
      <c r="J21" s="119"/>
      <c r="K21" s="97" t="s">
        <v>111</v>
      </c>
      <c r="L21" s="97" t="s">
        <v>111</v>
      </c>
      <c r="M21" s="97" t="s">
        <v>111</v>
      </c>
      <c r="N21" s="124"/>
      <c r="O21" s="97" t="s">
        <v>111</v>
      </c>
      <c r="P21" s="97" t="s">
        <v>111</v>
      </c>
      <c r="Q21" s="97" t="s">
        <v>111</v>
      </c>
      <c r="R21" s="97" t="s">
        <v>111</v>
      </c>
      <c r="S21" s="119"/>
      <c r="T21" s="97" t="s">
        <v>798</v>
      </c>
      <c r="U21" s="124"/>
      <c r="V21" s="97" t="s">
        <v>111</v>
      </c>
      <c r="W21" s="97" t="s">
        <v>111</v>
      </c>
      <c r="X21" s="119"/>
      <c r="Y21" s="97" t="s">
        <v>111</v>
      </c>
      <c r="Z21" s="97" t="s">
        <v>111</v>
      </c>
      <c r="AA21" s="97" t="s">
        <v>111</v>
      </c>
      <c r="AB21" s="124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>
        <v>654</v>
      </c>
      <c r="C22" s="7" t="s">
        <v>340</v>
      </c>
      <c r="D22" s="7" t="s">
        <v>131</v>
      </c>
      <c r="E22" s="8" t="s">
        <v>320</v>
      </c>
      <c r="F22" s="119"/>
      <c r="G22" s="124"/>
      <c r="H22" s="97" t="s">
        <v>111</v>
      </c>
      <c r="I22" s="97" t="s">
        <v>111</v>
      </c>
      <c r="J22" s="119"/>
      <c r="K22" s="97" t="s">
        <v>111</v>
      </c>
      <c r="L22" s="97" t="s">
        <v>111</v>
      </c>
      <c r="M22" s="97" t="s">
        <v>111</v>
      </c>
      <c r="N22" s="124"/>
      <c r="O22" s="97" t="s">
        <v>111</v>
      </c>
      <c r="P22" s="97" t="s">
        <v>111</v>
      </c>
      <c r="Q22" s="97" t="s">
        <v>111</v>
      </c>
      <c r="R22" s="97" t="s">
        <v>111</v>
      </c>
      <c r="S22" s="119"/>
      <c r="T22" s="97" t="s">
        <v>111</v>
      </c>
      <c r="U22" s="124"/>
      <c r="V22" s="97" t="s">
        <v>111</v>
      </c>
      <c r="W22" s="97" t="s">
        <v>111</v>
      </c>
      <c r="X22" s="119"/>
      <c r="Y22" s="97" t="s">
        <v>111</v>
      </c>
      <c r="Z22" s="97" t="s">
        <v>111</v>
      </c>
      <c r="AA22" s="97" t="s">
        <v>111</v>
      </c>
      <c r="AB22" s="124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20</v>
      </c>
      <c r="AI22" s="5">
        <f t="shared" si="2"/>
        <v>0</v>
      </c>
      <c r="AJ22" s="5" t="s">
        <v>17</v>
      </c>
      <c r="AK22" s="9">
        <f>AK21-AK14</f>
        <v>252</v>
      </c>
      <c r="AL22" s="9">
        <f>AL21-AL14</f>
        <v>262</v>
      </c>
      <c r="AM22" s="9">
        <f>AK22+AL22</f>
        <v>514</v>
      </c>
    </row>
    <row r="23" spans="1:39" ht="16.5" x14ac:dyDescent="0.25">
      <c r="A23" s="9">
        <v>19</v>
      </c>
      <c r="B23" s="11">
        <v>660</v>
      </c>
      <c r="C23" s="7" t="s">
        <v>341</v>
      </c>
      <c r="D23" s="7" t="s">
        <v>342</v>
      </c>
      <c r="E23" s="8" t="s">
        <v>320</v>
      </c>
      <c r="F23" s="119"/>
      <c r="G23" s="124"/>
      <c r="H23" s="97" t="s">
        <v>111</v>
      </c>
      <c r="I23" s="97" t="s">
        <v>111</v>
      </c>
      <c r="J23" s="119"/>
      <c r="K23" s="97" t="s">
        <v>111</v>
      </c>
      <c r="L23" s="97" t="s">
        <v>111</v>
      </c>
      <c r="M23" s="97" t="s">
        <v>111</v>
      </c>
      <c r="N23" s="124"/>
      <c r="O23" s="97" t="s">
        <v>111</v>
      </c>
      <c r="P23" s="97" t="s">
        <v>111</v>
      </c>
      <c r="Q23" s="97" t="s">
        <v>111</v>
      </c>
      <c r="R23" s="97" t="s">
        <v>111</v>
      </c>
      <c r="S23" s="119"/>
      <c r="T23" s="97" t="s">
        <v>111</v>
      </c>
      <c r="U23" s="124"/>
      <c r="V23" s="97" t="s">
        <v>111</v>
      </c>
      <c r="W23" s="97" t="s">
        <v>111</v>
      </c>
      <c r="X23" s="119"/>
      <c r="Y23" s="97" t="s">
        <v>111</v>
      </c>
      <c r="Z23" s="97" t="s">
        <v>111</v>
      </c>
      <c r="AA23" s="97" t="s">
        <v>111</v>
      </c>
      <c r="AB23" s="124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0.37278106508875741</v>
      </c>
      <c r="AL23" s="12">
        <f>AL22/AL21</f>
        <v>0.3875739644970414</v>
      </c>
      <c r="AM23" s="12">
        <f>AM22/AM21</f>
        <v>0.38017751479289941</v>
      </c>
    </row>
    <row r="24" spans="1:39" ht="16.5" x14ac:dyDescent="0.25">
      <c r="A24" s="9">
        <v>20</v>
      </c>
      <c r="B24" s="11">
        <v>841</v>
      </c>
      <c r="C24" s="7" t="s">
        <v>343</v>
      </c>
      <c r="D24" s="7" t="s">
        <v>344</v>
      </c>
      <c r="E24" s="8" t="s">
        <v>320</v>
      </c>
      <c r="F24" s="119"/>
      <c r="G24" s="124"/>
      <c r="H24" s="97" t="s">
        <v>111</v>
      </c>
      <c r="I24" s="97" t="s">
        <v>111</v>
      </c>
      <c r="J24" s="119"/>
      <c r="K24" s="97" t="s">
        <v>111</v>
      </c>
      <c r="L24" s="97" t="s">
        <v>111</v>
      </c>
      <c r="M24" s="97" t="s">
        <v>111</v>
      </c>
      <c r="N24" s="124"/>
      <c r="O24" s="97" t="s">
        <v>111</v>
      </c>
      <c r="P24" s="97" t="s">
        <v>111</v>
      </c>
      <c r="Q24" s="97" t="s">
        <v>111</v>
      </c>
      <c r="R24" s="97" t="s">
        <v>111</v>
      </c>
      <c r="S24" s="119"/>
      <c r="T24" s="97" t="s">
        <v>798</v>
      </c>
      <c r="U24" s="124"/>
      <c r="V24" s="97" t="s">
        <v>111</v>
      </c>
      <c r="W24" s="97" t="s">
        <v>798</v>
      </c>
      <c r="X24" s="119"/>
      <c r="Y24" s="97" t="s">
        <v>111</v>
      </c>
      <c r="Z24" s="97" t="s">
        <v>111</v>
      </c>
      <c r="AA24" s="97" t="s">
        <v>111</v>
      </c>
      <c r="AB24" s="124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18</v>
      </c>
      <c r="AI24" s="5">
        <f t="shared" si="2"/>
        <v>2</v>
      </c>
    </row>
    <row r="25" spans="1:39" ht="16.5" x14ac:dyDescent="0.25">
      <c r="A25" s="9">
        <v>21</v>
      </c>
      <c r="B25" s="11">
        <v>676</v>
      </c>
      <c r="C25" s="7" t="s">
        <v>345</v>
      </c>
      <c r="D25" s="7" t="s">
        <v>135</v>
      </c>
      <c r="E25" s="8" t="s">
        <v>320</v>
      </c>
      <c r="F25" s="119"/>
      <c r="G25" s="124"/>
      <c r="H25" s="97" t="s">
        <v>111</v>
      </c>
      <c r="I25" s="97" t="s">
        <v>798</v>
      </c>
      <c r="J25" s="119"/>
      <c r="K25" s="97" t="s">
        <v>111</v>
      </c>
      <c r="L25" s="97" t="s">
        <v>111</v>
      </c>
      <c r="M25" s="97" t="s">
        <v>111</v>
      </c>
      <c r="N25" s="124"/>
      <c r="O25" s="97" t="s">
        <v>111</v>
      </c>
      <c r="P25" s="97" t="s">
        <v>111</v>
      </c>
      <c r="Q25" s="97" t="s">
        <v>111</v>
      </c>
      <c r="R25" s="97" t="s">
        <v>111</v>
      </c>
      <c r="S25" s="119"/>
      <c r="T25" s="97" t="s">
        <v>111</v>
      </c>
      <c r="U25" s="124"/>
      <c r="V25" s="97" t="s">
        <v>111</v>
      </c>
      <c r="W25" s="97" t="s">
        <v>111</v>
      </c>
      <c r="X25" s="119"/>
      <c r="Y25" s="97" t="s">
        <v>111</v>
      </c>
      <c r="Z25" s="97" t="s">
        <v>111</v>
      </c>
      <c r="AA25" s="97" t="s">
        <v>111</v>
      </c>
      <c r="AB25" s="124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19</v>
      </c>
      <c r="AI25" s="5">
        <f t="shared" si="2"/>
        <v>1</v>
      </c>
    </row>
    <row r="26" spans="1:39" ht="16.5" x14ac:dyDescent="0.25">
      <c r="A26" s="9">
        <v>22</v>
      </c>
      <c r="B26" s="11">
        <v>658</v>
      </c>
      <c r="C26" s="7" t="s">
        <v>346</v>
      </c>
      <c r="D26" s="7" t="s">
        <v>133</v>
      </c>
      <c r="E26" s="8" t="s">
        <v>320</v>
      </c>
      <c r="F26" s="119"/>
      <c r="G26" s="124"/>
      <c r="H26" s="97" t="s">
        <v>111</v>
      </c>
      <c r="I26" s="97" t="s">
        <v>111</v>
      </c>
      <c r="J26" s="119"/>
      <c r="K26" s="97" t="s">
        <v>111</v>
      </c>
      <c r="L26" s="97" t="s">
        <v>111</v>
      </c>
      <c r="M26" s="97" t="s">
        <v>111</v>
      </c>
      <c r="N26" s="124"/>
      <c r="O26" s="97" t="s">
        <v>111</v>
      </c>
      <c r="P26" s="97" t="s">
        <v>111</v>
      </c>
      <c r="Q26" s="97" t="s">
        <v>111</v>
      </c>
      <c r="R26" s="97" t="s">
        <v>111</v>
      </c>
      <c r="S26" s="119"/>
      <c r="T26" s="97" t="s">
        <v>111</v>
      </c>
      <c r="U26" s="124"/>
      <c r="V26" s="97" t="s">
        <v>111</v>
      </c>
      <c r="W26" s="97" t="s">
        <v>111</v>
      </c>
      <c r="X26" s="119"/>
      <c r="Y26" s="97" t="s">
        <v>111</v>
      </c>
      <c r="Z26" s="97" t="s">
        <v>798</v>
      </c>
      <c r="AA26" s="97" t="s">
        <v>111</v>
      </c>
      <c r="AB26" s="124"/>
      <c r="AC26" s="97" t="s">
        <v>111</v>
      </c>
      <c r="AD26" s="97" t="s">
        <v>798</v>
      </c>
      <c r="AE26" s="97" t="s">
        <v>111</v>
      </c>
      <c r="AF26" s="97" t="s">
        <v>111</v>
      </c>
      <c r="AG26" s="97" t="s">
        <v>111</v>
      </c>
      <c r="AH26" s="5">
        <f t="shared" si="1"/>
        <v>18</v>
      </c>
      <c r="AI26" s="5">
        <f t="shared" si="2"/>
        <v>2</v>
      </c>
    </row>
    <row r="27" spans="1:39" ht="16.5" x14ac:dyDescent="0.25">
      <c r="A27" s="9">
        <v>23</v>
      </c>
      <c r="B27" s="11">
        <v>785</v>
      </c>
      <c r="C27" s="7" t="s">
        <v>257</v>
      </c>
      <c r="D27" s="7" t="s">
        <v>179</v>
      </c>
      <c r="E27" s="8" t="s">
        <v>320</v>
      </c>
      <c r="F27" s="119"/>
      <c r="G27" s="124"/>
      <c r="H27" s="97" t="s">
        <v>111</v>
      </c>
      <c r="I27" s="97" t="s">
        <v>111</v>
      </c>
      <c r="J27" s="119"/>
      <c r="K27" s="97" t="s">
        <v>111</v>
      </c>
      <c r="L27" s="97" t="s">
        <v>111</v>
      </c>
      <c r="M27" s="97" t="s">
        <v>111</v>
      </c>
      <c r="N27" s="124"/>
      <c r="O27" s="97" t="s">
        <v>111</v>
      </c>
      <c r="P27" s="97" t="s">
        <v>111</v>
      </c>
      <c r="Q27" s="97" t="s">
        <v>111</v>
      </c>
      <c r="R27" s="97" t="s">
        <v>111</v>
      </c>
      <c r="S27" s="119"/>
      <c r="T27" s="97" t="s">
        <v>111</v>
      </c>
      <c r="U27" s="124"/>
      <c r="V27" s="97" t="s">
        <v>111</v>
      </c>
      <c r="W27" s="97" t="s">
        <v>111</v>
      </c>
      <c r="X27" s="119"/>
      <c r="Y27" s="97" t="s">
        <v>111</v>
      </c>
      <c r="Z27" s="97" t="s">
        <v>111</v>
      </c>
      <c r="AA27" s="97" t="s">
        <v>111</v>
      </c>
      <c r="AB27" s="124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customHeight="1" x14ac:dyDescent="0.25">
      <c r="A28" s="9">
        <v>1</v>
      </c>
      <c r="B28" s="11">
        <v>784</v>
      </c>
      <c r="C28" s="18" t="s">
        <v>347</v>
      </c>
      <c r="D28" s="19" t="s">
        <v>348</v>
      </c>
      <c r="E28" s="20" t="s">
        <v>320</v>
      </c>
      <c r="F28" s="119"/>
      <c r="G28" s="124"/>
      <c r="H28" s="97" t="s">
        <v>111</v>
      </c>
      <c r="I28" s="97" t="s">
        <v>111</v>
      </c>
      <c r="J28" s="119"/>
      <c r="K28" s="97" t="s">
        <v>111</v>
      </c>
      <c r="L28" s="97" t="s">
        <v>111</v>
      </c>
      <c r="M28" s="97" t="s">
        <v>111</v>
      </c>
      <c r="N28" s="124"/>
      <c r="O28" s="97" t="s">
        <v>111</v>
      </c>
      <c r="P28" s="97" t="s">
        <v>111</v>
      </c>
      <c r="Q28" s="97" t="s">
        <v>111</v>
      </c>
      <c r="R28" s="97" t="s">
        <v>111</v>
      </c>
      <c r="S28" s="119"/>
      <c r="T28" s="97" t="s">
        <v>111</v>
      </c>
      <c r="U28" s="124"/>
      <c r="V28" s="97" t="s">
        <v>111</v>
      </c>
      <c r="W28" s="97" t="s">
        <v>111</v>
      </c>
      <c r="X28" s="119"/>
      <c r="Y28" s="97" t="s">
        <v>111</v>
      </c>
      <c r="Z28" s="97" t="s">
        <v>111</v>
      </c>
      <c r="AA28" s="97" t="s">
        <v>111</v>
      </c>
      <c r="AB28" s="124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19</v>
      </c>
      <c r="AI28" s="5">
        <f t="shared" si="2"/>
        <v>1</v>
      </c>
    </row>
    <row r="29" spans="1:39" ht="16.5" x14ac:dyDescent="0.25">
      <c r="A29" s="9">
        <v>2</v>
      </c>
      <c r="B29" s="11">
        <v>700</v>
      </c>
      <c r="C29" s="18" t="s">
        <v>22</v>
      </c>
      <c r="D29" s="19" t="s">
        <v>222</v>
      </c>
      <c r="E29" s="20" t="s">
        <v>320</v>
      </c>
      <c r="F29" s="119"/>
      <c r="G29" s="124"/>
      <c r="H29" s="97" t="s">
        <v>111</v>
      </c>
      <c r="I29" s="97" t="s">
        <v>111</v>
      </c>
      <c r="J29" s="119"/>
      <c r="K29" s="97" t="s">
        <v>111</v>
      </c>
      <c r="L29" s="97" t="s">
        <v>111</v>
      </c>
      <c r="M29" s="97" t="s">
        <v>111</v>
      </c>
      <c r="N29" s="124"/>
      <c r="O29" s="97" t="s">
        <v>111</v>
      </c>
      <c r="P29" s="97" t="s">
        <v>111</v>
      </c>
      <c r="Q29" s="97" t="s">
        <v>111</v>
      </c>
      <c r="R29" s="97" t="s">
        <v>111</v>
      </c>
      <c r="S29" s="119"/>
      <c r="T29" s="97" t="s">
        <v>111</v>
      </c>
      <c r="U29" s="124"/>
      <c r="V29" s="97" t="s">
        <v>111</v>
      </c>
      <c r="W29" s="97" t="s">
        <v>111</v>
      </c>
      <c r="X29" s="119"/>
      <c r="Y29" s="97" t="s">
        <v>111</v>
      </c>
      <c r="Z29" s="97" t="s">
        <v>111</v>
      </c>
      <c r="AA29" s="97" t="s">
        <v>111</v>
      </c>
      <c r="AB29" s="124"/>
      <c r="AC29" s="97" t="s">
        <v>111</v>
      </c>
      <c r="AD29" s="97" t="s">
        <v>111</v>
      </c>
      <c r="AE29" s="97" t="s">
        <v>111</v>
      </c>
      <c r="AF29" s="97" t="s">
        <v>798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3</v>
      </c>
      <c r="B30" s="11">
        <v>680</v>
      </c>
      <c r="C30" s="18" t="s">
        <v>349</v>
      </c>
      <c r="D30" s="19" t="s">
        <v>327</v>
      </c>
      <c r="E30" s="20" t="s">
        <v>320</v>
      </c>
      <c r="F30" s="119"/>
      <c r="G30" s="124"/>
      <c r="H30" s="97" t="s">
        <v>111</v>
      </c>
      <c r="I30" s="97" t="s">
        <v>111</v>
      </c>
      <c r="J30" s="119"/>
      <c r="K30" s="97" t="s">
        <v>111</v>
      </c>
      <c r="L30" s="97" t="s">
        <v>111</v>
      </c>
      <c r="M30" s="97" t="s">
        <v>111</v>
      </c>
      <c r="N30" s="124"/>
      <c r="O30" s="97" t="s">
        <v>111</v>
      </c>
      <c r="P30" s="97" t="s">
        <v>111</v>
      </c>
      <c r="Q30" s="97" t="s">
        <v>111</v>
      </c>
      <c r="R30" s="97" t="s">
        <v>111</v>
      </c>
      <c r="S30" s="119"/>
      <c r="T30" s="97" t="s">
        <v>798</v>
      </c>
      <c r="U30" s="124"/>
      <c r="V30" s="97" t="s">
        <v>798</v>
      </c>
      <c r="W30" s="97" t="s">
        <v>111</v>
      </c>
      <c r="X30" s="119"/>
      <c r="Y30" s="97" t="s">
        <v>798</v>
      </c>
      <c r="Z30" s="97" t="s">
        <v>111</v>
      </c>
      <c r="AA30" s="97" t="s">
        <v>798</v>
      </c>
      <c r="AB30" s="124"/>
      <c r="AC30" s="97" t="s">
        <v>798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15</v>
      </c>
      <c r="AI30" s="5">
        <f t="shared" si="2"/>
        <v>5</v>
      </c>
    </row>
    <row r="31" spans="1:39" ht="16.5" x14ac:dyDescent="0.25">
      <c r="A31" s="9">
        <v>4</v>
      </c>
      <c r="B31" s="11">
        <v>650</v>
      </c>
      <c r="C31" s="18" t="s">
        <v>113</v>
      </c>
      <c r="D31" s="19" t="s">
        <v>350</v>
      </c>
      <c r="E31" s="20" t="s">
        <v>320</v>
      </c>
      <c r="F31" s="119"/>
      <c r="G31" s="124"/>
      <c r="H31" s="97" t="s">
        <v>111</v>
      </c>
      <c r="I31" s="97" t="s">
        <v>111</v>
      </c>
      <c r="J31" s="119"/>
      <c r="K31" s="97" t="s">
        <v>111</v>
      </c>
      <c r="L31" s="97" t="s">
        <v>111</v>
      </c>
      <c r="M31" s="97" t="s">
        <v>111</v>
      </c>
      <c r="N31" s="124"/>
      <c r="O31" s="97" t="s">
        <v>111</v>
      </c>
      <c r="P31" s="97" t="s">
        <v>111</v>
      </c>
      <c r="Q31" s="97" t="s">
        <v>111</v>
      </c>
      <c r="R31" s="97" t="s">
        <v>111</v>
      </c>
      <c r="S31" s="119"/>
      <c r="T31" s="97" t="s">
        <v>111</v>
      </c>
      <c r="U31" s="124"/>
      <c r="V31" s="97" t="s">
        <v>111</v>
      </c>
      <c r="W31" s="97" t="s">
        <v>111</v>
      </c>
      <c r="X31" s="119"/>
      <c r="Y31" s="97" t="s">
        <v>798</v>
      </c>
      <c r="Z31" s="97" t="s">
        <v>798</v>
      </c>
      <c r="AA31" s="97" t="s">
        <v>111</v>
      </c>
      <c r="AB31" s="124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18</v>
      </c>
      <c r="AI31" s="5">
        <f t="shared" si="2"/>
        <v>2</v>
      </c>
    </row>
    <row r="32" spans="1:39" ht="16.5" x14ac:dyDescent="0.25">
      <c r="A32" s="9">
        <v>5</v>
      </c>
      <c r="B32" s="11">
        <v>911</v>
      </c>
      <c r="C32" s="18" t="s">
        <v>352</v>
      </c>
      <c r="D32" s="19" t="s">
        <v>353</v>
      </c>
      <c r="E32" s="20" t="s">
        <v>320</v>
      </c>
      <c r="F32" s="119"/>
      <c r="G32" s="124"/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111</v>
      </c>
      <c r="N32" s="124"/>
      <c r="O32" s="97" t="s">
        <v>111</v>
      </c>
      <c r="P32" s="97" t="s">
        <v>111</v>
      </c>
      <c r="Q32" s="97" t="s">
        <v>111</v>
      </c>
      <c r="R32" s="97" t="s">
        <v>111</v>
      </c>
      <c r="S32" s="119"/>
      <c r="T32" s="97" t="s">
        <v>111</v>
      </c>
      <c r="U32" s="124"/>
      <c r="V32" s="97" t="s">
        <v>111</v>
      </c>
      <c r="W32" s="97" t="s">
        <v>111</v>
      </c>
      <c r="X32" s="119"/>
      <c r="Y32" s="97" t="s">
        <v>111</v>
      </c>
      <c r="Z32" s="97" t="s">
        <v>111</v>
      </c>
      <c r="AA32" s="97" t="s">
        <v>111</v>
      </c>
      <c r="AB32" s="124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20</v>
      </c>
      <c r="AI32" s="5">
        <f t="shared" si="2"/>
        <v>0</v>
      </c>
    </row>
    <row r="33" spans="1:35" ht="16.5" x14ac:dyDescent="0.25">
      <c r="A33" s="9">
        <v>6</v>
      </c>
      <c r="B33" s="11">
        <v>683</v>
      </c>
      <c r="C33" s="18" t="s">
        <v>354</v>
      </c>
      <c r="D33" s="19" t="s">
        <v>355</v>
      </c>
      <c r="E33" s="20" t="s">
        <v>320</v>
      </c>
      <c r="F33" s="119"/>
      <c r="G33" s="124"/>
      <c r="H33" s="97" t="s">
        <v>111</v>
      </c>
      <c r="I33" s="97" t="s">
        <v>111</v>
      </c>
      <c r="J33" s="119"/>
      <c r="K33" s="97" t="s">
        <v>111</v>
      </c>
      <c r="L33" s="97" t="s">
        <v>111</v>
      </c>
      <c r="M33" s="97" t="s">
        <v>111</v>
      </c>
      <c r="N33" s="124"/>
      <c r="O33" s="97" t="s">
        <v>111</v>
      </c>
      <c r="P33" s="97" t="s">
        <v>111</v>
      </c>
      <c r="Q33" s="97" t="s">
        <v>111</v>
      </c>
      <c r="R33" s="97" t="s">
        <v>111</v>
      </c>
      <c r="S33" s="119"/>
      <c r="T33" s="97" t="s">
        <v>111</v>
      </c>
      <c r="U33" s="124"/>
      <c r="V33" s="97" t="s">
        <v>111</v>
      </c>
      <c r="W33" s="97" t="s">
        <v>111</v>
      </c>
      <c r="X33" s="119"/>
      <c r="Y33" s="97" t="s">
        <v>111</v>
      </c>
      <c r="Z33" s="97" t="s">
        <v>111</v>
      </c>
      <c r="AA33" s="97" t="s">
        <v>111</v>
      </c>
      <c r="AB33" s="124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ref="AH33:AH51" si="3">COUNTIF(F33:AG33,"P")</f>
        <v>20</v>
      </c>
      <c r="AI33" s="5">
        <f t="shared" ref="AI33:AI51" si="4">COUNTIF(F33:AG33,"A")</f>
        <v>0</v>
      </c>
    </row>
    <row r="34" spans="1:35" ht="16.5" x14ac:dyDescent="0.25">
      <c r="A34" s="9">
        <v>7</v>
      </c>
      <c r="B34" s="11">
        <v>662</v>
      </c>
      <c r="C34" s="18" t="s">
        <v>356</v>
      </c>
      <c r="D34" s="19" t="s">
        <v>357</v>
      </c>
      <c r="E34" s="20" t="s">
        <v>320</v>
      </c>
      <c r="F34" s="119"/>
      <c r="G34" s="124"/>
      <c r="H34" s="97" t="s">
        <v>798</v>
      </c>
      <c r="I34" s="97" t="s">
        <v>798</v>
      </c>
      <c r="J34" s="119"/>
      <c r="K34" s="97" t="s">
        <v>111</v>
      </c>
      <c r="L34" s="97" t="s">
        <v>798</v>
      </c>
      <c r="M34" s="97" t="s">
        <v>111</v>
      </c>
      <c r="N34" s="124"/>
      <c r="O34" s="97" t="s">
        <v>798</v>
      </c>
      <c r="P34" s="97" t="s">
        <v>111</v>
      </c>
      <c r="Q34" s="97" t="s">
        <v>111</v>
      </c>
      <c r="R34" s="97" t="s">
        <v>111</v>
      </c>
      <c r="S34" s="119"/>
      <c r="T34" s="97" t="s">
        <v>111</v>
      </c>
      <c r="U34" s="124"/>
      <c r="V34" s="97" t="s">
        <v>111</v>
      </c>
      <c r="W34" s="97" t="s">
        <v>111</v>
      </c>
      <c r="X34" s="119"/>
      <c r="Y34" s="97" t="s">
        <v>111</v>
      </c>
      <c r="Z34" s="97" t="s">
        <v>111</v>
      </c>
      <c r="AA34" s="97" t="s">
        <v>111</v>
      </c>
      <c r="AB34" s="124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3"/>
        <v>16</v>
      </c>
      <c r="AI34" s="5">
        <f t="shared" si="4"/>
        <v>4</v>
      </c>
    </row>
    <row r="35" spans="1:35" ht="16.5" x14ac:dyDescent="0.25">
      <c r="A35" s="9">
        <v>8</v>
      </c>
      <c r="B35" s="11">
        <v>681</v>
      </c>
      <c r="C35" s="18" t="s">
        <v>358</v>
      </c>
      <c r="D35" s="19" t="s">
        <v>62</v>
      </c>
      <c r="E35" s="20" t="s">
        <v>320</v>
      </c>
      <c r="F35" s="119"/>
      <c r="G35" s="124"/>
      <c r="H35" s="97" t="s">
        <v>798</v>
      </c>
      <c r="I35" s="97" t="s">
        <v>798</v>
      </c>
      <c r="J35" s="119"/>
      <c r="K35" s="97" t="s">
        <v>111</v>
      </c>
      <c r="L35" s="97" t="s">
        <v>798</v>
      </c>
      <c r="M35" s="97" t="s">
        <v>111</v>
      </c>
      <c r="N35" s="124"/>
      <c r="O35" s="97" t="s">
        <v>798</v>
      </c>
      <c r="P35" s="97" t="s">
        <v>111</v>
      </c>
      <c r="Q35" s="97" t="s">
        <v>111</v>
      </c>
      <c r="R35" s="97" t="s">
        <v>111</v>
      </c>
      <c r="S35" s="119"/>
      <c r="T35" s="97" t="s">
        <v>111</v>
      </c>
      <c r="U35" s="124"/>
      <c r="V35" s="97" t="s">
        <v>111</v>
      </c>
      <c r="W35" s="97" t="s">
        <v>111</v>
      </c>
      <c r="X35" s="119"/>
      <c r="Y35" s="97" t="s">
        <v>111</v>
      </c>
      <c r="Z35" s="97" t="s">
        <v>111</v>
      </c>
      <c r="AA35" s="97" t="s">
        <v>111</v>
      </c>
      <c r="AB35" s="124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3"/>
        <v>16</v>
      </c>
      <c r="AI35" s="5">
        <f t="shared" si="4"/>
        <v>4</v>
      </c>
    </row>
    <row r="36" spans="1:35" ht="16.5" x14ac:dyDescent="0.25">
      <c r="A36" s="9">
        <v>9</v>
      </c>
      <c r="B36" s="11">
        <v>664</v>
      </c>
      <c r="C36" s="18" t="s">
        <v>106</v>
      </c>
      <c r="D36" s="19" t="s">
        <v>359</v>
      </c>
      <c r="E36" s="20" t="s">
        <v>320</v>
      </c>
      <c r="F36" s="119"/>
      <c r="G36" s="124"/>
      <c r="H36" s="97" t="s">
        <v>798</v>
      </c>
      <c r="I36" s="97" t="s">
        <v>799</v>
      </c>
      <c r="J36" s="119"/>
      <c r="K36" s="97" t="s">
        <v>799</v>
      </c>
      <c r="L36" s="97" t="s">
        <v>111</v>
      </c>
      <c r="M36" s="97" t="s">
        <v>111</v>
      </c>
      <c r="N36" s="124"/>
      <c r="O36" s="97" t="s">
        <v>111</v>
      </c>
      <c r="P36" s="97" t="s">
        <v>111</v>
      </c>
      <c r="Q36" s="97" t="s">
        <v>111</v>
      </c>
      <c r="R36" s="97" t="s">
        <v>111</v>
      </c>
      <c r="S36" s="119"/>
      <c r="T36" s="97" t="s">
        <v>111</v>
      </c>
      <c r="U36" s="124"/>
      <c r="V36" s="97" t="s">
        <v>111</v>
      </c>
      <c r="W36" s="97" t="s">
        <v>111</v>
      </c>
      <c r="X36" s="119"/>
      <c r="Y36" s="97" t="s">
        <v>111</v>
      </c>
      <c r="Z36" s="97" t="s">
        <v>111</v>
      </c>
      <c r="AA36" s="97" t="s">
        <v>111</v>
      </c>
      <c r="AB36" s="124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17</v>
      </c>
      <c r="AI36" s="5">
        <f t="shared" si="4"/>
        <v>1</v>
      </c>
    </row>
    <row r="37" spans="1:35" ht="16.5" x14ac:dyDescent="0.25">
      <c r="A37" s="9">
        <v>10</v>
      </c>
      <c r="B37" s="11">
        <v>663</v>
      </c>
      <c r="C37" s="18" t="s">
        <v>360</v>
      </c>
      <c r="D37" s="19" t="s">
        <v>60</v>
      </c>
      <c r="E37" s="20" t="s">
        <v>320</v>
      </c>
      <c r="F37" s="119"/>
      <c r="G37" s="124"/>
      <c r="H37" s="97" t="s">
        <v>111</v>
      </c>
      <c r="I37" s="97" t="s">
        <v>111</v>
      </c>
      <c r="J37" s="119"/>
      <c r="K37" s="97" t="s">
        <v>111</v>
      </c>
      <c r="L37" s="97" t="s">
        <v>111</v>
      </c>
      <c r="M37" s="97" t="s">
        <v>111</v>
      </c>
      <c r="N37" s="124"/>
      <c r="O37" s="97" t="s">
        <v>111</v>
      </c>
      <c r="P37" s="97" t="s">
        <v>111</v>
      </c>
      <c r="Q37" s="97" t="s">
        <v>111</v>
      </c>
      <c r="R37" s="97" t="s">
        <v>798</v>
      </c>
      <c r="S37" s="119"/>
      <c r="T37" s="97" t="s">
        <v>111</v>
      </c>
      <c r="U37" s="124"/>
      <c r="V37" s="97" t="s">
        <v>111</v>
      </c>
      <c r="W37" s="97" t="s">
        <v>111</v>
      </c>
      <c r="X37" s="119"/>
      <c r="Y37" s="97" t="s">
        <v>111</v>
      </c>
      <c r="Z37" s="97" t="s">
        <v>111</v>
      </c>
      <c r="AA37" s="97" t="s">
        <v>111</v>
      </c>
      <c r="AB37" s="124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19</v>
      </c>
      <c r="AI37" s="5">
        <f t="shared" si="4"/>
        <v>1</v>
      </c>
    </row>
    <row r="38" spans="1:35" ht="16.5" x14ac:dyDescent="0.25">
      <c r="A38" s="9">
        <v>11</v>
      </c>
      <c r="B38" s="11">
        <v>771</v>
      </c>
      <c r="C38" s="18" t="s">
        <v>361</v>
      </c>
      <c r="D38" s="19" t="s">
        <v>277</v>
      </c>
      <c r="E38" s="20" t="s">
        <v>320</v>
      </c>
      <c r="F38" s="119"/>
      <c r="G38" s="124"/>
      <c r="H38" s="97" t="s">
        <v>111</v>
      </c>
      <c r="I38" s="97" t="s">
        <v>111</v>
      </c>
      <c r="J38" s="119"/>
      <c r="K38" s="97" t="s">
        <v>111</v>
      </c>
      <c r="L38" s="97" t="s">
        <v>111</v>
      </c>
      <c r="M38" s="97" t="s">
        <v>111</v>
      </c>
      <c r="N38" s="124"/>
      <c r="O38" s="97" t="s">
        <v>111</v>
      </c>
      <c r="P38" s="97" t="s">
        <v>111</v>
      </c>
      <c r="Q38" s="97" t="s">
        <v>111</v>
      </c>
      <c r="R38" s="97" t="s">
        <v>111</v>
      </c>
      <c r="S38" s="119"/>
      <c r="T38" s="97" t="s">
        <v>111</v>
      </c>
      <c r="U38" s="124"/>
      <c r="V38" s="97" t="s">
        <v>111</v>
      </c>
      <c r="W38" s="97" t="s">
        <v>111</v>
      </c>
      <c r="X38" s="119"/>
      <c r="Y38" s="97" t="s">
        <v>111</v>
      </c>
      <c r="Z38" s="97" t="s">
        <v>111</v>
      </c>
      <c r="AA38" s="97" t="s">
        <v>111</v>
      </c>
      <c r="AB38" s="124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20</v>
      </c>
      <c r="AI38" s="5">
        <f t="shared" si="4"/>
        <v>0</v>
      </c>
    </row>
    <row r="39" spans="1:35" ht="16.5" x14ac:dyDescent="0.25">
      <c r="A39" s="9">
        <v>12</v>
      </c>
      <c r="B39" s="11">
        <v>773</v>
      </c>
      <c r="C39" s="18" t="s">
        <v>188</v>
      </c>
      <c r="D39" s="19" t="s">
        <v>241</v>
      </c>
      <c r="E39" s="20" t="s">
        <v>320</v>
      </c>
      <c r="F39" s="119"/>
      <c r="G39" s="124"/>
      <c r="H39" s="97" t="s">
        <v>111</v>
      </c>
      <c r="I39" s="97" t="s">
        <v>111</v>
      </c>
      <c r="J39" s="119"/>
      <c r="K39" s="97" t="s">
        <v>111</v>
      </c>
      <c r="L39" s="97" t="s">
        <v>111</v>
      </c>
      <c r="M39" s="97" t="s">
        <v>111</v>
      </c>
      <c r="N39" s="124"/>
      <c r="O39" s="97" t="s">
        <v>111</v>
      </c>
      <c r="P39" s="97" t="s">
        <v>111</v>
      </c>
      <c r="Q39" s="97" t="s">
        <v>111</v>
      </c>
      <c r="R39" s="97" t="s">
        <v>111</v>
      </c>
      <c r="S39" s="119"/>
      <c r="T39" s="97" t="s">
        <v>111</v>
      </c>
      <c r="U39" s="124"/>
      <c r="V39" s="97" t="s">
        <v>111</v>
      </c>
      <c r="W39" s="97" t="s">
        <v>111</v>
      </c>
      <c r="X39" s="119"/>
      <c r="Y39" s="97" t="s">
        <v>111</v>
      </c>
      <c r="Z39" s="97" t="s">
        <v>111</v>
      </c>
      <c r="AA39" s="97" t="s">
        <v>111</v>
      </c>
      <c r="AB39" s="124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775</v>
      </c>
      <c r="C40" s="18" t="s">
        <v>362</v>
      </c>
      <c r="D40" s="19" t="s">
        <v>363</v>
      </c>
      <c r="E40" s="20" t="s">
        <v>320</v>
      </c>
      <c r="F40" s="119"/>
      <c r="G40" s="124"/>
      <c r="H40" s="97" t="s">
        <v>111</v>
      </c>
      <c r="I40" s="97" t="s">
        <v>798</v>
      </c>
      <c r="J40" s="119"/>
      <c r="K40" s="97" t="s">
        <v>111</v>
      </c>
      <c r="L40" s="97" t="s">
        <v>111</v>
      </c>
      <c r="M40" s="97" t="s">
        <v>798</v>
      </c>
      <c r="N40" s="124"/>
      <c r="O40" s="97" t="s">
        <v>111</v>
      </c>
      <c r="P40" s="97" t="s">
        <v>798</v>
      </c>
      <c r="Q40" s="97" t="s">
        <v>111</v>
      </c>
      <c r="R40" s="97" t="s">
        <v>111</v>
      </c>
      <c r="S40" s="119"/>
      <c r="T40" s="97" t="s">
        <v>111</v>
      </c>
      <c r="U40" s="124"/>
      <c r="V40" s="97" t="s">
        <v>798</v>
      </c>
      <c r="W40" s="97" t="s">
        <v>111</v>
      </c>
      <c r="X40" s="119"/>
      <c r="Y40" s="97" t="s">
        <v>798</v>
      </c>
      <c r="Z40" s="97" t="s">
        <v>111</v>
      </c>
      <c r="AA40" s="97" t="s">
        <v>111</v>
      </c>
      <c r="AB40" s="124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15</v>
      </c>
      <c r="AI40" s="5">
        <f t="shared" si="4"/>
        <v>5</v>
      </c>
    </row>
    <row r="41" spans="1:35" ht="16.5" x14ac:dyDescent="0.25">
      <c r="A41" s="9">
        <v>14</v>
      </c>
      <c r="B41" s="11">
        <v>652</v>
      </c>
      <c r="C41" s="18" t="s">
        <v>364</v>
      </c>
      <c r="D41" s="19" t="s">
        <v>365</v>
      </c>
      <c r="E41" s="20" t="s">
        <v>320</v>
      </c>
      <c r="F41" s="119"/>
      <c r="G41" s="124"/>
      <c r="H41" s="97" t="s">
        <v>111</v>
      </c>
      <c r="I41" s="97" t="s">
        <v>111</v>
      </c>
      <c r="J41" s="119"/>
      <c r="K41" s="97" t="s">
        <v>111</v>
      </c>
      <c r="L41" s="97" t="s">
        <v>111</v>
      </c>
      <c r="M41" s="97" t="s">
        <v>111</v>
      </c>
      <c r="N41" s="124"/>
      <c r="O41" s="97" t="s">
        <v>798</v>
      </c>
      <c r="P41" s="97" t="s">
        <v>798</v>
      </c>
      <c r="Q41" s="97" t="s">
        <v>111</v>
      </c>
      <c r="R41" s="97" t="s">
        <v>111</v>
      </c>
      <c r="S41" s="119"/>
      <c r="T41" s="97" t="s">
        <v>111</v>
      </c>
      <c r="U41" s="124"/>
      <c r="V41" s="97" t="s">
        <v>111</v>
      </c>
      <c r="W41" s="97" t="s">
        <v>111</v>
      </c>
      <c r="X41" s="119"/>
      <c r="Y41" s="97" t="s">
        <v>111</v>
      </c>
      <c r="Z41" s="97" t="s">
        <v>111</v>
      </c>
      <c r="AA41" s="97" t="s">
        <v>111</v>
      </c>
      <c r="AB41" s="124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15</v>
      </c>
      <c r="B42" s="11">
        <v>678</v>
      </c>
      <c r="C42" s="18" t="s">
        <v>366</v>
      </c>
      <c r="D42" s="19" t="s">
        <v>267</v>
      </c>
      <c r="E42" s="20" t="s">
        <v>320</v>
      </c>
      <c r="F42" s="119"/>
      <c r="G42" s="124"/>
      <c r="H42" s="97" t="s">
        <v>111</v>
      </c>
      <c r="I42" s="97" t="s">
        <v>111</v>
      </c>
      <c r="J42" s="119"/>
      <c r="K42" s="97" t="s">
        <v>111</v>
      </c>
      <c r="L42" s="97" t="s">
        <v>111</v>
      </c>
      <c r="M42" s="97" t="s">
        <v>111</v>
      </c>
      <c r="N42" s="124"/>
      <c r="O42" s="97" t="s">
        <v>111</v>
      </c>
      <c r="P42" s="97" t="s">
        <v>798</v>
      </c>
      <c r="Q42" s="97" t="s">
        <v>111</v>
      </c>
      <c r="R42" s="97" t="s">
        <v>111</v>
      </c>
      <c r="S42" s="119"/>
      <c r="T42" s="97" t="s">
        <v>111</v>
      </c>
      <c r="U42" s="124"/>
      <c r="V42" s="97" t="s">
        <v>798</v>
      </c>
      <c r="W42" s="97" t="s">
        <v>111</v>
      </c>
      <c r="X42" s="119"/>
      <c r="Y42" s="97" t="s">
        <v>798</v>
      </c>
      <c r="Z42" s="97" t="s">
        <v>111</v>
      </c>
      <c r="AA42" s="97" t="s">
        <v>111</v>
      </c>
      <c r="AB42" s="124"/>
      <c r="AC42" s="97" t="s">
        <v>111</v>
      </c>
      <c r="AD42" s="97" t="s">
        <v>111</v>
      </c>
      <c r="AE42" s="97" t="s">
        <v>111</v>
      </c>
      <c r="AF42" s="97" t="s">
        <v>798</v>
      </c>
      <c r="AG42" s="97" t="s">
        <v>798</v>
      </c>
      <c r="AH42" s="5">
        <f t="shared" si="3"/>
        <v>15</v>
      </c>
      <c r="AI42" s="5">
        <f t="shared" si="4"/>
        <v>5</v>
      </c>
    </row>
    <row r="43" spans="1:35" ht="16.5" x14ac:dyDescent="0.25">
      <c r="A43" s="9">
        <v>16</v>
      </c>
      <c r="B43" s="11">
        <v>674</v>
      </c>
      <c r="C43" s="18" t="s">
        <v>367</v>
      </c>
      <c r="D43" s="19" t="s">
        <v>58</v>
      </c>
      <c r="E43" s="20" t="s">
        <v>320</v>
      </c>
      <c r="F43" s="119"/>
      <c r="G43" s="124"/>
      <c r="H43" s="97" t="s">
        <v>111</v>
      </c>
      <c r="I43" s="97" t="s">
        <v>111</v>
      </c>
      <c r="J43" s="119"/>
      <c r="K43" s="97" t="s">
        <v>111</v>
      </c>
      <c r="L43" s="97" t="s">
        <v>111</v>
      </c>
      <c r="M43" s="97" t="s">
        <v>111</v>
      </c>
      <c r="N43" s="124"/>
      <c r="O43" s="97" t="s">
        <v>111</v>
      </c>
      <c r="P43" s="97" t="s">
        <v>798</v>
      </c>
      <c r="Q43" s="97" t="s">
        <v>111</v>
      </c>
      <c r="R43" s="97" t="s">
        <v>111</v>
      </c>
      <c r="S43" s="119"/>
      <c r="T43" s="97" t="s">
        <v>111</v>
      </c>
      <c r="U43" s="124"/>
      <c r="V43" s="97" t="s">
        <v>111</v>
      </c>
      <c r="W43" s="97" t="s">
        <v>111</v>
      </c>
      <c r="X43" s="119"/>
      <c r="Y43" s="97" t="s">
        <v>798</v>
      </c>
      <c r="Z43" s="97" t="s">
        <v>111</v>
      </c>
      <c r="AA43" s="97" t="s">
        <v>111</v>
      </c>
      <c r="AB43" s="124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2</v>
      </c>
    </row>
    <row r="44" spans="1:35" ht="16.5" x14ac:dyDescent="0.25">
      <c r="A44" s="9">
        <v>17</v>
      </c>
      <c r="B44" s="11">
        <v>666</v>
      </c>
      <c r="C44" s="18" t="s">
        <v>368</v>
      </c>
      <c r="D44" s="19" t="s">
        <v>369</v>
      </c>
      <c r="E44" s="20" t="s">
        <v>320</v>
      </c>
      <c r="F44" s="119"/>
      <c r="G44" s="124"/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111</v>
      </c>
      <c r="N44" s="124"/>
      <c r="O44" s="97" t="s">
        <v>111</v>
      </c>
      <c r="P44" s="97" t="s">
        <v>111</v>
      </c>
      <c r="Q44" s="97" t="s">
        <v>111</v>
      </c>
      <c r="R44" s="97" t="s">
        <v>111</v>
      </c>
      <c r="S44" s="119"/>
      <c r="T44" s="97" t="s">
        <v>111</v>
      </c>
      <c r="U44" s="124"/>
      <c r="V44" s="97" t="s">
        <v>798</v>
      </c>
      <c r="W44" s="97" t="s">
        <v>798</v>
      </c>
      <c r="X44" s="119"/>
      <c r="Y44" s="97" t="s">
        <v>111</v>
      </c>
      <c r="Z44" s="97" t="s">
        <v>111</v>
      </c>
      <c r="AA44" s="97" t="s">
        <v>111</v>
      </c>
      <c r="AB44" s="124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2</v>
      </c>
    </row>
    <row r="45" spans="1:35" ht="16.5" x14ac:dyDescent="0.25">
      <c r="A45" s="9">
        <v>18</v>
      </c>
      <c r="B45" s="11">
        <v>786</v>
      </c>
      <c r="C45" s="18" t="s">
        <v>370</v>
      </c>
      <c r="D45" s="19" t="s">
        <v>371</v>
      </c>
      <c r="E45" s="20" t="s">
        <v>320</v>
      </c>
      <c r="F45" s="119"/>
      <c r="G45" s="124"/>
      <c r="H45" s="97" t="s">
        <v>111</v>
      </c>
      <c r="I45" s="97" t="s">
        <v>111</v>
      </c>
      <c r="J45" s="119"/>
      <c r="K45" s="97" t="s">
        <v>111</v>
      </c>
      <c r="L45" s="97" t="s">
        <v>111</v>
      </c>
      <c r="M45" s="97" t="s">
        <v>111</v>
      </c>
      <c r="N45" s="124"/>
      <c r="O45" s="97" t="s">
        <v>111</v>
      </c>
      <c r="P45" s="97" t="s">
        <v>798</v>
      </c>
      <c r="Q45" s="97" t="s">
        <v>111</v>
      </c>
      <c r="R45" s="97" t="s">
        <v>111</v>
      </c>
      <c r="S45" s="119"/>
      <c r="T45" s="97" t="s">
        <v>111</v>
      </c>
      <c r="U45" s="124"/>
      <c r="V45" s="97" t="s">
        <v>111</v>
      </c>
      <c r="W45" s="97" t="s">
        <v>111</v>
      </c>
      <c r="X45" s="119"/>
      <c r="Y45" s="97" t="s">
        <v>111</v>
      </c>
      <c r="Z45" s="97" t="s">
        <v>111</v>
      </c>
      <c r="AA45" s="97" t="s">
        <v>111</v>
      </c>
      <c r="AB45" s="124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19</v>
      </c>
      <c r="AI45" s="5">
        <f t="shared" si="4"/>
        <v>1</v>
      </c>
    </row>
    <row r="46" spans="1:35" ht="16.5" x14ac:dyDescent="0.25">
      <c r="A46" s="9">
        <v>19</v>
      </c>
      <c r="B46" s="11">
        <v>682</v>
      </c>
      <c r="C46" s="18" t="s">
        <v>372</v>
      </c>
      <c r="D46" s="19" t="s">
        <v>96</v>
      </c>
      <c r="E46" s="20" t="s">
        <v>320</v>
      </c>
      <c r="F46" s="119"/>
      <c r="G46" s="124"/>
      <c r="H46" s="97" t="s">
        <v>111</v>
      </c>
      <c r="I46" s="97" t="s">
        <v>111</v>
      </c>
      <c r="J46" s="119"/>
      <c r="K46" s="97" t="s">
        <v>111</v>
      </c>
      <c r="L46" s="97" t="s">
        <v>111</v>
      </c>
      <c r="M46" s="97" t="s">
        <v>111</v>
      </c>
      <c r="N46" s="124"/>
      <c r="O46" s="97" t="s">
        <v>111</v>
      </c>
      <c r="P46" s="97" t="s">
        <v>111</v>
      </c>
      <c r="Q46" s="97" t="s">
        <v>111</v>
      </c>
      <c r="R46" s="97" t="s">
        <v>111</v>
      </c>
      <c r="S46" s="119"/>
      <c r="T46" s="97" t="s">
        <v>111</v>
      </c>
      <c r="U46" s="124"/>
      <c r="V46" s="97" t="s">
        <v>111</v>
      </c>
      <c r="W46" s="97" t="s">
        <v>111</v>
      </c>
      <c r="X46" s="119"/>
      <c r="Y46" s="97" t="s">
        <v>111</v>
      </c>
      <c r="Z46" s="97" t="s">
        <v>111</v>
      </c>
      <c r="AA46" s="97" t="s">
        <v>111</v>
      </c>
      <c r="AB46" s="124"/>
      <c r="AC46" s="97" t="s">
        <v>798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651</v>
      </c>
      <c r="C47" s="18" t="s">
        <v>55</v>
      </c>
      <c r="D47" s="19" t="s">
        <v>175</v>
      </c>
      <c r="E47" s="20" t="s">
        <v>320</v>
      </c>
      <c r="F47" s="119"/>
      <c r="G47" s="124"/>
      <c r="H47" s="97" t="s">
        <v>111</v>
      </c>
      <c r="I47" s="97" t="s">
        <v>111</v>
      </c>
      <c r="J47" s="119"/>
      <c r="K47" s="97" t="s">
        <v>111</v>
      </c>
      <c r="L47" s="97" t="s">
        <v>111</v>
      </c>
      <c r="M47" s="97" t="s">
        <v>111</v>
      </c>
      <c r="N47" s="124"/>
      <c r="O47" s="97" t="s">
        <v>111</v>
      </c>
      <c r="P47" s="97" t="s">
        <v>111</v>
      </c>
      <c r="Q47" s="97" t="s">
        <v>111</v>
      </c>
      <c r="R47" s="97" t="s">
        <v>111</v>
      </c>
      <c r="S47" s="119"/>
      <c r="T47" s="97" t="s">
        <v>111</v>
      </c>
      <c r="U47" s="124"/>
      <c r="V47" s="97" t="s">
        <v>798</v>
      </c>
      <c r="W47" s="97" t="s">
        <v>798</v>
      </c>
      <c r="X47" s="119"/>
      <c r="Y47" s="97" t="s">
        <v>798</v>
      </c>
      <c r="Z47" s="97" t="s">
        <v>111</v>
      </c>
      <c r="AA47" s="97" t="s">
        <v>111</v>
      </c>
      <c r="AB47" s="124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21</v>
      </c>
      <c r="B48" s="11">
        <v>667</v>
      </c>
      <c r="C48" s="18" t="s">
        <v>305</v>
      </c>
      <c r="D48" s="19" t="s">
        <v>373</v>
      </c>
      <c r="E48" s="20" t="s">
        <v>320</v>
      </c>
      <c r="F48" s="119"/>
      <c r="G48" s="124"/>
      <c r="H48" s="97" t="s">
        <v>798</v>
      </c>
      <c r="I48" s="97" t="s">
        <v>111</v>
      </c>
      <c r="J48" s="119"/>
      <c r="K48" s="97" t="s">
        <v>111</v>
      </c>
      <c r="L48" s="97" t="s">
        <v>111</v>
      </c>
      <c r="M48" s="97" t="s">
        <v>111</v>
      </c>
      <c r="N48" s="124"/>
      <c r="O48" s="97" t="s">
        <v>111</v>
      </c>
      <c r="P48" s="97" t="s">
        <v>111</v>
      </c>
      <c r="Q48" s="97" t="s">
        <v>111</v>
      </c>
      <c r="R48" s="97" t="s">
        <v>111</v>
      </c>
      <c r="S48" s="119"/>
      <c r="T48" s="97" t="s">
        <v>111</v>
      </c>
      <c r="U48" s="124"/>
      <c r="V48" s="97" t="s">
        <v>111</v>
      </c>
      <c r="W48" s="97" t="s">
        <v>111</v>
      </c>
      <c r="X48" s="119"/>
      <c r="Y48" s="97" t="s">
        <v>798</v>
      </c>
      <c r="Z48" s="97" t="s">
        <v>111</v>
      </c>
      <c r="AA48" s="97" t="s">
        <v>111</v>
      </c>
      <c r="AB48" s="124"/>
      <c r="AC48" s="97" t="s">
        <v>798</v>
      </c>
      <c r="AD48" s="97" t="s">
        <v>798</v>
      </c>
      <c r="AE48" s="97" t="s">
        <v>111</v>
      </c>
      <c r="AF48" s="97" t="s">
        <v>111</v>
      </c>
      <c r="AG48" s="97" t="s">
        <v>111</v>
      </c>
      <c r="AH48" s="5">
        <f t="shared" si="3"/>
        <v>16</v>
      </c>
      <c r="AI48" s="5">
        <f t="shared" si="4"/>
        <v>4</v>
      </c>
    </row>
    <row r="49" spans="1:35" ht="16.5" x14ac:dyDescent="0.25">
      <c r="A49" s="9">
        <v>22</v>
      </c>
      <c r="B49" s="11">
        <v>669</v>
      </c>
      <c r="C49" s="18" t="s">
        <v>374</v>
      </c>
      <c r="D49" s="19" t="s">
        <v>375</v>
      </c>
      <c r="E49" s="20" t="s">
        <v>320</v>
      </c>
      <c r="F49" s="119"/>
      <c r="G49" s="124"/>
      <c r="H49" s="97" t="s">
        <v>111</v>
      </c>
      <c r="I49" s="97" t="s">
        <v>111</v>
      </c>
      <c r="J49" s="119"/>
      <c r="K49" s="97" t="s">
        <v>111</v>
      </c>
      <c r="L49" s="97" t="s">
        <v>798</v>
      </c>
      <c r="M49" s="97" t="s">
        <v>111</v>
      </c>
      <c r="N49" s="124"/>
      <c r="O49" s="97" t="s">
        <v>111</v>
      </c>
      <c r="P49" s="97" t="s">
        <v>111</v>
      </c>
      <c r="Q49" s="97" t="s">
        <v>111</v>
      </c>
      <c r="R49" s="97" t="s">
        <v>111</v>
      </c>
      <c r="S49" s="119"/>
      <c r="T49" s="97" t="s">
        <v>111</v>
      </c>
      <c r="U49" s="124"/>
      <c r="V49" s="97" t="s">
        <v>111</v>
      </c>
      <c r="W49" s="97" t="s">
        <v>111</v>
      </c>
      <c r="X49" s="119"/>
      <c r="Y49" s="97" t="s">
        <v>111</v>
      </c>
      <c r="Z49" s="97" t="s">
        <v>111</v>
      </c>
      <c r="AA49" s="97" t="s">
        <v>798</v>
      </c>
      <c r="AB49" s="124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23</v>
      </c>
      <c r="B50" s="11">
        <v>677</v>
      </c>
      <c r="C50" s="18" t="s">
        <v>376</v>
      </c>
      <c r="D50" s="19" t="s">
        <v>371</v>
      </c>
      <c r="E50" s="20" t="s">
        <v>320</v>
      </c>
      <c r="F50" s="119"/>
      <c r="G50" s="124"/>
      <c r="H50" s="97" t="s">
        <v>111</v>
      </c>
      <c r="I50" s="97" t="s">
        <v>111</v>
      </c>
      <c r="J50" s="119"/>
      <c r="K50" s="97" t="s">
        <v>111</v>
      </c>
      <c r="L50" s="97" t="s">
        <v>111</v>
      </c>
      <c r="M50" s="97" t="s">
        <v>111</v>
      </c>
      <c r="N50" s="124"/>
      <c r="O50" s="97" t="s">
        <v>111</v>
      </c>
      <c r="P50" s="97" t="s">
        <v>111</v>
      </c>
      <c r="Q50" s="97" t="s">
        <v>111</v>
      </c>
      <c r="R50" s="97" t="s">
        <v>111</v>
      </c>
      <c r="S50" s="119"/>
      <c r="T50" s="97" t="s">
        <v>111</v>
      </c>
      <c r="U50" s="124"/>
      <c r="V50" s="97" t="s">
        <v>111</v>
      </c>
      <c r="W50" s="97" t="s">
        <v>111</v>
      </c>
      <c r="X50" s="119"/>
      <c r="Y50" s="97" t="s">
        <v>111</v>
      </c>
      <c r="Z50" s="97" t="s">
        <v>111</v>
      </c>
      <c r="AA50" s="97" t="s">
        <v>111</v>
      </c>
      <c r="AB50" s="124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683</v>
      </c>
      <c r="C51" s="18" t="s">
        <v>377</v>
      </c>
      <c r="D51" s="19" t="s">
        <v>378</v>
      </c>
      <c r="E51" s="20" t="s">
        <v>320</v>
      </c>
      <c r="F51" s="119"/>
      <c r="G51" s="124"/>
      <c r="H51" s="97" t="s">
        <v>111</v>
      </c>
      <c r="I51" s="97" t="s">
        <v>111</v>
      </c>
      <c r="J51" s="119"/>
      <c r="K51" s="97" t="s">
        <v>111</v>
      </c>
      <c r="L51" s="97" t="s">
        <v>798</v>
      </c>
      <c r="M51" s="97" t="s">
        <v>111</v>
      </c>
      <c r="N51" s="124"/>
      <c r="O51" s="97" t="s">
        <v>111</v>
      </c>
      <c r="P51" s="97" t="s">
        <v>798</v>
      </c>
      <c r="Q51" s="97" t="s">
        <v>798</v>
      </c>
      <c r="R51" s="97" t="s">
        <v>111</v>
      </c>
      <c r="S51" s="119"/>
      <c r="T51" s="97" t="s">
        <v>111</v>
      </c>
      <c r="U51" s="124"/>
      <c r="V51" s="97" t="s">
        <v>798</v>
      </c>
      <c r="W51" s="97" t="s">
        <v>111</v>
      </c>
      <c r="X51" s="119"/>
      <c r="Y51" s="97" t="s">
        <v>798</v>
      </c>
      <c r="Z51" s="97" t="s">
        <v>798</v>
      </c>
      <c r="AA51" s="97" t="s">
        <v>798</v>
      </c>
      <c r="AB51" s="124"/>
      <c r="AC51" s="97" t="s">
        <v>798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12</v>
      </c>
      <c r="AI51" s="5">
        <f t="shared" si="4"/>
        <v>8</v>
      </c>
    </row>
  </sheetData>
  <mergeCells count="20">
    <mergeCell ref="F5:F51"/>
    <mergeCell ref="J5:J51"/>
    <mergeCell ref="S5:S51"/>
    <mergeCell ref="X5:X51"/>
    <mergeCell ref="A1:AI1"/>
    <mergeCell ref="A2:AI2"/>
    <mergeCell ref="AH3:AH4"/>
    <mergeCell ref="AI3:AI4"/>
    <mergeCell ref="E3:E4"/>
    <mergeCell ref="A3:A4"/>
    <mergeCell ref="B3:B4"/>
    <mergeCell ref="C3:C4"/>
    <mergeCell ref="D3:D4"/>
    <mergeCell ref="AJ3:AK3"/>
    <mergeCell ref="G5:G51"/>
    <mergeCell ref="N5:N51"/>
    <mergeCell ref="U5:U51"/>
    <mergeCell ref="AB5:AB51"/>
    <mergeCell ref="AJ11:AM11"/>
    <mergeCell ref="AJ19:AM19"/>
  </mergeCells>
  <conditionalFormatting sqref="F5">
    <cfRule type="cellIs" dxfId="362" priority="16" operator="equal">
      <formula>"L"</formula>
    </cfRule>
    <cfRule type="cellIs" dxfId="361" priority="17" operator="equal">
      <formula>"A"</formula>
    </cfRule>
    <cfRule type="cellIs" dxfId="360" priority="18" operator="equal">
      <formula>"P"</formula>
    </cfRule>
    <cfRule type="expression" dxfId="359" priority="19">
      <formula>IF(F$4=TODAY(),TRUE,FALSE)</formula>
    </cfRule>
    <cfRule type="expression" dxfId="358" priority="20">
      <formula>F$3="Sun"</formula>
    </cfRule>
  </conditionalFormatting>
  <conditionalFormatting sqref="F3:AG4 G5 N5 U5 AB5 H5:I51 K5:M51 O5:R51 T5:T51 V5:W51 Y5:AA51 AC5:AG51">
    <cfRule type="expression" dxfId="357" priority="28">
      <formula>F$4=TODAY()</formula>
    </cfRule>
  </conditionalFormatting>
  <conditionalFormatting sqref="G5 N5 U5 AB5 H5:I51 K5:M51 O5:R51 T5:T51 V5:W51 Y5:AA51 AC5:AG51 F3:AG4">
    <cfRule type="expression" dxfId="356" priority="32">
      <formula>F$3="Sun"</formula>
    </cfRule>
  </conditionalFormatting>
  <conditionalFormatting sqref="G5 N5 U5 AB5 H5:I51 K5:M51 O5:R51 T5:T51 V5:W51 Y5:AA51 AC5:AG51">
    <cfRule type="cellIs" dxfId="355" priority="29" operator="equal">
      <formula>"L"</formula>
    </cfRule>
    <cfRule type="cellIs" dxfId="354" priority="30" operator="equal">
      <formula>"A"</formula>
    </cfRule>
    <cfRule type="cellIs" dxfId="353" priority="31" operator="equal">
      <formula>"P"</formula>
    </cfRule>
  </conditionalFormatting>
  <conditionalFormatting sqref="J5">
    <cfRule type="cellIs" dxfId="352" priority="11" operator="equal">
      <formula>"L"</formula>
    </cfRule>
    <cfRule type="cellIs" dxfId="351" priority="12" operator="equal">
      <formula>"A"</formula>
    </cfRule>
    <cfRule type="cellIs" dxfId="350" priority="13" operator="equal">
      <formula>"P"</formula>
    </cfRule>
    <cfRule type="expression" dxfId="349" priority="14">
      <formula>IF(J$4=TODAY(),TRUE,FALSE)</formula>
    </cfRule>
    <cfRule type="expression" dxfId="348" priority="15">
      <formula>J$3="Sun"</formula>
    </cfRule>
  </conditionalFormatting>
  <conditionalFormatting sqref="S5">
    <cfRule type="cellIs" dxfId="347" priority="6" operator="equal">
      <formula>"L"</formula>
    </cfRule>
    <cfRule type="cellIs" dxfId="346" priority="7" operator="equal">
      <formula>"A"</formula>
    </cfRule>
    <cfRule type="cellIs" dxfId="345" priority="8" operator="equal">
      <formula>"P"</formula>
    </cfRule>
    <cfRule type="expression" dxfId="344" priority="9">
      <formula>IF(S$4=TODAY(),TRUE,FALSE)</formula>
    </cfRule>
    <cfRule type="expression" dxfId="343" priority="10">
      <formula>S$3="Sun"</formula>
    </cfRule>
  </conditionalFormatting>
  <conditionalFormatting sqref="X5">
    <cfRule type="cellIs" dxfId="342" priority="1" operator="equal">
      <formula>"L"</formula>
    </cfRule>
    <cfRule type="cellIs" dxfId="341" priority="2" operator="equal">
      <formula>"A"</formula>
    </cfRule>
    <cfRule type="cellIs" dxfId="340" priority="3" operator="equal">
      <formula>"P"</formula>
    </cfRule>
    <cfRule type="expression" dxfId="339" priority="4">
      <formula>IF(X$4=TODAY(),TRUE,FALSE)</formula>
    </cfRule>
    <cfRule type="expression" dxfId="338" priority="5">
      <formula>X$3="Sun"</formula>
    </cfRule>
  </conditionalFormatting>
  <conditionalFormatting sqref="AH3:AI3 AH5:AI51">
    <cfRule type="expression" dxfId="337" priority="33">
      <formula>#REF!="Sun"</formula>
    </cfRule>
  </conditionalFormatting>
  <conditionalFormatting sqref="AJ5:AJ9">
    <cfRule type="expression" dxfId="336" priority="24">
      <formula>AJ$3="Sun"</formula>
    </cfRule>
  </conditionalFormatting>
  <conditionalFormatting sqref="AJ12:AJ15">
    <cfRule type="expression" dxfId="335" priority="22">
      <formula>AJ$3="Sun"</formula>
    </cfRule>
  </conditionalFormatting>
  <conditionalFormatting sqref="AJ20:AJ23">
    <cfRule type="expression" dxfId="334" priority="21">
      <formula>AJ$3="Sun"</formula>
    </cfRule>
  </conditionalFormatting>
  <conditionalFormatting sqref="AJ4:AK4">
    <cfRule type="expression" dxfId="333" priority="25">
      <formula>AJ$3="Sun"</formula>
    </cfRule>
  </conditionalFormatting>
  <conditionalFormatting sqref="AK12:AM12 AK20:AM20">
    <cfRule type="expression" dxfId="332" priority="26">
      <formula>AK$3="Sun"</formula>
    </cfRule>
  </conditionalFormatting>
  <conditionalFormatting sqref="AM21">
    <cfRule type="expression" dxfId="331" priority="23">
      <formula>AM$3="Sun"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"/>
  <sheetViews>
    <sheetView topLeftCell="E1" workbookViewId="0">
      <selection activeCell="J5" sqref="J5:J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419</v>
      </c>
      <c r="D5" s="19" t="s">
        <v>239</v>
      </c>
      <c r="E5" s="20" t="s">
        <v>381</v>
      </c>
      <c r="F5" s="118" t="s">
        <v>803</v>
      </c>
      <c r="G5" s="123" t="s">
        <v>382</v>
      </c>
      <c r="H5" s="97" t="s">
        <v>111</v>
      </c>
      <c r="I5" s="97" t="s">
        <v>111</v>
      </c>
      <c r="J5" s="118" t="s">
        <v>804</v>
      </c>
      <c r="K5" s="97" t="s">
        <v>111</v>
      </c>
      <c r="L5" s="97" t="s">
        <v>111</v>
      </c>
      <c r="M5" s="97" t="s">
        <v>111</v>
      </c>
      <c r="N5" s="123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8" t="s">
        <v>805</v>
      </c>
      <c r="T5" s="97" t="s">
        <v>111</v>
      </c>
      <c r="U5" s="123" t="s">
        <v>382</v>
      </c>
      <c r="V5" s="97" t="s">
        <v>111</v>
      </c>
      <c r="W5" s="97" t="s">
        <v>111</v>
      </c>
      <c r="X5" s="118" t="s">
        <v>806</v>
      </c>
      <c r="Y5" s="97" t="s">
        <v>111</v>
      </c>
      <c r="Z5" s="97" t="s">
        <v>111</v>
      </c>
      <c r="AA5" s="97" t="s">
        <v>111</v>
      </c>
      <c r="AB5" s="123" t="s">
        <v>382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4" si="1">COUNTIF(F5:AG5,"P")</f>
        <v>20</v>
      </c>
      <c r="AI5" s="5">
        <f t="shared" ref="AI5:AI34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420</v>
      </c>
      <c r="D6" s="19" t="s">
        <v>421</v>
      </c>
      <c r="E6" s="20" t="s">
        <v>381</v>
      </c>
      <c r="F6" s="119"/>
      <c r="G6" s="124"/>
      <c r="H6" s="97" t="s">
        <v>111</v>
      </c>
      <c r="I6" s="97" t="s">
        <v>111</v>
      </c>
      <c r="J6" s="119"/>
      <c r="K6" s="97" t="s">
        <v>111</v>
      </c>
      <c r="L6" s="97" t="s">
        <v>111</v>
      </c>
      <c r="M6" s="97" t="s">
        <v>111</v>
      </c>
      <c r="N6" s="124"/>
      <c r="O6" s="97" t="s">
        <v>111</v>
      </c>
      <c r="P6" s="97" t="s">
        <v>111</v>
      </c>
      <c r="Q6" s="97" t="s">
        <v>111</v>
      </c>
      <c r="R6" s="97" t="s">
        <v>111</v>
      </c>
      <c r="S6" s="119"/>
      <c r="T6" s="97" t="s">
        <v>111</v>
      </c>
      <c r="U6" s="124"/>
      <c r="V6" s="97" t="s">
        <v>111</v>
      </c>
      <c r="W6" s="97" t="s">
        <v>111</v>
      </c>
      <c r="X6" s="119"/>
      <c r="Y6" s="97" t="s">
        <v>111</v>
      </c>
      <c r="Z6" s="97" t="s">
        <v>111</v>
      </c>
      <c r="AA6" s="97" t="s">
        <v>111</v>
      </c>
      <c r="AB6" s="124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20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422</v>
      </c>
      <c r="D7" s="19" t="s">
        <v>327</v>
      </c>
      <c r="E7" s="20" t="s">
        <v>381</v>
      </c>
      <c r="F7" s="119"/>
      <c r="G7" s="124"/>
      <c r="H7" s="97" t="s">
        <v>111</v>
      </c>
      <c r="I7" s="97" t="s">
        <v>111</v>
      </c>
      <c r="J7" s="119"/>
      <c r="K7" s="97" t="s">
        <v>111</v>
      </c>
      <c r="L7" s="97" t="s">
        <v>111</v>
      </c>
      <c r="M7" s="97" t="s">
        <v>111</v>
      </c>
      <c r="N7" s="124"/>
      <c r="O7" s="97" t="s">
        <v>111</v>
      </c>
      <c r="P7" s="97" t="s">
        <v>111</v>
      </c>
      <c r="Q7" s="97" t="s">
        <v>111</v>
      </c>
      <c r="R7" s="97" t="s">
        <v>111</v>
      </c>
      <c r="S7" s="119"/>
      <c r="T7" s="97" t="s">
        <v>798</v>
      </c>
      <c r="U7" s="124"/>
      <c r="V7" s="97" t="s">
        <v>798</v>
      </c>
      <c r="W7" s="97" t="s">
        <v>111</v>
      </c>
      <c r="X7" s="119"/>
      <c r="Y7" s="97" t="s">
        <v>798</v>
      </c>
      <c r="Z7" s="97" t="s">
        <v>111</v>
      </c>
      <c r="AA7" s="97" t="s">
        <v>798</v>
      </c>
      <c r="AB7" s="124"/>
      <c r="AC7" s="97" t="s">
        <v>798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423</v>
      </c>
      <c r="E8" s="20" t="s">
        <v>381</v>
      </c>
      <c r="F8" s="119"/>
      <c r="G8" s="124"/>
      <c r="H8" s="97" t="s">
        <v>111</v>
      </c>
      <c r="I8" s="97" t="s">
        <v>111</v>
      </c>
      <c r="J8" s="119"/>
      <c r="K8" s="97" t="s">
        <v>111</v>
      </c>
      <c r="L8" s="97" t="s">
        <v>111</v>
      </c>
      <c r="M8" s="97" t="s">
        <v>111</v>
      </c>
      <c r="N8" s="124"/>
      <c r="O8" s="97" t="s">
        <v>111</v>
      </c>
      <c r="P8" s="97" t="s">
        <v>111</v>
      </c>
      <c r="Q8" s="97" t="s">
        <v>111</v>
      </c>
      <c r="R8" s="97" t="s">
        <v>111</v>
      </c>
      <c r="S8" s="119"/>
      <c r="T8" s="97" t="s">
        <v>111</v>
      </c>
      <c r="U8" s="124"/>
      <c r="V8" s="97" t="s">
        <v>111</v>
      </c>
      <c r="W8" s="97" t="s">
        <v>111</v>
      </c>
      <c r="X8" s="119"/>
      <c r="Y8" s="97" t="s">
        <v>111</v>
      </c>
      <c r="Z8" s="97" t="s">
        <v>111</v>
      </c>
      <c r="AA8" s="97" t="s">
        <v>111</v>
      </c>
      <c r="AB8" s="124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20</v>
      </c>
      <c r="AI8" s="5">
        <f t="shared" si="2"/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417</v>
      </c>
      <c r="D9" s="22" t="s">
        <v>418</v>
      </c>
      <c r="E9" s="20" t="s">
        <v>381</v>
      </c>
      <c r="F9" s="119"/>
      <c r="G9" s="124"/>
      <c r="H9" s="97" t="s">
        <v>111</v>
      </c>
      <c r="I9" s="97" t="s">
        <v>111</v>
      </c>
      <c r="J9" s="119"/>
      <c r="K9" s="97" t="s">
        <v>111</v>
      </c>
      <c r="L9" s="97" t="s">
        <v>111</v>
      </c>
      <c r="M9" s="97" t="s">
        <v>111</v>
      </c>
      <c r="N9" s="124"/>
      <c r="O9" s="97" t="s">
        <v>111</v>
      </c>
      <c r="P9" s="97" t="s">
        <v>111</v>
      </c>
      <c r="Q9" s="97" t="s">
        <v>111</v>
      </c>
      <c r="R9" s="97" t="s">
        <v>111</v>
      </c>
      <c r="S9" s="119"/>
      <c r="T9" s="97" t="s">
        <v>111</v>
      </c>
      <c r="U9" s="124"/>
      <c r="V9" s="97" t="s">
        <v>111</v>
      </c>
      <c r="W9" s="97" t="s">
        <v>111</v>
      </c>
      <c r="X9" s="119"/>
      <c r="Y9" s="97" t="s">
        <v>111</v>
      </c>
      <c r="Z9" s="97" t="s">
        <v>111</v>
      </c>
      <c r="AA9" s="97" t="s">
        <v>111</v>
      </c>
      <c r="AB9" s="124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424</v>
      </c>
      <c r="D10" s="19" t="s">
        <v>425</v>
      </c>
      <c r="E10" s="20" t="s">
        <v>381</v>
      </c>
      <c r="F10" s="119"/>
      <c r="G10" s="124"/>
      <c r="H10" s="97" t="s">
        <v>111</v>
      </c>
      <c r="I10" s="97" t="s">
        <v>111</v>
      </c>
      <c r="J10" s="119"/>
      <c r="K10" s="97" t="s">
        <v>111</v>
      </c>
      <c r="L10" s="97" t="s">
        <v>111</v>
      </c>
      <c r="M10" s="97" t="s">
        <v>111</v>
      </c>
      <c r="N10" s="124"/>
      <c r="O10" s="97" t="s">
        <v>111</v>
      </c>
      <c r="P10" s="97" t="s">
        <v>111</v>
      </c>
      <c r="Q10" s="97" t="s">
        <v>111</v>
      </c>
      <c r="R10" s="97" t="s">
        <v>111</v>
      </c>
      <c r="S10" s="119"/>
      <c r="T10" s="97" t="s">
        <v>111</v>
      </c>
      <c r="U10" s="124"/>
      <c r="V10" s="97" t="s">
        <v>111</v>
      </c>
      <c r="W10" s="97" t="s">
        <v>111</v>
      </c>
      <c r="X10" s="119"/>
      <c r="Y10" s="97" t="s">
        <v>111</v>
      </c>
      <c r="Z10" s="97" t="s">
        <v>111</v>
      </c>
      <c r="AA10" s="97" t="s">
        <v>111</v>
      </c>
      <c r="AB10" s="124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21">
        <v>7</v>
      </c>
      <c r="B11" s="11">
        <v>908</v>
      </c>
      <c r="C11" s="18" t="s">
        <v>447</v>
      </c>
      <c r="D11" s="19" t="s">
        <v>448</v>
      </c>
      <c r="E11" s="20" t="s">
        <v>381</v>
      </c>
      <c r="F11" s="119"/>
      <c r="G11" s="124"/>
      <c r="H11" s="97" t="s">
        <v>111</v>
      </c>
      <c r="I11" s="97" t="s">
        <v>111</v>
      </c>
      <c r="J11" s="119"/>
      <c r="K11" s="97" t="s">
        <v>111</v>
      </c>
      <c r="L11" s="97" t="s">
        <v>111</v>
      </c>
      <c r="M11" s="97" t="s">
        <v>111</v>
      </c>
      <c r="N11" s="124"/>
      <c r="O11" s="97" t="s">
        <v>111</v>
      </c>
      <c r="P11" s="97" t="s">
        <v>111</v>
      </c>
      <c r="Q11" s="97" t="s">
        <v>111</v>
      </c>
      <c r="R11" s="97" t="s">
        <v>111</v>
      </c>
      <c r="S11" s="119"/>
      <c r="T11" s="97" t="s">
        <v>798</v>
      </c>
      <c r="U11" s="124"/>
      <c r="V11" s="97" t="s">
        <v>111</v>
      </c>
      <c r="W11" s="97" t="s">
        <v>111</v>
      </c>
      <c r="X11" s="119"/>
      <c r="Y11" s="97" t="s">
        <v>111</v>
      </c>
      <c r="Z11" s="97" t="s">
        <v>111</v>
      </c>
      <c r="AA11" s="97" t="s">
        <v>111</v>
      </c>
      <c r="AB11" s="124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19</v>
      </c>
      <c r="AI11" s="5">
        <f t="shared" si="2"/>
        <v>1</v>
      </c>
      <c r="AJ11" s="120" t="s">
        <v>9</v>
      </c>
      <c r="AK11" s="121"/>
      <c r="AL11" s="121"/>
      <c r="AM11" s="122"/>
    </row>
    <row r="12" spans="1:39" ht="16.5" x14ac:dyDescent="0.25">
      <c r="A12" s="9">
        <v>8</v>
      </c>
      <c r="B12" s="11">
        <v>585</v>
      </c>
      <c r="C12" s="18" t="s">
        <v>426</v>
      </c>
      <c r="D12" s="19" t="s">
        <v>56</v>
      </c>
      <c r="E12" s="20" t="s">
        <v>381</v>
      </c>
      <c r="F12" s="119"/>
      <c r="G12" s="124"/>
      <c r="H12" s="97" t="s">
        <v>111</v>
      </c>
      <c r="I12" s="97" t="s">
        <v>798</v>
      </c>
      <c r="J12" s="119"/>
      <c r="K12" s="97" t="s">
        <v>111</v>
      </c>
      <c r="L12" s="97" t="s">
        <v>798</v>
      </c>
      <c r="M12" s="97" t="s">
        <v>111</v>
      </c>
      <c r="N12" s="124"/>
      <c r="O12" s="97" t="s">
        <v>111</v>
      </c>
      <c r="P12" s="97" t="s">
        <v>111</v>
      </c>
      <c r="Q12" s="97" t="s">
        <v>111</v>
      </c>
      <c r="R12" s="97" t="s">
        <v>111</v>
      </c>
      <c r="S12" s="119"/>
      <c r="T12" s="97" t="s">
        <v>798</v>
      </c>
      <c r="U12" s="124"/>
      <c r="V12" s="97" t="s">
        <v>111</v>
      </c>
      <c r="W12" s="97" t="s">
        <v>111</v>
      </c>
      <c r="X12" s="119"/>
      <c r="Y12" s="97" t="s">
        <v>111</v>
      </c>
      <c r="Z12" s="97" t="s">
        <v>111</v>
      </c>
      <c r="AA12" s="97" t="s">
        <v>111</v>
      </c>
      <c r="AB12" s="124"/>
      <c r="AC12" s="97" t="s">
        <v>798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15</v>
      </c>
      <c r="AI12" s="5">
        <f t="shared" si="2"/>
        <v>5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245</v>
      </c>
      <c r="E13" s="20" t="s">
        <v>381</v>
      </c>
      <c r="F13" s="119"/>
      <c r="G13" s="124"/>
      <c r="H13" s="97" t="s">
        <v>111</v>
      </c>
      <c r="I13" s="97" t="s">
        <v>111</v>
      </c>
      <c r="J13" s="119"/>
      <c r="K13" s="97" t="s">
        <v>111</v>
      </c>
      <c r="L13" s="97" t="s">
        <v>111</v>
      </c>
      <c r="M13" s="97" t="s">
        <v>798</v>
      </c>
      <c r="N13" s="124"/>
      <c r="O13" s="97" t="s">
        <v>798</v>
      </c>
      <c r="P13" s="97" t="s">
        <v>111</v>
      </c>
      <c r="Q13" s="97" t="s">
        <v>111</v>
      </c>
      <c r="R13" s="97" t="s">
        <v>798</v>
      </c>
      <c r="S13" s="119"/>
      <c r="T13" s="97" t="s">
        <v>111</v>
      </c>
      <c r="U13" s="124"/>
      <c r="V13" s="97" t="s">
        <v>111</v>
      </c>
      <c r="W13" s="97" t="s">
        <v>111</v>
      </c>
      <c r="X13" s="119"/>
      <c r="Y13" s="97" t="s">
        <v>111</v>
      </c>
      <c r="Z13" s="97" t="s">
        <v>798</v>
      </c>
      <c r="AA13" s="97" t="s">
        <v>111</v>
      </c>
      <c r="AB13" s="124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15</v>
      </c>
      <c r="AI13" s="5">
        <f t="shared" si="2"/>
        <v>5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98">
        <v>691</v>
      </c>
      <c r="C14" s="18" t="s">
        <v>427</v>
      </c>
      <c r="D14" s="19" t="s">
        <v>428</v>
      </c>
      <c r="E14" s="20" t="s">
        <v>381</v>
      </c>
      <c r="F14" s="119"/>
      <c r="G14" s="124"/>
      <c r="H14" s="97" t="s">
        <v>111</v>
      </c>
      <c r="I14" s="97" t="s">
        <v>111</v>
      </c>
      <c r="J14" s="119"/>
      <c r="K14" s="97" t="s">
        <v>111</v>
      </c>
      <c r="L14" s="97" t="s">
        <v>798</v>
      </c>
      <c r="M14" s="97" t="s">
        <v>111</v>
      </c>
      <c r="N14" s="124"/>
      <c r="O14" s="97" t="s">
        <v>111</v>
      </c>
      <c r="P14" s="97" t="s">
        <v>111</v>
      </c>
      <c r="Q14" s="97" t="s">
        <v>111</v>
      </c>
      <c r="R14" s="97" t="s">
        <v>111</v>
      </c>
      <c r="S14" s="119"/>
      <c r="T14" s="97" t="s">
        <v>111</v>
      </c>
      <c r="U14" s="124"/>
      <c r="V14" s="97" t="s">
        <v>111</v>
      </c>
      <c r="W14" s="97" t="s">
        <v>111</v>
      </c>
      <c r="X14" s="119"/>
      <c r="Y14" s="97" t="s">
        <v>111</v>
      </c>
      <c r="Z14" s="97" t="s">
        <v>798</v>
      </c>
      <c r="AA14" s="97" t="s">
        <v>111</v>
      </c>
      <c r="AB14" s="124"/>
      <c r="AC14" s="97" t="s">
        <v>111</v>
      </c>
      <c r="AD14" s="97" t="s">
        <v>111</v>
      </c>
      <c r="AE14" s="97" t="s">
        <v>798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SUM(AH5:AH30)</f>
        <v>444</v>
      </c>
      <c r="AL14" s="9">
        <f>SUM(AH31:AH53)</f>
        <v>413</v>
      </c>
      <c r="AM14" s="9">
        <f>AK14+AL14</f>
        <v>857</v>
      </c>
    </row>
    <row r="15" spans="1:39" ht="16.5" x14ac:dyDescent="0.25">
      <c r="A15" s="21">
        <v>11</v>
      </c>
      <c r="B15" s="11">
        <v>913</v>
      </c>
      <c r="C15" s="18" t="s">
        <v>449</v>
      </c>
      <c r="D15" s="19" t="s">
        <v>802</v>
      </c>
      <c r="E15" s="20" t="s">
        <v>381</v>
      </c>
      <c r="F15" s="119"/>
      <c r="G15" s="124"/>
      <c r="H15" s="97" t="s">
        <v>111</v>
      </c>
      <c r="I15" s="97" t="s">
        <v>111</v>
      </c>
      <c r="J15" s="119"/>
      <c r="K15" s="97" t="s">
        <v>111</v>
      </c>
      <c r="L15" s="97" t="s">
        <v>111</v>
      </c>
      <c r="M15" s="97" t="s">
        <v>111</v>
      </c>
      <c r="N15" s="124"/>
      <c r="O15" s="97" t="s">
        <v>111</v>
      </c>
      <c r="P15" s="97" t="s">
        <v>111</v>
      </c>
      <c r="Q15" s="97" t="s">
        <v>111</v>
      </c>
      <c r="R15" s="97" t="s">
        <v>111</v>
      </c>
      <c r="S15" s="119"/>
      <c r="T15" s="97" t="s">
        <v>111</v>
      </c>
      <c r="U15" s="124"/>
      <c r="V15" s="97" t="s">
        <v>111</v>
      </c>
      <c r="W15" s="97" t="s">
        <v>798</v>
      </c>
      <c r="X15" s="119"/>
      <c r="Y15" s="97" t="s">
        <v>798</v>
      </c>
      <c r="Z15" s="97" t="s">
        <v>798</v>
      </c>
      <c r="AA15" s="97" t="s">
        <v>798</v>
      </c>
      <c r="AB15" s="124"/>
      <c r="AC15" s="97" t="s">
        <v>798</v>
      </c>
      <c r="AD15" s="97" t="s">
        <v>798</v>
      </c>
      <c r="AE15" s="97" t="s">
        <v>798</v>
      </c>
      <c r="AF15" s="97" t="s">
        <v>798</v>
      </c>
      <c r="AG15" s="97" t="s">
        <v>798</v>
      </c>
      <c r="AH15" s="5">
        <f t="shared" si="1"/>
        <v>11</v>
      </c>
      <c r="AI15" s="5">
        <f t="shared" si="2"/>
        <v>9</v>
      </c>
      <c r="AJ15" s="5" t="s">
        <v>16</v>
      </c>
      <c r="AK15" s="12">
        <f>AK14/AK13</f>
        <v>0.60989010989010994</v>
      </c>
      <c r="AL15" s="12">
        <f>AL14/AL13</f>
        <v>0.66185897435897434</v>
      </c>
      <c r="AM15" s="12">
        <f>AM14/AM13</f>
        <v>0.63387573964497046</v>
      </c>
    </row>
    <row r="16" spans="1:39" ht="16.5" x14ac:dyDescent="0.25">
      <c r="A16" s="9">
        <v>12</v>
      </c>
      <c r="B16" s="11">
        <v>528</v>
      </c>
      <c r="C16" s="18" t="s">
        <v>429</v>
      </c>
      <c r="D16" s="19" t="s">
        <v>430</v>
      </c>
      <c r="E16" s="20" t="s">
        <v>381</v>
      </c>
      <c r="F16" s="119"/>
      <c r="G16" s="124"/>
      <c r="H16" s="97" t="s">
        <v>798</v>
      </c>
      <c r="I16" s="97" t="s">
        <v>798</v>
      </c>
      <c r="J16" s="119"/>
      <c r="K16" s="97" t="s">
        <v>798</v>
      </c>
      <c r="L16" s="97" t="s">
        <v>798</v>
      </c>
      <c r="M16" s="97" t="s">
        <v>798</v>
      </c>
      <c r="N16" s="124"/>
      <c r="O16" s="97" t="s">
        <v>798</v>
      </c>
      <c r="P16" s="97" t="s">
        <v>798</v>
      </c>
      <c r="Q16" s="97" t="s">
        <v>798</v>
      </c>
      <c r="R16" s="97" t="s">
        <v>798</v>
      </c>
      <c r="S16" s="119"/>
      <c r="T16" s="97" t="s">
        <v>798</v>
      </c>
      <c r="U16" s="124"/>
      <c r="V16" s="97" t="s">
        <v>798</v>
      </c>
      <c r="W16" s="97" t="s">
        <v>798</v>
      </c>
      <c r="X16" s="119"/>
      <c r="Y16" s="97" t="s">
        <v>798</v>
      </c>
      <c r="Z16" s="97" t="s">
        <v>798</v>
      </c>
      <c r="AA16" s="97" t="s">
        <v>111</v>
      </c>
      <c r="AB16" s="124"/>
      <c r="AC16" s="97" t="s">
        <v>798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5</v>
      </c>
      <c r="AI16" s="5">
        <f t="shared" si="2"/>
        <v>15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431</v>
      </c>
      <c r="D17" s="19" t="s">
        <v>169</v>
      </c>
      <c r="E17" s="20" t="s">
        <v>381</v>
      </c>
      <c r="F17" s="119"/>
      <c r="G17" s="124"/>
      <c r="H17" s="97" t="s">
        <v>111</v>
      </c>
      <c r="I17" s="97" t="s">
        <v>111</v>
      </c>
      <c r="J17" s="119"/>
      <c r="K17" s="97" t="s">
        <v>111</v>
      </c>
      <c r="L17" s="97" t="s">
        <v>798</v>
      </c>
      <c r="M17" s="97" t="s">
        <v>798</v>
      </c>
      <c r="N17" s="124"/>
      <c r="O17" s="97" t="s">
        <v>111</v>
      </c>
      <c r="P17" s="97" t="s">
        <v>111</v>
      </c>
      <c r="Q17" s="97" t="s">
        <v>111</v>
      </c>
      <c r="R17" s="97" t="s">
        <v>111</v>
      </c>
      <c r="S17" s="119"/>
      <c r="T17" s="97" t="s">
        <v>111</v>
      </c>
      <c r="U17" s="124"/>
      <c r="V17" s="97" t="s">
        <v>111</v>
      </c>
      <c r="W17" s="97" t="s">
        <v>111</v>
      </c>
      <c r="X17" s="119"/>
      <c r="Y17" s="97" t="s">
        <v>111</v>
      </c>
      <c r="Z17" s="97" t="s">
        <v>111</v>
      </c>
      <c r="AA17" s="97" t="s">
        <v>111</v>
      </c>
      <c r="AB17" s="124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17</v>
      </c>
      <c r="AI17" s="5">
        <f t="shared" si="2"/>
        <v>3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433</v>
      </c>
      <c r="D18" s="19" t="s">
        <v>66</v>
      </c>
      <c r="E18" s="20" t="s">
        <v>381</v>
      </c>
      <c r="F18" s="119"/>
      <c r="G18" s="124"/>
      <c r="H18" s="97" t="s">
        <v>111</v>
      </c>
      <c r="I18" s="97" t="s">
        <v>111</v>
      </c>
      <c r="J18" s="119"/>
      <c r="K18" s="97" t="s">
        <v>111</v>
      </c>
      <c r="L18" s="97" t="s">
        <v>798</v>
      </c>
      <c r="M18" s="97" t="s">
        <v>111</v>
      </c>
      <c r="N18" s="124"/>
      <c r="O18" s="97" t="s">
        <v>111</v>
      </c>
      <c r="P18" s="97" t="s">
        <v>111</v>
      </c>
      <c r="Q18" s="97" t="s">
        <v>111</v>
      </c>
      <c r="R18" s="97" t="s">
        <v>111</v>
      </c>
      <c r="S18" s="119"/>
      <c r="T18" s="97" t="s">
        <v>111</v>
      </c>
      <c r="U18" s="124"/>
      <c r="V18" s="97" t="s">
        <v>111</v>
      </c>
      <c r="W18" s="97" t="s">
        <v>111</v>
      </c>
      <c r="X18" s="119"/>
      <c r="Y18" s="97" t="s">
        <v>111</v>
      </c>
      <c r="Z18" s="97" t="s">
        <v>111</v>
      </c>
      <c r="AA18" s="97" t="s">
        <v>111</v>
      </c>
      <c r="AB18" s="124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19</v>
      </c>
      <c r="AI18" s="5">
        <f t="shared" si="2"/>
        <v>1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434</v>
      </c>
      <c r="D19" s="19" t="s">
        <v>224</v>
      </c>
      <c r="E19" s="20" t="s">
        <v>381</v>
      </c>
      <c r="F19" s="119"/>
      <c r="G19" s="124"/>
      <c r="H19" s="97" t="s">
        <v>111</v>
      </c>
      <c r="I19" s="97" t="s">
        <v>111</v>
      </c>
      <c r="J19" s="119"/>
      <c r="K19" s="97" t="s">
        <v>111</v>
      </c>
      <c r="L19" s="97" t="s">
        <v>111</v>
      </c>
      <c r="M19" s="97" t="s">
        <v>111</v>
      </c>
      <c r="N19" s="124"/>
      <c r="O19" s="97" t="s">
        <v>111</v>
      </c>
      <c r="P19" s="97" t="s">
        <v>799</v>
      </c>
      <c r="Q19" s="97" t="s">
        <v>111</v>
      </c>
      <c r="R19" s="97" t="s">
        <v>111</v>
      </c>
      <c r="S19" s="119"/>
      <c r="T19" s="97" t="s">
        <v>111</v>
      </c>
      <c r="U19" s="124"/>
      <c r="V19" s="97" t="s">
        <v>111</v>
      </c>
      <c r="W19" s="97" t="s">
        <v>111</v>
      </c>
      <c r="X19" s="119"/>
      <c r="Y19" s="97" t="s">
        <v>111</v>
      </c>
      <c r="Z19" s="97" t="s">
        <v>111</v>
      </c>
      <c r="AA19" s="97" t="s">
        <v>111</v>
      </c>
      <c r="AB19" s="124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0</v>
      </c>
      <c r="AJ19" s="120" t="s">
        <v>123</v>
      </c>
      <c r="AK19" s="121"/>
      <c r="AL19" s="121"/>
      <c r="AM19" s="122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381</v>
      </c>
      <c r="F20" s="119"/>
      <c r="G20" s="124"/>
      <c r="H20" s="97" t="s">
        <v>111</v>
      </c>
      <c r="I20" s="97" t="s">
        <v>111</v>
      </c>
      <c r="J20" s="119"/>
      <c r="K20" s="97" t="s">
        <v>111</v>
      </c>
      <c r="L20" s="97" t="s">
        <v>111</v>
      </c>
      <c r="M20" s="97" t="s">
        <v>111</v>
      </c>
      <c r="N20" s="124"/>
      <c r="O20" s="97" t="s">
        <v>111</v>
      </c>
      <c r="P20" s="97" t="s">
        <v>111</v>
      </c>
      <c r="Q20" s="97" t="s">
        <v>111</v>
      </c>
      <c r="R20" s="97" t="s">
        <v>111</v>
      </c>
      <c r="S20" s="119"/>
      <c r="T20" s="97" t="s">
        <v>111</v>
      </c>
      <c r="U20" s="124"/>
      <c r="V20" s="97" t="s">
        <v>111</v>
      </c>
      <c r="W20" s="97" t="s">
        <v>111</v>
      </c>
      <c r="X20" s="119"/>
      <c r="Y20" s="97" t="s">
        <v>111</v>
      </c>
      <c r="Z20" s="97" t="s">
        <v>111</v>
      </c>
      <c r="AA20" s="97" t="s">
        <v>111</v>
      </c>
      <c r="AB20" s="124"/>
      <c r="AC20" s="97" t="s">
        <v>111</v>
      </c>
      <c r="AD20" s="97" t="s">
        <v>798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432</v>
      </c>
      <c r="D21" s="19" t="s">
        <v>116</v>
      </c>
      <c r="E21" s="20" t="s">
        <v>381</v>
      </c>
      <c r="F21" s="119"/>
      <c r="G21" s="124"/>
      <c r="H21" s="97" t="s">
        <v>798</v>
      </c>
      <c r="I21" s="97" t="s">
        <v>111</v>
      </c>
      <c r="J21" s="119"/>
      <c r="K21" s="97" t="s">
        <v>798</v>
      </c>
      <c r="L21" s="97" t="s">
        <v>111</v>
      </c>
      <c r="M21" s="97" t="s">
        <v>111</v>
      </c>
      <c r="N21" s="124"/>
      <c r="O21" s="97" t="s">
        <v>111</v>
      </c>
      <c r="P21" s="97" t="s">
        <v>111</v>
      </c>
      <c r="Q21" s="97" t="s">
        <v>111</v>
      </c>
      <c r="R21" s="97" t="s">
        <v>111</v>
      </c>
      <c r="S21" s="119"/>
      <c r="T21" s="97" t="s">
        <v>111</v>
      </c>
      <c r="U21" s="124"/>
      <c r="V21" s="97" t="s">
        <v>111</v>
      </c>
      <c r="W21" s="97" t="s">
        <v>111</v>
      </c>
      <c r="X21" s="119"/>
      <c r="Y21" s="97" t="s">
        <v>111</v>
      </c>
      <c r="Z21" s="97" t="s">
        <v>111</v>
      </c>
      <c r="AA21" s="97" t="s">
        <v>111</v>
      </c>
      <c r="AB21" s="124"/>
      <c r="AC21" s="97" t="s">
        <v>111</v>
      </c>
      <c r="AD21" s="97" t="s">
        <v>111</v>
      </c>
      <c r="AE21" s="97" t="s">
        <v>799</v>
      </c>
      <c r="AF21" s="97" t="s">
        <v>111</v>
      </c>
      <c r="AG21" s="97" t="s">
        <v>111</v>
      </c>
      <c r="AH21" s="5">
        <f t="shared" si="1"/>
        <v>17</v>
      </c>
      <c r="AI21" s="5">
        <f t="shared" si="2"/>
        <v>2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435</v>
      </c>
      <c r="D22" s="19" t="s">
        <v>436</v>
      </c>
      <c r="E22" s="20" t="s">
        <v>381</v>
      </c>
      <c r="F22" s="119"/>
      <c r="G22" s="124"/>
      <c r="H22" s="97" t="s">
        <v>111</v>
      </c>
      <c r="I22" s="97" t="s">
        <v>111</v>
      </c>
      <c r="J22" s="119"/>
      <c r="K22" s="97" t="s">
        <v>111</v>
      </c>
      <c r="L22" s="97" t="s">
        <v>111</v>
      </c>
      <c r="M22" s="97" t="s">
        <v>798</v>
      </c>
      <c r="N22" s="124"/>
      <c r="O22" s="97" t="s">
        <v>111</v>
      </c>
      <c r="P22" s="97" t="s">
        <v>111</v>
      </c>
      <c r="Q22" s="97" t="s">
        <v>111</v>
      </c>
      <c r="R22" s="97" t="s">
        <v>111</v>
      </c>
      <c r="S22" s="119"/>
      <c r="T22" s="97" t="s">
        <v>798</v>
      </c>
      <c r="U22" s="124"/>
      <c r="V22" s="97" t="s">
        <v>111</v>
      </c>
      <c r="W22" s="97" t="s">
        <v>111</v>
      </c>
      <c r="X22" s="119"/>
      <c r="Y22" s="97" t="s">
        <v>111</v>
      </c>
      <c r="Z22" s="97" t="s">
        <v>111</v>
      </c>
      <c r="AA22" s="97" t="s">
        <v>111</v>
      </c>
      <c r="AB22" s="124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284</v>
      </c>
      <c r="AL22" s="9">
        <f>AL21-AL14</f>
        <v>211</v>
      </c>
      <c r="AM22" s="9">
        <f>AK22+AL22</f>
        <v>495</v>
      </c>
    </row>
    <row r="23" spans="1:39" ht="16.5" x14ac:dyDescent="0.25">
      <c r="A23" s="21">
        <v>19</v>
      </c>
      <c r="B23" s="11">
        <v>586</v>
      </c>
      <c r="C23" s="18" t="s">
        <v>437</v>
      </c>
      <c r="D23" s="19" t="s">
        <v>438</v>
      </c>
      <c r="E23" s="20" t="s">
        <v>381</v>
      </c>
      <c r="F23" s="119"/>
      <c r="G23" s="124"/>
      <c r="H23" s="97" t="s">
        <v>111</v>
      </c>
      <c r="I23" s="97" t="s">
        <v>111</v>
      </c>
      <c r="J23" s="119"/>
      <c r="K23" s="97" t="s">
        <v>111</v>
      </c>
      <c r="L23" s="97" t="s">
        <v>111</v>
      </c>
      <c r="M23" s="97" t="s">
        <v>111</v>
      </c>
      <c r="N23" s="124"/>
      <c r="O23" s="97" t="s">
        <v>111</v>
      </c>
      <c r="P23" s="97" t="s">
        <v>111</v>
      </c>
      <c r="Q23" s="97" t="s">
        <v>111</v>
      </c>
      <c r="R23" s="97" t="s">
        <v>111</v>
      </c>
      <c r="S23" s="119"/>
      <c r="T23" s="97" t="s">
        <v>111</v>
      </c>
      <c r="U23" s="124"/>
      <c r="V23" s="97" t="s">
        <v>111</v>
      </c>
      <c r="W23" s="97" t="s">
        <v>111</v>
      </c>
      <c r="X23" s="119"/>
      <c r="Y23" s="97" t="s">
        <v>111</v>
      </c>
      <c r="Z23" s="97" t="s">
        <v>111</v>
      </c>
      <c r="AA23" s="97" t="s">
        <v>111</v>
      </c>
      <c r="AB23" s="124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0.39010989010989011</v>
      </c>
      <c r="AL23" s="12">
        <f>AL22/AL21</f>
        <v>0.33814102564102566</v>
      </c>
      <c r="AM23" s="12">
        <f>AM22/AM21</f>
        <v>0.3661242603550296</v>
      </c>
    </row>
    <row r="24" spans="1:39" ht="16.5" x14ac:dyDescent="0.25">
      <c r="A24" s="9">
        <v>20</v>
      </c>
      <c r="B24" s="11">
        <v>580</v>
      </c>
      <c r="C24" s="18" t="s">
        <v>440</v>
      </c>
      <c r="D24" s="19" t="s">
        <v>441</v>
      </c>
      <c r="E24" s="20" t="s">
        <v>381</v>
      </c>
      <c r="F24" s="119"/>
      <c r="G24" s="124"/>
      <c r="H24" s="97" t="s">
        <v>111</v>
      </c>
      <c r="I24" s="97" t="s">
        <v>111</v>
      </c>
      <c r="J24" s="119"/>
      <c r="K24" s="97" t="s">
        <v>111</v>
      </c>
      <c r="L24" s="97" t="s">
        <v>111</v>
      </c>
      <c r="M24" s="97" t="s">
        <v>111</v>
      </c>
      <c r="N24" s="124"/>
      <c r="O24" s="97" t="s">
        <v>111</v>
      </c>
      <c r="P24" s="97" t="s">
        <v>111</v>
      </c>
      <c r="Q24" s="97" t="s">
        <v>111</v>
      </c>
      <c r="R24" s="97" t="s">
        <v>111</v>
      </c>
      <c r="S24" s="119"/>
      <c r="T24" s="97" t="s">
        <v>111</v>
      </c>
      <c r="U24" s="124"/>
      <c r="V24" s="97" t="s">
        <v>111</v>
      </c>
      <c r="W24" s="97" t="s">
        <v>111</v>
      </c>
      <c r="X24" s="119"/>
      <c r="Y24" s="97" t="s">
        <v>798</v>
      </c>
      <c r="Z24" s="97" t="s">
        <v>798</v>
      </c>
      <c r="AA24" s="97" t="s">
        <v>798</v>
      </c>
      <c r="AB24" s="124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17</v>
      </c>
      <c r="AI24" s="5">
        <f t="shared" si="2"/>
        <v>3</v>
      </c>
    </row>
    <row r="25" spans="1:39" ht="16.5" x14ac:dyDescent="0.25">
      <c r="A25" s="21">
        <v>21</v>
      </c>
      <c r="B25" s="11">
        <v>583</v>
      </c>
      <c r="C25" s="18" t="s">
        <v>439</v>
      </c>
      <c r="D25" s="19" t="s">
        <v>41</v>
      </c>
      <c r="E25" s="20" t="s">
        <v>381</v>
      </c>
      <c r="F25" s="119"/>
      <c r="G25" s="124"/>
      <c r="H25" s="97" t="s">
        <v>111</v>
      </c>
      <c r="I25" s="97" t="s">
        <v>111</v>
      </c>
      <c r="J25" s="119"/>
      <c r="K25" s="97" t="s">
        <v>111</v>
      </c>
      <c r="L25" s="97" t="s">
        <v>111</v>
      </c>
      <c r="M25" s="97" t="s">
        <v>798</v>
      </c>
      <c r="N25" s="124"/>
      <c r="O25" s="97" t="s">
        <v>111</v>
      </c>
      <c r="P25" s="97" t="s">
        <v>111</v>
      </c>
      <c r="Q25" s="97" t="s">
        <v>111</v>
      </c>
      <c r="R25" s="97" t="s">
        <v>111</v>
      </c>
      <c r="S25" s="119"/>
      <c r="T25" s="97" t="s">
        <v>798</v>
      </c>
      <c r="U25" s="124"/>
      <c r="V25" s="97" t="s">
        <v>111</v>
      </c>
      <c r="W25" s="97" t="s">
        <v>111</v>
      </c>
      <c r="X25" s="119"/>
      <c r="Y25" s="97" t="s">
        <v>111</v>
      </c>
      <c r="Z25" s="97" t="s">
        <v>111</v>
      </c>
      <c r="AA25" s="97" t="s">
        <v>111</v>
      </c>
      <c r="AB25" s="124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18</v>
      </c>
      <c r="AI25" s="5">
        <f t="shared" si="2"/>
        <v>2</v>
      </c>
    </row>
    <row r="26" spans="1:39" ht="16.5" x14ac:dyDescent="0.25">
      <c r="A26" s="9">
        <v>22</v>
      </c>
      <c r="B26" s="11">
        <v>480</v>
      </c>
      <c r="C26" s="18" t="s">
        <v>442</v>
      </c>
      <c r="D26" s="19" t="s">
        <v>241</v>
      </c>
      <c r="E26" s="20" t="s">
        <v>381</v>
      </c>
      <c r="F26" s="119"/>
      <c r="G26" s="124"/>
      <c r="H26" s="97" t="s">
        <v>111</v>
      </c>
      <c r="I26" s="97" t="s">
        <v>111</v>
      </c>
      <c r="J26" s="119"/>
      <c r="K26" s="97" t="s">
        <v>111</v>
      </c>
      <c r="L26" s="97" t="s">
        <v>111</v>
      </c>
      <c r="M26" s="97" t="s">
        <v>111</v>
      </c>
      <c r="N26" s="124"/>
      <c r="O26" s="97" t="s">
        <v>799</v>
      </c>
      <c r="P26" s="97" t="s">
        <v>799</v>
      </c>
      <c r="Q26" s="97" t="s">
        <v>799</v>
      </c>
      <c r="R26" s="97" t="s">
        <v>799</v>
      </c>
      <c r="S26" s="119"/>
      <c r="T26" s="97" t="s">
        <v>799</v>
      </c>
      <c r="U26" s="124"/>
      <c r="V26" s="97" t="s">
        <v>799</v>
      </c>
      <c r="W26" s="97" t="s">
        <v>799</v>
      </c>
      <c r="X26" s="119"/>
      <c r="Y26" s="97" t="s">
        <v>111</v>
      </c>
      <c r="Z26" s="97" t="s">
        <v>111</v>
      </c>
      <c r="AA26" s="97" t="s">
        <v>111</v>
      </c>
      <c r="AB26" s="124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13</v>
      </c>
      <c r="AI26" s="5">
        <f t="shared" si="2"/>
        <v>0</v>
      </c>
    </row>
    <row r="27" spans="1:39" ht="16.5" x14ac:dyDescent="0.25">
      <c r="A27" s="21">
        <v>23</v>
      </c>
      <c r="B27" s="11">
        <v>576</v>
      </c>
      <c r="C27" s="18" t="s">
        <v>315</v>
      </c>
      <c r="D27" s="19" t="s">
        <v>241</v>
      </c>
      <c r="E27" s="20" t="s">
        <v>381</v>
      </c>
      <c r="F27" s="119"/>
      <c r="G27" s="124"/>
      <c r="H27" s="97" t="s">
        <v>111</v>
      </c>
      <c r="I27" s="97" t="s">
        <v>111</v>
      </c>
      <c r="J27" s="119"/>
      <c r="K27" s="97" t="s">
        <v>111</v>
      </c>
      <c r="L27" s="97" t="s">
        <v>111</v>
      </c>
      <c r="M27" s="97" t="s">
        <v>111</v>
      </c>
      <c r="N27" s="124"/>
      <c r="O27" s="97" t="s">
        <v>111</v>
      </c>
      <c r="P27" s="97" t="s">
        <v>111</v>
      </c>
      <c r="Q27" s="97" t="s">
        <v>111</v>
      </c>
      <c r="R27" s="97" t="s">
        <v>111</v>
      </c>
      <c r="S27" s="119"/>
      <c r="T27" s="97" t="s">
        <v>111</v>
      </c>
      <c r="U27" s="124"/>
      <c r="V27" s="97" t="s">
        <v>111</v>
      </c>
      <c r="W27" s="97" t="s">
        <v>111</v>
      </c>
      <c r="X27" s="119"/>
      <c r="Y27" s="97" t="s">
        <v>111</v>
      </c>
      <c r="Z27" s="97" t="s">
        <v>111</v>
      </c>
      <c r="AA27" s="97" t="s">
        <v>111</v>
      </c>
      <c r="AB27" s="124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x14ac:dyDescent="0.25">
      <c r="A28" s="9">
        <v>24</v>
      </c>
      <c r="B28" s="11">
        <v>685</v>
      </c>
      <c r="C28" s="18" t="s">
        <v>443</v>
      </c>
      <c r="D28" s="19" t="s">
        <v>444</v>
      </c>
      <c r="E28" s="20" t="s">
        <v>381</v>
      </c>
      <c r="F28" s="119"/>
      <c r="G28" s="124"/>
      <c r="H28" s="97" t="s">
        <v>111</v>
      </c>
      <c r="I28" s="97" t="s">
        <v>111</v>
      </c>
      <c r="J28" s="119"/>
      <c r="K28" s="97" t="s">
        <v>111</v>
      </c>
      <c r="L28" s="97" t="s">
        <v>111</v>
      </c>
      <c r="M28" s="97" t="s">
        <v>111</v>
      </c>
      <c r="N28" s="124"/>
      <c r="O28" s="97" t="s">
        <v>111</v>
      </c>
      <c r="P28" s="97" t="s">
        <v>111</v>
      </c>
      <c r="Q28" s="97" t="s">
        <v>111</v>
      </c>
      <c r="R28" s="97" t="s">
        <v>111</v>
      </c>
      <c r="S28" s="119"/>
      <c r="T28" s="97" t="s">
        <v>111</v>
      </c>
      <c r="U28" s="124"/>
      <c r="V28" s="97" t="s">
        <v>111</v>
      </c>
      <c r="W28" s="97" t="s">
        <v>111</v>
      </c>
      <c r="X28" s="119"/>
      <c r="Y28" s="97" t="s">
        <v>798</v>
      </c>
      <c r="Z28" s="97" t="s">
        <v>798</v>
      </c>
      <c r="AA28" s="97" t="s">
        <v>798</v>
      </c>
      <c r="AB28" s="124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17</v>
      </c>
      <c r="AI28" s="5">
        <f t="shared" si="2"/>
        <v>3</v>
      </c>
    </row>
    <row r="29" spans="1:39" ht="16.5" customHeight="1" x14ac:dyDescent="0.25">
      <c r="A29" s="21">
        <v>25</v>
      </c>
      <c r="B29" s="11">
        <v>688</v>
      </c>
      <c r="C29" s="18" t="s">
        <v>445</v>
      </c>
      <c r="D29" s="19" t="s">
        <v>437</v>
      </c>
      <c r="E29" s="20" t="s">
        <v>381</v>
      </c>
      <c r="F29" s="119"/>
      <c r="G29" s="124"/>
      <c r="H29" s="97" t="s">
        <v>798</v>
      </c>
      <c r="I29" s="97" t="s">
        <v>111</v>
      </c>
      <c r="J29" s="119"/>
      <c r="K29" s="97" t="s">
        <v>111</v>
      </c>
      <c r="L29" s="97" t="s">
        <v>111</v>
      </c>
      <c r="M29" s="97" t="s">
        <v>111</v>
      </c>
      <c r="N29" s="124"/>
      <c r="O29" s="97" t="s">
        <v>798</v>
      </c>
      <c r="P29" s="97" t="s">
        <v>111</v>
      </c>
      <c r="Q29" s="97" t="s">
        <v>111</v>
      </c>
      <c r="R29" s="97" t="s">
        <v>111</v>
      </c>
      <c r="S29" s="119"/>
      <c r="T29" s="97" t="s">
        <v>798</v>
      </c>
      <c r="U29" s="124"/>
      <c r="V29" s="97" t="s">
        <v>111</v>
      </c>
      <c r="W29" s="97" t="s">
        <v>798</v>
      </c>
      <c r="X29" s="119"/>
      <c r="Y29" s="97" t="s">
        <v>111</v>
      </c>
      <c r="Z29" s="97" t="s">
        <v>798</v>
      </c>
      <c r="AA29" s="97" t="s">
        <v>111</v>
      </c>
      <c r="AB29" s="124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26</v>
      </c>
      <c r="B30" s="11">
        <v>546</v>
      </c>
      <c r="C30" s="18" t="s">
        <v>445</v>
      </c>
      <c r="D30" s="19" t="s">
        <v>446</v>
      </c>
      <c r="E30" s="20" t="s">
        <v>381</v>
      </c>
      <c r="F30" s="119"/>
      <c r="G30" s="124"/>
      <c r="H30" s="97" t="s">
        <v>798</v>
      </c>
      <c r="I30" s="97" t="s">
        <v>111</v>
      </c>
      <c r="J30" s="119"/>
      <c r="K30" s="97" t="s">
        <v>111</v>
      </c>
      <c r="L30" s="97" t="s">
        <v>111</v>
      </c>
      <c r="M30" s="97" t="s">
        <v>111</v>
      </c>
      <c r="N30" s="124"/>
      <c r="O30" s="97" t="s">
        <v>111</v>
      </c>
      <c r="P30" s="97" t="s">
        <v>111</v>
      </c>
      <c r="Q30" s="97" t="s">
        <v>111</v>
      </c>
      <c r="R30" s="97" t="s">
        <v>111</v>
      </c>
      <c r="S30" s="119"/>
      <c r="T30" s="97" t="s">
        <v>111</v>
      </c>
      <c r="U30" s="124"/>
      <c r="V30" s="97" t="s">
        <v>111</v>
      </c>
      <c r="W30" s="97" t="s">
        <v>111</v>
      </c>
      <c r="X30" s="119"/>
      <c r="Y30" s="97" t="s">
        <v>111</v>
      </c>
      <c r="Z30" s="97" t="s">
        <v>111</v>
      </c>
      <c r="AA30" s="97" t="s">
        <v>798</v>
      </c>
      <c r="AB30" s="124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18</v>
      </c>
      <c r="AI30" s="5">
        <f t="shared" si="2"/>
        <v>2</v>
      </c>
    </row>
    <row r="31" spans="1:39" ht="16.5" x14ac:dyDescent="0.25">
      <c r="A31" s="21">
        <v>1</v>
      </c>
      <c r="B31" s="11">
        <v>544</v>
      </c>
      <c r="C31" s="18" t="s">
        <v>379</v>
      </c>
      <c r="D31" s="19" t="s">
        <v>380</v>
      </c>
      <c r="E31" s="20" t="s">
        <v>381</v>
      </c>
      <c r="F31" s="119"/>
      <c r="G31" s="124"/>
      <c r="H31" s="97" t="s">
        <v>111</v>
      </c>
      <c r="I31" s="97" t="s">
        <v>111</v>
      </c>
      <c r="J31" s="119"/>
      <c r="K31" s="97" t="s">
        <v>111</v>
      </c>
      <c r="L31" s="97" t="s">
        <v>798</v>
      </c>
      <c r="M31" s="97" t="s">
        <v>111</v>
      </c>
      <c r="N31" s="124"/>
      <c r="O31" s="97" t="s">
        <v>111</v>
      </c>
      <c r="P31" s="97" t="s">
        <v>111</v>
      </c>
      <c r="Q31" s="97" t="s">
        <v>111</v>
      </c>
      <c r="R31" s="97" t="s">
        <v>111</v>
      </c>
      <c r="S31" s="119"/>
      <c r="T31" s="97" t="s">
        <v>111</v>
      </c>
      <c r="U31" s="124"/>
      <c r="V31" s="97" t="s">
        <v>111</v>
      </c>
      <c r="W31" s="97" t="s">
        <v>111</v>
      </c>
      <c r="X31" s="119"/>
      <c r="Y31" s="97" t="s">
        <v>111</v>
      </c>
      <c r="Z31" s="97" t="s">
        <v>798</v>
      </c>
      <c r="AA31" s="97" t="s">
        <v>111</v>
      </c>
      <c r="AB31" s="124"/>
      <c r="AC31" s="97" t="s">
        <v>798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2</v>
      </c>
      <c r="B32" s="11">
        <v>780</v>
      </c>
      <c r="C32" s="18" t="s">
        <v>383</v>
      </c>
      <c r="D32" s="19" t="s">
        <v>384</v>
      </c>
      <c r="E32" s="20" t="s">
        <v>381</v>
      </c>
      <c r="F32" s="119"/>
      <c r="G32" s="124"/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798</v>
      </c>
      <c r="N32" s="124"/>
      <c r="O32" s="97" t="s">
        <v>111</v>
      </c>
      <c r="P32" s="97" t="s">
        <v>111</v>
      </c>
      <c r="Q32" s="97" t="s">
        <v>111</v>
      </c>
      <c r="R32" s="97" t="s">
        <v>111</v>
      </c>
      <c r="S32" s="119"/>
      <c r="T32" s="97" t="s">
        <v>111</v>
      </c>
      <c r="U32" s="124"/>
      <c r="V32" s="97" t="s">
        <v>111</v>
      </c>
      <c r="W32" s="97" t="s">
        <v>111</v>
      </c>
      <c r="X32" s="119"/>
      <c r="Y32" s="97" t="s">
        <v>111</v>
      </c>
      <c r="Z32" s="97" t="s">
        <v>111</v>
      </c>
      <c r="AA32" s="97" t="s">
        <v>111</v>
      </c>
      <c r="AB32" s="124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19</v>
      </c>
      <c r="AI32" s="5">
        <f t="shared" si="2"/>
        <v>1</v>
      </c>
    </row>
    <row r="33" spans="1:35" ht="16.5" x14ac:dyDescent="0.25">
      <c r="A33" s="21">
        <v>3</v>
      </c>
      <c r="B33" s="11">
        <v>844</v>
      </c>
      <c r="C33" s="18" t="s">
        <v>413</v>
      </c>
      <c r="D33" s="19" t="s">
        <v>414</v>
      </c>
      <c r="E33" s="20" t="s">
        <v>381</v>
      </c>
      <c r="F33" s="119"/>
      <c r="G33" s="124"/>
      <c r="H33" s="97" t="s">
        <v>798</v>
      </c>
      <c r="I33" s="97" t="s">
        <v>798</v>
      </c>
      <c r="J33" s="119"/>
      <c r="K33" s="97" t="s">
        <v>111</v>
      </c>
      <c r="L33" s="97" t="s">
        <v>798</v>
      </c>
      <c r="M33" s="97" t="s">
        <v>111</v>
      </c>
      <c r="N33" s="124"/>
      <c r="O33" s="97" t="s">
        <v>798</v>
      </c>
      <c r="P33" s="97" t="s">
        <v>111</v>
      </c>
      <c r="Q33" s="97" t="s">
        <v>111</v>
      </c>
      <c r="R33" s="97" t="s">
        <v>798</v>
      </c>
      <c r="S33" s="119"/>
      <c r="T33" s="97" t="s">
        <v>111</v>
      </c>
      <c r="U33" s="124"/>
      <c r="V33" s="97" t="s">
        <v>111</v>
      </c>
      <c r="W33" s="97" t="s">
        <v>798</v>
      </c>
      <c r="X33" s="119"/>
      <c r="Y33" s="97" t="s">
        <v>111</v>
      </c>
      <c r="Z33" s="97" t="s">
        <v>111</v>
      </c>
      <c r="AA33" s="97" t="s">
        <v>798</v>
      </c>
      <c r="AB33" s="124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13</v>
      </c>
      <c r="AI33" s="5">
        <f t="shared" si="2"/>
        <v>7</v>
      </c>
    </row>
    <row r="34" spans="1:35" ht="16.5" x14ac:dyDescent="0.25">
      <c r="A34" s="9">
        <v>4</v>
      </c>
      <c r="B34" s="11">
        <v>569</v>
      </c>
      <c r="C34" s="18" t="s">
        <v>385</v>
      </c>
      <c r="D34" s="19" t="s">
        <v>386</v>
      </c>
      <c r="E34" s="20" t="s">
        <v>381</v>
      </c>
      <c r="F34" s="119"/>
      <c r="G34" s="124"/>
      <c r="H34" s="97" t="s">
        <v>111</v>
      </c>
      <c r="I34" s="97" t="s">
        <v>111</v>
      </c>
      <c r="J34" s="119"/>
      <c r="K34" s="97" t="s">
        <v>111</v>
      </c>
      <c r="L34" s="97" t="s">
        <v>111</v>
      </c>
      <c r="M34" s="97" t="s">
        <v>111</v>
      </c>
      <c r="N34" s="124"/>
      <c r="O34" s="97" t="s">
        <v>111</v>
      </c>
      <c r="P34" s="97" t="s">
        <v>111</v>
      </c>
      <c r="Q34" s="97" t="s">
        <v>111</v>
      </c>
      <c r="R34" s="97" t="s">
        <v>111</v>
      </c>
      <c r="S34" s="119"/>
      <c r="T34" s="97" t="s">
        <v>111</v>
      </c>
      <c r="U34" s="124"/>
      <c r="V34" s="97" t="s">
        <v>799</v>
      </c>
      <c r="W34" s="97" t="s">
        <v>799</v>
      </c>
      <c r="X34" s="119"/>
      <c r="Y34" s="97" t="s">
        <v>799</v>
      </c>
      <c r="Z34" s="97" t="s">
        <v>799</v>
      </c>
      <c r="AA34" s="97" t="s">
        <v>799</v>
      </c>
      <c r="AB34" s="124"/>
      <c r="AC34" s="97" t="s">
        <v>799</v>
      </c>
      <c r="AD34" s="97" t="s">
        <v>798</v>
      </c>
      <c r="AE34" s="97" t="s">
        <v>111</v>
      </c>
      <c r="AF34" s="97" t="s">
        <v>111</v>
      </c>
      <c r="AG34" s="97" t="s">
        <v>111</v>
      </c>
      <c r="AH34" s="5">
        <f t="shared" si="1"/>
        <v>13</v>
      </c>
      <c r="AI34" s="5">
        <f t="shared" si="2"/>
        <v>1</v>
      </c>
    </row>
    <row r="35" spans="1:35" ht="16.5" x14ac:dyDescent="0.25">
      <c r="A35" s="21">
        <v>5</v>
      </c>
      <c r="B35" s="11">
        <v>582</v>
      </c>
      <c r="C35" s="18" t="s">
        <v>91</v>
      </c>
      <c r="D35" s="19" t="s">
        <v>387</v>
      </c>
      <c r="E35" s="20" t="s">
        <v>381</v>
      </c>
      <c r="F35" s="119"/>
      <c r="G35" s="124"/>
      <c r="H35" s="97" t="s">
        <v>111</v>
      </c>
      <c r="I35" s="97" t="s">
        <v>111</v>
      </c>
      <c r="J35" s="119"/>
      <c r="K35" s="97" t="s">
        <v>111</v>
      </c>
      <c r="L35" s="97" t="s">
        <v>111</v>
      </c>
      <c r="M35" s="97" t="s">
        <v>111</v>
      </c>
      <c r="N35" s="124"/>
      <c r="O35" s="97" t="s">
        <v>111</v>
      </c>
      <c r="P35" s="97" t="s">
        <v>798</v>
      </c>
      <c r="Q35" s="97" t="s">
        <v>111</v>
      </c>
      <c r="R35" s="97" t="s">
        <v>111</v>
      </c>
      <c r="S35" s="119"/>
      <c r="T35" s="97" t="s">
        <v>111</v>
      </c>
      <c r="U35" s="124"/>
      <c r="V35" s="97" t="s">
        <v>798</v>
      </c>
      <c r="W35" s="97" t="s">
        <v>111</v>
      </c>
      <c r="X35" s="119"/>
      <c r="Y35" s="97" t="s">
        <v>111</v>
      </c>
      <c r="Z35" s="97" t="s">
        <v>798</v>
      </c>
      <c r="AA35" s="97" t="s">
        <v>111</v>
      </c>
      <c r="AB35" s="124"/>
      <c r="AC35" s="97" t="s">
        <v>111</v>
      </c>
      <c r="AD35" s="97" t="s">
        <v>798</v>
      </c>
      <c r="AE35" s="97" t="s">
        <v>111</v>
      </c>
      <c r="AF35" s="97" t="s">
        <v>111</v>
      </c>
      <c r="AG35" s="97" t="s">
        <v>111</v>
      </c>
      <c r="AH35" s="5">
        <f t="shared" ref="AH35:AH53" si="3">COUNTIF(F35:AG35,"P")</f>
        <v>16</v>
      </c>
      <c r="AI35" s="5">
        <f t="shared" ref="AI35:AI53" si="4">COUNTIF(F35:AG35,"A")</f>
        <v>4</v>
      </c>
    </row>
    <row r="36" spans="1:35" ht="16.5" x14ac:dyDescent="0.25">
      <c r="A36" s="9">
        <v>6</v>
      </c>
      <c r="B36" s="11">
        <v>574</v>
      </c>
      <c r="C36" s="18" t="s">
        <v>388</v>
      </c>
      <c r="D36" s="19" t="s">
        <v>389</v>
      </c>
      <c r="E36" s="20" t="s">
        <v>381</v>
      </c>
      <c r="F36" s="119"/>
      <c r="G36" s="124"/>
      <c r="H36" s="97" t="s">
        <v>798</v>
      </c>
      <c r="I36" s="97" t="s">
        <v>798</v>
      </c>
      <c r="J36" s="119"/>
      <c r="K36" s="97" t="s">
        <v>799</v>
      </c>
      <c r="L36" s="97" t="s">
        <v>799</v>
      </c>
      <c r="M36" s="97" t="s">
        <v>799</v>
      </c>
      <c r="N36" s="124"/>
      <c r="O36" s="97" t="s">
        <v>799</v>
      </c>
      <c r="P36" s="97" t="s">
        <v>799</v>
      </c>
      <c r="Q36" s="97" t="s">
        <v>111</v>
      </c>
      <c r="R36" s="97" t="s">
        <v>111</v>
      </c>
      <c r="S36" s="119"/>
      <c r="T36" s="97" t="s">
        <v>111</v>
      </c>
      <c r="U36" s="124"/>
      <c r="V36" s="97" t="s">
        <v>111</v>
      </c>
      <c r="W36" s="97" t="s">
        <v>798</v>
      </c>
      <c r="X36" s="119"/>
      <c r="Y36" s="97" t="s">
        <v>111</v>
      </c>
      <c r="Z36" s="97" t="s">
        <v>111</v>
      </c>
      <c r="AA36" s="97" t="s">
        <v>798</v>
      </c>
      <c r="AB36" s="124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11</v>
      </c>
      <c r="AI36" s="5">
        <f t="shared" si="4"/>
        <v>4</v>
      </c>
    </row>
    <row r="37" spans="1:35" ht="16.5" x14ac:dyDescent="0.25">
      <c r="A37" s="21">
        <v>7</v>
      </c>
      <c r="B37" s="11">
        <v>526</v>
      </c>
      <c r="C37" s="18" t="s">
        <v>392</v>
      </c>
      <c r="D37" s="19" t="s">
        <v>283</v>
      </c>
      <c r="E37" s="20" t="s">
        <v>381</v>
      </c>
      <c r="F37" s="119"/>
      <c r="G37" s="124"/>
      <c r="H37" s="97" t="s">
        <v>111</v>
      </c>
      <c r="I37" s="97" t="s">
        <v>111</v>
      </c>
      <c r="J37" s="119"/>
      <c r="K37" s="97" t="s">
        <v>111</v>
      </c>
      <c r="L37" s="97" t="s">
        <v>111</v>
      </c>
      <c r="M37" s="97" t="s">
        <v>111</v>
      </c>
      <c r="N37" s="124"/>
      <c r="O37" s="97" t="s">
        <v>111</v>
      </c>
      <c r="P37" s="97" t="s">
        <v>111</v>
      </c>
      <c r="Q37" s="97" t="s">
        <v>111</v>
      </c>
      <c r="R37" s="97" t="s">
        <v>111</v>
      </c>
      <c r="S37" s="119"/>
      <c r="T37" s="97" t="s">
        <v>111</v>
      </c>
      <c r="U37" s="124"/>
      <c r="V37" s="97" t="s">
        <v>111</v>
      </c>
      <c r="W37" s="97" t="s">
        <v>111</v>
      </c>
      <c r="X37" s="119"/>
      <c r="Y37" s="97" t="s">
        <v>111</v>
      </c>
      <c r="Z37" s="97" t="s">
        <v>111</v>
      </c>
      <c r="AA37" s="97" t="s">
        <v>111</v>
      </c>
      <c r="AB37" s="124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8</v>
      </c>
      <c r="B38" s="11">
        <v>914</v>
      </c>
      <c r="C38" s="18" t="s">
        <v>140</v>
      </c>
      <c r="D38" s="19" t="s">
        <v>186</v>
      </c>
      <c r="E38" s="20" t="s">
        <v>381</v>
      </c>
      <c r="F38" s="119"/>
      <c r="G38" s="124"/>
      <c r="H38" s="97" t="s">
        <v>111</v>
      </c>
      <c r="I38" s="97" t="s">
        <v>111</v>
      </c>
      <c r="J38" s="119"/>
      <c r="K38" s="97" t="s">
        <v>111</v>
      </c>
      <c r="L38" s="97" t="s">
        <v>798</v>
      </c>
      <c r="M38" s="97" t="s">
        <v>111</v>
      </c>
      <c r="N38" s="124"/>
      <c r="O38" s="97" t="s">
        <v>798</v>
      </c>
      <c r="P38" s="97" t="s">
        <v>111</v>
      </c>
      <c r="Q38" s="97" t="s">
        <v>798</v>
      </c>
      <c r="R38" s="97" t="s">
        <v>111</v>
      </c>
      <c r="S38" s="119"/>
      <c r="T38" s="97" t="s">
        <v>798</v>
      </c>
      <c r="U38" s="124"/>
      <c r="V38" s="97" t="s">
        <v>111</v>
      </c>
      <c r="W38" s="97" t="s">
        <v>111</v>
      </c>
      <c r="X38" s="119"/>
      <c r="Y38" s="97" t="s">
        <v>111</v>
      </c>
      <c r="Z38" s="97" t="s">
        <v>111</v>
      </c>
      <c r="AA38" s="97" t="s">
        <v>111</v>
      </c>
      <c r="AB38" s="124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16</v>
      </c>
      <c r="AI38" s="5">
        <f t="shared" si="4"/>
        <v>4</v>
      </c>
    </row>
    <row r="39" spans="1:35" ht="16.5" x14ac:dyDescent="0.25">
      <c r="A39" s="21">
        <v>9</v>
      </c>
      <c r="B39" s="11">
        <v>537</v>
      </c>
      <c r="C39" s="18" t="s">
        <v>393</v>
      </c>
      <c r="D39" s="19" t="s">
        <v>394</v>
      </c>
      <c r="E39" s="20" t="s">
        <v>381</v>
      </c>
      <c r="F39" s="119"/>
      <c r="G39" s="124"/>
      <c r="H39" s="97" t="s">
        <v>111</v>
      </c>
      <c r="I39" s="97" t="s">
        <v>111</v>
      </c>
      <c r="J39" s="119"/>
      <c r="K39" s="97" t="s">
        <v>111</v>
      </c>
      <c r="L39" s="97" t="s">
        <v>111</v>
      </c>
      <c r="M39" s="97" t="s">
        <v>111</v>
      </c>
      <c r="N39" s="124"/>
      <c r="O39" s="97" t="s">
        <v>111</v>
      </c>
      <c r="P39" s="97" t="s">
        <v>111</v>
      </c>
      <c r="Q39" s="97" t="s">
        <v>111</v>
      </c>
      <c r="R39" s="97" t="s">
        <v>111</v>
      </c>
      <c r="S39" s="119"/>
      <c r="T39" s="97" t="s">
        <v>111</v>
      </c>
      <c r="U39" s="124"/>
      <c r="V39" s="97" t="s">
        <v>111</v>
      </c>
      <c r="W39" s="97" t="s">
        <v>111</v>
      </c>
      <c r="X39" s="119"/>
      <c r="Y39" s="97" t="s">
        <v>111</v>
      </c>
      <c r="Z39" s="97" t="s">
        <v>111</v>
      </c>
      <c r="AA39" s="97" t="s">
        <v>111</v>
      </c>
      <c r="AB39" s="124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10</v>
      </c>
      <c r="B40" s="11">
        <v>584</v>
      </c>
      <c r="C40" s="18" t="s">
        <v>329</v>
      </c>
      <c r="D40" s="19" t="s">
        <v>331</v>
      </c>
      <c r="E40" s="20" t="s">
        <v>381</v>
      </c>
      <c r="F40" s="119"/>
      <c r="G40" s="124"/>
      <c r="H40" s="97" t="s">
        <v>111</v>
      </c>
      <c r="I40" s="97" t="s">
        <v>111</v>
      </c>
      <c r="J40" s="119"/>
      <c r="K40" s="97" t="s">
        <v>111</v>
      </c>
      <c r="L40" s="97" t="s">
        <v>111</v>
      </c>
      <c r="M40" s="97" t="s">
        <v>111</v>
      </c>
      <c r="N40" s="124"/>
      <c r="O40" s="97" t="s">
        <v>111</v>
      </c>
      <c r="P40" s="97" t="s">
        <v>111</v>
      </c>
      <c r="Q40" s="97" t="s">
        <v>111</v>
      </c>
      <c r="R40" s="97" t="s">
        <v>111</v>
      </c>
      <c r="S40" s="119"/>
      <c r="T40" s="97" t="s">
        <v>111</v>
      </c>
      <c r="U40" s="124"/>
      <c r="V40" s="97" t="s">
        <v>111</v>
      </c>
      <c r="W40" s="97" t="s">
        <v>111</v>
      </c>
      <c r="X40" s="119"/>
      <c r="Y40" s="97" t="s">
        <v>111</v>
      </c>
      <c r="Z40" s="97" t="s">
        <v>111</v>
      </c>
      <c r="AA40" s="97" t="s">
        <v>111</v>
      </c>
      <c r="AB40" s="124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20</v>
      </c>
      <c r="AI40" s="5">
        <f t="shared" si="4"/>
        <v>0</v>
      </c>
    </row>
    <row r="41" spans="1:35" ht="16.5" x14ac:dyDescent="0.25">
      <c r="A41" s="21">
        <v>11</v>
      </c>
      <c r="B41" s="11">
        <v>520</v>
      </c>
      <c r="C41" s="18" t="s">
        <v>329</v>
      </c>
      <c r="D41" s="19" t="s">
        <v>395</v>
      </c>
      <c r="E41" s="20" t="s">
        <v>381</v>
      </c>
      <c r="F41" s="119"/>
      <c r="G41" s="124"/>
      <c r="H41" s="97" t="s">
        <v>111</v>
      </c>
      <c r="I41" s="97" t="s">
        <v>111</v>
      </c>
      <c r="J41" s="119"/>
      <c r="K41" s="97" t="s">
        <v>111</v>
      </c>
      <c r="L41" s="97" t="s">
        <v>111</v>
      </c>
      <c r="M41" s="97" t="s">
        <v>798</v>
      </c>
      <c r="N41" s="124"/>
      <c r="O41" s="97" t="s">
        <v>111</v>
      </c>
      <c r="P41" s="97" t="s">
        <v>111</v>
      </c>
      <c r="Q41" s="97" t="s">
        <v>111</v>
      </c>
      <c r="R41" s="97" t="s">
        <v>111</v>
      </c>
      <c r="S41" s="119"/>
      <c r="T41" s="97" t="s">
        <v>798</v>
      </c>
      <c r="U41" s="124"/>
      <c r="V41" s="97" t="s">
        <v>111</v>
      </c>
      <c r="W41" s="97" t="s">
        <v>111</v>
      </c>
      <c r="X41" s="119"/>
      <c r="Y41" s="97" t="s">
        <v>111</v>
      </c>
      <c r="Z41" s="97" t="s">
        <v>111</v>
      </c>
      <c r="AA41" s="97" t="s">
        <v>111</v>
      </c>
      <c r="AB41" s="124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12</v>
      </c>
      <c r="B42" s="11">
        <v>915</v>
      </c>
      <c r="C42" s="18" t="s">
        <v>415</v>
      </c>
      <c r="D42" s="19" t="s">
        <v>416</v>
      </c>
      <c r="E42" s="20" t="s">
        <v>381</v>
      </c>
      <c r="F42" s="119"/>
      <c r="G42" s="124"/>
      <c r="H42" s="97" t="s">
        <v>111</v>
      </c>
      <c r="I42" s="97" t="s">
        <v>111</v>
      </c>
      <c r="J42" s="119"/>
      <c r="K42" s="97" t="s">
        <v>111</v>
      </c>
      <c r="L42" s="97" t="s">
        <v>111</v>
      </c>
      <c r="M42" s="97" t="s">
        <v>111</v>
      </c>
      <c r="N42" s="124"/>
      <c r="O42" s="97" t="s">
        <v>111</v>
      </c>
      <c r="P42" s="97" t="s">
        <v>111</v>
      </c>
      <c r="Q42" s="97" t="s">
        <v>111</v>
      </c>
      <c r="R42" s="97" t="s">
        <v>111</v>
      </c>
      <c r="S42" s="119"/>
      <c r="T42" s="97" t="s">
        <v>111</v>
      </c>
      <c r="U42" s="124"/>
      <c r="V42" s="97" t="s">
        <v>111</v>
      </c>
      <c r="W42" s="97" t="s">
        <v>111</v>
      </c>
      <c r="X42" s="119"/>
      <c r="Y42" s="97" t="s">
        <v>111</v>
      </c>
      <c r="Z42" s="97" t="s">
        <v>111</v>
      </c>
      <c r="AA42" s="97" t="s">
        <v>111</v>
      </c>
      <c r="AB42" s="124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20</v>
      </c>
      <c r="AI42" s="5">
        <f t="shared" si="4"/>
        <v>0</v>
      </c>
    </row>
    <row r="43" spans="1:35" ht="16.5" x14ac:dyDescent="0.25">
      <c r="A43" s="21">
        <v>13</v>
      </c>
      <c r="B43" s="11">
        <v>687</v>
      </c>
      <c r="C43" s="18" t="s">
        <v>396</v>
      </c>
      <c r="D43" s="19" t="s">
        <v>397</v>
      </c>
      <c r="E43" s="20" t="s">
        <v>381</v>
      </c>
      <c r="F43" s="119"/>
      <c r="G43" s="124"/>
      <c r="H43" s="97" t="s">
        <v>111</v>
      </c>
      <c r="I43" s="97" t="s">
        <v>111</v>
      </c>
      <c r="J43" s="119"/>
      <c r="K43" s="97" t="s">
        <v>111</v>
      </c>
      <c r="L43" s="97" t="s">
        <v>111</v>
      </c>
      <c r="M43" s="97" t="s">
        <v>111</v>
      </c>
      <c r="N43" s="124"/>
      <c r="O43" s="97" t="s">
        <v>799</v>
      </c>
      <c r="P43" s="97" t="s">
        <v>111</v>
      </c>
      <c r="Q43" s="97" t="s">
        <v>111</v>
      </c>
      <c r="R43" s="97" t="s">
        <v>111</v>
      </c>
      <c r="S43" s="119"/>
      <c r="T43" s="97" t="s">
        <v>111</v>
      </c>
      <c r="U43" s="124"/>
      <c r="V43" s="97" t="s">
        <v>111</v>
      </c>
      <c r="W43" s="97" t="s">
        <v>111</v>
      </c>
      <c r="X43" s="119"/>
      <c r="Y43" s="97" t="s">
        <v>798</v>
      </c>
      <c r="Z43" s="97" t="s">
        <v>111</v>
      </c>
      <c r="AA43" s="97" t="s">
        <v>111</v>
      </c>
      <c r="AB43" s="124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1</v>
      </c>
    </row>
    <row r="44" spans="1:35" ht="16.5" x14ac:dyDescent="0.25">
      <c r="A44" s="9">
        <v>14</v>
      </c>
      <c r="B44" s="11">
        <v>649</v>
      </c>
      <c r="C44" s="18" t="s">
        <v>411</v>
      </c>
      <c r="D44" s="19" t="s">
        <v>412</v>
      </c>
      <c r="E44" s="20" t="s">
        <v>381</v>
      </c>
      <c r="F44" s="119"/>
      <c r="G44" s="124"/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111</v>
      </c>
      <c r="N44" s="124"/>
      <c r="O44" s="97" t="s">
        <v>799</v>
      </c>
      <c r="P44" s="97" t="s">
        <v>111</v>
      </c>
      <c r="Q44" s="97" t="s">
        <v>111</v>
      </c>
      <c r="R44" s="97" t="s">
        <v>111</v>
      </c>
      <c r="S44" s="119"/>
      <c r="T44" s="97" t="s">
        <v>111</v>
      </c>
      <c r="U44" s="124"/>
      <c r="V44" s="97" t="s">
        <v>111</v>
      </c>
      <c r="W44" s="97" t="s">
        <v>111</v>
      </c>
      <c r="X44" s="119"/>
      <c r="Y44" s="97" t="s">
        <v>799</v>
      </c>
      <c r="Z44" s="97" t="s">
        <v>111</v>
      </c>
      <c r="AA44" s="97" t="s">
        <v>111</v>
      </c>
      <c r="AB44" s="124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0</v>
      </c>
    </row>
    <row r="45" spans="1:35" ht="16.5" x14ac:dyDescent="0.25">
      <c r="A45" s="21">
        <v>15</v>
      </c>
      <c r="B45" s="11">
        <v>686</v>
      </c>
      <c r="C45" s="18" t="s">
        <v>401</v>
      </c>
      <c r="D45" s="19" t="s">
        <v>141</v>
      </c>
      <c r="E45" s="20" t="s">
        <v>381</v>
      </c>
      <c r="F45" s="119"/>
      <c r="G45" s="124"/>
      <c r="H45" s="97" t="s">
        <v>111</v>
      </c>
      <c r="I45" s="97" t="s">
        <v>111</v>
      </c>
      <c r="J45" s="119"/>
      <c r="K45" s="97" t="s">
        <v>111</v>
      </c>
      <c r="L45" s="97" t="s">
        <v>111</v>
      </c>
      <c r="M45" s="97" t="s">
        <v>111</v>
      </c>
      <c r="N45" s="124"/>
      <c r="O45" s="97" t="s">
        <v>111</v>
      </c>
      <c r="P45" s="97" t="s">
        <v>111</v>
      </c>
      <c r="Q45" s="97" t="s">
        <v>111</v>
      </c>
      <c r="R45" s="97" t="s">
        <v>111</v>
      </c>
      <c r="S45" s="119"/>
      <c r="T45" s="97" t="s">
        <v>111</v>
      </c>
      <c r="U45" s="124"/>
      <c r="V45" s="97" t="s">
        <v>111</v>
      </c>
      <c r="W45" s="97" t="s">
        <v>111</v>
      </c>
      <c r="X45" s="119"/>
      <c r="Y45" s="97" t="s">
        <v>111</v>
      </c>
      <c r="Z45" s="97" t="s">
        <v>111</v>
      </c>
      <c r="AA45" s="97" t="s">
        <v>111</v>
      </c>
      <c r="AB45" s="124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20</v>
      </c>
      <c r="AI45" s="5">
        <f t="shared" si="4"/>
        <v>0</v>
      </c>
    </row>
    <row r="46" spans="1:35" ht="16.5" x14ac:dyDescent="0.25">
      <c r="A46" s="9">
        <v>16</v>
      </c>
      <c r="B46" s="11">
        <v>581</v>
      </c>
      <c r="C46" s="18" t="s">
        <v>398</v>
      </c>
      <c r="D46" s="19" t="s">
        <v>164</v>
      </c>
      <c r="E46" s="20" t="s">
        <v>381</v>
      </c>
      <c r="F46" s="119"/>
      <c r="G46" s="124"/>
      <c r="H46" s="97" t="s">
        <v>111</v>
      </c>
      <c r="I46" s="97" t="s">
        <v>111</v>
      </c>
      <c r="J46" s="119"/>
      <c r="K46" s="97" t="s">
        <v>111</v>
      </c>
      <c r="L46" s="97" t="s">
        <v>111</v>
      </c>
      <c r="M46" s="97" t="s">
        <v>111</v>
      </c>
      <c r="N46" s="124"/>
      <c r="O46" s="97" t="s">
        <v>111</v>
      </c>
      <c r="P46" s="97" t="s">
        <v>111</v>
      </c>
      <c r="Q46" s="97" t="s">
        <v>111</v>
      </c>
      <c r="R46" s="97" t="s">
        <v>111</v>
      </c>
      <c r="S46" s="119"/>
      <c r="T46" s="97" t="s">
        <v>111</v>
      </c>
      <c r="U46" s="124"/>
      <c r="V46" s="97" t="s">
        <v>111</v>
      </c>
      <c r="W46" s="97" t="s">
        <v>111</v>
      </c>
      <c r="X46" s="119"/>
      <c r="Y46" s="97" t="s">
        <v>111</v>
      </c>
      <c r="Z46" s="97" t="s">
        <v>111</v>
      </c>
      <c r="AA46" s="97" t="s">
        <v>111</v>
      </c>
      <c r="AB46" s="124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20</v>
      </c>
      <c r="AI46" s="5">
        <f t="shared" si="4"/>
        <v>0</v>
      </c>
    </row>
    <row r="47" spans="1:35" ht="16.5" x14ac:dyDescent="0.25">
      <c r="A47" s="21">
        <v>17</v>
      </c>
      <c r="B47" s="11">
        <v>588</v>
      </c>
      <c r="C47" s="18" t="s">
        <v>399</v>
      </c>
      <c r="D47" s="19" t="s">
        <v>400</v>
      </c>
      <c r="E47" s="20" t="s">
        <v>381</v>
      </c>
      <c r="F47" s="119"/>
      <c r="G47" s="124"/>
      <c r="H47" s="97" t="s">
        <v>798</v>
      </c>
      <c r="I47" s="97" t="s">
        <v>111</v>
      </c>
      <c r="J47" s="119"/>
      <c r="K47" s="97" t="s">
        <v>111</v>
      </c>
      <c r="L47" s="97" t="s">
        <v>111</v>
      </c>
      <c r="M47" s="97" t="s">
        <v>111</v>
      </c>
      <c r="N47" s="124"/>
      <c r="O47" s="97" t="s">
        <v>111</v>
      </c>
      <c r="P47" s="97" t="s">
        <v>111</v>
      </c>
      <c r="Q47" s="97" t="s">
        <v>111</v>
      </c>
      <c r="R47" s="97" t="s">
        <v>111</v>
      </c>
      <c r="S47" s="119"/>
      <c r="T47" s="97" t="s">
        <v>111</v>
      </c>
      <c r="U47" s="124"/>
      <c r="V47" s="97" t="s">
        <v>111</v>
      </c>
      <c r="W47" s="97" t="s">
        <v>111</v>
      </c>
      <c r="X47" s="119"/>
      <c r="Y47" s="97" t="s">
        <v>111</v>
      </c>
      <c r="Z47" s="97" t="s">
        <v>111</v>
      </c>
      <c r="AA47" s="97" t="s">
        <v>111</v>
      </c>
      <c r="AB47" s="124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19</v>
      </c>
      <c r="AI47" s="5">
        <f t="shared" si="4"/>
        <v>1</v>
      </c>
    </row>
    <row r="48" spans="1:35" ht="16.5" x14ac:dyDescent="0.25">
      <c r="A48" s="9">
        <v>18</v>
      </c>
      <c r="B48" s="11">
        <v>525</v>
      </c>
      <c r="C48" s="18" t="s">
        <v>402</v>
      </c>
      <c r="D48" s="19" t="s">
        <v>403</v>
      </c>
      <c r="E48" s="20" t="s">
        <v>381</v>
      </c>
      <c r="F48" s="119"/>
      <c r="G48" s="124"/>
      <c r="H48" s="97" t="s">
        <v>111</v>
      </c>
      <c r="I48" s="97" t="s">
        <v>111</v>
      </c>
      <c r="J48" s="119"/>
      <c r="K48" s="97" t="s">
        <v>111</v>
      </c>
      <c r="L48" s="97" t="s">
        <v>111</v>
      </c>
      <c r="M48" s="97" t="s">
        <v>111</v>
      </c>
      <c r="N48" s="124"/>
      <c r="O48" s="97" t="s">
        <v>111</v>
      </c>
      <c r="P48" s="97" t="s">
        <v>111</v>
      </c>
      <c r="Q48" s="97" t="s">
        <v>798</v>
      </c>
      <c r="R48" s="97" t="s">
        <v>111</v>
      </c>
      <c r="S48" s="119"/>
      <c r="T48" s="97" t="s">
        <v>111</v>
      </c>
      <c r="U48" s="124"/>
      <c r="V48" s="97" t="s">
        <v>111</v>
      </c>
      <c r="W48" s="97" t="s">
        <v>111</v>
      </c>
      <c r="X48" s="119"/>
      <c r="Y48" s="97" t="s">
        <v>111</v>
      </c>
      <c r="Z48" s="97" t="s">
        <v>111</v>
      </c>
      <c r="AA48" s="97" t="s">
        <v>111</v>
      </c>
      <c r="AB48" s="124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19</v>
      </c>
      <c r="AI48" s="5">
        <f t="shared" si="4"/>
        <v>1</v>
      </c>
    </row>
    <row r="49" spans="1:35" ht="16.5" x14ac:dyDescent="0.25">
      <c r="A49" s="21">
        <v>19</v>
      </c>
      <c r="B49" s="11">
        <v>577</v>
      </c>
      <c r="C49" s="18" t="s">
        <v>404</v>
      </c>
      <c r="D49" s="19" t="s">
        <v>405</v>
      </c>
      <c r="E49" s="20" t="s">
        <v>381</v>
      </c>
      <c r="F49" s="119"/>
      <c r="G49" s="124"/>
      <c r="H49" s="97" t="s">
        <v>111</v>
      </c>
      <c r="I49" s="97" t="s">
        <v>111</v>
      </c>
      <c r="J49" s="119"/>
      <c r="K49" s="97" t="s">
        <v>111</v>
      </c>
      <c r="L49" s="97" t="s">
        <v>111</v>
      </c>
      <c r="M49" s="97" t="s">
        <v>798</v>
      </c>
      <c r="N49" s="124"/>
      <c r="O49" s="97" t="s">
        <v>111</v>
      </c>
      <c r="P49" s="97" t="s">
        <v>111</v>
      </c>
      <c r="Q49" s="97" t="s">
        <v>111</v>
      </c>
      <c r="R49" s="97" t="s">
        <v>111</v>
      </c>
      <c r="S49" s="119"/>
      <c r="T49" s="97" t="s">
        <v>111</v>
      </c>
      <c r="U49" s="124"/>
      <c r="V49" s="97" t="s">
        <v>111</v>
      </c>
      <c r="W49" s="97" t="s">
        <v>111</v>
      </c>
      <c r="X49" s="119"/>
      <c r="Y49" s="97" t="s">
        <v>111</v>
      </c>
      <c r="Z49" s="97" t="s">
        <v>111</v>
      </c>
      <c r="AA49" s="97" t="s">
        <v>111</v>
      </c>
      <c r="AB49" s="124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19</v>
      </c>
      <c r="AI49" s="5">
        <f t="shared" si="4"/>
        <v>1</v>
      </c>
    </row>
    <row r="50" spans="1:35" ht="16.5" x14ac:dyDescent="0.25">
      <c r="A50" s="9">
        <v>20</v>
      </c>
      <c r="B50" s="11">
        <v>589</v>
      </c>
      <c r="C50" s="18" t="s">
        <v>406</v>
      </c>
      <c r="D50" s="19" t="s">
        <v>407</v>
      </c>
      <c r="E50" s="20" t="s">
        <v>381</v>
      </c>
      <c r="F50" s="119"/>
      <c r="G50" s="124"/>
      <c r="H50" s="97" t="s">
        <v>111</v>
      </c>
      <c r="I50" s="97" t="s">
        <v>111</v>
      </c>
      <c r="J50" s="119"/>
      <c r="K50" s="97" t="s">
        <v>111</v>
      </c>
      <c r="L50" s="97" t="s">
        <v>111</v>
      </c>
      <c r="M50" s="97" t="s">
        <v>111</v>
      </c>
      <c r="N50" s="124"/>
      <c r="O50" s="97" t="s">
        <v>111</v>
      </c>
      <c r="P50" s="97" t="s">
        <v>798</v>
      </c>
      <c r="Q50" s="97" t="s">
        <v>798</v>
      </c>
      <c r="R50" s="97" t="s">
        <v>111</v>
      </c>
      <c r="S50" s="119"/>
      <c r="T50" s="97" t="s">
        <v>111</v>
      </c>
      <c r="U50" s="124"/>
      <c r="V50" s="97" t="s">
        <v>111</v>
      </c>
      <c r="W50" s="97" t="s">
        <v>111</v>
      </c>
      <c r="X50" s="119"/>
      <c r="Y50" s="97" t="s">
        <v>111</v>
      </c>
      <c r="Z50" s="97" t="s">
        <v>111</v>
      </c>
      <c r="AA50" s="97" t="s">
        <v>111</v>
      </c>
      <c r="AB50" s="124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18</v>
      </c>
      <c r="AI50" s="5">
        <f t="shared" si="4"/>
        <v>2</v>
      </c>
    </row>
    <row r="51" spans="1:35" ht="16.5" x14ac:dyDescent="0.25">
      <c r="A51" s="21">
        <v>21</v>
      </c>
      <c r="B51" s="11">
        <v>912</v>
      </c>
      <c r="C51" s="18" t="s">
        <v>408</v>
      </c>
      <c r="D51" s="19" t="s">
        <v>409</v>
      </c>
      <c r="E51" s="20" t="s">
        <v>381</v>
      </c>
      <c r="F51" s="119"/>
      <c r="G51" s="124"/>
      <c r="H51" s="97" t="s">
        <v>111</v>
      </c>
      <c r="I51" s="97" t="s">
        <v>111</v>
      </c>
      <c r="J51" s="119"/>
      <c r="K51" s="97" t="s">
        <v>798</v>
      </c>
      <c r="L51" s="97" t="s">
        <v>111</v>
      </c>
      <c r="M51" s="97" t="s">
        <v>111</v>
      </c>
      <c r="N51" s="124"/>
      <c r="O51" s="97" t="s">
        <v>111</v>
      </c>
      <c r="P51" s="97" t="s">
        <v>111</v>
      </c>
      <c r="Q51" s="97" t="s">
        <v>111</v>
      </c>
      <c r="R51" s="97" t="s">
        <v>111</v>
      </c>
      <c r="S51" s="119"/>
      <c r="T51" s="97" t="s">
        <v>111</v>
      </c>
      <c r="U51" s="124"/>
      <c r="V51" s="97" t="s">
        <v>111</v>
      </c>
      <c r="W51" s="97" t="s">
        <v>111</v>
      </c>
      <c r="X51" s="119"/>
      <c r="Y51" s="97" t="s">
        <v>111</v>
      </c>
      <c r="Z51" s="97" t="s">
        <v>111</v>
      </c>
      <c r="AA51" s="97" t="s">
        <v>111</v>
      </c>
      <c r="AB51" s="124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19</v>
      </c>
      <c r="AI51" s="5">
        <f t="shared" si="4"/>
        <v>1</v>
      </c>
    </row>
    <row r="52" spans="1:35" ht="16.5" x14ac:dyDescent="0.25">
      <c r="A52" s="9">
        <v>22</v>
      </c>
      <c r="B52" s="11">
        <v>571</v>
      </c>
      <c r="C52" s="18" t="s">
        <v>390</v>
      </c>
      <c r="D52" s="19" t="s">
        <v>391</v>
      </c>
      <c r="E52" s="20" t="s">
        <v>381</v>
      </c>
      <c r="F52" s="119"/>
      <c r="G52" s="124"/>
      <c r="H52" s="97" t="s">
        <v>111</v>
      </c>
      <c r="I52" s="97" t="s">
        <v>111</v>
      </c>
      <c r="J52" s="119"/>
      <c r="K52" s="97" t="s">
        <v>111</v>
      </c>
      <c r="L52" s="97" t="s">
        <v>111</v>
      </c>
      <c r="M52" s="97" t="s">
        <v>111</v>
      </c>
      <c r="N52" s="124"/>
      <c r="O52" s="97" t="s">
        <v>111</v>
      </c>
      <c r="P52" s="97" t="s">
        <v>111</v>
      </c>
      <c r="Q52" s="97" t="s">
        <v>111</v>
      </c>
      <c r="R52" s="97" t="s">
        <v>111</v>
      </c>
      <c r="S52" s="119"/>
      <c r="T52" s="97" t="s">
        <v>111</v>
      </c>
      <c r="U52" s="124"/>
      <c r="V52" s="97" t="s">
        <v>111</v>
      </c>
      <c r="W52" s="97" t="s">
        <v>111</v>
      </c>
      <c r="X52" s="119"/>
      <c r="Y52" s="97" t="s">
        <v>111</v>
      </c>
      <c r="Z52" s="97" t="s">
        <v>111</v>
      </c>
      <c r="AA52" s="97" t="s">
        <v>111</v>
      </c>
      <c r="AB52" s="124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20</v>
      </c>
      <c r="AI52" s="5">
        <f t="shared" si="4"/>
        <v>0</v>
      </c>
    </row>
    <row r="53" spans="1:35" ht="16.5" x14ac:dyDescent="0.25">
      <c r="A53" s="9">
        <v>24</v>
      </c>
      <c r="B53" s="11">
        <v>572</v>
      </c>
      <c r="C53" s="18" t="s">
        <v>410</v>
      </c>
      <c r="D53" s="19" t="s">
        <v>84</v>
      </c>
      <c r="E53" s="20" t="s">
        <v>381</v>
      </c>
      <c r="F53" s="127"/>
      <c r="G53" s="125"/>
      <c r="H53" s="97" t="s">
        <v>111</v>
      </c>
      <c r="I53" s="97" t="s">
        <v>111</v>
      </c>
      <c r="J53" s="127"/>
      <c r="K53" s="97" t="s">
        <v>111</v>
      </c>
      <c r="L53" s="97" t="s">
        <v>111</v>
      </c>
      <c r="M53" s="97" t="s">
        <v>111</v>
      </c>
      <c r="N53" s="125"/>
      <c r="O53" s="97" t="s">
        <v>111</v>
      </c>
      <c r="P53" s="97" t="s">
        <v>111</v>
      </c>
      <c r="Q53" s="97" t="s">
        <v>111</v>
      </c>
      <c r="R53" s="97" t="s">
        <v>111</v>
      </c>
      <c r="S53" s="127"/>
      <c r="T53" s="97" t="s">
        <v>111</v>
      </c>
      <c r="U53" s="125"/>
      <c r="V53" s="97" t="s">
        <v>111</v>
      </c>
      <c r="W53" s="97" t="s">
        <v>111</v>
      </c>
      <c r="X53" s="127"/>
      <c r="Y53" s="97" t="s">
        <v>111</v>
      </c>
      <c r="Z53" s="97" t="s">
        <v>111</v>
      </c>
      <c r="AA53" s="97" t="s">
        <v>111</v>
      </c>
      <c r="AB53" s="125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20</v>
      </c>
      <c r="AI53" s="5">
        <f t="shared" si="4"/>
        <v>0</v>
      </c>
    </row>
  </sheetData>
  <mergeCells count="20">
    <mergeCell ref="F5:F53"/>
    <mergeCell ref="J5:J53"/>
    <mergeCell ref="S5:S53"/>
    <mergeCell ref="X5:X53"/>
    <mergeCell ref="A1:AG1"/>
    <mergeCell ref="A2:AG2"/>
    <mergeCell ref="E3:E4"/>
    <mergeCell ref="A3:A4"/>
    <mergeCell ref="B3:B4"/>
    <mergeCell ref="C3:C4"/>
    <mergeCell ref="D3:D4"/>
    <mergeCell ref="AH3:AH4"/>
    <mergeCell ref="AI3:AI4"/>
    <mergeCell ref="AJ3:AK3"/>
    <mergeCell ref="G5:G53"/>
    <mergeCell ref="N5:N53"/>
    <mergeCell ref="U5:U53"/>
    <mergeCell ref="AB5:AB53"/>
    <mergeCell ref="AJ11:AM11"/>
    <mergeCell ref="AJ19:AM19"/>
  </mergeCells>
  <conditionalFormatting sqref="B5:B30">
    <cfRule type="duplicateValues" dxfId="330" priority="346"/>
  </conditionalFormatting>
  <conditionalFormatting sqref="B31:B53">
    <cfRule type="duplicateValues" dxfId="329" priority="347"/>
  </conditionalFormatting>
  <conditionalFormatting sqref="F5:G5">
    <cfRule type="cellIs" dxfId="328" priority="18" operator="equal">
      <formula>"P"</formula>
    </cfRule>
    <cfRule type="expression" dxfId="327" priority="19">
      <formula>IF(F$4=TODAY(),TRUE,FALSE)</formula>
    </cfRule>
    <cfRule type="expression" dxfId="326" priority="20">
      <formula>F$3="Sun"</formula>
    </cfRule>
    <cfRule type="cellIs" dxfId="325" priority="16" operator="equal">
      <formula>"L"</formula>
    </cfRule>
    <cfRule type="cellIs" dxfId="324" priority="17" operator="equal">
      <formula>"A"</formula>
    </cfRule>
  </conditionalFormatting>
  <conditionalFormatting sqref="F3:AG4 N5 U5 AB5 H5:I53 K5:M53 O5:R53 T5:T53 V5:W53 Y5:AA53 AC5:AG53">
    <cfRule type="expression" dxfId="323" priority="34">
      <formula>F$3="Sun"</formula>
    </cfRule>
  </conditionalFormatting>
  <conditionalFormatting sqref="J5">
    <cfRule type="cellIs" dxfId="322" priority="11" operator="equal">
      <formula>"L"</formula>
    </cfRule>
    <cfRule type="cellIs" dxfId="321" priority="12" operator="equal">
      <formula>"A"</formula>
    </cfRule>
    <cfRule type="cellIs" dxfId="320" priority="13" operator="equal">
      <formula>"P"</formula>
    </cfRule>
    <cfRule type="expression" dxfId="319" priority="14">
      <formula>IF(J$4=TODAY(),TRUE,FALSE)</formula>
    </cfRule>
    <cfRule type="expression" dxfId="318" priority="15">
      <formula>J$3="Sun"</formula>
    </cfRule>
  </conditionalFormatting>
  <conditionalFormatting sqref="N5 U5 AB5 H5:I53 K5:M53 O5:R53 T5:T53 V5:W53 Y5:AA53 AC5:AG53 F4:AG4">
    <cfRule type="expression" dxfId="317" priority="33">
      <formula>IF(F$4=TODAY(),TRUE,FALSE)</formula>
    </cfRule>
  </conditionalFormatting>
  <conditionalFormatting sqref="N5 U5 AB5 H5:I53 K5:M53 O5:R53 T5:T53 V5:W53 Y5:AA53 AC5:AG53">
    <cfRule type="cellIs" dxfId="316" priority="30" operator="equal">
      <formula>"L"</formula>
    </cfRule>
    <cfRule type="cellIs" dxfId="315" priority="31" operator="equal">
      <formula>"A"</formula>
    </cfRule>
    <cfRule type="cellIs" dxfId="314" priority="32" operator="equal">
      <formula>"P"</formula>
    </cfRule>
  </conditionalFormatting>
  <conditionalFormatting sqref="S5">
    <cfRule type="cellIs" dxfId="313" priority="6" operator="equal">
      <formula>"L"</formula>
    </cfRule>
    <cfRule type="cellIs" dxfId="312" priority="7" operator="equal">
      <formula>"A"</formula>
    </cfRule>
    <cfRule type="cellIs" dxfId="311" priority="8" operator="equal">
      <formula>"P"</formula>
    </cfRule>
    <cfRule type="expression" dxfId="310" priority="9">
      <formula>IF(S$4=TODAY(),TRUE,FALSE)</formula>
    </cfRule>
    <cfRule type="expression" dxfId="309" priority="10">
      <formula>S$3="Sun"</formula>
    </cfRule>
  </conditionalFormatting>
  <conditionalFormatting sqref="X5">
    <cfRule type="cellIs" dxfId="308" priority="2" operator="equal">
      <formula>"A"</formula>
    </cfRule>
    <cfRule type="cellIs" dxfId="307" priority="3" operator="equal">
      <formula>"P"</formula>
    </cfRule>
    <cfRule type="expression" dxfId="306" priority="4">
      <formula>IF(X$4=TODAY(),TRUE,FALSE)</formula>
    </cfRule>
    <cfRule type="expression" dxfId="305" priority="5">
      <formula>X$3="Sun"</formula>
    </cfRule>
    <cfRule type="cellIs" dxfId="304" priority="1" operator="equal">
      <formula>"L"</formula>
    </cfRule>
  </conditionalFormatting>
  <conditionalFormatting sqref="AH3:AI3 AH5:AI53">
    <cfRule type="expression" dxfId="303" priority="35">
      <formula>#REF!="Sun"</formula>
    </cfRule>
  </conditionalFormatting>
  <conditionalFormatting sqref="AJ5:AJ9">
    <cfRule type="expression" dxfId="302" priority="24">
      <formula>AJ$3="Sun"</formula>
    </cfRule>
  </conditionalFormatting>
  <conditionalFormatting sqref="AJ12:AJ15">
    <cfRule type="expression" dxfId="301" priority="22">
      <formula>AJ$3="Sun"</formula>
    </cfRule>
  </conditionalFormatting>
  <conditionalFormatting sqref="AJ20:AJ23">
    <cfRule type="expression" dxfId="300" priority="21">
      <formula>AJ$3="Sun"</formula>
    </cfRule>
  </conditionalFormatting>
  <conditionalFormatting sqref="AJ4:AK4">
    <cfRule type="expression" dxfId="299" priority="25">
      <formula>AJ$3="Sun"</formula>
    </cfRule>
  </conditionalFormatting>
  <conditionalFormatting sqref="AK12:AM12 AK20:AM20">
    <cfRule type="expression" dxfId="298" priority="26">
      <formula>AK$3="Sun"</formula>
    </cfRule>
  </conditionalFormatting>
  <conditionalFormatting sqref="AM21">
    <cfRule type="expression" dxfId="297" priority="23">
      <formula>AM$3="Sun"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54"/>
  <sheetViews>
    <sheetView zoomScaleNormal="100" workbookViewId="0">
      <selection activeCell="D47" activeCellId="1" sqref="C55 D4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F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792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527</v>
      </c>
      <c r="C5" s="24" t="s">
        <v>450</v>
      </c>
      <c r="D5" s="25" t="s">
        <v>451</v>
      </c>
      <c r="E5" s="20" t="s">
        <v>452</v>
      </c>
      <c r="F5" s="8" t="s">
        <v>111</v>
      </c>
      <c r="G5" s="123" t="s">
        <v>382</v>
      </c>
      <c r="H5" s="8" t="s">
        <v>111</v>
      </c>
      <c r="I5" s="8" t="s">
        <v>111</v>
      </c>
      <c r="J5" s="118" t="s">
        <v>804</v>
      </c>
      <c r="K5" s="8" t="s">
        <v>798</v>
      </c>
      <c r="L5" s="8" t="s">
        <v>111</v>
      </c>
      <c r="M5" s="8" t="s">
        <v>111</v>
      </c>
      <c r="N5" s="123" t="s">
        <v>382</v>
      </c>
      <c r="O5" s="8" t="s">
        <v>111</v>
      </c>
      <c r="P5" s="8" t="s">
        <v>111</v>
      </c>
      <c r="Q5" s="8" t="s">
        <v>111</v>
      </c>
      <c r="R5" s="8" t="s">
        <v>111</v>
      </c>
      <c r="S5" s="118" t="s">
        <v>808</v>
      </c>
      <c r="T5" s="8" t="s">
        <v>111</v>
      </c>
      <c r="U5" s="123" t="s">
        <v>382</v>
      </c>
      <c r="V5" s="8" t="s">
        <v>798</v>
      </c>
      <c r="W5" s="8" t="s">
        <v>111</v>
      </c>
      <c r="X5" s="118" t="s">
        <v>809</v>
      </c>
      <c r="Y5" s="8" t="s">
        <v>111</v>
      </c>
      <c r="Z5" s="8" t="s">
        <v>798</v>
      </c>
      <c r="AA5" s="8" t="s">
        <v>798</v>
      </c>
      <c r="AB5" s="123" t="s">
        <v>382</v>
      </c>
      <c r="AC5" s="8" t="s">
        <v>111</v>
      </c>
      <c r="AD5" s="8" t="s">
        <v>111</v>
      </c>
      <c r="AE5" s="8" t="s">
        <v>111</v>
      </c>
      <c r="AF5" s="8" t="s">
        <v>798</v>
      </c>
      <c r="AG5" s="8" t="s">
        <v>111</v>
      </c>
      <c r="AH5" s="5">
        <f t="shared" ref="AH5:AH23" si="1">COUNTIF(F5:AG5,"P")</f>
        <v>16</v>
      </c>
      <c r="AI5" s="5">
        <f t="shared" ref="AI5:AI35" si="2">COUNTIF(F5:AG5,"A")</f>
        <v>5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472</v>
      </c>
      <c r="C6" s="24" t="s">
        <v>453</v>
      </c>
      <c r="D6" s="25" t="s">
        <v>454</v>
      </c>
      <c r="E6" s="20" t="s">
        <v>452</v>
      </c>
      <c r="F6" s="8" t="s">
        <v>111</v>
      </c>
      <c r="G6" s="124"/>
      <c r="H6" s="8" t="s">
        <v>111</v>
      </c>
      <c r="I6" s="8" t="s">
        <v>111</v>
      </c>
      <c r="J6" s="119"/>
      <c r="K6" s="8" t="s">
        <v>111</v>
      </c>
      <c r="L6" s="8" t="s">
        <v>111</v>
      </c>
      <c r="M6" s="8" t="s">
        <v>111</v>
      </c>
      <c r="N6" s="124"/>
      <c r="O6" s="8" t="s">
        <v>111</v>
      </c>
      <c r="P6" s="8" t="s">
        <v>111</v>
      </c>
      <c r="Q6" s="8" t="s">
        <v>111</v>
      </c>
      <c r="R6" s="8" t="s">
        <v>111</v>
      </c>
      <c r="S6" s="119"/>
      <c r="T6" s="8" t="s">
        <v>111</v>
      </c>
      <c r="U6" s="124"/>
      <c r="V6" s="8" t="s">
        <v>111</v>
      </c>
      <c r="W6" s="8" t="s">
        <v>111</v>
      </c>
      <c r="X6" s="119"/>
      <c r="Y6" s="8" t="s">
        <v>111</v>
      </c>
      <c r="Z6" s="8" t="s">
        <v>111</v>
      </c>
      <c r="AA6" s="8" t="s">
        <v>111</v>
      </c>
      <c r="AB6" s="124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549</v>
      </c>
      <c r="C7" s="24" t="s">
        <v>455</v>
      </c>
      <c r="D7" s="25" t="s">
        <v>456</v>
      </c>
      <c r="E7" s="20" t="s">
        <v>452</v>
      </c>
      <c r="F7" s="8" t="s">
        <v>798</v>
      </c>
      <c r="G7" s="124"/>
      <c r="H7" s="8" t="s">
        <v>111</v>
      </c>
      <c r="I7" s="8" t="s">
        <v>798</v>
      </c>
      <c r="J7" s="119"/>
      <c r="K7" s="8" t="s">
        <v>111</v>
      </c>
      <c r="L7" s="8" t="s">
        <v>111</v>
      </c>
      <c r="M7" s="8" t="s">
        <v>111</v>
      </c>
      <c r="N7" s="124"/>
      <c r="O7" s="8" t="s">
        <v>111</v>
      </c>
      <c r="P7" s="8" t="s">
        <v>111</v>
      </c>
      <c r="Q7" s="8" t="s">
        <v>111</v>
      </c>
      <c r="R7" s="8" t="s">
        <v>111</v>
      </c>
      <c r="S7" s="119"/>
      <c r="T7" s="8" t="s">
        <v>798</v>
      </c>
      <c r="U7" s="124"/>
      <c r="V7" s="8" t="s">
        <v>111</v>
      </c>
      <c r="W7" s="8" t="s">
        <v>111</v>
      </c>
      <c r="X7" s="119"/>
      <c r="Y7" s="8" t="s">
        <v>111</v>
      </c>
      <c r="Z7" s="8" t="s">
        <v>111</v>
      </c>
      <c r="AA7" s="8" t="s">
        <v>111</v>
      </c>
      <c r="AB7" s="124"/>
      <c r="AC7" s="8" t="s">
        <v>111</v>
      </c>
      <c r="AD7" s="8" t="s">
        <v>798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405</v>
      </c>
      <c r="C8" s="24" t="s">
        <v>186</v>
      </c>
      <c r="D8" s="25" t="s">
        <v>457</v>
      </c>
      <c r="E8" s="20" t="s">
        <v>452</v>
      </c>
      <c r="F8" s="8" t="s">
        <v>798</v>
      </c>
      <c r="G8" s="124"/>
      <c r="H8" s="8" t="s">
        <v>798</v>
      </c>
      <c r="I8" s="8" t="s">
        <v>798</v>
      </c>
      <c r="J8" s="119"/>
      <c r="K8" s="8" t="s">
        <v>798</v>
      </c>
      <c r="L8" s="8" t="s">
        <v>798</v>
      </c>
      <c r="M8" s="8" t="s">
        <v>798</v>
      </c>
      <c r="N8" s="124"/>
      <c r="O8" s="8" t="s">
        <v>798</v>
      </c>
      <c r="P8" s="8" t="s">
        <v>798</v>
      </c>
      <c r="Q8" s="8" t="s">
        <v>798</v>
      </c>
      <c r="R8" s="8" t="s">
        <v>798</v>
      </c>
      <c r="S8" s="119"/>
      <c r="T8" s="8" t="s">
        <v>798</v>
      </c>
      <c r="U8" s="124"/>
      <c r="V8" s="8" t="s">
        <v>798</v>
      </c>
      <c r="W8" s="8" t="s">
        <v>798</v>
      </c>
      <c r="X8" s="119"/>
      <c r="Y8" s="8" t="s">
        <v>798</v>
      </c>
      <c r="Z8" s="8" t="s">
        <v>798</v>
      </c>
      <c r="AA8" s="8" t="s">
        <v>798</v>
      </c>
      <c r="AB8" s="124"/>
      <c r="AC8" s="8" t="s">
        <v>798</v>
      </c>
      <c r="AD8" s="8" t="s">
        <v>798</v>
      </c>
      <c r="AE8" s="8" t="s">
        <v>798</v>
      </c>
      <c r="AF8" s="8" t="s">
        <v>798</v>
      </c>
      <c r="AG8" s="8" t="s">
        <v>798</v>
      </c>
      <c r="AH8" s="5">
        <f t="shared" si="1"/>
        <v>0</v>
      </c>
      <c r="AI8" s="5">
        <f t="shared" si="2"/>
        <v>21</v>
      </c>
      <c r="AJ8" s="5"/>
      <c r="AK8" s="9"/>
      <c r="AL8"/>
      <c r="AM8"/>
    </row>
    <row r="9" spans="1:39" x14ac:dyDescent="0.25">
      <c r="A9" s="21">
        <v>5</v>
      </c>
      <c r="B9" s="21">
        <v>593</v>
      </c>
      <c r="C9" s="24" t="s">
        <v>458</v>
      </c>
      <c r="D9" s="25" t="s">
        <v>459</v>
      </c>
      <c r="E9" s="20" t="s">
        <v>452</v>
      </c>
      <c r="F9" s="8" t="s">
        <v>111</v>
      </c>
      <c r="G9" s="124"/>
      <c r="H9" s="8" t="s">
        <v>111</v>
      </c>
      <c r="I9" s="8" t="s">
        <v>111</v>
      </c>
      <c r="J9" s="119"/>
      <c r="K9" s="8" t="s">
        <v>111</v>
      </c>
      <c r="L9" s="8" t="s">
        <v>111</v>
      </c>
      <c r="M9" s="8" t="s">
        <v>111</v>
      </c>
      <c r="N9" s="124"/>
      <c r="O9" s="8" t="s">
        <v>111</v>
      </c>
      <c r="P9" s="8" t="s">
        <v>111</v>
      </c>
      <c r="Q9" s="8" t="s">
        <v>111</v>
      </c>
      <c r="R9" s="8" t="s">
        <v>111</v>
      </c>
      <c r="S9" s="119"/>
      <c r="T9" s="8" t="s">
        <v>111</v>
      </c>
      <c r="U9" s="124"/>
      <c r="V9" s="8" t="s">
        <v>111</v>
      </c>
      <c r="W9" s="8" t="s">
        <v>111</v>
      </c>
      <c r="X9" s="119"/>
      <c r="Y9" s="8" t="s">
        <v>111</v>
      </c>
      <c r="Z9" s="8" t="s">
        <v>798</v>
      </c>
      <c r="AA9" s="8" t="s">
        <v>111</v>
      </c>
      <c r="AB9" s="124"/>
      <c r="AC9" s="8" t="s">
        <v>111</v>
      </c>
      <c r="AD9" s="8" t="s">
        <v>111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21">
        <v>6</v>
      </c>
      <c r="B10" s="21">
        <v>548</v>
      </c>
      <c r="C10" s="24" t="s">
        <v>460</v>
      </c>
      <c r="D10" s="25" t="s">
        <v>461</v>
      </c>
      <c r="E10" s="20" t="s">
        <v>452</v>
      </c>
      <c r="F10" s="8" t="s">
        <v>798</v>
      </c>
      <c r="G10" s="124"/>
      <c r="H10" s="8" t="s">
        <v>111</v>
      </c>
      <c r="I10" s="8" t="s">
        <v>111</v>
      </c>
      <c r="J10" s="119"/>
      <c r="K10" s="8" t="s">
        <v>111</v>
      </c>
      <c r="L10" s="8" t="s">
        <v>111</v>
      </c>
      <c r="M10" s="8" t="s">
        <v>111</v>
      </c>
      <c r="N10" s="124"/>
      <c r="O10" s="8" t="s">
        <v>111</v>
      </c>
      <c r="P10" s="8" t="s">
        <v>111</v>
      </c>
      <c r="Q10" s="8" t="s">
        <v>111</v>
      </c>
      <c r="R10" s="8" t="s">
        <v>111</v>
      </c>
      <c r="S10" s="119"/>
      <c r="T10" s="8" t="s">
        <v>798</v>
      </c>
      <c r="U10" s="124"/>
      <c r="V10" s="8" t="s">
        <v>111</v>
      </c>
      <c r="W10" s="8" t="s">
        <v>111</v>
      </c>
      <c r="X10" s="119"/>
      <c r="Y10" s="8" t="s">
        <v>111</v>
      </c>
      <c r="Z10" s="8" t="s">
        <v>111</v>
      </c>
      <c r="AA10" s="8" t="s">
        <v>111</v>
      </c>
      <c r="AB10" s="124"/>
      <c r="AC10" s="8" t="s">
        <v>111</v>
      </c>
      <c r="AD10" s="8" t="s">
        <v>799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2</v>
      </c>
    </row>
    <row r="11" spans="1:39" ht="15.75" x14ac:dyDescent="0.25">
      <c r="A11" s="21">
        <v>7</v>
      </c>
      <c r="B11" s="21">
        <v>447</v>
      </c>
      <c r="C11" s="24" t="s">
        <v>462</v>
      </c>
      <c r="D11" s="25" t="s">
        <v>463</v>
      </c>
      <c r="E11" s="20" t="s">
        <v>452</v>
      </c>
      <c r="F11" s="8" t="s">
        <v>798</v>
      </c>
      <c r="G11" s="124"/>
      <c r="H11" s="8" t="s">
        <v>111</v>
      </c>
      <c r="I11" s="8" t="s">
        <v>111</v>
      </c>
      <c r="J11" s="119"/>
      <c r="K11" s="8" t="s">
        <v>111</v>
      </c>
      <c r="L11" s="8" t="s">
        <v>111</v>
      </c>
      <c r="M11" s="8" t="s">
        <v>111</v>
      </c>
      <c r="N11" s="124"/>
      <c r="O11" s="8" t="s">
        <v>111</v>
      </c>
      <c r="P11" s="8" t="s">
        <v>111</v>
      </c>
      <c r="Q11" s="8" t="s">
        <v>111</v>
      </c>
      <c r="R11" s="8" t="s">
        <v>111</v>
      </c>
      <c r="S11" s="119"/>
      <c r="T11" s="8" t="s">
        <v>111</v>
      </c>
      <c r="U11" s="124"/>
      <c r="V11" s="8" t="s">
        <v>111</v>
      </c>
      <c r="W11" s="8" t="s">
        <v>111</v>
      </c>
      <c r="X11" s="119"/>
      <c r="Y11" s="8" t="s">
        <v>111</v>
      </c>
      <c r="Z11" s="8" t="s">
        <v>111</v>
      </c>
      <c r="AA11" s="8" t="s">
        <v>111</v>
      </c>
      <c r="AB11" s="124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1</v>
      </c>
      <c r="AJ11" s="120" t="s">
        <v>9</v>
      </c>
      <c r="AK11" s="121"/>
      <c r="AL11" s="121"/>
      <c r="AM11" s="122"/>
    </row>
    <row r="12" spans="1:39" x14ac:dyDescent="0.25">
      <c r="A12" s="21">
        <v>8</v>
      </c>
      <c r="B12" s="21">
        <v>541</v>
      </c>
      <c r="C12" s="24" t="s">
        <v>305</v>
      </c>
      <c r="D12" s="25" t="s">
        <v>239</v>
      </c>
      <c r="E12" s="20" t="s">
        <v>452</v>
      </c>
      <c r="F12" s="8" t="s">
        <v>111</v>
      </c>
      <c r="G12" s="124"/>
      <c r="H12" s="8" t="s">
        <v>111</v>
      </c>
      <c r="I12" s="8" t="s">
        <v>111</v>
      </c>
      <c r="J12" s="119"/>
      <c r="K12" s="8" t="s">
        <v>111</v>
      </c>
      <c r="L12" s="8" t="s">
        <v>111</v>
      </c>
      <c r="M12" s="8" t="s">
        <v>111</v>
      </c>
      <c r="N12" s="124"/>
      <c r="O12" s="8" t="s">
        <v>111</v>
      </c>
      <c r="P12" s="8" t="s">
        <v>111</v>
      </c>
      <c r="Q12" s="8" t="s">
        <v>111</v>
      </c>
      <c r="R12" s="8" t="s">
        <v>111</v>
      </c>
      <c r="S12" s="119"/>
      <c r="T12" s="8" t="s">
        <v>111</v>
      </c>
      <c r="U12" s="124"/>
      <c r="V12" s="8" t="s">
        <v>111</v>
      </c>
      <c r="W12" s="8" t="s">
        <v>111</v>
      </c>
      <c r="X12" s="119"/>
      <c r="Y12" s="8" t="s">
        <v>111</v>
      </c>
      <c r="Z12" s="8" t="s">
        <v>111</v>
      </c>
      <c r="AA12" s="8" t="s">
        <v>111</v>
      </c>
      <c r="AB12" s="124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497</v>
      </c>
      <c r="C13" s="24" t="s">
        <v>464</v>
      </c>
      <c r="D13" s="25" t="s">
        <v>465</v>
      </c>
      <c r="E13" s="20" t="s">
        <v>452</v>
      </c>
      <c r="F13" s="8" t="s">
        <v>111</v>
      </c>
      <c r="G13" s="124"/>
      <c r="H13" s="8" t="s">
        <v>111</v>
      </c>
      <c r="I13" s="8" t="s">
        <v>111</v>
      </c>
      <c r="J13" s="119"/>
      <c r="K13" s="8" t="s">
        <v>111</v>
      </c>
      <c r="L13" s="8" t="s">
        <v>111</v>
      </c>
      <c r="M13" s="8" t="s">
        <v>111</v>
      </c>
      <c r="N13" s="124"/>
      <c r="O13" s="8" t="s">
        <v>111</v>
      </c>
      <c r="P13" s="8" t="s">
        <v>111</v>
      </c>
      <c r="Q13" s="8" t="s">
        <v>799</v>
      </c>
      <c r="R13" s="8" t="s">
        <v>799</v>
      </c>
      <c r="S13" s="119"/>
      <c r="T13" s="8" t="s">
        <v>111</v>
      </c>
      <c r="U13" s="124"/>
      <c r="V13" s="8" t="s">
        <v>799</v>
      </c>
      <c r="W13" s="8" t="s">
        <v>798</v>
      </c>
      <c r="X13" s="119"/>
      <c r="Y13" s="8" t="s">
        <v>798</v>
      </c>
      <c r="Z13" s="8" t="s">
        <v>798</v>
      </c>
      <c r="AA13" s="8" t="s">
        <v>798</v>
      </c>
      <c r="AB13" s="124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9</v>
      </c>
      <c r="AJ13" s="5" t="s">
        <v>14</v>
      </c>
      <c r="AK13" s="9">
        <f>21*$AK$5</f>
        <v>525</v>
      </c>
      <c r="AL13" s="9">
        <f>32*$AK$5</f>
        <v>800</v>
      </c>
      <c r="AM13" s="9">
        <f>SUM(AK13:AL13)</f>
        <v>1325</v>
      </c>
    </row>
    <row r="14" spans="1:39" x14ac:dyDescent="0.25">
      <c r="A14" s="21">
        <v>10</v>
      </c>
      <c r="B14" s="21">
        <v>550</v>
      </c>
      <c r="C14" s="24" t="s">
        <v>466</v>
      </c>
      <c r="D14" s="25" t="s">
        <v>467</v>
      </c>
      <c r="E14" s="20" t="s">
        <v>452</v>
      </c>
      <c r="F14" s="8" t="s">
        <v>798</v>
      </c>
      <c r="G14" s="124"/>
      <c r="H14" s="8" t="s">
        <v>111</v>
      </c>
      <c r="I14" s="8" t="s">
        <v>111</v>
      </c>
      <c r="J14" s="119"/>
      <c r="K14" s="8" t="s">
        <v>111</v>
      </c>
      <c r="L14" s="8" t="s">
        <v>111</v>
      </c>
      <c r="M14" s="8" t="s">
        <v>111</v>
      </c>
      <c r="N14" s="124"/>
      <c r="O14" s="8" t="s">
        <v>111</v>
      </c>
      <c r="P14" s="8" t="s">
        <v>111</v>
      </c>
      <c r="Q14" s="8" t="s">
        <v>111</v>
      </c>
      <c r="R14" s="8" t="s">
        <v>111</v>
      </c>
      <c r="S14" s="119"/>
      <c r="T14" s="8" t="s">
        <v>111</v>
      </c>
      <c r="U14" s="124"/>
      <c r="V14" s="8" t="s">
        <v>111</v>
      </c>
      <c r="W14" s="8" t="s">
        <v>111</v>
      </c>
      <c r="X14" s="119"/>
      <c r="Y14" s="8" t="s">
        <v>111</v>
      </c>
      <c r="Z14" s="8" t="s">
        <v>111</v>
      </c>
      <c r="AA14" s="8" t="s">
        <v>111</v>
      </c>
      <c r="AB14" s="124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111</v>
      </c>
      <c r="AH14" s="5">
        <f t="shared" si="1"/>
        <v>16</v>
      </c>
      <c r="AI14" s="5">
        <f t="shared" si="2"/>
        <v>5</v>
      </c>
      <c r="AJ14" s="5" t="s">
        <v>15</v>
      </c>
      <c r="AK14" s="9">
        <f>SUM(AH5:AH24)</f>
        <v>311</v>
      </c>
      <c r="AL14" s="9">
        <f>SUM(AH26:AH54)</f>
        <v>466</v>
      </c>
      <c r="AM14" s="9">
        <f>AK14+AL14</f>
        <v>777</v>
      </c>
    </row>
    <row r="15" spans="1:39" x14ac:dyDescent="0.25">
      <c r="A15" s="21">
        <v>11</v>
      </c>
      <c r="B15" s="21">
        <v>433</v>
      </c>
      <c r="C15" s="24" t="s">
        <v>259</v>
      </c>
      <c r="D15" s="25" t="s">
        <v>468</v>
      </c>
      <c r="E15" s="20" t="s">
        <v>452</v>
      </c>
      <c r="F15" s="8" t="s">
        <v>798</v>
      </c>
      <c r="G15" s="124"/>
      <c r="H15" s="8" t="s">
        <v>111</v>
      </c>
      <c r="I15" s="8" t="s">
        <v>798</v>
      </c>
      <c r="J15" s="119"/>
      <c r="K15" s="8" t="s">
        <v>111</v>
      </c>
      <c r="L15" s="8" t="s">
        <v>798</v>
      </c>
      <c r="M15" s="8" t="s">
        <v>798</v>
      </c>
      <c r="N15" s="124"/>
      <c r="O15" s="8" t="s">
        <v>111</v>
      </c>
      <c r="P15" s="8" t="s">
        <v>798</v>
      </c>
      <c r="Q15" s="8" t="s">
        <v>111</v>
      </c>
      <c r="R15" s="8" t="s">
        <v>798</v>
      </c>
      <c r="S15" s="119"/>
      <c r="T15" s="8" t="s">
        <v>798</v>
      </c>
      <c r="U15" s="124"/>
      <c r="V15" s="8" t="s">
        <v>111</v>
      </c>
      <c r="W15" s="8" t="s">
        <v>798</v>
      </c>
      <c r="X15" s="119"/>
      <c r="Y15" s="8" t="s">
        <v>111</v>
      </c>
      <c r="Z15" s="8" t="s">
        <v>798</v>
      </c>
      <c r="AA15" s="8" t="s">
        <v>798</v>
      </c>
      <c r="AB15" s="124"/>
      <c r="AC15" s="8" t="s">
        <v>111</v>
      </c>
      <c r="AD15" s="8" t="s">
        <v>798</v>
      </c>
      <c r="AE15" s="8" t="s">
        <v>111</v>
      </c>
      <c r="AF15" s="8" t="s">
        <v>798</v>
      </c>
      <c r="AG15" s="8" t="s">
        <v>798</v>
      </c>
      <c r="AH15" s="5">
        <f t="shared" si="1"/>
        <v>8</v>
      </c>
      <c r="AI15" s="5">
        <f t="shared" si="2"/>
        <v>13</v>
      </c>
      <c r="AJ15" s="5" t="s">
        <v>16</v>
      </c>
      <c r="AK15" s="12">
        <f>AK14/AK13</f>
        <v>0.59238095238095234</v>
      </c>
      <c r="AL15" s="12">
        <f>AL14/AL13</f>
        <v>0.58250000000000002</v>
      </c>
      <c r="AM15" s="12">
        <f>AM14/AM13</f>
        <v>0.58641509433962269</v>
      </c>
    </row>
    <row r="16" spans="1:39" x14ac:dyDescent="0.25">
      <c r="A16" s="21">
        <v>12</v>
      </c>
      <c r="B16" s="21">
        <v>495</v>
      </c>
      <c r="C16" s="24" t="s">
        <v>469</v>
      </c>
      <c r="D16" s="25" t="s">
        <v>50</v>
      </c>
      <c r="E16" s="20" t="s">
        <v>452</v>
      </c>
      <c r="F16" s="8" t="s">
        <v>798</v>
      </c>
      <c r="G16" s="124"/>
      <c r="H16" s="8" t="s">
        <v>798</v>
      </c>
      <c r="I16" s="8" t="s">
        <v>111</v>
      </c>
      <c r="J16" s="119"/>
      <c r="K16" s="8" t="s">
        <v>111</v>
      </c>
      <c r="L16" s="8" t="s">
        <v>111</v>
      </c>
      <c r="M16" s="8" t="s">
        <v>798</v>
      </c>
      <c r="N16" s="124"/>
      <c r="O16" s="8" t="s">
        <v>798</v>
      </c>
      <c r="P16" s="8" t="s">
        <v>798</v>
      </c>
      <c r="Q16" s="8" t="s">
        <v>798</v>
      </c>
      <c r="R16" s="8" t="s">
        <v>798</v>
      </c>
      <c r="S16" s="119"/>
      <c r="T16" s="8" t="s">
        <v>111</v>
      </c>
      <c r="U16" s="124"/>
      <c r="V16" s="8" t="s">
        <v>111</v>
      </c>
      <c r="W16" s="8" t="s">
        <v>111</v>
      </c>
      <c r="X16" s="119"/>
      <c r="Y16" s="8" t="s">
        <v>111</v>
      </c>
      <c r="Z16" s="8" t="s">
        <v>111</v>
      </c>
      <c r="AA16" s="8" t="s">
        <v>111</v>
      </c>
      <c r="AB16" s="124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13</v>
      </c>
      <c r="AI16" s="5">
        <f t="shared" si="2"/>
        <v>8</v>
      </c>
      <c r="AJ16"/>
      <c r="AK16"/>
      <c r="AL16"/>
      <c r="AM16"/>
    </row>
    <row r="17" spans="1:39" x14ac:dyDescent="0.25">
      <c r="A17" s="21">
        <v>13</v>
      </c>
      <c r="B17" s="21">
        <v>595</v>
      </c>
      <c r="C17" s="24" t="s">
        <v>470</v>
      </c>
      <c r="D17" s="25" t="s">
        <v>471</v>
      </c>
      <c r="E17" s="20" t="s">
        <v>452</v>
      </c>
      <c r="F17" s="8" t="s">
        <v>798</v>
      </c>
      <c r="G17" s="124"/>
      <c r="H17" s="8" t="s">
        <v>111</v>
      </c>
      <c r="I17" s="8" t="s">
        <v>111</v>
      </c>
      <c r="J17" s="119"/>
      <c r="K17" s="8" t="s">
        <v>111</v>
      </c>
      <c r="L17" s="8" t="s">
        <v>798</v>
      </c>
      <c r="M17" s="8" t="s">
        <v>111</v>
      </c>
      <c r="N17" s="124"/>
      <c r="O17" s="8" t="s">
        <v>111</v>
      </c>
      <c r="P17" s="8" t="s">
        <v>111</v>
      </c>
      <c r="Q17" s="8" t="s">
        <v>111</v>
      </c>
      <c r="R17" s="8" t="s">
        <v>111</v>
      </c>
      <c r="S17" s="119"/>
      <c r="T17" s="8" t="s">
        <v>111</v>
      </c>
      <c r="U17" s="124"/>
      <c r="V17" s="8" t="s">
        <v>111</v>
      </c>
      <c r="W17" s="8" t="s">
        <v>111</v>
      </c>
      <c r="X17" s="119"/>
      <c r="Y17" s="8" t="s">
        <v>111</v>
      </c>
      <c r="Z17" s="8" t="s">
        <v>111</v>
      </c>
      <c r="AA17" s="8" t="s">
        <v>111</v>
      </c>
      <c r="AB17" s="124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497</v>
      </c>
      <c r="C18" s="24" t="s">
        <v>472</v>
      </c>
      <c r="D18" s="25" t="s">
        <v>473</v>
      </c>
      <c r="E18" s="20" t="s">
        <v>452</v>
      </c>
      <c r="F18" s="8" t="s">
        <v>798</v>
      </c>
      <c r="G18" s="124"/>
      <c r="H18" s="8" t="s">
        <v>111</v>
      </c>
      <c r="I18" s="8" t="s">
        <v>111</v>
      </c>
      <c r="J18" s="119"/>
      <c r="K18" s="8" t="s">
        <v>111</v>
      </c>
      <c r="L18" s="8" t="s">
        <v>111</v>
      </c>
      <c r="M18" s="8" t="s">
        <v>798</v>
      </c>
      <c r="N18" s="124"/>
      <c r="O18" s="8" t="s">
        <v>111</v>
      </c>
      <c r="P18" s="8" t="s">
        <v>798</v>
      </c>
      <c r="Q18" s="8" t="s">
        <v>111</v>
      </c>
      <c r="R18" s="8" t="s">
        <v>111</v>
      </c>
      <c r="S18" s="119"/>
      <c r="T18" s="8" t="s">
        <v>111</v>
      </c>
      <c r="U18" s="124"/>
      <c r="V18" s="8" t="s">
        <v>798</v>
      </c>
      <c r="W18" s="8" t="s">
        <v>111</v>
      </c>
      <c r="X18" s="119"/>
      <c r="Y18" s="8" t="s">
        <v>111</v>
      </c>
      <c r="Z18" s="8" t="s">
        <v>111</v>
      </c>
      <c r="AA18" s="8" t="s">
        <v>111</v>
      </c>
      <c r="AB18" s="124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17</v>
      </c>
      <c r="AI18" s="5">
        <f t="shared" si="2"/>
        <v>4</v>
      </c>
      <c r="AJ18"/>
      <c r="AK18"/>
      <c r="AL18"/>
      <c r="AM18"/>
    </row>
    <row r="19" spans="1:39" ht="15.75" x14ac:dyDescent="0.25">
      <c r="A19" s="21">
        <v>15</v>
      </c>
      <c r="B19" s="21">
        <v>883</v>
      </c>
      <c r="C19" s="24" t="s">
        <v>474</v>
      </c>
      <c r="D19" s="25" t="s">
        <v>475</v>
      </c>
      <c r="E19" s="20" t="s">
        <v>452</v>
      </c>
      <c r="F19" s="8" t="s">
        <v>798</v>
      </c>
      <c r="G19" s="124"/>
      <c r="H19" s="8" t="s">
        <v>111</v>
      </c>
      <c r="I19" s="8" t="s">
        <v>111</v>
      </c>
      <c r="J19" s="119"/>
      <c r="K19" s="8" t="s">
        <v>111</v>
      </c>
      <c r="L19" s="8" t="s">
        <v>111</v>
      </c>
      <c r="M19" s="8" t="s">
        <v>111</v>
      </c>
      <c r="N19" s="124"/>
      <c r="O19" s="8" t="s">
        <v>111</v>
      </c>
      <c r="P19" s="8" t="s">
        <v>111</v>
      </c>
      <c r="Q19" s="8" t="s">
        <v>111</v>
      </c>
      <c r="R19" s="8" t="s">
        <v>111</v>
      </c>
      <c r="S19" s="119"/>
      <c r="T19" s="8" t="s">
        <v>111</v>
      </c>
      <c r="U19" s="124"/>
      <c r="V19" s="8" t="s">
        <v>111</v>
      </c>
      <c r="W19" s="8" t="s">
        <v>111</v>
      </c>
      <c r="X19" s="119"/>
      <c r="Y19" s="8" t="s">
        <v>111</v>
      </c>
      <c r="Z19" s="8" t="s">
        <v>111</v>
      </c>
      <c r="AA19" s="8" t="s">
        <v>111</v>
      </c>
      <c r="AB19" s="124"/>
      <c r="AC19" s="8" t="s">
        <v>111</v>
      </c>
      <c r="AD19" s="8" t="s">
        <v>111</v>
      </c>
      <c r="AE19" s="8" t="s">
        <v>798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20" t="s">
        <v>123</v>
      </c>
      <c r="AK19" s="121"/>
      <c r="AL19" s="121"/>
      <c r="AM19" s="122"/>
    </row>
    <row r="20" spans="1:39" x14ac:dyDescent="0.25">
      <c r="A20" s="21">
        <v>16</v>
      </c>
      <c r="B20" s="21">
        <v>865</v>
      </c>
      <c r="C20" s="24" t="s">
        <v>476</v>
      </c>
      <c r="D20" s="25" t="s">
        <v>477</v>
      </c>
      <c r="E20" s="20" t="s">
        <v>452</v>
      </c>
      <c r="F20" s="8" t="s">
        <v>111</v>
      </c>
      <c r="G20" s="124"/>
      <c r="H20" s="8" t="s">
        <v>111</v>
      </c>
      <c r="I20" s="8" t="s">
        <v>111</v>
      </c>
      <c r="J20" s="119"/>
      <c r="K20" s="8" t="s">
        <v>111</v>
      </c>
      <c r="L20" s="8" t="s">
        <v>111</v>
      </c>
      <c r="M20" s="8" t="s">
        <v>111</v>
      </c>
      <c r="N20" s="124"/>
      <c r="O20" s="8" t="s">
        <v>798</v>
      </c>
      <c r="P20" s="8" t="s">
        <v>111</v>
      </c>
      <c r="Q20" s="8" t="s">
        <v>111</v>
      </c>
      <c r="R20" s="8" t="s">
        <v>111</v>
      </c>
      <c r="S20" s="119"/>
      <c r="T20" s="8" t="s">
        <v>798</v>
      </c>
      <c r="U20" s="124"/>
      <c r="V20" s="8" t="s">
        <v>111</v>
      </c>
      <c r="W20" s="8" t="s">
        <v>111</v>
      </c>
      <c r="X20" s="119"/>
      <c r="Y20" s="8" t="s">
        <v>111</v>
      </c>
      <c r="Z20" s="8" t="s">
        <v>111</v>
      </c>
      <c r="AA20" s="8" t="s">
        <v>111</v>
      </c>
      <c r="AB20" s="124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19</v>
      </c>
      <c r="AI20" s="5">
        <f t="shared" si="2"/>
        <v>2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779</v>
      </c>
      <c r="C21" s="24" t="s">
        <v>446</v>
      </c>
      <c r="D21" s="25" t="s">
        <v>478</v>
      </c>
      <c r="E21" s="20" t="s">
        <v>452</v>
      </c>
      <c r="F21" s="8" t="s">
        <v>111</v>
      </c>
      <c r="G21" s="124"/>
      <c r="H21" s="8" t="s">
        <v>111</v>
      </c>
      <c r="I21" s="8" t="s">
        <v>111</v>
      </c>
      <c r="J21" s="119"/>
      <c r="K21" s="8" t="s">
        <v>111</v>
      </c>
      <c r="L21" s="8" t="s">
        <v>111</v>
      </c>
      <c r="M21" s="8" t="s">
        <v>111</v>
      </c>
      <c r="N21" s="124"/>
      <c r="O21" s="8" t="s">
        <v>111</v>
      </c>
      <c r="P21" s="8" t="s">
        <v>798</v>
      </c>
      <c r="Q21" s="8" t="s">
        <v>111</v>
      </c>
      <c r="R21" s="8" t="s">
        <v>111</v>
      </c>
      <c r="S21" s="119"/>
      <c r="T21" s="8" t="s">
        <v>111</v>
      </c>
      <c r="U21" s="124"/>
      <c r="V21" s="8" t="s">
        <v>111</v>
      </c>
      <c r="W21" s="8" t="s">
        <v>111</v>
      </c>
      <c r="X21" s="119"/>
      <c r="Y21" s="8" t="s">
        <v>111</v>
      </c>
      <c r="Z21" s="8" t="s">
        <v>111</v>
      </c>
      <c r="AA21" s="8" t="s">
        <v>111</v>
      </c>
      <c r="AB21" s="124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20</v>
      </c>
      <c r="AI21" s="5">
        <f t="shared" si="2"/>
        <v>1</v>
      </c>
      <c r="AJ21" s="5" t="s">
        <v>14</v>
      </c>
      <c r="AK21" s="9">
        <f>21*$AK$5</f>
        <v>525</v>
      </c>
      <c r="AL21" s="9">
        <f>32*$AK$5</f>
        <v>800</v>
      </c>
      <c r="AM21" s="9">
        <f>AK21+AL21</f>
        <v>1325</v>
      </c>
    </row>
    <row r="22" spans="1:39" x14ac:dyDescent="0.25">
      <c r="A22" s="21">
        <v>18</v>
      </c>
      <c r="B22" s="21">
        <v>848</v>
      </c>
      <c r="C22" s="24" t="s">
        <v>479</v>
      </c>
      <c r="D22" s="25" t="s">
        <v>141</v>
      </c>
      <c r="E22" s="20" t="s">
        <v>452</v>
      </c>
      <c r="F22" s="8" t="s">
        <v>798</v>
      </c>
      <c r="G22" s="124"/>
      <c r="H22" s="8" t="s">
        <v>111</v>
      </c>
      <c r="I22" s="8" t="s">
        <v>111</v>
      </c>
      <c r="J22" s="119"/>
      <c r="K22" s="8" t="s">
        <v>111</v>
      </c>
      <c r="L22" s="8" t="s">
        <v>111</v>
      </c>
      <c r="M22" s="8" t="s">
        <v>111</v>
      </c>
      <c r="N22" s="124"/>
      <c r="O22" s="8" t="s">
        <v>111</v>
      </c>
      <c r="P22" s="8" t="s">
        <v>111</v>
      </c>
      <c r="Q22" s="8" t="s">
        <v>111</v>
      </c>
      <c r="R22" s="8" t="s">
        <v>111</v>
      </c>
      <c r="S22" s="119"/>
      <c r="T22" s="8" t="s">
        <v>111</v>
      </c>
      <c r="U22" s="124"/>
      <c r="V22" s="8" t="s">
        <v>111</v>
      </c>
      <c r="W22" s="8" t="s">
        <v>111</v>
      </c>
      <c r="X22" s="119"/>
      <c r="Y22" s="8" t="s">
        <v>111</v>
      </c>
      <c r="Z22" s="8" t="s">
        <v>111</v>
      </c>
      <c r="AA22" s="8" t="s">
        <v>111</v>
      </c>
      <c r="AB22" s="124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214</v>
      </c>
      <c r="AL22" s="9">
        <f>AL21-AL14</f>
        <v>334</v>
      </c>
      <c r="AM22" s="9">
        <f>AK22+AL22</f>
        <v>548</v>
      </c>
    </row>
    <row r="23" spans="1:39" x14ac:dyDescent="0.25">
      <c r="A23" s="21">
        <v>19</v>
      </c>
      <c r="B23" s="21">
        <v>916</v>
      </c>
      <c r="C23" s="24" t="s">
        <v>480</v>
      </c>
      <c r="D23" s="25" t="s">
        <v>481</v>
      </c>
      <c r="E23" s="20" t="s">
        <v>452</v>
      </c>
      <c r="F23" s="8" t="s">
        <v>111</v>
      </c>
      <c r="G23" s="124"/>
      <c r="H23" s="8" t="s">
        <v>111</v>
      </c>
      <c r="I23" s="8" t="s">
        <v>111</v>
      </c>
      <c r="J23" s="119"/>
      <c r="K23" s="8" t="s">
        <v>111</v>
      </c>
      <c r="L23" s="8" t="s">
        <v>111</v>
      </c>
      <c r="M23" s="8" t="s">
        <v>111</v>
      </c>
      <c r="N23" s="124"/>
      <c r="O23" s="8" t="s">
        <v>111</v>
      </c>
      <c r="P23" s="8" t="s">
        <v>111</v>
      </c>
      <c r="Q23" s="8" t="s">
        <v>111</v>
      </c>
      <c r="R23" s="8" t="s">
        <v>111</v>
      </c>
      <c r="S23" s="119"/>
      <c r="T23" s="8" t="s">
        <v>798</v>
      </c>
      <c r="U23" s="124"/>
      <c r="V23" s="8" t="s">
        <v>111</v>
      </c>
      <c r="W23" s="8" t="s">
        <v>798</v>
      </c>
      <c r="X23" s="119"/>
      <c r="Y23" s="8" t="s">
        <v>111</v>
      </c>
      <c r="Z23" s="8" t="s">
        <v>111</v>
      </c>
      <c r="AA23" s="8" t="s">
        <v>111</v>
      </c>
      <c r="AB23" s="124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19</v>
      </c>
      <c r="AI23" s="5">
        <f t="shared" si="2"/>
        <v>2</v>
      </c>
    </row>
    <row r="24" spans="1:39" x14ac:dyDescent="0.25">
      <c r="A24" s="21">
        <v>20</v>
      </c>
      <c r="B24" s="21">
        <v>527</v>
      </c>
      <c r="C24" s="26" t="s">
        <v>482</v>
      </c>
      <c r="D24" s="26" t="s">
        <v>483</v>
      </c>
      <c r="E24" s="20" t="s">
        <v>452</v>
      </c>
      <c r="F24" s="8" t="s">
        <v>798</v>
      </c>
      <c r="G24" s="124"/>
      <c r="H24" s="8" t="s">
        <v>111</v>
      </c>
      <c r="I24" s="8" t="s">
        <v>798</v>
      </c>
      <c r="J24" s="119"/>
      <c r="K24" s="8" t="s">
        <v>111</v>
      </c>
      <c r="L24" s="8" t="s">
        <v>111</v>
      </c>
      <c r="M24" s="8" t="s">
        <v>798</v>
      </c>
      <c r="N24" s="124"/>
      <c r="O24" s="8" t="s">
        <v>111</v>
      </c>
      <c r="P24" s="8" t="s">
        <v>111</v>
      </c>
      <c r="Q24" s="8" t="s">
        <v>798</v>
      </c>
      <c r="R24" s="8" t="s">
        <v>111</v>
      </c>
      <c r="S24" s="119"/>
      <c r="T24" s="8" t="s">
        <v>798</v>
      </c>
      <c r="U24" s="124"/>
      <c r="V24" s="8" t="s">
        <v>111</v>
      </c>
      <c r="W24" s="8" t="s">
        <v>111</v>
      </c>
      <c r="X24" s="119"/>
      <c r="Y24" s="8" t="s">
        <v>111</v>
      </c>
      <c r="Z24" s="8" t="s">
        <v>799</v>
      </c>
      <c r="AA24" s="8" t="s">
        <v>799</v>
      </c>
      <c r="AB24" s="124"/>
      <c r="AC24" s="8" t="s">
        <v>111</v>
      </c>
      <c r="AD24" s="8" t="s">
        <v>799</v>
      </c>
      <c r="AE24" s="8" t="s">
        <v>111</v>
      </c>
      <c r="AF24" s="8" t="s">
        <v>111</v>
      </c>
      <c r="AG24" s="8" t="s">
        <v>798</v>
      </c>
      <c r="AH24" s="5" t="s">
        <v>793</v>
      </c>
      <c r="AI24" s="5">
        <f t="shared" si="2"/>
        <v>6</v>
      </c>
    </row>
    <row r="25" spans="1:39" x14ac:dyDescent="0.25">
      <c r="A25" s="9">
        <v>1</v>
      </c>
      <c r="B25" s="9">
        <v>596</v>
      </c>
      <c r="C25" s="26" t="s">
        <v>130</v>
      </c>
      <c r="D25" s="26" t="s">
        <v>224</v>
      </c>
      <c r="E25" s="20" t="s">
        <v>452</v>
      </c>
      <c r="F25" s="8" t="s">
        <v>798</v>
      </c>
      <c r="G25" s="124"/>
      <c r="H25" s="8" t="s">
        <v>798</v>
      </c>
      <c r="I25" s="8" t="s">
        <v>798</v>
      </c>
      <c r="J25" s="119"/>
      <c r="K25" s="8" t="s">
        <v>798</v>
      </c>
      <c r="L25" s="8" t="s">
        <v>798</v>
      </c>
      <c r="M25" s="8" t="s">
        <v>798</v>
      </c>
      <c r="N25" s="124"/>
      <c r="O25" s="8" t="s">
        <v>798</v>
      </c>
      <c r="P25" s="8" t="s">
        <v>798</v>
      </c>
      <c r="Q25" s="8" t="s">
        <v>798</v>
      </c>
      <c r="R25" s="8" t="s">
        <v>798</v>
      </c>
      <c r="S25" s="119"/>
      <c r="T25" s="8" t="s">
        <v>798</v>
      </c>
      <c r="U25" s="124"/>
      <c r="V25" s="8" t="s">
        <v>798</v>
      </c>
      <c r="W25" s="8" t="s">
        <v>798</v>
      </c>
      <c r="X25" s="119"/>
      <c r="Y25" s="8" t="s">
        <v>798</v>
      </c>
      <c r="Z25" s="8" t="s">
        <v>798</v>
      </c>
      <c r="AA25" s="8" t="s">
        <v>798</v>
      </c>
      <c r="AB25" s="124"/>
      <c r="AC25" s="8" t="s">
        <v>798</v>
      </c>
      <c r="AD25" s="8" t="s">
        <v>798</v>
      </c>
      <c r="AE25" s="8" t="s">
        <v>798</v>
      </c>
      <c r="AF25" s="8" t="s">
        <v>798</v>
      </c>
      <c r="AG25" s="8" t="s">
        <v>798</v>
      </c>
      <c r="AH25" s="5">
        <f t="shared" ref="AH25:AH54" si="3">COUNTIF(F25:AG25,"P")</f>
        <v>0</v>
      </c>
      <c r="AI25" s="5">
        <f t="shared" si="2"/>
        <v>21</v>
      </c>
    </row>
    <row r="26" spans="1:39" x14ac:dyDescent="0.25">
      <c r="A26" s="9">
        <v>2</v>
      </c>
      <c r="B26" s="21">
        <v>544</v>
      </c>
      <c r="C26" s="26" t="s">
        <v>484</v>
      </c>
      <c r="D26" s="26" t="s">
        <v>485</v>
      </c>
      <c r="E26" s="20" t="s">
        <v>452</v>
      </c>
      <c r="F26" s="8" t="s">
        <v>111</v>
      </c>
      <c r="G26" s="124"/>
      <c r="H26" s="8" t="s">
        <v>111</v>
      </c>
      <c r="I26" s="8" t="s">
        <v>111</v>
      </c>
      <c r="J26" s="119"/>
      <c r="K26" s="8" t="s">
        <v>111</v>
      </c>
      <c r="L26" s="8" t="s">
        <v>111</v>
      </c>
      <c r="M26" s="8" t="s">
        <v>111</v>
      </c>
      <c r="N26" s="124"/>
      <c r="O26" s="8" t="s">
        <v>111</v>
      </c>
      <c r="P26" s="8" t="s">
        <v>111</v>
      </c>
      <c r="Q26" s="8" t="s">
        <v>111</v>
      </c>
      <c r="R26" s="8" t="s">
        <v>111</v>
      </c>
      <c r="S26" s="119"/>
      <c r="T26" s="8" t="s">
        <v>111</v>
      </c>
      <c r="U26" s="124"/>
      <c r="V26" s="8" t="s">
        <v>111</v>
      </c>
      <c r="W26" s="8" t="s">
        <v>111</v>
      </c>
      <c r="X26" s="119"/>
      <c r="Y26" s="8" t="s">
        <v>111</v>
      </c>
      <c r="Z26" s="8" t="s">
        <v>111</v>
      </c>
      <c r="AA26" s="8" t="s">
        <v>111</v>
      </c>
      <c r="AB26" s="124"/>
      <c r="AC26" s="8" t="s">
        <v>111</v>
      </c>
      <c r="AD26" s="8" t="s">
        <v>798</v>
      </c>
      <c r="AE26" s="8" t="s">
        <v>111</v>
      </c>
      <c r="AF26" s="8" t="s">
        <v>111</v>
      </c>
      <c r="AG26" s="8" t="s">
        <v>111</v>
      </c>
      <c r="AH26" s="5">
        <f t="shared" si="3"/>
        <v>20</v>
      </c>
      <c r="AI26" s="5">
        <f t="shared" si="2"/>
        <v>1</v>
      </c>
    </row>
    <row r="27" spans="1:39" x14ac:dyDescent="0.25">
      <c r="A27" s="9">
        <v>3</v>
      </c>
      <c r="B27" s="9">
        <v>590</v>
      </c>
      <c r="C27" s="26" t="s">
        <v>486</v>
      </c>
      <c r="D27" s="26" t="s">
        <v>487</v>
      </c>
      <c r="E27" s="20" t="s">
        <v>452</v>
      </c>
      <c r="F27" s="8" t="s">
        <v>111</v>
      </c>
      <c r="G27" s="124"/>
      <c r="H27" s="8" t="s">
        <v>798</v>
      </c>
      <c r="I27" s="8" t="s">
        <v>111</v>
      </c>
      <c r="J27" s="119"/>
      <c r="K27" s="8" t="s">
        <v>111</v>
      </c>
      <c r="L27" s="8" t="s">
        <v>798</v>
      </c>
      <c r="M27" s="8" t="s">
        <v>111</v>
      </c>
      <c r="N27" s="124"/>
      <c r="O27" s="8" t="s">
        <v>111</v>
      </c>
      <c r="P27" s="8" t="s">
        <v>798</v>
      </c>
      <c r="Q27" s="8" t="s">
        <v>111</v>
      </c>
      <c r="R27" s="8" t="s">
        <v>111</v>
      </c>
      <c r="S27" s="119"/>
      <c r="T27" s="8" t="s">
        <v>111</v>
      </c>
      <c r="U27" s="124"/>
      <c r="V27" s="8" t="s">
        <v>111</v>
      </c>
      <c r="W27" s="8" t="s">
        <v>111</v>
      </c>
      <c r="X27" s="119"/>
      <c r="Y27" s="8" t="s">
        <v>111</v>
      </c>
      <c r="Z27" s="8" t="s">
        <v>111</v>
      </c>
      <c r="AA27" s="8" t="s">
        <v>111</v>
      </c>
      <c r="AB27" s="124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3"/>
        <v>18</v>
      </c>
      <c r="AI27" s="5">
        <f t="shared" si="2"/>
        <v>3</v>
      </c>
    </row>
    <row r="28" spans="1:39" x14ac:dyDescent="0.25">
      <c r="A28" s="9">
        <v>4</v>
      </c>
      <c r="B28" s="21">
        <v>594</v>
      </c>
      <c r="C28" s="26" t="s">
        <v>488</v>
      </c>
      <c r="D28" s="26" t="s">
        <v>489</v>
      </c>
      <c r="E28" s="20" t="s">
        <v>452</v>
      </c>
      <c r="F28" s="8" t="s">
        <v>111</v>
      </c>
      <c r="G28" s="124"/>
      <c r="H28" s="8" t="s">
        <v>799</v>
      </c>
      <c r="I28" s="8" t="s">
        <v>799</v>
      </c>
      <c r="J28" s="119"/>
      <c r="K28" s="8" t="s">
        <v>798</v>
      </c>
      <c r="L28" s="8" t="s">
        <v>111</v>
      </c>
      <c r="M28" s="8" t="s">
        <v>111</v>
      </c>
      <c r="N28" s="124"/>
      <c r="O28" s="8" t="s">
        <v>111</v>
      </c>
      <c r="P28" s="8" t="s">
        <v>111</v>
      </c>
      <c r="Q28" s="8" t="s">
        <v>111</v>
      </c>
      <c r="R28" s="8" t="s">
        <v>111</v>
      </c>
      <c r="S28" s="119"/>
      <c r="T28" s="8" t="s">
        <v>111</v>
      </c>
      <c r="U28" s="124"/>
      <c r="V28" s="8" t="s">
        <v>798</v>
      </c>
      <c r="W28" s="8" t="s">
        <v>111</v>
      </c>
      <c r="X28" s="119"/>
      <c r="Y28" s="8" t="s">
        <v>111</v>
      </c>
      <c r="Z28" s="8" t="s">
        <v>111</v>
      </c>
      <c r="AA28" s="8" t="s">
        <v>111</v>
      </c>
      <c r="AB28" s="124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3"/>
        <v>17</v>
      </c>
      <c r="AI28" s="5">
        <f t="shared" si="2"/>
        <v>2</v>
      </c>
    </row>
    <row r="29" spans="1:39" x14ac:dyDescent="0.25">
      <c r="A29" s="9">
        <v>5</v>
      </c>
      <c r="B29" s="9">
        <v>554</v>
      </c>
      <c r="C29" s="26" t="s">
        <v>413</v>
      </c>
      <c r="D29" s="26" t="s">
        <v>490</v>
      </c>
      <c r="E29" s="20" t="s">
        <v>452</v>
      </c>
      <c r="F29" s="8" t="s">
        <v>111</v>
      </c>
      <c r="G29" s="124"/>
      <c r="H29" s="8" t="s">
        <v>111</v>
      </c>
      <c r="I29" s="8" t="s">
        <v>111</v>
      </c>
      <c r="J29" s="119"/>
      <c r="K29" s="8" t="s">
        <v>798</v>
      </c>
      <c r="L29" s="8" t="s">
        <v>798</v>
      </c>
      <c r="M29" s="8" t="s">
        <v>798</v>
      </c>
      <c r="N29" s="124"/>
      <c r="O29" s="8" t="s">
        <v>798</v>
      </c>
      <c r="P29" s="8" t="s">
        <v>798</v>
      </c>
      <c r="Q29" s="8" t="s">
        <v>798</v>
      </c>
      <c r="R29" s="8" t="s">
        <v>798</v>
      </c>
      <c r="S29" s="119"/>
      <c r="T29" s="8" t="s">
        <v>798</v>
      </c>
      <c r="U29" s="124"/>
      <c r="V29" s="8" t="s">
        <v>111</v>
      </c>
      <c r="W29" s="8" t="s">
        <v>798</v>
      </c>
      <c r="X29" s="119"/>
      <c r="Y29" s="8" t="s">
        <v>798</v>
      </c>
      <c r="Z29" s="8" t="s">
        <v>798</v>
      </c>
      <c r="AA29" s="8" t="s">
        <v>798</v>
      </c>
      <c r="AB29" s="124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3"/>
        <v>4</v>
      </c>
      <c r="AI29" s="5">
        <f t="shared" si="2"/>
        <v>17</v>
      </c>
    </row>
    <row r="30" spans="1:39" x14ac:dyDescent="0.25">
      <c r="A30" s="9">
        <v>6</v>
      </c>
      <c r="B30" s="21">
        <v>494</v>
      </c>
      <c r="C30" s="26" t="s">
        <v>134</v>
      </c>
      <c r="D30" s="26" t="s">
        <v>454</v>
      </c>
      <c r="E30" s="20" t="s">
        <v>452</v>
      </c>
      <c r="F30" s="8" t="s">
        <v>111</v>
      </c>
      <c r="G30" s="124"/>
      <c r="H30" s="8" t="s">
        <v>111</v>
      </c>
      <c r="I30" s="8" t="s">
        <v>111</v>
      </c>
      <c r="J30" s="119"/>
      <c r="K30" s="8" t="s">
        <v>111</v>
      </c>
      <c r="L30" s="8" t="s">
        <v>111</v>
      </c>
      <c r="M30" s="8" t="s">
        <v>111</v>
      </c>
      <c r="N30" s="124"/>
      <c r="O30" s="8" t="s">
        <v>111</v>
      </c>
      <c r="P30" s="8" t="s">
        <v>111</v>
      </c>
      <c r="Q30" s="8" t="s">
        <v>111</v>
      </c>
      <c r="R30" s="8" t="s">
        <v>111</v>
      </c>
      <c r="S30" s="119"/>
      <c r="T30" s="8" t="s">
        <v>111</v>
      </c>
      <c r="U30" s="124"/>
      <c r="V30" s="8" t="s">
        <v>798</v>
      </c>
      <c r="W30" s="8" t="s">
        <v>111</v>
      </c>
      <c r="X30" s="119"/>
      <c r="Y30" s="8" t="s">
        <v>111</v>
      </c>
      <c r="Z30" s="8" t="s">
        <v>111</v>
      </c>
      <c r="AA30" s="8" t="s">
        <v>111</v>
      </c>
      <c r="AB30" s="124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3"/>
        <v>20</v>
      </c>
      <c r="AI30" s="5">
        <f t="shared" si="2"/>
        <v>1</v>
      </c>
    </row>
    <row r="31" spans="1:39" x14ac:dyDescent="0.25">
      <c r="A31" s="9">
        <v>7</v>
      </c>
      <c r="B31" s="21">
        <v>599</v>
      </c>
      <c r="C31" s="24" t="s">
        <v>491</v>
      </c>
      <c r="D31" s="25" t="s">
        <v>492</v>
      </c>
      <c r="E31" s="20" t="s">
        <v>452</v>
      </c>
      <c r="F31" s="8" t="s">
        <v>111</v>
      </c>
      <c r="G31" s="124"/>
      <c r="H31" s="8" t="s">
        <v>111</v>
      </c>
      <c r="I31" s="8" t="s">
        <v>111</v>
      </c>
      <c r="J31" s="119"/>
      <c r="K31" s="8" t="s">
        <v>111</v>
      </c>
      <c r="L31" s="8" t="s">
        <v>111</v>
      </c>
      <c r="M31" s="8" t="s">
        <v>111</v>
      </c>
      <c r="N31" s="124"/>
      <c r="O31" s="8" t="s">
        <v>111</v>
      </c>
      <c r="P31" s="8" t="s">
        <v>111</v>
      </c>
      <c r="Q31" s="8" t="s">
        <v>111</v>
      </c>
      <c r="R31" s="8" t="s">
        <v>111</v>
      </c>
      <c r="S31" s="119"/>
      <c r="T31" s="8" t="s">
        <v>111</v>
      </c>
      <c r="U31" s="124"/>
      <c r="V31" s="8" t="s">
        <v>111</v>
      </c>
      <c r="W31" s="8" t="s">
        <v>111</v>
      </c>
      <c r="X31" s="119"/>
      <c r="Y31" s="8" t="s">
        <v>111</v>
      </c>
      <c r="Z31" s="8" t="s">
        <v>798</v>
      </c>
      <c r="AA31" s="8" t="s">
        <v>111</v>
      </c>
      <c r="AB31" s="124"/>
      <c r="AC31" s="8" t="s">
        <v>798</v>
      </c>
      <c r="AD31" s="8" t="s">
        <v>798</v>
      </c>
      <c r="AE31" s="8" t="s">
        <v>111</v>
      </c>
      <c r="AF31" s="8" t="s">
        <v>111</v>
      </c>
      <c r="AG31" s="8" t="s">
        <v>111</v>
      </c>
      <c r="AH31" s="5">
        <f t="shared" si="3"/>
        <v>18</v>
      </c>
      <c r="AI31" s="5">
        <f t="shared" si="2"/>
        <v>3</v>
      </c>
    </row>
    <row r="32" spans="1:39" x14ac:dyDescent="0.25">
      <c r="A32" s="9">
        <v>8</v>
      </c>
      <c r="B32" s="21">
        <v>694</v>
      </c>
      <c r="C32" s="24" t="s">
        <v>493</v>
      </c>
      <c r="D32" s="25" t="s">
        <v>494</v>
      </c>
      <c r="E32" s="20" t="s">
        <v>452</v>
      </c>
      <c r="F32" s="8" t="s">
        <v>111</v>
      </c>
      <c r="G32" s="124"/>
      <c r="H32" s="8" t="s">
        <v>111</v>
      </c>
      <c r="I32" s="8" t="s">
        <v>111</v>
      </c>
      <c r="J32" s="119"/>
      <c r="K32" s="8" t="s">
        <v>111</v>
      </c>
      <c r="L32" s="8" t="s">
        <v>111</v>
      </c>
      <c r="M32" s="8" t="s">
        <v>111</v>
      </c>
      <c r="N32" s="124"/>
      <c r="O32" s="8" t="s">
        <v>111</v>
      </c>
      <c r="P32" s="8" t="s">
        <v>111</v>
      </c>
      <c r="Q32" s="8" t="s">
        <v>111</v>
      </c>
      <c r="R32" s="8" t="s">
        <v>798</v>
      </c>
      <c r="S32" s="119"/>
      <c r="T32" s="8" t="s">
        <v>111</v>
      </c>
      <c r="U32" s="124"/>
      <c r="V32" s="8" t="s">
        <v>111</v>
      </c>
      <c r="W32" s="8" t="s">
        <v>111</v>
      </c>
      <c r="X32" s="119"/>
      <c r="Y32" s="8" t="s">
        <v>111</v>
      </c>
      <c r="Z32" s="8" t="s">
        <v>111</v>
      </c>
      <c r="AA32" s="8" t="s">
        <v>111</v>
      </c>
      <c r="AB32" s="124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3"/>
        <v>20</v>
      </c>
      <c r="AI32" s="5">
        <f t="shared" si="2"/>
        <v>1</v>
      </c>
    </row>
    <row r="33" spans="1:35" x14ac:dyDescent="0.25">
      <c r="A33" s="9">
        <v>9</v>
      </c>
      <c r="B33" s="21">
        <v>506</v>
      </c>
      <c r="C33" s="24" t="s">
        <v>495</v>
      </c>
      <c r="D33" s="25" t="s">
        <v>496</v>
      </c>
      <c r="E33" s="20" t="s">
        <v>452</v>
      </c>
      <c r="F33" s="8" t="s">
        <v>798</v>
      </c>
      <c r="G33" s="124"/>
      <c r="H33" s="8" t="s">
        <v>798</v>
      </c>
      <c r="I33" s="8" t="s">
        <v>111</v>
      </c>
      <c r="J33" s="119"/>
      <c r="K33" s="8" t="s">
        <v>111</v>
      </c>
      <c r="L33" s="8" t="s">
        <v>111</v>
      </c>
      <c r="M33" s="8" t="s">
        <v>111</v>
      </c>
      <c r="N33" s="124"/>
      <c r="O33" s="8" t="s">
        <v>111</v>
      </c>
      <c r="P33" s="8" t="s">
        <v>111</v>
      </c>
      <c r="Q33" s="8" t="s">
        <v>111</v>
      </c>
      <c r="R33" s="8" t="s">
        <v>111</v>
      </c>
      <c r="S33" s="119"/>
      <c r="T33" s="8" t="s">
        <v>111</v>
      </c>
      <c r="U33" s="124"/>
      <c r="V33" s="8" t="s">
        <v>111</v>
      </c>
      <c r="W33" s="8" t="s">
        <v>798</v>
      </c>
      <c r="X33" s="119"/>
      <c r="Y33" s="8" t="s">
        <v>798</v>
      </c>
      <c r="Z33" s="8" t="s">
        <v>111</v>
      </c>
      <c r="AA33" s="8" t="s">
        <v>111</v>
      </c>
      <c r="AB33" s="124"/>
      <c r="AC33" s="8" t="s">
        <v>111</v>
      </c>
      <c r="AD33" s="8" t="s">
        <v>111</v>
      </c>
      <c r="AE33" s="8" t="s">
        <v>798</v>
      </c>
      <c r="AF33" s="8" t="s">
        <v>111</v>
      </c>
      <c r="AG33" s="8" t="s">
        <v>111</v>
      </c>
      <c r="AH33" s="5">
        <f t="shared" si="3"/>
        <v>16</v>
      </c>
      <c r="AI33" s="5">
        <f t="shared" si="2"/>
        <v>5</v>
      </c>
    </row>
    <row r="34" spans="1:35" x14ac:dyDescent="0.25">
      <c r="A34" s="9">
        <v>10</v>
      </c>
      <c r="B34" s="21">
        <v>471</v>
      </c>
      <c r="C34" s="24" t="s">
        <v>497</v>
      </c>
      <c r="D34" s="25" t="s">
        <v>498</v>
      </c>
      <c r="E34" s="20" t="s">
        <v>452</v>
      </c>
      <c r="F34" s="8" t="s">
        <v>798</v>
      </c>
      <c r="G34" s="124"/>
      <c r="H34" s="8" t="s">
        <v>111</v>
      </c>
      <c r="I34" s="8" t="s">
        <v>111</v>
      </c>
      <c r="J34" s="119"/>
      <c r="K34" s="8" t="s">
        <v>111</v>
      </c>
      <c r="L34" s="8" t="s">
        <v>111</v>
      </c>
      <c r="M34" s="8" t="s">
        <v>111</v>
      </c>
      <c r="N34" s="124"/>
      <c r="O34" s="8" t="s">
        <v>111</v>
      </c>
      <c r="P34" s="8" t="s">
        <v>111</v>
      </c>
      <c r="Q34" s="8" t="s">
        <v>111</v>
      </c>
      <c r="R34" s="8" t="s">
        <v>111</v>
      </c>
      <c r="S34" s="119"/>
      <c r="T34" s="8" t="s">
        <v>111</v>
      </c>
      <c r="U34" s="124"/>
      <c r="V34" s="8" t="s">
        <v>111</v>
      </c>
      <c r="W34" s="8" t="s">
        <v>798</v>
      </c>
      <c r="X34" s="119"/>
      <c r="Y34" s="8" t="s">
        <v>111</v>
      </c>
      <c r="Z34" s="8" t="s">
        <v>111</v>
      </c>
      <c r="AA34" s="8" t="s">
        <v>111</v>
      </c>
      <c r="AB34" s="124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3"/>
        <v>19</v>
      </c>
      <c r="AI34" s="5">
        <f t="shared" si="2"/>
        <v>2</v>
      </c>
    </row>
    <row r="35" spans="1:35" x14ac:dyDescent="0.25">
      <c r="A35" s="9">
        <v>11</v>
      </c>
      <c r="B35" s="21">
        <v>537</v>
      </c>
      <c r="C35" s="24" t="s">
        <v>499</v>
      </c>
      <c r="D35" s="25" t="s">
        <v>500</v>
      </c>
      <c r="E35" s="20" t="s">
        <v>452</v>
      </c>
      <c r="F35" s="8" t="s">
        <v>111</v>
      </c>
      <c r="G35" s="124"/>
      <c r="H35" s="8" t="s">
        <v>111</v>
      </c>
      <c r="I35" s="8" t="s">
        <v>111</v>
      </c>
      <c r="J35" s="119"/>
      <c r="K35" s="8" t="s">
        <v>111</v>
      </c>
      <c r="L35" s="8" t="s">
        <v>111</v>
      </c>
      <c r="M35" s="8" t="s">
        <v>111</v>
      </c>
      <c r="N35" s="124"/>
      <c r="O35" s="8" t="s">
        <v>111</v>
      </c>
      <c r="P35" s="8" t="s">
        <v>111</v>
      </c>
      <c r="Q35" s="8" t="s">
        <v>111</v>
      </c>
      <c r="R35" s="8" t="s">
        <v>111</v>
      </c>
      <c r="S35" s="119"/>
      <c r="T35" s="8" t="s">
        <v>111</v>
      </c>
      <c r="U35" s="124"/>
      <c r="V35" s="8" t="s">
        <v>111</v>
      </c>
      <c r="W35" s="8" t="s">
        <v>798</v>
      </c>
      <c r="X35" s="119"/>
      <c r="Y35" s="8" t="s">
        <v>111</v>
      </c>
      <c r="Z35" s="8" t="s">
        <v>111</v>
      </c>
      <c r="AA35" s="8" t="s">
        <v>111</v>
      </c>
      <c r="AB35" s="124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3"/>
        <v>20</v>
      </c>
      <c r="AI35" s="5">
        <f t="shared" si="2"/>
        <v>1</v>
      </c>
    </row>
    <row r="36" spans="1:35" x14ac:dyDescent="0.25">
      <c r="A36" s="9">
        <v>12</v>
      </c>
      <c r="B36" s="21">
        <v>698</v>
      </c>
      <c r="C36" s="24" t="s">
        <v>501</v>
      </c>
      <c r="D36" s="25" t="s">
        <v>502</v>
      </c>
      <c r="E36" s="20" t="s">
        <v>452</v>
      </c>
      <c r="F36" s="8" t="s">
        <v>111</v>
      </c>
      <c r="G36" s="124"/>
      <c r="H36" s="8" t="s">
        <v>111</v>
      </c>
      <c r="I36" s="8" t="s">
        <v>111</v>
      </c>
      <c r="J36" s="119"/>
      <c r="K36" s="8" t="s">
        <v>111</v>
      </c>
      <c r="L36" s="8" t="s">
        <v>111</v>
      </c>
      <c r="M36" s="8" t="s">
        <v>111</v>
      </c>
      <c r="N36" s="124"/>
      <c r="O36" s="8" t="s">
        <v>111</v>
      </c>
      <c r="P36" s="8" t="s">
        <v>111</v>
      </c>
      <c r="Q36" s="8" t="s">
        <v>111</v>
      </c>
      <c r="R36" s="8" t="s">
        <v>111</v>
      </c>
      <c r="S36" s="119"/>
      <c r="T36" s="8" t="s">
        <v>798</v>
      </c>
      <c r="U36" s="124"/>
      <c r="V36" s="8" t="s">
        <v>111</v>
      </c>
      <c r="W36" s="8" t="s">
        <v>111</v>
      </c>
      <c r="X36" s="119"/>
      <c r="Y36" s="8" t="s">
        <v>111</v>
      </c>
      <c r="Z36" s="8" t="s">
        <v>111</v>
      </c>
      <c r="AA36" s="8" t="s">
        <v>798</v>
      </c>
      <c r="AB36" s="124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3"/>
        <v>19</v>
      </c>
      <c r="AI36" s="5">
        <f t="shared" ref="AI36:AI54" si="4">COUNTIF(F36:AG36,"A")</f>
        <v>2</v>
      </c>
    </row>
    <row r="37" spans="1:35" x14ac:dyDescent="0.25">
      <c r="A37" s="9">
        <v>13</v>
      </c>
      <c r="B37" s="21">
        <v>524</v>
      </c>
      <c r="C37" s="24" t="s">
        <v>503</v>
      </c>
      <c r="D37" s="25" t="s">
        <v>504</v>
      </c>
      <c r="E37" s="20" t="s">
        <v>452</v>
      </c>
      <c r="F37" s="8" t="s">
        <v>111</v>
      </c>
      <c r="G37" s="124"/>
      <c r="H37" s="8" t="s">
        <v>799</v>
      </c>
      <c r="I37" s="8" t="s">
        <v>111</v>
      </c>
      <c r="J37" s="119"/>
      <c r="K37" s="8" t="s">
        <v>111</v>
      </c>
      <c r="L37" s="8" t="s">
        <v>111</v>
      </c>
      <c r="M37" s="8" t="s">
        <v>111</v>
      </c>
      <c r="N37" s="124"/>
      <c r="O37" s="8" t="s">
        <v>111</v>
      </c>
      <c r="P37" s="8" t="s">
        <v>798</v>
      </c>
      <c r="Q37" s="8" t="s">
        <v>798</v>
      </c>
      <c r="R37" s="8" t="s">
        <v>798</v>
      </c>
      <c r="S37" s="119"/>
      <c r="T37" s="8" t="s">
        <v>798</v>
      </c>
      <c r="U37" s="124"/>
      <c r="V37" s="8" t="s">
        <v>798</v>
      </c>
      <c r="W37" s="8" t="s">
        <v>798</v>
      </c>
      <c r="X37" s="119"/>
      <c r="Y37" s="8" t="s">
        <v>798</v>
      </c>
      <c r="Z37" s="8" t="s">
        <v>798</v>
      </c>
      <c r="AA37" s="8" t="s">
        <v>798</v>
      </c>
      <c r="AB37" s="124"/>
      <c r="AC37" s="8" t="s">
        <v>798</v>
      </c>
      <c r="AD37" s="8" t="s">
        <v>798</v>
      </c>
      <c r="AE37" s="8" t="s">
        <v>798</v>
      </c>
      <c r="AF37" s="8" t="s">
        <v>798</v>
      </c>
      <c r="AG37" s="8" t="s">
        <v>798</v>
      </c>
      <c r="AH37" s="5">
        <f t="shared" si="3"/>
        <v>6</v>
      </c>
      <c r="AI37" s="5">
        <f t="shared" si="4"/>
        <v>14</v>
      </c>
    </row>
    <row r="38" spans="1:35" x14ac:dyDescent="0.25">
      <c r="A38" s="9">
        <v>14</v>
      </c>
      <c r="B38" s="21">
        <v>438</v>
      </c>
      <c r="C38" s="24" t="s">
        <v>505</v>
      </c>
      <c r="D38" s="25" t="s">
        <v>259</v>
      </c>
      <c r="E38" s="20" t="s">
        <v>452</v>
      </c>
      <c r="F38" s="8" t="s">
        <v>798</v>
      </c>
      <c r="G38" s="124"/>
      <c r="H38" s="8" t="s">
        <v>111</v>
      </c>
      <c r="I38" s="8" t="s">
        <v>111</v>
      </c>
      <c r="J38" s="119"/>
      <c r="K38" s="8" t="s">
        <v>798</v>
      </c>
      <c r="L38" s="8" t="s">
        <v>111</v>
      </c>
      <c r="M38" s="8" t="s">
        <v>111</v>
      </c>
      <c r="N38" s="124"/>
      <c r="O38" s="8" t="s">
        <v>111</v>
      </c>
      <c r="P38" s="8" t="s">
        <v>111</v>
      </c>
      <c r="Q38" s="8" t="s">
        <v>111</v>
      </c>
      <c r="R38" s="8" t="s">
        <v>111</v>
      </c>
      <c r="S38" s="119"/>
      <c r="T38" s="8" t="s">
        <v>111</v>
      </c>
      <c r="U38" s="124"/>
      <c r="V38" s="8" t="s">
        <v>111</v>
      </c>
      <c r="W38" s="8" t="s">
        <v>111</v>
      </c>
      <c r="X38" s="119"/>
      <c r="Y38" s="8" t="s">
        <v>111</v>
      </c>
      <c r="Z38" s="8" t="s">
        <v>111</v>
      </c>
      <c r="AA38" s="8" t="s">
        <v>111</v>
      </c>
      <c r="AB38" s="124"/>
      <c r="AC38" s="8" t="s">
        <v>799</v>
      </c>
      <c r="AD38" s="8" t="s">
        <v>799</v>
      </c>
      <c r="AE38" s="8" t="s">
        <v>111</v>
      </c>
      <c r="AF38" s="8" t="s">
        <v>111</v>
      </c>
      <c r="AG38" s="8" t="s">
        <v>111</v>
      </c>
      <c r="AH38" s="5">
        <f t="shared" si="3"/>
        <v>17</v>
      </c>
      <c r="AI38" s="5">
        <f t="shared" si="4"/>
        <v>2</v>
      </c>
    </row>
    <row r="39" spans="1:35" x14ac:dyDescent="0.25">
      <c r="A39" s="9">
        <v>15</v>
      </c>
      <c r="B39" s="21">
        <v>445</v>
      </c>
      <c r="C39" s="24" t="s">
        <v>506</v>
      </c>
      <c r="D39" s="25" t="s">
        <v>507</v>
      </c>
      <c r="E39" s="20" t="s">
        <v>452</v>
      </c>
      <c r="F39" s="8" t="s">
        <v>798</v>
      </c>
      <c r="G39" s="124"/>
      <c r="H39" s="8" t="s">
        <v>111</v>
      </c>
      <c r="I39" s="8" t="s">
        <v>111</v>
      </c>
      <c r="J39" s="119"/>
      <c r="K39" s="8" t="s">
        <v>111</v>
      </c>
      <c r="L39" s="8" t="s">
        <v>111</v>
      </c>
      <c r="M39" s="8" t="s">
        <v>798</v>
      </c>
      <c r="N39" s="124"/>
      <c r="O39" s="8" t="s">
        <v>798</v>
      </c>
      <c r="P39" s="8" t="s">
        <v>798</v>
      </c>
      <c r="Q39" s="8" t="s">
        <v>798</v>
      </c>
      <c r="R39" s="8" t="s">
        <v>798</v>
      </c>
      <c r="S39" s="119"/>
      <c r="T39" s="8" t="s">
        <v>111</v>
      </c>
      <c r="U39" s="124"/>
      <c r="V39" s="8" t="s">
        <v>111</v>
      </c>
      <c r="W39" s="8" t="s">
        <v>111</v>
      </c>
      <c r="X39" s="119"/>
      <c r="Y39" s="8" t="s">
        <v>111</v>
      </c>
      <c r="Z39" s="8" t="s">
        <v>111</v>
      </c>
      <c r="AA39" s="8" t="s">
        <v>111</v>
      </c>
      <c r="AB39" s="124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3"/>
        <v>15</v>
      </c>
      <c r="AI39" s="5">
        <f t="shared" si="4"/>
        <v>6</v>
      </c>
    </row>
    <row r="40" spans="1:35" x14ac:dyDescent="0.25">
      <c r="A40" s="9">
        <v>16</v>
      </c>
      <c r="B40" s="21">
        <v>532</v>
      </c>
      <c r="C40" s="24" t="s">
        <v>508</v>
      </c>
      <c r="D40" s="25" t="s">
        <v>89</v>
      </c>
      <c r="E40" s="20" t="s">
        <v>452</v>
      </c>
      <c r="F40" s="8" t="s">
        <v>798</v>
      </c>
      <c r="G40" s="124"/>
      <c r="H40" s="8" t="s">
        <v>111</v>
      </c>
      <c r="I40" s="8" t="s">
        <v>111</v>
      </c>
      <c r="J40" s="119"/>
      <c r="K40" s="8" t="s">
        <v>111</v>
      </c>
      <c r="L40" s="8" t="s">
        <v>111</v>
      </c>
      <c r="M40" s="8" t="s">
        <v>111</v>
      </c>
      <c r="N40" s="124"/>
      <c r="O40" s="8" t="s">
        <v>111</v>
      </c>
      <c r="P40" s="8" t="s">
        <v>111</v>
      </c>
      <c r="Q40" s="8" t="s">
        <v>111</v>
      </c>
      <c r="R40" s="8" t="s">
        <v>111</v>
      </c>
      <c r="S40" s="119"/>
      <c r="T40" s="8" t="s">
        <v>111</v>
      </c>
      <c r="U40" s="124"/>
      <c r="V40" s="8" t="s">
        <v>111</v>
      </c>
      <c r="W40" s="8" t="s">
        <v>111</v>
      </c>
      <c r="X40" s="119"/>
      <c r="Y40" s="8" t="s">
        <v>798</v>
      </c>
      <c r="Z40" s="8" t="s">
        <v>798</v>
      </c>
      <c r="AA40" s="8" t="s">
        <v>798</v>
      </c>
      <c r="AB40" s="124"/>
      <c r="AC40" s="8" t="s">
        <v>798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3"/>
        <v>16</v>
      </c>
      <c r="AI40" s="5">
        <f t="shared" si="4"/>
        <v>5</v>
      </c>
    </row>
    <row r="41" spans="1:35" x14ac:dyDescent="0.25">
      <c r="A41" s="9">
        <v>17</v>
      </c>
      <c r="B41" s="21">
        <v>643</v>
      </c>
      <c r="C41" s="24" t="s">
        <v>509</v>
      </c>
      <c r="D41" s="25" t="s">
        <v>510</v>
      </c>
      <c r="E41" s="20" t="s">
        <v>452</v>
      </c>
      <c r="F41" s="8" t="s">
        <v>111</v>
      </c>
      <c r="G41" s="124"/>
      <c r="H41" s="8" t="s">
        <v>111</v>
      </c>
      <c r="I41" s="8" t="s">
        <v>111</v>
      </c>
      <c r="J41" s="119"/>
      <c r="K41" s="8" t="s">
        <v>111</v>
      </c>
      <c r="L41" s="8" t="s">
        <v>111</v>
      </c>
      <c r="M41" s="8" t="s">
        <v>111</v>
      </c>
      <c r="N41" s="124"/>
      <c r="O41" s="8" t="s">
        <v>111</v>
      </c>
      <c r="P41" s="8" t="s">
        <v>111</v>
      </c>
      <c r="Q41" s="8" t="s">
        <v>111</v>
      </c>
      <c r="R41" s="8" t="s">
        <v>111</v>
      </c>
      <c r="S41" s="119"/>
      <c r="T41" s="8" t="s">
        <v>111</v>
      </c>
      <c r="U41" s="124"/>
      <c r="V41" s="8" t="s">
        <v>111</v>
      </c>
      <c r="W41" s="8" t="s">
        <v>111</v>
      </c>
      <c r="X41" s="119"/>
      <c r="Y41" s="8" t="s">
        <v>111</v>
      </c>
      <c r="Z41" s="8" t="s">
        <v>111</v>
      </c>
      <c r="AA41" s="8" t="s">
        <v>111</v>
      </c>
      <c r="AB41" s="124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3"/>
        <v>21</v>
      </c>
      <c r="AI41" s="5">
        <f t="shared" si="4"/>
        <v>0</v>
      </c>
    </row>
    <row r="42" spans="1:35" x14ac:dyDescent="0.25">
      <c r="A42" s="9">
        <v>18</v>
      </c>
      <c r="B42" s="21">
        <v>519</v>
      </c>
      <c r="C42" s="24" t="s">
        <v>511</v>
      </c>
      <c r="D42" s="25" t="s">
        <v>512</v>
      </c>
      <c r="E42" s="20" t="s">
        <v>452</v>
      </c>
      <c r="F42" s="8" t="s">
        <v>111</v>
      </c>
      <c r="G42" s="124"/>
      <c r="H42" s="8" t="s">
        <v>111</v>
      </c>
      <c r="I42" s="8" t="s">
        <v>111</v>
      </c>
      <c r="J42" s="119"/>
      <c r="K42" s="8" t="s">
        <v>111</v>
      </c>
      <c r="L42" s="8" t="s">
        <v>111</v>
      </c>
      <c r="M42" s="8" t="s">
        <v>111</v>
      </c>
      <c r="N42" s="124"/>
      <c r="O42" s="8" t="s">
        <v>111</v>
      </c>
      <c r="P42" s="8" t="s">
        <v>111</v>
      </c>
      <c r="Q42" s="8" t="s">
        <v>111</v>
      </c>
      <c r="R42" s="8" t="s">
        <v>111</v>
      </c>
      <c r="S42" s="119"/>
      <c r="T42" s="8" t="s">
        <v>799</v>
      </c>
      <c r="U42" s="124"/>
      <c r="V42" s="8" t="s">
        <v>111</v>
      </c>
      <c r="W42" s="8" t="s">
        <v>111</v>
      </c>
      <c r="X42" s="119"/>
      <c r="Y42" s="8" t="s">
        <v>111</v>
      </c>
      <c r="Z42" s="8" t="s">
        <v>799</v>
      </c>
      <c r="AA42" s="8" t="s">
        <v>799</v>
      </c>
      <c r="AB42" s="124"/>
      <c r="AC42" s="8" t="s">
        <v>111</v>
      </c>
      <c r="AD42" s="8" t="s">
        <v>111</v>
      </c>
      <c r="AE42" s="8" t="s">
        <v>111</v>
      </c>
      <c r="AF42" s="8" t="s">
        <v>798</v>
      </c>
      <c r="AG42" s="8" t="s">
        <v>111</v>
      </c>
      <c r="AH42" s="5">
        <f t="shared" si="3"/>
        <v>17</v>
      </c>
      <c r="AI42" s="5">
        <f t="shared" si="4"/>
        <v>1</v>
      </c>
    </row>
    <row r="43" spans="1:35" x14ac:dyDescent="0.25">
      <c r="A43" s="9">
        <v>19</v>
      </c>
      <c r="B43" s="21">
        <v>611</v>
      </c>
      <c r="C43" s="24" t="s">
        <v>513</v>
      </c>
      <c r="D43" s="25" t="s">
        <v>64</v>
      </c>
      <c r="E43" s="20" t="s">
        <v>452</v>
      </c>
      <c r="F43" s="8" t="s">
        <v>798</v>
      </c>
      <c r="G43" s="124"/>
      <c r="H43" s="8" t="s">
        <v>798</v>
      </c>
      <c r="I43" s="8" t="s">
        <v>798</v>
      </c>
      <c r="J43" s="119"/>
      <c r="K43" s="8" t="s">
        <v>111</v>
      </c>
      <c r="L43" s="8" t="s">
        <v>111</v>
      </c>
      <c r="M43" s="8" t="s">
        <v>111</v>
      </c>
      <c r="N43" s="124"/>
      <c r="O43" s="8" t="s">
        <v>111</v>
      </c>
      <c r="P43" s="8" t="s">
        <v>798</v>
      </c>
      <c r="Q43" s="8" t="s">
        <v>111</v>
      </c>
      <c r="R43" s="8" t="s">
        <v>111</v>
      </c>
      <c r="S43" s="119"/>
      <c r="T43" s="8" t="s">
        <v>111</v>
      </c>
      <c r="U43" s="124"/>
      <c r="V43" s="8" t="s">
        <v>111</v>
      </c>
      <c r="W43" s="8" t="s">
        <v>111</v>
      </c>
      <c r="X43" s="119"/>
      <c r="Y43" s="8" t="s">
        <v>111</v>
      </c>
      <c r="Z43" s="8" t="s">
        <v>798</v>
      </c>
      <c r="AA43" s="8" t="s">
        <v>111</v>
      </c>
      <c r="AB43" s="124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3"/>
        <v>16</v>
      </c>
      <c r="AI43" s="5">
        <f t="shared" si="4"/>
        <v>5</v>
      </c>
    </row>
    <row r="44" spans="1:35" x14ac:dyDescent="0.25">
      <c r="A44" s="9">
        <v>20</v>
      </c>
      <c r="B44" s="21">
        <v>695</v>
      </c>
      <c r="C44" s="24" t="s">
        <v>514</v>
      </c>
      <c r="D44" s="25" t="s">
        <v>515</v>
      </c>
      <c r="E44" s="20" t="s">
        <v>452</v>
      </c>
      <c r="F44" s="8" t="s">
        <v>111</v>
      </c>
      <c r="G44" s="124"/>
      <c r="H44" s="8" t="s">
        <v>111</v>
      </c>
      <c r="I44" s="8" t="s">
        <v>798</v>
      </c>
      <c r="J44" s="119"/>
      <c r="K44" s="8" t="s">
        <v>111</v>
      </c>
      <c r="L44" s="8" t="s">
        <v>798</v>
      </c>
      <c r="M44" s="8" t="s">
        <v>798</v>
      </c>
      <c r="N44" s="124"/>
      <c r="O44" s="8" t="s">
        <v>798</v>
      </c>
      <c r="P44" s="8" t="s">
        <v>111</v>
      </c>
      <c r="Q44" s="8" t="s">
        <v>111</v>
      </c>
      <c r="R44" s="8" t="s">
        <v>111</v>
      </c>
      <c r="S44" s="119"/>
      <c r="T44" s="8" t="s">
        <v>111</v>
      </c>
      <c r="U44" s="124"/>
      <c r="V44" s="8" t="s">
        <v>111</v>
      </c>
      <c r="W44" s="8" t="s">
        <v>798</v>
      </c>
      <c r="X44" s="119"/>
      <c r="Y44" s="8" t="s">
        <v>111</v>
      </c>
      <c r="Z44" s="8" t="s">
        <v>111</v>
      </c>
      <c r="AA44" s="8" t="s">
        <v>798</v>
      </c>
      <c r="AB44" s="124"/>
      <c r="AC44" s="8" t="s">
        <v>798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3"/>
        <v>10</v>
      </c>
      <c r="AI44" s="5">
        <f t="shared" si="4"/>
        <v>11</v>
      </c>
    </row>
    <row r="45" spans="1:35" x14ac:dyDescent="0.25">
      <c r="A45" s="9">
        <v>21</v>
      </c>
      <c r="B45" s="21">
        <v>598</v>
      </c>
      <c r="C45" s="24" t="s">
        <v>516</v>
      </c>
      <c r="D45" s="25" t="s">
        <v>143</v>
      </c>
      <c r="E45" s="20" t="s">
        <v>452</v>
      </c>
      <c r="F45" s="8" t="s">
        <v>111</v>
      </c>
      <c r="G45" s="124"/>
      <c r="H45" s="8" t="s">
        <v>111</v>
      </c>
      <c r="I45" s="8" t="s">
        <v>111</v>
      </c>
      <c r="J45" s="119"/>
      <c r="K45" s="8" t="s">
        <v>798</v>
      </c>
      <c r="L45" s="8" t="s">
        <v>111</v>
      </c>
      <c r="M45" s="8" t="s">
        <v>111</v>
      </c>
      <c r="N45" s="124"/>
      <c r="O45" s="8" t="s">
        <v>798</v>
      </c>
      <c r="P45" s="8" t="s">
        <v>111</v>
      </c>
      <c r="Q45" s="8" t="s">
        <v>111</v>
      </c>
      <c r="R45" s="8" t="s">
        <v>111</v>
      </c>
      <c r="S45" s="119"/>
      <c r="T45" s="8" t="s">
        <v>111</v>
      </c>
      <c r="U45" s="124"/>
      <c r="V45" s="8" t="s">
        <v>798</v>
      </c>
      <c r="W45" s="8" t="s">
        <v>111</v>
      </c>
      <c r="X45" s="119"/>
      <c r="Y45" s="8" t="s">
        <v>111</v>
      </c>
      <c r="Z45" s="8" t="s">
        <v>111</v>
      </c>
      <c r="AA45" s="8" t="s">
        <v>111</v>
      </c>
      <c r="AB45" s="124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3"/>
        <v>18</v>
      </c>
      <c r="AI45" s="5">
        <f t="shared" si="4"/>
        <v>3</v>
      </c>
    </row>
    <row r="46" spans="1:35" x14ac:dyDescent="0.25">
      <c r="A46" s="9">
        <v>22</v>
      </c>
      <c r="B46" s="21">
        <v>699</v>
      </c>
      <c r="C46" s="24" t="s">
        <v>517</v>
      </c>
      <c r="D46" s="25" t="s">
        <v>135</v>
      </c>
      <c r="E46" s="20" t="s">
        <v>452</v>
      </c>
      <c r="F46" s="8" t="s">
        <v>798</v>
      </c>
      <c r="G46" s="124"/>
      <c r="H46" s="8" t="s">
        <v>111</v>
      </c>
      <c r="I46" s="8" t="s">
        <v>111</v>
      </c>
      <c r="J46" s="119"/>
      <c r="K46" s="8" t="s">
        <v>111</v>
      </c>
      <c r="L46" s="8" t="s">
        <v>111</v>
      </c>
      <c r="M46" s="8" t="s">
        <v>111</v>
      </c>
      <c r="N46" s="124"/>
      <c r="O46" s="8" t="s">
        <v>111</v>
      </c>
      <c r="P46" s="8" t="s">
        <v>111</v>
      </c>
      <c r="Q46" s="8" t="s">
        <v>798</v>
      </c>
      <c r="R46" s="8" t="s">
        <v>798</v>
      </c>
      <c r="S46" s="119"/>
      <c r="T46" s="8" t="s">
        <v>798</v>
      </c>
      <c r="U46" s="124"/>
      <c r="V46" s="8" t="s">
        <v>798</v>
      </c>
      <c r="W46" s="8" t="s">
        <v>111</v>
      </c>
      <c r="X46" s="119"/>
      <c r="Y46" s="8" t="s">
        <v>111</v>
      </c>
      <c r="Z46" s="8" t="s">
        <v>798</v>
      </c>
      <c r="AA46" s="8" t="s">
        <v>111</v>
      </c>
      <c r="AB46" s="124"/>
      <c r="AC46" s="8" t="s">
        <v>111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3"/>
        <v>15</v>
      </c>
      <c r="AI46" s="5">
        <f t="shared" si="4"/>
        <v>6</v>
      </c>
    </row>
    <row r="47" spans="1:35" x14ac:dyDescent="0.25">
      <c r="A47" s="9">
        <v>23</v>
      </c>
      <c r="B47" s="21">
        <v>638</v>
      </c>
      <c r="C47" s="24" t="s">
        <v>518</v>
      </c>
      <c r="D47" s="24"/>
      <c r="E47" s="20" t="s">
        <v>452</v>
      </c>
      <c r="F47" s="8" t="s">
        <v>798</v>
      </c>
      <c r="G47" s="124"/>
      <c r="H47" s="8" t="s">
        <v>111</v>
      </c>
      <c r="I47" s="8" t="s">
        <v>111</v>
      </c>
      <c r="J47" s="119"/>
      <c r="K47" s="8" t="s">
        <v>798</v>
      </c>
      <c r="L47" s="8" t="s">
        <v>111</v>
      </c>
      <c r="M47" s="8" t="s">
        <v>111</v>
      </c>
      <c r="N47" s="124"/>
      <c r="O47" s="8" t="s">
        <v>111</v>
      </c>
      <c r="P47" s="8" t="s">
        <v>111</v>
      </c>
      <c r="Q47" s="8" t="s">
        <v>799</v>
      </c>
      <c r="R47" s="8" t="s">
        <v>799</v>
      </c>
      <c r="S47" s="119"/>
      <c r="T47" s="8" t="s">
        <v>798</v>
      </c>
      <c r="U47" s="124"/>
      <c r="V47" s="8" t="s">
        <v>111</v>
      </c>
      <c r="W47" s="8" t="s">
        <v>798</v>
      </c>
      <c r="X47" s="119"/>
      <c r="Y47" s="8" t="s">
        <v>111</v>
      </c>
      <c r="Z47" s="8" t="s">
        <v>111</v>
      </c>
      <c r="AA47" s="8" t="s">
        <v>111</v>
      </c>
      <c r="AB47" s="124"/>
      <c r="AC47" s="8" t="s">
        <v>111</v>
      </c>
      <c r="AD47" s="8" t="s">
        <v>111</v>
      </c>
      <c r="AE47" s="8" t="s">
        <v>111</v>
      </c>
      <c r="AF47" s="8" t="s">
        <v>111</v>
      </c>
      <c r="AG47" s="8" t="s">
        <v>798</v>
      </c>
      <c r="AH47" s="5">
        <f t="shared" si="3"/>
        <v>14</v>
      </c>
      <c r="AI47" s="5">
        <f t="shared" si="4"/>
        <v>5</v>
      </c>
    </row>
    <row r="48" spans="1:35" x14ac:dyDescent="0.25">
      <c r="A48" s="9">
        <v>24</v>
      </c>
      <c r="B48" s="21">
        <v>696</v>
      </c>
      <c r="C48" s="24" t="s">
        <v>519</v>
      </c>
      <c r="D48" s="25" t="s">
        <v>473</v>
      </c>
      <c r="E48" s="20" t="s">
        <v>452</v>
      </c>
      <c r="F48" s="8" t="s">
        <v>798</v>
      </c>
      <c r="G48" s="124"/>
      <c r="H48" s="8" t="s">
        <v>111</v>
      </c>
      <c r="I48" s="8" t="s">
        <v>111</v>
      </c>
      <c r="J48" s="119"/>
      <c r="K48" s="8" t="s">
        <v>111</v>
      </c>
      <c r="L48" s="8" t="s">
        <v>111</v>
      </c>
      <c r="M48" s="8" t="s">
        <v>798</v>
      </c>
      <c r="N48" s="124"/>
      <c r="O48" s="8" t="s">
        <v>111</v>
      </c>
      <c r="P48" s="8" t="s">
        <v>111</v>
      </c>
      <c r="Q48" s="8" t="s">
        <v>111</v>
      </c>
      <c r="R48" s="8" t="s">
        <v>111</v>
      </c>
      <c r="S48" s="119"/>
      <c r="T48" s="8" t="s">
        <v>111</v>
      </c>
      <c r="U48" s="124"/>
      <c r="V48" s="8" t="s">
        <v>111</v>
      </c>
      <c r="W48" s="8" t="s">
        <v>111</v>
      </c>
      <c r="X48" s="119"/>
      <c r="Y48" s="8" t="s">
        <v>111</v>
      </c>
      <c r="Z48" s="8" t="s">
        <v>111</v>
      </c>
      <c r="AA48" s="8" t="s">
        <v>111</v>
      </c>
      <c r="AB48" s="124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3"/>
        <v>19</v>
      </c>
      <c r="AI48" s="5">
        <f t="shared" si="4"/>
        <v>2</v>
      </c>
    </row>
    <row r="49" spans="1:35" x14ac:dyDescent="0.25">
      <c r="A49" s="9">
        <v>25</v>
      </c>
      <c r="B49" s="21">
        <v>697</v>
      </c>
      <c r="C49" s="26" t="s">
        <v>520</v>
      </c>
      <c r="D49" s="26" t="s">
        <v>378</v>
      </c>
      <c r="E49" s="8" t="s">
        <v>452</v>
      </c>
      <c r="F49" s="8" t="s">
        <v>798</v>
      </c>
      <c r="G49" s="124"/>
      <c r="H49" s="8" t="s">
        <v>111</v>
      </c>
      <c r="I49" s="8" t="s">
        <v>111</v>
      </c>
      <c r="J49" s="119"/>
      <c r="K49" s="8" t="s">
        <v>111</v>
      </c>
      <c r="L49" s="8" t="s">
        <v>111</v>
      </c>
      <c r="M49" s="8" t="s">
        <v>111</v>
      </c>
      <c r="N49" s="124"/>
      <c r="O49" s="8" t="s">
        <v>798</v>
      </c>
      <c r="P49" s="8" t="s">
        <v>111</v>
      </c>
      <c r="Q49" s="8" t="s">
        <v>111</v>
      </c>
      <c r="R49" s="8" t="s">
        <v>111</v>
      </c>
      <c r="S49" s="119"/>
      <c r="T49" s="8" t="s">
        <v>798</v>
      </c>
      <c r="U49" s="124"/>
      <c r="V49" s="8" t="s">
        <v>111</v>
      </c>
      <c r="W49" s="8" t="s">
        <v>111</v>
      </c>
      <c r="X49" s="119"/>
      <c r="Y49" s="8" t="s">
        <v>111</v>
      </c>
      <c r="Z49" s="8" t="s">
        <v>111</v>
      </c>
      <c r="AA49" s="8" t="s">
        <v>111</v>
      </c>
      <c r="AB49" s="124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3"/>
        <v>18</v>
      </c>
      <c r="AI49" s="5">
        <f t="shared" si="4"/>
        <v>3</v>
      </c>
    </row>
    <row r="50" spans="1:35" x14ac:dyDescent="0.25">
      <c r="A50" s="9">
        <v>26</v>
      </c>
      <c r="B50" s="9">
        <v>558</v>
      </c>
      <c r="C50" s="26" t="s">
        <v>521</v>
      </c>
      <c r="D50" s="26" t="s">
        <v>428</v>
      </c>
      <c r="E50" s="8" t="s">
        <v>452</v>
      </c>
      <c r="F50" s="8" t="s">
        <v>111</v>
      </c>
      <c r="G50" s="124"/>
      <c r="H50" s="8" t="s">
        <v>111</v>
      </c>
      <c r="I50" s="8" t="s">
        <v>111</v>
      </c>
      <c r="J50" s="119"/>
      <c r="K50" s="8" t="s">
        <v>111</v>
      </c>
      <c r="L50" s="8" t="s">
        <v>111</v>
      </c>
      <c r="M50" s="8" t="s">
        <v>111</v>
      </c>
      <c r="N50" s="124"/>
      <c r="O50" s="8" t="s">
        <v>111</v>
      </c>
      <c r="P50" s="8" t="s">
        <v>111</v>
      </c>
      <c r="Q50" s="8" t="s">
        <v>798</v>
      </c>
      <c r="R50" s="8" t="s">
        <v>798</v>
      </c>
      <c r="S50" s="119"/>
      <c r="T50" s="8" t="s">
        <v>798</v>
      </c>
      <c r="U50" s="124"/>
      <c r="V50" s="8" t="s">
        <v>798</v>
      </c>
      <c r="W50" s="8" t="s">
        <v>798</v>
      </c>
      <c r="X50" s="119"/>
      <c r="Y50" s="8" t="s">
        <v>798</v>
      </c>
      <c r="Z50" s="8" t="s">
        <v>798</v>
      </c>
      <c r="AA50" s="8" t="s">
        <v>798</v>
      </c>
      <c r="AB50" s="124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3"/>
        <v>13</v>
      </c>
      <c r="AI50" s="5">
        <f t="shared" si="4"/>
        <v>8</v>
      </c>
    </row>
    <row r="51" spans="1:35" x14ac:dyDescent="0.25">
      <c r="A51" s="9">
        <v>27</v>
      </c>
      <c r="B51" s="21">
        <v>612</v>
      </c>
      <c r="C51" s="26" t="s">
        <v>521</v>
      </c>
      <c r="D51" s="26" t="s">
        <v>50</v>
      </c>
      <c r="E51" s="8" t="s">
        <v>452</v>
      </c>
      <c r="F51" s="8" t="s">
        <v>798</v>
      </c>
      <c r="G51" s="124"/>
      <c r="H51" s="8" t="s">
        <v>111</v>
      </c>
      <c r="I51" s="8" t="s">
        <v>111</v>
      </c>
      <c r="J51" s="119"/>
      <c r="K51" s="8" t="s">
        <v>111</v>
      </c>
      <c r="L51" s="8" t="s">
        <v>111</v>
      </c>
      <c r="M51" s="8" t="s">
        <v>798</v>
      </c>
      <c r="N51" s="124"/>
      <c r="O51" s="8" t="s">
        <v>111</v>
      </c>
      <c r="P51" s="8" t="s">
        <v>798</v>
      </c>
      <c r="Q51" s="8" t="s">
        <v>111</v>
      </c>
      <c r="R51" s="8" t="s">
        <v>111</v>
      </c>
      <c r="S51" s="119"/>
      <c r="T51" s="8" t="s">
        <v>798</v>
      </c>
      <c r="U51" s="124"/>
      <c r="V51" s="8" t="s">
        <v>111</v>
      </c>
      <c r="W51" s="8" t="s">
        <v>111</v>
      </c>
      <c r="X51" s="119"/>
      <c r="Y51" s="8" t="s">
        <v>798</v>
      </c>
      <c r="Z51" s="8" t="s">
        <v>111</v>
      </c>
      <c r="AA51" s="8" t="s">
        <v>111</v>
      </c>
      <c r="AB51" s="124"/>
      <c r="AC51" s="8" t="s">
        <v>111</v>
      </c>
      <c r="AD51" s="8" t="s">
        <v>111</v>
      </c>
      <c r="AE51" s="8" t="s">
        <v>111</v>
      </c>
      <c r="AF51" s="8" t="s">
        <v>111</v>
      </c>
      <c r="AG51" s="8" t="s">
        <v>111</v>
      </c>
      <c r="AH51" s="5">
        <f t="shared" si="3"/>
        <v>16</v>
      </c>
      <c r="AI51" s="5">
        <f t="shared" si="4"/>
        <v>5</v>
      </c>
    </row>
    <row r="52" spans="1:35" x14ac:dyDescent="0.25">
      <c r="A52" s="9">
        <v>28</v>
      </c>
      <c r="B52" s="9">
        <v>432</v>
      </c>
      <c r="C52" s="26" t="s">
        <v>522</v>
      </c>
      <c r="D52" s="26" t="s">
        <v>523</v>
      </c>
      <c r="E52" s="8" t="s">
        <v>452</v>
      </c>
      <c r="F52" s="8" t="s">
        <v>111</v>
      </c>
      <c r="G52" s="124"/>
      <c r="H52" s="8" t="s">
        <v>798</v>
      </c>
      <c r="I52" s="8" t="s">
        <v>798</v>
      </c>
      <c r="J52" s="119"/>
      <c r="K52" s="8" t="s">
        <v>111</v>
      </c>
      <c r="L52" s="8" t="s">
        <v>111</v>
      </c>
      <c r="M52" s="8" t="s">
        <v>798</v>
      </c>
      <c r="N52" s="124"/>
      <c r="O52" s="8" t="s">
        <v>111</v>
      </c>
      <c r="P52" s="8" t="s">
        <v>111</v>
      </c>
      <c r="Q52" s="8" t="s">
        <v>111</v>
      </c>
      <c r="R52" s="8" t="s">
        <v>111</v>
      </c>
      <c r="S52" s="119"/>
      <c r="T52" s="8" t="s">
        <v>798</v>
      </c>
      <c r="U52" s="124"/>
      <c r="V52" s="8" t="s">
        <v>798</v>
      </c>
      <c r="W52" s="8" t="s">
        <v>798</v>
      </c>
      <c r="X52" s="119"/>
      <c r="Y52" s="8" t="s">
        <v>111</v>
      </c>
      <c r="Z52" s="8" t="s">
        <v>798</v>
      </c>
      <c r="AA52" s="8" t="s">
        <v>111</v>
      </c>
      <c r="AB52" s="124"/>
      <c r="AC52" s="8" t="s">
        <v>111</v>
      </c>
      <c r="AD52" s="8" t="s">
        <v>798</v>
      </c>
      <c r="AE52" s="8" t="s">
        <v>111</v>
      </c>
      <c r="AF52" s="8" t="s">
        <v>111</v>
      </c>
      <c r="AG52" s="8" t="s">
        <v>798</v>
      </c>
      <c r="AH52" s="5">
        <f t="shared" si="3"/>
        <v>12</v>
      </c>
      <c r="AI52" s="5">
        <f t="shared" si="4"/>
        <v>9</v>
      </c>
    </row>
    <row r="53" spans="1:35" x14ac:dyDescent="0.25">
      <c r="A53" s="9">
        <v>29</v>
      </c>
      <c r="B53" s="21">
        <v>592</v>
      </c>
      <c r="C53" s="26" t="s">
        <v>524</v>
      </c>
      <c r="D53" s="26" t="s">
        <v>200</v>
      </c>
      <c r="E53" s="8" t="s">
        <v>452</v>
      </c>
      <c r="F53" s="8" t="s">
        <v>798</v>
      </c>
      <c r="G53" s="124"/>
      <c r="H53" s="8" t="s">
        <v>111</v>
      </c>
      <c r="I53" s="8" t="s">
        <v>111</v>
      </c>
      <c r="J53" s="119"/>
      <c r="K53" s="8" t="s">
        <v>111</v>
      </c>
      <c r="L53" s="8" t="s">
        <v>111</v>
      </c>
      <c r="M53" s="8" t="s">
        <v>111</v>
      </c>
      <c r="N53" s="124"/>
      <c r="O53" s="8" t="s">
        <v>111</v>
      </c>
      <c r="P53" s="8" t="s">
        <v>111</v>
      </c>
      <c r="Q53" s="8" t="s">
        <v>111</v>
      </c>
      <c r="R53" s="8" t="s">
        <v>111</v>
      </c>
      <c r="S53" s="119"/>
      <c r="T53" s="8" t="s">
        <v>111</v>
      </c>
      <c r="U53" s="124"/>
      <c r="V53" s="8" t="s">
        <v>111</v>
      </c>
      <c r="W53" s="8" t="s">
        <v>111</v>
      </c>
      <c r="X53" s="119"/>
      <c r="Y53" s="8" t="s">
        <v>111</v>
      </c>
      <c r="Z53" s="8" t="s">
        <v>111</v>
      </c>
      <c r="AA53" s="8" t="s">
        <v>111</v>
      </c>
      <c r="AB53" s="124"/>
      <c r="AC53" s="8" t="s">
        <v>798</v>
      </c>
      <c r="AD53" s="8" t="s">
        <v>111</v>
      </c>
      <c r="AE53" s="8" t="s">
        <v>111</v>
      </c>
      <c r="AF53" s="8" t="s">
        <v>111</v>
      </c>
      <c r="AG53" s="8" t="s">
        <v>798</v>
      </c>
      <c r="AH53" s="5">
        <f t="shared" si="3"/>
        <v>18</v>
      </c>
      <c r="AI53" s="5">
        <f t="shared" si="4"/>
        <v>3</v>
      </c>
    </row>
    <row r="54" spans="1:35" x14ac:dyDescent="0.25">
      <c r="A54" s="9">
        <v>30</v>
      </c>
      <c r="B54" s="21">
        <v>864</v>
      </c>
      <c r="C54" s="26" t="s">
        <v>525</v>
      </c>
      <c r="D54" s="26" t="s">
        <v>526</v>
      </c>
      <c r="E54" s="8" t="s">
        <v>452</v>
      </c>
      <c r="F54" s="8" t="s">
        <v>111</v>
      </c>
      <c r="G54" s="124"/>
      <c r="H54" s="8" t="s">
        <v>798</v>
      </c>
      <c r="I54" s="8" t="s">
        <v>798</v>
      </c>
      <c r="J54" s="127"/>
      <c r="K54" s="8" t="s">
        <v>111</v>
      </c>
      <c r="L54" s="8" t="s">
        <v>111</v>
      </c>
      <c r="M54" s="8" t="s">
        <v>111</v>
      </c>
      <c r="N54" s="124"/>
      <c r="O54" s="8" t="s">
        <v>798</v>
      </c>
      <c r="P54" s="8" t="s">
        <v>798</v>
      </c>
      <c r="Q54" s="8" t="s">
        <v>798</v>
      </c>
      <c r="R54" s="8" t="s">
        <v>798</v>
      </c>
      <c r="S54" s="127"/>
      <c r="T54" s="8" t="s">
        <v>798</v>
      </c>
      <c r="U54" s="124"/>
      <c r="V54" s="8" t="s">
        <v>111</v>
      </c>
      <c r="W54" s="8" t="s">
        <v>111</v>
      </c>
      <c r="X54" s="127"/>
      <c r="Y54" s="8" t="s">
        <v>111</v>
      </c>
      <c r="Z54" s="8" t="s">
        <v>111</v>
      </c>
      <c r="AA54" s="8" t="s">
        <v>111</v>
      </c>
      <c r="AB54" s="124"/>
      <c r="AC54" s="8" t="s">
        <v>111</v>
      </c>
      <c r="AD54" s="8" t="s">
        <v>111</v>
      </c>
      <c r="AE54" s="8" t="s">
        <v>111</v>
      </c>
      <c r="AF54" s="8" t="s">
        <v>111</v>
      </c>
      <c r="AG54" s="8" t="s">
        <v>111</v>
      </c>
      <c r="AH54" s="5">
        <f t="shared" si="3"/>
        <v>14</v>
      </c>
      <c r="AI54" s="5">
        <f t="shared" si="4"/>
        <v>7</v>
      </c>
    </row>
  </sheetData>
  <mergeCells count="19">
    <mergeCell ref="A1:AI1"/>
    <mergeCell ref="A2:AI2"/>
    <mergeCell ref="A3:A4"/>
    <mergeCell ref="C3:C4"/>
    <mergeCell ref="D3:D4"/>
    <mergeCell ref="E3:E4"/>
    <mergeCell ref="AH3:AH4"/>
    <mergeCell ref="AI3:AI4"/>
    <mergeCell ref="B3:B4"/>
    <mergeCell ref="AJ3:AK3"/>
    <mergeCell ref="AJ11:AM11"/>
    <mergeCell ref="AJ19:AM19"/>
    <mergeCell ref="G5:G54"/>
    <mergeCell ref="N5:N54"/>
    <mergeCell ref="U5:U54"/>
    <mergeCell ref="AB5:AB54"/>
    <mergeCell ref="J5:J54"/>
    <mergeCell ref="S5:S54"/>
    <mergeCell ref="X5:X54"/>
  </mergeCells>
  <conditionalFormatting sqref="F3:AG4 G5 F5:F54 H5:I54 K5:M54 O5:R54 T5:T54 V5:W54 Y5:AA54 AC5:AG54">
    <cfRule type="expression" dxfId="296" priority="282">
      <formula>F$3="Sun"</formula>
    </cfRule>
  </conditionalFormatting>
  <conditionalFormatting sqref="G5 F5:F54 H5:I54 K5:M54 O5:R54 T5:T54 V5:W54 Y5:AA54 AC5:AG54 F4:AG4">
    <cfRule type="expression" dxfId="295" priority="281">
      <formula>IF(F$4=TODAY(),TRUE,FALSE)</formula>
    </cfRule>
  </conditionalFormatting>
  <conditionalFormatting sqref="G5 F5:F54 H5:I54 K5:M54 O5:R54 T5:T54 V5:W54 Y5:AA54 AC5:AG54">
    <cfRule type="cellIs" dxfId="294" priority="280" operator="equal">
      <formula>"P"</formula>
    </cfRule>
    <cfRule type="cellIs" dxfId="293" priority="279" operator="equal">
      <formula>"A"</formula>
    </cfRule>
    <cfRule type="cellIs" dxfId="292" priority="278" operator="equal">
      <formula>"L"</formula>
    </cfRule>
  </conditionalFormatting>
  <conditionalFormatting sqref="J5">
    <cfRule type="cellIs" dxfId="291" priority="11" operator="equal">
      <formula>"L"</formula>
    </cfRule>
    <cfRule type="cellIs" dxfId="290" priority="12" operator="equal">
      <formula>"A"</formula>
    </cfRule>
    <cfRule type="cellIs" dxfId="289" priority="13" operator="equal">
      <formula>"P"</formula>
    </cfRule>
    <cfRule type="expression" dxfId="288" priority="14">
      <formula>IF(J$4=TODAY(),TRUE,FALSE)</formula>
    </cfRule>
    <cfRule type="expression" dxfId="287" priority="15">
      <formula>J$3="Sun"</formula>
    </cfRule>
  </conditionalFormatting>
  <conditionalFormatting sqref="N5">
    <cfRule type="expression" dxfId="286" priority="140">
      <formula>N$3="Sun"</formula>
    </cfRule>
    <cfRule type="cellIs" dxfId="285" priority="137" operator="equal">
      <formula>"A"</formula>
    </cfRule>
    <cfRule type="expression" dxfId="284" priority="139">
      <formula>IF(N$4=TODAY(),TRUE,FALSE)</formula>
    </cfRule>
    <cfRule type="cellIs" dxfId="283" priority="138" operator="equal">
      <formula>"P"</formula>
    </cfRule>
    <cfRule type="cellIs" dxfId="282" priority="136" operator="equal">
      <formula>"L"</formula>
    </cfRule>
  </conditionalFormatting>
  <conditionalFormatting sqref="S5">
    <cfRule type="cellIs" dxfId="281" priority="6" operator="equal">
      <formula>"L"</formula>
    </cfRule>
    <cfRule type="cellIs" dxfId="280" priority="7" operator="equal">
      <formula>"A"</formula>
    </cfRule>
    <cfRule type="cellIs" dxfId="279" priority="8" operator="equal">
      <formula>"P"</formula>
    </cfRule>
    <cfRule type="expression" dxfId="278" priority="9">
      <formula>IF(S$4=TODAY(),TRUE,FALSE)</formula>
    </cfRule>
    <cfRule type="expression" dxfId="277" priority="10">
      <formula>S$3="Sun"</formula>
    </cfRule>
  </conditionalFormatting>
  <conditionalFormatting sqref="U5">
    <cfRule type="cellIs" dxfId="276" priority="131" operator="equal">
      <formula>"L"</formula>
    </cfRule>
    <cfRule type="cellIs" dxfId="275" priority="132" operator="equal">
      <formula>"A"</formula>
    </cfRule>
    <cfRule type="cellIs" dxfId="274" priority="133" operator="equal">
      <formula>"P"</formula>
    </cfRule>
    <cfRule type="expression" dxfId="273" priority="134">
      <formula>IF(U$4=TODAY(),TRUE,FALSE)</formula>
    </cfRule>
    <cfRule type="expression" dxfId="272" priority="135">
      <formula>U$3="Sun"</formula>
    </cfRule>
  </conditionalFormatting>
  <conditionalFormatting sqref="X5">
    <cfRule type="cellIs" dxfId="271" priority="1" operator="equal">
      <formula>"L"</formula>
    </cfRule>
    <cfRule type="expression" dxfId="270" priority="5">
      <formula>X$3="Sun"</formula>
    </cfRule>
    <cfRule type="expression" dxfId="269" priority="4">
      <formula>IF(X$4=TODAY(),TRUE,FALSE)</formula>
    </cfRule>
    <cfRule type="cellIs" dxfId="268" priority="3" operator="equal">
      <formula>"P"</formula>
    </cfRule>
    <cfRule type="cellIs" dxfId="267" priority="2" operator="equal">
      <formula>"A"</formula>
    </cfRule>
  </conditionalFormatting>
  <conditionalFormatting sqref="AB5">
    <cfRule type="expression" dxfId="266" priority="130">
      <formula>AB$3="Sun"</formula>
    </cfRule>
    <cfRule type="cellIs" dxfId="265" priority="127" operator="equal">
      <formula>"A"</formula>
    </cfRule>
    <cfRule type="expression" dxfId="264" priority="129">
      <formula>IF(AB$4=TODAY(),TRUE,FALSE)</formula>
    </cfRule>
    <cfRule type="cellIs" dxfId="263" priority="128" operator="equal">
      <formula>"P"</formula>
    </cfRule>
    <cfRule type="cellIs" dxfId="262" priority="126" operator="equal">
      <formula>"L"</formula>
    </cfRule>
  </conditionalFormatting>
  <conditionalFormatting sqref="AH3:AI3 AH5:AI54">
    <cfRule type="expression" dxfId="261" priority="283">
      <formula>#REF!="Sun"</formula>
    </cfRule>
  </conditionalFormatting>
  <conditionalFormatting sqref="AJ5:AJ9">
    <cfRule type="expression" dxfId="260" priority="254">
      <formula>AJ$3="Sun"</formula>
    </cfRule>
  </conditionalFormatting>
  <conditionalFormatting sqref="AJ12:AJ15">
    <cfRule type="expression" dxfId="259" priority="252">
      <formula>AJ$3="Sun"</formula>
    </cfRule>
  </conditionalFormatting>
  <conditionalFormatting sqref="AJ20:AJ22">
    <cfRule type="expression" dxfId="258" priority="251">
      <formula>AJ$3="Sun"</formula>
    </cfRule>
  </conditionalFormatting>
  <conditionalFormatting sqref="AJ4:AK4">
    <cfRule type="expression" dxfId="257" priority="255">
      <formula>AJ$3="Sun"</formula>
    </cfRule>
  </conditionalFormatting>
  <conditionalFormatting sqref="AK12:AM12 AK20:AM20">
    <cfRule type="expression" dxfId="256" priority="256">
      <formula>AK$3="Sun"</formula>
    </cfRule>
  </conditionalFormatting>
  <conditionalFormatting sqref="AM21">
    <cfRule type="expression" dxfId="255" priority="253">
      <formula>AM$3="Sun"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50"/>
  <sheetViews>
    <sheetView workbookViewId="0">
      <selection activeCell="C25" sqref="C2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34" t="s">
        <v>0</v>
      </c>
      <c r="B3" s="134" t="s">
        <v>810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605</v>
      </c>
      <c r="C5" s="24" t="s">
        <v>527</v>
      </c>
      <c r="D5" s="25" t="s">
        <v>528</v>
      </c>
      <c r="E5" s="20" t="s">
        <v>529</v>
      </c>
      <c r="F5" s="8" t="s">
        <v>111</v>
      </c>
      <c r="G5" s="126" t="s">
        <v>530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26" t="s">
        <v>530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26" t="s">
        <v>530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26" t="s">
        <v>530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50" si="1">COUNTIF(F5:AG5,"P")</f>
        <v>21</v>
      </c>
      <c r="AI5" s="5">
        <f t="shared" ref="AI5:AI50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609</v>
      </c>
      <c r="C6" s="24" t="s">
        <v>46</v>
      </c>
      <c r="D6" s="25" t="s">
        <v>418</v>
      </c>
      <c r="E6" s="20" t="s">
        <v>529</v>
      </c>
      <c r="F6" s="8" t="s">
        <v>111</v>
      </c>
      <c r="G6" s="126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111</v>
      </c>
      <c r="N6" s="126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111</v>
      </c>
      <c r="U6" s="126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111</v>
      </c>
      <c r="AB6" s="126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757</v>
      </c>
      <c r="C7" s="24" t="s">
        <v>531</v>
      </c>
      <c r="D7" s="25" t="s">
        <v>532</v>
      </c>
      <c r="E7" s="20" t="s">
        <v>529</v>
      </c>
      <c r="F7" s="8" t="s">
        <v>798</v>
      </c>
      <c r="G7" s="126"/>
      <c r="H7" s="8" t="s">
        <v>111</v>
      </c>
      <c r="I7" s="8" t="s">
        <v>111</v>
      </c>
      <c r="J7" s="136"/>
      <c r="K7" s="8" t="s">
        <v>798</v>
      </c>
      <c r="L7" s="8" t="s">
        <v>111</v>
      </c>
      <c r="M7" s="8" t="s">
        <v>111</v>
      </c>
      <c r="N7" s="126"/>
      <c r="O7" s="8" t="s">
        <v>798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26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26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604</v>
      </c>
      <c r="C8" s="24" t="s">
        <v>533</v>
      </c>
      <c r="D8" s="25" t="s">
        <v>143</v>
      </c>
      <c r="E8" s="20" t="s">
        <v>529</v>
      </c>
      <c r="F8" s="8" t="s">
        <v>111</v>
      </c>
      <c r="G8" s="126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26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26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26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464</v>
      </c>
      <c r="C9" s="24" t="s">
        <v>534</v>
      </c>
      <c r="D9" s="25" t="s">
        <v>89</v>
      </c>
      <c r="E9" s="20" t="s">
        <v>529</v>
      </c>
      <c r="F9" s="8" t="s">
        <v>111</v>
      </c>
      <c r="G9" s="126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111</v>
      </c>
      <c r="N9" s="126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26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26"/>
      <c r="AC9" s="8" t="s">
        <v>111</v>
      </c>
      <c r="AD9" s="8" t="s">
        <v>798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9">
        <v>6</v>
      </c>
      <c r="B10" s="21">
        <v>601</v>
      </c>
      <c r="C10" s="24" t="s">
        <v>535</v>
      </c>
      <c r="D10" s="25" t="s">
        <v>536</v>
      </c>
      <c r="E10" s="20" t="s">
        <v>529</v>
      </c>
      <c r="F10" s="8" t="s">
        <v>111</v>
      </c>
      <c r="G10" s="126"/>
      <c r="H10" s="8" t="s">
        <v>111</v>
      </c>
      <c r="I10" s="8" t="s">
        <v>111</v>
      </c>
      <c r="J10" s="136"/>
      <c r="K10" s="8" t="s">
        <v>111</v>
      </c>
      <c r="L10" s="8" t="s">
        <v>798</v>
      </c>
      <c r="M10" s="8" t="s">
        <v>798</v>
      </c>
      <c r="N10" s="126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798</v>
      </c>
      <c r="U10" s="126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26"/>
      <c r="AC10" s="8" t="s">
        <v>111</v>
      </c>
      <c r="AD10" s="8" t="s">
        <v>111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3</v>
      </c>
    </row>
    <row r="11" spans="1:39" ht="15.75" x14ac:dyDescent="0.25">
      <c r="A11" s="21">
        <v>7</v>
      </c>
      <c r="B11" s="21">
        <v>494</v>
      </c>
      <c r="C11" s="24" t="s">
        <v>537</v>
      </c>
      <c r="D11" s="25" t="s">
        <v>50</v>
      </c>
      <c r="E11" s="20" t="s">
        <v>529</v>
      </c>
      <c r="F11" s="8" t="s">
        <v>798</v>
      </c>
      <c r="G11" s="126"/>
      <c r="H11" s="8" t="s">
        <v>798</v>
      </c>
      <c r="I11" s="8" t="s">
        <v>111</v>
      </c>
      <c r="J11" s="136"/>
      <c r="K11" s="8" t="s">
        <v>111</v>
      </c>
      <c r="L11" s="8" t="s">
        <v>111</v>
      </c>
      <c r="M11" s="8" t="s">
        <v>798</v>
      </c>
      <c r="N11" s="126"/>
      <c r="O11" s="8" t="s">
        <v>111</v>
      </c>
      <c r="P11" s="8" t="s">
        <v>798</v>
      </c>
      <c r="Q11" s="8" t="s">
        <v>798</v>
      </c>
      <c r="R11" s="8" t="s">
        <v>798</v>
      </c>
      <c r="S11" s="136"/>
      <c r="T11" s="8" t="s">
        <v>798</v>
      </c>
      <c r="U11" s="126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26"/>
      <c r="AC11" s="8" t="s">
        <v>111</v>
      </c>
      <c r="AD11" s="8" t="s">
        <v>798</v>
      </c>
      <c r="AE11" s="8" t="s">
        <v>111</v>
      </c>
      <c r="AF11" s="8" t="s">
        <v>111</v>
      </c>
      <c r="AG11" s="8" t="s">
        <v>111</v>
      </c>
      <c r="AH11" s="5">
        <f t="shared" si="1"/>
        <v>13</v>
      </c>
      <c r="AI11" s="5">
        <f t="shared" si="2"/>
        <v>8</v>
      </c>
      <c r="AJ11" s="120" t="s">
        <v>9</v>
      </c>
      <c r="AK11" s="121"/>
      <c r="AL11" s="121"/>
      <c r="AM11" s="122"/>
    </row>
    <row r="12" spans="1:39" x14ac:dyDescent="0.25">
      <c r="A12" s="9">
        <v>8</v>
      </c>
      <c r="B12" s="21">
        <v>508</v>
      </c>
      <c r="C12" s="24" t="s">
        <v>538</v>
      </c>
      <c r="D12" s="25" t="s">
        <v>496</v>
      </c>
      <c r="E12" s="20" t="s">
        <v>529</v>
      </c>
      <c r="F12" s="8" t="s">
        <v>111</v>
      </c>
      <c r="G12" s="126"/>
      <c r="H12" s="8" t="s">
        <v>111</v>
      </c>
      <c r="I12" s="8" t="s">
        <v>798</v>
      </c>
      <c r="J12" s="136"/>
      <c r="K12" s="8" t="s">
        <v>111</v>
      </c>
      <c r="L12" s="8" t="s">
        <v>111</v>
      </c>
      <c r="M12" s="8" t="s">
        <v>798</v>
      </c>
      <c r="N12" s="126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26"/>
      <c r="V12" s="8" t="s">
        <v>798</v>
      </c>
      <c r="W12" s="8" t="s">
        <v>798</v>
      </c>
      <c r="X12" s="136"/>
      <c r="Y12" s="8" t="s">
        <v>798</v>
      </c>
      <c r="Z12" s="8" t="s">
        <v>798</v>
      </c>
      <c r="AA12" s="8" t="s">
        <v>111</v>
      </c>
      <c r="AB12" s="126"/>
      <c r="AC12" s="8" t="s">
        <v>798</v>
      </c>
      <c r="AD12" s="8" t="s">
        <v>798</v>
      </c>
      <c r="AE12" s="8" t="s">
        <v>111</v>
      </c>
      <c r="AF12" s="8" t="s">
        <v>111</v>
      </c>
      <c r="AG12" s="8" t="s">
        <v>111</v>
      </c>
      <c r="AH12" s="5">
        <f t="shared" si="1"/>
        <v>12</v>
      </c>
      <c r="AI12" s="5">
        <f t="shared" si="2"/>
        <v>9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710</v>
      </c>
      <c r="C13" s="24" t="s">
        <v>539</v>
      </c>
      <c r="D13" s="25" t="s">
        <v>540</v>
      </c>
      <c r="E13" s="20" t="s">
        <v>529</v>
      </c>
      <c r="F13" s="8" t="s">
        <v>111</v>
      </c>
      <c r="G13" s="126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26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26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26"/>
      <c r="AC13" s="8" t="s">
        <v>111</v>
      </c>
      <c r="AD13" s="8" t="s">
        <v>798</v>
      </c>
      <c r="AE13" s="8" t="s">
        <v>111</v>
      </c>
      <c r="AF13" s="8" t="s">
        <v>111</v>
      </c>
      <c r="AG13" s="8" t="s">
        <v>111</v>
      </c>
      <c r="AH13" s="5">
        <f t="shared" si="1"/>
        <v>20</v>
      </c>
      <c r="AI13" s="5">
        <f t="shared" si="2"/>
        <v>1</v>
      </c>
      <c r="AJ13" s="5" t="s">
        <v>14</v>
      </c>
      <c r="AK13" s="9">
        <f>23*$AK$5</f>
        <v>575</v>
      </c>
      <c r="AL13" s="9">
        <f>23*$AK$5</f>
        <v>575</v>
      </c>
      <c r="AM13" s="9">
        <f>SUM(AK13:AL13)</f>
        <v>1150</v>
      </c>
    </row>
    <row r="14" spans="1:39" x14ac:dyDescent="0.25">
      <c r="A14" s="9">
        <v>10</v>
      </c>
      <c r="B14" s="21">
        <v>711</v>
      </c>
      <c r="C14" s="24" t="s">
        <v>541</v>
      </c>
      <c r="D14" s="25" t="s">
        <v>542</v>
      </c>
      <c r="E14" s="20" t="s">
        <v>529</v>
      </c>
      <c r="F14" s="8" t="s">
        <v>111</v>
      </c>
      <c r="G14" s="126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111</v>
      </c>
      <c r="N14" s="126"/>
      <c r="O14" s="8" t="s">
        <v>111</v>
      </c>
      <c r="P14" s="8" t="s">
        <v>798</v>
      </c>
      <c r="Q14" s="8" t="s">
        <v>799</v>
      </c>
      <c r="R14" s="8" t="s">
        <v>799</v>
      </c>
      <c r="S14" s="136"/>
      <c r="T14" s="8" t="s">
        <v>799</v>
      </c>
      <c r="U14" s="126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26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17</v>
      </c>
      <c r="AI14" s="5">
        <f t="shared" si="2"/>
        <v>1</v>
      </c>
      <c r="AJ14" s="5" t="s">
        <v>15</v>
      </c>
      <c r="AK14" s="9">
        <f>SUM(AH5:AH27)</f>
        <v>417</v>
      </c>
      <c r="AL14" s="9">
        <f>SUM(AH28:AH50)</f>
        <v>371</v>
      </c>
      <c r="AM14" s="9">
        <f>AK14+AL14</f>
        <v>788</v>
      </c>
    </row>
    <row r="15" spans="1:39" x14ac:dyDescent="0.25">
      <c r="A15" s="21">
        <v>11</v>
      </c>
      <c r="B15" s="21">
        <v>600</v>
      </c>
      <c r="C15" s="24" t="s">
        <v>543</v>
      </c>
      <c r="D15" s="25" t="s">
        <v>137</v>
      </c>
      <c r="E15" s="20" t="s">
        <v>529</v>
      </c>
      <c r="F15" s="8" t="s">
        <v>111</v>
      </c>
      <c r="G15" s="126"/>
      <c r="H15" s="8" t="s">
        <v>111</v>
      </c>
      <c r="I15" s="8" t="s">
        <v>111</v>
      </c>
      <c r="J15" s="136"/>
      <c r="K15" s="8" t="s">
        <v>798</v>
      </c>
      <c r="L15" s="8" t="s">
        <v>111</v>
      </c>
      <c r="M15" s="8" t="s">
        <v>111</v>
      </c>
      <c r="N15" s="126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26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26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0.72521739130434781</v>
      </c>
      <c r="AL15" s="12">
        <f>AL14/AL13</f>
        <v>0.64521739130434785</v>
      </c>
      <c r="AM15" s="12">
        <f>AM14/AM13</f>
        <v>0.68521739130434778</v>
      </c>
    </row>
    <row r="16" spans="1:39" x14ac:dyDescent="0.25">
      <c r="A16" s="9">
        <v>12</v>
      </c>
      <c r="B16" s="21">
        <v>640</v>
      </c>
      <c r="C16" s="24" t="s">
        <v>372</v>
      </c>
      <c r="D16" s="25" t="s">
        <v>544</v>
      </c>
      <c r="E16" s="20" t="s">
        <v>529</v>
      </c>
      <c r="F16" s="8" t="s">
        <v>798</v>
      </c>
      <c r="G16" s="126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26"/>
      <c r="O16" s="8" t="s">
        <v>111</v>
      </c>
      <c r="P16" s="8" t="s">
        <v>111</v>
      </c>
      <c r="Q16" s="8" t="s">
        <v>111</v>
      </c>
      <c r="R16" s="8" t="s">
        <v>111</v>
      </c>
      <c r="S16" s="136"/>
      <c r="T16" s="8" t="s">
        <v>111</v>
      </c>
      <c r="U16" s="126"/>
      <c r="V16" s="8" t="s">
        <v>111</v>
      </c>
      <c r="W16" s="8" t="s">
        <v>111</v>
      </c>
      <c r="X16" s="136"/>
      <c r="Y16" s="8" t="s">
        <v>798</v>
      </c>
      <c r="Z16" s="8" t="s">
        <v>111</v>
      </c>
      <c r="AA16" s="8" t="s">
        <v>798</v>
      </c>
      <c r="AB16" s="126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17</v>
      </c>
      <c r="AI16" s="5">
        <f t="shared" si="2"/>
        <v>4</v>
      </c>
      <c r="AJ16"/>
      <c r="AK16"/>
      <c r="AL16"/>
      <c r="AM16"/>
    </row>
    <row r="17" spans="1:39" x14ac:dyDescent="0.25">
      <c r="A17" s="21">
        <v>13</v>
      </c>
      <c r="B17" s="21">
        <v>761</v>
      </c>
      <c r="C17" s="24" t="s">
        <v>545</v>
      </c>
      <c r="D17" s="25" t="s">
        <v>546</v>
      </c>
      <c r="E17" s="20" t="s">
        <v>529</v>
      </c>
      <c r="F17" s="8" t="s">
        <v>111</v>
      </c>
      <c r="G17" s="126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26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26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26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470</v>
      </c>
      <c r="C18" s="24" t="s">
        <v>547</v>
      </c>
      <c r="D18" s="25" t="s">
        <v>548</v>
      </c>
      <c r="E18" s="20" t="s">
        <v>529</v>
      </c>
      <c r="F18" s="8" t="s">
        <v>111</v>
      </c>
      <c r="G18" s="126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798</v>
      </c>
      <c r="N18" s="126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26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26"/>
      <c r="AC18" s="8" t="s">
        <v>111</v>
      </c>
      <c r="AD18" s="8" t="s">
        <v>798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642</v>
      </c>
      <c r="C19" s="24" t="s">
        <v>84</v>
      </c>
      <c r="D19" s="25" t="s">
        <v>549</v>
      </c>
      <c r="E19" s="20" t="s">
        <v>529</v>
      </c>
      <c r="F19" s="8" t="s">
        <v>111</v>
      </c>
      <c r="G19" s="126"/>
      <c r="H19" s="8" t="s">
        <v>111</v>
      </c>
      <c r="I19" s="8" t="s">
        <v>798</v>
      </c>
      <c r="J19" s="136"/>
      <c r="K19" s="8" t="s">
        <v>111</v>
      </c>
      <c r="L19" s="8" t="s">
        <v>111</v>
      </c>
      <c r="M19" s="8" t="s">
        <v>798</v>
      </c>
      <c r="N19" s="126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26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26"/>
      <c r="AC19" s="8" t="s">
        <v>111</v>
      </c>
      <c r="AD19" s="8" t="s">
        <v>798</v>
      </c>
      <c r="AE19" s="8" t="s">
        <v>111</v>
      </c>
      <c r="AF19" s="8" t="s">
        <v>111</v>
      </c>
      <c r="AG19" s="8" t="s">
        <v>111</v>
      </c>
      <c r="AH19" s="5">
        <f t="shared" si="1"/>
        <v>18</v>
      </c>
      <c r="AI19" s="5">
        <f t="shared" si="2"/>
        <v>3</v>
      </c>
      <c r="AJ19" s="120" t="s">
        <v>123</v>
      </c>
      <c r="AK19" s="121"/>
      <c r="AL19" s="121"/>
      <c r="AM19" s="122"/>
    </row>
    <row r="20" spans="1:39" x14ac:dyDescent="0.25">
      <c r="A20" s="9">
        <v>16</v>
      </c>
      <c r="B20" s="21">
        <v>706</v>
      </c>
      <c r="C20" s="24" t="s">
        <v>550</v>
      </c>
      <c r="D20" s="25" t="s">
        <v>551</v>
      </c>
      <c r="E20" s="20" t="s">
        <v>529</v>
      </c>
      <c r="F20" s="8" t="s">
        <v>111</v>
      </c>
      <c r="G20" s="126"/>
      <c r="H20" s="8" t="s">
        <v>111</v>
      </c>
      <c r="I20" s="8" t="s">
        <v>798</v>
      </c>
      <c r="J20" s="136"/>
      <c r="K20" s="8" t="s">
        <v>111</v>
      </c>
      <c r="L20" s="8" t="s">
        <v>111</v>
      </c>
      <c r="M20" s="8" t="s">
        <v>111</v>
      </c>
      <c r="N20" s="126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26"/>
      <c r="V20" s="8" t="s">
        <v>798</v>
      </c>
      <c r="W20" s="8" t="s">
        <v>111</v>
      </c>
      <c r="X20" s="136"/>
      <c r="Y20" s="8" t="s">
        <v>798</v>
      </c>
      <c r="Z20" s="8" t="s">
        <v>798</v>
      </c>
      <c r="AA20" s="8" t="s">
        <v>798</v>
      </c>
      <c r="AB20" s="126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16</v>
      </c>
      <c r="AI20" s="5">
        <f t="shared" si="2"/>
        <v>5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437</v>
      </c>
      <c r="C21" s="24" t="s">
        <v>552</v>
      </c>
      <c r="D21" s="25" t="s">
        <v>22</v>
      </c>
      <c r="E21" s="20" t="s">
        <v>529</v>
      </c>
      <c r="F21" s="8" t="s">
        <v>111</v>
      </c>
      <c r="G21" s="126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26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26"/>
      <c r="V21" s="8" t="s">
        <v>111</v>
      </c>
      <c r="W21" s="8" t="s">
        <v>798</v>
      </c>
      <c r="X21" s="136"/>
      <c r="Y21" s="8" t="s">
        <v>798</v>
      </c>
      <c r="Z21" s="8" t="s">
        <v>798</v>
      </c>
      <c r="AA21" s="8" t="s">
        <v>798</v>
      </c>
      <c r="AB21" s="126"/>
      <c r="AC21" s="8" t="s">
        <v>798</v>
      </c>
      <c r="AD21" s="8" t="s">
        <v>798</v>
      </c>
      <c r="AE21" s="8" t="s">
        <v>798</v>
      </c>
      <c r="AF21" s="8" t="s">
        <v>798</v>
      </c>
      <c r="AG21" s="8" t="s">
        <v>798</v>
      </c>
      <c r="AH21" s="5">
        <f t="shared" si="1"/>
        <v>9</v>
      </c>
      <c r="AI21" s="5">
        <f t="shared" si="2"/>
        <v>12</v>
      </c>
      <c r="AJ21" s="5" t="s">
        <v>14</v>
      </c>
      <c r="AK21" s="9">
        <f>23*$AK$5</f>
        <v>575</v>
      </c>
      <c r="AL21" s="9">
        <f>23*$AK$5</f>
        <v>575</v>
      </c>
      <c r="AM21" s="9">
        <f>AK21+AL21</f>
        <v>1150</v>
      </c>
    </row>
    <row r="22" spans="1:39" x14ac:dyDescent="0.25">
      <c r="A22" s="9">
        <v>18</v>
      </c>
      <c r="B22" s="21">
        <v>502</v>
      </c>
      <c r="C22" s="24" t="s">
        <v>553</v>
      </c>
      <c r="D22" s="25" t="s">
        <v>554</v>
      </c>
      <c r="E22" s="20" t="s">
        <v>529</v>
      </c>
      <c r="F22" s="8" t="s">
        <v>111</v>
      </c>
      <c r="G22" s="126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26"/>
      <c r="O22" s="8" t="s">
        <v>111</v>
      </c>
      <c r="P22" s="8" t="s">
        <v>111</v>
      </c>
      <c r="Q22" s="8" t="s">
        <v>798</v>
      </c>
      <c r="R22" s="8" t="s">
        <v>111</v>
      </c>
      <c r="S22" s="136"/>
      <c r="T22" s="8" t="s">
        <v>111</v>
      </c>
      <c r="U22" s="126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26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158</v>
      </c>
      <c r="AL22" s="9">
        <f>AL21-AL14</f>
        <v>204</v>
      </c>
      <c r="AM22" s="9">
        <f>AK22+AL22</f>
        <v>362</v>
      </c>
    </row>
    <row r="23" spans="1:39" x14ac:dyDescent="0.25">
      <c r="A23" s="21">
        <v>19</v>
      </c>
      <c r="B23" s="21">
        <v>705</v>
      </c>
      <c r="C23" s="26" t="s">
        <v>555</v>
      </c>
      <c r="D23" s="26" t="s">
        <v>96</v>
      </c>
      <c r="E23" s="20" t="s">
        <v>529</v>
      </c>
      <c r="F23" s="8" t="s">
        <v>111</v>
      </c>
      <c r="G23" s="126"/>
      <c r="H23" s="8" t="s">
        <v>798</v>
      </c>
      <c r="I23" s="8" t="s">
        <v>798</v>
      </c>
      <c r="J23" s="136"/>
      <c r="K23" s="8" t="s">
        <v>111</v>
      </c>
      <c r="L23" s="8" t="s">
        <v>111</v>
      </c>
      <c r="M23" s="8" t="s">
        <v>111</v>
      </c>
      <c r="N23" s="126"/>
      <c r="O23" s="8" t="s">
        <v>111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26"/>
      <c r="V23" s="8" t="s">
        <v>111</v>
      </c>
      <c r="W23" s="8" t="s">
        <v>111</v>
      </c>
      <c r="X23" s="136"/>
      <c r="Y23" s="8" t="s">
        <v>111</v>
      </c>
      <c r="Z23" s="8" t="s">
        <v>798</v>
      </c>
      <c r="AA23" s="8" t="s">
        <v>111</v>
      </c>
      <c r="AB23" s="126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18</v>
      </c>
      <c r="AI23" s="5">
        <f t="shared" si="2"/>
        <v>3</v>
      </c>
      <c r="AJ23" s="5" t="s">
        <v>16</v>
      </c>
      <c r="AK23" s="12">
        <f>AK22/AK21</f>
        <v>0.27478260869565219</v>
      </c>
      <c r="AL23" s="12">
        <f>AL22/AL21</f>
        <v>0.35478260869565215</v>
      </c>
      <c r="AM23" s="12">
        <f>AM22/AM21</f>
        <v>0.31478260869565217</v>
      </c>
    </row>
    <row r="24" spans="1:39" x14ac:dyDescent="0.25">
      <c r="A24" s="9">
        <v>20</v>
      </c>
      <c r="B24" s="9">
        <v>868</v>
      </c>
      <c r="C24" s="26" t="s">
        <v>556</v>
      </c>
      <c r="D24" s="26" t="s">
        <v>557</v>
      </c>
      <c r="E24" s="20" t="s">
        <v>529</v>
      </c>
      <c r="F24" s="8" t="s">
        <v>111</v>
      </c>
      <c r="G24" s="126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26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111</v>
      </c>
      <c r="U24" s="126"/>
      <c r="V24" s="8" t="s">
        <v>111</v>
      </c>
      <c r="W24" s="8" t="s">
        <v>111</v>
      </c>
      <c r="X24" s="136"/>
      <c r="Y24" s="8" t="s">
        <v>111</v>
      </c>
      <c r="Z24" s="8" t="s">
        <v>111</v>
      </c>
      <c r="AA24" s="8" t="s">
        <v>111</v>
      </c>
      <c r="AB24" s="126"/>
      <c r="AC24" s="8" t="s">
        <v>111</v>
      </c>
      <c r="AD24" s="8" t="s">
        <v>798</v>
      </c>
      <c r="AE24" s="8" t="s">
        <v>111</v>
      </c>
      <c r="AF24" s="8" t="s">
        <v>111</v>
      </c>
      <c r="AG24" s="8" t="s">
        <v>111</v>
      </c>
      <c r="AH24" s="5">
        <f t="shared" si="1"/>
        <v>20</v>
      </c>
      <c r="AI24" s="5">
        <f t="shared" si="2"/>
        <v>1</v>
      </c>
    </row>
    <row r="25" spans="1:39" x14ac:dyDescent="0.25">
      <c r="A25" s="21">
        <v>21</v>
      </c>
      <c r="B25" s="21">
        <v>845</v>
      </c>
      <c r="C25" s="26" t="s">
        <v>558</v>
      </c>
      <c r="D25" s="26" t="s">
        <v>116</v>
      </c>
      <c r="E25" s="20" t="s">
        <v>529</v>
      </c>
      <c r="F25" s="8" t="s">
        <v>111</v>
      </c>
      <c r="G25" s="126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26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26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26"/>
      <c r="AC25" s="8" t="s">
        <v>111</v>
      </c>
      <c r="AD25" s="8" t="s">
        <v>798</v>
      </c>
      <c r="AE25" s="8" t="s">
        <v>798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9">
        <v>22</v>
      </c>
      <c r="B26" s="9">
        <v>860</v>
      </c>
      <c r="C26" s="26" t="s">
        <v>559</v>
      </c>
      <c r="D26" s="26" t="s">
        <v>416</v>
      </c>
      <c r="E26" s="20" t="s">
        <v>529</v>
      </c>
      <c r="F26" s="8" t="s">
        <v>111</v>
      </c>
      <c r="G26" s="126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26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798</v>
      </c>
      <c r="U26" s="126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26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20</v>
      </c>
      <c r="AI26" s="5">
        <f t="shared" si="2"/>
        <v>1</v>
      </c>
    </row>
    <row r="27" spans="1:39" x14ac:dyDescent="0.25">
      <c r="A27" s="21">
        <v>23</v>
      </c>
      <c r="B27" s="21">
        <v>888</v>
      </c>
      <c r="C27" s="26" t="s">
        <v>560</v>
      </c>
      <c r="D27" s="26" t="s">
        <v>561</v>
      </c>
      <c r="E27" s="20" t="s">
        <v>529</v>
      </c>
      <c r="F27" s="8" t="s">
        <v>111</v>
      </c>
      <c r="G27" s="126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26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26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26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21</v>
      </c>
      <c r="AI27" s="5">
        <f t="shared" si="2"/>
        <v>0</v>
      </c>
    </row>
    <row r="28" spans="1:39" x14ac:dyDescent="0.25">
      <c r="A28" s="9">
        <v>1</v>
      </c>
      <c r="B28" s="9">
        <v>634</v>
      </c>
      <c r="C28" s="26" t="s">
        <v>562</v>
      </c>
      <c r="D28" s="26" t="s">
        <v>563</v>
      </c>
      <c r="E28" s="20" t="s">
        <v>529</v>
      </c>
      <c r="F28" s="8" t="s">
        <v>111</v>
      </c>
      <c r="G28" s="126"/>
      <c r="H28" s="8" t="s">
        <v>111</v>
      </c>
      <c r="I28" s="8" t="s">
        <v>798</v>
      </c>
      <c r="J28" s="136"/>
      <c r="K28" s="8" t="s">
        <v>111</v>
      </c>
      <c r="L28" s="8" t="s">
        <v>111</v>
      </c>
      <c r="M28" s="8" t="s">
        <v>798</v>
      </c>
      <c r="N28" s="126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26"/>
      <c r="V28" s="8" t="s">
        <v>798</v>
      </c>
      <c r="W28" s="8" t="s">
        <v>111</v>
      </c>
      <c r="X28" s="136"/>
      <c r="Y28" s="8" t="s">
        <v>111</v>
      </c>
      <c r="Z28" s="8" t="s">
        <v>111</v>
      </c>
      <c r="AA28" s="8" t="s">
        <v>798</v>
      </c>
      <c r="AB28" s="126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17</v>
      </c>
      <c r="AI28" s="5">
        <f t="shared" si="2"/>
        <v>4</v>
      </c>
    </row>
    <row r="29" spans="1:39" x14ac:dyDescent="0.25">
      <c r="A29" s="21">
        <v>2</v>
      </c>
      <c r="B29" s="21">
        <v>509</v>
      </c>
      <c r="C29" s="24" t="s">
        <v>564</v>
      </c>
      <c r="D29" s="25" t="s">
        <v>496</v>
      </c>
      <c r="E29" s="20" t="s">
        <v>529</v>
      </c>
      <c r="F29" s="8" t="s">
        <v>798</v>
      </c>
      <c r="G29" s="126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26"/>
      <c r="O29" s="8" t="s">
        <v>798</v>
      </c>
      <c r="P29" s="8" t="s">
        <v>798</v>
      </c>
      <c r="Q29" s="8" t="s">
        <v>798</v>
      </c>
      <c r="R29" s="8" t="s">
        <v>798</v>
      </c>
      <c r="S29" s="136"/>
      <c r="T29" s="8" t="s">
        <v>798</v>
      </c>
      <c r="U29" s="126"/>
      <c r="V29" s="8" t="s">
        <v>798</v>
      </c>
      <c r="W29" s="8" t="s">
        <v>798</v>
      </c>
      <c r="X29" s="136"/>
      <c r="Y29" s="8" t="s">
        <v>798</v>
      </c>
      <c r="Z29" s="8" t="s">
        <v>798</v>
      </c>
      <c r="AA29" s="8" t="s">
        <v>798</v>
      </c>
      <c r="AB29" s="126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1"/>
        <v>0</v>
      </c>
      <c r="AI29" s="5">
        <f t="shared" si="2"/>
        <v>21</v>
      </c>
    </row>
    <row r="30" spans="1:39" x14ac:dyDescent="0.25">
      <c r="A30" s="9">
        <v>3</v>
      </c>
      <c r="B30" s="21">
        <v>706</v>
      </c>
      <c r="C30" s="24" t="s">
        <v>565</v>
      </c>
      <c r="D30" s="25" t="s">
        <v>308</v>
      </c>
      <c r="E30" s="20" t="s">
        <v>529</v>
      </c>
      <c r="F30" s="8" t="s">
        <v>798</v>
      </c>
      <c r="G30" s="126"/>
      <c r="H30" s="8" t="s">
        <v>798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26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26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26"/>
      <c r="AC30" s="8" t="s">
        <v>111</v>
      </c>
      <c r="AD30" s="8" t="s">
        <v>111</v>
      </c>
      <c r="AE30" s="8" t="s">
        <v>111</v>
      </c>
      <c r="AF30" s="8" t="s">
        <v>798</v>
      </c>
      <c r="AG30" s="8" t="s">
        <v>111</v>
      </c>
      <c r="AH30" s="5">
        <f t="shared" si="1"/>
        <v>18</v>
      </c>
      <c r="AI30" s="5">
        <f t="shared" si="2"/>
        <v>3</v>
      </c>
    </row>
    <row r="31" spans="1:39" x14ac:dyDescent="0.25">
      <c r="A31" s="21">
        <v>4</v>
      </c>
      <c r="B31" s="21">
        <v>608</v>
      </c>
      <c r="C31" s="24" t="s">
        <v>566</v>
      </c>
      <c r="D31" s="25" t="s">
        <v>131</v>
      </c>
      <c r="E31" s="20" t="s">
        <v>529</v>
      </c>
      <c r="F31" s="8" t="s">
        <v>798</v>
      </c>
      <c r="G31" s="126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26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26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26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798</v>
      </c>
      <c r="AH31" s="5">
        <f t="shared" si="1"/>
        <v>9</v>
      </c>
      <c r="AI31" s="5">
        <f t="shared" si="2"/>
        <v>12</v>
      </c>
    </row>
    <row r="32" spans="1:39" x14ac:dyDescent="0.25">
      <c r="A32" s="9">
        <v>5</v>
      </c>
      <c r="B32" s="21">
        <v>603</v>
      </c>
      <c r="C32" s="24" t="s">
        <v>385</v>
      </c>
      <c r="D32" s="25" t="s">
        <v>26</v>
      </c>
      <c r="E32" s="20" t="s">
        <v>529</v>
      </c>
      <c r="F32" s="8" t="s">
        <v>798</v>
      </c>
      <c r="G32" s="126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26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26"/>
      <c r="V32" s="8" t="s">
        <v>111</v>
      </c>
      <c r="W32" s="8" t="s">
        <v>111</v>
      </c>
      <c r="X32" s="136"/>
      <c r="Y32" s="8" t="s">
        <v>111</v>
      </c>
      <c r="Z32" s="8" t="s">
        <v>798</v>
      </c>
      <c r="AA32" s="8" t="s">
        <v>111</v>
      </c>
      <c r="AB32" s="126"/>
      <c r="AC32" s="8" t="s">
        <v>798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17</v>
      </c>
      <c r="AI32" s="5">
        <f t="shared" si="2"/>
        <v>4</v>
      </c>
    </row>
    <row r="33" spans="1:35" x14ac:dyDescent="0.25">
      <c r="A33" s="21">
        <v>6</v>
      </c>
      <c r="B33" s="21">
        <v>503</v>
      </c>
      <c r="C33" s="24" t="s">
        <v>567</v>
      </c>
      <c r="D33" s="25" t="s">
        <v>554</v>
      </c>
      <c r="E33" s="20" t="s">
        <v>529</v>
      </c>
      <c r="F33" s="8" t="s">
        <v>111</v>
      </c>
      <c r="G33" s="126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26"/>
      <c r="O33" s="8" t="s">
        <v>111</v>
      </c>
      <c r="P33" s="8" t="s">
        <v>111</v>
      </c>
      <c r="Q33" s="8" t="s">
        <v>798</v>
      </c>
      <c r="R33" s="8" t="s">
        <v>798</v>
      </c>
      <c r="S33" s="136"/>
      <c r="T33" s="8" t="s">
        <v>111</v>
      </c>
      <c r="U33" s="126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26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19</v>
      </c>
      <c r="AI33" s="5">
        <f t="shared" si="2"/>
        <v>2</v>
      </c>
    </row>
    <row r="34" spans="1:35" x14ac:dyDescent="0.25">
      <c r="A34" s="9">
        <v>7</v>
      </c>
      <c r="B34" s="21">
        <v>606</v>
      </c>
      <c r="C34" s="24" t="s">
        <v>568</v>
      </c>
      <c r="D34" s="25" t="s">
        <v>569</v>
      </c>
      <c r="E34" s="20" t="s">
        <v>529</v>
      </c>
      <c r="F34" s="8" t="s">
        <v>111</v>
      </c>
      <c r="G34" s="126"/>
      <c r="H34" s="8" t="s">
        <v>111</v>
      </c>
      <c r="I34" s="8" t="s">
        <v>111</v>
      </c>
      <c r="J34" s="136"/>
      <c r="K34" s="8" t="s">
        <v>798</v>
      </c>
      <c r="L34" s="8" t="s">
        <v>111</v>
      </c>
      <c r="M34" s="8" t="s">
        <v>111</v>
      </c>
      <c r="N34" s="126"/>
      <c r="O34" s="8" t="s">
        <v>111</v>
      </c>
      <c r="P34" s="8" t="s">
        <v>798</v>
      </c>
      <c r="Q34" s="8" t="s">
        <v>111</v>
      </c>
      <c r="R34" s="8" t="s">
        <v>111</v>
      </c>
      <c r="S34" s="136"/>
      <c r="T34" s="8" t="s">
        <v>111</v>
      </c>
      <c r="U34" s="126"/>
      <c r="V34" s="8" t="s">
        <v>798</v>
      </c>
      <c r="W34" s="8" t="s">
        <v>111</v>
      </c>
      <c r="X34" s="136"/>
      <c r="Y34" s="8" t="s">
        <v>111</v>
      </c>
      <c r="Z34" s="8" t="s">
        <v>798</v>
      </c>
      <c r="AA34" s="8" t="s">
        <v>111</v>
      </c>
      <c r="AB34" s="126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17</v>
      </c>
      <c r="AI34" s="5">
        <f t="shared" si="2"/>
        <v>4</v>
      </c>
    </row>
    <row r="35" spans="1:35" x14ac:dyDescent="0.25">
      <c r="A35" s="21">
        <v>8</v>
      </c>
      <c r="B35" s="21">
        <v>358</v>
      </c>
      <c r="C35" s="24" t="s">
        <v>570</v>
      </c>
      <c r="D35" s="25" t="s">
        <v>423</v>
      </c>
      <c r="E35" s="20" t="s">
        <v>529</v>
      </c>
      <c r="F35" s="8" t="s">
        <v>111</v>
      </c>
      <c r="G35" s="126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26"/>
      <c r="O35" s="8" t="s">
        <v>111</v>
      </c>
      <c r="P35" s="8" t="s">
        <v>798</v>
      </c>
      <c r="Q35" s="8" t="s">
        <v>111</v>
      </c>
      <c r="R35" s="8" t="s">
        <v>111</v>
      </c>
      <c r="S35" s="136"/>
      <c r="T35" s="8" t="s">
        <v>798</v>
      </c>
      <c r="U35" s="126"/>
      <c r="V35" s="8" t="s">
        <v>111</v>
      </c>
      <c r="W35" s="8" t="s">
        <v>111</v>
      </c>
      <c r="X35" s="136"/>
      <c r="Y35" s="8" t="s">
        <v>798</v>
      </c>
      <c r="Z35" s="8" t="s">
        <v>111</v>
      </c>
      <c r="AA35" s="8" t="s">
        <v>111</v>
      </c>
      <c r="AB35" s="126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3</v>
      </c>
    </row>
    <row r="36" spans="1:35" x14ac:dyDescent="0.25">
      <c r="A36" s="9">
        <v>9</v>
      </c>
      <c r="B36" s="21">
        <v>610</v>
      </c>
      <c r="C36" s="24" t="s">
        <v>571</v>
      </c>
      <c r="D36" s="25" t="s">
        <v>169</v>
      </c>
      <c r="E36" s="20" t="s">
        <v>529</v>
      </c>
      <c r="F36" s="8" t="s">
        <v>798</v>
      </c>
      <c r="G36" s="126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26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26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26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798</v>
      </c>
      <c r="AH36" s="5">
        <f t="shared" si="1"/>
        <v>19</v>
      </c>
      <c r="AI36" s="5">
        <f t="shared" si="2"/>
        <v>2</v>
      </c>
    </row>
    <row r="37" spans="1:35" x14ac:dyDescent="0.25">
      <c r="A37" s="21">
        <v>10</v>
      </c>
      <c r="B37" s="21">
        <v>709</v>
      </c>
      <c r="C37" s="24" t="s">
        <v>572</v>
      </c>
      <c r="D37" s="25" t="s">
        <v>573</v>
      </c>
      <c r="E37" s="20" t="s">
        <v>529</v>
      </c>
      <c r="F37" s="8" t="s">
        <v>111</v>
      </c>
      <c r="G37" s="126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26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26"/>
      <c r="V37" s="8" t="s">
        <v>111</v>
      </c>
      <c r="W37" s="8" t="s">
        <v>111</v>
      </c>
      <c r="X37" s="136"/>
      <c r="Y37" s="8" t="s">
        <v>799</v>
      </c>
      <c r="Z37" s="8" t="s">
        <v>799</v>
      </c>
      <c r="AA37" s="8" t="s">
        <v>799</v>
      </c>
      <c r="AB37" s="126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18</v>
      </c>
      <c r="AI37" s="5">
        <f t="shared" si="2"/>
        <v>0</v>
      </c>
    </row>
    <row r="38" spans="1:35" x14ac:dyDescent="0.25">
      <c r="A38" s="9">
        <v>11</v>
      </c>
      <c r="B38" s="21">
        <v>318</v>
      </c>
      <c r="C38" s="24" t="s">
        <v>574</v>
      </c>
      <c r="D38" s="25" t="s">
        <v>575</v>
      </c>
      <c r="E38" s="20" t="s">
        <v>529</v>
      </c>
      <c r="F38" s="8" t="s">
        <v>111</v>
      </c>
      <c r="G38" s="126"/>
      <c r="H38" s="8" t="s">
        <v>798</v>
      </c>
      <c r="I38" s="8" t="s">
        <v>111</v>
      </c>
      <c r="J38" s="136"/>
      <c r="K38" s="8" t="s">
        <v>798</v>
      </c>
      <c r="L38" s="8" t="s">
        <v>111</v>
      </c>
      <c r="M38" s="8" t="s">
        <v>111</v>
      </c>
      <c r="N38" s="126"/>
      <c r="O38" s="8" t="s">
        <v>111</v>
      </c>
      <c r="P38" s="8" t="s">
        <v>111</v>
      </c>
      <c r="Q38" s="8" t="s">
        <v>111</v>
      </c>
      <c r="R38" s="8" t="s">
        <v>798</v>
      </c>
      <c r="S38" s="136"/>
      <c r="T38" s="8" t="s">
        <v>111</v>
      </c>
      <c r="U38" s="126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798</v>
      </c>
      <c r="AB38" s="126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15</v>
      </c>
      <c r="AI38" s="5">
        <f t="shared" si="2"/>
        <v>6</v>
      </c>
    </row>
    <row r="39" spans="1:35" x14ac:dyDescent="0.25">
      <c r="A39" s="21">
        <v>12</v>
      </c>
      <c r="B39" s="21">
        <v>707</v>
      </c>
      <c r="C39" s="24" t="s">
        <v>576</v>
      </c>
      <c r="D39" s="25" t="s">
        <v>187</v>
      </c>
      <c r="E39" s="20" t="s">
        <v>529</v>
      </c>
      <c r="F39" s="8" t="s">
        <v>111</v>
      </c>
      <c r="G39" s="126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26"/>
      <c r="O39" s="8" t="s">
        <v>111</v>
      </c>
      <c r="P39" s="8" t="s">
        <v>111</v>
      </c>
      <c r="Q39" s="8" t="s">
        <v>798</v>
      </c>
      <c r="R39" s="8" t="s">
        <v>111</v>
      </c>
      <c r="S39" s="136"/>
      <c r="T39" s="8" t="s">
        <v>111</v>
      </c>
      <c r="U39" s="126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26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798</v>
      </c>
      <c r="AH39" s="5">
        <f t="shared" si="1"/>
        <v>19</v>
      </c>
      <c r="AI39" s="5">
        <f t="shared" si="2"/>
        <v>2</v>
      </c>
    </row>
    <row r="40" spans="1:35" x14ac:dyDescent="0.25">
      <c r="A40" s="9">
        <v>13</v>
      </c>
      <c r="B40" s="21">
        <v>486</v>
      </c>
      <c r="C40" s="24" t="s">
        <v>577</v>
      </c>
      <c r="D40" s="25" t="s">
        <v>131</v>
      </c>
      <c r="E40" s="20" t="s">
        <v>529</v>
      </c>
      <c r="F40" s="8" t="s">
        <v>111</v>
      </c>
      <c r="G40" s="126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26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26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26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21</v>
      </c>
      <c r="AI40" s="5">
        <f t="shared" si="2"/>
        <v>0</v>
      </c>
    </row>
    <row r="41" spans="1:35" x14ac:dyDescent="0.25">
      <c r="A41" s="21">
        <v>14</v>
      </c>
      <c r="B41" s="21">
        <v>602</v>
      </c>
      <c r="C41" s="24" t="s">
        <v>578</v>
      </c>
      <c r="D41" s="25" t="s">
        <v>50</v>
      </c>
      <c r="E41" s="20" t="s">
        <v>529</v>
      </c>
      <c r="F41" s="8" t="s">
        <v>798</v>
      </c>
      <c r="G41" s="126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26"/>
      <c r="O41" s="8" t="s">
        <v>111</v>
      </c>
      <c r="P41" s="8" t="s">
        <v>798</v>
      </c>
      <c r="Q41" s="8" t="s">
        <v>111</v>
      </c>
      <c r="R41" s="8" t="s">
        <v>111</v>
      </c>
      <c r="S41" s="136"/>
      <c r="T41" s="8" t="s">
        <v>798</v>
      </c>
      <c r="U41" s="126"/>
      <c r="V41" s="8" t="s">
        <v>798</v>
      </c>
      <c r="W41" s="8" t="s">
        <v>798</v>
      </c>
      <c r="X41" s="136"/>
      <c r="Y41" s="8" t="s">
        <v>111</v>
      </c>
      <c r="Z41" s="8" t="s">
        <v>111</v>
      </c>
      <c r="AA41" s="8" t="s">
        <v>111</v>
      </c>
      <c r="AB41" s="126"/>
      <c r="AC41" s="8" t="s">
        <v>111</v>
      </c>
      <c r="AD41" s="8" t="s">
        <v>111</v>
      </c>
      <c r="AE41" s="8" t="s">
        <v>798</v>
      </c>
      <c r="AF41" s="8" t="s">
        <v>111</v>
      </c>
      <c r="AG41" s="8" t="s">
        <v>111</v>
      </c>
      <c r="AH41" s="5">
        <f t="shared" si="1"/>
        <v>15</v>
      </c>
      <c r="AI41" s="5">
        <f t="shared" si="2"/>
        <v>6</v>
      </c>
    </row>
    <row r="42" spans="1:35" x14ac:dyDescent="0.25">
      <c r="A42" s="9">
        <v>15</v>
      </c>
      <c r="B42" s="21">
        <v>641</v>
      </c>
      <c r="C42" s="24" t="s">
        <v>579</v>
      </c>
      <c r="D42" s="25" t="s">
        <v>573</v>
      </c>
      <c r="E42" s="20" t="s">
        <v>529</v>
      </c>
      <c r="F42" s="8" t="s">
        <v>111</v>
      </c>
      <c r="G42" s="126"/>
      <c r="H42" s="8" t="s">
        <v>111</v>
      </c>
      <c r="I42" s="8" t="s">
        <v>111</v>
      </c>
      <c r="J42" s="136"/>
      <c r="K42" s="8" t="s">
        <v>111</v>
      </c>
      <c r="L42" s="8" t="s">
        <v>111</v>
      </c>
      <c r="M42" s="8" t="s">
        <v>111</v>
      </c>
      <c r="N42" s="126"/>
      <c r="O42" s="8" t="s">
        <v>111</v>
      </c>
      <c r="P42" s="8" t="s">
        <v>111</v>
      </c>
      <c r="Q42" s="8" t="s">
        <v>111</v>
      </c>
      <c r="R42" s="8" t="s">
        <v>111</v>
      </c>
      <c r="S42" s="136"/>
      <c r="T42" s="8" t="s">
        <v>111</v>
      </c>
      <c r="U42" s="126"/>
      <c r="V42" s="8" t="s">
        <v>111</v>
      </c>
      <c r="W42" s="8" t="s">
        <v>111</v>
      </c>
      <c r="X42" s="136"/>
      <c r="Y42" s="8" t="s">
        <v>799</v>
      </c>
      <c r="Z42" s="8" t="s">
        <v>111</v>
      </c>
      <c r="AA42" s="8" t="s">
        <v>111</v>
      </c>
      <c r="AB42" s="126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20</v>
      </c>
      <c r="AI42" s="5">
        <f t="shared" si="2"/>
        <v>0</v>
      </c>
    </row>
    <row r="43" spans="1:35" x14ac:dyDescent="0.25">
      <c r="A43" s="21">
        <v>16</v>
      </c>
      <c r="B43" s="21">
        <v>782</v>
      </c>
      <c r="C43" s="24" t="s">
        <v>580</v>
      </c>
      <c r="D43" s="25" t="s">
        <v>64</v>
      </c>
      <c r="E43" s="20" t="s">
        <v>529</v>
      </c>
      <c r="F43" s="8" t="s">
        <v>798</v>
      </c>
      <c r="G43" s="126"/>
      <c r="H43" s="8" t="s">
        <v>798</v>
      </c>
      <c r="I43" s="8" t="s">
        <v>798</v>
      </c>
      <c r="J43" s="136"/>
      <c r="K43" s="8" t="s">
        <v>111</v>
      </c>
      <c r="L43" s="8" t="s">
        <v>111</v>
      </c>
      <c r="M43" s="8" t="s">
        <v>111</v>
      </c>
      <c r="N43" s="126"/>
      <c r="O43" s="8" t="s">
        <v>798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26"/>
      <c r="V43" s="8" t="s">
        <v>798</v>
      </c>
      <c r="W43" s="8" t="s">
        <v>798</v>
      </c>
      <c r="X43" s="136"/>
      <c r="Y43" s="8" t="s">
        <v>111</v>
      </c>
      <c r="Z43" s="8" t="s">
        <v>111</v>
      </c>
      <c r="AA43" s="8" t="s">
        <v>111</v>
      </c>
      <c r="AB43" s="126"/>
      <c r="AC43" s="8" t="s">
        <v>111</v>
      </c>
      <c r="AD43" s="8" t="s">
        <v>111</v>
      </c>
      <c r="AE43" s="8" t="s">
        <v>798</v>
      </c>
      <c r="AF43" s="8" t="s">
        <v>798</v>
      </c>
      <c r="AG43" s="8" t="s">
        <v>111</v>
      </c>
      <c r="AH43" s="5">
        <f t="shared" si="1"/>
        <v>13</v>
      </c>
      <c r="AI43" s="5">
        <f t="shared" si="2"/>
        <v>8</v>
      </c>
    </row>
    <row r="44" spans="1:35" x14ac:dyDescent="0.25">
      <c r="A44" s="9">
        <v>17</v>
      </c>
      <c r="B44" s="9">
        <v>460</v>
      </c>
      <c r="C44" s="26" t="s">
        <v>581</v>
      </c>
      <c r="D44" s="26" t="s">
        <v>582</v>
      </c>
      <c r="E44" s="8" t="s">
        <v>529</v>
      </c>
      <c r="F44" s="8" t="s">
        <v>798</v>
      </c>
      <c r="G44" s="126"/>
      <c r="H44" s="8" t="s">
        <v>798</v>
      </c>
      <c r="I44" s="8" t="s">
        <v>111</v>
      </c>
      <c r="J44" s="136"/>
      <c r="K44" s="8" t="s">
        <v>798</v>
      </c>
      <c r="L44" s="8" t="s">
        <v>798</v>
      </c>
      <c r="M44" s="8" t="s">
        <v>798</v>
      </c>
      <c r="N44" s="126"/>
      <c r="O44" s="8" t="s">
        <v>111</v>
      </c>
      <c r="P44" s="8" t="s">
        <v>798</v>
      </c>
      <c r="Q44" s="8" t="s">
        <v>111</v>
      </c>
      <c r="R44" s="8" t="s">
        <v>111</v>
      </c>
      <c r="S44" s="136"/>
      <c r="T44" s="8" t="s">
        <v>798</v>
      </c>
      <c r="U44" s="126"/>
      <c r="V44" s="8" t="s">
        <v>111</v>
      </c>
      <c r="W44" s="8" t="s">
        <v>798</v>
      </c>
      <c r="X44" s="136"/>
      <c r="Y44" s="8" t="s">
        <v>111</v>
      </c>
      <c r="Z44" s="8" t="s">
        <v>111</v>
      </c>
      <c r="AA44" s="8" t="s">
        <v>111</v>
      </c>
      <c r="AB44" s="126"/>
      <c r="AC44" s="8" t="s">
        <v>111</v>
      </c>
      <c r="AD44" s="8" t="s">
        <v>798</v>
      </c>
      <c r="AE44" s="8" t="s">
        <v>111</v>
      </c>
      <c r="AF44" s="8" t="s">
        <v>111</v>
      </c>
      <c r="AG44" s="8" t="s">
        <v>111</v>
      </c>
      <c r="AH44" s="5">
        <f t="shared" si="1"/>
        <v>12</v>
      </c>
      <c r="AI44" s="5">
        <f t="shared" si="2"/>
        <v>9</v>
      </c>
    </row>
    <row r="45" spans="1:35" x14ac:dyDescent="0.25">
      <c r="A45" s="21">
        <v>18</v>
      </c>
      <c r="B45" s="21">
        <v>388</v>
      </c>
      <c r="C45" s="26" t="s">
        <v>583</v>
      </c>
      <c r="D45" s="26" t="s">
        <v>131</v>
      </c>
      <c r="E45" s="8" t="s">
        <v>529</v>
      </c>
      <c r="F45" s="8" t="s">
        <v>111</v>
      </c>
      <c r="G45" s="126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26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26"/>
      <c r="V45" s="8" t="s">
        <v>111</v>
      </c>
      <c r="W45" s="8" t="s">
        <v>799</v>
      </c>
      <c r="X45" s="136"/>
      <c r="Y45" s="8" t="s">
        <v>798</v>
      </c>
      <c r="Z45" s="8" t="s">
        <v>798</v>
      </c>
      <c r="AA45" s="8" t="s">
        <v>111</v>
      </c>
      <c r="AB45" s="126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18</v>
      </c>
      <c r="AI45" s="5">
        <f t="shared" si="2"/>
        <v>2</v>
      </c>
    </row>
    <row r="46" spans="1:35" x14ac:dyDescent="0.25">
      <c r="A46" s="9">
        <v>19</v>
      </c>
      <c r="B46" s="9">
        <v>510</v>
      </c>
      <c r="C46" s="26" t="s">
        <v>584</v>
      </c>
      <c r="D46" s="26" t="s">
        <v>585</v>
      </c>
      <c r="E46" s="8" t="s">
        <v>529</v>
      </c>
      <c r="F46" s="8" t="s">
        <v>798</v>
      </c>
      <c r="G46" s="126"/>
      <c r="H46" s="8" t="s">
        <v>111</v>
      </c>
      <c r="I46" s="8" t="s">
        <v>111</v>
      </c>
      <c r="J46" s="136"/>
      <c r="K46" s="8" t="s">
        <v>111</v>
      </c>
      <c r="L46" s="8" t="s">
        <v>111</v>
      </c>
      <c r="M46" s="8" t="s">
        <v>111</v>
      </c>
      <c r="N46" s="126"/>
      <c r="O46" s="8" t="s">
        <v>111</v>
      </c>
      <c r="P46" s="8" t="s">
        <v>111</v>
      </c>
      <c r="Q46" s="8" t="s">
        <v>111</v>
      </c>
      <c r="R46" s="8" t="s">
        <v>111</v>
      </c>
      <c r="S46" s="136"/>
      <c r="T46" s="8" t="s">
        <v>111</v>
      </c>
      <c r="U46" s="126"/>
      <c r="V46" s="8" t="s">
        <v>111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26"/>
      <c r="AC46" s="8" t="s">
        <v>798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1"/>
        <v>18</v>
      </c>
      <c r="AI46" s="5">
        <f t="shared" si="2"/>
        <v>3</v>
      </c>
    </row>
    <row r="47" spans="1:35" x14ac:dyDescent="0.25">
      <c r="A47" s="21">
        <v>20</v>
      </c>
      <c r="B47" s="21">
        <v>704</v>
      </c>
      <c r="C47" s="26" t="s">
        <v>586</v>
      </c>
      <c r="D47" s="26" t="s">
        <v>554</v>
      </c>
      <c r="E47" s="8" t="s">
        <v>529</v>
      </c>
      <c r="F47" s="8" t="s">
        <v>111</v>
      </c>
      <c r="G47" s="126"/>
      <c r="H47" s="8" t="s">
        <v>111</v>
      </c>
      <c r="I47" s="8" t="s">
        <v>111</v>
      </c>
      <c r="J47" s="136"/>
      <c r="K47" s="8" t="s">
        <v>111</v>
      </c>
      <c r="L47" s="8" t="s">
        <v>111</v>
      </c>
      <c r="M47" s="8" t="s">
        <v>111</v>
      </c>
      <c r="N47" s="126"/>
      <c r="O47" s="8" t="s">
        <v>111</v>
      </c>
      <c r="P47" s="8" t="s">
        <v>111</v>
      </c>
      <c r="Q47" s="8" t="s">
        <v>111</v>
      </c>
      <c r="R47" s="8" t="s">
        <v>111</v>
      </c>
      <c r="S47" s="136"/>
      <c r="T47" s="8" t="s">
        <v>111</v>
      </c>
      <c r="U47" s="126"/>
      <c r="V47" s="8" t="s">
        <v>111</v>
      </c>
      <c r="W47" s="8" t="s">
        <v>798</v>
      </c>
      <c r="X47" s="136"/>
      <c r="Y47" s="8" t="s">
        <v>798</v>
      </c>
      <c r="Z47" s="8" t="s">
        <v>798</v>
      </c>
      <c r="AA47" s="8" t="s">
        <v>798</v>
      </c>
      <c r="AB47" s="126"/>
      <c r="AC47" s="8" t="s">
        <v>111</v>
      </c>
      <c r="AD47" s="8" t="s">
        <v>798</v>
      </c>
      <c r="AE47" s="8" t="s">
        <v>111</v>
      </c>
      <c r="AF47" s="8" t="s">
        <v>111</v>
      </c>
      <c r="AG47" s="8" t="s">
        <v>111</v>
      </c>
      <c r="AH47" s="5">
        <f t="shared" si="1"/>
        <v>16</v>
      </c>
      <c r="AI47" s="5">
        <f t="shared" si="2"/>
        <v>5</v>
      </c>
    </row>
    <row r="48" spans="1:35" x14ac:dyDescent="0.25">
      <c r="A48" s="9">
        <v>21</v>
      </c>
      <c r="B48" s="9">
        <v>852</v>
      </c>
      <c r="C48" s="26" t="s">
        <v>587</v>
      </c>
      <c r="D48" s="26" t="s">
        <v>588</v>
      </c>
      <c r="E48" s="8" t="s">
        <v>529</v>
      </c>
      <c r="F48" s="8" t="s">
        <v>798</v>
      </c>
      <c r="G48" s="126"/>
      <c r="H48" s="8" t="s">
        <v>111</v>
      </c>
      <c r="I48" s="8" t="s">
        <v>111</v>
      </c>
      <c r="J48" s="136"/>
      <c r="K48" s="8" t="s">
        <v>111</v>
      </c>
      <c r="L48" s="8" t="s">
        <v>111</v>
      </c>
      <c r="M48" s="8" t="s">
        <v>798</v>
      </c>
      <c r="N48" s="126"/>
      <c r="O48" s="8" t="s">
        <v>111</v>
      </c>
      <c r="P48" s="8" t="s">
        <v>111</v>
      </c>
      <c r="Q48" s="8" t="s">
        <v>798</v>
      </c>
      <c r="R48" s="8" t="s">
        <v>111</v>
      </c>
      <c r="S48" s="136"/>
      <c r="T48" s="8" t="s">
        <v>111</v>
      </c>
      <c r="U48" s="126"/>
      <c r="V48" s="8" t="s">
        <v>111</v>
      </c>
      <c r="W48" s="8" t="s">
        <v>111</v>
      </c>
      <c r="X48" s="136"/>
      <c r="Y48" s="8" t="s">
        <v>111</v>
      </c>
      <c r="Z48" s="8" t="s">
        <v>798</v>
      </c>
      <c r="AA48" s="8" t="s">
        <v>798</v>
      </c>
      <c r="AB48" s="126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1"/>
        <v>16</v>
      </c>
      <c r="AI48" s="5">
        <f t="shared" si="2"/>
        <v>5</v>
      </c>
    </row>
    <row r="49" spans="1:35" x14ac:dyDescent="0.25">
      <c r="A49" s="21">
        <v>22</v>
      </c>
      <c r="B49" s="21">
        <v>708</v>
      </c>
      <c r="C49" s="26" t="s">
        <v>589</v>
      </c>
      <c r="D49" s="26" t="s">
        <v>590</v>
      </c>
      <c r="E49" s="8" t="s">
        <v>529</v>
      </c>
      <c r="F49" s="8" t="s">
        <v>111</v>
      </c>
      <c r="G49" s="126"/>
      <c r="H49" s="8" t="s">
        <v>111</v>
      </c>
      <c r="I49" s="8" t="s">
        <v>111</v>
      </c>
      <c r="J49" s="136"/>
      <c r="K49" s="8" t="s">
        <v>111</v>
      </c>
      <c r="L49" s="8" t="s">
        <v>798</v>
      </c>
      <c r="M49" s="8" t="s">
        <v>798</v>
      </c>
      <c r="N49" s="126"/>
      <c r="O49" s="8" t="s">
        <v>798</v>
      </c>
      <c r="P49" s="8" t="s">
        <v>111</v>
      </c>
      <c r="Q49" s="8" t="s">
        <v>111</v>
      </c>
      <c r="R49" s="8" t="s">
        <v>111</v>
      </c>
      <c r="S49" s="136"/>
      <c r="T49" s="8" t="s">
        <v>111</v>
      </c>
      <c r="U49" s="126"/>
      <c r="V49" s="8" t="s">
        <v>798</v>
      </c>
      <c r="W49" s="8" t="s">
        <v>111</v>
      </c>
      <c r="X49" s="136"/>
      <c r="Y49" s="8" t="s">
        <v>111</v>
      </c>
      <c r="Z49" s="8" t="s">
        <v>111</v>
      </c>
      <c r="AA49" s="8" t="s">
        <v>111</v>
      </c>
      <c r="AB49" s="126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1"/>
        <v>17</v>
      </c>
      <c r="AI49" s="5">
        <f t="shared" si="2"/>
        <v>4</v>
      </c>
    </row>
    <row r="50" spans="1:35" x14ac:dyDescent="0.25">
      <c r="A50" s="9">
        <v>23</v>
      </c>
      <c r="B50" s="9">
        <v>712</v>
      </c>
      <c r="C50" s="26" t="s">
        <v>591</v>
      </c>
      <c r="D50" s="26" t="s">
        <v>592</v>
      </c>
      <c r="E50" s="8" t="s">
        <v>529</v>
      </c>
      <c r="F50" s="8" t="s">
        <v>111</v>
      </c>
      <c r="G50" s="126"/>
      <c r="H50" s="8" t="s">
        <v>111</v>
      </c>
      <c r="I50" s="8" t="s">
        <v>111</v>
      </c>
      <c r="J50" s="136"/>
      <c r="K50" s="8" t="s">
        <v>798</v>
      </c>
      <c r="L50" s="8" t="s">
        <v>111</v>
      </c>
      <c r="M50" s="8" t="s">
        <v>798</v>
      </c>
      <c r="N50" s="126"/>
      <c r="O50" s="8" t="s">
        <v>111</v>
      </c>
      <c r="P50" s="8" t="s">
        <v>111</v>
      </c>
      <c r="Q50" s="8" t="s">
        <v>111</v>
      </c>
      <c r="R50" s="8" t="s">
        <v>111</v>
      </c>
      <c r="S50" s="136"/>
      <c r="T50" s="8" t="s">
        <v>111</v>
      </c>
      <c r="U50" s="126"/>
      <c r="V50" s="8" t="s">
        <v>111</v>
      </c>
      <c r="W50" s="8" t="s">
        <v>111</v>
      </c>
      <c r="X50" s="136"/>
      <c r="Y50" s="8" t="s">
        <v>111</v>
      </c>
      <c r="Z50" s="8" t="s">
        <v>111</v>
      </c>
      <c r="AA50" s="8" t="s">
        <v>111</v>
      </c>
      <c r="AB50" s="126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1"/>
        <v>19</v>
      </c>
      <c r="AI50" s="5">
        <f t="shared" si="2"/>
        <v>2</v>
      </c>
    </row>
  </sheetData>
  <mergeCells count="19">
    <mergeCell ref="A1:AI1"/>
    <mergeCell ref="A2:AI2"/>
    <mergeCell ref="A3:A4"/>
    <mergeCell ref="C3:C4"/>
    <mergeCell ref="D3:D4"/>
    <mergeCell ref="E3:E4"/>
    <mergeCell ref="AH3:AH4"/>
    <mergeCell ref="AI3:AI4"/>
    <mergeCell ref="B3:B4"/>
    <mergeCell ref="AJ19:AM19"/>
    <mergeCell ref="AJ3:AK3"/>
    <mergeCell ref="AJ11:AM11"/>
    <mergeCell ref="G5:G50"/>
    <mergeCell ref="N5:N50"/>
    <mergeCell ref="U5:U50"/>
    <mergeCell ref="AB5:AB50"/>
    <mergeCell ref="J5:J50"/>
    <mergeCell ref="S5:S50"/>
    <mergeCell ref="X5:X50"/>
  </mergeCells>
  <conditionalFormatting sqref="F3:AG4 G5 N5 U5 AB5 F5:F50 H5:I50 K5:M50 O5:R50 T5:T50 V5:W50 Y5:AA50">
    <cfRule type="expression" dxfId="254" priority="42">
      <formula>F$3="Sun"</formula>
    </cfRule>
  </conditionalFormatting>
  <conditionalFormatting sqref="G5 N5 U5 AB5 F5:F50 H5:I50 K5:M50 O5:R50 T5:T50 V5:W50 Y5:AA50 F4:AG4">
    <cfRule type="expression" dxfId="253" priority="41">
      <formula>IF(F$4=TODAY(),TRUE,FALSE)</formula>
    </cfRule>
  </conditionalFormatting>
  <conditionalFormatting sqref="G5 N5 U5 AB5 F5:F50 H5:I50 K5:M50 O5:R50 T5:T50 V5:W50 Y5:AA50">
    <cfRule type="cellIs" dxfId="252" priority="38" operator="equal">
      <formula>"L"</formula>
    </cfRule>
    <cfRule type="cellIs" dxfId="251" priority="39" operator="equal">
      <formula>"A"</formula>
    </cfRule>
    <cfRule type="cellIs" dxfId="250" priority="40" operator="equal">
      <formula>"P"</formula>
    </cfRule>
  </conditionalFormatting>
  <conditionalFormatting sqref="J5">
    <cfRule type="cellIs" dxfId="249" priority="11" operator="equal">
      <formula>"L"</formula>
    </cfRule>
    <cfRule type="cellIs" dxfId="248" priority="12" operator="equal">
      <formula>"A"</formula>
    </cfRule>
    <cfRule type="cellIs" dxfId="247" priority="13" operator="equal">
      <formula>"P"</formula>
    </cfRule>
    <cfRule type="expression" dxfId="246" priority="14">
      <formula>IF(J$4=TODAY(),TRUE,FALSE)</formula>
    </cfRule>
    <cfRule type="expression" dxfId="245" priority="15">
      <formula>J$3="Sun"</formula>
    </cfRule>
  </conditionalFormatting>
  <conditionalFormatting sqref="S5">
    <cfRule type="cellIs" dxfId="244" priority="6" operator="equal">
      <formula>"L"</formula>
    </cfRule>
    <cfRule type="cellIs" dxfId="243" priority="7" operator="equal">
      <formula>"A"</formula>
    </cfRule>
    <cfRule type="cellIs" dxfId="242" priority="8" operator="equal">
      <formula>"P"</formula>
    </cfRule>
    <cfRule type="expression" dxfId="241" priority="9">
      <formula>IF(S$4=TODAY(),TRUE,FALSE)</formula>
    </cfRule>
    <cfRule type="expression" dxfId="240" priority="10">
      <formula>S$3="Sun"</formula>
    </cfRule>
  </conditionalFormatting>
  <conditionalFormatting sqref="X5">
    <cfRule type="cellIs" dxfId="239" priority="1" operator="equal">
      <formula>"L"</formula>
    </cfRule>
    <cfRule type="cellIs" dxfId="238" priority="2" operator="equal">
      <formula>"A"</formula>
    </cfRule>
    <cfRule type="cellIs" dxfId="237" priority="3" operator="equal">
      <formula>"P"</formula>
    </cfRule>
    <cfRule type="expression" dxfId="236" priority="4">
      <formula>IF(X$4=TODAY(),TRUE,FALSE)</formula>
    </cfRule>
    <cfRule type="expression" dxfId="235" priority="5">
      <formula>X$3="Sun"</formula>
    </cfRule>
  </conditionalFormatting>
  <conditionalFormatting sqref="AC5:AG50">
    <cfRule type="cellIs" dxfId="234" priority="16" operator="equal">
      <formula>"L"</formula>
    </cfRule>
    <cfRule type="cellIs" dxfId="233" priority="17" operator="equal">
      <formula>"A"</formula>
    </cfRule>
    <cfRule type="cellIs" dxfId="232" priority="18" operator="equal">
      <formula>"P"</formula>
    </cfRule>
    <cfRule type="expression" dxfId="231" priority="19">
      <formula>IF(AC$4=TODAY(),TRUE,FALSE)</formula>
    </cfRule>
    <cfRule type="expression" dxfId="230" priority="20">
      <formula>AC$3="Sun"</formula>
    </cfRule>
  </conditionalFormatting>
  <conditionalFormatting sqref="AH3:AI3 AH5:AI50">
    <cfRule type="expression" dxfId="229" priority="43">
      <formula>#REF!="Sun"</formula>
    </cfRule>
  </conditionalFormatting>
  <conditionalFormatting sqref="AJ5:AJ9">
    <cfRule type="expression" dxfId="228" priority="29">
      <formula>AJ$3="Sun"</formula>
    </cfRule>
  </conditionalFormatting>
  <conditionalFormatting sqref="AJ12:AJ15">
    <cfRule type="expression" dxfId="227" priority="27">
      <formula>AJ$3="Sun"</formula>
    </cfRule>
  </conditionalFormatting>
  <conditionalFormatting sqref="AJ20:AJ23">
    <cfRule type="expression" dxfId="226" priority="26">
      <formula>AJ$3="Sun"</formula>
    </cfRule>
  </conditionalFormatting>
  <conditionalFormatting sqref="AJ4:AK4">
    <cfRule type="expression" dxfId="225" priority="30">
      <formula>AJ$3="Sun"</formula>
    </cfRule>
  </conditionalFormatting>
  <conditionalFormatting sqref="AK12:AM12 AK20:AM20">
    <cfRule type="expression" dxfId="224" priority="31">
      <formula>AK$3="Sun"</formula>
    </cfRule>
  </conditionalFormatting>
  <conditionalFormatting sqref="AM21">
    <cfRule type="expression" dxfId="223" priority="28">
      <formula>AM$3="Sun"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6"/>
  <sheetViews>
    <sheetView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593</v>
      </c>
      <c r="F5" s="8" t="s">
        <v>111</v>
      </c>
      <c r="G5" s="126" t="s">
        <v>594</v>
      </c>
      <c r="H5" s="8" t="s">
        <v>111</v>
      </c>
      <c r="I5" s="8" t="s">
        <v>798</v>
      </c>
      <c r="J5" s="136" t="s">
        <v>804</v>
      </c>
      <c r="K5" s="8" t="s">
        <v>799</v>
      </c>
      <c r="L5" s="8" t="s">
        <v>799</v>
      </c>
      <c r="M5" s="8" t="s">
        <v>799</v>
      </c>
      <c r="N5" s="126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26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26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6" si="1">COUNTIF(F5:AG5,"P")</f>
        <v>17</v>
      </c>
      <c r="AI5" s="5">
        <f t="shared" ref="AI5:AI46" si="2">COUNTIF(F5:AG5,"A")</f>
        <v>1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615</v>
      </c>
      <c r="C6" s="24" t="s">
        <v>595</v>
      </c>
      <c r="D6" s="25" t="s">
        <v>283</v>
      </c>
      <c r="E6" s="20" t="s">
        <v>593</v>
      </c>
      <c r="F6" s="8" t="s">
        <v>111</v>
      </c>
      <c r="G6" s="126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26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798</v>
      </c>
      <c r="U6" s="126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798</v>
      </c>
      <c r="AB6" s="126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18</v>
      </c>
      <c r="AI6" s="5">
        <f t="shared" si="2"/>
        <v>3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635</v>
      </c>
      <c r="C7" s="24" t="s">
        <v>596</v>
      </c>
      <c r="D7" s="25" t="s">
        <v>597</v>
      </c>
      <c r="E7" s="20" t="s">
        <v>593</v>
      </c>
      <c r="F7" s="8" t="s">
        <v>111</v>
      </c>
      <c r="G7" s="126"/>
      <c r="H7" s="8" t="s">
        <v>798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26"/>
      <c r="O7" s="8" t="s">
        <v>111</v>
      </c>
      <c r="P7" s="8" t="s">
        <v>111</v>
      </c>
      <c r="Q7" s="8" t="s">
        <v>798</v>
      </c>
      <c r="R7" s="8" t="s">
        <v>111</v>
      </c>
      <c r="S7" s="136"/>
      <c r="T7" s="8" t="s">
        <v>111</v>
      </c>
      <c r="U7" s="126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26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475</v>
      </c>
      <c r="C8" s="24" t="s">
        <v>598</v>
      </c>
      <c r="D8" s="25" t="s">
        <v>95</v>
      </c>
      <c r="E8" s="20" t="s">
        <v>593</v>
      </c>
      <c r="F8" s="8" t="s">
        <v>798</v>
      </c>
      <c r="G8" s="126"/>
      <c r="H8" s="8" t="s">
        <v>111</v>
      </c>
      <c r="I8" s="8" t="s">
        <v>799</v>
      </c>
      <c r="J8" s="136"/>
      <c r="K8" s="8" t="s">
        <v>111</v>
      </c>
      <c r="L8" s="8" t="s">
        <v>799</v>
      </c>
      <c r="M8" s="8" t="s">
        <v>799</v>
      </c>
      <c r="N8" s="126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26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26"/>
      <c r="AC8" s="8" t="s">
        <v>798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16</v>
      </c>
      <c r="AI8" s="5">
        <f t="shared" si="2"/>
        <v>2</v>
      </c>
      <c r="AJ8" s="5"/>
      <c r="AK8" s="9"/>
      <c r="AL8"/>
      <c r="AM8"/>
    </row>
    <row r="9" spans="1:39" x14ac:dyDescent="0.25">
      <c r="A9" s="21">
        <v>5</v>
      </c>
      <c r="B9" s="21">
        <v>343</v>
      </c>
      <c r="C9" s="24" t="s">
        <v>57</v>
      </c>
      <c r="D9" s="25" t="s">
        <v>458</v>
      </c>
      <c r="E9" s="20" t="s">
        <v>593</v>
      </c>
      <c r="F9" s="8" t="s">
        <v>798</v>
      </c>
      <c r="G9" s="126"/>
      <c r="H9" s="8" t="s">
        <v>111</v>
      </c>
      <c r="I9" s="8" t="s">
        <v>111</v>
      </c>
      <c r="J9" s="136"/>
      <c r="K9" s="8" t="s">
        <v>111</v>
      </c>
      <c r="L9" s="8" t="s">
        <v>798</v>
      </c>
      <c r="M9" s="8" t="s">
        <v>798</v>
      </c>
      <c r="N9" s="126"/>
      <c r="O9" s="8" t="s">
        <v>798</v>
      </c>
      <c r="P9" s="8" t="s">
        <v>111</v>
      </c>
      <c r="Q9" s="8" t="s">
        <v>111</v>
      </c>
      <c r="R9" s="8" t="s">
        <v>798</v>
      </c>
      <c r="S9" s="136"/>
      <c r="T9" s="8" t="s">
        <v>798</v>
      </c>
      <c r="U9" s="126"/>
      <c r="V9" s="8" t="s">
        <v>798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26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13</v>
      </c>
      <c r="AI9" s="5">
        <f t="shared" si="2"/>
        <v>8</v>
      </c>
      <c r="AJ9" s="5"/>
      <c r="AK9" s="9"/>
    </row>
    <row r="10" spans="1:39" x14ac:dyDescent="0.25">
      <c r="A10" s="9">
        <v>6</v>
      </c>
      <c r="B10" s="21">
        <v>401</v>
      </c>
      <c r="C10" s="24" t="s">
        <v>599</v>
      </c>
      <c r="D10" s="25" t="s">
        <v>389</v>
      </c>
      <c r="E10" s="20" t="s">
        <v>593</v>
      </c>
      <c r="F10" s="8" t="s">
        <v>111</v>
      </c>
      <c r="G10" s="126"/>
      <c r="H10" s="8" t="s">
        <v>799</v>
      </c>
      <c r="I10" s="8" t="s">
        <v>799</v>
      </c>
      <c r="J10" s="136"/>
      <c r="K10" s="8" t="s">
        <v>111</v>
      </c>
      <c r="L10" s="8" t="s">
        <v>799</v>
      </c>
      <c r="M10" s="8" t="s">
        <v>799</v>
      </c>
      <c r="N10" s="126"/>
      <c r="O10" s="8" t="s">
        <v>799</v>
      </c>
      <c r="P10" s="8" t="s">
        <v>799</v>
      </c>
      <c r="Q10" s="8" t="s">
        <v>799</v>
      </c>
      <c r="R10" s="8" t="s">
        <v>799</v>
      </c>
      <c r="S10" s="136"/>
      <c r="T10" s="8" t="s">
        <v>799</v>
      </c>
      <c r="U10" s="126"/>
      <c r="V10" s="8" t="s">
        <v>799</v>
      </c>
      <c r="W10" s="8" t="s">
        <v>799</v>
      </c>
      <c r="X10" s="136"/>
      <c r="Y10" s="8" t="s">
        <v>799</v>
      </c>
      <c r="Z10" s="8" t="s">
        <v>799</v>
      </c>
      <c r="AA10" s="8" t="s">
        <v>799</v>
      </c>
      <c r="AB10" s="126"/>
      <c r="AC10" s="8" t="s">
        <v>799</v>
      </c>
      <c r="AD10" s="8" t="s">
        <v>798</v>
      </c>
      <c r="AE10" s="8" t="s">
        <v>798</v>
      </c>
      <c r="AF10" s="8" t="s">
        <v>798</v>
      </c>
      <c r="AG10" s="8" t="s">
        <v>798</v>
      </c>
      <c r="AH10" s="5">
        <f t="shared" si="1"/>
        <v>2</v>
      </c>
      <c r="AI10" s="5">
        <f t="shared" si="2"/>
        <v>4</v>
      </c>
    </row>
    <row r="11" spans="1:39" ht="15.75" x14ac:dyDescent="0.25">
      <c r="A11" s="21">
        <v>7</v>
      </c>
      <c r="B11" s="21">
        <v>620</v>
      </c>
      <c r="C11" s="24" t="s">
        <v>600</v>
      </c>
      <c r="D11" s="25" t="s">
        <v>169</v>
      </c>
      <c r="E11" s="20" t="s">
        <v>593</v>
      </c>
      <c r="F11" s="8" t="s">
        <v>798</v>
      </c>
      <c r="G11" s="126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26"/>
      <c r="O11" s="8" t="s">
        <v>798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26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26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798</v>
      </c>
      <c r="AH11" s="5">
        <f t="shared" si="1"/>
        <v>17</v>
      </c>
      <c r="AI11" s="5">
        <f t="shared" si="2"/>
        <v>4</v>
      </c>
      <c r="AJ11" s="120" t="s">
        <v>9</v>
      </c>
      <c r="AK11" s="121"/>
      <c r="AL11" s="121"/>
      <c r="AM11" s="122"/>
    </row>
    <row r="12" spans="1:39" x14ac:dyDescent="0.25">
      <c r="A12" s="9">
        <v>8</v>
      </c>
      <c r="B12" s="21">
        <v>616</v>
      </c>
      <c r="C12" s="24" t="s">
        <v>601</v>
      </c>
      <c r="D12" s="25" t="s">
        <v>95</v>
      </c>
      <c r="E12" s="20" t="s">
        <v>593</v>
      </c>
      <c r="F12" s="8" t="s">
        <v>111</v>
      </c>
      <c r="G12" s="126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26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26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26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565</v>
      </c>
      <c r="C13" s="24" t="s">
        <v>602</v>
      </c>
      <c r="D13" s="25" t="s">
        <v>500</v>
      </c>
      <c r="E13" s="20" t="s">
        <v>593</v>
      </c>
      <c r="F13" s="8" t="s">
        <v>111</v>
      </c>
      <c r="G13" s="126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26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26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26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17*$AK$5</f>
        <v>425</v>
      </c>
      <c r="AL13" s="9">
        <f>28*$AK$5</f>
        <v>700</v>
      </c>
      <c r="AM13" s="9">
        <f>SUM(AK13:AL13)</f>
        <v>1125</v>
      </c>
    </row>
    <row r="14" spans="1:39" x14ac:dyDescent="0.25">
      <c r="A14" s="9">
        <v>10</v>
      </c>
      <c r="B14" s="21">
        <v>617</v>
      </c>
      <c r="C14" s="24" t="s">
        <v>603</v>
      </c>
      <c r="D14" s="25" t="s">
        <v>604</v>
      </c>
      <c r="E14" s="20" t="s">
        <v>593</v>
      </c>
      <c r="F14" s="8" t="s">
        <v>111</v>
      </c>
      <c r="G14" s="126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798</v>
      </c>
      <c r="N14" s="126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26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26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1</v>
      </c>
      <c r="AJ14" s="5" t="s">
        <v>15</v>
      </c>
      <c r="AK14" s="9">
        <f>SUM(AH5:AH21)</f>
        <v>283</v>
      </c>
      <c r="AL14" s="9">
        <f>SUM(AH22:AH46)</f>
        <v>428</v>
      </c>
      <c r="AM14" s="9">
        <f>AK14+AL14</f>
        <v>711</v>
      </c>
    </row>
    <row r="15" spans="1:39" x14ac:dyDescent="0.25">
      <c r="A15" s="21">
        <v>11</v>
      </c>
      <c r="B15" s="21">
        <v>715</v>
      </c>
      <c r="C15" s="24" t="s">
        <v>605</v>
      </c>
      <c r="D15" s="25" t="s">
        <v>540</v>
      </c>
      <c r="E15" s="20" t="s">
        <v>593</v>
      </c>
      <c r="F15" s="8" t="s">
        <v>111</v>
      </c>
      <c r="G15" s="126"/>
      <c r="H15" s="8" t="s">
        <v>111</v>
      </c>
      <c r="I15" s="8" t="s">
        <v>798</v>
      </c>
      <c r="J15" s="136"/>
      <c r="K15" s="8" t="s">
        <v>111</v>
      </c>
      <c r="L15" s="8" t="s">
        <v>111</v>
      </c>
      <c r="M15" s="8" t="s">
        <v>111</v>
      </c>
      <c r="N15" s="126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26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26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0.66588235294117648</v>
      </c>
      <c r="AL15" s="12">
        <f>AL14/AL13</f>
        <v>0.61142857142857143</v>
      </c>
      <c r="AM15" s="12">
        <f>AM14/AM13</f>
        <v>0.63200000000000001</v>
      </c>
    </row>
    <row r="16" spans="1:39" x14ac:dyDescent="0.25">
      <c r="A16" s="9">
        <v>12</v>
      </c>
      <c r="B16" s="21">
        <v>426</v>
      </c>
      <c r="C16" s="24" t="s">
        <v>606</v>
      </c>
      <c r="D16" s="25" t="s">
        <v>325</v>
      </c>
      <c r="E16" s="20" t="s">
        <v>593</v>
      </c>
      <c r="F16" s="8" t="s">
        <v>798</v>
      </c>
      <c r="G16" s="126"/>
      <c r="H16" s="8" t="s">
        <v>798</v>
      </c>
      <c r="I16" s="8" t="s">
        <v>798</v>
      </c>
      <c r="J16" s="136"/>
      <c r="K16" s="8" t="s">
        <v>111</v>
      </c>
      <c r="L16" s="8" t="s">
        <v>798</v>
      </c>
      <c r="M16" s="8" t="s">
        <v>798</v>
      </c>
      <c r="N16" s="126"/>
      <c r="O16" s="8" t="s">
        <v>798</v>
      </c>
      <c r="P16" s="8" t="s">
        <v>798</v>
      </c>
      <c r="Q16" s="8" t="s">
        <v>111</v>
      </c>
      <c r="R16" s="8" t="s">
        <v>111</v>
      </c>
      <c r="S16" s="136"/>
      <c r="T16" s="8" t="s">
        <v>111</v>
      </c>
      <c r="U16" s="126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26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14</v>
      </c>
      <c r="AI16" s="5">
        <f t="shared" si="2"/>
        <v>7</v>
      </c>
      <c r="AJ16"/>
      <c r="AK16"/>
      <c r="AL16"/>
      <c r="AM16"/>
    </row>
    <row r="17" spans="1:39" x14ac:dyDescent="0.25">
      <c r="A17" s="21">
        <v>13</v>
      </c>
      <c r="B17" s="21">
        <v>568</v>
      </c>
      <c r="C17" s="24" t="s">
        <v>607</v>
      </c>
      <c r="D17" s="25" t="s">
        <v>608</v>
      </c>
      <c r="E17" s="20" t="s">
        <v>593</v>
      </c>
      <c r="F17" s="8" t="s">
        <v>111</v>
      </c>
      <c r="G17" s="126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26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26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26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347</v>
      </c>
      <c r="C18" s="24" t="s">
        <v>609</v>
      </c>
      <c r="D18" s="25" t="s">
        <v>610</v>
      </c>
      <c r="E18" s="20" t="s">
        <v>593</v>
      </c>
      <c r="F18" s="8" t="s">
        <v>798</v>
      </c>
      <c r="G18" s="126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111</v>
      </c>
      <c r="N18" s="126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26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26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250</v>
      </c>
      <c r="C19" s="24" t="s">
        <v>611</v>
      </c>
      <c r="D19" s="25" t="s">
        <v>177</v>
      </c>
      <c r="E19" s="20" t="s">
        <v>593</v>
      </c>
      <c r="F19" s="8" t="s">
        <v>111</v>
      </c>
      <c r="G19" s="126"/>
      <c r="H19" s="8" t="s">
        <v>111</v>
      </c>
      <c r="I19" s="8" t="s">
        <v>111</v>
      </c>
      <c r="J19" s="136"/>
      <c r="K19" s="8" t="s">
        <v>798</v>
      </c>
      <c r="L19" s="8" t="s">
        <v>111</v>
      </c>
      <c r="M19" s="8" t="s">
        <v>111</v>
      </c>
      <c r="N19" s="126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26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26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20</v>
      </c>
      <c r="AI19" s="5">
        <f t="shared" si="2"/>
        <v>1</v>
      </c>
      <c r="AJ19" s="120" t="s">
        <v>123</v>
      </c>
      <c r="AK19" s="121"/>
      <c r="AL19" s="121"/>
      <c r="AM19" s="122"/>
    </row>
    <row r="20" spans="1:39" x14ac:dyDescent="0.25">
      <c r="A20" s="9">
        <v>16</v>
      </c>
      <c r="B20" s="21">
        <v>790</v>
      </c>
      <c r="C20" s="24" t="s">
        <v>612</v>
      </c>
      <c r="D20" s="25" t="s">
        <v>613</v>
      </c>
      <c r="E20" s="20" t="s">
        <v>593</v>
      </c>
      <c r="F20" s="8" t="s">
        <v>798</v>
      </c>
      <c r="G20" s="126"/>
      <c r="H20" s="8" t="s">
        <v>798</v>
      </c>
      <c r="I20" s="8" t="s">
        <v>111</v>
      </c>
      <c r="J20" s="136"/>
      <c r="K20" s="8" t="s">
        <v>111</v>
      </c>
      <c r="L20" s="8" t="s">
        <v>111</v>
      </c>
      <c r="M20" s="8" t="s">
        <v>798</v>
      </c>
      <c r="N20" s="126"/>
      <c r="O20" s="8" t="s">
        <v>798</v>
      </c>
      <c r="P20" s="8" t="s">
        <v>799</v>
      </c>
      <c r="Q20" s="8" t="s">
        <v>798</v>
      </c>
      <c r="R20" s="8" t="s">
        <v>111</v>
      </c>
      <c r="S20" s="136"/>
      <c r="T20" s="8" t="s">
        <v>111</v>
      </c>
      <c r="U20" s="126"/>
      <c r="V20" s="8" t="s">
        <v>111</v>
      </c>
      <c r="W20" s="8" t="s">
        <v>111</v>
      </c>
      <c r="X20" s="136"/>
      <c r="Y20" s="8" t="s">
        <v>111</v>
      </c>
      <c r="Z20" s="8" t="s">
        <v>798</v>
      </c>
      <c r="AA20" s="8" t="s">
        <v>798</v>
      </c>
      <c r="AB20" s="126"/>
      <c r="AC20" s="8" t="s">
        <v>798</v>
      </c>
      <c r="AD20" s="8" t="s">
        <v>111</v>
      </c>
      <c r="AE20" s="8" t="s">
        <v>798</v>
      </c>
      <c r="AF20" s="8" t="s">
        <v>798</v>
      </c>
      <c r="AG20" s="8" t="s">
        <v>111</v>
      </c>
      <c r="AH20" s="5">
        <f t="shared" si="1"/>
        <v>10</v>
      </c>
      <c r="AI20" s="5">
        <f t="shared" si="2"/>
        <v>10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892</v>
      </c>
      <c r="C21" s="24" t="s">
        <v>614</v>
      </c>
      <c r="D21" s="25" t="s">
        <v>615</v>
      </c>
      <c r="E21" s="20" t="s">
        <v>593</v>
      </c>
      <c r="F21" s="8" t="s">
        <v>798</v>
      </c>
      <c r="G21" s="126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26"/>
      <c r="O21" s="8" t="s">
        <v>111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26"/>
      <c r="V21" s="8" t="s">
        <v>111</v>
      </c>
      <c r="W21" s="8" t="s">
        <v>111</v>
      </c>
      <c r="X21" s="136"/>
      <c r="Y21" s="8" t="s">
        <v>111</v>
      </c>
      <c r="Z21" s="8" t="s">
        <v>111</v>
      </c>
      <c r="AA21" s="8" t="s">
        <v>111</v>
      </c>
      <c r="AB21" s="126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798</v>
      </c>
      <c r="AH21" s="5">
        <f t="shared" si="1"/>
        <v>18</v>
      </c>
      <c r="AI21" s="5">
        <f t="shared" si="2"/>
        <v>3</v>
      </c>
      <c r="AJ21" s="5" t="s">
        <v>14</v>
      </c>
      <c r="AK21" s="9">
        <f>17*$AK$5</f>
        <v>425</v>
      </c>
      <c r="AL21" s="9">
        <f>28*$AK$5</f>
        <v>700</v>
      </c>
      <c r="AM21" s="9">
        <f>AK21+AL21</f>
        <v>1125</v>
      </c>
    </row>
    <row r="22" spans="1:39" x14ac:dyDescent="0.25">
      <c r="A22" s="9">
        <v>1</v>
      </c>
      <c r="B22" s="21">
        <v>713</v>
      </c>
      <c r="C22" s="24" t="s">
        <v>127</v>
      </c>
      <c r="D22" s="25" t="s">
        <v>96</v>
      </c>
      <c r="E22" s="20" t="s">
        <v>593</v>
      </c>
      <c r="F22" s="8" t="s">
        <v>111</v>
      </c>
      <c r="G22" s="126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26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26"/>
      <c r="V22" s="8" t="s">
        <v>111</v>
      </c>
      <c r="W22" s="8" t="s">
        <v>111</v>
      </c>
      <c r="X22" s="136"/>
      <c r="Y22" s="8" t="s">
        <v>111</v>
      </c>
      <c r="Z22" s="8" t="s">
        <v>798</v>
      </c>
      <c r="AA22" s="8" t="s">
        <v>111</v>
      </c>
      <c r="AB22" s="126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142</v>
      </c>
      <c r="AL22" s="9">
        <f>AL21-AL14</f>
        <v>272</v>
      </c>
      <c r="AM22" s="9">
        <f>AK22+AL22</f>
        <v>414</v>
      </c>
    </row>
    <row r="23" spans="1:39" x14ac:dyDescent="0.25">
      <c r="A23" s="21">
        <v>2</v>
      </c>
      <c r="B23" s="21">
        <v>345</v>
      </c>
      <c r="C23" s="24" t="s">
        <v>132</v>
      </c>
      <c r="D23" s="25" t="s">
        <v>222</v>
      </c>
      <c r="E23" s="20" t="s">
        <v>593</v>
      </c>
      <c r="F23" s="8" t="s">
        <v>111</v>
      </c>
      <c r="G23" s="126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26"/>
      <c r="O23" s="8" t="s">
        <v>798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26"/>
      <c r="V23" s="8" t="s">
        <v>111</v>
      </c>
      <c r="W23" s="8" t="s">
        <v>111</v>
      </c>
      <c r="X23" s="136"/>
      <c r="Y23" s="8" t="s">
        <v>111</v>
      </c>
      <c r="Z23" s="8" t="s">
        <v>111</v>
      </c>
      <c r="AA23" s="8" t="s">
        <v>798</v>
      </c>
      <c r="AB23" s="126"/>
      <c r="AC23" s="8" t="s">
        <v>111</v>
      </c>
      <c r="AD23" s="8" t="s">
        <v>798</v>
      </c>
      <c r="AE23" s="8" t="s">
        <v>798</v>
      </c>
      <c r="AF23" s="8" t="s">
        <v>111</v>
      </c>
      <c r="AG23" s="8" t="s">
        <v>111</v>
      </c>
      <c r="AH23" s="5">
        <f t="shared" si="1"/>
        <v>17</v>
      </c>
      <c r="AI23" s="5">
        <f t="shared" si="2"/>
        <v>4</v>
      </c>
      <c r="AJ23" s="5" t="s">
        <v>16</v>
      </c>
      <c r="AK23" s="12">
        <f>AK22/AK21</f>
        <v>0.33411764705882352</v>
      </c>
      <c r="AL23" s="12">
        <f>AL22/AL21</f>
        <v>0.38857142857142857</v>
      </c>
      <c r="AM23" s="12">
        <f>AM22/AM21</f>
        <v>0.36799999999999999</v>
      </c>
    </row>
    <row r="24" spans="1:39" x14ac:dyDescent="0.25">
      <c r="A24" s="9">
        <v>3</v>
      </c>
      <c r="B24" s="21">
        <v>716</v>
      </c>
      <c r="C24" s="24" t="s">
        <v>136</v>
      </c>
      <c r="D24" s="25" t="s">
        <v>464</v>
      </c>
      <c r="E24" s="20" t="s">
        <v>593</v>
      </c>
      <c r="F24" s="8" t="s">
        <v>798</v>
      </c>
      <c r="G24" s="126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798</v>
      </c>
      <c r="N24" s="126"/>
      <c r="O24" s="8" t="s">
        <v>111</v>
      </c>
      <c r="P24" s="8" t="s">
        <v>798</v>
      </c>
      <c r="Q24" s="8" t="s">
        <v>798</v>
      </c>
      <c r="R24" s="8" t="s">
        <v>798</v>
      </c>
      <c r="S24" s="136"/>
      <c r="T24" s="8" t="s">
        <v>798</v>
      </c>
      <c r="U24" s="126"/>
      <c r="V24" s="8" t="s">
        <v>111</v>
      </c>
      <c r="W24" s="8" t="s">
        <v>798</v>
      </c>
      <c r="X24" s="136"/>
      <c r="Y24" s="8" t="s">
        <v>798</v>
      </c>
      <c r="Z24" s="8" t="s">
        <v>798</v>
      </c>
      <c r="AA24" s="8" t="s">
        <v>799</v>
      </c>
      <c r="AB24" s="126"/>
      <c r="AC24" s="8" t="s">
        <v>111</v>
      </c>
      <c r="AD24" s="8" t="s">
        <v>798</v>
      </c>
      <c r="AE24" s="8" t="s">
        <v>798</v>
      </c>
      <c r="AF24" s="8" t="s">
        <v>111</v>
      </c>
      <c r="AG24" s="8" t="s">
        <v>111</v>
      </c>
      <c r="AH24" s="5">
        <f t="shared" si="1"/>
        <v>9</v>
      </c>
      <c r="AI24" s="5">
        <f t="shared" si="2"/>
        <v>11</v>
      </c>
    </row>
    <row r="25" spans="1:39" x14ac:dyDescent="0.25">
      <c r="A25" s="21">
        <v>4</v>
      </c>
      <c r="B25" s="21">
        <v>506</v>
      </c>
      <c r="C25" s="24" t="s">
        <v>138</v>
      </c>
      <c r="D25" s="24" t="s">
        <v>554</v>
      </c>
      <c r="E25" s="20" t="s">
        <v>593</v>
      </c>
      <c r="F25" s="8" t="s">
        <v>111</v>
      </c>
      <c r="G25" s="126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26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26"/>
      <c r="V25" s="8" t="s">
        <v>799</v>
      </c>
      <c r="W25" s="8" t="s">
        <v>799</v>
      </c>
      <c r="X25" s="136"/>
      <c r="Y25" s="8" t="s">
        <v>799</v>
      </c>
      <c r="Z25" s="8" t="s">
        <v>799</v>
      </c>
      <c r="AA25" s="8" t="s">
        <v>799</v>
      </c>
      <c r="AB25" s="126"/>
      <c r="AC25" s="8" t="s">
        <v>799</v>
      </c>
      <c r="AD25" s="8" t="s">
        <v>799</v>
      </c>
      <c r="AE25" s="8" t="s">
        <v>111</v>
      </c>
      <c r="AF25" s="8" t="s">
        <v>111</v>
      </c>
      <c r="AG25" s="8" t="s">
        <v>111</v>
      </c>
      <c r="AH25" s="5">
        <f t="shared" si="1"/>
        <v>14</v>
      </c>
      <c r="AI25" s="5">
        <f t="shared" si="2"/>
        <v>0</v>
      </c>
    </row>
    <row r="26" spans="1:39" x14ac:dyDescent="0.25">
      <c r="A26" s="9">
        <v>5</v>
      </c>
      <c r="B26" s="21">
        <v>769</v>
      </c>
      <c r="C26" s="24" t="s">
        <v>570</v>
      </c>
      <c r="D26" s="25" t="s">
        <v>616</v>
      </c>
      <c r="E26" s="20" t="s">
        <v>593</v>
      </c>
      <c r="F26" s="8" t="s">
        <v>111</v>
      </c>
      <c r="G26" s="126"/>
      <c r="H26" s="8" t="s">
        <v>111</v>
      </c>
      <c r="I26" s="8" t="s">
        <v>798</v>
      </c>
      <c r="J26" s="136"/>
      <c r="K26" s="8" t="s">
        <v>798</v>
      </c>
      <c r="L26" s="8" t="s">
        <v>798</v>
      </c>
      <c r="M26" s="8" t="s">
        <v>798</v>
      </c>
      <c r="N26" s="126"/>
      <c r="O26" s="8" t="s">
        <v>798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26"/>
      <c r="V26" s="8" t="s">
        <v>798</v>
      </c>
      <c r="W26" s="8" t="s">
        <v>798</v>
      </c>
      <c r="X26" s="136"/>
      <c r="Y26" s="8" t="s">
        <v>111</v>
      </c>
      <c r="Z26" s="8" t="s">
        <v>111</v>
      </c>
      <c r="AA26" s="8" t="s">
        <v>111</v>
      </c>
      <c r="AB26" s="126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14</v>
      </c>
      <c r="AI26" s="5">
        <f t="shared" si="2"/>
        <v>7</v>
      </c>
    </row>
    <row r="27" spans="1:39" x14ac:dyDescent="0.25">
      <c r="A27" s="21">
        <v>6</v>
      </c>
      <c r="B27" s="103">
        <v>348</v>
      </c>
      <c r="C27" s="27" t="s">
        <v>617</v>
      </c>
      <c r="D27" s="28" t="s">
        <v>618</v>
      </c>
      <c r="E27" s="20" t="s">
        <v>593</v>
      </c>
      <c r="F27" s="8" t="s">
        <v>111</v>
      </c>
      <c r="G27" s="126"/>
      <c r="H27" s="8" t="s">
        <v>111</v>
      </c>
      <c r="I27" s="8" t="s">
        <v>111</v>
      </c>
      <c r="J27" s="136"/>
      <c r="K27" s="8" t="s">
        <v>799</v>
      </c>
      <c r="L27" s="8" t="s">
        <v>111</v>
      </c>
      <c r="M27" s="8" t="s">
        <v>111</v>
      </c>
      <c r="N27" s="126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799</v>
      </c>
      <c r="U27" s="126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26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19</v>
      </c>
      <c r="AI27" s="5">
        <f t="shared" si="2"/>
        <v>0</v>
      </c>
    </row>
    <row r="28" spans="1:39" x14ac:dyDescent="0.25">
      <c r="A28" s="9">
        <v>7</v>
      </c>
      <c r="B28" s="9">
        <v>618</v>
      </c>
      <c r="C28" s="29" t="s">
        <v>619</v>
      </c>
      <c r="D28" s="29" t="s">
        <v>620</v>
      </c>
      <c r="E28" s="20" t="s">
        <v>593</v>
      </c>
      <c r="F28" s="8" t="s">
        <v>111</v>
      </c>
      <c r="G28" s="126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26"/>
      <c r="O28" s="8" t="s">
        <v>111</v>
      </c>
      <c r="P28" s="8" t="s">
        <v>798</v>
      </c>
      <c r="Q28" s="8" t="s">
        <v>111</v>
      </c>
      <c r="R28" s="8" t="s">
        <v>111</v>
      </c>
      <c r="S28" s="136"/>
      <c r="T28" s="8" t="s">
        <v>111</v>
      </c>
      <c r="U28" s="126"/>
      <c r="V28" s="8" t="s">
        <v>111</v>
      </c>
      <c r="W28" s="8" t="s">
        <v>111</v>
      </c>
      <c r="X28" s="136"/>
      <c r="Y28" s="8" t="s">
        <v>111</v>
      </c>
      <c r="Z28" s="8" t="s">
        <v>798</v>
      </c>
      <c r="AA28" s="8" t="s">
        <v>111</v>
      </c>
      <c r="AB28" s="126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19</v>
      </c>
      <c r="AI28" s="5">
        <f t="shared" si="2"/>
        <v>2</v>
      </c>
    </row>
    <row r="29" spans="1:39" x14ac:dyDescent="0.25">
      <c r="A29" s="21">
        <v>8</v>
      </c>
      <c r="B29" s="21">
        <v>443</v>
      </c>
      <c r="C29" s="29" t="s">
        <v>508</v>
      </c>
      <c r="D29" s="29" t="s">
        <v>283</v>
      </c>
      <c r="E29" s="20" t="s">
        <v>593</v>
      </c>
      <c r="F29" s="8" t="s">
        <v>111</v>
      </c>
      <c r="G29" s="126"/>
      <c r="H29" s="8" t="s">
        <v>111</v>
      </c>
      <c r="I29" s="8" t="s">
        <v>799</v>
      </c>
      <c r="J29" s="136"/>
      <c r="K29" s="8" t="s">
        <v>799</v>
      </c>
      <c r="L29" s="8" t="s">
        <v>799</v>
      </c>
      <c r="M29" s="8" t="s">
        <v>799</v>
      </c>
      <c r="N29" s="126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26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26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17</v>
      </c>
      <c r="AI29" s="5">
        <f t="shared" si="2"/>
        <v>0</v>
      </c>
    </row>
    <row r="30" spans="1:39" x14ac:dyDescent="0.25">
      <c r="A30" s="9">
        <v>9</v>
      </c>
      <c r="B30" s="9">
        <v>614</v>
      </c>
      <c r="C30" s="29" t="s">
        <v>508</v>
      </c>
      <c r="D30" s="29" t="s">
        <v>621</v>
      </c>
      <c r="E30" s="20" t="s">
        <v>593</v>
      </c>
      <c r="F30" s="8" t="s">
        <v>111</v>
      </c>
      <c r="G30" s="126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26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26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26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10</v>
      </c>
      <c r="B31" s="21">
        <v>778</v>
      </c>
      <c r="C31" s="29" t="s">
        <v>622</v>
      </c>
      <c r="D31" s="30" t="s">
        <v>623</v>
      </c>
      <c r="E31" s="20" t="s">
        <v>593</v>
      </c>
      <c r="F31" s="8" t="s">
        <v>111</v>
      </c>
      <c r="G31" s="126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26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26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26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11</v>
      </c>
      <c r="B32" s="9">
        <v>435</v>
      </c>
      <c r="C32" s="26" t="s">
        <v>624</v>
      </c>
      <c r="D32" s="31" t="s">
        <v>89</v>
      </c>
      <c r="E32" s="20" t="s">
        <v>593</v>
      </c>
      <c r="F32" s="8" t="s">
        <v>798</v>
      </c>
      <c r="G32" s="126"/>
      <c r="H32" s="8" t="s">
        <v>798</v>
      </c>
      <c r="I32" s="8" t="s">
        <v>798</v>
      </c>
      <c r="J32" s="136"/>
      <c r="K32" s="8" t="s">
        <v>111</v>
      </c>
      <c r="L32" s="8" t="s">
        <v>111</v>
      </c>
      <c r="M32" s="8" t="s">
        <v>111</v>
      </c>
      <c r="N32" s="126"/>
      <c r="O32" s="8" t="s">
        <v>798</v>
      </c>
      <c r="P32" s="8" t="s">
        <v>111</v>
      </c>
      <c r="Q32" s="8" t="s">
        <v>111</v>
      </c>
      <c r="R32" s="8" t="s">
        <v>798</v>
      </c>
      <c r="S32" s="136"/>
      <c r="T32" s="8" t="s">
        <v>798</v>
      </c>
      <c r="U32" s="126"/>
      <c r="V32" s="8" t="s">
        <v>111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26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798</v>
      </c>
      <c r="AH32" s="5">
        <f t="shared" si="1"/>
        <v>14</v>
      </c>
      <c r="AI32" s="5">
        <f t="shared" si="2"/>
        <v>7</v>
      </c>
    </row>
    <row r="33" spans="1:35" x14ac:dyDescent="0.25">
      <c r="A33" s="21">
        <v>12</v>
      </c>
      <c r="B33" s="21">
        <v>619</v>
      </c>
      <c r="C33" s="24" t="s">
        <v>625</v>
      </c>
      <c r="D33" s="25" t="s">
        <v>626</v>
      </c>
      <c r="E33" s="20" t="s">
        <v>593</v>
      </c>
      <c r="F33" s="8" t="s">
        <v>111</v>
      </c>
      <c r="G33" s="126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26"/>
      <c r="O33" s="8" t="s">
        <v>111</v>
      </c>
      <c r="P33" s="8" t="s">
        <v>111</v>
      </c>
      <c r="Q33" s="8" t="s">
        <v>111</v>
      </c>
      <c r="R33" s="8" t="s">
        <v>111</v>
      </c>
      <c r="S33" s="136"/>
      <c r="T33" s="8" t="s">
        <v>111</v>
      </c>
      <c r="U33" s="126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26"/>
      <c r="AC33" s="8" t="s">
        <v>798</v>
      </c>
      <c r="AD33" s="8" t="s">
        <v>111</v>
      </c>
      <c r="AE33" s="8" t="s">
        <v>111</v>
      </c>
      <c r="AF33" s="8" t="s">
        <v>111</v>
      </c>
      <c r="AG33" s="8" t="s">
        <v>799</v>
      </c>
      <c r="AH33" s="5">
        <f t="shared" si="1"/>
        <v>19</v>
      </c>
      <c r="AI33" s="5">
        <f t="shared" si="2"/>
        <v>1</v>
      </c>
    </row>
    <row r="34" spans="1:35" x14ac:dyDescent="0.25">
      <c r="A34" s="9">
        <v>13</v>
      </c>
      <c r="B34" s="21">
        <v>613</v>
      </c>
      <c r="C34" s="24" t="s">
        <v>627</v>
      </c>
      <c r="D34" s="25" t="s">
        <v>621</v>
      </c>
      <c r="E34" s="20" t="s">
        <v>593</v>
      </c>
      <c r="F34" s="8" t="s">
        <v>798</v>
      </c>
      <c r="G34" s="126"/>
      <c r="H34" s="8" t="s">
        <v>798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26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26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26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19</v>
      </c>
      <c r="AI34" s="5">
        <f t="shared" si="2"/>
        <v>2</v>
      </c>
    </row>
    <row r="35" spans="1:35" x14ac:dyDescent="0.25">
      <c r="A35" s="9">
        <v>15</v>
      </c>
      <c r="B35" s="9">
        <v>446</v>
      </c>
      <c r="C35" s="14" t="s">
        <v>628</v>
      </c>
      <c r="D35" s="14" t="s">
        <v>507</v>
      </c>
      <c r="E35" s="20" t="s">
        <v>593</v>
      </c>
      <c r="F35" s="8" t="s">
        <v>798</v>
      </c>
      <c r="G35" s="126"/>
      <c r="H35" s="8" t="s">
        <v>111</v>
      </c>
      <c r="I35" s="8" t="s">
        <v>111</v>
      </c>
      <c r="J35" s="136"/>
      <c r="K35" s="8" t="s">
        <v>798</v>
      </c>
      <c r="L35" s="8" t="s">
        <v>798</v>
      </c>
      <c r="M35" s="8" t="s">
        <v>798</v>
      </c>
      <c r="N35" s="126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26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26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12</v>
      </c>
      <c r="AI35" s="5">
        <f t="shared" si="2"/>
        <v>9</v>
      </c>
    </row>
    <row r="36" spans="1:35" x14ac:dyDescent="0.25">
      <c r="A36" s="21">
        <v>16</v>
      </c>
      <c r="B36" s="21">
        <v>436</v>
      </c>
      <c r="C36" s="14" t="s">
        <v>629</v>
      </c>
      <c r="D36" s="14" t="s">
        <v>283</v>
      </c>
      <c r="E36" s="20" t="s">
        <v>593</v>
      </c>
      <c r="F36" s="8" t="s">
        <v>111</v>
      </c>
      <c r="G36" s="126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26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26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26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1"/>
        <v>21</v>
      </c>
      <c r="AI36" s="5">
        <f t="shared" si="2"/>
        <v>0</v>
      </c>
    </row>
    <row r="37" spans="1:35" x14ac:dyDescent="0.25">
      <c r="A37" s="9">
        <v>17</v>
      </c>
      <c r="B37" s="9">
        <v>339</v>
      </c>
      <c r="C37" s="14" t="s">
        <v>630</v>
      </c>
      <c r="D37" s="14" t="s">
        <v>631</v>
      </c>
      <c r="E37" s="20" t="s">
        <v>593</v>
      </c>
      <c r="F37" s="8" t="s">
        <v>798</v>
      </c>
      <c r="G37" s="126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798</v>
      </c>
      <c r="N37" s="126"/>
      <c r="O37" s="8" t="s">
        <v>798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26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26"/>
      <c r="AC37" s="8" t="s">
        <v>798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17</v>
      </c>
      <c r="AI37" s="5">
        <f t="shared" si="2"/>
        <v>4</v>
      </c>
    </row>
    <row r="38" spans="1:35" x14ac:dyDescent="0.25">
      <c r="A38" s="21">
        <v>18</v>
      </c>
      <c r="B38" s="21">
        <v>739</v>
      </c>
      <c r="C38" s="14" t="s">
        <v>632</v>
      </c>
      <c r="D38" s="14" t="s">
        <v>98</v>
      </c>
      <c r="E38" s="20" t="s">
        <v>593</v>
      </c>
      <c r="F38" s="8" t="s">
        <v>111</v>
      </c>
      <c r="G38" s="126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26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26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26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19</v>
      </c>
      <c r="B39" s="9">
        <v>633</v>
      </c>
      <c r="C39" s="14" t="s">
        <v>633</v>
      </c>
      <c r="D39" s="14" t="s">
        <v>634</v>
      </c>
      <c r="E39" s="20" t="s">
        <v>593</v>
      </c>
      <c r="F39" s="8" t="s">
        <v>111</v>
      </c>
      <c r="G39" s="126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26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26"/>
      <c r="V39" s="8" t="s">
        <v>799</v>
      </c>
      <c r="W39" s="8" t="s">
        <v>799</v>
      </c>
      <c r="X39" s="136"/>
      <c r="Y39" s="8" t="s">
        <v>799</v>
      </c>
      <c r="Z39" s="8" t="s">
        <v>799</v>
      </c>
      <c r="AA39" s="8" t="s">
        <v>111</v>
      </c>
      <c r="AB39" s="126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17</v>
      </c>
      <c r="AI39" s="5">
        <f t="shared" si="2"/>
        <v>0</v>
      </c>
    </row>
    <row r="40" spans="1:35" x14ac:dyDescent="0.25">
      <c r="A40" s="21">
        <v>20</v>
      </c>
      <c r="B40" s="21">
        <v>605</v>
      </c>
      <c r="C40" s="14" t="s">
        <v>635</v>
      </c>
      <c r="D40" s="14" t="s">
        <v>467</v>
      </c>
      <c r="E40" s="20" t="s">
        <v>593</v>
      </c>
      <c r="F40" s="8" t="s">
        <v>798</v>
      </c>
      <c r="G40" s="126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26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26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26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20</v>
      </c>
      <c r="AI40" s="5">
        <f t="shared" si="2"/>
        <v>1</v>
      </c>
    </row>
    <row r="41" spans="1:35" x14ac:dyDescent="0.25">
      <c r="A41" s="9">
        <v>21</v>
      </c>
      <c r="B41" s="9">
        <v>442</v>
      </c>
      <c r="C41" s="14" t="s">
        <v>636</v>
      </c>
      <c r="D41" s="14" t="s">
        <v>637</v>
      </c>
      <c r="E41" s="20" t="s">
        <v>593</v>
      </c>
      <c r="F41" s="8" t="s">
        <v>111</v>
      </c>
      <c r="G41" s="126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26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26"/>
      <c r="V41" s="8" t="s">
        <v>799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26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20</v>
      </c>
      <c r="AI41" s="5">
        <f t="shared" si="2"/>
        <v>0</v>
      </c>
    </row>
    <row r="42" spans="1:35" x14ac:dyDescent="0.25">
      <c r="A42" s="21">
        <v>22</v>
      </c>
      <c r="B42" s="21">
        <v>789</v>
      </c>
      <c r="C42" s="14" t="s">
        <v>638</v>
      </c>
      <c r="D42" s="14" t="s">
        <v>372</v>
      </c>
      <c r="E42" s="20" t="s">
        <v>593</v>
      </c>
      <c r="F42" s="8" t="s">
        <v>798</v>
      </c>
      <c r="G42" s="126"/>
      <c r="H42" s="8" t="s">
        <v>798</v>
      </c>
      <c r="I42" s="8" t="s">
        <v>111</v>
      </c>
      <c r="J42" s="136"/>
      <c r="K42" s="8" t="s">
        <v>111</v>
      </c>
      <c r="L42" s="8" t="s">
        <v>111</v>
      </c>
      <c r="M42" s="8" t="s">
        <v>798</v>
      </c>
      <c r="N42" s="126"/>
      <c r="O42" s="8" t="s">
        <v>798</v>
      </c>
      <c r="P42" s="8" t="s">
        <v>798</v>
      </c>
      <c r="Q42" s="8" t="s">
        <v>111</v>
      </c>
      <c r="R42" s="8" t="s">
        <v>111</v>
      </c>
      <c r="S42" s="136"/>
      <c r="T42" s="8" t="s">
        <v>111</v>
      </c>
      <c r="U42" s="126"/>
      <c r="V42" s="8" t="s">
        <v>111</v>
      </c>
      <c r="W42" s="8" t="s">
        <v>111</v>
      </c>
      <c r="X42" s="136"/>
      <c r="Y42" s="8" t="s">
        <v>111</v>
      </c>
      <c r="Z42" s="8" t="s">
        <v>798</v>
      </c>
      <c r="AA42" s="8" t="s">
        <v>798</v>
      </c>
      <c r="AB42" s="126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14</v>
      </c>
      <c r="AI42" s="5">
        <f t="shared" si="2"/>
        <v>7</v>
      </c>
    </row>
    <row r="43" spans="1:35" x14ac:dyDescent="0.25">
      <c r="A43" s="9">
        <v>23</v>
      </c>
      <c r="B43" s="9">
        <v>855</v>
      </c>
      <c r="C43" s="14" t="s">
        <v>639</v>
      </c>
      <c r="D43" s="14" t="s">
        <v>640</v>
      </c>
      <c r="E43" s="20" t="s">
        <v>593</v>
      </c>
      <c r="F43" s="8" t="s">
        <v>799</v>
      </c>
      <c r="G43" s="126"/>
      <c r="H43" s="8" t="s">
        <v>799</v>
      </c>
      <c r="I43" s="8" t="s">
        <v>799</v>
      </c>
      <c r="J43" s="136"/>
      <c r="K43" s="8" t="s">
        <v>799</v>
      </c>
      <c r="L43" s="8" t="s">
        <v>799</v>
      </c>
      <c r="M43" s="8" t="s">
        <v>799</v>
      </c>
      <c r="N43" s="126"/>
      <c r="O43" s="8" t="s">
        <v>799</v>
      </c>
      <c r="P43" s="8" t="s">
        <v>111</v>
      </c>
      <c r="Q43" s="8" t="s">
        <v>111</v>
      </c>
      <c r="R43" s="8" t="s">
        <v>111</v>
      </c>
      <c r="S43" s="136"/>
      <c r="T43" s="8" t="s">
        <v>798</v>
      </c>
      <c r="U43" s="126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26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13</v>
      </c>
      <c r="AI43" s="5">
        <f t="shared" si="2"/>
        <v>1</v>
      </c>
    </row>
    <row r="44" spans="1:35" x14ac:dyDescent="0.25">
      <c r="A44" s="21">
        <v>24</v>
      </c>
      <c r="B44" s="21">
        <v>907</v>
      </c>
      <c r="C44" s="14" t="s">
        <v>794</v>
      </c>
      <c r="D44" s="14" t="s">
        <v>641</v>
      </c>
      <c r="E44" s="20" t="s">
        <v>593</v>
      </c>
      <c r="F44" s="8" t="s">
        <v>111</v>
      </c>
      <c r="G44" s="126"/>
      <c r="H44" s="8" t="s">
        <v>111</v>
      </c>
      <c r="I44" s="8" t="s">
        <v>111</v>
      </c>
      <c r="J44" s="136"/>
      <c r="K44" s="8" t="s">
        <v>111</v>
      </c>
      <c r="L44" s="8" t="s">
        <v>111</v>
      </c>
      <c r="M44" s="8" t="s">
        <v>111</v>
      </c>
      <c r="N44" s="126"/>
      <c r="O44" s="8" t="s">
        <v>111</v>
      </c>
      <c r="P44" s="8" t="s">
        <v>111</v>
      </c>
      <c r="Q44" s="8" t="s">
        <v>111</v>
      </c>
      <c r="R44" s="8" t="s">
        <v>111</v>
      </c>
      <c r="S44" s="136"/>
      <c r="T44" s="8" t="s">
        <v>111</v>
      </c>
      <c r="U44" s="126"/>
      <c r="V44" s="8" t="s">
        <v>111</v>
      </c>
      <c r="W44" s="8" t="s">
        <v>111</v>
      </c>
      <c r="X44" s="136"/>
      <c r="Y44" s="8" t="s">
        <v>111</v>
      </c>
      <c r="Z44" s="8" t="s">
        <v>111</v>
      </c>
      <c r="AA44" s="8" t="s">
        <v>111</v>
      </c>
      <c r="AB44" s="126"/>
      <c r="AC44" s="8" t="s">
        <v>111</v>
      </c>
      <c r="AD44" s="8" t="s">
        <v>111</v>
      </c>
      <c r="AE44" s="8" t="s">
        <v>111</v>
      </c>
      <c r="AF44" s="8" t="s">
        <v>111</v>
      </c>
      <c r="AG44" s="8" t="s">
        <v>111</v>
      </c>
      <c r="AH44" s="5">
        <f t="shared" si="1"/>
        <v>21</v>
      </c>
      <c r="AI44" s="5">
        <f t="shared" si="2"/>
        <v>0</v>
      </c>
    </row>
    <row r="45" spans="1:35" x14ac:dyDescent="0.25">
      <c r="A45" s="9">
        <v>25</v>
      </c>
      <c r="B45" s="9">
        <v>879</v>
      </c>
      <c r="C45" s="14" t="s">
        <v>642</v>
      </c>
      <c r="D45" s="14" t="s">
        <v>643</v>
      </c>
      <c r="E45" s="20" t="s">
        <v>593</v>
      </c>
      <c r="F45" s="8" t="s">
        <v>111</v>
      </c>
      <c r="G45" s="126"/>
      <c r="H45" s="8" t="s">
        <v>111</v>
      </c>
      <c r="I45" s="8" t="s">
        <v>111</v>
      </c>
      <c r="J45" s="136"/>
      <c r="K45" s="8" t="s">
        <v>111</v>
      </c>
      <c r="L45" s="8" t="s">
        <v>799</v>
      </c>
      <c r="M45" s="8" t="s">
        <v>111</v>
      </c>
      <c r="N45" s="126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26"/>
      <c r="V45" s="8" t="s">
        <v>798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26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19</v>
      </c>
      <c r="AI45" s="5">
        <f t="shared" si="2"/>
        <v>1</v>
      </c>
    </row>
    <row r="46" spans="1:35" x14ac:dyDescent="0.25">
      <c r="A46" s="21">
        <v>26</v>
      </c>
      <c r="B46" s="21">
        <v>903</v>
      </c>
      <c r="C46" s="14" t="s">
        <v>511</v>
      </c>
      <c r="D46" s="14" t="s">
        <v>483</v>
      </c>
      <c r="E46" s="20" t="s">
        <v>593</v>
      </c>
      <c r="F46" s="8" t="s">
        <v>798</v>
      </c>
      <c r="G46" s="126"/>
      <c r="H46" s="8" t="s">
        <v>111</v>
      </c>
      <c r="I46" s="8" t="s">
        <v>111</v>
      </c>
      <c r="J46" s="136"/>
      <c r="K46" s="8" t="s">
        <v>798</v>
      </c>
      <c r="L46" s="8" t="s">
        <v>111</v>
      </c>
      <c r="M46" s="8" t="s">
        <v>111</v>
      </c>
      <c r="N46" s="126"/>
      <c r="O46" s="8" t="s">
        <v>798</v>
      </c>
      <c r="P46" s="8" t="s">
        <v>111</v>
      </c>
      <c r="Q46" s="8" t="s">
        <v>111</v>
      </c>
      <c r="R46" s="8" t="s">
        <v>798</v>
      </c>
      <c r="S46" s="136"/>
      <c r="T46" s="8" t="s">
        <v>111</v>
      </c>
      <c r="U46" s="126"/>
      <c r="V46" s="8" t="s">
        <v>798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26"/>
      <c r="AC46" s="8" t="s">
        <v>798</v>
      </c>
      <c r="AD46" s="8" t="s">
        <v>798</v>
      </c>
      <c r="AE46" s="8" t="s">
        <v>798</v>
      </c>
      <c r="AF46" s="8" t="s">
        <v>798</v>
      </c>
      <c r="AG46" s="8" t="s">
        <v>798</v>
      </c>
      <c r="AH46" s="5">
        <f t="shared" si="1"/>
        <v>10</v>
      </c>
      <c r="AI46" s="5">
        <f t="shared" si="2"/>
        <v>11</v>
      </c>
    </row>
  </sheetData>
  <mergeCells count="19">
    <mergeCell ref="A1:AI1"/>
    <mergeCell ref="A2:AI2"/>
    <mergeCell ref="A3:A4"/>
    <mergeCell ref="C3:C4"/>
    <mergeCell ref="D3:D4"/>
    <mergeCell ref="E3:E4"/>
    <mergeCell ref="AH3:AH4"/>
    <mergeCell ref="AI3:AI4"/>
    <mergeCell ref="B3:B4"/>
    <mergeCell ref="AJ3:AK3"/>
    <mergeCell ref="AJ11:AM11"/>
    <mergeCell ref="AJ19:AM19"/>
    <mergeCell ref="G5:G46"/>
    <mergeCell ref="N5:N46"/>
    <mergeCell ref="U5:U46"/>
    <mergeCell ref="AB5:AB46"/>
    <mergeCell ref="J5:J46"/>
    <mergeCell ref="S5:S46"/>
    <mergeCell ref="X5:X46"/>
  </mergeCells>
  <conditionalFormatting sqref="F3:AG4">
    <cfRule type="expression" dxfId="222" priority="37">
      <formula>F$3="Sun"</formula>
    </cfRule>
  </conditionalFormatting>
  <conditionalFormatting sqref="F4:AG4">
    <cfRule type="expression" dxfId="221" priority="36">
      <formula>IF(F$4=TODAY(),TRUE,FALSE)</formula>
    </cfRule>
  </conditionalFormatting>
  <conditionalFormatting sqref="G5 N5 U5 AB5 F5:F46 H5:I46 K5:M46 O5:R46 T5:T46 V5:W46 Y5:AA46 AC5:AG46">
    <cfRule type="cellIs" dxfId="220" priority="51" operator="equal">
      <formula>"L"</formula>
    </cfRule>
    <cfRule type="cellIs" dxfId="219" priority="52" operator="equal">
      <formula>"A"</formula>
    </cfRule>
    <cfRule type="cellIs" dxfId="218" priority="53" operator="equal">
      <formula>"P"</formula>
    </cfRule>
    <cfRule type="expression" dxfId="217" priority="54">
      <formula>IF(F$4=TODAY(),TRUE,FALSE)</formula>
    </cfRule>
    <cfRule type="expression" dxfId="216" priority="55">
      <formula>F$3="Sun"</formula>
    </cfRule>
  </conditionalFormatting>
  <conditionalFormatting sqref="J5">
    <cfRule type="cellIs" dxfId="215" priority="11" operator="equal">
      <formula>"L"</formula>
    </cfRule>
    <cfRule type="cellIs" dxfId="214" priority="12" operator="equal">
      <formula>"A"</formula>
    </cfRule>
    <cfRule type="cellIs" dxfId="213" priority="13" operator="equal">
      <formula>"P"</formula>
    </cfRule>
    <cfRule type="expression" dxfId="212" priority="14">
      <formula>IF(J$4=TODAY(),TRUE,FALSE)</formula>
    </cfRule>
    <cfRule type="expression" dxfId="211" priority="15">
      <formula>J$3="Sun"</formula>
    </cfRule>
  </conditionalFormatting>
  <conditionalFormatting sqref="S5">
    <cfRule type="cellIs" dxfId="210" priority="6" operator="equal">
      <formula>"L"</formula>
    </cfRule>
    <cfRule type="cellIs" dxfId="209" priority="7" operator="equal">
      <formula>"A"</formula>
    </cfRule>
    <cfRule type="cellIs" dxfId="208" priority="8" operator="equal">
      <formula>"P"</formula>
    </cfRule>
    <cfRule type="expression" dxfId="207" priority="9">
      <formula>IF(S$4=TODAY(),TRUE,FALSE)</formula>
    </cfRule>
    <cfRule type="expression" dxfId="206" priority="10">
      <formula>S$3="Sun"</formula>
    </cfRule>
  </conditionalFormatting>
  <conditionalFormatting sqref="X5">
    <cfRule type="cellIs" dxfId="205" priority="1" operator="equal">
      <formula>"L"</formula>
    </cfRule>
    <cfRule type="cellIs" dxfId="204" priority="2" operator="equal">
      <formula>"A"</formula>
    </cfRule>
    <cfRule type="cellIs" dxfId="203" priority="3" operator="equal">
      <formula>"P"</formula>
    </cfRule>
    <cfRule type="expression" dxfId="202" priority="4">
      <formula>IF(X$4=TODAY(),TRUE,FALSE)</formula>
    </cfRule>
    <cfRule type="expression" dxfId="201" priority="5">
      <formula>X$3="Sun"</formula>
    </cfRule>
  </conditionalFormatting>
  <conditionalFormatting sqref="AH3:AI3 AH5:AI46">
    <cfRule type="expression" dxfId="200" priority="56">
      <formula>#REF!="Sun"</formula>
    </cfRule>
  </conditionalFormatting>
  <conditionalFormatting sqref="AJ5:AJ9">
    <cfRule type="expression" dxfId="199" priority="41">
      <formula>AJ$3="Sun"</formula>
    </cfRule>
  </conditionalFormatting>
  <conditionalFormatting sqref="AJ12:AJ15">
    <cfRule type="expression" dxfId="198" priority="39">
      <formula>AJ$3="Sun"</formula>
    </cfRule>
  </conditionalFormatting>
  <conditionalFormatting sqref="AJ20:AJ23">
    <cfRule type="expression" dxfId="197" priority="38">
      <formula>AJ$3="Sun"</formula>
    </cfRule>
  </conditionalFormatting>
  <conditionalFormatting sqref="AJ4:AK4">
    <cfRule type="expression" dxfId="196" priority="42">
      <formula>AJ$3="Sun"</formula>
    </cfRule>
  </conditionalFormatting>
  <conditionalFormatting sqref="AK12:AM12 AK20:AM20">
    <cfRule type="expression" dxfId="195" priority="43">
      <formula>AK$3="Sun"</formula>
    </cfRule>
  </conditionalFormatting>
  <conditionalFormatting sqref="AM21">
    <cfRule type="expression" dxfId="194" priority="40">
      <formula>AM$3="Sun"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9"/>
  <sheetViews>
    <sheetView topLeftCell="A19" workbookViewId="0">
      <selection activeCell="B49" sqref="B4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5" style="1" bestFit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3" width="6.5703125" style="1" bestFit="1" customWidth="1"/>
    <col min="34" max="34" width="6.1406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797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34" t="s">
        <v>0</v>
      </c>
      <c r="B3" s="134" t="s">
        <v>788</v>
      </c>
      <c r="C3" s="134" t="s">
        <v>1</v>
      </c>
      <c r="D3" s="134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3" t="s">
        <v>4</v>
      </c>
      <c r="AH3" s="113" t="s">
        <v>5</v>
      </c>
      <c r="AI3" s="120" t="s">
        <v>121</v>
      </c>
      <c r="AJ3" s="121"/>
      <c r="AK3" s="3"/>
      <c r="AL3" s="3"/>
    </row>
    <row r="4" spans="1:38" ht="36" x14ac:dyDescent="0.25">
      <c r="A4" s="135"/>
      <c r="B4" s="135"/>
      <c r="C4" s="135"/>
      <c r="D4" s="135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122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1">
        <v>885</v>
      </c>
      <c r="C5" s="24" t="s">
        <v>113</v>
      </c>
      <c r="D5" s="20" t="s">
        <v>644</v>
      </c>
      <c r="E5" s="8" t="s">
        <v>798</v>
      </c>
      <c r="F5" s="123" t="s">
        <v>530</v>
      </c>
      <c r="G5" s="8" t="s">
        <v>111</v>
      </c>
      <c r="H5" s="8" t="s">
        <v>111</v>
      </c>
      <c r="I5" s="118" t="s">
        <v>804</v>
      </c>
      <c r="J5" s="8" t="s">
        <v>111</v>
      </c>
      <c r="K5" s="8" t="s">
        <v>111</v>
      </c>
      <c r="L5" s="8" t="s">
        <v>111</v>
      </c>
      <c r="M5" s="123" t="s">
        <v>530</v>
      </c>
      <c r="N5" s="8" t="s">
        <v>111</v>
      </c>
      <c r="O5" s="8" t="s">
        <v>111</v>
      </c>
      <c r="P5" s="8" t="s">
        <v>111</v>
      </c>
      <c r="Q5" s="8" t="s">
        <v>111</v>
      </c>
      <c r="R5" s="118" t="s">
        <v>808</v>
      </c>
      <c r="S5" s="8" t="s">
        <v>111</v>
      </c>
      <c r="T5" s="123" t="s">
        <v>530</v>
      </c>
      <c r="U5" s="8" t="s">
        <v>111</v>
      </c>
      <c r="V5" s="8" t="s">
        <v>111</v>
      </c>
      <c r="W5" s="118" t="s">
        <v>809</v>
      </c>
      <c r="X5" s="8" t="s">
        <v>111</v>
      </c>
      <c r="Y5" s="8" t="s">
        <v>798</v>
      </c>
      <c r="Z5" s="8" t="s">
        <v>798</v>
      </c>
      <c r="AA5" s="123" t="s">
        <v>530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49" si="1">COUNTIF(E5:AF5,"P")</f>
        <v>18</v>
      </c>
      <c r="AH5" s="5">
        <f t="shared" ref="AH5:AH49" si="2">COUNTIF(E5:AF5,"A")</f>
        <v>3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1">
        <v>482</v>
      </c>
      <c r="C6" s="24" t="s">
        <v>645</v>
      </c>
      <c r="D6" s="20" t="s">
        <v>644</v>
      </c>
      <c r="E6" s="8" t="s">
        <v>798</v>
      </c>
      <c r="F6" s="124"/>
      <c r="G6" s="8" t="s">
        <v>111</v>
      </c>
      <c r="H6" s="8" t="s">
        <v>111</v>
      </c>
      <c r="I6" s="119"/>
      <c r="J6" s="8" t="s">
        <v>111</v>
      </c>
      <c r="K6" s="8" t="s">
        <v>111</v>
      </c>
      <c r="L6" s="8" t="s">
        <v>111</v>
      </c>
      <c r="M6" s="124"/>
      <c r="N6" s="8" t="s">
        <v>111</v>
      </c>
      <c r="O6" s="8" t="s">
        <v>111</v>
      </c>
      <c r="P6" s="8" t="s">
        <v>111</v>
      </c>
      <c r="Q6" s="8" t="s">
        <v>111</v>
      </c>
      <c r="R6" s="119"/>
      <c r="S6" s="8" t="s">
        <v>798</v>
      </c>
      <c r="T6" s="124"/>
      <c r="U6" s="8" t="s">
        <v>798</v>
      </c>
      <c r="V6" s="8" t="s">
        <v>798</v>
      </c>
      <c r="W6" s="119"/>
      <c r="X6" s="8" t="s">
        <v>111</v>
      </c>
      <c r="Y6" s="8" t="s">
        <v>798</v>
      </c>
      <c r="Z6" s="8" t="s">
        <v>111</v>
      </c>
      <c r="AA6" s="124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16</v>
      </c>
      <c r="AH6" s="5">
        <f t="shared" si="2"/>
        <v>5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1">
        <v>331</v>
      </c>
      <c r="C7" s="24" t="s">
        <v>646</v>
      </c>
      <c r="D7" s="20" t="s">
        <v>644</v>
      </c>
      <c r="E7" s="8" t="s">
        <v>111</v>
      </c>
      <c r="F7" s="124"/>
      <c r="G7" s="8" t="s">
        <v>111</v>
      </c>
      <c r="H7" s="8" t="s">
        <v>111</v>
      </c>
      <c r="I7" s="119"/>
      <c r="J7" s="8" t="s">
        <v>111</v>
      </c>
      <c r="K7" s="8" t="s">
        <v>111</v>
      </c>
      <c r="L7" s="8" t="s">
        <v>111</v>
      </c>
      <c r="M7" s="124"/>
      <c r="N7" s="8" t="s">
        <v>111</v>
      </c>
      <c r="O7" s="8" t="s">
        <v>111</v>
      </c>
      <c r="P7" s="8" t="s">
        <v>111</v>
      </c>
      <c r="Q7" s="8" t="s">
        <v>111</v>
      </c>
      <c r="R7" s="119"/>
      <c r="S7" s="8" t="s">
        <v>111</v>
      </c>
      <c r="T7" s="124"/>
      <c r="U7" s="8" t="s">
        <v>798</v>
      </c>
      <c r="V7" s="8" t="s">
        <v>111</v>
      </c>
      <c r="W7" s="119"/>
      <c r="X7" s="8" t="s">
        <v>111</v>
      </c>
      <c r="Y7" s="8" t="s">
        <v>111</v>
      </c>
      <c r="Z7" s="8" t="s">
        <v>111</v>
      </c>
      <c r="AA7" s="124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20</v>
      </c>
      <c r="AH7" s="5">
        <f t="shared" si="2"/>
        <v>1</v>
      </c>
      <c r="AI7" s="5" t="s">
        <v>124</v>
      </c>
      <c r="AJ7" s="9">
        <v>1</v>
      </c>
      <c r="AK7" s="3"/>
      <c r="AL7" s="3"/>
    </row>
    <row r="8" spans="1:38" x14ac:dyDescent="0.25">
      <c r="A8" s="9">
        <v>4</v>
      </c>
      <c r="B8" s="21">
        <v>306</v>
      </c>
      <c r="C8" s="24" t="s">
        <v>647</v>
      </c>
      <c r="D8" s="20" t="s">
        <v>644</v>
      </c>
      <c r="E8" s="8" t="s">
        <v>798</v>
      </c>
      <c r="F8" s="124"/>
      <c r="G8" s="8" t="s">
        <v>111</v>
      </c>
      <c r="H8" s="8" t="s">
        <v>111</v>
      </c>
      <c r="I8" s="119"/>
      <c r="J8" s="8" t="s">
        <v>111</v>
      </c>
      <c r="K8" s="8" t="s">
        <v>798</v>
      </c>
      <c r="L8" s="8" t="s">
        <v>798</v>
      </c>
      <c r="M8" s="124"/>
      <c r="N8" s="8" t="s">
        <v>111</v>
      </c>
      <c r="O8" s="8" t="s">
        <v>111</v>
      </c>
      <c r="P8" s="8" t="s">
        <v>798</v>
      </c>
      <c r="Q8" s="8" t="s">
        <v>111</v>
      </c>
      <c r="R8" s="119"/>
      <c r="S8" s="8" t="s">
        <v>798</v>
      </c>
      <c r="T8" s="124"/>
      <c r="U8" s="8" t="s">
        <v>111</v>
      </c>
      <c r="V8" s="8" t="s">
        <v>111</v>
      </c>
      <c r="W8" s="119"/>
      <c r="X8" s="8" t="s">
        <v>111</v>
      </c>
      <c r="Y8" s="8" t="s">
        <v>111</v>
      </c>
      <c r="Z8" s="8" t="s">
        <v>111</v>
      </c>
      <c r="AA8" s="124"/>
      <c r="AB8" s="8" t="s">
        <v>111</v>
      </c>
      <c r="AC8" s="8" t="s">
        <v>798</v>
      </c>
      <c r="AD8" s="8" t="s">
        <v>111</v>
      </c>
      <c r="AE8" s="8" t="s">
        <v>111</v>
      </c>
      <c r="AF8" s="8" t="s">
        <v>111</v>
      </c>
      <c r="AG8" s="5">
        <f t="shared" si="1"/>
        <v>15</v>
      </c>
      <c r="AH8" s="5">
        <f t="shared" si="2"/>
        <v>6</v>
      </c>
      <c r="AI8" s="5"/>
      <c r="AJ8" s="9"/>
      <c r="AK8"/>
      <c r="AL8"/>
    </row>
    <row r="9" spans="1:38" x14ac:dyDescent="0.25">
      <c r="A9" s="21">
        <v>5</v>
      </c>
      <c r="B9" s="21">
        <v>567</v>
      </c>
      <c r="C9" s="24" t="s">
        <v>648</v>
      </c>
      <c r="D9" s="20" t="s">
        <v>644</v>
      </c>
      <c r="E9" s="8" t="s">
        <v>111</v>
      </c>
      <c r="F9" s="124"/>
      <c r="G9" s="8" t="s">
        <v>798</v>
      </c>
      <c r="H9" s="8" t="s">
        <v>111</v>
      </c>
      <c r="I9" s="119"/>
      <c r="J9" s="8" t="s">
        <v>111</v>
      </c>
      <c r="K9" s="8" t="s">
        <v>111</v>
      </c>
      <c r="L9" s="8" t="s">
        <v>111</v>
      </c>
      <c r="M9" s="124"/>
      <c r="N9" s="8" t="s">
        <v>798</v>
      </c>
      <c r="O9" s="8" t="s">
        <v>111</v>
      </c>
      <c r="P9" s="8" t="s">
        <v>798</v>
      </c>
      <c r="Q9" s="8" t="s">
        <v>111</v>
      </c>
      <c r="R9" s="119"/>
      <c r="S9" s="8" t="s">
        <v>111</v>
      </c>
      <c r="T9" s="124"/>
      <c r="U9" s="8" t="s">
        <v>111</v>
      </c>
      <c r="V9" s="8" t="s">
        <v>798</v>
      </c>
      <c r="W9" s="119"/>
      <c r="X9" s="8" t="s">
        <v>111</v>
      </c>
      <c r="Y9" s="8" t="s">
        <v>111</v>
      </c>
      <c r="Z9" s="8" t="s">
        <v>111</v>
      </c>
      <c r="AA9" s="124"/>
      <c r="AB9" s="8" t="s">
        <v>111</v>
      </c>
      <c r="AC9" s="8" t="s">
        <v>798</v>
      </c>
      <c r="AD9" s="8" t="s">
        <v>798</v>
      </c>
      <c r="AE9" s="8" t="s">
        <v>111</v>
      </c>
      <c r="AF9" s="8" t="s">
        <v>798</v>
      </c>
      <c r="AG9" s="5">
        <f t="shared" si="1"/>
        <v>14</v>
      </c>
      <c r="AH9" s="5">
        <f t="shared" si="2"/>
        <v>7</v>
      </c>
      <c r="AI9" s="5"/>
      <c r="AJ9" s="9"/>
    </row>
    <row r="10" spans="1:38" x14ac:dyDescent="0.25">
      <c r="A10" s="9">
        <v>6</v>
      </c>
      <c r="B10" s="21">
        <v>721</v>
      </c>
      <c r="C10" s="24" t="s">
        <v>57</v>
      </c>
      <c r="D10" s="20" t="s">
        <v>644</v>
      </c>
      <c r="E10" s="8" t="s">
        <v>111</v>
      </c>
      <c r="F10" s="124"/>
      <c r="G10" s="8" t="s">
        <v>798</v>
      </c>
      <c r="H10" s="8" t="s">
        <v>111</v>
      </c>
      <c r="I10" s="119"/>
      <c r="J10" s="8" t="s">
        <v>111</v>
      </c>
      <c r="K10" s="8" t="s">
        <v>111</v>
      </c>
      <c r="L10" s="8" t="s">
        <v>111</v>
      </c>
      <c r="M10" s="124"/>
      <c r="N10" s="8" t="s">
        <v>111</v>
      </c>
      <c r="O10" s="8" t="s">
        <v>111</v>
      </c>
      <c r="P10" s="8" t="s">
        <v>111</v>
      </c>
      <c r="Q10" s="8" t="s">
        <v>111</v>
      </c>
      <c r="R10" s="119"/>
      <c r="S10" s="8" t="s">
        <v>111</v>
      </c>
      <c r="T10" s="124"/>
      <c r="U10" s="8" t="s">
        <v>111</v>
      </c>
      <c r="V10" s="8" t="s">
        <v>111</v>
      </c>
      <c r="W10" s="119"/>
      <c r="X10" s="8" t="s">
        <v>111</v>
      </c>
      <c r="Y10" s="8" t="s">
        <v>111</v>
      </c>
      <c r="Z10" s="8" t="s">
        <v>111</v>
      </c>
      <c r="AA10" s="124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20</v>
      </c>
      <c r="AH10" s="5">
        <f t="shared" si="2"/>
        <v>1</v>
      </c>
    </row>
    <row r="11" spans="1:38" ht="15.75" x14ac:dyDescent="0.25">
      <c r="A11" s="21">
        <v>7</v>
      </c>
      <c r="B11" s="21">
        <v>342</v>
      </c>
      <c r="C11" s="24" t="s">
        <v>649</v>
      </c>
      <c r="D11" s="20" t="s">
        <v>644</v>
      </c>
      <c r="E11" s="8" t="s">
        <v>798</v>
      </c>
      <c r="F11" s="124"/>
      <c r="G11" s="8" t="s">
        <v>111</v>
      </c>
      <c r="H11" s="8" t="s">
        <v>111</v>
      </c>
      <c r="I11" s="119"/>
      <c r="J11" s="8" t="s">
        <v>798</v>
      </c>
      <c r="K11" s="8" t="s">
        <v>798</v>
      </c>
      <c r="L11" s="8" t="s">
        <v>798</v>
      </c>
      <c r="M11" s="124"/>
      <c r="N11" s="8" t="s">
        <v>111</v>
      </c>
      <c r="O11" s="8" t="s">
        <v>111</v>
      </c>
      <c r="P11" s="8" t="s">
        <v>798</v>
      </c>
      <c r="Q11" s="8" t="s">
        <v>798</v>
      </c>
      <c r="R11" s="119"/>
      <c r="S11" s="8" t="s">
        <v>798</v>
      </c>
      <c r="T11" s="124"/>
      <c r="U11" s="8" t="s">
        <v>111</v>
      </c>
      <c r="V11" s="8" t="s">
        <v>111</v>
      </c>
      <c r="W11" s="119"/>
      <c r="X11" s="8" t="s">
        <v>111</v>
      </c>
      <c r="Y11" s="8" t="s">
        <v>111</v>
      </c>
      <c r="Z11" s="8" t="s">
        <v>111</v>
      </c>
      <c r="AA11" s="124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798</v>
      </c>
      <c r="AG11" s="5">
        <f t="shared" si="1"/>
        <v>13</v>
      </c>
      <c r="AH11" s="5">
        <f t="shared" si="2"/>
        <v>8</v>
      </c>
      <c r="AI11" s="120" t="s">
        <v>9</v>
      </c>
      <c r="AJ11" s="121"/>
      <c r="AK11" s="121"/>
      <c r="AL11" s="122"/>
    </row>
    <row r="12" spans="1:38" x14ac:dyDescent="0.25">
      <c r="A12" s="9">
        <v>8</v>
      </c>
      <c r="B12" s="21">
        <v>625</v>
      </c>
      <c r="C12" s="24" t="s">
        <v>650</v>
      </c>
      <c r="D12" s="20" t="s">
        <v>644</v>
      </c>
      <c r="E12" s="8" t="s">
        <v>111</v>
      </c>
      <c r="F12" s="124"/>
      <c r="G12" s="8" t="s">
        <v>111</v>
      </c>
      <c r="H12" s="8" t="s">
        <v>111</v>
      </c>
      <c r="I12" s="119"/>
      <c r="J12" s="8" t="s">
        <v>111</v>
      </c>
      <c r="K12" s="8" t="s">
        <v>111</v>
      </c>
      <c r="L12" s="8" t="s">
        <v>798</v>
      </c>
      <c r="M12" s="124"/>
      <c r="N12" s="8" t="s">
        <v>111</v>
      </c>
      <c r="O12" s="8" t="s">
        <v>798</v>
      </c>
      <c r="P12" s="8" t="s">
        <v>111</v>
      </c>
      <c r="Q12" s="8" t="s">
        <v>111</v>
      </c>
      <c r="R12" s="119"/>
      <c r="S12" s="8" t="s">
        <v>111</v>
      </c>
      <c r="T12" s="124"/>
      <c r="U12" s="8" t="s">
        <v>111</v>
      </c>
      <c r="V12" s="8" t="s">
        <v>111</v>
      </c>
      <c r="W12" s="119"/>
      <c r="X12" s="8" t="s">
        <v>111</v>
      </c>
      <c r="Y12" s="8" t="s">
        <v>111</v>
      </c>
      <c r="Z12" s="8" t="s">
        <v>798</v>
      </c>
      <c r="AA12" s="124"/>
      <c r="AB12" s="8" t="s">
        <v>111</v>
      </c>
      <c r="AC12" s="8" t="s">
        <v>798</v>
      </c>
      <c r="AD12" s="8" t="s">
        <v>111</v>
      </c>
      <c r="AE12" s="8" t="s">
        <v>111</v>
      </c>
      <c r="AF12" s="8" t="s">
        <v>111</v>
      </c>
      <c r="AG12" s="5">
        <f t="shared" si="1"/>
        <v>17</v>
      </c>
      <c r="AH12" s="5">
        <f t="shared" si="2"/>
        <v>4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1">
        <v>627</v>
      </c>
      <c r="C13" s="24" t="s">
        <v>651</v>
      </c>
      <c r="D13" s="20" t="s">
        <v>644</v>
      </c>
      <c r="E13" s="8" t="s">
        <v>111</v>
      </c>
      <c r="F13" s="124"/>
      <c r="G13" s="8" t="s">
        <v>111</v>
      </c>
      <c r="H13" s="8" t="s">
        <v>111</v>
      </c>
      <c r="I13" s="119"/>
      <c r="J13" s="8" t="s">
        <v>111</v>
      </c>
      <c r="K13" s="8" t="s">
        <v>111</v>
      </c>
      <c r="L13" s="8" t="s">
        <v>111</v>
      </c>
      <c r="M13" s="124"/>
      <c r="N13" s="8" t="s">
        <v>111</v>
      </c>
      <c r="O13" s="8" t="s">
        <v>111</v>
      </c>
      <c r="P13" s="8" t="s">
        <v>111</v>
      </c>
      <c r="Q13" s="8" t="s">
        <v>111</v>
      </c>
      <c r="R13" s="119"/>
      <c r="S13" s="8" t="s">
        <v>798</v>
      </c>
      <c r="T13" s="124"/>
      <c r="U13" s="8" t="s">
        <v>111</v>
      </c>
      <c r="V13" s="8" t="s">
        <v>798</v>
      </c>
      <c r="W13" s="119"/>
      <c r="X13" s="8" t="s">
        <v>111</v>
      </c>
      <c r="Y13" s="8" t="s">
        <v>111</v>
      </c>
      <c r="Z13" s="8" t="s">
        <v>111</v>
      </c>
      <c r="AA13" s="124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19</v>
      </c>
      <c r="AH13" s="5">
        <f t="shared" si="2"/>
        <v>2</v>
      </c>
      <c r="AI13" s="5" t="s">
        <v>14</v>
      </c>
      <c r="AJ13" s="9">
        <f>29*$AJ$5</f>
        <v>725</v>
      </c>
      <c r="AK13" s="9">
        <f>19*$AJ$5</f>
        <v>475</v>
      </c>
      <c r="AL13" s="9">
        <f>SUM(AJ13:AK13)</f>
        <v>1200</v>
      </c>
    </row>
    <row r="14" spans="1:38" x14ac:dyDescent="0.25">
      <c r="A14" s="9">
        <v>10</v>
      </c>
      <c r="B14" s="21">
        <v>723</v>
      </c>
      <c r="C14" s="24" t="s">
        <v>652</v>
      </c>
      <c r="D14" s="20" t="s">
        <v>644</v>
      </c>
      <c r="E14" s="8" t="s">
        <v>111</v>
      </c>
      <c r="F14" s="124"/>
      <c r="G14" s="8" t="s">
        <v>111</v>
      </c>
      <c r="H14" s="8" t="s">
        <v>111</v>
      </c>
      <c r="I14" s="119"/>
      <c r="J14" s="8" t="s">
        <v>111</v>
      </c>
      <c r="K14" s="8" t="s">
        <v>111</v>
      </c>
      <c r="L14" s="8" t="s">
        <v>111</v>
      </c>
      <c r="M14" s="124"/>
      <c r="N14" s="8" t="s">
        <v>111</v>
      </c>
      <c r="O14" s="8" t="s">
        <v>111</v>
      </c>
      <c r="P14" s="8" t="s">
        <v>798</v>
      </c>
      <c r="Q14" s="8" t="s">
        <v>798</v>
      </c>
      <c r="R14" s="119"/>
      <c r="S14" s="8" t="s">
        <v>798</v>
      </c>
      <c r="T14" s="124"/>
      <c r="U14" s="8" t="s">
        <v>798</v>
      </c>
      <c r="V14" s="8" t="s">
        <v>798</v>
      </c>
      <c r="W14" s="119"/>
      <c r="X14" s="8" t="s">
        <v>798</v>
      </c>
      <c r="Y14" s="8" t="s">
        <v>111</v>
      </c>
      <c r="Z14" s="8" t="s">
        <v>111</v>
      </c>
      <c r="AA14" s="124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15</v>
      </c>
      <c r="AH14" s="5">
        <f t="shared" si="2"/>
        <v>6</v>
      </c>
      <c r="AI14" s="5" t="s">
        <v>15</v>
      </c>
      <c r="AJ14" s="9">
        <f>SUM(AG5:AG31)</f>
        <v>453</v>
      </c>
      <c r="AK14" s="9">
        <f>SUM(AG32:AG49)</f>
        <v>299</v>
      </c>
      <c r="AL14" s="9">
        <f>AJ14+AK14</f>
        <v>752</v>
      </c>
    </row>
    <row r="15" spans="1:38" x14ac:dyDescent="0.25">
      <c r="A15" s="21">
        <v>11</v>
      </c>
      <c r="B15" s="21">
        <v>717</v>
      </c>
      <c r="C15" s="24" t="s">
        <v>653</v>
      </c>
      <c r="D15" s="20" t="s">
        <v>644</v>
      </c>
      <c r="E15" s="8" t="s">
        <v>111</v>
      </c>
      <c r="F15" s="124"/>
      <c r="G15" s="8" t="s">
        <v>111</v>
      </c>
      <c r="H15" s="8" t="s">
        <v>111</v>
      </c>
      <c r="I15" s="119"/>
      <c r="J15" s="8" t="s">
        <v>798</v>
      </c>
      <c r="K15" s="8" t="s">
        <v>111</v>
      </c>
      <c r="L15" s="8" t="s">
        <v>798</v>
      </c>
      <c r="M15" s="124"/>
      <c r="N15" s="8" t="s">
        <v>111</v>
      </c>
      <c r="O15" s="8" t="s">
        <v>111</v>
      </c>
      <c r="P15" s="8" t="s">
        <v>798</v>
      </c>
      <c r="Q15" s="8" t="s">
        <v>111</v>
      </c>
      <c r="R15" s="119"/>
      <c r="S15" s="8" t="s">
        <v>798</v>
      </c>
      <c r="T15" s="124"/>
      <c r="U15" s="8" t="s">
        <v>111</v>
      </c>
      <c r="V15" s="8" t="s">
        <v>798</v>
      </c>
      <c r="W15" s="119"/>
      <c r="X15" s="8" t="s">
        <v>798</v>
      </c>
      <c r="Y15" s="8" t="s">
        <v>111</v>
      </c>
      <c r="Z15" s="8" t="s">
        <v>798</v>
      </c>
      <c r="AA15" s="124"/>
      <c r="AB15" s="8" t="s">
        <v>798</v>
      </c>
      <c r="AC15" s="8" t="s">
        <v>111</v>
      </c>
      <c r="AD15" s="8" t="s">
        <v>798</v>
      </c>
      <c r="AE15" s="8" t="s">
        <v>111</v>
      </c>
      <c r="AF15" s="8" t="s">
        <v>798</v>
      </c>
      <c r="AG15" s="5">
        <f t="shared" si="1"/>
        <v>11</v>
      </c>
      <c r="AH15" s="5">
        <f t="shared" si="2"/>
        <v>10</v>
      </c>
      <c r="AI15" s="5" t="s">
        <v>16</v>
      </c>
      <c r="AJ15" s="12">
        <f>AJ14/AJ13</f>
        <v>0.6248275862068966</v>
      </c>
      <c r="AK15" s="12">
        <f>AK14/AK13</f>
        <v>0.6294736842105263</v>
      </c>
      <c r="AL15" s="12">
        <f>AL14/AL13</f>
        <v>0.62666666666666671</v>
      </c>
    </row>
    <row r="16" spans="1:38" x14ac:dyDescent="0.25">
      <c r="A16" s="9">
        <v>12</v>
      </c>
      <c r="B16" s="21">
        <v>624</v>
      </c>
      <c r="C16" s="24" t="s">
        <v>654</v>
      </c>
      <c r="D16" s="20" t="s">
        <v>644</v>
      </c>
      <c r="E16" s="8" t="s">
        <v>798</v>
      </c>
      <c r="F16" s="124"/>
      <c r="G16" s="8" t="s">
        <v>111</v>
      </c>
      <c r="H16" s="8" t="s">
        <v>111</v>
      </c>
      <c r="I16" s="119"/>
      <c r="J16" s="8" t="s">
        <v>111</v>
      </c>
      <c r="K16" s="8" t="s">
        <v>111</v>
      </c>
      <c r="L16" s="8" t="s">
        <v>111</v>
      </c>
      <c r="M16" s="124"/>
      <c r="N16" s="8" t="s">
        <v>111</v>
      </c>
      <c r="O16" s="8" t="s">
        <v>111</v>
      </c>
      <c r="P16" s="8" t="s">
        <v>111</v>
      </c>
      <c r="Q16" s="8" t="s">
        <v>111</v>
      </c>
      <c r="R16" s="119"/>
      <c r="S16" s="8" t="s">
        <v>111</v>
      </c>
      <c r="T16" s="124"/>
      <c r="U16" s="8" t="s">
        <v>111</v>
      </c>
      <c r="V16" s="8" t="s">
        <v>111</v>
      </c>
      <c r="W16" s="119"/>
      <c r="X16" s="8" t="s">
        <v>111</v>
      </c>
      <c r="Y16" s="8" t="s">
        <v>111</v>
      </c>
      <c r="Z16" s="8" t="s">
        <v>111</v>
      </c>
      <c r="AA16" s="124"/>
      <c r="AB16" s="8" t="s">
        <v>111</v>
      </c>
      <c r="AC16" s="8" t="s">
        <v>111</v>
      </c>
      <c r="AD16" s="8" t="s">
        <v>111</v>
      </c>
      <c r="AE16" s="8" t="s">
        <v>798</v>
      </c>
      <c r="AF16" s="8" t="s">
        <v>798</v>
      </c>
      <c r="AG16" s="5">
        <f t="shared" si="1"/>
        <v>18</v>
      </c>
      <c r="AH16" s="5">
        <f t="shared" si="2"/>
        <v>3</v>
      </c>
      <c r="AI16"/>
      <c r="AJ16"/>
      <c r="AK16"/>
      <c r="AL16"/>
    </row>
    <row r="17" spans="1:38" x14ac:dyDescent="0.25">
      <c r="A17" s="21">
        <v>13</v>
      </c>
      <c r="B17" s="21">
        <v>718</v>
      </c>
      <c r="C17" s="24" t="s">
        <v>655</v>
      </c>
      <c r="D17" s="20" t="s">
        <v>644</v>
      </c>
      <c r="E17" s="8" t="s">
        <v>798</v>
      </c>
      <c r="F17" s="124"/>
      <c r="G17" s="8" t="s">
        <v>111</v>
      </c>
      <c r="H17" s="8" t="s">
        <v>111</v>
      </c>
      <c r="I17" s="119"/>
      <c r="J17" s="8" t="s">
        <v>111</v>
      </c>
      <c r="K17" s="8" t="s">
        <v>111</v>
      </c>
      <c r="L17" s="8" t="s">
        <v>111</v>
      </c>
      <c r="M17" s="124"/>
      <c r="N17" s="8" t="s">
        <v>111</v>
      </c>
      <c r="O17" s="8" t="s">
        <v>111</v>
      </c>
      <c r="P17" s="8" t="s">
        <v>111</v>
      </c>
      <c r="Q17" s="8" t="s">
        <v>111</v>
      </c>
      <c r="R17" s="119"/>
      <c r="S17" s="8" t="s">
        <v>798</v>
      </c>
      <c r="T17" s="124"/>
      <c r="U17" s="8" t="s">
        <v>111</v>
      </c>
      <c r="V17" s="8" t="s">
        <v>111</v>
      </c>
      <c r="W17" s="119"/>
      <c r="X17" s="8" t="s">
        <v>111</v>
      </c>
      <c r="Y17" s="8" t="s">
        <v>111</v>
      </c>
      <c r="Z17" s="8" t="s">
        <v>111</v>
      </c>
      <c r="AA17" s="124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19</v>
      </c>
      <c r="AH17" s="5">
        <f t="shared" si="2"/>
        <v>2</v>
      </c>
      <c r="AI17"/>
      <c r="AJ17"/>
      <c r="AK17"/>
      <c r="AL17"/>
    </row>
    <row r="18" spans="1:38" ht="15.75" x14ac:dyDescent="0.25">
      <c r="A18" s="21">
        <v>14</v>
      </c>
      <c r="B18" s="21">
        <v>628</v>
      </c>
      <c r="C18" s="24" t="s">
        <v>126</v>
      </c>
      <c r="D18" s="20" t="s">
        <v>644</v>
      </c>
      <c r="E18" s="8" t="s">
        <v>111</v>
      </c>
      <c r="F18" s="124"/>
      <c r="G18" s="8" t="s">
        <v>111</v>
      </c>
      <c r="H18" s="8" t="s">
        <v>111</v>
      </c>
      <c r="I18" s="119"/>
      <c r="J18" s="8" t="s">
        <v>111</v>
      </c>
      <c r="K18" s="8" t="s">
        <v>111</v>
      </c>
      <c r="L18" s="8" t="s">
        <v>111</v>
      </c>
      <c r="M18" s="124"/>
      <c r="N18" s="8" t="s">
        <v>111</v>
      </c>
      <c r="O18" s="8" t="s">
        <v>111</v>
      </c>
      <c r="P18" s="8" t="s">
        <v>111</v>
      </c>
      <c r="Q18" s="8" t="s">
        <v>111</v>
      </c>
      <c r="R18" s="119"/>
      <c r="S18" s="8" t="s">
        <v>111</v>
      </c>
      <c r="T18" s="124"/>
      <c r="U18" s="8" t="s">
        <v>111</v>
      </c>
      <c r="V18" s="8" t="s">
        <v>111</v>
      </c>
      <c r="W18" s="119"/>
      <c r="X18" s="8" t="s">
        <v>111</v>
      </c>
      <c r="Y18" s="8" t="s">
        <v>111</v>
      </c>
      <c r="Z18" s="8" t="s">
        <v>111</v>
      </c>
      <c r="AA18" s="124"/>
      <c r="AB18" s="8" t="s">
        <v>111</v>
      </c>
      <c r="AC18" s="8" t="s">
        <v>111</v>
      </c>
      <c r="AD18" s="8" t="s">
        <v>111</v>
      </c>
      <c r="AE18" s="8" t="s">
        <v>798</v>
      </c>
      <c r="AF18" s="8" t="s">
        <v>111</v>
      </c>
      <c r="AG18" s="5">
        <f t="shared" si="1"/>
        <v>20</v>
      </c>
      <c r="AH18" s="5">
        <f t="shared" si="2"/>
        <v>1</v>
      </c>
      <c r="AI18" s="120" t="s">
        <v>123</v>
      </c>
      <c r="AJ18" s="121"/>
      <c r="AK18" s="121"/>
      <c r="AL18" s="122"/>
    </row>
    <row r="19" spans="1:38" x14ac:dyDescent="0.25">
      <c r="A19" s="21">
        <v>15</v>
      </c>
      <c r="B19" s="21">
        <v>621</v>
      </c>
      <c r="C19" s="24" t="s">
        <v>656</v>
      </c>
      <c r="D19" s="20" t="s">
        <v>644</v>
      </c>
      <c r="E19" s="8" t="s">
        <v>111</v>
      </c>
      <c r="F19" s="124"/>
      <c r="G19" s="8" t="s">
        <v>111</v>
      </c>
      <c r="H19" s="8" t="s">
        <v>111</v>
      </c>
      <c r="I19" s="119"/>
      <c r="J19" s="8" t="s">
        <v>111</v>
      </c>
      <c r="K19" s="8" t="s">
        <v>111</v>
      </c>
      <c r="L19" s="8" t="s">
        <v>111</v>
      </c>
      <c r="M19" s="124"/>
      <c r="N19" s="8" t="s">
        <v>111</v>
      </c>
      <c r="O19" s="8" t="s">
        <v>111</v>
      </c>
      <c r="P19" s="8" t="s">
        <v>111</v>
      </c>
      <c r="Q19" s="8" t="s">
        <v>111</v>
      </c>
      <c r="R19" s="119"/>
      <c r="S19" s="8" t="s">
        <v>111</v>
      </c>
      <c r="T19" s="124"/>
      <c r="U19" s="8" t="s">
        <v>111</v>
      </c>
      <c r="V19" s="8" t="s">
        <v>111</v>
      </c>
      <c r="W19" s="119"/>
      <c r="X19" s="8" t="s">
        <v>111</v>
      </c>
      <c r="Y19" s="8" t="s">
        <v>111</v>
      </c>
      <c r="Z19" s="8" t="s">
        <v>111</v>
      </c>
      <c r="AA19" s="124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21</v>
      </c>
      <c r="AH19" s="5">
        <f t="shared" si="2"/>
        <v>0</v>
      </c>
      <c r="AI19" s="5" t="s">
        <v>10</v>
      </c>
      <c r="AJ19" s="5" t="s">
        <v>11</v>
      </c>
      <c r="AK19" s="5" t="s">
        <v>12</v>
      </c>
      <c r="AL19" s="5" t="s">
        <v>13</v>
      </c>
    </row>
    <row r="20" spans="1:38" x14ac:dyDescent="0.25">
      <c r="A20" s="21">
        <v>16</v>
      </c>
      <c r="B20" s="21">
        <v>259</v>
      </c>
      <c r="C20" s="24" t="s">
        <v>305</v>
      </c>
      <c r="D20" s="20" t="s">
        <v>644</v>
      </c>
      <c r="E20" s="8" t="s">
        <v>111</v>
      </c>
      <c r="F20" s="124"/>
      <c r="G20" s="8" t="s">
        <v>111</v>
      </c>
      <c r="H20" s="8" t="s">
        <v>111</v>
      </c>
      <c r="I20" s="119"/>
      <c r="J20" s="8" t="s">
        <v>798</v>
      </c>
      <c r="K20" s="8" t="s">
        <v>798</v>
      </c>
      <c r="L20" s="8" t="s">
        <v>798</v>
      </c>
      <c r="M20" s="124"/>
      <c r="N20" s="8" t="s">
        <v>798</v>
      </c>
      <c r="O20" s="8" t="s">
        <v>111</v>
      </c>
      <c r="P20" s="8" t="s">
        <v>798</v>
      </c>
      <c r="Q20" s="8" t="s">
        <v>798</v>
      </c>
      <c r="R20" s="119"/>
      <c r="S20" s="8" t="s">
        <v>798</v>
      </c>
      <c r="T20" s="124"/>
      <c r="U20" s="8" t="s">
        <v>798</v>
      </c>
      <c r="V20" s="8" t="s">
        <v>798</v>
      </c>
      <c r="W20" s="119"/>
      <c r="X20" s="8" t="s">
        <v>798</v>
      </c>
      <c r="Y20" s="8" t="s">
        <v>798</v>
      </c>
      <c r="Z20" s="8" t="s">
        <v>798</v>
      </c>
      <c r="AA20" s="124"/>
      <c r="AB20" s="8" t="s">
        <v>111</v>
      </c>
      <c r="AC20" s="8" t="s">
        <v>111</v>
      </c>
      <c r="AD20" s="8" t="s">
        <v>798</v>
      </c>
      <c r="AE20" s="8" t="s">
        <v>111</v>
      </c>
      <c r="AF20" s="8" t="s">
        <v>111</v>
      </c>
      <c r="AG20" s="5">
        <f t="shared" si="1"/>
        <v>8</v>
      </c>
      <c r="AH20" s="5">
        <f t="shared" si="2"/>
        <v>13</v>
      </c>
      <c r="AI20" s="5" t="s">
        <v>14</v>
      </c>
      <c r="AJ20" s="9">
        <f>29*$AJ$5</f>
        <v>725</v>
      </c>
      <c r="AK20" s="9">
        <f>19*$AJ$5</f>
        <v>475</v>
      </c>
      <c r="AL20" s="9">
        <f>AJ20+AK20</f>
        <v>1200</v>
      </c>
    </row>
    <row r="21" spans="1:38" x14ac:dyDescent="0.25">
      <c r="A21" s="21">
        <v>17</v>
      </c>
      <c r="B21" s="21">
        <v>518</v>
      </c>
      <c r="C21" s="24" t="s">
        <v>657</v>
      </c>
      <c r="D21" s="20" t="s">
        <v>644</v>
      </c>
      <c r="E21" s="8" t="s">
        <v>111</v>
      </c>
      <c r="F21" s="124"/>
      <c r="G21" s="8" t="s">
        <v>111</v>
      </c>
      <c r="H21" s="8" t="s">
        <v>111</v>
      </c>
      <c r="I21" s="119"/>
      <c r="J21" s="8" t="s">
        <v>111</v>
      </c>
      <c r="K21" s="8" t="s">
        <v>111</v>
      </c>
      <c r="L21" s="8" t="s">
        <v>798</v>
      </c>
      <c r="M21" s="124"/>
      <c r="N21" s="8" t="s">
        <v>111</v>
      </c>
      <c r="O21" s="8" t="s">
        <v>111</v>
      </c>
      <c r="P21" s="8" t="s">
        <v>111</v>
      </c>
      <c r="Q21" s="8" t="s">
        <v>111</v>
      </c>
      <c r="R21" s="119"/>
      <c r="S21" s="8" t="s">
        <v>111</v>
      </c>
      <c r="T21" s="124"/>
      <c r="U21" s="8" t="s">
        <v>111</v>
      </c>
      <c r="V21" s="8" t="s">
        <v>111</v>
      </c>
      <c r="W21" s="119"/>
      <c r="X21" s="8" t="s">
        <v>111</v>
      </c>
      <c r="Y21" s="8" t="s">
        <v>111</v>
      </c>
      <c r="Z21" s="8" t="s">
        <v>111</v>
      </c>
      <c r="AA21" s="124"/>
      <c r="AB21" s="8" t="s">
        <v>111</v>
      </c>
      <c r="AC21" s="8" t="s">
        <v>798</v>
      </c>
      <c r="AD21" s="8" t="s">
        <v>111</v>
      </c>
      <c r="AE21" s="8" t="s">
        <v>111</v>
      </c>
      <c r="AF21" s="8" t="s">
        <v>111</v>
      </c>
      <c r="AG21" s="5">
        <f t="shared" si="1"/>
        <v>19</v>
      </c>
      <c r="AH21" s="5">
        <f t="shared" si="2"/>
        <v>2</v>
      </c>
      <c r="AI21" s="5" t="s">
        <v>17</v>
      </c>
      <c r="AJ21" s="9">
        <f>AJ20-AJ14</f>
        <v>272</v>
      </c>
      <c r="AK21" s="9">
        <f>AK20-AK14</f>
        <v>176</v>
      </c>
      <c r="AL21" s="9">
        <f>AJ21+AK21</f>
        <v>448</v>
      </c>
    </row>
    <row r="22" spans="1:38" x14ac:dyDescent="0.25">
      <c r="A22" s="21">
        <v>18</v>
      </c>
      <c r="B22" s="21">
        <v>639</v>
      </c>
      <c r="C22" s="24" t="s">
        <v>658</v>
      </c>
      <c r="D22" s="20" t="s">
        <v>644</v>
      </c>
      <c r="E22" s="8" t="s">
        <v>798</v>
      </c>
      <c r="F22" s="124"/>
      <c r="G22" s="8" t="s">
        <v>111</v>
      </c>
      <c r="H22" s="8" t="s">
        <v>111</v>
      </c>
      <c r="I22" s="119"/>
      <c r="J22" s="8" t="s">
        <v>111</v>
      </c>
      <c r="K22" s="8" t="s">
        <v>111</v>
      </c>
      <c r="L22" s="8" t="s">
        <v>111</v>
      </c>
      <c r="M22" s="124"/>
      <c r="N22" s="8" t="s">
        <v>111</v>
      </c>
      <c r="O22" s="8" t="s">
        <v>111</v>
      </c>
      <c r="P22" s="8" t="s">
        <v>111</v>
      </c>
      <c r="Q22" s="8" t="s">
        <v>111</v>
      </c>
      <c r="R22" s="119"/>
      <c r="S22" s="8" t="s">
        <v>111</v>
      </c>
      <c r="T22" s="124"/>
      <c r="U22" s="8" t="s">
        <v>111</v>
      </c>
      <c r="V22" s="8" t="s">
        <v>111</v>
      </c>
      <c r="W22" s="119"/>
      <c r="X22" s="8" t="s">
        <v>111</v>
      </c>
      <c r="Y22" s="8" t="s">
        <v>798</v>
      </c>
      <c r="Z22" s="8" t="s">
        <v>111</v>
      </c>
      <c r="AA22" s="124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19</v>
      </c>
      <c r="AH22" s="5">
        <f t="shared" si="2"/>
        <v>2</v>
      </c>
      <c r="AI22" s="5" t="s">
        <v>16</v>
      </c>
      <c r="AJ22" s="12">
        <f>AJ21/AJ20</f>
        <v>0.37517241379310345</v>
      </c>
      <c r="AK22" s="12">
        <f>AK21/AK20</f>
        <v>0.3705263157894737</v>
      </c>
      <c r="AL22" s="12">
        <f>AL21/AL20</f>
        <v>0.37333333333333335</v>
      </c>
    </row>
    <row r="23" spans="1:38" x14ac:dyDescent="0.25">
      <c r="A23" s="21">
        <v>19</v>
      </c>
      <c r="B23" s="21">
        <v>762</v>
      </c>
      <c r="C23" s="24" t="s">
        <v>295</v>
      </c>
      <c r="D23" s="20" t="s">
        <v>644</v>
      </c>
      <c r="E23" s="8" t="s">
        <v>111</v>
      </c>
      <c r="F23" s="124"/>
      <c r="G23" s="8" t="s">
        <v>111</v>
      </c>
      <c r="H23" s="8" t="s">
        <v>111</v>
      </c>
      <c r="I23" s="119"/>
      <c r="J23" s="8" t="s">
        <v>111</v>
      </c>
      <c r="K23" s="8" t="s">
        <v>111</v>
      </c>
      <c r="L23" s="8" t="s">
        <v>111</v>
      </c>
      <c r="M23" s="124"/>
      <c r="N23" s="8" t="s">
        <v>111</v>
      </c>
      <c r="O23" s="8" t="s">
        <v>111</v>
      </c>
      <c r="P23" s="8" t="s">
        <v>111</v>
      </c>
      <c r="Q23" s="8" t="s">
        <v>111</v>
      </c>
      <c r="R23" s="119"/>
      <c r="S23" s="8" t="s">
        <v>111</v>
      </c>
      <c r="T23" s="124"/>
      <c r="U23" s="8" t="s">
        <v>111</v>
      </c>
      <c r="V23" s="8" t="s">
        <v>111</v>
      </c>
      <c r="W23" s="119"/>
      <c r="X23" s="8" t="s">
        <v>111</v>
      </c>
      <c r="Y23" s="8" t="s">
        <v>111</v>
      </c>
      <c r="Z23" s="8" t="s">
        <v>111</v>
      </c>
      <c r="AA23" s="124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21</v>
      </c>
      <c r="AH23" s="5">
        <f t="shared" si="2"/>
        <v>0</v>
      </c>
    </row>
    <row r="24" spans="1:38" x14ac:dyDescent="0.25">
      <c r="A24" s="21">
        <v>20</v>
      </c>
      <c r="B24" s="21">
        <v>719</v>
      </c>
      <c r="C24" s="24" t="s">
        <v>299</v>
      </c>
      <c r="D24" s="20" t="s">
        <v>644</v>
      </c>
      <c r="E24" s="8" t="s">
        <v>111</v>
      </c>
      <c r="F24" s="124"/>
      <c r="G24" s="8" t="s">
        <v>111</v>
      </c>
      <c r="H24" s="8" t="s">
        <v>798</v>
      </c>
      <c r="I24" s="119"/>
      <c r="J24" s="8" t="s">
        <v>798</v>
      </c>
      <c r="K24" s="8" t="s">
        <v>111</v>
      </c>
      <c r="L24" s="8" t="s">
        <v>111</v>
      </c>
      <c r="M24" s="124"/>
      <c r="N24" s="8" t="s">
        <v>111</v>
      </c>
      <c r="O24" s="8" t="s">
        <v>798</v>
      </c>
      <c r="P24" s="8" t="s">
        <v>798</v>
      </c>
      <c r="Q24" s="8" t="s">
        <v>111</v>
      </c>
      <c r="R24" s="119"/>
      <c r="S24" s="8" t="s">
        <v>798</v>
      </c>
      <c r="T24" s="124"/>
      <c r="U24" s="8" t="s">
        <v>798</v>
      </c>
      <c r="V24" s="8" t="s">
        <v>798</v>
      </c>
      <c r="W24" s="119"/>
      <c r="X24" s="8" t="s">
        <v>798</v>
      </c>
      <c r="Y24" s="8" t="s">
        <v>798</v>
      </c>
      <c r="Z24" s="8" t="s">
        <v>111</v>
      </c>
      <c r="AA24" s="124"/>
      <c r="AB24" s="8" t="s">
        <v>111</v>
      </c>
      <c r="AC24" s="8" t="s">
        <v>798</v>
      </c>
      <c r="AD24" s="8" t="s">
        <v>798</v>
      </c>
      <c r="AE24" s="8" t="s">
        <v>111</v>
      </c>
      <c r="AF24" s="8" t="s">
        <v>111</v>
      </c>
      <c r="AG24" s="5">
        <f t="shared" si="1"/>
        <v>10</v>
      </c>
      <c r="AH24" s="5">
        <f t="shared" si="2"/>
        <v>11</v>
      </c>
    </row>
    <row r="25" spans="1:38" x14ac:dyDescent="0.25">
      <c r="A25" s="21">
        <v>21</v>
      </c>
      <c r="B25" s="21">
        <v>725</v>
      </c>
      <c r="C25" s="24" t="s">
        <v>659</v>
      </c>
      <c r="D25" s="20" t="s">
        <v>644</v>
      </c>
      <c r="E25" s="8" t="s">
        <v>111</v>
      </c>
      <c r="F25" s="124"/>
      <c r="G25" s="8" t="s">
        <v>111</v>
      </c>
      <c r="H25" s="8" t="s">
        <v>111</v>
      </c>
      <c r="I25" s="119"/>
      <c r="J25" s="8" t="s">
        <v>111</v>
      </c>
      <c r="K25" s="8" t="s">
        <v>111</v>
      </c>
      <c r="L25" s="8" t="s">
        <v>111</v>
      </c>
      <c r="M25" s="124"/>
      <c r="N25" s="8" t="s">
        <v>111</v>
      </c>
      <c r="O25" s="8" t="s">
        <v>111</v>
      </c>
      <c r="P25" s="8" t="s">
        <v>111</v>
      </c>
      <c r="Q25" s="8" t="s">
        <v>111</v>
      </c>
      <c r="R25" s="119"/>
      <c r="S25" s="8" t="s">
        <v>111</v>
      </c>
      <c r="T25" s="124"/>
      <c r="U25" s="8" t="s">
        <v>111</v>
      </c>
      <c r="V25" s="8" t="s">
        <v>111</v>
      </c>
      <c r="W25" s="119"/>
      <c r="X25" s="8" t="s">
        <v>111</v>
      </c>
      <c r="Y25" s="8" t="s">
        <v>111</v>
      </c>
      <c r="Z25" s="8" t="s">
        <v>111</v>
      </c>
      <c r="AA25" s="124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21</v>
      </c>
      <c r="AH25" s="5">
        <f t="shared" si="2"/>
        <v>0</v>
      </c>
    </row>
    <row r="26" spans="1:38" x14ac:dyDescent="0.25">
      <c r="A26" s="21">
        <v>22</v>
      </c>
      <c r="B26" s="21">
        <v>724</v>
      </c>
      <c r="C26" s="24" t="s">
        <v>456</v>
      </c>
      <c r="D26" s="20" t="s">
        <v>644</v>
      </c>
      <c r="E26" s="8" t="s">
        <v>111</v>
      </c>
      <c r="F26" s="124"/>
      <c r="G26" s="8" t="s">
        <v>111</v>
      </c>
      <c r="H26" s="8" t="s">
        <v>111</v>
      </c>
      <c r="I26" s="119"/>
      <c r="J26" s="8" t="s">
        <v>111</v>
      </c>
      <c r="K26" s="8" t="s">
        <v>111</v>
      </c>
      <c r="L26" s="8" t="s">
        <v>111</v>
      </c>
      <c r="M26" s="124"/>
      <c r="N26" s="8" t="s">
        <v>111</v>
      </c>
      <c r="O26" s="8" t="s">
        <v>111</v>
      </c>
      <c r="P26" s="8" t="s">
        <v>111</v>
      </c>
      <c r="Q26" s="8" t="s">
        <v>111</v>
      </c>
      <c r="R26" s="119"/>
      <c r="S26" s="8" t="s">
        <v>111</v>
      </c>
      <c r="T26" s="124"/>
      <c r="U26" s="8" t="s">
        <v>111</v>
      </c>
      <c r="V26" s="8" t="s">
        <v>111</v>
      </c>
      <c r="W26" s="119"/>
      <c r="X26" s="8" t="s">
        <v>111</v>
      </c>
      <c r="Y26" s="8" t="s">
        <v>111</v>
      </c>
      <c r="Z26" s="8" t="s">
        <v>111</v>
      </c>
      <c r="AA26" s="124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21</v>
      </c>
      <c r="AH26" s="5">
        <f t="shared" si="2"/>
        <v>0</v>
      </c>
    </row>
    <row r="27" spans="1:38" x14ac:dyDescent="0.25">
      <c r="A27" s="21">
        <v>23</v>
      </c>
      <c r="B27" s="103">
        <v>630</v>
      </c>
      <c r="C27" s="27" t="s">
        <v>660</v>
      </c>
      <c r="D27" s="20" t="s">
        <v>644</v>
      </c>
      <c r="E27" s="8" t="s">
        <v>111</v>
      </c>
      <c r="F27" s="124"/>
      <c r="G27" s="8" t="s">
        <v>111</v>
      </c>
      <c r="H27" s="8" t="s">
        <v>111</v>
      </c>
      <c r="I27" s="119"/>
      <c r="J27" s="8" t="s">
        <v>111</v>
      </c>
      <c r="K27" s="8" t="s">
        <v>111</v>
      </c>
      <c r="L27" s="8" t="s">
        <v>111</v>
      </c>
      <c r="M27" s="124"/>
      <c r="N27" s="8" t="s">
        <v>111</v>
      </c>
      <c r="O27" s="8" t="s">
        <v>111</v>
      </c>
      <c r="P27" s="8" t="s">
        <v>111</v>
      </c>
      <c r="Q27" s="8" t="s">
        <v>111</v>
      </c>
      <c r="R27" s="119"/>
      <c r="S27" s="8" t="s">
        <v>111</v>
      </c>
      <c r="T27" s="124"/>
      <c r="U27" s="8" t="s">
        <v>111</v>
      </c>
      <c r="V27" s="8" t="s">
        <v>111</v>
      </c>
      <c r="W27" s="119"/>
      <c r="X27" s="8" t="s">
        <v>111</v>
      </c>
      <c r="Y27" s="8" t="s">
        <v>111</v>
      </c>
      <c r="Z27" s="8" t="s">
        <v>111</v>
      </c>
      <c r="AA27" s="124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21</v>
      </c>
      <c r="AH27" s="5">
        <f t="shared" si="2"/>
        <v>0</v>
      </c>
    </row>
    <row r="28" spans="1:38" x14ac:dyDescent="0.25">
      <c r="A28" s="21">
        <v>24</v>
      </c>
      <c r="B28" s="21">
        <v>406</v>
      </c>
      <c r="C28" s="29" t="s">
        <v>661</v>
      </c>
      <c r="D28" s="20" t="s">
        <v>644</v>
      </c>
      <c r="E28" s="8" t="s">
        <v>111</v>
      </c>
      <c r="F28" s="124"/>
      <c r="G28" s="8" t="s">
        <v>111</v>
      </c>
      <c r="H28" s="8" t="s">
        <v>111</v>
      </c>
      <c r="I28" s="119"/>
      <c r="J28" s="8" t="s">
        <v>111</v>
      </c>
      <c r="K28" s="8" t="s">
        <v>111</v>
      </c>
      <c r="L28" s="8" t="s">
        <v>111</v>
      </c>
      <c r="M28" s="124"/>
      <c r="N28" s="8" t="s">
        <v>111</v>
      </c>
      <c r="O28" s="8" t="s">
        <v>111</v>
      </c>
      <c r="P28" s="8" t="s">
        <v>111</v>
      </c>
      <c r="Q28" s="8" t="s">
        <v>111</v>
      </c>
      <c r="R28" s="119"/>
      <c r="S28" s="8" t="s">
        <v>111</v>
      </c>
      <c r="T28" s="124"/>
      <c r="U28" s="8" t="s">
        <v>111</v>
      </c>
      <c r="V28" s="8" t="s">
        <v>111</v>
      </c>
      <c r="W28" s="119"/>
      <c r="X28" s="8" t="s">
        <v>111</v>
      </c>
      <c r="Y28" s="8" t="s">
        <v>111</v>
      </c>
      <c r="Z28" s="8" t="s">
        <v>799</v>
      </c>
      <c r="AA28" s="124"/>
      <c r="AB28" s="8" t="s">
        <v>799</v>
      </c>
      <c r="AC28" s="8" t="s">
        <v>799</v>
      </c>
      <c r="AD28" s="8" t="s">
        <v>799</v>
      </c>
      <c r="AE28" s="8" t="s">
        <v>111</v>
      </c>
      <c r="AF28" s="8" t="s">
        <v>111</v>
      </c>
      <c r="AG28" s="5">
        <f t="shared" si="1"/>
        <v>17</v>
      </c>
      <c r="AH28" s="5">
        <f t="shared" si="2"/>
        <v>0</v>
      </c>
    </row>
    <row r="29" spans="1:38" x14ac:dyDescent="0.25">
      <c r="A29" s="21">
        <v>25</v>
      </c>
      <c r="B29" s="21">
        <v>849</v>
      </c>
      <c r="C29" s="29" t="s">
        <v>662</v>
      </c>
      <c r="D29" s="20" t="s">
        <v>644</v>
      </c>
      <c r="E29" s="8" t="s">
        <v>798</v>
      </c>
      <c r="F29" s="124"/>
      <c r="G29" s="8" t="s">
        <v>111</v>
      </c>
      <c r="H29" s="8" t="s">
        <v>111</v>
      </c>
      <c r="I29" s="119"/>
      <c r="J29" s="8" t="s">
        <v>111</v>
      </c>
      <c r="K29" s="8" t="s">
        <v>111</v>
      </c>
      <c r="L29" s="8" t="s">
        <v>111</v>
      </c>
      <c r="M29" s="124"/>
      <c r="N29" s="8" t="s">
        <v>798</v>
      </c>
      <c r="O29" s="8" t="s">
        <v>798</v>
      </c>
      <c r="P29" s="8" t="s">
        <v>798</v>
      </c>
      <c r="Q29" s="8" t="s">
        <v>798</v>
      </c>
      <c r="R29" s="119"/>
      <c r="S29" s="8" t="s">
        <v>798</v>
      </c>
      <c r="T29" s="124"/>
      <c r="U29" s="8" t="s">
        <v>111</v>
      </c>
      <c r="V29" s="8" t="s">
        <v>111</v>
      </c>
      <c r="W29" s="119"/>
      <c r="X29" s="8" t="s">
        <v>111</v>
      </c>
      <c r="Y29" s="8" t="s">
        <v>111</v>
      </c>
      <c r="Z29" s="8" t="s">
        <v>111</v>
      </c>
      <c r="AA29" s="124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15</v>
      </c>
      <c r="AH29" s="5">
        <f t="shared" si="2"/>
        <v>6</v>
      </c>
    </row>
    <row r="30" spans="1:38" x14ac:dyDescent="0.25">
      <c r="A30" s="21">
        <v>26</v>
      </c>
      <c r="B30" s="21">
        <v>514</v>
      </c>
      <c r="C30" s="29" t="s">
        <v>507</v>
      </c>
      <c r="D30" s="20" t="s">
        <v>644</v>
      </c>
      <c r="E30" s="8" t="s">
        <v>798</v>
      </c>
      <c r="F30" s="124"/>
      <c r="G30" s="8" t="s">
        <v>111</v>
      </c>
      <c r="H30" s="8" t="s">
        <v>798</v>
      </c>
      <c r="I30" s="119"/>
      <c r="J30" s="8" t="s">
        <v>798</v>
      </c>
      <c r="K30" s="8" t="s">
        <v>798</v>
      </c>
      <c r="L30" s="8" t="s">
        <v>798</v>
      </c>
      <c r="M30" s="124"/>
      <c r="N30" s="8" t="s">
        <v>111</v>
      </c>
      <c r="O30" s="8" t="s">
        <v>111</v>
      </c>
      <c r="P30" s="8" t="s">
        <v>111</v>
      </c>
      <c r="Q30" s="8" t="s">
        <v>111</v>
      </c>
      <c r="R30" s="119"/>
      <c r="S30" s="8" t="s">
        <v>111</v>
      </c>
      <c r="T30" s="124"/>
      <c r="U30" s="8" t="s">
        <v>111</v>
      </c>
      <c r="V30" s="8" t="s">
        <v>111</v>
      </c>
      <c r="W30" s="119"/>
      <c r="X30" s="8" t="s">
        <v>798</v>
      </c>
      <c r="Y30" s="8" t="s">
        <v>798</v>
      </c>
      <c r="Z30" s="8" t="s">
        <v>111</v>
      </c>
      <c r="AA30" s="124"/>
      <c r="AB30" s="8" t="s">
        <v>798</v>
      </c>
      <c r="AC30" s="8" t="s">
        <v>798</v>
      </c>
      <c r="AD30" s="8" t="s">
        <v>111</v>
      </c>
      <c r="AE30" s="8" t="s">
        <v>798</v>
      </c>
      <c r="AF30" s="8" t="s">
        <v>111</v>
      </c>
      <c r="AG30" s="5">
        <f t="shared" si="1"/>
        <v>11</v>
      </c>
      <c r="AH30" s="5">
        <f t="shared" si="2"/>
        <v>10</v>
      </c>
    </row>
    <row r="31" spans="1:38" x14ac:dyDescent="0.25">
      <c r="A31" s="21">
        <v>27</v>
      </c>
      <c r="B31" s="21">
        <v>454</v>
      </c>
      <c r="C31" s="26" t="s">
        <v>554</v>
      </c>
      <c r="D31" s="20" t="s">
        <v>644</v>
      </c>
      <c r="E31" s="8" t="s">
        <v>798</v>
      </c>
      <c r="F31" s="124"/>
      <c r="G31" s="8" t="s">
        <v>798</v>
      </c>
      <c r="H31" s="8" t="s">
        <v>111</v>
      </c>
      <c r="I31" s="119"/>
      <c r="J31" s="8" t="s">
        <v>111</v>
      </c>
      <c r="K31" s="8" t="s">
        <v>111</v>
      </c>
      <c r="L31" s="8" t="s">
        <v>798</v>
      </c>
      <c r="M31" s="124"/>
      <c r="N31" s="8" t="s">
        <v>111</v>
      </c>
      <c r="O31" s="8" t="s">
        <v>111</v>
      </c>
      <c r="P31" s="8" t="s">
        <v>798</v>
      </c>
      <c r="Q31" s="8" t="s">
        <v>111</v>
      </c>
      <c r="R31" s="119"/>
      <c r="S31" s="8" t="s">
        <v>798</v>
      </c>
      <c r="T31" s="124"/>
      <c r="U31" s="8" t="s">
        <v>798</v>
      </c>
      <c r="V31" s="8" t="s">
        <v>798</v>
      </c>
      <c r="W31" s="119"/>
      <c r="X31" s="8" t="s">
        <v>111</v>
      </c>
      <c r="Y31" s="8" t="s">
        <v>111</v>
      </c>
      <c r="Z31" s="8" t="s">
        <v>111</v>
      </c>
      <c r="AA31" s="124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14</v>
      </c>
      <c r="AH31" s="5">
        <f t="shared" si="2"/>
        <v>7</v>
      </c>
    </row>
    <row r="32" spans="1:38" x14ac:dyDescent="0.25">
      <c r="A32" s="21">
        <v>28</v>
      </c>
      <c r="B32" s="21">
        <v>636</v>
      </c>
      <c r="C32" s="24" t="s">
        <v>663</v>
      </c>
      <c r="D32" s="20" t="s">
        <v>644</v>
      </c>
      <c r="E32" s="8" t="s">
        <v>111</v>
      </c>
      <c r="F32" s="124"/>
      <c r="G32" s="8" t="s">
        <v>111</v>
      </c>
      <c r="H32" s="8" t="s">
        <v>111</v>
      </c>
      <c r="I32" s="119"/>
      <c r="J32" s="8" t="s">
        <v>111</v>
      </c>
      <c r="K32" s="8" t="s">
        <v>111</v>
      </c>
      <c r="L32" s="8" t="s">
        <v>111</v>
      </c>
      <c r="M32" s="124"/>
      <c r="N32" s="8" t="s">
        <v>111</v>
      </c>
      <c r="O32" s="8" t="s">
        <v>111</v>
      </c>
      <c r="P32" s="8" t="s">
        <v>111</v>
      </c>
      <c r="Q32" s="8" t="s">
        <v>111</v>
      </c>
      <c r="R32" s="119"/>
      <c r="S32" s="8" t="s">
        <v>111</v>
      </c>
      <c r="T32" s="124"/>
      <c r="U32" s="8" t="s">
        <v>111</v>
      </c>
      <c r="V32" s="8" t="s">
        <v>111</v>
      </c>
      <c r="W32" s="119"/>
      <c r="X32" s="8" t="s">
        <v>111</v>
      </c>
      <c r="Y32" s="8" t="s">
        <v>111</v>
      </c>
      <c r="Z32" s="8" t="s">
        <v>111</v>
      </c>
      <c r="AA32" s="124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21</v>
      </c>
      <c r="AH32" s="5">
        <f t="shared" si="2"/>
        <v>0</v>
      </c>
    </row>
    <row r="33" spans="1:34" x14ac:dyDescent="0.25">
      <c r="A33" s="21">
        <v>29</v>
      </c>
      <c r="B33" s="21"/>
      <c r="C33" s="24" t="s">
        <v>664</v>
      </c>
      <c r="D33" s="20" t="s">
        <v>644</v>
      </c>
      <c r="E33" s="8" t="s">
        <v>111</v>
      </c>
      <c r="F33" s="124"/>
      <c r="G33" s="8" t="s">
        <v>111</v>
      </c>
      <c r="H33" s="8" t="s">
        <v>111</v>
      </c>
      <c r="I33" s="119"/>
      <c r="J33" s="8" t="s">
        <v>111</v>
      </c>
      <c r="K33" s="8" t="s">
        <v>111</v>
      </c>
      <c r="L33" s="8" t="s">
        <v>111</v>
      </c>
      <c r="M33" s="124"/>
      <c r="N33" s="8" t="s">
        <v>111</v>
      </c>
      <c r="O33" s="8" t="s">
        <v>111</v>
      </c>
      <c r="P33" s="8" t="s">
        <v>799</v>
      </c>
      <c r="Q33" s="8" t="s">
        <v>111</v>
      </c>
      <c r="R33" s="119"/>
      <c r="S33" s="8" t="s">
        <v>111</v>
      </c>
      <c r="T33" s="124"/>
      <c r="U33" s="8" t="s">
        <v>111</v>
      </c>
      <c r="V33" s="8" t="s">
        <v>111</v>
      </c>
      <c r="W33" s="119"/>
      <c r="X33" s="8" t="s">
        <v>111</v>
      </c>
      <c r="Y33" s="8" t="s">
        <v>111</v>
      </c>
      <c r="Z33" s="8" t="s">
        <v>798</v>
      </c>
      <c r="AA33" s="124"/>
      <c r="AB33" s="8" t="s">
        <v>798</v>
      </c>
      <c r="AC33" s="8" t="s">
        <v>798</v>
      </c>
      <c r="AD33" s="8" t="s">
        <v>798</v>
      </c>
      <c r="AE33" s="8" t="s">
        <v>798</v>
      </c>
      <c r="AF33" s="8" t="s">
        <v>798</v>
      </c>
      <c r="AG33" s="5">
        <f t="shared" si="1"/>
        <v>14</v>
      </c>
      <c r="AH33" s="5">
        <f t="shared" si="2"/>
        <v>6</v>
      </c>
    </row>
    <row r="34" spans="1:34" x14ac:dyDescent="0.25">
      <c r="A34" s="21">
        <v>30</v>
      </c>
      <c r="B34" s="21">
        <v>870</v>
      </c>
      <c r="C34" s="14" t="s">
        <v>665</v>
      </c>
      <c r="D34" s="20" t="s">
        <v>644</v>
      </c>
      <c r="E34" s="8" t="s">
        <v>111</v>
      </c>
      <c r="F34" s="124"/>
      <c r="G34" s="8" t="s">
        <v>111</v>
      </c>
      <c r="H34" s="8" t="s">
        <v>111</v>
      </c>
      <c r="I34" s="119"/>
      <c r="J34" s="8" t="s">
        <v>111</v>
      </c>
      <c r="K34" s="8" t="s">
        <v>798</v>
      </c>
      <c r="L34" s="8" t="s">
        <v>798</v>
      </c>
      <c r="M34" s="124"/>
      <c r="N34" s="8" t="s">
        <v>798</v>
      </c>
      <c r="O34" s="8" t="s">
        <v>798</v>
      </c>
      <c r="P34" s="8" t="s">
        <v>798</v>
      </c>
      <c r="Q34" s="8" t="s">
        <v>798</v>
      </c>
      <c r="R34" s="119"/>
      <c r="S34" s="8" t="s">
        <v>798</v>
      </c>
      <c r="T34" s="124"/>
      <c r="U34" s="8" t="s">
        <v>798</v>
      </c>
      <c r="V34" s="8" t="s">
        <v>798</v>
      </c>
      <c r="W34" s="119"/>
      <c r="X34" s="8" t="s">
        <v>798</v>
      </c>
      <c r="Y34" s="8" t="s">
        <v>798</v>
      </c>
      <c r="Z34" s="8" t="s">
        <v>798</v>
      </c>
      <c r="AA34" s="124"/>
      <c r="AB34" s="8" t="s">
        <v>798</v>
      </c>
      <c r="AC34" s="8" t="s">
        <v>798</v>
      </c>
      <c r="AD34" s="8" t="s">
        <v>798</v>
      </c>
      <c r="AE34" s="8" t="s">
        <v>798</v>
      </c>
      <c r="AF34" s="8" t="s">
        <v>798</v>
      </c>
      <c r="AG34" s="5">
        <f t="shared" si="1"/>
        <v>4</v>
      </c>
      <c r="AH34" s="5">
        <f t="shared" si="2"/>
        <v>17</v>
      </c>
    </row>
    <row r="35" spans="1:34" x14ac:dyDescent="0.25">
      <c r="A35" s="21">
        <v>31</v>
      </c>
      <c r="B35" s="21">
        <v>626</v>
      </c>
      <c r="C35" s="14" t="s">
        <v>49</v>
      </c>
      <c r="D35" s="20" t="s">
        <v>644</v>
      </c>
      <c r="E35" s="8" t="s">
        <v>111</v>
      </c>
      <c r="F35" s="124"/>
      <c r="G35" s="8" t="s">
        <v>111</v>
      </c>
      <c r="H35" s="8" t="s">
        <v>111</v>
      </c>
      <c r="I35" s="119"/>
      <c r="J35" s="8" t="s">
        <v>111</v>
      </c>
      <c r="K35" s="8" t="s">
        <v>111</v>
      </c>
      <c r="L35" s="8" t="s">
        <v>111</v>
      </c>
      <c r="M35" s="124"/>
      <c r="N35" s="8" t="s">
        <v>111</v>
      </c>
      <c r="O35" s="8" t="s">
        <v>111</v>
      </c>
      <c r="P35" s="8" t="s">
        <v>111</v>
      </c>
      <c r="Q35" s="8" t="s">
        <v>111</v>
      </c>
      <c r="R35" s="119"/>
      <c r="S35" s="8" t="s">
        <v>111</v>
      </c>
      <c r="T35" s="124"/>
      <c r="U35" s="8" t="s">
        <v>111</v>
      </c>
      <c r="V35" s="8" t="s">
        <v>111</v>
      </c>
      <c r="W35" s="119"/>
      <c r="X35" s="8" t="s">
        <v>111</v>
      </c>
      <c r="Y35" s="8" t="s">
        <v>111</v>
      </c>
      <c r="Z35" s="8" t="s">
        <v>111</v>
      </c>
      <c r="AA35" s="124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21</v>
      </c>
      <c r="AH35" s="5">
        <f t="shared" si="2"/>
        <v>0</v>
      </c>
    </row>
    <row r="36" spans="1:34" x14ac:dyDescent="0.25">
      <c r="A36" s="21">
        <v>32</v>
      </c>
      <c r="B36" s="21">
        <v>871</v>
      </c>
      <c r="C36" s="14" t="s">
        <v>666</v>
      </c>
      <c r="D36" s="20" t="s">
        <v>644</v>
      </c>
      <c r="E36" s="8" t="s">
        <v>111</v>
      </c>
      <c r="F36" s="124"/>
      <c r="G36" s="8" t="s">
        <v>111</v>
      </c>
      <c r="H36" s="8" t="s">
        <v>111</v>
      </c>
      <c r="I36" s="119"/>
      <c r="J36" s="8" t="s">
        <v>111</v>
      </c>
      <c r="K36" s="8" t="s">
        <v>111</v>
      </c>
      <c r="L36" s="8" t="s">
        <v>111</v>
      </c>
      <c r="M36" s="124"/>
      <c r="N36" s="8" t="s">
        <v>111</v>
      </c>
      <c r="O36" s="8" t="s">
        <v>111</v>
      </c>
      <c r="P36" s="8" t="s">
        <v>111</v>
      </c>
      <c r="Q36" s="8" t="s">
        <v>111</v>
      </c>
      <c r="R36" s="119"/>
      <c r="S36" s="8" t="s">
        <v>111</v>
      </c>
      <c r="T36" s="124"/>
      <c r="U36" s="8" t="s">
        <v>111</v>
      </c>
      <c r="V36" s="8" t="s">
        <v>111</v>
      </c>
      <c r="W36" s="119"/>
      <c r="X36" s="8" t="s">
        <v>111</v>
      </c>
      <c r="Y36" s="8" t="s">
        <v>111</v>
      </c>
      <c r="Z36" s="8" t="s">
        <v>111</v>
      </c>
      <c r="AA36" s="124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21</v>
      </c>
      <c r="AH36" s="5">
        <f t="shared" si="2"/>
        <v>0</v>
      </c>
    </row>
    <row r="37" spans="1:34" x14ac:dyDescent="0.25">
      <c r="A37" s="21">
        <v>33</v>
      </c>
      <c r="B37" s="21">
        <v>637</v>
      </c>
      <c r="C37" s="14" t="s">
        <v>667</v>
      </c>
      <c r="D37" s="20" t="s">
        <v>644</v>
      </c>
      <c r="E37" s="8" t="s">
        <v>111</v>
      </c>
      <c r="F37" s="124"/>
      <c r="G37" s="8" t="s">
        <v>111</v>
      </c>
      <c r="H37" s="8" t="s">
        <v>111</v>
      </c>
      <c r="I37" s="119"/>
      <c r="J37" s="8" t="s">
        <v>111</v>
      </c>
      <c r="K37" s="8" t="s">
        <v>111</v>
      </c>
      <c r="L37" s="8" t="s">
        <v>111</v>
      </c>
      <c r="M37" s="124"/>
      <c r="N37" s="8" t="s">
        <v>111</v>
      </c>
      <c r="O37" s="8" t="s">
        <v>111</v>
      </c>
      <c r="P37" s="8" t="s">
        <v>798</v>
      </c>
      <c r="Q37" s="8" t="s">
        <v>111</v>
      </c>
      <c r="R37" s="119"/>
      <c r="S37" s="8" t="s">
        <v>111</v>
      </c>
      <c r="T37" s="124"/>
      <c r="U37" s="8" t="s">
        <v>111</v>
      </c>
      <c r="V37" s="8" t="s">
        <v>111</v>
      </c>
      <c r="W37" s="119"/>
      <c r="X37" s="8" t="s">
        <v>111</v>
      </c>
      <c r="Y37" s="8" t="s">
        <v>111</v>
      </c>
      <c r="Z37" s="8" t="s">
        <v>111</v>
      </c>
      <c r="AA37" s="124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20</v>
      </c>
      <c r="AH37" s="5">
        <f t="shared" si="2"/>
        <v>1</v>
      </c>
    </row>
    <row r="38" spans="1:34" x14ac:dyDescent="0.25">
      <c r="A38" s="21">
        <v>34</v>
      </c>
      <c r="B38" s="21">
        <v>720</v>
      </c>
      <c r="C38" s="14" t="s">
        <v>668</v>
      </c>
      <c r="D38" s="20" t="s">
        <v>644</v>
      </c>
      <c r="E38" s="8" t="s">
        <v>111</v>
      </c>
      <c r="F38" s="124"/>
      <c r="G38" s="8" t="s">
        <v>111</v>
      </c>
      <c r="H38" s="8" t="s">
        <v>111</v>
      </c>
      <c r="I38" s="119"/>
      <c r="J38" s="8" t="s">
        <v>111</v>
      </c>
      <c r="K38" s="8" t="s">
        <v>111</v>
      </c>
      <c r="L38" s="8" t="s">
        <v>798</v>
      </c>
      <c r="M38" s="124"/>
      <c r="N38" s="8" t="s">
        <v>111</v>
      </c>
      <c r="O38" s="8" t="s">
        <v>111</v>
      </c>
      <c r="P38" s="8" t="s">
        <v>111</v>
      </c>
      <c r="Q38" s="8" t="s">
        <v>111</v>
      </c>
      <c r="R38" s="119"/>
      <c r="S38" s="8" t="s">
        <v>798</v>
      </c>
      <c r="T38" s="124"/>
      <c r="U38" s="8" t="s">
        <v>111</v>
      </c>
      <c r="V38" s="8" t="s">
        <v>111</v>
      </c>
      <c r="W38" s="119"/>
      <c r="X38" s="8" t="s">
        <v>111</v>
      </c>
      <c r="Y38" s="8" t="s">
        <v>111</v>
      </c>
      <c r="Z38" s="8" t="s">
        <v>111</v>
      </c>
      <c r="AA38" s="124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19</v>
      </c>
      <c r="AH38" s="5">
        <f t="shared" si="2"/>
        <v>2</v>
      </c>
    </row>
    <row r="39" spans="1:34" x14ac:dyDescent="0.25">
      <c r="A39" s="21">
        <v>35</v>
      </c>
      <c r="B39" s="21">
        <v>722</v>
      </c>
      <c r="C39" s="14" t="s">
        <v>91</v>
      </c>
      <c r="D39" s="20" t="s">
        <v>644</v>
      </c>
      <c r="E39" s="8" t="s">
        <v>111</v>
      </c>
      <c r="F39" s="124"/>
      <c r="G39" s="8" t="s">
        <v>111</v>
      </c>
      <c r="H39" s="8" t="s">
        <v>111</v>
      </c>
      <c r="I39" s="119"/>
      <c r="J39" s="8" t="s">
        <v>111</v>
      </c>
      <c r="K39" s="8" t="s">
        <v>111</v>
      </c>
      <c r="L39" s="8" t="s">
        <v>111</v>
      </c>
      <c r="M39" s="124"/>
      <c r="N39" s="8" t="s">
        <v>111</v>
      </c>
      <c r="O39" s="8" t="s">
        <v>111</v>
      </c>
      <c r="P39" s="8" t="s">
        <v>111</v>
      </c>
      <c r="Q39" s="8" t="s">
        <v>798</v>
      </c>
      <c r="R39" s="119"/>
      <c r="S39" s="8" t="s">
        <v>798</v>
      </c>
      <c r="T39" s="124"/>
      <c r="U39" s="8" t="s">
        <v>111</v>
      </c>
      <c r="V39" s="8" t="s">
        <v>798</v>
      </c>
      <c r="W39" s="119"/>
      <c r="X39" s="8" t="s">
        <v>798</v>
      </c>
      <c r="Y39" s="8" t="s">
        <v>798</v>
      </c>
      <c r="Z39" s="8" t="s">
        <v>798</v>
      </c>
      <c r="AA39" s="124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15</v>
      </c>
      <c r="AH39" s="5">
        <f t="shared" si="2"/>
        <v>6</v>
      </c>
    </row>
    <row r="40" spans="1:34" x14ac:dyDescent="0.25">
      <c r="A40" s="21">
        <v>36</v>
      </c>
      <c r="B40" s="21">
        <v>352</v>
      </c>
      <c r="C40" s="14" t="s">
        <v>669</v>
      </c>
      <c r="D40" s="20" t="s">
        <v>644</v>
      </c>
      <c r="E40" s="8" t="s">
        <v>798</v>
      </c>
      <c r="F40" s="124"/>
      <c r="G40" s="8" t="s">
        <v>798</v>
      </c>
      <c r="H40" s="8" t="s">
        <v>111</v>
      </c>
      <c r="I40" s="119"/>
      <c r="J40" s="8" t="s">
        <v>111</v>
      </c>
      <c r="K40" s="8" t="s">
        <v>111</v>
      </c>
      <c r="L40" s="8" t="s">
        <v>111</v>
      </c>
      <c r="M40" s="124"/>
      <c r="N40" s="8" t="s">
        <v>111</v>
      </c>
      <c r="O40" s="8" t="s">
        <v>111</v>
      </c>
      <c r="P40" s="8" t="s">
        <v>111</v>
      </c>
      <c r="Q40" s="8" t="s">
        <v>111</v>
      </c>
      <c r="R40" s="119"/>
      <c r="S40" s="8" t="s">
        <v>111</v>
      </c>
      <c r="T40" s="124"/>
      <c r="U40" s="8" t="s">
        <v>111</v>
      </c>
      <c r="V40" s="8" t="s">
        <v>111</v>
      </c>
      <c r="W40" s="119"/>
      <c r="X40" s="8" t="s">
        <v>111</v>
      </c>
      <c r="Y40" s="8" t="s">
        <v>111</v>
      </c>
      <c r="Z40" s="8" t="s">
        <v>111</v>
      </c>
      <c r="AA40" s="124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19</v>
      </c>
      <c r="AH40" s="5">
        <f t="shared" si="2"/>
        <v>2</v>
      </c>
    </row>
    <row r="41" spans="1:34" x14ac:dyDescent="0.25">
      <c r="A41" s="21">
        <v>37</v>
      </c>
      <c r="B41" s="21"/>
      <c r="C41" s="14" t="s">
        <v>505</v>
      </c>
      <c r="D41" s="20" t="s">
        <v>644</v>
      </c>
      <c r="E41" s="8" t="s">
        <v>111</v>
      </c>
      <c r="F41" s="124"/>
      <c r="G41" s="8" t="s">
        <v>111</v>
      </c>
      <c r="H41" s="8" t="s">
        <v>111</v>
      </c>
      <c r="I41" s="119"/>
      <c r="J41" s="8" t="s">
        <v>798</v>
      </c>
      <c r="K41" s="8" t="s">
        <v>798</v>
      </c>
      <c r="L41" s="8" t="s">
        <v>798</v>
      </c>
      <c r="M41" s="124"/>
      <c r="N41" s="8" t="s">
        <v>111</v>
      </c>
      <c r="O41" s="8" t="s">
        <v>111</v>
      </c>
      <c r="P41" s="8" t="s">
        <v>111</v>
      </c>
      <c r="Q41" s="8" t="s">
        <v>111</v>
      </c>
      <c r="R41" s="119"/>
      <c r="S41" s="8" t="s">
        <v>798</v>
      </c>
      <c r="T41" s="124"/>
      <c r="U41" s="8" t="s">
        <v>111</v>
      </c>
      <c r="V41" s="8" t="s">
        <v>111</v>
      </c>
      <c r="W41" s="119"/>
      <c r="X41" s="8" t="s">
        <v>111</v>
      </c>
      <c r="Y41" s="8" t="s">
        <v>111</v>
      </c>
      <c r="Z41" s="8" t="s">
        <v>111</v>
      </c>
      <c r="AA41" s="124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798</v>
      </c>
      <c r="AG41" s="5">
        <f t="shared" si="1"/>
        <v>16</v>
      </c>
      <c r="AH41" s="5">
        <f t="shared" si="2"/>
        <v>5</v>
      </c>
    </row>
    <row r="42" spans="1:34" x14ac:dyDescent="0.25">
      <c r="A42" s="21">
        <v>38</v>
      </c>
      <c r="B42" s="21">
        <v>350</v>
      </c>
      <c r="C42" s="14" t="s">
        <v>506</v>
      </c>
      <c r="D42" s="20" t="s">
        <v>644</v>
      </c>
      <c r="E42" s="8" t="s">
        <v>111</v>
      </c>
      <c r="F42" s="124"/>
      <c r="G42" s="8" t="s">
        <v>111</v>
      </c>
      <c r="H42" s="8" t="s">
        <v>111</v>
      </c>
      <c r="I42" s="119"/>
      <c r="J42" s="8" t="s">
        <v>111</v>
      </c>
      <c r="K42" s="8" t="s">
        <v>111</v>
      </c>
      <c r="L42" s="8" t="s">
        <v>111</v>
      </c>
      <c r="M42" s="124"/>
      <c r="N42" s="8" t="s">
        <v>111</v>
      </c>
      <c r="O42" s="8" t="s">
        <v>111</v>
      </c>
      <c r="P42" s="8" t="s">
        <v>111</v>
      </c>
      <c r="Q42" s="8" t="s">
        <v>111</v>
      </c>
      <c r="R42" s="119"/>
      <c r="S42" s="8" t="s">
        <v>111</v>
      </c>
      <c r="T42" s="124"/>
      <c r="U42" s="8" t="s">
        <v>111</v>
      </c>
      <c r="V42" s="8" t="s">
        <v>798</v>
      </c>
      <c r="W42" s="119"/>
      <c r="X42" s="8" t="s">
        <v>111</v>
      </c>
      <c r="Y42" s="8" t="s">
        <v>111</v>
      </c>
      <c r="Z42" s="8" t="s">
        <v>111</v>
      </c>
      <c r="AA42" s="124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20</v>
      </c>
      <c r="AH42" s="5">
        <f t="shared" si="2"/>
        <v>1</v>
      </c>
    </row>
    <row r="43" spans="1:34" x14ac:dyDescent="0.25">
      <c r="A43" s="21">
        <v>39</v>
      </c>
      <c r="B43" s="21">
        <v>629</v>
      </c>
      <c r="C43" s="14" t="s">
        <v>638</v>
      </c>
      <c r="D43" s="8" t="s">
        <v>644</v>
      </c>
      <c r="E43" s="8" t="s">
        <v>111</v>
      </c>
      <c r="F43" s="124"/>
      <c r="G43" s="8" t="s">
        <v>111</v>
      </c>
      <c r="H43" s="8" t="s">
        <v>798</v>
      </c>
      <c r="I43" s="119"/>
      <c r="J43" s="8" t="s">
        <v>111</v>
      </c>
      <c r="K43" s="8" t="s">
        <v>111</v>
      </c>
      <c r="L43" s="8" t="s">
        <v>111</v>
      </c>
      <c r="M43" s="124"/>
      <c r="N43" s="8" t="s">
        <v>111</v>
      </c>
      <c r="O43" s="8" t="s">
        <v>111</v>
      </c>
      <c r="P43" s="8" t="s">
        <v>111</v>
      </c>
      <c r="Q43" s="8" t="s">
        <v>798</v>
      </c>
      <c r="R43" s="119"/>
      <c r="S43" s="8" t="s">
        <v>111</v>
      </c>
      <c r="T43" s="124"/>
      <c r="U43" s="8" t="s">
        <v>798</v>
      </c>
      <c r="V43" s="8" t="s">
        <v>111</v>
      </c>
      <c r="W43" s="119"/>
      <c r="X43" s="8" t="s">
        <v>111</v>
      </c>
      <c r="Y43" s="8" t="s">
        <v>798</v>
      </c>
      <c r="Z43" s="8" t="s">
        <v>111</v>
      </c>
      <c r="AA43" s="124"/>
      <c r="AB43" s="8" t="s">
        <v>111</v>
      </c>
      <c r="AC43" s="8" t="s">
        <v>798</v>
      </c>
      <c r="AD43" s="8" t="s">
        <v>111</v>
      </c>
      <c r="AE43" s="8" t="s">
        <v>111</v>
      </c>
      <c r="AF43" s="8" t="s">
        <v>111</v>
      </c>
      <c r="AG43" s="5">
        <f t="shared" si="1"/>
        <v>16</v>
      </c>
      <c r="AH43" s="5">
        <f t="shared" si="2"/>
        <v>5</v>
      </c>
    </row>
    <row r="44" spans="1:34" x14ac:dyDescent="0.25">
      <c r="A44" s="21">
        <v>40</v>
      </c>
      <c r="B44" s="21">
        <v>869</v>
      </c>
      <c r="C44" s="14" t="s">
        <v>670</v>
      </c>
      <c r="D44" s="8" t="s">
        <v>644</v>
      </c>
      <c r="E44" s="8" t="s">
        <v>111</v>
      </c>
      <c r="F44" s="124"/>
      <c r="G44" s="8" t="s">
        <v>111</v>
      </c>
      <c r="H44" s="8" t="s">
        <v>111</v>
      </c>
      <c r="I44" s="119"/>
      <c r="J44" s="8" t="s">
        <v>798</v>
      </c>
      <c r="K44" s="8" t="s">
        <v>111</v>
      </c>
      <c r="L44" s="8" t="s">
        <v>111</v>
      </c>
      <c r="M44" s="124"/>
      <c r="N44" s="8" t="s">
        <v>798</v>
      </c>
      <c r="O44" s="8" t="s">
        <v>111</v>
      </c>
      <c r="P44" s="8" t="s">
        <v>111</v>
      </c>
      <c r="Q44" s="8" t="s">
        <v>111</v>
      </c>
      <c r="R44" s="119"/>
      <c r="S44" s="8" t="s">
        <v>111</v>
      </c>
      <c r="T44" s="124"/>
      <c r="U44" s="8" t="s">
        <v>111</v>
      </c>
      <c r="V44" s="8" t="s">
        <v>111</v>
      </c>
      <c r="W44" s="119"/>
      <c r="X44" s="8" t="s">
        <v>798</v>
      </c>
      <c r="Y44" s="8" t="s">
        <v>111</v>
      </c>
      <c r="Z44" s="8" t="s">
        <v>111</v>
      </c>
      <c r="AA44" s="124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18</v>
      </c>
      <c r="AH44" s="5">
        <f t="shared" si="2"/>
        <v>3</v>
      </c>
    </row>
    <row r="45" spans="1:34" x14ac:dyDescent="0.25">
      <c r="A45" s="21">
        <v>41</v>
      </c>
      <c r="B45" s="21">
        <v>726</v>
      </c>
      <c r="C45" s="14" t="s">
        <v>671</v>
      </c>
      <c r="D45" s="8" t="s">
        <v>644</v>
      </c>
      <c r="E45" s="8" t="s">
        <v>798</v>
      </c>
      <c r="F45" s="124"/>
      <c r="G45" s="8" t="s">
        <v>798</v>
      </c>
      <c r="H45" s="8" t="s">
        <v>798</v>
      </c>
      <c r="I45" s="119"/>
      <c r="J45" s="8" t="s">
        <v>798</v>
      </c>
      <c r="K45" s="8" t="s">
        <v>798</v>
      </c>
      <c r="L45" s="8" t="s">
        <v>798</v>
      </c>
      <c r="M45" s="124"/>
      <c r="N45" s="8" t="s">
        <v>798</v>
      </c>
      <c r="O45" s="8" t="s">
        <v>798</v>
      </c>
      <c r="P45" s="8" t="s">
        <v>798</v>
      </c>
      <c r="Q45" s="8" t="s">
        <v>798</v>
      </c>
      <c r="R45" s="119"/>
      <c r="S45" s="8" t="s">
        <v>798</v>
      </c>
      <c r="T45" s="124"/>
      <c r="U45" s="8" t="s">
        <v>798</v>
      </c>
      <c r="V45" s="8" t="s">
        <v>798</v>
      </c>
      <c r="W45" s="119"/>
      <c r="X45" s="8" t="s">
        <v>798</v>
      </c>
      <c r="Y45" s="8" t="s">
        <v>798</v>
      </c>
      <c r="Z45" s="8" t="s">
        <v>798</v>
      </c>
      <c r="AA45" s="124"/>
      <c r="AB45" s="8" t="s">
        <v>798</v>
      </c>
      <c r="AC45" s="8" t="s">
        <v>798</v>
      </c>
      <c r="AD45" s="8" t="s">
        <v>798</v>
      </c>
      <c r="AE45" s="8" t="s">
        <v>798</v>
      </c>
      <c r="AF45" s="8" t="s">
        <v>798</v>
      </c>
      <c r="AG45" s="5">
        <f t="shared" si="1"/>
        <v>0</v>
      </c>
      <c r="AH45" s="5">
        <f t="shared" si="2"/>
        <v>21</v>
      </c>
    </row>
    <row r="46" spans="1:34" x14ac:dyDescent="0.25">
      <c r="A46" s="21">
        <v>42</v>
      </c>
      <c r="B46" s="21">
        <v>390</v>
      </c>
      <c r="C46" s="14" t="s">
        <v>672</v>
      </c>
      <c r="D46" s="8" t="s">
        <v>644</v>
      </c>
      <c r="E46" s="8" t="s">
        <v>111</v>
      </c>
      <c r="F46" s="124"/>
      <c r="G46" s="8" t="s">
        <v>111</v>
      </c>
      <c r="H46" s="8" t="s">
        <v>111</v>
      </c>
      <c r="I46" s="119"/>
      <c r="J46" s="8" t="s">
        <v>111</v>
      </c>
      <c r="K46" s="8" t="s">
        <v>111</v>
      </c>
      <c r="L46" s="8" t="s">
        <v>111</v>
      </c>
      <c r="M46" s="124"/>
      <c r="N46" s="8" t="s">
        <v>111</v>
      </c>
      <c r="O46" s="8" t="s">
        <v>111</v>
      </c>
      <c r="P46" s="8" t="s">
        <v>111</v>
      </c>
      <c r="Q46" s="8" t="s">
        <v>111</v>
      </c>
      <c r="R46" s="119"/>
      <c r="S46" s="8" t="s">
        <v>111</v>
      </c>
      <c r="T46" s="124"/>
      <c r="U46" s="8" t="s">
        <v>111</v>
      </c>
      <c r="V46" s="8" t="s">
        <v>111</v>
      </c>
      <c r="W46" s="119"/>
      <c r="X46" s="8" t="s">
        <v>111</v>
      </c>
      <c r="Y46" s="8" t="s">
        <v>111</v>
      </c>
      <c r="Z46" s="8" t="s">
        <v>111</v>
      </c>
      <c r="AA46" s="124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1"/>
        <v>21</v>
      </c>
      <c r="AH46" s="5">
        <f t="shared" si="2"/>
        <v>0</v>
      </c>
    </row>
    <row r="47" spans="1:34" x14ac:dyDescent="0.25">
      <c r="A47" s="21">
        <v>43</v>
      </c>
      <c r="B47" s="21">
        <v>357</v>
      </c>
      <c r="C47" s="14" t="s">
        <v>673</v>
      </c>
      <c r="D47" s="8" t="s">
        <v>644</v>
      </c>
      <c r="E47" s="8" t="s">
        <v>111</v>
      </c>
      <c r="F47" s="124"/>
      <c r="G47" s="8" t="s">
        <v>798</v>
      </c>
      <c r="H47" s="8" t="s">
        <v>111</v>
      </c>
      <c r="I47" s="119"/>
      <c r="J47" s="8" t="s">
        <v>798</v>
      </c>
      <c r="K47" s="8" t="s">
        <v>798</v>
      </c>
      <c r="L47" s="8" t="s">
        <v>111</v>
      </c>
      <c r="M47" s="124"/>
      <c r="N47" s="8" t="s">
        <v>111</v>
      </c>
      <c r="O47" s="8" t="s">
        <v>111</v>
      </c>
      <c r="P47" s="8" t="s">
        <v>111</v>
      </c>
      <c r="Q47" s="8" t="s">
        <v>111</v>
      </c>
      <c r="R47" s="119"/>
      <c r="S47" s="8" t="s">
        <v>798</v>
      </c>
      <c r="T47" s="124"/>
      <c r="U47" s="8" t="s">
        <v>111</v>
      </c>
      <c r="V47" s="8" t="s">
        <v>111</v>
      </c>
      <c r="W47" s="119"/>
      <c r="X47" s="8" t="s">
        <v>111</v>
      </c>
      <c r="Y47" s="8" t="s">
        <v>798</v>
      </c>
      <c r="Z47" s="8" t="s">
        <v>111</v>
      </c>
      <c r="AA47" s="124"/>
      <c r="AB47" s="8" t="s">
        <v>111</v>
      </c>
      <c r="AC47" s="8" t="s">
        <v>798</v>
      </c>
      <c r="AD47" s="8" t="s">
        <v>111</v>
      </c>
      <c r="AE47" s="8" t="s">
        <v>111</v>
      </c>
      <c r="AF47" s="8" t="s">
        <v>111</v>
      </c>
      <c r="AG47" s="5">
        <f t="shared" si="1"/>
        <v>15</v>
      </c>
      <c r="AH47" s="5">
        <f t="shared" si="2"/>
        <v>6</v>
      </c>
    </row>
    <row r="48" spans="1:34" x14ac:dyDescent="0.25">
      <c r="A48" s="21">
        <v>44</v>
      </c>
      <c r="B48" s="21">
        <v>623</v>
      </c>
      <c r="C48" s="14" t="s">
        <v>674</v>
      </c>
      <c r="D48" s="8" t="s">
        <v>644</v>
      </c>
      <c r="E48" s="8" t="s">
        <v>798</v>
      </c>
      <c r="F48" s="124"/>
      <c r="G48" s="8" t="s">
        <v>111</v>
      </c>
      <c r="H48" s="8" t="s">
        <v>111</v>
      </c>
      <c r="I48" s="119"/>
      <c r="J48" s="8" t="s">
        <v>111</v>
      </c>
      <c r="K48" s="8" t="s">
        <v>111</v>
      </c>
      <c r="L48" s="8" t="s">
        <v>111</v>
      </c>
      <c r="M48" s="124"/>
      <c r="N48" s="8" t="s">
        <v>111</v>
      </c>
      <c r="O48" s="8" t="s">
        <v>111</v>
      </c>
      <c r="P48" s="8" t="s">
        <v>111</v>
      </c>
      <c r="Q48" s="8" t="s">
        <v>111</v>
      </c>
      <c r="R48" s="119"/>
      <c r="S48" s="8" t="s">
        <v>111</v>
      </c>
      <c r="T48" s="124"/>
      <c r="U48" s="8" t="s">
        <v>111</v>
      </c>
      <c r="V48" s="8" t="s">
        <v>111</v>
      </c>
      <c r="W48" s="119"/>
      <c r="X48" s="8" t="s">
        <v>111</v>
      </c>
      <c r="Y48" s="8" t="s">
        <v>111</v>
      </c>
      <c r="Z48" s="8" t="s">
        <v>111</v>
      </c>
      <c r="AA48" s="124"/>
      <c r="AB48" s="8" t="s">
        <v>111</v>
      </c>
      <c r="AC48" s="8" t="s">
        <v>111</v>
      </c>
      <c r="AD48" s="8" t="s">
        <v>111</v>
      </c>
      <c r="AE48" s="8" t="s">
        <v>111</v>
      </c>
      <c r="AF48" s="8" t="s">
        <v>111</v>
      </c>
      <c r="AG48" s="5">
        <f t="shared" si="1"/>
        <v>20</v>
      </c>
      <c r="AH48" s="5">
        <f t="shared" si="2"/>
        <v>1</v>
      </c>
    </row>
    <row r="49" spans="1:34" x14ac:dyDescent="0.25">
      <c r="A49" s="21">
        <v>45</v>
      </c>
      <c r="B49" s="21"/>
      <c r="C49" s="14" t="s">
        <v>675</v>
      </c>
      <c r="D49" s="8" t="s">
        <v>644</v>
      </c>
      <c r="E49" s="8" t="s">
        <v>111</v>
      </c>
      <c r="F49" s="125"/>
      <c r="G49" s="8" t="s">
        <v>111</v>
      </c>
      <c r="H49" s="8" t="s">
        <v>111</v>
      </c>
      <c r="I49" s="127"/>
      <c r="J49" s="8" t="s">
        <v>798</v>
      </c>
      <c r="K49" s="8" t="s">
        <v>111</v>
      </c>
      <c r="L49" s="8" t="s">
        <v>111</v>
      </c>
      <c r="M49" s="125"/>
      <c r="N49" s="8" t="s">
        <v>111</v>
      </c>
      <c r="O49" s="8" t="s">
        <v>798</v>
      </c>
      <c r="P49" s="8" t="s">
        <v>111</v>
      </c>
      <c r="Q49" s="8" t="s">
        <v>111</v>
      </c>
      <c r="R49" s="127"/>
      <c r="S49" s="8" t="s">
        <v>111</v>
      </c>
      <c r="T49" s="125"/>
      <c r="U49" s="8" t="s">
        <v>111</v>
      </c>
      <c r="V49" s="8" t="s">
        <v>111</v>
      </c>
      <c r="W49" s="127"/>
      <c r="X49" s="8" t="s">
        <v>111</v>
      </c>
      <c r="Y49" s="8" t="s">
        <v>111</v>
      </c>
      <c r="Z49" s="8" t="s">
        <v>111</v>
      </c>
      <c r="AA49" s="125"/>
      <c r="AB49" s="8" t="s">
        <v>111</v>
      </c>
      <c r="AC49" s="8" t="s">
        <v>111</v>
      </c>
      <c r="AD49" s="8" t="s">
        <v>111</v>
      </c>
      <c r="AE49" s="8" t="s">
        <v>111</v>
      </c>
      <c r="AF49" s="8" t="s">
        <v>111</v>
      </c>
      <c r="AG49" s="5">
        <f t="shared" si="1"/>
        <v>19</v>
      </c>
      <c r="AH49" s="5">
        <f t="shared" si="2"/>
        <v>2</v>
      </c>
    </row>
  </sheetData>
  <mergeCells count="18">
    <mergeCell ref="A1:AH1"/>
    <mergeCell ref="A2:AH2"/>
    <mergeCell ref="A3:A4"/>
    <mergeCell ref="C3:C4"/>
    <mergeCell ref="D3:D4"/>
    <mergeCell ref="AG3:AG4"/>
    <mergeCell ref="AH3:AH4"/>
    <mergeCell ref="B3:B4"/>
    <mergeCell ref="AI3:AJ3"/>
    <mergeCell ref="AI11:AL11"/>
    <mergeCell ref="AI18:AL18"/>
    <mergeCell ref="F5:F49"/>
    <mergeCell ref="M5:M49"/>
    <mergeCell ref="T5:T49"/>
    <mergeCell ref="AA5:AA49"/>
    <mergeCell ref="I5:I49"/>
    <mergeCell ref="R5:R49"/>
    <mergeCell ref="W5:W49"/>
  </mergeCells>
  <conditionalFormatting sqref="C5:C31">
    <cfRule type="duplicateValues" dxfId="193" priority="287"/>
  </conditionalFormatting>
  <conditionalFormatting sqref="E5:E49 G5:H49 J5:L49 S5:S49 U5:V49 X5:Z49 E4:AF4">
    <cfRule type="expression" dxfId="192" priority="169">
      <formula>IF(E$4=TODAY(),TRUE,FALSE)</formula>
    </cfRule>
  </conditionalFormatting>
  <conditionalFormatting sqref="E5:E49 G5:H49 J5:L49 S5:S49 U5:V49 X5:Z49">
    <cfRule type="cellIs" dxfId="191" priority="168" operator="equal">
      <formula>"P"</formula>
    </cfRule>
    <cfRule type="cellIs" dxfId="190" priority="167" operator="equal">
      <formula>"A"</formula>
    </cfRule>
    <cfRule type="cellIs" dxfId="189" priority="166" operator="equal">
      <formula>"L"</formula>
    </cfRule>
  </conditionalFormatting>
  <conditionalFormatting sqref="E3:AF4 E5:E49 G5:H49 J5:L49 S5:S49 U5:V49 X5:Z49">
    <cfRule type="expression" dxfId="188" priority="170">
      <formula>E$3="Sun"</formula>
    </cfRule>
  </conditionalFormatting>
  <conditionalFormatting sqref="F5">
    <cfRule type="expression" dxfId="187" priority="64">
      <formula>IF(F$4=TODAY(),TRUE,FALSE)</formula>
    </cfRule>
    <cfRule type="expression" dxfId="186" priority="65">
      <formula>F$3="Sun"</formula>
    </cfRule>
    <cfRule type="cellIs" dxfId="185" priority="63" operator="equal">
      <formula>"P"</formula>
    </cfRule>
    <cfRule type="cellIs" dxfId="184" priority="62" operator="equal">
      <formula>"A"</formula>
    </cfRule>
    <cfRule type="cellIs" dxfId="183" priority="61" operator="equal">
      <formula>"L"</formula>
    </cfRule>
  </conditionalFormatting>
  <conditionalFormatting sqref="I5">
    <cfRule type="expression" dxfId="182" priority="15">
      <formula>I$3="Sun"</formula>
    </cfRule>
    <cfRule type="cellIs" dxfId="181" priority="11" operator="equal">
      <formula>"L"</formula>
    </cfRule>
    <cfRule type="cellIs" dxfId="180" priority="12" operator="equal">
      <formula>"A"</formula>
    </cfRule>
    <cfRule type="cellIs" dxfId="179" priority="13" operator="equal">
      <formula>"P"</formula>
    </cfRule>
    <cfRule type="expression" dxfId="178" priority="14">
      <formula>IF(I$4=TODAY(),TRUE,FALSE)</formula>
    </cfRule>
  </conditionalFormatting>
  <conditionalFormatting sqref="M5">
    <cfRule type="cellIs" dxfId="177" priority="56" operator="equal">
      <formula>"L"</formula>
    </cfRule>
    <cfRule type="expression" dxfId="176" priority="60">
      <formula>M$3="Sun"</formula>
    </cfRule>
    <cfRule type="expression" dxfId="175" priority="59">
      <formula>IF(M$4=TODAY(),TRUE,FALSE)</formula>
    </cfRule>
    <cfRule type="cellIs" dxfId="174" priority="58" operator="equal">
      <formula>"P"</formula>
    </cfRule>
    <cfRule type="cellIs" dxfId="173" priority="57" operator="equal">
      <formula>"A"</formula>
    </cfRule>
  </conditionalFormatting>
  <conditionalFormatting sqref="N5:Q49">
    <cfRule type="cellIs" dxfId="172" priority="37" operator="equal">
      <formula>"A"</formula>
    </cfRule>
    <cfRule type="cellIs" dxfId="171" priority="38" operator="equal">
      <formula>"P"</formula>
    </cfRule>
    <cfRule type="expression" dxfId="170" priority="39">
      <formula>IF(N$4=TODAY(),TRUE,FALSE)</formula>
    </cfRule>
    <cfRule type="expression" dxfId="169" priority="40">
      <formula>N$3="Sun"</formula>
    </cfRule>
    <cfRule type="cellIs" dxfId="168" priority="36" operator="equal">
      <formula>"L"</formula>
    </cfRule>
  </conditionalFormatting>
  <conditionalFormatting sqref="R5">
    <cfRule type="cellIs" dxfId="167" priority="8" operator="equal">
      <formula>"P"</formula>
    </cfRule>
    <cfRule type="cellIs" dxfId="166" priority="6" operator="equal">
      <formula>"L"</formula>
    </cfRule>
    <cfRule type="cellIs" dxfId="165" priority="7" operator="equal">
      <formula>"A"</formula>
    </cfRule>
    <cfRule type="expression" dxfId="164" priority="9">
      <formula>IF(R$4=TODAY(),TRUE,FALSE)</formula>
    </cfRule>
    <cfRule type="expression" dxfId="163" priority="10">
      <formula>R$3="Sun"</formula>
    </cfRule>
  </conditionalFormatting>
  <conditionalFormatting sqref="T5">
    <cfRule type="cellIs" dxfId="162" priority="51" operator="equal">
      <formula>"L"</formula>
    </cfRule>
    <cfRule type="cellIs" dxfId="161" priority="52" operator="equal">
      <formula>"A"</formula>
    </cfRule>
    <cfRule type="cellIs" dxfId="160" priority="53" operator="equal">
      <formula>"P"</formula>
    </cfRule>
    <cfRule type="expression" dxfId="159" priority="55">
      <formula>T$3="Sun"</formula>
    </cfRule>
    <cfRule type="expression" dxfId="158" priority="54">
      <formula>IF(T$4=TODAY(),TRUE,FALSE)</formula>
    </cfRule>
  </conditionalFormatting>
  <conditionalFormatting sqref="W5">
    <cfRule type="cellIs" dxfId="157" priority="2" operator="equal">
      <formula>"A"</formula>
    </cfRule>
    <cfRule type="cellIs" dxfId="156" priority="1" operator="equal">
      <formula>"L"</formula>
    </cfRule>
    <cfRule type="expression" dxfId="155" priority="5">
      <formula>W$3="Sun"</formula>
    </cfRule>
    <cfRule type="expression" dxfId="154" priority="4">
      <formula>IF(W$4=TODAY(),TRUE,FALSE)</formula>
    </cfRule>
    <cfRule type="cellIs" dxfId="153" priority="3" operator="equal">
      <formula>"P"</formula>
    </cfRule>
  </conditionalFormatting>
  <conditionalFormatting sqref="AA5">
    <cfRule type="cellIs" dxfId="152" priority="48" operator="equal">
      <formula>"P"</formula>
    </cfRule>
    <cfRule type="expression" dxfId="151" priority="49">
      <formula>IF(AA$4=TODAY(),TRUE,FALSE)</formula>
    </cfRule>
    <cfRule type="expression" dxfId="150" priority="50">
      <formula>AA$3="Sun"</formula>
    </cfRule>
    <cfRule type="cellIs" dxfId="149" priority="46" operator="equal">
      <formula>"L"</formula>
    </cfRule>
    <cfRule type="cellIs" dxfId="148" priority="47" operator="equal">
      <formula>"A"</formula>
    </cfRule>
  </conditionalFormatting>
  <conditionalFormatting sqref="AB5:AF49">
    <cfRule type="expression" dxfId="147" priority="20">
      <formula>AB$3="Sun"</formula>
    </cfRule>
    <cfRule type="expression" dxfId="146" priority="19">
      <formula>IF(AB$4=TODAY(),TRUE,FALSE)</formula>
    </cfRule>
    <cfRule type="cellIs" dxfId="145" priority="18" operator="equal">
      <formula>"P"</formula>
    </cfRule>
    <cfRule type="cellIs" dxfId="144" priority="17" operator="equal">
      <formula>"A"</formula>
    </cfRule>
    <cfRule type="cellIs" dxfId="143" priority="16" operator="equal">
      <formula>"L"</formula>
    </cfRule>
  </conditionalFormatting>
  <conditionalFormatting sqref="AG3:AH3 AG5:AH49">
    <cfRule type="expression" dxfId="142" priority="171">
      <formula>#REF!="Sun"</formula>
    </cfRule>
  </conditionalFormatting>
  <conditionalFormatting sqref="AI5:AI9">
    <cfRule type="expression" dxfId="141" priority="134">
      <formula>AI$3="Sun"</formula>
    </cfRule>
  </conditionalFormatting>
  <conditionalFormatting sqref="AI12:AI15">
    <cfRule type="expression" dxfId="140" priority="132">
      <formula>AI$3="Sun"</formula>
    </cfRule>
  </conditionalFormatting>
  <conditionalFormatting sqref="AI19:AI22">
    <cfRule type="expression" dxfId="139" priority="131">
      <formula>AI$3="Sun"</formula>
    </cfRule>
  </conditionalFormatting>
  <conditionalFormatting sqref="AI4:AJ4">
    <cfRule type="expression" dxfId="138" priority="135">
      <formula>AI$3="Sun"</formula>
    </cfRule>
  </conditionalFormatting>
  <conditionalFormatting sqref="AJ12:AL12 AJ19:AL19">
    <cfRule type="expression" dxfId="137" priority="136">
      <formula>AJ$3="Sun"</formula>
    </cfRule>
  </conditionalFormatting>
  <conditionalFormatting sqref="AL20">
    <cfRule type="expression" dxfId="136" priority="133">
      <formula>AL$3="Sun"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45"/>
  <sheetViews>
    <sheetView topLeftCell="A15" workbookViewId="0">
      <selection activeCell="B45" sqref="B4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737</v>
      </c>
      <c r="C5" s="24" t="s">
        <v>676</v>
      </c>
      <c r="D5" s="25" t="s">
        <v>677</v>
      </c>
      <c r="E5" s="20" t="s">
        <v>678</v>
      </c>
      <c r="F5" s="8" t="s">
        <v>111</v>
      </c>
      <c r="G5" s="126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26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26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26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5" si="1">COUNTIF(F5:AG5,"P")</f>
        <v>21</v>
      </c>
      <c r="AI5" s="5">
        <f t="shared" ref="AI5:AI45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734</v>
      </c>
      <c r="C6" s="24" t="s">
        <v>522</v>
      </c>
      <c r="D6" s="25" t="s">
        <v>428</v>
      </c>
      <c r="E6" s="20" t="s">
        <v>678</v>
      </c>
      <c r="F6" s="8" t="s">
        <v>111</v>
      </c>
      <c r="G6" s="126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26"/>
      <c r="O6" s="8" t="s">
        <v>111</v>
      </c>
      <c r="P6" s="8" t="s">
        <v>798</v>
      </c>
      <c r="Q6" s="8" t="s">
        <v>111</v>
      </c>
      <c r="R6" s="8" t="s">
        <v>111</v>
      </c>
      <c r="S6" s="136"/>
      <c r="T6" s="8" t="s">
        <v>111</v>
      </c>
      <c r="U6" s="126"/>
      <c r="V6" s="8" t="s">
        <v>798</v>
      </c>
      <c r="W6" s="8" t="s">
        <v>111</v>
      </c>
      <c r="X6" s="136"/>
      <c r="Y6" s="8" t="s">
        <v>111</v>
      </c>
      <c r="Z6" s="8" t="s">
        <v>798</v>
      </c>
      <c r="AA6" s="8" t="s">
        <v>798</v>
      </c>
      <c r="AB6" s="126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16</v>
      </c>
      <c r="AI6" s="5">
        <f t="shared" si="2"/>
        <v>5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787</v>
      </c>
      <c r="C7" s="24" t="s">
        <v>127</v>
      </c>
      <c r="D7" s="25" t="s">
        <v>169</v>
      </c>
      <c r="E7" s="20" t="s">
        <v>678</v>
      </c>
      <c r="F7" s="8" t="s">
        <v>111</v>
      </c>
      <c r="G7" s="126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111</v>
      </c>
      <c r="N7" s="126"/>
      <c r="O7" s="8" t="s">
        <v>111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26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26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21</v>
      </c>
      <c r="AI7" s="5">
        <f t="shared" si="2"/>
        <v>0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742</v>
      </c>
      <c r="C8" s="24" t="s">
        <v>679</v>
      </c>
      <c r="D8" s="25" t="s">
        <v>101</v>
      </c>
      <c r="E8" s="20" t="s">
        <v>678</v>
      </c>
      <c r="F8" s="8" t="s">
        <v>798</v>
      </c>
      <c r="G8" s="126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26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26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26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20</v>
      </c>
      <c r="AI8" s="5">
        <f t="shared" si="2"/>
        <v>1</v>
      </c>
      <c r="AJ8" s="5"/>
      <c r="AK8" s="9"/>
      <c r="AL8"/>
      <c r="AM8"/>
    </row>
    <row r="9" spans="1:39" x14ac:dyDescent="0.25">
      <c r="A9" s="21">
        <v>5</v>
      </c>
      <c r="B9" s="21">
        <v>740</v>
      </c>
      <c r="C9" s="24" t="s">
        <v>570</v>
      </c>
      <c r="D9" s="25" t="s">
        <v>177</v>
      </c>
      <c r="E9" s="20" t="s">
        <v>678</v>
      </c>
      <c r="F9" s="8" t="s">
        <v>111</v>
      </c>
      <c r="G9" s="126"/>
      <c r="H9" s="8" t="s">
        <v>111</v>
      </c>
      <c r="I9" s="8" t="s">
        <v>111</v>
      </c>
      <c r="J9" s="136"/>
      <c r="K9" s="8" t="s">
        <v>798</v>
      </c>
      <c r="L9" s="8" t="s">
        <v>111</v>
      </c>
      <c r="M9" s="8" t="s">
        <v>111</v>
      </c>
      <c r="N9" s="126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26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26"/>
      <c r="AC9" s="8" t="s">
        <v>111</v>
      </c>
      <c r="AD9" s="8" t="s">
        <v>111</v>
      </c>
      <c r="AE9" s="8" t="s">
        <v>111</v>
      </c>
      <c r="AF9" s="8" t="s">
        <v>799</v>
      </c>
      <c r="AG9" s="8" t="s">
        <v>111</v>
      </c>
      <c r="AH9" s="5">
        <f t="shared" si="1"/>
        <v>19</v>
      </c>
      <c r="AI9" s="5">
        <f t="shared" si="2"/>
        <v>1</v>
      </c>
      <c r="AJ9" s="5"/>
      <c r="AK9" s="9"/>
    </row>
    <row r="10" spans="1:39" x14ac:dyDescent="0.25">
      <c r="A10" s="9">
        <v>6</v>
      </c>
      <c r="B10" s="21">
        <v>738</v>
      </c>
      <c r="C10" s="24" t="s">
        <v>680</v>
      </c>
      <c r="D10" s="25" t="s">
        <v>677</v>
      </c>
      <c r="E10" s="20" t="s">
        <v>678</v>
      </c>
      <c r="F10" s="8" t="s">
        <v>111</v>
      </c>
      <c r="G10" s="126"/>
      <c r="H10" s="8" t="s">
        <v>111</v>
      </c>
      <c r="I10" s="8" t="s">
        <v>798</v>
      </c>
      <c r="J10" s="136"/>
      <c r="K10" s="8" t="s">
        <v>798</v>
      </c>
      <c r="L10" s="8" t="s">
        <v>111</v>
      </c>
      <c r="M10" s="8" t="s">
        <v>111</v>
      </c>
      <c r="N10" s="126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26"/>
      <c r="V10" s="8" t="s">
        <v>111</v>
      </c>
      <c r="W10" s="8" t="s">
        <v>798</v>
      </c>
      <c r="X10" s="136"/>
      <c r="Y10" s="8" t="s">
        <v>798</v>
      </c>
      <c r="Z10" s="8" t="s">
        <v>111</v>
      </c>
      <c r="AA10" s="8" t="s">
        <v>111</v>
      </c>
      <c r="AB10" s="126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16</v>
      </c>
      <c r="AI10" s="5">
        <f t="shared" si="2"/>
        <v>5</v>
      </c>
    </row>
    <row r="11" spans="1:39" ht="15.75" x14ac:dyDescent="0.25">
      <c r="A11" s="21">
        <v>7</v>
      </c>
      <c r="B11" s="21">
        <v>739</v>
      </c>
      <c r="C11" s="24" t="s">
        <v>681</v>
      </c>
      <c r="D11" s="25" t="s">
        <v>554</v>
      </c>
      <c r="E11" s="20" t="s">
        <v>678</v>
      </c>
      <c r="F11" s="8" t="s">
        <v>111</v>
      </c>
      <c r="G11" s="126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26"/>
      <c r="O11" s="8" t="s">
        <v>111</v>
      </c>
      <c r="P11" s="8" t="s">
        <v>799</v>
      </c>
      <c r="Q11" s="8" t="s">
        <v>111</v>
      </c>
      <c r="R11" s="8" t="s">
        <v>111</v>
      </c>
      <c r="S11" s="136"/>
      <c r="T11" s="8" t="s">
        <v>111</v>
      </c>
      <c r="U11" s="126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26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0</v>
      </c>
      <c r="AJ11" s="120" t="s">
        <v>9</v>
      </c>
      <c r="AK11" s="121"/>
      <c r="AL11" s="121"/>
      <c r="AM11" s="122"/>
    </row>
    <row r="12" spans="1:39" x14ac:dyDescent="0.25">
      <c r="A12" s="9">
        <v>8</v>
      </c>
      <c r="B12" s="21">
        <v>743</v>
      </c>
      <c r="C12" s="24" t="s">
        <v>242</v>
      </c>
      <c r="D12" s="25" t="s">
        <v>682</v>
      </c>
      <c r="E12" s="20" t="s">
        <v>678</v>
      </c>
      <c r="F12" s="8" t="s">
        <v>111</v>
      </c>
      <c r="G12" s="126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26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26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26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729</v>
      </c>
      <c r="C13" s="24" t="s">
        <v>683</v>
      </c>
      <c r="D13" s="25" t="s">
        <v>306</v>
      </c>
      <c r="E13" s="20" t="s">
        <v>678</v>
      </c>
      <c r="F13" s="8" t="s">
        <v>111</v>
      </c>
      <c r="G13" s="126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26"/>
      <c r="O13" s="8" t="s">
        <v>111</v>
      </c>
      <c r="P13" s="8" t="s">
        <v>111</v>
      </c>
      <c r="Q13" s="8" t="s">
        <v>111</v>
      </c>
      <c r="R13" s="8" t="s">
        <v>798</v>
      </c>
      <c r="S13" s="136"/>
      <c r="T13" s="8" t="s">
        <v>798</v>
      </c>
      <c r="U13" s="126"/>
      <c r="V13" s="8" t="s">
        <v>798</v>
      </c>
      <c r="W13" s="8" t="s">
        <v>798</v>
      </c>
      <c r="X13" s="136"/>
      <c r="Y13" s="8" t="s">
        <v>798</v>
      </c>
      <c r="Z13" s="8" t="s">
        <v>798</v>
      </c>
      <c r="AA13" s="8" t="s">
        <v>798</v>
      </c>
      <c r="AB13" s="126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12</v>
      </c>
      <c r="AJ13" s="5" t="s">
        <v>14</v>
      </c>
      <c r="AK13" s="9">
        <f>19*$AK$5</f>
        <v>475</v>
      </c>
      <c r="AL13" s="9">
        <f>23*$AK$5</f>
        <v>575</v>
      </c>
      <c r="AM13" s="9">
        <f>SUM(AK13:AL13)</f>
        <v>1050</v>
      </c>
    </row>
    <row r="14" spans="1:39" x14ac:dyDescent="0.25">
      <c r="A14" s="9">
        <v>10</v>
      </c>
      <c r="B14" s="21">
        <v>735</v>
      </c>
      <c r="C14" s="24" t="s">
        <v>684</v>
      </c>
      <c r="D14" s="25" t="s">
        <v>97</v>
      </c>
      <c r="E14" s="20" t="s">
        <v>678</v>
      </c>
      <c r="F14" s="8" t="s">
        <v>111</v>
      </c>
      <c r="G14" s="126"/>
      <c r="H14" s="8" t="s">
        <v>111</v>
      </c>
      <c r="I14" s="8" t="s">
        <v>111</v>
      </c>
      <c r="J14" s="136"/>
      <c r="K14" s="8" t="s">
        <v>111</v>
      </c>
      <c r="L14" s="8" t="s">
        <v>798</v>
      </c>
      <c r="M14" s="8" t="s">
        <v>798</v>
      </c>
      <c r="N14" s="126"/>
      <c r="O14" s="8" t="s">
        <v>798</v>
      </c>
      <c r="P14" s="8" t="s">
        <v>111</v>
      </c>
      <c r="Q14" s="8" t="s">
        <v>798</v>
      </c>
      <c r="R14" s="8" t="s">
        <v>111</v>
      </c>
      <c r="S14" s="136"/>
      <c r="T14" s="8" t="s">
        <v>798</v>
      </c>
      <c r="U14" s="126"/>
      <c r="V14" s="8" t="s">
        <v>798</v>
      </c>
      <c r="W14" s="8" t="s">
        <v>798</v>
      </c>
      <c r="X14" s="136"/>
      <c r="Y14" s="8" t="s">
        <v>798</v>
      </c>
      <c r="Z14" s="8" t="s">
        <v>798</v>
      </c>
      <c r="AA14" s="8" t="s">
        <v>798</v>
      </c>
      <c r="AB14" s="126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798</v>
      </c>
      <c r="AH14" s="5">
        <f t="shared" si="1"/>
        <v>6</v>
      </c>
      <c r="AI14" s="5">
        <f t="shared" si="2"/>
        <v>15</v>
      </c>
      <c r="AJ14" s="5" t="s">
        <v>15</v>
      </c>
      <c r="AK14" s="9">
        <f>SUM(AH27:AH45)</f>
        <v>288</v>
      </c>
      <c r="AL14" s="9">
        <f>SUM(AH5:AH26)</f>
        <v>387</v>
      </c>
      <c r="AM14" s="9">
        <f>AK14+AL14</f>
        <v>675</v>
      </c>
    </row>
    <row r="15" spans="1:39" x14ac:dyDescent="0.25">
      <c r="A15" s="21">
        <v>11</v>
      </c>
      <c r="B15" s="21">
        <v>736</v>
      </c>
      <c r="C15" s="24" t="s">
        <v>685</v>
      </c>
      <c r="D15" s="25" t="s">
        <v>338</v>
      </c>
      <c r="E15" s="20" t="s">
        <v>678</v>
      </c>
      <c r="F15" s="8" t="s">
        <v>111</v>
      </c>
      <c r="G15" s="126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111</v>
      </c>
      <c r="N15" s="126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26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26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21</v>
      </c>
      <c r="AI15" s="5">
        <f t="shared" si="2"/>
        <v>0</v>
      </c>
      <c r="AJ15" s="5" t="s">
        <v>16</v>
      </c>
      <c r="AK15" s="12">
        <f>AK14/AK13</f>
        <v>0.60631578947368425</v>
      </c>
      <c r="AL15" s="12">
        <f>AL14/AL13</f>
        <v>0.67304347826086952</v>
      </c>
      <c r="AM15" s="12">
        <f>AM14/AM13</f>
        <v>0.6428571428571429</v>
      </c>
    </row>
    <row r="16" spans="1:39" x14ac:dyDescent="0.25">
      <c r="A16" s="9">
        <v>12</v>
      </c>
      <c r="B16" s="21">
        <v>759</v>
      </c>
      <c r="C16" s="24" t="s">
        <v>633</v>
      </c>
      <c r="D16" s="25" t="s">
        <v>686</v>
      </c>
      <c r="E16" s="20" t="s">
        <v>678</v>
      </c>
      <c r="F16" s="8" t="s">
        <v>111</v>
      </c>
      <c r="G16" s="126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26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26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26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20</v>
      </c>
      <c r="AI16" s="5">
        <f t="shared" si="2"/>
        <v>1</v>
      </c>
      <c r="AJ16"/>
      <c r="AK16"/>
      <c r="AL16"/>
      <c r="AM16"/>
    </row>
    <row r="17" spans="1:39" x14ac:dyDescent="0.25">
      <c r="A17" s="21">
        <v>13</v>
      </c>
      <c r="B17" s="21">
        <v>746</v>
      </c>
      <c r="C17" s="24" t="s">
        <v>687</v>
      </c>
      <c r="D17" s="25" t="s">
        <v>688</v>
      </c>
      <c r="E17" s="20" t="s">
        <v>678</v>
      </c>
      <c r="F17" s="8" t="s">
        <v>111</v>
      </c>
      <c r="G17" s="126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26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26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26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745</v>
      </c>
      <c r="C18" s="24" t="s">
        <v>689</v>
      </c>
      <c r="D18" s="25" t="s">
        <v>688</v>
      </c>
      <c r="E18" s="20" t="s">
        <v>678</v>
      </c>
      <c r="F18" s="8" t="s">
        <v>111</v>
      </c>
      <c r="G18" s="126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26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26"/>
      <c r="V18" s="8" t="s">
        <v>798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26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19</v>
      </c>
      <c r="AI18" s="5">
        <f t="shared" si="2"/>
        <v>2</v>
      </c>
      <c r="AJ18"/>
      <c r="AK18"/>
      <c r="AL18"/>
      <c r="AM18"/>
    </row>
    <row r="19" spans="1:39" ht="15.75" x14ac:dyDescent="0.25">
      <c r="A19" s="21">
        <v>15</v>
      </c>
      <c r="B19" s="21">
        <v>731</v>
      </c>
      <c r="C19" s="24" t="s">
        <v>690</v>
      </c>
      <c r="D19" s="25" t="s">
        <v>691</v>
      </c>
      <c r="E19" s="20" t="s">
        <v>678</v>
      </c>
      <c r="F19" s="8" t="s">
        <v>111</v>
      </c>
      <c r="G19" s="126"/>
      <c r="H19" s="8" t="s">
        <v>111</v>
      </c>
      <c r="I19" s="8" t="s">
        <v>111</v>
      </c>
      <c r="J19" s="136"/>
      <c r="K19" s="8" t="s">
        <v>111</v>
      </c>
      <c r="L19" s="8" t="s">
        <v>111</v>
      </c>
      <c r="M19" s="8" t="s">
        <v>798</v>
      </c>
      <c r="N19" s="126"/>
      <c r="O19" s="8" t="s">
        <v>798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26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26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20" t="s">
        <v>123</v>
      </c>
      <c r="AK19" s="121"/>
      <c r="AL19" s="121"/>
      <c r="AM19" s="122"/>
    </row>
    <row r="20" spans="1:39" x14ac:dyDescent="0.25">
      <c r="A20" s="9">
        <v>16</v>
      </c>
      <c r="B20" s="21">
        <v>738</v>
      </c>
      <c r="C20" s="24" t="s">
        <v>570</v>
      </c>
      <c r="D20" s="25" t="s">
        <v>692</v>
      </c>
      <c r="E20" s="20" t="s">
        <v>678</v>
      </c>
      <c r="F20" s="8" t="s">
        <v>111</v>
      </c>
      <c r="G20" s="126"/>
      <c r="H20" s="8" t="s">
        <v>111</v>
      </c>
      <c r="I20" s="8" t="s">
        <v>111</v>
      </c>
      <c r="J20" s="136"/>
      <c r="K20" s="8" t="s">
        <v>111</v>
      </c>
      <c r="L20" s="8" t="s">
        <v>111</v>
      </c>
      <c r="M20" s="8" t="s">
        <v>111</v>
      </c>
      <c r="N20" s="126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26"/>
      <c r="V20" s="8" t="s">
        <v>111</v>
      </c>
      <c r="W20" s="8" t="s">
        <v>111</v>
      </c>
      <c r="X20" s="136"/>
      <c r="Y20" s="8" t="s">
        <v>111</v>
      </c>
      <c r="Z20" s="8" t="s">
        <v>111</v>
      </c>
      <c r="AA20" s="8" t="s">
        <v>111</v>
      </c>
      <c r="AB20" s="126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21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856</v>
      </c>
      <c r="C21" s="24" t="s">
        <v>693</v>
      </c>
      <c r="D21" s="25" t="s">
        <v>554</v>
      </c>
      <c r="E21" s="20" t="s">
        <v>678</v>
      </c>
      <c r="F21" s="8" t="s">
        <v>111</v>
      </c>
      <c r="G21" s="126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26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26"/>
      <c r="V21" s="8" t="s">
        <v>798</v>
      </c>
      <c r="W21" s="8" t="s">
        <v>798</v>
      </c>
      <c r="X21" s="136"/>
      <c r="Y21" s="8" t="s">
        <v>798</v>
      </c>
      <c r="Z21" s="8" t="s">
        <v>798</v>
      </c>
      <c r="AA21" s="8" t="s">
        <v>111</v>
      </c>
      <c r="AB21" s="126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14</v>
      </c>
      <c r="AI21" s="5">
        <f t="shared" si="2"/>
        <v>7</v>
      </c>
      <c r="AJ21" s="5" t="s">
        <v>14</v>
      </c>
      <c r="AK21" s="9">
        <f>19*$AK$5</f>
        <v>475</v>
      </c>
      <c r="AL21" s="9">
        <f>23*$AK$5</f>
        <v>575</v>
      </c>
      <c r="AM21" s="9">
        <f>AK21+AL21</f>
        <v>1050</v>
      </c>
    </row>
    <row r="22" spans="1:39" x14ac:dyDescent="0.25">
      <c r="A22" s="9">
        <v>18</v>
      </c>
      <c r="B22" s="21">
        <v>906</v>
      </c>
      <c r="C22" s="24" t="s">
        <v>694</v>
      </c>
      <c r="D22" s="25" t="s">
        <v>695</v>
      </c>
      <c r="E22" s="20" t="s">
        <v>678</v>
      </c>
      <c r="F22" s="8" t="s">
        <v>111</v>
      </c>
      <c r="G22" s="126"/>
      <c r="H22" s="8" t="s">
        <v>111</v>
      </c>
      <c r="I22" s="8" t="s">
        <v>798</v>
      </c>
      <c r="J22" s="136"/>
      <c r="K22" s="8" t="s">
        <v>111</v>
      </c>
      <c r="L22" s="8" t="s">
        <v>111</v>
      </c>
      <c r="M22" s="8" t="s">
        <v>111</v>
      </c>
      <c r="N22" s="126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26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26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187</v>
      </c>
      <c r="AL22" s="9">
        <f>AL21-AL14</f>
        <v>188</v>
      </c>
      <c r="AM22" s="9">
        <f>AK22+AL22</f>
        <v>375</v>
      </c>
    </row>
    <row r="23" spans="1:39" x14ac:dyDescent="0.25">
      <c r="A23" s="9">
        <v>19</v>
      </c>
      <c r="B23" s="21">
        <v>866</v>
      </c>
      <c r="C23" s="24" t="s">
        <v>696</v>
      </c>
      <c r="D23" s="25" t="s">
        <v>697</v>
      </c>
      <c r="E23" s="20" t="s">
        <v>678</v>
      </c>
      <c r="F23" s="8" t="s">
        <v>111</v>
      </c>
      <c r="G23" s="126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26"/>
      <c r="O23" s="8" t="s">
        <v>111</v>
      </c>
      <c r="P23" s="8" t="s">
        <v>798</v>
      </c>
      <c r="Q23" s="8" t="s">
        <v>111</v>
      </c>
      <c r="R23" s="8" t="s">
        <v>111</v>
      </c>
      <c r="S23" s="136"/>
      <c r="T23" s="8" t="s">
        <v>111</v>
      </c>
      <c r="U23" s="126"/>
      <c r="V23" s="8" t="s">
        <v>798</v>
      </c>
      <c r="W23" s="8" t="s">
        <v>798</v>
      </c>
      <c r="X23" s="136"/>
      <c r="Y23" s="8" t="s">
        <v>798</v>
      </c>
      <c r="Z23" s="8" t="s">
        <v>798</v>
      </c>
      <c r="AA23" s="8" t="s">
        <v>798</v>
      </c>
      <c r="AB23" s="126"/>
      <c r="AC23" s="8" t="s">
        <v>798</v>
      </c>
      <c r="AD23" s="8" t="s">
        <v>798</v>
      </c>
      <c r="AE23" s="8" t="s">
        <v>111</v>
      </c>
      <c r="AF23" s="8" t="s">
        <v>111</v>
      </c>
      <c r="AG23" s="8" t="s">
        <v>111</v>
      </c>
      <c r="AH23" s="5">
        <f t="shared" si="1"/>
        <v>13</v>
      </c>
      <c r="AI23" s="5">
        <f t="shared" si="2"/>
        <v>8</v>
      </c>
    </row>
    <row r="24" spans="1:39" x14ac:dyDescent="0.25">
      <c r="A24" s="9">
        <v>20</v>
      </c>
      <c r="B24" s="21">
        <v>846</v>
      </c>
      <c r="C24" s="24" t="s">
        <v>698</v>
      </c>
      <c r="D24" s="25" t="s">
        <v>699</v>
      </c>
      <c r="E24" s="20" t="s">
        <v>678</v>
      </c>
      <c r="F24" s="8" t="s">
        <v>111</v>
      </c>
      <c r="G24" s="126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26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798</v>
      </c>
      <c r="U24" s="126"/>
      <c r="V24" s="8" t="s">
        <v>798</v>
      </c>
      <c r="W24" s="8" t="s">
        <v>798</v>
      </c>
      <c r="X24" s="136"/>
      <c r="Y24" s="8" t="s">
        <v>111</v>
      </c>
      <c r="Z24" s="8" t="s">
        <v>111</v>
      </c>
      <c r="AA24" s="8" t="s">
        <v>111</v>
      </c>
      <c r="AB24" s="126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9">
        <v>21</v>
      </c>
      <c r="B25" s="21">
        <v>857</v>
      </c>
      <c r="C25" s="24" t="s">
        <v>696</v>
      </c>
      <c r="D25" s="24" t="s">
        <v>314</v>
      </c>
      <c r="E25" s="20" t="s">
        <v>678</v>
      </c>
      <c r="F25" s="8" t="s">
        <v>111</v>
      </c>
      <c r="G25" s="126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26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26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26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20</v>
      </c>
      <c r="AI25" s="5">
        <f t="shared" si="2"/>
        <v>1</v>
      </c>
    </row>
    <row r="26" spans="1:39" x14ac:dyDescent="0.25">
      <c r="A26" s="9">
        <v>22</v>
      </c>
      <c r="B26" s="9">
        <v>738</v>
      </c>
      <c r="C26" s="29" t="s">
        <v>570</v>
      </c>
      <c r="D26" s="29" t="s">
        <v>700</v>
      </c>
      <c r="E26" s="20" t="s">
        <v>678</v>
      </c>
      <c r="F26" s="8" t="s">
        <v>111</v>
      </c>
      <c r="G26" s="126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798</v>
      </c>
      <c r="N26" s="126"/>
      <c r="O26" s="8" t="s">
        <v>798</v>
      </c>
      <c r="P26" s="8" t="s">
        <v>798</v>
      </c>
      <c r="Q26" s="8" t="s">
        <v>798</v>
      </c>
      <c r="R26" s="8" t="s">
        <v>798</v>
      </c>
      <c r="S26" s="136"/>
      <c r="T26" s="8" t="s">
        <v>798</v>
      </c>
      <c r="U26" s="126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26"/>
      <c r="AC26" s="8" t="s">
        <v>111</v>
      </c>
      <c r="AD26" s="8" t="s">
        <v>111</v>
      </c>
      <c r="AE26" s="8" t="s">
        <v>798</v>
      </c>
      <c r="AF26" s="8" t="s">
        <v>798</v>
      </c>
      <c r="AG26" s="8" t="s">
        <v>798</v>
      </c>
      <c r="AH26" s="5">
        <f t="shared" si="1"/>
        <v>12</v>
      </c>
      <c r="AI26" s="5">
        <f t="shared" si="2"/>
        <v>9</v>
      </c>
    </row>
    <row r="27" spans="1:39" x14ac:dyDescent="0.25">
      <c r="A27" s="9">
        <v>23</v>
      </c>
      <c r="B27" s="21">
        <v>730</v>
      </c>
      <c r="C27" s="24" t="s">
        <v>701</v>
      </c>
      <c r="D27" s="25" t="s">
        <v>22</v>
      </c>
      <c r="E27" s="20" t="s">
        <v>678</v>
      </c>
      <c r="F27" s="8" t="s">
        <v>111</v>
      </c>
      <c r="G27" s="126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26"/>
      <c r="O27" s="8" t="s">
        <v>111</v>
      </c>
      <c r="P27" s="8" t="s">
        <v>798</v>
      </c>
      <c r="Q27" s="8" t="s">
        <v>798</v>
      </c>
      <c r="R27" s="8" t="s">
        <v>798</v>
      </c>
      <c r="S27" s="136"/>
      <c r="T27" s="8" t="s">
        <v>798</v>
      </c>
      <c r="U27" s="126"/>
      <c r="V27" s="8" t="s">
        <v>798</v>
      </c>
      <c r="W27" s="8" t="s">
        <v>798</v>
      </c>
      <c r="X27" s="136"/>
      <c r="Y27" s="8" t="s">
        <v>798</v>
      </c>
      <c r="Z27" s="8" t="s">
        <v>798</v>
      </c>
      <c r="AA27" s="8" t="s">
        <v>798</v>
      </c>
      <c r="AB27" s="126"/>
      <c r="AC27" s="8" t="s">
        <v>798</v>
      </c>
      <c r="AD27" s="8" t="s">
        <v>798</v>
      </c>
      <c r="AE27" s="8" t="s">
        <v>111</v>
      </c>
      <c r="AF27" s="8" t="s">
        <v>111</v>
      </c>
      <c r="AG27" s="8" t="s">
        <v>111</v>
      </c>
      <c r="AH27" s="5">
        <f t="shared" si="1"/>
        <v>10</v>
      </c>
      <c r="AI27" s="5">
        <f t="shared" si="2"/>
        <v>11</v>
      </c>
    </row>
    <row r="28" spans="1:39" x14ac:dyDescent="0.25">
      <c r="A28" s="9">
        <v>24</v>
      </c>
      <c r="B28" s="21">
        <v>732</v>
      </c>
      <c r="C28" s="24" t="s">
        <v>702</v>
      </c>
      <c r="D28" s="25" t="s">
        <v>473</v>
      </c>
      <c r="E28" s="20" t="s">
        <v>678</v>
      </c>
      <c r="F28" s="8" t="s">
        <v>798</v>
      </c>
      <c r="G28" s="126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798</v>
      </c>
      <c r="N28" s="126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798</v>
      </c>
      <c r="U28" s="126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26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18</v>
      </c>
      <c r="AI28" s="5">
        <f t="shared" si="2"/>
        <v>3</v>
      </c>
    </row>
    <row r="29" spans="1:39" x14ac:dyDescent="0.25">
      <c r="A29" s="9">
        <v>25</v>
      </c>
      <c r="B29" s="21">
        <v>728</v>
      </c>
      <c r="C29" s="24" t="s">
        <v>703</v>
      </c>
      <c r="D29" s="25" t="s">
        <v>507</v>
      </c>
      <c r="E29" s="20" t="s">
        <v>678</v>
      </c>
      <c r="F29" s="8" t="s">
        <v>111</v>
      </c>
      <c r="G29" s="126"/>
      <c r="H29" s="8" t="s">
        <v>111</v>
      </c>
      <c r="I29" s="8" t="s">
        <v>111</v>
      </c>
      <c r="J29" s="136"/>
      <c r="K29" s="8" t="s">
        <v>111</v>
      </c>
      <c r="L29" s="8" t="s">
        <v>111</v>
      </c>
      <c r="M29" s="8" t="s">
        <v>111</v>
      </c>
      <c r="N29" s="126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26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26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21</v>
      </c>
      <c r="AI29" s="5">
        <f t="shared" si="2"/>
        <v>0</v>
      </c>
    </row>
    <row r="30" spans="1:39" x14ac:dyDescent="0.25">
      <c r="A30" s="9">
        <v>26</v>
      </c>
      <c r="B30" s="21">
        <v>760</v>
      </c>
      <c r="C30" s="24" t="s">
        <v>704</v>
      </c>
      <c r="D30" s="24" t="s">
        <v>608</v>
      </c>
      <c r="E30" s="20" t="s">
        <v>678</v>
      </c>
      <c r="F30" s="8" t="s">
        <v>111</v>
      </c>
      <c r="G30" s="126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26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26"/>
      <c r="V30" s="8" t="s">
        <v>111</v>
      </c>
      <c r="W30" s="8" t="s">
        <v>798</v>
      </c>
      <c r="X30" s="136"/>
      <c r="Y30" s="8" t="s">
        <v>111</v>
      </c>
      <c r="Z30" s="8" t="s">
        <v>111</v>
      </c>
      <c r="AA30" s="8" t="s">
        <v>111</v>
      </c>
      <c r="AB30" s="126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20</v>
      </c>
      <c r="AI30" s="5">
        <f t="shared" si="2"/>
        <v>1</v>
      </c>
    </row>
    <row r="31" spans="1:39" x14ac:dyDescent="0.25">
      <c r="A31" s="9">
        <v>27</v>
      </c>
      <c r="B31" s="21">
        <v>741</v>
      </c>
      <c r="C31" s="24" t="s">
        <v>705</v>
      </c>
      <c r="D31" s="25" t="s">
        <v>569</v>
      </c>
      <c r="E31" s="20" t="s">
        <v>678</v>
      </c>
      <c r="F31" s="8" t="s">
        <v>111</v>
      </c>
      <c r="G31" s="126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26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26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26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28</v>
      </c>
      <c r="B32" s="103">
        <v>733</v>
      </c>
      <c r="C32" s="27" t="s">
        <v>706</v>
      </c>
      <c r="D32" s="28" t="s">
        <v>707</v>
      </c>
      <c r="E32" s="20" t="s">
        <v>678</v>
      </c>
      <c r="F32" s="8" t="s">
        <v>798</v>
      </c>
      <c r="G32" s="126"/>
      <c r="H32" s="8" t="s">
        <v>798</v>
      </c>
      <c r="I32" s="8" t="s">
        <v>798</v>
      </c>
      <c r="J32" s="136"/>
      <c r="K32" s="8" t="s">
        <v>111</v>
      </c>
      <c r="L32" s="8" t="s">
        <v>798</v>
      </c>
      <c r="M32" s="8" t="s">
        <v>798</v>
      </c>
      <c r="N32" s="126"/>
      <c r="O32" s="8" t="s">
        <v>798</v>
      </c>
      <c r="P32" s="8" t="s">
        <v>798</v>
      </c>
      <c r="Q32" s="8" t="s">
        <v>798</v>
      </c>
      <c r="R32" s="8" t="s">
        <v>798</v>
      </c>
      <c r="S32" s="136"/>
      <c r="T32" s="8" t="s">
        <v>798</v>
      </c>
      <c r="U32" s="126"/>
      <c r="V32" s="8" t="s">
        <v>798</v>
      </c>
      <c r="W32" s="8" t="s">
        <v>798</v>
      </c>
      <c r="X32" s="136"/>
      <c r="Y32" s="8" t="s">
        <v>798</v>
      </c>
      <c r="Z32" s="8" t="s">
        <v>798</v>
      </c>
      <c r="AA32" s="8" t="s">
        <v>798</v>
      </c>
      <c r="AB32" s="126"/>
      <c r="AC32" s="8" t="s">
        <v>798</v>
      </c>
      <c r="AD32" s="8" t="s">
        <v>798</v>
      </c>
      <c r="AE32" s="8" t="s">
        <v>798</v>
      </c>
      <c r="AF32" s="8" t="s">
        <v>798</v>
      </c>
      <c r="AG32" s="8" t="s">
        <v>798</v>
      </c>
      <c r="AH32" s="5">
        <f t="shared" si="1"/>
        <v>1</v>
      </c>
      <c r="AI32" s="5">
        <f t="shared" si="2"/>
        <v>20</v>
      </c>
    </row>
    <row r="33" spans="1:35" x14ac:dyDescent="0.25">
      <c r="A33" s="9">
        <v>29</v>
      </c>
      <c r="B33" s="9">
        <v>744</v>
      </c>
      <c r="C33" s="29" t="s">
        <v>708</v>
      </c>
      <c r="D33" s="29" t="s">
        <v>135</v>
      </c>
      <c r="E33" s="20" t="s">
        <v>678</v>
      </c>
      <c r="F33" s="8" t="s">
        <v>111</v>
      </c>
      <c r="G33" s="126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26"/>
      <c r="O33" s="8" t="s">
        <v>111</v>
      </c>
      <c r="P33" s="8" t="s">
        <v>799</v>
      </c>
      <c r="Q33" s="8" t="s">
        <v>799</v>
      </c>
      <c r="R33" s="8" t="s">
        <v>799</v>
      </c>
      <c r="S33" s="136"/>
      <c r="T33" s="8" t="s">
        <v>799</v>
      </c>
      <c r="U33" s="126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26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17</v>
      </c>
      <c r="AI33" s="5">
        <f t="shared" si="2"/>
        <v>0</v>
      </c>
    </row>
    <row r="34" spans="1:35" x14ac:dyDescent="0.25">
      <c r="A34" s="9">
        <v>30</v>
      </c>
      <c r="B34" s="21">
        <v>850</v>
      </c>
      <c r="C34" s="24" t="s">
        <v>709</v>
      </c>
      <c r="D34" s="24" t="s">
        <v>710</v>
      </c>
      <c r="E34" s="20" t="s">
        <v>678</v>
      </c>
      <c r="F34" s="8" t="s">
        <v>111</v>
      </c>
      <c r="G34" s="126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26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26"/>
      <c r="V34" s="8" t="s">
        <v>111</v>
      </c>
      <c r="W34" s="8" t="s">
        <v>111</v>
      </c>
      <c r="X34" s="136"/>
      <c r="Y34" s="8" t="s">
        <v>798</v>
      </c>
      <c r="Z34" s="8" t="s">
        <v>111</v>
      </c>
      <c r="AA34" s="8" t="s">
        <v>111</v>
      </c>
      <c r="AB34" s="126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1</v>
      </c>
    </row>
    <row r="35" spans="1:35" x14ac:dyDescent="0.25">
      <c r="A35" s="9">
        <v>31</v>
      </c>
      <c r="B35" s="9">
        <v>767</v>
      </c>
      <c r="C35" s="14" t="s">
        <v>84</v>
      </c>
      <c r="D35" s="14" t="s">
        <v>36</v>
      </c>
      <c r="E35" s="20" t="s">
        <v>678</v>
      </c>
      <c r="F35" s="8" t="s">
        <v>798</v>
      </c>
      <c r="G35" s="126"/>
      <c r="H35" s="8" t="s">
        <v>798</v>
      </c>
      <c r="I35" s="8" t="s">
        <v>798</v>
      </c>
      <c r="J35" s="136"/>
      <c r="K35" s="8" t="s">
        <v>798</v>
      </c>
      <c r="L35" s="8" t="s">
        <v>798</v>
      </c>
      <c r="M35" s="8" t="s">
        <v>798</v>
      </c>
      <c r="N35" s="126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26"/>
      <c r="V35" s="8" t="s">
        <v>798</v>
      </c>
      <c r="W35" s="8" t="s">
        <v>798</v>
      </c>
      <c r="X35" s="136"/>
      <c r="Y35" s="8" t="s">
        <v>798</v>
      </c>
      <c r="Z35" s="8" t="s">
        <v>798</v>
      </c>
      <c r="AA35" s="8" t="s">
        <v>798</v>
      </c>
      <c r="AB35" s="126"/>
      <c r="AC35" s="8" t="s">
        <v>798</v>
      </c>
      <c r="AD35" s="8" t="s">
        <v>798</v>
      </c>
      <c r="AE35" s="8" t="s">
        <v>798</v>
      </c>
      <c r="AF35" s="8" t="s">
        <v>798</v>
      </c>
      <c r="AG35" s="8" t="s">
        <v>798</v>
      </c>
      <c r="AH35" s="5">
        <f t="shared" si="1"/>
        <v>0</v>
      </c>
      <c r="AI35" s="5">
        <f t="shared" si="2"/>
        <v>21</v>
      </c>
    </row>
    <row r="36" spans="1:35" x14ac:dyDescent="0.25">
      <c r="A36" s="9">
        <v>32</v>
      </c>
      <c r="B36" s="9">
        <v>875</v>
      </c>
      <c r="C36" s="14" t="s">
        <v>711</v>
      </c>
      <c r="D36" s="14" t="s">
        <v>712</v>
      </c>
      <c r="E36" s="20" t="s">
        <v>678</v>
      </c>
      <c r="F36" s="8" t="s">
        <v>111</v>
      </c>
      <c r="G36" s="126"/>
      <c r="H36" s="8" t="s">
        <v>111</v>
      </c>
      <c r="I36" s="8" t="s">
        <v>111</v>
      </c>
      <c r="J36" s="136"/>
      <c r="K36" s="8" t="s">
        <v>798</v>
      </c>
      <c r="L36" s="8" t="s">
        <v>798</v>
      </c>
      <c r="M36" s="8" t="s">
        <v>798</v>
      </c>
      <c r="N36" s="126"/>
      <c r="O36" s="8" t="s">
        <v>798</v>
      </c>
      <c r="P36" s="8" t="s">
        <v>798</v>
      </c>
      <c r="Q36" s="8" t="s">
        <v>798</v>
      </c>
      <c r="R36" s="8" t="s">
        <v>798</v>
      </c>
      <c r="S36" s="136"/>
      <c r="T36" s="8" t="s">
        <v>111</v>
      </c>
      <c r="U36" s="126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26"/>
      <c r="AC36" s="8" t="s">
        <v>111</v>
      </c>
      <c r="AD36" s="8" t="s">
        <v>798</v>
      </c>
      <c r="AE36" s="8" t="s">
        <v>798</v>
      </c>
      <c r="AF36" s="8" t="s">
        <v>111</v>
      </c>
      <c r="AG36" s="8" t="s">
        <v>111</v>
      </c>
      <c r="AH36" s="5">
        <f t="shared" si="1"/>
        <v>12</v>
      </c>
      <c r="AI36" s="5">
        <f t="shared" si="2"/>
        <v>9</v>
      </c>
    </row>
    <row r="37" spans="1:35" x14ac:dyDescent="0.25">
      <c r="A37" s="9">
        <v>33</v>
      </c>
      <c r="B37" s="9">
        <v>727</v>
      </c>
      <c r="C37" s="14" t="s">
        <v>713</v>
      </c>
      <c r="D37" s="14" t="s">
        <v>714</v>
      </c>
      <c r="E37" s="20" t="s">
        <v>678</v>
      </c>
      <c r="F37" s="8" t="s">
        <v>111</v>
      </c>
      <c r="G37" s="126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26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26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26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21</v>
      </c>
      <c r="AI37" s="5">
        <f t="shared" si="2"/>
        <v>0</v>
      </c>
    </row>
    <row r="38" spans="1:35" x14ac:dyDescent="0.25">
      <c r="A38" s="9">
        <v>34</v>
      </c>
      <c r="B38" s="9">
        <v>880</v>
      </c>
      <c r="C38" s="14" t="s">
        <v>715</v>
      </c>
      <c r="D38" s="14" t="s">
        <v>716</v>
      </c>
      <c r="E38" s="20" t="s">
        <v>678</v>
      </c>
      <c r="F38" s="8" t="s">
        <v>111</v>
      </c>
      <c r="G38" s="126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26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26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26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35</v>
      </c>
      <c r="B39" s="9">
        <v>777</v>
      </c>
      <c r="C39" s="14" t="s">
        <v>717</v>
      </c>
      <c r="D39" s="14" t="s">
        <v>718</v>
      </c>
      <c r="E39" s="20" t="s">
        <v>678</v>
      </c>
      <c r="F39" s="8" t="s">
        <v>111</v>
      </c>
      <c r="G39" s="126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26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26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26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  <row r="40" spans="1:35" x14ac:dyDescent="0.25">
      <c r="A40" s="9">
        <v>36</v>
      </c>
      <c r="B40" s="9">
        <v>873</v>
      </c>
      <c r="C40" s="14" t="s">
        <v>719</v>
      </c>
      <c r="D40" s="14" t="s">
        <v>34</v>
      </c>
      <c r="E40" s="20" t="s">
        <v>678</v>
      </c>
      <c r="F40" s="8" t="s">
        <v>798</v>
      </c>
      <c r="G40" s="126"/>
      <c r="H40" s="8" t="s">
        <v>111</v>
      </c>
      <c r="I40" s="8" t="s">
        <v>111</v>
      </c>
      <c r="J40" s="136"/>
      <c r="K40" s="8" t="s">
        <v>798</v>
      </c>
      <c r="L40" s="8" t="s">
        <v>111</v>
      </c>
      <c r="M40" s="8" t="s">
        <v>798</v>
      </c>
      <c r="N40" s="126"/>
      <c r="O40" s="8" t="s">
        <v>798</v>
      </c>
      <c r="P40" s="8" t="s">
        <v>111</v>
      </c>
      <c r="Q40" s="8" t="s">
        <v>111</v>
      </c>
      <c r="R40" s="8" t="s">
        <v>111</v>
      </c>
      <c r="S40" s="136"/>
      <c r="T40" s="8" t="s">
        <v>798</v>
      </c>
      <c r="U40" s="126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26"/>
      <c r="AC40" s="8" t="s">
        <v>111</v>
      </c>
      <c r="AD40" s="8" t="s">
        <v>111</v>
      </c>
      <c r="AE40" s="8" t="s">
        <v>798</v>
      </c>
      <c r="AF40" s="8" t="s">
        <v>798</v>
      </c>
      <c r="AG40" s="8" t="s">
        <v>111</v>
      </c>
      <c r="AH40" s="5">
        <f t="shared" si="1"/>
        <v>14</v>
      </c>
      <c r="AI40" s="5">
        <f t="shared" si="2"/>
        <v>7</v>
      </c>
    </row>
    <row r="41" spans="1:35" x14ac:dyDescent="0.25">
      <c r="A41" s="9">
        <v>37</v>
      </c>
      <c r="B41" s="9">
        <v>909</v>
      </c>
      <c r="C41" s="14" t="s">
        <v>720</v>
      </c>
      <c r="D41" s="14" t="s">
        <v>721</v>
      </c>
      <c r="E41" s="20" t="s">
        <v>678</v>
      </c>
      <c r="F41" s="8" t="s">
        <v>111</v>
      </c>
      <c r="G41" s="126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26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26"/>
      <c r="V41" s="8" t="s">
        <v>111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26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21</v>
      </c>
      <c r="AI41" s="5">
        <f t="shared" si="2"/>
        <v>0</v>
      </c>
    </row>
    <row r="42" spans="1:35" x14ac:dyDescent="0.25">
      <c r="A42" s="9">
        <v>38</v>
      </c>
      <c r="B42" s="9">
        <v>854</v>
      </c>
      <c r="C42" s="14" t="s">
        <v>722</v>
      </c>
      <c r="D42" s="14" t="s">
        <v>723</v>
      </c>
      <c r="E42" s="20" t="s">
        <v>678</v>
      </c>
      <c r="F42" s="8" t="s">
        <v>798</v>
      </c>
      <c r="G42" s="126"/>
      <c r="H42" s="8" t="s">
        <v>798</v>
      </c>
      <c r="I42" s="8" t="s">
        <v>798</v>
      </c>
      <c r="J42" s="136"/>
      <c r="K42" s="8" t="s">
        <v>798</v>
      </c>
      <c r="L42" s="8" t="s">
        <v>798</v>
      </c>
      <c r="M42" s="8" t="s">
        <v>798</v>
      </c>
      <c r="N42" s="126"/>
      <c r="O42" s="8" t="s">
        <v>798</v>
      </c>
      <c r="P42" s="8" t="s">
        <v>798</v>
      </c>
      <c r="Q42" s="8" t="s">
        <v>798</v>
      </c>
      <c r="R42" s="8" t="s">
        <v>798</v>
      </c>
      <c r="S42" s="136"/>
      <c r="T42" s="8" t="s">
        <v>798</v>
      </c>
      <c r="U42" s="126"/>
      <c r="V42" s="8" t="s">
        <v>798</v>
      </c>
      <c r="W42" s="8" t="s">
        <v>798</v>
      </c>
      <c r="X42" s="136"/>
      <c r="Y42" s="8" t="s">
        <v>798</v>
      </c>
      <c r="Z42" s="8" t="s">
        <v>798</v>
      </c>
      <c r="AA42" s="8" t="s">
        <v>798</v>
      </c>
      <c r="AB42" s="126"/>
      <c r="AC42" s="8" t="s">
        <v>798</v>
      </c>
      <c r="AD42" s="8" t="s">
        <v>798</v>
      </c>
      <c r="AE42" s="8" t="s">
        <v>798</v>
      </c>
      <c r="AF42" s="8" t="s">
        <v>798</v>
      </c>
      <c r="AG42" s="8" t="s">
        <v>798</v>
      </c>
      <c r="AH42" s="5">
        <f t="shared" si="1"/>
        <v>0</v>
      </c>
      <c r="AI42" s="5">
        <f t="shared" si="2"/>
        <v>21</v>
      </c>
    </row>
    <row r="43" spans="1:35" x14ac:dyDescent="0.25">
      <c r="A43" s="9">
        <v>39</v>
      </c>
      <c r="B43" s="9">
        <v>863</v>
      </c>
      <c r="C43" s="14" t="s">
        <v>724</v>
      </c>
      <c r="D43" s="14" t="s">
        <v>95</v>
      </c>
      <c r="E43" s="20" t="s">
        <v>678</v>
      </c>
      <c r="F43" s="8" t="s">
        <v>111</v>
      </c>
      <c r="G43" s="126"/>
      <c r="H43" s="8" t="s">
        <v>111</v>
      </c>
      <c r="I43" s="8" t="s">
        <v>111</v>
      </c>
      <c r="J43" s="136"/>
      <c r="K43" s="8" t="s">
        <v>111</v>
      </c>
      <c r="L43" s="8" t="s">
        <v>111</v>
      </c>
      <c r="M43" s="8" t="s">
        <v>798</v>
      </c>
      <c r="N43" s="126"/>
      <c r="O43" s="8" t="s">
        <v>111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26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26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20</v>
      </c>
      <c r="AI43" s="5">
        <f t="shared" si="2"/>
        <v>1</v>
      </c>
    </row>
    <row r="44" spans="1:35" x14ac:dyDescent="0.25">
      <c r="A44" s="9">
        <v>40</v>
      </c>
      <c r="B44" s="104">
        <v>902</v>
      </c>
      <c r="C44" s="32" t="s">
        <v>376</v>
      </c>
      <c r="D44" s="32" t="s">
        <v>725</v>
      </c>
      <c r="E44" s="20" t="s">
        <v>678</v>
      </c>
      <c r="F44" s="8" t="s">
        <v>798</v>
      </c>
      <c r="G44" s="126"/>
      <c r="H44" s="8" t="s">
        <v>111</v>
      </c>
      <c r="I44" s="8" t="s">
        <v>798</v>
      </c>
      <c r="J44" s="136"/>
      <c r="K44" s="8" t="s">
        <v>111</v>
      </c>
      <c r="L44" s="8" t="s">
        <v>798</v>
      </c>
      <c r="M44" s="8" t="s">
        <v>798</v>
      </c>
      <c r="N44" s="126"/>
      <c r="O44" s="8" t="s">
        <v>798</v>
      </c>
      <c r="P44" s="8" t="s">
        <v>111</v>
      </c>
      <c r="Q44" s="8" t="s">
        <v>111</v>
      </c>
      <c r="R44" s="8" t="s">
        <v>798</v>
      </c>
      <c r="S44" s="136"/>
      <c r="T44" s="8" t="s">
        <v>798</v>
      </c>
      <c r="U44" s="126"/>
      <c r="V44" s="8" t="s">
        <v>111</v>
      </c>
      <c r="W44" s="8" t="s">
        <v>111</v>
      </c>
      <c r="X44" s="136"/>
      <c r="Y44" s="8" t="s">
        <v>798</v>
      </c>
      <c r="Z44" s="8" t="s">
        <v>111</v>
      </c>
      <c r="AA44" s="8" t="s">
        <v>111</v>
      </c>
      <c r="AB44" s="126"/>
      <c r="AC44" s="8" t="s">
        <v>111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1"/>
        <v>9</v>
      </c>
      <c r="AI44" s="5">
        <f t="shared" si="2"/>
        <v>12</v>
      </c>
    </row>
    <row r="45" spans="1:35" x14ac:dyDescent="0.25">
      <c r="A45" s="9">
        <v>41</v>
      </c>
      <c r="B45" s="9">
        <v>886</v>
      </c>
      <c r="C45" s="14" t="s">
        <v>726</v>
      </c>
      <c r="D45" s="14" t="s">
        <v>727</v>
      </c>
      <c r="E45" s="20" t="s">
        <v>678</v>
      </c>
      <c r="F45" s="8" t="s">
        <v>111</v>
      </c>
      <c r="G45" s="126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26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26"/>
      <c r="V45" s="8" t="s">
        <v>111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26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21</v>
      </c>
      <c r="AI45" s="5">
        <f t="shared" si="2"/>
        <v>0</v>
      </c>
    </row>
  </sheetData>
  <mergeCells count="19">
    <mergeCell ref="A1:AI1"/>
    <mergeCell ref="A2:AI2"/>
    <mergeCell ref="A3:A4"/>
    <mergeCell ref="C3:C4"/>
    <mergeCell ref="D3:D4"/>
    <mergeCell ref="E3:E4"/>
    <mergeCell ref="AH3:AH4"/>
    <mergeCell ref="AI3:AI4"/>
    <mergeCell ref="B3:B4"/>
    <mergeCell ref="AJ3:AK3"/>
    <mergeCell ref="AJ11:AM11"/>
    <mergeCell ref="AJ19:AM19"/>
    <mergeCell ref="G5:G45"/>
    <mergeCell ref="N5:N45"/>
    <mergeCell ref="U5:U45"/>
    <mergeCell ref="AB5:AB45"/>
    <mergeCell ref="J5:J45"/>
    <mergeCell ref="S5:S45"/>
    <mergeCell ref="X5:X45"/>
  </mergeCells>
  <conditionalFormatting sqref="F5:F45 H5:I45 K5:M45 T5:T45 V5:W45 Y5:AA45 F4:AG4">
    <cfRule type="expression" dxfId="135" priority="170">
      <formula>IF(F$4=TODAY(),TRUE,FALSE)</formula>
    </cfRule>
  </conditionalFormatting>
  <conditionalFormatting sqref="F5:F45 H5:I45 K5:M45 T5:T45 V5:W45 Y5:AA45">
    <cfRule type="cellIs" dxfId="134" priority="169" operator="equal">
      <formula>"P"</formula>
    </cfRule>
    <cfRule type="cellIs" dxfId="133" priority="168" operator="equal">
      <formula>"A"</formula>
    </cfRule>
    <cfRule type="cellIs" dxfId="132" priority="167" operator="equal">
      <formula>"L"</formula>
    </cfRule>
  </conditionalFormatting>
  <conditionalFormatting sqref="F3:AG4 F5:F45 H5:I45 K5:M45 T5:T45 V5:W45 Y5:AA45">
    <cfRule type="expression" dxfId="131" priority="171">
      <formula>F$3="Sun"</formula>
    </cfRule>
  </conditionalFormatting>
  <conditionalFormatting sqref="G5">
    <cfRule type="cellIs" dxfId="130" priority="72" operator="equal">
      <formula>"A"</formula>
    </cfRule>
    <cfRule type="cellIs" dxfId="129" priority="71" operator="equal">
      <formula>"L"</formula>
    </cfRule>
    <cfRule type="expression" dxfId="128" priority="75">
      <formula>G$3="Sun"</formula>
    </cfRule>
    <cfRule type="expression" dxfId="127" priority="74">
      <formula>IF(G$4=TODAY(),TRUE,FALSE)</formula>
    </cfRule>
    <cfRule type="cellIs" dxfId="126" priority="73" operator="equal">
      <formula>"P"</formula>
    </cfRule>
  </conditionalFormatting>
  <conditionalFormatting sqref="J5">
    <cfRule type="expression" dxfId="125" priority="15">
      <formula>J$3="Sun"</formula>
    </cfRule>
    <cfRule type="cellIs" dxfId="124" priority="12" operator="equal">
      <formula>"A"</formula>
    </cfRule>
    <cfRule type="cellIs" dxfId="123" priority="13" operator="equal">
      <formula>"P"</formula>
    </cfRule>
    <cfRule type="expression" dxfId="122" priority="14">
      <formula>IF(J$4=TODAY(),TRUE,FALSE)</formula>
    </cfRule>
    <cfRule type="cellIs" dxfId="121" priority="11" operator="equal">
      <formula>"L"</formula>
    </cfRule>
  </conditionalFormatting>
  <conditionalFormatting sqref="N5">
    <cfRule type="cellIs" dxfId="120" priority="26" operator="equal">
      <formula>"L"</formula>
    </cfRule>
    <cfRule type="cellIs" dxfId="119" priority="27" operator="equal">
      <formula>"A"</formula>
    </cfRule>
    <cfRule type="expression" dxfId="118" priority="29">
      <formula>IF(N$4=TODAY(),TRUE,FALSE)</formula>
    </cfRule>
    <cfRule type="expression" dxfId="117" priority="30">
      <formula>N$3="Sun"</formula>
    </cfRule>
    <cfRule type="cellIs" dxfId="116" priority="28" operator="equal">
      <formula>"P"</formula>
    </cfRule>
  </conditionalFormatting>
  <conditionalFormatting sqref="O5:R45">
    <cfRule type="cellIs" dxfId="115" priority="46" operator="equal">
      <formula>"L"</formula>
    </cfRule>
    <cfRule type="cellIs" dxfId="114" priority="47" operator="equal">
      <formula>"A"</formula>
    </cfRule>
    <cfRule type="cellIs" dxfId="113" priority="48" operator="equal">
      <formula>"P"</formula>
    </cfRule>
    <cfRule type="expression" dxfId="112" priority="49">
      <formula>IF(O$4=TODAY(),TRUE,FALSE)</formula>
    </cfRule>
    <cfRule type="expression" dxfId="111" priority="50">
      <formula>O$3="Sun"</formula>
    </cfRule>
  </conditionalFormatting>
  <conditionalFormatting sqref="S5">
    <cfRule type="cellIs" dxfId="110" priority="7" operator="equal">
      <formula>"A"</formula>
    </cfRule>
    <cfRule type="cellIs" dxfId="109" priority="8" operator="equal">
      <formula>"P"</formula>
    </cfRule>
    <cfRule type="expression" dxfId="108" priority="9">
      <formula>IF(S$4=TODAY(),TRUE,FALSE)</formula>
    </cfRule>
    <cfRule type="expression" dxfId="107" priority="10">
      <formula>S$3="Sun"</formula>
    </cfRule>
    <cfRule type="cellIs" dxfId="106" priority="6" operator="equal">
      <formula>"L"</formula>
    </cfRule>
  </conditionalFormatting>
  <conditionalFormatting sqref="U5">
    <cfRule type="expression" dxfId="105" priority="24">
      <formula>IF(U$4=TODAY(),TRUE,FALSE)</formula>
    </cfRule>
    <cfRule type="expression" dxfId="104" priority="25">
      <formula>U$3="Sun"</formula>
    </cfRule>
    <cfRule type="cellIs" dxfId="103" priority="22" operator="equal">
      <formula>"A"</formula>
    </cfRule>
    <cfRule type="cellIs" dxfId="102" priority="21" operator="equal">
      <formula>"L"</formula>
    </cfRule>
    <cfRule type="cellIs" dxfId="101" priority="23" operator="equal">
      <formula>"P"</formula>
    </cfRule>
  </conditionalFormatting>
  <conditionalFormatting sqref="X5">
    <cfRule type="cellIs" dxfId="100" priority="2" operator="equal">
      <formula>"A"</formula>
    </cfRule>
    <cfRule type="cellIs" dxfId="99" priority="3" operator="equal">
      <formula>"P"</formula>
    </cfRule>
    <cfRule type="expression" dxfId="98" priority="4">
      <formula>IF(X$4=TODAY(),TRUE,FALSE)</formula>
    </cfRule>
    <cfRule type="expression" dxfId="97" priority="5">
      <formula>X$3="Sun"</formula>
    </cfRule>
    <cfRule type="cellIs" dxfId="96" priority="1" operator="equal">
      <formula>"L"</formula>
    </cfRule>
  </conditionalFormatting>
  <conditionalFormatting sqref="AB5">
    <cfRule type="cellIs" dxfId="95" priority="18" operator="equal">
      <formula>"P"</formula>
    </cfRule>
    <cfRule type="expression" dxfId="94" priority="20">
      <formula>AB$3="Sun"</formula>
    </cfRule>
    <cfRule type="expression" dxfId="93" priority="19">
      <formula>IF(AB$4=TODAY(),TRUE,FALSE)</formula>
    </cfRule>
    <cfRule type="cellIs" dxfId="92" priority="17" operator="equal">
      <formula>"A"</formula>
    </cfRule>
    <cfRule type="cellIs" dxfId="91" priority="16" operator="equal">
      <formula>"L"</formula>
    </cfRule>
  </conditionalFormatting>
  <conditionalFormatting sqref="AC5:AG45">
    <cfRule type="cellIs" dxfId="90" priority="31" operator="equal">
      <formula>"L"</formula>
    </cfRule>
    <cfRule type="cellIs" dxfId="89" priority="32" operator="equal">
      <formula>"A"</formula>
    </cfRule>
    <cfRule type="cellIs" dxfId="88" priority="33" operator="equal">
      <formula>"P"</formula>
    </cfRule>
    <cfRule type="expression" dxfId="87" priority="34">
      <formula>IF(AC$4=TODAY(),TRUE,FALSE)</formula>
    </cfRule>
    <cfRule type="expression" dxfId="86" priority="35">
      <formula>AC$3="Sun"</formula>
    </cfRule>
  </conditionalFormatting>
  <conditionalFormatting sqref="AH3:AI3 AH5:AI45">
    <cfRule type="expression" dxfId="85" priority="172">
      <formula>#REF!="Sun"</formula>
    </cfRule>
  </conditionalFormatting>
  <conditionalFormatting sqref="AJ5:AJ9">
    <cfRule type="expression" dxfId="84" priority="129">
      <formula>AJ$3="Sun"</formula>
    </cfRule>
  </conditionalFormatting>
  <conditionalFormatting sqref="AJ12:AJ15">
    <cfRule type="expression" dxfId="83" priority="127">
      <formula>AJ$3="Sun"</formula>
    </cfRule>
  </conditionalFormatting>
  <conditionalFormatting sqref="AJ20:AJ22">
    <cfRule type="expression" dxfId="82" priority="126">
      <formula>AJ$3="Sun"</formula>
    </cfRule>
  </conditionalFormatting>
  <conditionalFormatting sqref="AJ4:AK4">
    <cfRule type="expression" dxfId="81" priority="130">
      <formula>AJ$3="Sun"</formula>
    </cfRule>
  </conditionalFormatting>
  <conditionalFormatting sqref="AK12:AM12 AK20:AM20">
    <cfRule type="expression" dxfId="80" priority="131">
      <formula>AK$3="Sun"</formula>
    </cfRule>
  </conditionalFormatting>
  <conditionalFormatting sqref="AM21">
    <cfRule type="expression" dxfId="79" priority="128">
      <formula>AM$3="Sun"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9"/>
  <sheetViews>
    <sheetView workbookViewId="0">
      <selection activeCell="D37" sqref="D3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795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20" t="s">
        <v>121</v>
      </c>
      <c r="AK3" s="121"/>
      <c r="AL3" s="3"/>
      <c r="AM3" s="3"/>
    </row>
    <row r="4" spans="1:39" ht="36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651</v>
      </c>
      <c r="C5" s="24" t="s">
        <v>728</v>
      </c>
      <c r="D5" s="25" t="s">
        <v>729</v>
      </c>
      <c r="E5" s="20" t="s">
        <v>770</v>
      </c>
      <c r="F5" s="8" t="s">
        <v>111</v>
      </c>
      <c r="G5" s="126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798</v>
      </c>
      <c r="N5" s="126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798</v>
      </c>
      <c r="U5" s="126" t="s">
        <v>594</v>
      </c>
      <c r="V5" s="8" t="s">
        <v>111</v>
      </c>
      <c r="W5" s="8" t="s">
        <v>798</v>
      </c>
      <c r="X5" s="136" t="s">
        <v>809</v>
      </c>
      <c r="Y5" s="8" t="s">
        <v>111</v>
      </c>
      <c r="Z5" s="8" t="s">
        <v>111</v>
      </c>
      <c r="AA5" s="8" t="s">
        <v>111</v>
      </c>
      <c r="AB5" s="126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39" si="1">COUNTIF(F5:AG5,"P")</f>
        <v>18</v>
      </c>
      <c r="AI5" s="5">
        <f t="shared" ref="AI5:AI39" si="2">COUNTIF(F5:AG5,"A")</f>
        <v>3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652</v>
      </c>
      <c r="C6" s="24" t="s">
        <v>730</v>
      </c>
      <c r="D6" s="25" t="s">
        <v>731</v>
      </c>
      <c r="E6" s="20" t="s">
        <v>770</v>
      </c>
      <c r="F6" s="8" t="s">
        <v>798</v>
      </c>
      <c r="G6" s="126"/>
      <c r="H6" s="8" t="s">
        <v>798</v>
      </c>
      <c r="I6" s="8" t="s">
        <v>798</v>
      </c>
      <c r="J6" s="136"/>
      <c r="K6" s="8" t="s">
        <v>798</v>
      </c>
      <c r="L6" s="8" t="s">
        <v>798</v>
      </c>
      <c r="M6" s="8" t="s">
        <v>798</v>
      </c>
      <c r="N6" s="126"/>
      <c r="O6" s="8" t="s">
        <v>111</v>
      </c>
      <c r="P6" s="8" t="s">
        <v>111</v>
      </c>
      <c r="Q6" s="8" t="s">
        <v>799</v>
      </c>
      <c r="R6" s="8" t="s">
        <v>111</v>
      </c>
      <c r="S6" s="136"/>
      <c r="T6" s="8" t="s">
        <v>111</v>
      </c>
      <c r="U6" s="126"/>
      <c r="V6" s="8" t="s">
        <v>111</v>
      </c>
      <c r="W6" s="8" t="s">
        <v>798</v>
      </c>
      <c r="X6" s="136"/>
      <c r="Y6" s="8" t="s">
        <v>111</v>
      </c>
      <c r="Z6" s="8" t="s">
        <v>111</v>
      </c>
      <c r="AA6" s="8" t="s">
        <v>111</v>
      </c>
      <c r="AB6" s="126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13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653</v>
      </c>
      <c r="C7" s="24" t="s">
        <v>732</v>
      </c>
      <c r="D7" s="25" t="s">
        <v>733</v>
      </c>
      <c r="E7" s="20" t="s">
        <v>770</v>
      </c>
      <c r="F7" s="8" t="s">
        <v>111</v>
      </c>
      <c r="G7" s="126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26"/>
      <c r="O7" s="8" t="s">
        <v>111</v>
      </c>
      <c r="P7" s="8" t="s">
        <v>111</v>
      </c>
      <c r="Q7" s="8" t="s">
        <v>111</v>
      </c>
      <c r="R7" s="8" t="s">
        <v>798</v>
      </c>
      <c r="S7" s="136"/>
      <c r="T7" s="8" t="s">
        <v>111</v>
      </c>
      <c r="U7" s="126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26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654</v>
      </c>
      <c r="C8" s="24" t="s">
        <v>734</v>
      </c>
      <c r="D8" s="25" t="s">
        <v>714</v>
      </c>
      <c r="E8" s="20" t="s">
        <v>770</v>
      </c>
      <c r="F8" s="8" t="s">
        <v>111</v>
      </c>
      <c r="G8" s="126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26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26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26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655</v>
      </c>
      <c r="C9" s="24" t="s">
        <v>207</v>
      </c>
      <c r="D9" s="25" t="s">
        <v>428</v>
      </c>
      <c r="E9" s="20" t="s">
        <v>770</v>
      </c>
      <c r="F9" s="8" t="s">
        <v>111</v>
      </c>
      <c r="G9" s="126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798</v>
      </c>
      <c r="N9" s="126"/>
      <c r="O9" s="8" t="s">
        <v>798</v>
      </c>
      <c r="P9" s="8" t="s">
        <v>111</v>
      </c>
      <c r="Q9" s="8" t="s">
        <v>111</v>
      </c>
      <c r="R9" s="8" t="s">
        <v>111</v>
      </c>
      <c r="S9" s="136"/>
      <c r="T9" s="8" t="s">
        <v>798</v>
      </c>
      <c r="U9" s="126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26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17</v>
      </c>
      <c r="AI9" s="5">
        <f t="shared" si="2"/>
        <v>4</v>
      </c>
      <c r="AJ9" s="5"/>
      <c r="AK9" s="9"/>
    </row>
    <row r="10" spans="1:39" x14ac:dyDescent="0.25">
      <c r="A10" s="21">
        <v>6</v>
      </c>
      <c r="B10" s="21">
        <v>656</v>
      </c>
      <c r="C10" s="24" t="s">
        <v>735</v>
      </c>
      <c r="D10" s="25" t="s">
        <v>736</v>
      </c>
      <c r="E10" s="20" t="s">
        <v>770</v>
      </c>
      <c r="F10" s="8" t="s">
        <v>111</v>
      </c>
      <c r="G10" s="126"/>
      <c r="H10" s="8" t="s">
        <v>111</v>
      </c>
      <c r="I10" s="8" t="s">
        <v>111</v>
      </c>
      <c r="J10" s="136"/>
      <c r="K10" s="8" t="s">
        <v>111</v>
      </c>
      <c r="L10" s="8" t="s">
        <v>111</v>
      </c>
      <c r="M10" s="8" t="s">
        <v>798</v>
      </c>
      <c r="N10" s="126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26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26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19</v>
      </c>
      <c r="AI10" s="5">
        <f t="shared" si="2"/>
        <v>2</v>
      </c>
    </row>
    <row r="11" spans="1:39" ht="15.75" x14ac:dyDescent="0.25">
      <c r="A11" s="21">
        <v>7</v>
      </c>
      <c r="B11" s="21">
        <v>657</v>
      </c>
      <c r="C11" s="24" t="s">
        <v>737</v>
      </c>
      <c r="D11" s="25" t="s">
        <v>738</v>
      </c>
      <c r="E11" s="20" t="s">
        <v>770</v>
      </c>
      <c r="F11" s="8" t="s">
        <v>111</v>
      </c>
      <c r="G11" s="126"/>
      <c r="H11" s="8" t="s">
        <v>111</v>
      </c>
      <c r="I11" s="8" t="s">
        <v>111</v>
      </c>
      <c r="J11" s="136"/>
      <c r="K11" s="8" t="s">
        <v>111</v>
      </c>
      <c r="L11" s="8" t="s">
        <v>798</v>
      </c>
      <c r="M11" s="8" t="s">
        <v>798</v>
      </c>
      <c r="N11" s="126"/>
      <c r="O11" s="8" t="s">
        <v>111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26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798</v>
      </c>
      <c r="AB11" s="126"/>
      <c r="AC11" s="8" t="s">
        <v>111</v>
      </c>
      <c r="AD11" s="8" t="s">
        <v>111</v>
      </c>
      <c r="AE11" s="8" t="s">
        <v>111</v>
      </c>
      <c r="AF11" s="8" t="s">
        <v>798</v>
      </c>
      <c r="AG11" s="8" t="s">
        <v>798</v>
      </c>
      <c r="AH11" s="5">
        <f t="shared" si="1"/>
        <v>15</v>
      </c>
      <c r="AI11" s="5">
        <f t="shared" si="2"/>
        <v>6</v>
      </c>
      <c r="AJ11" s="120" t="s">
        <v>9</v>
      </c>
      <c r="AK11" s="121"/>
      <c r="AL11" s="121"/>
      <c r="AM11" s="122"/>
    </row>
    <row r="12" spans="1:39" x14ac:dyDescent="0.25">
      <c r="A12" s="21">
        <v>8</v>
      </c>
      <c r="B12" s="21">
        <v>658</v>
      </c>
      <c r="C12" s="24" t="s">
        <v>739</v>
      </c>
      <c r="D12" s="25" t="s">
        <v>64</v>
      </c>
      <c r="E12" s="20" t="s">
        <v>770</v>
      </c>
      <c r="F12" s="8" t="s">
        <v>111</v>
      </c>
      <c r="G12" s="126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26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26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26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798</v>
      </c>
      <c r="AH12" s="5">
        <f t="shared" si="1"/>
        <v>19</v>
      </c>
      <c r="AI12" s="5">
        <f t="shared" si="2"/>
        <v>2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659</v>
      </c>
      <c r="C13" s="29" t="s">
        <v>740</v>
      </c>
      <c r="D13" s="30" t="s">
        <v>710</v>
      </c>
      <c r="E13" s="20" t="s">
        <v>770</v>
      </c>
      <c r="F13" s="8" t="s">
        <v>111</v>
      </c>
      <c r="G13" s="126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26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26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26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16*$AK$5</f>
        <v>400</v>
      </c>
      <c r="AL13" s="9">
        <f>19*$AK$5</f>
        <v>475</v>
      </c>
      <c r="AM13" s="9">
        <f>SUM(AK13:AL13)</f>
        <v>875</v>
      </c>
    </row>
    <row r="14" spans="1:39" x14ac:dyDescent="0.25">
      <c r="A14" s="21">
        <v>10</v>
      </c>
      <c r="B14" s="21">
        <v>660</v>
      </c>
      <c r="C14" s="26" t="s">
        <v>741</v>
      </c>
      <c r="D14" s="31" t="s">
        <v>742</v>
      </c>
      <c r="E14" s="20" t="s">
        <v>770</v>
      </c>
      <c r="F14" s="8" t="s">
        <v>111</v>
      </c>
      <c r="G14" s="126"/>
      <c r="H14" s="8" t="s">
        <v>111</v>
      </c>
      <c r="I14" s="8" t="s">
        <v>111</v>
      </c>
      <c r="J14" s="136"/>
      <c r="K14" s="8" t="s">
        <v>799</v>
      </c>
      <c r="L14" s="8" t="s">
        <v>111</v>
      </c>
      <c r="M14" s="8" t="s">
        <v>111</v>
      </c>
      <c r="N14" s="126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26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26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SUM(AH5:AH20)</f>
        <v>271</v>
      </c>
      <c r="AL14" s="9">
        <f>SUM(AH21:AH39)</f>
        <v>288</v>
      </c>
      <c r="AM14" s="9">
        <f>AK14+AL14</f>
        <v>559</v>
      </c>
    </row>
    <row r="15" spans="1:39" x14ac:dyDescent="0.25">
      <c r="A15" s="21">
        <v>11</v>
      </c>
      <c r="B15" s="21">
        <v>661</v>
      </c>
      <c r="C15" s="24" t="s">
        <v>743</v>
      </c>
      <c r="D15" s="25" t="s">
        <v>744</v>
      </c>
      <c r="E15" s="20" t="s">
        <v>770</v>
      </c>
      <c r="F15" s="8" t="s">
        <v>798</v>
      </c>
      <c r="G15" s="126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798</v>
      </c>
      <c r="N15" s="126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26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26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798</v>
      </c>
      <c r="AH15" s="5">
        <f t="shared" si="1"/>
        <v>18</v>
      </c>
      <c r="AI15" s="5">
        <f t="shared" si="2"/>
        <v>3</v>
      </c>
      <c r="AJ15" s="5" t="s">
        <v>16</v>
      </c>
      <c r="AK15" s="12">
        <f>AK14/AK13</f>
        <v>0.67749999999999999</v>
      </c>
      <c r="AL15" s="12">
        <f>AL14/AL13</f>
        <v>0.60631578947368425</v>
      </c>
      <c r="AM15" s="12">
        <f>AM14/AM13</f>
        <v>0.6388571428571429</v>
      </c>
    </row>
    <row r="16" spans="1:39" x14ac:dyDescent="0.25">
      <c r="A16" s="21">
        <v>12</v>
      </c>
      <c r="B16" s="21">
        <v>662</v>
      </c>
      <c r="C16" s="24" t="s">
        <v>745</v>
      </c>
      <c r="D16" s="25" t="s">
        <v>746</v>
      </c>
      <c r="E16" s="20" t="s">
        <v>770</v>
      </c>
      <c r="F16" s="8" t="s">
        <v>111</v>
      </c>
      <c r="G16" s="126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26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26"/>
      <c r="V16" s="8" t="s">
        <v>798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26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19</v>
      </c>
      <c r="AI16" s="5">
        <f t="shared" si="2"/>
        <v>2</v>
      </c>
      <c r="AJ16"/>
      <c r="AK16"/>
      <c r="AL16"/>
      <c r="AM16"/>
    </row>
    <row r="17" spans="1:39" x14ac:dyDescent="0.25">
      <c r="A17" s="21">
        <v>13</v>
      </c>
      <c r="B17" s="21">
        <v>663</v>
      </c>
      <c r="C17" s="24" t="s">
        <v>747</v>
      </c>
      <c r="D17" s="25" t="s">
        <v>748</v>
      </c>
      <c r="E17" s="20" t="s">
        <v>770</v>
      </c>
      <c r="F17" s="8" t="s">
        <v>111</v>
      </c>
      <c r="G17" s="126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26"/>
      <c r="O17" s="8" t="s">
        <v>111</v>
      </c>
      <c r="P17" s="8" t="s">
        <v>798</v>
      </c>
      <c r="Q17" s="8" t="s">
        <v>111</v>
      </c>
      <c r="R17" s="8" t="s">
        <v>111</v>
      </c>
      <c r="S17" s="136"/>
      <c r="T17" s="8" t="s">
        <v>798</v>
      </c>
      <c r="U17" s="126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26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664</v>
      </c>
      <c r="C18" s="24" t="s">
        <v>749</v>
      </c>
      <c r="D18" s="25" t="s">
        <v>314</v>
      </c>
      <c r="E18" s="20" t="s">
        <v>770</v>
      </c>
      <c r="F18" s="8" t="s">
        <v>111</v>
      </c>
      <c r="G18" s="126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26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26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26"/>
      <c r="AC18" s="8" t="s">
        <v>111</v>
      </c>
      <c r="AD18" s="8" t="s">
        <v>111</v>
      </c>
      <c r="AE18" s="8" t="s">
        <v>111</v>
      </c>
      <c r="AF18" s="8" t="s">
        <v>798</v>
      </c>
      <c r="AG18" s="8" t="s">
        <v>111</v>
      </c>
      <c r="AH18" s="5">
        <f t="shared" si="1"/>
        <v>20</v>
      </c>
      <c r="AI18" s="5">
        <f t="shared" si="2"/>
        <v>1</v>
      </c>
      <c r="AJ18"/>
      <c r="AK18"/>
      <c r="AL18"/>
      <c r="AM18"/>
    </row>
    <row r="19" spans="1:39" ht="15.75" x14ac:dyDescent="0.25">
      <c r="A19" s="21">
        <v>15</v>
      </c>
      <c r="B19" s="21">
        <v>665</v>
      </c>
      <c r="C19" s="24" t="s">
        <v>432</v>
      </c>
      <c r="D19" s="25" t="s">
        <v>721</v>
      </c>
      <c r="E19" s="20" t="s">
        <v>770</v>
      </c>
      <c r="F19" s="8" t="s">
        <v>798</v>
      </c>
      <c r="G19" s="126"/>
      <c r="H19" s="8" t="s">
        <v>798</v>
      </c>
      <c r="I19" s="8" t="s">
        <v>798</v>
      </c>
      <c r="J19" s="136"/>
      <c r="K19" s="8" t="s">
        <v>798</v>
      </c>
      <c r="L19" s="8" t="s">
        <v>798</v>
      </c>
      <c r="M19" s="8" t="s">
        <v>798</v>
      </c>
      <c r="N19" s="126"/>
      <c r="O19" s="8" t="s">
        <v>798</v>
      </c>
      <c r="P19" s="8" t="s">
        <v>798</v>
      </c>
      <c r="Q19" s="8" t="s">
        <v>798</v>
      </c>
      <c r="R19" s="8" t="s">
        <v>798</v>
      </c>
      <c r="S19" s="136"/>
      <c r="T19" s="8" t="s">
        <v>798</v>
      </c>
      <c r="U19" s="126"/>
      <c r="V19" s="8" t="s">
        <v>798</v>
      </c>
      <c r="W19" s="8" t="s">
        <v>798</v>
      </c>
      <c r="X19" s="136"/>
      <c r="Y19" s="8" t="s">
        <v>798</v>
      </c>
      <c r="Z19" s="8" t="s">
        <v>798</v>
      </c>
      <c r="AA19" s="8" t="s">
        <v>798</v>
      </c>
      <c r="AB19" s="126"/>
      <c r="AC19" s="8" t="s">
        <v>798</v>
      </c>
      <c r="AD19" s="8" t="s">
        <v>798</v>
      </c>
      <c r="AE19" s="8" t="s">
        <v>798</v>
      </c>
      <c r="AF19" s="8" t="s">
        <v>798</v>
      </c>
      <c r="AG19" s="8" t="s">
        <v>798</v>
      </c>
      <c r="AH19" s="5">
        <f t="shared" si="1"/>
        <v>0</v>
      </c>
      <c r="AI19" s="5">
        <f t="shared" si="2"/>
        <v>21</v>
      </c>
      <c r="AJ19" s="120" t="s">
        <v>123</v>
      </c>
      <c r="AK19" s="121"/>
      <c r="AL19" s="121"/>
      <c r="AM19" s="122"/>
    </row>
    <row r="20" spans="1:39" x14ac:dyDescent="0.25">
      <c r="A20" s="21">
        <v>16</v>
      </c>
      <c r="B20" s="21">
        <v>666</v>
      </c>
      <c r="C20" s="24" t="s">
        <v>50</v>
      </c>
      <c r="D20" s="25"/>
      <c r="E20" s="20" t="s">
        <v>770</v>
      </c>
      <c r="F20" s="8" t="s">
        <v>798</v>
      </c>
      <c r="G20" s="126"/>
      <c r="H20" s="8" t="s">
        <v>111</v>
      </c>
      <c r="I20" s="8" t="s">
        <v>111</v>
      </c>
      <c r="J20" s="136"/>
      <c r="K20" s="8" t="s">
        <v>111</v>
      </c>
      <c r="L20" s="8" t="s">
        <v>798</v>
      </c>
      <c r="M20" s="8" t="s">
        <v>111</v>
      </c>
      <c r="N20" s="126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798</v>
      </c>
      <c r="U20" s="126"/>
      <c r="V20" s="8" t="s">
        <v>798</v>
      </c>
      <c r="W20" s="8" t="s">
        <v>798</v>
      </c>
      <c r="X20" s="136"/>
      <c r="Y20" s="8" t="s">
        <v>111</v>
      </c>
      <c r="Z20" s="8" t="s">
        <v>798</v>
      </c>
      <c r="AA20" s="8" t="s">
        <v>798</v>
      </c>
      <c r="AB20" s="126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14</v>
      </c>
      <c r="AI20" s="5">
        <f t="shared" si="2"/>
        <v>7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523</v>
      </c>
      <c r="C21" s="24" t="s">
        <v>750</v>
      </c>
      <c r="D21" s="25" t="s">
        <v>751</v>
      </c>
      <c r="E21" s="20" t="s">
        <v>770</v>
      </c>
      <c r="F21" s="8" t="s">
        <v>799</v>
      </c>
      <c r="G21" s="126"/>
      <c r="H21" s="8" t="s">
        <v>799</v>
      </c>
      <c r="I21" s="8" t="s">
        <v>799</v>
      </c>
      <c r="J21" s="136"/>
      <c r="K21" s="8" t="s">
        <v>799</v>
      </c>
      <c r="L21" s="8" t="s">
        <v>799</v>
      </c>
      <c r="M21" s="8" t="s">
        <v>799</v>
      </c>
      <c r="N21" s="126"/>
      <c r="O21" s="8" t="s">
        <v>798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26"/>
      <c r="V21" s="8" t="s">
        <v>111</v>
      </c>
      <c r="W21" s="8" t="s">
        <v>111</v>
      </c>
      <c r="X21" s="136"/>
      <c r="Y21" s="8" t="s">
        <v>798</v>
      </c>
      <c r="Z21" s="8" t="s">
        <v>111</v>
      </c>
      <c r="AA21" s="8" t="s">
        <v>798</v>
      </c>
      <c r="AB21" s="126"/>
      <c r="AC21" s="8" t="s">
        <v>111</v>
      </c>
      <c r="AD21" s="8" t="s">
        <v>111</v>
      </c>
      <c r="AE21" s="8" t="s">
        <v>798</v>
      </c>
      <c r="AF21" s="8" t="s">
        <v>798</v>
      </c>
      <c r="AG21" s="8" t="s">
        <v>798</v>
      </c>
      <c r="AH21" s="5">
        <f t="shared" si="1"/>
        <v>8</v>
      </c>
      <c r="AI21" s="5">
        <f t="shared" si="2"/>
        <v>7</v>
      </c>
      <c r="AJ21" s="5" t="s">
        <v>14</v>
      </c>
      <c r="AK21" s="9">
        <f>16*$AK$5</f>
        <v>400</v>
      </c>
      <c r="AL21" s="9">
        <f>19*$AK$5</f>
        <v>475</v>
      </c>
      <c r="AM21" s="9">
        <f>AK21+AL21</f>
        <v>875</v>
      </c>
    </row>
    <row r="22" spans="1:39" x14ac:dyDescent="0.25">
      <c r="A22" s="21">
        <v>18</v>
      </c>
      <c r="B22" s="21">
        <v>524</v>
      </c>
      <c r="C22" s="24" t="s">
        <v>752</v>
      </c>
      <c r="D22" s="25" t="s">
        <v>116</v>
      </c>
      <c r="E22" s="20" t="s">
        <v>770</v>
      </c>
      <c r="F22" s="8" t="s">
        <v>799</v>
      </c>
      <c r="G22" s="126"/>
      <c r="H22" s="8" t="s">
        <v>799</v>
      </c>
      <c r="I22" s="8" t="s">
        <v>111</v>
      </c>
      <c r="J22" s="136"/>
      <c r="K22" s="8" t="s">
        <v>798</v>
      </c>
      <c r="L22" s="8" t="s">
        <v>111</v>
      </c>
      <c r="M22" s="8" t="s">
        <v>111</v>
      </c>
      <c r="N22" s="126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798</v>
      </c>
      <c r="U22" s="126"/>
      <c r="V22" s="8" t="s">
        <v>111</v>
      </c>
      <c r="W22" s="8" t="s">
        <v>111</v>
      </c>
      <c r="X22" s="136"/>
      <c r="Y22" s="8" t="s">
        <v>798</v>
      </c>
      <c r="Z22" s="8" t="s">
        <v>111</v>
      </c>
      <c r="AA22" s="8" t="s">
        <v>798</v>
      </c>
      <c r="AB22" s="126"/>
      <c r="AC22" s="8" t="s">
        <v>798</v>
      </c>
      <c r="AD22" s="8" t="s">
        <v>798</v>
      </c>
      <c r="AE22" s="8" t="s">
        <v>798</v>
      </c>
      <c r="AF22" s="8" t="s">
        <v>798</v>
      </c>
      <c r="AG22" s="8" t="s">
        <v>798</v>
      </c>
      <c r="AH22" s="5">
        <f t="shared" si="1"/>
        <v>10</v>
      </c>
      <c r="AI22" s="5">
        <f t="shared" si="2"/>
        <v>9</v>
      </c>
      <c r="AJ22" s="5" t="s">
        <v>17</v>
      </c>
      <c r="AK22" s="9">
        <f>AK21-AK14</f>
        <v>129</v>
      </c>
      <c r="AL22" s="9">
        <f>AL21-AL14</f>
        <v>187</v>
      </c>
      <c r="AM22" s="9">
        <f>AK22+AL22</f>
        <v>316</v>
      </c>
    </row>
    <row r="23" spans="1:39" x14ac:dyDescent="0.25">
      <c r="A23" s="21">
        <v>19</v>
      </c>
      <c r="B23" s="21">
        <v>525</v>
      </c>
      <c r="C23" s="24" t="s">
        <v>753</v>
      </c>
      <c r="D23" s="25" t="s">
        <v>754</v>
      </c>
      <c r="E23" s="20" t="s">
        <v>770</v>
      </c>
      <c r="F23" s="8" t="s">
        <v>799</v>
      </c>
      <c r="G23" s="126"/>
      <c r="H23" s="8" t="s">
        <v>799</v>
      </c>
      <c r="I23" s="8" t="s">
        <v>799</v>
      </c>
      <c r="J23" s="136"/>
      <c r="K23" s="8" t="s">
        <v>799</v>
      </c>
      <c r="L23" s="8" t="s">
        <v>799</v>
      </c>
      <c r="M23" s="8" t="s">
        <v>799</v>
      </c>
      <c r="N23" s="126"/>
      <c r="O23" s="8" t="s">
        <v>799</v>
      </c>
      <c r="P23" s="8" t="s">
        <v>799</v>
      </c>
      <c r="Q23" s="8" t="s">
        <v>799</v>
      </c>
      <c r="R23" s="8" t="s">
        <v>799</v>
      </c>
      <c r="S23" s="136"/>
      <c r="T23" s="8" t="s">
        <v>799</v>
      </c>
      <c r="U23" s="126"/>
      <c r="V23" s="8" t="s">
        <v>799</v>
      </c>
      <c r="W23" s="8" t="s">
        <v>799</v>
      </c>
      <c r="X23" s="136"/>
      <c r="Y23" s="8" t="s">
        <v>799</v>
      </c>
      <c r="Z23" s="8" t="s">
        <v>799</v>
      </c>
      <c r="AA23" s="8" t="s">
        <v>799</v>
      </c>
      <c r="AB23" s="126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5</v>
      </c>
      <c r="AI23" s="5">
        <f t="shared" si="2"/>
        <v>0</v>
      </c>
      <c r="AJ23" s="5" t="s">
        <v>16</v>
      </c>
      <c r="AK23" s="12">
        <f>AK22/AK21</f>
        <v>0.32250000000000001</v>
      </c>
      <c r="AL23" s="12">
        <f>AL22/AL21</f>
        <v>0.3936842105263158</v>
      </c>
      <c r="AM23" s="12">
        <f>AM22/AM21</f>
        <v>0.36114285714285715</v>
      </c>
    </row>
    <row r="24" spans="1:39" x14ac:dyDescent="0.25">
      <c r="A24" s="21">
        <v>20</v>
      </c>
      <c r="B24" s="21">
        <v>526</v>
      </c>
      <c r="C24" s="24" t="s">
        <v>755</v>
      </c>
      <c r="D24" s="25" t="s">
        <v>391</v>
      </c>
      <c r="E24" s="20" t="s">
        <v>770</v>
      </c>
      <c r="F24" s="8" t="s">
        <v>111</v>
      </c>
      <c r="G24" s="126"/>
      <c r="H24" s="8" t="s">
        <v>111</v>
      </c>
      <c r="I24" s="8" t="s">
        <v>798</v>
      </c>
      <c r="J24" s="136"/>
      <c r="K24" s="8" t="s">
        <v>111</v>
      </c>
      <c r="L24" s="8" t="s">
        <v>111</v>
      </c>
      <c r="M24" s="8" t="s">
        <v>111</v>
      </c>
      <c r="N24" s="126"/>
      <c r="O24" s="8" t="s">
        <v>111</v>
      </c>
      <c r="P24" s="8" t="s">
        <v>798</v>
      </c>
      <c r="Q24" s="8" t="s">
        <v>111</v>
      </c>
      <c r="R24" s="8" t="s">
        <v>111</v>
      </c>
      <c r="S24" s="136"/>
      <c r="T24" s="8" t="s">
        <v>111</v>
      </c>
      <c r="U24" s="126"/>
      <c r="V24" s="8" t="s">
        <v>111</v>
      </c>
      <c r="W24" s="8" t="s">
        <v>111</v>
      </c>
      <c r="X24" s="136"/>
      <c r="Y24" s="8" t="s">
        <v>798</v>
      </c>
      <c r="Z24" s="8" t="s">
        <v>111</v>
      </c>
      <c r="AA24" s="8" t="s">
        <v>111</v>
      </c>
      <c r="AB24" s="126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21">
        <v>21</v>
      </c>
      <c r="B25" s="21">
        <v>527</v>
      </c>
      <c r="C25" s="24" t="s">
        <v>257</v>
      </c>
      <c r="D25" s="25" t="s">
        <v>756</v>
      </c>
      <c r="E25" s="20" t="s">
        <v>770</v>
      </c>
      <c r="F25" s="8" t="s">
        <v>111</v>
      </c>
      <c r="G25" s="126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26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26"/>
      <c r="V25" s="8" t="s">
        <v>111</v>
      </c>
      <c r="W25" s="8" t="s">
        <v>111</v>
      </c>
      <c r="X25" s="136"/>
      <c r="Y25" s="8" t="s">
        <v>111</v>
      </c>
      <c r="Z25" s="8" t="s">
        <v>798</v>
      </c>
      <c r="AA25" s="8" t="s">
        <v>111</v>
      </c>
      <c r="AB25" s="126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21">
        <v>22</v>
      </c>
      <c r="B26" s="21">
        <v>528</v>
      </c>
      <c r="C26" s="24" t="s">
        <v>757</v>
      </c>
      <c r="D26" s="25" t="s">
        <v>736</v>
      </c>
      <c r="E26" s="20" t="s">
        <v>770</v>
      </c>
      <c r="F26" s="8" t="s">
        <v>111</v>
      </c>
      <c r="G26" s="126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26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26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26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21</v>
      </c>
      <c r="AI26" s="5">
        <f t="shared" si="2"/>
        <v>0</v>
      </c>
    </row>
    <row r="27" spans="1:39" x14ac:dyDescent="0.25">
      <c r="A27" s="21">
        <v>23</v>
      </c>
      <c r="B27" s="21">
        <v>529</v>
      </c>
      <c r="C27" s="24" t="s">
        <v>758</v>
      </c>
      <c r="D27" s="25" t="s">
        <v>247</v>
      </c>
      <c r="E27" s="20" t="s">
        <v>770</v>
      </c>
      <c r="F27" s="8" t="s">
        <v>111</v>
      </c>
      <c r="G27" s="126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26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26"/>
      <c r="V27" s="8" t="s">
        <v>111</v>
      </c>
      <c r="W27" s="8" t="s">
        <v>799</v>
      </c>
      <c r="X27" s="136"/>
      <c r="Y27" s="8" t="s">
        <v>111</v>
      </c>
      <c r="Z27" s="8" t="s">
        <v>111</v>
      </c>
      <c r="AA27" s="8" t="s">
        <v>111</v>
      </c>
      <c r="AB27" s="126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20</v>
      </c>
      <c r="AI27" s="5">
        <f t="shared" si="2"/>
        <v>0</v>
      </c>
    </row>
    <row r="28" spans="1:39" x14ac:dyDescent="0.25">
      <c r="A28" s="21">
        <v>24</v>
      </c>
      <c r="B28" s="21">
        <v>530</v>
      </c>
      <c r="C28" s="24" t="s">
        <v>759</v>
      </c>
      <c r="D28" s="25" t="s">
        <v>416</v>
      </c>
      <c r="E28" s="20" t="s">
        <v>770</v>
      </c>
      <c r="F28" s="8" t="s">
        <v>111</v>
      </c>
      <c r="G28" s="126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26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26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26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21</v>
      </c>
      <c r="AI28" s="5">
        <f t="shared" si="2"/>
        <v>0</v>
      </c>
    </row>
    <row r="29" spans="1:39" x14ac:dyDescent="0.25">
      <c r="A29" s="21">
        <v>25</v>
      </c>
      <c r="B29" s="21">
        <v>531</v>
      </c>
      <c r="C29" s="24" t="s">
        <v>760</v>
      </c>
      <c r="D29" s="25" t="s">
        <v>416</v>
      </c>
      <c r="E29" s="20" t="s">
        <v>770</v>
      </c>
      <c r="F29" s="8" t="s">
        <v>111</v>
      </c>
      <c r="G29" s="126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26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26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26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16</v>
      </c>
      <c r="AI29" s="5">
        <f t="shared" si="2"/>
        <v>5</v>
      </c>
    </row>
    <row r="30" spans="1:39" x14ac:dyDescent="0.25">
      <c r="A30" s="21">
        <v>26</v>
      </c>
      <c r="B30" s="21">
        <v>532</v>
      </c>
      <c r="C30" s="24" t="s">
        <v>761</v>
      </c>
      <c r="D30" s="25" t="s">
        <v>762</v>
      </c>
      <c r="E30" s="20" t="s">
        <v>770</v>
      </c>
      <c r="F30" s="8" t="s">
        <v>111</v>
      </c>
      <c r="G30" s="126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26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26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26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27</v>
      </c>
      <c r="B31" s="103">
        <v>533</v>
      </c>
      <c r="C31" s="27" t="s">
        <v>508</v>
      </c>
      <c r="D31" s="28" t="s">
        <v>351</v>
      </c>
      <c r="E31" s="20" t="s">
        <v>770</v>
      </c>
      <c r="F31" s="8" t="s">
        <v>798</v>
      </c>
      <c r="G31" s="126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26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26"/>
      <c r="V31" s="8" t="s">
        <v>798</v>
      </c>
      <c r="W31" s="8" t="s">
        <v>798</v>
      </c>
      <c r="X31" s="136"/>
      <c r="Y31" s="8" t="s">
        <v>798</v>
      </c>
      <c r="Z31" s="8" t="s">
        <v>798</v>
      </c>
      <c r="AA31" s="8" t="s">
        <v>798</v>
      </c>
      <c r="AB31" s="126"/>
      <c r="AC31" s="8" t="s">
        <v>798</v>
      </c>
      <c r="AD31" s="8" t="s">
        <v>798</v>
      </c>
      <c r="AE31" s="8" t="s">
        <v>798</v>
      </c>
      <c r="AF31" s="8" t="s">
        <v>798</v>
      </c>
      <c r="AG31" s="8" t="s">
        <v>798</v>
      </c>
      <c r="AH31" s="5">
        <f t="shared" si="1"/>
        <v>0</v>
      </c>
      <c r="AI31" s="5">
        <f t="shared" si="2"/>
        <v>21</v>
      </c>
    </row>
    <row r="32" spans="1:39" x14ac:dyDescent="0.25">
      <c r="A32" s="21">
        <v>28</v>
      </c>
      <c r="B32" s="21">
        <v>534</v>
      </c>
      <c r="C32" s="29" t="s">
        <v>763</v>
      </c>
      <c r="D32" s="29" t="s">
        <v>742</v>
      </c>
      <c r="E32" s="20" t="s">
        <v>770</v>
      </c>
      <c r="F32" s="8" t="s">
        <v>111</v>
      </c>
      <c r="G32" s="126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26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26"/>
      <c r="V32" s="8" t="s">
        <v>798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26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19</v>
      </c>
      <c r="AI32" s="5">
        <f t="shared" si="2"/>
        <v>2</v>
      </c>
    </row>
    <row r="33" spans="1:35" x14ac:dyDescent="0.25">
      <c r="A33" s="21">
        <v>29</v>
      </c>
      <c r="B33" s="21">
        <v>535</v>
      </c>
      <c r="C33" s="29" t="s">
        <v>764</v>
      </c>
      <c r="D33" s="29" t="s">
        <v>765</v>
      </c>
      <c r="E33" s="20" t="s">
        <v>770</v>
      </c>
      <c r="F33" s="8" t="s">
        <v>798</v>
      </c>
      <c r="G33" s="126"/>
      <c r="H33" s="8" t="s">
        <v>798</v>
      </c>
      <c r="I33" s="8" t="s">
        <v>798</v>
      </c>
      <c r="J33" s="136"/>
      <c r="K33" s="8" t="s">
        <v>798</v>
      </c>
      <c r="L33" s="8" t="s">
        <v>798</v>
      </c>
      <c r="M33" s="8" t="s">
        <v>798</v>
      </c>
      <c r="N33" s="126"/>
      <c r="O33" s="8" t="s">
        <v>798</v>
      </c>
      <c r="P33" s="8" t="s">
        <v>798</v>
      </c>
      <c r="Q33" s="8" t="s">
        <v>798</v>
      </c>
      <c r="R33" s="8" t="s">
        <v>798</v>
      </c>
      <c r="S33" s="136"/>
      <c r="T33" s="8" t="s">
        <v>798</v>
      </c>
      <c r="U33" s="126"/>
      <c r="V33" s="8" t="s">
        <v>798</v>
      </c>
      <c r="W33" s="8" t="s">
        <v>798</v>
      </c>
      <c r="X33" s="136"/>
      <c r="Y33" s="8" t="s">
        <v>798</v>
      </c>
      <c r="Z33" s="8" t="s">
        <v>798</v>
      </c>
      <c r="AA33" s="8" t="s">
        <v>798</v>
      </c>
      <c r="AB33" s="126"/>
      <c r="AC33" s="8" t="s">
        <v>798</v>
      </c>
      <c r="AD33" s="8" t="s">
        <v>798</v>
      </c>
      <c r="AE33" s="8" t="s">
        <v>798</v>
      </c>
      <c r="AF33" s="8" t="s">
        <v>798</v>
      </c>
      <c r="AG33" s="8" t="s">
        <v>798</v>
      </c>
      <c r="AH33" s="5">
        <f t="shared" si="1"/>
        <v>0</v>
      </c>
      <c r="AI33" s="5">
        <f t="shared" si="2"/>
        <v>21</v>
      </c>
    </row>
    <row r="34" spans="1:35" x14ac:dyDescent="0.25">
      <c r="A34" s="21">
        <v>30</v>
      </c>
      <c r="B34" s="21">
        <v>536</v>
      </c>
      <c r="C34" s="29" t="s">
        <v>766</v>
      </c>
      <c r="D34" s="29" t="s">
        <v>767</v>
      </c>
      <c r="E34" s="20" t="s">
        <v>770</v>
      </c>
      <c r="F34" s="8" t="s">
        <v>111</v>
      </c>
      <c r="G34" s="126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26"/>
      <c r="O34" s="8" t="s">
        <v>111</v>
      </c>
      <c r="P34" s="8" t="s">
        <v>111</v>
      </c>
      <c r="Q34" s="8" t="s">
        <v>111</v>
      </c>
      <c r="R34" s="8" t="s">
        <v>799</v>
      </c>
      <c r="S34" s="136"/>
      <c r="T34" s="8" t="s">
        <v>111</v>
      </c>
      <c r="U34" s="126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26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0</v>
      </c>
    </row>
    <row r="35" spans="1:35" x14ac:dyDescent="0.25">
      <c r="A35" s="21">
        <v>31</v>
      </c>
      <c r="B35" s="21">
        <v>537</v>
      </c>
      <c r="C35" s="14" t="s">
        <v>408</v>
      </c>
      <c r="D35" s="14" t="s">
        <v>141</v>
      </c>
      <c r="E35" s="20" t="s">
        <v>770</v>
      </c>
      <c r="F35" s="8" t="s">
        <v>111</v>
      </c>
      <c r="G35" s="126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26"/>
      <c r="O35" s="8" t="s">
        <v>799</v>
      </c>
      <c r="P35" s="8" t="s">
        <v>799</v>
      </c>
      <c r="Q35" s="8" t="s">
        <v>799</v>
      </c>
      <c r="R35" s="8" t="s">
        <v>111</v>
      </c>
      <c r="S35" s="136"/>
      <c r="T35" s="8" t="s">
        <v>111</v>
      </c>
      <c r="U35" s="126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26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0</v>
      </c>
    </row>
    <row r="36" spans="1:35" x14ac:dyDescent="0.25">
      <c r="A36" s="21">
        <v>32</v>
      </c>
      <c r="B36" s="21">
        <v>538</v>
      </c>
      <c r="C36" s="14" t="s">
        <v>262</v>
      </c>
      <c r="D36" s="14" t="s">
        <v>811</v>
      </c>
      <c r="E36" s="20" t="s">
        <v>770</v>
      </c>
      <c r="F36" s="8" t="s">
        <v>111</v>
      </c>
      <c r="G36" s="126"/>
      <c r="H36" s="8" t="s">
        <v>111</v>
      </c>
      <c r="I36" s="8" t="s">
        <v>111</v>
      </c>
      <c r="J36" s="136"/>
      <c r="K36" s="8" t="s">
        <v>111</v>
      </c>
      <c r="L36" s="8" t="s">
        <v>799</v>
      </c>
      <c r="M36" s="8" t="s">
        <v>111</v>
      </c>
      <c r="N36" s="126"/>
      <c r="O36" s="8" t="s">
        <v>111</v>
      </c>
      <c r="P36" s="8" t="s">
        <v>111</v>
      </c>
      <c r="Q36" s="8" t="s">
        <v>111</v>
      </c>
      <c r="R36" s="8" t="s">
        <v>798</v>
      </c>
      <c r="S36" s="136"/>
      <c r="T36" s="8" t="s">
        <v>111</v>
      </c>
      <c r="U36" s="126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26"/>
      <c r="AC36" s="8" t="s">
        <v>111</v>
      </c>
      <c r="AD36" s="8" t="s">
        <v>798</v>
      </c>
      <c r="AE36" s="8" t="s">
        <v>111</v>
      </c>
      <c r="AF36" s="8" t="s">
        <v>111</v>
      </c>
      <c r="AG36" s="8" t="s">
        <v>798</v>
      </c>
      <c r="AH36" s="5">
        <f t="shared" si="1"/>
        <v>17</v>
      </c>
      <c r="AI36" s="5">
        <f t="shared" si="2"/>
        <v>3</v>
      </c>
    </row>
    <row r="37" spans="1:35" x14ac:dyDescent="0.25">
      <c r="A37" s="21">
        <v>33</v>
      </c>
      <c r="B37" s="21">
        <v>539</v>
      </c>
      <c r="C37" s="14" t="s">
        <v>768</v>
      </c>
      <c r="D37" s="14"/>
      <c r="E37" s="20" t="s">
        <v>770</v>
      </c>
      <c r="F37" s="8" t="s">
        <v>111</v>
      </c>
      <c r="G37" s="126"/>
      <c r="H37" s="8" t="s">
        <v>111</v>
      </c>
      <c r="I37" s="8" t="s">
        <v>799</v>
      </c>
      <c r="J37" s="136"/>
      <c r="K37" s="8" t="s">
        <v>111</v>
      </c>
      <c r="L37" s="8" t="s">
        <v>111</v>
      </c>
      <c r="M37" s="8" t="s">
        <v>111</v>
      </c>
      <c r="N37" s="126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26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26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20</v>
      </c>
      <c r="AI37" s="5">
        <f t="shared" si="2"/>
        <v>0</v>
      </c>
    </row>
    <row r="38" spans="1:35" x14ac:dyDescent="0.25">
      <c r="A38" s="21">
        <v>34</v>
      </c>
      <c r="B38" s="21">
        <v>540</v>
      </c>
      <c r="C38" s="14" t="s">
        <v>154</v>
      </c>
      <c r="D38" s="14" t="s">
        <v>344</v>
      </c>
      <c r="E38" s="20" t="s">
        <v>770</v>
      </c>
      <c r="F38" s="8" t="s">
        <v>111</v>
      </c>
      <c r="G38" s="126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26"/>
      <c r="O38" s="8" t="s">
        <v>798</v>
      </c>
      <c r="P38" s="8" t="s">
        <v>798</v>
      </c>
      <c r="Q38" s="8" t="s">
        <v>798</v>
      </c>
      <c r="R38" s="8" t="s">
        <v>798</v>
      </c>
      <c r="S38" s="136"/>
      <c r="T38" s="8" t="s">
        <v>111</v>
      </c>
      <c r="U38" s="126"/>
      <c r="V38" s="8" t="s">
        <v>798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26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14</v>
      </c>
      <c r="AI38" s="5">
        <f t="shared" si="2"/>
        <v>7</v>
      </c>
    </row>
    <row r="39" spans="1:35" x14ac:dyDescent="0.25">
      <c r="A39" s="21">
        <v>35</v>
      </c>
      <c r="B39" s="21">
        <v>541</v>
      </c>
      <c r="C39" s="14" t="s">
        <v>769</v>
      </c>
      <c r="D39" s="14" t="s">
        <v>460</v>
      </c>
      <c r="E39" s="20" t="s">
        <v>770</v>
      </c>
      <c r="F39" s="8" t="s">
        <v>800</v>
      </c>
      <c r="G39" s="126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26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26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26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</sheetData>
  <mergeCells count="19">
    <mergeCell ref="A1:AI1"/>
    <mergeCell ref="A2:AI2"/>
    <mergeCell ref="A3:A4"/>
    <mergeCell ref="C3:C4"/>
    <mergeCell ref="D3:D4"/>
    <mergeCell ref="E3:E4"/>
    <mergeCell ref="AH3:AH4"/>
    <mergeCell ref="AI3:AI4"/>
    <mergeCell ref="B3:B4"/>
    <mergeCell ref="AJ3:AK3"/>
    <mergeCell ref="AJ11:AM11"/>
    <mergeCell ref="AJ19:AM19"/>
    <mergeCell ref="G5:G39"/>
    <mergeCell ref="N5:N39"/>
    <mergeCell ref="U5:U39"/>
    <mergeCell ref="AB5:AB39"/>
    <mergeCell ref="J5:J39"/>
    <mergeCell ref="S5:S39"/>
    <mergeCell ref="X5:X39"/>
  </mergeCells>
  <phoneticPr fontId="12" type="noConversion"/>
  <conditionalFormatting sqref="F5:F39 H5:I39">
    <cfRule type="cellIs" dxfId="78" priority="176" operator="equal">
      <formula>"L"</formula>
    </cfRule>
    <cfRule type="cellIs" dxfId="77" priority="177" operator="equal">
      <formula>"A"</formula>
    </cfRule>
    <cfRule type="cellIs" dxfId="76" priority="178" operator="equal">
      <formula>"P"</formula>
    </cfRule>
    <cfRule type="expression" dxfId="75" priority="179">
      <formula>IF(F$4=TODAY(),TRUE,FALSE)</formula>
    </cfRule>
    <cfRule type="expression" dxfId="74" priority="180">
      <formula>F$3="Sun"</formula>
    </cfRule>
  </conditionalFormatting>
  <conditionalFormatting sqref="F3:AG4">
    <cfRule type="expression" dxfId="73" priority="246">
      <formula>F$3="Sun"</formula>
    </cfRule>
  </conditionalFormatting>
  <conditionalFormatting sqref="F4:AG4">
    <cfRule type="expression" dxfId="72" priority="245">
      <formula>IF(F$4=TODAY(),TRUE,FALSE)</formula>
    </cfRule>
  </conditionalFormatting>
  <conditionalFormatting sqref="G5">
    <cfRule type="cellIs" dxfId="71" priority="18" operator="equal">
      <formula>"P"</formula>
    </cfRule>
    <cfRule type="expression" dxfId="70" priority="19">
      <formula>IF(G$4=TODAY(),TRUE,FALSE)</formula>
    </cfRule>
    <cfRule type="expression" dxfId="69" priority="20">
      <formula>G$3="Sun"</formula>
    </cfRule>
    <cfRule type="cellIs" dxfId="68" priority="16" operator="equal">
      <formula>"L"</formula>
    </cfRule>
    <cfRule type="cellIs" dxfId="67" priority="17" operator="equal">
      <formula>"A"</formula>
    </cfRule>
  </conditionalFormatting>
  <conditionalFormatting sqref="J5">
    <cfRule type="cellIs" dxfId="66" priority="13" operator="equal">
      <formula>"P"</formula>
    </cfRule>
    <cfRule type="cellIs" dxfId="65" priority="11" operator="equal">
      <formula>"L"</formula>
    </cfRule>
    <cfRule type="cellIs" dxfId="64" priority="12" operator="equal">
      <formula>"A"</formula>
    </cfRule>
    <cfRule type="expression" dxfId="63" priority="14">
      <formula>IF(J$4=TODAY(),TRUE,FALSE)</formula>
    </cfRule>
    <cfRule type="expression" dxfId="62" priority="15">
      <formula>J$3="Sun"</formula>
    </cfRule>
  </conditionalFormatting>
  <conditionalFormatting sqref="K5:M39">
    <cfRule type="expression" dxfId="61" priority="114">
      <formula>IF(K$4=TODAY(),TRUE,FALSE)</formula>
    </cfRule>
    <cfRule type="cellIs" dxfId="60" priority="112" operator="equal">
      <formula>"A"</formula>
    </cfRule>
    <cfRule type="cellIs" dxfId="59" priority="111" operator="equal">
      <formula>"L"</formula>
    </cfRule>
    <cfRule type="cellIs" dxfId="58" priority="113" operator="equal">
      <formula>"P"</formula>
    </cfRule>
    <cfRule type="expression" dxfId="57" priority="115">
      <formula>K$3="Sun"</formula>
    </cfRule>
  </conditionalFormatting>
  <conditionalFormatting sqref="N5">
    <cfRule type="expression" dxfId="56" priority="25">
      <formula>N$3="Sun"</formula>
    </cfRule>
    <cfRule type="expression" dxfId="55" priority="24">
      <formula>IF(N$4=TODAY(),TRUE,FALSE)</formula>
    </cfRule>
    <cfRule type="cellIs" dxfId="54" priority="23" operator="equal">
      <formula>"P"</formula>
    </cfRule>
    <cfRule type="cellIs" dxfId="53" priority="22" operator="equal">
      <formula>"A"</formula>
    </cfRule>
    <cfRule type="cellIs" dxfId="52" priority="21" operator="equal">
      <formula>"L"</formula>
    </cfRule>
  </conditionalFormatting>
  <conditionalFormatting sqref="O5:R39">
    <cfRule type="expression" dxfId="51" priority="95">
      <formula>O$3="Sun"</formula>
    </cfRule>
    <cfRule type="expression" dxfId="50" priority="94">
      <formula>IF(O$4=TODAY(),TRUE,FALSE)</formula>
    </cfRule>
    <cfRule type="cellIs" dxfId="49" priority="93" operator="equal">
      <formula>"P"</formula>
    </cfRule>
    <cfRule type="cellIs" dxfId="48" priority="92" operator="equal">
      <formula>"A"</formula>
    </cfRule>
    <cfRule type="cellIs" dxfId="47" priority="91" operator="equal">
      <formula>"L"</formula>
    </cfRule>
  </conditionalFormatting>
  <conditionalFormatting sqref="S5">
    <cfRule type="cellIs" dxfId="46" priority="6" operator="equal">
      <formula>"L"</formula>
    </cfRule>
    <cfRule type="cellIs" dxfId="45" priority="8" operator="equal">
      <formula>"P"</formula>
    </cfRule>
    <cfRule type="expression" dxfId="44" priority="9">
      <formula>IF(S$4=TODAY(),TRUE,FALSE)</formula>
    </cfRule>
    <cfRule type="expression" dxfId="43" priority="10">
      <formula>S$3="Sun"</formula>
    </cfRule>
    <cfRule type="cellIs" dxfId="42" priority="7" operator="equal">
      <formula>"A"</formula>
    </cfRule>
  </conditionalFormatting>
  <conditionalFormatting sqref="T5:T39">
    <cfRule type="expression" dxfId="41" priority="85">
      <formula>T$3="Sun"</formula>
    </cfRule>
    <cfRule type="expression" dxfId="40" priority="84">
      <formula>IF(T$4=TODAY(),TRUE,FALSE)</formula>
    </cfRule>
    <cfRule type="cellIs" dxfId="39" priority="83" operator="equal">
      <formula>"P"</formula>
    </cfRule>
    <cfRule type="cellIs" dxfId="38" priority="82" operator="equal">
      <formula>"A"</formula>
    </cfRule>
    <cfRule type="cellIs" dxfId="37" priority="81" operator="equal">
      <formula>"L"</formula>
    </cfRule>
  </conditionalFormatting>
  <conditionalFormatting sqref="U5">
    <cfRule type="cellIs" dxfId="36" priority="137" operator="equal">
      <formula>"A"</formula>
    </cfRule>
    <cfRule type="expression" dxfId="35" priority="139">
      <formula>IF(U$4=TODAY(),TRUE,FALSE)</formula>
    </cfRule>
    <cfRule type="cellIs" dxfId="34" priority="138" operator="equal">
      <formula>"P"</formula>
    </cfRule>
    <cfRule type="cellIs" dxfId="33" priority="136" operator="equal">
      <formula>"L"</formula>
    </cfRule>
    <cfRule type="expression" dxfId="32" priority="140">
      <formula>U$3="Sun"</formula>
    </cfRule>
  </conditionalFormatting>
  <conditionalFormatting sqref="V5:W39">
    <cfRule type="expression" dxfId="31" priority="75">
      <formula>V$3="Sun"</formula>
    </cfRule>
    <cfRule type="cellIs" dxfId="30" priority="71" operator="equal">
      <formula>"L"</formula>
    </cfRule>
    <cfRule type="cellIs" dxfId="29" priority="72" operator="equal">
      <formula>"A"</formula>
    </cfRule>
    <cfRule type="cellIs" dxfId="28" priority="73" operator="equal">
      <formula>"P"</formula>
    </cfRule>
    <cfRule type="expression" dxfId="27" priority="74">
      <formula>IF(V$4=TODAY(),TRUE,FALSE)</formula>
    </cfRule>
  </conditionalFormatting>
  <conditionalFormatting sqref="X5">
    <cfRule type="cellIs" dxfId="26" priority="2" operator="equal">
      <formula>"A"</formula>
    </cfRule>
    <cfRule type="cellIs" dxfId="25" priority="3" operator="equal">
      <formula>"P"</formula>
    </cfRule>
    <cfRule type="expression" dxfId="24" priority="4">
      <formula>IF(X$4=TODAY(),TRUE,FALSE)</formula>
    </cfRule>
    <cfRule type="expression" dxfId="23" priority="5">
      <formula>X$3="Sun"</formula>
    </cfRule>
    <cfRule type="cellIs" dxfId="22" priority="1" operator="equal">
      <formula>"L"</formula>
    </cfRule>
  </conditionalFormatting>
  <conditionalFormatting sqref="Y5:AA39">
    <cfRule type="expression" dxfId="21" priority="55">
      <formula>Y$3="Sun"</formula>
    </cfRule>
    <cfRule type="expression" dxfId="20" priority="54">
      <formula>IF(Y$4=TODAY(),TRUE,FALSE)</formula>
    </cfRule>
    <cfRule type="cellIs" dxfId="19" priority="52" operator="equal">
      <formula>"A"</formula>
    </cfRule>
    <cfRule type="cellIs" dxfId="18" priority="51" operator="equal">
      <formula>"L"</formula>
    </cfRule>
    <cfRule type="cellIs" dxfId="17" priority="53" operator="equal">
      <formula>"P"</formula>
    </cfRule>
  </conditionalFormatting>
  <conditionalFormatting sqref="AB5">
    <cfRule type="cellIs" dxfId="16" priority="131" operator="equal">
      <formula>"L"</formula>
    </cfRule>
    <cfRule type="cellIs" dxfId="15" priority="132" operator="equal">
      <formula>"A"</formula>
    </cfRule>
    <cfRule type="cellIs" dxfId="14" priority="133" operator="equal">
      <formula>"P"</formula>
    </cfRule>
    <cfRule type="expression" dxfId="13" priority="134">
      <formula>IF(AB$4=TODAY(),TRUE,FALSE)</formula>
    </cfRule>
    <cfRule type="expression" dxfId="12" priority="135">
      <formula>AB$3="Sun"</formula>
    </cfRule>
  </conditionalFormatting>
  <conditionalFormatting sqref="AC5:AG39">
    <cfRule type="cellIs" dxfId="11" priority="26" operator="equal">
      <formula>"L"</formula>
    </cfRule>
    <cfRule type="cellIs" dxfId="10" priority="27" operator="equal">
      <formula>"A"</formula>
    </cfRule>
    <cfRule type="cellIs" dxfId="9" priority="28" operator="equal">
      <formula>"P"</formula>
    </cfRule>
    <cfRule type="expression" dxfId="8" priority="29">
      <formula>IF(AC$4=TODAY(),TRUE,FALSE)</formula>
    </cfRule>
    <cfRule type="expression" dxfId="7" priority="30">
      <formula>AC$3="Sun"</formula>
    </cfRule>
  </conditionalFormatting>
  <conditionalFormatting sqref="AH3:AI3 AH5:AI39">
    <cfRule type="expression" dxfId="6" priority="247">
      <formula>#REF!="Sun"</formula>
    </cfRule>
  </conditionalFormatting>
  <conditionalFormatting sqref="AJ5:AJ9">
    <cfRule type="expression" dxfId="5" priority="204">
      <formula>AJ$3="Sun"</formula>
    </cfRule>
  </conditionalFormatting>
  <conditionalFormatting sqref="AJ12:AJ15">
    <cfRule type="expression" dxfId="4" priority="202">
      <formula>AJ$3="Sun"</formula>
    </cfRule>
  </conditionalFormatting>
  <conditionalFormatting sqref="AJ20:AJ23">
    <cfRule type="expression" dxfId="3" priority="201">
      <formula>AJ$3="Sun"</formula>
    </cfRule>
  </conditionalFormatting>
  <conditionalFormatting sqref="AJ4:AK4">
    <cfRule type="expression" dxfId="2" priority="205">
      <formula>AJ$3="Sun"</formula>
    </cfRule>
  </conditionalFormatting>
  <conditionalFormatting sqref="AK12:AM12 AK20:AM20">
    <cfRule type="expression" dxfId="1" priority="206">
      <formula>AK$3="Sun"</formula>
    </cfRule>
  </conditionalFormatting>
  <conditionalFormatting sqref="AM21">
    <cfRule type="expression" dxfId="0" priority="203">
      <formula>AM$3="Sun"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2025-03-07T06:03:38Z</dcterms:modified>
</cp:coreProperties>
</file>